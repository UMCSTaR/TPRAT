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sstuff/Downloads/COVID staffing/"/>
    </mc:Choice>
  </mc:AlternateContent>
  <xr:revisionPtr revIDLastSave="0" documentId="8_{0EFFB8AB-2124-AB40-BAEB-B1BC0DE3956C}" xr6:coauthVersionLast="45" xr6:coauthVersionMax="45" xr10:uidLastSave="{00000000-0000-0000-0000-000000000000}"/>
  <bookViews>
    <workbookView xWindow="1680" yWindow="460" windowWidth="28800" windowHeight="17540" activeTab="4" xr2:uid="{00000000-000D-0000-FFFF-FFFF00000000}"/>
  </bookViews>
  <sheets>
    <sheet name="Trainee Deployment Map by Role" sheetId="2" state="hidden" r:id="rId1"/>
    <sheet name="User Guide" sheetId="12" r:id="rId2"/>
    <sheet name="Trainee Data (INPUT)" sheetId="4" r:id="rId3"/>
    <sheet name="taxonomy map" sheetId="9" state="hidden" r:id="rId4"/>
    <sheet name="Trainee Clinical Roles (OUTPUT)" sheetId="6" r:id="rId5"/>
    <sheet name="Reports" sheetId="11" r:id="rId6"/>
    <sheet name="Trainee PGY Roles (OUTPUT)" sheetId="10" r:id="rId7"/>
    <sheet name="Trainee PGY Role Map" sheetId="5" r:id="rId8"/>
    <sheet name="Condensed Specialty Crosswalk" sheetId="3" r:id="rId9"/>
  </sheets>
  <definedNames>
    <definedName name="_xlnm._FilterDatabase" localSheetId="2" hidden="1">'Trainee Data (INPUT)'!$E$1:$E$10000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1">
      <go:sheetsCustomData xmlns:go="http://customooxmlschemas.google.com/" r:id="rId11" roundtripDataSignature="AMtx7mjwrjty6sVwxoBNzjFZP/BO6uiULA=="/>
    </ext>
  </extLst>
</workbook>
</file>

<file path=xl/calcChain.xml><?xml version="1.0" encoding="utf-8"?>
<calcChain xmlns="http://schemas.openxmlformats.org/spreadsheetml/2006/main">
  <c r="G22" i="4" l="1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E22" i="4"/>
  <c r="E23" i="4"/>
  <c r="E24" i="4"/>
  <c r="E4" i="4"/>
  <c r="G4" i="4"/>
  <c r="E5" i="4"/>
  <c r="G5" i="4"/>
  <c r="E6" i="4"/>
  <c r="G6" i="4"/>
  <c r="E7" i="4"/>
  <c r="G7" i="4"/>
  <c r="E8" i="4"/>
  <c r="G8" i="4"/>
  <c r="E9" i="4"/>
  <c r="G9" i="4"/>
  <c r="E10" i="4"/>
  <c r="G10" i="4"/>
  <c r="E11" i="4"/>
  <c r="G11" i="4"/>
  <c r="E12" i="4"/>
  <c r="G12" i="4"/>
  <c r="E13" i="4"/>
  <c r="G13" i="4"/>
  <c r="E14" i="4"/>
  <c r="G14" i="4"/>
  <c r="E15" i="4"/>
  <c r="G15" i="4"/>
  <c r="E16" i="4"/>
  <c r="G16" i="4"/>
  <c r="E17" i="4"/>
  <c r="G17" i="4"/>
  <c r="E18" i="4"/>
  <c r="G18" i="4"/>
  <c r="E19" i="4"/>
  <c r="G19" i="4"/>
  <c r="E20" i="4"/>
  <c r="G20" i="4"/>
  <c r="E21" i="4"/>
  <c r="G21" i="4"/>
  <c r="E25" i="4"/>
  <c r="E26" i="4"/>
  <c r="E27" i="4"/>
  <c r="E28" i="4"/>
  <c r="E29" i="4"/>
  <c r="E30" i="4"/>
  <c r="G30" i="4"/>
  <c r="E31" i="4"/>
  <c r="G31" i="4"/>
  <c r="E32" i="4"/>
  <c r="G32" i="4"/>
  <c r="E33" i="4"/>
  <c r="G33" i="4"/>
  <c r="E34" i="4"/>
  <c r="G34" i="4"/>
  <c r="E35" i="4"/>
  <c r="G35" i="4"/>
  <c r="E36" i="4"/>
  <c r="G36" i="4"/>
  <c r="E37" i="4"/>
  <c r="G37" i="4"/>
  <c r="E38" i="4"/>
  <c r="G38" i="4"/>
  <c r="E39" i="4"/>
  <c r="G39" i="4"/>
  <c r="E40" i="4"/>
  <c r="G40" i="4"/>
  <c r="E41" i="4"/>
  <c r="G41" i="4"/>
  <c r="E42" i="4"/>
  <c r="G42" i="4"/>
  <c r="E43" i="4"/>
  <c r="G43" i="4"/>
  <c r="E44" i="4"/>
  <c r="G44" i="4"/>
  <c r="E45" i="4"/>
  <c r="G45" i="4"/>
  <c r="E46" i="4"/>
  <c r="G46" i="4"/>
  <c r="E47" i="4"/>
  <c r="G47" i="4"/>
  <c r="E48" i="4"/>
  <c r="G48" i="4"/>
  <c r="E49" i="4"/>
  <c r="G49" i="4"/>
  <c r="E50" i="4"/>
  <c r="G50" i="4"/>
  <c r="E51" i="4"/>
  <c r="G51" i="4"/>
  <c r="E52" i="4"/>
  <c r="G52" i="4"/>
  <c r="E53" i="4"/>
  <c r="G53" i="4"/>
  <c r="E54" i="4"/>
  <c r="G54" i="4"/>
  <c r="E55" i="4"/>
  <c r="G55" i="4"/>
  <c r="E56" i="4"/>
  <c r="G56" i="4"/>
  <c r="E57" i="4"/>
  <c r="G57" i="4"/>
  <c r="E58" i="4"/>
  <c r="G58" i="4"/>
  <c r="E59" i="4"/>
  <c r="G59" i="4"/>
  <c r="E60" i="4"/>
  <c r="G60" i="4"/>
  <c r="E61" i="4"/>
  <c r="G61" i="4"/>
  <c r="E62" i="4"/>
  <c r="G62" i="4"/>
  <c r="E63" i="4"/>
  <c r="G63" i="4"/>
  <c r="E64" i="4"/>
  <c r="G64" i="4"/>
  <c r="E65" i="4"/>
  <c r="G65" i="4"/>
  <c r="E66" i="4"/>
  <c r="G66" i="4"/>
  <c r="E67" i="4"/>
  <c r="G67" i="4"/>
  <c r="E68" i="4"/>
  <c r="G68" i="4"/>
  <c r="E69" i="4"/>
  <c r="G69" i="4"/>
  <c r="E70" i="4"/>
  <c r="G70" i="4"/>
  <c r="E71" i="4"/>
  <c r="G71" i="4"/>
  <c r="E72" i="4"/>
  <c r="G72" i="4"/>
  <c r="E73" i="4"/>
  <c r="G73" i="4"/>
  <c r="E74" i="4"/>
  <c r="G74" i="4"/>
  <c r="E75" i="4"/>
  <c r="G75" i="4"/>
  <c r="E76" i="4"/>
  <c r="G76" i="4"/>
  <c r="E77" i="4"/>
  <c r="G77" i="4"/>
  <c r="E78" i="4"/>
  <c r="G78" i="4"/>
  <c r="E79" i="4"/>
  <c r="G79" i="4"/>
  <c r="E80" i="4"/>
  <c r="G80" i="4"/>
  <c r="E81" i="4"/>
  <c r="G81" i="4"/>
  <c r="E82" i="4"/>
  <c r="G82" i="4"/>
  <c r="E83" i="4"/>
  <c r="G83" i="4"/>
  <c r="E84" i="4"/>
  <c r="G84" i="4"/>
  <c r="E85" i="4"/>
  <c r="G85" i="4"/>
  <c r="E86" i="4"/>
  <c r="G86" i="4"/>
  <c r="E87" i="4"/>
  <c r="G87" i="4"/>
  <c r="E88" i="4"/>
  <c r="G88" i="4"/>
  <c r="E89" i="4"/>
  <c r="G89" i="4"/>
  <c r="E90" i="4"/>
  <c r="G90" i="4"/>
  <c r="E91" i="4"/>
  <c r="G91" i="4"/>
  <c r="E92" i="4"/>
  <c r="G92" i="4"/>
  <c r="E93" i="4"/>
  <c r="G93" i="4"/>
  <c r="E94" i="4"/>
  <c r="G94" i="4"/>
  <c r="E95" i="4"/>
  <c r="G95" i="4"/>
  <c r="E96" i="4"/>
  <c r="G96" i="4"/>
  <c r="E97" i="4"/>
  <c r="G97" i="4"/>
  <c r="E98" i="4"/>
  <c r="G98" i="4"/>
  <c r="E99" i="4"/>
  <c r="G99" i="4"/>
  <c r="E100" i="4"/>
  <c r="G100" i="4"/>
  <c r="E101" i="4"/>
  <c r="G101" i="4"/>
  <c r="E102" i="4"/>
  <c r="G102" i="4"/>
  <c r="E103" i="4"/>
  <c r="G103" i="4"/>
  <c r="E104" i="4"/>
  <c r="G104" i="4"/>
  <c r="E105" i="4"/>
  <c r="G105" i="4"/>
  <c r="E106" i="4"/>
  <c r="G106" i="4"/>
  <c r="E107" i="4"/>
  <c r="G107" i="4"/>
  <c r="E108" i="4"/>
  <c r="G108" i="4"/>
  <c r="E109" i="4"/>
  <c r="G109" i="4"/>
  <c r="E110" i="4"/>
  <c r="G110" i="4"/>
  <c r="E111" i="4"/>
  <c r="G111" i="4"/>
  <c r="E112" i="4"/>
  <c r="G112" i="4"/>
  <c r="E113" i="4"/>
  <c r="G113" i="4"/>
  <c r="E114" i="4"/>
  <c r="G114" i="4"/>
  <c r="E115" i="4"/>
  <c r="G115" i="4"/>
  <c r="E116" i="4"/>
  <c r="G116" i="4"/>
  <c r="E117" i="4"/>
  <c r="G117" i="4"/>
  <c r="E118" i="4"/>
  <c r="G118" i="4"/>
  <c r="E119" i="4"/>
  <c r="G119" i="4"/>
  <c r="E120" i="4"/>
  <c r="G120" i="4"/>
  <c r="E121" i="4"/>
  <c r="G121" i="4"/>
  <c r="E122" i="4"/>
  <c r="G122" i="4"/>
  <c r="E123" i="4"/>
  <c r="G123" i="4"/>
  <c r="E124" i="4"/>
  <c r="G124" i="4"/>
  <c r="E125" i="4"/>
  <c r="G125" i="4"/>
  <c r="E126" i="4"/>
  <c r="G126" i="4"/>
  <c r="E127" i="4"/>
  <c r="G127" i="4"/>
  <c r="E128" i="4"/>
  <c r="G128" i="4"/>
  <c r="E129" i="4"/>
  <c r="G129" i="4"/>
  <c r="E130" i="4"/>
  <c r="G130" i="4"/>
  <c r="E131" i="4"/>
  <c r="G131" i="4"/>
  <c r="E132" i="4"/>
  <c r="G132" i="4"/>
  <c r="E133" i="4"/>
  <c r="G133" i="4"/>
  <c r="E134" i="4"/>
  <c r="G134" i="4"/>
  <c r="E135" i="4"/>
  <c r="G135" i="4"/>
  <c r="E136" i="4"/>
  <c r="G136" i="4"/>
  <c r="E137" i="4"/>
  <c r="G137" i="4"/>
  <c r="E138" i="4"/>
  <c r="G138" i="4"/>
  <c r="E139" i="4"/>
  <c r="G139" i="4"/>
  <c r="E140" i="4"/>
  <c r="G140" i="4"/>
  <c r="E141" i="4"/>
  <c r="G141" i="4"/>
  <c r="E142" i="4"/>
  <c r="G142" i="4"/>
  <c r="E143" i="4"/>
  <c r="G143" i="4"/>
  <c r="E144" i="4"/>
  <c r="G144" i="4"/>
  <c r="E145" i="4"/>
  <c r="G145" i="4"/>
  <c r="E146" i="4"/>
  <c r="G146" i="4"/>
  <c r="E147" i="4"/>
  <c r="G147" i="4"/>
  <c r="E148" i="4"/>
  <c r="G148" i="4"/>
  <c r="E149" i="4"/>
  <c r="G149" i="4"/>
  <c r="E150" i="4"/>
  <c r="G150" i="4"/>
  <c r="E151" i="4"/>
  <c r="G151" i="4"/>
  <c r="E152" i="4"/>
  <c r="G152" i="4"/>
  <c r="E153" i="4"/>
  <c r="G153" i="4"/>
  <c r="E154" i="4"/>
  <c r="G154" i="4"/>
  <c r="E155" i="4"/>
  <c r="G155" i="4"/>
  <c r="E156" i="4"/>
  <c r="G156" i="4"/>
  <c r="E157" i="4"/>
  <c r="G157" i="4"/>
  <c r="E158" i="4"/>
  <c r="G158" i="4"/>
  <c r="E159" i="4"/>
  <c r="G159" i="4"/>
  <c r="E160" i="4"/>
  <c r="G160" i="4"/>
  <c r="E161" i="4"/>
  <c r="G161" i="4"/>
  <c r="E162" i="4"/>
  <c r="G162" i="4"/>
  <c r="E163" i="4"/>
  <c r="G163" i="4"/>
  <c r="E164" i="4"/>
  <c r="G164" i="4"/>
  <c r="E165" i="4"/>
  <c r="G165" i="4"/>
  <c r="E166" i="4"/>
  <c r="G166" i="4"/>
  <c r="E167" i="4"/>
  <c r="G167" i="4"/>
  <c r="E168" i="4"/>
  <c r="G168" i="4"/>
  <c r="E169" i="4"/>
  <c r="G169" i="4"/>
  <c r="E170" i="4"/>
  <c r="G170" i="4"/>
  <c r="E171" i="4"/>
  <c r="G171" i="4"/>
  <c r="E172" i="4"/>
  <c r="G172" i="4"/>
  <c r="E173" i="4"/>
  <c r="G173" i="4"/>
  <c r="E174" i="4"/>
  <c r="G174" i="4"/>
  <c r="E175" i="4"/>
  <c r="G175" i="4"/>
  <c r="E176" i="4"/>
  <c r="G176" i="4"/>
  <c r="E177" i="4"/>
  <c r="G177" i="4"/>
  <c r="E178" i="4"/>
  <c r="G178" i="4"/>
  <c r="E179" i="4"/>
  <c r="G179" i="4"/>
  <c r="E180" i="4"/>
  <c r="G180" i="4"/>
  <c r="E181" i="4"/>
  <c r="G181" i="4"/>
  <c r="E182" i="4"/>
  <c r="G182" i="4"/>
  <c r="E183" i="4"/>
  <c r="G183" i="4"/>
  <c r="E184" i="4"/>
  <c r="G184" i="4"/>
  <c r="E185" i="4"/>
  <c r="G185" i="4"/>
  <c r="E186" i="4"/>
  <c r="G186" i="4"/>
  <c r="E187" i="4"/>
  <c r="G187" i="4"/>
  <c r="E188" i="4"/>
  <c r="G188" i="4"/>
  <c r="E189" i="4"/>
  <c r="G189" i="4"/>
  <c r="E190" i="4"/>
  <c r="G190" i="4"/>
  <c r="E191" i="4"/>
  <c r="G191" i="4"/>
  <c r="E192" i="4"/>
  <c r="G192" i="4"/>
  <c r="E193" i="4"/>
  <c r="G193" i="4"/>
  <c r="E194" i="4"/>
  <c r="G194" i="4"/>
  <c r="E195" i="4"/>
  <c r="G195" i="4"/>
  <c r="E196" i="4"/>
  <c r="G196" i="4"/>
  <c r="E197" i="4"/>
  <c r="G197" i="4"/>
  <c r="E198" i="4"/>
  <c r="G198" i="4"/>
  <c r="E199" i="4"/>
  <c r="G199" i="4"/>
  <c r="E200" i="4"/>
  <c r="G200" i="4"/>
  <c r="E201" i="4"/>
  <c r="G201" i="4"/>
  <c r="E202" i="4"/>
  <c r="G202" i="4"/>
  <c r="E203" i="4"/>
  <c r="G203" i="4"/>
  <c r="E204" i="4"/>
  <c r="G204" i="4"/>
  <c r="E205" i="4"/>
  <c r="G205" i="4"/>
  <c r="E206" i="4"/>
  <c r="G206" i="4"/>
  <c r="E207" i="4"/>
  <c r="G207" i="4"/>
  <c r="E208" i="4"/>
  <c r="G208" i="4"/>
  <c r="E209" i="4"/>
  <c r="G209" i="4"/>
  <c r="E210" i="4"/>
  <c r="G210" i="4"/>
  <c r="E211" i="4"/>
  <c r="G211" i="4"/>
  <c r="E212" i="4"/>
  <c r="G212" i="4"/>
  <c r="E213" i="4"/>
  <c r="G213" i="4"/>
  <c r="E214" i="4"/>
  <c r="G214" i="4"/>
  <c r="E215" i="4"/>
  <c r="G215" i="4"/>
  <c r="E216" i="4"/>
  <c r="G216" i="4"/>
  <c r="E217" i="4"/>
  <c r="G217" i="4"/>
  <c r="E218" i="4"/>
  <c r="G218" i="4"/>
  <c r="E219" i="4"/>
  <c r="G219" i="4"/>
  <c r="E220" i="4"/>
  <c r="G220" i="4"/>
  <c r="E221" i="4"/>
  <c r="G221" i="4"/>
  <c r="E222" i="4"/>
  <c r="G222" i="4"/>
  <c r="E223" i="4"/>
  <c r="G223" i="4"/>
  <c r="E224" i="4"/>
  <c r="G224" i="4"/>
  <c r="E225" i="4"/>
  <c r="G225" i="4"/>
  <c r="E226" i="4"/>
  <c r="G226" i="4"/>
  <c r="E227" i="4"/>
  <c r="G227" i="4"/>
  <c r="E228" i="4"/>
  <c r="G228" i="4"/>
  <c r="E229" i="4"/>
  <c r="G229" i="4"/>
  <c r="E230" i="4"/>
  <c r="G230" i="4"/>
  <c r="E231" i="4"/>
  <c r="G231" i="4"/>
  <c r="E232" i="4"/>
  <c r="G232" i="4"/>
  <c r="E233" i="4"/>
  <c r="G233" i="4"/>
  <c r="E234" i="4"/>
  <c r="G234" i="4"/>
  <c r="E235" i="4"/>
  <c r="G235" i="4"/>
  <c r="E236" i="4"/>
  <c r="G236" i="4"/>
  <c r="E237" i="4"/>
  <c r="G237" i="4"/>
  <c r="E238" i="4"/>
  <c r="G238" i="4"/>
  <c r="E239" i="4"/>
  <c r="G239" i="4"/>
  <c r="E240" i="4"/>
  <c r="G240" i="4"/>
  <c r="E241" i="4"/>
  <c r="G241" i="4"/>
  <c r="E242" i="4"/>
  <c r="G242" i="4"/>
  <c r="E243" i="4"/>
  <c r="G243" i="4"/>
  <c r="E244" i="4"/>
  <c r="G244" i="4"/>
  <c r="E245" i="4"/>
  <c r="G245" i="4"/>
  <c r="E246" i="4"/>
  <c r="G246" i="4"/>
  <c r="E247" i="4"/>
  <c r="G247" i="4"/>
  <c r="E248" i="4"/>
  <c r="G248" i="4"/>
  <c r="E249" i="4"/>
  <c r="G249" i="4"/>
  <c r="E250" i="4"/>
  <c r="G250" i="4"/>
  <c r="E251" i="4"/>
  <c r="G251" i="4"/>
  <c r="E252" i="4"/>
  <c r="G252" i="4"/>
  <c r="E253" i="4"/>
  <c r="G253" i="4"/>
  <c r="E254" i="4"/>
  <c r="G254" i="4"/>
  <c r="E255" i="4"/>
  <c r="G255" i="4"/>
  <c r="E256" i="4"/>
  <c r="G256" i="4"/>
  <c r="E257" i="4"/>
  <c r="G257" i="4"/>
  <c r="E258" i="4"/>
  <c r="G258" i="4"/>
  <c r="E259" i="4"/>
  <c r="G259" i="4"/>
  <c r="E260" i="4"/>
  <c r="G260" i="4"/>
  <c r="E261" i="4"/>
  <c r="G261" i="4"/>
  <c r="E262" i="4"/>
  <c r="G262" i="4"/>
  <c r="E263" i="4"/>
  <c r="G263" i="4"/>
  <c r="E264" i="4"/>
  <c r="G264" i="4"/>
  <c r="E265" i="4"/>
  <c r="G265" i="4"/>
  <c r="E266" i="4"/>
  <c r="G266" i="4"/>
  <c r="E267" i="4"/>
  <c r="G267" i="4"/>
  <c r="E268" i="4"/>
  <c r="G268" i="4"/>
  <c r="E269" i="4"/>
  <c r="G269" i="4"/>
  <c r="E270" i="4"/>
  <c r="G270" i="4"/>
  <c r="E271" i="4"/>
  <c r="G271" i="4"/>
  <c r="E272" i="4"/>
  <c r="G272" i="4"/>
  <c r="E273" i="4"/>
  <c r="G273" i="4"/>
  <c r="E274" i="4"/>
  <c r="G274" i="4"/>
  <c r="E275" i="4"/>
  <c r="G275" i="4"/>
  <c r="E276" i="4"/>
  <c r="G276" i="4"/>
  <c r="E277" i="4"/>
  <c r="G277" i="4"/>
  <c r="E278" i="4"/>
  <c r="G278" i="4"/>
  <c r="E279" i="4"/>
  <c r="G279" i="4"/>
  <c r="E280" i="4"/>
  <c r="G280" i="4"/>
  <c r="E281" i="4"/>
  <c r="G281" i="4"/>
  <c r="E282" i="4"/>
  <c r="G282" i="4"/>
  <c r="E283" i="4"/>
  <c r="G283" i="4"/>
  <c r="E284" i="4"/>
  <c r="G284" i="4"/>
  <c r="E285" i="4"/>
  <c r="G285" i="4"/>
  <c r="E286" i="4"/>
  <c r="G286" i="4"/>
  <c r="E287" i="4"/>
  <c r="G287" i="4"/>
  <c r="E288" i="4"/>
  <c r="G288" i="4"/>
  <c r="E289" i="4"/>
  <c r="G289" i="4"/>
  <c r="E290" i="4"/>
  <c r="G290" i="4"/>
  <c r="E291" i="4"/>
  <c r="G291" i="4"/>
  <c r="E292" i="4"/>
  <c r="G292" i="4"/>
  <c r="E293" i="4"/>
  <c r="G293" i="4"/>
  <c r="E294" i="4"/>
  <c r="G294" i="4"/>
  <c r="E295" i="4"/>
  <c r="G295" i="4"/>
  <c r="E296" i="4"/>
  <c r="G296" i="4"/>
  <c r="E297" i="4"/>
  <c r="G297" i="4"/>
  <c r="E298" i="4"/>
  <c r="G298" i="4"/>
  <c r="E299" i="4"/>
  <c r="G299" i="4"/>
  <c r="E300" i="4"/>
  <c r="G300" i="4"/>
  <c r="E301" i="4"/>
  <c r="G301" i="4"/>
  <c r="E302" i="4"/>
  <c r="G302" i="4"/>
  <c r="E303" i="4"/>
  <c r="G303" i="4"/>
  <c r="E304" i="4"/>
  <c r="G304" i="4"/>
  <c r="E305" i="4"/>
  <c r="G305" i="4"/>
  <c r="E306" i="4"/>
  <c r="G306" i="4"/>
  <c r="E307" i="4"/>
  <c r="G307" i="4"/>
  <c r="E308" i="4"/>
  <c r="G308" i="4"/>
  <c r="E309" i="4"/>
  <c r="G309" i="4"/>
  <c r="E310" i="4"/>
  <c r="G310" i="4"/>
  <c r="E311" i="4"/>
  <c r="G311" i="4"/>
  <c r="E312" i="4"/>
  <c r="G312" i="4"/>
  <c r="E313" i="4"/>
  <c r="G313" i="4"/>
  <c r="E314" i="4"/>
  <c r="G314" i="4"/>
  <c r="E315" i="4"/>
  <c r="G315" i="4"/>
  <c r="E316" i="4"/>
  <c r="G316" i="4"/>
  <c r="E317" i="4"/>
  <c r="G317" i="4"/>
  <c r="E318" i="4"/>
  <c r="G318" i="4"/>
  <c r="E319" i="4"/>
  <c r="G319" i="4"/>
  <c r="E320" i="4"/>
  <c r="G320" i="4"/>
  <c r="E321" i="4"/>
  <c r="G321" i="4"/>
  <c r="E322" i="4"/>
  <c r="G322" i="4"/>
  <c r="E323" i="4"/>
  <c r="G323" i="4"/>
  <c r="E324" i="4"/>
  <c r="G324" i="4"/>
  <c r="E325" i="4"/>
  <c r="G325" i="4"/>
  <c r="E326" i="4"/>
  <c r="G326" i="4"/>
  <c r="E327" i="4"/>
  <c r="G327" i="4"/>
  <c r="E328" i="4"/>
  <c r="G328" i="4"/>
  <c r="E329" i="4"/>
  <c r="G329" i="4"/>
  <c r="E330" i="4"/>
  <c r="G330" i="4"/>
  <c r="E331" i="4"/>
  <c r="G331" i="4"/>
  <c r="E332" i="4"/>
  <c r="G332" i="4"/>
  <c r="E333" i="4"/>
  <c r="G333" i="4"/>
  <c r="E334" i="4"/>
  <c r="G334" i="4"/>
  <c r="E335" i="4"/>
  <c r="G335" i="4"/>
  <c r="E336" i="4"/>
  <c r="G336" i="4"/>
  <c r="E337" i="4"/>
  <c r="G337" i="4"/>
  <c r="E338" i="4"/>
  <c r="G338" i="4"/>
  <c r="E339" i="4"/>
  <c r="G339" i="4"/>
  <c r="E340" i="4"/>
  <c r="G340" i="4"/>
  <c r="E341" i="4"/>
  <c r="G341" i="4"/>
  <c r="E342" i="4"/>
  <c r="G342" i="4"/>
  <c r="E343" i="4"/>
  <c r="G343" i="4"/>
  <c r="E344" i="4"/>
  <c r="G344" i="4"/>
  <c r="E345" i="4"/>
  <c r="G345" i="4"/>
  <c r="E346" i="4"/>
  <c r="G346" i="4"/>
  <c r="E347" i="4"/>
  <c r="G347" i="4"/>
  <c r="E348" i="4"/>
  <c r="G348" i="4"/>
  <c r="E349" i="4"/>
  <c r="G349" i="4"/>
  <c r="E350" i="4"/>
  <c r="G350" i="4"/>
  <c r="E351" i="4"/>
  <c r="G351" i="4"/>
  <c r="E352" i="4"/>
  <c r="G352" i="4"/>
  <c r="E353" i="4"/>
  <c r="G353" i="4"/>
  <c r="E354" i="4"/>
  <c r="G354" i="4"/>
  <c r="E355" i="4"/>
  <c r="G355" i="4"/>
  <c r="E356" i="4"/>
  <c r="G356" i="4"/>
  <c r="E357" i="4"/>
  <c r="G357" i="4"/>
  <c r="E358" i="4"/>
  <c r="G358" i="4"/>
  <c r="E359" i="4"/>
  <c r="G359" i="4"/>
  <c r="E360" i="4"/>
  <c r="G360" i="4"/>
  <c r="E361" i="4"/>
  <c r="G361" i="4"/>
  <c r="E362" i="4"/>
  <c r="G362" i="4"/>
  <c r="E363" i="4"/>
  <c r="G363" i="4"/>
  <c r="E364" i="4"/>
  <c r="G364" i="4"/>
  <c r="E365" i="4"/>
  <c r="G365" i="4"/>
  <c r="E366" i="4"/>
  <c r="G366" i="4"/>
  <c r="E367" i="4"/>
  <c r="G367" i="4"/>
  <c r="E368" i="4"/>
  <c r="G368" i="4"/>
  <c r="E369" i="4"/>
  <c r="G369" i="4"/>
  <c r="E370" i="4"/>
  <c r="G370" i="4"/>
  <c r="E371" i="4"/>
  <c r="G371" i="4"/>
  <c r="E372" i="4"/>
  <c r="G372" i="4"/>
  <c r="E373" i="4"/>
  <c r="G373" i="4"/>
  <c r="E374" i="4"/>
  <c r="G374" i="4"/>
  <c r="E375" i="4"/>
  <c r="G375" i="4"/>
  <c r="E376" i="4"/>
  <c r="G376" i="4"/>
  <c r="E377" i="4"/>
  <c r="G377" i="4"/>
  <c r="E378" i="4"/>
  <c r="G378" i="4"/>
  <c r="E379" i="4"/>
  <c r="G379" i="4"/>
  <c r="E380" i="4"/>
  <c r="G380" i="4"/>
  <c r="E381" i="4"/>
  <c r="G381" i="4"/>
  <c r="E382" i="4"/>
  <c r="G382" i="4"/>
  <c r="E383" i="4"/>
  <c r="G383" i="4"/>
  <c r="E384" i="4"/>
  <c r="G384" i="4"/>
  <c r="E385" i="4"/>
  <c r="G385" i="4"/>
  <c r="E386" i="4"/>
  <c r="G386" i="4"/>
  <c r="E387" i="4"/>
  <c r="G387" i="4"/>
  <c r="E388" i="4"/>
  <c r="G388" i="4"/>
  <c r="E389" i="4"/>
  <c r="G389" i="4"/>
  <c r="E390" i="4"/>
  <c r="G390" i="4"/>
  <c r="E391" i="4"/>
  <c r="G391" i="4"/>
  <c r="E392" i="4"/>
  <c r="G392" i="4"/>
  <c r="E393" i="4"/>
  <c r="G393" i="4"/>
  <c r="E394" i="4"/>
  <c r="G394" i="4"/>
  <c r="E395" i="4"/>
  <c r="G395" i="4"/>
  <c r="E396" i="4"/>
  <c r="G396" i="4"/>
  <c r="E397" i="4"/>
  <c r="G397" i="4"/>
  <c r="E398" i="4"/>
  <c r="G398" i="4"/>
  <c r="E399" i="4"/>
  <c r="G399" i="4"/>
  <c r="E400" i="4"/>
  <c r="G400" i="4"/>
  <c r="E401" i="4"/>
  <c r="G401" i="4"/>
  <c r="E402" i="4"/>
  <c r="G402" i="4"/>
  <c r="E403" i="4"/>
  <c r="G403" i="4"/>
  <c r="E404" i="4"/>
  <c r="G404" i="4"/>
  <c r="E405" i="4"/>
  <c r="G405" i="4"/>
  <c r="E406" i="4"/>
  <c r="G406" i="4"/>
  <c r="E407" i="4"/>
  <c r="G407" i="4"/>
  <c r="E408" i="4"/>
  <c r="G408" i="4"/>
  <c r="E409" i="4"/>
  <c r="G409" i="4"/>
  <c r="E410" i="4"/>
  <c r="G410" i="4"/>
  <c r="E411" i="4"/>
  <c r="G411" i="4"/>
  <c r="E412" i="4"/>
  <c r="G412" i="4"/>
  <c r="E413" i="4"/>
  <c r="G413" i="4"/>
  <c r="E414" i="4"/>
  <c r="G414" i="4"/>
  <c r="E415" i="4"/>
  <c r="G415" i="4"/>
  <c r="E416" i="4"/>
  <c r="G416" i="4"/>
  <c r="E417" i="4"/>
  <c r="G417" i="4"/>
  <c r="E418" i="4"/>
  <c r="G418" i="4"/>
  <c r="E419" i="4"/>
  <c r="G419" i="4"/>
  <c r="E420" i="4"/>
  <c r="G420" i="4"/>
  <c r="E421" i="4"/>
  <c r="G421" i="4"/>
  <c r="E422" i="4"/>
  <c r="G422" i="4"/>
  <c r="E423" i="4"/>
  <c r="G423" i="4"/>
  <c r="E424" i="4"/>
  <c r="G424" i="4"/>
  <c r="E425" i="4"/>
  <c r="G425" i="4"/>
  <c r="E426" i="4"/>
  <c r="G426" i="4"/>
  <c r="E427" i="4"/>
  <c r="G427" i="4"/>
  <c r="E428" i="4"/>
  <c r="G428" i="4"/>
  <c r="E429" i="4"/>
  <c r="G429" i="4"/>
  <c r="E430" i="4"/>
  <c r="G430" i="4"/>
  <c r="E431" i="4"/>
  <c r="G431" i="4"/>
  <c r="E432" i="4"/>
  <c r="G432" i="4"/>
  <c r="E433" i="4"/>
  <c r="G433" i="4"/>
  <c r="E434" i="4"/>
  <c r="G434" i="4"/>
  <c r="E435" i="4"/>
  <c r="G435" i="4"/>
  <c r="E436" i="4"/>
  <c r="G436" i="4"/>
  <c r="E437" i="4"/>
  <c r="G437" i="4"/>
  <c r="E438" i="4"/>
  <c r="G438" i="4"/>
  <c r="E439" i="4"/>
  <c r="G439" i="4"/>
  <c r="E440" i="4"/>
  <c r="G440" i="4"/>
  <c r="E441" i="4"/>
  <c r="G441" i="4"/>
  <c r="E442" i="4"/>
  <c r="G442" i="4"/>
  <c r="E443" i="4"/>
  <c r="G443" i="4"/>
  <c r="E444" i="4"/>
  <c r="G444" i="4"/>
  <c r="E445" i="4"/>
  <c r="G445" i="4"/>
  <c r="E446" i="4"/>
  <c r="G446" i="4"/>
  <c r="E447" i="4"/>
  <c r="G447" i="4"/>
  <c r="E448" i="4"/>
  <c r="G448" i="4"/>
  <c r="E449" i="4"/>
  <c r="G449" i="4"/>
  <c r="E450" i="4"/>
  <c r="G450" i="4"/>
  <c r="E451" i="4"/>
  <c r="G451" i="4"/>
  <c r="E452" i="4"/>
  <c r="G452" i="4"/>
  <c r="E453" i="4"/>
  <c r="G453" i="4"/>
  <c r="E454" i="4"/>
  <c r="G454" i="4"/>
  <c r="E455" i="4"/>
  <c r="G455" i="4"/>
  <c r="E456" i="4"/>
  <c r="G456" i="4"/>
  <c r="E457" i="4"/>
  <c r="G457" i="4"/>
  <c r="E458" i="4"/>
  <c r="G458" i="4"/>
  <c r="E459" i="4"/>
  <c r="G459" i="4"/>
  <c r="E460" i="4"/>
  <c r="G460" i="4"/>
  <c r="E461" i="4"/>
  <c r="G461" i="4"/>
  <c r="E462" i="4"/>
  <c r="G462" i="4"/>
  <c r="E463" i="4"/>
  <c r="G463" i="4"/>
  <c r="E464" i="4"/>
  <c r="G464" i="4"/>
  <c r="E465" i="4"/>
  <c r="G465" i="4"/>
  <c r="E466" i="4"/>
  <c r="G466" i="4"/>
  <c r="E467" i="4"/>
  <c r="G467" i="4"/>
  <c r="E468" i="4"/>
  <c r="G468" i="4"/>
  <c r="E469" i="4"/>
  <c r="G469" i="4"/>
  <c r="E470" i="4"/>
  <c r="G470" i="4"/>
  <c r="E471" i="4"/>
  <c r="G471" i="4"/>
  <c r="E472" i="4"/>
  <c r="G472" i="4"/>
  <c r="E473" i="4"/>
  <c r="G473" i="4"/>
  <c r="E474" i="4"/>
  <c r="G474" i="4"/>
  <c r="E475" i="4"/>
  <c r="G475" i="4"/>
  <c r="E476" i="4"/>
  <c r="G476" i="4"/>
  <c r="E477" i="4"/>
  <c r="G477" i="4"/>
  <c r="E478" i="4"/>
  <c r="G478" i="4"/>
  <c r="E479" i="4"/>
  <c r="G479" i="4"/>
  <c r="E480" i="4"/>
  <c r="G480" i="4"/>
  <c r="E481" i="4"/>
  <c r="G481" i="4"/>
  <c r="E482" i="4"/>
  <c r="G482" i="4"/>
  <c r="E483" i="4"/>
  <c r="G483" i="4"/>
  <c r="E484" i="4"/>
  <c r="G484" i="4"/>
  <c r="E485" i="4"/>
  <c r="G485" i="4"/>
  <c r="E486" i="4"/>
  <c r="G486" i="4"/>
  <c r="E487" i="4"/>
  <c r="G487" i="4"/>
  <c r="E488" i="4"/>
  <c r="G488" i="4"/>
  <c r="E489" i="4"/>
  <c r="G489" i="4"/>
  <c r="E490" i="4"/>
  <c r="G490" i="4"/>
  <c r="E491" i="4"/>
  <c r="G491" i="4"/>
  <c r="E492" i="4"/>
  <c r="G492" i="4"/>
  <c r="E493" i="4"/>
  <c r="G493" i="4"/>
  <c r="E494" i="4"/>
  <c r="G494" i="4"/>
  <c r="E495" i="4"/>
  <c r="G495" i="4"/>
  <c r="E496" i="4"/>
  <c r="G496" i="4"/>
  <c r="E497" i="4"/>
  <c r="G497" i="4"/>
  <c r="E498" i="4"/>
  <c r="G498" i="4"/>
  <c r="E499" i="4"/>
  <c r="G499" i="4"/>
  <c r="E500" i="4"/>
  <c r="G500" i="4"/>
  <c r="E501" i="4"/>
  <c r="G501" i="4"/>
  <c r="E502" i="4"/>
  <c r="G502" i="4"/>
  <c r="E503" i="4"/>
  <c r="G503" i="4"/>
  <c r="E504" i="4"/>
  <c r="G504" i="4"/>
  <c r="E505" i="4"/>
  <c r="G505" i="4"/>
  <c r="E506" i="4"/>
  <c r="G506" i="4"/>
  <c r="E507" i="4"/>
  <c r="G507" i="4"/>
  <c r="E508" i="4"/>
  <c r="G508" i="4"/>
  <c r="E509" i="4"/>
  <c r="G509" i="4"/>
  <c r="E510" i="4"/>
  <c r="G510" i="4"/>
  <c r="E511" i="4"/>
  <c r="G511" i="4"/>
  <c r="E512" i="4"/>
  <c r="G512" i="4"/>
  <c r="E513" i="4"/>
  <c r="G513" i="4"/>
  <c r="E514" i="4"/>
  <c r="G514" i="4"/>
  <c r="E515" i="4"/>
  <c r="G515" i="4"/>
  <c r="E516" i="4"/>
  <c r="G516" i="4"/>
  <c r="E517" i="4"/>
  <c r="G517" i="4"/>
  <c r="E518" i="4"/>
  <c r="G518" i="4"/>
  <c r="E519" i="4"/>
  <c r="G519" i="4"/>
  <c r="E520" i="4"/>
  <c r="G520" i="4"/>
  <c r="E521" i="4"/>
  <c r="G521" i="4"/>
  <c r="E522" i="4"/>
  <c r="G522" i="4"/>
  <c r="E523" i="4"/>
  <c r="G523" i="4"/>
  <c r="E524" i="4"/>
  <c r="G524" i="4"/>
  <c r="E525" i="4"/>
  <c r="G525" i="4"/>
  <c r="E526" i="4"/>
  <c r="G526" i="4"/>
  <c r="E527" i="4"/>
  <c r="G527" i="4"/>
  <c r="E528" i="4"/>
  <c r="G528" i="4"/>
  <c r="E529" i="4"/>
  <c r="G529" i="4"/>
  <c r="E530" i="4"/>
  <c r="G530" i="4"/>
  <c r="E531" i="4"/>
  <c r="G531" i="4"/>
  <c r="E532" i="4"/>
  <c r="G532" i="4"/>
  <c r="E533" i="4"/>
  <c r="G533" i="4"/>
  <c r="E534" i="4"/>
  <c r="G534" i="4"/>
  <c r="E535" i="4"/>
  <c r="G535" i="4"/>
  <c r="E536" i="4"/>
  <c r="G536" i="4"/>
  <c r="E537" i="4"/>
  <c r="G537" i="4"/>
  <c r="E538" i="4"/>
  <c r="G538" i="4"/>
  <c r="E539" i="4"/>
  <c r="G539" i="4"/>
  <c r="E540" i="4"/>
  <c r="G540" i="4"/>
  <c r="E541" i="4"/>
  <c r="G541" i="4"/>
  <c r="E542" i="4"/>
  <c r="G542" i="4"/>
  <c r="E543" i="4"/>
  <c r="G543" i="4"/>
  <c r="E544" i="4"/>
  <c r="G544" i="4"/>
  <c r="E545" i="4"/>
  <c r="G545" i="4"/>
  <c r="E546" i="4"/>
  <c r="G546" i="4"/>
  <c r="E547" i="4"/>
  <c r="G547" i="4"/>
  <c r="E548" i="4"/>
  <c r="G548" i="4"/>
  <c r="E549" i="4"/>
  <c r="G549" i="4"/>
  <c r="E550" i="4"/>
  <c r="G550" i="4"/>
  <c r="E551" i="4"/>
  <c r="G551" i="4"/>
  <c r="E552" i="4"/>
  <c r="G552" i="4"/>
  <c r="E553" i="4"/>
  <c r="G553" i="4"/>
  <c r="E554" i="4"/>
  <c r="G554" i="4"/>
  <c r="E555" i="4"/>
  <c r="G555" i="4"/>
  <c r="E556" i="4"/>
  <c r="G556" i="4"/>
  <c r="E557" i="4"/>
  <c r="G557" i="4"/>
  <c r="E558" i="4"/>
  <c r="G558" i="4"/>
  <c r="E559" i="4"/>
  <c r="G559" i="4"/>
  <c r="E560" i="4"/>
  <c r="G560" i="4"/>
  <c r="E561" i="4"/>
  <c r="G561" i="4"/>
  <c r="E562" i="4"/>
  <c r="G562" i="4"/>
  <c r="E563" i="4"/>
  <c r="G563" i="4"/>
  <c r="E564" i="4"/>
  <c r="G564" i="4"/>
  <c r="E565" i="4"/>
  <c r="G565" i="4"/>
  <c r="E566" i="4"/>
  <c r="G566" i="4"/>
  <c r="E567" i="4"/>
  <c r="G567" i="4"/>
  <c r="E568" i="4"/>
  <c r="G568" i="4"/>
  <c r="E569" i="4"/>
  <c r="G569" i="4"/>
  <c r="E570" i="4"/>
  <c r="G570" i="4"/>
  <c r="E571" i="4"/>
  <c r="G571" i="4"/>
  <c r="E572" i="4"/>
  <c r="G572" i="4"/>
  <c r="E573" i="4"/>
  <c r="G573" i="4"/>
  <c r="E574" i="4"/>
  <c r="G574" i="4"/>
  <c r="E575" i="4"/>
  <c r="G575" i="4"/>
  <c r="E576" i="4"/>
  <c r="G576" i="4"/>
  <c r="E577" i="4"/>
  <c r="G577" i="4"/>
  <c r="E578" i="4"/>
  <c r="G578" i="4"/>
  <c r="E579" i="4"/>
  <c r="G579" i="4"/>
  <c r="E580" i="4"/>
  <c r="G580" i="4"/>
  <c r="E581" i="4"/>
  <c r="G581" i="4"/>
  <c r="E582" i="4"/>
  <c r="G582" i="4"/>
  <c r="E583" i="4"/>
  <c r="G583" i="4"/>
  <c r="E584" i="4"/>
  <c r="G584" i="4"/>
  <c r="E585" i="4"/>
  <c r="G585" i="4"/>
  <c r="E586" i="4"/>
  <c r="G586" i="4"/>
  <c r="E587" i="4"/>
  <c r="G587" i="4"/>
  <c r="E588" i="4"/>
  <c r="G588" i="4"/>
  <c r="E589" i="4"/>
  <c r="G589" i="4"/>
  <c r="E590" i="4"/>
  <c r="G590" i="4"/>
  <c r="E591" i="4"/>
  <c r="G591" i="4"/>
  <c r="E592" i="4"/>
  <c r="G592" i="4"/>
  <c r="E593" i="4"/>
  <c r="G593" i="4"/>
  <c r="E594" i="4"/>
  <c r="G594" i="4"/>
  <c r="E595" i="4"/>
  <c r="G595" i="4"/>
  <c r="E596" i="4"/>
  <c r="G596" i="4"/>
  <c r="E597" i="4"/>
  <c r="G597" i="4"/>
  <c r="E598" i="4"/>
  <c r="G598" i="4"/>
  <c r="E599" i="4"/>
  <c r="G599" i="4"/>
  <c r="E600" i="4"/>
  <c r="G600" i="4"/>
  <c r="E601" i="4"/>
  <c r="G601" i="4"/>
  <c r="E602" i="4"/>
  <c r="G602" i="4"/>
  <c r="E603" i="4"/>
  <c r="G603" i="4"/>
  <c r="E604" i="4"/>
  <c r="G604" i="4"/>
  <c r="E605" i="4"/>
  <c r="G605" i="4"/>
  <c r="E606" i="4"/>
  <c r="G606" i="4"/>
  <c r="E607" i="4"/>
  <c r="G607" i="4"/>
  <c r="E608" i="4"/>
  <c r="G608" i="4"/>
  <c r="E609" i="4"/>
  <c r="G609" i="4"/>
  <c r="E610" i="4"/>
  <c r="G610" i="4"/>
  <c r="E611" i="4"/>
  <c r="G611" i="4"/>
  <c r="E612" i="4"/>
  <c r="G612" i="4"/>
  <c r="E613" i="4"/>
  <c r="G613" i="4"/>
  <c r="E614" i="4"/>
  <c r="G614" i="4"/>
  <c r="E615" i="4"/>
  <c r="G615" i="4"/>
  <c r="E616" i="4"/>
  <c r="G616" i="4"/>
  <c r="E617" i="4"/>
  <c r="G617" i="4"/>
  <c r="E618" i="4"/>
  <c r="G618" i="4"/>
  <c r="E619" i="4"/>
  <c r="G619" i="4"/>
  <c r="E620" i="4"/>
  <c r="G620" i="4"/>
  <c r="E621" i="4"/>
  <c r="G621" i="4"/>
  <c r="E622" i="4"/>
  <c r="G622" i="4"/>
  <c r="E623" i="4"/>
  <c r="G623" i="4"/>
  <c r="E624" i="4"/>
  <c r="G624" i="4"/>
  <c r="E625" i="4"/>
  <c r="G625" i="4"/>
  <c r="E626" i="4"/>
  <c r="G626" i="4"/>
  <c r="E627" i="4"/>
  <c r="G627" i="4"/>
  <c r="E628" i="4"/>
  <c r="G628" i="4"/>
  <c r="E629" i="4"/>
  <c r="G629" i="4"/>
  <c r="E630" i="4"/>
  <c r="G630" i="4"/>
  <c r="E631" i="4"/>
  <c r="G631" i="4"/>
  <c r="E632" i="4"/>
  <c r="G632" i="4"/>
  <c r="E633" i="4"/>
  <c r="G633" i="4"/>
  <c r="E634" i="4"/>
  <c r="G634" i="4"/>
  <c r="E635" i="4"/>
  <c r="G635" i="4"/>
  <c r="E636" i="4"/>
  <c r="G636" i="4"/>
  <c r="E637" i="4"/>
  <c r="G637" i="4"/>
  <c r="E638" i="4"/>
  <c r="G638" i="4"/>
  <c r="E639" i="4"/>
  <c r="G639" i="4"/>
  <c r="E640" i="4"/>
  <c r="G640" i="4"/>
  <c r="E641" i="4"/>
  <c r="G641" i="4"/>
  <c r="E642" i="4"/>
  <c r="G642" i="4"/>
  <c r="E643" i="4"/>
  <c r="G643" i="4"/>
  <c r="E644" i="4"/>
  <c r="G644" i="4"/>
  <c r="E645" i="4"/>
  <c r="G645" i="4"/>
  <c r="E646" i="4"/>
  <c r="G646" i="4"/>
  <c r="E647" i="4"/>
  <c r="G647" i="4"/>
  <c r="E648" i="4"/>
  <c r="G648" i="4"/>
  <c r="E649" i="4"/>
  <c r="G649" i="4"/>
  <c r="E650" i="4"/>
  <c r="G650" i="4"/>
  <c r="E651" i="4"/>
  <c r="G651" i="4"/>
  <c r="E652" i="4"/>
  <c r="G652" i="4"/>
  <c r="E653" i="4"/>
  <c r="G653" i="4"/>
  <c r="E654" i="4"/>
  <c r="G654" i="4"/>
  <c r="E655" i="4"/>
  <c r="G655" i="4"/>
  <c r="E656" i="4"/>
  <c r="G656" i="4"/>
  <c r="E657" i="4"/>
  <c r="G657" i="4"/>
  <c r="E658" i="4"/>
  <c r="G658" i="4"/>
  <c r="E659" i="4"/>
  <c r="G659" i="4"/>
  <c r="E660" i="4"/>
  <c r="G660" i="4"/>
  <c r="E661" i="4"/>
  <c r="G661" i="4"/>
  <c r="E662" i="4"/>
  <c r="G662" i="4"/>
  <c r="E663" i="4"/>
  <c r="G663" i="4"/>
  <c r="E664" i="4"/>
  <c r="G664" i="4"/>
  <c r="E665" i="4"/>
  <c r="G665" i="4"/>
  <c r="E666" i="4"/>
  <c r="G666" i="4"/>
  <c r="E667" i="4"/>
  <c r="G667" i="4"/>
  <c r="E668" i="4"/>
  <c r="G668" i="4"/>
  <c r="E669" i="4"/>
  <c r="G669" i="4"/>
  <c r="E670" i="4"/>
  <c r="G670" i="4"/>
  <c r="E671" i="4"/>
  <c r="G671" i="4"/>
  <c r="E672" i="4"/>
  <c r="G672" i="4"/>
  <c r="E673" i="4"/>
  <c r="G673" i="4"/>
  <c r="E674" i="4"/>
  <c r="G674" i="4"/>
  <c r="E675" i="4"/>
  <c r="G675" i="4"/>
  <c r="E676" i="4"/>
  <c r="G676" i="4"/>
  <c r="E677" i="4"/>
  <c r="G677" i="4"/>
  <c r="E678" i="4"/>
  <c r="G678" i="4"/>
  <c r="E679" i="4"/>
  <c r="G679" i="4"/>
  <c r="E680" i="4"/>
  <c r="G680" i="4"/>
  <c r="E681" i="4"/>
  <c r="G681" i="4"/>
  <c r="E682" i="4"/>
  <c r="G682" i="4"/>
  <c r="E683" i="4"/>
  <c r="G683" i="4"/>
  <c r="E684" i="4"/>
  <c r="G684" i="4"/>
  <c r="E685" i="4"/>
  <c r="G685" i="4"/>
  <c r="E686" i="4"/>
  <c r="G686" i="4"/>
  <c r="E687" i="4"/>
  <c r="G687" i="4"/>
  <c r="E688" i="4"/>
  <c r="G688" i="4"/>
  <c r="E689" i="4"/>
  <c r="G689" i="4"/>
  <c r="E690" i="4"/>
  <c r="G690" i="4"/>
  <c r="E691" i="4"/>
  <c r="G691" i="4"/>
  <c r="E692" i="4"/>
  <c r="G692" i="4"/>
  <c r="E693" i="4"/>
  <c r="G693" i="4"/>
  <c r="E694" i="4"/>
  <c r="G694" i="4"/>
  <c r="E695" i="4"/>
  <c r="G695" i="4"/>
  <c r="E696" i="4"/>
  <c r="G696" i="4"/>
  <c r="E697" i="4"/>
  <c r="G697" i="4"/>
  <c r="E698" i="4"/>
  <c r="G698" i="4"/>
  <c r="E699" i="4"/>
  <c r="G699" i="4"/>
  <c r="E700" i="4"/>
  <c r="G700" i="4"/>
  <c r="E701" i="4"/>
  <c r="G701" i="4"/>
  <c r="E702" i="4"/>
  <c r="G702" i="4"/>
  <c r="E703" i="4"/>
  <c r="G703" i="4"/>
  <c r="E704" i="4"/>
  <c r="G704" i="4"/>
  <c r="E705" i="4"/>
  <c r="G705" i="4"/>
  <c r="E706" i="4"/>
  <c r="G706" i="4"/>
  <c r="E707" i="4"/>
  <c r="G707" i="4"/>
  <c r="E708" i="4"/>
  <c r="G708" i="4"/>
  <c r="E709" i="4"/>
  <c r="G709" i="4"/>
  <c r="E710" i="4"/>
  <c r="G710" i="4"/>
  <c r="E711" i="4"/>
  <c r="G711" i="4"/>
  <c r="E712" i="4"/>
  <c r="G712" i="4"/>
  <c r="E713" i="4"/>
  <c r="G713" i="4"/>
  <c r="E714" i="4"/>
  <c r="G714" i="4"/>
  <c r="E715" i="4"/>
  <c r="G715" i="4"/>
  <c r="E716" i="4"/>
  <c r="G716" i="4"/>
  <c r="E717" i="4"/>
  <c r="G717" i="4"/>
  <c r="E718" i="4"/>
  <c r="G718" i="4"/>
  <c r="E719" i="4"/>
  <c r="G719" i="4"/>
  <c r="E720" i="4"/>
  <c r="G720" i="4"/>
  <c r="E721" i="4"/>
  <c r="G721" i="4"/>
  <c r="E722" i="4"/>
  <c r="G722" i="4"/>
  <c r="E723" i="4"/>
  <c r="G723" i="4"/>
  <c r="E724" i="4"/>
  <c r="G724" i="4"/>
  <c r="E725" i="4"/>
  <c r="G725" i="4"/>
  <c r="E726" i="4"/>
  <c r="G726" i="4"/>
  <c r="E727" i="4"/>
  <c r="G727" i="4"/>
  <c r="E728" i="4"/>
  <c r="G728" i="4"/>
  <c r="E729" i="4"/>
  <c r="G729" i="4"/>
  <c r="E730" i="4"/>
  <c r="G730" i="4"/>
  <c r="E731" i="4"/>
  <c r="G731" i="4"/>
  <c r="E732" i="4"/>
  <c r="G732" i="4"/>
  <c r="E733" i="4"/>
  <c r="G733" i="4"/>
  <c r="E734" i="4"/>
  <c r="G734" i="4"/>
  <c r="E735" i="4"/>
  <c r="G735" i="4"/>
  <c r="E736" i="4"/>
  <c r="G736" i="4"/>
  <c r="E737" i="4"/>
  <c r="G737" i="4"/>
  <c r="E738" i="4"/>
  <c r="G738" i="4"/>
  <c r="E739" i="4"/>
  <c r="G739" i="4"/>
  <c r="E740" i="4"/>
  <c r="G740" i="4"/>
  <c r="E741" i="4"/>
  <c r="G741" i="4"/>
  <c r="E742" i="4"/>
  <c r="G742" i="4"/>
  <c r="E743" i="4"/>
  <c r="G743" i="4"/>
  <c r="E744" i="4"/>
  <c r="G744" i="4"/>
  <c r="E745" i="4"/>
  <c r="G745" i="4"/>
  <c r="E746" i="4"/>
  <c r="G746" i="4"/>
  <c r="E747" i="4"/>
  <c r="G747" i="4"/>
  <c r="E748" i="4"/>
  <c r="G748" i="4"/>
  <c r="E749" i="4"/>
  <c r="G749" i="4"/>
  <c r="E750" i="4"/>
  <c r="G750" i="4"/>
  <c r="E751" i="4"/>
  <c r="G751" i="4"/>
  <c r="E752" i="4"/>
  <c r="G752" i="4"/>
  <c r="E753" i="4"/>
  <c r="G753" i="4"/>
  <c r="E754" i="4"/>
  <c r="G754" i="4"/>
  <c r="E755" i="4"/>
  <c r="G755" i="4"/>
  <c r="E756" i="4"/>
  <c r="G756" i="4"/>
  <c r="E757" i="4"/>
  <c r="G757" i="4"/>
  <c r="E758" i="4"/>
  <c r="G758" i="4"/>
  <c r="E759" i="4"/>
  <c r="G759" i="4"/>
  <c r="E760" i="4"/>
  <c r="G760" i="4"/>
  <c r="E761" i="4"/>
  <c r="G761" i="4"/>
  <c r="E762" i="4"/>
  <c r="G762" i="4"/>
  <c r="E763" i="4"/>
  <c r="G763" i="4"/>
  <c r="E764" i="4"/>
  <c r="G764" i="4"/>
  <c r="E765" i="4"/>
  <c r="G765" i="4"/>
  <c r="E766" i="4"/>
  <c r="G766" i="4"/>
  <c r="E767" i="4"/>
  <c r="G767" i="4"/>
  <c r="E768" i="4"/>
  <c r="G768" i="4"/>
  <c r="E769" i="4"/>
  <c r="G769" i="4"/>
  <c r="E770" i="4"/>
  <c r="G770" i="4"/>
  <c r="E771" i="4"/>
  <c r="G771" i="4"/>
  <c r="E772" i="4"/>
  <c r="G772" i="4"/>
  <c r="E773" i="4"/>
  <c r="G773" i="4"/>
  <c r="E774" i="4"/>
  <c r="G774" i="4"/>
  <c r="E775" i="4"/>
  <c r="G775" i="4"/>
  <c r="E776" i="4"/>
  <c r="G776" i="4"/>
  <c r="E777" i="4"/>
  <c r="G777" i="4"/>
  <c r="E778" i="4"/>
  <c r="G778" i="4"/>
  <c r="E779" i="4"/>
  <c r="G779" i="4"/>
  <c r="E780" i="4"/>
  <c r="G780" i="4"/>
  <c r="E781" i="4"/>
  <c r="G781" i="4"/>
  <c r="E782" i="4"/>
  <c r="G782" i="4"/>
  <c r="E783" i="4"/>
  <c r="G783" i="4"/>
  <c r="E784" i="4"/>
  <c r="G784" i="4"/>
  <c r="E785" i="4"/>
  <c r="G785" i="4"/>
  <c r="E786" i="4"/>
  <c r="G786" i="4"/>
  <c r="E787" i="4"/>
  <c r="G787" i="4"/>
  <c r="E788" i="4"/>
  <c r="G788" i="4"/>
  <c r="E789" i="4"/>
  <c r="G789" i="4"/>
  <c r="E790" i="4"/>
  <c r="G790" i="4"/>
  <c r="E791" i="4"/>
  <c r="G791" i="4"/>
  <c r="E792" i="4"/>
  <c r="G792" i="4"/>
  <c r="E793" i="4"/>
  <c r="G793" i="4"/>
  <c r="E794" i="4"/>
  <c r="G794" i="4"/>
  <c r="E795" i="4"/>
  <c r="G795" i="4"/>
  <c r="E796" i="4"/>
  <c r="G796" i="4"/>
  <c r="E797" i="4"/>
  <c r="G797" i="4"/>
  <c r="E798" i="4"/>
  <c r="G798" i="4"/>
  <c r="E799" i="4"/>
  <c r="G799" i="4"/>
  <c r="E800" i="4"/>
  <c r="G800" i="4"/>
  <c r="E801" i="4"/>
  <c r="G801" i="4"/>
  <c r="E802" i="4"/>
  <c r="G802" i="4"/>
  <c r="E803" i="4"/>
  <c r="G803" i="4"/>
  <c r="E804" i="4"/>
  <c r="G804" i="4"/>
  <c r="E805" i="4"/>
  <c r="G805" i="4"/>
  <c r="E806" i="4"/>
  <c r="G806" i="4"/>
  <c r="E807" i="4"/>
  <c r="G807" i="4"/>
  <c r="E808" i="4"/>
  <c r="G808" i="4"/>
  <c r="E809" i="4"/>
  <c r="G809" i="4"/>
  <c r="E810" i="4"/>
  <c r="G810" i="4"/>
  <c r="E811" i="4"/>
  <c r="G811" i="4"/>
  <c r="E812" i="4"/>
  <c r="G812" i="4"/>
  <c r="E813" i="4"/>
  <c r="G813" i="4"/>
  <c r="E814" i="4"/>
  <c r="G814" i="4"/>
  <c r="E815" i="4"/>
  <c r="G815" i="4"/>
  <c r="E816" i="4"/>
  <c r="G816" i="4"/>
  <c r="E817" i="4"/>
  <c r="G817" i="4"/>
  <c r="E818" i="4"/>
  <c r="G818" i="4"/>
  <c r="E819" i="4"/>
  <c r="G819" i="4"/>
  <c r="E820" i="4"/>
  <c r="G820" i="4"/>
  <c r="E821" i="4"/>
  <c r="G821" i="4"/>
  <c r="E822" i="4"/>
  <c r="G822" i="4"/>
  <c r="E823" i="4"/>
  <c r="G823" i="4"/>
  <c r="E824" i="4"/>
  <c r="G824" i="4"/>
  <c r="E825" i="4"/>
  <c r="G825" i="4"/>
  <c r="E826" i="4"/>
  <c r="G826" i="4"/>
  <c r="E827" i="4"/>
  <c r="G827" i="4"/>
  <c r="E828" i="4"/>
  <c r="G828" i="4"/>
  <c r="E829" i="4"/>
  <c r="G829" i="4"/>
  <c r="E830" i="4"/>
  <c r="G830" i="4"/>
  <c r="E831" i="4"/>
  <c r="G831" i="4"/>
  <c r="E832" i="4"/>
  <c r="G832" i="4"/>
  <c r="E833" i="4"/>
  <c r="G833" i="4"/>
  <c r="E834" i="4"/>
  <c r="G834" i="4"/>
  <c r="E835" i="4"/>
  <c r="G835" i="4"/>
  <c r="E836" i="4"/>
  <c r="G836" i="4"/>
  <c r="E837" i="4"/>
  <c r="G837" i="4"/>
  <c r="E838" i="4"/>
  <c r="G838" i="4"/>
  <c r="E839" i="4"/>
  <c r="G839" i="4"/>
  <c r="E840" i="4"/>
  <c r="G840" i="4"/>
  <c r="E841" i="4"/>
  <c r="G841" i="4"/>
  <c r="E842" i="4"/>
  <c r="G842" i="4"/>
  <c r="E843" i="4"/>
  <c r="G843" i="4"/>
  <c r="E844" i="4"/>
  <c r="G844" i="4"/>
  <c r="E845" i="4"/>
  <c r="G845" i="4"/>
  <c r="E846" i="4"/>
  <c r="G846" i="4"/>
  <c r="E847" i="4"/>
  <c r="G847" i="4"/>
  <c r="E848" i="4"/>
  <c r="G848" i="4"/>
  <c r="E849" i="4"/>
  <c r="G849" i="4"/>
  <c r="E850" i="4"/>
  <c r="G850" i="4"/>
  <c r="E851" i="4"/>
  <c r="G851" i="4"/>
  <c r="E852" i="4"/>
  <c r="G852" i="4"/>
  <c r="E853" i="4"/>
  <c r="G853" i="4"/>
  <c r="E854" i="4"/>
  <c r="G854" i="4"/>
  <c r="E855" i="4"/>
  <c r="G855" i="4"/>
  <c r="E856" i="4"/>
  <c r="G856" i="4"/>
  <c r="E857" i="4"/>
  <c r="G857" i="4"/>
  <c r="E858" i="4"/>
  <c r="G858" i="4"/>
  <c r="E859" i="4"/>
  <c r="G859" i="4"/>
  <c r="E860" i="4"/>
  <c r="G860" i="4"/>
  <c r="E861" i="4"/>
  <c r="G861" i="4"/>
  <c r="E862" i="4"/>
  <c r="G862" i="4"/>
  <c r="E863" i="4"/>
  <c r="G863" i="4"/>
  <c r="E864" i="4"/>
  <c r="G864" i="4"/>
  <c r="E865" i="4"/>
  <c r="G865" i="4"/>
  <c r="E866" i="4"/>
  <c r="G866" i="4"/>
  <c r="E867" i="4"/>
  <c r="G867" i="4"/>
  <c r="E868" i="4"/>
  <c r="G868" i="4"/>
  <c r="E869" i="4"/>
  <c r="G869" i="4"/>
  <c r="E870" i="4"/>
  <c r="G870" i="4"/>
  <c r="E871" i="4"/>
  <c r="G871" i="4"/>
  <c r="E872" i="4"/>
  <c r="G872" i="4"/>
  <c r="E873" i="4"/>
  <c r="G873" i="4"/>
  <c r="E874" i="4"/>
  <c r="G874" i="4"/>
  <c r="E875" i="4"/>
  <c r="G875" i="4"/>
  <c r="E876" i="4"/>
  <c r="G876" i="4"/>
  <c r="E877" i="4"/>
  <c r="G877" i="4"/>
  <c r="E878" i="4"/>
  <c r="G878" i="4"/>
  <c r="E879" i="4"/>
  <c r="G879" i="4"/>
  <c r="E880" i="4"/>
  <c r="G880" i="4"/>
  <c r="E881" i="4"/>
  <c r="G881" i="4"/>
  <c r="E882" i="4"/>
  <c r="G882" i="4"/>
  <c r="E883" i="4"/>
  <c r="G883" i="4"/>
  <c r="E884" i="4"/>
  <c r="G884" i="4"/>
  <c r="E885" i="4"/>
  <c r="G885" i="4"/>
  <c r="E886" i="4"/>
  <c r="G886" i="4"/>
  <c r="E887" i="4"/>
  <c r="G887" i="4"/>
  <c r="E888" i="4"/>
  <c r="G888" i="4"/>
  <c r="E889" i="4"/>
  <c r="G889" i="4"/>
  <c r="E890" i="4"/>
  <c r="G890" i="4"/>
  <c r="E891" i="4"/>
  <c r="G891" i="4"/>
  <c r="E892" i="4"/>
  <c r="G892" i="4"/>
  <c r="E893" i="4"/>
  <c r="G893" i="4"/>
  <c r="E894" i="4"/>
  <c r="G894" i="4"/>
  <c r="E895" i="4"/>
  <c r="G895" i="4"/>
  <c r="E896" i="4"/>
  <c r="G896" i="4"/>
  <c r="E897" i="4"/>
  <c r="G897" i="4"/>
  <c r="E898" i="4"/>
  <c r="G898" i="4"/>
  <c r="E899" i="4"/>
  <c r="G899" i="4"/>
  <c r="E900" i="4"/>
  <c r="G900" i="4"/>
  <c r="E901" i="4"/>
  <c r="G901" i="4"/>
  <c r="E902" i="4"/>
  <c r="G902" i="4"/>
  <c r="E903" i="4"/>
  <c r="G903" i="4"/>
  <c r="E904" i="4"/>
  <c r="G904" i="4"/>
  <c r="E905" i="4"/>
  <c r="G905" i="4"/>
  <c r="E906" i="4"/>
  <c r="G906" i="4"/>
  <c r="E907" i="4"/>
  <c r="G907" i="4"/>
  <c r="E908" i="4"/>
  <c r="G908" i="4"/>
  <c r="E909" i="4"/>
  <c r="G909" i="4"/>
  <c r="E910" i="4"/>
  <c r="G910" i="4"/>
  <c r="E911" i="4"/>
  <c r="G911" i="4"/>
  <c r="E912" i="4"/>
  <c r="G912" i="4"/>
  <c r="E913" i="4"/>
  <c r="G913" i="4"/>
  <c r="E914" i="4"/>
  <c r="G914" i="4"/>
  <c r="E915" i="4"/>
  <c r="G915" i="4"/>
  <c r="E916" i="4"/>
  <c r="G916" i="4"/>
  <c r="E917" i="4"/>
  <c r="G917" i="4"/>
  <c r="E918" i="4"/>
  <c r="G918" i="4"/>
  <c r="E919" i="4"/>
  <c r="G919" i="4"/>
  <c r="E920" i="4"/>
  <c r="G920" i="4"/>
  <c r="E921" i="4"/>
  <c r="G921" i="4"/>
  <c r="E922" i="4"/>
  <c r="G922" i="4"/>
  <c r="E923" i="4"/>
  <c r="G923" i="4"/>
  <c r="E924" i="4"/>
  <c r="G924" i="4"/>
  <c r="E925" i="4"/>
  <c r="G925" i="4"/>
  <c r="E926" i="4"/>
  <c r="G926" i="4"/>
  <c r="E927" i="4"/>
  <c r="G927" i="4"/>
  <c r="E928" i="4"/>
  <c r="G928" i="4"/>
  <c r="E929" i="4"/>
  <c r="G929" i="4"/>
  <c r="E930" i="4"/>
  <c r="G930" i="4"/>
  <c r="E931" i="4"/>
  <c r="G931" i="4"/>
  <c r="E932" i="4"/>
  <c r="G932" i="4"/>
  <c r="E933" i="4"/>
  <c r="G933" i="4"/>
  <c r="E934" i="4"/>
  <c r="G934" i="4"/>
  <c r="E935" i="4"/>
  <c r="G935" i="4"/>
  <c r="E936" i="4"/>
  <c r="G936" i="4"/>
  <c r="E937" i="4"/>
  <c r="G937" i="4"/>
  <c r="E938" i="4"/>
  <c r="G938" i="4"/>
  <c r="E939" i="4"/>
  <c r="G939" i="4"/>
  <c r="E940" i="4"/>
  <c r="G940" i="4"/>
  <c r="E941" i="4"/>
  <c r="G941" i="4"/>
  <c r="E942" i="4"/>
  <c r="G942" i="4"/>
  <c r="E943" i="4"/>
  <c r="G943" i="4"/>
  <c r="E944" i="4"/>
  <c r="G944" i="4"/>
  <c r="E945" i="4"/>
  <c r="G945" i="4"/>
  <c r="E946" i="4"/>
  <c r="G946" i="4"/>
  <c r="E947" i="4"/>
  <c r="G947" i="4"/>
  <c r="E948" i="4"/>
  <c r="G948" i="4"/>
  <c r="E949" i="4"/>
  <c r="G949" i="4"/>
  <c r="E950" i="4"/>
  <c r="G950" i="4"/>
  <c r="E951" i="4"/>
  <c r="G951" i="4"/>
  <c r="E952" i="4"/>
  <c r="G952" i="4"/>
  <c r="E953" i="4"/>
  <c r="G953" i="4"/>
  <c r="E954" i="4"/>
  <c r="G954" i="4"/>
  <c r="E955" i="4"/>
  <c r="G955" i="4"/>
  <c r="E956" i="4"/>
  <c r="G956" i="4"/>
  <c r="E957" i="4"/>
  <c r="G957" i="4"/>
  <c r="E958" i="4"/>
  <c r="G958" i="4"/>
  <c r="E959" i="4"/>
  <c r="G959" i="4"/>
  <c r="E960" i="4"/>
  <c r="G960" i="4"/>
  <c r="E961" i="4"/>
  <c r="G961" i="4"/>
  <c r="E962" i="4"/>
  <c r="G962" i="4"/>
  <c r="E963" i="4"/>
  <c r="G963" i="4"/>
  <c r="E964" i="4"/>
  <c r="G964" i="4"/>
  <c r="E965" i="4"/>
  <c r="G965" i="4"/>
  <c r="E966" i="4"/>
  <c r="G966" i="4"/>
  <c r="E967" i="4"/>
  <c r="G967" i="4"/>
  <c r="E968" i="4"/>
  <c r="G968" i="4"/>
  <c r="E969" i="4"/>
  <c r="G969" i="4"/>
  <c r="E970" i="4"/>
  <c r="G970" i="4"/>
  <c r="E971" i="4"/>
  <c r="G971" i="4"/>
  <c r="E972" i="4"/>
  <c r="G972" i="4"/>
  <c r="E973" i="4"/>
  <c r="G973" i="4"/>
  <c r="E974" i="4"/>
  <c r="G974" i="4"/>
  <c r="E975" i="4"/>
  <c r="G975" i="4"/>
  <c r="E976" i="4"/>
  <c r="G976" i="4"/>
  <c r="E977" i="4"/>
  <c r="G977" i="4"/>
  <c r="E978" i="4"/>
  <c r="G978" i="4"/>
  <c r="E979" i="4"/>
  <c r="G979" i="4"/>
  <c r="E980" i="4"/>
  <c r="G980" i="4"/>
  <c r="E981" i="4"/>
  <c r="G981" i="4"/>
  <c r="E982" i="4"/>
  <c r="G982" i="4"/>
  <c r="E983" i="4"/>
  <c r="G983" i="4"/>
  <c r="E984" i="4"/>
  <c r="G984" i="4"/>
  <c r="E985" i="4"/>
  <c r="G985" i="4"/>
  <c r="E986" i="4"/>
  <c r="G986" i="4"/>
  <c r="E987" i="4"/>
  <c r="G987" i="4"/>
  <c r="E988" i="4"/>
  <c r="G988" i="4"/>
  <c r="E989" i="4"/>
  <c r="G989" i="4"/>
  <c r="E990" i="4"/>
  <c r="G990" i="4"/>
  <c r="E991" i="4"/>
  <c r="G991" i="4"/>
  <c r="E992" i="4"/>
  <c r="G992" i="4"/>
  <c r="E993" i="4"/>
  <c r="G993" i="4"/>
  <c r="E994" i="4"/>
  <c r="G994" i="4"/>
  <c r="E995" i="4"/>
  <c r="G995" i="4"/>
  <c r="E996" i="4"/>
  <c r="G996" i="4"/>
  <c r="E997" i="4"/>
  <c r="G997" i="4"/>
  <c r="E998" i="4"/>
  <c r="G998" i="4"/>
  <c r="E999" i="4"/>
  <c r="G999" i="4"/>
  <c r="E1000" i="4"/>
  <c r="G1000" i="4"/>
  <c r="E1001" i="4"/>
  <c r="G1001" i="4"/>
  <c r="E1002" i="4"/>
  <c r="G1002" i="4"/>
  <c r="E1003" i="4"/>
  <c r="G1003" i="4"/>
  <c r="E1004" i="4"/>
  <c r="G1004" i="4"/>
  <c r="E1005" i="4"/>
  <c r="G1005" i="4"/>
  <c r="E1006" i="4"/>
  <c r="G1006" i="4"/>
  <c r="E1007" i="4"/>
  <c r="G1007" i="4"/>
  <c r="E1008" i="4"/>
  <c r="G1008" i="4"/>
  <c r="E1009" i="4"/>
  <c r="G1009" i="4"/>
  <c r="E1010" i="4"/>
  <c r="G1010" i="4"/>
  <c r="E1011" i="4"/>
  <c r="G1011" i="4"/>
  <c r="E1012" i="4"/>
  <c r="G1012" i="4"/>
  <c r="E1013" i="4"/>
  <c r="G1013" i="4"/>
  <c r="E1014" i="4"/>
  <c r="G1014" i="4"/>
  <c r="E1015" i="4"/>
  <c r="G1015" i="4"/>
  <c r="E1016" i="4"/>
  <c r="G1016" i="4"/>
  <c r="E1017" i="4"/>
  <c r="G1017" i="4"/>
  <c r="E1018" i="4"/>
  <c r="G1018" i="4"/>
  <c r="E1019" i="4"/>
  <c r="G1019" i="4"/>
  <c r="E1020" i="4"/>
  <c r="G1020" i="4"/>
  <c r="E1021" i="4"/>
  <c r="G1021" i="4"/>
  <c r="E1022" i="4"/>
  <c r="G1022" i="4"/>
  <c r="E1023" i="4"/>
  <c r="G1023" i="4"/>
  <c r="E1024" i="4"/>
  <c r="G1024" i="4"/>
  <c r="E1025" i="4"/>
  <c r="G1025" i="4"/>
  <c r="E1026" i="4"/>
  <c r="G1026" i="4"/>
  <c r="E1027" i="4"/>
  <c r="G1027" i="4"/>
  <c r="E1028" i="4"/>
  <c r="G1028" i="4"/>
  <c r="E1029" i="4"/>
  <c r="G1029" i="4"/>
  <c r="E1030" i="4"/>
  <c r="G1030" i="4"/>
  <c r="E1031" i="4"/>
  <c r="G1031" i="4"/>
  <c r="E1032" i="4"/>
  <c r="G1032" i="4"/>
  <c r="E1033" i="4"/>
  <c r="G1033" i="4"/>
  <c r="E1034" i="4"/>
  <c r="G1034" i="4"/>
  <c r="E1035" i="4"/>
  <c r="G1035" i="4"/>
  <c r="E1036" i="4"/>
  <c r="G1036" i="4"/>
  <c r="E1037" i="4"/>
  <c r="G1037" i="4"/>
  <c r="E1038" i="4"/>
  <c r="G1038" i="4"/>
  <c r="E1039" i="4"/>
  <c r="G1039" i="4"/>
  <c r="E1040" i="4"/>
  <c r="G1040" i="4"/>
  <c r="E1041" i="4"/>
  <c r="G1041" i="4"/>
  <c r="E1042" i="4"/>
  <c r="G1042" i="4"/>
  <c r="E1043" i="4"/>
  <c r="G1043" i="4"/>
  <c r="E1044" i="4"/>
  <c r="G1044" i="4"/>
  <c r="E1045" i="4"/>
  <c r="G1045" i="4"/>
  <c r="E1046" i="4"/>
  <c r="G1046" i="4"/>
  <c r="E1047" i="4"/>
  <c r="G1047" i="4"/>
  <c r="E1048" i="4"/>
  <c r="G1048" i="4"/>
  <c r="E1049" i="4"/>
  <c r="G1049" i="4"/>
  <c r="E1050" i="4"/>
  <c r="G1050" i="4"/>
  <c r="E1051" i="4"/>
  <c r="G1051" i="4"/>
  <c r="E1052" i="4"/>
  <c r="G1052" i="4"/>
  <c r="E1053" i="4"/>
  <c r="G1053" i="4"/>
  <c r="E1054" i="4"/>
  <c r="G1054" i="4"/>
  <c r="E1055" i="4"/>
  <c r="G1055" i="4"/>
  <c r="E1056" i="4"/>
  <c r="G1056" i="4"/>
  <c r="E1057" i="4"/>
  <c r="G1057" i="4"/>
  <c r="E1058" i="4"/>
  <c r="G1058" i="4"/>
  <c r="E1059" i="4"/>
  <c r="G1059" i="4"/>
  <c r="E1060" i="4"/>
  <c r="G1060" i="4"/>
  <c r="E1061" i="4"/>
  <c r="G1061" i="4"/>
  <c r="E1062" i="4"/>
  <c r="G1062" i="4"/>
  <c r="E1063" i="4"/>
  <c r="G1063" i="4"/>
  <c r="E1064" i="4"/>
  <c r="G1064" i="4"/>
  <c r="E1065" i="4"/>
  <c r="G1065" i="4"/>
  <c r="E1066" i="4"/>
  <c r="G1066" i="4"/>
  <c r="E1067" i="4"/>
  <c r="G1067" i="4"/>
  <c r="E1068" i="4"/>
  <c r="G1068" i="4"/>
  <c r="E1069" i="4"/>
  <c r="G1069" i="4"/>
  <c r="E1070" i="4"/>
  <c r="G1070" i="4"/>
  <c r="E1071" i="4"/>
  <c r="G1071" i="4"/>
  <c r="E1072" i="4"/>
  <c r="G1072" i="4"/>
  <c r="E1073" i="4"/>
  <c r="G1073" i="4"/>
  <c r="E1074" i="4"/>
  <c r="G1074" i="4"/>
  <c r="E1075" i="4"/>
  <c r="G1075" i="4"/>
  <c r="E1076" i="4"/>
  <c r="G1076" i="4"/>
  <c r="E1077" i="4"/>
  <c r="G1077" i="4"/>
  <c r="E1078" i="4"/>
  <c r="G1078" i="4"/>
  <c r="E1079" i="4"/>
  <c r="G1079" i="4"/>
  <c r="E1080" i="4"/>
  <c r="G1080" i="4"/>
  <c r="E1081" i="4"/>
  <c r="G1081" i="4"/>
  <c r="E1082" i="4"/>
  <c r="G1082" i="4"/>
  <c r="E1083" i="4"/>
  <c r="G1083" i="4"/>
  <c r="E1084" i="4"/>
  <c r="G1084" i="4"/>
  <c r="E1085" i="4"/>
  <c r="G1085" i="4"/>
  <c r="E1086" i="4"/>
  <c r="G1086" i="4"/>
  <c r="E1087" i="4"/>
  <c r="G1087" i="4"/>
  <c r="E1088" i="4"/>
  <c r="G1088" i="4"/>
  <c r="E1089" i="4"/>
  <c r="G1089" i="4"/>
  <c r="E1090" i="4"/>
  <c r="G1090" i="4"/>
  <c r="E1091" i="4"/>
  <c r="G1091" i="4"/>
  <c r="E1092" i="4"/>
  <c r="G1092" i="4"/>
  <c r="E1093" i="4"/>
  <c r="G1093" i="4"/>
  <c r="E1094" i="4"/>
  <c r="G1094" i="4"/>
  <c r="E1095" i="4"/>
  <c r="G1095" i="4"/>
  <c r="E1096" i="4"/>
  <c r="G1096" i="4"/>
  <c r="E1097" i="4"/>
  <c r="G1097" i="4"/>
  <c r="E1098" i="4"/>
  <c r="G1098" i="4"/>
  <c r="E1099" i="4"/>
  <c r="G1099" i="4"/>
  <c r="E1100" i="4"/>
  <c r="G1100" i="4"/>
  <c r="E1101" i="4"/>
  <c r="G1101" i="4"/>
  <c r="E1102" i="4"/>
  <c r="G1102" i="4"/>
  <c r="E1103" i="4"/>
  <c r="G1103" i="4"/>
  <c r="E1104" i="4"/>
  <c r="G1104" i="4"/>
  <c r="E1105" i="4"/>
  <c r="G1105" i="4"/>
  <c r="E1106" i="4"/>
  <c r="G1106" i="4"/>
  <c r="E1107" i="4"/>
  <c r="G1107" i="4"/>
  <c r="E1108" i="4"/>
  <c r="G1108" i="4"/>
  <c r="E1109" i="4"/>
  <c r="G1109" i="4"/>
  <c r="E1110" i="4"/>
  <c r="G1110" i="4"/>
  <c r="E1111" i="4"/>
  <c r="G1111" i="4"/>
  <c r="E1112" i="4"/>
  <c r="G1112" i="4"/>
  <c r="E1113" i="4"/>
  <c r="G1113" i="4"/>
  <c r="E1114" i="4"/>
  <c r="G1114" i="4"/>
  <c r="E1115" i="4"/>
  <c r="G1115" i="4"/>
  <c r="E1116" i="4"/>
  <c r="G1116" i="4"/>
  <c r="E1117" i="4"/>
  <c r="G1117" i="4"/>
  <c r="E1118" i="4"/>
  <c r="G1118" i="4"/>
  <c r="E1119" i="4"/>
  <c r="G1119" i="4"/>
  <c r="E1120" i="4"/>
  <c r="G1120" i="4"/>
  <c r="E1121" i="4"/>
  <c r="G1121" i="4"/>
  <c r="E1122" i="4"/>
  <c r="G1122" i="4"/>
  <c r="E1123" i="4"/>
  <c r="G1123" i="4"/>
  <c r="E1124" i="4"/>
  <c r="G1124" i="4"/>
  <c r="E1125" i="4"/>
  <c r="G1125" i="4"/>
  <c r="E1126" i="4"/>
  <c r="G1126" i="4"/>
  <c r="E1127" i="4"/>
  <c r="G1127" i="4"/>
  <c r="E1128" i="4"/>
  <c r="G1128" i="4"/>
  <c r="E1129" i="4"/>
  <c r="G1129" i="4"/>
  <c r="E1130" i="4"/>
  <c r="G1130" i="4"/>
  <c r="E1131" i="4"/>
  <c r="G1131" i="4"/>
  <c r="E1132" i="4"/>
  <c r="G1132" i="4"/>
  <c r="E1133" i="4"/>
  <c r="G1133" i="4"/>
  <c r="E1134" i="4"/>
  <c r="G1134" i="4"/>
  <c r="E1135" i="4"/>
  <c r="G1135" i="4"/>
  <c r="E1136" i="4"/>
  <c r="G1136" i="4"/>
  <c r="E1137" i="4"/>
  <c r="G1137" i="4"/>
  <c r="E1138" i="4"/>
  <c r="G1138" i="4"/>
  <c r="E1139" i="4"/>
  <c r="G1139" i="4"/>
  <c r="E1140" i="4"/>
  <c r="G1140" i="4"/>
  <c r="E1141" i="4"/>
  <c r="G1141" i="4"/>
  <c r="E1142" i="4"/>
  <c r="G1142" i="4"/>
  <c r="E1143" i="4"/>
  <c r="G1143" i="4"/>
  <c r="E1144" i="4"/>
  <c r="G1144" i="4"/>
  <c r="E1145" i="4"/>
  <c r="G1145" i="4"/>
  <c r="E1146" i="4"/>
  <c r="G1146" i="4"/>
  <c r="E1147" i="4"/>
  <c r="G1147" i="4"/>
  <c r="E1148" i="4"/>
  <c r="G1148" i="4"/>
  <c r="E1149" i="4"/>
  <c r="G1149" i="4"/>
  <c r="E1150" i="4"/>
  <c r="G1150" i="4"/>
  <c r="E1151" i="4"/>
  <c r="G1151" i="4"/>
  <c r="E1152" i="4"/>
  <c r="G1152" i="4"/>
  <c r="E1153" i="4"/>
  <c r="G1153" i="4"/>
  <c r="E1154" i="4"/>
  <c r="G1154" i="4"/>
  <c r="E1155" i="4"/>
  <c r="G1155" i="4"/>
  <c r="E1156" i="4"/>
  <c r="G1156" i="4"/>
  <c r="E1157" i="4"/>
  <c r="G1157" i="4"/>
  <c r="E1158" i="4"/>
  <c r="G1158" i="4"/>
  <c r="E1159" i="4"/>
  <c r="G1159" i="4"/>
  <c r="E1160" i="4"/>
  <c r="G1160" i="4"/>
  <c r="E1161" i="4"/>
  <c r="G1161" i="4"/>
  <c r="E1162" i="4"/>
  <c r="G1162" i="4"/>
  <c r="E1163" i="4"/>
  <c r="G1163" i="4"/>
  <c r="E1164" i="4"/>
  <c r="G1164" i="4"/>
  <c r="E1165" i="4"/>
  <c r="G1165" i="4"/>
  <c r="E1166" i="4"/>
  <c r="G1166" i="4"/>
  <c r="E1167" i="4"/>
  <c r="G1167" i="4"/>
  <c r="E1168" i="4"/>
  <c r="G1168" i="4"/>
  <c r="E1169" i="4"/>
  <c r="G1169" i="4"/>
  <c r="E1170" i="4"/>
  <c r="G1170" i="4"/>
  <c r="E1171" i="4"/>
  <c r="G1171" i="4"/>
  <c r="E1172" i="4"/>
  <c r="G1172" i="4"/>
  <c r="E1173" i="4"/>
  <c r="G1173" i="4"/>
  <c r="E1174" i="4"/>
  <c r="G1174" i="4"/>
  <c r="E1175" i="4"/>
  <c r="G1175" i="4"/>
  <c r="E1176" i="4"/>
  <c r="G1176" i="4"/>
  <c r="E1177" i="4"/>
  <c r="G1177" i="4"/>
  <c r="E1178" i="4"/>
  <c r="G1178" i="4"/>
  <c r="E1179" i="4"/>
  <c r="G1179" i="4"/>
  <c r="E1180" i="4"/>
  <c r="G1180" i="4"/>
  <c r="E1181" i="4"/>
  <c r="G1181" i="4"/>
  <c r="E1182" i="4"/>
  <c r="G1182" i="4"/>
  <c r="E1183" i="4"/>
  <c r="G1183" i="4"/>
  <c r="E1184" i="4"/>
  <c r="G1184" i="4"/>
  <c r="E1185" i="4"/>
  <c r="G1185" i="4"/>
  <c r="E1186" i="4"/>
  <c r="G1186" i="4"/>
  <c r="E1187" i="4"/>
  <c r="G1187" i="4"/>
  <c r="E1188" i="4"/>
  <c r="G1188" i="4"/>
  <c r="E1189" i="4"/>
  <c r="G1189" i="4"/>
  <c r="E1190" i="4"/>
  <c r="G1190" i="4"/>
  <c r="E1191" i="4"/>
  <c r="G1191" i="4"/>
  <c r="E1192" i="4"/>
  <c r="G1192" i="4"/>
  <c r="E1193" i="4"/>
  <c r="G1193" i="4"/>
  <c r="E1194" i="4"/>
  <c r="G1194" i="4"/>
  <c r="E1195" i="4"/>
  <c r="G1195" i="4"/>
  <c r="E1196" i="4"/>
  <c r="G1196" i="4"/>
  <c r="E1197" i="4"/>
  <c r="G1197" i="4"/>
  <c r="E1198" i="4"/>
  <c r="G1198" i="4"/>
  <c r="E1199" i="4"/>
  <c r="G1199" i="4"/>
  <c r="E1200" i="4"/>
  <c r="G1200" i="4"/>
  <c r="E1201" i="4"/>
  <c r="G1201" i="4"/>
  <c r="E1202" i="4"/>
  <c r="G1202" i="4"/>
  <c r="E1203" i="4"/>
  <c r="G1203" i="4"/>
  <c r="E1204" i="4"/>
  <c r="G1204" i="4"/>
  <c r="E1205" i="4"/>
  <c r="G1205" i="4"/>
  <c r="E1206" i="4"/>
  <c r="G1206" i="4"/>
  <c r="E1207" i="4"/>
  <c r="G1207" i="4"/>
  <c r="E1208" i="4"/>
  <c r="G1208" i="4"/>
  <c r="E1209" i="4"/>
  <c r="G1209" i="4"/>
  <c r="E1210" i="4"/>
  <c r="G1210" i="4"/>
  <c r="E1211" i="4"/>
  <c r="G1211" i="4"/>
  <c r="E1212" i="4"/>
  <c r="G1212" i="4"/>
  <c r="E1213" i="4"/>
  <c r="G1213" i="4"/>
  <c r="E1214" i="4"/>
  <c r="G1214" i="4"/>
  <c r="E1215" i="4"/>
  <c r="G1215" i="4"/>
  <c r="E1216" i="4"/>
  <c r="G1216" i="4"/>
  <c r="E1217" i="4"/>
  <c r="G1217" i="4"/>
  <c r="E1218" i="4"/>
  <c r="G1218" i="4"/>
  <c r="E1219" i="4"/>
  <c r="G1219" i="4"/>
  <c r="E1220" i="4"/>
  <c r="G1220" i="4"/>
  <c r="E1221" i="4"/>
  <c r="G1221" i="4"/>
  <c r="E1222" i="4"/>
  <c r="G1222" i="4"/>
  <c r="E1223" i="4"/>
  <c r="G1223" i="4"/>
  <c r="E1224" i="4"/>
  <c r="G1224" i="4"/>
  <c r="E1225" i="4"/>
  <c r="G1225" i="4"/>
  <c r="E1226" i="4"/>
  <c r="G1226" i="4"/>
  <c r="E1227" i="4"/>
  <c r="G1227" i="4"/>
  <c r="E1228" i="4"/>
  <c r="G1228" i="4"/>
  <c r="E1229" i="4"/>
  <c r="G1229" i="4"/>
  <c r="E1230" i="4"/>
  <c r="G1230" i="4"/>
  <c r="E1231" i="4"/>
  <c r="G1231" i="4"/>
  <c r="E1232" i="4"/>
  <c r="G1232" i="4"/>
  <c r="E1233" i="4"/>
  <c r="G1233" i="4"/>
  <c r="E1234" i="4"/>
  <c r="G1234" i="4"/>
  <c r="E1235" i="4"/>
  <c r="G1235" i="4"/>
  <c r="E1236" i="4"/>
  <c r="G1236" i="4"/>
  <c r="E1237" i="4"/>
  <c r="G1237" i="4"/>
  <c r="E1238" i="4"/>
  <c r="G1238" i="4"/>
  <c r="E1239" i="4"/>
  <c r="G1239" i="4"/>
  <c r="E1240" i="4"/>
  <c r="G1240" i="4"/>
  <c r="E1241" i="4"/>
  <c r="G1241" i="4"/>
  <c r="E1242" i="4"/>
  <c r="G1242" i="4"/>
  <c r="E1243" i="4"/>
  <c r="G1243" i="4"/>
  <c r="E1244" i="4"/>
  <c r="G1244" i="4"/>
  <c r="E1245" i="4"/>
  <c r="G1245" i="4"/>
  <c r="E1246" i="4"/>
  <c r="G1246" i="4"/>
  <c r="E1247" i="4"/>
  <c r="G1247" i="4"/>
  <c r="E1248" i="4"/>
  <c r="G1248" i="4"/>
  <c r="E1249" i="4"/>
  <c r="G1249" i="4"/>
  <c r="E1250" i="4"/>
  <c r="G1250" i="4"/>
  <c r="E1251" i="4"/>
  <c r="G1251" i="4"/>
  <c r="E1252" i="4"/>
  <c r="G1252" i="4"/>
  <c r="E1253" i="4"/>
  <c r="G1253" i="4"/>
  <c r="E1254" i="4"/>
  <c r="G1254" i="4"/>
  <c r="E1255" i="4"/>
  <c r="G1255" i="4"/>
  <c r="E1256" i="4"/>
  <c r="G1256" i="4"/>
  <c r="E1257" i="4"/>
  <c r="G1257" i="4"/>
  <c r="E1258" i="4"/>
  <c r="G1258" i="4"/>
  <c r="E1259" i="4"/>
  <c r="G1259" i="4"/>
  <c r="E1260" i="4"/>
  <c r="G1260" i="4"/>
  <c r="E1261" i="4"/>
  <c r="G1261" i="4"/>
  <c r="E1262" i="4"/>
  <c r="G1262" i="4"/>
  <c r="E1263" i="4"/>
  <c r="G1263" i="4"/>
  <c r="E1264" i="4"/>
  <c r="G1264" i="4"/>
  <c r="E1265" i="4"/>
  <c r="G1265" i="4"/>
  <c r="E1266" i="4"/>
  <c r="G1266" i="4"/>
  <c r="E1267" i="4"/>
  <c r="G1267" i="4"/>
  <c r="E1268" i="4"/>
  <c r="G1268" i="4"/>
  <c r="E1269" i="4"/>
  <c r="G1269" i="4"/>
  <c r="E1270" i="4"/>
  <c r="G1270" i="4"/>
  <c r="E1271" i="4"/>
  <c r="G1271" i="4"/>
  <c r="E1272" i="4"/>
  <c r="G1272" i="4"/>
  <c r="E1273" i="4"/>
  <c r="G1273" i="4"/>
  <c r="E1274" i="4"/>
  <c r="G1274" i="4"/>
  <c r="E1275" i="4"/>
  <c r="G1275" i="4"/>
  <c r="E1276" i="4"/>
  <c r="G1276" i="4"/>
  <c r="E1277" i="4"/>
  <c r="G1277" i="4"/>
  <c r="E1278" i="4"/>
  <c r="G1278" i="4"/>
  <c r="E1279" i="4"/>
  <c r="G1279" i="4"/>
  <c r="E1280" i="4"/>
  <c r="G1280" i="4"/>
  <c r="E1281" i="4"/>
  <c r="G1281" i="4"/>
  <c r="E1282" i="4"/>
  <c r="G1282" i="4"/>
  <c r="E1283" i="4"/>
  <c r="G1283" i="4"/>
  <c r="E1284" i="4"/>
  <c r="G1284" i="4"/>
  <c r="E1285" i="4"/>
  <c r="G1285" i="4"/>
  <c r="E1286" i="4"/>
  <c r="G1286" i="4"/>
  <c r="E1287" i="4"/>
  <c r="G1287" i="4"/>
  <c r="E1288" i="4"/>
  <c r="G1288" i="4"/>
  <c r="E1289" i="4"/>
  <c r="G1289" i="4"/>
  <c r="E1290" i="4"/>
  <c r="G1290" i="4"/>
  <c r="E1291" i="4"/>
  <c r="G1291" i="4"/>
  <c r="E1292" i="4"/>
  <c r="G1292" i="4"/>
  <c r="E1293" i="4"/>
  <c r="G1293" i="4"/>
  <c r="E1294" i="4"/>
  <c r="G1294" i="4"/>
  <c r="E1295" i="4"/>
  <c r="G1295" i="4"/>
  <c r="E1296" i="4"/>
  <c r="G1296" i="4"/>
  <c r="E1297" i="4"/>
  <c r="G1297" i="4"/>
  <c r="E1298" i="4"/>
  <c r="G1298" i="4"/>
  <c r="E1299" i="4"/>
  <c r="G1299" i="4"/>
  <c r="E1300" i="4"/>
  <c r="G1300" i="4"/>
  <c r="E1301" i="4"/>
  <c r="G1301" i="4"/>
  <c r="E1302" i="4"/>
  <c r="G1302" i="4"/>
  <c r="E1303" i="4"/>
  <c r="G1303" i="4"/>
  <c r="E1304" i="4"/>
  <c r="G1304" i="4"/>
  <c r="E1305" i="4"/>
  <c r="G1305" i="4"/>
  <c r="E1306" i="4"/>
  <c r="G1306" i="4"/>
  <c r="E1307" i="4"/>
  <c r="G1307" i="4"/>
  <c r="E1308" i="4"/>
  <c r="G1308" i="4"/>
  <c r="E1309" i="4"/>
  <c r="G1309" i="4"/>
  <c r="E1310" i="4"/>
  <c r="G1310" i="4"/>
  <c r="E1311" i="4"/>
  <c r="G1311" i="4"/>
  <c r="E1312" i="4"/>
  <c r="G1312" i="4"/>
  <c r="E1313" i="4"/>
  <c r="G1313" i="4"/>
  <c r="E1314" i="4"/>
  <c r="G1314" i="4"/>
  <c r="E1315" i="4"/>
  <c r="G1315" i="4"/>
  <c r="E1316" i="4"/>
  <c r="G1316" i="4"/>
  <c r="E1317" i="4"/>
  <c r="G1317" i="4"/>
  <c r="E1318" i="4"/>
  <c r="G1318" i="4"/>
  <c r="E1319" i="4"/>
  <c r="G1319" i="4"/>
  <c r="E1320" i="4"/>
  <c r="G1320" i="4"/>
  <c r="E1321" i="4"/>
  <c r="G1321" i="4"/>
  <c r="E1322" i="4"/>
  <c r="G1322" i="4"/>
  <c r="E1323" i="4"/>
  <c r="G1323" i="4"/>
  <c r="E1324" i="4"/>
  <c r="G1324" i="4"/>
  <c r="E1325" i="4"/>
  <c r="G1325" i="4"/>
  <c r="E1326" i="4"/>
  <c r="G1326" i="4"/>
  <c r="E1327" i="4"/>
  <c r="G1327" i="4"/>
  <c r="E1328" i="4"/>
  <c r="G1328" i="4"/>
  <c r="E1329" i="4"/>
  <c r="G1329" i="4"/>
  <c r="E1330" i="4"/>
  <c r="G1330" i="4"/>
  <c r="E1331" i="4"/>
  <c r="G1331" i="4"/>
  <c r="E1332" i="4"/>
  <c r="G1332" i="4"/>
  <c r="E1333" i="4"/>
  <c r="G1333" i="4"/>
  <c r="E1334" i="4"/>
  <c r="G1334" i="4"/>
  <c r="E1335" i="4"/>
  <c r="G1335" i="4"/>
  <c r="E1336" i="4"/>
  <c r="G1336" i="4"/>
  <c r="E1337" i="4"/>
  <c r="G1337" i="4"/>
  <c r="E1338" i="4"/>
  <c r="G1338" i="4"/>
  <c r="E1339" i="4"/>
  <c r="G1339" i="4"/>
  <c r="E1340" i="4"/>
  <c r="G1340" i="4"/>
  <c r="E1341" i="4"/>
  <c r="G1341" i="4"/>
  <c r="E1342" i="4"/>
  <c r="G1342" i="4"/>
  <c r="E1343" i="4"/>
  <c r="G1343" i="4"/>
  <c r="E1344" i="4"/>
  <c r="G1344" i="4"/>
  <c r="E1345" i="4"/>
  <c r="G1345" i="4"/>
  <c r="E1346" i="4"/>
  <c r="G1346" i="4"/>
  <c r="E1347" i="4"/>
  <c r="G1347" i="4"/>
  <c r="E1348" i="4"/>
  <c r="G1348" i="4"/>
  <c r="E1349" i="4"/>
  <c r="G1349" i="4"/>
  <c r="E1350" i="4"/>
  <c r="G1350" i="4"/>
  <c r="E1351" i="4"/>
  <c r="G1351" i="4"/>
  <c r="E1352" i="4"/>
  <c r="G1352" i="4"/>
  <c r="E1353" i="4"/>
  <c r="G1353" i="4"/>
  <c r="E1354" i="4"/>
  <c r="G1354" i="4"/>
  <c r="E1355" i="4"/>
  <c r="G1355" i="4"/>
  <c r="E1356" i="4"/>
  <c r="G1356" i="4"/>
  <c r="E1357" i="4"/>
  <c r="G1357" i="4"/>
  <c r="E1358" i="4"/>
  <c r="G1358" i="4"/>
  <c r="E1359" i="4"/>
  <c r="G1359" i="4"/>
  <c r="E1360" i="4"/>
  <c r="G1360" i="4"/>
  <c r="E1361" i="4"/>
  <c r="G1361" i="4"/>
  <c r="E1362" i="4"/>
  <c r="G1362" i="4"/>
  <c r="E1363" i="4"/>
  <c r="G1363" i="4"/>
  <c r="E1364" i="4"/>
  <c r="G1364" i="4"/>
  <c r="E1365" i="4"/>
  <c r="G1365" i="4"/>
  <c r="E1366" i="4"/>
  <c r="G1366" i="4"/>
  <c r="E1367" i="4"/>
  <c r="G1367" i="4"/>
  <c r="E1368" i="4"/>
  <c r="G1368" i="4"/>
  <c r="E1369" i="4"/>
  <c r="G1369" i="4"/>
  <c r="E1370" i="4"/>
  <c r="G1370" i="4"/>
  <c r="E1371" i="4"/>
  <c r="G1371" i="4"/>
  <c r="E1372" i="4"/>
  <c r="G1372" i="4"/>
  <c r="E1373" i="4"/>
  <c r="G1373" i="4"/>
  <c r="E1374" i="4"/>
  <c r="G1374" i="4"/>
  <c r="E1375" i="4"/>
  <c r="G1375" i="4"/>
  <c r="E1376" i="4"/>
  <c r="G1376" i="4"/>
  <c r="E1377" i="4"/>
  <c r="G1377" i="4"/>
  <c r="E1378" i="4"/>
  <c r="G1378" i="4"/>
  <c r="E1379" i="4"/>
  <c r="G1379" i="4"/>
  <c r="E1380" i="4"/>
  <c r="G1380" i="4"/>
  <c r="E1381" i="4"/>
  <c r="G1381" i="4"/>
  <c r="E1382" i="4"/>
  <c r="G1382" i="4"/>
  <c r="E1383" i="4"/>
  <c r="G1383" i="4"/>
  <c r="E1384" i="4"/>
  <c r="G1384" i="4"/>
  <c r="E1385" i="4"/>
  <c r="G1385" i="4"/>
  <c r="E1386" i="4"/>
  <c r="G1386" i="4"/>
  <c r="E1387" i="4"/>
  <c r="G1387" i="4"/>
  <c r="E1388" i="4"/>
  <c r="G1388" i="4"/>
  <c r="E1389" i="4"/>
  <c r="G1389" i="4"/>
  <c r="E1390" i="4"/>
  <c r="G1390" i="4"/>
  <c r="E1391" i="4"/>
  <c r="G1391" i="4"/>
  <c r="E1392" i="4"/>
  <c r="G1392" i="4"/>
  <c r="E1393" i="4"/>
  <c r="G1393" i="4"/>
  <c r="E1394" i="4"/>
  <c r="G1394" i="4"/>
  <c r="E1395" i="4"/>
  <c r="G1395" i="4"/>
  <c r="E1396" i="4"/>
  <c r="G1396" i="4"/>
  <c r="E1397" i="4"/>
  <c r="G1397" i="4"/>
  <c r="E1398" i="4"/>
  <c r="G1398" i="4"/>
  <c r="E1399" i="4"/>
  <c r="G1399" i="4"/>
  <c r="E1400" i="4"/>
  <c r="G1400" i="4"/>
  <c r="E1401" i="4"/>
  <c r="G1401" i="4"/>
  <c r="E1402" i="4"/>
  <c r="G1402" i="4"/>
  <c r="E1403" i="4"/>
  <c r="G1403" i="4"/>
  <c r="E1404" i="4"/>
  <c r="G1404" i="4"/>
  <c r="E1405" i="4"/>
  <c r="G1405" i="4"/>
  <c r="E1406" i="4"/>
  <c r="G1406" i="4"/>
  <c r="E1407" i="4"/>
  <c r="G1407" i="4"/>
  <c r="E1408" i="4"/>
  <c r="G1408" i="4"/>
  <c r="E1409" i="4"/>
  <c r="G1409" i="4"/>
  <c r="E1410" i="4"/>
  <c r="G1410" i="4"/>
  <c r="E1411" i="4"/>
  <c r="G1411" i="4"/>
  <c r="E1412" i="4"/>
  <c r="G1412" i="4"/>
  <c r="E1413" i="4"/>
  <c r="G1413" i="4"/>
  <c r="E1414" i="4"/>
  <c r="G1414" i="4"/>
  <c r="E1415" i="4"/>
  <c r="G1415" i="4"/>
  <c r="E1416" i="4"/>
  <c r="G1416" i="4"/>
  <c r="E1417" i="4"/>
  <c r="G1417" i="4"/>
  <c r="E1418" i="4"/>
  <c r="G1418" i="4"/>
  <c r="E1419" i="4"/>
  <c r="G1419" i="4"/>
  <c r="E1420" i="4"/>
  <c r="G1420" i="4"/>
  <c r="E1421" i="4"/>
  <c r="G1421" i="4"/>
  <c r="E1422" i="4"/>
  <c r="G1422" i="4"/>
  <c r="E1423" i="4"/>
  <c r="G1423" i="4"/>
  <c r="E1424" i="4"/>
  <c r="G1424" i="4"/>
  <c r="E1425" i="4"/>
  <c r="G1425" i="4"/>
  <c r="E1426" i="4"/>
  <c r="G1426" i="4"/>
  <c r="E1427" i="4"/>
  <c r="G1427" i="4"/>
  <c r="E1428" i="4"/>
  <c r="G1428" i="4"/>
  <c r="E1429" i="4"/>
  <c r="G1429" i="4"/>
  <c r="E1430" i="4"/>
  <c r="G1430" i="4"/>
  <c r="E1431" i="4"/>
  <c r="G1431" i="4"/>
  <c r="E1432" i="4"/>
  <c r="G1432" i="4"/>
  <c r="E1433" i="4"/>
  <c r="G1433" i="4"/>
  <c r="E1434" i="4"/>
  <c r="G1434" i="4"/>
  <c r="E1435" i="4"/>
  <c r="G1435" i="4"/>
  <c r="E1436" i="4"/>
  <c r="G1436" i="4"/>
  <c r="E1437" i="4"/>
  <c r="G1437" i="4"/>
  <c r="E1438" i="4"/>
  <c r="G1438" i="4"/>
  <c r="E1439" i="4"/>
  <c r="G1439" i="4"/>
  <c r="E1440" i="4"/>
  <c r="G1440" i="4"/>
  <c r="E1441" i="4"/>
  <c r="G1441" i="4"/>
  <c r="E1442" i="4"/>
  <c r="G1442" i="4"/>
  <c r="E1443" i="4"/>
  <c r="G1443" i="4"/>
  <c r="E1444" i="4"/>
  <c r="G1444" i="4"/>
  <c r="E1445" i="4"/>
  <c r="G1445" i="4"/>
  <c r="E1446" i="4"/>
  <c r="G1446" i="4"/>
  <c r="E1447" i="4"/>
  <c r="G1447" i="4"/>
  <c r="E1448" i="4"/>
  <c r="G1448" i="4"/>
  <c r="E1449" i="4"/>
  <c r="G1449" i="4"/>
  <c r="E1450" i="4"/>
  <c r="G1450" i="4"/>
  <c r="E1451" i="4"/>
  <c r="G1451" i="4"/>
  <c r="E1452" i="4"/>
  <c r="G1452" i="4"/>
  <c r="E1453" i="4"/>
  <c r="G1453" i="4"/>
  <c r="E1454" i="4"/>
  <c r="G1454" i="4"/>
  <c r="E1455" i="4"/>
  <c r="G1455" i="4"/>
  <c r="E1456" i="4"/>
  <c r="G1456" i="4"/>
  <c r="E1457" i="4"/>
  <c r="G1457" i="4"/>
  <c r="E1458" i="4"/>
  <c r="G1458" i="4"/>
  <c r="E1459" i="4"/>
  <c r="G1459" i="4"/>
  <c r="E1460" i="4"/>
  <c r="G1460" i="4"/>
  <c r="E1461" i="4"/>
  <c r="G1461" i="4"/>
  <c r="E1462" i="4"/>
  <c r="G1462" i="4"/>
  <c r="E1463" i="4"/>
  <c r="G1463" i="4"/>
  <c r="E1464" i="4"/>
  <c r="G1464" i="4"/>
  <c r="E1465" i="4"/>
  <c r="G1465" i="4"/>
  <c r="E1466" i="4"/>
  <c r="G1466" i="4"/>
  <c r="E1467" i="4"/>
  <c r="G1467" i="4"/>
  <c r="E1468" i="4"/>
  <c r="G1468" i="4"/>
  <c r="E1469" i="4"/>
  <c r="G1469" i="4"/>
  <c r="E1470" i="4"/>
  <c r="G1470" i="4"/>
  <c r="E1471" i="4"/>
  <c r="G1471" i="4"/>
  <c r="E1472" i="4"/>
  <c r="G1472" i="4"/>
  <c r="E1473" i="4"/>
  <c r="G1473" i="4"/>
  <c r="E1474" i="4"/>
  <c r="G1474" i="4"/>
  <c r="E1475" i="4"/>
  <c r="G1475" i="4"/>
  <c r="E1476" i="4"/>
  <c r="G1476" i="4"/>
  <c r="E1477" i="4"/>
  <c r="G1477" i="4"/>
  <c r="E1478" i="4"/>
  <c r="G1478" i="4"/>
  <c r="E1479" i="4"/>
  <c r="G1479" i="4"/>
  <c r="E1480" i="4"/>
  <c r="G1480" i="4"/>
  <c r="E1481" i="4"/>
  <c r="G1481" i="4"/>
  <c r="E1482" i="4"/>
  <c r="G1482" i="4"/>
  <c r="E1483" i="4"/>
  <c r="G1483" i="4"/>
  <c r="E1484" i="4"/>
  <c r="G1484" i="4"/>
  <c r="E1485" i="4"/>
  <c r="G1485" i="4"/>
  <c r="E1486" i="4"/>
  <c r="G1486" i="4"/>
  <c r="E1487" i="4"/>
  <c r="G1487" i="4"/>
  <c r="E1488" i="4"/>
  <c r="G1488" i="4"/>
  <c r="E1489" i="4"/>
  <c r="G1489" i="4"/>
  <c r="E1490" i="4"/>
  <c r="G1490" i="4"/>
  <c r="E1491" i="4"/>
  <c r="G1491" i="4"/>
  <c r="E1492" i="4"/>
  <c r="G1492" i="4"/>
  <c r="E1493" i="4"/>
  <c r="G1493" i="4"/>
  <c r="E1494" i="4"/>
  <c r="G1494" i="4"/>
  <c r="E1495" i="4"/>
  <c r="G1495" i="4"/>
  <c r="E1496" i="4"/>
  <c r="G1496" i="4"/>
  <c r="E1497" i="4"/>
  <c r="G1497" i="4"/>
  <c r="E1498" i="4"/>
  <c r="G1498" i="4"/>
  <c r="E1499" i="4"/>
  <c r="G1499" i="4"/>
  <c r="E1500" i="4"/>
  <c r="G1500" i="4"/>
  <c r="E1501" i="4"/>
  <c r="G1501" i="4"/>
  <c r="E1502" i="4"/>
  <c r="G1502" i="4"/>
  <c r="E1503" i="4"/>
  <c r="G1503" i="4"/>
  <c r="E1504" i="4"/>
  <c r="G1504" i="4"/>
  <c r="E1505" i="4"/>
  <c r="G1505" i="4"/>
  <c r="E1506" i="4"/>
  <c r="G1506" i="4"/>
  <c r="E1507" i="4"/>
  <c r="G1507" i="4"/>
  <c r="E1508" i="4"/>
  <c r="G1508" i="4"/>
  <c r="E1509" i="4"/>
  <c r="G1509" i="4"/>
  <c r="E1510" i="4"/>
  <c r="G1510" i="4"/>
  <c r="E1511" i="4"/>
  <c r="G1511" i="4"/>
  <c r="E1512" i="4"/>
  <c r="G1512" i="4"/>
  <c r="E1513" i="4"/>
  <c r="G1513" i="4"/>
  <c r="E1514" i="4"/>
  <c r="G1514" i="4"/>
  <c r="E1515" i="4"/>
  <c r="G1515" i="4"/>
  <c r="E1516" i="4"/>
  <c r="G1516" i="4"/>
  <c r="E1517" i="4"/>
  <c r="G1517" i="4"/>
  <c r="E1518" i="4"/>
  <c r="G1518" i="4"/>
  <c r="E1519" i="4"/>
  <c r="G1519" i="4"/>
  <c r="E1520" i="4"/>
  <c r="G1520" i="4"/>
  <c r="E1521" i="4"/>
  <c r="G1521" i="4"/>
  <c r="E1522" i="4"/>
  <c r="G1522" i="4"/>
  <c r="E1523" i="4"/>
  <c r="G1523" i="4"/>
  <c r="E1524" i="4"/>
  <c r="G1524" i="4"/>
  <c r="E1525" i="4"/>
  <c r="G1525" i="4"/>
  <c r="E1526" i="4"/>
  <c r="G1526" i="4"/>
  <c r="E1527" i="4"/>
  <c r="G1527" i="4"/>
  <c r="E1528" i="4"/>
  <c r="G1528" i="4"/>
  <c r="E1529" i="4"/>
  <c r="G1529" i="4"/>
  <c r="E1530" i="4"/>
  <c r="G1530" i="4"/>
  <c r="E1531" i="4"/>
  <c r="G1531" i="4"/>
  <c r="E1532" i="4"/>
  <c r="G1532" i="4"/>
  <c r="E1533" i="4"/>
  <c r="G1533" i="4"/>
  <c r="E1534" i="4"/>
  <c r="G1534" i="4"/>
  <c r="E1535" i="4"/>
  <c r="G1535" i="4"/>
  <c r="E1536" i="4"/>
  <c r="G1536" i="4"/>
  <c r="E1537" i="4"/>
  <c r="G1537" i="4"/>
  <c r="E1538" i="4"/>
  <c r="G1538" i="4"/>
  <c r="E1539" i="4"/>
  <c r="G1539" i="4"/>
  <c r="E1540" i="4"/>
  <c r="G1540" i="4"/>
  <c r="E1541" i="4"/>
  <c r="G1541" i="4"/>
  <c r="E1542" i="4"/>
  <c r="G1542" i="4"/>
  <c r="E1543" i="4"/>
  <c r="G1543" i="4"/>
  <c r="E1544" i="4"/>
  <c r="G1544" i="4"/>
  <c r="E1545" i="4"/>
  <c r="G1545" i="4"/>
  <c r="E1546" i="4"/>
  <c r="G1546" i="4"/>
  <c r="E1547" i="4"/>
  <c r="G1547" i="4"/>
  <c r="E1548" i="4"/>
  <c r="G1548" i="4"/>
  <c r="E1549" i="4"/>
  <c r="G1549" i="4"/>
  <c r="E1550" i="4"/>
  <c r="G1550" i="4"/>
  <c r="E1551" i="4"/>
  <c r="G1551" i="4"/>
  <c r="E1552" i="4"/>
  <c r="G1552" i="4"/>
  <c r="E1553" i="4"/>
  <c r="G1553" i="4"/>
  <c r="E1554" i="4"/>
  <c r="G1554" i="4"/>
  <c r="E1555" i="4"/>
  <c r="G1555" i="4"/>
  <c r="E1556" i="4"/>
  <c r="G1556" i="4"/>
  <c r="E1557" i="4"/>
  <c r="G1557" i="4"/>
  <c r="E1558" i="4"/>
  <c r="G1558" i="4"/>
  <c r="E1559" i="4"/>
  <c r="G1559" i="4"/>
  <c r="E1560" i="4"/>
  <c r="G1560" i="4"/>
  <c r="E1561" i="4"/>
  <c r="G1561" i="4"/>
  <c r="E1562" i="4"/>
  <c r="G1562" i="4"/>
  <c r="E1563" i="4"/>
  <c r="G1563" i="4"/>
  <c r="E1564" i="4"/>
  <c r="G1564" i="4"/>
  <c r="E1565" i="4"/>
  <c r="G1565" i="4"/>
  <c r="E1566" i="4"/>
  <c r="G1566" i="4"/>
  <c r="E1567" i="4"/>
  <c r="G1567" i="4"/>
  <c r="E1568" i="4"/>
  <c r="G1568" i="4"/>
  <c r="E1569" i="4"/>
  <c r="G1569" i="4"/>
  <c r="E1570" i="4"/>
  <c r="G1570" i="4"/>
  <c r="E1571" i="4"/>
  <c r="G1571" i="4"/>
  <c r="E1572" i="4"/>
  <c r="G1572" i="4"/>
  <c r="E1573" i="4"/>
  <c r="G1573" i="4"/>
  <c r="E1574" i="4"/>
  <c r="G1574" i="4"/>
  <c r="E1575" i="4"/>
  <c r="G1575" i="4"/>
  <c r="E1576" i="4"/>
  <c r="G1576" i="4"/>
  <c r="E1577" i="4"/>
  <c r="G1577" i="4"/>
  <c r="E1578" i="4"/>
  <c r="G1578" i="4"/>
  <c r="E1579" i="4"/>
  <c r="G1579" i="4"/>
  <c r="E1580" i="4"/>
  <c r="G1580" i="4"/>
  <c r="E1581" i="4"/>
  <c r="G1581" i="4"/>
  <c r="E1582" i="4"/>
  <c r="G1582" i="4"/>
  <c r="E1583" i="4"/>
  <c r="G1583" i="4"/>
  <c r="E1584" i="4"/>
  <c r="G1584" i="4"/>
  <c r="E1585" i="4"/>
  <c r="G1585" i="4"/>
  <c r="E1586" i="4"/>
  <c r="G1586" i="4"/>
  <c r="E1587" i="4"/>
  <c r="G1587" i="4"/>
  <c r="E1588" i="4"/>
  <c r="G1588" i="4"/>
  <c r="E1589" i="4"/>
  <c r="G1589" i="4"/>
  <c r="E1590" i="4"/>
  <c r="G1590" i="4"/>
  <c r="E1591" i="4"/>
  <c r="G1591" i="4"/>
  <c r="E1592" i="4"/>
  <c r="G1592" i="4"/>
  <c r="E1593" i="4"/>
  <c r="G1593" i="4"/>
  <c r="E1594" i="4"/>
  <c r="G1594" i="4"/>
  <c r="E1595" i="4"/>
  <c r="G1595" i="4"/>
  <c r="E1596" i="4"/>
  <c r="G1596" i="4"/>
  <c r="E1597" i="4"/>
  <c r="G1597" i="4"/>
  <c r="E1598" i="4"/>
  <c r="G1598" i="4"/>
  <c r="E1599" i="4"/>
  <c r="G1599" i="4"/>
  <c r="E1600" i="4"/>
  <c r="G1600" i="4"/>
  <c r="E1601" i="4"/>
  <c r="G1601" i="4"/>
  <c r="E1602" i="4"/>
  <c r="G1602" i="4"/>
  <c r="E1603" i="4"/>
  <c r="G1603" i="4"/>
  <c r="E1604" i="4"/>
  <c r="G1604" i="4"/>
  <c r="E1605" i="4"/>
  <c r="G1605" i="4"/>
  <c r="E1606" i="4"/>
  <c r="G1606" i="4"/>
  <c r="E1607" i="4"/>
  <c r="G1607" i="4"/>
  <c r="E1608" i="4"/>
  <c r="G1608" i="4"/>
  <c r="E1609" i="4"/>
  <c r="G1609" i="4"/>
  <c r="E1610" i="4"/>
  <c r="G1610" i="4"/>
  <c r="E1611" i="4"/>
  <c r="G1611" i="4"/>
  <c r="E1612" i="4"/>
  <c r="G1612" i="4"/>
  <c r="E1613" i="4"/>
  <c r="G1613" i="4"/>
  <c r="E1614" i="4"/>
  <c r="G1614" i="4"/>
  <c r="E1615" i="4"/>
  <c r="G1615" i="4"/>
  <c r="E1616" i="4"/>
  <c r="G1616" i="4"/>
  <c r="E1617" i="4"/>
  <c r="G1617" i="4"/>
  <c r="E1618" i="4"/>
  <c r="G1618" i="4"/>
  <c r="E1619" i="4"/>
  <c r="G1619" i="4"/>
  <c r="E1620" i="4"/>
  <c r="G1620" i="4"/>
  <c r="E1621" i="4"/>
  <c r="G1621" i="4"/>
  <c r="E1622" i="4"/>
  <c r="G1622" i="4"/>
  <c r="E1623" i="4"/>
  <c r="G1623" i="4"/>
  <c r="E1624" i="4"/>
  <c r="G1624" i="4"/>
  <c r="E1625" i="4"/>
  <c r="G1625" i="4"/>
  <c r="E1626" i="4"/>
  <c r="G1626" i="4"/>
  <c r="E1627" i="4"/>
  <c r="G1627" i="4"/>
  <c r="E1628" i="4"/>
  <c r="G1628" i="4"/>
  <c r="E1629" i="4"/>
  <c r="G1629" i="4"/>
  <c r="E1630" i="4"/>
  <c r="G1630" i="4"/>
  <c r="E1631" i="4"/>
  <c r="G1631" i="4"/>
  <c r="E1632" i="4"/>
  <c r="G1632" i="4"/>
  <c r="E1633" i="4"/>
  <c r="G1633" i="4"/>
  <c r="E1634" i="4"/>
  <c r="G1634" i="4"/>
  <c r="E1635" i="4"/>
  <c r="G1635" i="4"/>
  <c r="E1636" i="4"/>
  <c r="G1636" i="4"/>
  <c r="E1637" i="4"/>
  <c r="G1637" i="4"/>
  <c r="E1638" i="4"/>
  <c r="G1638" i="4"/>
  <c r="E1639" i="4"/>
  <c r="G1639" i="4"/>
  <c r="E1640" i="4"/>
  <c r="G1640" i="4"/>
  <c r="E1641" i="4"/>
  <c r="G1641" i="4"/>
  <c r="E1642" i="4"/>
  <c r="G1642" i="4"/>
  <c r="E1643" i="4"/>
  <c r="G1643" i="4"/>
  <c r="E1644" i="4"/>
  <c r="G1644" i="4"/>
  <c r="E1645" i="4"/>
  <c r="G1645" i="4"/>
  <c r="E1646" i="4"/>
  <c r="G1646" i="4"/>
  <c r="E1647" i="4"/>
  <c r="G1647" i="4"/>
  <c r="E1648" i="4"/>
  <c r="G1648" i="4"/>
  <c r="E1649" i="4"/>
  <c r="G1649" i="4"/>
  <c r="E1650" i="4"/>
  <c r="G1650" i="4"/>
  <c r="E1651" i="4"/>
  <c r="G1651" i="4"/>
  <c r="E1652" i="4"/>
  <c r="G1652" i="4"/>
  <c r="E1653" i="4"/>
  <c r="G1653" i="4"/>
  <c r="E1654" i="4"/>
  <c r="G1654" i="4"/>
  <c r="E1655" i="4"/>
  <c r="G1655" i="4"/>
  <c r="E1656" i="4"/>
  <c r="G1656" i="4"/>
  <c r="E1657" i="4"/>
  <c r="G1657" i="4"/>
  <c r="E1658" i="4"/>
  <c r="G1658" i="4"/>
  <c r="E1659" i="4"/>
  <c r="G1659" i="4"/>
  <c r="E1660" i="4"/>
  <c r="G1660" i="4"/>
  <c r="E1661" i="4"/>
  <c r="G1661" i="4"/>
  <c r="E1662" i="4"/>
  <c r="G1662" i="4"/>
  <c r="E1663" i="4"/>
  <c r="G1663" i="4"/>
  <c r="E1664" i="4"/>
  <c r="G1664" i="4"/>
  <c r="E1665" i="4"/>
  <c r="G1665" i="4"/>
  <c r="E1666" i="4"/>
  <c r="G1666" i="4"/>
  <c r="E1667" i="4"/>
  <c r="G1667" i="4"/>
  <c r="E1668" i="4"/>
  <c r="G1668" i="4"/>
  <c r="E1669" i="4"/>
  <c r="G1669" i="4"/>
  <c r="E1670" i="4"/>
  <c r="G1670" i="4"/>
  <c r="E1671" i="4"/>
  <c r="G1671" i="4"/>
  <c r="E1672" i="4"/>
  <c r="G1672" i="4"/>
  <c r="E1673" i="4"/>
  <c r="G1673" i="4"/>
  <c r="E1674" i="4"/>
  <c r="G1674" i="4"/>
  <c r="E1675" i="4"/>
  <c r="G1675" i="4"/>
  <c r="E1676" i="4"/>
  <c r="G1676" i="4"/>
  <c r="E1677" i="4"/>
  <c r="G1677" i="4"/>
  <c r="E1678" i="4"/>
  <c r="G1678" i="4"/>
  <c r="E1679" i="4"/>
  <c r="G1679" i="4"/>
  <c r="E1680" i="4"/>
  <c r="G1680" i="4"/>
  <c r="E1681" i="4"/>
  <c r="G1681" i="4"/>
  <c r="E1682" i="4"/>
  <c r="G1682" i="4"/>
  <c r="E1683" i="4"/>
  <c r="G1683" i="4"/>
  <c r="E1684" i="4"/>
  <c r="G1684" i="4"/>
  <c r="E1685" i="4"/>
  <c r="G1685" i="4"/>
  <c r="E1686" i="4"/>
  <c r="G1686" i="4"/>
  <c r="E1687" i="4"/>
  <c r="G1687" i="4"/>
  <c r="E1688" i="4"/>
  <c r="G1688" i="4"/>
  <c r="E1689" i="4"/>
  <c r="G1689" i="4"/>
  <c r="E1690" i="4"/>
  <c r="G1690" i="4"/>
  <c r="E1691" i="4"/>
  <c r="G1691" i="4"/>
  <c r="E1692" i="4"/>
  <c r="G1692" i="4"/>
  <c r="E1693" i="4"/>
  <c r="G1693" i="4"/>
  <c r="E1694" i="4"/>
  <c r="G1694" i="4"/>
  <c r="E1695" i="4"/>
  <c r="G1695" i="4"/>
  <c r="E1696" i="4"/>
  <c r="G1696" i="4"/>
  <c r="E1697" i="4"/>
  <c r="G1697" i="4"/>
  <c r="E1698" i="4"/>
  <c r="G1698" i="4"/>
  <c r="E1699" i="4"/>
  <c r="G1699" i="4"/>
  <c r="E1700" i="4"/>
  <c r="G1700" i="4"/>
  <c r="E1701" i="4"/>
  <c r="G1701" i="4"/>
  <c r="E1702" i="4"/>
  <c r="G1702" i="4"/>
  <c r="E1703" i="4"/>
  <c r="G1703" i="4"/>
  <c r="E1704" i="4"/>
  <c r="G1704" i="4"/>
  <c r="E1705" i="4"/>
  <c r="G1705" i="4"/>
  <c r="E1706" i="4"/>
  <c r="G1706" i="4"/>
  <c r="E1707" i="4"/>
  <c r="G1707" i="4"/>
  <c r="E1708" i="4"/>
  <c r="G1708" i="4"/>
  <c r="E1709" i="4"/>
  <c r="G1709" i="4"/>
  <c r="E1710" i="4"/>
  <c r="G1710" i="4"/>
  <c r="E1711" i="4"/>
  <c r="G1711" i="4"/>
  <c r="E1712" i="4"/>
  <c r="G1712" i="4"/>
  <c r="E1713" i="4"/>
  <c r="G1713" i="4"/>
  <c r="E1714" i="4"/>
  <c r="G1714" i="4"/>
  <c r="E1715" i="4"/>
  <c r="G1715" i="4"/>
  <c r="E1716" i="4"/>
  <c r="G1716" i="4"/>
  <c r="E1717" i="4"/>
  <c r="G1717" i="4"/>
  <c r="E1718" i="4"/>
  <c r="G1718" i="4"/>
  <c r="E1719" i="4"/>
  <c r="G1719" i="4"/>
  <c r="E1720" i="4"/>
  <c r="G1720" i="4"/>
  <c r="E1721" i="4"/>
  <c r="G1721" i="4"/>
  <c r="E1722" i="4"/>
  <c r="G1722" i="4"/>
  <c r="E1723" i="4"/>
  <c r="G1723" i="4"/>
  <c r="E1724" i="4"/>
  <c r="G1724" i="4"/>
  <c r="E1725" i="4"/>
  <c r="G1725" i="4"/>
  <c r="E1726" i="4"/>
  <c r="G1726" i="4"/>
  <c r="E1727" i="4"/>
  <c r="G1727" i="4"/>
  <c r="E1728" i="4"/>
  <c r="G1728" i="4"/>
  <c r="E1729" i="4"/>
  <c r="G1729" i="4"/>
  <c r="E1730" i="4"/>
  <c r="G1730" i="4"/>
  <c r="E1731" i="4"/>
  <c r="G1731" i="4"/>
  <c r="E1732" i="4"/>
  <c r="G1732" i="4"/>
  <c r="E1733" i="4"/>
  <c r="G1733" i="4"/>
  <c r="E1734" i="4"/>
  <c r="G1734" i="4"/>
  <c r="E1735" i="4"/>
  <c r="G1735" i="4"/>
  <c r="E1736" i="4"/>
  <c r="G1736" i="4"/>
  <c r="E1737" i="4"/>
  <c r="G1737" i="4"/>
  <c r="E1738" i="4"/>
  <c r="G1738" i="4"/>
  <c r="E1739" i="4"/>
  <c r="G1739" i="4"/>
  <c r="E1740" i="4"/>
  <c r="G1740" i="4"/>
  <c r="E1741" i="4"/>
  <c r="G1741" i="4"/>
  <c r="E1742" i="4"/>
  <c r="G1742" i="4"/>
  <c r="E1743" i="4"/>
  <c r="G1743" i="4"/>
  <c r="E1744" i="4"/>
  <c r="G1744" i="4"/>
  <c r="E1745" i="4"/>
  <c r="G1745" i="4"/>
  <c r="E1746" i="4"/>
  <c r="G1746" i="4"/>
  <c r="E1747" i="4"/>
  <c r="G1747" i="4"/>
  <c r="E1748" i="4"/>
  <c r="G1748" i="4"/>
  <c r="E1749" i="4"/>
  <c r="G1749" i="4"/>
  <c r="E1750" i="4"/>
  <c r="G1750" i="4"/>
  <c r="E1751" i="4"/>
  <c r="G1751" i="4"/>
  <c r="E1752" i="4"/>
  <c r="G1752" i="4"/>
  <c r="E1753" i="4"/>
  <c r="G1753" i="4"/>
  <c r="E1754" i="4"/>
  <c r="G1754" i="4"/>
  <c r="E1755" i="4"/>
  <c r="G1755" i="4"/>
  <c r="E1756" i="4"/>
  <c r="G1756" i="4"/>
  <c r="E1757" i="4"/>
  <c r="G1757" i="4"/>
  <c r="E1758" i="4"/>
  <c r="G1758" i="4"/>
  <c r="E1759" i="4"/>
  <c r="G1759" i="4"/>
  <c r="E1760" i="4"/>
  <c r="G1760" i="4"/>
  <c r="E1761" i="4"/>
  <c r="G1761" i="4"/>
  <c r="E1762" i="4"/>
  <c r="G1762" i="4"/>
  <c r="E1763" i="4"/>
  <c r="G1763" i="4"/>
  <c r="E1764" i="4"/>
  <c r="G1764" i="4"/>
  <c r="E1765" i="4"/>
  <c r="G1765" i="4"/>
  <c r="E1766" i="4"/>
  <c r="G1766" i="4"/>
  <c r="E1767" i="4"/>
  <c r="G1767" i="4"/>
  <c r="E1768" i="4"/>
  <c r="G1768" i="4"/>
  <c r="E1769" i="4"/>
  <c r="G1769" i="4"/>
  <c r="E1770" i="4"/>
  <c r="G1770" i="4"/>
  <c r="E1771" i="4"/>
  <c r="G1771" i="4"/>
  <c r="E1772" i="4"/>
  <c r="G1772" i="4"/>
  <c r="E1773" i="4"/>
  <c r="G1773" i="4"/>
  <c r="E1774" i="4"/>
  <c r="G1774" i="4"/>
  <c r="E1775" i="4"/>
  <c r="G1775" i="4"/>
  <c r="E1776" i="4"/>
  <c r="G1776" i="4"/>
  <c r="E1777" i="4"/>
  <c r="G1777" i="4"/>
  <c r="E1778" i="4"/>
  <c r="G1778" i="4"/>
  <c r="E1779" i="4"/>
  <c r="G1779" i="4"/>
  <c r="E1780" i="4"/>
  <c r="G1780" i="4"/>
  <c r="E1781" i="4"/>
  <c r="G1781" i="4"/>
  <c r="E1782" i="4"/>
  <c r="G1782" i="4"/>
  <c r="E1783" i="4"/>
  <c r="G1783" i="4"/>
  <c r="E1784" i="4"/>
  <c r="G1784" i="4"/>
  <c r="E1785" i="4"/>
  <c r="G1785" i="4"/>
  <c r="E1786" i="4"/>
  <c r="G1786" i="4"/>
  <c r="E1787" i="4"/>
  <c r="G1787" i="4"/>
  <c r="E1788" i="4"/>
  <c r="G1788" i="4"/>
  <c r="E1789" i="4"/>
  <c r="G1789" i="4"/>
  <c r="E1790" i="4"/>
  <c r="G1790" i="4"/>
  <c r="E1791" i="4"/>
  <c r="G1791" i="4"/>
  <c r="E1792" i="4"/>
  <c r="G1792" i="4"/>
  <c r="E1793" i="4"/>
  <c r="G1793" i="4"/>
  <c r="E1794" i="4"/>
  <c r="G1794" i="4"/>
  <c r="E1795" i="4"/>
  <c r="G1795" i="4"/>
  <c r="E1796" i="4"/>
  <c r="G1796" i="4"/>
  <c r="E1797" i="4"/>
  <c r="G1797" i="4"/>
  <c r="E1798" i="4"/>
  <c r="G1798" i="4"/>
  <c r="E1799" i="4"/>
  <c r="G1799" i="4"/>
  <c r="E1800" i="4"/>
  <c r="G1800" i="4"/>
  <c r="E1801" i="4"/>
  <c r="G1801" i="4"/>
  <c r="E1802" i="4"/>
  <c r="G1802" i="4"/>
  <c r="E1803" i="4"/>
  <c r="G1803" i="4"/>
  <c r="E1804" i="4"/>
  <c r="G1804" i="4"/>
  <c r="E1805" i="4"/>
  <c r="G1805" i="4"/>
  <c r="E1806" i="4"/>
  <c r="G1806" i="4"/>
  <c r="E1807" i="4"/>
  <c r="G1807" i="4"/>
  <c r="E1808" i="4"/>
  <c r="G1808" i="4"/>
  <c r="E1809" i="4"/>
  <c r="G1809" i="4"/>
  <c r="E1810" i="4"/>
  <c r="G1810" i="4"/>
  <c r="E1811" i="4"/>
  <c r="G1811" i="4"/>
  <c r="E1812" i="4"/>
  <c r="G1812" i="4"/>
  <c r="E1813" i="4"/>
  <c r="G1813" i="4"/>
  <c r="E1814" i="4"/>
  <c r="G1814" i="4"/>
  <c r="E1815" i="4"/>
  <c r="G1815" i="4"/>
  <c r="E1816" i="4"/>
  <c r="G1816" i="4"/>
  <c r="E1817" i="4"/>
  <c r="G1817" i="4"/>
  <c r="E1818" i="4"/>
  <c r="G1818" i="4"/>
  <c r="E1819" i="4"/>
  <c r="G1819" i="4"/>
  <c r="E1820" i="4"/>
  <c r="G1820" i="4"/>
  <c r="E1821" i="4"/>
  <c r="G1821" i="4"/>
  <c r="E1822" i="4"/>
  <c r="G1822" i="4"/>
  <c r="E1823" i="4"/>
  <c r="G1823" i="4"/>
  <c r="E1824" i="4"/>
  <c r="G1824" i="4"/>
  <c r="E1825" i="4"/>
  <c r="G1825" i="4"/>
  <c r="E1826" i="4"/>
  <c r="G1826" i="4"/>
  <c r="E1827" i="4"/>
  <c r="G1827" i="4"/>
  <c r="E1828" i="4"/>
  <c r="G1828" i="4"/>
  <c r="E1829" i="4"/>
  <c r="G1829" i="4"/>
  <c r="E1830" i="4"/>
  <c r="G1830" i="4"/>
  <c r="E1831" i="4"/>
  <c r="G1831" i="4"/>
  <c r="E1832" i="4"/>
  <c r="G1832" i="4"/>
  <c r="E1833" i="4"/>
  <c r="G1833" i="4"/>
  <c r="E1834" i="4"/>
  <c r="G1834" i="4"/>
  <c r="E1835" i="4"/>
  <c r="G1835" i="4"/>
  <c r="E1836" i="4"/>
  <c r="G1836" i="4"/>
  <c r="E1837" i="4"/>
  <c r="G1837" i="4"/>
  <c r="E1838" i="4"/>
  <c r="G1838" i="4"/>
  <c r="E1839" i="4"/>
  <c r="G1839" i="4"/>
  <c r="E1840" i="4"/>
  <c r="G1840" i="4"/>
  <c r="E1841" i="4"/>
  <c r="G1841" i="4"/>
  <c r="E1842" i="4"/>
  <c r="G1842" i="4"/>
  <c r="E1843" i="4"/>
  <c r="G1843" i="4"/>
  <c r="E1844" i="4"/>
  <c r="G1844" i="4"/>
  <c r="E1845" i="4"/>
  <c r="G1845" i="4"/>
  <c r="E1846" i="4"/>
  <c r="G1846" i="4"/>
  <c r="E1847" i="4"/>
  <c r="G1847" i="4"/>
  <c r="E1848" i="4"/>
  <c r="G1848" i="4"/>
  <c r="E1849" i="4"/>
  <c r="G1849" i="4"/>
  <c r="E1850" i="4"/>
  <c r="G1850" i="4"/>
  <c r="E1851" i="4"/>
  <c r="G1851" i="4"/>
  <c r="E1852" i="4"/>
  <c r="G1852" i="4"/>
  <c r="E1853" i="4"/>
  <c r="G1853" i="4"/>
  <c r="E1854" i="4"/>
  <c r="G1854" i="4"/>
  <c r="E1855" i="4"/>
  <c r="G1855" i="4"/>
  <c r="E1856" i="4"/>
  <c r="G1856" i="4"/>
  <c r="E1857" i="4"/>
  <c r="G1857" i="4"/>
  <c r="E1858" i="4"/>
  <c r="G1858" i="4"/>
  <c r="E1859" i="4"/>
  <c r="G1859" i="4"/>
  <c r="E1860" i="4"/>
  <c r="G1860" i="4"/>
  <c r="E1861" i="4"/>
  <c r="G1861" i="4"/>
  <c r="E1862" i="4"/>
  <c r="G1862" i="4"/>
  <c r="E1863" i="4"/>
  <c r="G1863" i="4"/>
  <c r="E1864" i="4"/>
  <c r="G1864" i="4"/>
  <c r="E1865" i="4"/>
  <c r="G1865" i="4"/>
  <c r="E1866" i="4"/>
  <c r="G1866" i="4"/>
  <c r="E1867" i="4"/>
  <c r="G1867" i="4"/>
  <c r="E1868" i="4"/>
  <c r="G1868" i="4"/>
  <c r="E1869" i="4"/>
  <c r="G1869" i="4"/>
  <c r="E1870" i="4"/>
  <c r="G1870" i="4"/>
  <c r="E1871" i="4"/>
  <c r="G1871" i="4"/>
  <c r="E1872" i="4"/>
  <c r="G1872" i="4"/>
  <c r="E1873" i="4"/>
  <c r="G1873" i="4"/>
  <c r="E1874" i="4"/>
  <c r="G1874" i="4"/>
  <c r="E1875" i="4"/>
  <c r="G1875" i="4"/>
  <c r="E1876" i="4"/>
  <c r="G1876" i="4"/>
  <c r="E1877" i="4"/>
  <c r="G1877" i="4"/>
  <c r="E1878" i="4"/>
  <c r="G1878" i="4"/>
  <c r="E1879" i="4"/>
  <c r="G1879" i="4"/>
  <c r="E1880" i="4"/>
  <c r="G1880" i="4"/>
  <c r="E1881" i="4"/>
  <c r="G1881" i="4"/>
  <c r="E1882" i="4"/>
  <c r="G1882" i="4"/>
  <c r="E1883" i="4"/>
  <c r="G1883" i="4"/>
  <c r="E1884" i="4"/>
  <c r="G1884" i="4"/>
  <c r="E1885" i="4"/>
  <c r="G1885" i="4"/>
  <c r="E1886" i="4"/>
  <c r="G1886" i="4"/>
  <c r="E1887" i="4"/>
  <c r="G1887" i="4"/>
  <c r="E1888" i="4"/>
  <c r="G1888" i="4"/>
  <c r="E1889" i="4"/>
  <c r="G1889" i="4"/>
  <c r="E1890" i="4"/>
  <c r="G1890" i="4"/>
  <c r="E1891" i="4"/>
  <c r="G1891" i="4"/>
  <c r="E1892" i="4"/>
  <c r="G1892" i="4"/>
  <c r="E1893" i="4"/>
  <c r="G1893" i="4"/>
  <c r="E1894" i="4"/>
  <c r="G1894" i="4"/>
  <c r="E1895" i="4"/>
  <c r="G1895" i="4"/>
  <c r="E1896" i="4"/>
  <c r="G1896" i="4"/>
  <c r="E1897" i="4"/>
  <c r="G1897" i="4"/>
  <c r="E1898" i="4"/>
  <c r="G1898" i="4"/>
  <c r="E1899" i="4"/>
  <c r="G1899" i="4"/>
  <c r="E1900" i="4"/>
  <c r="G1900" i="4"/>
  <c r="E1901" i="4"/>
  <c r="G1901" i="4"/>
  <c r="E1902" i="4"/>
  <c r="G1902" i="4"/>
  <c r="E1903" i="4"/>
  <c r="G1903" i="4"/>
  <c r="E1904" i="4"/>
  <c r="G1904" i="4"/>
  <c r="E1905" i="4"/>
  <c r="G1905" i="4"/>
  <c r="E1906" i="4"/>
  <c r="G1906" i="4"/>
  <c r="E1907" i="4"/>
  <c r="G1907" i="4"/>
  <c r="E1908" i="4"/>
  <c r="G1908" i="4"/>
  <c r="E1909" i="4"/>
  <c r="G1909" i="4"/>
  <c r="E1910" i="4"/>
  <c r="G1910" i="4"/>
  <c r="E1911" i="4"/>
  <c r="G1911" i="4"/>
  <c r="E1912" i="4"/>
  <c r="G1912" i="4"/>
  <c r="E1913" i="4"/>
  <c r="G1913" i="4"/>
  <c r="E1914" i="4"/>
  <c r="G1914" i="4"/>
  <c r="E1915" i="4"/>
  <c r="G1915" i="4"/>
  <c r="E1916" i="4"/>
  <c r="G1916" i="4"/>
  <c r="E1917" i="4"/>
  <c r="G1917" i="4"/>
  <c r="E1918" i="4"/>
  <c r="G1918" i="4"/>
  <c r="E1919" i="4"/>
  <c r="G1919" i="4"/>
  <c r="E1920" i="4"/>
  <c r="G1920" i="4"/>
  <c r="E1921" i="4"/>
  <c r="G1921" i="4"/>
  <c r="E1922" i="4"/>
  <c r="G1922" i="4"/>
  <c r="E1923" i="4"/>
  <c r="G1923" i="4"/>
  <c r="E1924" i="4"/>
  <c r="G1924" i="4"/>
  <c r="E1925" i="4"/>
  <c r="G1925" i="4"/>
  <c r="E1926" i="4"/>
  <c r="G1926" i="4"/>
  <c r="E1927" i="4"/>
  <c r="G1927" i="4"/>
  <c r="E1928" i="4"/>
  <c r="G1928" i="4"/>
  <c r="E1929" i="4"/>
  <c r="G1929" i="4"/>
  <c r="E1930" i="4"/>
  <c r="G1930" i="4"/>
  <c r="E1931" i="4"/>
  <c r="G1931" i="4"/>
  <c r="E1932" i="4"/>
  <c r="G1932" i="4"/>
  <c r="E1933" i="4"/>
  <c r="G1933" i="4"/>
  <c r="E1934" i="4"/>
  <c r="G1934" i="4"/>
  <c r="E1935" i="4"/>
  <c r="G1935" i="4"/>
  <c r="E1936" i="4"/>
  <c r="G1936" i="4"/>
  <c r="E1937" i="4"/>
  <c r="G1937" i="4"/>
  <c r="E1938" i="4"/>
  <c r="G1938" i="4"/>
  <c r="E1939" i="4"/>
  <c r="G1939" i="4"/>
  <c r="E1940" i="4"/>
  <c r="G1940" i="4"/>
  <c r="E1941" i="4"/>
  <c r="G1941" i="4"/>
  <c r="E1942" i="4"/>
  <c r="G1942" i="4"/>
  <c r="E1943" i="4"/>
  <c r="G1943" i="4"/>
  <c r="E1944" i="4"/>
  <c r="G1944" i="4"/>
  <c r="E1945" i="4"/>
  <c r="G1945" i="4"/>
  <c r="E1946" i="4"/>
  <c r="G1946" i="4"/>
  <c r="E1947" i="4"/>
  <c r="G1947" i="4"/>
  <c r="E1948" i="4"/>
  <c r="G1948" i="4"/>
  <c r="E1949" i="4"/>
  <c r="G1949" i="4"/>
  <c r="E1950" i="4"/>
  <c r="G1950" i="4"/>
  <c r="E1951" i="4"/>
  <c r="G1951" i="4"/>
  <c r="E1952" i="4"/>
  <c r="G1952" i="4"/>
  <c r="E1953" i="4"/>
  <c r="G1953" i="4"/>
  <c r="E1954" i="4"/>
  <c r="G1954" i="4"/>
  <c r="E1955" i="4"/>
  <c r="G1955" i="4"/>
  <c r="E1956" i="4"/>
  <c r="G1956" i="4"/>
  <c r="E1957" i="4"/>
  <c r="G1957" i="4"/>
  <c r="E1958" i="4"/>
  <c r="G1958" i="4"/>
  <c r="E1959" i="4"/>
  <c r="G1959" i="4"/>
  <c r="E1960" i="4"/>
  <c r="G1960" i="4"/>
  <c r="E1961" i="4"/>
  <c r="G1961" i="4"/>
  <c r="E1962" i="4"/>
  <c r="G1962" i="4"/>
  <c r="E1963" i="4"/>
  <c r="G1963" i="4"/>
  <c r="E1964" i="4"/>
  <c r="G1964" i="4"/>
  <c r="E1965" i="4"/>
  <c r="G1965" i="4"/>
  <c r="E1966" i="4"/>
  <c r="G1966" i="4"/>
  <c r="E1967" i="4"/>
  <c r="G1967" i="4"/>
  <c r="E1968" i="4"/>
  <c r="G1968" i="4"/>
  <c r="E1969" i="4"/>
  <c r="G1969" i="4"/>
  <c r="E1970" i="4"/>
  <c r="G1970" i="4"/>
  <c r="E1971" i="4"/>
  <c r="G1971" i="4"/>
  <c r="E1972" i="4"/>
  <c r="G1972" i="4"/>
  <c r="E1973" i="4"/>
  <c r="G1973" i="4"/>
  <c r="E1974" i="4"/>
  <c r="G1974" i="4"/>
  <c r="E1975" i="4"/>
  <c r="G1975" i="4"/>
  <c r="E1976" i="4"/>
  <c r="G1976" i="4"/>
  <c r="E1977" i="4"/>
  <c r="G1977" i="4"/>
  <c r="E1978" i="4"/>
  <c r="G1978" i="4"/>
  <c r="E1979" i="4"/>
  <c r="G1979" i="4"/>
  <c r="E1980" i="4"/>
  <c r="G1980" i="4"/>
  <c r="E1981" i="4"/>
  <c r="G1981" i="4"/>
  <c r="E1982" i="4"/>
  <c r="G1982" i="4"/>
  <c r="E1983" i="4"/>
  <c r="G1983" i="4"/>
  <c r="E1984" i="4"/>
  <c r="G1984" i="4"/>
  <c r="E1985" i="4"/>
  <c r="G1985" i="4"/>
  <c r="E1986" i="4"/>
  <c r="G1986" i="4"/>
  <c r="E1987" i="4"/>
  <c r="G1987" i="4"/>
  <c r="E1988" i="4"/>
  <c r="G1988" i="4"/>
  <c r="E1989" i="4"/>
  <c r="G1989" i="4"/>
  <c r="E1990" i="4"/>
  <c r="G1990" i="4"/>
  <c r="E1991" i="4"/>
  <c r="G1991" i="4"/>
  <c r="E1992" i="4"/>
  <c r="G1992" i="4"/>
  <c r="E1993" i="4"/>
  <c r="G1993" i="4"/>
  <c r="E1994" i="4"/>
  <c r="G1994" i="4"/>
  <c r="E1995" i="4"/>
  <c r="G1995" i="4"/>
  <c r="E1996" i="4"/>
  <c r="G1996" i="4"/>
  <c r="E1997" i="4"/>
  <c r="G1997" i="4"/>
  <c r="E1998" i="4"/>
  <c r="G1998" i="4"/>
  <c r="E1999" i="4"/>
  <c r="G1999" i="4"/>
  <c r="E2000" i="4"/>
  <c r="G2000" i="4"/>
  <c r="E2001" i="4"/>
  <c r="G2001" i="4"/>
  <c r="E2002" i="4"/>
  <c r="G2002" i="4"/>
  <c r="E2003" i="4"/>
  <c r="G2003" i="4"/>
  <c r="E2004" i="4"/>
  <c r="G2004" i="4"/>
  <c r="E2005" i="4"/>
  <c r="G2005" i="4"/>
  <c r="E2006" i="4"/>
  <c r="G2006" i="4"/>
  <c r="E2007" i="4"/>
  <c r="G2007" i="4"/>
  <c r="E2008" i="4"/>
  <c r="G2008" i="4"/>
  <c r="E2009" i="4"/>
  <c r="G2009" i="4"/>
  <c r="E2010" i="4"/>
  <c r="G2010" i="4"/>
  <c r="E2011" i="4"/>
  <c r="G2011" i="4"/>
  <c r="E2012" i="4"/>
  <c r="G2012" i="4"/>
  <c r="E2013" i="4"/>
  <c r="G2013" i="4"/>
  <c r="E2014" i="4"/>
  <c r="G2014" i="4"/>
  <c r="E2015" i="4"/>
  <c r="G2015" i="4"/>
  <c r="E2016" i="4"/>
  <c r="G2016" i="4"/>
  <c r="E2017" i="4"/>
  <c r="G2017" i="4"/>
  <c r="E2018" i="4"/>
  <c r="G2018" i="4"/>
  <c r="E2019" i="4"/>
  <c r="G2019" i="4"/>
  <c r="E2020" i="4"/>
  <c r="G2020" i="4"/>
  <c r="E2021" i="4"/>
  <c r="G2021" i="4"/>
  <c r="E2022" i="4"/>
  <c r="G2022" i="4"/>
  <c r="E2023" i="4"/>
  <c r="G2023" i="4"/>
  <c r="E2024" i="4"/>
  <c r="G2024" i="4"/>
  <c r="E2025" i="4"/>
  <c r="G2025" i="4"/>
  <c r="E2026" i="4"/>
  <c r="G2026" i="4"/>
  <c r="E2027" i="4"/>
  <c r="G2027" i="4"/>
  <c r="E2028" i="4"/>
  <c r="G2028" i="4"/>
  <c r="E2029" i="4"/>
  <c r="G2029" i="4"/>
  <c r="E2030" i="4"/>
  <c r="G2030" i="4"/>
  <c r="E2031" i="4"/>
  <c r="G2031" i="4"/>
  <c r="E2032" i="4"/>
  <c r="G2032" i="4"/>
  <c r="E2033" i="4"/>
  <c r="G2033" i="4"/>
  <c r="E2034" i="4"/>
  <c r="G2034" i="4"/>
  <c r="E2035" i="4"/>
  <c r="G2035" i="4"/>
  <c r="E2036" i="4"/>
  <c r="G2036" i="4"/>
  <c r="E2037" i="4"/>
  <c r="G2037" i="4"/>
  <c r="E2038" i="4"/>
  <c r="G2038" i="4"/>
  <c r="E2039" i="4"/>
  <c r="G2039" i="4"/>
  <c r="E2040" i="4"/>
  <c r="G2040" i="4"/>
  <c r="E2041" i="4"/>
  <c r="G2041" i="4"/>
  <c r="E2042" i="4"/>
  <c r="G2042" i="4"/>
  <c r="E2043" i="4"/>
  <c r="G2043" i="4"/>
  <c r="E2044" i="4"/>
  <c r="G2044" i="4"/>
  <c r="E2045" i="4"/>
  <c r="G2045" i="4"/>
  <c r="E2046" i="4"/>
  <c r="G2046" i="4"/>
  <c r="E2047" i="4"/>
  <c r="G2047" i="4"/>
  <c r="E2048" i="4"/>
  <c r="G2048" i="4"/>
  <c r="E2049" i="4"/>
  <c r="G2049" i="4"/>
  <c r="E2050" i="4"/>
  <c r="G2050" i="4"/>
  <c r="E2051" i="4"/>
  <c r="G2051" i="4"/>
  <c r="E2052" i="4"/>
  <c r="G2052" i="4"/>
  <c r="E2053" i="4"/>
  <c r="G2053" i="4"/>
  <c r="E2054" i="4"/>
  <c r="G2054" i="4"/>
  <c r="E2055" i="4"/>
  <c r="G2055" i="4"/>
  <c r="E2056" i="4"/>
  <c r="G2056" i="4"/>
  <c r="E2057" i="4"/>
  <c r="G2057" i="4"/>
  <c r="E2058" i="4"/>
  <c r="G2058" i="4"/>
  <c r="E2059" i="4"/>
  <c r="G2059" i="4"/>
  <c r="E2060" i="4"/>
  <c r="G2060" i="4"/>
  <c r="E2061" i="4"/>
  <c r="G2061" i="4"/>
  <c r="E2062" i="4"/>
  <c r="G2062" i="4"/>
  <c r="E2063" i="4"/>
  <c r="G2063" i="4"/>
  <c r="E2064" i="4"/>
  <c r="G2064" i="4"/>
  <c r="E2065" i="4"/>
  <c r="G2065" i="4"/>
  <c r="E2066" i="4"/>
  <c r="G2066" i="4"/>
  <c r="E2067" i="4"/>
  <c r="G2067" i="4"/>
  <c r="E2068" i="4"/>
  <c r="G2068" i="4"/>
  <c r="E2069" i="4"/>
  <c r="G2069" i="4"/>
  <c r="E2070" i="4"/>
  <c r="G2070" i="4"/>
  <c r="E2071" i="4"/>
  <c r="G2071" i="4"/>
  <c r="E2072" i="4"/>
  <c r="G2072" i="4"/>
  <c r="E2073" i="4"/>
  <c r="G2073" i="4"/>
  <c r="E2074" i="4"/>
  <c r="G2074" i="4"/>
  <c r="E2075" i="4"/>
  <c r="G2075" i="4"/>
  <c r="E2076" i="4"/>
  <c r="G2076" i="4"/>
  <c r="E2077" i="4"/>
  <c r="G2077" i="4"/>
  <c r="E2078" i="4"/>
  <c r="G2078" i="4"/>
  <c r="E2079" i="4"/>
  <c r="G2079" i="4"/>
  <c r="E2080" i="4"/>
  <c r="G2080" i="4"/>
  <c r="E2081" i="4"/>
  <c r="G2081" i="4"/>
  <c r="E2082" i="4"/>
  <c r="G2082" i="4"/>
  <c r="E2083" i="4"/>
  <c r="G2083" i="4"/>
  <c r="E2084" i="4"/>
  <c r="G2084" i="4"/>
  <c r="E2085" i="4"/>
  <c r="G2085" i="4"/>
  <c r="E2086" i="4"/>
  <c r="G2086" i="4"/>
  <c r="E2087" i="4"/>
  <c r="G2087" i="4"/>
  <c r="E2088" i="4"/>
  <c r="G2088" i="4"/>
  <c r="E2089" i="4"/>
  <c r="G2089" i="4"/>
  <c r="E2090" i="4"/>
  <c r="G2090" i="4"/>
  <c r="E2091" i="4"/>
  <c r="G2091" i="4"/>
  <c r="E2092" i="4"/>
  <c r="G2092" i="4"/>
  <c r="E2093" i="4"/>
  <c r="G2093" i="4"/>
  <c r="E2094" i="4"/>
  <c r="G2094" i="4"/>
  <c r="E2095" i="4"/>
  <c r="G2095" i="4"/>
  <c r="E2096" i="4"/>
  <c r="G2096" i="4"/>
  <c r="E2097" i="4"/>
  <c r="G2097" i="4"/>
  <c r="E2098" i="4"/>
  <c r="G2098" i="4"/>
  <c r="E2099" i="4"/>
  <c r="G2099" i="4"/>
  <c r="E2100" i="4"/>
  <c r="G2100" i="4"/>
  <c r="E2101" i="4"/>
  <c r="G2101" i="4"/>
  <c r="E2102" i="4"/>
  <c r="G2102" i="4"/>
  <c r="E2103" i="4"/>
  <c r="G2103" i="4"/>
  <c r="E2104" i="4"/>
  <c r="G2104" i="4"/>
  <c r="E2105" i="4"/>
  <c r="G2105" i="4"/>
  <c r="E2106" i="4"/>
  <c r="G2106" i="4"/>
  <c r="E2107" i="4"/>
  <c r="G2107" i="4"/>
  <c r="E2108" i="4"/>
  <c r="G2108" i="4"/>
  <c r="E2109" i="4"/>
  <c r="G2109" i="4"/>
  <c r="E2110" i="4"/>
  <c r="G2110" i="4"/>
  <c r="E2111" i="4"/>
  <c r="G2111" i="4"/>
  <c r="E2112" i="4"/>
  <c r="G2112" i="4"/>
  <c r="E2113" i="4"/>
  <c r="G2113" i="4"/>
  <c r="E2114" i="4"/>
  <c r="G2114" i="4"/>
  <c r="E2115" i="4"/>
  <c r="G2115" i="4"/>
  <c r="E2116" i="4"/>
  <c r="G2116" i="4"/>
  <c r="E2117" i="4"/>
  <c r="G2117" i="4"/>
  <c r="E2118" i="4"/>
  <c r="G2118" i="4"/>
  <c r="E2119" i="4"/>
  <c r="G2119" i="4"/>
  <c r="E2120" i="4"/>
  <c r="G2120" i="4"/>
  <c r="E2121" i="4"/>
  <c r="G2121" i="4"/>
  <c r="E2122" i="4"/>
  <c r="G2122" i="4"/>
  <c r="E2123" i="4"/>
  <c r="G2123" i="4"/>
  <c r="E2124" i="4"/>
  <c r="G2124" i="4"/>
  <c r="E2125" i="4"/>
  <c r="G2125" i="4"/>
  <c r="E2126" i="4"/>
  <c r="G2126" i="4"/>
  <c r="E2127" i="4"/>
  <c r="G2127" i="4"/>
  <c r="E2128" i="4"/>
  <c r="G2128" i="4"/>
  <c r="E2129" i="4"/>
  <c r="G2129" i="4"/>
  <c r="E2130" i="4"/>
  <c r="G2130" i="4"/>
  <c r="E2131" i="4"/>
  <c r="G2131" i="4"/>
  <c r="E2132" i="4"/>
  <c r="G2132" i="4"/>
  <c r="E2133" i="4"/>
  <c r="G2133" i="4"/>
  <c r="E2134" i="4"/>
  <c r="G2134" i="4"/>
  <c r="E2135" i="4"/>
  <c r="G2135" i="4"/>
  <c r="E2136" i="4"/>
  <c r="G2136" i="4"/>
  <c r="E2137" i="4"/>
  <c r="G2137" i="4"/>
  <c r="E2138" i="4"/>
  <c r="G2138" i="4"/>
  <c r="E2139" i="4"/>
  <c r="G2139" i="4"/>
  <c r="E2140" i="4"/>
  <c r="G2140" i="4"/>
  <c r="E2141" i="4"/>
  <c r="G2141" i="4"/>
  <c r="E2142" i="4"/>
  <c r="G2142" i="4"/>
  <c r="E2143" i="4"/>
  <c r="G2143" i="4"/>
  <c r="E2144" i="4"/>
  <c r="G2144" i="4"/>
  <c r="E2145" i="4"/>
  <c r="G2145" i="4"/>
  <c r="E2146" i="4"/>
  <c r="G2146" i="4"/>
  <c r="E2147" i="4"/>
  <c r="G2147" i="4"/>
  <c r="E2148" i="4"/>
  <c r="G2148" i="4"/>
  <c r="E2149" i="4"/>
  <c r="G2149" i="4"/>
  <c r="E2150" i="4"/>
  <c r="G2150" i="4"/>
  <c r="E2151" i="4"/>
  <c r="G2151" i="4"/>
  <c r="E2152" i="4"/>
  <c r="G2152" i="4"/>
  <c r="E2153" i="4"/>
  <c r="G2153" i="4"/>
  <c r="E2154" i="4"/>
  <c r="G2154" i="4"/>
  <c r="E2155" i="4"/>
  <c r="G2155" i="4"/>
  <c r="E2156" i="4"/>
  <c r="G2156" i="4"/>
  <c r="E2157" i="4"/>
  <c r="G2157" i="4"/>
  <c r="E2158" i="4"/>
  <c r="G2158" i="4"/>
  <c r="E2159" i="4"/>
  <c r="G2159" i="4"/>
  <c r="E2160" i="4"/>
  <c r="G2160" i="4"/>
  <c r="E2161" i="4"/>
  <c r="G2161" i="4"/>
  <c r="E2162" i="4"/>
  <c r="G2162" i="4"/>
  <c r="E2163" i="4"/>
  <c r="G2163" i="4"/>
  <c r="E2164" i="4"/>
  <c r="G2164" i="4"/>
  <c r="E2165" i="4"/>
  <c r="G2165" i="4"/>
  <c r="E2166" i="4"/>
  <c r="G2166" i="4"/>
  <c r="E2167" i="4"/>
  <c r="G2167" i="4"/>
  <c r="E2168" i="4"/>
  <c r="G2168" i="4"/>
  <c r="E2169" i="4"/>
  <c r="G2169" i="4"/>
  <c r="E2170" i="4"/>
  <c r="G2170" i="4"/>
  <c r="E2171" i="4"/>
  <c r="G2171" i="4"/>
  <c r="E2172" i="4"/>
  <c r="G2172" i="4"/>
  <c r="E2173" i="4"/>
  <c r="G2173" i="4"/>
  <c r="E2174" i="4"/>
  <c r="G2174" i="4"/>
  <c r="E2175" i="4"/>
  <c r="G2175" i="4"/>
  <c r="E2176" i="4"/>
  <c r="G2176" i="4"/>
  <c r="E2177" i="4"/>
  <c r="G2177" i="4"/>
  <c r="E2178" i="4"/>
  <c r="G2178" i="4"/>
  <c r="E2179" i="4"/>
  <c r="G2179" i="4"/>
  <c r="E2180" i="4"/>
  <c r="G2180" i="4"/>
  <c r="E2181" i="4"/>
  <c r="G2181" i="4"/>
  <c r="E2182" i="4"/>
  <c r="G2182" i="4"/>
  <c r="E2183" i="4"/>
  <c r="G2183" i="4"/>
  <c r="E2184" i="4"/>
  <c r="G2184" i="4"/>
  <c r="E2185" i="4"/>
  <c r="G2185" i="4"/>
  <c r="E2186" i="4"/>
  <c r="G2186" i="4"/>
  <c r="E2187" i="4"/>
  <c r="G2187" i="4"/>
  <c r="E2188" i="4"/>
  <c r="G2188" i="4"/>
  <c r="E2189" i="4"/>
  <c r="G2189" i="4"/>
  <c r="E2190" i="4"/>
  <c r="G2190" i="4"/>
  <c r="E2191" i="4"/>
  <c r="G2191" i="4"/>
  <c r="E2192" i="4"/>
  <c r="G2192" i="4"/>
  <c r="E2193" i="4"/>
  <c r="G2193" i="4"/>
  <c r="E2194" i="4"/>
  <c r="G2194" i="4"/>
  <c r="E2195" i="4"/>
  <c r="G2195" i="4"/>
  <c r="E2196" i="4"/>
  <c r="G2196" i="4"/>
  <c r="E2197" i="4"/>
  <c r="G2197" i="4"/>
  <c r="E2198" i="4"/>
  <c r="G2198" i="4"/>
  <c r="E2199" i="4"/>
  <c r="G2199" i="4"/>
  <c r="E2200" i="4"/>
  <c r="G2200" i="4"/>
  <c r="E2201" i="4"/>
  <c r="G2201" i="4"/>
  <c r="E2202" i="4"/>
  <c r="G2202" i="4"/>
  <c r="E2203" i="4"/>
  <c r="G2203" i="4"/>
  <c r="E2204" i="4"/>
  <c r="G2204" i="4"/>
  <c r="E2205" i="4"/>
  <c r="G2205" i="4"/>
  <c r="E2206" i="4"/>
  <c r="G2206" i="4"/>
  <c r="E2207" i="4"/>
  <c r="G2207" i="4"/>
  <c r="E2208" i="4"/>
  <c r="G2208" i="4"/>
  <c r="E2209" i="4"/>
  <c r="G2209" i="4"/>
  <c r="E2210" i="4"/>
  <c r="G2210" i="4"/>
  <c r="E2211" i="4"/>
  <c r="G2211" i="4"/>
  <c r="E2212" i="4"/>
  <c r="G2212" i="4"/>
  <c r="E2213" i="4"/>
  <c r="G2213" i="4"/>
  <c r="E2214" i="4"/>
  <c r="G2214" i="4"/>
  <c r="E2215" i="4"/>
  <c r="G2215" i="4"/>
  <c r="E2216" i="4"/>
  <c r="G2216" i="4"/>
  <c r="E2217" i="4"/>
  <c r="G2217" i="4"/>
  <c r="E2218" i="4"/>
  <c r="G2218" i="4"/>
  <c r="E2219" i="4"/>
  <c r="G2219" i="4"/>
  <c r="E2220" i="4"/>
  <c r="G2220" i="4"/>
  <c r="E2221" i="4"/>
  <c r="G2221" i="4"/>
  <c r="E2222" i="4"/>
  <c r="G2222" i="4"/>
  <c r="E2223" i="4"/>
  <c r="G2223" i="4"/>
  <c r="E2224" i="4"/>
  <c r="G2224" i="4"/>
  <c r="E2225" i="4"/>
  <c r="G2225" i="4"/>
  <c r="E2226" i="4"/>
  <c r="G2226" i="4"/>
  <c r="E2227" i="4"/>
  <c r="G2227" i="4"/>
  <c r="E2228" i="4"/>
  <c r="G2228" i="4"/>
  <c r="E2229" i="4"/>
  <c r="G2229" i="4"/>
  <c r="E2230" i="4"/>
  <c r="G2230" i="4"/>
  <c r="E2231" i="4"/>
  <c r="G2231" i="4"/>
  <c r="E2232" i="4"/>
  <c r="G2232" i="4"/>
  <c r="E2233" i="4"/>
  <c r="G2233" i="4"/>
  <c r="E2234" i="4"/>
  <c r="G2234" i="4"/>
  <c r="E2235" i="4"/>
  <c r="G2235" i="4"/>
  <c r="E2236" i="4"/>
  <c r="G2236" i="4"/>
  <c r="E2237" i="4"/>
  <c r="G2237" i="4"/>
  <c r="E2238" i="4"/>
  <c r="G2238" i="4"/>
  <c r="E2239" i="4"/>
  <c r="G2239" i="4"/>
  <c r="E2240" i="4"/>
  <c r="G2240" i="4"/>
  <c r="E2241" i="4"/>
  <c r="G2241" i="4"/>
  <c r="E2242" i="4"/>
  <c r="G2242" i="4"/>
  <c r="E2243" i="4"/>
  <c r="G2243" i="4"/>
  <c r="E2244" i="4"/>
  <c r="G2244" i="4"/>
  <c r="E2245" i="4"/>
  <c r="G2245" i="4"/>
  <c r="E2246" i="4"/>
  <c r="G2246" i="4"/>
  <c r="E2247" i="4"/>
  <c r="G2247" i="4"/>
  <c r="E2248" i="4"/>
  <c r="G2248" i="4"/>
  <c r="E2249" i="4"/>
  <c r="G2249" i="4"/>
  <c r="E2250" i="4"/>
  <c r="G2250" i="4"/>
  <c r="E2251" i="4"/>
  <c r="G2251" i="4"/>
  <c r="E2252" i="4"/>
  <c r="G2252" i="4"/>
  <c r="E2253" i="4"/>
  <c r="G2253" i="4"/>
  <c r="E2254" i="4"/>
  <c r="G2254" i="4"/>
  <c r="E2255" i="4"/>
  <c r="G2255" i="4"/>
  <c r="E2256" i="4"/>
  <c r="G2256" i="4"/>
  <c r="E2257" i="4"/>
  <c r="G2257" i="4"/>
  <c r="E2258" i="4"/>
  <c r="G2258" i="4"/>
  <c r="E2259" i="4"/>
  <c r="G2259" i="4"/>
  <c r="E2260" i="4"/>
  <c r="G2260" i="4"/>
  <c r="E2261" i="4"/>
  <c r="G2261" i="4"/>
  <c r="E2262" i="4"/>
  <c r="G2262" i="4"/>
  <c r="E2263" i="4"/>
  <c r="G2263" i="4"/>
  <c r="E2264" i="4"/>
  <c r="G2264" i="4"/>
  <c r="E2265" i="4"/>
  <c r="G2265" i="4"/>
  <c r="E2266" i="4"/>
  <c r="G2266" i="4"/>
  <c r="E2267" i="4"/>
  <c r="G2267" i="4"/>
  <c r="E2268" i="4"/>
  <c r="G2268" i="4"/>
  <c r="E2269" i="4"/>
  <c r="G2269" i="4"/>
  <c r="E2270" i="4"/>
  <c r="G2270" i="4"/>
  <c r="E2271" i="4"/>
  <c r="G2271" i="4"/>
  <c r="E2272" i="4"/>
  <c r="G2272" i="4"/>
  <c r="E2273" i="4"/>
  <c r="G2273" i="4"/>
  <c r="E2274" i="4"/>
  <c r="G2274" i="4"/>
  <c r="E2275" i="4"/>
  <c r="G2275" i="4"/>
  <c r="E2276" i="4"/>
  <c r="G2276" i="4"/>
  <c r="E2277" i="4"/>
  <c r="G2277" i="4"/>
  <c r="E2278" i="4"/>
  <c r="G2278" i="4"/>
  <c r="E2279" i="4"/>
  <c r="G2279" i="4"/>
  <c r="E2280" i="4"/>
  <c r="G2280" i="4"/>
  <c r="E2281" i="4"/>
  <c r="G2281" i="4"/>
  <c r="E2282" i="4"/>
  <c r="G2282" i="4"/>
  <c r="E2283" i="4"/>
  <c r="G2283" i="4"/>
  <c r="E2284" i="4"/>
  <c r="G2284" i="4"/>
  <c r="E2285" i="4"/>
  <c r="G2285" i="4"/>
  <c r="E2286" i="4"/>
  <c r="G2286" i="4"/>
  <c r="E2287" i="4"/>
  <c r="G2287" i="4"/>
  <c r="E2288" i="4"/>
  <c r="G2288" i="4"/>
  <c r="E2289" i="4"/>
  <c r="G2289" i="4"/>
  <c r="E2290" i="4"/>
  <c r="G2290" i="4"/>
  <c r="E2291" i="4"/>
  <c r="G2291" i="4"/>
  <c r="E2292" i="4"/>
  <c r="G2292" i="4"/>
  <c r="E2293" i="4"/>
  <c r="G2293" i="4"/>
  <c r="E2294" i="4"/>
  <c r="G2294" i="4"/>
  <c r="E2295" i="4"/>
  <c r="G2295" i="4"/>
  <c r="E2296" i="4"/>
  <c r="G2296" i="4"/>
  <c r="E2297" i="4"/>
  <c r="G2297" i="4"/>
  <c r="E2298" i="4"/>
  <c r="G2298" i="4"/>
  <c r="E2299" i="4"/>
  <c r="G2299" i="4"/>
  <c r="E2300" i="4"/>
  <c r="G2300" i="4"/>
  <c r="E2301" i="4"/>
  <c r="G2301" i="4"/>
  <c r="E2302" i="4"/>
  <c r="G2302" i="4"/>
  <c r="E2303" i="4"/>
  <c r="G2303" i="4"/>
  <c r="E2304" i="4"/>
  <c r="G2304" i="4"/>
  <c r="E2305" i="4"/>
  <c r="G2305" i="4"/>
  <c r="E2306" i="4"/>
  <c r="G2306" i="4"/>
  <c r="E2307" i="4"/>
  <c r="G2307" i="4"/>
  <c r="E2308" i="4"/>
  <c r="G2308" i="4"/>
  <c r="E2309" i="4"/>
  <c r="G2309" i="4"/>
  <c r="E2310" i="4"/>
  <c r="G2310" i="4"/>
  <c r="E2311" i="4"/>
  <c r="G2311" i="4"/>
  <c r="E2312" i="4"/>
  <c r="G2312" i="4"/>
  <c r="E2313" i="4"/>
  <c r="G2313" i="4"/>
  <c r="E2314" i="4"/>
  <c r="G2314" i="4"/>
  <c r="E2315" i="4"/>
  <c r="G2315" i="4"/>
  <c r="E2316" i="4"/>
  <c r="G2316" i="4"/>
  <c r="E2317" i="4"/>
  <c r="G2317" i="4"/>
  <c r="E2318" i="4"/>
  <c r="G2318" i="4"/>
  <c r="E2319" i="4"/>
  <c r="G2319" i="4"/>
  <c r="E2320" i="4"/>
  <c r="G2320" i="4"/>
  <c r="E2321" i="4"/>
  <c r="G2321" i="4"/>
  <c r="E2322" i="4"/>
  <c r="G2322" i="4"/>
  <c r="E2323" i="4"/>
  <c r="G2323" i="4"/>
  <c r="E2324" i="4"/>
  <c r="G232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E2325" i="4"/>
  <c r="F2325" i="4"/>
  <c r="E2326" i="4"/>
  <c r="F2326" i="4"/>
  <c r="E2327" i="4"/>
  <c r="F2327" i="4"/>
  <c r="E2328" i="4"/>
  <c r="F2328" i="4"/>
  <c r="E2329" i="4"/>
  <c r="F2329" i="4"/>
  <c r="E2330" i="4"/>
  <c r="F2330" i="4"/>
  <c r="E2331" i="4"/>
  <c r="F2331" i="4"/>
  <c r="E2332" i="4"/>
  <c r="F2332" i="4"/>
  <c r="E2333" i="4"/>
  <c r="F2333" i="4"/>
  <c r="E2334" i="4"/>
  <c r="F2334" i="4"/>
  <c r="E2335" i="4"/>
  <c r="F2335" i="4"/>
  <c r="E2336" i="4"/>
  <c r="F2336" i="4"/>
  <c r="E2337" i="4"/>
  <c r="F2337" i="4"/>
  <c r="E2338" i="4"/>
  <c r="F2338" i="4"/>
  <c r="E2339" i="4"/>
  <c r="F2339" i="4"/>
  <c r="E2340" i="4"/>
  <c r="F2340" i="4"/>
  <c r="E2341" i="4"/>
  <c r="F2341" i="4"/>
  <c r="E2342" i="4"/>
  <c r="F2342" i="4"/>
  <c r="E2343" i="4"/>
  <c r="F2343" i="4"/>
  <c r="E2344" i="4"/>
  <c r="F2344" i="4"/>
  <c r="E2345" i="4"/>
  <c r="F2345" i="4"/>
  <c r="E2346" i="4"/>
  <c r="F2346" i="4"/>
  <c r="E2347" i="4"/>
  <c r="F2347" i="4"/>
  <c r="E2348" i="4"/>
  <c r="F2348" i="4"/>
  <c r="E2349" i="4"/>
  <c r="F2349" i="4"/>
  <c r="E2350" i="4"/>
  <c r="F2350" i="4"/>
  <c r="E2351" i="4"/>
  <c r="F2351" i="4"/>
  <c r="E2352" i="4"/>
  <c r="F2352" i="4"/>
  <c r="E2353" i="4"/>
  <c r="F2353" i="4"/>
  <c r="E2354" i="4"/>
  <c r="F2354" i="4"/>
  <c r="E2355" i="4"/>
  <c r="F2355" i="4"/>
  <c r="E2356" i="4"/>
  <c r="F2356" i="4"/>
  <c r="E2357" i="4"/>
  <c r="F2357" i="4"/>
  <c r="E2358" i="4"/>
  <c r="F2358" i="4"/>
  <c r="E2359" i="4"/>
  <c r="F2359" i="4"/>
  <c r="E2360" i="4"/>
  <c r="F2360" i="4"/>
  <c r="E2361" i="4"/>
  <c r="F2361" i="4"/>
  <c r="E2362" i="4"/>
  <c r="F2362" i="4"/>
  <c r="E2363" i="4"/>
  <c r="F2363" i="4"/>
  <c r="E2364" i="4"/>
  <c r="F2364" i="4"/>
  <c r="E2365" i="4"/>
  <c r="F2365" i="4"/>
  <c r="E2366" i="4"/>
  <c r="F2366" i="4"/>
  <c r="E2367" i="4"/>
  <c r="F2367" i="4"/>
  <c r="E2368" i="4"/>
  <c r="F2368" i="4"/>
  <c r="E2369" i="4"/>
  <c r="F2369" i="4"/>
  <c r="E2370" i="4"/>
  <c r="F2370" i="4"/>
  <c r="E3" i="4"/>
  <c r="G3" i="4"/>
  <c r="F3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1" i="4"/>
  <c r="E2412" i="4"/>
  <c r="E2413" i="4"/>
  <c r="E2414" i="4"/>
  <c r="E2415" i="4"/>
  <c r="E2416" i="4"/>
  <c r="E2417" i="4"/>
  <c r="E2418" i="4"/>
  <c r="E2419" i="4"/>
  <c r="E2420" i="4"/>
  <c r="E2421" i="4"/>
  <c r="E2422" i="4"/>
  <c r="E2423" i="4"/>
  <c r="E2424" i="4"/>
  <c r="E2425" i="4"/>
  <c r="E2426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N33" i="6"/>
  <c r="M33" i="6"/>
  <c r="L33" i="6"/>
  <c r="K33" i="6"/>
  <c r="J33" i="6"/>
  <c r="I33" i="6"/>
  <c r="H33" i="6"/>
  <c r="G33" i="6"/>
  <c r="F33" i="6"/>
  <c r="E33" i="6"/>
  <c r="D33" i="6"/>
  <c r="L264" i="10"/>
  <c r="K264" i="10"/>
  <c r="J264" i="10"/>
  <c r="I264" i="10"/>
  <c r="H264" i="10"/>
  <c r="G264" i="10"/>
  <c r="F264" i="10"/>
  <c r="E264" i="10"/>
  <c r="D264" i="10"/>
  <c r="C264" i="10"/>
  <c r="B264" i="10"/>
  <c r="G2334" i="4"/>
  <c r="G2338" i="4"/>
  <c r="G2339" i="4"/>
  <c r="G2340" i="4"/>
  <c r="G2341" i="4"/>
  <c r="G2343" i="4"/>
  <c r="G2346" i="4"/>
  <c r="G2347" i="4"/>
  <c r="G2349" i="4"/>
  <c r="G2350" i="4"/>
  <c r="G2357" i="4"/>
  <c r="G2358" i="4"/>
  <c r="G2359" i="4"/>
  <c r="G2360" i="4"/>
  <c r="G2363" i="4"/>
  <c r="G2365" i="4"/>
  <c r="G2366" i="4"/>
  <c r="F2373" i="4"/>
  <c r="G2373" i="4"/>
  <c r="F2376" i="4"/>
  <c r="G2376" i="4"/>
  <c r="F2382" i="4"/>
  <c r="G2382" i="4"/>
  <c r="F2386" i="4"/>
  <c r="G2386" i="4"/>
  <c r="G2387" i="4"/>
  <c r="F2387" i="4"/>
  <c r="F2388" i="4"/>
  <c r="G2388" i="4"/>
  <c r="F2389" i="4"/>
  <c r="G2389" i="4"/>
  <c r="G2390" i="4"/>
  <c r="F2390" i="4"/>
  <c r="G2391" i="4"/>
  <c r="F2391" i="4"/>
  <c r="F2394" i="4"/>
  <c r="G2394" i="4"/>
  <c r="F2395" i="4"/>
  <c r="G2395" i="4"/>
  <c r="F2397" i="4"/>
  <c r="G2397" i="4"/>
  <c r="F2398" i="4"/>
  <c r="G2398" i="4"/>
  <c r="G2400" i="4"/>
  <c r="G2403" i="4"/>
  <c r="F2403" i="4"/>
  <c r="G2414" i="4"/>
  <c r="F2414" i="4"/>
  <c r="G2416" i="4"/>
  <c r="F2416" i="4"/>
  <c r="F2421" i="4"/>
  <c r="G2421" i="4"/>
  <c r="G2424" i="4"/>
  <c r="F2424" i="4"/>
  <c r="E2427" i="4"/>
  <c r="G2427" i="4"/>
  <c r="F2427" i="4"/>
  <c r="E2428" i="4"/>
  <c r="F2428" i="4"/>
  <c r="G2428" i="4"/>
  <c r="E2429" i="4"/>
  <c r="F2429" i="4"/>
  <c r="G2429" i="4"/>
  <c r="E2430" i="4"/>
  <c r="F2430" i="4"/>
  <c r="G2430" i="4"/>
  <c r="E2431" i="4"/>
  <c r="E2432" i="4"/>
  <c r="G2432" i="4"/>
  <c r="F2432" i="4"/>
  <c r="E2433" i="4"/>
  <c r="E2434" i="4"/>
  <c r="E2435" i="4"/>
  <c r="E2436" i="4"/>
  <c r="F2436" i="4"/>
  <c r="G2436" i="4"/>
  <c r="E2437" i="4"/>
  <c r="F2437" i="4"/>
  <c r="G2437" i="4"/>
  <c r="E2438" i="4"/>
  <c r="G2438" i="4"/>
  <c r="F2438" i="4"/>
  <c r="E2439" i="4"/>
  <c r="G2439" i="4"/>
  <c r="F2439" i="4"/>
  <c r="E2440" i="4"/>
  <c r="E2441" i="4"/>
  <c r="E2442" i="4"/>
  <c r="F2442" i="4"/>
  <c r="G2442" i="4"/>
  <c r="E2443" i="4"/>
  <c r="F2443" i="4"/>
  <c r="G2443" i="4"/>
  <c r="E2444" i="4"/>
  <c r="E2445" i="4"/>
  <c r="F2445" i="4"/>
  <c r="G2445" i="4"/>
  <c r="E2446" i="4"/>
  <c r="F2446" i="4"/>
  <c r="G2446" i="4"/>
  <c r="E2447" i="4"/>
  <c r="E2448" i="4"/>
  <c r="E2449" i="4"/>
  <c r="E2450" i="4"/>
  <c r="E2451" i="4"/>
  <c r="E2452" i="4"/>
  <c r="E2453" i="4"/>
  <c r="E2454" i="4"/>
  <c r="E2455" i="4"/>
  <c r="E2456" i="4"/>
  <c r="F2456" i="4"/>
  <c r="G2456" i="4"/>
  <c r="E2457" i="4"/>
  <c r="E2458" i="4"/>
  <c r="F2458" i="4"/>
  <c r="E2459" i="4"/>
  <c r="F2459" i="4"/>
  <c r="G2459" i="4"/>
  <c r="E2460" i="4"/>
  <c r="E2461" i="4"/>
  <c r="E2462" i="4"/>
  <c r="E2463" i="4"/>
  <c r="E2464" i="4"/>
  <c r="G2464" i="4"/>
  <c r="F2464" i="4"/>
  <c r="E2465" i="4"/>
  <c r="E2466" i="4"/>
  <c r="E2467" i="4"/>
  <c r="G2467" i="4"/>
  <c r="F2467" i="4"/>
  <c r="E2468" i="4"/>
  <c r="E2469" i="4"/>
  <c r="E2470" i="4"/>
  <c r="E2471" i="4"/>
  <c r="E2472" i="4"/>
  <c r="G2472" i="4"/>
  <c r="F2472" i="4"/>
  <c r="E2473" i="4"/>
  <c r="E2474" i="4"/>
  <c r="E2475" i="4"/>
  <c r="G2475" i="4"/>
  <c r="F2475" i="4"/>
  <c r="E2476" i="4"/>
  <c r="F2476" i="4"/>
  <c r="G2476" i="4"/>
  <c r="E2477" i="4"/>
  <c r="F2477" i="4"/>
  <c r="G2477" i="4"/>
  <c r="E2478" i="4"/>
  <c r="F2478" i="4"/>
  <c r="G2478" i="4"/>
  <c r="E2479" i="4"/>
  <c r="E2480" i="4"/>
  <c r="G2480" i="4"/>
  <c r="F2480" i="4"/>
  <c r="E2481" i="4"/>
  <c r="E2482" i="4"/>
  <c r="E2483" i="4"/>
  <c r="E2484" i="4"/>
  <c r="E2485" i="4"/>
  <c r="F2485" i="4"/>
  <c r="G2485" i="4"/>
  <c r="E2486" i="4"/>
  <c r="E2487" i="4"/>
  <c r="E2488" i="4"/>
  <c r="E2489" i="4"/>
  <c r="E2490" i="4"/>
  <c r="F2490" i="4"/>
  <c r="G2490" i="4"/>
  <c r="E2491" i="4"/>
  <c r="F2491" i="4"/>
  <c r="G2491" i="4"/>
  <c r="E2492" i="4"/>
  <c r="E2493" i="4"/>
  <c r="E2494" i="4"/>
  <c r="E2495" i="4"/>
  <c r="F2495" i="4"/>
  <c r="G2495" i="4"/>
  <c r="E2496" i="4"/>
  <c r="G2496" i="4"/>
  <c r="F2496" i="4"/>
  <c r="E2497" i="4"/>
  <c r="E2498" i="4"/>
  <c r="E2499" i="4"/>
  <c r="E2500" i="4"/>
  <c r="E2501" i="4"/>
  <c r="E2502" i="4"/>
  <c r="E2503" i="4"/>
  <c r="E2504" i="4"/>
  <c r="F2504" i="4"/>
  <c r="G2504" i="4"/>
  <c r="E2505" i="4"/>
  <c r="E2506" i="4"/>
  <c r="E2507" i="4"/>
  <c r="F2507" i="4"/>
  <c r="G2507" i="4"/>
  <c r="E2508" i="4"/>
  <c r="E2509" i="4"/>
  <c r="E2510" i="4"/>
  <c r="E2511" i="4"/>
  <c r="E2512" i="4"/>
  <c r="G2512" i="4"/>
  <c r="F2512" i="4"/>
  <c r="E2513" i="4"/>
  <c r="E2514" i="4"/>
  <c r="E2515" i="4"/>
  <c r="G2515" i="4"/>
  <c r="F2515" i="4"/>
  <c r="E2516" i="4"/>
  <c r="E2517" i="4"/>
  <c r="F2517" i="4"/>
  <c r="G2517" i="4"/>
  <c r="E2518" i="4"/>
  <c r="E2519" i="4"/>
  <c r="E2520" i="4"/>
  <c r="E2521" i="4"/>
  <c r="E2522" i="4"/>
  <c r="E2523" i="4"/>
  <c r="E2524" i="4"/>
  <c r="E2525" i="4"/>
  <c r="E2526" i="4"/>
  <c r="F2526" i="4"/>
  <c r="G2526" i="4"/>
  <c r="E2527" i="4"/>
  <c r="E2528" i="4"/>
  <c r="E2529" i="4"/>
  <c r="E2530" i="4"/>
  <c r="E2531" i="4"/>
  <c r="E2532" i="4"/>
  <c r="F2532" i="4"/>
  <c r="E2533" i="4"/>
  <c r="E2534" i="4"/>
  <c r="E2535" i="4"/>
  <c r="F2535" i="4"/>
  <c r="G2535" i="4"/>
  <c r="E2536" i="4"/>
  <c r="G2536" i="4"/>
  <c r="F2536" i="4"/>
  <c r="E2537" i="4"/>
  <c r="E2538" i="4"/>
  <c r="E2539" i="4"/>
  <c r="E2540" i="4"/>
  <c r="E2541" i="4"/>
  <c r="E2542" i="4"/>
  <c r="E2543" i="4"/>
  <c r="F2543" i="4"/>
  <c r="E2544" i="4"/>
  <c r="E2545" i="4"/>
  <c r="E2546" i="4"/>
  <c r="E2547" i="4"/>
  <c r="E2548" i="4"/>
  <c r="F2548" i="4"/>
  <c r="G2548" i="4"/>
  <c r="E2549" i="4"/>
  <c r="F2549" i="4"/>
  <c r="G2549" i="4"/>
  <c r="E2550" i="4"/>
  <c r="G2550" i="4"/>
  <c r="F2550" i="4"/>
  <c r="E2551" i="4"/>
  <c r="G2551" i="4"/>
  <c r="F2551" i="4"/>
  <c r="E2552" i="4"/>
  <c r="G2552" i="4"/>
  <c r="F2552" i="4"/>
  <c r="E2553" i="4"/>
  <c r="E2554" i="4"/>
  <c r="E2555" i="4"/>
  <c r="F2555" i="4"/>
  <c r="G2555" i="4"/>
  <c r="E2556" i="4"/>
  <c r="E2557" i="4"/>
  <c r="E2558" i="4"/>
  <c r="G2558" i="4"/>
  <c r="F2558" i="4"/>
  <c r="E2559" i="4"/>
  <c r="E2560" i="4"/>
  <c r="E2561" i="4"/>
  <c r="E2562" i="4"/>
  <c r="E2563" i="4"/>
  <c r="E2564" i="4"/>
  <c r="F2564" i="4"/>
  <c r="G2564" i="4"/>
  <c r="E2565" i="4"/>
  <c r="F2565" i="4"/>
  <c r="G2565" i="4"/>
  <c r="E2566" i="4"/>
  <c r="E2567" i="4"/>
  <c r="E2568" i="4"/>
  <c r="F2568" i="4"/>
  <c r="G2568" i="4"/>
  <c r="E2569" i="4"/>
  <c r="E2570" i="4"/>
  <c r="E2571" i="4"/>
  <c r="G2571" i="4"/>
  <c r="F2571" i="4"/>
  <c r="E2572" i="4"/>
  <c r="E2573" i="4"/>
  <c r="E2574" i="4"/>
  <c r="E2575" i="4"/>
  <c r="E2576" i="4"/>
  <c r="E2577" i="4"/>
  <c r="E2578" i="4"/>
  <c r="E2579" i="4"/>
  <c r="E2580" i="4"/>
  <c r="E2581" i="4"/>
  <c r="E2582" i="4"/>
  <c r="G2582" i="4"/>
  <c r="E2583" i="4"/>
  <c r="F2583" i="4"/>
  <c r="E2584" i="4"/>
  <c r="E2585" i="4"/>
  <c r="E2586" i="4"/>
  <c r="F2586" i="4"/>
  <c r="G2586" i="4"/>
  <c r="E2587" i="4"/>
  <c r="G2587" i="4"/>
  <c r="F2587" i="4"/>
  <c r="E2588" i="4"/>
  <c r="E2589" i="4"/>
  <c r="F2589" i="4"/>
  <c r="G2589" i="4"/>
  <c r="E2590" i="4"/>
  <c r="F2590" i="4"/>
  <c r="G2590" i="4"/>
  <c r="E2591" i="4"/>
  <c r="E2592" i="4"/>
  <c r="E2593" i="4"/>
  <c r="E2594" i="4"/>
  <c r="E2595" i="4"/>
  <c r="E2596" i="4"/>
  <c r="F2596" i="4"/>
  <c r="G2596" i="4"/>
  <c r="E2597" i="4"/>
  <c r="F2597" i="4"/>
  <c r="G2597" i="4"/>
  <c r="E2598" i="4"/>
  <c r="G2598" i="4"/>
  <c r="F2598" i="4"/>
  <c r="E2599" i="4"/>
  <c r="G2599" i="4"/>
  <c r="F2599" i="4"/>
  <c r="E2600" i="4"/>
  <c r="G2600" i="4"/>
  <c r="F2600" i="4"/>
  <c r="E2601" i="4"/>
  <c r="E2602" i="4"/>
  <c r="E2603" i="4"/>
  <c r="F2603" i="4"/>
  <c r="G2603" i="4"/>
  <c r="E2604" i="4"/>
  <c r="F2604" i="4"/>
  <c r="G2604" i="4"/>
  <c r="E2605" i="4"/>
  <c r="F2605" i="4"/>
  <c r="G2605" i="4"/>
  <c r="E2606" i="4"/>
  <c r="G2606" i="4"/>
  <c r="F2606" i="4"/>
  <c r="E2607" i="4"/>
  <c r="F2607" i="4"/>
  <c r="G2607" i="4"/>
  <c r="E2608" i="4"/>
  <c r="G2608" i="4"/>
  <c r="F2608" i="4"/>
  <c r="E2609" i="4"/>
  <c r="F2609" i="4"/>
  <c r="G2609" i="4"/>
  <c r="E2610" i="4"/>
  <c r="F2610" i="4"/>
  <c r="G2610" i="4"/>
  <c r="E2611" i="4"/>
  <c r="G2611" i="4"/>
  <c r="F2611" i="4"/>
  <c r="E2612" i="4"/>
  <c r="G2612" i="4"/>
  <c r="F2612" i="4"/>
  <c r="E2613" i="4"/>
  <c r="E2614" i="4"/>
  <c r="E2615" i="4"/>
  <c r="F2615" i="4"/>
  <c r="G2615" i="4"/>
  <c r="E2616" i="4"/>
  <c r="G2616" i="4"/>
  <c r="F2616" i="4"/>
  <c r="E2617" i="4"/>
  <c r="E2618" i="4"/>
  <c r="F2618" i="4"/>
  <c r="G2618" i="4"/>
  <c r="E2619" i="4"/>
  <c r="G2619" i="4"/>
  <c r="F2619" i="4"/>
  <c r="E2620" i="4"/>
  <c r="F2620" i="4"/>
  <c r="G2620" i="4"/>
  <c r="E2621" i="4"/>
  <c r="F2621" i="4"/>
  <c r="G2621" i="4"/>
  <c r="E2622" i="4"/>
  <c r="G2622" i="4"/>
  <c r="F2622" i="4"/>
  <c r="E2623" i="4"/>
  <c r="E2624" i="4"/>
  <c r="E2625" i="4"/>
  <c r="E2626" i="4"/>
  <c r="F2626" i="4"/>
  <c r="E2627" i="4"/>
  <c r="E2628" i="4"/>
  <c r="E2629" i="4"/>
  <c r="F2629" i="4"/>
  <c r="G2629" i="4"/>
  <c r="E2630" i="4"/>
  <c r="E2631" i="4"/>
  <c r="E2632" i="4"/>
  <c r="G2632" i="4"/>
  <c r="F2632" i="4"/>
  <c r="E2633" i="4"/>
  <c r="E2634" i="4"/>
  <c r="F2634" i="4"/>
  <c r="E2635" i="4"/>
  <c r="F2635" i="4"/>
  <c r="G2635" i="4"/>
  <c r="E2636" i="4"/>
  <c r="E2637" i="4"/>
  <c r="E2638" i="4"/>
  <c r="E2639" i="4"/>
  <c r="F2639" i="4"/>
  <c r="G2639" i="4"/>
  <c r="E2640" i="4"/>
  <c r="E2641" i="4"/>
  <c r="G2641" i="4"/>
  <c r="F2641" i="4"/>
  <c r="E2642" i="4"/>
  <c r="F2642" i="4"/>
  <c r="G2642" i="4"/>
  <c r="E2643" i="4"/>
  <c r="F2643" i="4"/>
  <c r="G2643" i="4"/>
  <c r="E2644" i="4"/>
  <c r="E2645" i="4"/>
  <c r="G2645" i="4"/>
  <c r="F2645" i="4"/>
  <c r="E2646" i="4"/>
  <c r="E2647" i="4"/>
  <c r="G2647" i="4"/>
  <c r="F2647" i="4"/>
  <c r="E2648" i="4"/>
  <c r="E2649" i="4"/>
  <c r="G2649" i="4"/>
  <c r="F2649" i="4"/>
  <c r="E2650" i="4"/>
  <c r="F2650" i="4"/>
  <c r="G2650" i="4"/>
  <c r="E2651" i="4"/>
  <c r="F2651" i="4"/>
  <c r="G2651" i="4"/>
  <c r="E2652" i="4"/>
  <c r="E2653" i="4"/>
  <c r="G2653" i="4"/>
  <c r="F2653" i="4"/>
  <c r="E2654" i="4"/>
  <c r="F2654" i="4"/>
  <c r="G2654" i="4"/>
  <c r="E2655" i="4"/>
  <c r="F2655" i="4"/>
  <c r="G2655" i="4"/>
  <c r="E2656" i="4"/>
  <c r="E2657" i="4"/>
  <c r="G2657" i="4"/>
  <c r="F2657" i="4"/>
  <c r="E2658" i="4"/>
  <c r="F2658" i="4"/>
  <c r="E2659" i="4"/>
  <c r="E2660" i="4"/>
  <c r="E2661" i="4"/>
  <c r="G2661" i="4"/>
  <c r="F2661" i="4"/>
  <c r="E2662" i="4"/>
  <c r="F2662" i="4"/>
  <c r="G2662" i="4"/>
  <c r="E2663" i="4"/>
  <c r="G2663" i="4"/>
  <c r="F2663" i="4"/>
  <c r="E2664" i="4"/>
  <c r="E2665" i="4"/>
  <c r="G2665" i="4"/>
  <c r="F2665" i="4"/>
  <c r="E2666" i="4"/>
  <c r="G2666" i="4"/>
  <c r="F2666" i="4"/>
  <c r="E2667" i="4"/>
  <c r="F2667" i="4"/>
  <c r="G2667" i="4"/>
  <c r="E2668" i="4"/>
  <c r="E2669" i="4"/>
  <c r="E2670" i="4"/>
  <c r="F2670" i="4"/>
  <c r="G2670" i="4"/>
  <c r="E2671" i="4"/>
  <c r="G2671" i="4"/>
  <c r="F2671" i="4"/>
  <c r="E2672" i="4"/>
  <c r="E2673" i="4"/>
  <c r="E2674" i="4"/>
  <c r="F2674" i="4"/>
  <c r="G2674" i="4"/>
  <c r="E2675" i="4"/>
  <c r="F2675" i="4"/>
  <c r="G2675" i="4"/>
  <c r="E2676" i="4"/>
  <c r="E2677" i="4"/>
  <c r="E2678" i="4"/>
  <c r="F2678" i="4"/>
  <c r="E2679" i="4"/>
  <c r="G2679" i="4"/>
  <c r="F2679" i="4"/>
  <c r="E2680" i="4"/>
  <c r="E2681" i="4"/>
  <c r="E2682" i="4"/>
  <c r="E2683" i="4"/>
  <c r="E2684" i="4"/>
  <c r="E2685" i="4"/>
  <c r="G2685" i="4"/>
  <c r="F2685" i="4"/>
  <c r="E2686" i="4"/>
  <c r="F2686" i="4"/>
  <c r="G2686" i="4"/>
  <c r="E2687" i="4"/>
  <c r="G2687" i="4"/>
  <c r="F2687" i="4"/>
  <c r="E2688" i="4"/>
  <c r="E2689" i="4"/>
  <c r="E2690" i="4"/>
  <c r="E2691" i="4"/>
  <c r="F2691" i="4"/>
  <c r="G2691" i="4"/>
  <c r="E2692" i="4"/>
  <c r="E2693" i="4"/>
  <c r="E2694" i="4"/>
  <c r="E2695" i="4"/>
  <c r="E2696" i="4"/>
  <c r="E2697" i="4"/>
  <c r="E2698" i="4"/>
  <c r="F2698" i="4"/>
  <c r="E2699" i="4"/>
  <c r="E2700" i="4"/>
  <c r="E2701" i="4"/>
  <c r="E2702" i="4"/>
  <c r="E2703" i="4"/>
  <c r="G2703" i="4"/>
  <c r="F2703" i="4"/>
  <c r="E2704" i="4"/>
  <c r="F2704" i="4"/>
  <c r="E2705" i="4"/>
  <c r="E2706" i="4"/>
  <c r="E2707" i="4"/>
  <c r="E2708" i="4"/>
  <c r="E2709" i="4"/>
  <c r="G2709" i="4"/>
  <c r="F2709" i="4"/>
  <c r="E2710" i="4"/>
  <c r="F2710" i="4"/>
  <c r="E2711" i="4"/>
  <c r="E2712" i="4"/>
  <c r="E2713" i="4"/>
  <c r="E2714" i="4"/>
  <c r="G2714" i="4"/>
  <c r="F2714" i="4"/>
  <c r="E2715" i="4"/>
  <c r="F2715" i="4"/>
  <c r="G2715" i="4"/>
  <c r="E2716" i="4"/>
  <c r="E2717" i="4"/>
  <c r="E2718" i="4"/>
  <c r="E2719" i="4"/>
  <c r="E2720" i="4"/>
  <c r="E2721" i="4"/>
  <c r="E2722" i="4"/>
  <c r="E2723" i="4"/>
  <c r="F2723" i="4"/>
  <c r="G2723" i="4"/>
  <c r="E2724" i="4"/>
  <c r="E2725" i="4"/>
  <c r="E2726" i="4"/>
  <c r="E2727" i="4"/>
  <c r="E2728" i="4"/>
  <c r="F2728" i="4"/>
  <c r="G2728" i="4"/>
  <c r="E2729" i="4"/>
  <c r="E2730" i="4"/>
  <c r="F2730" i="4"/>
  <c r="E2731" i="4"/>
  <c r="G2731" i="4"/>
  <c r="F2731" i="4"/>
  <c r="E2732" i="4"/>
  <c r="E2733" i="4"/>
  <c r="E2734" i="4"/>
  <c r="E2735" i="4"/>
  <c r="F2735" i="4"/>
  <c r="G2735" i="4"/>
  <c r="E2736" i="4"/>
  <c r="E2737" i="4"/>
  <c r="E2738" i="4"/>
  <c r="F2738" i="4"/>
  <c r="G2738" i="4"/>
  <c r="E2739" i="4"/>
  <c r="G2739" i="4"/>
  <c r="F2739" i="4"/>
  <c r="E2740" i="4"/>
  <c r="E2741" i="4"/>
  <c r="E2742" i="4"/>
  <c r="E2743" i="4"/>
  <c r="G2743" i="4"/>
  <c r="E2744" i="4"/>
  <c r="E2745" i="4"/>
  <c r="E2746" i="4"/>
  <c r="E2747" i="4"/>
  <c r="E2748" i="4"/>
  <c r="E2749" i="4"/>
  <c r="E2750" i="4"/>
  <c r="E2751" i="4"/>
  <c r="F2751" i="4"/>
  <c r="G2751" i="4"/>
  <c r="E2752" i="4"/>
  <c r="E2753" i="4"/>
  <c r="E2754" i="4"/>
  <c r="F2754" i="4"/>
  <c r="G2754" i="4"/>
  <c r="E2755" i="4"/>
  <c r="G2755" i="4"/>
  <c r="F2755" i="4"/>
  <c r="E2756" i="4"/>
  <c r="E2757" i="4"/>
  <c r="G2757" i="4"/>
  <c r="E2758" i="4"/>
  <c r="F2758" i="4"/>
  <c r="E2759" i="4"/>
  <c r="F2759" i="4"/>
  <c r="G2759" i="4"/>
  <c r="E2760" i="4"/>
  <c r="E2761" i="4"/>
  <c r="E2762" i="4"/>
  <c r="E2763" i="4"/>
  <c r="E2764" i="4"/>
  <c r="E2765" i="4"/>
  <c r="E2766" i="4"/>
  <c r="F2766" i="4"/>
  <c r="G2766" i="4"/>
  <c r="E2767" i="4"/>
  <c r="G2767" i="4"/>
  <c r="F2767" i="4"/>
  <c r="E2768" i="4"/>
  <c r="E2769" i="4"/>
  <c r="E2770" i="4"/>
  <c r="E2771" i="4"/>
  <c r="F2771" i="4"/>
  <c r="G2771" i="4"/>
  <c r="E2772" i="4"/>
  <c r="E2773" i="4"/>
  <c r="E2774" i="4"/>
  <c r="E2775" i="4"/>
  <c r="F2775" i="4"/>
  <c r="G2775" i="4"/>
  <c r="E2776" i="4"/>
  <c r="E2777" i="4"/>
  <c r="E2778" i="4"/>
  <c r="F2778" i="4"/>
  <c r="E2779" i="4"/>
  <c r="E2780" i="4"/>
  <c r="E2781" i="4"/>
  <c r="G2781" i="4"/>
  <c r="F2781" i="4"/>
  <c r="E2782" i="4"/>
  <c r="F2782" i="4"/>
  <c r="G2782" i="4"/>
  <c r="E2783" i="4"/>
  <c r="F2783" i="4"/>
  <c r="G2783" i="4"/>
  <c r="E2784" i="4"/>
  <c r="E2785" i="4"/>
  <c r="E2786" i="4"/>
  <c r="E2787" i="4"/>
  <c r="F2787" i="4"/>
  <c r="G2787" i="4"/>
  <c r="E2788" i="4"/>
  <c r="E2789" i="4"/>
  <c r="E2790" i="4"/>
  <c r="F2790" i="4"/>
  <c r="E2791" i="4"/>
  <c r="G2791" i="4"/>
  <c r="E2792" i="4"/>
  <c r="E2793" i="4"/>
  <c r="E2794" i="4"/>
  <c r="E2795" i="4"/>
  <c r="E2796" i="4"/>
  <c r="E2797" i="4"/>
  <c r="E2798" i="4"/>
  <c r="E2799" i="4"/>
  <c r="E2800" i="4"/>
  <c r="E2801" i="4"/>
  <c r="G2801" i="4"/>
  <c r="F2801" i="4"/>
  <c r="E2802" i="4"/>
  <c r="G2802" i="4"/>
  <c r="F2802" i="4"/>
  <c r="E2803" i="4"/>
  <c r="F2803" i="4"/>
  <c r="G2803" i="4"/>
  <c r="E2804" i="4"/>
  <c r="G2804" i="4"/>
  <c r="F2804" i="4"/>
  <c r="E2805" i="4"/>
  <c r="E2806" i="4"/>
  <c r="E2807" i="4"/>
  <c r="F2807" i="4"/>
  <c r="G2807" i="4"/>
  <c r="E2808" i="4"/>
  <c r="G2808" i="4"/>
  <c r="F2808" i="4"/>
  <c r="E2809" i="4"/>
  <c r="E2810" i="4"/>
  <c r="F2810" i="4"/>
  <c r="G2810" i="4"/>
  <c r="E2811" i="4"/>
  <c r="E2812" i="4"/>
  <c r="E2813" i="4"/>
  <c r="E2814" i="4"/>
  <c r="E2815" i="4"/>
  <c r="E2816" i="4"/>
  <c r="F2816" i="4"/>
  <c r="G2816" i="4"/>
  <c r="E2817" i="4"/>
  <c r="E2818" i="4"/>
  <c r="G2818" i="4"/>
  <c r="F2818" i="4"/>
  <c r="E2819" i="4"/>
  <c r="E2820" i="4"/>
  <c r="G2820" i="4"/>
  <c r="F2820" i="4"/>
  <c r="E2821" i="4"/>
  <c r="E2822" i="4"/>
  <c r="E2823" i="4"/>
  <c r="G2823" i="4"/>
  <c r="F2823" i="4"/>
  <c r="E2824" i="4"/>
  <c r="E2825" i="4"/>
  <c r="G2825" i="4"/>
  <c r="F2825" i="4"/>
  <c r="E2826" i="4"/>
  <c r="E2827" i="4"/>
  <c r="E2828" i="4"/>
  <c r="E2829" i="4"/>
  <c r="E2830" i="4"/>
  <c r="E2831" i="4"/>
  <c r="E2832" i="4"/>
  <c r="F2832" i="4"/>
  <c r="G2832" i="4"/>
  <c r="E2833" i="4"/>
  <c r="G2833" i="4"/>
  <c r="F2833" i="4"/>
  <c r="E2834" i="4"/>
  <c r="F2834" i="4"/>
  <c r="G2834" i="4"/>
  <c r="E2835" i="4"/>
  <c r="E2836" i="4"/>
  <c r="G2836" i="4"/>
  <c r="F2836" i="4"/>
  <c r="E2837" i="4"/>
  <c r="E2838" i="4"/>
  <c r="E2839" i="4"/>
  <c r="G2839" i="4"/>
  <c r="E2840" i="4"/>
  <c r="F2840" i="4"/>
  <c r="E2841" i="4"/>
  <c r="E2842" i="4"/>
  <c r="E2843" i="4"/>
  <c r="G2843" i="4"/>
  <c r="F2843" i="4"/>
  <c r="E2844" i="4"/>
  <c r="E2845" i="4"/>
  <c r="E2846" i="4"/>
  <c r="E2847" i="4"/>
  <c r="F2847" i="4"/>
  <c r="G2847" i="4"/>
  <c r="E2848" i="4"/>
  <c r="E2849" i="4"/>
  <c r="E2850" i="4"/>
  <c r="E2851" i="4"/>
  <c r="E2852" i="4"/>
  <c r="E2853" i="4"/>
  <c r="E2854" i="4"/>
  <c r="E2855" i="4"/>
  <c r="E2856" i="4"/>
  <c r="F2856" i="4"/>
  <c r="G2856" i="4"/>
  <c r="E2857" i="4"/>
  <c r="E2858" i="4"/>
  <c r="F2858" i="4"/>
  <c r="G2858" i="4"/>
  <c r="E2859" i="4"/>
  <c r="E2860" i="4"/>
  <c r="G2860" i="4"/>
  <c r="F2860" i="4"/>
  <c r="E2861" i="4"/>
  <c r="E2862" i="4"/>
  <c r="F2862" i="4"/>
  <c r="G2862" i="4"/>
  <c r="E2863" i="4"/>
  <c r="G2863" i="4"/>
  <c r="F2863" i="4"/>
  <c r="E2864" i="4"/>
  <c r="F2864" i="4"/>
  <c r="G2864" i="4"/>
  <c r="E2865" i="4"/>
  <c r="G2865" i="4"/>
  <c r="F2865" i="4"/>
  <c r="E2866" i="4"/>
  <c r="G2866" i="4"/>
  <c r="F2866" i="4"/>
  <c r="E2867" i="4"/>
  <c r="F2867" i="4"/>
  <c r="E2868" i="4"/>
  <c r="G2868" i="4"/>
  <c r="F2868" i="4"/>
  <c r="E2869" i="4"/>
  <c r="E2870" i="4"/>
  <c r="F2870" i="4"/>
  <c r="G2870" i="4"/>
  <c r="E2871" i="4"/>
  <c r="E2872" i="4"/>
  <c r="F2872" i="4"/>
  <c r="E2873" i="4"/>
  <c r="E2874" i="4"/>
  <c r="E2875" i="4"/>
  <c r="E2876" i="4"/>
  <c r="E2877" i="4"/>
  <c r="E2878" i="4"/>
  <c r="G2878" i="4"/>
  <c r="F2878" i="4"/>
  <c r="E2879" i="4"/>
  <c r="F2879" i="4"/>
  <c r="G2879" i="4"/>
  <c r="E2880" i="4"/>
  <c r="F2880" i="4"/>
  <c r="G2880" i="4"/>
  <c r="E2881" i="4"/>
  <c r="G2881" i="4"/>
  <c r="F2881" i="4"/>
  <c r="E2882" i="4"/>
  <c r="F2882" i="4"/>
  <c r="G2882" i="4"/>
  <c r="E2883" i="4"/>
  <c r="F2883" i="4"/>
  <c r="E2884" i="4"/>
  <c r="G2884" i="4"/>
  <c r="F2884" i="4"/>
  <c r="E2885" i="4"/>
  <c r="E2886" i="4"/>
  <c r="E2887" i="4"/>
  <c r="G2887" i="4"/>
  <c r="E2888" i="4"/>
  <c r="F2888" i="4"/>
  <c r="E2889" i="4"/>
  <c r="E2890" i="4"/>
  <c r="F2890" i="4"/>
  <c r="G2890" i="4"/>
  <c r="E2891" i="4"/>
  <c r="G2891" i="4"/>
  <c r="F2891" i="4"/>
  <c r="E2892" i="4"/>
  <c r="F2892" i="4"/>
  <c r="G2892" i="4"/>
  <c r="E2893" i="4"/>
  <c r="E2894" i="4"/>
  <c r="F2894" i="4"/>
  <c r="E2895" i="4"/>
  <c r="F2895" i="4"/>
  <c r="G2895" i="4"/>
  <c r="E2896" i="4"/>
  <c r="E2897" i="4"/>
  <c r="G2897" i="4"/>
  <c r="F2897" i="4"/>
  <c r="E2898" i="4"/>
  <c r="G2898" i="4"/>
  <c r="F2898" i="4"/>
  <c r="E2899" i="4"/>
  <c r="F2899" i="4"/>
  <c r="G2899" i="4"/>
  <c r="E2900" i="4"/>
  <c r="G2900" i="4"/>
  <c r="F2900" i="4"/>
  <c r="E2901" i="4"/>
  <c r="E2902" i="4"/>
  <c r="E2903" i="4"/>
  <c r="E2904" i="4"/>
  <c r="E2905" i="4"/>
  <c r="G2905" i="4"/>
  <c r="F2905" i="4"/>
  <c r="E2906" i="4"/>
  <c r="G2906" i="4"/>
  <c r="F2906" i="4"/>
  <c r="E2907" i="4"/>
  <c r="E2908" i="4"/>
  <c r="E2909" i="4"/>
  <c r="E2910" i="4"/>
  <c r="E2911" i="4"/>
  <c r="E2912" i="4"/>
  <c r="E2913" i="4"/>
  <c r="E2914" i="4"/>
  <c r="F2914" i="4"/>
  <c r="G2914" i="4"/>
  <c r="E2915" i="4"/>
  <c r="F2915" i="4"/>
  <c r="E2916" i="4"/>
  <c r="F2916" i="4"/>
  <c r="E2917" i="4"/>
  <c r="G2917" i="4"/>
  <c r="F2917" i="4"/>
  <c r="E2918" i="4"/>
  <c r="F2918" i="4"/>
  <c r="G2918" i="4"/>
  <c r="E2919" i="4"/>
  <c r="F2919" i="4"/>
  <c r="G2919" i="4"/>
  <c r="E2920" i="4"/>
  <c r="F2920" i="4"/>
  <c r="E2921" i="4"/>
  <c r="G2921" i="4"/>
  <c r="F2921" i="4"/>
  <c r="E2922" i="4"/>
  <c r="E2923" i="4"/>
  <c r="E2924" i="4"/>
  <c r="G2924" i="4"/>
  <c r="F2924" i="4"/>
  <c r="E2925" i="4"/>
  <c r="E2926" i="4"/>
  <c r="E2927" i="4"/>
  <c r="F2927" i="4"/>
  <c r="G2927" i="4"/>
  <c r="E2928" i="4"/>
  <c r="E2929" i="4"/>
  <c r="E2930" i="4"/>
  <c r="F2930" i="4"/>
  <c r="G2930" i="4"/>
  <c r="E2931" i="4"/>
  <c r="F2931" i="4"/>
  <c r="E2932" i="4"/>
  <c r="F2932" i="4"/>
  <c r="G2932" i="4"/>
  <c r="E2933" i="4"/>
  <c r="E2934" i="4"/>
  <c r="E2935" i="4"/>
  <c r="E2936" i="4"/>
  <c r="E2937" i="4"/>
  <c r="G2937" i="4"/>
  <c r="F2937" i="4"/>
  <c r="E2938" i="4"/>
  <c r="F2938" i="4"/>
  <c r="G2938" i="4"/>
  <c r="E2939" i="4"/>
  <c r="F2939" i="4"/>
  <c r="G2939" i="4"/>
  <c r="E2940" i="4"/>
  <c r="E2941" i="4"/>
  <c r="E2942" i="4"/>
  <c r="F2942" i="4"/>
  <c r="E2943" i="4"/>
  <c r="E2944" i="4"/>
  <c r="E2945" i="4"/>
  <c r="G2945" i="4"/>
  <c r="F2945" i="4"/>
  <c r="E2946" i="4"/>
  <c r="E2947" i="4"/>
  <c r="E2948" i="4"/>
  <c r="G2948" i="4"/>
  <c r="F2948" i="4"/>
  <c r="E2949" i="4"/>
  <c r="E2950" i="4"/>
  <c r="E2951" i="4"/>
  <c r="G2951" i="4"/>
  <c r="F2951" i="4"/>
  <c r="E2952" i="4"/>
  <c r="G2952" i="4"/>
  <c r="F2952" i="4"/>
  <c r="E2953" i="4"/>
  <c r="G2953" i="4"/>
  <c r="F2953" i="4"/>
  <c r="E2954" i="4"/>
  <c r="F2954" i="4"/>
  <c r="G2954" i="4"/>
  <c r="E2955" i="4"/>
  <c r="F2955" i="4"/>
  <c r="G2955" i="4"/>
  <c r="E2956" i="4"/>
  <c r="F2956" i="4"/>
  <c r="G2956" i="4"/>
  <c r="E2957" i="4"/>
  <c r="E2958" i="4"/>
  <c r="E2959" i="4"/>
  <c r="G2959" i="4"/>
  <c r="F2959" i="4"/>
  <c r="E2960" i="4"/>
  <c r="F2960" i="4"/>
  <c r="G2960" i="4"/>
  <c r="E2961" i="4"/>
  <c r="G2961" i="4"/>
  <c r="F2961" i="4"/>
  <c r="E2962" i="4"/>
  <c r="G2962" i="4"/>
  <c r="F2962" i="4"/>
  <c r="E2963" i="4"/>
  <c r="F2963" i="4"/>
  <c r="G2963" i="4"/>
  <c r="E2964" i="4"/>
  <c r="F2964" i="4"/>
  <c r="G2964" i="4"/>
  <c r="E2965" i="4"/>
  <c r="G2965" i="4"/>
  <c r="F2965" i="4"/>
  <c r="E2966" i="4"/>
  <c r="E2967" i="4"/>
  <c r="G2967" i="4"/>
  <c r="F2967" i="4"/>
  <c r="E2968" i="4"/>
  <c r="F2968" i="4"/>
  <c r="G2968" i="4"/>
  <c r="E2969" i="4"/>
  <c r="E2970" i="4"/>
  <c r="G2970" i="4"/>
  <c r="E2971" i="4"/>
  <c r="E2972" i="4"/>
  <c r="E2973" i="4"/>
  <c r="E2974" i="4"/>
  <c r="E2975" i="4"/>
  <c r="G2975" i="4"/>
  <c r="F2975" i="4"/>
  <c r="E2976" i="4"/>
  <c r="F2976" i="4"/>
  <c r="G2976" i="4"/>
  <c r="E2977" i="4"/>
  <c r="G2977" i="4"/>
  <c r="F2977" i="4"/>
  <c r="E2978" i="4"/>
  <c r="F2978" i="4"/>
  <c r="G2978" i="4"/>
  <c r="E2979" i="4"/>
  <c r="F2979" i="4"/>
  <c r="E2980" i="4"/>
  <c r="F2980" i="4"/>
  <c r="G2980" i="4"/>
  <c r="E2981" i="4"/>
  <c r="E2982" i="4"/>
  <c r="E2983" i="4"/>
  <c r="E2984" i="4"/>
  <c r="E2985" i="4"/>
  <c r="G2985" i="4"/>
  <c r="F2985" i="4"/>
  <c r="E2986" i="4"/>
  <c r="F2986" i="4"/>
  <c r="G2986" i="4"/>
  <c r="E2987" i="4"/>
  <c r="F2987" i="4"/>
  <c r="G2987" i="4"/>
  <c r="E2988" i="4"/>
  <c r="F2988" i="4"/>
  <c r="G2988" i="4"/>
  <c r="E2989" i="4"/>
  <c r="E2990" i="4"/>
  <c r="E2991" i="4"/>
  <c r="F2991" i="4"/>
  <c r="G2991" i="4"/>
  <c r="E2992" i="4"/>
  <c r="F2992" i="4"/>
  <c r="G2992" i="4"/>
  <c r="E2993" i="4"/>
  <c r="G2993" i="4"/>
  <c r="F2993" i="4"/>
  <c r="E2994" i="4"/>
  <c r="G2994" i="4"/>
  <c r="F2994" i="4"/>
  <c r="E2995" i="4"/>
  <c r="F2995" i="4"/>
  <c r="G2995" i="4"/>
  <c r="E2996" i="4"/>
  <c r="E2997" i="4"/>
  <c r="E2998" i="4"/>
  <c r="F2998" i="4"/>
  <c r="E2999" i="4"/>
  <c r="E3000" i="4"/>
  <c r="G3000" i="4"/>
  <c r="F3000" i="4"/>
  <c r="E3001" i="4"/>
  <c r="G3001" i="4"/>
  <c r="F3001" i="4"/>
  <c r="E3002" i="4"/>
  <c r="F3002" i="4"/>
  <c r="G3002" i="4"/>
  <c r="E3003" i="4"/>
  <c r="F3003" i="4"/>
  <c r="G3003" i="4"/>
  <c r="E3004" i="4"/>
  <c r="F3004" i="4"/>
  <c r="G3004" i="4"/>
  <c r="E3005" i="4"/>
  <c r="E3006" i="4"/>
  <c r="F3006" i="4"/>
  <c r="G3006" i="4"/>
  <c r="E3007" i="4"/>
  <c r="E3008" i="4"/>
  <c r="F3008" i="4"/>
  <c r="G3008" i="4"/>
  <c r="E3009" i="4"/>
  <c r="G3009" i="4"/>
  <c r="F3009" i="4"/>
  <c r="E3010" i="4"/>
  <c r="F3010" i="4"/>
  <c r="G3010" i="4"/>
  <c r="E3011" i="4"/>
  <c r="E3012" i="4"/>
  <c r="E3013" i="4"/>
  <c r="G3013" i="4"/>
  <c r="F3013" i="4"/>
  <c r="E3014" i="4"/>
  <c r="F3014" i="4"/>
  <c r="G3014" i="4"/>
  <c r="E3015" i="4"/>
  <c r="G3015" i="4"/>
  <c r="F3015" i="4"/>
  <c r="E3016" i="4"/>
  <c r="E3017" i="4"/>
  <c r="E3018" i="4"/>
  <c r="G3018" i="4"/>
  <c r="E3019" i="4"/>
  <c r="F3019" i="4"/>
  <c r="E3020" i="4"/>
  <c r="G3020" i="4"/>
  <c r="F3020" i="4"/>
  <c r="E3021" i="4"/>
  <c r="E3022" i="4"/>
  <c r="G3022" i="4"/>
  <c r="F3022" i="4"/>
  <c r="E3023" i="4"/>
  <c r="F3023" i="4"/>
  <c r="G3023" i="4"/>
  <c r="E3024" i="4"/>
  <c r="F3024" i="4"/>
  <c r="G3024" i="4"/>
  <c r="E3025" i="4"/>
  <c r="G3025" i="4"/>
  <c r="F3025" i="4"/>
  <c r="E3026" i="4"/>
  <c r="F3026" i="4"/>
  <c r="G3026" i="4"/>
  <c r="E3027" i="4"/>
  <c r="E3028" i="4"/>
  <c r="G3028" i="4"/>
  <c r="F3028" i="4"/>
  <c r="E3029" i="4"/>
  <c r="E3030" i="4"/>
  <c r="F3030" i="4"/>
  <c r="E3031" i="4"/>
  <c r="E3032" i="4"/>
  <c r="E3033" i="4"/>
  <c r="E3034" i="4"/>
  <c r="G3034" i="4"/>
  <c r="E3035" i="4"/>
  <c r="G3035" i="4"/>
  <c r="F3035" i="4"/>
  <c r="E3036" i="4"/>
  <c r="G3036" i="4"/>
  <c r="F3036" i="4"/>
  <c r="E3037" i="4"/>
  <c r="E3038" i="4"/>
  <c r="E3039" i="4"/>
  <c r="F3039" i="4"/>
  <c r="G3039" i="4"/>
  <c r="E3040" i="4"/>
  <c r="E3041" i="4"/>
  <c r="E3042" i="4"/>
  <c r="E3043" i="4"/>
  <c r="E3044" i="4"/>
  <c r="E3045" i="4"/>
  <c r="E3046" i="4"/>
  <c r="F3046" i="4"/>
  <c r="E3047" i="4"/>
  <c r="F3047" i="4"/>
  <c r="G3047" i="4"/>
  <c r="E3048" i="4"/>
  <c r="F3048" i="4"/>
  <c r="G3048" i="4"/>
  <c r="E3049" i="4"/>
  <c r="G3049" i="4"/>
  <c r="F3049" i="4"/>
  <c r="E3050" i="4"/>
  <c r="F3050" i="4"/>
  <c r="G3050" i="4"/>
  <c r="E3051" i="4"/>
  <c r="F3051" i="4"/>
  <c r="G3051" i="4"/>
  <c r="E3052" i="4"/>
  <c r="G3052" i="4"/>
  <c r="F3052" i="4"/>
  <c r="E3053" i="4"/>
  <c r="E3054" i="4"/>
  <c r="F3054" i="4"/>
  <c r="G3054" i="4"/>
  <c r="E3055" i="4"/>
  <c r="E3056" i="4"/>
  <c r="E3057" i="4"/>
  <c r="G3057" i="4"/>
  <c r="F3057" i="4"/>
  <c r="E3058" i="4"/>
  <c r="G3058" i="4"/>
  <c r="F3058" i="4"/>
  <c r="E3059" i="4"/>
  <c r="E3060" i="4"/>
  <c r="E3061" i="4"/>
  <c r="E3062" i="4"/>
  <c r="E3063" i="4"/>
  <c r="F3063" i="4"/>
  <c r="G3063" i="4"/>
  <c r="E3064" i="4"/>
  <c r="E3065" i="4"/>
  <c r="E3066" i="4"/>
  <c r="E3067" i="4"/>
  <c r="F3067" i="4"/>
  <c r="E3068" i="4"/>
  <c r="E3069" i="4"/>
  <c r="E3070" i="4"/>
  <c r="F3070" i="4"/>
  <c r="G3070" i="4"/>
  <c r="E3071" i="4"/>
  <c r="F3071" i="4"/>
  <c r="G3071" i="4"/>
  <c r="E3072" i="4"/>
  <c r="E3073" i="4"/>
  <c r="G3073" i="4"/>
  <c r="F3073" i="4"/>
  <c r="E3074" i="4"/>
  <c r="E3075" i="4"/>
  <c r="E3076" i="4"/>
  <c r="G3076" i="4"/>
  <c r="F3076" i="4"/>
  <c r="E3077" i="4"/>
  <c r="E3078" i="4"/>
  <c r="F3078" i="4"/>
  <c r="E3079" i="4"/>
  <c r="G3079" i="4"/>
  <c r="E3080" i="4"/>
  <c r="E3081" i="4"/>
  <c r="G3081" i="4"/>
  <c r="F3081" i="4"/>
  <c r="E3082" i="4"/>
  <c r="G3082" i="4"/>
  <c r="F3082" i="4"/>
  <c r="E3083" i="4"/>
  <c r="E3084" i="4"/>
  <c r="G3084" i="4"/>
  <c r="F3084" i="4"/>
  <c r="E3085" i="4"/>
  <c r="E3086" i="4"/>
  <c r="G3086" i="4"/>
  <c r="F3086" i="4"/>
  <c r="E3087" i="4"/>
  <c r="E3088" i="4"/>
  <c r="E3089" i="4"/>
  <c r="E3090" i="4"/>
  <c r="E3091" i="4"/>
  <c r="F3091" i="4"/>
  <c r="G3091" i="4"/>
  <c r="E3092" i="4"/>
  <c r="E3093" i="4"/>
  <c r="F3093" i="4"/>
  <c r="G3093" i="4"/>
  <c r="E3094" i="4"/>
  <c r="G3094" i="4"/>
  <c r="F3094" i="4"/>
  <c r="E3095" i="4"/>
  <c r="E3096" i="4"/>
  <c r="F3096" i="4"/>
  <c r="G3096" i="4"/>
  <c r="E3097" i="4"/>
  <c r="F3097" i="4"/>
  <c r="E3098" i="4"/>
  <c r="F3098" i="4"/>
  <c r="G3098" i="4"/>
  <c r="E3099" i="4"/>
  <c r="G3099" i="4"/>
  <c r="F3099" i="4"/>
  <c r="E3100" i="4"/>
  <c r="E3101" i="4"/>
  <c r="F3101" i="4"/>
  <c r="G3101" i="4"/>
  <c r="E3102" i="4"/>
  <c r="G3102" i="4"/>
  <c r="F3102" i="4"/>
  <c r="E3103" i="4"/>
  <c r="E3104" i="4"/>
  <c r="E3105" i="4"/>
  <c r="F3105" i="4"/>
  <c r="E3106" i="4"/>
  <c r="G3106" i="4"/>
  <c r="F3106" i="4"/>
  <c r="E3107" i="4"/>
  <c r="F3107" i="4"/>
  <c r="G3107" i="4"/>
  <c r="E3108" i="4"/>
  <c r="F3108" i="4"/>
  <c r="E3109" i="4"/>
  <c r="E3110" i="4"/>
  <c r="F3110" i="4"/>
  <c r="G3110" i="4"/>
  <c r="E3111" i="4"/>
  <c r="E3112" i="4"/>
  <c r="F3112" i="4"/>
  <c r="G3112" i="4"/>
  <c r="E3113" i="4"/>
  <c r="E3114" i="4"/>
  <c r="F3114" i="4"/>
  <c r="G3114" i="4"/>
  <c r="E3115" i="4"/>
  <c r="E3116" i="4"/>
  <c r="E3117" i="4"/>
  <c r="E3118" i="4"/>
  <c r="E3119" i="4"/>
  <c r="F3119" i="4"/>
  <c r="G3119" i="4"/>
  <c r="E3120" i="4"/>
  <c r="E3121" i="4"/>
  <c r="E3122" i="4"/>
  <c r="F3122" i="4"/>
  <c r="G3122" i="4"/>
  <c r="E3123" i="4"/>
  <c r="E3124" i="4"/>
  <c r="F3124" i="4"/>
  <c r="G3124" i="4"/>
  <c r="E3125" i="4"/>
  <c r="F3125" i="4"/>
  <c r="G3125" i="4"/>
  <c r="E3126" i="4"/>
  <c r="E3127" i="4"/>
  <c r="F3127" i="4"/>
  <c r="E3128" i="4"/>
  <c r="F3128" i="4"/>
  <c r="G3128" i="4"/>
  <c r="E3129" i="4"/>
  <c r="E3130" i="4"/>
  <c r="F3130" i="4"/>
  <c r="G3130" i="4"/>
  <c r="E3131" i="4"/>
  <c r="E3132" i="4"/>
  <c r="F3132" i="4"/>
  <c r="G3132" i="4"/>
  <c r="E3133" i="4"/>
  <c r="F3133" i="4"/>
  <c r="G3133" i="4"/>
  <c r="E3134" i="4"/>
  <c r="F3134" i="4"/>
  <c r="G3134" i="4"/>
  <c r="E3135" i="4"/>
  <c r="E3136" i="4"/>
  <c r="F3136" i="4"/>
  <c r="G3136" i="4"/>
  <c r="E3137" i="4"/>
  <c r="E3138" i="4"/>
  <c r="F3138" i="4"/>
  <c r="G3138" i="4"/>
  <c r="E3139" i="4"/>
  <c r="F3139" i="4"/>
  <c r="G3139" i="4"/>
  <c r="E3140" i="4"/>
  <c r="G3140" i="4"/>
  <c r="F3140" i="4"/>
  <c r="E3141" i="4"/>
  <c r="E3142" i="4"/>
  <c r="F3142" i="4"/>
  <c r="G3142" i="4"/>
  <c r="E3143" i="4"/>
  <c r="E3144" i="4"/>
  <c r="E3145" i="4"/>
  <c r="F3145" i="4"/>
  <c r="E3146" i="4"/>
  <c r="F3146" i="4"/>
  <c r="G3146" i="4"/>
  <c r="E3147" i="4"/>
  <c r="E3148" i="4"/>
  <c r="F3148" i="4"/>
  <c r="G3148" i="4"/>
  <c r="E3149" i="4"/>
  <c r="F3149" i="4"/>
  <c r="G3149" i="4"/>
  <c r="E3150" i="4"/>
  <c r="F3150" i="4"/>
  <c r="G3150" i="4"/>
  <c r="E3151" i="4"/>
  <c r="E3152" i="4"/>
  <c r="F3152" i="4"/>
  <c r="G3152" i="4"/>
  <c r="E3153" i="4"/>
  <c r="F3153" i="4"/>
  <c r="E3154" i="4"/>
  <c r="G3154" i="4"/>
  <c r="F3154" i="4"/>
  <c r="E3155" i="4"/>
  <c r="F3155" i="4"/>
  <c r="E3156" i="4"/>
  <c r="G3156" i="4"/>
  <c r="F3156" i="4"/>
  <c r="E3157" i="4"/>
  <c r="E3158" i="4"/>
  <c r="E3159" i="4"/>
  <c r="E3160" i="4"/>
  <c r="F3160" i="4"/>
  <c r="G3160" i="4"/>
  <c r="E3161" i="4"/>
  <c r="F3161" i="4"/>
  <c r="G3161" i="4"/>
  <c r="E3162" i="4"/>
  <c r="F3162" i="4"/>
  <c r="G3162" i="4"/>
  <c r="E3163" i="4"/>
  <c r="E3164" i="4"/>
  <c r="E3165" i="4"/>
  <c r="F3165" i="4"/>
  <c r="G3165" i="4"/>
  <c r="E3166" i="4"/>
  <c r="G3166" i="4"/>
  <c r="F3166" i="4"/>
  <c r="E3167" i="4"/>
  <c r="F3167" i="4"/>
  <c r="G3167" i="4"/>
  <c r="E3168" i="4"/>
  <c r="E3169" i="4"/>
  <c r="E3170" i="4"/>
  <c r="G3170" i="4"/>
  <c r="F3170" i="4"/>
  <c r="E3171" i="4"/>
  <c r="E3172" i="4"/>
  <c r="F3172" i="4"/>
  <c r="G3172" i="4"/>
  <c r="E3173" i="4"/>
  <c r="E3174" i="4"/>
  <c r="G3174" i="4"/>
  <c r="F3174" i="4"/>
  <c r="E3175" i="4"/>
  <c r="F3175" i="4"/>
  <c r="E3176" i="4"/>
  <c r="G3176" i="4"/>
  <c r="F3176" i="4"/>
  <c r="E3177" i="4"/>
  <c r="E3178" i="4"/>
  <c r="F3178" i="4"/>
  <c r="E3179" i="4"/>
  <c r="E3180" i="4"/>
  <c r="F3180" i="4"/>
  <c r="G3180" i="4"/>
  <c r="E3181" i="4"/>
  <c r="F3181" i="4"/>
  <c r="G3181" i="4"/>
  <c r="E3182" i="4"/>
  <c r="F3182" i="4"/>
  <c r="G3182" i="4"/>
  <c r="E3183" i="4"/>
  <c r="G3183" i="4"/>
  <c r="F3183" i="4"/>
  <c r="E3184" i="4"/>
  <c r="F3184" i="4"/>
  <c r="G3184" i="4"/>
  <c r="E3185" i="4"/>
  <c r="E3186" i="4"/>
  <c r="G3186" i="4"/>
  <c r="F3186" i="4"/>
  <c r="E3187" i="4"/>
  <c r="E3188" i="4"/>
  <c r="F3188" i="4"/>
  <c r="G3188" i="4"/>
  <c r="E3189" i="4"/>
  <c r="F3189" i="4"/>
  <c r="G3189" i="4"/>
  <c r="E3190" i="4"/>
  <c r="E3191" i="4"/>
  <c r="E3192" i="4"/>
  <c r="F3192" i="4"/>
  <c r="G3192" i="4"/>
  <c r="E3193" i="4"/>
  <c r="F3193" i="4"/>
  <c r="E3194" i="4"/>
  <c r="G3194" i="4"/>
  <c r="F3194" i="4"/>
  <c r="E3195" i="4"/>
  <c r="G3195" i="4"/>
  <c r="F3195" i="4"/>
  <c r="E3196" i="4"/>
  <c r="E3197" i="4"/>
  <c r="E3198" i="4"/>
  <c r="G3198" i="4"/>
  <c r="F3198" i="4"/>
  <c r="E3199" i="4"/>
  <c r="E3200" i="4"/>
  <c r="E3201" i="4"/>
  <c r="F3201" i="4"/>
  <c r="E3202" i="4"/>
  <c r="G3202" i="4"/>
  <c r="F3202" i="4"/>
  <c r="E3203" i="4"/>
  <c r="F3203" i="4"/>
  <c r="G3203" i="4"/>
  <c r="E3204" i="4"/>
  <c r="F3204" i="4"/>
  <c r="G3204" i="4"/>
  <c r="E3205" i="4"/>
  <c r="E3206" i="4"/>
  <c r="F3206" i="4"/>
  <c r="G3206" i="4"/>
  <c r="E3207" i="4"/>
  <c r="E3208" i="4"/>
  <c r="G3208" i="4"/>
  <c r="F3208" i="4"/>
  <c r="E3209" i="4"/>
  <c r="E3210" i="4"/>
  <c r="G3210" i="4"/>
  <c r="E3211" i="4"/>
  <c r="F3211" i="4"/>
  <c r="G3211" i="4"/>
  <c r="E3212" i="4"/>
  <c r="F3212" i="4"/>
  <c r="G3212" i="4"/>
  <c r="E3213" i="4"/>
  <c r="F3213" i="4"/>
  <c r="G3213" i="4"/>
  <c r="E3214" i="4"/>
  <c r="F3214" i="4"/>
  <c r="G3214" i="4"/>
  <c r="E3215" i="4"/>
  <c r="E3216" i="4"/>
  <c r="G3216" i="4"/>
  <c r="F3216" i="4"/>
  <c r="E3217" i="4"/>
  <c r="E3218" i="4"/>
  <c r="G3218" i="4"/>
  <c r="F3218" i="4"/>
  <c r="E3219" i="4"/>
  <c r="E3220" i="4"/>
  <c r="E3221" i="4"/>
  <c r="E3222" i="4"/>
  <c r="E3223" i="4"/>
  <c r="F3223" i="4"/>
  <c r="E3224" i="4"/>
  <c r="G3224" i="4"/>
  <c r="F3224" i="4"/>
  <c r="E3225" i="4"/>
  <c r="E3226" i="4"/>
  <c r="E3227" i="4"/>
  <c r="E3228" i="4"/>
  <c r="E3229" i="4"/>
  <c r="E3230" i="4"/>
  <c r="F3230" i="4"/>
  <c r="G3230" i="4"/>
  <c r="E3231" i="4"/>
  <c r="E3232" i="4"/>
  <c r="E3233" i="4"/>
  <c r="E3234" i="4"/>
  <c r="E3235" i="4"/>
  <c r="F3235" i="4"/>
  <c r="G3235" i="4"/>
  <c r="E3236" i="4"/>
  <c r="F3236" i="4"/>
  <c r="G3236" i="4"/>
  <c r="E3237" i="4"/>
  <c r="E3238" i="4"/>
  <c r="F3238" i="4"/>
  <c r="G3238" i="4"/>
  <c r="E3239" i="4"/>
  <c r="E3240" i="4"/>
  <c r="G3240" i="4"/>
  <c r="F3240" i="4"/>
  <c r="E3241" i="4"/>
  <c r="F3241" i="4"/>
  <c r="E3242" i="4"/>
  <c r="F3242" i="4"/>
  <c r="G3242" i="4"/>
  <c r="E3243" i="4"/>
  <c r="G3243" i="4"/>
  <c r="F3243" i="4"/>
  <c r="E3244" i="4"/>
  <c r="G3244" i="4"/>
  <c r="F3244" i="4"/>
  <c r="E3245" i="4"/>
  <c r="E3246" i="4"/>
  <c r="G3246" i="4"/>
  <c r="F3246" i="4"/>
  <c r="E3247" i="4"/>
  <c r="E3248" i="4"/>
  <c r="E3249" i="4"/>
  <c r="F3249" i="4"/>
  <c r="E3250" i="4"/>
  <c r="G3250" i="4"/>
  <c r="F3250" i="4"/>
  <c r="E3251" i="4"/>
  <c r="G3251" i="4"/>
  <c r="F3251" i="4"/>
  <c r="E3252" i="4"/>
  <c r="E3253" i="4"/>
  <c r="E3254" i="4"/>
  <c r="E3255" i="4"/>
  <c r="E3256" i="4"/>
  <c r="G3256" i="4"/>
  <c r="F3256" i="4"/>
  <c r="E3257" i="4"/>
  <c r="E3258" i="4"/>
  <c r="F3258" i="4"/>
  <c r="E3259" i="4"/>
  <c r="G3259" i="4"/>
  <c r="F3259" i="4"/>
  <c r="E3260" i="4"/>
  <c r="E3261" i="4"/>
  <c r="E3262" i="4"/>
  <c r="E3263" i="4"/>
  <c r="E3264" i="4"/>
  <c r="G3264" i="4"/>
  <c r="F3264" i="4"/>
  <c r="E3265" i="4"/>
  <c r="E3266" i="4"/>
  <c r="G3266" i="4"/>
  <c r="F3266" i="4"/>
  <c r="E3267" i="4"/>
  <c r="E3268" i="4"/>
  <c r="E3269" i="4"/>
  <c r="E3270" i="4"/>
  <c r="G3270" i="4"/>
  <c r="E3271" i="4"/>
  <c r="F3271" i="4"/>
  <c r="E3272" i="4"/>
  <c r="F3272" i="4"/>
  <c r="G3272" i="4"/>
  <c r="E3273" i="4"/>
  <c r="E3274" i="4"/>
  <c r="F3274" i="4"/>
  <c r="G3274" i="4"/>
  <c r="E3275" i="4"/>
  <c r="E3276" i="4"/>
  <c r="F3276" i="4"/>
  <c r="E3277" i="4"/>
  <c r="F3277" i="4"/>
  <c r="G3277" i="4"/>
  <c r="E3278" i="4"/>
  <c r="E3279" i="4"/>
  <c r="E3280" i="4"/>
  <c r="E3281" i="4"/>
  <c r="E3282" i="4"/>
  <c r="F3282" i="4"/>
  <c r="G3282" i="4"/>
  <c r="E3283" i="4"/>
  <c r="F3283" i="4"/>
  <c r="G3283" i="4"/>
  <c r="E3284" i="4"/>
  <c r="F3284" i="4"/>
  <c r="E3285" i="4"/>
  <c r="F3285" i="4"/>
  <c r="E3286" i="4"/>
  <c r="E3287" i="4"/>
  <c r="E3288" i="4"/>
  <c r="G3288" i="4"/>
  <c r="F3288" i="4"/>
  <c r="E3289" i="4"/>
  <c r="F3289" i="4"/>
  <c r="E3290" i="4"/>
  <c r="E3291" i="4"/>
  <c r="G3291" i="4"/>
  <c r="E3292" i="4"/>
  <c r="F3292" i="4"/>
  <c r="E3293" i="4"/>
  <c r="E3294" i="4"/>
  <c r="G3294" i="4"/>
  <c r="F3294" i="4"/>
  <c r="E3295" i="4"/>
  <c r="G3295" i="4"/>
  <c r="F3295" i="4"/>
  <c r="E3296" i="4"/>
  <c r="E3297" i="4"/>
  <c r="E3298" i="4"/>
  <c r="E3299" i="4"/>
  <c r="G3299" i="4"/>
  <c r="E3300" i="4"/>
  <c r="E3301" i="4"/>
  <c r="E3302" i="4"/>
  <c r="E3303" i="4"/>
  <c r="E3304" i="4"/>
  <c r="G3304" i="4"/>
  <c r="F3304" i="4"/>
  <c r="E3305" i="4"/>
  <c r="E3306" i="4"/>
  <c r="E3307" i="4"/>
  <c r="F3307" i="4"/>
  <c r="G3307" i="4"/>
  <c r="E3308" i="4"/>
  <c r="E3309" i="4"/>
  <c r="F3309" i="4"/>
  <c r="G3309" i="4"/>
  <c r="E3310" i="4"/>
  <c r="G3310" i="4"/>
  <c r="E3311" i="4"/>
  <c r="E3312" i="4"/>
  <c r="G3312" i="4"/>
  <c r="E3313" i="4"/>
  <c r="E3314" i="4"/>
  <c r="E3315" i="4"/>
  <c r="F3315" i="4"/>
  <c r="G3315" i="4"/>
  <c r="E3316" i="4"/>
  <c r="F3316" i="4"/>
  <c r="G3316" i="4"/>
  <c r="E3317" i="4"/>
  <c r="F3317" i="4"/>
  <c r="G3317" i="4"/>
  <c r="E3318" i="4"/>
  <c r="E3319" i="4"/>
  <c r="E3320" i="4"/>
  <c r="F3320" i="4"/>
  <c r="G3320" i="4"/>
  <c r="E3321" i="4"/>
  <c r="E3322" i="4"/>
  <c r="F3322" i="4"/>
  <c r="G3322" i="4"/>
  <c r="E3323" i="4"/>
  <c r="E3324" i="4"/>
  <c r="F3324" i="4"/>
  <c r="G3324" i="4"/>
  <c r="E3325" i="4"/>
  <c r="E3326" i="4"/>
  <c r="G3326" i="4"/>
  <c r="F3326" i="4"/>
  <c r="E3327" i="4"/>
  <c r="F3327" i="4"/>
  <c r="G3327" i="4"/>
  <c r="E3328" i="4"/>
  <c r="F3328" i="4"/>
  <c r="G3328" i="4"/>
  <c r="E3329" i="4"/>
  <c r="F3329" i="4"/>
  <c r="G3329" i="4"/>
  <c r="E3330" i="4"/>
  <c r="F3330" i="4"/>
  <c r="G3330" i="4"/>
  <c r="E3331" i="4"/>
  <c r="G3331" i="4"/>
  <c r="E3332" i="4"/>
  <c r="E3333" i="4"/>
  <c r="E3334" i="4"/>
  <c r="F3334" i="4"/>
  <c r="E3335" i="4"/>
  <c r="F3335" i="4"/>
  <c r="G3335" i="4"/>
  <c r="E3336" i="4"/>
  <c r="G3336" i="4"/>
  <c r="F3336" i="4"/>
  <c r="E3337" i="4"/>
  <c r="E3338" i="4"/>
  <c r="G3338" i="4"/>
  <c r="E3339" i="4"/>
  <c r="E3340" i="4"/>
  <c r="F3340" i="4"/>
  <c r="E3341" i="4"/>
  <c r="F3341" i="4"/>
  <c r="G3341" i="4"/>
  <c r="E3342" i="4"/>
  <c r="F3342" i="4"/>
  <c r="G3342" i="4"/>
  <c r="E3343" i="4"/>
  <c r="G3343" i="4"/>
  <c r="F3343" i="4"/>
  <c r="E3344" i="4"/>
  <c r="F3344" i="4"/>
  <c r="E3345" i="4"/>
  <c r="E3346" i="4"/>
  <c r="F3346" i="4"/>
  <c r="G3346" i="4"/>
  <c r="E3347" i="4"/>
  <c r="F3347" i="4"/>
  <c r="E3348" i="4"/>
  <c r="E3349" i="4"/>
  <c r="F3349" i="4"/>
  <c r="E3350" i="4"/>
  <c r="E3351" i="4"/>
  <c r="G3351" i="4"/>
  <c r="F3351" i="4"/>
  <c r="E3352" i="4"/>
  <c r="E3353" i="4"/>
  <c r="E3354" i="4"/>
  <c r="E3355" i="4"/>
  <c r="E3356" i="4"/>
  <c r="E3357" i="4"/>
  <c r="F3357" i="4"/>
  <c r="G3357" i="4"/>
  <c r="E3358" i="4"/>
  <c r="E3359" i="4"/>
  <c r="F3359" i="4"/>
  <c r="G3359" i="4"/>
  <c r="E3360" i="4"/>
  <c r="F3360" i="4"/>
  <c r="G3360" i="4"/>
  <c r="E3361" i="4"/>
  <c r="E3362" i="4"/>
  <c r="F3362" i="4"/>
  <c r="E3363" i="4"/>
  <c r="F3363" i="4"/>
  <c r="G3363" i="4"/>
  <c r="E3364" i="4"/>
  <c r="G3364" i="4"/>
  <c r="E3365" i="4"/>
  <c r="F3365" i="4"/>
  <c r="E3366" i="4"/>
  <c r="F3366" i="4"/>
  <c r="E3367" i="4"/>
  <c r="E3368" i="4"/>
  <c r="F3368" i="4"/>
  <c r="G3368" i="4"/>
  <c r="E3369" i="4"/>
  <c r="F3369" i="4"/>
  <c r="G3369" i="4"/>
  <c r="E3370" i="4"/>
  <c r="E3371" i="4"/>
  <c r="G3371" i="4"/>
  <c r="E3372" i="4"/>
  <c r="F3372" i="4"/>
  <c r="E3373" i="4"/>
  <c r="F3373" i="4"/>
  <c r="G3373" i="4"/>
  <c r="E3374" i="4"/>
  <c r="E3375" i="4"/>
  <c r="F3375" i="4"/>
  <c r="E3376" i="4"/>
  <c r="F3376" i="4"/>
  <c r="G3376" i="4"/>
  <c r="E3377" i="4"/>
  <c r="F3377" i="4"/>
  <c r="E3378" i="4"/>
  <c r="F3378" i="4"/>
  <c r="E3379" i="4"/>
  <c r="F3379" i="4"/>
  <c r="G3379" i="4"/>
  <c r="E3380" i="4"/>
  <c r="E3381" i="4"/>
  <c r="E3382" i="4"/>
  <c r="E3383" i="4"/>
  <c r="F3383" i="4"/>
  <c r="E3384" i="4"/>
  <c r="E3385" i="4"/>
  <c r="F3385" i="4"/>
  <c r="G3385" i="4"/>
  <c r="E3386" i="4"/>
  <c r="F3386" i="4"/>
  <c r="G3386" i="4"/>
  <c r="E3387" i="4"/>
  <c r="E3388" i="4"/>
  <c r="G3388" i="4"/>
  <c r="F3388" i="4"/>
  <c r="E3389" i="4"/>
  <c r="F3389" i="4"/>
  <c r="E3390" i="4"/>
  <c r="F3390" i="4"/>
  <c r="E3391" i="4"/>
  <c r="F3391" i="4"/>
  <c r="G3391" i="4"/>
  <c r="E3392" i="4"/>
  <c r="G3392" i="4"/>
  <c r="F3392" i="4"/>
  <c r="E3393" i="4"/>
  <c r="E3394" i="4"/>
  <c r="F3394" i="4"/>
  <c r="G3394" i="4"/>
  <c r="E3395" i="4"/>
  <c r="F3395" i="4"/>
  <c r="G3395" i="4"/>
  <c r="E3396" i="4"/>
  <c r="F3396" i="4"/>
  <c r="G3396" i="4"/>
  <c r="E3397" i="4"/>
  <c r="F3397" i="4"/>
  <c r="G3397" i="4"/>
  <c r="E3398" i="4"/>
  <c r="F3398" i="4"/>
  <c r="G3398" i="4"/>
  <c r="E3399" i="4"/>
  <c r="G3399" i="4"/>
  <c r="F3399" i="4"/>
  <c r="E3400" i="4"/>
  <c r="E3401" i="4"/>
  <c r="F3401" i="4"/>
  <c r="G3401" i="4"/>
  <c r="E3402" i="4"/>
  <c r="F3402" i="4"/>
  <c r="E3403" i="4"/>
  <c r="E3404" i="4"/>
  <c r="E3405" i="4"/>
  <c r="F3405" i="4"/>
  <c r="G3405" i="4"/>
  <c r="E3406" i="4"/>
  <c r="G3406" i="4"/>
  <c r="E3407" i="4"/>
  <c r="G3407" i="4"/>
  <c r="E3408" i="4"/>
  <c r="F3408" i="4"/>
  <c r="E3409" i="4"/>
  <c r="E3410" i="4"/>
  <c r="F3410" i="4"/>
  <c r="G3410" i="4"/>
  <c r="E3411" i="4"/>
  <c r="F3411" i="4"/>
  <c r="G3411" i="4"/>
  <c r="E3412" i="4"/>
  <c r="F3412" i="4"/>
  <c r="G3412" i="4"/>
  <c r="E3413" i="4"/>
  <c r="E3414" i="4"/>
  <c r="F3414" i="4"/>
  <c r="G3414" i="4"/>
  <c r="E3415" i="4"/>
  <c r="E3416" i="4"/>
  <c r="F3416" i="4"/>
  <c r="G3416" i="4"/>
  <c r="E3417" i="4"/>
  <c r="F3417" i="4"/>
  <c r="G3417" i="4"/>
  <c r="E3418" i="4"/>
  <c r="E3419" i="4"/>
  <c r="G3419" i="4"/>
  <c r="F3419" i="4"/>
  <c r="E3420" i="4"/>
  <c r="F3420" i="4"/>
  <c r="G3420" i="4"/>
  <c r="E3421" i="4"/>
  <c r="F3421" i="4"/>
  <c r="G3421" i="4"/>
  <c r="E3422" i="4"/>
  <c r="F3422" i="4"/>
  <c r="E3423" i="4"/>
  <c r="G3423" i="4"/>
  <c r="E3424" i="4"/>
  <c r="F3424" i="4"/>
  <c r="G3424" i="4"/>
  <c r="E3425" i="4"/>
  <c r="F3425" i="4"/>
  <c r="E3426" i="4"/>
  <c r="E3427" i="4"/>
  <c r="F3427" i="4"/>
  <c r="G3427" i="4"/>
  <c r="E3428" i="4"/>
  <c r="E3429" i="4"/>
  <c r="E3430" i="4"/>
  <c r="E3431" i="4"/>
  <c r="F3431" i="4"/>
  <c r="G3431" i="4"/>
  <c r="E3432" i="4"/>
  <c r="G3432" i="4"/>
  <c r="F3432" i="4"/>
  <c r="E3433" i="4"/>
  <c r="E3434" i="4"/>
  <c r="E3435" i="4"/>
  <c r="F3435" i="4"/>
  <c r="G3435" i="4"/>
  <c r="E3436" i="4"/>
  <c r="G3436" i="4"/>
  <c r="F3436" i="4"/>
  <c r="E3437" i="4"/>
  <c r="F3437" i="4"/>
  <c r="G3437" i="4"/>
  <c r="E3438" i="4"/>
  <c r="G3438" i="4"/>
  <c r="F3438" i="4"/>
  <c r="E3439" i="4"/>
  <c r="F3439" i="4"/>
  <c r="G3439" i="4"/>
  <c r="E3440" i="4"/>
  <c r="F3440" i="4"/>
  <c r="G3440" i="4"/>
  <c r="E3441" i="4"/>
  <c r="E3442" i="4"/>
  <c r="F3442" i="4"/>
  <c r="E3443" i="4"/>
  <c r="E3444" i="4"/>
  <c r="F3444" i="4"/>
  <c r="G3444" i="4"/>
  <c r="E3445" i="4"/>
  <c r="F3445" i="4"/>
  <c r="E3446" i="4"/>
  <c r="E3447" i="4"/>
  <c r="F3447" i="4"/>
  <c r="E3448" i="4"/>
  <c r="F3448" i="4"/>
  <c r="G3448" i="4"/>
  <c r="E3449" i="4"/>
  <c r="F3449" i="4"/>
  <c r="E3450" i="4"/>
  <c r="E3451" i="4"/>
  <c r="F3451" i="4"/>
  <c r="G3451" i="4"/>
  <c r="E3452" i="4"/>
  <c r="F3452" i="4"/>
  <c r="G3452" i="4"/>
  <c r="E3453" i="4"/>
  <c r="F3453" i="4"/>
  <c r="G3453" i="4"/>
  <c r="E3454" i="4"/>
  <c r="E3455" i="4"/>
  <c r="F3455" i="4"/>
  <c r="G3455" i="4"/>
  <c r="E3456" i="4"/>
  <c r="F3456" i="4"/>
  <c r="G3456" i="4"/>
  <c r="E3457" i="4"/>
  <c r="F3457" i="4"/>
  <c r="G3457" i="4"/>
  <c r="E3458" i="4"/>
  <c r="F3458" i="4"/>
  <c r="G3458" i="4"/>
  <c r="E3459" i="4"/>
  <c r="G3459" i="4"/>
  <c r="F3459" i="4"/>
  <c r="E3460" i="4"/>
  <c r="F3460" i="4"/>
  <c r="E3461" i="4"/>
  <c r="F3461" i="4"/>
  <c r="E3462" i="4"/>
  <c r="G3462" i="4"/>
  <c r="F3462" i="4"/>
  <c r="E3463" i="4"/>
  <c r="F3463" i="4"/>
  <c r="E3464" i="4"/>
  <c r="E3465" i="4"/>
  <c r="F3465" i="4"/>
  <c r="G3465" i="4"/>
  <c r="E3466" i="4"/>
  <c r="F3466" i="4"/>
  <c r="E3467" i="4"/>
  <c r="E3468" i="4"/>
  <c r="F3468" i="4"/>
  <c r="E3469" i="4"/>
  <c r="F3469" i="4"/>
  <c r="E3470" i="4"/>
  <c r="F3470" i="4"/>
  <c r="G3470" i="4"/>
  <c r="E3471" i="4"/>
  <c r="F3471" i="4"/>
  <c r="E3472" i="4"/>
  <c r="F3472" i="4"/>
  <c r="G3472" i="4"/>
  <c r="E3473" i="4"/>
  <c r="E3474" i="4"/>
  <c r="E3475" i="4"/>
  <c r="G3475" i="4"/>
  <c r="F3475" i="4"/>
  <c r="E3476" i="4"/>
  <c r="F3476" i="4"/>
  <c r="G3476" i="4"/>
  <c r="E3477" i="4"/>
  <c r="F3477" i="4"/>
  <c r="G3477" i="4"/>
  <c r="E3478" i="4"/>
  <c r="F3478" i="4"/>
  <c r="G3478" i="4"/>
  <c r="E3479" i="4"/>
  <c r="E3480" i="4"/>
  <c r="G3480" i="4"/>
  <c r="E3481" i="4"/>
  <c r="F3481" i="4"/>
  <c r="G3481" i="4"/>
  <c r="E3482" i="4"/>
  <c r="G3482" i="4"/>
  <c r="F3482" i="4"/>
  <c r="E3483" i="4"/>
  <c r="G3483" i="4"/>
  <c r="F3483" i="4"/>
  <c r="E3484" i="4"/>
  <c r="F3484" i="4"/>
  <c r="E3485" i="4"/>
  <c r="F3485" i="4"/>
  <c r="G3485" i="4"/>
  <c r="E3486" i="4"/>
  <c r="G3486" i="4"/>
  <c r="F3486" i="4"/>
  <c r="E3487" i="4"/>
  <c r="F3487" i="4"/>
  <c r="G3487" i="4"/>
  <c r="E3488" i="4"/>
  <c r="F3488" i="4"/>
  <c r="G3488" i="4"/>
  <c r="E3489" i="4"/>
  <c r="E3490" i="4"/>
  <c r="F3490" i="4"/>
  <c r="E3491" i="4"/>
  <c r="E3492" i="4"/>
  <c r="G3492" i="4"/>
  <c r="F3492" i="4"/>
  <c r="E3493" i="4"/>
  <c r="F3493" i="4"/>
  <c r="E3494" i="4"/>
  <c r="E3495" i="4"/>
  <c r="F3495" i="4"/>
  <c r="G3495" i="4"/>
  <c r="E3496" i="4"/>
  <c r="F3496" i="4"/>
  <c r="E3497" i="4"/>
  <c r="F3497" i="4"/>
  <c r="G3497" i="4"/>
  <c r="E3498" i="4"/>
  <c r="F3498" i="4"/>
  <c r="G3498" i="4"/>
  <c r="E3499" i="4"/>
  <c r="G3499" i="4"/>
  <c r="F3499" i="4"/>
  <c r="E3500" i="4"/>
  <c r="G3500" i="4"/>
  <c r="F3500" i="4"/>
  <c r="E3501" i="4"/>
  <c r="F3501" i="4"/>
  <c r="E3502" i="4"/>
  <c r="G3502" i="4"/>
  <c r="E3503" i="4"/>
  <c r="E3504" i="4"/>
  <c r="F3504" i="4"/>
  <c r="E3505" i="4"/>
  <c r="E3506" i="4"/>
  <c r="G3506" i="4"/>
  <c r="E3507" i="4"/>
  <c r="E3508" i="4"/>
  <c r="F3508" i="4"/>
  <c r="E3509" i="4"/>
  <c r="F3509" i="4"/>
  <c r="G3509" i="4"/>
  <c r="E3510" i="4"/>
  <c r="E3511" i="4"/>
  <c r="F3511" i="4"/>
  <c r="G3511" i="4"/>
  <c r="E3512" i="4"/>
  <c r="F3512" i="4"/>
  <c r="G3512" i="4"/>
  <c r="E3513" i="4"/>
  <c r="F3513" i="4"/>
  <c r="G3513" i="4"/>
  <c r="E3514" i="4"/>
  <c r="F3514" i="4"/>
  <c r="G3514" i="4"/>
  <c r="E3515" i="4"/>
  <c r="G3515" i="4"/>
  <c r="F3515" i="4"/>
  <c r="E3516" i="4"/>
  <c r="F3516" i="4"/>
  <c r="G3516" i="4"/>
  <c r="E3517" i="4"/>
  <c r="F3517" i="4"/>
  <c r="G3517" i="4"/>
  <c r="E3518" i="4"/>
  <c r="G3518" i="4"/>
  <c r="F3518" i="4"/>
  <c r="E3519" i="4"/>
  <c r="G3519" i="4"/>
  <c r="F3519" i="4"/>
  <c r="E3520" i="4"/>
  <c r="F3520" i="4"/>
  <c r="G3520" i="4"/>
  <c r="E3521" i="4"/>
  <c r="F3521" i="4"/>
  <c r="E3522" i="4"/>
  <c r="F3522" i="4"/>
  <c r="G3522" i="4"/>
  <c r="E3523" i="4"/>
  <c r="F3523" i="4"/>
  <c r="G3523" i="4"/>
  <c r="E3524" i="4"/>
  <c r="E3525" i="4"/>
  <c r="F3525" i="4"/>
  <c r="G3525" i="4"/>
  <c r="E3526" i="4"/>
  <c r="F3526" i="4"/>
  <c r="G3526" i="4"/>
  <c r="E3527" i="4"/>
  <c r="G3527" i="4"/>
  <c r="F3527" i="4"/>
  <c r="E3528" i="4"/>
  <c r="G3528" i="4"/>
  <c r="F3528" i="4"/>
  <c r="E3529" i="4"/>
  <c r="G3529" i="4"/>
  <c r="F3529" i="4"/>
  <c r="E3530" i="4"/>
  <c r="F3530" i="4"/>
  <c r="G3530" i="4"/>
  <c r="E3531" i="4"/>
  <c r="F3531" i="4"/>
  <c r="G3531" i="4"/>
  <c r="E3532" i="4"/>
  <c r="G3532" i="4"/>
  <c r="E3533" i="4"/>
  <c r="G3533" i="4"/>
  <c r="F3533" i="4"/>
  <c r="E3534" i="4"/>
  <c r="F3534" i="4"/>
  <c r="G3534" i="4"/>
  <c r="E3535" i="4"/>
  <c r="E3536" i="4"/>
  <c r="G3536" i="4"/>
  <c r="F3536" i="4"/>
  <c r="E3537" i="4"/>
  <c r="G3537" i="4"/>
  <c r="F3537" i="4"/>
  <c r="E3538" i="4"/>
  <c r="E3539" i="4"/>
  <c r="G3539" i="4"/>
  <c r="F3539" i="4"/>
  <c r="E3540" i="4"/>
  <c r="G3540" i="4"/>
  <c r="F3540" i="4"/>
  <c r="E3541" i="4"/>
  <c r="G3541" i="4"/>
  <c r="F3541" i="4"/>
  <c r="E3542" i="4"/>
  <c r="G3542" i="4"/>
  <c r="F3542" i="4"/>
  <c r="E3543" i="4"/>
  <c r="F3543" i="4"/>
  <c r="G3543" i="4"/>
  <c r="E3544" i="4"/>
  <c r="G3544" i="4"/>
  <c r="F3544" i="4"/>
  <c r="E3545" i="4"/>
  <c r="F3545" i="4"/>
  <c r="E3546" i="4"/>
  <c r="F3546" i="4"/>
  <c r="E3547" i="4"/>
  <c r="F3547" i="4"/>
  <c r="G3547" i="4"/>
  <c r="E3548" i="4"/>
  <c r="G3548" i="4"/>
  <c r="F3548" i="4"/>
  <c r="E3549" i="4"/>
  <c r="F3549" i="4"/>
  <c r="G3549" i="4"/>
  <c r="E3550" i="4"/>
  <c r="E3551" i="4"/>
  <c r="F3551" i="4"/>
  <c r="G3551" i="4"/>
  <c r="E3552" i="4"/>
  <c r="G3552" i="4"/>
  <c r="F3552" i="4"/>
  <c r="E3553" i="4"/>
  <c r="G3553" i="4"/>
  <c r="F3553" i="4"/>
  <c r="E3554" i="4"/>
  <c r="G3554" i="4"/>
  <c r="F3554" i="4"/>
  <c r="E3555" i="4"/>
  <c r="G3555" i="4"/>
  <c r="E3556" i="4"/>
  <c r="G3556" i="4"/>
  <c r="F3556" i="4"/>
  <c r="E3557" i="4"/>
  <c r="F3557" i="4"/>
  <c r="E3558" i="4"/>
  <c r="G3558" i="4"/>
  <c r="F3558" i="4"/>
  <c r="E3559" i="4"/>
  <c r="F3559" i="4"/>
  <c r="G3559" i="4"/>
  <c r="E3560" i="4"/>
  <c r="E3561" i="4"/>
  <c r="E3562" i="4"/>
  <c r="F3562" i="4"/>
  <c r="G3562" i="4"/>
  <c r="E3563" i="4"/>
  <c r="F3563" i="4"/>
  <c r="E3564" i="4"/>
  <c r="E3565" i="4"/>
  <c r="F3565" i="4"/>
  <c r="G3565" i="4"/>
  <c r="E3566" i="4"/>
  <c r="F3566" i="4"/>
  <c r="G3566" i="4"/>
  <c r="E3567" i="4"/>
  <c r="G3567" i="4"/>
  <c r="F3567" i="4"/>
  <c r="E3568" i="4"/>
  <c r="G3568" i="4"/>
  <c r="E3569" i="4"/>
  <c r="F3569" i="4"/>
  <c r="G3569" i="4"/>
  <c r="E3570" i="4"/>
  <c r="E3571" i="4"/>
  <c r="G3571" i="4"/>
  <c r="F3571" i="4"/>
  <c r="E3572" i="4"/>
  <c r="G3572" i="4"/>
  <c r="F3572" i="4"/>
  <c r="E3573" i="4"/>
  <c r="F3573" i="4"/>
  <c r="G3573" i="4"/>
  <c r="E3574" i="4"/>
  <c r="E3575" i="4"/>
  <c r="F3575" i="4"/>
  <c r="G3575" i="4"/>
  <c r="E3576" i="4"/>
  <c r="G3576" i="4"/>
  <c r="E3577" i="4"/>
  <c r="G3577" i="4"/>
  <c r="F3577" i="4"/>
  <c r="E3578" i="4"/>
  <c r="G3578" i="4"/>
  <c r="E3579" i="4"/>
  <c r="G3579" i="4"/>
  <c r="F3579" i="4"/>
  <c r="E3580" i="4"/>
  <c r="G3580" i="4"/>
  <c r="E3581" i="4"/>
  <c r="E3582" i="4"/>
  <c r="F3582" i="4"/>
  <c r="G3582" i="4"/>
  <c r="E3583" i="4"/>
  <c r="F3583" i="4"/>
  <c r="G3583" i="4"/>
  <c r="E3584" i="4"/>
  <c r="G3584" i="4"/>
  <c r="F3584" i="4"/>
  <c r="E3585" i="4"/>
  <c r="F3585" i="4"/>
  <c r="G3585" i="4"/>
  <c r="E3586" i="4"/>
  <c r="F3586" i="4"/>
  <c r="G3586" i="4"/>
  <c r="E3587" i="4"/>
  <c r="G3587" i="4"/>
  <c r="F3587" i="4"/>
  <c r="E3588" i="4"/>
  <c r="E3589" i="4"/>
  <c r="G3589" i="4"/>
  <c r="F3589" i="4"/>
  <c r="E3590" i="4"/>
  <c r="E3591" i="4"/>
  <c r="F3591" i="4"/>
  <c r="G3591" i="4"/>
  <c r="E3592" i="4"/>
  <c r="G3592" i="4"/>
  <c r="E3593" i="4"/>
  <c r="G3593" i="4"/>
  <c r="F3593" i="4"/>
  <c r="E3594" i="4"/>
  <c r="E3595" i="4"/>
  <c r="F3595" i="4"/>
  <c r="G3595" i="4"/>
  <c r="E3596" i="4"/>
  <c r="G3596" i="4"/>
  <c r="F3596" i="4"/>
  <c r="E3597" i="4"/>
  <c r="F3597" i="4"/>
  <c r="G3597" i="4"/>
  <c r="E3598" i="4"/>
  <c r="F3598" i="4"/>
  <c r="E3599" i="4"/>
  <c r="F3599" i="4"/>
  <c r="G3599" i="4"/>
  <c r="E3600" i="4"/>
  <c r="G3600" i="4"/>
  <c r="F3600" i="4"/>
  <c r="E3601" i="4"/>
  <c r="G3601" i="4"/>
  <c r="F3601" i="4"/>
  <c r="E3602" i="4"/>
  <c r="G3602" i="4"/>
  <c r="F3602" i="4"/>
  <c r="E3603" i="4"/>
  <c r="G3603" i="4"/>
  <c r="E3604" i="4"/>
  <c r="G3604" i="4"/>
  <c r="E3605" i="4"/>
  <c r="F3605" i="4"/>
  <c r="G3605" i="4"/>
  <c r="E3606" i="4"/>
  <c r="E3607" i="4"/>
  <c r="E3608" i="4"/>
  <c r="E3609" i="4"/>
  <c r="F3609" i="4"/>
  <c r="G3609" i="4"/>
  <c r="E3610" i="4"/>
  <c r="G3610" i="4"/>
  <c r="F3610" i="4"/>
  <c r="E3611" i="4"/>
  <c r="G3611" i="4"/>
  <c r="E3612" i="4"/>
  <c r="E3613" i="4"/>
  <c r="F3613" i="4"/>
  <c r="G3613" i="4"/>
  <c r="E3614" i="4"/>
  <c r="E3615" i="4"/>
  <c r="E3616" i="4"/>
  <c r="E3617" i="4"/>
  <c r="G3617" i="4"/>
  <c r="F3617" i="4"/>
  <c r="E3618" i="4"/>
  <c r="E3619" i="4"/>
  <c r="G3619" i="4"/>
  <c r="F3619" i="4"/>
  <c r="E3620" i="4"/>
  <c r="G3620" i="4"/>
  <c r="E3621" i="4"/>
  <c r="F3621" i="4"/>
  <c r="G3621" i="4"/>
  <c r="E3622" i="4"/>
  <c r="E3623" i="4"/>
  <c r="E3624" i="4"/>
  <c r="E3625" i="4"/>
  <c r="G3625" i="4"/>
  <c r="F3625" i="4"/>
  <c r="E3626" i="4"/>
  <c r="F3626" i="4"/>
  <c r="E3627" i="4"/>
  <c r="E3628" i="4"/>
  <c r="G3628" i="4"/>
  <c r="E3629" i="4"/>
  <c r="E3630" i="4"/>
  <c r="G3630" i="4"/>
  <c r="F3630" i="4"/>
  <c r="E3631" i="4"/>
  <c r="F3631" i="4"/>
  <c r="E3632" i="4"/>
  <c r="G3632" i="4"/>
  <c r="F3632" i="4"/>
  <c r="E3633" i="4"/>
  <c r="G3633" i="4"/>
  <c r="F3633" i="4"/>
  <c r="E3634" i="4"/>
  <c r="F3634" i="4"/>
  <c r="G3634" i="4"/>
  <c r="E3635" i="4"/>
  <c r="G3635" i="4"/>
  <c r="F3635" i="4"/>
  <c r="E3636" i="4"/>
  <c r="E3637" i="4"/>
  <c r="F3637" i="4"/>
  <c r="G3637" i="4"/>
  <c r="E3638" i="4"/>
  <c r="E3639" i="4"/>
  <c r="G3639" i="4"/>
  <c r="E3640" i="4"/>
  <c r="G3640" i="4"/>
  <c r="E3641" i="4"/>
  <c r="G3641" i="4"/>
  <c r="F3641" i="4"/>
  <c r="E3642" i="4"/>
  <c r="E3643" i="4"/>
  <c r="F3643" i="4"/>
  <c r="G3643" i="4"/>
  <c r="E3644" i="4"/>
  <c r="G3644" i="4"/>
  <c r="F3644" i="4"/>
  <c r="E3645" i="4"/>
  <c r="F3645" i="4"/>
  <c r="G3645" i="4"/>
  <c r="E3646" i="4"/>
  <c r="F3646" i="4"/>
  <c r="G3646" i="4"/>
  <c r="E3647" i="4"/>
  <c r="E3648" i="4"/>
  <c r="G3648" i="4"/>
  <c r="F3648" i="4"/>
  <c r="E3649" i="4"/>
  <c r="F3649" i="4"/>
  <c r="E3650" i="4"/>
  <c r="G3650" i="4"/>
  <c r="F3650" i="4"/>
  <c r="E3651" i="4"/>
  <c r="E3652" i="4"/>
  <c r="E3653" i="4"/>
  <c r="E3654" i="4"/>
  <c r="E3655" i="4"/>
  <c r="F3655" i="4"/>
  <c r="G3655" i="4"/>
  <c r="E3656" i="4"/>
  <c r="G3656" i="4"/>
  <c r="F3656" i="4"/>
  <c r="E3657" i="4"/>
  <c r="F3657" i="4"/>
  <c r="G3657" i="4"/>
  <c r="E3658" i="4"/>
  <c r="G3658" i="4"/>
  <c r="F3658" i="4"/>
  <c r="E3659" i="4"/>
  <c r="E3660" i="4"/>
  <c r="E3661" i="4"/>
  <c r="E3662" i="4"/>
  <c r="G3662" i="4"/>
  <c r="E3663" i="4"/>
  <c r="F3663" i="4"/>
  <c r="G3663" i="4"/>
  <c r="E3664" i="4"/>
  <c r="G3664" i="4"/>
  <c r="E3665" i="4"/>
  <c r="G3665" i="4"/>
  <c r="F3665" i="4"/>
  <c r="E3666" i="4"/>
  <c r="E3667" i="4"/>
  <c r="F3667" i="4"/>
  <c r="G3667" i="4"/>
  <c r="E3668" i="4"/>
  <c r="G3668" i="4"/>
  <c r="F3668" i="4"/>
  <c r="E3669" i="4"/>
  <c r="F3669" i="4"/>
  <c r="G3669" i="4"/>
  <c r="E3670" i="4"/>
  <c r="G3670" i="4"/>
  <c r="F3670" i="4"/>
  <c r="E3671" i="4"/>
  <c r="G3671" i="4"/>
  <c r="F3671" i="4"/>
  <c r="E3672" i="4"/>
  <c r="G3672" i="4"/>
  <c r="E3673" i="4"/>
  <c r="G3673" i="4"/>
  <c r="F3673" i="4"/>
  <c r="E3674" i="4"/>
  <c r="F3674" i="4"/>
  <c r="E3675" i="4"/>
  <c r="E3676" i="4"/>
  <c r="E3677" i="4"/>
  <c r="F3677" i="4"/>
  <c r="G3677" i="4"/>
  <c r="E3678" i="4"/>
  <c r="G3678" i="4"/>
  <c r="F3678" i="4"/>
  <c r="E3679" i="4"/>
  <c r="G3679" i="4"/>
  <c r="F3679" i="4"/>
  <c r="E3680" i="4"/>
  <c r="E3681" i="4"/>
  <c r="F3681" i="4"/>
  <c r="G3681" i="4"/>
  <c r="E3682" i="4"/>
  <c r="F3682" i="4"/>
  <c r="E3683" i="4"/>
  <c r="E3684" i="4"/>
  <c r="E3685" i="4"/>
  <c r="G3685" i="4"/>
  <c r="F3685" i="4"/>
  <c r="E3686" i="4"/>
  <c r="G3686" i="4"/>
  <c r="E3687" i="4"/>
  <c r="G3687" i="4"/>
  <c r="E3688" i="4"/>
  <c r="E3689" i="4"/>
  <c r="E3690" i="4"/>
  <c r="E3691" i="4"/>
  <c r="G3691" i="4"/>
  <c r="F3691" i="4"/>
  <c r="E3692" i="4"/>
  <c r="G3692" i="4"/>
  <c r="F3692" i="4"/>
  <c r="E3693" i="4"/>
  <c r="G3693" i="4"/>
  <c r="F3693" i="4"/>
  <c r="E3694" i="4"/>
  <c r="E3695" i="4"/>
  <c r="F3695" i="4"/>
  <c r="E3696" i="4"/>
  <c r="G3696" i="4"/>
  <c r="F3696" i="4"/>
  <c r="E3697" i="4"/>
  <c r="G3697" i="4"/>
  <c r="E3698" i="4"/>
  <c r="E3699" i="4"/>
  <c r="E3700" i="4"/>
  <c r="G3700" i="4"/>
  <c r="E3701" i="4"/>
  <c r="G3701" i="4"/>
  <c r="F3701" i="4"/>
  <c r="E3702" i="4"/>
  <c r="E3703" i="4"/>
  <c r="F3703" i="4"/>
  <c r="G3703" i="4"/>
  <c r="E3704" i="4"/>
  <c r="E3705" i="4"/>
  <c r="F3705" i="4"/>
  <c r="G3705" i="4"/>
  <c r="E3706" i="4"/>
  <c r="E3707" i="4"/>
  <c r="E3708" i="4"/>
  <c r="E3709" i="4"/>
  <c r="G3709" i="4"/>
  <c r="F3709" i="4"/>
  <c r="E3710" i="4"/>
  <c r="G3710" i="4"/>
  <c r="F3710" i="4"/>
  <c r="E3711" i="4"/>
  <c r="F3711" i="4"/>
  <c r="E3712" i="4"/>
  <c r="G3712" i="4"/>
  <c r="F3712" i="4"/>
  <c r="E3713" i="4"/>
  <c r="F3713" i="4"/>
  <c r="G3713" i="4"/>
  <c r="E3714" i="4"/>
  <c r="F3714" i="4"/>
  <c r="E3715" i="4"/>
  <c r="F3715" i="4"/>
  <c r="G3715" i="4"/>
  <c r="E3716" i="4"/>
  <c r="E3717" i="4"/>
  <c r="E3718" i="4"/>
  <c r="E3719" i="4"/>
  <c r="G3719" i="4"/>
  <c r="E3720" i="4"/>
  <c r="E3721" i="4"/>
  <c r="E3722" i="4"/>
  <c r="G3722" i="4"/>
  <c r="E3723" i="4"/>
  <c r="F3723" i="4"/>
  <c r="G3723" i="4"/>
  <c r="E3724" i="4"/>
  <c r="E3725" i="4"/>
  <c r="E3726" i="4"/>
  <c r="E3727" i="4"/>
  <c r="E3728" i="4"/>
  <c r="G3728" i="4"/>
  <c r="E3729" i="4"/>
  <c r="F3729" i="4"/>
  <c r="G3729" i="4"/>
  <c r="E3730" i="4"/>
  <c r="E3731" i="4"/>
  <c r="G3731" i="4"/>
  <c r="F3731" i="4"/>
  <c r="E3732" i="4"/>
  <c r="G3732" i="4"/>
  <c r="E3733" i="4"/>
  <c r="G3733" i="4"/>
  <c r="E3734" i="4"/>
  <c r="E3735" i="4"/>
  <c r="F3735" i="4"/>
  <c r="E3736" i="4"/>
  <c r="E3737" i="4"/>
  <c r="E3738" i="4"/>
  <c r="E3739" i="4"/>
  <c r="F3739" i="4"/>
  <c r="E3740" i="4"/>
  <c r="G3740" i="4"/>
  <c r="F3740" i="4"/>
  <c r="E3741" i="4"/>
  <c r="F3741" i="4"/>
  <c r="G3741" i="4"/>
  <c r="E3742" i="4"/>
  <c r="G3742" i="4"/>
  <c r="E3743" i="4"/>
  <c r="E3744" i="4"/>
  <c r="E3745" i="4"/>
  <c r="G3745" i="4"/>
  <c r="E3746" i="4"/>
  <c r="F3746" i="4"/>
  <c r="G3746" i="4"/>
  <c r="E3747" i="4"/>
  <c r="E3748" i="4"/>
  <c r="E3749" i="4"/>
  <c r="F3749" i="4"/>
  <c r="E3750" i="4"/>
  <c r="E3751" i="4"/>
  <c r="E3752" i="4"/>
  <c r="G3752" i="4"/>
  <c r="F3752" i="4"/>
  <c r="E3753" i="4"/>
  <c r="E3754" i="4"/>
  <c r="G3754" i="4"/>
  <c r="E3755" i="4"/>
  <c r="F3755" i="4"/>
  <c r="G3755" i="4"/>
  <c r="E3756" i="4"/>
  <c r="E3757" i="4"/>
  <c r="G3757" i="4"/>
  <c r="F3757" i="4"/>
  <c r="E3758" i="4"/>
  <c r="F3758" i="4"/>
  <c r="E3759" i="4"/>
  <c r="E3760" i="4"/>
  <c r="G3760" i="4"/>
  <c r="F3760" i="4"/>
  <c r="E3761" i="4"/>
  <c r="G3761" i="4"/>
  <c r="F3761" i="4"/>
  <c r="E3762" i="4"/>
  <c r="E3763" i="4"/>
  <c r="E3764" i="4"/>
  <c r="G3764" i="4"/>
  <c r="E3765" i="4"/>
  <c r="F3765" i="4"/>
  <c r="E3766" i="4"/>
  <c r="F3766" i="4"/>
  <c r="G3766" i="4"/>
  <c r="E3767" i="4"/>
  <c r="F3767" i="4"/>
  <c r="E3768" i="4"/>
  <c r="E3769" i="4"/>
  <c r="G3769" i="4"/>
  <c r="E3770" i="4"/>
  <c r="E3771" i="4"/>
  <c r="F3771" i="4"/>
  <c r="E3772" i="4"/>
  <c r="G3772" i="4"/>
  <c r="F3772" i="4"/>
  <c r="E3773" i="4"/>
  <c r="E3774" i="4"/>
  <c r="F3774" i="4"/>
  <c r="G3774" i="4"/>
  <c r="E3775" i="4"/>
  <c r="F3775" i="4"/>
  <c r="G3775" i="4"/>
  <c r="E3776" i="4"/>
  <c r="E3777" i="4"/>
  <c r="G3777" i="4"/>
  <c r="E3778" i="4"/>
  <c r="F3778" i="4"/>
  <c r="E3779" i="4"/>
  <c r="G3779" i="4"/>
  <c r="F3779" i="4"/>
  <c r="E3780" i="4"/>
  <c r="E3781" i="4"/>
  <c r="F3781" i="4"/>
  <c r="E3782" i="4"/>
  <c r="E3783" i="4"/>
  <c r="E3784" i="4"/>
  <c r="E3785" i="4"/>
  <c r="F3785" i="4"/>
  <c r="E3786" i="4"/>
  <c r="G3786" i="4"/>
  <c r="F3786" i="4"/>
  <c r="E3787" i="4"/>
  <c r="F3787" i="4"/>
  <c r="E3788" i="4"/>
  <c r="E3789" i="4"/>
  <c r="G3789" i="4"/>
  <c r="E3790" i="4"/>
  <c r="F3790" i="4"/>
  <c r="G3790" i="4"/>
  <c r="E3791" i="4"/>
  <c r="E3792" i="4"/>
  <c r="G3792" i="4"/>
  <c r="E3793" i="4"/>
  <c r="E3794" i="4"/>
  <c r="E3795" i="4"/>
  <c r="G3795" i="4"/>
  <c r="F3795" i="4"/>
  <c r="E3796" i="4"/>
  <c r="E3797" i="4"/>
  <c r="F3797" i="4"/>
  <c r="E3798" i="4"/>
  <c r="F3798" i="4"/>
  <c r="E3799" i="4"/>
  <c r="G3799" i="4"/>
  <c r="F3799" i="4"/>
  <c r="E3800" i="4"/>
  <c r="G3800" i="4"/>
  <c r="F3800" i="4"/>
  <c r="E3801" i="4"/>
  <c r="G3801" i="4"/>
  <c r="F3801" i="4"/>
  <c r="E3802" i="4"/>
  <c r="G3802" i="4"/>
  <c r="F3802" i="4"/>
  <c r="E3803" i="4"/>
  <c r="E3804" i="4"/>
  <c r="E3805" i="4"/>
  <c r="G3805" i="4"/>
  <c r="E3806" i="4"/>
  <c r="F3806" i="4"/>
  <c r="E3807" i="4"/>
  <c r="E3808" i="4"/>
  <c r="E3809" i="4"/>
  <c r="E3810" i="4"/>
  <c r="G3810" i="4"/>
  <c r="E3811" i="4"/>
  <c r="G3811" i="4"/>
  <c r="E3812" i="4"/>
  <c r="E3813" i="4"/>
  <c r="E3814" i="4"/>
  <c r="E3815" i="4"/>
  <c r="F3815" i="4"/>
  <c r="E3816" i="4"/>
  <c r="E3817" i="4"/>
  <c r="E3818" i="4"/>
  <c r="F3818" i="4"/>
  <c r="E3819" i="4"/>
  <c r="F3819" i="4"/>
  <c r="E3820" i="4"/>
  <c r="G3820" i="4"/>
  <c r="F3820" i="4"/>
  <c r="E3821" i="4"/>
  <c r="E3822" i="4"/>
  <c r="F3822" i="4"/>
  <c r="E3823" i="4"/>
  <c r="G3823" i="4"/>
  <c r="F3823" i="4"/>
  <c r="E3824" i="4"/>
  <c r="E3825" i="4"/>
  <c r="G3825" i="4"/>
  <c r="E3826" i="4"/>
  <c r="E3827" i="4"/>
  <c r="E3828" i="4"/>
  <c r="E3829" i="4"/>
  <c r="F3829" i="4"/>
  <c r="E3830" i="4"/>
  <c r="E3831" i="4"/>
  <c r="F3831" i="4"/>
  <c r="G3831" i="4"/>
  <c r="E3832" i="4"/>
  <c r="G3832" i="4"/>
  <c r="F3832" i="4"/>
  <c r="E3833" i="4"/>
  <c r="F3833" i="4"/>
  <c r="G3833" i="4"/>
  <c r="E3834" i="4"/>
  <c r="F3834" i="4"/>
  <c r="G3834" i="4"/>
  <c r="E3835" i="4"/>
  <c r="F3835" i="4"/>
  <c r="G3835" i="4"/>
  <c r="E3836" i="4"/>
  <c r="E3837" i="4"/>
  <c r="G3837" i="4"/>
  <c r="E3838" i="4"/>
  <c r="F3838" i="4"/>
  <c r="E3839" i="4"/>
  <c r="E3840" i="4"/>
  <c r="E3841" i="4"/>
  <c r="E3842" i="4"/>
  <c r="F3842" i="4"/>
  <c r="E3843" i="4"/>
  <c r="G3843" i="4"/>
  <c r="F3843" i="4"/>
  <c r="E3844" i="4"/>
  <c r="E3845" i="4"/>
  <c r="F3845" i="4"/>
  <c r="G3845" i="4"/>
  <c r="E3846" i="4"/>
  <c r="F3846" i="4"/>
  <c r="E3847" i="4"/>
  <c r="F3847" i="4"/>
  <c r="G3847" i="4"/>
  <c r="E3848" i="4"/>
  <c r="G3848" i="4"/>
  <c r="F3848" i="4"/>
  <c r="E3849" i="4"/>
  <c r="E3850" i="4"/>
  <c r="F3850" i="4"/>
  <c r="E3851" i="4"/>
  <c r="E3852" i="4"/>
  <c r="E3853" i="4"/>
  <c r="G3853" i="4"/>
  <c r="F3853" i="4"/>
  <c r="E3854" i="4"/>
  <c r="E3855" i="4"/>
  <c r="G3855" i="4"/>
  <c r="F3855" i="4"/>
  <c r="E3856" i="4"/>
  <c r="E3857" i="4"/>
  <c r="F3857" i="4"/>
  <c r="G3857" i="4"/>
  <c r="E3858" i="4"/>
  <c r="F3858" i="4"/>
  <c r="E3859" i="4"/>
  <c r="F3859" i="4"/>
  <c r="E3860" i="4"/>
  <c r="E3861" i="4"/>
  <c r="E3862" i="4"/>
  <c r="G3862" i="4"/>
  <c r="E3863" i="4"/>
  <c r="E3864" i="4"/>
  <c r="E3865" i="4"/>
  <c r="E3866" i="4"/>
  <c r="E3867" i="4"/>
  <c r="E3868" i="4"/>
  <c r="G3868" i="4"/>
  <c r="F3868" i="4"/>
  <c r="E3869" i="4"/>
  <c r="F3869" i="4"/>
  <c r="E3870" i="4"/>
  <c r="F3870" i="4"/>
  <c r="G3870" i="4"/>
  <c r="E3871" i="4"/>
  <c r="E3872" i="4"/>
  <c r="E3873" i="4"/>
  <c r="F3873" i="4"/>
  <c r="G3873" i="4"/>
  <c r="E3874" i="4"/>
  <c r="E3875" i="4"/>
  <c r="E3876" i="4"/>
  <c r="E3877" i="4"/>
  <c r="G3877" i="4"/>
  <c r="E3878" i="4"/>
  <c r="F3878" i="4"/>
  <c r="E3879" i="4"/>
  <c r="F3879" i="4"/>
  <c r="G3879" i="4"/>
  <c r="E3880" i="4"/>
  <c r="G3880" i="4"/>
  <c r="F3880" i="4"/>
  <c r="E3881" i="4"/>
  <c r="G3881" i="4"/>
  <c r="F3881" i="4"/>
  <c r="E3882" i="4"/>
  <c r="E3883" i="4"/>
  <c r="F3883" i="4"/>
  <c r="E3884" i="4"/>
  <c r="F3884" i="4"/>
  <c r="G3884" i="4"/>
  <c r="E3885" i="4"/>
  <c r="G3885" i="4"/>
  <c r="F3885" i="4"/>
  <c r="E3886" i="4"/>
  <c r="E3887" i="4"/>
  <c r="G3887" i="4"/>
  <c r="E3888" i="4"/>
  <c r="F3888" i="4"/>
  <c r="G3888" i="4"/>
  <c r="E3889" i="4"/>
  <c r="F3889" i="4"/>
  <c r="G3889" i="4"/>
  <c r="E3890" i="4"/>
  <c r="F3890" i="4"/>
  <c r="G3890" i="4"/>
  <c r="E3891" i="4"/>
  <c r="G3891" i="4"/>
  <c r="F3891" i="4"/>
  <c r="E3892" i="4"/>
  <c r="E3893" i="4"/>
  <c r="G3893" i="4"/>
  <c r="F3893" i="4"/>
  <c r="E3894" i="4"/>
  <c r="E3895" i="4"/>
  <c r="E3896" i="4"/>
  <c r="F3896" i="4"/>
  <c r="G3896" i="4"/>
  <c r="E3897" i="4"/>
  <c r="F3897" i="4"/>
  <c r="G3897" i="4"/>
  <c r="E3898" i="4"/>
  <c r="F3898" i="4"/>
  <c r="E3899" i="4"/>
  <c r="G3899" i="4"/>
  <c r="E3900" i="4"/>
  <c r="G3900" i="4"/>
  <c r="E3901" i="4"/>
  <c r="F3901" i="4"/>
  <c r="E3902" i="4"/>
  <c r="E3903" i="4"/>
  <c r="G3903" i="4"/>
  <c r="F3903" i="4"/>
  <c r="E3904" i="4"/>
  <c r="E3905" i="4"/>
  <c r="G3905" i="4"/>
  <c r="F3905" i="4"/>
  <c r="E3906" i="4"/>
  <c r="F3906" i="4"/>
  <c r="E3907" i="4"/>
  <c r="F3907" i="4"/>
  <c r="G3907" i="4"/>
  <c r="E3908" i="4"/>
  <c r="E3909" i="4"/>
  <c r="E3910" i="4"/>
  <c r="F3910" i="4"/>
  <c r="G3910" i="4"/>
  <c r="E3911" i="4"/>
  <c r="F3911" i="4"/>
  <c r="G3911" i="4"/>
  <c r="E3912" i="4"/>
  <c r="E3913" i="4"/>
  <c r="G3913" i="4"/>
  <c r="E3914" i="4"/>
  <c r="E3915" i="4"/>
  <c r="G3915" i="4"/>
  <c r="E3916" i="4"/>
  <c r="E3917" i="4"/>
  <c r="F3917" i="4"/>
  <c r="G3917" i="4"/>
  <c r="E3918" i="4"/>
  <c r="F3918" i="4"/>
  <c r="G3918" i="4"/>
  <c r="E3919" i="4"/>
  <c r="G3919" i="4"/>
  <c r="E3920" i="4"/>
  <c r="G3920" i="4"/>
  <c r="F3920" i="4"/>
  <c r="E3921" i="4"/>
  <c r="E3922" i="4"/>
  <c r="G3922" i="4"/>
  <c r="F3922" i="4"/>
  <c r="E3923" i="4"/>
  <c r="E3924" i="4"/>
  <c r="F3924" i="4"/>
  <c r="G3924" i="4"/>
  <c r="E3925" i="4"/>
  <c r="E3926" i="4"/>
  <c r="F3926" i="4"/>
  <c r="G3926" i="4"/>
  <c r="E3927" i="4"/>
  <c r="G3927" i="4"/>
  <c r="F3927" i="4"/>
  <c r="E3928" i="4"/>
  <c r="F3928" i="4"/>
  <c r="G3928" i="4"/>
  <c r="E3929" i="4"/>
  <c r="F3929" i="4"/>
  <c r="G3929" i="4"/>
  <c r="E3930" i="4"/>
  <c r="G3930" i="4"/>
  <c r="E3931" i="4"/>
  <c r="G3931" i="4"/>
  <c r="F3931" i="4"/>
  <c r="E3932" i="4"/>
  <c r="E3933" i="4"/>
  <c r="G3933" i="4"/>
  <c r="F3933" i="4"/>
  <c r="E3934" i="4"/>
  <c r="F3934" i="4"/>
  <c r="E3935" i="4"/>
  <c r="E3936" i="4"/>
  <c r="G3936" i="4"/>
  <c r="F3936" i="4"/>
  <c r="E3937" i="4"/>
  <c r="F3937" i="4"/>
  <c r="G3937" i="4"/>
  <c r="E3938" i="4"/>
  <c r="G3938" i="4"/>
  <c r="F3938" i="4"/>
  <c r="E3939" i="4"/>
  <c r="G3939" i="4"/>
  <c r="E3940" i="4"/>
  <c r="F3940" i="4"/>
  <c r="G3940" i="4"/>
  <c r="E3941" i="4"/>
  <c r="F3941" i="4"/>
  <c r="G3941" i="4"/>
  <c r="E3942" i="4"/>
  <c r="F3942" i="4"/>
  <c r="G3942" i="4"/>
  <c r="E3943" i="4"/>
  <c r="E3944" i="4"/>
  <c r="F3944" i="4"/>
  <c r="G3944" i="4"/>
  <c r="E3945" i="4"/>
  <c r="E3946" i="4"/>
  <c r="G3946" i="4"/>
  <c r="E3947" i="4"/>
  <c r="G3947" i="4"/>
  <c r="E3948" i="4"/>
  <c r="F3948" i="4"/>
  <c r="E3949" i="4"/>
  <c r="G3949" i="4"/>
  <c r="F3949" i="4"/>
  <c r="E3950" i="4"/>
  <c r="E3951" i="4"/>
  <c r="G3951" i="4"/>
  <c r="F3951" i="4"/>
  <c r="E3952" i="4"/>
  <c r="G3952" i="4"/>
  <c r="E3953" i="4"/>
  <c r="F3953" i="4"/>
  <c r="G3953" i="4"/>
  <c r="E3954" i="4"/>
  <c r="G3954" i="4"/>
  <c r="F3954" i="4"/>
  <c r="E3955" i="4"/>
  <c r="G3955" i="4"/>
  <c r="E3956" i="4"/>
  <c r="F3956" i="4"/>
  <c r="E3957" i="4"/>
  <c r="G3957" i="4"/>
  <c r="F3957" i="4"/>
  <c r="E3958" i="4"/>
  <c r="F3958" i="4"/>
  <c r="E3959" i="4"/>
  <c r="G3959" i="4"/>
  <c r="F3959" i="4"/>
  <c r="E3960" i="4"/>
  <c r="G3960" i="4"/>
  <c r="F3960" i="4"/>
  <c r="E3961" i="4"/>
  <c r="F3961" i="4"/>
  <c r="G3961" i="4"/>
  <c r="E3962" i="4"/>
  <c r="E3963" i="4"/>
  <c r="G3963" i="4"/>
  <c r="E3964" i="4"/>
  <c r="F3964" i="4"/>
  <c r="G3964" i="4"/>
  <c r="E3965" i="4"/>
  <c r="F3965" i="4"/>
  <c r="G3965" i="4"/>
  <c r="E3966" i="4"/>
  <c r="F3966" i="4"/>
  <c r="G3966" i="4"/>
  <c r="E3967" i="4"/>
  <c r="G3967" i="4"/>
  <c r="E3968" i="4"/>
  <c r="G3968" i="4"/>
  <c r="F3968" i="4"/>
  <c r="E3969" i="4"/>
  <c r="F3969" i="4"/>
  <c r="G3969" i="4"/>
  <c r="E3970" i="4"/>
  <c r="G3970" i="4"/>
  <c r="F3970" i="4"/>
  <c r="E3971" i="4"/>
  <c r="E3972" i="4"/>
  <c r="E3973" i="4"/>
  <c r="E3974" i="4"/>
  <c r="F3974" i="4"/>
  <c r="E3975" i="4"/>
  <c r="G3975" i="4"/>
  <c r="F3975" i="4"/>
  <c r="E3976" i="4"/>
  <c r="G3976" i="4"/>
  <c r="F3976" i="4"/>
  <c r="E3977" i="4"/>
  <c r="F3977" i="4"/>
  <c r="E3978" i="4"/>
  <c r="F3978" i="4"/>
  <c r="G3978" i="4"/>
  <c r="E3979" i="4"/>
  <c r="G3979" i="4"/>
  <c r="F3979" i="4"/>
  <c r="E3980" i="4"/>
  <c r="E3981" i="4"/>
  <c r="G3981" i="4"/>
  <c r="F3981" i="4"/>
  <c r="E3982" i="4"/>
  <c r="F3982" i="4"/>
  <c r="G3982" i="4"/>
  <c r="E3983" i="4"/>
  <c r="G3983" i="4"/>
  <c r="F3983" i="4"/>
  <c r="E3984" i="4"/>
  <c r="G3984" i="4"/>
  <c r="E3985" i="4"/>
  <c r="G3985" i="4"/>
  <c r="F3985" i="4"/>
  <c r="E3986" i="4"/>
  <c r="E3987" i="4"/>
  <c r="G3987" i="4"/>
  <c r="E3988" i="4"/>
  <c r="F3988" i="4"/>
  <c r="E3989" i="4"/>
  <c r="F3989" i="4"/>
  <c r="E3990" i="4"/>
  <c r="G3990" i="4"/>
  <c r="F3990" i="4"/>
  <c r="E3991" i="4"/>
  <c r="E3992" i="4"/>
  <c r="E3993" i="4"/>
  <c r="G3993" i="4"/>
  <c r="F3993" i="4"/>
  <c r="E3994" i="4"/>
  <c r="F3994" i="4"/>
  <c r="G3994" i="4"/>
  <c r="E3995" i="4"/>
  <c r="G3995" i="4"/>
  <c r="E3996" i="4"/>
  <c r="F3996" i="4"/>
  <c r="E3997" i="4"/>
  <c r="F3997" i="4"/>
  <c r="E3998" i="4"/>
  <c r="F3998" i="4"/>
  <c r="G3998" i="4"/>
  <c r="E3999" i="4"/>
  <c r="G3999" i="4"/>
  <c r="E4000" i="4"/>
  <c r="G4000" i="4"/>
  <c r="F4000" i="4"/>
  <c r="E4001" i="4"/>
  <c r="E4002" i="4"/>
  <c r="G4002" i="4"/>
  <c r="F4002" i="4"/>
  <c r="E4003" i="4"/>
  <c r="G4003" i="4"/>
  <c r="E4004" i="4"/>
  <c r="F4004" i="4"/>
  <c r="E4005" i="4"/>
  <c r="E4006" i="4"/>
  <c r="F4006" i="4"/>
  <c r="G4006" i="4"/>
  <c r="E4007" i="4"/>
  <c r="G4007" i="4"/>
  <c r="F4007" i="4"/>
  <c r="E4008" i="4"/>
  <c r="F4008" i="4"/>
  <c r="G4008" i="4"/>
  <c r="E4009" i="4"/>
  <c r="F4009" i="4"/>
  <c r="G4009" i="4"/>
  <c r="E4010" i="4"/>
  <c r="F4010" i="4"/>
  <c r="E4011" i="4"/>
  <c r="G4011" i="4"/>
  <c r="E4012" i="4"/>
  <c r="E4013" i="4"/>
  <c r="E4014" i="4"/>
  <c r="F4014" i="4"/>
  <c r="G4014" i="4"/>
  <c r="E4015" i="4"/>
  <c r="E4016" i="4"/>
  <c r="G4016" i="4"/>
  <c r="E4017" i="4"/>
  <c r="G4017" i="4"/>
  <c r="E4018" i="4"/>
  <c r="F4018" i="4"/>
  <c r="G4018" i="4"/>
  <c r="E4019" i="4"/>
  <c r="E4020" i="4"/>
  <c r="F4020" i="4"/>
  <c r="E4021" i="4"/>
  <c r="F4021" i="4"/>
  <c r="E4022" i="4"/>
  <c r="G4022" i="4"/>
  <c r="F4022" i="4"/>
  <c r="E4023" i="4"/>
  <c r="G4023" i="4"/>
  <c r="F4023" i="4"/>
  <c r="E4024" i="4"/>
  <c r="F4024" i="4"/>
  <c r="G4024" i="4"/>
  <c r="E4025" i="4"/>
  <c r="E4026" i="4"/>
  <c r="F4026" i="4"/>
  <c r="G4026" i="4"/>
  <c r="E4027" i="4"/>
  <c r="E4028" i="4"/>
  <c r="E4029" i="4"/>
  <c r="F4029" i="4"/>
  <c r="G4029" i="4"/>
  <c r="E4030" i="4"/>
  <c r="G4030" i="4"/>
  <c r="E4031" i="4"/>
  <c r="G4031" i="4"/>
  <c r="E4032" i="4"/>
  <c r="G4032" i="4"/>
  <c r="F4032" i="4"/>
  <c r="E4033" i="4"/>
  <c r="F4033" i="4"/>
  <c r="G4033" i="4"/>
  <c r="E4034" i="4"/>
  <c r="F4034" i="4"/>
  <c r="G4034" i="4"/>
  <c r="E4035" i="4"/>
  <c r="G4035" i="4"/>
  <c r="E4036" i="4"/>
  <c r="F4036" i="4"/>
  <c r="E4037" i="4"/>
  <c r="G4037" i="4"/>
  <c r="E4038" i="4"/>
  <c r="G4038" i="4"/>
  <c r="F4038" i="4"/>
  <c r="E4039" i="4"/>
  <c r="E4040" i="4"/>
  <c r="G4040" i="4"/>
  <c r="F4040" i="4"/>
  <c r="E4041" i="4"/>
  <c r="F4041" i="4"/>
  <c r="G4041" i="4"/>
  <c r="E4042" i="4"/>
  <c r="F4042" i="4"/>
  <c r="G4042" i="4"/>
  <c r="E4043" i="4"/>
  <c r="G4043" i="4"/>
  <c r="E4044" i="4"/>
  <c r="F4044" i="4"/>
  <c r="E4045" i="4"/>
  <c r="F4045" i="4"/>
  <c r="G4045" i="4"/>
  <c r="E4046" i="4"/>
  <c r="F4046" i="4"/>
  <c r="E4047" i="4"/>
  <c r="E4048" i="4"/>
  <c r="G4048" i="4"/>
  <c r="F4048" i="4"/>
  <c r="E4049" i="4"/>
  <c r="F4049" i="4"/>
  <c r="G4049" i="4"/>
  <c r="E4050" i="4"/>
  <c r="F4050" i="4"/>
  <c r="G4050" i="4"/>
  <c r="E4051" i="4"/>
  <c r="G4051" i="4"/>
  <c r="E4052" i="4"/>
  <c r="F4052" i="4"/>
  <c r="E4053" i="4"/>
  <c r="F4053" i="4"/>
  <c r="G4053" i="4"/>
  <c r="E4054" i="4"/>
  <c r="F4054" i="4"/>
  <c r="E4055" i="4"/>
  <c r="G4055" i="4"/>
  <c r="F4055" i="4"/>
  <c r="E4056" i="4"/>
  <c r="F4056" i="4"/>
  <c r="G4056" i="4"/>
  <c r="E4057" i="4"/>
  <c r="G4057" i="4"/>
  <c r="E4058" i="4"/>
  <c r="F4058" i="4"/>
  <c r="G4058" i="4"/>
  <c r="E4059" i="4"/>
  <c r="G4059" i="4"/>
  <c r="E4060" i="4"/>
  <c r="E4061" i="4"/>
  <c r="F4061" i="4"/>
  <c r="G4061" i="4"/>
  <c r="E4062" i="4"/>
  <c r="E4063" i="4"/>
  <c r="G4063" i="4"/>
  <c r="E4064" i="4"/>
  <c r="G4064" i="4"/>
  <c r="E4065" i="4"/>
  <c r="G4065" i="4"/>
  <c r="E4066" i="4"/>
  <c r="F4066" i="4"/>
  <c r="G4066" i="4"/>
  <c r="E4067" i="4"/>
  <c r="E4068" i="4"/>
  <c r="F4068" i="4"/>
  <c r="G4068" i="4"/>
  <c r="E4069" i="4"/>
  <c r="F4069" i="4"/>
  <c r="G4069" i="4"/>
  <c r="E4070" i="4"/>
  <c r="G4070" i="4"/>
  <c r="E4071" i="4"/>
  <c r="E4072" i="4"/>
  <c r="G4072" i="4"/>
  <c r="F4072" i="4"/>
  <c r="E4073" i="4"/>
  <c r="F4073" i="4"/>
  <c r="E4074" i="4"/>
  <c r="F4074" i="4"/>
  <c r="E4075" i="4"/>
  <c r="E4076" i="4"/>
  <c r="E4077" i="4"/>
  <c r="G4077" i="4"/>
  <c r="F4077" i="4"/>
  <c r="E4078" i="4"/>
  <c r="E4079" i="4"/>
  <c r="G4079" i="4"/>
  <c r="F4079" i="4"/>
  <c r="E4080" i="4"/>
  <c r="G4080" i="4"/>
  <c r="F4080" i="4"/>
  <c r="E4081" i="4"/>
  <c r="F4081" i="4"/>
  <c r="E4082" i="4"/>
  <c r="F4082" i="4"/>
  <c r="G4082" i="4"/>
  <c r="E4083" i="4"/>
  <c r="G4083" i="4"/>
  <c r="E4084" i="4"/>
  <c r="F4084" i="4"/>
  <c r="E4085" i="4"/>
  <c r="F4085" i="4"/>
  <c r="E4086" i="4"/>
  <c r="F4086" i="4"/>
  <c r="G4086" i="4"/>
  <c r="E4087" i="4"/>
  <c r="G4087" i="4"/>
  <c r="F4087" i="4"/>
  <c r="E4088" i="4"/>
  <c r="E4089" i="4"/>
  <c r="F4089" i="4"/>
  <c r="G4089" i="4"/>
  <c r="E4090" i="4"/>
  <c r="E4091" i="4"/>
  <c r="G4091" i="4"/>
  <c r="E4092" i="4"/>
  <c r="F4092" i="4"/>
  <c r="E4093" i="4"/>
  <c r="G4093" i="4"/>
  <c r="F4093" i="4"/>
  <c r="E4094" i="4"/>
  <c r="F4094" i="4"/>
  <c r="G4094" i="4"/>
  <c r="E4095" i="4"/>
  <c r="G4095" i="4"/>
  <c r="F4095" i="4"/>
  <c r="E4096" i="4"/>
  <c r="E4097" i="4"/>
  <c r="E4098" i="4"/>
  <c r="E4099" i="4"/>
  <c r="G4099" i="4"/>
  <c r="E4100" i="4"/>
  <c r="F4100" i="4"/>
  <c r="E4101" i="4"/>
  <c r="F4101" i="4"/>
  <c r="G4101" i="4"/>
  <c r="E4102" i="4"/>
  <c r="E4103" i="4"/>
  <c r="E4104" i="4"/>
  <c r="G4104" i="4"/>
  <c r="F4104" i="4"/>
  <c r="E4105" i="4"/>
  <c r="F4105" i="4"/>
  <c r="G4105" i="4"/>
  <c r="E4106" i="4"/>
  <c r="F4106" i="4"/>
  <c r="E4107" i="4"/>
  <c r="G4107" i="4"/>
  <c r="E4108" i="4"/>
  <c r="E4109" i="4"/>
  <c r="G4109" i="4"/>
  <c r="F4109" i="4"/>
  <c r="E4110" i="4"/>
  <c r="F4110" i="4"/>
  <c r="E4111" i="4"/>
  <c r="G4111" i="4"/>
  <c r="F4111" i="4"/>
  <c r="E4112" i="4"/>
  <c r="G4112" i="4"/>
  <c r="F4112" i="4"/>
  <c r="E4113" i="4"/>
  <c r="F4113" i="4"/>
  <c r="E4114" i="4"/>
  <c r="F4114" i="4"/>
  <c r="G4114" i="4"/>
  <c r="E4115" i="4"/>
  <c r="E4116" i="4"/>
  <c r="F4116" i="4"/>
  <c r="E4117" i="4"/>
  <c r="F4117" i="4"/>
  <c r="G4117" i="4"/>
  <c r="E4118" i="4"/>
  <c r="G4118" i="4"/>
  <c r="F4118" i="4"/>
  <c r="E4119" i="4"/>
  <c r="G4119" i="4"/>
  <c r="F4119" i="4"/>
  <c r="E4120" i="4"/>
  <c r="F4120" i="4"/>
  <c r="G4120" i="4"/>
  <c r="E4121" i="4"/>
  <c r="F4121" i="4"/>
  <c r="E4122" i="4"/>
  <c r="F4122" i="4"/>
  <c r="G4122" i="4"/>
  <c r="E4123" i="4"/>
  <c r="E4124" i="4"/>
  <c r="E4125" i="4"/>
  <c r="G4125" i="4"/>
  <c r="F4125" i="4"/>
  <c r="E4126" i="4"/>
  <c r="F4126" i="4"/>
  <c r="G4126" i="4"/>
  <c r="E4127" i="4"/>
  <c r="G4127" i="4"/>
  <c r="E4128" i="4"/>
  <c r="G4128" i="4"/>
  <c r="F4128" i="4"/>
  <c r="E4129" i="4"/>
  <c r="E4130" i="4"/>
  <c r="G4130" i="4"/>
  <c r="E4131" i="4"/>
  <c r="G4131" i="4"/>
  <c r="E4132" i="4"/>
  <c r="F4132" i="4"/>
  <c r="G4132" i="4"/>
  <c r="E4133" i="4"/>
  <c r="E4134" i="4"/>
  <c r="F4134" i="4"/>
  <c r="G4134" i="4"/>
  <c r="E4135" i="4"/>
  <c r="G4135" i="4"/>
  <c r="F4135" i="4"/>
  <c r="E4136" i="4"/>
  <c r="F4136" i="4"/>
  <c r="G4136" i="4"/>
  <c r="E4137" i="4"/>
  <c r="E4138" i="4"/>
  <c r="G4138" i="4"/>
  <c r="F4138" i="4"/>
  <c r="E4139" i="4"/>
  <c r="G4139" i="4"/>
  <c r="E4140" i="4"/>
  <c r="F4140" i="4"/>
  <c r="E4141" i="4"/>
  <c r="G4141" i="4"/>
  <c r="F4141" i="4"/>
  <c r="E4142" i="4"/>
  <c r="F4142" i="4"/>
  <c r="G4142" i="4"/>
  <c r="E4143" i="4"/>
  <c r="G4143" i="4"/>
  <c r="F4143" i="4"/>
  <c r="E4144" i="4"/>
  <c r="G4144" i="4"/>
  <c r="F4144" i="4"/>
  <c r="E4145" i="4"/>
  <c r="G4145" i="4"/>
  <c r="E4146" i="4"/>
  <c r="G4146" i="4"/>
  <c r="F4146" i="4"/>
  <c r="E4147" i="4"/>
  <c r="G4147" i="4"/>
  <c r="E4148" i="4"/>
  <c r="F4148" i="4"/>
  <c r="E4149" i="4"/>
  <c r="F4149" i="4"/>
  <c r="G4149" i="4"/>
  <c r="E4150" i="4"/>
  <c r="G4150" i="4"/>
  <c r="F4150" i="4"/>
  <c r="E4151" i="4"/>
  <c r="G4151" i="4"/>
  <c r="F4151" i="4"/>
  <c r="E4152" i="4"/>
  <c r="F4152" i="4"/>
  <c r="G4152" i="4"/>
  <c r="E4153" i="4"/>
  <c r="F4153" i="4"/>
  <c r="E4154" i="4"/>
  <c r="F4154" i="4"/>
  <c r="G4154" i="4"/>
  <c r="E4155" i="4"/>
  <c r="G4155" i="4"/>
  <c r="E4156" i="4"/>
  <c r="E4157" i="4"/>
  <c r="G4157" i="4"/>
  <c r="F4157" i="4"/>
  <c r="E4158" i="4"/>
  <c r="F4158" i="4"/>
  <c r="G4158" i="4"/>
  <c r="E4159" i="4"/>
  <c r="G4159" i="4"/>
  <c r="F4159" i="4"/>
  <c r="E4160" i="4"/>
  <c r="G4160" i="4"/>
  <c r="F4160" i="4"/>
  <c r="E4161" i="4"/>
  <c r="F4161" i="4"/>
  <c r="E4162" i="4"/>
  <c r="E4163" i="4"/>
  <c r="E4164" i="4"/>
  <c r="F4164" i="4"/>
  <c r="G4164" i="4"/>
  <c r="E4165" i="4"/>
  <c r="G4165" i="4"/>
  <c r="F4165" i="4"/>
  <c r="E4166" i="4"/>
  <c r="F4166" i="4"/>
  <c r="G4166" i="4"/>
  <c r="E4167" i="4"/>
  <c r="E4168" i="4"/>
  <c r="F4168" i="4"/>
  <c r="G4168" i="4"/>
  <c r="E4169" i="4"/>
  <c r="F4169" i="4"/>
  <c r="G4169" i="4"/>
  <c r="E4170" i="4"/>
  <c r="F4170" i="4"/>
  <c r="E4171" i="4"/>
  <c r="G4171" i="4"/>
  <c r="F4171" i="4"/>
  <c r="E4172" i="4"/>
  <c r="E4173" i="4"/>
  <c r="E4174" i="4"/>
  <c r="F4174" i="4"/>
  <c r="G4174" i="4"/>
  <c r="E4175" i="4"/>
  <c r="G4175" i="4"/>
  <c r="F4175" i="4"/>
  <c r="E4176" i="4"/>
  <c r="E4177" i="4"/>
  <c r="E4178" i="4"/>
  <c r="G4178" i="4"/>
  <c r="E4179" i="4"/>
  <c r="G4179" i="4"/>
  <c r="E4180" i="4"/>
  <c r="F4180" i="4"/>
  <c r="G4180" i="4"/>
  <c r="E4181" i="4"/>
  <c r="E4182" i="4"/>
  <c r="F4182" i="4"/>
  <c r="G4182" i="4"/>
  <c r="E4183" i="4"/>
  <c r="E4184" i="4"/>
  <c r="G4184" i="4"/>
  <c r="E4185" i="4"/>
  <c r="E4186" i="4"/>
  <c r="F4186" i="4"/>
  <c r="G4186" i="4"/>
  <c r="E4187" i="4"/>
  <c r="G4187" i="4"/>
  <c r="E4188" i="4"/>
  <c r="F4188" i="4"/>
  <c r="E4189" i="4"/>
  <c r="E4190" i="4"/>
  <c r="F4190" i="4"/>
  <c r="G4190" i="4"/>
  <c r="E4191" i="4"/>
  <c r="G4191" i="4"/>
  <c r="E4192" i="4"/>
  <c r="G4192" i="4"/>
  <c r="F4192" i="4"/>
  <c r="E4193" i="4"/>
  <c r="G4193" i="4"/>
  <c r="F4193" i="4"/>
  <c r="E4194" i="4"/>
  <c r="E4195" i="4"/>
  <c r="G4195" i="4"/>
  <c r="E4196" i="4"/>
  <c r="F4196" i="4"/>
  <c r="E4197" i="4"/>
  <c r="F4197" i="4"/>
  <c r="G4197" i="4"/>
  <c r="E4198" i="4"/>
  <c r="G4198" i="4"/>
  <c r="F4198" i="4"/>
  <c r="E4199" i="4"/>
  <c r="G4199" i="4"/>
  <c r="F4199" i="4"/>
  <c r="E4200" i="4"/>
  <c r="F4200" i="4"/>
  <c r="G4200" i="4"/>
  <c r="E4201" i="4"/>
  <c r="F4201" i="4"/>
  <c r="E4202" i="4"/>
  <c r="F4202" i="4"/>
  <c r="G4202" i="4"/>
  <c r="E4203" i="4"/>
  <c r="G4203" i="4"/>
  <c r="E4204" i="4"/>
  <c r="F4204" i="4"/>
  <c r="G4204" i="4"/>
  <c r="E4205" i="4"/>
  <c r="G4205" i="4"/>
  <c r="F4205" i="4"/>
  <c r="E4206" i="4"/>
  <c r="F4206" i="4"/>
  <c r="G4206" i="4"/>
  <c r="E4207" i="4"/>
  <c r="E4208" i="4"/>
  <c r="G4208" i="4"/>
  <c r="F4208" i="4"/>
  <c r="E4209" i="4"/>
  <c r="F4209" i="4"/>
  <c r="E4210" i="4"/>
  <c r="G4210" i="4"/>
  <c r="F4210" i="4"/>
  <c r="E4211" i="4"/>
  <c r="E4212" i="4"/>
  <c r="F4212" i="4"/>
  <c r="G4212" i="4"/>
  <c r="E4213" i="4"/>
  <c r="G4213" i="4"/>
  <c r="F4213" i="4"/>
  <c r="E4214" i="4"/>
  <c r="F4214" i="4"/>
  <c r="G4214" i="4"/>
  <c r="E4215" i="4"/>
  <c r="G4215" i="4"/>
  <c r="F4215" i="4"/>
  <c r="E4216" i="4"/>
  <c r="F4216" i="4"/>
  <c r="G4216" i="4"/>
  <c r="E4217" i="4"/>
  <c r="F4217" i="4"/>
  <c r="G4217" i="4"/>
  <c r="E4218" i="4"/>
  <c r="E4219" i="4"/>
  <c r="G4219" i="4"/>
  <c r="F4219" i="4"/>
  <c r="E4220" i="4"/>
  <c r="E4221" i="4"/>
  <c r="E4222" i="4"/>
  <c r="G4222" i="4"/>
  <c r="F4222" i="4"/>
  <c r="E4223" i="4"/>
  <c r="G4223" i="4"/>
  <c r="F4223" i="4"/>
  <c r="E4224" i="4"/>
  <c r="G4224" i="4"/>
  <c r="E4225" i="4"/>
  <c r="F4225" i="4"/>
  <c r="G4225" i="4"/>
  <c r="E4226" i="4"/>
  <c r="G4226" i="4"/>
  <c r="F4226" i="4"/>
  <c r="E4227" i="4"/>
  <c r="G4227" i="4"/>
  <c r="E4228" i="4"/>
  <c r="F4228" i="4"/>
  <c r="G4228" i="4"/>
  <c r="E4229" i="4"/>
  <c r="E4230" i="4"/>
  <c r="G4230" i="4"/>
  <c r="F4230" i="4"/>
  <c r="E4231" i="4"/>
  <c r="E4232" i="4"/>
  <c r="F4232" i="4"/>
  <c r="G4232" i="4"/>
  <c r="E4233" i="4"/>
  <c r="E4234" i="4"/>
  <c r="E4235" i="4"/>
  <c r="G4235" i="4"/>
  <c r="E4236" i="4"/>
  <c r="F4236" i="4"/>
  <c r="E4237" i="4"/>
  <c r="G4237" i="4"/>
  <c r="E4238" i="4"/>
  <c r="F4238" i="4"/>
  <c r="G4238" i="4"/>
  <c r="E4239" i="4"/>
  <c r="G4239" i="4"/>
  <c r="F4239" i="4"/>
  <c r="E4240" i="4"/>
  <c r="G4240" i="4"/>
  <c r="F4240" i="4"/>
  <c r="E4241" i="4"/>
  <c r="F4241" i="4"/>
  <c r="G4241" i="4"/>
  <c r="E4242" i="4"/>
  <c r="F4242" i="4"/>
  <c r="G4242" i="4"/>
  <c r="E4243" i="4"/>
  <c r="G4243" i="4"/>
  <c r="E4244" i="4"/>
  <c r="F4244" i="4"/>
  <c r="E4245" i="4"/>
  <c r="F4245" i="4"/>
  <c r="E4246" i="4"/>
  <c r="E4247" i="4"/>
  <c r="G4247" i="4"/>
  <c r="F4247" i="4"/>
  <c r="E4248" i="4"/>
  <c r="F4248" i="4"/>
  <c r="G4248" i="4"/>
  <c r="E4249" i="4"/>
  <c r="F4249" i="4"/>
  <c r="E4250" i="4"/>
  <c r="F4250" i="4"/>
  <c r="G4250" i="4"/>
  <c r="E4251" i="4"/>
  <c r="G4251" i="4"/>
  <c r="E4252" i="4"/>
  <c r="F4252" i="4"/>
  <c r="E4253" i="4"/>
  <c r="G4253" i="4"/>
  <c r="F4253" i="4"/>
  <c r="E4254" i="4"/>
  <c r="E4255" i="4"/>
  <c r="G4255" i="4"/>
  <c r="F4255" i="4"/>
  <c r="E4256" i="4"/>
  <c r="G4256" i="4"/>
  <c r="F4256" i="4"/>
  <c r="E4257" i="4"/>
  <c r="E4258" i="4"/>
  <c r="F4258" i="4"/>
  <c r="G4258" i="4"/>
  <c r="E4259" i="4"/>
  <c r="E4260" i="4"/>
  <c r="F4260" i="4"/>
  <c r="G4260" i="4"/>
  <c r="E4261" i="4"/>
  <c r="F4261" i="4"/>
  <c r="G4261" i="4"/>
  <c r="E4262" i="4"/>
  <c r="F4262" i="4"/>
  <c r="G4262" i="4"/>
  <c r="E4263" i="4"/>
  <c r="G4263" i="4"/>
  <c r="E4264" i="4"/>
  <c r="F4264" i="4"/>
  <c r="G4264" i="4"/>
  <c r="E4265" i="4"/>
  <c r="F4265" i="4"/>
  <c r="G4265" i="4"/>
  <c r="E4266" i="4"/>
  <c r="F4266" i="4"/>
  <c r="G4266" i="4"/>
  <c r="E4267" i="4"/>
  <c r="G4267" i="4"/>
  <c r="E4268" i="4"/>
  <c r="E4269" i="4"/>
  <c r="G4269" i="4"/>
  <c r="F4269" i="4"/>
  <c r="E4270" i="4"/>
  <c r="F4270" i="4"/>
  <c r="G4270" i="4"/>
  <c r="E4271" i="4"/>
  <c r="E4272" i="4"/>
  <c r="G4272" i="4"/>
  <c r="F4272" i="4"/>
  <c r="E4273" i="4"/>
  <c r="F4273" i="4"/>
  <c r="E4274" i="4"/>
  <c r="F4274" i="4"/>
  <c r="G4274" i="4"/>
  <c r="E4275" i="4"/>
  <c r="G4275" i="4"/>
  <c r="E4276" i="4"/>
  <c r="F4276" i="4"/>
  <c r="G4276" i="4"/>
  <c r="E4277" i="4"/>
  <c r="E4278" i="4"/>
  <c r="G4278" i="4"/>
  <c r="F4278" i="4"/>
  <c r="E4279" i="4"/>
  <c r="G4279" i="4"/>
  <c r="F4279" i="4"/>
  <c r="E4280" i="4"/>
  <c r="F4280" i="4"/>
  <c r="G4280" i="4"/>
  <c r="E4281" i="4"/>
  <c r="E4282" i="4"/>
  <c r="E4283" i="4"/>
  <c r="E4284" i="4"/>
  <c r="F4284" i="4"/>
  <c r="E4285" i="4"/>
  <c r="E4286" i="4"/>
  <c r="G4286" i="4"/>
  <c r="F4286" i="4"/>
  <c r="E4287" i="4"/>
  <c r="G4287" i="4"/>
  <c r="F4287" i="4"/>
  <c r="E4288" i="4"/>
  <c r="G4288" i="4"/>
  <c r="F4288" i="4"/>
  <c r="E4289" i="4"/>
  <c r="F4289" i="4"/>
  <c r="G4289" i="4"/>
  <c r="E4290" i="4"/>
  <c r="F4290" i="4"/>
  <c r="E4291" i="4"/>
  <c r="E4292" i="4"/>
  <c r="E4293" i="4"/>
  <c r="F4293" i="4"/>
  <c r="G4293" i="4"/>
  <c r="E4294" i="4"/>
  <c r="G4294" i="4"/>
  <c r="F4294" i="4"/>
  <c r="E4295" i="4"/>
  <c r="G4295" i="4"/>
  <c r="F4295" i="4"/>
  <c r="E4296" i="4"/>
  <c r="F4296" i="4"/>
  <c r="G4296" i="4"/>
  <c r="E4297" i="4"/>
  <c r="F4297" i="4"/>
  <c r="E4298" i="4"/>
  <c r="F4298" i="4"/>
  <c r="G4298" i="4"/>
  <c r="E4299" i="4"/>
  <c r="G4299" i="4"/>
  <c r="E4300" i="4"/>
  <c r="E4301" i="4"/>
  <c r="G4301" i="4"/>
  <c r="F4301" i="4"/>
  <c r="E4302" i="4"/>
  <c r="F4302" i="4"/>
  <c r="G4302" i="4"/>
  <c r="E4303" i="4"/>
  <c r="G4303" i="4"/>
  <c r="E4304" i="4"/>
  <c r="G4304" i="4"/>
  <c r="F4304" i="4"/>
  <c r="E4305" i="4"/>
  <c r="E4306" i="4"/>
  <c r="E4307" i="4"/>
  <c r="E4308" i="4"/>
  <c r="F4308" i="4"/>
  <c r="G4308" i="4"/>
  <c r="E4309" i="4"/>
  <c r="G4309" i="4"/>
  <c r="F4309" i="4"/>
  <c r="E4310" i="4"/>
  <c r="F4310" i="4"/>
  <c r="G4310" i="4"/>
  <c r="E4311" i="4"/>
  <c r="E4312" i="4"/>
  <c r="G4312" i="4"/>
  <c r="F4312" i="4"/>
  <c r="E4313" i="4"/>
  <c r="F4313" i="4"/>
  <c r="E4314" i="4"/>
  <c r="G4314" i="4"/>
  <c r="F4314" i="4"/>
  <c r="E4315" i="4"/>
  <c r="G4315" i="4"/>
  <c r="F4315" i="4"/>
  <c r="E4316" i="4"/>
  <c r="E4317" i="4"/>
  <c r="E4318" i="4"/>
  <c r="F4318" i="4"/>
  <c r="G4318" i="4"/>
  <c r="E4319" i="4"/>
  <c r="G4319" i="4"/>
  <c r="E4320" i="4"/>
  <c r="G4320" i="4"/>
  <c r="E4321" i="4"/>
  <c r="F4321" i="4"/>
  <c r="E4322" i="4"/>
  <c r="F4322" i="4"/>
  <c r="G4322" i="4"/>
  <c r="E4323" i="4"/>
  <c r="E4324" i="4"/>
  <c r="E4325" i="4"/>
  <c r="F4325" i="4"/>
  <c r="G4325" i="4"/>
  <c r="E4326" i="4"/>
  <c r="F4326" i="4"/>
  <c r="G4326" i="4"/>
  <c r="E4327" i="4"/>
  <c r="G4327" i="4"/>
  <c r="F4327" i="4"/>
  <c r="E4328" i="4"/>
  <c r="F4328" i="4"/>
  <c r="G4328" i="4"/>
  <c r="E4329" i="4"/>
  <c r="E4330" i="4"/>
  <c r="F4330" i="4"/>
  <c r="G4330" i="4"/>
  <c r="E4331" i="4"/>
  <c r="E4332" i="4"/>
  <c r="F4332" i="4"/>
  <c r="G4332" i="4"/>
  <c r="E4333" i="4"/>
  <c r="E4334" i="4"/>
  <c r="F4334" i="4"/>
  <c r="G4334" i="4"/>
  <c r="E4335" i="4"/>
  <c r="E4336" i="4"/>
  <c r="G4336" i="4"/>
  <c r="E4337" i="4"/>
  <c r="G4337" i="4"/>
  <c r="F4337" i="4"/>
  <c r="E4338" i="4"/>
  <c r="G4338" i="4"/>
  <c r="F4338" i="4"/>
  <c r="E4339" i="4"/>
  <c r="E4340" i="4"/>
  <c r="F4340" i="4"/>
  <c r="G4340" i="4"/>
  <c r="E4341" i="4"/>
  <c r="F4341" i="4"/>
  <c r="G4341" i="4"/>
  <c r="E4342" i="4"/>
  <c r="G4342" i="4"/>
  <c r="F4342" i="4"/>
  <c r="E4343" i="4"/>
  <c r="G4343" i="4"/>
  <c r="F4343" i="4"/>
  <c r="E4344" i="4"/>
  <c r="F4344" i="4"/>
  <c r="G4344" i="4"/>
  <c r="E4345" i="4"/>
  <c r="F4345" i="4"/>
  <c r="E4346" i="4"/>
  <c r="F4346" i="4"/>
  <c r="G4346" i="4"/>
  <c r="E4347" i="4"/>
  <c r="G4347" i="4"/>
  <c r="E4348" i="4"/>
  <c r="F4348" i="4"/>
  <c r="E4349" i="4"/>
  <c r="G4349" i="4"/>
  <c r="F4349" i="4"/>
  <c r="E4350" i="4"/>
  <c r="F4350" i="4"/>
  <c r="G4350" i="4"/>
  <c r="E4351" i="4"/>
  <c r="E4352" i="4"/>
  <c r="E4353" i="4"/>
  <c r="F4353" i="4"/>
  <c r="G4353" i="4"/>
  <c r="E4354" i="4"/>
  <c r="F4354" i="4"/>
  <c r="G4354" i="4"/>
  <c r="E4355" i="4"/>
  <c r="E4356" i="4"/>
  <c r="F4356" i="4"/>
  <c r="G4356" i="4"/>
  <c r="E4357" i="4"/>
  <c r="F4357" i="4"/>
  <c r="G4357" i="4"/>
  <c r="E4358" i="4"/>
  <c r="E4359" i="4"/>
  <c r="E4360" i="4"/>
  <c r="F4360" i="4"/>
  <c r="G4360" i="4"/>
  <c r="E4361" i="4"/>
  <c r="F4361" i="4"/>
  <c r="E4362" i="4"/>
  <c r="G4362" i="4"/>
  <c r="F4362" i="4"/>
  <c r="E4363" i="4"/>
  <c r="G4363" i="4"/>
  <c r="F4363" i="4"/>
  <c r="E4364" i="4"/>
  <c r="E4365" i="4"/>
  <c r="G4365" i="4"/>
  <c r="E4366" i="4"/>
  <c r="G4366" i="4"/>
  <c r="F4366" i="4"/>
  <c r="E4367" i="4"/>
  <c r="G4367" i="4"/>
  <c r="F4367" i="4"/>
  <c r="E4368" i="4"/>
  <c r="E4369" i="4"/>
  <c r="F4369" i="4"/>
  <c r="G4369" i="4"/>
  <c r="E4370" i="4"/>
  <c r="G4370" i="4"/>
  <c r="F4370" i="4"/>
  <c r="E4371" i="4"/>
  <c r="E4372" i="4"/>
  <c r="F4372" i="4"/>
  <c r="E4373" i="4"/>
  <c r="F4373" i="4"/>
  <c r="G4373" i="4"/>
  <c r="E4374" i="4"/>
  <c r="F4374" i="4"/>
  <c r="E4375" i="4"/>
  <c r="G4375" i="4"/>
  <c r="F4375" i="4"/>
  <c r="E4376" i="4"/>
  <c r="G4376" i="4"/>
  <c r="F4376" i="4"/>
  <c r="E4377" i="4"/>
  <c r="F4377" i="4"/>
  <c r="E4378" i="4"/>
  <c r="G4378" i="4"/>
  <c r="F4378" i="4"/>
  <c r="E4379" i="4"/>
  <c r="E4380" i="4"/>
  <c r="F4380" i="4"/>
  <c r="G4380" i="4"/>
  <c r="E4381" i="4"/>
  <c r="G4381" i="4"/>
  <c r="E4382" i="4"/>
  <c r="F4382" i="4"/>
  <c r="G4382" i="4"/>
  <c r="E4383" i="4"/>
  <c r="G4383" i="4"/>
  <c r="F4383" i="4"/>
  <c r="E4384" i="4"/>
  <c r="G4384" i="4"/>
  <c r="F4384" i="4"/>
  <c r="E4385" i="4"/>
  <c r="E4386" i="4"/>
  <c r="F4386" i="4"/>
  <c r="G4386" i="4"/>
  <c r="E4387" i="4"/>
  <c r="E4388" i="4"/>
  <c r="F4388" i="4"/>
  <c r="E4389" i="4"/>
  <c r="F4389" i="4"/>
  <c r="G4389" i="4"/>
  <c r="E4390" i="4"/>
  <c r="F4390" i="4"/>
  <c r="G4390" i="4"/>
  <c r="E4391" i="4"/>
  <c r="G4391" i="4"/>
  <c r="E4392" i="4"/>
  <c r="F4392" i="4"/>
  <c r="G4392" i="4"/>
  <c r="E4393" i="4"/>
  <c r="F4393" i="4"/>
  <c r="E4394" i="4"/>
  <c r="F4394" i="4"/>
  <c r="G4394" i="4"/>
  <c r="E4395" i="4"/>
  <c r="E4396" i="4"/>
  <c r="F4396" i="4"/>
  <c r="G4396" i="4"/>
  <c r="E4397" i="4"/>
  <c r="G4397" i="4"/>
  <c r="E4398" i="4"/>
  <c r="F4398" i="4"/>
  <c r="G4398" i="4"/>
  <c r="E4399" i="4"/>
  <c r="G4399" i="4"/>
  <c r="F4399" i="4"/>
  <c r="E4400" i="4"/>
  <c r="G4400" i="4"/>
  <c r="F4400" i="4"/>
  <c r="E4401" i="4"/>
  <c r="F4401" i="4"/>
  <c r="E4402" i="4"/>
  <c r="G4402" i="4"/>
  <c r="F4402" i="4"/>
  <c r="E4403" i="4"/>
  <c r="E4404" i="4"/>
  <c r="F4404" i="4"/>
  <c r="E4405" i="4"/>
  <c r="F4405" i="4"/>
  <c r="G4405" i="4"/>
  <c r="E4406" i="4"/>
  <c r="G4406" i="4"/>
  <c r="F4406" i="4"/>
  <c r="E4407" i="4"/>
  <c r="G4407" i="4"/>
  <c r="E4408" i="4"/>
  <c r="G4408" i="4"/>
  <c r="F4408" i="4"/>
  <c r="E4409" i="4"/>
  <c r="F4409" i="4"/>
  <c r="E4410" i="4"/>
  <c r="F4410" i="4"/>
  <c r="E4411" i="4"/>
  <c r="G4411" i="4"/>
  <c r="F4411" i="4"/>
  <c r="E4412" i="4"/>
  <c r="F4412" i="4"/>
  <c r="E4413" i="4"/>
  <c r="G4413" i="4"/>
  <c r="E4414" i="4"/>
  <c r="G4414" i="4"/>
  <c r="F4414" i="4"/>
  <c r="E4415" i="4"/>
  <c r="G4415" i="4"/>
  <c r="F4415" i="4"/>
  <c r="E4416" i="4"/>
  <c r="E4417" i="4"/>
  <c r="F4417" i="4"/>
  <c r="G4417" i="4"/>
  <c r="E4418" i="4"/>
  <c r="G4418" i="4"/>
  <c r="F4418" i="4"/>
  <c r="E4419" i="4"/>
  <c r="E4420" i="4"/>
  <c r="F4420" i="4"/>
  <c r="G4420" i="4"/>
  <c r="E4421" i="4"/>
  <c r="F4421" i="4"/>
  <c r="G4421" i="4"/>
  <c r="E4422" i="4"/>
  <c r="F4422" i="4"/>
  <c r="E4423" i="4"/>
  <c r="G4423" i="4"/>
  <c r="F4423" i="4"/>
  <c r="E4424" i="4"/>
  <c r="E4425" i="4"/>
  <c r="F4425" i="4"/>
  <c r="G4425" i="4"/>
  <c r="E4426" i="4"/>
  <c r="F4426" i="4"/>
  <c r="G4426" i="4"/>
  <c r="E4427" i="4"/>
  <c r="E4428" i="4"/>
  <c r="F4428" i="4"/>
  <c r="G4428" i="4"/>
  <c r="E4429" i="4"/>
  <c r="G4429" i="4"/>
  <c r="F4429" i="4"/>
  <c r="E4430" i="4"/>
  <c r="F4430" i="4"/>
  <c r="G4430" i="4"/>
  <c r="E4431" i="4"/>
  <c r="E4432" i="4"/>
  <c r="G4432" i="4"/>
  <c r="F4432" i="4"/>
  <c r="E4433" i="4"/>
  <c r="F4433" i="4"/>
  <c r="E4434" i="4"/>
  <c r="F4434" i="4"/>
  <c r="G4434" i="4"/>
  <c r="E4435" i="4"/>
  <c r="E4436" i="4"/>
  <c r="F4436" i="4"/>
  <c r="E4437" i="4"/>
  <c r="F4437" i="4"/>
  <c r="G4437" i="4"/>
  <c r="E4438" i="4"/>
  <c r="F4438" i="4"/>
  <c r="G4438" i="4"/>
  <c r="E4439" i="4"/>
  <c r="G4439" i="4"/>
  <c r="F4439" i="4"/>
  <c r="E4440" i="4"/>
  <c r="F4440" i="4"/>
  <c r="G4440" i="4"/>
  <c r="E4441" i="4"/>
  <c r="F4441" i="4"/>
  <c r="E4442" i="4"/>
  <c r="F4442" i="4"/>
  <c r="G4442" i="4"/>
  <c r="E4443" i="4"/>
  <c r="E4444" i="4"/>
  <c r="F4444" i="4"/>
  <c r="E4445" i="4"/>
  <c r="G4445" i="4"/>
  <c r="F4445" i="4"/>
  <c r="E4446" i="4"/>
  <c r="F4446" i="4"/>
  <c r="G4446" i="4"/>
  <c r="E4447" i="4"/>
  <c r="G4447" i="4"/>
  <c r="E4448" i="4"/>
  <c r="G4448" i="4"/>
  <c r="F4448" i="4"/>
  <c r="E4449" i="4"/>
  <c r="F4449" i="4"/>
  <c r="G4449" i="4"/>
  <c r="E4450" i="4"/>
  <c r="F4450" i="4"/>
  <c r="E4451" i="4"/>
  <c r="E4452" i="4"/>
  <c r="F4452" i="4"/>
  <c r="G4452" i="4"/>
  <c r="E4453" i="4"/>
  <c r="G4453" i="4"/>
  <c r="E4454" i="4"/>
  <c r="G4454" i="4"/>
  <c r="F4454" i="4"/>
  <c r="E4455" i="4"/>
  <c r="G4455" i="4"/>
  <c r="F4455" i="4"/>
  <c r="E4456" i="4"/>
  <c r="F4456" i="4"/>
  <c r="G4456" i="4"/>
  <c r="E4457" i="4"/>
  <c r="F4457" i="4"/>
  <c r="G4457" i="4"/>
  <c r="E4458" i="4"/>
  <c r="F4458" i="4"/>
  <c r="E4459" i="4"/>
  <c r="G4459" i="4"/>
  <c r="F4459" i="4"/>
  <c r="E4460" i="4"/>
  <c r="F4460" i="4"/>
  <c r="G4460" i="4"/>
  <c r="E4461" i="4"/>
  <c r="G4461" i="4"/>
  <c r="E4462" i="4"/>
  <c r="F4462" i="4"/>
  <c r="G4462" i="4"/>
  <c r="E4463" i="4"/>
  <c r="G4463" i="4"/>
  <c r="F4463" i="4"/>
  <c r="E4464" i="4"/>
  <c r="G4464" i="4"/>
  <c r="E4465" i="4"/>
  <c r="F4465" i="4"/>
  <c r="E4466" i="4"/>
  <c r="G4466" i="4"/>
  <c r="F4466" i="4"/>
  <c r="E4467" i="4"/>
  <c r="E4468" i="4"/>
  <c r="E4469" i="4"/>
  <c r="F4469" i="4"/>
  <c r="G4469" i="4"/>
  <c r="E4470" i="4"/>
  <c r="G4470" i="4"/>
  <c r="F4470" i="4"/>
  <c r="E4471" i="4"/>
  <c r="G4471" i="4"/>
  <c r="E4472" i="4"/>
  <c r="G4472" i="4"/>
  <c r="F4472" i="4"/>
  <c r="E4473" i="4"/>
  <c r="F4473" i="4"/>
  <c r="G4473" i="4"/>
  <c r="E4474" i="4"/>
  <c r="F4474" i="4"/>
  <c r="G4474" i="4"/>
  <c r="E4475" i="4"/>
  <c r="G4475" i="4"/>
  <c r="E4476" i="4"/>
  <c r="F4476" i="4"/>
  <c r="G4476" i="4"/>
  <c r="E4477" i="4"/>
  <c r="G4477" i="4"/>
  <c r="F4477" i="4"/>
  <c r="E4478" i="4"/>
  <c r="F4478" i="4"/>
  <c r="G4478" i="4"/>
  <c r="E4479" i="4"/>
  <c r="G4479" i="4"/>
  <c r="E4480" i="4"/>
  <c r="G4480" i="4"/>
  <c r="F4480" i="4"/>
  <c r="E4481" i="4"/>
  <c r="E4482" i="4"/>
  <c r="E4483" i="4"/>
  <c r="E4484" i="4"/>
  <c r="F4484" i="4"/>
  <c r="E4485" i="4"/>
  <c r="G4485" i="4"/>
  <c r="F4485" i="4"/>
  <c r="E4486" i="4"/>
  <c r="G4486" i="4"/>
  <c r="F4486" i="4"/>
  <c r="E4487" i="4"/>
  <c r="E4488" i="4"/>
  <c r="E4489" i="4"/>
  <c r="F4489" i="4"/>
  <c r="E4490" i="4"/>
  <c r="F4490" i="4"/>
  <c r="E4491" i="4"/>
  <c r="G4491" i="4"/>
  <c r="E4492" i="4"/>
  <c r="E4493" i="4"/>
  <c r="G4493" i="4"/>
  <c r="F4493" i="4"/>
  <c r="E4494" i="4"/>
  <c r="E4495" i="4"/>
  <c r="G4495" i="4"/>
  <c r="F4495" i="4"/>
  <c r="E4496" i="4"/>
  <c r="G4496" i="4"/>
  <c r="F4496" i="4"/>
  <c r="E4497" i="4"/>
  <c r="G4497" i="4"/>
  <c r="E4498" i="4"/>
  <c r="F4498" i="4"/>
  <c r="G4498" i="4"/>
  <c r="E4499" i="4"/>
  <c r="E4500" i="4"/>
  <c r="E4501" i="4"/>
  <c r="G4501" i="4"/>
  <c r="F4501" i="4"/>
  <c r="E4502" i="4"/>
  <c r="G4502" i="4"/>
  <c r="F4502" i="4"/>
  <c r="E4503" i="4"/>
  <c r="G4503" i="4"/>
  <c r="E4504" i="4"/>
  <c r="F4504" i="4"/>
  <c r="G4504" i="4"/>
  <c r="E4505" i="4"/>
  <c r="F4505" i="4"/>
  <c r="E4506" i="4"/>
  <c r="F4506" i="4"/>
  <c r="G4506" i="4"/>
  <c r="E4507" i="4"/>
  <c r="G4507" i="4"/>
  <c r="F4507" i="4"/>
  <c r="E4508" i="4"/>
  <c r="F4508" i="4"/>
  <c r="E4509" i="4"/>
  <c r="G4509" i="4"/>
  <c r="E4510" i="4"/>
  <c r="F4510" i="4"/>
  <c r="G4510" i="4"/>
  <c r="E4511" i="4"/>
  <c r="E4512" i="4"/>
  <c r="E4513" i="4"/>
  <c r="G4513" i="4"/>
  <c r="F4513" i="4"/>
  <c r="E4514" i="4"/>
  <c r="F4514" i="4"/>
  <c r="G4514" i="4"/>
  <c r="E4515" i="4"/>
  <c r="E4516" i="4"/>
  <c r="F4516" i="4"/>
  <c r="G4516" i="4"/>
  <c r="E4517" i="4"/>
  <c r="E4518" i="4"/>
  <c r="G4518" i="4"/>
  <c r="F4518" i="4"/>
  <c r="E4519" i="4"/>
  <c r="G4519" i="4"/>
  <c r="F4519" i="4"/>
  <c r="E4520" i="4"/>
  <c r="F4520" i="4"/>
  <c r="G4520" i="4"/>
  <c r="E4521" i="4"/>
  <c r="F4521" i="4"/>
  <c r="G4521" i="4"/>
  <c r="E4522" i="4"/>
  <c r="E4523" i="4"/>
  <c r="G4523" i="4"/>
  <c r="F4523" i="4"/>
  <c r="E4524" i="4"/>
  <c r="F4524" i="4"/>
  <c r="G4524" i="4"/>
  <c r="E4525" i="4"/>
  <c r="G4525" i="4"/>
  <c r="E4526" i="4"/>
  <c r="F4526" i="4"/>
  <c r="G4526" i="4"/>
  <c r="E4527" i="4"/>
  <c r="G4527" i="4"/>
  <c r="F4527" i="4"/>
  <c r="E4528" i="4"/>
  <c r="G4528" i="4"/>
  <c r="E4529" i="4"/>
  <c r="F4529" i="4"/>
  <c r="E4530" i="4"/>
  <c r="G4530" i="4"/>
  <c r="F4530" i="4"/>
  <c r="E4531" i="4"/>
  <c r="E4532" i="4"/>
  <c r="E4533" i="4"/>
  <c r="F4533" i="4"/>
  <c r="G4533" i="4"/>
  <c r="E4534" i="4"/>
  <c r="G4534" i="4"/>
  <c r="F4534" i="4"/>
  <c r="E4535" i="4"/>
  <c r="G4535" i="4"/>
  <c r="F4535" i="4"/>
  <c r="E4536" i="4"/>
  <c r="F4536" i="4"/>
  <c r="E4537" i="4"/>
  <c r="E4538" i="4"/>
  <c r="F4538" i="4"/>
  <c r="G4538" i="4"/>
  <c r="E4539" i="4"/>
  <c r="G4539" i="4"/>
  <c r="E4540" i="4"/>
  <c r="E4541" i="4"/>
  <c r="G4541" i="4"/>
  <c r="F4541" i="4"/>
  <c r="E4542" i="4"/>
  <c r="F4542" i="4"/>
  <c r="E4543" i="4"/>
  <c r="G4543" i="4"/>
  <c r="F4543" i="4"/>
  <c r="E4544" i="4"/>
  <c r="G4544" i="4"/>
  <c r="F4544" i="4"/>
  <c r="E4545" i="4"/>
  <c r="F4545" i="4"/>
  <c r="G4545" i="4"/>
  <c r="E4546" i="4"/>
  <c r="F4546" i="4"/>
  <c r="G4546" i="4"/>
  <c r="E4547" i="4"/>
  <c r="E4548" i="4"/>
  <c r="F4548" i="4"/>
  <c r="G4548" i="4"/>
  <c r="E4549" i="4"/>
  <c r="F4549" i="4"/>
  <c r="G4549" i="4"/>
  <c r="E4550" i="4"/>
  <c r="F4550" i="4"/>
  <c r="G4550" i="4"/>
  <c r="E4551" i="4"/>
  <c r="E4552" i="4"/>
  <c r="F4552" i="4"/>
  <c r="G4552" i="4"/>
  <c r="E4553" i="4"/>
  <c r="F4553" i="4"/>
  <c r="E4554" i="4"/>
  <c r="F4554" i="4"/>
  <c r="G4554" i="4"/>
  <c r="E4555" i="4"/>
  <c r="G4555" i="4"/>
  <c r="F4555" i="4"/>
  <c r="E4556" i="4"/>
  <c r="E4557" i="4"/>
  <c r="G4557" i="4"/>
  <c r="F4557" i="4"/>
  <c r="E4558" i="4"/>
  <c r="F4558" i="4"/>
  <c r="G4558" i="4"/>
  <c r="E4559" i="4"/>
  <c r="G4559" i="4"/>
  <c r="E4560" i="4"/>
  <c r="G4560" i="4"/>
  <c r="F4560" i="4"/>
  <c r="E4561" i="4"/>
  <c r="G4561" i="4"/>
  <c r="F4561" i="4"/>
  <c r="E4562" i="4"/>
  <c r="F4562" i="4"/>
  <c r="G4562" i="4"/>
  <c r="E4563" i="4"/>
  <c r="E4564" i="4"/>
  <c r="F4564" i="4"/>
  <c r="G4564" i="4"/>
  <c r="E4565" i="4"/>
  <c r="F4565" i="4"/>
  <c r="G4565" i="4"/>
  <c r="E4566" i="4"/>
  <c r="E4567" i="4"/>
  <c r="G4567" i="4"/>
  <c r="F4567" i="4"/>
  <c r="E4568" i="4"/>
  <c r="F4568" i="4"/>
  <c r="G4568" i="4"/>
  <c r="E4569" i="4"/>
  <c r="F4569" i="4"/>
  <c r="E4570" i="4"/>
  <c r="G4570" i="4"/>
  <c r="F4570" i="4"/>
  <c r="E4571" i="4"/>
  <c r="E4572" i="4"/>
  <c r="F4572" i="4"/>
  <c r="G4572" i="4"/>
  <c r="E4573" i="4"/>
  <c r="G4573" i="4"/>
  <c r="E4574" i="4"/>
  <c r="F4574" i="4"/>
  <c r="E4575" i="4"/>
  <c r="G4575" i="4"/>
  <c r="F4575" i="4"/>
  <c r="E4576" i="4"/>
  <c r="G4576" i="4"/>
  <c r="F4576" i="4"/>
  <c r="E4577" i="4"/>
  <c r="E4578" i="4"/>
  <c r="G4578" i="4"/>
  <c r="F4578" i="4"/>
  <c r="E4579" i="4"/>
  <c r="E4580" i="4"/>
  <c r="F4580" i="4"/>
  <c r="E4581" i="4"/>
  <c r="G4581" i="4"/>
  <c r="F4581" i="4"/>
  <c r="E4582" i="4"/>
  <c r="F4582" i="4"/>
  <c r="G4582" i="4"/>
  <c r="E4583" i="4"/>
  <c r="G4583" i="4"/>
  <c r="E4584" i="4"/>
  <c r="E4585" i="4"/>
  <c r="F4585" i="4"/>
  <c r="E4586" i="4"/>
  <c r="G4586" i="4"/>
  <c r="E4587" i="4"/>
  <c r="E4588" i="4"/>
  <c r="F4588" i="4"/>
  <c r="E4589" i="4"/>
  <c r="G4589" i="4"/>
  <c r="F4589" i="4"/>
  <c r="E4590" i="4"/>
  <c r="G4590" i="4"/>
  <c r="F4590" i="4"/>
  <c r="E4591" i="4"/>
  <c r="G4591" i="4"/>
  <c r="F4591" i="4"/>
  <c r="E4592" i="4"/>
  <c r="G4592" i="4"/>
  <c r="E4593" i="4"/>
  <c r="G4593" i="4"/>
  <c r="F4593" i="4"/>
  <c r="E4594" i="4"/>
  <c r="F4594" i="4"/>
  <c r="G4594" i="4"/>
  <c r="E4595" i="4"/>
  <c r="E4596" i="4"/>
  <c r="F4596" i="4"/>
  <c r="E4597" i="4"/>
  <c r="G4597" i="4"/>
  <c r="F4597" i="4"/>
  <c r="E4598" i="4"/>
  <c r="F4598" i="4"/>
  <c r="G4598" i="4"/>
  <c r="E4599" i="4"/>
  <c r="G4599" i="4"/>
  <c r="F4599" i="4"/>
  <c r="E4600" i="4"/>
  <c r="F4600" i="4"/>
  <c r="G4600" i="4"/>
  <c r="E4601" i="4"/>
  <c r="F4601" i="4"/>
  <c r="E4602" i="4"/>
  <c r="G4602" i="4"/>
  <c r="F4602" i="4"/>
  <c r="E4603" i="4"/>
  <c r="G4603" i="4"/>
  <c r="F4603" i="4"/>
  <c r="E4604" i="4"/>
  <c r="F4604" i="4"/>
  <c r="E4605" i="4"/>
  <c r="G4605" i="4"/>
  <c r="E4606" i="4"/>
  <c r="F4606" i="4"/>
  <c r="E4607" i="4"/>
  <c r="G4607" i="4"/>
  <c r="F4607" i="4"/>
  <c r="E4608" i="4"/>
  <c r="E4609" i="4"/>
  <c r="G4609" i="4"/>
  <c r="E4610" i="4"/>
  <c r="G4610" i="4"/>
  <c r="F4610" i="4"/>
  <c r="E4611" i="4"/>
  <c r="G4611" i="4"/>
  <c r="E4612" i="4"/>
  <c r="F4612" i="4"/>
  <c r="E4613" i="4"/>
  <c r="F4613" i="4"/>
  <c r="G4613" i="4"/>
  <c r="E4614" i="4"/>
  <c r="F4614" i="4"/>
  <c r="E4615" i="4"/>
  <c r="G4615" i="4"/>
  <c r="F4615" i="4"/>
  <c r="E4616" i="4"/>
  <c r="F4616" i="4"/>
  <c r="G4616" i="4"/>
  <c r="E4617" i="4"/>
  <c r="F4617" i="4"/>
  <c r="E4618" i="4"/>
  <c r="G4618" i="4"/>
  <c r="F4618" i="4"/>
  <c r="E4619" i="4"/>
  <c r="G4619" i="4"/>
  <c r="E4620" i="4"/>
  <c r="F4620" i="4"/>
  <c r="E4621" i="4"/>
  <c r="G4621" i="4"/>
  <c r="E4622" i="4"/>
  <c r="F4622" i="4"/>
  <c r="G4622" i="4"/>
  <c r="E4623" i="4"/>
  <c r="G4623" i="4"/>
  <c r="F4623" i="4"/>
  <c r="E4624" i="4"/>
  <c r="F4624" i="4"/>
  <c r="E4625" i="4"/>
  <c r="F4625" i="4"/>
  <c r="G4625" i="4"/>
  <c r="E4626" i="4"/>
  <c r="E4627" i="4"/>
  <c r="E4628" i="4"/>
  <c r="F4628" i="4"/>
  <c r="E4629" i="4"/>
  <c r="G4629" i="4"/>
  <c r="E4630" i="4"/>
  <c r="F4630" i="4"/>
  <c r="E4631" i="4"/>
  <c r="G4631" i="4"/>
  <c r="F4631" i="4"/>
  <c r="E4632" i="4"/>
  <c r="E4633" i="4"/>
  <c r="G4633" i="4"/>
  <c r="F4633" i="4"/>
  <c r="E4634" i="4"/>
  <c r="G4634" i="4"/>
  <c r="E4635" i="4"/>
  <c r="G4635" i="4"/>
  <c r="E4636" i="4"/>
  <c r="F4636" i="4"/>
  <c r="E4637" i="4"/>
  <c r="G4637" i="4"/>
  <c r="F4637" i="4"/>
  <c r="E4638" i="4"/>
  <c r="G4638" i="4"/>
  <c r="F4638" i="4"/>
  <c r="E4639" i="4"/>
  <c r="G4639" i="4"/>
  <c r="E4640" i="4"/>
  <c r="G4640" i="4"/>
  <c r="E4641" i="4"/>
  <c r="F4641" i="4"/>
  <c r="E4642" i="4"/>
  <c r="E4643" i="4"/>
  <c r="E4644" i="4"/>
  <c r="G4644" i="4"/>
  <c r="F4644" i="4"/>
  <c r="E4645" i="4"/>
  <c r="G4645" i="4"/>
  <c r="F4645" i="4"/>
  <c r="E4646" i="4"/>
  <c r="F4646" i="4"/>
  <c r="G4646" i="4"/>
  <c r="E4647" i="4"/>
  <c r="G4647" i="4"/>
  <c r="F4647" i="4"/>
  <c r="E4648" i="4"/>
  <c r="F4648" i="4"/>
  <c r="E4649" i="4"/>
  <c r="F4649" i="4"/>
  <c r="G4649" i="4"/>
  <c r="E4650" i="4"/>
  <c r="E4651" i="4"/>
  <c r="G4651" i="4"/>
  <c r="F4651" i="4"/>
  <c r="E4652" i="4"/>
  <c r="F4652" i="4"/>
  <c r="E4653" i="4"/>
  <c r="G4653" i="4"/>
  <c r="E4654" i="4"/>
  <c r="F4654" i="4"/>
  <c r="E4655" i="4"/>
  <c r="G4655" i="4"/>
  <c r="E4656" i="4"/>
  <c r="G4656" i="4"/>
  <c r="F4656" i="4"/>
  <c r="E4657" i="4"/>
  <c r="E4658" i="4"/>
  <c r="E4659" i="4"/>
  <c r="G4659" i="4"/>
  <c r="F4659" i="4"/>
  <c r="E4660" i="4"/>
  <c r="F4660" i="4"/>
  <c r="G4660" i="4"/>
  <c r="E4661" i="4"/>
  <c r="F4661" i="4"/>
  <c r="E4662" i="4"/>
  <c r="F4662" i="4"/>
  <c r="G4662" i="4"/>
  <c r="E4663" i="4"/>
  <c r="E4664" i="4"/>
  <c r="F4664" i="4"/>
  <c r="G4664" i="4"/>
  <c r="E4665" i="4"/>
  <c r="F4665" i="4"/>
  <c r="G4665" i="4"/>
  <c r="E4666" i="4"/>
  <c r="G4666" i="4"/>
  <c r="E4667" i="4"/>
  <c r="G4667" i="4"/>
  <c r="F4667" i="4"/>
  <c r="E4668" i="4"/>
  <c r="G4668" i="4"/>
  <c r="F4668" i="4"/>
  <c r="E4669" i="4"/>
  <c r="G4669" i="4"/>
  <c r="E4670" i="4"/>
  <c r="F4670" i="4"/>
  <c r="G4670" i="4"/>
  <c r="E4671" i="4"/>
  <c r="E4672" i="4"/>
  <c r="G4672" i="4"/>
  <c r="F4672" i="4"/>
  <c r="E4673" i="4"/>
  <c r="F4673" i="4"/>
  <c r="E4674" i="4"/>
  <c r="F4674" i="4"/>
  <c r="G4674" i="4"/>
  <c r="E4675" i="4"/>
  <c r="E4676" i="4"/>
  <c r="F4676" i="4"/>
  <c r="G4676" i="4"/>
  <c r="E4677" i="4"/>
  <c r="G4677" i="4"/>
  <c r="F4677" i="4"/>
  <c r="E4678" i="4"/>
  <c r="F4678" i="4"/>
  <c r="E4679" i="4"/>
  <c r="G4679" i="4"/>
  <c r="F4679" i="4"/>
  <c r="E4680" i="4"/>
  <c r="G4680" i="4"/>
  <c r="F4680" i="4"/>
  <c r="E4681" i="4"/>
  <c r="E4682" i="4"/>
  <c r="G4682" i="4"/>
  <c r="E4683" i="4"/>
  <c r="G4683" i="4"/>
  <c r="E4684" i="4"/>
  <c r="F4684" i="4"/>
  <c r="E4685" i="4"/>
  <c r="E4686" i="4"/>
  <c r="F4686" i="4"/>
  <c r="G4686" i="4"/>
  <c r="E4687" i="4"/>
  <c r="G4687" i="4"/>
  <c r="F4687" i="4"/>
  <c r="E4688" i="4"/>
  <c r="E4689" i="4"/>
  <c r="G4689" i="4"/>
  <c r="F4689" i="4"/>
  <c r="E4690" i="4"/>
  <c r="G4690" i="4"/>
  <c r="E4691" i="4"/>
  <c r="E4692" i="4"/>
  <c r="F4692" i="4"/>
  <c r="E4693" i="4"/>
  <c r="F4693" i="4"/>
  <c r="G4693" i="4"/>
  <c r="E4694" i="4"/>
  <c r="E4695" i="4"/>
  <c r="G4695" i="4"/>
  <c r="E4696" i="4"/>
  <c r="G4696" i="4"/>
  <c r="F4696" i="4"/>
  <c r="E4697" i="4"/>
  <c r="F4697" i="4"/>
  <c r="G4697" i="4"/>
  <c r="E4698" i="4"/>
  <c r="G4698" i="4"/>
  <c r="E4699" i="4"/>
  <c r="G4699" i="4"/>
  <c r="F4699" i="4"/>
  <c r="E4700" i="4"/>
  <c r="F4700" i="4"/>
  <c r="G4700" i="4"/>
  <c r="E4701" i="4"/>
  <c r="F4701" i="4"/>
  <c r="G4701" i="4"/>
  <c r="E4702" i="4"/>
  <c r="F4702" i="4"/>
  <c r="E4703" i="4"/>
  <c r="E4704" i="4"/>
  <c r="G4704" i="4"/>
  <c r="F4704" i="4"/>
  <c r="E4705" i="4"/>
  <c r="G4705" i="4"/>
  <c r="F4705" i="4"/>
  <c r="E4706" i="4"/>
  <c r="F4706" i="4"/>
  <c r="E4707" i="4"/>
  <c r="G4707" i="4"/>
  <c r="E4708" i="4"/>
  <c r="E4709" i="4"/>
  <c r="F4709" i="4"/>
  <c r="E4710" i="4"/>
  <c r="F4710" i="4"/>
  <c r="E4711" i="4"/>
  <c r="G4711" i="4"/>
  <c r="F4711" i="4"/>
  <c r="E4712" i="4"/>
  <c r="E4713" i="4"/>
  <c r="F4713" i="4"/>
  <c r="E4714" i="4"/>
  <c r="G4714" i="4"/>
  <c r="F4714" i="4"/>
  <c r="E4715" i="4"/>
  <c r="G4715" i="4"/>
  <c r="E4716" i="4"/>
  <c r="G4716" i="4"/>
  <c r="F4716" i="4"/>
  <c r="E4717" i="4"/>
  <c r="E4718" i="4"/>
  <c r="G4718" i="4"/>
  <c r="F4718" i="4"/>
  <c r="E4719" i="4"/>
  <c r="E4720" i="4"/>
  <c r="F4720" i="4"/>
  <c r="E4721" i="4"/>
  <c r="F4721" i="4"/>
  <c r="G4721" i="4"/>
  <c r="E4722" i="4"/>
  <c r="F4722" i="4"/>
  <c r="G4722" i="4"/>
  <c r="E4723" i="4"/>
  <c r="G4723" i="4"/>
  <c r="F4723" i="4"/>
  <c r="E4724" i="4"/>
  <c r="F4724" i="4"/>
  <c r="G4724" i="4"/>
  <c r="E4725" i="4"/>
  <c r="F4725" i="4"/>
  <c r="G4725" i="4"/>
  <c r="E4726" i="4"/>
  <c r="E4727" i="4"/>
  <c r="G4727" i="4"/>
  <c r="F4727" i="4"/>
  <c r="E4728" i="4"/>
  <c r="E4729" i="4"/>
  <c r="F4729" i="4"/>
  <c r="E4730" i="4"/>
  <c r="G4730" i="4"/>
  <c r="F4730" i="4"/>
  <c r="E4731" i="4"/>
  <c r="E4732" i="4"/>
  <c r="G4732" i="4"/>
  <c r="E4733" i="4"/>
  <c r="E4734" i="4"/>
  <c r="F4734" i="4"/>
  <c r="E4735" i="4"/>
  <c r="G4735" i="4"/>
  <c r="F4735" i="4"/>
  <c r="E4736" i="4"/>
  <c r="F4736" i="4"/>
  <c r="G4736" i="4"/>
  <c r="E4737" i="4"/>
  <c r="G4737" i="4"/>
  <c r="F4737" i="4"/>
  <c r="E4738" i="4"/>
  <c r="F4738" i="4"/>
  <c r="E4739" i="4"/>
  <c r="E4740" i="4"/>
  <c r="G4740" i="4"/>
  <c r="E4741" i="4"/>
  <c r="G4741" i="4"/>
  <c r="E4742" i="4"/>
  <c r="E4743" i="4"/>
  <c r="G4743" i="4"/>
  <c r="E4744" i="4"/>
  <c r="F4744" i="4"/>
  <c r="G4744" i="4"/>
  <c r="E4745" i="4"/>
  <c r="G4745" i="4"/>
  <c r="F4745" i="4"/>
  <c r="E4746" i="4"/>
  <c r="G4746" i="4"/>
  <c r="F4746" i="4"/>
  <c r="E4747" i="4"/>
  <c r="G4747" i="4"/>
  <c r="E4748" i="4"/>
  <c r="F4748" i="4"/>
  <c r="G4748" i="4"/>
  <c r="E4749" i="4"/>
  <c r="E4750" i="4"/>
  <c r="G4750" i="4"/>
  <c r="F4750" i="4"/>
  <c r="E4751" i="4"/>
  <c r="E4752" i="4"/>
  <c r="G4752" i="4"/>
  <c r="E4753" i="4"/>
  <c r="F4753" i="4"/>
  <c r="G4753" i="4"/>
  <c r="E4754" i="4"/>
  <c r="F4754" i="4"/>
  <c r="E4755" i="4"/>
  <c r="E4756" i="4"/>
  <c r="E4757" i="4"/>
  <c r="E4758" i="4"/>
  <c r="G4758" i="4"/>
  <c r="F4758" i="4"/>
  <c r="E4759" i="4"/>
  <c r="E4760" i="4"/>
  <c r="G4760" i="4"/>
  <c r="F4760" i="4"/>
  <c r="E4761" i="4"/>
  <c r="F4761" i="4"/>
  <c r="E4762" i="4"/>
  <c r="F4762" i="4"/>
  <c r="G4762" i="4"/>
  <c r="E4763" i="4"/>
  <c r="E4764" i="4"/>
  <c r="E4765" i="4"/>
  <c r="E4766" i="4"/>
  <c r="E4767" i="4"/>
  <c r="G4767" i="4"/>
  <c r="E4768" i="4"/>
  <c r="F4768" i="4"/>
  <c r="E4769" i="4"/>
  <c r="F4769" i="4"/>
  <c r="E4770" i="4"/>
  <c r="G4770" i="4"/>
  <c r="F4770" i="4"/>
  <c r="E4771" i="4"/>
  <c r="G4771" i="4"/>
  <c r="F4771" i="4"/>
  <c r="E4772" i="4"/>
  <c r="G4772" i="4"/>
  <c r="F4772" i="4"/>
  <c r="E4773" i="4"/>
  <c r="G4773" i="4"/>
  <c r="F4773" i="4"/>
  <c r="E4774" i="4"/>
  <c r="E4775" i="4"/>
  <c r="E4776" i="4"/>
  <c r="F4776" i="4"/>
  <c r="G4776" i="4"/>
  <c r="E4777" i="4"/>
  <c r="E4778" i="4"/>
  <c r="E4779" i="4"/>
  <c r="E4780" i="4"/>
  <c r="E4781" i="4"/>
  <c r="G4781" i="4"/>
  <c r="F4781" i="4"/>
  <c r="E4782" i="4"/>
  <c r="G4782" i="4"/>
  <c r="F4782" i="4"/>
  <c r="E4783" i="4"/>
  <c r="G4783" i="4"/>
  <c r="F4783" i="4"/>
  <c r="E4784" i="4"/>
  <c r="F4784" i="4"/>
  <c r="E4785" i="4"/>
  <c r="E4786" i="4"/>
  <c r="F4786" i="4"/>
  <c r="G4786" i="4"/>
  <c r="E4787" i="4"/>
  <c r="E4788" i="4"/>
  <c r="G4788" i="4"/>
  <c r="E4789" i="4"/>
  <c r="E4790" i="4"/>
  <c r="F4790" i="4"/>
  <c r="E4791" i="4"/>
  <c r="E4792" i="4"/>
  <c r="F4792" i="4"/>
  <c r="G4792" i="4"/>
  <c r="E4793" i="4"/>
  <c r="E4794" i="4"/>
  <c r="G4794" i="4"/>
  <c r="F4794" i="4"/>
  <c r="E4795" i="4"/>
  <c r="E4796" i="4"/>
  <c r="F4796" i="4"/>
  <c r="E4797" i="4"/>
  <c r="G4797" i="4"/>
  <c r="F4797" i="4"/>
  <c r="E4798" i="4"/>
  <c r="E4799" i="4"/>
  <c r="G4799" i="4"/>
  <c r="F4799" i="4"/>
  <c r="E4800" i="4"/>
  <c r="E4801" i="4"/>
  <c r="E4802" i="4"/>
  <c r="F4802" i="4"/>
  <c r="E4803" i="4"/>
  <c r="G4803" i="4"/>
  <c r="E4804" i="4"/>
  <c r="G4804" i="4"/>
  <c r="F4804" i="4"/>
  <c r="E4805" i="4"/>
  <c r="E4806" i="4"/>
  <c r="G4806" i="4"/>
  <c r="F4806" i="4"/>
  <c r="E4807" i="4"/>
  <c r="E4808" i="4"/>
  <c r="F4808" i="4"/>
  <c r="G4808" i="4"/>
  <c r="E4809" i="4"/>
  <c r="E4810" i="4"/>
  <c r="G4810" i="4"/>
  <c r="E4811" i="4"/>
  <c r="E4812" i="4"/>
  <c r="E4813" i="4"/>
  <c r="G4813" i="4"/>
  <c r="F4813" i="4"/>
  <c r="E4814" i="4"/>
  <c r="E4815" i="4"/>
  <c r="E4816" i="4"/>
  <c r="E4817" i="4"/>
  <c r="F4817" i="4"/>
  <c r="G4817" i="4"/>
  <c r="E4818" i="4"/>
  <c r="F4818" i="4"/>
  <c r="E4819" i="4"/>
  <c r="E4820" i="4"/>
  <c r="G4820" i="4"/>
  <c r="F4820" i="4"/>
  <c r="E4821" i="4"/>
  <c r="E4822" i="4"/>
  <c r="E4823" i="4"/>
  <c r="E4824" i="4"/>
  <c r="G4824" i="4"/>
  <c r="E4825" i="4"/>
  <c r="F4825" i="4"/>
  <c r="E4826" i="4"/>
  <c r="G4826" i="4"/>
  <c r="E4827" i="4"/>
  <c r="G4827" i="4"/>
  <c r="F4827" i="4"/>
  <c r="E4828" i="4"/>
  <c r="F4828" i="4"/>
  <c r="G4828" i="4"/>
  <c r="E4829" i="4"/>
  <c r="F4829" i="4"/>
  <c r="G4829" i="4"/>
  <c r="E4830" i="4"/>
  <c r="E4831" i="4"/>
  <c r="G4831" i="4"/>
  <c r="F4831" i="4"/>
  <c r="E4832" i="4"/>
  <c r="G4832" i="4"/>
  <c r="F4832" i="4"/>
  <c r="E4833" i="4"/>
  <c r="E4834" i="4"/>
  <c r="F4834" i="4"/>
  <c r="G4834" i="4"/>
  <c r="E4835" i="4"/>
  <c r="E4836" i="4"/>
  <c r="G4836" i="4"/>
  <c r="E4837" i="4"/>
  <c r="F4837" i="4"/>
  <c r="E4838" i="4"/>
  <c r="F4838" i="4"/>
  <c r="G4838" i="4"/>
  <c r="E4839" i="4"/>
  <c r="G4839" i="4"/>
  <c r="F4839" i="4"/>
  <c r="E4840" i="4"/>
  <c r="E4841" i="4"/>
  <c r="G4841" i="4"/>
  <c r="F4841" i="4"/>
  <c r="E4842" i="4"/>
  <c r="E4843" i="4"/>
  <c r="E4844" i="4"/>
  <c r="E4845" i="4"/>
  <c r="E4846" i="4"/>
  <c r="F4846" i="4"/>
  <c r="E4847" i="4"/>
  <c r="E4848" i="4"/>
  <c r="E4849" i="4"/>
  <c r="E4850" i="4"/>
  <c r="G4850" i="4"/>
  <c r="E4851" i="4"/>
  <c r="G4851" i="4"/>
  <c r="E4852" i="4"/>
  <c r="E4853" i="4"/>
  <c r="E4854" i="4"/>
  <c r="E4855" i="4"/>
  <c r="E4856" i="4"/>
  <c r="G4856" i="4"/>
  <c r="F4856" i="4"/>
  <c r="E4857" i="4"/>
  <c r="E4858" i="4"/>
  <c r="E4859" i="4"/>
  <c r="G4859" i="4"/>
  <c r="F4859" i="4"/>
  <c r="E4860" i="4"/>
  <c r="F4860" i="4"/>
  <c r="G4860" i="4"/>
  <c r="E4861" i="4"/>
  <c r="E4862" i="4"/>
  <c r="F4862" i="4"/>
  <c r="E4863" i="4"/>
  <c r="G4863" i="4"/>
  <c r="E4864" i="4"/>
  <c r="F4864" i="4"/>
  <c r="G4864" i="4"/>
  <c r="E4865" i="4"/>
  <c r="F4865" i="4"/>
  <c r="G4865" i="4"/>
  <c r="E4866" i="4"/>
  <c r="E4867" i="4"/>
  <c r="E4868" i="4"/>
  <c r="F4868" i="4"/>
  <c r="G4868" i="4"/>
  <c r="E4869" i="4"/>
  <c r="F4869" i="4"/>
  <c r="G4869" i="4"/>
  <c r="E4870" i="4"/>
  <c r="E4871" i="4"/>
  <c r="G4871" i="4"/>
  <c r="F4871" i="4"/>
  <c r="E4872" i="4"/>
  <c r="E4873" i="4"/>
  <c r="G4873" i="4"/>
  <c r="E4874" i="4"/>
  <c r="G4874" i="4"/>
  <c r="E4875" i="4"/>
  <c r="E4876" i="4"/>
  <c r="E4877" i="4"/>
  <c r="E4878" i="4"/>
  <c r="E4879" i="4"/>
  <c r="G4879" i="4"/>
  <c r="F4879" i="4"/>
  <c r="E4880" i="4"/>
  <c r="E4881" i="4"/>
  <c r="F4881" i="4"/>
  <c r="E4882" i="4"/>
  <c r="F4882" i="4"/>
  <c r="E4883" i="4"/>
  <c r="E4884" i="4"/>
  <c r="E4885" i="4"/>
  <c r="F4885" i="4"/>
  <c r="G4885" i="4"/>
  <c r="E4886" i="4"/>
  <c r="E4887" i="4"/>
  <c r="G4887" i="4"/>
  <c r="F4887" i="4"/>
  <c r="E4888" i="4"/>
  <c r="G4888" i="4"/>
  <c r="F4888" i="4"/>
  <c r="E4889" i="4"/>
  <c r="E4890" i="4"/>
  <c r="F4890" i="4"/>
  <c r="E4891" i="4"/>
  <c r="E4892" i="4"/>
  <c r="F4892" i="4"/>
  <c r="G4892" i="4"/>
  <c r="E4893" i="4"/>
  <c r="E4894" i="4"/>
  <c r="F4894" i="4"/>
  <c r="G4894" i="4"/>
  <c r="E4895" i="4"/>
  <c r="E4896" i="4"/>
  <c r="G4896" i="4"/>
  <c r="E4897" i="4"/>
  <c r="F4897" i="4"/>
  <c r="E4898" i="4"/>
  <c r="F4898" i="4"/>
  <c r="E4899" i="4"/>
  <c r="E4900" i="4"/>
  <c r="E4901" i="4"/>
  <c r="E4902" i="4"/>
  <c r="G4902" i="4"/>
  <c r="F4902" i="4"/>
  <c r="E4903" i="4"/>
  <c r="G4903" i="4"/>
  <c r="F4903" i="4"/>
  <c r="E4904" i="4"/>
  <c r="F4904" i="4"/>
  <c r="E4905" i="4"/>
  <c r="F4905" i="4"/>
  <c r="G4905" i="4"/>
  <c r="E4906" i="4"/>
  <c r="F4906" i="4"/>
  <c r="G4906" i="4"/>
  <c r="E4907" i="4"/>
  <c r="G4907" i="4"/>
  <c r="F4907" i="4"/>
  <c r="E4908" i="4"/>
  <c r="G4908" i="4"/>
  <c r="E4909" i="4"/>
  <c r="G4909" i="4"/>
  <c r="E4910" i="4"/>
  <c r="E4911" i="4"/>
  <c r="E4912" i="4"/>
  <c r="G4912" i="4"/>
  <c r="F4912" i="4"/>
  <c r="E4913" i="4"/>
  <c r="G4913" i="4"/>
  <c r="F4913" i="4"/>
  <c r="E4914" i="4"/>
  <c r="G4914" i="4"/>
  <c r="E4915" i="4"/>
  <c r="G4915" i="4"/>
  <c r="F4915" i="4"/>
  <c r="E4916" i="4"/>
  <c r="F4916" i="4"/>
  <c r="G4916" i="4"/>
  <c r="E4917" i="4"/>
  <c r="F4917" i="4"/>
  <c r="E4918" i="4"/>
  <c r="F4918" i="4"/>
  <c r="E4919" i="4"/>
  <c r="G4919" i="4"/>
  <c r="F4919" i="4"/>
  <c r="E4920" i="4"/>
  <c r="F4920" i="4"/>
  <c r="G4920" i="4"/>
  <c r="E4921" i="4"/>
  <c r="E4922" i="4"/>
  <c r="G4922" i="4"/>
  <c r="E4923" i="4"/>
  <c r="E4924" i="4"/>
  <c r="G4924" i="4"/>
  <c r="E4925" i="4"/>
  <c r="G4925" i="4"/>
  <c r="E4926" i="4"/>
  <c r="G4926" i="4"/>
  <c r="F4926" i="4"/>
  <c r="E4927" i="4"/>
  <c r="G4927" i="4"/>
  <c r="F4927" i="4"/>
  <c r="E4928" i="4"/>
  <c r="G4928" i="4"/>
  <c r="E4929" i="4"/>
  <c r="F4929" i="4"/>
  <c r="G4929" i="4"/>
  <c r="E4930" i="4"/>
  <c r="F4930" i="4"/>
  <c r="G4930" i="4"/>
  <c r="E4931" i="4"/>
  <c r="E4932" i="4"/>
  <c r="E4933" i="4"/>
  <c r="F4933" i="4"/>
  <c r="E4934" i="4"/>
  <c r="G4934" i="4"/>
  <c r="E4935" i="4"/>
  <c r="G4935" i="4"/>
  <c r="E4936" i="4"/>
  <c r="E4937" i="4"/>
  <c r="G4937" i="4"/>
  <c r="F4937" i="4"/>
  <c r="E4938" i="4"/>
  <c r="E4939" i="4"/>
  <c r="G4939" i="4"/>
  <c r="F4939" i="4"/>
  <c r="E4940" i="4"/>
  <c r="E4941" i="4"/>
  <c r="F4941" i="4"/>
  <c r="G4941" i="4"/>
  <c r="E4942" i="4"/>
  <c r="E4943" i="4"/>
  <c r="E4944" i="4"/>
  <c r="G4944" i="4"/>
  <c r="E4945" i="4"/>
  <c r="F4945" i="4"/>
  <c r="E4946" i="4"/>
  <c r="F4946" i="4"/>
  <c r="E4947" i="4"/>
  <c r="G4947" i="4"/>
  <c r="E4948" i="4"/>
  <c r="F4948" i="4"/>
  <c r="G4948" i="4"/>
  <c r="E4949" i="4"/>
  <c r="G4949" i="4"/>
  <c r="F4949" i="4"/>
  <c r="E4950" i="4"/>
  <c r="G4950" i="4"/>
  <c r="E4951" i="4"/>
  <c r="G4951" i="4"/>
  <c r="F4951" i="4"/>
  <c r="E4952" i="4"/>
  <c r="F4952" i="4"/>
  <c r="G4952" i="4"/>
  <c r="E4953" i="4"/>
  <c r="E4954" i="4"/>
  <c r="F4954" i="4"/>
  <c r="G4954" i="4"/>
  <c r="E4955" i="4"/>
  <c r="E4956" i="4"/>
  <c r="G4956" i="4"/>
  <c r="E4957" i="4"/>
  <c r="G4957" i="4"/>
  <c r="E4958" i="4"/>
  <c r="F4958" i="4"/>
  <c r="E4959" i="4"/>
  <c r="E4960" i="4"/>
  <c r="G4960" i="4"/>
  <c r="F4960" i="4"/>
  <c r="E4961" i="4"/>
  <c r="F4961" i="4"/>
  <c r="G4961" i="4"/>
  <c r="E4962" i="4"/>
  <c r="G4962" i="4"/>
  <c r="F4962" i="4"/>
  <c r="E4963" i="4"/>
  <c r="G4963" i="4"/>
  <c r="E4964" i="4"/>
  <c r="G4964" i="4"/>
  <c r="F4964" i="4"/>
  <c r="E4965" i="4"/>
  <c r="E4966" i="4"/>
  <c r="F4966" i="4"/>
  <c r="E4967" i="4"/>
  <c r="G4967" i="4"/>
  <c r="F4967" i="4"/>
  <c r="E4968" i="4"/>
  <c r="F4968" i="4"/>
  <c r="E4969" i="4"/>
  <c r="G4969" i="4"/>
  <c r="E4970" i="4"/>
  <c r="E4971" i="4"/>
  <c r="E4972" i="4"/>
  <c r="G4972" i="4"/>
  <c r="F4972" i="4"/>
  <c r="E4973" i="4"/>
  <c r="F4973" i="4"/>
  <c r="G4973" i="4"/>
  <c r="E4974" i="4"/>
  <c r="F4974" i="4"/>
  <c r="G4974" i="4"/>
  <c r="E4975" i="4"/>
  <c r="G4975" i="4"/>
  <c r="F4975" i="4"/>
  <c r="E4976" i="4"/>
  <c r="F4976" i="4"/>
  <c r="G4976" i="4"/>
  <c r="E4977" i="4"/>
  <c r="F4977" i="4"/>
  <c r="G4977" i="4"/>
  <c r="E4978" i="4"/>
  <c r="E4979" i="4"/>
  <c r="E4980" i="4"/>
  <c r="F4980" i="4"/>
  <c r="E4981" i="4"/>
  <c r="F4981" i="4"/>
  <c r="G4981" i="4"/>
  <c r="E4982" i="4"/>
  <c r="E4983" i="4"/>
  <c r="G4983" i="4"/>
  <c r="E4984" i="4"/>
  <c r="G4984" i="4"/>
  <c r="E4985" i="4"/>
  <c r="G4985" i="4"/>
  <c r="E4986" i="4"/>
  <c r="F4986" i="4"/>
  <c r="E4987" i="4"/>
  <c r="E4988" i="4"/>
  <c r="F4988" i="4"/>
  <c r="G4988" i="4"/>
  <c r="E4989" i="4"/>
  <c r="E4990" i="4"/>
  <c r="F4990" i="4"/>
  <c r="G4990" i="4"/>
  <c r="E4991" i="4"/>
  <c r="E4992" i="4"/>
  <c r="G4992" i="4"/>
  <c r="F4992" i="4"/>
  <c r="E4993" i="4"/>
  <c r="E4994" i="4"/>
  <c r="F4994" i="4"/>
  <c r="E4995" i="4"/>
  <c r="G4995" i="4"/>
  <c r="E4996" i="4"/>
  <c r="G4996" i="4"/>
  <c r="F4996" i="4"/>
  <c r="E4997" i="4"/>
  <c r="G4997" i="4"/>
  <c r="F4997" i="4"/>
  <c r="E4998" i="4"/>
  <c r="E4999" i="4"/>
  <c r="G4999" i="4"/>
  <c r="F4999" i="4"/>
  <c r="E5000" i="4"/>
  <c r="F5000" i="4"/>
  <c r="G5000" i="4"/>
  <c r="E5001" i="4"/>
  <c r="F5001" i="4"/>
  <c r="G5001" i="4"/>
  <c r="E5002" i="4"/>
  <c r="E5003" i="4"/>
  <c r="G5003" i="4"/>
  <c r="F5003" i="4"/>
  <c r="E5004" i="4"/>
  <c r="E5005" i="4"/>
  <c r="G5005" i="4"/>
  <c r="E5006" i="4"/>
  <c r="F5006" i="4"/>
  <c r="E5007" i="4"/>
  <c r="E5008" i="4"/>
  <c r="F5008" i="4"/>
  <c r="E5009" i="4"/>
  <c r="E5010" i="4"/>
  <c r="G5010" i="4"/>
  <c r="E5011" i="4"/>
  <c r="G5011" i="4"/>
  <c r="F5011" i="4"/>
  <c r="E5012" i="4"/>
  <c r="E5013" i="4"/>
  <c r="G5013" i="4"/>
  <c r="F5013" i="4"/>
  <c r="E5014" i="4"/>
  <c r="E5015" i="4"/>
  <c r="G5015" i="4"/>
  <c r="F5015" i="4"/>
  <c r="E5016" i="4"/>
  <c r="F5016" i="4"/>
  <c r="G5016" i="4"/>
  <c r="E5017" i="4"/>
  <c r="F5017" i="4"/>
  <c r="G5017" i="4"/>
  <c r="E5018" i="4"/>
  <c r="E5019" i="4"/>
  <c r="E5020" i="4"/>
  <c r="F5020" i="4"/>
  <c r="G5020" i="4"/>
  <c r="E5021" i="4"/>
  <c r="F5021" i="4"/>
  <c r="G5021" i="4"/>
  <c r="E5022" i="4"/>
  <c r="G5022" i="4"/>
  <c r="F5022" i="4"/>
  <c r="E5023" i="4"/>
  <c r="G5023" i="4"/>
  <c r="F5023" i="4"/>
  <c r="E5024" i="4"/>
  <c r="E5025" i="4"/>
  <c r="F5025" i="4"/>
  <c r="G5025" i="4"/>
  <c r="E5026" i="4"/>
  <c r="G5026" i="4"/>
  <c r="F5026" i="4"/>
  <c r="E5027" i="4"/>
  <c r="E5028" i="4"/>
  <c r="G5028" i="4"/>
  <c r="F5028" i="4"/>
  <c r="E5029" i="4"/>
  <c r="E5030" i="4"/>
  <c r="E5031" i="4"/>
  <c r="G5031" i="4"/>
  <c r="F5031" i="4"/>
  <c r="E5032" i="4"/>
  <c r="F5032" i="4"/>
  <c r="G5032" i="4"/>
  <c r="E5033" i="4"/>
  <c r="F5033" i="4"/>
  <c r="G5033" i="4"/>
  <c r="E5034" i="4"/>
  <c r="G5034" i="4"/>
  <c r="E5035" i="4"/>
  <c r="G5035" i="4"/>
  <c r="F5035" i="4"/>
  <c r="E5036" i="4"/>
  <c r="G5036" i="4"/>
  <c r="F5036" i="4"/>
  <c r="E5037" i="4"/>
  <c r="F5037" i="4"/>
  <c r="G5037" i="4"/>
  <c r="E5038" i="4"/>
  <c r="G5038" i="4"/>
  <c r="F5038" i="4"/>
  <c r="E5039" i="4"/>
  <c r="E5040" i="4"/>
  <c r="F5040" i="4"/>
  <c r="G5040" i="4"/>
  <c r="E5041" i="4"/>
  <c r="F5041" i="4"/>
  <c r="G5041" i="4"/>
  <c r="E5042" i="4"/>
  <c r="G5042" i="4"/>
  <c r="F5042" i="4"/>
  <c r="E5043" i="4"/>
  <c r="G5043" i="4"/>
  <c r="E5044" i="4"/>
  <c r="E5045" i="4"/>
  <c r="G5045" i="4"/>
  <c r="F5045" i="4"/>
  <c r="E5046" i="4"/>
  <c r="G5046" i="4"/>
  <c r="F5046" i="4"/>
  <c r="E5047" i="4"/>
  <c r="G5047" i="4"/>
  <c r="F5047" i="4"/>
  <c r="E5048" i="4"/>
  <c r="E5049" i="4"/>
  <c r="E5050" i="4"/>
  <c r="G5050" i="4"/>
  <c r="E5051" i="4"/>
  <c r="G5051" i="4"/>
  <c r="F5051" i="4"/>
  <c r="E5052" i="4"/>
  <c r="F5052" i="4"/>
  <c r="G5052" i="4"/>
  <c r="E5053" i="4"/>
  <c r="F5053" i="4"/>
  <c r="E5054" i="4"/>
  <c r="G5054" i="4"/>
  <c r="E5055" i="4"/>
  <c r="G5055" i="4"/>
  <c r="F5055" i="4"/>
  <c r="E5056" i="4"/>
  <c r="F5056" i="4"/>
  <c r="G5056" i="4"/>
  <c r="E5057" i="4"/>
  <c r="F5057" i="4"/>
  <c r="G5057" i="4"/>
  <c r="E5058" i="4"/>
  <c r="G5058" i="4"/>
  <c r="E5059" i="4"/>
  <c r="G5059" i="4"/>
  <c r="E5060" i="4"/>
  <c r="E5061" i="4"/>
  <c r="F5061" i="4"/>
  <c r="G5061" i="4"/>
  <c r="E5062" i="4"/>
  <c r="G5062" i="4"/>
  <c r="F5062" i="4"/>
  <c r="E5063" i="4"/>
  <c r="G5063" i="4"/>
  <c r="F5063" i="4"/>
  <c r="E5064" i="4"/>
  <c r="E5065" i="4"/>
  <c r="G5065" i="4"/>
  <c r="F5065" i="4"/>
  <c r="E5066" i="4"/>
  <c r="E5067" i="4"/>
  <c r="G5067" i="4"/>
  <c r="E5068" i="4"/>
  <c r="F5068" i="4"/>
  <c r="G5068" i="4"/>
  <c r="E5069" i="4"/>
  <c r="E5070" i="4"/>
  <c r="G5070" i="4"/>
  <c r="F5070" i="4"/>
  <c r="E5071" i="4"/>
  <c r="G5071" i="4"/>
  <c r="F5071" i="4"/>
  <c r="E5072" i="4"/>
  <c r="G5072" i="4"/>
  <c r="E5073" i="4"/>
  <c r="F5073" i="4"/>
  <c r="G5073" i="4"/>
  <c r="E5074" i="4"/>
  <c r="G5074" i="4"/>
  <c r="E5075" i="4"/>
  <c r="G5075" i="4"/>
  <c r="E5076" i="4"/>
  <c r="G5076" i="4"/>
  <c r="F5076" i="4"/>
  <c r="E5077" i="4"/>
  <c r="G5077" i="4"/>
  <c r="F5077" i="4"/>
  <c r="E5078" i="4"/>
  <c r="G5078" i="4"/>
  <c r="F5078" i="4"/>
  <c r="E5079" i="4"/>
  <c r="E5080" i="4"/>
  <c r="F5080" i="4"/>
  <c r="G5080" i="4"/>
  <c r="E5081" i="4"/>
  <c r="F5081" i="4"/>
  <c r="G5081" i="4"/>
  <c r="E5082" i="4"/>
  <c r="E5083" i="4"/>
  <c r="G5083" i="4"/>
  <c r="F5083" i="4"/>
  <c r="E5084" i="4"/>
  <c r="G5084" i="4"/>
  <c r="E5085" i="4"/>
  <c r="F5085" i="4"/>
  <c r="G5085" i="4"/>
  <c r="E5086" i="4"/>
  <c r="E5087" i="4"/>
  <c r="G5087" i="4"/>
  <c r="F5087" i="4"/>
  <c r="E5088" i="4"/>
  <c r="F5088" i="4"/>
  <c r="G5088" i="4"/>
  <c r="E5089" i="4"/>
  <c r="G5089" i="4"/>
  <c r="F5089" i="4"/>
  <c r="E5090" i="4"/>
  <c r="G5090" i="4"/>
  <c r="F5090" i="4"/>
  <c r="E5091" i="4"/>
  <c r="E5092" i="4"/>
  <c r="E5093" i="4"/>
  <c r="G5093" i="4"/>
  <c r="F5093" i="4"/>
  <c r="E5094" i="4"/>
  <c r="E5095" i="4"/>
  <c r="G5095" i="4"/>
  <c r="F5095" i="4"/>
  <c r="E5096" i="4"/>
  <c r="E5097" i="4"/>
  <c r="G5097" i="4"/>
  <c r="E5098" i="4"/>
  <c r="G5098" i="4"/>
  <c r="F5098" i="4"/>
  <c r="E5099" i="4"/>
  <c r="G5099" i="4"/>
  <c r="F5099" i="4"/>
  <c r="E5100" i="4"/>
  <c r="F5100" i="4"/>
  <c r="G5100" i="4"/>
  <c r="E5101" i="4"/>
  <c r="F5101" i="4"/>
  <c r="E5102" i="4"/>
  <c r="E5103" i="4"/>
  <c r="G5103" i="4"/>
  <c r="F5103" i="4"/>
  <c r="E5104" i="4"/>
  <c r="G5104" i="4"/>
  <c r="F5104" i="4"/>
  <c r="E5105" i="4"/>
  <c r="F5105" i="4"/>
  <c r="G5105" i="4"/>
  <c r="E5106" i="4"/>
  <c r="G5106" i="4"/>
  <c r="F5106" i="4"/>
  <c r="E5107" i="4"/>
  <c r="F5107" i="4"/>
  <c r="E5108" i="4"/>
  <c r="F5108" i="4"/>
  <c r="E5109" i="4"/>
  <c r="G5109" i="4"/>
  <c r="F5109" i="4"/>
  <c r="E5110" i="4"/>
  <c r="E5111" i="4"/>
  <c r="F5111" i="4"/>
  <c r="G5111" i="4"/>
  <c r="E5112" i="4"/>
  <c r="G5112" i="4"/>
  <c r="F5112" i="4"/>
  <c r="E5113" i="4"/>
  <c r="F5113" i="4"/>
  <c r="E5114" i="4"/>
  <c r="G5114" i="4"/>
  <c r="E5115" i="4"/>
  <c r="E5116" i="4"/>
  <c r="F5116" i="4"/>
  <c r="E5117" i="4"/>
  <c r="F5117" i="4"/>
  <c r="E5118" i="4"/>
  <c r="E5119" i="4"/>
  <c r="E5120" i="4"/>
  <c r="F5120" i="4"/>
  <c r="G5120" i="4"/>
  <c r="E5121" i="4"/>
  <c r="F5121" i="4"/>
  <c r="G5121" i="4"/>
  <c r="E5122" i="4"/>
  <c r="E5123" i="4"/>
  <c r="G5123" i="4"/>
  <c r="F5123" i="4"/>
  <c r="E5124" i="4"/>
  <c r="F5124" i="4"/>
  <c r="G5124" i="4"/>
  <c r="E5125" i="4"/>
  <c r="G5125" i="4"/>
  <c r="F5125" i="4"/>
  <c r="E5126" i="4"/>
  <c r="G5126" i="4"/>
  <c r="E5127" i="4"/>
  <c r="F5127" i="4"/>
  <c r="G5127" i="4"/>
  <c r="E5128" i="4"/>
  <c r="F5128" i="4"/>
  <c r="G5128" i="4"/>
  <c r="E5129" i="4"/>
  <c r="F5129" i="4"/>
  <c r="G5129" i="4"/>
  <c r="E5130" i="4"/>
  <c r="E5131" i="4"/>
  <c r="F5131" i="4"/>
  <c r="G5131" i="4"/>
  <c r="E5132" i="4"/>
  <c r="E5133" i="4"/>
  <c r="F5133" i="4"/>
  <c r="G5133" i="4"/>
  <c r="E5134" i="4"/>
  <c r="E5135" i="4"/>
  <c r="F5135" i="4"/>
  <c r="E5136" i="4"/>
  <c r="G5136" i="4"/>
  <c r="F5136" i="4"/>
  <c r="E5137" i="4"/>
  <c r="F5137" i="4"/>
  <c r="G5137" i="4"/>
  <c r="E5138" i="4"/>
  <c r="G5138" i="4"/>
  <c r="E5139" i="4"/>
  <c r="F5139" i="4"/>
  <c r="G5139" i="4"/>
  <c r="E5140" i="4"/>
  <c r="G5140" i="4"/>
  <c r="F5140" i="4"/>
  <c r="E5141" i="4"/>
  <c r="F5141" i="4"/>
  <c r="E5142" i="4"/>
  <c r="G5142" i="4"/>
  <c r="E5143" i="4"/>
  <c r="F5143" i="4"/>
  <c r="E5144" i="4"/>
  <c r="F5144" i="4"/>
  <c r="G5144" i="4"/>
  <c r="E5145" i="4"/>
  <c r="F5145" i="4"/>
  <c r="G5145" i="4"/>
  <c r="E5146" i="4"/>
  <c r="G5146" i="4"/>
  <c r="F5146" i="4"/>
  <c r="E5147" i="4"/>
  <c r="G5147" i="4"/>
  <c r="E5148" i="4"/>
  <c r="F5148" i="4"/>
  <c r="E5149" i="4"/>
  <c r="F5149" i="4"/>
  <c r="G5149" i="4"/>
  <c r="E5150" i="4"/>
  <c r="G5150" i="4"/>
  <c r="E5151" i="4"/>
  <c r="G5151" i="4"/>
  <c r="F5151" i="4"/>
  <c r="E5152" i="4"/>
  <c r="G5152" i="4"/>
  <c r="F5152" i="4"/>
  <c r="E5153" i="4"/>
  <c r="E5154" i="4"/>
  <c r="G5154" i="4"/>
  <c r="E5155" i="4"/>
  <c r="F5155" i="4"/>
  <c r="G5155" i="4"/>
  <c r="E5156" i="4"/>
  <c r="F5156" i="4"/>
  <c r="G5156" i="4"/>
  <c r="E5157" i="4"/>
  <c r="F5157" i="4"/>
  <c r="G5157" i="4"/>
  <c r="E5158" i="4"/>
  <c r="E5159" i="4"/>
  <c r="F5159" i="4"/>
  <c r="E5160" i="4"/>
  <c r="G5160" i="4"/>
  <c r="E5161" i="4"/>
  <c r="F5161" i="4"/>
  <c r="G5161" i="4"/>
  <c r="E5162" i="4"/>
  <c r="G5162" i="4"/>
  <c r="F5162" i="4"/>
  <c r="E5163" i="4"/>
  <c r="F5163" i="4"/>
  <c r="G5163" i="4"/>
  <c r="E5164" i="4"/>
  <c r="F5164" i="4"/>
  <c r="E5165" i="4"/>
  <c r="F5165" i="4"/>
  <c r="G5165" i="4"/>
  <c r="E5166" i="4"/>
  <c r="G5166" i="4"/>
  <c r="F5166" i="4"/>
  <c r="E5167" i="4"/>
  <c r="F5167" i="4"/>
  <c r="E5168" i="4"/>
  <c r="F5168" i="4"/>
  <c r="G5168" i="4"/>
  <c r="E5169" i="4"/>
  <c r="G5169" i="4"/>
  <c r="F5169" i="4"/>
  <c r="E5170" i="4"/>
  <c r="G5170" i="4"/>
  <c r="F5170" i="4"/>
  <c r="E5171" i="4"/>
  <c r="G5171" i="4"/>
  <c r="E5172" i="4"/>
  <c r="F5172" i="4"/>
  <c r="E5173" i="4"/>
  <c r="E5174" i="4"/>
  <c r="G5174" i="4"/>
  <c r="F5174" i="4"/>
  <c r="E5175" i="4"/>
  <c r="G5175" i="4"/>
  <c r="F5175" i="4"/>
  <c r="E5176" i="4"/>
  <c r="F5176" i="4"/>
  <c r="G5176" i="4"/>
  <c r="E5177" i="4"/>
  <c r="G5177" i="4"/>
  <c r="E5178" i="4"/>
  <c r="G5178" i="4"/>
  <c r="F5178" i="4"/>
  <c r="E5179" i="4"/>
  <c r="E5180" i="4"/>
  <c r="F5180" i="4"/>
  <c r="G5180" i="4"/>
  <c r="E5181" i="4"/>
  <c r="F5181" i="4"/>
  <c r="G5181" i="4"/>
  <c r="E5182" i="4"/>
  <c r="E5183" i="4"/>
  <c r="F5183" i="4"/>
  <c r="E5184" i="4"/>
  <c r="E5185" i="4"/>
  <c r="F5185" i="4"/>
  <c r="G5185" i="4"/>
  <c r="E5186" i="4"/>
  <c r="G5186" i="4"/>
  <c r="E5187" i="4"/>
  <c r="G5187" i="4"/>
  <c r="F5187" i="4"/>
  <c r="E5188" i="4"/>
  <c r="G5188" i="4"/>
  <c r="F5188" i="4"/>
  <c r="E5189" i="4"/>
  <c r="G5189" i="4"/>
  <c r="F5189" i="4"/>
  <c r="E5190" i="4"/>
  <c r="G5190" i="4"/>
  <c r="E5191" i="4"/>
  <c r="F5191" i="4"/>
  <c r="E5192" i="4"/>
  <c r="E5193" i="4"/>
  <c r="F5193" i="4"/>
  <c r="E5194" i="4"/>
  <c r="G5194" i="4"/>
  <c r="E5195" i="4"/>
  <c r="G5195" i="4"/>
  <c r="F5195" i="4"/>
  <c r="E5196" i="4"/>
  <c r="F5196" i="4"/>
  <c r="E5197" i="4"/>
  <c r="F5197" i="4"/>
  <c r="G5197" i="4"/>
  <c r="E5198" i="4"/>
  <c r="E5199" i="4"/>
  <c r="F5199" i="4"/>
  <c r="E5200" i="4"/>
  <c r="G5200" i="4"/>
  <c r="F5200" i="4"/>
  <c r="E5201" i="4"/>
  <c r="F5201" i="4"/>
  <c r="G5201" i="4"/>
  <c r="E5202" i="4"/>
  <c r="G5202" i="4"/>
  <c r="F5202" i="4"/>
  <c r="E5203" i="4"/>
  <c r="E5204" i="4"/>
  <c r="F5204" i="4"/>
  <c r="E5205" i="4"/>
  <c r="G5205" i="4"/>
  <c r="F5205" i="4"/>
  <c r="E5206" i="4"/>
  <c r="E5207" i="4"/>
  <c r="F5207" i="4"/>
  <c r="E5208" i="4"/>
  <c r="E5209" i="4"/>
  <c r="E5210" i="4"/>
  <c r="G5210" i="4"/>
  <c r="E5211" i="4"/>
  <c r="G5211" i="4"/>
  <c r="F5211" i="4"/>
  <c r="E5212" i="4"/>
  <c r="G5212" i="4"/>
  <c r="F5212" i="4"/>
  <c r="E5213" i="4"/>
  <c r="G5213" i="4"/>
  <c r="E5214" i="4"/>
  <c r="G5214" i="4"/>
  <c r="E5215" i="4"/>
  <c r="F5215" i="4"/>
  <c r="E5216" i="4"/>
  <c r="F5216" i="4"/>
  <c r="E5217" i="4"/>
  <c r="F5217" i="4"/>
  <c r="E5218" i="4"/>
  <c r="G5218" i="4"/>
  <c r="E5219" i="4"/>
  <c r="G5219" i="4"/>
  <c r="E5220" i="4"/>
  <c r="F5220" i="4"/>
  <c r="E5221" i="4"/>
  <c r="F5221" i="4"/>
  <c r="G5221" i="4"/>
  <c r="E5222" i="4"/>
  <c r="G5222" i="4"/>
  <c r="F5222" i="4"/>
  <c r="E5223" i="4"/>
  <c r="F5223" i="4"/>
  <c r="G5223" i="4"/>
  <c r="E5224" i="4"/>
  <c r="F5224" i="4"/>
  <c r="G5224" i="4"/>
  <c r="E5225" i="4"/>
  <c r="F5225" i="4"/>
  <c r="E5226" i="4"/>
  <c r="G5226" i="4"/>
  <c r="F5226" i="4"/>
  <c r="E5227" i="4"/>
  <c r="F5227" i="4"/>
  <c r="G5227" i="4"/>
  <c r="E5228" i="4"/>
  <c r="F5228" i="4"/>
  <c r="E5229" i="4"/>
  <c r="G5229" i="4"/>
  <c r="F5229" i="4"/>
  <c r="E5230" i="4"/>
  <c r="E5231" i="4"/>
  <c r="E5232" i="4"/>
  <c r="G5232" i="4"/>
  <c r="E5233" i="4"/>
  <c r="F5233" i="4"/>
  <c r="G5233" i="4"/>
  <c r="E5234" i="4"/>
  <c r="G5234" i="4"/>
  <c r="E5235" i="4"/>
  <c r="F5235" i="4"/>
  <c r="E5236" i="4"/>
  <c r="E5237" i="4"/>
  <c r="G5237" i="4"/>
  <c r="F5237" i="4"/>
  <c r="E5238" i="4"/>
  <c r="G5238" i="4"/>
  <c r="E5239" i="4"/>
  <c r="F5239" i="4"/>
  <c r="E5240" i="4"/>
  <c r="E5241" i="4"/>
  <c r="F5241" i="4"/>
  <c r="E5242" i="4"/>
  <c r="G5242" i="4"/>
  <c r="E5243" i="4"/>
  <c r="E5244" i="4"/>
  <c r="F5244" i="4"/>
  <c r="G5244" i="4"/>
  <c r="E5245" i="4"/>
  <c r="F5245" i="4"/>
  <c r="G5245" i="4"/>
  <c r="E5246" i="4"/>
  <c r="G5246" i="4"/>
  <c r="F5246" i="4"/>
  <c r="E5247" i="4"/>
  <c r="F5247" i="4"/>
  <c r="E5248" i="4"/>
  <c r="F5248" i="4"/>
  <c r="E5249" i="4"/>
  <c r="F5249" i="4"/>
  <c r="E5250" i="4"/>
  <c r="G5250" i="4"/>
  <c r="F5250" i="4"/>
  <c r="E5251" i="4"/>
  <c r="F5251" i="4"/>
  <c r="E5252" i="4"/>
  <c r="F5252" i="4"/>
  <c r="G5252" i="4"/>
  <c r="E5253" i="4"/>
  <c r="F5253" i="4"/>
  <c r="G5253" i="4"/>
  <c r="E5254" i="4"/>
  <c r="E5255" i="4"/>
  <c r="F5255" i="4"/>
  <c r="G5255" i="4"/>
  <c r="E5256" i="4"/>
  <c r="F5256" i="4"/>
  <c r="E5257" i="4"/>
  <c r="F5257" i="4"/>
  <c r="E5258" i="4"/>
  <c r="E5259" i="4"/>
  <c r="F5259" i="4"/>
  <c r="G5259" i="4"/>
  <c r="E5260" i="4"/>
  <c r="F5260" i="4"/>
  <c r="E5261" i="4"/>
  <c r="F5261" i="4"/>
  <c r="G5261" i="4"/>
  <c r="E5262" i="4"/>
  <c r="G5262" i="4"/>
  <c r="E5263" i="4"/>
  <c r="F5263" i="4"/>
  <c r="G5263" i="4"/>
  <c r="E5264" i="4"/>
  <c r="E5265" i="4"/>
  <c r="G5265" i="4"/>
  <c r="E5266" i="4"/>
  <c r="G5266" i="4"/>
  <c r="E5267" i="4"/>
  <c r="G5267" i="4"/>
  <c r="F5267" i="4"/>
  <c r="E5268" i="4"/>
  <c r="F5268" i="4"/>
  <c r="E5269" i="4"/>
  <c r="G5269" i="4"/>
  <c r="F5269" i="4"/>
  <c r="E5270" i="4"/>
  <c r="G5270" i="4"/>
  <c r="E5271" i="4"/>
  <c r="F5271" i="4"/>
  <c r="E5272" i="4"/>
  <c r="F5272" i="4"/>
  <c r="G5272" i="4"/>
  <c r="E5273" i="4"/>
  <c r="F5273" i="4"/>
  <c r="G5273" i="4"/>
  <c r="E5274" i="4"/>
  <c r="G5274" i="4"/>
  <c r="E5275" i="4"/>
  <c r="G5275" i="4"/>
  <c r="F5275" i="4"/>
  <c r="E5276" i="4"/>
  <c r="F5276" i="4"/>
  <c r="E5277" i="4"/>
  <c r="F5277" i="4"/>
  <c r="G5277" i="4"/>
  <c r="E5278" i="4"/>
  <c r="G5278" i="4"/>
  <c r="F5278" i="4"/>
  <c r="E5279" i="4"/>
  <c r="F5279" i="4"/>
  <c r="E5280" i="4"/>
  <c r="G5280" i="4"/>
  <c r="E5281" i="4"/>
  <c r="G5281" i="4"/>
  <c r="F5281" i="4"/>
  <c r="E5282" i="4"/>
  <c r="G5282" i="4"/>
  <c r="E5283" i="4"/>
  <c r="E5284" i="4"/>
  <c r="F5284" i="4"/>
  <c r="G5284" i="4"/>
  <c r="E5285" i="4"/>
  <c r="F5285" i="4"/>
  <c r="G5285" i="4"/>
  <c r="E5286" i="4"/>
  <c r="G5286" i="4"/>
  <c r="E5287" i="4"/>
  <c r="G5287" i="4"/>
  <c r="F5287" i="4"/>
  <c r="E5288" i="4"/>
  <c r="F5288" i="4"/>
  <c r="E5289" i="4"/>
  <c r="F5289" i="4"/>
  <c r="G5289" i="4"/>
  <c r="E5290" i="4"/>
  <c r="E5291" i="4"/>
  <c r="F5291" i="4"/>
  <c r="G5291" i="4"/>
  <c r="E5292" i="4"/>
  <c r="F5292" i="4"/>
  <c r="E5293" i="4"/>
  <c r="F5293" i="4"/>
  <c r="G5293" i="4"/>
  <c r="E5294" i="4"/>
  <c r="G5294" i="4"/>
  <c r="F5294" i="4"/>
  <c r="E5295" i="4"/>
  <c r="F5295" i="4"/>
  <c r="G5295" i="4"/>
  <c r="E5296" i="4"/>
  <c r="G5296" i="4"/>
  <c r="F5296" i="4"/>
  <c r="E5297" i="4"/>
  <c r="F5297" i="4"/>
  <c r="E5298" i="4"/>
  <c r="G5298" i="4"/>
  <c r="F5298" i="4"/>
  <c r="E5299" i="4"/>
  <c r="E5300" i="4"/>
  <c r="F5300" i="4"/>
  <c r="E5301" i="4"/>
  <c r="F5301" i="4"/>
  <c r="E5302" i="4"/>
  <c r="E5303" i="4"/>
  <c r="F5303" i="4"/>
  <c r="E5304" i="4"/>
  <c r="E5305" i="4"/>
  <c r="F5305" i="4"/>
  <c r="G5305" i="4"/>
  <c r="E5306" i="4"/>
  <c r="G5306" i="4"/>
  <c r="E5307" i="4"/>
  <c r="F5307" i="4"/>
  <c r="G5307" i="4"/>
  <c r="E5308" i="4"/>
  <c r="E5309" i="4"/>
  <c r="G5309" i="4"/>
  <c r="F5309" i="4"/>
  <c r="E5310" i="4"/>
  <c r="G5310" i="4"/>
  <c r="E5311" i="4"/>
  <c r="F5311" i="4"/>
  <c r="E5312" i="4"/>
  <c r="F5312" i="4"/>
  <c r="E5313" i="4"/>
  <c r="F5313" i="4"/>
  <c r="E5314" i="4"/>
  <c r="G5314" i="4"/>
  <c r="F5314" i="4"/>
  <c r="E5315" i="4"/>
  <c r="G5315" i="4"/>
  <c r="E5316" i="4"/>
  <c r="F5316" i="4"/>
  <c r="E5317" i="4"/>
  <c r="F5317" i="4"/>
  <c r="E5318" i="4"/>
  <c r="G5318" i="4"/>
  <c r="E5319" i="4"/>
  <c r="G5319" i="4"/>
  <c r="E5320" i="4"/>
  <c r="G5320" i="4"/>
  <c r="F5320" i="4"/>
  <c r="E5321" i="4"/>
  <c r="F5321" i="4"/>
  <c r="E5322" i="4"/>
  <c r="G5322" i="4"/>
  <c r="E5323" i="4"/>
  <c r="F5323" i="4"/>
  <c r="G5323" i="4"/>
  <c r="E5324" i="4"/>
  <c r="F5324" i="4"/>
  <c r="E5325" i="4"/>
  <c r="G5325" i="4"/>
  <c r="F5325" i="4"/>
  <c r="E5326" i="4"/>
  <c r="G5326" i="4"/>
  <c r="E5327" i="4"/>
  <c r="G5327" i="4"/>
  <c r="F5327" i="4"/>
  <c r="E5328" i="4"/>
  <c r="G5328" i="4"/>
  <c r="F5328" i="4"/>
  <c r="E5329" i="4"/>
  <c r="F5329" i="4"/>
  <c r="E5330" i="4"/>
  <c r="G5330" i="4"/>
  <c r="E5331" i="4"/>
  <c r="G5331" i="4"/>
  <c r="F5331" i="4"/>
  <c r="E5332" i="4"/>
  <c r="F5332" i="4"/>
  <c r="E5333" i="4"/>
  <c r="F5333" i="4"/>
  <c r="E5334" i="4"/>
  <c r="G5334" i="4"/>
  <c r="E5335" i="4"/>
  <c r="F5335" i="4"/>
  <c r="G5335" i="4"/>
  <c r="E5336" i="4"/>
  <c r="F5336" i="4"/>
  <c r="G5336" i="4"/>
  <c r="E5337" i="4"/>
  <c r="G5337" i="4"/>
  <c r="F5337" i="4"/>
  <c r="E5338" i="4"/>
  <c r="G5338" i="4"/>
  <c r="E5339" i="4"/>
  <c r="F5339" i="4"/>
  <c r="E5340" i="4"/>
  <c r="E5341" i="4"/>
  <c r="F5341" i="4"/>
  <c r="G5341" i="4"/>
  <c r="E5342" i="4"/>
  <c r="G5342" i="4"/>
  <c r="E5343" i="4"/>
  <c r="F5343" i="4"/>
  <c r="E5344" i="4"/>
  <c r="G5344" i="4"/>
  <c r="E5345" i="4"/>
  <c r="F5345" i="4"/>
  <c r="G5345" i="4"/>
  <c r="E5346" i="4"/>
  <c r="G5346" i="4"/>
  <c r="F5346" i="4"/>
  <c r="E5347" i="4"/>
  <c r="E5348" i="4"/>
  <c r="F5348" i="4"/>
  <c r="E5349" i="4"/>
  <c r="F5349" i="4"/>
  <c r="E5350" i="4"/>
  <c r="E5351" i="4"/>
  <c r="F5351" i="4"/>
  <c r="E5352" i="4"/>
  <c r="F5352" i="4"/>
  <c r="G5352" i="4"/>
  <c r="E5353" i="4"/>
  <c r="F5353" i="4"/>
  <c r="G5353" i="4"/>
  <c r="E5354" i="4"/>
  <c r="G5354" i="4"/>
  <c r="E5355" i="4"/>
  <c r="F5355" i="4"/>
  <c r="E5356" i="4"/>
  <c r="F5356" i="4"/>
  <c r="E5357" i="4"/>
  <c r="F5357" i="4"/>
  <c r="G5357" i="4"/>
  <c r="E5358" i="4"/>
  <c r="G5358" i="4"/>
  <c r="F5358" i="4"/>
  <c r="E5359" i="4"/>
  <c r="F5359" i="4"/>
  <c r="E5360" i="4"/>
  <c r="F5360" i="4"/>
  <c r="E5361" i="4"/>
  <c r="F5361" i="4"/>
  <c r="G5361" i="4"/>
  <c r="E5362" i="4"/>
  <c r="G5362" i="4"/>
  <c r="E5363" i="4"/>
  <c r="G5363" i="4"/>
  <c r="F5363" i="4"/>
  <c r="E5364" i="4"/>
  <c r="F5364" i="4"/>
  <c r="G5364" i="4"/>
  <c r="E5365" i="4"/>
  <c r="G5365" i="4"/>
  <c r="F5365" i="4"/>
  <c r="E5366" i="4"/>
  <c r="G5366" i="4"/>
  <c r="E5367" i="4"/>
  <c r="G5367" i="4"/>
  <c r="E5368" i="4"/>
  <c r="F5368" i="4"/>
  <c r="G5368" i="4"/>
  <c r="E5369" i="4"/>
  <c r="F5369" i="4"/>
  <c r="G5369" i="4"/>
  <c r="E5370" i="4"/>
  <c r="G5370" i="4"/>
  <c r="F5370" i="4"/>
  <c r="E5371" i="4"/>
  <c r="F5371" i="4"/>
  <c r="G5371" i="4"/>
  <c r="E5372" i="4"/>
  <c r="F5372" i="4"/>
  <c r="E5373" i="4"/>
  <c r="G5373" i="4"/>
  <c r="F5373" i="4"/>
  <c r="E5374" i="4"/>
  <c r="G5374" i="4"/>
  <c r="E5375" i="4"/>
  <c r="F5375" i="4"/>
  <c r="G5375" i="4"/>
  <c r="E5376" i="4"/>
  <c r="G5376" i="4"/>
  <c r="F5376" i="4"/>
  <c r="E5377" i="4"/>
  <c r="F5377" i="4"/>
  <c r="E5378" i="4"/>
  <c r="G5378" i="4"/>
  <c r="F5378" i="4"/>
  <c r="E5379" i="4"/>
  <c r="F5379" i="4"/>
  <c r="E5380" i="4"/>
  <c r="F5380" i="4"/>
  <c r="E5381" i="4"/>
  <c r="F5381" i="4"/>
  <c r="G5381" i="4"/>
  <c r="E5382" i="4"/>
  <c r="G5382" i="4"/>
  <c r="F5382" i="4"/>
  <c r="E5383" i="4"/>
  <c r="F5383" i="4"/>
  <c r="E5384" i="4"/>
  <c r="F5384" i="4"/>
  <c r="E5385" i="4"/>
  <c r="E5386" i="4"/>
  <c r="G5386" i="4"/>
  <c r="E5387" i="4"/>
  <c r="F5387" i="4"/>
  <c r="E5388" i="4"/>
  <c r="F5388" i="4"/>
  <c r="E5389" i="4"/>
  <c r="F5389" i="4"/>
  <c r="G5389" i="4"/>
  <c r="E5390" i="4"/>
  <c r="G5390" i="4"/>
  <c r="F5390" i="4"/>
  <c r="E5391" i="4"/>
  <c r="E5392" i="4"/>
  <c r="F5392" i="4"/>
  <c r="E5393" i="4"/>
  <c r="G5393" i="4"/>
  <c r="F5393" i="4"/>
  <c r="E5394" i="4"/>
  <c r="G5394" i="4"/>
  <c r="F5394" i="4"/>
  <c r="E5395" i="4"/>
  <c r="F5395" i="4"/>
  <c r="E5396" i="4"/>
  <c r="F5396" i="4"/>
  <c r="E5397" i="4"/>
  <c r="E5398" i="4"/>
  <c r="E5399" i="4"/>
  <c r="E5400" i="4"/>
  <c r="F5400" i="4"/>
  <c r="E5401" i="4"/>
  <c r="F5401" i="4"/>
  <c r="E5402" i="4"/>
  <c r="G5402" i="4"/>
  <c r="E5403" i="4"/>
  <c r="E5404" i="4"/>
  <c r="F5404" i="4"/>
  <c r="E5405" i="4"/>
  <c r="F5405" i="4"/>
  <c r="E5406" i="4"/>
  <c r="G5406" i="4"/>
  <c r="E5407" i="4"/>
  <c r="F5407" i="4"/>
  <c r="G5407" i="4"/>
  <c r="E5408" i="4"/>
  <c r="E5409" i="4"/>
  <c r="F5409" i="4"/>
  <c r="G5409" i="4"/>
  <c r="E5410" i="4"/>
  <c r="G5410" i="4"/>
  <c r="E5411" i="4"/>
  <c r="G5411" i="4"/>
  <c r="E5412" i="4"/>
  <c r="F5412" i="4"/>
  <c r="G5412" i="4"/>
  <c r="E5413" i="4"/>
  <c r="F5413" i="4"/>
  <c r="G5413" i="4"/>
  <c r="E5414" i="4"/>
  <c r="G5414" i="4"/>
  <c r="E5415" i="4"/>
  <c r="F5415" i="4"/>
  <c r="E5416" i="4"/>
  <c r="F5416" i="4"/>
  <c r="G5416" i="4"/>
  <c r="E5417" i="4"/>
  <c r="F5417" i="4"/>
  <c r="G5417" i="4"/>
  <c r="E5418" i="4"/>
  <c r="G5418" i="4"/>
  <c r="E5419" i="4"/>
  <c r="F5419" i="4"/>
  <c r="E5420" i="4"/>
  <c r="E5421" i="4"/>
  <c r="F5421" i="4"/>
  <c r="E5422" i="4"/>
  <c r="G5422" i="4"/>
  <c r="E5423" i="4"/>
  <c r="F5423" i="4"/>
  <c r="G5423" i="4"/>
  <c r="E5424" i="4"/>
  <c r="G5424" i="4"/>
  <c r="E5425" i="4"/>
  <c r="G5425" i="4"/>
  <c r="F5425" i="4"/>
  <c r="E5426" i="4"/>
  <c r="G5426" i="4"/>
  <c r="E5427" i="4"/>
  <c r="G5427" i="4"/>
  <c r="F5427" i="4"/>
  <c r="E5428" i="4"/>
  <c r="F5428" i="4"/>
  <c r="E5429" i="4"/>
  <c r="F5429" i="4"/>
  <c r="E5430" i="4"/>
  <c r="G5430" i="4"/>
  <c r="F5430" i="4"/>
  <c r="E5431" i="4"/>
  <c r="E5432" i="4"/>
  <c r="F5432" i="4"/>
  <c r="E5433" i="4"/>
  <c r="F5433" i="4"/>
  <c r="E5434" i="4"/>
  <c r="G5434" i="4"/>
  <c r="E5435" i="4"/>
  <c r="G5435" i="4"/>
  <c r="E5436" i="4"/>
  <c r="F5436" i="4"/>
  <c r="G5436" i="4"/>
  <c r="E5437" i="4"/>
  <c r="F5437" i="4"/>
  <c r="G5437" i="4"/>
  <c r="E5438" i="4"/>
  <c r="G5438" i="4"/>
  <c r="F5438" i="4"/>
  <c r="E5439" i="4"/>
  <c r="F5439" i="4"/>
  <c r="G5439" i="4"/>
  <c r="E5440" i="4"/>
  <c r="F5440" i="4"/>
  <c r="E5441" i="4"/>
  <c r="E5442" i="4"/>
  <c r="G5442" i="4"/>
  <c r="E5443" i="4"/>
  <c r="F5443" i="4"/>
  <c r="E5444" i="4"/>
  <c r="E5445" i="4"/>
  <c r="F5445" i="4"/>
  <c r="G5445" i="4"/>
  <c r="E5446" i="4"/>
  <c r="E5447" i="4"/>
  <c r="G5447" i="4"/>
  <c r="F5447" i="4"/>
  <c r="E5448" i="4"/>
  <c r="F5448" i="4"/>
  <c r="E5449" i="4"/>
  <c r="F5449" i="4"/>
  <c r="E5450" i="4"/>
  <c r="E5451" i="4"/>
  <c r="F5451" i="4"/>
  <c r="E5452" i="4"/>
  <c r="E5453" i="4"/>
  <c r="F5453" i="4"/>
  <c r="G5453" i="4"/>
  <c r="E5454" i="4"/>
  <c r="G5454" i="4"/>
  <c r="F5454" i="4"/>
  <c r="E5455" i="4"/>
  <c r="F5455" i="4"/>
  <c r="E5456" i="4"/>
  <c r="F5456" i="4"/>
  <c r="G5456" i="4"/>
  <c r="E5457" i="4"/>
  <c r="F5457" i="4"/>
  <c r="G5457" i="4"/>
  <c r="E5458" i="4"/>
  <c r="G5458" i="4"/>
  <c r="F5458" i="4"/>
  <c r="E5459" i="4"/>
  <c r="G5459" i="4"/>
  <c r="E5460" i="4"/>
  <c r="F5460" i="4"/>
  <c r="E5461" i="4"/>
  <c r="F5461" i="4"/>
  <c r="G5461" i="4"/>
  <c r="E5462" i="4"/>
  <c r="G5462" i="4"/>
  <c r="E5463" i="4"/>
  <c r="G5463" i="4"/>
  <c r="F5463" i="4"/>
  <c r="E5464" i="4"/>
  <c r="F5464" i="4"/>
  <c r="E5465" i="4"/>
  <c r="F5465" i="4"/>
  <c r="E5466" i="4"/>
  <c r="G5466" i="4"/>
  <c r="E5467" i="4"/>
  <c r="E5468" i="4"/>
  <c r="F5468" i="4"/>
  <c r="G5468" i="4"/>
  <c r="E5469" i="4"/>
  <c r="F5469" i="4"/>
  <c r="G5469" i="4"/>
  <c r="E5470" i="4"/>
  <c r="G5470" i="4"/>
  <c r="F5470" i="4"/>
  <c r="E5471" i="4"/>
  <c r="F5471" i="4"/>
  <c r="G5471" i="4"/>
  <c r="E5472" i="4"/>
  <c r="G5472" i="4"/>
  <c r="E5473" i="4"/>
  <c r="G5473" i="4"/>
  <c r="F5473" i="4"/>
  <c r="E5474" i="4"/>
  <c r="G5474" i="4"/>
  <c r="E5475" i="4"/>
  <c r="F5475" i="4"/>
  <c r="G5475" i="4"/>
  <c r="E5476" i="4"/>
  <c r="G5476" i="4"/>
  <c r="F5476" i="4"/>
  <c r="E5477" i="4"/>
  <c r="F5477" i="4"/>
  <c r="E5478" i="4"/>
  <c r="E5479" i="4"/>
  <c r="E5480" i="4"/>
  <c r="F5480" i="4"/>
  <c r="G5480" i="4"/>
  <c r="E5481" i="4"/>
  <c r="F5481" i="4"/>
  <c r="G5481" i="4"/>
  <c r="E5482" i="4"/>
  <c r="G5482" i="4"/>
  <c r="E5483" i="4"/>
  <c r="F5483" i="4"/>
  <c r="E5484" i="4"/>
  <c r="E5485" i="4"/>
  <c r="E5486" i="4"/>
  <c r="G5486" i="4"/>
  <c r="E5487" i="4"/>
  <c r="E5488" i="4"/>
  <c r="F5488" i="4"/>
  <c r="G5488" i="4"/>
  <c r="E5489" i="4"/>
  <c r="F5489" i="4"/>
  <c r="E5490" i="4"/>
  <c r="E5491" i="4"/>
  <c r="G5491" i="4"/>
  <c r="E5492" i="4"/>
  <c r="G5492" i="4"/>
  <c r="F5492" i="4"/>
  <c r="E5493" i="4"/>
  <c r="F5493" i="4"/>
  <c r="G5493" i="4"/>
  <c r="E5494" i="4"/>
  <c r="E5495" i="4"/>
  <c r="F5495" i="4"/>
  <c r="G5495" i="4"/>
  <c r="E5496" i="4"/>
  <c r="E5497" i="4"/>
  <c r="F5497" i="4"/>
  <c r="E5498" i="4"/>
  <c r="G5498" i="4"/>
  <c r="E5499" i="4"/>
  <c r="F5499" i="4"/>
  <c r="G5499" i="4"/>
  <c r="E5500" i="4"/>
  <c r="G5500" i="4"/>
  <c r="F5500" i="4"/>
  <c r="E5501" i="4"/>
  <c r="E5502" i="4"/>
  <c r="G5502" i="4"/>
  <c r="E5503" i="4"/>
  <c r="E5504" i="4"/>
  <c r="F5504" i="4"/>
  <c r="G5504" i="4"/>
  <c r="E5505" i="4"/>
  <c r="F5505" i="4"/>
  <c r="E5506" i="4"/>
  <c r="G5506" i="4"/>
  <c r="F5506" i="4"/>
  <c r="E5507" i="4"/>
  <c r="G5507" i="4"/>
  <c r="F5507" i="4"/>
  <c r="E5508" i="4"/>
  <c r="E5509" i="4"/>
  <c r="G5509" i="4"/>
  <c r="F5509" i="4"/>
  <c r="E5510" i="4"/>
  <c r="G5510" i="4"/>
  <c r="E5511" i="4"/>
  <c r="F5511" i="4"/>
  <c r="E5512" i="4"/>
  <c r="G5512" i="4"/>
  <c r="F5512" i="4"/>
  <c r="E5513" i="4"/>
  <c r="F5513" i="4"/>
  <c r="E5514" i="4"/>
  <c r="E5515" i="4"/>
  <c r="F5515" i="4"/>
  <c r="G5515" i="4"/>
  <c r="E5516" i="4"/>
  <c r="F5516" i="4"/>
  <c r="E5517" i="4"/>
  <c r="G5517" i="4"/>
  <c r="F5517" i="4"/>
  <c r="E5518" i="4"/>
  <c r="G5518" i="4"/>
  <c r="E5519" i="4"/>
  <c r="E5520" i="4"/>
  <c r="G5520" i="4"/>
  <c r="E5521" i="4"/>
  <c r="F5521" i="4"/>
  <c r="G5521" i="4"/>
  <c r="E5522" i="4"/>
  <c r="G5522" i="4"/>
  <c r="F5522" i="4"/>
  <c r="E5523" i="4"/>
  <c r="E5524" i="4"/>
  <c r="F5524" i="4"/>
  <c r="E5525" i="4"/>
  <c r="G5525" i="4"/>
  <c r="F5525" i="4"/>
  <c r="E5526" i="4"/>
  <c r="E5527" i="4"/>
  <c r="F5527" i="4"/>
  <c r="E5528" i="4"/>
  <c r="E5529" i="4"/>
  <c r="G5529" i="4"/>
  <c r="F5529" i="4"/>
  <c r="E5530" i="4"/>
  <c r="G5530" i="4"/>
  <c r="E5531" i="4"/>
  <c r="G5531" i="4"/>
  <c r="F5531" i="4"/>
  <c r="E5532" i="4"/>
  <c r="G5532" i="4"/>
  <c r="E5533" i="4"/>
  <c r="F5533" i="4"/>
  <c r="E5534" i="4"/>
  <c r="G5534" i="4"/>
  <c r="F5534" i="4"/>
  <c r="E5535" i="4"/>
  <c r="E5536" i="4"/>
  <c r="F5536" i="4"/>
  <c r="E5537" i="4"/>
  <c r="F5537" i="4"/>
  <c r="E5538" i="4"/>
  <c r="G5538" i="4"/>
  <c r="F5538" i="4"/>
  <c r="E5539" i="4"/>
  <c r="G5539" i="4"/>
  <c r="E5540" i="4"/>
  <c r="F5540" i="4"/>
  <c r="G5540" i="4"/>
  <c r="E5541" i="4"/>
  <c r="E5542" i="4"/>
  <c r="E5543" i="4"/>
  <c r="F5543" i="4"/>
  <c r="E5544" i="4"/>
  <c r="E5545" i="4"/>
  <c r="G5545" i="4"/>
  <c r="F5545" i="4"/>
  <c r="E5546" i="4"/>
  <c r="G5546" i="4"/>
  <c r="E5547" i="4"/>
  <c r="F5547" i="4"/>
  <c r="E5548" i="4"/>
  <c r="E5549" i="4"/>
  <c r="E5550" i="4"/>
  <c r="E5551" i="4"/>
  <c r="F5551" i="4"/>
  <c r="E5552" i="4"/>
  <c r="F5552" i="4"/>
  <c r="E5553" i="4"/>
  <c r="E5554" i="4"/>
  <c r="G5554" i="4"/>
  <c r="F5554" i="4"/>
  <c r="E5555" i="4"/>
  <c r="E5556" i="4"/>
  <c r="F5556" i="4"/>
  <c r="G5556" i="4"/>
  <c r="E5557" i="4"/>
  <c r="F5557" i="4"/>
  <c r="G5557" i="4"/>
  <c r="E5558" i="4"/>
  <c r="G5558" i="4"/>
  <c r="F5558" i="4"/>
  <c r="E5559" i="4"/>
  <c r="F5559" i="4"/>
  <c r="G5559" i="4"/>
  <c r="E5560" i="4"/>
  <c r="F5560" i="4"/>
  <c r="G5560" i="4"/>
  <c r="E5561" i="4"/>
  <c r="E5562" i="4"/>
  <c r="E5563" i="4"/>
  <c r="F5563" i="4"/>
  <c r="E5564" i="4"/>
  <c r="E5565" i="4"/>
  <c r="F5565" i="4"/>
  <c r="G5565" i="4"/>
  <c r="E5566" i="4"/>
  <c r="G5566" i="4"/>
  <c r="E5567" i="4"/>
  <c r="F5567" i="4"/>
  <c r="E5568" i="4"/>
  <c r="E5569" i="4"/>
  <c r="E5570" i="4"/>
  <c r="G5570" i="4"/>
  <c r="E5571" i="4"/>
  <c r="G5571" i="4"/>
  <c r="E5572" i="4"/>
  <c r="F5572" i="4"/>
  <c r="G5572" i="4"/>
  <c r="E5573" i="4"/>
  <c r="F5573" i="4"/>
  <c r="G5573" i="4"/>
  <c r="E5574" i="4"/>
  <c r="G5574" i="4"/>
  <c r="F5574" i="4"/>
  <c r="E5575" i="4"/>
  <c r="F5575" i="4"/>
  <c r="G5575" i="4"/>
  <c r="E5576" i="4"/>
  <c r="F5576" i="4"/>
  <c r="G5576" i="4"/>
  <c r="E5577" i="4"/>
  <c r="F5577" i="4"/>
  <c r="E5578" i="4"/>
  <c r="E5579" i="4"/>
  <c r="G5579" i="4"/>
  <c r="F5579" i="4"/>
  <c r="E5580" i="4"/>
  <c r="F5580" i="4"/>
  <c r="E5581" i="4"/>
  <c r="G5581" i="4"/>
  <c r="E5582" i="4"/>
  <c r="E5583" i="4"/>
  <c r="E5584" i="4"/>
  <c r="F5584" i="4"/>
  <c r="G5584" i="4"/>
  <c r="E5585" i="4"/>
  <c r="G5585" i="4"/>
  <c r="E5586" i="4"/>
  <c r="G5586" i="4"/>
  <c r="F5586" i="4"/>
  <c r="E5587" i="4"/>
  <c r="G5587" i="4"/>
  <c r="E5588" i="4"/>
  <c r="F5588" i="4"/>
  <c r="E5589" i="4"/>
  <c r="F5589" i="4"/>
  <c r="E5590" i="4"/>
  <c r="E5591" i="4"/>
  <c r="F5591" i="4"/>
  <c r="E5592" i="4"/>
  <c r="E5593" i="4"/>
  <c r="G5593" i="4"/>
  <c r="F5593" i="4"/>
  <c r="E5594" i="4"/>
  <c r="G5594" i="4"/>
  <c r="E5595" i="4"/>
  <c r="F5595" i="4"/>
  <c r="E5596" i="4"/>
  <c r="G5596" i="4"/>
  <c r="E5597" i="4"/>
  <c r="F5597" i="4"/>
  <c r="G5597" i="4"/>
  <c r="E5598" i="4"/>
  <c r="E5599" i="4"/>
  <c r="E5600" i="4"/>
  <c r="G5600" i="4"/>
  <c r="F5600" i="4"/>
  <c r="E5601" i="4"/>
  <c r="E5602" i="4"/>
  <c r="G5602" i="4"/>
  <c r="E5603" i="4"/>
  <c r="G5603" i="4"/>
  <c r="F5603" i="4"/>
  <c r="E5604" i="4"/>
  <c r="F5604" i="4"/>
  <c r="G5604" i="4"/>
  <c r="E5605" i="4"/>
  <c r="E5606" i="4"/>
  <c r="G5606" i="4"/>
  <c r="E5607" i="4"/>
  <c r="F5607" i="4"/>
  <c r="E5608" i="4"/>
  <c r="F5608" i="4"/>
  <c r="G5608" i="4"/>
  <c r="E5609" i="4"/>
  <c r="G5609" i="4"/>
  <c r="F5609" i="4"/>
  <c r="E5610" i="4"/>
  <c r="E5611" i="4"/>
  <c r="F5611" i="4"/>
  <c r="G5611" i="4"/>
  <c r="E5612" i="4"/>
  <c r="F5612" i="4"/>
  <c r="E5613" i="4"/>
  <c r="F5613" i="4"/>
  <c r="G5613" i="4"/>
  <c r="E5614" i="4"/>
  <c r="G5614" i="4"/>
  <c r="E5615" i="4"/>
  <c r="E5616" i="4"/>
  <c r="G5616" i="4"/>
  <c r="E5617" i="4"/>
  <c r="F5617" i="4"/>
  <c r="E5618" i="4"/>
  <c r="E5619" i="4"/>
  <c r="F5619" i="4"/>
  <c r="G5619" i="4"/>
  <c r="E5620" i="4"/>
  <c r="F5620" i="4"/>
  <c r="G5620" i="4"/>
  <c r="E5621" i="4"/>
  <c r="F5621" i="4"/>
  <c r="G5621" i="4"/>
  <c r="E5622" i="4"/>
  <c r="E5623" i="4"/>
  <c r="F5623" i="4"/>
  <c r="E5624" i="4"/>
  <c r="E5625" i="4"/>
  <c r="F5625" i="4"/>
  <c r="E5626" i="4"/>
  <c r="G5626" i="4"/>
  <c r="F5626" i="4"/>
  <c r="E5627" i="4"/>
  <c r="F5627" i="4"/>
  <c r="G5627" i="4"/>
  <c r="E5628" i="4"/>
  <c r="F5628" i="4"/>
  <c r="G5628" i="4"/>
  <c r="E5629" i="4"/>
  <c r="G5629" i="4"/>
  <c r="E5630" i="4"/>
  <c r="G5630" i="4"/>
  <c r="E5631" i="4"/>
  <c r="E5632" i="4"/>
  <c r="F5632" i="4"/>
  <c r="G5632" i="4"/>
  <c r="E5633" i="4"/>
  <c r="F5633" i="4"/>
  <c r="G5633" i="4"/>
  <c r="E5634" i="4"/>
  <c r="G5634" i="4"/>
  <c r="F5634" i="4"/>
  <c r="E5635" i="4"/>
  <c r="F5635" i="4"/>
  <c r="G5635" i="4"/>
  <c r="E5636" i="4"/>
  <c r="F5636" i="4"/>
  <c r="E5637" i="4"/>
  <c r="G5637" i="4"/>
  <c r="F5637" i="4"/>
  <c r="E5638" i="4"/>
  <c r="E5639" i="4"/>
  <c r="F5639" i="4"/>
  <c r="G5639" i="4"/>
  <c r="E5640" i="4"/>
  <c r="F5640" i="4"/>
  <c r="G5640" i="4"/>
  <c r="E5641" i="4"/>
  <c r="F5641" i="4"/>
  <c r="G5641" i="4"/>
  <c r="E5642" i="4"/>
  <c r="G5642" i="4"/>
  <c r="E5643" i="4"/>
  <c r="F5643" i="4"/>
  <c r="G5643" i="4"/>
  <c r="E5644" i="4"/>
  <c r="F5644" i="4"/>
  <c r="E5645" i="4"/>
  <c r="F5645" i="4"/>
  <c r="E5646" i="4"/>
  <c r="E5647" i="4"/>
  <c r="F5647" i="4"/>
  <c r="E5648" i="4"/>
  <c r="E5649" i="4"/>
  <c r="F5649" i="4"/>
  <c r="E5650" i="4"/>
  <c r="E5651" i="4"/>
  <c r="E5652" i="4"/>
  <c r="G5652" i="4"/>
  <c r="E5653" i="4"/>
  <c r="G5653" i="4"/>
  <c r="F5653" i="4"/>
  <c r="E5654" i="4"/>
  <c r="G5654" i="4"/>
  <c r="E5655" i="4"/>
  <c r="E5656" i="4"/>
  <c r="G5656" i="4"/>
  <c r="F5656" i="4"/>
  <c r="E5657" i="4"/>
  <c r="F5657" i="4"/>
  <c r="E5658" i="4"/>
  <c r="G5658" i="4"/>
  <c r="E5659" i="4"/>
  <c r="F5659" i="4"/>
  <c r="G5659" i="4"/>
  <c r="E5660" i="4"/>
  <c r="F5660" i="4"/>
  <c r="E5661" i="4"/>
  <c r="E5662" i="4"/>
  <c r="G5662" i="4"/>
  <c r="E5663" i="4"/>
  <c r="G5663" i="4"/>
  <c r="F5663" i="4"/>
  <c r="E5664" i="4"/>
  <c r="G5664" i="4"/>
  <c r="E5665" i="4"/>
  <c r="G5665" i="4"/>
  <c r="F5665" i="4"/>
  <c r="E5666" i="4"/>
  <c r="E5667" i="4"/>
  <c r="F5667" i="4"/>
  <c r="G5667" i="4"/>
  <c r="E5668" i="4"/>
  <c r="G5668" i="4"/>
  <c r="F5668" i="4"/>
  <c r="E5669" i="4"/>
  <c r="E5670" i="4"/>
  <c r="G5670" i="4"/>
  <c r="E5671" i="4"/>
  <c r="E5672" i="4"/>
  <c r="F5672" i="4"/>
  <c r="E5673" i="4"/>
  <c r="F5673" i="4"/>
  <c r="E5674" i="4"/>
  <c r="G5674" i="4"/>
  <c r="E5675" i="4"/>
  <c r="E5676" i="4"/>
  <c r="G5676" i="4"/>
  <c r="E5677" i="4"/>
  <c r="G5677" i="4"/>
  <c r="E5678" i="4"/>
  <c r="E5679" i="4"/>
  <c r="F5679" i="4"/>
  <c r="E5680" i="4"/>
  <c r="E5681" i="4"/>
  <c r="G5681" i="4"/>
  <c r="F5681" i="4"/>
  <c r="E5682" i="4"/>
  <c r="E5683" i="4"/>
  <c r="F5683" i="4"/>
  <c r="E5684" i="4"/>
  <c r="G5684" i="4"/>
  <c r="E5685" i="4"/>
  <c r="G5685" i="4"/>
  <c r="F5685" i="4"/>
  <c r="E5686" i="4"/>
  <c r="E5687" i="4"/>
  <c r="F5687" i="4"/>
  <c r="E5688" i="4"/>
  <c r="G5688" i="4"/>
  <c r="E5689" i="4"/>
  <c r="F5689" i="4"/>
  <c r="E5690" i="4"/>
  <c r="G5690" i="4"/>
  <c r="E5691" i="4"/>
  <c r="E5692" i="4"/>
  <c r="E5693" i="4"/>
  <c r="G5693" i="4"/>
  <c r="E5694" i="4"/>
  <c r="G5694" i="4"/>
  <c r="E5695" i="4"/>
  <c r="F5695" i="4"/>
  <c r="E5696" i="4"/>
  <c r="F5696" i="4"/>
  <c r="E5697" i="4"/>
  <c r="E5698" i="4"/>
  <c r="E5699" i="4"/>
  <c r="G5699" i="4"/>
  <c r="F5699" i="4"/>
  <c r="E5700" i="4"/>
  <c r="F5700" i="4"/>
  <c r="E5701" i="4"/>
  <c r="F5701" i="4"/>
  <c r="G5701" i="4"/>
  <c r="E5702" i="4"/>
  <c r="E5703" i="4"/>
  <c r="F5703" i="4"/>
  <c r="E5704" i="4"/>
  <c r="F5704" i="4"/>
  <c r="G5704" i="4"/>
  <c r="E5705" i="4"/>
  <c r="F5705" i="4"/>
  <c r="E5706" i="4"/>
  <c r="G5706" i="4"/>
  <c r="F5706" i="4"/>
  <c r="E5707" i="4"/>
  <c r="G5707" i="4"/>
  <c r="E5708" i="4"/>
  <c r="F5708" i="4"/>
  <c r="G5708" i="4"/>
  <c r="E5709" i="4"/>
  <c r="F5709" i="4"/>
  <c r="G5709" i="4"/>
  <c r="E5710" i="4"/>
  <c r="G5710" i="4"/>
  <c r="F5710" i="4"/>
  <c r="E5711" i="4"/>
  <c r="F5711" i="4"/>
  <c r="G5711" i="4"/>
  <c r="E5712" i="4"/>
  <c r="E5713" i="4"/>
  <c r="E5714" i="4"/>
  <c r="G5714" i="4"/>
  <c r="F5714" i="4"/>
  <c r="E5715" i="4"/>
  <c r="F5715" i="4"/>
  <c r="G5715" i="4"/>
  <c r="E5716" i="4"/>
  <c r="G5716" i="4"/>
  <c r="F5716" i="4"/>
  <c r="E5717" i="4"/>
  <c r="F5717" i="4"/>
  <c r="G5717" i="4"/>
  <c r="E5718" i="4"/>
  <c r="G5718" i="4"/>
  <c r="E5719" i="4"/>
  <c r="F5719" i="4"/>
  <c r="E5720" i="4"/>
  <c r="F5720" i="4"/>
  <c r="E5721" i="4"/>
  <c r="E5722" i="4"/>
  <c r="G5722" i="4"/>
  <c r="E5723" i="4"/>
  <c r="E5724" i="4"/>
  <c r="E5725" i="4"/>
  <c r="G5725" i="4"/>
  <c r="E5726" i="4"/>
  <c r="E5727" i="4"/>
  <c r="G5727" i="4"/>
  <c r="F5727" i="4"/>
  <c r="E5728" i="4"/>
  <c r="E5729" i="4"/>
  <c r="F5729" i="4"/>
  <c r="E5730" i="4"/>
  <c r="E5731" i="4"/>
  <c r="G5731" i="4"/>
  <c r="F5731" i="4"/>
  <c r="E5732" i="4"/>
  <c r="F5732" i="4"/>
  <c r="G5732" i="4"/>
  <c r="E5733" i="4"/>
  <c r="F5733" i="4"/>
  <c r="E5734" i="4"/>
  <c r="E5735" i="4"/>
  <c r="G5735" i="4"/>
  <c r="F5735" i="4"/>
  <c r="E5736" i="4"/>
  <c r="F5736" i="4"/>
  <c r="E5737" i="4"/>
  <c r="G5737" i="4"/>
  <c r="E5738" i="4"/>
  <c r="E5739" i="4"/>
  <c r="F5739" i="4"/>
  <c r="G5739" i="4"/>
  <c r="E5740" i="4"/>
  <c r="F5740" i="4"/>
  <c r="G5740" i="4"/>
  <c r="E5741" i="4"/>
  <c r="F5741" i="4"/>
  <c r="G5741" i="4"/>
  <c r="E5742" i="4"/>
  <c r="G5742" i="4"/>
  <c r="F5742" i="4"/>
  <c r="E5743" i="4"/>
  <c r="F5743" i="4"/>
  <c r="G5743" i="4"/>
  <c r="E5744" i="4"/>
  <c r="G5744" i="4"/>
  <c r="F5744" i="4"/>
  <c r="E5745" i="4"/>
  <c r="G5745" i="4"/>
  <c r="F5745" i="4"/>
  <c r="E5746" i="4"/>
  <c r="E5747" i="4"/>
  <c r="E5748" i="4"/>
  <c r="E5749" i="4"/>
  <c r="E5750" i="4"/>
  <c r="G5750" i="4"/>
  <c r="F5750" i="4"/>
  <c r="E5751" i="4"/>
  <c r="G5751" i="4"/>
  <c r="E5752" i="4"/>
  <c r="F5752" i="4"/>
  <c r="G5752" i="4"/>
  <c r="E5753" i="4"/>
  <c r="E5754" i="4"/>
  <c r="G5754" i="4"/>
  <c r="E5755" i="4"/>
  <c r="F5755" i="4"/>
  <c r="G5755" i="4"/>
  <c r="E5756" i="4"/>
  <c r="F5756" i="4"/>
  <c r="G5756" i="4"/>
  <c r="E5757" i="4"/>
  <c r="G5757" i="4"/>
  <c r="F5757" i="4"/>
  <c r="E5758" i="4"/>
  <c r="E5759" i="4"/>
  <c r="G5759" i="4"/>
  <c r="F5759" i="4"/>
  <c r="E5760" i="4"/>
  <c r="E5761" i="4"/>
  <c r="G5761" i="4"/>
  <c r="F5761" i="4"/>
  <c r="E5762" i="4"/>
  <c r="G5762" i="4"/>
  <c r="F5762" i="4"/>
  <c r="E5763" i="4"/>
  <c r="E5764" i="4"/>
  <c r="G5764" i="4"/>
  <c r="E5765" i="4"/>
  <c r="E5766" i="4"/>
  <c r="G5766" i="4"/>
  <c r="E5767" i="4"/>
  <c r="G5767" i="4"/>
  <c r="F5767" i="4"/>
  <c r="E5768" i="4"/>
  <c r="G5768" i="4"/>
  <c r="E5769" i="4"/>
  <c r="F5769" i="4"/>
  <c r="E5770" i="4"/>
  <c r="G5770" i="4"/>
  <c r="F5770" i="4"/>
  <c r="E5771" i="4"/>
  <c r="F5771" i="4"/>
  <c r="E5772" i="4"/>
  <c r="E5773" i="4"/>
  <c r="G5773" i="4"/>
  <c r="F5773" i="4"/>
  <c r="E5774" i="4"/>
  <c r="G5774" i="4"/>
  <c r="F5774" i="4"/>
  <c r="E5775" i="4"/>
  <c r="G5775" i="4"/>
  <c r="F5775" i="4"/>
  <c r="E5776" i="4"/>
  <c r="F5776" i="4"/>
  <c r="E5777" i="4"/>
  <c r="F5777" i="4"/>
  <c r="E5778" i="4"/>
  <c r="G5778" i="4"/>
  <c r="E5779" i="4"/>
  <c r="F5779" i="4"/>
  <c r="E5780" i="4"/>
  <c r="F5780" i="4"/>
  <c r="G5780" i="4"/>
  <c r="E5781" i="4"/>
  <c r="F5781" i="4"/>
  <c r="E5782" i="4"/>
  <c r="E5783" i="4"/>
  <c r="F5783" i="4"/>
  <c r="G5783" i="4"/>
  <c r="E5784" i="4"/>
  <c r="F5784" i="4"/>
  <c r="G5784" i="4"/>
  <c r="E5785" i="4"/>
  <c r="F5785" i="4"/>
  <c r="G5785" i="4"/>
  <c r="E5786" i="4"/>
  <c r="G5786" i="4"/>
  <c r="F5786" i="4"/>
  <c r="E5787" i="4"/>
  <c r="F5787" i="4"/>
  <c r="E5788" i="4"/>
  <c r="E5789" i="4"/>
  <c r="F5789" i="4"/>
  <c r="E5790" i="4"/>
  <c r="E5791" i="4"/>
  <c r="F5791" i="4"/>
  <c r="E5792" i="4"/>
  <c r="F5792" i="4"/>
  <c r="G5792" i="4"/>
  <c r="E5793" i="4"/>
  <c r="F5793" i="4"/>
  <c r="G5793" i="4"/>
  <c r="E5794" i="4"/>
  <c r="G5794" i="4"/>
  <c r="E5795" i="4"/>
  <c r="E5796" i="4"/>
  <c r="E5797" i="4"/>
  <c r="E5798" i="4"/>
  <c r="G5798" i="4"/>
  <c r="E5799" i="4"/>
  <c r="E5800" i="4"/>
  <c r="F5800" i="4"/>
  <c r="G5800" i="4"/>
  <c r="E5801" i="4"/>
  <c r="F5801" i="4"/>
  <c r="E5802" i="4"/>
  <c r="G5802" i="4"/>
  <c r="F5802" i="4"/>
  <c r="E5803" i="4"/>
  <c r="E5804" i="4"/>
  <c r="E5805" i="4"/>
  <c r="F5805" i="4"/>
  <c r="G5805" i="4"/>
  <c r="E5806" i="4"/>
  <c r="G5806" i="4"/>
  <c r="E5807" i="4"/>
  <c r="F5807" i="4"/>
  <c r="G5807" i="4"/>
  <c r="E5808" i="4"/>
  <c r="G5808" i="4"/>
  <c r="F5808" i="4"/>
  <c r="E5809" i="4"/>
  <c r="E5810" i="4"/>
  <c r="E5811" i="4"/>
  <c r="G5811" i="4"/>
  <c r="F5811" i="4"/>
  <c r="E5812" i="4"/>
  <c r="F5812" i="4"/>
  <c r="G5812" i="4"/>
  <c r="E5813" i="4"/>
  <c r="G5813" i="4"/>
  <c r="F5813" i="4"/>
  <c r="E5814" i="4"/>
  <c r="G5814" i="4"/>
  <c r="F5814" i="4"/>
  <c r="E5815" i="4"/>
  <c r="F5815" i="4"/>
  <c r="G5815" i="4"/>
  <c r="E5816" i="4"/>
  <c r="F5816" i="4"/>
  <c r="G5816" i="4"/>
  <c r="E5817" i="4"/>
  <c r="F5817" i="4"/>
  <c r="G5817" i="4"/>
  <c r="E5818" i="4"/>
  <c r="E5819" i="4"/>
  <c r="F5819" i="4"/>
  <c r="E5820" i="4"/>
  <c r="G5820" i="4"/>
  <c r="F5820" i="4"/>
  <c r="E5821" i="4"/>
  <c r="G5821" i="4"/>
  <c r="F5821" i="4"/>
  <c r="E5822" i="4"/>
  <c r="G5822" i="4"/>
  <c r="E5823" i="4"/>
  <c r="F5823" i="4"/>
  <c r="G5823" i="4"/>
  <c r="E5824" i="4"/>
  <c r="G5824" i="4"/>
  <c r="F5824" i="4"/>
  <c r="E5825" i="4"/>
  <c r="E5826" i="4"/>
  <c r="E5827" i="4"/>
  <c r="G5827" i="4"/>
  <c r="E5828" i="4"/>
  <c r="F5828" i="4"/>
  <c r="G5828" i="4"/>
  <c r="E5829" i="4"/>
  <c r="E5830" i="4"/>
  <c r="E5831" i="4"/>
  <c r="E5832" i="4"/>
  <c r="F5832" i="4"/>
  <c r="E5833" i="4"/>
  <c r="E5834" i="4"/>
  <c r="E5835" i="4"/>
  <c r="F5835" i="4"/>
  <c r="E5836" i="4"/>
  <c r="E5837" i="4"/>
  <c r="F5837" i="4"/>
  <c r="G5837" i="4"/>
  <c r="E5838" i="4"/>
  <c r="G5838" i="4"/>
  <c r="E5839" i="4"/>
  <c r="F5839" i="4"/>
  <c r="G5839" i="4"/>
  <c r="E5840" i="4"/>
  <c r="G5840" i="4"/>
  <c r="F5840" i="4"/>
  <c r="E5841" i="4"/>
  <c r="E5842" i="4"/>
  <c r="G5842" i="4"/>
  <c r="F5842" i="4"/>
  <c r="E5843" i="4"/>
  <c r="E5844" i="4"/>
  <c r="F5844" i="4"/>
  <c r="G5844" i="4"/>
  <c r="E5845" i="4"/>
  <c r="G5845" i="4"/>
  <c r="E5846" i="4"/>
  <c r="E5847" i="4"/>
  <c r="G5847" i="4"/>
  <c r="E5848" i="4"/>
  <c r="G5848" i="4"/>
  <c r="F5848" i="4"/>
  <c r="E5849" i="4"/>
  <c r="E5850" i="4"/>
  <c r="E5851" i="4"/>
  <c r="E5852" i="4"/>
  <c r="F5852" i="4"/>
  <c r="E5853" i="4"/>
  <c r="F5853" i="4"/>
  <c r="G5853" i="4"/>
  <c r="E5854" i="4"/>
  <c r="E5855" i="4"/>
  <c r="F5855" i="4"/>
  <c r="E5856" i="4"/>
  <c r="G5856" i="4"/>
  <c r="F5856" i="4"/>
  <c r="E5857" i="4"/>
  <c r="G5857" i="4"/>
  <c r="E5858" i="4"/>
  <c r="G5858" i="4"/>
  <c r="E5859" i="4"/>
  <c r="G5859" i="4"/>
  <c r="F5859" i="4"/>
  <c r="E5860" i="4"/>
  <c r="F5860" i="4"/>
  <c r="G5860" i="4"/>
  <c r="E5861" i="4"/>
  <c r="F5861" i="4"/>
  <c r="G5861" i="4"/>
  <c r="E5862" i="4"/>
  <c r="E5863" i="4"/>
  <c r="F5863" i="4"/>
  <c r="G5863" i="4"/>
  <c r="E5864" i="4"/>
  <c r="G5864" i="4"/>
  <c r="E5865" i="4"/>
  <c r="E5866" i="4"/>
  <c r="G5866" i="4"/>
  <c r="F5866" i="4"/>
  <c r="E5867" i="4"/>
  <c r="F5867" i="4"/>
  <c r="G5867" i="4"/>
  <c r="E5868" i="4"/>
  <c r="G5868" i="4"/>
  <c r="F5868" i="4"/>
  <c r="E5869" i="4"/>
  <c r="E5870" i="4"/>
  <c r="E5871" i="4"/>
  <c r="G5871" i="4"/>
  <c r="E5872" i="4"/>
  <c r="E5873" i="4"/>
  <c r="E5874" i="4"/>
  <c r="E5875" i="4"/>
  <c r="E5876" i="4"/>
  <c r="F5876" i="4"/>
  <c r="E5877" i="4"/>
  <c r="F5877" i="4"/>
  <c r="G5877" i="4"/>
  <c r="E5878" i="4"/>
  <c r="E5879" i="4"/>
  <c r="E5880" i="4"/>
  <c r="G5880" i="4"/>
  <c r="F5880" i="4"/>
  <c r="E5881" i="4"/>
  <c r="G5881" i="4"/>
  <c r="F5881" i="4"/>
  <c r="E5882" i="4"/>
  <c r="E5883" i="4"/>
  <c r="F5883" i="4"/>
  <c r="E5884" i="4"/>
  <c r="G5884" i="4"/>
  <c r="E5885" i="4"/>
  <c r="G5885" i="4"/>
  <c r="F5885" i="4"/>
  <c r="E5886" i="4"/>
  <c r="G5886" i="4"/>
  <c r="E5887" i="4"/>
  <c r="F5887" i="4"/>
  <c r="E5888" i="4"/>
  <c r="G5888" i="4"/>
  <c r="F5888" i="4"/>
  <c r="E5889" i="4"/>
  <c r="E5890" i="4"/>
  <c r="G5890" i="4"/>
  <c r="F5890" i="4"/>
  <c r="E5891" i="4"/>
  <c r="E5892" i="4"/>
  <c r="F5892" i="4"/>
  <c r="G5892" i="4"/>
  <c r="E5893" i="4"/>
  <c r="G5893" i="4"/>
  <c r="F5893" i="4"/>
  <c r="E5894" i="4"/>
  <c r="E5895" i="4"/>
  <c r="F5895" i="4"/>
  <c r="G5895" i="4"/>
  <c r="E5896" i="4"/>
  <c r="G5896" i="4"/>
  <c r="F5896" i="4"/>
  <c r="E5897" i="4"/>
  <c r="G5897" i="4"/>
  <c r="F5897" i="4"/>
  <c r="E5898" i="4"/>
  <c r="E5899" i="4"/>
  <c r="F5899" i="4"/>
  <c r="G5899" i="4"/>
  <c r="E5900" i="4"/>
  <c r="F5900" i="4"/>
  <c r="E5901" i="4"/>
  <c r="E5902" i="4"/>
  <c r="E5903" i="4"/>
  <c r="E5904" i="4"/>
  <c r="E5905" i="4"/>
  <c r="G5905" i="4"/>
  <c r="F5905" i="4"/>
  <c r="E5906" i="4"/>
  <c r="G5906" i="4"/>
  <c r="E5907" i="4"/>
  <c r="G5907" i="4"/>
  <c r="F5907" i="4"/>
  <c r="E5908" i="4"/>
  <c r="E5909" i="4"/>
  <c r="F5909" i="4"/>
  <c r="G5909" i="4"/>
  <c r="E5910" i="4"/>
  <c r="E5911" i="4"/>
  <c r="E5912" i="4"/>
  <c r="E5913" i="4"/>
  <c r="E5914" i="4"/>
  <c r="E5915" i="4"/>
  <c r="F5915" i="4"/>
  <c r="E5916" i="4"/>
  <c r="E5917" i="4"/>
  <c r="E5918" i="4"/>
  <c r="G5918" i="4"/>
  <c r="F5918" i="4"/>
  <c r="E5919" i="4"/>
  <c r="F5919" i="4"/>
  <c r="E5920" i="4"/>
  <c r="E5921" i="4"/>
  <c r="G5921" i="4"/>
  <c r="F5921" i="4"/>
  <c r="E5922" i="4"/>
  <c r="F5922" i="4"/>
  <c r="G5922" i="4"/>
  <c r="E5923" i="4"/>
  <c r="F5923" i="4"/>
  <c r="G5923" i="4"/>
  <c r="E5924" i="4"/>
  <c r="F5924" i="4"/>
  <c r="G5924" i="4"/>
  <c r="E5925" i="4"/>
  <c r="E5926" i="4"/>
  <c r="F5926" i="4"/>
  <c r="G5926" i="4"/>
  <c r="E5927" i="4"/>
  <c r="G5927" i="4"/>
  <c r="F5927" i="4"/>
  <c r="E5928" i="4"/>
  <c r="E5929" i="4"/>
  <c r="E5930" i="4"/>
  <c r="E5931" i="4"/>
  <c r="G5931" i="4"/>
  <c r="E5932" i="4"/>
  <c r="F5932" i="4"/>
  <c r="E5933" i="4"/>
  <c r="G5933" i="4"/>
  <c r="F5933" i="4"/>
  <c r="E5934" i="4"/>
  <c r="E5935" i="4"/>
  <c r="F5935" i="4"/>
  <c r="G5935" i="4"/>
  <c r="E5936" i="4"/>
  <c r="G5936" i="4"/>
  <c r="F5936" i="4"/>
  <c r="E5937" i="4"/>
  <c r="E5938" i="4"/>
  <c r="G5938" i="4"/>
  <c r="F5938" i="4"/>
  <c r="E5939" i="4"/>
  <c r="E5940" i="4"/>
  <c r="G5940" i="4"/>
  <c r="F5940" i="4"/>
  <c r="E5941" i="4"/>
  <c r="E5942" i="4"/>
  <c r="F5942" i="4"/>
  <c r="E5943" i="4"/>
  <c r="G5943" i="4"/>
  <c r="E5944" i="4"/>
  <c r="F5944" i="4"/>
  <c r="E5945" i="4"/>
  <c r="E5946" i="4"/>
  <c r="F5946" i="4"/>
  <c r="G5946" i="4"/>
  <c r="E5947" i="4"/>
  <c r="G5947" i="4"/>
  <c r="E5948" i="4"/>
  <c r="G5948" i="4"/>
  <c r="F5948" i="4"/>
  <c r="E5949" i="4"/>
  <c r="E5950" i="4"/>
  <c r="G5950" i="4"/>
  <c r="F5950" i="4"/>
  <c r="E5951" i="4"/>
  <c r="F5951" i="4"/>
  <c r="G5951" i="4"/>
  <c r="E5952" i="4"/>
  <c r="F5952" i="4"/>
  <c r="G5952" i="4"/>
  <c r="E5953" i="4"/>
  <c r="E5954" i="4"/>
  <c r="G5954" i="4"/>
  <c r="E5955" i="4"/>
  <c r="F5955" i="4"/>
  <c r="E5956" i="4"/>
  <c r="G5956" i="4"/>
  <c r="F5956" i="4"/>
  <c r="E5957" i="4"/>
  <c r="E5958" i="4"/>
  <c r="E5959" i="4"/>
  <c r="F5959" i="4"/>
  <c r="G5959" i="4"/>
  <c r="E5960" i="4"/>
  <c r="G5960" i="4"/>
  <c r="E5961" i="4"/>
  <c r="G5961" i="4"/>
  <c r="F5961" i="4"/>
  <c r="E5962" i="4"/>
  <c r="G5962" i="4"/>
  <c r="F5962" i="4"/>
  <c r="E5963" i="4"/>
  <c r="E5964" i="4"/>
  <c r="E5965" i="4"/>
  <c r="E5966" i="4"/>
  <c r="F5966" i="4"/>
  <c r="E5967" i="4"/>
  <c r="F5967" i="4"/>
  <c r="G5967" i="4"/>
  <c r="E5968" i="4"/>
  <c r="E5969" i="4"/>
  <c r="G5969" i="4"/>
  <c r="F5969" i="4"/>
  <c r="E5970" i="4"/>
  <c r="F5970" i="4"/>
  <c r="G5970" i="4"/>
  <c r="E5971" i="4"/>
  <c r="G5971" i="4"/>
  <c r="E5972" i="4"/>
  <c r="G5972" i="4"/>
  <c r="E5973" i="4"/>
  <c r="E5974" i="4"/>
  <c r="E5975" i="4"/>
  <c r="F5975" i="4"/>
  <c r="G5975" i="4"/>
  <c r="E5976" i="4"/>
  <c r="F5976" i="4"/>
  <c r="G5976" i="4"/>
  <c r="E5977" i="4"/>
  <c r="E5978" i="4"/>
  <c r="E5979" i="4"/>
  <c r="E5980" i="4"/>
  <c r="G5980" i="4"/>
  <c r="F5980" i="4"/>
  <c r="E5981" i="4"/>
  <c r="E5982" i="4"/>
  <c r="E5983" i="4"/>
  <c r="F5983" i="4"/>
  <c r="G5983" i="4"/>
  <c r="E5984" i="4"/>
  <c r="F5984" i="4"/>
  <c r="E5985" i="4"/>
  <c r="E5986" i="4"/>
  <c r="G5986" i="4"/>
  <c r="E5987" i="4"/>
  <c r="E5988" i="4"/>
  <c r="E5989" i="4"/>
  <c r="E5990" i="4"/>
  <c r="F5990" i="4"/>
  <c r="E5991" i="4"/>
  <c r="E5992" i="4"/>
  <c r="E5993" i="4"/>
  <c r="E5994" i="4"/>
  <c r="G5994" i="4"/>
  <c r="F5994" i="4"/>
  <c r="E5995" i="4"/>
  <c r="F5995" i="4"/>
  <c r="E5996" i="4"/>
  <c r="F5996" i="4"/>
  <c r="E5997" i="4"/>
  <c r="E5998" i="4"/>
  <c r="F5998" i="4"/>
  <c r="G5998" i="4"/>
  <c r="E5999" i="4"/>
  <c r="E6000" i="4"/>
  <c r="E6001" i="4"/>
  <c r="E6002" i="4"/>
  <c r="F6002" i="4"/>
  <c r="E6003" i="4"/>
  <c r="F6003" i="4"/>
  <c r="E6004" i="4"/>
  <c r="G6004" i="4"/>
  <c r="F6004" i="4"/>
  <c r="E6005" i="4"/>
  <c r="E6006" i="4"/>
  <c r="E6007" i="4"/>
  <c r="F6007" i="4"/>
  <c r="E6008" i="4"/>
  <c r="G6008" i="4"/>
  <c r="F6008" i="4"/>
  <c r="E6009" i="4"/>
  <c r="G6009" i="4"/>
  <c r="F6009" i="4"/>
  <c r="E6010" i="4"/>
  <c r="E6011" i="4"/>
  <c r="F6011" i="4"/>
  <c r="G6011" i="4"/>
  <c r="E6012" i="4"/>
  <c r="F6012" i="4"/>
  <c r="G6012" i="4"/>
  <c r="E6013" i="4"/>
  <c r="E6014" i="4"/>
  <c r="G6014" i="4"/>
  <c r="F6014" i="4"/>
  <c r="E6015" i="4"/>
  <c r="F6015" i="4"/>
  <c r="G6015" i="4"/>
  <c r="E6016" i="4"/>
  <c r="F6016" i="4"/>
  <c r="G6016" i="4"/>
  <c r="E6017" i="4"/>
  <c r="E6018" i="4"/>
  <c r="F6018" i="4"/>
  <c r="G6018" i="4"/>
  <c r="E6019" i="4"/>
  <c r="G6019" i="4"/>
  <c r="F6019" i="4"/>
  <c r="E6020" i="4"/>
  <c r="E6021" i="4"/>
  <c r="G6021" i="4"/>
  <c r="F6021" i="4"/>
  <c r="E6022" i="4"/>
  <c r="E6023" i="4"/>
  <c r="E6024" i="4"/>
  <c r="E6025" i="4"/>
  <c r="E6026" i="4"/>
  <c r="G6026" i="4"/>
  <c r="E6027" i="4"/>
  <c r="F6027" i="4"/>
  <c r="E6028" i="4"/>
  <c r="F6028" i="4"/>
  <c r="E6029" i="4"/>
  <c r="G6029" i="4"/>
  <c r="F6029" i="4"/>
  <c r="E6030" i="4"/>
  <c r="F6030" i="4"/>
  <c r="G6030" i="4"/>
  <c r="E6031" i="4"/>
  <c r="F6031" i="4"/>
  <c r="E6032" i="4"/>
  <c r="G6032" i="4"/>
  <c r="E6033" i="4"/>
  <c r="E6034" i="4"/>
  <c r="G6034" i="4"/>
  <c r="F6034" i="4"/>
  <c r="E6035" i="4"/>
  <c r="F6035" i="4"/>
  <c r="G6035" i="4"/>
  <c r="E6036" i="4"/>
  <c r="F6036" i="4"/>
  <c r="E6037" i="4"/>
  <c r="E6038" i="4"/>
  <c r="F6038" i="4"/>
  <c r="G6038" i="4"/>
  <c r="E6039" i="4"/>
  <c r="G6039" i="4"/>
  <c r="F6039" i="4"/>
  <c r="E6040" i="4"/>
  <c r="G6040" i="4"/>
  <c r="F6040" i="4"/>
  <c r="E6041" i="4"/>
  <c r="G6041" i="4"/>
  <c r="F6041" i="4"/>
  <c r="E6042" i="4"/>
  <c r="F6042" i="4"/>
  <c r="E6043" i="4"/>
  <c r="E6044" i="4"/>
  <c r="G6044" i="4"/>
  <c r="E6045" i="4"/>
  <c r="E6046" i="4"/>
  <c r="G6046" i="4"/>
  <c r="F6046" i="4"/>
  <c r="E6047" i="4"/>
  <c r="F6047" i="4"/>
  <c r="G6047" i="4"/>
  <c r="E6048" i="4"/>
  <c r="F6048" i="4"/>
  <c r="G6048" i="4"/>
  <c r="E6049" i="4"/>
  <c r="E6050" i="4"/>
  <c r="E6051" i="4"/>
  <c r="F6051" i="4"/>
  <c r="G6051" i="4"/>
  <c r="E6052" i="4"/>
  <c r="G6052" i="4"/>
  <c r="E6053" i="4"/>
  <c r="G6053" i="4"/>
  <c r="F6053" i="4"/>
  <c r="E6054" i="4"/>
  <c r="F6054" i="4"/>
  <c r="E6055" i="4"/>
  <c r="F6055" i="4"/>
  <c r="G6055" i="4"/>
  <c r="E6056" i="4"/>
  <c r="G6056" i="4"/>
  <c r="F6056" i="4"/>
  <c r="E6057" i="4"/>
  <c r="G6057" i="4"/>
  <c r="E6058" i="4"/>
  <c r="G6058" i="4"/>
  <c r="F6058" i="4"/>
  <c r="E6059" i="4"/>
  <c r="F6059" i="4"/>
  <c r="E6060" i="4"/>
  <c r="F6060" i="4"/>
  <c r="E6061" i="4"/>
  <c r="E6062" i="4"/>
  <c r="G6062" i="4"/>
  <c r="F6062" i="4"/>
  <c r="E6063" i="4"/>
  <c r="F6063" i="4"/>
  <c r="G6063" i="4"/>
  <c r="E6064" i="4"/>
  <c r="F6064" i="4"/>
  <c r="G6064" i="4"/>
  <c r="E6065" i="4"/>
  <c r="G6065" i="4"/>
  <c r="F6065" i="4"/>
  <c r="E6066" i="4"/>
  <c r="G6066" i="4"/>
  <c r="E6067" i="4"/>
  <c r="G6067" i="4"/>
  <c r="E6068" i="4"/>
  <c r="F6068" i="4"/>
  <c r="E6069" i="4"/>
  <c r="G6069" i="4"/>
  <c r="E6070" i="4"/>
  <c r="E6071" i="4"/>
  <c r="F6071" i="4"/>
  <c r="G6071" i="4"/>
  <c r="E6072" i="4"/>
  <c r="E6073" i="4"/>
  <c r="E6074" i="4"/>
  <c r="G6074" i="4"/>
  <c r="E6075" i="4"/>
  <c r="F6075" i="4"/>
  <c r="G6075" i="4"/>
  <c r="E6076" i="4"/>
  <c r="E6077" i="4"/>
  <c r="E6078" i="4"/>
  <c r="F6078" i="4"/>
  <c r="E6079" i="4"/>
  <c r="F6079" i="4"/>
  <c r="G6079" i="4"/>
  <c r="E6080" i="4"/>
  <c r="F6080" i="4"/>
  <c r="E6081" i="4"/>
  <c r="G6081" i="4"/>
  <c r="F6081" i="4"/>
  <c r="E6082" i="4"/>
  <c r="F6082" i="4"/>
  <c r="G6082" i="4"/>
  <c r="E6083" i="4"/>
  <c r="F6083" i="4"/>
  <c r="G6083" i="4"/>
  <c r="E6084" i="4"/>
  <c r="F6084" i="4"/>
  <c r="E6085" i="4"/>
  <c r="G6085" i="4"/>
  <c r="F6085" i="4"/>
  <c r="E6086" i="4"/>
  <c r="F6086" i="4"/>
  <c r="G6086" i="4"/>
  <c r="E6087" i="4"/>
  <c r="G6087" i="4"/>
  <c r="F6087" i="4"/>
  <c r="E6088" i="4"/>
  <c r="G6088" i="4"/>
  <c r="F6088" i="4"/>
  <c r="E6089" i="4"/>
  <c r="G6089" i="4"/>
  <c r="E6090" i="4"/>
  <c r="G6090" i="4"/>
  <c r="F6090" i="4"/>
  <c r="E6091" i="4"/>
  <c r="F6091" i="4"/>
  <c r="E6092" i="4"/>
  <c r="F6092" i="4"/>
  <c r="G6092" i="4"/>
  <c r="E6093" i="4"/>
  <c r="E6094" i="4"/>
  <c r="F6094" i="4"/>
  <c r="G6094" i="4"/>
  <c r="E6095" i="4"/>
  <c r="F6095" i="4"/>
  <c r="E6096" i="4"/>
  <c r="F6096" i="4"/>
  <c r="G6096" i="4"/>
  <c r="E6097" i="4"/>
  <c r="F6097" i="4"/>
  <c r="E6098" i="4"/>
  <c r="G6098" i="4"/>
  <c r="F6098" i="4"/>
  <c r="E6099" i="4"/>
  <c r="G6099" i="4"/>
  <c r="E6100" i="4"/>
  <c r="E6101" i="4"/>
  <c r="E6102" i="4"/>
  <c r="F6102" i="4"/>
  <c r="G6102" i="4"/>
  <c r="E6103" i="4"/>
  <c r="F6103" i="4"/>
  <c r="E6104" i="4"/>
  <c r="F6104" i="4"/>
  <c r="E6105" i="4"/>
  <c r="E6106" i="4"/>
  <c r="E6107" i="4"/>
  <c r="G6107" i="4"/>
  <c r="E6108" i="4"/>
  <c r="F6108" i="4"/>
  <c r="E6109" i="4"/>
  <c r="F6109" i="4"/>
  <c r="E6110" i="4"/>
  <c r="G6110" i="4"/>
  <c r="E6111" i="4"/>
  <c r="F6111" i="4"/>
  <c r="G6111" i="4"/>
  <c r="E6112" i="4"/>
  <c r="F6112" i="4"/>
  <c r="G6112" i="4"/>
  <c r="E6113" i="4"/>
  <c r="G6113" i="4"/>
  <c r="F6113" i="4"/>
  <c r="E6114" i="4"/>
  <c r="F6114" i="4"/>
  <c r="G6114" i="4"/>
  <c r="E6115" i="4"/>
  <c r="F6115" i="4"/>
  <c r="E6116" i="4"/>
  <c r="F6116" i="4"/>
  <c r="E6117" i="4"/>
  <c r="E6118" i="4"/>
  <c r="F6118" i="4"/>
  <c r="E6119" i="4"/>
  <c r="G6119" i="4"/>
  <c r="E6120" i="4"/>
  <c r="F6120" i="4"/>
  <c r="G6120" i="4"/>
  <c r="E6121" i="4"/>
  <c r="G6121" i="4"/>
  <c r="E6122" i="4"/>
  <c r="F6122" i="4"/>
  <c r="E6123" i="4"/>
  <c r="E6124" i="4"/>
  <c r="F6124" i="4"/>
  <c r="G6124" i="4"/>
  <c r="E6125" i="4"/>
  <c r="F6125" i="4"/>
  <c r="G6125" i="4"/>
  <c r="E6126" i="4"/>
  <c r="F6126" i="4"/>
  <c r="E6127" i="4"/>
  <c r="F6127" i="4"/>
  <c r="E6128" i="4"/>
  <c r="E6129" i="4"/>
  <c r="E6130" i="4"/>
  <c r="E6131" i="4"/>
  <c r="F6131" i="4"/>
  <c r="G6131" i="4"/>
  <c r="E6132" i="4"/>
  <c r="F6132" i="4"/>
  <c r="E6133" i="4"/>
  <c r="G6133" i="4"/>
  <c r="F6133" i="4"/>
  <c r="E6134" i="4"/>
  <c r="F6134" i="4"/>
  <c r="G6134" i="4"/>
  <c r="E6135" i="4"/>
  <c r="F6135" i="4"/>
  <c r="G6135" i="4"/>
  <c r="E6136" i="4"/>
  <c r="F6136" i="4"/>
  <c r="E6137" i="4"/>
  <c r="F6137" i="4"/>
  <c r="E6138" i="4"/>
  <c r="E6139" i="4"/>
  <c r="G6139" i="4"/>
  <c r="F6139" i="4"/>
  <c r="E6140" i="4"/>
  <c r="F6140" i="4"/>
  <c r="E6141" i="4"/>
  <c r="G6141" i="4"/>
  <c r="E6142" i="4"/>
  <c r="G6142" i="4"/>
  <c r="F6142" i="4"/>
  <c r="E6143" i="4"/>
  <c r="G6143" i="4"/>
  <c r="F6143" i="4"/>
  <c r="E6144" i="4"/>
  <c r="F6144" i="4"/>
  <c r="E6145" i="4"/>
  <c r="F6145" i="4"/>
  <c r="E6146" i="4"/>
  <c r="G6146" i="4"/>
  <c r="F6146" i="4"/>
  <c r="E6147" i="4"/>
  <c r="E6148" i="4"/>
  <c r="E6149" i="4"/>
  <c r="E6150" i="4"/>
  <c r="F6150" i="4"/>
  <c r="E6151" i="4"/>
  <c r="F6151" i="4"/>
  <c r="E6152" i="4"/>
  <c r="F6152" i="4"/>
  <c r="G6152" i="4"/>
  <c r="E6153" i="4"/>
  <c r="G6153" i="4"/>
  <c r="F6153" i="4"/>
  <c r="E6154" i="4"/>
  <c r="G6154" i="4"/>
  <c r="E6155" i="4"/>
  <c r="F6155" i="4"/>
  <c r="E6156" i="4"/>
  <c r="F6156" i="4"/>
  <c r="G6156" i="4"/>
  <c r="E6157" i="4"/>
  <c r="F6157" i="4"/>
  <c r="G6157" i="4"/>
  <c r="E6158" i="4"/>
  <c r="F6158" i="4"/>
  <c r="G6158" i="4"/>
  <c r="E6159" i="4"/>
  <c r="F6159" i="4"/>
  <c r="E6160" i="4"/>
  <c r="F6160" i="4"/>
  <c r="G6160" i="4"/>
  <c r="E6161" i="4"/>
  <c r="E6162" i="4"/>
  <c r="G6162" i="4"/>
  <c r="E6163" i="4"/>
  <c r="F6163" i="4"/>
  <c r="E6164" i="4"/>
  <c r="F6164" i="4"/>
  <c r="E6165" i="4"/>
  <c r="F6165" i="4"/>
  <c r="G6165" i="4"/>
  <c r="E6166" i="4"/>
  <c r="G6166" i="4"/>
  <c r="F6166" i="4"/>
  <c r="E6167" i="4"/>
  <c r="G6167" i="4"/>
  <c r="E6168" i="4"/>
  <c r="F6168" i="4"/>
  <c r="E6169" i="4"/>
  <c r="F6169" i="4"/>
  <c r="E6170" i="4"/>
  <c r="G6170" i="4"/>
  <c r="E6171" i="4"/>
  <c r="F6171" i="4"/>
  <c r="E6172" i="4"/>
  <c r="F6172" i="4"/>
  <c r="G6172" i="4"/>
  <c r="E6173" i="4"/>
  <c r="E6174" i="4"/>
  <c r="F6174" i="4"/>
  <c r="G6174" i="4"/>
  <c r="E6175" i="4"/>
  <c r="G6175" i="4"/>
  <c r="F6175" i="4"/>
  <c r="E6176" i="4"/>
  <c r="E6177" i="4"/>
  <c r="F6177" i="4"/>
  <c r="G6177" i="4"/>
  <c r="E6178" i="4"/>
  <c r="F6178" i="4"/>
  <c r="E6179" i="4"/>
  <c r="G6179" i="4"/>
  <c r="F6179" i="4"/>
  <c r="E6180" i="4"/>
  <c r="F6180" i="4"/>
  <c r="G6180" i="4"/>
  <c r="E6181" i="4"/>
  <c r="G6181" i="4"/>
  <c r="F6181" i="4"/>
  <c r="E6182" i="4"/>
  <c r="G6182" i="4"/>
  <c r="E6183" i="4"/>
  <c r="F6183" i="4"/>
  <c r="G6183" i="4"/>
  <c r="E6184" i="4"/>
  <c r="F6184" i="4"/>
  <c r="G6184" i="4"/>
  <c r="E6185" i="4"/>
  <c r="F6185" i="4"/>
  <c r="G6185" i="4"/>
  <c r="E6186" i="4"/>
  <c r="G6186" i="4"/>
  <c r="F6186" i="4"/>
  <c r="E6187" i="4"/>
  <c r="F6187" i="4"/>
  <c r="E6188" i="4"/>
  <c r="F6188" i="4"/>
  <c r="E6189" i="4"/>
  <c r="G6189" i="4"/>
  <c r="F6189" i="4"/>
  <c r="E6190" i="4"/>
  <c r="F6190" i="4"/>
  <c r="E6191" i="4"/>
  <c r="F6191" i="4"/>
  <c r="E6192" i="4"/>
  <c r="E6193" i="4"/>
  <c r="G6193" i="4"/>
  <c r="E6194" i="4"/>
  <c r="F6194" i="4"/>
  <c r="E6195" i="4"/>
  <c r="G6195" i="4"/>
  <c r="F6195" i="4"/>
  <c r="E6196" i="4"/>
  <c r="F6196" i="4"/>
  <c r="E6197" i="4"/>
  <c r="F6197" i="4"/>
  <c r="G6197" i="4"/>
  <c r="E6198" i="4"/>
  <c r="F6198" i="4"/>
  <c r="G6198" i="4"/>
  <c r="E6199" i="4"/>
  <c r="F6199" i="4"/>
  <c r="E6200" i="4"/>
  <c r="F6200" i="4"/>
  <c r="E6201" i="4"/>
  <c r="F6201" i="4"/>
  <c r="E6202" i="4"/>
  <c r="G6202" i="4"/>
  <c r="F6202" i="4"/>
  <c r="E6203" i="4"/>
  <c r="F6203" i="4"/>
  <c r="G6203" i="4"/>
  <c r="E6204" i="4"/>
  <c r="F6204" i="4"/>
  <c r="E6205" i="4"/>
  <c r="E6206" i="4"/>
  <c r="F6206" i="4"/>
  <c r="G6206" i="4"/>
  <c r="E6207" i="4"/>
  <c r="F6207" i="4"/>
  <c r="G6207" i="4"/>
  <c r="E6208" i="4"/>
  <c r="F6208" i="4"/>
  <c r="E6209" i="4"/>
  <c r="F6209" i="4"/>
  <c r="G6209" i="4"/>
  <c r="E6210" i="4"/>
  <c r="F6210" i="4"/>
  <c r="E6211" i="4"/>
  <c r="F6211" i="4"/>
  <c r="G6211" i="4"/>
  <c r="E6212" i="4"/>
  <c r="F6212" i="4"/>
  <c r="G6212" i="4"/>
  <c r="E6213" i="4"/>
  <c r="F6213" i="4"/>
  <c r="E6214" i="4"/>
  <c r="F6214" i="4"/>
  <c r="G6214" i="4"/>
  <c r="E6215" i="4"/>
  <c r="G6215" i="4"/>
  <c r="F6215" i="4"/>
  <c r="E6216" i="4"/>
  <c r="F6216" i="4"/>
  <c r="E6217" i="4"/>
  <c r="E6218" i="4"/>
  <c r="F6218" i="4"/>
  <c r="G6218" i="4"/>
  <c r="E6219" i="4"/>
  <c r="G6219" i="4"/>
  <c r="E6220" i="4"/>
  <c r="E6221" i="4"/>
  <c r="E6222" i="4"/>
  <c r="F6222" i="4"/>
  <c r="E6223" i="4"/>
  <c r="F6223" i="4"/>
  <c r="E6224" i="4"/>
  <c r="E6225" i="4"/>
  <c r="G6225" i="4"/>
  <c r="F6225" i="4"/>
  <c r="E6226" i="4"/>
  <c r="F6226" i="4"/>
  <c r="E6227" i="4"/>
  <c r="F6227" i="4"/>
  <c r="G6227" i="4"/>
  <c r="E6228" i="4"/>
  <c r="F6228" i="4"/>
  <c r="G6228" i="4"/>
  <c r="E6229" i="4"/>
  <c r="G6229" i="4"/>
  <c r="F6229" i="4"/>
  <c r="E6230" i="4"/>
  <c r="E6231" i="4"/>
  <c r="F6231" i="4"/>
  <c r="E6232" i="4"/>
  <c r="F6232" i="4"/>
  <c r="E6233" i="4"/>
  <c r="F6233" i="4"/>
  <c r="E6234" i="4"/>
  <c r="F6234" i="4"/>
  <c r="G6234" i="4"/>
  <c r="E6235" i="4"/>
  <c r="F6235" i="4"/>
  <c r="E6236" i="4"/>
  <c r="F6236" i="4"/>
  <c r="E6237" i="4"/>
  <c r="G6237" i="4"/>
  <c r="E6238" i="4"/>
  <c r="F6238" i="4"/>
  <c r="E6239" i="4"/>
  <c r="G6239" i="4"/>
  <c r="E6240" i="4"/>
  <c r="F6240" i="4"/>
  <c r="E6241" i="4"/>
  <c r="F6241" i="4"/>
  <c r="G6241" i="4"/>
  <c r="E6242" i="4"/>
  <c r="F6242" i="4"/>
  <c r="E6243" i="4"/>
  <c r="G6243" i="4"/>
  <c r="F6243" i="4"/>
  <c r="E6244" i="4"/>
  <c r="F6244" i="4"/>
  <c r="E6245" i="4"/>
  <c r="F6245" i="4"/>
  <c r="E6246" i="4"/>
  <c r="F6246" i="4"/>
  <c r="E6247" i="4"/>
  <c r="F6247" i="4"/>
  <c r="E6248" i="4"/>
  <c r="F6248" i="4"/>
  <c r="G6248" i="4"/>
  <c r="E6249" i="4"/>
  <c r="F6249" i="4"/>
  <c r="G6249" i="4"/>
  <c r="E6250" i="4"/>
  <c r="G6250" i="4"/>
  <c r="E6251" i="4"/>
  <c r="F6251" i="4"/>
  <c r="E6252" i="4"/>
  <c r="F6252" i="4"/>
  <c r="E6253" i="4"/>
  <c r="G6253" i="4"/>
  <c r="E6254" i="4"/>
  <c r="F6254" i="4"/>
  <c r="G6254" i="4"/>
  <c r="E6255" i="4"/>
  <c r="F6255" i="4"/>
  <c r="G6255" i="4"/>
  <c r="E6256" i="4"/>
  <c r="F6256" i="4"/>
  <c r="E6257" i="4"/>
  <c r="G6257" i="4"/>
  <c r="F6257" i="4"/>
  <c r="E6258" i="4"/>
  <c r="G6258" i="4"/>
  <c r="E6259" i="4"/>
  <c r="F6259" i="4"/>
  <c r="E6260" i="4"/>
  <c r="F6260" i="4"/>
  <c r="E6261" i="4"/>
  <c r="F6261" i="4"/>
  <c r="E6262" i="4"/>
  <c r="G6262" i="4"/>
  <c r="F6262" i="4"/>
  <c r="E6263" i="4"/>
  <c r="G6263" i="4"/>
  <c r="F6263" i="4"/>
  <c r="E6264" i="4"/>
  <c r="F6264" i="4"/>
  <c r="E6265" i="4"/>
  <c r="F6265" i="4"/>
  <c r="E6266" i="4"/>
  <c r="G6266" i="4"/>
  <c r="F6266" i="4"/>
  <c r="E6267" i="4"/>
  <c r="E6268" i="4"/>
  <c r="F6268" i="4"/>
  <c r="G6268" i="4"/>
  <c r="E6269" i="4"/>
  <c r="F6269" i="4"/>
  <c r="E6270" i="4"/>
  <c r="F6270" i="4"/>
  <c r="E6271" i="4"/>
  <c r="E6272" i="4"/>
  <c r="E6273" i="4"/>
  <c r="F6273" i="4"/>
  <c r="E6274" i="4"/>
  <c r="F6274" i="4"/>
  <c r="E6275" i="4"/>
  <c r="F6275" i="4"/>
  <c r="G6275" i="4"/>
  <c r="E6276" i="4"/>
  <c r="E6277" i="4"/>
  <c r="F6277" i="4"/>
  <c r="G6277" i="4"/>
  <c r="E6278" i="4"/>
  <c r="E6279" i="4"/>
  <c r="F6279" i="4"/>
  <c r="E6280" i="4"/>
  <c r="F6280" i="4"/>
  <c r="G6280" i="4"/>
  <c r="E6281" i="4"/>
  <c r="F6281" i="4"/>
  <c r="G6281" i="4"/>
  <c r="E6282" i="4"/>
  <c r="F6282" i="4"/>
  <c r="E6283" i="4"/>
  <c r="F6283" i="4"/>
  <c r="E6284" i="4"/>
  <c r="F6284" i="4"/>
  <c r="E6285" i="4"/>
  <c r="E6286" i="4"/>
  <c r="G6286" i="4"/>
  <c r="E6287" i="4"/>
  <c r="F6287" i="4"/>
  <c r="E6288" i="4"/>
  <c r="F6288" i="4"/>
  <c r="G6288" i="4"/>
  <c r="E6289" i="4"/>
  <c r="F6289" i="4"/>
  <c r="E6290" i="4"/>
  <c r="G6290" i="4"/>
  <c r="F6290" i="4"/>
  <c r="E6291" i="4"/>
  <c r="F6291" i="4"/>
  <c r="E6292" i="4"/>
  <c r="F6292" i="4"/>
  <c r="E6293" i="4"/>
  <c r="F6293" i="4"/>
  <c r="E6294" i="4"/>
  <c r="F6294" i="4"/>
  <c r="E6295" i="4"/>
  <c r="G6295" i="4"/>
  <c r="F6295" i="4"/>
  <c r="E6296" i="4"/>
  <c r="F6296" i="4"/>
  <c r="E6297" i="4"/>
  <c r="F6297" i="4"/>
  <c r="E6298" i="4"/>
  <c r="E6299" i="4"/>
  <c r="E6300" i="4"/>
  <c r="F6300" i="4"/>
  <c r="G6300" i="4"/>
  <c r="E6301" i="4"/>
  <c r="F6301" i="4"/>
  <c r="E6302" i="4"/>
  <c r="G6302" i="4"/>
  <c r="F6302" i="4"/>
  <c r="E6303" i="4"/>
  <c r="F6303" i="4"/>
  <c r="G6303" i="4"/>
  <c r="E6304" i="4"/>
  <c r="E6305" i="4"/>
  <c r="F6305" i="4"/>
  <c r="E6306" i="4"/>
  <c r="F6306" i="4"/>
  <c r="E6307" i="4"/>
  <c r="F6307" i="4"/>
  <c r="E6308" i="4"/>
  <c r="F6308" i="4"/>
  <c r="G6308" i="4"/>
  <c r="E6309" i="4"/>
  <c r="F6309" i="4"/>
  <c r="E6310" i="4"/>
  <c r="F6310" i="4"/>
  <c r="G6310" i="4"/>
  <c r="E6311" i="4"/>
  <c r="E6312" i="4"/>
  <c r="F6312" i="4"/>
  <c r="E6313" i="4"/>
  <c r="G6313" i="4"/>
  <c r="E6314" i="4"/>
  <c r="F6314" i="4"/>
  <c r="G6314" i="4"/>
  <c r="E6315" i="4"/>
  <c r="F6315" i="4"/>
  <c r="G6315" i="4"/>
  <c r="E6316" i="4"/>
  <c r="E6317" i="4"/>
  <c r="G6317" i="4"/>
  <c r="F6317" i="4"/>
  <c r="E6318" i="4"/>
  <c r="F6318" i="4"/>
  <c r="E6319" i="4"/>
  <c r="F6319" i="4"/>
  <c r="G6319" i="4"/>
  <c r="E6320" i="4"/>
  <c r="E6321" i="4"/>
  <c r="F6321" i="4"/>
  <c r="E6322" i="4"/>
  <c r="E6323" i="4"/>
  <c r="E6324" i="4"/>
  <c r="F6324" i="4"/>
  <c r="G6324" i="4"/>
  <c r="E6325" i="4"/>
  <c r="F6325" i="4"/>
  <c r="G6325" i="4"/>
  <c r="E6326" i="4"/>
  <c r="F6326" i="4"/>
  <c r="E6327" i="4"/>
  <c r="F6327" i="4"/>
  <c r="G6327" i="4"/>
  <c r="E6328" i="4"/>
  <c r="F6328" i="4"/>
  <c r="E6329" i="4"/>
  <c r="F6329" i="4"/>
  <c r="E6330" i="4"/>
  <c r="F6330" i="4"/>
  <c r="E6331" i="4"/>
  <c r="G6331" i="4"/>
  <c r="E6332" i="4"/>
  <c r="F6332" i="4"/>
  <c r="G6332" i="4"/>
  <c r="E6333" i="4"/>
  <c r="G6333" i="4"/>
  <c r="E6334" i="4"/>
  <c r="F6334" i="4"/>
  <c r="E6335" i="4"/>
  <c r="F6335" i="4"/>
  <c r="G6335" i="4"/>
  <c r="E6336" i="4"/>
  <c r="E6337" i="4"/>
  <c r="F6337" i="4"/>
  <c r="G6337" i="4"/>
  <c r="E6338" i="4"/>
  <c r="F6338" i="4"/>
  <c r="G6338" i="4"/>
  <c r="E6339" i="4"/>
  <c r="F6339" i="4"/>
  <c r="E6340" i="4"/>
  <c r="E6341" i="4"/>
  <c r="G6341" i="4"/>
  <c r="F6341" i="4"/>
  <c r="E6342" i="4"/>
  <c r="F6342" i="4"/>
  <c r="E6343" i="4"/>
  <c r="E6344" i="4"/>
  <c r="F6344" i="4"/>
  <c r="E6345" i="4"/>
  <c r="G6345" i="4"/>
  <c r="F6345" i="4"/>
  <c r="E6346" i="4"/>
  <c r="G6346" i="4"/>
  <c r="E6347" i="4"/>
  <c r="F6347" i="4"/>
  <c r="G6347" i="4"/>
  <c r="E6348" i="4"/>
  <c r="E6349" i="4"/>
  <c r="F6349" i="4"/>
  <c r="G6349" i="4"/>
  <c r="E6350" i="4"/>
  <c r="E6351" i="4"/>
  <c r="F6351" i="4"/>
  <c r="G6351" i="4"/>
  <c r="E6352" i="4"/>
  <c r="E6353" i="4"/>
  <c r="F6353" i="4"/>
  <c r="E6354" i="4"/>
  <c r="E6355" i="4"/>
  <c r="E6356" i="4"/>
  <c r="F6356" i="4"/>
  <c r="E6357" i="4"/>
  <c r="E6358" i="4"/>
  <c r="F6358" i="4"/>
  <c r="E6359" i="4"/>
  <c r="E6360" i="4"/>
  <c r="F6360" i="4"/>
  <c r="E6361" i="4"/>
  <c r="F6361" i="4"/>
  <c r="G6361" i="4"/>
  <c r="E6362" i="4"/>
  <c r="E6363" i="4"/>
  <c r="F6363" i="4"/>
  <c r="G6363" i="4"/>
  <c r="E6364" i="4"/>
  <c r="F6364" i="4"/>
  <c r="E6365" i="4"/>
  <c r="F6365" i="4"/>
  <c r="E6366" i="4"/>
  <c r="E6367" i="4"/>
  <c r="F6367" i="4"/>
  <c r="G6367" i="4"/>
  <c r="E6368" i="4"/>
  <c r="E6369" i="4"/>
  <c r="E6370" i="4"/>
  <c r="F6370" i="4"/>
  <c r="G6370" i="4"/>
  <c r="E6371" i="4"/>
  <c r="G6371" i="4"/>
  <c r="E6372" i="4"/>
  <c r="F6372" i="4"/>
  <c r="G6372" i="4"/>
  <c r="E6373" i="4"/>
  <c r="F6373" i="4"/>
  <c r="G6373" i="4"/>
  <c r="E6374" i="4"/>
  <c r="F6374" i="4"/>
  <c r="E6375" i="4"/>
  <c r="E6376" i="4"/>
  <c r="F6376" i="4"/>
  <c r="E6377" i="4"/>
  <c r="F6377" i="4"/>
  <c r="E6378" i="4"/>
  <c r="F6378" i="4"/>
  <c r="G6378" i="4"/>
  <c r="E6379" i="4"/>
  <c r="F6379" i="4"/>
  <c r="G6379" i="4"/>
  <c r="E6380" i="4"/>
  <c r="F6380" i="4"/>
  <c r="G6380" i="4"/>
  <c r="E6381" i="4"/>
  <c r="G6381" i="4"/>
  <c r="F6381" i="4"/>
  <c r="E6382" i="4"/>
  <c r="G6382" i="4"/>
  <c r="E6383" i="4"/>
  <c r="F6383" i="4"/>
  <c r="E6384" i="4"/>
  <c r="F6384" i="4"/>
  <c r="G6384" i="4"/>
  <c r="E6385" i="4"/>
  <c r="G6385" i="4"/>
  <c r="F6385" i="4"/>
  <c r="E6386" i="4"/>
  <c r="G6386" i="4"/>
  <c r="F6386" i="4"/>
  <c r="E6387" i="4"/>
  <c r="F6387" i="4"/>
  <c r="G6387" i="4"/>
  <c r="E6388" i="4"/>
  <c r="F6388" i="4"/>
  <c r="E6389" i="4"/>
  <c r="E6390" i="4"/>
  <c r="F6390" i="4"/>
  <c r="G6390" i="4"/>
  <c r="E6391" i="4"/>
  <c r="G6391" i="4"/>
  <c r="F6391" i="4"/>
  <c r="E6392" i="4"/>
  <c r="F6392" i="4"/>
  <c r="G6392" i="4"/>
  <c r="E6393" i="4"/>
  <c r="F6393" i="4"/>
  <c r="G6393" i="4"/>
  <c r="E6394" i="4"/>
  <c r="G6394" i="4"/>
  <c r="F6394" i="4"/>
  <c r="E6395" i="4"/>
  <c r="F6395" i="4"/>
  <c r="G6395" i="4"/>
  <c r="E6396" i="4"/>
  <c r="E6397" i="4"/>
  <c r="F6397" i="4"/>
  <c r="G6397" i="4"/>
  <c r="E6398" i="4"/>
  <c r="E6399" i="4"/>
  <c r="F6399" i="4"/>
  <c r="G6399" i="4"/>
  <c r="E6400" i="4"/>
  <c r="F6400" i="4"/>
  <c r="G6400" i="4"/>
  <c r="E6401" i="4"/>
  <c r="F6401" i="4"/>
  <c r="E6402" i="4"/>
  <c r="F6402" i="4"/>
  <c r="E6403" i="4"/>
  <c r="E6404" i="4"/>
  <c r="F6404" i="4"/>
  <c r="E6405" i="4"/>
  <c r="G6405" i="4"/>
  <c r="E6406" i="4"/>
  <c r="G6406" i="4"/>
  <c r="F6406" i="4"/>
  <c r="E6407" i="4"/>
  <c r="G6407" i="4"/>
  <c r="E6408" i="4"/>
  <c r="F6408" i="4"/>
  <c r="E6409" i="4"/>
  <c r="E6410" i="4"/>
  <c r="E6411" i="4"/>
  <c r="E6412" i="4"/>
  <c r="F6412" i="4"/>
  <c r="E6413" i="4"/>
  <c r="F6413" i="4"/>
  <c r="E6414" i="4"/>
  <c r="G6414" i="4"/>
  <c r="E6415" i="4"/>
  <c r="F6415" i="4"/>
  <c r="G6415" i="4"/>
  <c r="E6416" i="4"/>
  <c r="E6417" i="4"/>
  <c r="E6418" i="4"/>
  <c r="F6418" i="4"/>
  <c r="G6418" i="4"/>
  <c r="E6419" i="4"/>
  <c r="E6420" i="4"/>
  <c r="E6421" i="4"/>
  <c r="G6421" i="4"/>
  <c r="F6421" i="4"/>
  <c r="E6422" i="4"/>
  <c r="F6422" i="4"/>
  <c r="E6423" i="4"/>
  <c r="G6423" i="4"/>
  <c r="F6423" i="4"/>
  <c r="E6424" i="4"/>
  <c r="F6424" i="4"/>
  <c r="G6424" i="4"/>
  <c r="E6425" i="4"/>
  <c r="E6426" i="4"/>
  <c r="E6427" i="4"/>
  <c r="F6427" i="4"/>
  <c r="E6428" i="4"/>
  <c r="E6429" i="4"/>
  <c r="G6429" i="4"/>
  <c r="E6430" i="4"/>
  <c r="F6430" i="4"/>
  <c r="E6431" i="4"/>
  <c r="G6431" i="4"/>
  <c r="F6431" i="4"/>
  <c r="E6432" i="4"/>
  <c r="F6432" i="4"/>
  <c r="G6432" i="4"/>
  <c r="E6433" i="4"/>
  <c r="E6434" i="4"/>
  <c r="F6434" i="4"/>
  <c r="E6435" i="4"/>
  <c r="F6435" i="4"/>
  <c r="E6436" i="4"/>
  <c r="F6436" i="4"/>
  <c r="G6436" i="4"/>
  <c r="E6437" i="4"/>
  <c r="G6437" i="4"/>
  <c r="F6437" i="4"/>
  <c r="E6438" i="4"/>
  <c r="F6438" i="4"/>
  <c r="G6438" i="4"/>
  <c r="E6439" i="4"/>
  <c r="F6439" i="4"/>
  <c r="E6440" i="4"/>
  <c r="F6440" i="4"/>
  <c r="E6441" i="4"/>
  <c r="F6441" i="4"/>
  <c r="G6441" i="4"/>
  <c r="E6442" i="4"/>
  <c r="E6443" i="4"/>
  <c r="F6443" i="4"/>
  <c r="E6444" i="4"/>
  <c r="F6444" i="4"/>
  <c r="G6444" i="4"/>
  <c r="E6445" i="4"/>
  <c r="G6445" i="4"/>
  <c r="F6445" i="4"/>
  <c r="E6446" i="4"/>
  <c r="F6446" i="4"/>
  <c r="G6446" i="4"/>
  <c r="E6447" i="4"/>
  <c r="F6447" i="4"/>
  <c r="G6447" i="4"/>
  <c r="E6448" i="4"/>
  <c r="E6449" i="4"/>
  <c r="E6450" i="4"/>
  <c r="F6450" i="4"/>
  <c r="G6450" i="4"/>
  <c r="E6451" i="4"/>
  <c r="E6452" i="4"/>
  <c r="E6453" i="4"/>
  <c r="F6453" i="4"/>
  <c r="E6454" i="4"/>
  <c r="G6454" i="4"/>
  <c r="E6455" i="4"/>
  <c r="G6455" i="4"/>
  <c r="F6455" i="4"/>
  <c r="E6456" i="4"/>
  <c r="E6457" i="4"/>
  <c r="F6457" i="4"/>
  <c r="G6457" i="4"/>
  <c r="E6458" i="4"/>
  <c r="E6459" i="4"/>
  <c r="E6460" i="4"/>
  <c r="F6460" i="4"/>
  <c r="G6460" i="4"/>
  <c r="E6461" i="4"/>
  <c r="F6461" i="4"/>
  <c r="G6461" i="4"/>
  <c r="E6462" i="4"/>
  <c r="F6462" i="4"/>
  <c r="E6463" i="4"/>
  <c r="G6463" i="4"/>
  <c r="E6464" i="4"/>
  <c r="E6465" i="4"/>
  <c r="G6465" i="4"/>
  <c r="E6466" i="4"/>
  <c r="F6466" i="4"/>
  <c r="G6466" i="4"/>
  <c r="E6467" i="4"/>
  <c r="F6467" i="4"/>
  <c r="G6467" i="4"/>
  <c r="E6468" i="4"/>
  <c r="E6469" i="4"/>
  <c r="F6469" i="4"/>
  <c r="G6469" i="4"/>
  <c r="E6470" i="4"/>
  <c r="E6471" i="4"/>
  <c r="F6471" i="4"/>
  <c r="E6472" i="4"/>
  <c r="F6472" i="4"/>
  <c r="E6473" i="4"/>
  <c r="F6473" i="4"/>
  <c r="G6473" i="4"/>
  <c r="E6474" i="4"/>
  <c r="G6474" i="4"/>
  <c r="E6475" i="4"/>
  <c r="G6475" i="4"/>
  <c r="E6476" i="4"/>
  <c r="F6476" i="4"/>
  <c r="G6476" i="4"/>
  <c r="E6477" i="4"/>
  <c r="G6477" i="4"/>
  <c r="E6478" i="4"/>
  <c r="F6478" i="4"/>
  <c r="E6479" i="4"/>
  <c r="F6479" i="4"/>
  <c r="G6479" i="4"/>
  <c r="E6480" i="4"/>
  <c r="F6480" i="4"/>
  <c r="G6480" i="4"/>
  <c r="E6481" i="4"/>
  <c r="F6481" i="4"/>
  <c r="G6481" i="4"/>
  <c r="E6482" i="4"/>
  <c r="G6482" i="4"/>
  <c r="F6482" i="4"/>
  <c r="E6483" i="4"/>
  <c r="G6483" i="4"/>
  <c r="E6484" i="4"/>
  <c r="F6484" i="4"/>
  <c r="G6484" i="4"/>
  <c r="E6485" i="4"/>
  <c r="F6485" i="4"/>
  <c r="E6486" i="4"/>
  <c r="E6487" i="4"/>
  <c r="G6487" i="4"/>
  <c r="F6487" i="4"/>
  <c r="E6488" i="4"/>
  <c r="E6489" i="4"/>
  <c r="F6489" i="4"/>
  <c r="G6489" i="4"/>
  <c r="E6490" i="4"/>
  <c r="G6490" i="4"/>
  <c r="F6490" i="4"/>
  <c r="E6491" i="4"/>
  <c r="G6491" i="4"/>
  <c r="E6492" i="4"/>
  <c r="F6492" i="4"/>
  <c r="G6492" i="4"/>
  <c r="E6493" i="4"/>
  <c r="E6494" i="4"/>
  <c r="G6494" i="4"/>
  <c r="E6495" i="4"/>
  <c r="F6495" i="4"/>
  <c r="G6495" i="4"/>
  <c r="E6496" i="4"/>
  <c r="F6496" i="4"/>
  <c r="E6497" i="4"/>
  <c r="G6497" i="4"/>
  <c r="F6497" i="4"/>
  <c r="E6498" i="4"/>
  <c r="E6499" i="4"/>
  <c r="F6499" i="4"/>
  <c r="E6500" i="4"/>
  <c r="E6501" i="4"/>
  <c r="F6501" i="4"/>
  <c r="G6501" i="4"/>
  <c r="E6502" i="4"/>
  <c r="F6502" i="4"/>
  <c r="E6503" i="4"/>
  <c r="G6503" i="4"/>
  <c r="F6503" i="4"/>
  <c r="E6504" i="4"/>
  <c r="F6504" i="4"/>
  <c r="G6504" i="4"/>
  <c r="E6505" i="4"/>
  <c r="G6505" i="4"/>
  <c r="F6505" i="4"/>
  <c r="E6506" i="4"/>
  <c r="G6506" i="4"/>
  <c r="F6506" i="4"/>
  <c r="E6507" i="4"/>
  <c r="F6507" i="4"/>
  <c r="G6507" i="4"/>
  <c r="E6508" i="4"/>
  <c r="F6508" i="4"/>
  <c r="G6508" i="4"/>
  <c r="E6509" i="4"/>
  <c r="E6510" i="4"/>
  <c r="F6510" i="4"/>
  <c r="G6510" i="4"/>
  <c r="E6511" i="4"/>
  <c r="F6511" i="4"/>
  <c r="E6512" i="4"/>
  <c r="E6513" i="4"/>
  <c r="F6513" i="4"/>
  <c r="E6514" i="4"/>
  <c r="G6514" i="4"/>
  <c r="E6515" i="4"/>
  <c r="G6515" i="4"/>
  <c r="F6515" i="4"/>
  <c r="E6516" i="4"/>
  <c r="F6516" i="4"/>
  <c r="E6517" i="4"/>
  <c r="F6517" i="4"/>
  <c r="G6517" i="4"/>
  <c r="E6518" i="4"/>
  <c r="F6518" i="4"/>
  <c r="G6518" i="4"/>
  <c r="E6519" i="4"/>
  <c r="F6519" i="4"/>
  <c r="G6519" i="4"/>
  <c r="E6520" i="4"/>
  <c r="E6521" i="4"/>
  <c r="F6521" i="4"/>
  <c r="G6521" i="4"/>
  <c r="E6522" i="4"/>
  <c r="F6522" i="4"/>
  <c r="G6522" i="4"/>
  <c r="E6523" i="4"/>
  <c r="G6523" i="4"/>
  <c r="F6523" i="4"/>
  <c r="E6524" i="4"/>
  <c r="F6524" i="4"/>
  <c r="G6524" i="4"/>
  <c r="E6525" i="4"/>
  <c r="E6526" i="4"/>
  <c r="E6527" i="4"/>
  <c r="G6527" i="4"/>
  <c r="E6528" i="4"/>
  <c r="E6529" i="4"/>
  <c r="G6529" i="4"/>
  <c r="E6530" i="4"/>
  <c r="F6530" i="4"/>
  <c r="G6530" i="4"/>
  <c r="E6531" i="4"/>
  <c r="F6531" i="4"/>
  <c r="G6531" i="4"/>
  <c r="E6532" i="4"/>
  <c r="F6532" i="4"/>
  <c r="G6532" i="4"/>
  <c r="E6533" i="4"/>
  <c r="F6533" i="4"/>
  <c r="E6534" i="4"/>
  <c r="E6535" i="4"/>
  <c r="F6535" i="4"/>
  <c r="E6536" i="4"/>
  <c r="F6536" i="4"/>
  <c r="G6536" i="4"/>
  <c r="E6537" i="4"/>
  <c r="G6537" i="4"/>
  <c r="F6537" i="4"/>
  <c r="E6538" i="4"/>
  <c r="G6538" i="4"/>
  <c r="E6539" i="4"/>
  <c r="F6539" i="4"/>
  <c r="E6540" i="4"/>
  <c r="F6540" i="4"/>
  <c r="E6541" i="4"/>
  <c r="F6541" i="4"/>
  <c r="G6541" i="4"/>
  <c r="E6542" i="4"/>
  <c r="F6542" i="4"/>
  <c r="G6542" i="4"/>
  <c r="E6543" i="4"/>
  <c r="G6543" i="4"/>
  <c r="F6543" i="4"/>
  <c r="E6544" i="4"/>
  <c r="F6544" i="4"/>
  <c r="E6545" i="4"/>
  <c r="F6545" i="4"/>
  <c r="E6546" i="4"/>
  <c r="E6547" i="4"/>
  <c r="E6548" i="4"/>
  <c r="E6549" i="4"/>
  <c r="G6549" i="4"/>
  <c r="F6549" i="4"/>
  <c r="E6550" i="4"/>
  <c r="F6550" i="4"/>
  <c r="G6550" i="4"/>
  <c r="E6551" i="4"/>
  <c r="E6552" i="4"/>
  <c r="F6552" i="4"/>
  <c r="E6553" i="4"/>
  <c r="E6554" i="4"/>
  <c r="G6554" i="4"/>
  <c r="E6555" i="4"/>
  <c r="F6555" i="4"/>
  <c r="G6555" i="4"/>
  <c r="E6556" i="4"/>
  <c r="F6556" i="4"/>
  <c r="E6557" i="4"/>
  <c r="G6557" i="4"/>
  <c r="E6558" i="4"/>
  <c r="E6559" i="4"/>
  <c r="G6559" i="4"/>
  <c r="E6560" i="4"/>
  <c r="E6561" i="4"/>
  <c r="F6561" i="4"/>
  <c r="G6561" i="4"/>
  <c r="E6562" i="4"/>
  <c r="E6563" i="4"/>
  <c r="G6563" i="4"/>
  <c r="E6564" i="4"/>
  <c r="E6565" i="4"/>
  <c r="F6565" i="4"/>
  <c r="E6566" i="4"/>
  <c r="G6566" i="4"/>
  <c r="E6567" i="4"/>
  <c r="F6567" i="4"/>
  <c r="E6568" i="4"/>
  <c r="F6568" i="4"/>
  <c r="G6568" i="4"/>
  <c r="E6569" i="4"/>
  <c r="E6570" i="4"/>
  <c r="F6570" i="4"/>
  <c r="G6570" i="4"/>
  <c r="E6571" i="4"/>
  <c r="F6571" i="4"/>
  <c r="E6572" i="4"/>
  <c r="F6572" i="4"/>
  <c r="E6573" i="4"/>
  <c r="G6573" i="4"/>
  <c r="F6573" i="4"/>
  <c r="E6574" i="4"/>
  <c r="E6575" i="4"/>
  <c r="F6575" i="4"/>
  <c r="G6575" i="4"/>
  <c r="E6576" i="4"/>
  <c r="E6577" i="4"/>
  <c r="G6577" i="4"/>
  <c r="E6578" i="4"/>
  <c r="E6579" i="4"/>
  <c r="F6579" i="4"/>
  <c r="G6579" i="4"/>
  <c r="E6580" i="4"/>
  <c r="E6581" i="4"/>
  <c r="F6581" i="4"/>
  <c r="G6581" i="4"/>
  <c r="E6582" i="4"/>
  <c r="E6583" i="4"/>
  <c r="G6583" i="4"/>
  <c r="E6584" i="4"/>
  <c r="E6585" i="4"/>
  <c r="F6585" i="4"/>
  <c r="G6585" i="4"/>
  <c r="E6586" i="4"/>
  <c r="G6586" i="4"/>
  <c r="F6586" i="4"/>
  <c r="E6587" i="4"/>
  <c r="F6587" i="4"/>
  <c r="G6587" i="4"/>
  <c r="E6588" i="4"/>
  <c r="E6589" i="4"/>
  <c r="F6589" i="4"/>
  <c r="G6589" i="4"/>
  <c r="E6590" i="4"/>
  <c r="F6590" i="4"/>
  <c r="G6590" i="4"/>
  <c r="E6591" i="4"/>
  <c r="F6591" i="4"/>
  <c r="G6591" i="4"/>
  <c r="E6592" i="4"/>
  <c r="F6592" i="4"/>
  <c r="E6593" i="4"/>
  <c r="G6593" i="4"/>
  <c r="E6594" i="4"/>
  <c r="F6594" i="4"/>
  <c r="E6595" i="4"/>
  <c r="F6595" i="4"/>
  <c r="G6595" i="4"/>
  <c r="E6596" i="4"/>
  <c r="F6596" i="4"/>
  <c r="E6597" i="4"/>
  <c r="E6598" i="4"/>
  <c r="F6598" i="4"/>
  <c r="G6598" i="4"/>
  <c r="E6599" i="4"/>
  <c r="G6599" i="4"/>
  <c r="F6599" i="4"/>
  <c r="E6600" i="4"/>
  <c r="E6601" i="4"/>
  <c r="F6601" i="4"/>
  <c r="G6601" i="4"/>
  <c r="E6602" i="4"/>
  <c r="F6602" i="4"/>
  <c r="G6602" i="4"/>
  <c r="E6603" i="4"/>
  <c r="G6603" i="4"/>
  <c r="E6604" i="4"/>
  <c r="F6604" i="4"/>
  <c r="G6604" i="4"/>
  <c r="E6605" i="4"/>
  <c r="F6605" i="4"/>
  <c r="G6605" i="4"/>
  <c r="E6606" i="4"/>
  <c r="E6607" i="4"/>
  <c r="E6608" i="4"/>
  <c r="E6609" i="4"/>
  <c r="E6610" i="4"/>
  <c r="F6610" i="4"/>
  <c r="G6610" i="4"/>
  <c r="E6611" i="4"/>
  <c r="F6611" i="4"/>
  <c r="G6611" i="4"/>
  <c r="E6612" i="4"/>
  <c r="F6612" i="4"/>
  <c r="G6612" i="4"/>
  <c r="E6613" i="4"/>
  <c r="G6613" i="4"/>
  <c r="F6613" i="4"/>
  <c r="E6614" i="4"/>
  <c r="F6614" i="4"/>
  <c r="E6615" i="4"/>
  <c r="G6615" i="4"/>
  <c r="E6616" i="4"/>
  <c r="E6617" i="4"/>
  <c r="E6618" i="4"/>
  <c r="G6618" i="4"/>
  <c r="F6618" i="4"/>
  <c r="E6619" i="4"/>
  <c r="G6619" i="4"/>
  <c r="F6619" i="4"/>
  <c r="E6620" i="4"/>
  <c r="E6621" i="4"/>
  <c r="G6621" i="4"/>
  <c r="F6621" i="4"/>
  <c r="E6622" i="4"/>
  <c r="E6623" i="4"/>
  <c r="G6623" i="4"/>
  <c r="E6624" i="4"/>
  <c r="F6624" i="4"/>
  <c r="E6625" i="4"/>
  <c r="F6625" i="4"/>
  <c r="E6626" i="4"/>
  <c r="F6626" i="4"/>
  <c r="G6626" i="4"/>
  <c r="E6627" i="4"/>
  <c r="G6627" i="4"/>
  <c r="F6627" i="4"/>
  <c r="E6628" i="4"/>
  <c r="F6628" i="4"/>
  <c r="G6628" i="4"/>
  <c r="E6629" i="4"/>
  <c r="G6629" i="4"/>
  <c r="E6630" i="4"/>
  <c r="F6630" i="4"/>
  <c r="E6631" i="4"/>
  <c r="F6631" i="4"/>
  <c r="E6632" i="4"/>
  <c r="F6632" i="4"/>
  <c r="G6632" i="4"/>
  <c r="E6633" i="4"/>
  <c r="E6634" i="4"/>
  <c r="E6635" i="4"/>
  <c r="F6635" i="4"/>
  <c r="G6635" i="4"/>
  <c r="E6636" i="4"/>
  <c r="F6636" i="4"/>
  <c r="G6636" i="4"/>
  <c r="E6637" i="4"/>
  <c r="G6637" i="4"/>
  <c r="F6637" i="4"/>
  <c r="E6638" i="4"/>
  <c r="G6638" i="4"/>
  <c r="E6639" i="4"/>
  <c r="F6639" i="4"/>
  <c r="E6640" i="4"/>
  <c r="E6641" i="4"/>
  <c r="F6641" i="4"/>
  <c r="E6642" i="4"/>
  <c r="G6642" i="4"/>
  <c r="F6642" i="4"/>
  <c r="E6643" i="4"/>
  <c r="E6644" i="4"/>
  <c r="F6644" i="4"/>
  <c r="G6644" i="4"/>
  <c r="E6645" i="4"/>
  <c r="F6645" i="4"/>
  <c r="E6646" i="4"/>
  <c r="G6646" i="4"/>
  <c r="F6646" i="4"/>
  <c r="E6647" i="4"/>
  <c r="G6647" i="4"/>
  <c r="F6647" i="4"/>
  <c r="E6648" i="4"/>
  <c r="E6649" i="4"/>
  <c r="E6650" i="4"/>
  <c r="F6650" i="4"/>
  <c r="G6650" i="4"/>
  <c r="E6651" i="4"/>
  <c r="F6651" i="4"/>
  <c r="E6652" i="4"/>
  <c r="F6652" i="4"/>
  <c r="G6652" i="4"/>
  <c r="E6653" i="4"/>
  <c r="F6653" i="4"/>
  <c r="G6653" i="4"/>
  <c r="E6654" i="4"/>
  <c r="E6655" i="4"/>
  <c r="G6655" i="4"/>
  <c r="E6656" i="4"/>
  <c r="E6657" i="4"/>
  <c r="G6657" i="4"/>
  <c r="E6658" i="4"/>
  <c r="F6658" i="4"/>
  <c r="E6659" i="4"/>
  <c r="F6659" i="4"/>
  <c r="G6659" i="4"/>
  <c r="E6660" i="4"/>
  <c r="E6661" i="4"/>
  <c r="G6661" i="4"/>
  <c r="F6661" i="4"/>
  <c r="E6662" i="4"/>
  <c r="F6662" i="4"/>
  <c r="G6662" i="4"/>
  <c r="E6663" i="4"/>
  <c r="F6663" i="4"/>
  <c r="E6664" i="4"/>
  <c r="F6664" i="4"/>
  <c r="G6664" i="4"/>
  <c r="E6665" i="4"/>
  <c r="F6665" i="4"/>
  <c r="G6665" i="4"/>
  <c r="E6666" i="4"/>
  <c r="G6666" i="4"/>
  <c r="F6666" i="4"/>
  <c r="E6667" i="4"/>
  <c r="G6667" i="4"/>
  <c r="F6667" i="4"/>
  <c r="E6668" i="4"/>
  <c r="E6669" i="4"/>
  <c r="G6669" i="4"/>
  <c r="E6670" i="4"/>
  <c r="F6670" i="4"/>
  <c r="G6670" i="4"/>
  <c r="E6671" i="4"/>
  <c r="F6671" i="4"/>
  <c r="E6672" i="4"/>
  <c r="E6673" i="4"/>
  <c r="F6673" i="4"/>
  <c r="G6673" i="4"/>
  <c r="E6674" i="4"/>
  <c r="G6674" i="4"/>
  <c r="E6675" i="4"/>
  <c r="E6676" i="4"/>
  <c r="F6676" i="4"/>
  <c r="G6676" i="4"/>
  <c r="E6677" i="4"/>
  <c r="F6677" i="4"/>
  <c r="G6677" i="4"/>
  <c r="E6678" i="4"/>
  <c r="F6678" i="4"/>
  <c r="G6678" i="4"/>
  <c r="E6679" i="4"/>
  <c r="F6679" i="4"/>
  <c r="G6679" i="4"/>
  <c r="E6680" i="4"/>
  <c r="E6681" i="4"/>
  <c r="E6682" i="4"/>
  <c r="G6682" i="4"/>
  <c r="F6682" i="4"/>
  <c r="E6683" i="4"/>
  <c r="G6683" i="4"/>
  <c r="E6684" i="4"/>
  <c r="F6684" i="4"/>
  <c r="E6685" i="4"/>
  <c r="F6685" i="4"/>
  <c r="E6686" i="4"/>
  <c r="E6687" i="4"/>
  <c r="E6688" i="4"/>
  <c r="F6688" i="4"/>
  <c r="G6688" i="4"/>
  <c r="E6689" i="4"/>
  <c r="E6690" i="4"/>
  <c r="E6691" i="4"/>
  <c r="E6692" i="4"/>
  <c r="E6693" i="4"/>
  <c r="G6693" i="4"/>
  <c r="F6693" i="4"/>
  <c r="E6694" i="4"/>
  <c r="F6694" i="4"/>
  <c r="E6695" i="4"/>
  <c r="G6695" i="4"/>
  <c r="E6696" i="4"/>
  <c r="F6696" i="4"/>
  <c r="G6696" i="4"/>
  <c r="E6697" i="4"/>
  <c r="G6697" i="4"/>
  <c r="F6697" i="4"/>
  <c r="E6698" i="4"/>
  <c r="G6698" i="4"/>
  <c r="F6698" i="4"/>
  <c r="E6699" i="4"/>
  <c r="F6699" i="4"/>
  <c r="G6699" i="4"/>
  <c r="E6700" i="4"/>
  <c r="F6700" i="4"/>
  <c r="G6700" i="4"/>
  <c r="E6701" i="4"/>
  <c r="F6701" i="4"/>
  <c r="G6701" i="4"/>
  <c r="E6702" i="4"/>
  <c r="F6702" i="4"/>
  <c r="G6702" i="4"/>
  <c r="E6703" i="4"/>
  <c r="E6704" i="4"/>
  <c r="E6705" i="4"/>
  <c r="F6705" i="4"/>
  <c r="E6706" i="4"/>
  <c r="G6706" i="4"/>
  <c r="E6707" i="4"/>
  <c r="G6707" i="4"/>
  <c r="E6708" i="4"/>
  <c r="E6709" i="4"/>
  <c r="F6709" i="4"/>
  <c r="E6710" i="4"/>
  <c r="F6710" i="4"/>
  <c r="E6711" i="4"/>
  <c r="E6712" i="4"/>
  <c r="E6713" i="4"/>
  <c r="E6714" i="4"/>
  <c r="E6715" i="4"/>
  <c r="E6716" i="4"/>
  <c r="E6717" i="4"/>
  <c r="E6718" i="4"/>
  <c r="E6719" i="4"/>
  <c r="G6719" i="4"/>
  <c r="E6720" i="4"/>
  <c r="E6721" i="4"/>
  <c r="G6721" i="4"/>
  <c r="F6721" i="4"/>
  <c r="E6722" i="4"/>
  <c r="F6722" i="4"/>
  <c r="G6722" i="4"/>
  <c r="E6723" i="4"/>
  <c r="F6723" i="4"/>
  <c r="G6723" i="4"/>
  <c r="E6724" i="4"/>
  <c r="F6724" i="4"/>
  <c r="E6725" i="4"/>
  <c r="G6725" i="4"/>
  <c r="E6726" i="4"/>
  <c r="E6727" i="4"/>
  <c r="G6727" i="4"/>
  <c r="F6727" i="4"/>
  <c r="E6728" i="4"/>
  <c r="F6728" i="4"/>
  <c r="G6728" i="4"/>
  <c r="E6729" i="4"/>
  <c r="E6730" i="4"/>
  <c r="G6730" i="4"/>
  <c r="E6731" i="4"/>
  <c r="F6731" i="4"/>
  <c r="E6732" i="4"/>
  <c r="F6732" i="4"/>
  <c r="E6733" i="4"/>
  <c r="G6733" i="4"/>
  <c r="E6734" i="4"/>
  <c r="E6735" i="4"/>
  <c r="E6736" i="4"/>
  <c r="F6736" i="4"/>
  <c r="E6737" i="4"/>
  <c r="F6737" i="4"/>
  <c r="E6738" i="4"/>
  <c r="G6738" i="4"/>
  <c r="E6739" i="4"/>
  <c r="F6739" i="4"/>
  <c r="E6740" i="4"/>
  <c r="E6741" i="4"/>
  <c r="E6742" i="4"/>
  <c r="F6742" i="4"/>
  <c r="G6742" i="4"/>
  <c r="E6743" i="4"/>
  <c r="E6744" i="4"/>
  <c r="F6744" i="4"/>
  <c r="E6745" i="4"/>
  <c r="F6745" i="4"/>
  <c r="G6745" i="4"/>
  <c r="E6746" i="4"/>
  <c r="F6746" i="4"/>
  <c r="E6747" i="4"/>
  <c r="G6747" i="4"/>
  <c r="E6748" i="4"/>
  <c r="F6748" i="4"/>
  <c r="G6748" i="4"/>
  <c r="E6749" i="4"/>
  <c r="F6749" i="4"/>
  <c r="G6749" i="4"/>
  <c r="E6750" i="4"/>
  <c r="G6750" i="4"/>
  <c r="F6750" i="4"/>
  <c r="E6751" i="4"/>
  <c r="G6751" i="4"/>
  <c r="F6751" i="4"/>
  <c r="E6752" i="4"/>
  <c r="F6752" i="4"/>
  <c r="E6753" i="4"/>
  <c r="G6753" i="4"/>
  <c r="F6753" i="4"/>
  <c r="E6754" i="4"/>
  <c r="G6754" i="4"/>
  <c r="F6754" i="4"/>
  <c r="E6755" i="4"/>
  <c r="G6755" i="4"/>
  <c r="F6755" i="4"/>
  <c r="E6756" i="4"/>
  <c r="E6757" i="4"/>
  <c r="E6758" i="4"/>
  <c r="E6759" i="4"/>
  <c r="E6760" i="4"/>
  <c r="F6760" i="4"/>
  <c r="E6761" i="4"/>
  <c r="F6761" i="4"/>
  <c r="G6761" i="4"/>
  <c r="E6762" i="4"/>
  <c r="E6763" i="4"/>
  <c r="E6764" i="4"/>
  <c r="F6764" i="4"/>
  <c r="G6764" i="4"/>
  <c r="E6765" i="4"/>
  <c r="F6765" i="4"/>
  <c r="G6765" i="4"/>
  <c r="E6766" i="4"/>
  <c r="E6767" i="4"/>
  <c r="G6767" i="4"/>
  <c r="E6768" i="4"/>
  <c r="F6768" i="4"/>
  <c r="E6769" i="4"/>
  <c r="G6769" i="4"/>
  <c r="E6770" i="4"/>
  <c r="F6770" i="4"/>
  <c r="E6771" i="4"/>
  <c r="E6772" i="4"/>
  <c r="G6772" i="4"/>
  <c r="F6772" i="4"/>
  <c r="E6773" i="4"/>
  <c r="F6773" i="4"/>
  <c r="E6774" i="4"/>
  <c r="F6774" i="4"/>
  <c r="G6774" i="4"/>
  <c r="E6775" i="4"/>
  <c r="E6776" i="4"/>
  <c r="F6776" i="4"/>
  <c r="G6776" i="4"/>
  <c r="E6777" i="4"/>
  <c r="F6777" i="4"/>
  <c r="G6777" i="4"/>
  <c r="E6778" i="4"/>
  <c r="F6778" i="4"/>
  <c r="E6779" i="4"/>
  <c r="G6779" i="4"/>
  <c r="E6780" i="4"/>
  <c r="F6780" i="4"/>
  <c r="G6780" i="4"/>
  <c r="E6781" i="4"/>
  <c r="E6782" i="4"/>
  <c r="E6783" i="4"/>
  <c r="G6783" i="4"/>
  <c r="F6783" i="4"/>
  <c r="E6784" i="4"/>
  <c r="E6785" i="4"/>
  <c r="E6786" i="4"/>
  <c r="G6786" i="4"/>
  <c r="F6786" i="4"/>
  <c r="E6787" i="4"/>
  <c r="E6788" i="4"/>
  <c r="G6788" i="4"/>
  <c r="E6789" i="4"/>
  <c r="F6789" i="4"/>
  <c r="E6790" i="4"/>
  <c r="F6790" i="4"/>
  <c r="G6790" i="4"/>
  <c r="E6791" i="4"/>
  <c r="E6792" i="4"/>
  <c r="G6792" i="4"/>
  <c r="F6792" i="4"/>
  <c r="E6793" i="4"/>
  <c r="E6794" i="4"/>
  <c r="F6794" i="4"/>
  <c r="G6794" i="4"/>
  <c r="E6795" i="4"/>
  <c r="G6795" i="4"/>
  <c r="E6796" i="4"/>
  <c r="G6796" i="4"/>
  <c r="F6796" i="4"/>
  <c r="E6797" i="4"/>
  <c r="E6798" i="4"/>
  <c r="G6798" i="4"/>
  <c r="E6799" i="4"/>
  <c r="G6799" i="4"/>
  <c r="E6800" i="4"/>
  <c r="F6800" i="4"/>
  <c r="E6801" i="4"/>
  <c r="G6801" i="4"/>
  <c r="E6802" i="4"/>
  <c r="F6802" i="4"/>
  <c r="G6802" i="4"/>
  <c r="E6803" i="4"/>
  <c r="G6803" i="4"/>
  <c r="F6803" i="4"/>
  <c r="E6804" i="4"/>
  <c r="E6805" i="4"/>
  <c r="G6805" i="4"/>
  <c r="F6805" i="4"/>
  <c r="E6806" i="4"/>
  <c r="F6806" i="4"/>
  <c r="G6806" i="4"/>
  <c r="E6807" i="4"/>
  <c r="E6808" i="4"/>
  <c r="E6809" i="4"/>
  <c r="E6810" i="4"/>
  <c r="F6810" i="4"/>
  <c r="E6811" i="4"/>
  <c r="E6812" i="4"/>
  <c r="F6812" i="4"/>
  <c r="G6812" i="4"/>
  <c r="E6813" i="4"/>
  <c r="F6813" i="4"/>
  <c r="G6813" i="4"/>
  <c r="E6814" i="4"/>
  <c r="G6814" i="4"/>
  <c r="F6814" i="4"/>
  <c r="E6815" i="4"/>
  <c r="G6815" i="4"/>
  <c r="E6816" i="4"/>
  <c r="F6816" i="4"/>
  <c r="G6816" i="4"/>
  <c r="E6817" i="4"/>
  <c r="E6818" i="4"/>
  <c r="F6818" i="4"/>
  <c r="G6818" i="4"/>
  <c r="E6819" i="4"/>
  <c r="G6819" i="4"/>
  <c r="E6820" i="4"/>
  <c r="G6820" i="4"/>
  <c r="E6821" i="4"/>
  <c r="F6821" i="4"/>
  <c r="E6822" i="4"/>
  <c r="F6822" i="4"/>
  <c r="E6823" i="4"/>
  <c r="G6823" i="4"/>
  <c r="E6824" i="4"/>
  <c r="F6824" i="4"/>
  <c r="E6825" i="4"/>
  <c r="F6825" i="4"/>
  <c r="G6825" i="4"/>
  <c r="E6826" i="4"/>
  <c r="E6827" i="4"/>
  <c r="E6828" i="4"/>
  <c r="G6828" i="4"/>
  <c r="F6828" i="4"/>
  <c r="E6829" i="4"/>
  <c r="F6829" i="4"/>
  <c r="E6830" i="4"/>
  <c r="G6830" i="4"/>
  <c r="F6830" i="4"/>
  <c r="E6831" i="4"/>
  <c r="G6831" i="4"/>
  <c r="F6831" i="4"/>
  <c r="E6832" i="4"/>
  <c r="G6832" i="4"/>
  <c r="F6832" i="4"/>
  <c r="E6833" i="4"/>
  <c r="G6833" i="4"/>
  <c r="E6834" i="4"/>
  <c r="F6834" i="4"/>
  <c r="E6835" i="4"/>
  <c r="G6835" i="4"/>
  <c r="F6835" i="4"/>
  <c r="E6836" i="4"/>
  <c r="G6836" i="4"/>
  <c r="F6836" i="4"/>
  <c r="E6837" i="4"/>
  <c r="F6837" i="4"/>
  <c r="E6838" i="4"/>
  <c r="F6838" i="4"/>
  <c r="G6838" i="4"/>
  <c r="E6839" i="4"/>
  <c r="E6840" i="4"/>
  <c r="E6841" i="4"/>
  <c r="F6841" i="4"/>
  <c r="G6841" i="4"/>
  <c r="E6842" i="4"/>
  <c r="F6842" i="4"/>
  <c r="E6843" i="4"/>
  <c r="G6843" i="4"/>
  <c r="E6844" i="4"/>
  <c r="F6844" i="4"/>
  <c r="E6845" i="4"/>
  <c r="G6845" i="4"/>
  <c r="E6846" i="4"/>
  <c r="G6846" i="4"/>
  <c r="E6847" i="4"/>
  <c r="G6847" i="4"/>
  <c r="E6848" i="4"/>
  <c r="F6848" i="4"/>
  <c r="E6849" i="4"/>
  <c r="E6850" i="4"/>
  <c r="F6850" i="4"/>
  <c r="G6850" i="4"/>
  <c r="E6851" i="4"/>
  <c r="G6851" i="4"/>
  <c r="F6851" i="4"/>
  <c r="E6852" i="4"/>
  <c r="G6852" i="4"/>
  <c r="E6853" i="4"/>
  <c r="G6853" i="4"/>
  <c r="F6853" i="4"/>
  <c r="E6854" i="4"/>
  <c r="G6854" i="4"/>
  <c r="F6854" i="4"/>
  <c r="E6855" i="4"/>
  <c r="E6856" i="4"/>
  <c r="E6857" i="4"/>
  <c r="F6857" i="4"/>
  <c r="E6858" i="4"/>
  <c r="G6858" i="4"/>
  <c r="E6859" i="4"/>
  <c r="G6859" i="4"/>
  <c r="E6860" i="4"/>
  <c r="F6860" i="4"/>
  <c r="E6861" i="4"/>
  <c r="E6862" i="4"/>
  <c r="F6862" i="4"/>
  <c r="G6862" i="4"/>
  <c r="E6863" i="4"/>
  <c r="G6863" i="4"/>
  <c r="F6863" i="4"/>
  <c r="E6864" i="4"/>
  <c r="E6865" i="4"/>
  <c r="E6866" i="4"/>
  <c r="F6866" i="4"/>
  <c r="E6867" i="4"/>
  <c r="E6868" i="4"/>
  <c r="G6868" i="4"/>
  <c r="F6868" i="4"/>
  <c r="E6869" i="4"/>
  <c r="F6869" i="4"/>
  <c r="G6869" i="4"/>
  <c r="E6870" i="4"/>
  <c r="F6870" i="4"/>
  <c r="E6871" i="4"/>
  <c r="G6871" i="4"/>
  <c r="F6871" i="4"/>
  <c r="E6872" i="4"/>
  <c r="G6872" i="4"/>
  <c r="F6872" i="4"/>
  <c r="E6873" i="4"/>
  <c r="E6874" i="4"/>
  <c r="G6874" i="4"/>
  <c r="E6875" i="4"/>
  <c r="G6875" i="4"/>
  <c r="E6876" i="4"/>
  <c r="F6876" i="4"/>
  <c r="G6876" i="4"/>
  <c r="E6877" i="4"/>
  <c r="F6877" i="4"/>
  <c r="G6877" i="4"/>
  <c r="E6878" i="4"/>
  <c r="F6878" i="4"/>
  <c r="G6878" i="4"/>
  <c r="E6879" i="4"/>
  <c r="G6879" i="4"/>
  <c r="E6880" i="4"/>
  <c r="F6880" i="4"/>
  <c r="E6881" i="4"/>
  <c r="E6882" i="4"/>
  <c r="F6882" i="4"/>
  <c r="G6882" i="4"/>
  <c r="E6883" i="4"/>
  <c r="G6883" i="4"/>
  <c r="E6884" i="4"/>
  <c r="F6884" i="4"/>
  <c r="E6885" i="4"/>
  <c r="F6885" i="4"/>
  <c r="G6885" i="4"/>
  <c r="E6886" i="4"/>
  <c r="F6886" i="4"/>
  <c r="G6886" i="4"/>
  <c r="E6887" i="4"/>
  <c r="G6887" i="4"/>
  <c r="F6887" i="4"/>
  <c r="E6888" i="4"/>
  <c r="G6888" i="4"/>
  <c r="E6889" i="4"/>
  <c r="F6889" i="4"/>
  <c r="E6890" i="4"/>
  <c r="E6891" i="4"/>
  <c r="G6891" i="4"/>
  <c r="F6891" i="4"/>
  <c r="E6892" i="4"/>
  <c r="G6892" i="4"/>
  <c r="F6892" i="4"/>
  <c r="E6893" i="4"/>
  <c r="F6893" i="4"/>
  <c r="E6894" i="4"/>
  <c r="G6894" i="4"/>
  <c r="F6894" i="4"/>
  <c r="E6895" i="4"/>
  <c r="G6895" i="4"/>
  <c r="F6895" i="4"/>
  <c r="E6896" i="4"/>
  <c r="G6896" i="4"/>
  <c r="F6896" i="4"/>
  <c r="E6897" i="4"/>
  <c r="F6897" i="4"/>
  <c r="E6898" i="4"/>
  <c r="E6899" i="4"/>
  <c r="G6899" i="4"/>
  <c r="E6900" i="4"/>
  <c r="E6901" i="4"/>
  <c r="G6901" i="4"/>
  <c r="E6902" i="4"/>
  <c r="F6902" i="4"/>
  <c r="E6903" i="4"/>
  <c r="E6904" i="4"/>
  <c r="F6904" i="4"/>
  <c r="E6905" i="4"/>
  <c r="F6905" i="4"/>
  <c r="G6905" i="4"/>
  <c r="E6906" i="4"/>
  <c r="F6906" i="4"/>
  <c r="E6907" i="4"/>
  <c r="G6907" i="4"/>
  <c r="F6907" i="4"/>
  <c r="E6908" i="4"/>
  <c r="G6908" i="4"/>
  <c r="E6909" i="4"/>
  <c r="E6910" i="4"/>
  <c r="G6910" i="4"/>
  <c r="F6910" i="4"/>
  <c r="E6911" i="4"/>
  <c r="G6911" i="4"/>
  <c r="E6912" i="4"/>
  <c r="F6912" i="4"/>
  <c r="E6913" i="4"/>
  <c r="E6914" i="4"/>
  <c r="F6914" i="4"/>
  <c r="E6915" i="4"/>
  <c r="G6915" i="4"/>
  <c r="E6916" i="4"/>
  <c r="G6916" i="4"/>
  <c r="E6917" i="4"/>
  <c r="F6917" i="4"/>
  <c r="E6918" i="4"/>
  <c r="E6919" i="4"/>
  <c r="G6919" i="4"/>
  <c r="E6920" i="4"/>
  <c r="F6920" i="4"/>
  <c r="E6921" i="4"/>
  <c r="G6921" i="4"/>
  <c r="F6921" i="4"/>
  <c r="E6922" i="4"/>
  <c r="F6922" i="4"/>
  <c r="G6922" i="4"/>
  <c r="E6923" i="4"/>
  <c r="G6923" i="4"/>
  <c r="F6923" i="4"/>
  <c r="E6924" i="4"/>
  <c r="E6925" i="4"/>
  <c r="F6925" i="4"/>
  <c r="E6926" i="4"/>
  <c r="F6926" i="4"/>
  <c r="E6927" i="4"/>
  <c r="G6927" i="4"/>
  <c r="F6927" i="4"/>
  <c r="E6928" i="4"/>
  <c r="F6928" i="4"/>
  <c r="G6928" i="4"/>
  <c r="E6929" i="4"/>
  <c r="G6929" i="4"/>
  <c r="E6930" i="4"/>
  <c r="F6930" i="4"/>
  <c r="E6931" i="4"/>
  <c r="G6931" i="4"/>
  <c r="F6931" i="4"/>
  <c r="E6932" i="4"/>
  <c r="G6932" i="4"/>
  <c r="F6932" i="4"/>
  <c r="E6933" i="4"/>
  <c r="E6934" i="4"/>
  <c r="G6934" i="4"/>
  <c r="F6934" i="4"/>
  <c r="E6935" i="4"/>
  <c r="G6935" i="4"/>
  <c r="E6936" i="4"/>
  <c r="G6936" i="4"/>
  <c r="F6936" i="4"/>
  <c r="E6937" i="4"/>
  <c r="E6938" i="4"/>
  <c r="F6938" i="4"/>
  <c r="E6939" i="4"/>
  <c r="G6939" i="4"/>
  <c r="E6940" i="4"/>
  <c r="F6940" i="4"/>
  <c r="E6941" i="4"/>
  <c r="G6941" i="4"/>
  <c r="E6942" i="4"/>
  <c r="G6942" i="4"/>
  <c r="E6943" i="4"/>
  <c r="G6943" i="4"/>
  <c r="E6944" i="4"/>
  <c r="F6944" i="4"/>
  <c r="E6945" i="4"/>
  <c r="E6946" i="4"/>
  <c r="E6947" i="4"/>
  <c r="G6947" i="4"/>
  <c r="F6947" i="4"/>
  <c r="E6948" i="4"/>
  <c r="E6949" i="4"/>
  <c r="F6949" i="4"/>
  <c r="E6950" i="4"/>
  <c r="E6951" i="4"/>
  <c r="E6952" i="4"/>
  <c r="G6952" i="4"/>
  <c r="E6953" i="4"/>
  <c r="F6953" i="4"/>
  <c r="E6954" i="4"/>
  <c r="F6954" i="4"/>
  <c r="E6955" i="4"/>
  <c r="E6956" i="4"/>
  <c r="F6956" i="4"/>
  <c r="G6956" i="4"/>
  <c r="E6957" i="4"/>
  <c r="G6957" i="4"/>
  <c r="F6957" i="4"/>
  <c r="E6958" i="4"/>
  <c r="F6958" i="4"/>
  <c r="E6959" i="4"/>
  <c r="E6960" i="4"/>
  <c r="F6960" i="4"/>
  <c r="G6960" i="4"/>
  <c r="E6961" i="4"/>
  <c r="G6961" i="4"/>
  <c r="F6961" i="4"/>
  <c r="E6962" i="4"/>
  <c r="F6962" i="4"/>
  <c r="E6963" i="4"/>
  <c r="G6963" i="4"/>
  <c r="F6963" i="4"/>
  <c r="E6964" i="4"/>
  <c r="E6965" i="4"/>
  <c r="G6965" i="4"/>
  <c r="E6966" i="4"/>
  <c r="F6966" i="4"/>
  <c r="E6967" i="4"/>
  <c r="G6967" i="4"/>
  <c r="F6967" i="4"/>
  <c r="E6968" i="4"/>
  <c r="F6968" i="4"/>
  <c r="G6968" i="4"/>
  <c r="E6969" i="4"/>
  <c r="G6969" i="4"/>
  <c r="F6969" i="4"/>
  <c r="E6970" i="4"/>
  <c r="G6970" i="4"/>
  <c r="F6970" i="4"/>
  <c r="E6971" i="4"/>
  <c r="G6971" i="4"/>
  <c r="E6972" i="4"/>
  <c r="F6972" i="4"/>
  <c r="E6973" i="4"/>
  <c r="F6973" i="4"/>
  <c r="G6973" i="4"/>
  <c r="E6974" i="4"/>
  <c r="F6974" i="4"/>
  <c r="G6974" i="4"/>
  <c r="E6975" i="4"/>
  <c r="G6975" i="4"/>
  <c r="E6976" i="4"/>
  <c r="F6976" i="4"/>
  <c r="E6977" i="4"/>
  <c r="E6978" i="4"/>
  <c r="G6978" i="4"/>
  <c r="E6979" i="4"/>
  <c r="G6979" i="4"/>
  <c r="E6980" i="4"/>
  <c r="F6980" i="4"/>
  <c r="E6981" i="4"/>
  <c r="F6981" i="4"/>
  <c r="E6982" i="4"/>
  <c r="G6982" i="4"/>
  <c r="F6982" i="4"/>
  <c r="E6983" i="4"/>
  <c r="E6984" i="4"/>
  <c r="E6985" i="4"/>
  <c r="F6985" i="4"/>
  <c r="E6986" i="4"/>
  <c r="F6986" i="4"/>
  <c r="E6987" i="4"/>
  <c r="G6987" i="4"/>
  <c r="F6987" i="4"/>
  <c r="E6988" i="4"/>
  <c r="F6988" i="4"/>
  <c r="G6988" i="4"/>
  <c r="E6989" i="4"/>
  <c r="F6989" i="4"/>
  <c r="E6990" i="4"/>
  <c r="G6990" i="4"/>
  <c r="F6990" i="4"/>
  <c r="E6991" i="4"/>
  <c r="G6991" i="4"/>
  <c r="F6991" i="4"/>
  <c r="E6992" i="4"/>
  <c r="G6992" i="4"/>
  <c r="E6993" i="4"/>
  <c r="F6993" i="4"/>
  <c r="G6993" i="4"/>
  <c r="E6994" i="4"/>
  <c r="G6994" i="4"/>
  <c r="E6995" i="4"/>
  <c r="G6995" i="4"/>
  <c r="E6996" i="4"/>
  <c r="F6996" i="4"/>
  <c r="G6996" i="4"/>
  <c r="E6997" i="4"/>
  <c r="F6997" i="4"/>
  <c r="E6998" i="4"/>
  <c r="F6998" i="4"/>
  <c r="E6999" i="4"/>
  <c r="E7000" i="4"/>
  <c r="F7000" i="4"/>
  <c r="E7001" i="4"/>
  <c r="G7001" i="4"/>
  <c r="F7001" i="4"/>
  <c r="E7002" i="4"/>
  <c r="E7003" i="4"/>
  <c r="G7003" i="4"/>
  <c r="F7003" i="4"/>
  <c r="E7004" i="4"/>
  <c r="F7004" i="4"/>
  <c r="G7004" i="4"/>
  <c r="E7005" i="4"/>
  <c r="F7005" i="4"/>
  <c r="G7005" i="4"/>
  <c r="E7006" i="4"/>
  <c r="F7006" i="4"/>
  <c r="G7006" i="4"/>
  <c r="E7007" i="4"/>
  <c r="G7007" i="4"/>
  <c r="E7008" i="4"/>
  <c r="F7008" i="4"/>
  <c r="E7009" i="4"/>
  <c r="F7009" i="4"/>
  <c r="E7010" i="4"/>
  <c r="G7010" i="4"/>
  <c r="F7010" i="4"/>
  <c r="E7011" i="4"/>
  <c r="G7011" i="4"/>
  <c r="E7012" i="4"/>
  <c r="G7012" i="4"/>
  <c r="E7013" i="4"/>
  <c r="F7013" i="4"/>
  <c r="E7014" i="4"/>
  <c r="F7014" i="4"/>
  <c r="E7015" i="4"/>
  <c r="E7016" i="4"/>
  <c r="F7016" i="4"/>
  <c r="G7016" i="4"/>
  <c r="E7017" i="4"/>
  <c r="E7018" i="4"/>
  <c r="F7018" i="4"/>
  <c r="E7019" i="4"/>
  <c r="G7019" i="4"/>
  <c r="F7019" i="4"/>
  <c r="E7020" i="4"/>
  <c r="F7020" i="4"/>
  <c r="E7021" i="4"/>
  <c r="F7021" i="4"/>
  <c r="E7022" i="4"/>
  <c r="F7022" i="4"/>
  <c r="E7023" i="4"/>
  <c r="G7023" i="4"/>
  <c r="F7023" i="4"/>
  <c r="E7024" i="4"/>
  <c r="G7024" i="4"/>
  <c r="F7024" i="4"/>
  <c r="E7025" i="4"/>
  <c r="G7025" i="4"/>
  <c r="E7026" i="4"/>
  <c r="F7026" i="4"/>
  <c r="E7027" i="4"/>
  <c r="G7027" i="4"/>
  <c r="E7028" i="4"/>
  <c r="F7028" i="4"/>
  <c r="G7028" i="4"/>
  <c r="E7029" i="4"/>
  <c r="E7030" i="4"/>
  <c r="G7030" i="4"/>
  <c r="F7030" i="4"/>
  <c r="E7031" i="4"/>
  <c r="G7031" i="4"/>
  <c r="E7032" i="4"/>
  <c r="F7032" i="4"/>
  <c r="E7033" i="4"/>
  <c r="G7033" i="4"/>
  <c r="F7033" i="4"/>
  <c r="E7034" i="4"/>
  <c r="F7034" i="4"/>
  <c r="E7035" i="4"/>
  <c r="G7035" i="4"/>
  <c r="E7036" i="4"/>
  <c r="F7036" i="4"/>
  <c r="E7037" i="4"/>
  <c r="F7037" i="4"/>
  <c r="E7038" i="4"/>
  <c r="E7039" i="4"/>
  <c r="G7039" i="4"/>
  <c r="E7040" i="4"/>
  <c r="F7040" i="4"/>
  <c r="E7041" i="4"/>
  <c r="F7041" i="4"/>
  <c r="E7042" i="4"/>
  <c r="F7042" i="4"/>
  <c r="G7042" i="4"/>
  <c r="E7043" i="4"/>
  <c r="E7044" i="4"/>
  <c r="G7044" i="4"/>
  <c r="F7044" i="4"/>
  <c r="E7045" i="4"/>
  <c r="F7045" i="4"/>
  <c r="E7046" i="4"/>
  <c r="G7046" i="4"/>
  <c r="F7046" i="4"/>
  <c r="E7047" i="4"/>
  <c r="E7048" i="4"/>
  <c r="F7048" i="4"/>
  <c r="E7049" i="4"/>
  <c r="F7049" i="4"/>
  <c r="E7050" i="4"/>
  <c r="F7050" i="4"/>
  <c r="G7050" i="4"/>
  <c r="E7051" i="4"/>
  <c r="G7051" i="4"/>
  <c r="E7052" i="4"/>
  <c r="F7052" i="4"/>
  <c r="G7052" i="4"/>
  <c r="E7053" i="4"/>
  <c r="G7053" i="4"/>
  <c r="F7053" i="4"/>
  <c r="E7054" i="4"/>
  <c r="F7054" i="4"/>
  <c r="E7055" i="4"/>
  <c r="E7056" i="4"/>
  <c r="F7056" i="4"/>
  <c r="E7057" i="4"/>
  <c r="F7057" i="4"/>
  <c r="G7057" i="4"/>
  <c r="E7058" i="4"/>
  <c r="F7058" i="4"/>
  <c r="E7059" i="4"/>
  <c r="G7059" i="4"/>
  <c r="F7059" i="4"/>
  <c r="E7060" i="4"/>
  <c r="G7060" i="4"/>
  <c r="F7060" i="4"/>
  <c r="E7061" i="4"/>
  <c r="E7062" i="4"/>
  <c r="F7062" i="4"/>
  <c r="G7062" i="4"/>
  <c r="E7063" i="4"/>
  <c r="G7063" i="4"/>
  <c r="E7064" i="4"/>
  <c r="F7064" i="4"/>
  <c r="G7064" i="4"/>
  <c r="E7065" i="4"/>
  <c r="F7065" i="4"/>
  <c r="G7065" i="4"/>
  <c r="E7066" i="4"/>
  <c r="F7066" i="4"/>
  <c r="G7066" i="4"/>
  <c r="E7067" i="4"/>
  <c r="G7067" i="4"/>
  <c r="E7068" i="4"/>
  <c r="F7068" i="4"/>
  <c r="E7069" i="4"/>
  <c r="F7069" i="4"/>
  <c r="E7070" i="4"/>
  <c r="G7070" i="4"/>
  <c r="F7070" i="4"/>
  <c r="E7071" i="4"/>
  <c r="G7071" i="4"/>
  <c r="E7072" i="4"/>
  <c r="F7072" i="4"/>
  <c r="E7073" i="4"/>
  <c r="E7074" i="4"/>
  <c r="F7074" i="4"/>
  <c r="E7075" i="4"/>
  <c r="E7076" i="4"/>
  <c r="F7076" i="4"/>
  <c r="E7077" i="4"/>
  <c r="G7077" i="4"/>
  <c r="F7077" i="4"/>
  <c r="E7078" i="4"/>
  <c r="F7078" i="4"/>
  <c r="G7078" i="4"/>
  <c r="E7079" i="4"/>
  <c r="G7079" i="4"/>
  <c r="F7079" i="4"/>
  <c r="E7080" i="4"/>
  <c r="F7080" i="4"/>
  <c r="G7080" i="4"/>
  <c r="E7081" i="4"/>
  <c r="F7081" i="4"/>
  <c r="E7082" i="4"/>
  <c r="E7083" i="4"/>
  <c r="G7083" i="4"/>
  <c r="F7083" i="4"/>
  <c r="E7084" i="4"/>
  <c r="G7084" i="4"/>
  <c r="F7084" i="4"/>
  <c r="E7085" i="4"/>
  <c r="E7086" i="4"/>
  <c r="G7086" i="4"/>
  <c r="E7087" i="4"/>
  <c r="G7087" i="4"/>
  <c r="F7087" i="4"/>
  <c r="E7088" i="4"/>
  <c r="F7088" i="4"/>
  <c r="E7089" i="4"/>
  <c r="E7090" i="4"/>
  <c r="G7090" i="4"/>
  <c r="E7091" i="4"/>
  <c r="G7091" i="4"/>
  <c r="F7091" i="4"/>
  <c r="E7092" i="4"/>
  <c r="F7092" i="4"/>
  <c r="E7093" i="4"/>
  <c r="G7093" i="4"/>
  <c r="E7094" i="4"/>
  <c r="F7094" i="4"/>
  <c r="G7094" i="4"/>
  <c r="E7095" i="4"/>
  <c r="E7096" i="4"/>
  <c r="F7096" i="4"/>
  <c r="E7097" i="4"/>
  <c r="G7097" i="4"/>
  <c r="F7097" i="4"/>
  <c r="E7098" i="4"/>
  <c r="E7099" i="4"/>
  <c r="E7100" i="4"/>
  <c r="F7100" i="4"/>
  <c r="E7101" i="4"/>
  <c r="F7101" i="4"/>
  <c r="E7102" i="4"/>
  <c r="G7102" i="4"/>
  <c r="F7102" i="4"/>
  <c r="E7103" i="4"/>
  <c r="G7103" i="4"/>
  <c r="E7104" i="4"/>
  <c r="F7104" i="4"/>
  <c r="E7105" i="4"/>
  <c r="F7105" i="4"/>
  <c r="E7106" i="4"/>
  <c r="G7106" i="4"/>
  <c r="F7106" i="4"/>
  <c r="E7107" i="4"/>
  <c r="E7108" i="4"/>
  <c r="G7108" i="4"/>
  <c r="E7109" i="4"/>
  <c r="F7109" i="4"/>
  <c r="E7110" i="4"/>
  <c r="F7110" i="4"/>
  <c r="E7111" i="4"/>
  <c r="G7111" i="4"/>
  <c r="E7112" i="4"/>
  <c r="E7113" i="4"/>
  <c r="F7113" i="4"/>
  <c r="G7113" i="4"/>
  <c r="E7114" i="4"/>
  <c r="F7114" i="4"/>
  <c r="E7115" i="4"/>
  <c r="G7115" i="4"/>
  <c r="E7116" i="4"/>
  <c r="E7117" i="4"/>
  <c r="F7117" i="4"/>
  <c r="E7118" i="4"/>
  <c r="F7118" i="4"/>
  <c r="E7119" i="4"/>
  <c r="G7119" i="4"/>
  <c r="E7120" i="4"/>
  <c r="F7120" i="4"/>
  <c r="E7121" i="4"/>
  <c r="E7122" i="4"/>
  <c r="F7122" i="4"/>
  <c r="G7122" i="4"/>
  <c r="E7123" i="4"/>
  <c r="E7124" i="4"/>
  <c r="F7124" i="4"/>
  <c r="G7124" i="4"/>
  <c r="E7125" i="4"/>
  <c r="F7125" i="4"/>
  <c r="G7125" i="4"/>
  <c r="E7126" i="4"/>
  <c r="F7126" i="4"/>
  <c r="G7126" i="4"/>
  <c r="E7127" i="4"/>
  <c r="G7127" i="4"/>
  <c r="E7128" i="4"/>
  <c r="F7128" i="4"/>
  <c r="E7129" i="4"/>
  <c r="F7129" i="4"/>
  <c r="G7129" i="4"/>
  <c r="E7130" i="4"/>
  <c r="E7131" i="4"/>
  <c r="G7131" i="4"/>
  <c r="E7132" i="4"/>
  <c r="F7132" i="4"/>
  <c r="E7133" i="4"/>
  <c r="F7133" i="4"/>
  <c r="E7134" i="4"/>
  <c r="E7135" i="4"/>
  <c r="E7136" i="4"/>
  <c r="F7136" i="4"/>
  <c r="G7136" i="4"/>
  <c r="E7137" i="4"/>
  <c r="G7137" i="4"/>
  <c r="E7138" i="4"/>
  <c r="F7138" i="4"/>
  <c r="E7139" i="4"/>
  <c r="G7139" i="4"/>
  <c r="F7139" i="4"/>
  <c r="E7140" i="4"/>
  <c r="F7140" i="4"/>
  <c r="G7140" i="4"/>
  <c r="E7141" i="4"/>
  <c r="F7141" i="4"/>
  <c r="E7142" i="4"/>
  <c r="F7142" i="4"/>
  <c r="E7143" i="4"/>
  <c r="E7144" i="4"/>
  <c r="G7144" i="4"/>
  <c r="E7145" i="4"/>
  <c r="F7145" i="4"/>
  <c r="E7146" i="4"/>
  <c r="G7146" i="4"/>
  <c r="E7147" i="4"/>
  <c r="G7147" i="4"/>
  <c r="E7148" i="4"/>
  <c r="E7149" i="4"/>
  <c r="F7149" i="4"/>
  <c r="E7150" i="4"/>
  <c r="F7150" i="4"/>
  <c r="E7151" i="4"/>
  <c r="G7151" i="4"/>
  <c r="E7152" i="4"/>
  <c r="F7152" i="4"/>
  <c r="G7152" i="4"/>
  <c r="E7153" i="4"/>
  <c r="G7153" i="4"/>
  <c r="F7153" i="4"/>
  <c r="E7154" i="4"/>
  <c r="E7155" i="4"/>
  <c r="G7155" i="4"/>
  <c r="F7155" i="4"/>
  <c r="E7156" i="4"/>
  <c r="G7156" i="4"/>
  <c r="E7157" i="4"/>
  <c r="F7157" i="4"/>
  <c r="E7158" i="4"/>
  <c r="E7159" i="4"/>
  <c r="G7159" i="4"/>
  <c r="E7160" i="4"/>
  <c r="F7160" i="4"/>
  <c r="G7160" i="4"/>
  <c r="E7161" i="4"/>
  <c r="F7161" i="4"/>
  <c r="G7161" i="4"/>
  <c r="E7162" i="4"/>
  <c r="G7162" i="4"/>
  <c r="F7162" i="4"/>
  <c r="E7163" i="4"/>
  <c r="G7163" i="4"/>
  <c r="E7164" i="4"/>
  <c r="F7164" i="4"/>
  <c r="E7165" i="4"/>
  <c r="F7165" i="4"/>
  <c r="G7165" i="4"/>
  <c r="E7166" i="4"/>
  <c r="F7166" i="4"/>
  <c r="G7166" i="4"/>
  <c r="E7167" i="4"/>
  <c r="E7168" i="4"/>
  <c r="F7168" i="4"/>
  <c r="G7168" i="4"/>
  <c r="E7169" i="4"/>
  <c r="G7169" i="4"/>
  <c r="E7170" i="4"/>
  <c r="F7170" i="4"/>
  <c r="E7171" i="4"/>
  <c r="G7171" i="4"/>
  <c r="F7171" i="4"/>
  <c r="E7172" i="4"/>
  <c r="E7173" i="4"/>
  <c r="G7173" i="4"/>
  <c r="F7173" i="4"/>
  <c r="E7174" i="4"/>
  <c r="F7174" i="4"/>
  <c r="G7174" i="4"/>
  <c r="E7175" i="4"/>
  <c r="G7175" i="4"/>
  <c r="F7175" i="4"/>
  <c r="E7176" i="4"/>
  <c r="G7176" i="4"/>
  <c r="E7177" i="4"/>
  <c r="F7177" i="4"/>
  <c r="G7177" i="4"/>
  <c r="E7178" i="4"/>
  <c r="F7178" i="4"/>
  <c r="G7178" i="4"/>
  <c r="E7179" i="4"/>
  <c r="E7180" i="4"/>
  <c r="F7180" i="4"/>
  <c r="E7181" i="4"/>
  <c r="E7182" i="4"/>
  <c r="G7182" i="4"/>
  <c r="E7183" i="4"/>
  <c r="G7183" i="4"/>
  <c r="F7183" i="4"/>
  <c r="E7184" i="4"/>
  <c r="F7184" i="4"/>
  <c r="G7184" i="4"/>
  <c r="E7185" i="4"/>
  <c r="F7185" i="4"/>
  <c r="G7185" i="4"/>
  <c r="E7186" i="4"/>
  <c r="F7186" i="4"/>
  <c r="G7186" i="4"/>
  <c r="E7187" i="4"/>
  <c r="G7187" i="4"/>
  <c r="E7188" i="4"/>
  <c r="F7188" i="4"/>
  <c r="E7189" i="4"/>
  <c r="F7189" i="4"/>
  <c r="G7189" i="4"/>
  <c r="E7190" i="4"/>
  <c r="E7191" i="4"/>
  <c r="E7192" i="4"/>
  <c r="F7192" i="4"/>
  <c r="E7193" i="4"/>
  <c r="F7193" i="4"/>
  <c r="G7193" i="4"/>
  <c r="E7194" i="4"/>
  <c r="F7194" i="4"/>
  <c r="G7194" i="4"/>
  <c r="E7195" i="4"/>
  <c r="G7195" i="4"/>
  <c r="F7195" i="4"/>
  <c r="E7196" i="4"/>
  <c r="E7197" i="4"/>
  <c r="F7197" i="4"/>
  <c r="E7198" i="4"/>
  <c r="F7198" i="4"/>
  <c r="G7198" i="4"/>
  <c r="E7199" i="4"/>
  <c r="E7200" i="4"/>
  <c r="F7200" i="4"/>
  <c r="E7201" i="4"/>
  <c r="F7201" i="4"/>
  <c r="E7202" i="4"/>
  <c r="F7202" i="4"/>
  <c r="G7202" i="4"/>
  <c r="E7203" i="4"/>
  <c r="G7203" i="4"/>
  <c r="F7203" i="4"/>
  <c r="E7204" i="4"/>
  <c r="E7205" i="4"/>
  <c r="F7205" i="4"/>
  <c r="G7205" i="4"/>
  <c r="E7206" i="4"/>
  <c r="F7206" i="4"/>
  <c r="E7207" i="4"/>
  <c r="G7207" i="4"/>
  <c r="E7208" i="4"/>
  <c r="F7208" i="4"/>
  <c r="G7208" i="4"/>
  <c r="E7209" i="4"/>
  <c r="F7209" i="4"/>
  <c r="G7209" i="4"/>
  <c r="E7210" i="4"/>
  <c r="F7210" i="4"/>
  <c r="E7211" i="4"/>
  <c r="G7211" i="4"/>
  <c r="E7212" i="4"/>
  <c r="F7212" i="4"/>
  <c r="G7212" i="4"/>
  <c r="E7213" i="4"/>
  <c r="E7214" i="4"/>
  <c r="F7214" i="4"/>
  <c r="G7214" i="4"/>
  <c r="E7215" i="4"/>
  <c r="G7215" i="4"/>
  <c r="F7215" i="4"/>
  <c r="E7216" i="4"/>
  <c r="F7216" i="4"/>
  <c r="G7216" i="4"/>
  <c r="E7217" i="4"/>
  <c r="G7217" i="4"/>
  <c r="E7218" i="4"/>
  <c r="E7219" i="4"/>
  <c r="E7220" i="4"/>
  <c r="F7220" i="4"/>
  <c r="G7220" i="4"/>
  <c r="E7221" i="4"/>
  <c r="F7221" i="4"/>
  <c r="E7222" i="4"/>
  <c r="F7222" i="4"/>
  <c r="E7223" i="4"/>
  <c r="G7223" i="4"/>
  <c r="E7224" i="4"/>
  <c r="F7224" i="4"/>
  <c r="E7225" i="4"/>
  <c r="G7225" i="4"/>
  <c r="E7226" i="4"/>
  <c r="F7226" i="4"/>
  <c r="E7227" i="4"/>
  <c r="E7228" i="4"/>
  <c r="E7229" i="4"/>
  <c r="F7229" i="4"/>
  <c r="E7230" i="4"/>
  <c r="G7230" i="4"/>
  <c r="E7231" i="4"/>
  <c r="G7231" i="4"/>
  <c r="E7232" i="4"/>
  <c r="E7233" i="4"/>
  <c r="G7233" i="4"/>
  <c r="E7234" i="4"/>
  <c r="F7234" i="4"/>
  <c r="E7235" i="4"/>
  <c r="E7236" i="4"/>
  <c r="G7236" i="4"/>
  <c r="E7237" i="4"/>
  <c r="F7237" i="4"/>
  <c r="G7237" i="4"/>
  <c r="E7238" i="4"/>
  <c r="G7238" i="4"/>
  <c r="E7239" i="4"/>
  <c r="E7240" i="4"/>
  <c r="F7240" i="4"/>
  <c r="E7241" i="4"/>
  <c r="E7242" i="4"/>
  <c r="G7242" i="4"/>
  <c r="F7242" i="4"/>
  <c r="E7243" i="4"/>
  <c r="G7243" i="4"/>
  <c r="E7244" i="4"/>
  <c r="F7244" i="4"/>
  <c r="G7244" i="4"/>
  <c r="E7245" i="4"/>
  <c r="G7245" i="4"/>
  <c r="E7246" i="4"/>
  <c r="F7246" i="4"/>
  <c r="G7246" i="4"/>
  <c r="E7247" i="4"/>
  <c r="G7247" i="4"/>
  <c r="F7247" i="4"/>
  <c r="E7248" i="4"/>
  <c r="E7249" i="4"/>
  <c r="F7249" i="4"/>
  <c r="E7250" i="4"/>
  <c r="E7251" i="4"/>
  <c r="E7252" i="4"/>
  <c r="G7252" i="4"/>
  <c r="E7253" i="4"/>
  <c r="F7253" i="4"/>
  <c r="E7254" i="4"/>
  <c r="E7255" i="4"/>
  <c r="G7255" i="4"/>
  <c r="E7256" i="4"/>
  <c r="E7257" i="4"/>
  <c r="F7257" i="4"/>
  <c r="E7258" i="4"/>
  <c r="F7258" i="4"/>
  <c r="E7259" i="4"/>
  <c r="E7260" i="4"/>
  <c r="F7260" i="4"/>
  <c r="G7260" i="4"/>
  <c r="E7261" i="4"/>
  <c r="F7261" i="4"/>
  <c r="E7262" i="4"/>
  <c r="F7262" i="4"/>
  <c r="G7262" i="4"/>
  <c r="E7263" i="4"/>
  <c r="G7263" i="4"/>
  <c r="F7263" i="4"/>
  <c r="E7264" i="4"/>
  <c r="E7265" i="4"/>
  <c r="G7265" i="4"/>
  <c r="F7265" i="4"/>
  <c r="E7266" i="4"/>
  <c r="F7266" i="4"/>
  <c r="G7266" i="4"/>
  <c r="E7267" i="4"/>
  <c r="G7267" i="4"/>
  <c r="E7268" i="4"/>
  <c r="F7268" i="4"/>
  <c r="G7268" i="4"/>
  <c r="E7269" i="4"/>
  <c r="G7269" i="4"/>
  <c r="F7269" i="4"/>
  <c r="E7270" i="4"/>
  <c r="G7270" i="4"/>
  <c r="F7270" i="4"/>
  <c r="E7271" i="4"/>
  <c r="G7271" i="4"/>
  <c r="E7272" i="4"/>
  <c r="F7272" i="4"/>
  <c r="G7272" i="4"/>
  <c r="E7273" i="4"/>
  <c r="E7274" i="4"/>
  <c r="F7274" i="4"/>
  <c r="E7275" i="4"/>
  <c r="G7275" i="4"/>
  <c r="E7276" i="4"/>
  <c r="G7276" i="4"/>
  <c r="F7276" i="4"/>
  <c r="E7277" i="4"/>
  <c r="G7277" i="4"/>
  <c r="E7278" i="4"/>
  <c r="G7278" i="4"/>
  <c r="F7278" i="4"/>
  <c r="E7279" i="4"/>
  <c r="G7279" i="4"/>
  <c r="E7280" i="4"/>
  <c r="G7280" i="4"/>
  <c r="F7280" i="4"/>
  <c r="E7281" i="4"/>
  <c r="F7281" i="4"/>
  <c r="G7281" i="4"/>
  <c r="E7282" i="4"/>
  <c r="G7282" i="4"/>
  <c r="F7282" i="4"/>
  <c r="E7283" i="4"/>
  <c r="G7283" i="4"/>
  <c r="F7283" i="4"/>
  <c r="E7284" i="4"/>
  <c r="E7285" i="4"/>
  <c r="F7285" i="4"/>
  <c r="E7286" i="4"/>
  <c r="F7286" i="4"/>
  <c r="E7287" i="4"/>
  <c r="E7288" i="4"/>
  <c r="F7288" i="4"/>
  <c r="G7288" i="4"/>
  <c r="E7289" i="4"/>
  <c r="F7289" i="4"/>
  <c r="G7289" i="4"/>
  <c r="E7290" i="4"/>
  <c r="F7290" i="4"/>
  <c r="E7291" i="4"/>
  <c r="G7291" i="4"/>
  <c r="E7292" i="4"/>
  <c r="F7292" i="4"/>
  <c r="E7293" i="4"/>
  <c r="E7294" i="4"/>
  <c r="G7294" i="4"/>
  <c r="F7294" i="4"/>
  <c r="E7295" i="4"/>
  <c r="G7295" i="4"/>
  <c r="E7296" i="4"/>
  <c r="E7297" i="4"/>
  <c r="F7297" i="4"/>
  <c r="E7298" i="4"/>
  <c r="G7298" i="4"/>
  <c r="F7298" i="4"/>
  <c r="E7299" i="4"/>
  <c r="G7299" i="4"/>
  <c r="E7300" i="4"/>
  <c r="E7301" i="4"/>
  <c r="E7302" i="4"/>
  <c r="G7302" i="4"/>
  <c r="E7303" i="4"/>
  <c r="G7303" i="4"/>
  <c r="E7304" i="4"/>
  <c r="F7304" i="4"/>
  <c r="E7305" i="4"/>
  <c r="G7305" i="4"/>
  <c r="F7305" i="4"/>
  <c r="E7306" i="4"/>
  <c r="F7306" i="4"/>
  <c r="G7306" i="4"/>
  <c r="E7307" i="4"/>
  <c r="E7308" i="4"/>
  <c r="F7308" i="4"/>
  <c r="E7309" i="4"/>
  <c r="F7309" i="4"/>
  <c r="E7310" i="4"/>
  <c r="E7311" i="4"/>
  <c r="G7311" i="4"/>
  <c r="F7311" i="4"/>
  <c r="E7312" i="4"/>
  <c r="F7312" i="4"/>
  <c r="G7312" i="4"/>
  <c r="E7313" i="4"/>
  <c r="G7313" i="4"/>
  <c r="E7314" i="4"/>
  <c r="F7314" i="4"/>
  <c r="E7315" i="4"/>
  <c r="G7315" i="4"/>
  <c r="E7316" i="4"/>
  <c r="G7316" i="4"/>
  <c r="E7317" i="4"/>
  <c r="F7317" i="4"/>
  <c r="E7318" i="4"/>
  <c r="F7318" i="4"/>
  <c r="G7318" i="4"/>
  <c r="E7319" i="4"/>
  <c r="E7320" i="4"/>
  <c r="F7320" i="4"/>
  <c r="E7321" i="4"/>
  <c r="F7321" i="4"/>
  <c r="G7321" i="4"/>
  <c r="E7322" i="4"/>
  <c r="F7322" i="4"/>
  <c r="E7323" i="4"/>
  <c r="G7323" i="4"/>
  <c r="F7323" i="4"/>
  <c r="E7324" i="4"/>
  <c r="E7325" i="4"/>
  <c r="G7325" i="4"/>
  <c r="F7325" i="4"/>
  <c r="E7326" i="4"/>
  <c r="G7326" i="4"/>
  <c r="E7327" i="4"/>
  <c r="G7327" i="4"/>
  <c r="E7328" i="4"/>
  <c r="F7328" i="4"/>
  <c r="G7328" i="4"/>
  <c r="E7329" i="4"/>
  <c r="F7329" i="4"/>
  <c r="E7330" i="4"/>
  <c r="E7331" i="4"/>
  <c r="G7331" i="4"/>
  <c r="F7331" i="4"/>
  <c r="E7332" i="4"/>
  <c r="E7333" i="4"/>
  <c r="E7334" i="4"/>
  <c r="G7334" i="4"/>
  <c r="E7335" i="4"/>
  <c r="E7336" i="4"/>
  <c r="F7336" i="4"/>
  <c r="E7337" i="4"/>
  <c r="F7337" i="4"/>
  <c r="E7338" i="4"/>
  <c r="F7338" i="4"/>
  <c r="G7338" i="4"/>
  <c r="E7339" i="4"/>
  <c r="E7340" i="4"/>
  <c r="F7340" i="4"/>
  <c r="G7340" i="4"/>
  <c r="E7341" i="4"/>
  <c r="F7341" i="4"/>
  <c r="G7341" i="4"/>
  <c r="E7342" i="4"/>
  <c r="E7343" i="4"/>
  <c r="E7344" i="4"/>
  <c r="E7345" i="4"/>
  <c r="F7345" i="4"/>
  <c r="E7346" i="4"/>
  <c r="F7346" i="4"/>
  <c r="E7347" i="4"/>
  <c r="G7347" i="4"/>
  <c r="F7347" i="4"/>
  <c r="E7348" i="4"/>
  <c r="E7349" i="4"/>
  <c r="G7349" i="4"/>
  <c r="F7349" i="4"/>
  <c r="E7350" i="4"/>
  <c r="F7350" i="4"/>
  <c r="E7351" i="4"/>
  <c r="G7351" i="4"/>
  <c r="F7351" i="4"/>
  <c r="E7352" i="4"/>
  <c r="F7352" i="4"/>
  <c r="E7353" i="4"/>
  <c r="F7353" i="4"/>
  <c r="E7354" i="4"/>
  <c r="G7354" i="4"/>
  <c r="F7354" i="4"/>
  <c r="E7355" i="4"/>
  <c r="G7355" i="4"/>
  <c r="E7356" i="4"/>
  <c r="E7357" i="4"/>
  <c r="F7357" i="4"/>
  <c r="E7358" i="4"/>
  <c r="G7358" i="4"/>
  <c r="E7359" i="4"/>
  <c r="G7359" i="4"/>
  <c r="E7360" i="4"/>
  <c r="F7360" i="4"/>
  <c r="G7360" i="4"/>
  <c r="E7361" i="4"/>
  <c r="G7361" i="4"/>
  <c r="F7361" i="4"/>
  <c r="E7362" i="4"/>
  <c r="G7362" i="4"/>
  <c r="E7363" i="4"/>
  <c r="G7363" i="4"/>
  <c r="E7364" i="4"/>
  <c r="F7364" i="4"/>
  <c r="E7365" i="4"/>
  <c r="G7365" i="4"/>
  <c r="F7365" i="4"/>
  <c r="E7366" i="4"/>
  <c r="F7366" i="4"/>
  <c r="G7366" i="4"/>
  <c r="E7367" i="4"/>
  <c r="G7367" i="4"/>
  <c r="F7367" i="4"/>
  <c r="E7368" i="4"/>
  <c r="F7368" i="4"/>
  <c r="G7368" i="4"/>
  <c r="E7369" i="4"/>
  <c r="G7369" i="4"/>
  <c r="E7370" i="4"/>
  <c r="F7370" i="4"/>
  <c r="G7370" i="4"/>
  <c r="E7371" i="4"/>
  <c r="G7371" i="4"/>
  <c r="F7371" i="4"/>
  <c r="E7372" i="4"/>
  <c r="E7373" i="4"/>
  <c r="F7373" i="4"/>
  <c r="E7374" i="4"/>
  <c r="G7374" i="4"/>
  <c r="E7375" i="4"/>
  <c r="E7376" i="4"/>
  <c r="G7376" i="4"/>
  <c r="E7377" i="4"/>
  <c r="F7377" i="4"/>
  <c r="E7378" i="4"/>
  <c r="F7378" i="4"/>
  <c r="G7378" i="4"/>
  <c r="E7379" i="4"/>
  <c r="G7379" i="4"/>
  <c r="F7379" i="4"/>
  <c r="E7380" i="4"/>
  <c r="F7380" i="4"/>
  <c r="E7381" i="4"/>
  <c r="F7381" i="4"/>
  <c r="E7382" i="4"/>
  <c r="F7382" i="4"/>
  <c r="E7383" i="4"/>
  <c r="E7384" i="4"/>
  <c r="E7385" i="4"/>
  <c r="G7385" i="4"/>
  <c r="F7385" i="4"/>
  <c r="E7386" i="4"/>
  <c r="E7387" i="4"/>
  <c r="G7387" i="4"/>
  <c r="E7388" i="4"/>
  <c r="F7388" i="4"/>
  <c r="G7388" i="4"/>
  <c r="E7389" i="4"/>
  <c r="F7389" i="4"/>
  <c r="E7390" i="4"/>
  <c r="G7390" i="4"/>
  <c r="F7390" i="4"/>
  <c r="E7391" i="4"/>
  <c r="G7391" i="4"/>
  <c r="E7392" i="4"/>
  <c r="E7393" i="4"/>
  <c r="E7394" i="4"/>
  <c r="E7395" i="4"/>
  <c r="E7396" i="4"/>
  <c r="G7396" i="4"/>
  <c r="E7397" i="4"/>
  <c r="F7397" i="4"/>
  <c r="E7398" i="4"/>
  <c r="F7398" i="4"/>
  <c r="G7398" i="4"/>
  <c r="E7399" i="4"/>
  <c r="E7400" i="4"/>
  <c r="E7401" i="4"/>
  <c r="E7402" i="4"/>
  <c r="E7403" i="4"/>
  <c r="G7403" i="4"/>
  <c r="F7403" i="4"/>
  <c r="E7404" i="4"/>
  <c r="F7404" i="4"/>
  <c r="E7405" i="4"/>
  <c r="F7405" i="4"/>
  <c r="E7406" i="4"/>
  <c r="F7406" i="4"/>
  <c r="E7407" i="4"/>
  <c r="G7407" i="4"/>
  <c r="F7407" i="4"/>
  <c r="E7408" i="4"/>
  <c r="G7408" i="4"/>
  <c r="F7408" i="4"/>
  <c r="E7409" i="4"/>
  <c r="E7410" i="4"/>
  <c r="F7410" i="4"/>
  <c r="G7410" i="4"/>
  <c r="E7411" i="4"/>
  <c r="G7411" i="4"/>
  <c r="E7412" i="4"/>
  <c r="G7412" i="4"/>
  <c r="F7412" i="4"/>
  <c r="E7413" i="4"/>
  <c r="F7413" i="4"/>
  <c r="E7414" i="4"/>
  <c r="E7415" i="4"/>
  <c r="G7415" i="4"/>
  <c r="F7415" i="4"/>
  <c r="E7416" i="4"/>
  <c r="E7417" i="4"/>
  <c r="G7417" i="4"/>
  <c r="E7418" i="4"/>
  <c r="E7419" i="4"/>
  <c r="E7420" i="4"/>
  <c r="F7420" i="4"/>
  <c r="G7420" i="4"/>
  <c r="E7421" i="4"/>
  <c r="E7422" i="4"/>
  <c r="E7423" i="4"/>
  <c r="E7424" i="4"/>
  <c r="F7424" i="4"/>
  <c r="E7425" i="4"/>
  <c r="G7425" i="4"/>
  <c r="E7426" i="4"/>
  <c r="F7426" i="4"/>
  <c r="G7426" i="4"/>
  <c r="E7427" i="4"/>
  <c r="G7427" i="4"/>
  <c r="F7427" i="4"/>
  <c r="E7428" i="4"/>
  <c r="E7429" i="4"/>
  <c r="F7429" i="4"/>
  <c r="G7429" i="4"/>
  <c r="E7430" i="4"/>
  <c r="F7430" i="4"/>
  <c r="E7431" i="4"/>
  <c r="E7432" i="4"/>
  <c r="F7432" i="4"/>
  <c r="G7432" i="4"/>
  <c r="E7433" i="4"/>
  <c r="F7433" i="4"/>
  <c r="G7433" i="4"/>
  <c r="E7434" i="4"/>
  <c r="G7434" i="4"/>
  <c r="F7434" i="4"/>
  <c r="E7435" i="4"/>
  <c r="G7435" i="4"/>
  <c r="E7436" i="4"/>
  <c r="F7436" i="4"/>
  <c r="E7437" i="4"/>
  <c r="F7437" i="4"/>
  <c r="E7438" i="4"/>
  <c r="E7439" i="4"/>
  <c r="G7439" i="4"/>
  <c r="F7439" i="4"/>
  <c r="E7440" i="4"/>
  <c r="F7440" i="4"/>
  <c r="E7441" i="4"/>
  <c r="F7441" i="4"/>
  <c r="G7441" i="4"/>
  <c r="E7442" i="4"/>
  <c r="F7442" i="4"/>
  <c r="G7442" i="4"/>
  <c r="E7443" i="4"/>
  <c r="E7444" i="4"/>
  <c r="E7445" i="4"/>
  <c r="G7445" i="4"/>
  <c r="E7446" i="4"/>
  <c r="F7446" i="4"/>
  <c r="E7447" i="4"/>
  <c r="G7447" i="4"/>
  <c r="E7448" i="4"/>
  <c r="G7448" i="4"/>
  <c r="E7449" i="4"/>
  <c r="F7449" i="4"/>
  <c r="E7450" i="4"/>
  <c r="E7451" i="4"/>
  <c r="E7452" i="4"/>
  <c r="F7452" i="4"/>
  <c r="G7452" i="4"/>
  <c r="E7453" i="4"/>
  <c r="F7453" i="4"/>
  <c r="E7454" i="4"/>
  <c r="G7454" i="4"/>
  <c r="F7454" i="4"/>
  <c r="E7455" i="4"/>
  <c r="E7456" i="4"/>
  <c r="F7456" i="4"/>
  <c r="G7456" i="4"/>
  <c r="E7457" i="4"/>
  <c r="G7457" i="4"/>
  <c r="E7458" i="4"/>
  <c r="F7458" i="4"/>
  <c r="E7459" i="4"/>
  <c r="E7460" i="4"/>
  <c r="F7460" i="4"/>
  <c r="E7461" i="4"/>
  <c r="F7461" i="4"/>
  <c r="G7461" i="4"/>
  <c r="E7462" i="4"/>
  <c r="F7462" i="4"/>
  <c r="G7462" i="4"/>
  <c r="E7463" i="4"/>
  <c r="G7463" i="4"/>
  <c r="F7463" i="4"/>
  <c r="E7464" i="4"/>
  <c r="F7464" i="4"/>
  <c r="G7464" i="4"/>
  <c r="E7465" i="4"/>
  <c r="F7465" i="4"/>
  <c r="E7466" i="4"/>
  <c r="E7467" i="4"/>
  <c r="F7467" i="4"/>
  <c r="E7468" i="4"/>
  <c r="E7469" i="4"/>
  <c r="F7469" i="4"/>
  <c r="G7469" i="4"/>
  <c r="E7470" i="4"/>
  <c r="F7470" i="4"/>
  <c r="G7470" i="4"/>
  <c r="E7471" i="4"/>
  <c r="E7472" i="4"/>
  <c r="G7472" i="4"/>
  <c r="E7473" i="4"/>
  <c r="F7473" i="4"/>
  <c r="E7474" i="4"/>
  <c r="F7474" i="4"/>
  <c r="G7474" i="4"/>
  <c r="E7475" i="4"/>
  <c r="G7475" i="4"/>
  <c r="E7476" i="4"/>
  <c r="F7476" i="4"/>
  <c r="G7476" i="4"/>
  <c r="E7477" i="4"/>
  <c r="F7477" i="4"/>
  <c r="G7477" i="4"/>
  <c r="E7478" i="4"/>
  <c r="E7479" i="4"/>
  <c r="F7479" i="4"/>
  <c r="E7480" i="4"/>
  <c r="F7480" i="4"/>
  <c r="E7481" i="4"/>
  <c r="F7481" i="4"/>
  <c r="G7481" i="4"/>
  <c r="E7482" i="4"/>
  <c r="F7482" i="4"/>
  <c r="E7483" i="4"/>
  <c r="F7483" i="4"/>
  <c r="G7483" i="4"/>
  <c r="E7484" i="4"/>
  <c r="F7484" i="4"/>
  <c r="E7485" i="4"/>
  <c r="G7485" i="4"/>
  <c r="E7486" i="4"/>
  <c r="E7487" i="4"/>
  <c r="F7487" i="4"/>
  <c r="G7487" i="4"/>
  <c r="E7488" i="4"/>
  <c r="E7489" i="4"/>
  <c r="F7489" i="4"/>
  <c r="E7490" i="4"/>
  <c r="F7490" i="4"/>
  <c r="E7491" i="4"/>
  <c r="F7491" i="4"/>
  <c r="G7491" i="4"/>
  <c r="E7492" i="4"/>
  <c r="F7492" i="4"/>
  <c r="G7492" i="4"/>
  <c r="E7493" i="4"/>
  <c r="F7493" i="4"/>
  <c r="G7493" i="4"/>
  <c r="E7494" i="4"/>
  <c r="E7495" i="4"/>
  <c r="F7495" i="4"/>
  <c r="E7496" i="4"/>
  <c r="F7496" i="4"/>
  <c r="E7497" i="4"/>
  <c r="F7497" i="4"/>
  <c r="E7498" i="4"/>
  <c r="F7498" i="4"/>
  <c r="E7499" i="4"/>
  <c r="F7499" i="4"/>
  <c r="G7499" i="4"/>
  <c r="E7500" i="4"/>
  <c r="F7500" i="4"/>
  <c r="E7501" i="4"/>
  <c r="G7501" i="4"/>
  <c r="E7502" i="4"/>
  <c r="E7503" i="4"/>
  <c r="F7503" i="4"/>
  <c r="E7504" i="4"/>
  <c r="F7504" i="4"/>
  <c r="E7505" i="4"/>
  <c r="G7505" i="4"/>
  <c r="F7505" i="4"/>
  <c r="E7506" i="4"/>
  <c r="E7507" i="4"/>
  <c r="G7507" i="4"/>
  <c r="F7507" i="4"/>
  <c r="E7508" i="4"/>
  <c r="F7508" i="4"/>
  <c r="E7509" i="4"/>
  <c r="F7509" i="4"/>
  <c r="E7510" i="4"/>
  <c r="E7511" i="4"/>
  <c r="F7511" i="4"/>
  <c r="E7512" i="4"/>
  <c r="F7512" i="4"/>
  <c r="G7512" i="4"/>
  <c r="E7513" i="4"/>
  <c r="F7513" i="4"/>
  <c r="E7514" i="4"/>
  <c r="F7514" i="4"/>
  <c r="G7514" i="4"/>
  <c r="E7515" i="4"/>
  <c r="F7515" i="4"/>
  <c r="G7515" i="4"/>
  <c r="E7516" i="4"/>
  <c r="F7516" i="4"/>
  <c r="E7517" i="4"/>
  <c r="F7517" i="4"/>
  <c r="E7518" i="4"/>
  <c r="F7518" i="4"/>
  <c r="E7519" i="4"/>
  <c r="E7520" i="4"/>
  <c r="G7520" i="4"/>
  <c r="F7520" i="4"/>
  <c r="E7521" i="4"/>
  <c r="E7522" i="4"/>
  <c r="F7522" i="4"/>
  <c r="E7523" i="4"/>
  <c r="G7523" i="4"/>
  <c r="E7524" i="4"/>
  <c r="F7524" i="4"/>
  <c r="E7525" i="4"/>
  <c r="F7525" i="4"/>
  <c r="E7526" i="4"/>
  <c r="E7527" i="4"/>
  <c r="G7527" i="4"/>
  <c r="F7527" i="4"/>
  <c r="E7528" i="4"/>
  <c r="E7529" i="4"/>
  <c r="F7529" i="4"/>
  <c r="E7530" i="4"/>
  <c r="F7530" i="4"/>
  <c r="G7530" i="4"/>
  <c r="E7531" i="4"/>
  <c r="F7531" i="4"/>
  <c r="E7532" i="4"/>
  <c r="F7532" i="4"/>
  <c r="E7533" i="4"/>
  <c r="G7533" i="4"/>
  <c r="F7533" i="4"/>
  <c r="E7534" i="4"/>
  <c r="E7535" i="4"/>
  <c r="F7535" i="4"/>
  <c r="E7536" i="4"/>
  <c r="G7536" i="4"/>
  <c r="E7537" i="4"/>
  <c r="E7538" i="4"/>
  <c r="F7538" i="4"/>
  <c r="E7539" i="4"/>
  <c r="G7539" i="4"/>
  <c r="E7540" i="4"/>
  <c r="F7540" i="4"/>
  <c r="E7541" i="4"/>
  <c r="E7542" i="4"/>
  <c r="E7543" i="4"/>
  <c r="F7543" i="4"/>
  <c r="G7543" i="4"/>
  <c r="E7544" i="4"/>
  <c r="G7544" i="4"/>
  <c r="E7545" i="4"/>
  <c r="F7545" i="4"/>
  <c r="G7545" i="4"/>
  <c r="E7546" i="4"/>
  <c r="F7546" i="4"/>
  <c r="G7546" i="4"/>
  <c r="E7547" i="4"/>
  <c r="E7548" i="4"/>
  <c r="F7548" i="4"/>
  <c r="E7549" i="4"/>
  <c r="G7549" i="4"/>
  <c r="E7550" i="4"/>
  <c r="E7551" i="4"/>
  <c r="F7551" i="4"/>
  <c r="G7551" i="4"/>
  <c r="E7552" i="4"/>
  <c r="F7552" i="4"/>
  <c r="E7553" i="4"/>
  <c r="E7554" i="4"/>
  <c r="F7554" i="4"/>
  <c r="G7554" i="4"/>
  <c r="E7555" i="4"/>
  <c r="G7555" i="4"/>
  <c r="E7556" i="4"/>
  <c r="F7556" i="4"/>
  <c r="E7557" i="4"/>
  <c r="F7557" i="4"/>
  <c r="G7557" i="4"/>
  <c r="E7558" i="4"/>
  <c r="E7559" i="4"/>
  <c r="F7559" i="4"/>
  <c r="G7559" i="4"/>
  <c r="E7560" i="4"/>
  <c r="F7560" i="4"/>
  <c r="G7560" i="4"/>
  <c r="E7561" i="4"/>
  <c r="F7561" i="4"/>
  <c r="E7562" i="4"/>
  <c r="F7562" i="4"/>
  <c r="E7563" i="4"/>
  <c r="F7563" i="4"/>
  <c r="E7564" i="4"/>
  <c r="F7564" i="4"/>
  <c r="G7564" i="4"/>
  <c r="E7565" i="4"/>
  <c r="F7565" i="4"/>
  <c r="G7565" i="4"/>
  <c r="E7566" i="4"/>
  <c r="F7566" i="4"/>
  <c r="E7567" i="4"/>
  <c r="F7567" i="4"/>
  <c r="E7568" i="4"/>
  <c r="G7568" i="4"/>
  <c r="E7569" i="4"/>
  <c r="E7570" i="4"/>
  <c r="F7570" i="4"/>
  <c r="G7570" i="4"/>
  <c r="E7571" i="4"/>
  <c r="G7571" i="4"/>
  <c r="E7572" i="4"/>
  <c r="F7572" i="4"/>
  <c r="E7573" i="4"/>
  <c r="F7573" i="4"/>
  <c r="G7573" i="4"/>
  <c r="E7574" i="4"/>
  <c r="E7575" i="4"/>
  <c r="E7576" i="4"/>
  <c r="F7576" i="4"/>
  <c r="G7576" i="4"/>
  <c r="E7577" i="4"/>
  <c r="F7577" i="4"/>
  <c r="E7578" i="4"/>
  <c r="F7578" i="4"/>
  <c r="G7578" i="4"/>
  <c r="E7579" i="4"/>
  <c r="F7579" i="4"/>
  <c r="E7580" i="4"/>
  <c r="E7581" i="4"/>
  <c r="G7581" i="4"/>
  <c r="E7582" i="4"/>
  <c r="E7583" i="4"/>
  <c r="F7583" i="4"/>
  <c r="E7584" i="4"/>
  <c r="G7584" i="4"/>
  <c r="E7585" i="4"/>
  <c r="F7585" i="4"/>
  <c r="E7586" i="4"/>
  <c r="F7586" i="4"/>
  <c r="E7587" i="4"/>
  <c r="G7587" i="4"/>
  <c r="F7587" i="4"/>
  <c r="E7588" i="4"/>
  <c r="F7588" i="4"/>
  <c r="E7589" i="4"/>
  <c r="F7589" i="4"/>
  <c r="E7590" i="4"/>
  <c r="E7591" i="4"/>
  <c r="E7592" i="4"/>
  <c r="F7592" i="4"/>
  <c r="E7593" i="4"/>
  <c r="E7594" i="4"/>
  <c r="F7594" i="4"/>
  <c r="E7595" i="4"/>
  <c r="F7595" i="4"/>
  <c r="G7595" i="4"/>
  <c r="E7596" i="4"/>
  <c r="E7597" i="4"/>
  <c r="G7597" i="4"/>
  <c r="E7598" i="4"/>
  <c r="F7598" i="4"/>
  <c r="E7599" i="4"/>
  <c r="F7599" i="4"/>
  <c r="E7600" i="4"/>
  <c r="G7600" i="4"/>
  <c r="F7600" i="4"/>
  <c r="E7601" i="4"/>
  <c r="G7601" i="4"/>
  <c r="E7602" i="4"/>
  <c r="F7602" i="4"/>
  <c r="G7602" i="4"/>
  <c r="E7603" i="4"/>
  <c r="G7603" i="4"/>
  <c r="E7604" i="4"/>
  <c r="F7604" i="4"/>
  <c r="E7605" i="4"/>
  <c r="G7605" i="4"/>
  <c r="F7605" i="4"/>
  <c r="E7606" i="4"/>
  <c r="E7607" i="4"/>
  <c r="E7608" i="4"/>
  <c r="F7608" i="4"/>
  <c r="G7608" i="4"/>
  <c r="E7609" i="4"/>
  <c r="F7609" i="4"/>
  <c r="E7610" i="4"/>
  <c r="F7610" i="4"/>
  <c r="E7611" i="4"/>
  <c r="F7611" i="4"/>
  <c r="E7612" i="4"/>
  <c r="F7612" i="4"/>
  <c r="E7613" i="4"/>
  <c r="G7613" i="4"/>
  <c r="F7613" i="4"/>
  <c r="E7614" i="4"/>
  <c r="F7614" i="4"/>
  <c r="E7615" i="4"/>
  <c r="F7615" i="4"/>
  <c r="E7616" i="4"/>
  <c r="G7616" i="4"/>
  <c r="F7616" i="4"/>
  <c r="E7617" i="4"/>
  <c r="E7618" i="4"/>
  <c r="F7618" i="4"/>
  <c r="E7619" i="4"/>
  <c r="G7619" i="4"/>
  <c r="E7620" i="4"/>
  <c r="F7620" i="4"/>
  <c r="G7620" i="4"/>
  <c r="E7621" i="4"/>
  <c r="E7622" i="4"/>
  <c r="E7623" i="4"/>
  <c r="F7623" i="4"/>
  <c r="G7623" i="4"/>
  <c r="E7624" i="4"/>
  <c r="F7624" i="4"/>
  <c r="G7624" i="4"/>
  <c r="E7625" i="4"/>
  <c r="F7625" i="4"/>
  <c r="G7625" i="4"/>
  <c r="E7626" i="4"/>
  <c r="E7627" i="4"/>
  <c r="G7627" i="4"/>
  <c r="E7628" i="4"/>
  <c r="F7628" i="4"/>
  <c r="G7628" i="4"/>
  <c r="E7629" i="4"/>
  <c r="G7629" i="4"/>
  <c r="E7630" i="4"/>
  <c r="E7631" i="4"/>
  <c r="F7631" i="4"/>
  <c r="G7631" i="4"/>
  <c r="E7632" i="4"/>
  <c r="G7632" i="4"/>
  <c r="E7633" i="4"/>
  <c r="G7633" i="4"/>
  <c r="F7633" i="4"/>
  <c r="E7634" i="4"/>
  <c r="F7634" i="4"/>
  <c r="G7634" i="4"/>
  <c r="E7635" i="4"/>
  <c r="F7635" i="4"/>
  <c r="G7635" i="4"/>
  <c r="E7636" i="4"/>
  <c r="F7636" i="4"/>
  <c r="E7637" i="4"/>
  <c r="F7637" i="4"/>
  <c r="E7638" i="4"/>
  <c r="E7639" i="4"/>
  <c r="F7639" i="4"/>
  <c r="G7639" i="4"/>
  <c r="E7640" i="4"/>
  <c r="F7640" i="4"/>
  <c r="G7640" i="4"/>
  <c r="E7641" i="4"/>
  <c r="F7641" i="4"/>
  <c r="E7642" i="4"/>
  <c r="F7642" i="4"/>
  <c r="E7643" i="4"/>
  <c r="E7644" i="4"/>
  <c r="E7645" i="4"/>
  <c r="G7645" i="4"/>
  <c r="E7646" i="4"/>
  <c r="F7646" i="4"/>
  <c r="E7647" i="4"/>
  <c r="F7647" i="4"/>
  <c r="E7648" i="4"/>
  <c r="E7649" i="4"/>
  <c r="G7649" i="4"/>
  <c r="F7649" i="4"/>
  <c r="E7650" i="4"/>
  <c r="F7650" i="4"/>
  <c r="G7650" i="4"/>
  <c r="E7651" i="4"/>
  <c r="G7651" i="4"/>
  <c r="E7652" i="4"/>
  <c r="F7652" i="4"/>
  <c r="E7653" i="4"/>
  <c r="F7653" i="4"/>
  <c r="G7653" i="4"/>
  <c r="E7654" i="4"/>
  <c r="E7655" i="4"/>
  <c r="G7655" i="4"/>
  <c r="E7656" i="4"/>
  <c r="E7657" i="4"/>
  <c r="F7657" i="4"/>
  <c r="E7658" i="4"/>
  <c r="F7658" i="4"/>
  <c r="G7658" i="4"/>
  <c r="E7659" i="4"/>
  <c r="F7659" i="4"/>
  <c r="G7659" i="4"/>
  <c r="E7660" i="4"/>
  <c r="F7660" i="4"/>
  <c r="E7661" i="4"/>
  <c r="F7661" i="4"/>
  <c r="G7661" i="4"/>
  <c r="E7662" i="4"/>
  <c r="F7662" i="4"/>
  <c r="E7663" i="4"/>
  <c r="F7663" i="4"/>
  <c r="G7663" i="4"/>
  <c r="E7664" i="4"/>
  <c r="E7665" i="4"/>
  <c r="E7666" i="4"/>
  <c r="F7666" i="4"/>
  <c r="E7667" i="4"/>
  <c r="G7667" i="4"/>
  <c r="E7668" i="4"/>
  <c r="F7668" i="4"/>
  <c r="E7669" i="4"/>
  <c r="F7669" i="4"/>
  <c r="G7669" i="4"/>
  <c r="E7670" i="4"/>
  <c r="E7671" i="4"/>
  <c r="F7671" i="4"/>
  <c r="E7672" i="4"/>
  <c r="E7673" i="4"/>
  <c r="F7673" i="4"/>
  <c r="E7674" i="4"/>
  <c r="F7674" i="4"/>
  <c r="E7675" i="4"/>
  <c r="E7676" i="4"/>
  <c r="F7676" i="4"/>
  <c r="E7677" i="4"/>
  <c r="G7677" i="4"/>
  <c r="E7678" i="4"/>
  <c r="E7679" i="4"/>
  <c r="F7679" i="4"/>
  <c r="E7680" i="4"/>
  <c r="E7681" i="4"/>
  <c r="F7681" i="4"/>
  <c r="G7681" i="4"/>
  <c r="E7682" i="4"/>
  <c r="F7682" i="4"/>
  <c r="G7682" i="4"/>
  <c r="E7683" i="4"/>
  <c r="F7683" i="4"/>
  <c r="E7684" i="4"/>
  <c r="E7685" i="4"/>
  <c r="F7685" i="4"/>
  <c r="G7685" i="4"/>
  <c r="E7686" i="4"/>
  <c r="E7687" i="4"/>
  <c r="F7687" i="4"/>
  <c r="E7688" i="4"/>
  <c r="F7688" i="4"/>
  <c r="G7688" i="4"/>
  <c r="E7689" i="4"/>
  <c r="F7689" i="4"/>
  <c r="E7690" i="4"/>
  <c r="F7690" i="4"/>
  <c r="E7691" i="4"/>
  <c r="E7692" i="4"/>
  <c r="F7692" i="4"/>
  <c r="E7693" i="4"/>
  <c r="G7693" i="4"/>
  <c r="E7694" i="4"/>
  <c r="F7694" i="4"/>
  <c r="E7695" i="4"/>
  <c r="E7696" i="4"/>
  <c r="F7696" i="4"/>
  <c r="G7696" i="4"/>
  <c r="E7697" i="4"/>
  <c r="F7697" i="4"/>
  <c r="E7698" i="4"/>
  <c r="F7698" i="4"/>
  <c r="G7698" i="4"/>
  <c r="E7699" i="4"/>
  <c r="G7699" i="4"/>
  <c r="E7700" i="4"/>
  <c r="F7700" i="4"/>
  <c r="G7700" i="4"/>
  <c r="E7701" i="4"/>
  <c r="F7701" i="4"/>
  <c r="G7701" i="4"/>
  <c r="E7702" i="4"/>
  <c r="E7703" i="4"/>
  <c r="E7704" i="4"/>
  <c r="F7704" i="4"/>
  <c r="G7704" i="4"/>
  <c r="E7705" i="4"/>
  <c r="F7705" i="4"/>
  <c r="G7705" i="4"/>
  <c r="E7706" i="4"/>
  <c r="F7706" i="4"/>
  <c r="G7706" i="4"/>
  <c r="E7707" i="4"/>
  <c r="F7707" i="4"/>
  <c r="G7707" i="4"/>
  <c r="E7708" i="4"/>
  <c r="F7708" i="4"/>
  <c r="E7709" i="4"/>
  <c r="F7709" i="4"/>
  <c r="G7709" i="4"/>
  <c r="E7710" i="4"/>
  <c r="F7710" i="4"/>
  <c r="G7710" i="4"/>
  <c r="E7711" i="4"/>
  <c r="E7712" i="4"/>
  <c r="G7712" i="4"/>
  <c r="E7713" i="4"/>
  <c r="F7713" i="4"/>
  <c r="E7714" i="4"/>
  <c r="E7715" i="4"/>
  <c r="G7715" i="4"/>
  <c r="E7716" i="4"/>
  <c r="G7716" i="4"/>
  <c r="F7716" i="4"/>
  <c r="E7717" i="4"/>
  <c r="F7717" i="4"/>
  <c r="G7717" i="4"/>
  <c r="E7718" i="4"/>
  <c r="F7718" i="4"/>
  <c r="G7718" i="4"/>
  <c r="E7719" i="4"/>
  <c r="F7719" i="4"/>
  <c r="G7719" i="4"/>
  <c r="E7720" i="4"/>
  <c r="F7720" i="4"/>
  <c r="E7721" i="4"/>
  <c r="E7722" i="4"/>
  <c r="F7722" i="4"/>
  <c r="G7722" i="4"/>
  <c r="E7723" i="4"/>
  <c r="F7723" i="4"/>
  <c r="G7723" i="4"/>
  <c r="E7724" i="4"/>
  <c r="F7724" i="4"/>
  <c r="E7725" i="4"/>
  <c r="G7725" i="4"/>
  <c r="F7725" i="4"/>
  <c r="E7726" i="4"/>
  <c r="E7727" i="4"/>
  <c r="G7727" i="4"/>
  <c r="E7728" i="4"/>
  <c r="G7728" i="4"/>
  <c r="F7728" i="4"/>
  <c r="E7729" i="4"/>
  <c r="G7729" i="4"/>
  <c r="E7730" i="4"/>
  <c r="E7731" i="4"/>
  <c r="E7732" i="4"/>
  <c r="F7732" i="4"/>
  <c r="E7733" i="4"/>
  <c r="F7733" i="4"/>
  <c r="E7734" i="4"/>
  <c r="E7735" i="4"/>
  <c r="F7735" i="4"/>
  <c r="G7735" i="4"/>
  <c r="E7736" i="4"/>
  <c r="F7736" i="4"/>
  <c r="G7736" i="4"/>
  <c r="E7737" i="4"/>
  <c r="F7737" i="4"/>
  <c r="E7738" i="4"/>
  <c r="F7738" i="4"/>
  <c r="E7739" i="4"/>
  <c r="F7739" i="4"/>
  <c r="E7740" i="4"/>
  <c r="G7740" i="4"/>
  <c r="F7740" i="4"/>
  <c r="E7741" i="4"/>
  <c r="G7741" i="4"/>
  <c r="F7741" i="4"/>
  <c r="E7742" i="4"/>
  <c r="F7742" i="4"/>
  <c r="E7743" i="4"/>
  <c r="F7743" i="4"/>
  <c r="E7744" i="4"/>
  <c r="F7744" i="4"/>
  <c r="E7745" i="4"/>
  <c r="G7745" i="4"/>
  <c r="F7745" i="4"/>
  <c r="E7746" i="4"/>
  <c r="F7746" i="4"/>
  <c r="E7747" i="4"/>
  <c r="G7747" i="4"/>
  <c r="E7748" i="4"/>
  <c r="F7748" i="4"/>
  <c r="G7748" i="4"/>
  <c r="E7749" i="4"/>
  <c r="E7750" i="4"/>
  <c r="E7751" i="4"/>
  <c r="E7752" i="4"/>
  <c r="E7753" i="4"/>
  <c r="F7753" i="4"/>
  <c r="G7753" i="4"/>
  <c r="E7754" i="4"/>
  <c r="F7754" i="4"/>
  <c r="G7754" i="4"/>
  <c r="E7755" i="4"/>
  <c r="F7755" i="4"/>
  <c r="G7755" i="4"/>
  <c r="E7756" i="4"/>
  <c r="F7756" i="4"/>
  <c r="E7757" i="4"/>
  <c r="F7757" i="4"/>
  <c r="G7757" i="4"/>
  <c r="E7758" i="4"/>
  <c r="F7758" i="4"/>
  <c r="E7759" i="4"/>
  <c r="F7759" i="4"/>
  <c r="G7759" i="4"/>
  <c r="E7760" i="4"/>
  <c r="E7761" i="4"/>
  <c r="G7761" i="4"/>
  <c r="E7762" i="4"/>
  <c r="F7762" i="4"/>
  <c r="G7762" i="4"/>
  <c r="E7763" i="4"/>
  <c r="G7763" i="4"/>
  <c r="E7764" i="4"/>
  <c r="E7765" i="4"/>
  <c r="F7765" i="4"/>
  <c r="E7766" i="4"/>
  <c r="F7766" i="4"/>
  <c r="E7767" i="4"/>
  <c r="F7767" i="4"/>
  <c r="G7767" i="4"/>
  <c r="E7768" i="4"/>
  <c r="F7768" i="4"/>
  <c r="G7768" i="4"/>
  <c r="E7769" i="4"/>
  <c r="F7769" i="4"/>
  <c r="G7769" i="4"/>
  <c r="E7770" i="4"/>
  <c r="E7771" i="4"/>
  <c r="F7771" i="4"/>
  <c r="E7772" i="4"/>
  <c r="F7772" i="4"/>
  <c r="E7773" i="4"/>
  <c r="G7773" i="4"/>
  <c r="E7774" i="4"/>
  <c r="F7774" i="4"/>
  <c r="G7774" i="4"/>
  <c r="E7775" i="4"/>
  <c r="E7776" i="4"/>
  <c r="G7776" i="4"/>
  <c r="E7777" i="4"/>
  <c r="E7778" i="4"/>
  <c r="E7779" i="4"/>
  <c r="F7779" i="4"/>
  <c r="E7780" i="4"/>
  <c r="F7780" i="4"/>
  <c r="E7781" i="4"/>
  <c r="E7782" i="4"/>
  <c r="E7783" i="4"/>
  <c r="F7783" i="4"/>
  <c r="E7784" i="4"/>
  <c r="G7784" i="4"/>
  <c r="F7784" i="4"/>
  <c r="E7785" i="4"/>
  <c r="F7785" i="4"/>
  <c r="E7786" i="4"/>
  <c r="F7786" i="4"/>
  <c r="E7787" i="4"/>
  <c r="F7787" i="4"/>
  <c r="G7787" i="4"/>
  <c r="E7788" i="4"/>
  <c r="F7788" i="4"/>
  <c r="G7788" i="4"/>
  <c r="E7789" i="4"/>
  <c r="E7790" i="4"/>
  <c r="E7791" i="4"/>
  <c r="F7791" i="4"/>
  <c r="E7792" i="4"/>
  <c r="F7792" i="4"/>
  <c r="E7793" i="4"/>
  <c r="F7793" i="4"/>
  <c r="G7793" i="4"/>
  <c r="E7794" i="4"/>
  <c r="F7794" i="4"/>
  <c r="G7794" i="4"/>
  <c r="E7795" i="4"/>
  <c r="E7796" i="4"/>
  <c r="E7797" i="4"/>
  <c r="F7797" i="4"/>
  <c r="G7797" i="4"/>
  <c r="E7798" i="4"/>
  <c r="E7799" i="4"/>
  <c r="G7799" i="4"/>
  <c r="F7799" i="4"/>
  <c r="E7800" i="4"/>
  <c r="F7800" i="4"/>
  <c r="G7800" i="4"/>
  <c r="E7801" i="4"/>
  <c r="F7801" i="4"/>
  <c r="G7801" i="4"/>
  <c r="E7802" i="4"/>
  <c r="F7802" i="4"/>
  <c r="E7803" i="4"/>
  <c r="E7804" i="4"/>
  <c r="F7804" i="4"/>
  <c r="G7804" i="4"/>
  <c r="E7805" i="4"/>
  <c r="F7805" i="4"/>
  <c r="E7806" i="4"/>
  <c r="F7806" i="4"/>
  <c r="E7807" i="4"/>
  <c r="F7807" i="4"/>
  <c r="E7808" i="4"/>
  <c r="G7808" i="4"/>
  <c r="F7808" i="4"/>
  <c r="E7809" i="4"/>
  <c r="E7810" i="4"/>
  <c r="F7810" i="4"/>
  <c r="E7811" i="4"/>
  <c r="E7812" i="4"/>
  <c r="F7812" i="4"/>
  <c r="G7812" i="4"/>
  <c r="E7813" i="4"/>
  <c r="F7813" i="4"/>
  <c r="G7813" i="4"/>
  <c r="E7814" i="4"/>
  <c r="F7814" i="4"/>
  <c r="G7814" i="4"/>
  <c r="E7815" i="4"/>
  <c r="F7815" i="4"/>
  <c r="E7816" i="4"/>
  <c r="F7816" i="4"/>
  <c r="G7816" i="4"/>
  <c r="E7817" i="4"/>
  <c r="F7817" i="4"/>
  <c r="E7818" i="4"/>
  <c r="F7818" i="4"/>
  <c r="G7818" i="4"/>
  <c r="E7819" i="4"/>
  <c r="F7819" i="4"/>
  <c r="G7819" i="4"/>
  <c r="E7820" i="4"/>
  <c r="F7820" i="4"/>
  <c r="E7821" i="4"/>
  <c r="G7821" i="4"/>
  <c r="E7822" i="4"/>
  <c r="F7822" i="4"/>
  <c r="E7823" i="4"/>
  <c r="F7823" i="4"/>
  <c r="G7823" i="4"/>
  <c r="E7824" i="4"/>
  <c r="G7824" i="4"/>
  <c r="E7825" i="4"/>
  <c r="F7825" i="4"/>
  <c r="E7826" i="4"/>
  <c r="F7826" i="4"/>
  <c r="G7826" i="4"/>
  <c r="E7827" i="4"/>
  <c r="F7827" i="4"/>
  <c r="E7828" i="4"/>
  <c r="G7828" i="4"/>
  <c r="F7828" i="4"/>
  <c r="E7829" i="4"/>
  <c r="F7829" i="4"/>
  <c r="G7829" i="4"/>
  <c r="E7830" i="4"/>
  <c r="E7831" i="4"/>
  <c r="F7831" i="4"/>
  <c r="E7832" i="4"/>
  <c r="E7833" i="4"/>
  <c r="E7834" i="4"/>
  <c r="E7835" i="4"/>
  <c r="E7836" i="4"/>
  <c r="G7836" i="4"/>
  <c r="F7836" i="4"/>
  <c r="E7837" i="4"/>
  <c r="G7837" i="4"/>
  <c r="F7837" i="4"/>
  <c r="E7838" i="4"/>
  <c r="E7839" i="4"/>
  <c r="F7839" i="4"/>
  <c r="G7839" i="4"/>
  <c r="E7840" i="4"/>
  <c r="F7840" i="4"/>
  <c r="G7840" i="4"/>
  <c r="E7841" i="4"/>
  <c r="F7841" i="4"/>
  <c r="G7841" i="4"/>
  <c r="E7842" i="4"/>
  <c r="E7843" i="4"/>
  <c r="E7844" i="4"/>
  <c r="E7845" i="4"/>
  <c r="G7845" i="4"/>
  <c r="F7845" i="4"/>
  <c r="E7846" i="4"/>
  <c r="E7847" i="4"/>
  <c r="F7847" i="4"/>
  <c r="E7848" i="4"/>
  <c r="G7848" i="4"/>
  <c r="E7849" i="4"/>
  <c r="F7849" i="4"/>
  <c r="E7850" i="4"/>
  <c r="F7850" i="4"/>
  <c r="E7851" i="4"/>
  <c r="F7851" i="4"/>
  <c r="G7851" i="4"/>
  <c r="E7852" i="4"/>
  <c r="F7852" i="4"/>
  <c r="G7852" i="4"/>
  <c r="E7853" i="4"/>
  <c r="F7853" i="4"/>
  <c r="G7853" i="4"/>
  <c r="E7854" i="4"/>
  <c r="F7854" i="4"/>
  <c r="E7855" i="4"/>
  <c r="F7855" i="4"/>
  <c r="E7856" i="4"/>
  <c r="E7857" i="4"/>
  <c r="F7857" i="4"/>
  <c r="G7857" i="4"/>
  <c r="E7858" i="4"/>
  <c r="E7859" i="4"/>
  <c r="G7859" i="4"/>
  <c r="E7860" i="4"/>
  <c r="F7860" i="4"/>
  <c r="G7860" i="4"/>
  <c r="E7861" i="4"/>
  <c r="E7862" i="4"/>
  <c r="E7863" i="4"/>
  <c r="G7863" i="4"/>
  <c r="E7864" i="4"/>
  <c r="E7865" i="4"/>
  <c r="F7865" i="4"/>
  <c r="G7865" i="4"/>
  <c r="E7866" i="4"/>
  <c r="F7866" i="4"/>
  <c r="E7867" i="4"/>
  <c r="G7867" i="4"/>
  <c r="F7867" i="4"/>
  <c r="E7868" i="4"/>
  <c r="F7868" i="4"/>
  <c r="G7868" i="4"/>
  <c r="E7869" i="4"/>
  <c r="G7869" i="4"/>
  <c r="E7870" i="4"/>
  <c r="F7870" i="4"/>
  <c r="E7871" i="4"/>
  <c r="E7872" i="4"/>
  <c r="G7872" i="4"/>
  <c r="E7873" i="4"/>
  <c r="G7873" i="4"/>
  <c r="E7874" i="4"/>
  <c r="F7874" i="4"/>
  <c r="G7874" i="4"/>
  <c r="E7875" i="4"/>
  <c r="F7875" i="4"/>
  <c r="G7875" i="4"/>
  <c r="E7876" i="4"/>
  <c r="E7877" i="4"/>
  <c r="E7878" i="4"/>
  <c r="E7879" i="4"/>
  <c r="E7880" i="4"/>
  <c r="G7880" i="4"/>
  <c r="F7880" i="4"/>
  <c r="E7881" i="4"/>
  <c r="F7881" i="4"/>
  <c r="E7882" i="4"/>
  <c r="E7883" i="4"/>
  <c r="E7884" i="4"/>
  <c r="G7884" i="4"/>
  <c r="F7884" i="4"/>
  <c r="E7885" i="4"/>
  <c r="E7886" i="4"/>
  <c r="E7887" i="4"/>
  <c r="E7888" i="4"/>
  <c r="E7889" i="4"/>
  <c r="E7890" i="4"/>
  <c r="F7890" i="4"/>
  <c r="G7890" i="4"/>
  <c r="E7891" i="4"/>
  <c r="G7891" i="4"/>
  <c r="E7892" i="4"/>
  <c r="E7893" i="4"/>
  <c r="F7893" i="4"/>
  <c r="E7894" i="4"/>
  <c r="E7895" i="4"/>
  <c r="E7896" i="4"/>
  <c r="F7896" i="4"/>
  <c r="G7896" i="4"/>
  <c r="E7897" i="4"/>
  <c r="E7898" i="4"/>
  <c r="F7898" i="4"/>
  <c r="E7899" i="4"/>
  <c r="F7899" i="4"/>
  <c r="G7899" i="4"/>
  <c r="E7900" i="4"/>
  <c r="F7900" i="4"/>
  <c r="E7901" i="4"/>
  <c r="E7902" i="4"/>
  <c r="F7902" i="4"/>
  <c r="G7902" i="4"/>
  <c r="E7903" i="4"/>
  <c r="F7903" i="4"/>
  <c r="E7904" i="4"/>
  <c r="G7904" i="4"/>
  <c r="E7905" i="4"/>
  <c r="E7906" i="4"/>
  <c r="E7907" i="4"/>
  <c r="G7907" i="4"/>
  <c r="E7908" i="4"/>
  <c r="F7908" i="4"/>
  <c r="E7909" i="4"/>
  <c r="E7910" i="4"/>
  <c r="F7910" i="4"/>
  <c r="E7911" i="4"/>
  <c r="E7912" i="4"/>
  <c r="G7912" i="4"/>
  <c r="F7912" i="4"/>
  <c r="E7913" i="4"/>
  <c r="F7913" i="4"/>
  <c r="G7913" i="4"/>
  <c r="E7914" i="4"/>
  <c r="F7914" i="4"/>
  <c r="G7914" i="4"/>
  <c r="E7915" i="4"/>
  <c r="F7915" i="4"/>
  <c r="E7916" i="4"/>
  <c r="E7917" i="4"/>
  <c r="E7918" i="4"/>
  <c r="F7918" i="4"/>
  <c r="E7919" i="4"/>
  <c r="E7920" i="4"/>
  <c r="G7920" i="4"/>
  <c r="E7921" i="4"/>
  <c r="E7922" i="4"/>
  <c r="E7923" i="4"/>
  <c r="F7923" i="4"/>
  <c r="G7923" i="4"/>
  <c r="E7924" i="4"/>
  <c r="E7925" i="4"/>
  <c r="F7925" i="4"/>
  <c r="G7925" i="4"/>
  <c r="E7926" i="4"/>
  <c r="E7927" i="4"/>
  <c r="G7927" i="4"/>
  <c r="F7927" i="4"/>
  <c r="E7928" i="4"/>
  <c r="F7928" i="4"/>
  <c r="G7928" i="4"/>
  <c r="E7929" i="4"/>
  <c r="E7930" i="4"/>
  <c r="F7930" i="4"/>
  <c r="E7931" i="4"/>
  <c r="F7931" i="4"/>
  <c r="G7931" i="4"/>
  <c r="E7932" i="4"/>
  <c r="E7933" i="4"/>
  <c r="E7934" i="4"/>
  <c r="E7935" i="4"/>
  <c r="F7935" i="4"/>
  <c r="E7936" i="4"/>
  <c r="E7937" i="4"/>
  <c r="E7938" i="4"/>
  <c r="F7938" i="4"/>
  <c r="E7939" i="4"/>
  <c r="E7940" i="4"/>
  <c r="F7940" i="4"/>
  <c r="G7940" i="4"/>
  <c r="E7941" i="4"/>
  <c r="F7941" i="4"/>
  <c r="G7941" i="4"/>
  <c r="E7942" i="4"/>
  <c r="E7943" i="4"/>
  <c r="G7943" i="4"/>
  <c r="F7943" i="4"/>
  <c r="E7944" i="4"/>
  <c r="G7944" i="4"/>
  <c r="F7944" i="4"/>
  <c r="E7945" i="4"/>
  <c r="G7945" i="4"/>
  <c r="E7946" i="4"/>
  <c r="E7947" i="4"/>
  <c r="E7948" i="4"/>
  <c r="F7948" i="4"/>
  <c r="G7948" i="4"/>
  <c r="E7949" i="4"/>
  <c r="F7949" i="4"/>
  <c r="E7950" i="4"/>
  <c r="E7951" i="4"/>
  <c r="F7951" i="4"/>
  <c r="G7951" i="4"/>
  <c r="E7952" i="4"/>
  <c r="G7952" i="4"/>
  <c r="E7953" i="4"/>
  <c r="F7953" i="4"/>
  <c r="E7954" i="4"/>
  <c r="F7954" i="4"/>
  <c r="E7955" i="4"/>
  <c r="G7955" i="4"/>
  <c r="E7956" i="4"/>
  <c r="G7956" i="4"/>
  <c r="F7956" i="4"/>
  <c r="E7957" i="4"/>
  <c r="G7957" i="4"/>
  <c r="F7957" i="4"/>
  <c r="E7958" i="4"/>
  <c r="F7958" i="4"/>
  <c r="G7958" i="4"/>
  <c r="E7959" i="4"/>
  <c r="F7959" i="4"/>
  <c r="G7959" i="4"/>
  <c r="E7960" i="4"/>
  <c r="F7960" i="4"/>
  <c r="G7960" i="4"/>
  <c r="E7961" i="4"/>
  <c r="E7962" i="4"/>
  <c r="F7962" i="4"/>
  <c r="E7963" i="4"/>
  <c r="F7963" i="4"/>
  <c r="G7963" i="4"/>
  <c r="E7964" i="4"/>
  <c r="E7965" i="4"/>
  <c r="E7966" i="4"/>
  <c r="F7966" i="4"/>
  <c r="E7967" i="4"/>
  <c r="F7967" i="4"/>
  <c r="G7967" i="4"/>
  <c r="E7968" i="4"/>
  <c r="G7968" i="4"/>
  <c r="E7969" i="4"/>
  <c r="E7970" i="4"/>
  <c r="F7970" i="4"/>
  <c r="G7970" i="4"/>
  <c r="E7971" i="4"/>
  <c r="G7971" i="4"/>
  <c r="E7972" i="4"/>
  <c r="E7973" i="4"/>
  <c r="E7974" i="4"/>
  <c r="E7975" i="4"/>
  <c r="E7976" i="4"/>
  <c r="E7977" i="4"/>
  <c r="E7978" i="4"/>
  <c r="E7979" i="4"/>
  <c r="E7980" i="4"/>
  <c r="G7980" i="4"/>
  <c r="F7980" i="4"/>
  <c r="E7981" i="4"/>
  <c r="G7981" i="4"/>
  <c r="E7982" i="4"/>
  <c r="E7983" i="4"/>
  <c r="E7984" i="4"/>
  <c r="G7984" i="4"/>
  <c r="F7984" i="4"/>
  <c r="E7985" i="4"/>
  <c r="E7986" i="4"/>
  <c r="F7986" i="4"/>
  <c r="G7986" i="4"/>
  <c r="E7987" i="4"/>
  <c r="E7988" i="4"/>
  <c r="E7989" i="4"/>
  <c r="E7990" i="4"/>
  <c r="E7991" i="4"/>
  <c r="E7992" i="4"/>
  <c r="F7992" i="4"/>
  <c r="E7993" i="4"/>
  <c r="E7994" i="4"/>
  <c r="E7995" i="4"/>
  <c r="G7995" i="4"/>
  <c r="E7996" i="4"/>
  <c r="G7996" i="4"/>
  <c r="F7996" i="4"/>
  <c r="E7997" i="4"/>
  <c r="E7998" i="4"/>
  <c r="F7998" i="4"/>
  <c r="E7999" i="4"/>
  <c r="F7999" i="4"/>
  <c r="G7999" i="4"/>
  <c r="E8000" i="4"/>
  <c r="E8001" i="4"/>
  <c r="F8001" i="4"/>
  <c r="G8001" i="4"/>
  <c r="E8002" i="4"/>
  <c r="F8002" i="4"/>
  <c r="E8003" i="4"/>
  <c r="G8003" i="4"/>
  <c r="E8004" i="4"/>
  <c r="F8004" i="4"/>
  <c r="G8004" i="4"/>
  <c r="E8005" i="4"/>
  <c r="E8006" i="4"/>
  <c r="E8007" i="4"/>
  <c r="F8007" i="4"/>
  <c r="G8007" i="4"/>
  <c r="E8008" i="4"/>
  <c r="E8009" i="4"/>
  <c r="E8010" i="4"/>
  <c r="E8011" i="4"/>
  <c r="E8012" i="4"/>
  <c r="E8013" i="4"/>
  <c r="E8014" i="4"/>
  <c r="F8014" i="4"/>
  <c r="E8015" i="4"/>
  <c r="F8015" i="4"/>
  <c r="E8016" i="4"/>
  <c r="G8016" i="4"/>
  <c r="E8017" i="4"/>
  <c r="G8017" i="4"/>
  <c r="E8018" i="4"/>
  <c r="F8018" i="4"/>
  <c r="E8019" i="4"/>
  <c r="F8019" i="4"/>
  <c r="G8019" i="4"/>
  <c r="E8020" i="4"/>
  <c r="F8020" i="4"/>
  <c r="E8021" i="4"/>
  <c r="F8021" i="4"/>
  <c r="G8021" i="4"/>
  <c r="E8022" i="4"/>
  <c r="E8023" i="4"/>
  <c r="E8024" i="4"/>
  <c r="E8025" i="4"/>
  <c r="F8025" i="4"/>
  <c r="E8026" i="4"/>
  <c r="E8027" i="4"/>
  <c r="E8028" i="4"/>
  <c r="F8028" i="4"/>
  <c r="G8028" i="4"/>
  <c r="E8029" i="4"/>
  <c r="G8029" i="4"/>
  <c r="E8030" i="4"/>
  <c r="F8030" i="4"/>
  <c r="E8031" i="4"/>
  <c r="G8031" i="4"/>
  <c r="E8032" i="4"/>
  <c r="G8032" i="4"/>
  <c r="F8032" i="4"/>
  <c r="E8033" i="4"/>
  <c r="F8033" i="4"/>
  <c r="G8033" i="4"/>
  <c r="E8034" i="4"/>
  <c r="F8034" i="4"/>
  <c r="G8034" i="4"/>
  <c r="E8035" i="4"/>
  <c r="E8036" i="4"/>
  <c r="F8036" i="4"/>
  <c r="G8036" i="4"/>
  <c r="E8037" i="4"/>
  <c r="E8038" i="4"/>
  <c r="E8039" i="4"/>
  <c r="E8040" i="4"/>
  <c r="E8041" i="4"/>
  <c r="G8041" i="4"/>
  <c r="F8041" i="4"/>
  <c r="E8042" i="4"/>
  <c r="E8043" i="4"/>
  <c r="F8043" i="4"/>
  <c r="G8043" i="4"/>
  <c r="E8044" i="4"/>
  <c r="F8044" i="4"/>
  <c r="G8044" i="4"/>
  <c r="E8045" i="4"/>
  <c r="F8045" i="4"/>
  <c r="E8046" i="4"/>
  <c r="F8046" i="4"/>
  <c r="E8047" i="4"/>
  <c r="E8048" i="4"/>
  <c r="E8049" i="4"/>
  <c r="E8050" i="4"/>
  <c r="F8050" i="4"/>
  <c r="G8050" i="4"/>
  <c r="E8051" i="4"/>
  <c r="G8051" i="4"/>
  <c r="E8052" i="4"/>
  <c r="F8052" i="4"/>
  <c r="E8053" i="4"/>
  <c r="F8053" i="4"/>
  <c r="E8054" i="4"/>
  <c r="E8055" i="4"/>
  <c r="G8055" i="4"/>
  <c r="F8055" i="4"/>
  <c r="E8056" i="4"/>
  <c r="G8056" i="4"/>
  <c r="F8056" i="4"/>
  <c r="E8057" i="4"/>
  <c r="G8057" i="4"/>
  <c r="F8057" i="4"/>
  <c r="E8058" i="4"/>
  <c r="F8058" i="4"/>
  <c r="G8058" i="4"/>
  <c r="E8059" i="4"/>
  <c r="F8059" i="4"/>
  <c r="E8060" i="4"/>
  <c r="F8060" i="4"/>
  <c r="E8061" i="4"/>
  <c r="F8061" i="4"/>
  <c r="E8062" i="4"/>
  <c r="E8063" i="4"/>
  <c r="E8064" i="4"/>
  <c r="G8064" i="4"/>
  <c r="E8065" i="4"/>
  <c r="E8066" i="4"/>
  <c r="F8066" i="4"/>
  <c r="G8066" i="4"/>
  <c r="E8067" i="4"/>
  <c r="F8067" i="4"/>
  <c r="G8067" i="4"/>
  <c r="E8068" i="4"/>
  <c r="F8068" i="4"/>
  <c r="E8069" i="4"/>
  <c r="G8069" i="4"/>
  <c r="F8069" i="4"/>
  <c r="E8070" i="4"/>
  <c r="E8071" i="4"/>
  <c r="E8072" i="4"/>
  <c r="G8072" i="4"/>
  <c r="E8073" i="4"/>
  <c r="F8073" i="4"/>
  <c r="G8073" i="4"/>
  <c r="E8074" i="4"/>
  <c r="F8074" i="4"/>
  <c r="E8075" i="4"/>
  <c r="F8075" i="4"/>
  <c r="E8076" i="4"/>
  <c r="E8077" i="4"/>
  <c r="E8078" i="4"/>
  <c r="E8079" i="4"/>
  <c r="F8079" i="4"/>
  <c r="E8080" i="4"/>
  <c r="F8080" i="4"/>
  <c r="G8080" i="4"/>
  <c r="E8081" i="4"/>
  <c r="F8081" i="4"/>
  <c r="G8081" i="4"/>
  <c r="E8082" i="4"/>
  <c r="E8083" i="4"/>
  <c r="E8084" i="4"/>
  <c r="F8084" i="4"/>
  <c r="G8084" i="4"/>
  <c r="E8085" i="4"/>
  <c r="F8085" i="4"/>
  <c r="E8086" i="4"/>
  <c r="E8087" i="4"/>
  <c r="E8088" i="4"/>
  <c r="F8088" i="4"/>
  <c r="G8088" i="4"/>
  <c r="E8089" i="4"/>
  <c r="F8089" i="4"/>
  <c r="G8089" i="4"/>
  <c r="E8090" i="4"/>
  <c r="F8090" i="4"/>
  <c r="G8090" i="4"/>
  <c r="E8091" i="4"/>
  <c r="F8091" i="4"/>
  <c r="G8091" i="4"/>
  <c r="E8092" i="4"/>
  <c r="E8093" i="4"/>
  <c r="F8093" i="4"/>
  <c r="G8093" i="4"/>
  <c r="E8094" i="4"/>
  <c r="E8095" i="4"/>
  <c r="E8096" i="4"/>
  <c r="F8096" i="4"/>
  <c r="G8096" i="4"/>
  <c r="E8097" i="4"/>
  <c r="E8098" i="4"/>
  <c r="F8098" i="4"/>
  <c r="G8098" i="4"/>
  <c r="E8099" i="4"/>
  <c r="E8100" i="4"/>
  <c r="G8100" i="4"/>
  <c r="F8100" i="4"/>
  <c r="E8101" i="4"/>
  <c r="E8102" i="4"/>
  <c r="E8103" i="4"/>
  <c r="G8103" i="4"/>
  <c r="F8103" i="4"/>
  <c r="E8104" i="4"/>
  <c r="G8104" i="4"/>
  <c r="F8104" i="4"/>
  <c r="E8105" i="4"/>
  <c r="F8105" i="4"/>
  <c r="G8105" i="4"/>
  <c r="E8106" i="4"/>
  <c r="F8106" i="4"/>
  <c r="E8107" i="4"/>
  <c r="E8108" i="4"/>
  <c r="E8109" i="4"/>
  <c r="E8110" i="4"/>
  <c r="E8111" i="4"/>
  <c r="F8111" i="4"/>
  <c r="G8111" i="4"/>
  <c r="E8112" i="4"/>
  <c r="G8112" i="4"/>
  <c r="F8112" i="4"/>
  <c r="E8113" i="4"/>
  <c r="E8114" i="4"/>
  <c r="E8115" i="4"/>
  <c r="G8115" i="4"/>
  <c r="E8116" i="4"/>
  <c r="G8116" i="4"/>
  <c r="F8116" i="4"/>
  <c r="E8117" i="4"/>
  <c r="G8117" i="4"/>
  <c r="F8117" i="4"/>
  <c r="E8118" i="4"/>
  <c r="F8118" i="4"/>
  <c r="G8118" i="4"/>
  <c r="E8119" i="4"/>
  <c r="F8119" i="4"/>
  <c r="G8119" i="4"/>
  <c r="E8120" i="4"/>
  <c r="F8120" i="4"/>
  <c r="G8120" i="4"/>
  <c r="E8121" i="4"/>
  <c r="E8122" i="4"/>
  <c r="E8123" i="4"/>
  <c r="E8124" i="4"/>
  <c r="G8124" i="4"/>
  <c r="E8125" i="4"/>
  <c r="E8126" i="4"/>
  <c r="E8127" i="4"/>
  <c r="F8127" i="4"/>
  <c r="G8127" i="4"/>
  <c r="E8128" i="4"/>
  <c r="F8128" i="4"/>
  <c r="G8128" i="4"/>
  <c r="E8129" i="4"/>
  <c r="G8129" i="4"/>
  <c r="E8130" i="4"/>
  <c r="F8130" i="4"/>
  <c r="G8130" i="4"/>
  <c r="E8131" i="4"/>
  <c r="G8131" i="4"/>
  <c r="F8131" i="4"/>
  <c r="E8132" i="4"/>
  <c r="G8132" i="4"/>
  <c r="F8132" i="4"/>
  <c r="E8133" i="4"/>
  <c r="F8133" i="4"/>
  <c r="G8133" i="4"/>
  <c r="E8134" i="4"/>
  <c r="E8135" i="4"/>
  <c r="F8135" i="4"/>
  <c r="E8136" i="4"/>
  <c r="E8137" i="4"/>
  <c r="F8137" i="4"/>
  <c r="E8138" i="4"/>
  <c r="F8138" i="4"/>
  <c r="G8138" i="4"/>
  <c r="E8139" i="4"/>
  <c r="F8139" i="4"/>
  <c r="E8140" i="4"/>
  <c r="G8140" i="4"/>
  <c r="F8140" i="4"/>
  <c r="E8141" i="4"/>
  <c r="E8142" i="4"/>
  <c r="F8142" i="4"/>
  <c r="G8142" i="4"/>
  <c r="E8143" i="4"/>
  <c r="E8144" i="4"/>
  <c r="F8144" i="4"/>
  <c r="G8144" i="4"/>
  <c r="E8145" i="4"/>
  <c r="E8146" i="4"/>
  <c r="E8147" i="4"/>
  <c r="G8147" i="4"/>
  <c r="F8147" i="4"/>
  <c r="E8148" i="4"/>
  <c r="E8149" i="4"/>
  <c r="F8149" i="4"/>
  <c r="G8149" i="4"/>
  <c r="E8150" i="4"/>
  <c r="F8150" i="4"/>
  <c r="G8150" i="4"/>
  <c r="E8151" i="4"/>
  <c r="E8152" i="4"/>
  <c r="F8152" i="4"/>
  <c r="E8153" i="4"/>
  <c r="E8154" i="4"/>
  <c r="E8155" i="4"/>
  <c r="G8155" i="4"/>
  <c r="E8156" i="4"/>
  <c r="E8157" i="4"/>
  <c r="F8157" i="4"/>
  <c r="G8157" i="4"/>
  <c r="E8158" i="4"/>
  <c r="F8158" i="4"/>
  <c r="G8158" i="4"/>
  <c r="E8159" i="4"/>
  <c r="F8159" i="4"/>
  <c r="E8160" i="4"/>
  <c r="E8161" i="4"/>
  <c r="F8161" i="4"/>
  <c r="G8161" i="4"/>
  <c r="E8162" i="4"/>
  <c r="F8162" i="4"/>
  <c r="E8163" i="4"/>
  <c r="E8164" i="4"/>
  <c r="G8164" i="4"/>
  <c r="F8164" i="4"/>
  <c r="E8165" i="4"/>
  <c r="G8165" i="4"/>
  <c r="E8166" i="4"/>
  <c r="E8167" i="4"/>
  <c r="F8167" i="4"/>
  <c r="G8167" i="4"/>
  <c r="E8168" i="4"/>
  <c r="F8168" i="4"/>
  <c r="E8169" i="4"/>
  <c r="E8170" i="4"/>
  <c r="F8170" i="4"/>
  <c r="G8170" i="4"/>
  <c r="E8171" i="4"/>
  <c r="F8171" i="4"/>
  <c r="G8171" i="4"/>
  <c r="E8172" i="4"/>
  <c r="F8172" i="4"/>
  <c r="E8173" i="4"/>
  <c r="G8173" i="4"/>
  <c r="E8174" i="4"/>
  <c r="E8175" i="4"/>
  <c r="F8175" i="4"/>
  <c r="G8175" i="4"/>
  <c r="E8176" i="4"/>
  <c r="F8176" i="4"/>
  <c r="G8176" i="4"/>
  <c r="E8177" i="4"/>
  <c r="E8178" i="4"/>
  <c r="F8178" i="4"/>
  <c r="G8178" i="4"/>
  <c r="E8179" i="4"/>
  <c r="G8179" i="4"/>
  <c r="F8179" i="4"/>
  <c r="E8180" i="4"/>
  <c r="F8180" i="4"/>
  <c r="G8180" i="4"/>
  <c r="E8181" i="4"/>
  <c r="F8181" i="4"/>
  <c r="G8181" i="4"/>
  <c r="E8182" i="4"/>
  <c r="E8183" i="4"/>
  <c r="G8183" i="4"/>
  <c r="E8184" i="4"/>
  <c r="G8184" i="4"/>
  <c r="F8184" i="4"/>
  <c r="E8185" i="4"/>
  <c r="F8185" i="4"/>
  <c r="G8185" i="4"/>
  <c r="E8186" i="4"/>
  <c r="F8186" i="4"/>
  <c r="E8187" i="4"/>
  <c r="G8187" i="4"/>
  <c r="F8187" i="4"/>
  <c r="E8188" i="4"/>
  <c r="G8188" i="4"/>
  <c r="F8188" i="4"/>
  <c r="E8189" i="4"/>
  <c r="F8189" i="4"/>
  <c r="G8189" i="4"/>
  <c r="E8190" i="4"/>
  <c r="F8190" i="4"/>
  <c r="G8190" i="4"/>
  <c r="E8191" i="4"/>
  <c r="E8192" i="4"/>
  <c r="G8192" i="4"/>
  <c r="F8192" i="4"/>
  <c r="E8193" i="4"/>
  <c r="F8193" i="4"/>
  <c r="G8193" i="4"/>
  <c r="E8194" i="4"/>
  <c r="E8195" i="4"/>
  <c r="G8195" i="4"/>
  <c r="F8195" i="4"/>
  <c r="E8196" i="4"/>
  <c r="F8196" i="4"/>
  <c r="G8196" i="4"/>
  <c r="E8197" i="4"/>
  <c r="F8197" i="4"/>
  <c r="E8198" i="4"/>
  <c r="E8199" i="4"/>
  <c r="G8199" i="4"/>
  <c r="E8200" i="4"/>
  <c r="G8200" i="4"/>
  <c r="E8201" i="4"/>
  <c r="G8201" i="4"/>
  <c r="F8201" i="4"/>
  <c r="E8202" i="4"/>
  <c r="F8202" i="4"/>
  <c r="E8203" i="4"/>
  <c r="E8204" i="4"/>
  <c r="F8204" i="4"/>
  <c r="E8205" i="4"/>
  <c r="F8205" i="4"/>
  <c r="G8205" i="4"/>
  <c r="E8206" i="4"/>
  <c r="E8207" i="4"/>
  <c r="F8207" i="4"/>
  <c r="G8207" i="4"/>
  <c r="E8208" i="4"/>
  <c r="G8208" i="4"/>
  <c r="F8208" i="4"/>
  <c r="E8209" i="4"/>
  <c r="E8210" i="4"/>
  <c r="F8210" i="4"/>
  <c r="G8210" i="4"/>
  <c r="E8211" i="4"/>
  <c r="F8211" i="4"/>
  <c r="E8212" i="4"/>
  <c r="G8212" i="4"/>
  <c r="F8212" i="4"/>
  <c r="E8213" i="4"/>
  <c r="F8213" i="4"/>
  <c r="G8213" i="4"/>
  <c r="E8214" i="4"/>
  <c r="E8215" i="4"/>
  <c r="G8215" i="4"/>
  <c r="F8215" i="4"/>
  <c r="E8216" i="4"/>
  <c r="G8216" i="4"/>
  <c r="F8216" i="4"/>
  <c r="E8217" i="4"/>
  <c r="E8218" i="4"/>
  <c r="F8218" i="4"/>
  <c r="E8219" i="4"/>
  <c r="F8219" i="4"/>
  <c r="E8220" i="4"/>
  <c r="E8221" i="4"/>
  <c r="G8221" i="4"/>
  <c r="E8222" i="4"/>
  <c r="E8223" i="4"/>
  <c r="F8223" i="4"/>
  <c r="E8224" i="4"/>
  <c r="F8224" i="4"/>
  <c r="G8224" i="4"/>
  <c r="E8225" i="4"/>
  <c r="G8225" i="4"/>
  <c r="F8225" i="4"/>
  <c r="E8226" i="4"/>
  <c r="F8226" i="4"/>
  <c r="E8227" i="4"/>
  <c r="F8227" i="4"/>
  <c r="G8227" i="4"/>
  <c r="E8228" i="4"/>
  <c r="F8228" i="4"/>
  <c r="E8229" i="4"/>
  <c r="F8229" i="4"/>
  <c r="E8230" i="4"/>
  <c r="E8231" i="4"/>
  <c r="F8231" i="4"/>
  <c r="E8232" i="4"/>
  <c r="E8233" i="4"/>
  <c r="G8233" i="4"/>
  <c r="F8233" i="4"/>
  <c r="E8234" i="4"/>
  <c r="F8234" i="4"/>
  <c r="G8234" i="4"/>
  <c r="E8235" i="4"/>
  <c r="G8235" i="4"/>
  <c r="F8235" i="4"/>
  <c r="E8236" i="4"/>
  <c r="F8236" i="4"/>
  <c r="E8237" i="4"/>
  <c r="F8237" i="4"/>
  <c r="E8238" i="4"/>
  <c r="E8239" i="4"/>
  <c r="F8239" i="4"/>
  <c r="E8240" i="4"/>
  <c r="F8240" i="4"/>
  <c r="E8241" i="4"/>
  <c r="E8242" i="4"/>
  <c r="F8242" i="4"/>
  <c r="G8242" i="4"/>
  <c r="E8243" i="4"/>
  <c r="E8244" i="4"/>
  <c r="G8244" i="4"/>
  <c r="F8244" i="4"/>
  <c r="E8245" i="4"/>
  <c r="G8245" i="4"/>
  <c r="F8245" i="4"/>
  <c r="E8246" i="4"/>
  <c r="E8247" i="4"/>
  <c r="G8247" i="4"/>
  <c r="F8247" i="4"/>
  <c r="E8248" i="4"/>
  <c r="F8248" i="4"/>
  <c r="G8248" i="4"/>
  <c r="E8249" i="4"/>
  <c r="F8249" i="4"/>
  <c r="E8250" i="4"/>
  <c r="F8250" i="4"/>
  <c r="E8251" i="4"/>
  <c r="E8252" i="4"/>
  <c r="E8253" i="4"/>
  <c r="F8253" i="4"/>
  <c r="E8254" i="4"/>
  <c r="E8255" i="4"/>
  <c r="F8255" i="4"/>
  <c r="G8255" i="4"/>
  <c r="E8256" i="4"/>
  <c r="G8256" i="4"/>
  <c r="E8257" i="4"/>
  <c r="F8257" i="4"/>
  <c r="E8258" i="4"/>
  <c r="F8258" i="4"/>
  <c r="E8259" i="4"/>
  <c r="F8259" i="4"/>
  <c r="G8259" i="4"/>
  <c r="E8260" i="4"/>
  <c r="G8260" i="4"/>
  <c r="E8261" i="4"/>
  <c r="F8261" i="4"/>
  <c r="G8261" i="4"/>
  <c r="E8262" i="4"/>
  <c r="F8262" i="4"/>
  <c r="G8262" i="4"/>
  <c r="E8263" i="4"/>
  <c r="F8263" i="4"/>
  <c r="G8263" i="4"/>
  <c r="E8264" i="4"/>
  <c r="E8265" i="4"/>
  <c r="F8265" i="4"/>
  <c r="G8265" i="4"/>
  <c r="E8266" i="4"/>
  <c r="E8267" i="4"/>
  <c r="E8268" i="4"/>
  <c r="G8268" i="4"/>
  <c r="F8268" i="4"/>
  <c r="E8269" i="4"/>
  <c r="G8269" i="4"/>
  <c r="E8270" i="4"/>
  <c r="F8270" i="4"/>
  <c r="G8270" i="4"/>
  <c r="E8271" i="4"/>
  <c r="F8271" i="4"/>
  <c r="G8271" i="4"/>
  <c r="E8272" i="4"/>
  <c r="E8273" i="4"/>
  <c r="G8273" i="4"/>
  <c r="F8273" i="4"/>
  <c r="E8274" i="4"/>
  <c r="F8274" i="4"/>
  <c r="G8274" i="4"/>
  <c r="E8275" i="4"/>
  <c r="G8275" i="4"/>
  <c r="F8275" i="4"/>
  <c r="E8276" i="4"/>
  <c r="E8277" i="4"/>
  <c r="G8277" i="4"/>
  <c r="E8278" i="4"/>
  <c r="E8279" i="4"/>
  <c r="F8279" i="4"/>
  <c r="E8280" i="4"/>
  <c r="F8280" i="4"/>
  <c r="E8281" i="4"/>
  <c r="E8282" i="4"/>
  <c r="F8282" i="4"/>
  <c r="G8282" i="4"/>
  <c r="E8283" i="4"/>
  <c r="F8283" i="4"/>
  <c r="G8283" i="4"/>
  <c r="E8284" i="4"/>
  <c r="G8284" i="4"/>
  <c r="E8285" i="4"/>
  <c r="G8285" i="4"/>
  <c r="F8285" i="4"/>
  <c r="E8286" i="4"/>
  <c r="F8286" i="4"/>
  <c r="G8286" i="4"/>
  <c r="E8287" i="4"/>
  <c r="F8287" i="4"/>
  <c r="G8287" i="4"/>
  <c r="E8288" i="4"/>
  <c r="F8288" i="4"/>
  <c r="G8288" i="4"/>
  <c r="E8289" i="4"/>
  <c r="E8290" i="4"/>
  <c r="F8290" i="4"/>
  <c r="E8291" i="4"/>
  <c r="E8292" i="4"/>
  <c r="G8292" i="4"/>
  <c r="F8292" i="4"/>
  <c r="E8293" i="4"/>
  <c r="G8293" i="4"/>
  <c r="F8293" i="4"/>
  <c r="E8294" i="4"/>
  <c r="E8295" i="4"/>
  <c r="G8295" i="4"/>
  <c r="E8296" i="4"/>
  <c r="G8296" i="4"/>
  <c r="E8297" i="4"/>
  <c r="F8297" i="4"/>
  <c r="E8298" i="4"/>
  <c r="E8299" i="4"/>
  <c r="G8299" i="4"/>
  <c r="E8300" i="4"/>
  <c r="F8300" i="4"/>
  <c r="G8300" i="4"/>
  <c r="E8301" i="4"/>
  <c r="G8301" i="4"/>
  <c r="F8301" i="4"/>
  <c r="E8302" i="4"/>
  <c r="F8302" i="4"/>
  <c r="G8302" i="4"/>
  <c r="E8303" i="4"/>
  <c r="E8304" i="4"/>
  <c r="G8304" i="4"/>
  <c r="F8304" i="4"/>
  <c r="E8305" i="4"/>
  <c r="G8305" i="4"/>
  <c r="F8305" i="4"/>
  <c r="E8306" i="4"/>
  <c r="F8306" i="4"/>
  <c r="G8306" i="4"/>
  <c r="E8307" i="4"/>
  <c r="G8307" i="4"/>
  <c r="F8307" i="4"/>
  <c r="E8308" i="4"/>
  <c r="F8308" i="4"/>
  <c r="G8308" i="4"/>
  <c r="E8309" i="4"/>
  <c r="G8309" i="4"/>
  <c r="F8309" i="4"/>
  <c r="E8310" i="4"/>
  <c r="F8310" i="4"/>
  <c r="E8311" i="4"/>
  <c r="F8311" i="4"/>
  <c r="E8312" i="4"/>
  <c r="F8312" i="4"/>
  <c r="G8312" i="4"/>
  <c r="E8313" i="4"/>
  <c r="F8313" i="4"/>
  <c r="G8313" i="4"/>
  <c r="E8314" i="4"/>
  <c r="E8315" i="4"/>
  <c r="G8315" i="4"/>
  <c r="F8315" i="4"/>
  <c r="E8316" i="4"/>
  <c r="G8316" i="4"/>
  <c r="E8317" i="4"/>
  <c r="G8317" i="4"/>
  <c r="E8318" i="4"/>
  <c r="F8318" i="4"/>
  <c r="G8318" i="4"/>
  <c r="E8319" i="4"/>
  <c r="G8319" i="4"/>
  <c r="F8319" i="4"/>
  <c r="E8320" i="4"/>
  <c r="F8320" i="4"/>
  <c r="E8321" i="4"/>
  <c r="G8321" i="4"/>
  <c r="E8322" i="4"/>
  <c r="F8322" i="4"/>
  <c r="E8323" i="4"/>
  <c r="F8323" i="4"/>
  <c r="E8324" i="4"/>
  <c r="G8324" i="4"/>
  <c r="E8325" i="4"/>
  <c r="F8325" i="4"/>
  <c r="E8326" i="4"/>
  <c r="E8327" i="4"/>
  <c r="F8327" i="4"/>
  <c r="G8327" i="4"/>
  <c r="E8328" i="4"/>
  <c r="F8328" i="4"/>
  <c r="G8328" i="4"/>
  <c r="E8329" i="4"/>
  <c r="E8330" i="4"/>
  <c r="F8330" i="4"/>
  <c r="E8331" i="4"/>
  <c r="G8331" i="4"/>
  <c r="F8331" i="4"/>
  <c r="E8332" i="4"/>
  <c r="F8332" i="4"/>
  <c r="E8333" i="4"/>
  <c r="E8334" i="4"/>
  <c r="F8334" i="4"/>
  <c r="G8334" i="4"/>
  <c r="E8335" i="4"/>
  <c r="E8336" i="4"/>
  <c r="G8336" i="4"/>
  <c r="F8336" i="4"/>
  <c r="E8337" i="4"/>
  <c r="G8337" i="4"/>
  <c r="F8337" i="4"/>
  <c r="E8338" i="4"/>
  <c r="F8338" i="4"/>
  <c r="E8339" i="4"/>
  <c r="E8340" i="4"/>
  <c r="F8340" i="4"/>
  <c r="E8341" i="4"/>
  <c r="G8341" i="4"/>
  <c r="F8341" i="4"/>
  <c r="E8342" i="4"/>
  <c r="E8343" i="4"/>
  <c r="F8343" i="4"/>
  <c r="G8343" i="4"/>
  <c r="E8344" i="4"/>
  <c r="G8344" i="4"/>
  <c r="F8344" i="4"/>
  <c r="E8345" i="4"/>
  <c r="F8345" i="4"/>
  <c r="E8346" i="4"/>
  <c r="F8346" i="4"/>
  <c r="G8346" i="4"/>
  <c r="E8347" i="4"/>
  <c r="F8347" i="4"/>
  <c r="G8347" i="4"/>
  <c r="E8348" i="4"/>
  <c r="F8348" i="4"/>
  <c r="E8349" i="4"/>
  <c r="E8350" i="4"/>
  <c r="F8350" i="4"/>
  <c r="E8351" i="4"/>
  <c r="G8351" i="4"/>
  <c r="F8351" i="4"/>
  <c r="E8352" i="4"/>
  <c r="G8352" i="4"/>
  <c r="F8352" i="4"/>
  <c r="E8353" i="4"/>
  <c r="G8353" i="4"/>
  <c r="F8353" i="4"/>
  <c r="E8354" i="4"/>
  <c r="F8354" i="4"/>
  <c r="G8354" i="4"/>
  <c r="E8355" i="4"/>
  <c r="F8355" i="4"/>
  <c r="E8356" i="4"/>
  <c r="F8356" i="4"/>
  <c r="G8356" i="4"/>
  <c r="E8357" i="4"/>
  <c r="F8357" i="4"/>
  <c r="G8357" i="4"/>
  <c r="E8358" i="4"/>
  <c r="E8359" i="4"/>
  <c r="E8360" i="4"/>
  <c r="F8360" i="4"/>
  <c r="G8360" i="4"/>
  <c r="E8361" i="4"/>
  <c r="F8361" i="4"/>
  <c r="G8361" i="4"/>
  <c r="E8362" i="4"/>
  <c r="F8362" i="4"/>
  <c r="E8363" i="4"/>
  <c r="F8363" i="4"/>
  <c r="E8364" i="4"/>
  <c r="E8365" i="4"/>
  <c r="G8365" i="4"/>
  <c r="E8366" i="4"/>
  <c r="F8366" i="4"/>
  <c r="E8367" i="4"/>
  <c r="F8367" i="4"/>
  <c r="G8367" i="4"/>
  <c r="E8368" i="4"/>
  <c r="G8368" i="4"/>
  <c r="F8368" i="4"/>
  <c r="E8369" i="4"/>
  <c r="F8369" i="4"/>
  <c r="G8369" i="4"/>
  <c r="E8370" i="4"/>
  <c r="F8370" i="4"/>
  <c r="G8370" i="4"/>
  <c r="E8371" i="4"/>
  <c r="F8371" i="4"/>
  <c r="G8371" i="4"/>
  <c r="E8372" i="4"/>
  <c r="F8372" i="4"/>
  <c r="G8372" i="4"/>
  <c r="E8373" i="4"/>
  <c r="E8374" i="4"/>
  <c r="E8375" i="4"/>
  <c r="F8375" i="4"/>
  <c r="E8376" i="4"/>
  <c r="E8377" i="4"/>
  <c r="F8377" i="4"/>
  <c r="G8377" i="4"/>
  <c r="E8378" i="4"/>
  <c r="E8379" i="4"/>
  <c r="F8379" i="4"/>
  <c r="E8380" i="4"/>
  <c r="F8380" i="4"/>
  <c r="G8380" i="4"/>
  <c r="E8381" i="4"/>
  <c r="F8381" i="4"/>
  <c r="E8382" i="4"/>
  <c r="F8382" i="4"/>
  <c r="E8383" i="4"/>
  <c r="E8384" i="4"/>
  <c r="F8384" i="4"/>
  <c r="E8385" i="4"/>
  <c r="F8385" i="4"/>
  <c r="E8386" i="4"/>
  <c r="F8386" i="4"/>
  <c r="E8387" i="4"/>
  <c r="E8388" i="4"/>
  <c r="E8389" i="4"/>
  <c r="F8389" i="4"/>
  <c r="E8390" i="4"/>
  <c r="F8390" i="4"/>
  <c r="G8390" i="4"/>
  <c r="E8391" i="4"/>
  <c r="F8391" i="4"/>
  <c r="G8391" i="4"/>
  <c r="E8392" i="4"/>
  <c r="G8392" i="4"/>
  <c r="F8392" i="4"/>
  <c r="E8393" i="4"/>
  <c r="F8393" i="4"/>
  <c r="E8394" i="4"/>
  <c r="F8394" i="4"/>
  <c r="E8395" i="4"/>
  <c r="F8395" i="4"/>
  <c r="E8396" i="4"/>
  <c r="F8396" i="4"/>
  <c r="G8396" i="4"/>
  <c r="E8397" i="4"/>
  <c r="G8397" i="4"/>
  <c r="F8397" i="4"/>
  <c r="E8398" i="4"/>
  <c r="F8398" i="4"/>
  <c r="E8399" i="4"/>
  <c r="G8399" i="4"/>
  <c r="F8399" i="4"/>
  <c r="E8400" i="4"/>
  <c r="E8401" i="4"/>
  <c r="G8401" i="4"/>
  <c r="E8402" i="4"/>
  <c r="E8403" i="4"/>
  <c r="F8403" i="4"/>
  <c r="E8404" i="4"/>
  <c r="G8404" i="4"/>
  <c r="E8405" i="4"/>
  <c r="E8406" i="4"/>
  <c r="E8407" i="4"/>
  <c r="E8408" i="4"/>
  <c r="E8409" i="4"/>
  <c r="F8409" i="4"/>
  <c r="G8409" i="4"/>
  <c r="E8410" i="4"/>
  <c r="F8410" i="4"/>
  <c r="E8411" i="4"/>
  <c r="F8411" i="4"/>
  <c r="E8412" i="4"/>
  <c r="F8412" i="4"/>
  <c r="G8412" i="4"/>
  <c r="E8413" i="4"/>
  <c r="G8413" i="4"/>
  <c r="F8413" i="4"/>
  <c r="E8414" i="4"/>
  <c r="F8414" i="4"/>
  <c r="E8415" i="4"/>
  <c r="F8415" i="4"/>
  <c r="G8415" i="4"/>
  <c r="E8416" i="4"/>
  <c r="G8416" i="4"/>
  <c r="E8417" i="4"/>
  <c r="F8417" i="4"/>
  <c r="E8418" i="4"/>
  <c r="F8418" i="4"/>
  <c r="E8419" i="4"/>
  <c r="E8420" i="4"/>
  <c r="F8420" i="4"/>
  <c r="G8420" i="4"/>
  <c r="E8421" i="4"/>
  <c r="F8421" i="4"/>
  <c r="G8421" i="4"/>
  <c r="E8422" i="4"/>
  <c r="E8423" i="4"/>
  <c r="F8423" i="4"/>
  <c r="E8424" i="4"/>
  <c r="G8424" i="4"/>
  <c r="F8424" i="4"/>
  <c r="E8425" i="4"/>
  <c r="F8425" i="4"/>
  <c r="E8426" i="4"/>
  <c r="E8427" i="4"/>
  <c r="G8427" i="4"/>
  <c r="F8427" i="4"/>
  <c r="E8428" i="4"/>
  <c r="G8428" i="4"/>
  <c r="F8428" i="4"/>
  <c r="E8429" i="4"/>
  <c r="G8429" i="4"/>
  <c r="E8430" i="4"/>
  <c r="E8431" i="4"/>
  <c r="F8431" i="4"/>
  <c r="E8432" i="4"/>
  <c r="F8432" i="4"/>
  <c r="G8432" i="4"/>
  <c r="E8433" i="4"/>
  <c r="G8433" i="4"/>
  <c r="F8433" i="4"/>
  <c r="E8434" i="4"/>
  <c r="F8434" i="4"/>
  <c r="E8435" i="4"/>
  <c r="G8435" i="4"/>
  <c r="E8436" i="4"/>
  <c r="F8436" i="4"/>
  <c r="E8437" i="4"/>
  <c r="F8437" i="4"/>
  <c r="G8437" i="4"/>
  <c r="E8438" i="4"/>
  <c r="E8439" i="4"/>
  <c r="G8439" i="4"/>
  <c r="F8439" i="4"/>
  <c r="E8440" i="4"/>
  <c r="G8440" i="4"/>
  <c r="F8440" i="4"/>
  <c r="E8441" i="4"/>
  <c r="F8441" i="4"/>
  <c r="E8442" i="4"/>
  <c r="F8442" i="4"/>
  <c r="E8443" i="4"/>
  <c r="G8443" i="4"/>
  <c r="E8444" i="4"/>
  <c r="E8445" i="4"/>
  <c r="E8446" i="4"/>
  <c r="F8446" i="4"/>
  <c r="G8446" i="4"/>
  <c r="E8447" i="4"/>
  <c r="F8447" i="4"/>
  <c r="E8448" i="4"/>
  <c r="E8449" i="4"/>
  <c r="F8449" i="4"/>
  <c r="G8449" i="4"/>
  <c r="E8450" i="4"/>
  <c r="F8450" i="4"/>
  <c r="G8450" i="4"/>
  <c r="E8451" i="4"/>
  <c r="F8451" i="4"/>
  <c r="G8451" i="4"/>
  <c r="E8452" i="4"/>
  <c r="F8452" i="4"/>
  <c r="G8452" i="4"/>
  <c r="E8453" i="4"/>
  <c r="G8453" i="4"/>
  <c r="F8453" i="4"/>
  <c r="E8454" i="4"/>
  <c r="E8455" i="4"/>
  <c r="F8455" i="4"/>
  <c r="E8456" i="4"/>
  <c r="G8456" i="4"/>
  <c r="E8457" i="4"/>
  <c r="F8457" i="4"/>
  <c r="G8457" i="4"/>
  <c r="E8458" i="4"/>
  <c r="F8458" i="4"/>
  <c r="G8458" i="4"/>
  <c r="E8459" i="4"/>
  <c r="G8459" i="4"/>
  <c r="E8460" i="4"/>
  <c r="F8460" i="4"/>
  <c r="G8460" i="4"/>
  <c r="E8461" i="4"/>
  <c r="G8461" i="4"/>
  <c r="E8462" i="4"/>
  <c r="F8462" i="4"/>
  <c r="E8463" i="4"/>
  <c r="G8463" i="4"/>
  <c r="F8463" i="4"/>
  <c r="E8464" i="4"/>
  <c r="E8465" i="4"/>
  <c r="F8465" i="4"/>
  <c r="E8466" i="4"/>
  <c r="F8466" i="4"/>
  <c r="E8467" i="4"/>
  <c r="G8467" i="4"/>
  <c r="E8468" i="4"/>
  <c r="F8468" i="4"/>
  <c r="E8469" i="4"/>
  <c r="F8469" i="4"/>
  <c r="E8470" i="4"/>
  <c r="E8471" i="4"/>
  <c r="F8471" i="4"/>
  <c r="G8471" i="4"/>
  <c r="E8472" i="4"/>
  <c r="F8472" i="4"/>
  <c r="E8473" i="4"/>
  <c r="G8473" i="4"/>
  <c r="E8474" i="4"/>
  <c r="F8474" i="4"/>
  <c r="E8475" i="4"/>
  <c r="F8475" i="4"/>
  <c r="E8476" i="4"/>
  <c r="E8477" i="4"/>
  <c r="G8477" i="4"/>
  <c r="F8477" i="4"/>
  <c r="E8478" i="4"/>
  <c r="F8478" i="4"/>
  <c r="G8478" i="4"/>
  <c r="E8479" i="4"/>
  <c r="F8479" i="4"/>
  <c r="E8480" i="4"/>
  <c r="G8480" i="4"/>
  <c r="E8481" i="4"/>
  <c r="G8481" i="4"/>
  <c r="E8482" i="4"/>
  <c r="E8483" i="4"/>
  <c r="G8483" i="4"/>
  <c r="F8483" i="4"/>
  <c r="E8484" i="4"/>
  <c r="F8484" i="4"/>
  <c r="E8485" i="4"/>
  <c r="F8485" i="4"/>
  <c r="E8486" i="4"/>
  <c r="E8487" i="4"/>
  <c r="E8488" i="4"/>
  <c r="F8488" i="4"/>
  <c r="E8489" i="4"/>
  <c r="F8489" i="4"/>
  <c r="E8490" i="4"/>
  <c r="F8490" i="4"/>
  <c r="G8490" i="4"/>
  <c r="E8491" i="4"/>
  <c r="F8491" i="4"/>
  <c r="G8491" i="4"/>
  <c r="E8492" i="4"/>
  <c r="F8492" i="4"/>
  <c r="G8492" i="4"/>
  <c r="E8493" i="4"/>
  <c r="G8493" i="4"/>
  <c r="F8493" i="4"/>
  <c r="E8494" i="4"/>
  <c r="F8494" i="4"/>
  <c r="E8495" i="4"/>
  <c r="F8495" i="4"/>
  <c r="G8495" i="4"/>
  <c r="E8496" i="4"/>
  <c r="G8496" i="4"/>
  <c r="F8496" i="4"/>
  <c r="E8497" i="4"/>
  <c r="F8497" i="4"/>
  <c r="E8498" i="4"/>
  <c r="F8498" i="4"/>
  <c r="E8499" i="4"/>
  <c r="G8499" i="4"/>
  <c r="E8500" i="4"/>
  <c r="G8500" i="4"/>
  <c r="E8501" i="4"/>
  <c r="F8501" i="4"/>
  <c r="G8501" i="4"/>
  <c r="E8502" i="4"/>
  <c r="F8502" i="4"/>
  <c r="G8502" i="4"/>
  <c r="E8503" i="4"/>
  <c r="F8503" i="4"/>
  <c r="G8503" i="4"/>
  <c r="E8504" i="4"/>
  <c r="G8504" i="4"/>
  <c r="F8504" i="4"/>
  <c r="E8505" i="4"/>
  <c r="F8505" i="4"/>
  <c r="E8506" i="4"/>
  <c r="F8506" i="4"/>
  <c r="G8506" i="4"/>
  <c r="E8507" i="4"/>
  <c r="F8507" i="4"/>
  <c r="G8507" i="4"/>
  <c r="E8508" i="4"/>
  <c r="G8508" i="4"/>
  <c r="F8508" i="4"/>
  <c r="E8509" i="4"/>
  <c r="G8509" i="4"/>
  <c r="F8509" i="4"/>
  <c r="E8510" i="4"/>
  <c r="F8510" i="4"/>
  <c r="G8510" i="4"/>
  <c r="E8511" i="4"/>
  <c r="F8511" i="4"/>
  <c r="E8512" i="4"/>
  <c r="F8512" i="4"/>
  <c r="E8513" i="4"/>
  <c r="F8513" i="4"/>
  <c r="E8514" i="4"/>
  <c r="F8514" i="4"/>
  <c r="G8514" i="4"/>
  <c r="E8515" i="4"/>
  <c r="E8516" i="4"/>
  <c r="E8517" i="4"/>
  <c r="F8517" i="4"/>
  <c r="G8517" i="4"/>
  <c r="E8518" i="4"/>
  <c r="E8519" i="4"/>
  <c r="E8520" i="4"/>
  <c r="F8520" i="4"/>
  <c r="G8520" i="4"/>
  <c r="E8521" i="4"/>
  <c r="F8521" i="4"/>
  <c r="G8521" i="4"/>
  <c r="E8522" i="4"/>
  <c r="F8522" i="4"/>
  <c r="G8522" i="4"/>
  <c r="E8523" i="4"/>
  <c r="G8523" i="4"/>
  <c r="F8523" i="4"/>
  <c r="E8524" i="4"/>
  <c r="F8524" i="4"/>
  <c r="G8524" i="4"/>
  <c r="E8525" i="4"/>
  <c r="G8525" i="4"/>
  <c r="F8525" i="4"/>
  <c r="E8526" i="4"/>
  <c r="E8527" i="4"/>
  <c r="F8527" i="4"/>
  <c r="E8528" i="4"/>
  <c r="F8528" i="4"/>
  <c r="G8528" i="4"/>
  <c r="E8529" i="4"/>
  <c r="F8529" i="4"/>
  <c r="G8529" i="4"/>
  <c r="E8530" i="4"/>
  <c r="E8531" i="4"/>
  <c r="E8532" i="4"/>
  <c r="E8533" i="4"/>
  <c r="G8533" i="4"/>
  <c r="F8533" i="4"/>
  <c r="E8534" i="4"/>
  <c r="F8534" i="4"/>
  <c r="G8534" i="4"/>
  <c r="E8535" i="4"/>
  <c r="G8535" i="4"/>
  <c r="F8535" i="4"/>
  <c r="E8536" i="4"/>
  <c r="F8536" i="4"/>
  <c r="G8536" i="4"/>
  <c r="E8537" i="4"/>
  <c r="F8537" i="4"/>
  <c r="G8537" i="4"/>
  <c r="E8538" i="4"/>
  <c r="F8538" i="4"/>
  <c r="G8538" i="4"/>
  <c r="E8539" i="4"/>
  <c r="F8539" i="4"/>
  <c r="E8540" i="4"/>
  <c r="F8540" i="4"/>
  <c r="E8541" i="4"/>
  <c r="F8541" i="4"/>
  <c r="G8541" i="4"/>
  <c r="E8542" i="4"/>
  <c r="F8542" i="4"/>
  <c r="E8543" i="4"/>
  <c r="G8543" i="4"/>
  <c r="F8543" i="4"/>
  <c r="E8544" i="4"/>
  <c r="G8544" i="4"/>
  <c r="F8544" i="4"/>
  <c r="E8545" i="4"/>
  <c r="G8545" i="4"/>
  <c r="F8545" i="4"/>
  <c r="E8546" i="4"/>
  <c r="F8546" i="4"/>
  <c r="G8546" i="4"/>
  <c r="E8547" i="4"/>
  <c r="G8547" i="4"/>
  <c r="E8548" i="4"/>
  <c r="G8548" i="4"/>
  <c r="F8548" i="4"/>
  <c r="E8549" i="4"/>
  <c r="G8549" i="4"/>
  <c r="F8549" i="4"/>
  <c r="E8550" i="4"/>
  <c r="E8551" i="4"/>
  <c r="E8552" i="4"/>
  <c r="F8552" i="4"/>
  <c r="E8553" i="4"/>
  <c r="E8554" i="4"/>
  <c r="E8555" i="4"/>
  <c r="E8556" i="4"/>
  <c r="E8557" i="4"/>
  <c r="G8557" i="4"/>
  <c r="E8558" i="4"/>
  <c r="F8558" i="4"/>
  <c r="E8559" i="4"/>
  <c r="G8559" i="4"/>
  <c r="F8559" i="4"/>
  <c r="E8560" i="4"/>
  <c r="E8561" i="4"/>
  <c r="E8562" i="4"/>
  <c r="F8562" i="4"/>
  <c r="G8562" i="4"/>
  <c r="E8563" i="4"/>
  <c r="G8563" i="4"/>
  <c r="E8564" i="4"/>
  <c r="E8565" i="4"/>
  <c r="G8565" i="4"/>
  <c r="E8566" i="4"/>
  <c r="E8567" i="4"/>
  <c r="F8567" i="4"/>
  <c r="G8567" i="4"/>
  <c r="E8568" i="4"/>
  <c r="G8568" i="4"/>
  <c r="F8568" i="4"/>
  <c r="E8569" i="4"/>
  <c r="F8569" i="4"/>
  <c r="G8569" i="4"/>
  <c r="E8570" i="4"/>
  <c r="E8571" i="4"/>
  <c r="G8571" i="4"/>
  <c r="F8571" i="4"/>
  <c r="E8572" i="4"/>
  <c r="F8572" i="4"/>
  <c r="G8572" i="4"/>
  <c r="E8573" i="4"/>
  <c r="F8573" i="4"/>
  <c r="E8574" i="4"/>
  <c r="F8574" i="4"/>
  <c r="E8575" i="4"/>
  <c r="F8575" i="4"/>
  <c r="E8576" i="4"/>
  <c r="F8576" i="4"/>
  <c r="E8577" i="4"/>
  <c r="G8577" i="4"/>
  <c r="F8577" i="4"/>
  <c r="E8578" i="4"/>
  <c r="F8578" i="4"/>
  <c r="G8578" i="4"/>
  <c r="E8579" i="4"/>
  <c r="G8579" i="4"/>
  <c r="F8579" i="4"/>
  <c r="E8580" i="4"/>
  <c r="G8580" i="4"/>
  <c r="F8580" i="4"/>
  <c r="E8581" i="4"/>
  <c r="F8581" i="4"/>
  <c r="E8582" i="4"/>
  <c r="F8582" i="4"/>
  <c r="E8583" i="4"/>
  <c r="F8583" i="4"/>
  <c r="G8583" i="4"/>
  <c r="E8584" i="4"/>
  <c r="F8584" i="4"/>
  <c r="G8584" i="4"/>
  <c r="E8585" i="4"/>
  <c r="F8585" i="4"/>
  <c r="E8586" i="4"/>
  <c r="F8586" i="4"/>
  <c r="E8587" i="4"/>
  <c r="F8587" i="4"/>
  <c r="E8588" i="4"/>
  <c r="G8588" i="4"/>
  <c r="E8589" i="4"/>
  <c r="E8590" i="4"/>
  <c r="F8590" i="4"/>
  <c r="G8590" i="4"/>
  <c r="E8591" i="4"/>
  <c r="F8591" i="4"/>
  <c r="G8591" i="4"/>
  <c r="E8592" i="4"/>
  <c r="G8592" i="4"/>
  <c r="F8592" i="4"/>
  <c r="E8593" i="4"/>
  <c r="F8593" i="4"/>
  <c r="E8594" i="4"/>
  <c r="E8595" i="4"/>
  <c r="F8595" i="4"/>
  <c r="G8595" i="4"/>
  <c r="E8596" i="4"/>
  <c r="F8596" i="4"/>
  <c r="G8596" i="4"/>
  <c r="E8597" i="4"/>
  <c r="F8597" i="4"/>
  <c r="G8597" i="4"/>
  <c r="E8598" i="4"/>
  <c r="F8598" i="4"/>
  <c r="E8599" i="4"/>
  <c r="F8599" i="4"/>
  <c r="E8600" i="4"/>
  <c r="F8600" i="4"/>
  <c r="G8600" i="4"/>
  <c r="E8601" i="4"/>
  <c r="G8601" i="4"/>
  <c r="F8601" i="4"/>
  <c r="E8602" i="4"/>
  <c r="E8603" i="4"/>
  <c r="F8603" i="4"/>
  <c r="G8603" i="4"/>
  <c r="E8604" i="4"/>
  <c r="G8604" i="4"/>
  <c r="F8604" i="4"/>
  <c r="E8605" i="4"/>
  <c r="G8605" i="4"/>
  <c r="E8606" i="4"/>
  <c r="F8606" i="4"/>
  <c r="G8606" i="4"/>
  <c r="E8607" i="4"/>
  <c r="E8608" i="4"/>
  <c r="E8609" i="4"/>
  <c r="F8609" i="4"/>
  <c r="E8610" i="4"/>
  <c r="E8611" i="4"/>
  <c r="F8611" i="4"/>
  <c r="E8612" i="4"/>
  <c r="F8612" i="4"/>
  <c r="G8612" i="4"/>
  <c r="E8613" i="4"/>
  <c r="F8613" i="4"/>
  <c r="G8613" i="4"/>
  <c r="E8614" i="4"/>
  <c r="F8614" i="4"/>
  <c r="E8615" i="4"/>
  <c r="F8615" i="4"/>
  <c r="G8615" i="4"/>
  <c r="E8616" i="4"/>
  <c r="E8617" i="4"/>
  <c r="F8617" i="4"/>
  <c r="G8617" i="4"/>
  <c r="E8618" i="4"/>
  <c r="F8618" i="4"/>
  <c r="G8618" i="4"/>
  <c r="E8619" i="4"/>
  <c r="E8620" i="4"/>
  <c r="F8620" i="4"/>
  <c r="G8620" i="4"/>
  <c r="E8621" i="4"/>
  <c r="E8622" i="4"/>
  <c r="F8622" i="4"/>
  <c r="G8622" i="4"/>
  <c r="E8623" i="4"/>
  <c r="G8623" i="4"/>
  <c r="E8624" i="4"/>
  <c r="F8624" i="4"/>
  <c r="E8625" i="4"/>
  <c r="F8625" i="4"/>
  <c r="E8626" i="4"/>
  <c r="F8626" i="4"/>
  <c r="E8627" i="4"/>
  <c r="E8628" i="4"/>
  <c r="F8628" i="4"/>
  <c r="E8629" i="4"/>
  <c r="F8629" i="4"/>
  <c r="E8630" i="4"/>
  <c r="F8630" i="4"/>
  <c r="E8631" i="4"/>
  <c r="F8631" i="4"/>
  <c r="G8631" i="4"/>
  <c r="E8632" i="4"/>
  <c r="F8632" i="4"/>
  <c r="E8633" i="4"/>
  <c r="F8633" i="4"/>
  <c r="G8633" i="4"/>
  <c r="E8634" i="4"/>
  <c r="F8634" i="4"/>
  <c r="E8635" i="4"/>
  <c r="F8635" i="4"/>
  <c r="G8635" i="4"/>
  <c r="E8636" i="4"/>
  <c r="G8636" i="4"/>
  <c r="F8636" i="4"/>
  <c r="E8637" i="4"/>
  <c r="G8637" i="4"/>
  <c r="F8637" i="4"/>
  <c r="E8638" i="4"/>
  <c r="F8638" i="4"/>
  <c r="E8639" i="4"/>
  <c r="F8639" i="4"/>
  <c r="G8639" i="4"/>
  <c r="E8640" i="4"/>
  <c r="G8640" i="4"/>
  <c r="E8641" i="4"/>
  <c r="F8641" i="4"/>
  <c r="G8641" i="4"/>
  <c r="E8642" i="4"/>
  <c r="E8643" i="4"/>
  <c r="F8643" i="4"/>
  <c r="E8644" i="4"/>
  <c r="E8645" i="4"/>
  <c r="E8646" i="4"/>
  <c r="F8646" i="4"/>
  <c r="E8647" i="4"/>
  <c r="F8647" i="4"/>
  <c r="G8647" i="4"/>
  <c r="E8648" i="4"/>
  <c r="G8648" i="4"/>
  <c r="F8648" i="4"/>
  <c r="E8649" i="4"/>
  <c r="G8649" i="4"/>
  <c r="E8650" i="4"/>
  <c r="F8650" i="4"/>
  <c r="G8650" i="4"/>
  <c r="E8651" i="4"/>
  <c r="F8651" i="4"/>
  <c r="G8651" i="4"/>
  <c r="E8652" i="4"/>
  <c r="G8652" i="4"/>
  <c r="F8652" i="4"/>
  <c r="E8653" i="4"/>
  <c r="G8653" i="4"/>
  <c r="E8654" i="4"/>
  <c r="F8654" i="4"/>
  <c r="G8654" i="4"/>
  <c r="E8655" i="4"/>
  <c r="F8655" i="4"/>
  <c r="E8656" i="4"/>
  <c r="F8656" i="4"/>
  <c r="G8656" i="4"/>
  <c r="E8657" i="4"/>
  <c r="F8657" i="4"/>
  <c r="G8657" i="4"/>
  <c r="E8658" i="4"/>
  <c r="E8659" i="4"/>
  <c r="F8659" i="4"/>
  <c r="E8660" i="4"/>
  <c r="F8660" i="4"/>
  <c r="E8661" i="4"/>
  <c r="F8661" i="4"/>
  <c r="E8662" i="4"/>
  <c r="E8663" i="4"/>
  <c r="F8663" i="4"/>
  <c r="E8664" i="4"/>
  <c r="F8664" i="4"/>
  <c r="E8665" i="4"/>
  <c r="F8665" i="4"/>
  <c r="E8666" i="4"/>
  <c r="F8666" i="4"/>
  <c r="E8667" i="4"/>
  <c r="E8668" i="4"/>
  <c r="F8668" i="4"/>
  <c r="E8669" i="4"/>
  <c r="F8669" i="4"/>
  <c r="E8670" i="4"/>
  <c r="F8670" i="4"/>
  <c r="G8670" i="4"/>
  <c r="E8671" i="4"/>
  <c r="G8671" i="4"/>
  <c r="E8672" i="4"/>
  <c r="F8672" i="4"/>
  <c r="E8673" i="4"/>
  <c r="F8673" i="4"/>
  <c r="E8674" i="4"/>
  <c r="F8674" i="4"/>
  <c r="E8675" i="4"/>
  <c r="F8675" i="4"/>
  <c r="E8676" i="4"/>
  <c r="F8676" i="4"/>
  <c r="G8676" i="4"/>
  <c r="E8677" i="4"/>
  <c r="F8677" i="4"/>
  <c r="E8678" i="4"/>
  <c r="F8678" i="4"/>
  <c r="E8679" i="4"/>
  <c r="F8679" i="4"/>
  <c r="E8680" i="4"/>
  <c r="F8680" i="4"/>
  <c r="E8681" i="4"/>
  <c r="F8681" i="4"/>
  <c r="E8682" i="4"/>
  <c r="F8682" i="4"/>
  <c r="E8683" i="4"/>
  <c r="E8684" i="4"/>
  <c r="G8684" i="4"/>
  <c r="E8685" i="4"/>
  <c r="E8686" i="4"/>
  <c r="F8686" i="4"/>
  <c r="E8687" i="4"/>
  <c r="F8687" i="4"/>
  <c r="G8687" i="4"/>
  <c r="E8688" i="4"/>
  <c r="E8689" i="4"/>
  <c r="F8689" i="4"/>
  <c r="E8690" i="4"/>
  <c r="E8691" i="4"/>
  <c r="F8691" i="4"/>
  <c r="G8691" i="4"/>
  <c r="E8692" i="4"/>
  <c r="F8692" i="4"/>
  <c r="E8693" i="4"/>
  <c r="F8693" i="4"/>
  <c r="E8694" i="4"/>
  <c r="F8694" i="4"/>
  <c r="E8695" i="4"/>
  <c r="F8695" i="4"/>
  <c r="E8696" i="4"/>
  <c r="F8696" i="4"/>
  <c r="E8697" i="4"/>
  <c r="G8697" i="4"/>
  <c r="E8698" i="4"/>
  <c r="F8698" i="4"/>
  <c r="G8698" i="4"/>
  <c r="E8699" i="4"/>
  <c r="F8699" i="4"/>
  <c r="E8700" i="4"/>
  <c r="G8700" i="4"/>
  <c r="F8700" i="4"/>
  <c r="E8701" i="4"/>
  <c r="F8701" i="4"/>
  <c r="E8702" i="4"/>
  <c r="F8702" i="4"/>
  <c r="E8703" i="4"/>
  <c r="F8703" i="4"/>
  <c r="E8704" i="4"/>
  <c r="F8704" i="4"/>
  <c r="E8705" i="4"/>
  <c r="F8705" i="4"/>
  <c r="G8705" i="4"/>
  <c r="E8706" i="4"/>
  <c r="E8707" i="4"/>
  <c r="F8707" i="4"/>
  <c r="E8708" i="4"/>
  <c r="F8708" i="4"/>
  <c r="E8709" i="4"/>
  <c r="G8709" i="4"/>
  <c r="E8710" i="4"/>
  <c r="F8710" i="4"/>
  <c r="G8710" i="4"/>
  <c r="E8711" i="4"/>
  <c r="F8711" i="4"/>
  <c r="G8711" i="4"/>
  <c r="E8712" i="4"/>
  <c r="G8712" i="4"/>
  <c r="F8712" i="4"/>
  <c r="E8713" i="4"/>
  <c r="F8713" i="4"/>
  <c r="E8714" i="4"/>
  <c r="F8714" i="4"/>
  <c r="G8714" i="4"/>
  <c r="E8715" i="4"/>
  <c r="F8715" i="4"/>
  <c r="E8716" i="4"/>
  <c r="F8716" i="4"/>
  <c r="G8716" i="4"/>
  <c r="E8717" i="4"/>
  <c r="F8717" i="4"/>
  <c r="G8717" i="4"/>
  <c r="E8718" i="4"/>
  <c r="F8718" i="4"/>
  <c r="G8718" i="4"/>
  <c r="E8719" i="4"/>
  <c r="E8720" i="4"/>
  <c r="F8720" i="4"/>
  <c r="E8721" i="4"/>
  <c r="F8721" i="4"/>
  <c r="E8722" i="4"/>
  <c r="E8723" i="4"/>
  <c r="G8723" i="4"/>
  <c r="E8724" i="4"/>
  <c r="G8724" i="4"/>
  <c r="F8724" i="4"/>
  <c r="E8725" i="4"/>
  <c r="F8725" i="4"/>
  <c r="G8725" i="4"/>
  <c r="E8726" i="4"/>
  <c r="F8726" i="4"/>
  <c r="G8726" i="4"/>
  <c r="E8727" i="4"/>
  <c r="F8727" i="4"/>
  <c r="E8728" i="4"/>
  <c r="E8729" i="4"/>
  <c r="F8729" i="4"/>
  <c r="E8730" i="4"/>
  <c r="F8730" i="4"/>
  <c r="E8731" i="4"/>
  <c r="F8731" i="4"/>
  <c r="E8732" i="4"/>
  <c r="G8732" i="4"/>
  <c r="F8732" i="4"/>
  <c r="E8733" i="4"/>
  <c r="F8733" i="4"/>
  <c r="G8733" i="4"/>
  <c r="E8734" i="4"/>
  <c r="F8734" i="4"/>
  <c r="G8734" i="4"/>
  <c r="E8735" i="4"/>
  <c r="F8735" i="4"/>
  <c r="G8735" i="4"/>
  <c r="E8736" i="4"/>
  <c r="F8736" i="4"/>
  <c r="G8736" i="4"/>
  <c r="E8737" i="4"/>
  <c r="G8737" i="4"/>
  <c r="F8737" i="4"/>
  <c r="E8738" i="4"/>
  <c r="F8738" i="4"/>
  <c r="E8739" i="4"/>
  <c r="F8739" i="4"/>
  <c r="E8740" i="4"/>
  <c r="E8741" i="4"/>
  <c r="F8741" i="4"/>
  <c r="E8742" i="4"/>
  <c r="F8742" i="4"/>
  <c r="E8743" i="4"/>
  <c r="F8743" i="4"/>
  <c r="G8743" i="4"/>
  <c r="E8744" i="4"/>
  <c r="F8744" i="4"/>
  <c r="E8745" i="4"/>
  <c r="G8745" i="4"/>
  <c r="E8746" i="4"/>
  <c r="F8746" i="4"/>
  <c r="E8747" i="4"/>
  <c r="F8747" i="4"/>
  <c r="E8748" i="4"/>
  <c r="G8748" i="4"/>
  <c r="E8749" i="4"/>
  <c r="G8749" i="4"/>
  <c r="E8750" i="4"/>
  <c r="F8750" i="4"/>
  <c r="G8750" i="4"/>
  <c r="E8751" i="4"/>
  <c r="F8751" i="4"/>
  <c r="E8752" i="4"/>
  <c r="F8752" i="4"/>
  <c r="E8753" i="4"/>
  <c r="F8753" i="4"/>
  <c r="E8754" i="4"/>
  <c r="E8755" i="4"/>
  <c r="F8755" i="4"/>
  <c r="E8756" i="4"/>
  <c r="F8756" i="4"/>
  <c r="E8757" i="4"/>
  <c r="G8757" i="4"/>
  <c r="F8757" i="4"/>
  <c r="E8758" i="4"/>
  <c r="F8758" i="4"/>
  <c r="G8758" i="4"/>
  <c r="E8759" i="4"/>
  <c r="F8759" i="4"/>
  <c r="G8759" i="4"/>
  <c r="E8760" i="4"/>
  <c r="G8760" i="4"/>
  <c r="F8760" i="4"/>
  <c r="E8761" i="4"/>
  <c r="F8761" i="4"/>
  <c r="E8762" i="4"/>
  <c r="F8762" i="4"/>
  <c r="E8763" i="4"/>
  <c r="F8763" i="4"/>
  <c r="E8764" i="4"/>
  <c r="G8764" i="4"/>
  <c r="E8765" i="4"/>
  <c r="F8765" i="4"/>
  <c r="E8766" i="4"/>
  <c r="F8766" i="4"/>
  <c r="E8767" i="4"/>
  <c r="G8767" i="4"/>
  <c r="F8767" i="4"/>
  <c r="E8768" i="4"/>
  <c r="F8768" i="4"/>
  <c r="G8768" i="4"/>
  <c r="E8769" i="4"/>
  <c r="F8769" i="4"/>
  <c r="E8770" i="4"/>
  <c r="F8770" i="4"/>
  <c r="G8770" i="4"/>
  <c r="E8771" i="4"/>
  <c r="G8771" i="4"/>
  <c r="E8772" i="4"/>
  <c r="F8772" i="4"/>
  <c r="E8773" i="4"/>
  <c r="F8773" i="4"/>
  <c r="E8774" i="4"/>
  <c r="E8775" i="4"/>
  <c r="F8775" i="4"/>
  <c r="G8775" i="4"/>
  <c r="E8776" i="4"/>
  <c r="F8776" i="4"/>
  <c r="G8776" i="4"/>
  <c r="E8777" i="4"/>
  <c r="G8777" i="4"/>
  <c r="F8777" i="4"/>
  <c r="E8778" i="4"/>
  <c r="F8778" i="4"/>
  <c r="E8779" i="4"/>
  <c r="F8779" i="4"/>
  <c r="G8779" i="4"/>
  <c r="E8780" i="4"/>
  <c r="G8780" i="4"/>
  <c r="E8781" i="4"/>
  <c r="F8781" i="4"/>
  <c r="E8782" i="4"/>
  <c r="F8782" i="4"/>
  <c r="E8783" i="4"/>
  <c r="E8784" i="4"/>
  <c r="F8784" i="4"/>
  <c r="E8785" i="4"/>
  <c r="F8785" i="4"/>
  <c r="E8786" i="4"/>
  <c r="E8787" i="4"/>
  <c r="F8787" i="4"/>
  <c r="E8788" i="4"/>
  <c r="G8788" i="4"/>
  <c r="F8788" i="4"/>
  <c r="E8789" i="4"/>
  <c r="F8789" i="4"/>
  <c r="E8790" i="4"/>
  <c r="F8790" i="4"/>
  <c r="G8790" i="4"/>
  <c r="E8791" i="4"/>
  <c r="F8791" i="4"/>
  <c r="G8791" i="4"/>
  <c r="E8792" i="4"/>
  <c r="G8792" i="4"/>
  <c r="F8792" i="4"/>
  <c r="E8793" i="4"/>
  <c r="G8793" i="4"/>
  <c r="E8794" i="4"/>
  <c r="F8794" i="4"/>
  <c r="E8795" i="4"/>
  <c r="F8795" i="4"/>
  <c r="G8795" i="4"/>
  <c r="E8796" i="4"/>
  <c r="G8796" i="4"/>
  <c r="F8796" i="4"/>
  <c r="E8797" i="4"/>
  <c r="F8797" i="4"/>
  <c r="E8798" i="4"/>
  <c r="F8798" i="4"/>
  <c r="G8798" i="4"/>
  <c r="E8799" i="4"/>
  <c r="F8799" i="4"/>
  <c r="E8800" i="4"/>
  <c r="F8800" i="4"/>
  <c r="E8801" i="4"/>
  <c r="F8801" i="4"/>
  <c r="E8802" i="4"/>
  <c r="E8803" i="4"/>
  <c r="F8803" i="4"/>
  <c r="G8803" i="4"/>
  <c r="E8804" i="4"/>
  <c r="F8804" i="4"/>
  <c r="G8804" i="4"/>
  <c r="E8805" i="4"/>
  <c r="F8805" i="4"/>
  <c r="G8805" i="4"/>
  <c r="E8806" i="4"/>
  <c r="F8806" i="4"/>
  <c r="G8806" i="4"/>
  <c r="E8807" i="4"/>
  <c r="F8807" i="4"/>
  <c r="E8808" i="4"/>
  <c r="F8808" i="4"/>
  <c r="E8809" i="4"/>
  <c r="E8810" i="4"/>
  <c r="F8810" i="4"/>
  <c r="E8811" i="4"/>
  <c r="F8811" i="4"/>
  <c r="G8811" i="4"/>
  <c r="E8812" i="4"/>
  <c r="F8812" i="4"/>
  <c r="G8812" i="4"/>
  <c r="E8813" i="4"/>
  <c r="G8813" i="4"/>
  <c r="F8813" i="4"/>
  <c r="E8814" i="4"/>
  <c r="F8814" i="4"/>
  <c r="E8815" i="4"/>
  <c r="G8815" i="4"/>
  <c r="F8815" i="4"/>
  <c r="E8816" i="4"/>
  <c r="G8816" i="4"/>
  <c r="E8817" i="4"/>
  <c r="G8817" i="4"/>
  <c r="E8818" i="4"/>
  <c r="F8818" i="4"/>
  <c r="E8819" i="4"/>
  <c r="F8819" i="4"/>
  <c r="E8820" i="4"/>
  <c r="G8820" i="4"/>
  <c r="E8821" i="4"/>
  <c r="F8821" i="4"/>
  <c r="E8822" i="4"/>
  <c r="F8822" i="4"/>
  <c r="G8822" i="4"/>
  <c r="E8823" i="4"/>
  <c r="F8823" i="4"/>
  <c r="E8824" i="4"/>
  <c r="E8825" i="4"/>
  <c r="F8825" i="4"/>
  <c r="E8826" i="4"/>
  <c r="F8826" i="4"/>
  <c r="G8826" i="4"/>
  <c r="E8827" i="4"/>
  <c r="F8827" i="4"/>
  <c r="G8827" i="4"/>
  <c r="E8828" i="4"/>
  <c r="E8829" i="4"/>
  <c r="G8829" i="4"/>
  <c r="F8829" i="4"/>
  <c r="E8830" i="4"/>
  <c r="F8830" i="4"/>
  <c r="E8831" i="4"/>
  <c r="G8831" i="4"/>
  <c r="F8831" i="4"/>
  <c r="E8832" i="4"/>
  <c r="F8832" i="4"/>
  <c r="G8832" i="4"/>
  <c r="E8833" i="4"/>
  <c r="E8834" i="4"/>
  <c r="E8835" i="4"/>
  <c r="E8836" i="4"/>
  <c r="G8836" i="4"/>
  <c r="F8836" i="4"/>
  <c r="E8837" i="4"/>
  <c r="F8837" i="4"/>
  <c r="E8838" i="4"/>
  <c r="F8838" i="4"/>
  <c r="E8839" i="4"/>
  <c r="F8839" i="4"/>
  <c r="G8839" i="4"/>
  <c r="E8840" i="4"/>
  <c r="G8840" i="4"/>
  <c r="E8841" i="4"/>
  <c r="G8841" i="4"/>
  <c r="E8842" i="4"/>
  <c r="F8842" i="4"/>
  <c r="E8843" i="4"/>
  <c r="E8844" i="4"/>
  <c r="F8844" i="4"/>
  <c r="G8844" i="4"/>
  <c r="E8845" i="4"/>
  <c r="F8845" i="4"/>
  <c r="E8846" i="4"/>
  <c r="E8847" i="4"/>
  <c r="F8847" i="4"/>
  <c r="E8848" i="4"/>
  <c r="F8848" i="4"/>
  <c r="E8849" i="4"/>
  <c r="G8849" i="4"/>
  <c r="E8850" i="4"/>
  <c r="E8851" i="4"/>
  <c r="G8851" i="4"/>
  <c r="E8852" i="4"/>
  <c r="F8852" i="4"/>
  <c r="E8853" i="4"/>
  <c r="F8853" i="4"/>
  <c r="E8854" i="4"/>
  <c r="E8855" i="4"/>
  <c r="F8855" i="4"/>
  <c r="G8855" i="4"/>
  <c r="E8856" i="4"/>
  <c r="F8856" i="4"/>
  <c r="G8856" i="4"/>
  <c r="E8857" i="4"/>
  <c r="F8857" i="4"/>
  <c r="G8857" i="4"/>
  <c r="E8858" i="4"/>
  <c r="E8859" i="4"/>
  <c r="F8859" i="4"/>
  <c r="G8859" i="4"/>
  <c r="E8860" i="4"/>
  <c r="F8860" i="4"/>
  <c r="E8861" i="4"/>
  <c r="F8861" i="4"/>
  <c r="E8862" i="4"/>
  <c r="F8862" i="4"/>
  <c r="E8863" i="4"/>
  <c r="E8864" i="4"/>
  <c r="E8865" i="4"/>
  <c r="G8865" i="4"/>
  <c r="F8865" i="4"/>
  <c r="E8866" i="4"/>
  <c r="F8866" i="4"/>
  <c r="E8867" i="4"/>
  <c r="F8867" i="4"/>
  <c r="G8867" i="4"/>
  <c r="E8868" i="4"/>
  <c r="G8868" i="4"/>
  <c r="F8868" i="4"/>
  <c r="E8869" i="4"/>
  <c r="F8869" i="4"/>
  <c r="E8870" i="4"/>
  <c r="F8870" i="4"/>
  <c r="E8871" i="4"/>
  <c r="F8871" i="4"/>
  <c r="E8872" i="4"/>
  <c r="E8873" i="4"/>
  <c r="E8874" i="4"/>
  <c r="E8875" i="4"/>
  <c r="F8875" i="4"/>
  <c r="G8875" i="4"/>
  <c r="E8876" i="4"/>
  <c r="E8877" i="4"/>
  <c r="E8878" i="4"/>
  <c r="F8878" i="4"/>
  <c r="E8879" i="4"/>
  <c r="F8879" i="4"/>
  <c r="E8880" i="4"/>
  <c r="G8880" i="4"/>
  <c r="F8880" i="4"/>
  <c r="E8881" i="4"/>
  <c r="F8881" i="4"/>
  <c r="G8881" i="4"/>
  <c r="E8882" i="4"/>
  <c r="E8883" i="4"/>
  <c r="E8884" i="4"/>
  <c r="E8885" i="4"/>
  <c r="F8885" i="4"/>
  <c r="E8886" i="4"/>
  <c r="F8886" i="4"/>
  <c r="E8887" i="4"/>
  <c r="F8887" i="4"/>
  <c r="G8887" i="4"/>
  <c r="E8888" i="4"/>
  <c r="F8888" i="4"/>
  <c r="E8889" i="4"/>
  <c r="G8889" i="4"/>
  <c r="F8889" i="4"/>
  <c r="E8890" i="4"/>
  <c r="F8890" i="4"/>
  <c r="E8891" i="4"/>
  <c r="G8891" i="4"/>
  <c r="E8892" i="4"/>
  <c r="F8892" i="4"/>
  <c r="G8892" i="4"/>
  <c r="E8893" i="4"/>
  <c r="F8893" i="4"/>
  <c r="E8894" i="4"/>
  <c r="E8895" i="4"/>
  <c r="F8895" i="4"/>
  <c r="G8895" i="4"/>
  <c r="E8896" i="4"/>
  <c r="F8896" i="4"/>
  <c r="G8896" i="4"/>
  <c r="E8897" i="4"/>
  <c r="G8897" i="4"/>
  <c r="F8897" i="4"/>
  <c r="E8898" i="4"/>
  <c r="E8899" i="4"/>
  <c r="E8900" i="4"/>
  <c r="G8900" i="4"/>
  <c r="F8900" i="4"/>
  <c r="E8901" i="4"/>
  <c r="G8901" i="4"/>
  <c r="E8902" i="4"/>
  <c r="E8903" i="4"/>
  <c r="F8903" i="4"/>
  <c r="G8903" i="4"/>
  <c r="E8904" i="4"/>
  <c r="F8904" i="4"/>
  <c r="E8905" i="4"/>
  <c r="F8905" i="4"/>
  <c r="G8905" i="4"/>
  <c r="E8906" i="4"/>
  <c r="F8906" i="4"/>
  <c r="E8907" i="4"/>
  <c r="F8907" i="4"/>
  <c r="E8908" i="4"/>
  <c r="E8909" i="4"/>
  <c r="G8909" i="4"/>
  <c r="E8910" i="4"/>
  <c r="F8910" i="4"/>
  <c r="E8911" i="4"/>
  <c r="E8912" i="4"/>
  <c r="E8913" i="4"/>
  <c r="F8913" i="4"/>
  <c r="G8913" i="4"/>
  <c r="E8914" i="4"/>
  <c r="E8915" i="4"/>
  <c r="G8915" i="4"/>
  <c r="E8916" i="4"/>
  <c r="F8916" i="4"/>
  <c r="E8917" i="4"/>
  <c r="F8917" i="4"/>
  <c r="E8918" i="4"/>
  <c r="E8919" i="4"/>
  <c r="F8919" i="4"/>
  <c r="G8919" i="4"/>
  <c r="E8920" i="4"/>
  <c r="F8920" i="4"/>
  <c r="G8920" i="4"/>
  <c r="E8921" i="4"/>
  <c r="F8921" i="4"/>
  <c r="G8921" i="4"/>
  <c r="E8922" i="4"/>
  <c r="F8922" i="4"/>
  <c r="G8922" i="4"/>
  <c r="E8923" i="4"/>
  <c r="G8923" i="4"/>
  <c r="F8923" i="4"/>
  <c r="E8924" i="4"/>
  <c r="G8924" i="4"/>
  <c r="E8925" i="4"/>
  <c r="F8925" i="4"/>
  <c r="E8926" i="4"/>
  <c r="F8926" i="4"/>
  <c r="E8927" i="4"/>
  <c r="F8927" i="4"/>
  <c r="E8928" i="4"/>
  <c r="F8928" i="4"/>
  <c r="G8928" i="4"/>
  <c r="E8929" i="4"/>
  <c r="G8929" i="4"/>
  <c r="F8929" i="4"/>
  <c r="E8930" i="4"/>
  <c r="E8931" i="4"/>
  <c r="E8932" i="4"/>
  <c r="G8932" i="4"/>
  <c r="F8932" i="4"/>
  <c r="E8933" i="4"/>
  <c r="F8933" i="4"/>
  <c r="G8933" i="4"/>
  <c r="E8934" i="4"/>
  <c r="F8934" i="4"/>
  <c r="E8935" i="4"/>
  <c r="F8935" i="4"/>
  <c r="E8936" i="4"/>
  <c r="E8937" i="4"/>
  <c r="E8938" i="4"/>
  <c r="F8938" i="4"/>
  <c r="E8939" i="4"/>
  <c r="F8939" i="4"/>
  <c r="E8940" i="4"/>
  <c r="F8940" i="4"/>
  <c r="E8941" i="4"/>
  <c r="F8941" i="4"/>
  <c r="G8941" i="4"/>
  <c r="E8942" i="4"/>
  <c r="F8942" i="4"/>
  <c r="G8942" i="4"/>
  <c r="E8943" i="4"/>
  <c r="F8943" i="4"/>
  <c r="E8944" i="4"/>
  <c r="G8944" i="4"/>
  <c r="F8944" i="4"/>
  <c r="E8945" i="4"/>
  <c r="E8946" i="4"/>
  <c r="E8947" i="4"/>
  <c r="F8947" i="4"/>
  <c r="E8948" i="4"/>
  <c r="F8948" i="4"/>
  <c r="E8949" i="4"/>
  <c r="F8949" i="4"/>
  <c r="E8950" i="4"/>
  <c r="F8950" i="4"/>
  <c r="E8951" i="4"/>
  <c r="G8951" i="4"/>
  <c r="F8951" i="4"/>
  <c r="E8952" i="4"/>
  <c r="E8953" i="4"/>
  <c r="G8953" i="4"/>
  <c r="F8953" i="4"/>
  <c r="E8954" i="4"/>
  <c r="F8954" i="4"/>
  <c r="E8955" i="4"/>
  <c r="F8955" i="4"/>
  <c r="G8955" i="4"/>
  <c r="E8956" i="4"/>
  <c r="G8956" i="4"/>
  <c r="F8956" i="4"/>
  <c r="E8957" i="4"/>
  <c r="F8957" i="4"/>
  <c r="E8958" i="4"/>
  <c r="F8958" i="4"/>
  <c r="E8959" i="4"/>
  <c r="G8959" i="4"/>
  <c r="F8959" i="4"/>
  <c r="E8960" i="4"/>
  <c r="G8960" i="4"/>
  <c r="F8960" i="4"/>
  <c r="E8961" i="4"/>
  <c r="F8961" i="4"/>
  <c r="E8962" i="4"/>
  <c r="F8962" i="4"/>
  <c r="E8963" i="4"/>
  <c r="E8964" i="4"/>
  <c r="E8965" i="4"/>
  <c r="F8965" i="4"/>
  <c r="E8966" i="4"/>
  <c r="E8967" i="4"/>
  <c r="E8968" i="4"/>
  <c r="E8969" i="4"/>
  <c r="G8969" i="4"/>
  <c r="E8970" i="4"/>
  <c r="F8970" i="4"/>
  <c r="E8971" i="4"/>
  <c r="F8971" i="4"/>
  <c r="E8972" i="4"/>
  <c r="G8972" i="4"/>
  <c r="E8973" i="4"/>
  <c r="F8973" i="4"/>
  <c r="E8974" i="4"/>
  <c r="E8975" i="4"/>
  <c r="E8976" i="4"/>
  <c r="E8977" i="4"/>
  <c r="F8977" i="4"/>
  <c r="G8977" i="4"/>
  <c r="E8978" i="4"/>
  <c r="F8978" i="4"/>
  <c r="E8979" i="4"/>
  <c r="F8979" i="4"/>
  <c r="G8979" i="4"/>
  <c r="E8980" i="4"/>
  <c r="F8980" i="4"/>
  <c r="E8981" i="4"/>
  <c r="F8981" i="4"/>
  <c r="E8982" i="4"/>
  <c r="E8983" i="4"/>
  <c r="E8984" i="4"/>
  <c r="F8984" i="4"/>
  <c r="G8984" i="4"/>
  <c r="E8985" i="4"/>
  <c r="G8985" i="4"/>
  <c r="F8985" i="4"/>
  <c r="E8986" i="4"/>
  <c r="E8987" i="4"/>
  <c r="E8988" i="4"/>
  <c r="F8988" i="4"/>
  <c r="E8989" i="4"/>
  <c r="F8989" i="4"/>
  <c r="G8989" i="4"/>
  <c r="E8990" i="4"/>
  <c r="F8990" i="4"/>
  <c r="E8991" i="4"/>
  <c r="F8991" i="4"/>
  <c r="G8991" i="4"/>
  <c r="E8992" i="4"/>
  <c r="E8993" i="4"/>
  <c r="E8994" i="4"/>
  <c r="E8995" i="4"/>
  <c r="F8995" i="4"/>
  <c r="E8996" i="4"/>
  <c r="E8997" i="4"/>
  <c r="F8997" i="4"/>
  <c r="G8997" i="4"/>
  <c r="E8998" i="4"/>
  <c r="E8999" i="4"/>
  <c r="F8999" i="4"/>
  <c r="G8999" i="4"/>
  <c r="E9000" i="4"/>
  <c r="F9000" i="4"/>
  <c r="G9000" i="4"/>
  <c r="E9001" i="4"/>
  <c r="F9001" i="4"/>
  <c r="E9002" i="4"/>
  <c r="F9002" i="4"/>
  <c r="E9003" i="4"/>
  <c r="F9003" i="4"/>
  <c r="E9004" i="4"/>
  <c r="F9004" i="4"/>
  <c r="E9005" i="4"/>
  <c r="F9005" i="4"/>
  <c r="G9005" i="4"/>
  <c r="E9006" i="4"/>
  <c r="F9006" i="4"/>
  <c r="G9006" i="4"/>
  <c r="E9007" i="4"/>
  <c r="G9007" i="4"/>
  <c r="E9008" i="4"/>
  <c r="E9009" i="4"/>
  <c r="G9009" i="4"/>
  <c r="F9009" i="4"/>
  <c r="E9010" i="4"/>
  <c r="F9010" i="4"/>
  <c r="E9011" i="4"/>
  <c r="F9011" i="4"/>
  <c r="G9011" i="4"/>
  <c r="E9012" i="4"/>
  <c r="G9012" i="4"/>
  <c r="F9012" i="4"/>
  <c r="E9013" i="4"/>
  <c r="F9013" i="4"/>
  <c r="E9014" i="4"/>
  <c r="F9014" i="4"/>
  <c r="E9015" i="4"/>
  <c r="E9016" i="4"/>
  <c r="F9016" i="4"/>
  <c r="E9017" i="4"/>
  <c r="E9018" i="4"/>
  <c r="E9019" i="4"/>
  <c r="E9020" i="4"/>
  <c r="E9021" i="4"/>
  <c r="F9021" i="4"/>
  <c r="G9021" i="4"/>
  <c r="E9022" i="4"/>
  <c r="F9022" i="4"/>
  <c r="G9022" i="4"/>
  <c r="E9023" i="4"/>
  <c r="F9023" i="4"/>
  <c r="E9024" i="4"/>
  <c r="F9024" i="4"/>
  <c r="E9025" i="4"/>
  <c r="F9025" i="4"/>
  <c r="G9025" i="4"/>
  <c r="E9026" i="4"/>
  <c r="F9026" i="4"/>
  <c r="E9027" i="4"/>
  <c r="F9027" i="4"/>
  <c r="E9028" i="4"/>
  <c r="E9029" i="4"/>
  <c r="F9029" i="4"/>
  <c r="G9029" i="4"/>
  <c r="E9030" i="4"/>
  <c r="F9030" i="4"/>
  <c r="E9031" i="4"/>
  <c r="E9032" i="4"/>
  <c r="F9032" i="4"/>
  <c r="E9033" i="4"/>
  <c r="G9033" i="4"/>
  <c r="E9034" i="4"/>
  <c r="F9034" i="4"/>
  <c r="G9034" i="4"/>
  <c r="E9035" i="4"/>
  <c r="F9035" i="4"/>
  <c r="G9035" i="4"/>
  <c r="E9036" i="4"/>
  <c r="E9037" i="4"/>
  <c r="E9038" i="4"/>
  <c r="E9039" i="4"/>
  <c r="F9039" i="4"/>
  <c r="E9040" i="4"/>
  <c r="E9041" i="4"/>
  <c r="F9041" i="4"/>
  <c r="E9042" i="4"/>
  <c r="E9043" i="4"/>
  <c r="F9043" i="4"/>
  <c r="G9043" i="4"/>
  <c r="E9044" i="4"/>
  <c r="F9044" i="4"/>
  <c r="G9044" i="4"/>
  <c r="E9045" i="4"/>
  <c r="G9045" i="4"/>
  <c r="F9045" i="4"/>
  <c r="E9046" i="4"/>
  <c r="F9046" i="4"/>
  <c r="E9047" i="4"/>
  <c r="G9047" i="4"/>
  <c r="F9047" i="4"/>
  <c r="E9048" i="4"/>
  <c r="F9048" i="4"/>
  <c r="E9049" i="4"/>
  <c r="E9050" i="4"/>
  <c r="E9051" i="4"/>
  <c r="E9052" i="4"/>
  <c r="F9052" i="4"/>
  <c r="E9053" i="4"/>
  <c r="F9053" i="4"/>
  <c r="G9053" i="4"/>
  <c r="E9054" i="4"/>
  <c r="F9054" i="4"/>
  <c r="G9054" i="4"/>
  <c r="E9055" i="4"/>
  <c r="E9056" i="4"/>
  <c r="E9057" i="4"/>
  <c r="F9057" i="4"/>
  <c r="E9058" i="4"/>
  <c r="E9059" i="4"/>
  <c r="E9060" i="4"/>
  <c r="G9060" i="4"/>
  <c r="E9061" i="4"/>
  <c r="E9062" i="4"/>
  <c r="F9062" i="4"/>
  <c r="E9063" i="4"/>
  <c r="F9063" i="4"/>
  <c r="G9063" i="4"/>
  <c r="E9064" i="4"/>
  <c r="E9065" i="4"/>
  <c r="E9066" i="4"/>
  <c r="F9066" i="4"/>
  <c r="E9067" i="4"/>
  <c r="F9067" i="4"/>
  <c r="G9067" i="4"/>
  <c r="E9068" i="4"/>
  <c r="G9068" i="4"/>
  <c r="F9068" i="4"/>
  <c r="E9069" i="4"/>
  <c r="F9069" i="4"/>
  <c r="G9069" i="4"/>
  <c r="E9070" i="4"/>
  <c r="F9070" i="4"/>
  <c r="E9071" i="4"/>
  <c r="F9071" i="4"/>
  <c r="E9072" i="4"/>
  <c r="F9072" i="4"/>
  <c r="E9073" i="4"/>
  <c r="G9073" i="4"/>
  <c r="F9073" i="4"/>
  <c r="E9074" i="4"/>
  <c r="F9074" i="4"/>
  <c r="E9075" i="4"/>
  <c r="F9075" i="4"/>
  <c r="G9075" i="4"/>
  <c r="E9076" i="4"/>
  <c r="F9076" i="4"/>
  <c r="G9076" i="4"/>
  <c r="E9077" i="4"/>
  <c r="E9078" i="4"/>
  <c r="E9079" i="4"/>
  <c r="E9080" i="4"/>
  <c r="G9080" i="4"/>
  <c r="F9080" i="4"/>
  <c r="E9081" i="4"/>
  <c r="E9082" i="4"/>
  <c r="F9082" i="4"/>
  <c r="E9083" i="4"/>
  <c r="G9083" i="4"/>
  <c r="F9083" i="4"/>
  <c r="E9084" i="4"/>
  <c r="F9084" i="4"/>
  <c r="E9085" i="4"/>
  <c r="F9085" i="4"/>
  <c r="E9086" i="4"/>
  <c r="F9086" i="4"/>
  <c r="E9087" i="4"/>
  <c r="F9087" i="4"/>
  <c r="E9088" i="4"/>
  <c r="E9089" i="4"/>
  <c r="G9089" i="4"/>
  <c r="E9090" i="4"/>
  <c r="E9091" i="4"/>
  <c r="F9091" i="4"/>
  <c r="G9091" i="4"/>
  <c r="E9092" i="4"/>
  <c r="F9092" i="4"/>
  <c r="G9092" i="4"/>
  <c r="E9093" i="4"/>
  <c r="F9093" i="4"/>
  <c r="E9094" i="4"/>
  <c r="F9094" i="4"/>
  <c r="E9095" i="4"/>
  <c r="F9095" i="4"/>
  <c r="G9095" i="4"/>
  <c r="E9096" i="4"/>
  <c r="F9096" i="4"/>
  <c r="E9097" i="4"/>
  <c r="E9098" i="4"/>
  <c r="E9099" i="4"/>
  <c r="F9099" i="4"/>
  <c r="E9100" i="4"/>
  <c r="E9101" i="4"/>
  <c r="F9101" i="4"/>
  <c r="G9101" i="4"/>
  <c r="E9102" i="4"/>
  <c r="F9102" i="4"/>
  <c r="E9103" i="4"/>
  <c r="G9103" i="4"/>
  <c r="F9103" i="4"/>
  <c r="E9104" i="4"/>
  <c r="F9104" i="4"/>
  <c r="G9104" i="4"/>
  <c r="E9105" i="4"/>
  <c r="G9105" i="4"/>
  <c r="F9105" i="4"/>
  <c r="E9106" i="4"/>
  <c r="F9106" i="4"/>
  <c r="E9107" i="4"/>
  <c r="F9107" i="4"/>
  <c r="E9108" i="4"/>
  <c r="F9108" i="4"/>
  <c r="E9109" i="4"/>
  <c r="E9110" i="4"/>
  <c r="E9111" i="4"/>
  <c r="E9112" i="4"/>
  <c r="F9112" i="4"/>
  <c r="E9113" i="4"/>
  <c r="F9113" i="4"/>
  <c r="G9113" i="4"/>
  <c r="E9114" i="4"/>
  <c r="F9114" i="4"/>
  <c r="G9114" i="4"/>
  <c r="E9115" i="4"/>
  <c r="F9115" i="4"/>
  <c r="E9116" i="4"/>
  <c r="G9116" i="4"/>
  <c r="E9117" i="4"/>
  <c r="F9117" i="4"/>
  <c r="E9118" i="4"/>
  <c r="E9119" i="4"/>
  <c r="E9120" i="4"/>
  <c r="F9120" i="4"/>
  <c r="G9120" i="4"/>
  <c r="E9121" i="4"/>
  <c r="G9121" i="4"/>
  <c r="F9121" i="4"/>
  <c r="E9122" i="4"/>
  <c r="F9122" i="4"/>
  <c r="E9123" i="4"/>
  <c r="F9123" i="4"/>
  <c r="G9123" i="4"/>
  <c r="E9124" i="4"/>
  <c r="F9124" i="4"/>
  <c r="G9124" i="4"/>
  <c r="E9125" i="4"/>
  <c r="F9125" i="4"/>
  <c r="E9126" i="4"/>
  <c r="F9126" i="4"/>
  <c r="G9126" i="4"/>
  <c r="E9127" i="4"/>
  <c r="F9127" i="4"/>
  <c r="G9127" i="4"/>
  <c r="E9128" i="4"/>
  <c r="G9128" i="4"/>
  <c r="F9128" i="4"/>
  <c r="E9129" i="4"/>
  <c r="G9129" i="4"/>
  <c r="E9130" i="4"/>
  <c r="F9130" i="4"/>
  <c r="E9131" i="4"/>
  <c r="F9131" i="4"/>
  <c r="E9132" i="4"/>
  <c r="F9132" i="4"/>
  <c r="G9132" i="4"/>
  <c r="E9133" i="4"/>
  <c r="F9133" i="4"/>
  <c r="E9134" i="4"/>
  <c r="E9135" i="4"/>
  <c r="E9136" i="4"/>
  <c r="F9136" i="4"/>
  <c r="G9136" i="4"/>
  <c r="E9137" i="4"/>
  <c r="G9137" i="4"/>
  <c r="F9137" i="4"/>
  <c r="E9138" i="4"/>
  <c r="E9139" i="4"/>
  <c r="G9139" i="4"/>
  <c r="F9139" i="4"/>
  <c r="E9140" i="4"/>
  <c r="G9140" i="4"/>
  <c r="F9140" i="4"/>
  <c r="E9141" i="4"/>
  <c r="F9141" i="4"/>
  <c r="E9142" i="4"/>
  <c r="F9142" i="4"/>
  <c r="E9143" i="4"/>
  <c r="G9143" i="4"/>
  <c r="F9143" i="4"/>
  <c r="E9144" i="4"/>
  <c r="F9144" i="4"/>
  <c r="G9144" i="4"/>
  <c r="E9145" i="4"/>
  <c r="F9145" i="4"/>
  <c r="G9145" i="4"/>
  <c r="E9146" i="4"/>
  <c r="F9146" i="4"/>
  <c r="G9146" i="4"/>
  <c r="E9147" i="4"/>
  <c r="F9147" i="4"/>
  <c r="G9147" i="4"/>
  <c r="E9148" i="4"/>
  <c r="E9149" i="4"/>
  <c r="F9149" i="4"/>
  <c r="E9150" i="4"/>
  <c r="E9151" i="4"/>
  <c r="E9152" i="4"/>
  <c r="F9152" i="4"/>
  <c r="E9153" i="4"/>
  <c r="F9153" i="4"/>
  <c r="E9154" i="4"/>
  <c r="F9154" i="4"/>
  <c r="E9155" i="4"/>
  <c r="F9155" i="4"/>
  <c r="E9156" i="4"/>
  <c r="F9156" i="4"/>
  <c r="E9157" i="4"/>
  <c r="G9157" i="4"/>
  <c r="F9157" i="4"/>
  <c r="E9158" i="4"/>
  <c r="F9158" i="4"/>
  <c r="G9158" i="4"/>
  <c r="E9159" i="4"/>
  <c r="F9159" i="4"/>
  <c r="E9160" i="4"/>
  <c r="E9161" i="4"/>
  <c r="F9161" i="4"/>
  <c r="E9162" i="4"/>
  <c r="F9162" i="4"/>
  <c r="E9163" i="4"/>
  <c r="G9163" i="4"/>
  <c r="F9163" i="4"/>
  <c r="E9164" i="4"/>
  <c r="G9164" i="4"/>
  <c r="F9164" i="4"/>
  <c r="E9165" i="4"/>
  <c r="G9165" i="4"/>
  <c r="F9165" i="4"/>
  <c r="E9166" i="4"/>
  <c r="F9166" i="4"/>
  <c r="E9167" i="4"/>
  <c r="F9167" i="4"/>
  <c r="E9168" i="4"/>
  <c r="F9168" i="4"/>
  <c r="E9169" i="4"/>
  <c r="G9169" i="4"/>
  <c r="E9170" i="4"/>
  <c r="E9171" i="4"/>
  <c r="G9171" i="4"/>
  <c r="F9171" i="4"/>
  <c r="E9172" i="4"/>
  <c r="G9172" i="4"/>
  <c r="F9172" i="4"/>
  <c r="E9173" i="4"/>
  <c r="F9173" i="4"/>
  <c r="G9173" i="4"/>
  <c r="E9174" i="4"/>
  <c r="F9174" i="4"/>
  <c r="G9174" i="4"/>
  <c r="E9175" i="4"/>
  <c r="G9175" i="4"/>
  <c r="F9175" i="4"/>
  <c r="E9176" i="4"/>
  <c r="F9176" i="4"/>
  <c r="E9177" i="4"/>
  <c r="G9177" i="4"/>
  <c r="E9178" i="4"/>
  <c r="F9178" i="4"/>
  <c r="G9178" i="4"/>
  <c r="E9179" i="4"/>
  <c r="G9179" i="4"/>
  <c r="F9179" i="4"/>
  <c r="E9180" i="4"/>
  <c r="F9180" i="4"/>
  <c r="G9180" i="4"/>
  <c r="E9181" i="4"/>
  <c r="E9182" i="4"/>
  <c r="E9183" i="4"/>
  <c r="F9183" i="4"/>
  <c r="E9184" i="4"/>
  <c r="G9184" i="4"/>
  <c r="F9184" i="4"/>
  <c r="E9185" i="4"/>
  <c r="F9185" i="4"/>
  <c r="E9186" i="4"/>
  <c r="E9187" i="4"/>
  <c r="F9187" i="4"/>
  <c r="G9187" i="4"/>
  <c r="E9188" i="4"/>
  <c r="G9188" i="4"/>
  <c r="F9188" i="4"/>
  <c r="E9189" i="4"/>
  <c r="F9189" i="4"/>
  <c r="G9189" i="4"/>
  <c r="E9190" i="4"/>
  <c r="F9190" i="4"/>
  <c r="E9191" i="4"/>
  <c r="G9191" i="4"/>
  <c r="E9192" i="4"/>
  <c r="F9192" i="4"/>
  <c r="E9193" i="4"/>
  <c r="G9193" i="4"/>
  <c r="E9194" i="4"/>
  <c r="F9194" i="4"/>
  <c r="E9195" i="4"/>
  <c r="F9195" i="4"/>
  <c r="G9195" i="4"/>
  <c r="E9196" i="4"/>
  <c r="F9196" i="4"/>
  <c r="G9196" i="4"/>
  <c r="E9197" i="4"/>
  <c r="E9198" i="4"/>
  <c r="F9198" i="4"/>
  <c r="E9199" i="4"/>
  <c r="G9199" i="4"/>
  <c r="E9200" i="4"/>
  <c r="G9200" i="4"/>
  <c r="E9201" i="4"/>
  <c r="F9201" i="4"/>
  <c r="E9202" i="4"/>
  <c r="F9202" i="4"/>
  <c r="E9203" i="4"/>
  <c r="F9203" i="4"/>
  <c r="G9203" i="4"/>
  <c r="E9204" i="4"/>
  <c r="F9204" i="4"/>
  <c r="G9204" i="4"/>
  <c r="E9205" i="4"/>
  <c r="F9205" i="4"/>
  <c r="E9206" i="4"/>
  <c r="F9206" i="4"/>
  <c r="G9206" i="4"/>
  <c r="E9207" i="4"/>
  <c r="F9207" i="4"/>
  <c r="G9207" i="4"/>
  <c r="E9208" i="4"/>
  <c r="F9208" i="4"/>
  <c r="E9209" i="4"/>
  <c r="F9209" i="4"/>
  <c r="E9210" i="4"/>
  <c r="F9210" i="4"/>
  <c r="G9210" i="4"/>
  <c r="E9211" i="4"/>
  <c r="E9212" i="4"/>
  <c r="G9212" i="4"/>
  <c r="E9213" i="4"/>
  <c r="F9213" i="4"/>
  <c r="E9214" i="4"/>
  <c r="F9214" i="4"/>
  <c r="E9215" i="4"/>
  <c r="F9215" i="4"/>
  <c r="G9215" i="4"/>
  <c r="E9216" i="4"/>
  <c r="F9216" i="4"/>
  <c r="E9217" i="4"/>
  <c r="F9217" i="4"/>
  <c r="E9218" i="4"/>
  <c r="E9219" i="4"/>
  <c r="E9220" i="4"/>
  <c r="G9220" i="4"/>
  <c r="F9220" i="4"/>
  <c r="E9221" i="4"/>
  <c r="F9221" i="4"/>
  <c r="E9222" i="4"/>
  <c r="F9222" i="4"/>
  <c r="E9223" i="4"/>
  <c r="F9223" i="4"/>
  <c r="G9223" i="4"/>
  <c r="E9224" i="4"/>
  <c r="G9224" i="4"/>
  <c r="E9225" i="4"/>
  <c r="G9225" i="4"/>
  <c r="E9226" i="4"/>
  <c r="F9226" i="4"/>
  <c r="E9227" i="4"/>
  <c r="F9227" i="4"/>
  <c r="E9228" i="4"/>
  <c r="F9228" i="4"/>
  <c r="E9229" i="4"/>
  <c r="F9229" i="4"/>
  <c r="E9230" i="4"/>
  <c r="F9230" i="4"/>
  <c r="G9230" i="4"/>
  <c r="E9231" i="4"/>
  <c r="G9231" i="4"/>
  <c r="E9232" i="4"/>
  <c r="F9232" i="4"/>
  <c r="E9233" i="4"/>
  <c r="F9233" i="4"/>
  <c r="G9233" i="4"/>
  <c r="E9234" i="4"/>
  <c r="E9235" i="4"/>
  <c r="F9235" i="4"/>
  <c r="E9236" i="4"/>
  <c r="F9236" i="4"/>
  <c r="E9237" i="4"/>
  <c r="F9237" i="4"/>
  <c r="E9238" i="4"/>
  <c r="F9238" i="4"/>
  <c r="E9239" i="4"/>
  <c r="G9239" i="4"/>
  <c r="F9239" i="4"/>
  <c r="E9240" i="4"/>
  <c r="G9240" i="4"/>
  <c r="F9240" i="4"/>
  <c r="E9241" i="4"/>
  <c r="G9241" i="4"/>
  <c r="E9242" i="4"/>
  <c r="F9242" i="4"/>
  <c r="G9242" i="4"/>
  <c r="E9243" i="4"/>
  <c r="F9243" i="4"/>
  <c r="G9243" i="4"/>
  <c r="E9244" i="4"/>
  <c r="G9244" i="4"/>
  <c r="F9244" i="4"/>
  <c r="E9245" i="4"/>
  <c r="F9245" i="4"/>
  <c r="E9246" i="4"/>
  <c r="F9246" i="4"/>
  <c r="E9247" i="4"/>
  <c r="G9247" i="4"/>
  <c r="F9247" i="4"/>
  <c r="E9248" i="4"/>
  <c r="G9248" i="4"/>
  <c r="F9248" i="4"/>
  <c r="E9249" i="4"/>
  <c r="F9249" i="4"/>
  <c r="G9249" i="4"/>
  <c r="E9250" i="4"/>
  <c r="E9251" i="4"/>
  <c r="F9251" i="4"/>
  <c r="E9252" i="4"/>
  <c r="F9252" i="4"/>
  <c r="G9252" i="4"/>
  <c r="E9253" i="4"/>
  <c r="G9253" i="4"/>
  <c r="E9254" i="4"/>
  <c r="F9254" i="4"/>
  <c r="E9255" i="4"/>
  <c r="F9255" i="4"/>
  <c r="E9256" i="4"/>
  <c r="F9256" i="4"/>
  <c r="G9256" i="4"/>
  <c r="E9257" i="4"/>
  <c r="G9257" i="4"/>
  <c r="F9257" i="4"/>
  <c r="E9258" i="4"/>
  <c r="F9258" i="4"/>
  <c r="E9259" i="4"/>
  <c r="F9259" i="4"/>
  <c r="E9260" i="4"/>
  <c r="G9260" i="4"/>
  <c r="E9261" i="4"/>
  <c r="F9261" i="4"/>
  <c r="G9261" i="4"/>
  <c r="E9262" i="4"/>
  <c r="F9262" i="4"/>
  <c r="E9263" i="4"/>
  <c r="E9264" i="4"/>
  <c r="F9264" i="4"/>
  <c r="E9265" i="4"/>
  <c r="F9265" i="4"/>
  <c r="G9265" i="4"/>
  <c r="E9266" i="4"/>
  <c r="F9266" i="4"/>
  <c r="G9266" i="4"/>
  <c r="E9267" i="4"/>
  <c r="F9267" i="4"/>
  <c r="G9267" i="4"/>
  <c r="E9268" i="4"/>
  <c r="F9268" i="4"/>
  <c r="E9269" i="4"/>
  <c r="F9269" i="4"/>
  <c r="E9270" i="4"/>
  <c r="F9270" i="4"/>
  <c r="G9270" i="4"/>
  <c r="E9271" i="4"/>
  <c r="G9271" i="4"/>
  <c r="E9272" i="4"/>
  <c r="E9273" i="4"/>
  <c r="G9273" i="4"/>
  <c r="F9273" i="4"/>
  <c r="E9274" i="4"/>
  <c r="F9274" i="4"/>
  <c r="E9275" i="4"/>
  <c r="F9275" i="4"/>
  <c r="G9275" i="4"/>
  <c r="E9276" i="4"/>
  <c r="F9276" i="4"/>
  <c r="E9277" i="4"/>
  <c r="G9277" i="4"/>
  <c r="E9278" i="4"/>
  <c r="F9278" i="4"/>
  <c r="E9279" i="4"/>
  <c r="F9279" i="4"/>
  <c r="G9279" i="4"/>
  <c r="E9280" i="4"/>
  <c r="G9280" i="4"/>
  <c r="E9281" i="4"/>
  <c r="F9281" i="4"/>
  <c r="G9281" i="4"/>
  <c r="E9282" i="4"/>
  <c r="E9283" i="4"/>
  <c r="F9283" i="4"/>
  <c r="G9283" i="4"/>
  <c r="E9284" i="4"/>
  <c r="G9284" i="4"/>
  <c r="E9285" i="4"/>
  <c r="F9285" i="4"/>
  <c r="E9286" i="4"/>
  <c r="F9286" i="4"/>
  <c r="G9286" i="4"/>
  <c r="E9287" i="4"/>
  <c r="F9287" i="4"/>
  <c r="G9287" i="4"/>
  <c r="E9288" i="4"/>
  <c r="F9288" i="4"/>
  <c r="G9288" i="4"/>
  <c r="E9289" i="4"/>
  <c r="G9289" i="4"/>
  <c r="E9290" i="4"/>
  <c r="F9290" i="4"/>
  <c r="E9291" i="4"/>
  <c r="F9291" i="4"/>
  <c r="E9292" i="4"/>
  <c r="F9292" i="4"/>
  <c r="G9292" i="4"/>
  <c r="E9293" i="4"/>
  <c r="F9293" i="4"/>
  <c r="G9293" i="4"/>
  <c r="E9294" i="4"/>
  <c r="F9294" i="4"/>
  <c r="E9295" i="4"/>
  <c r="G9295" i="4"/>
  <c r="E9296" i="4"/>
  <c r="F9296" i="4"/>
  <c r="E9297" i="4"/>
  <c r="F9297" i="4"/>
  <c r="E9298" i="4"/>
  <c r="F9298" i="4"/>
  <c r="E9299" i="4"/>
  <c r="F9299" i="4"/>
  <c r="E9300" i="4"/>
  <c r="F9300" i="4"/>
  <c r="G9300" i="4"/>
  <c r="E9301" i="4"/>
  <c r="F9301" i="4"/>
  <c r="G9301" i="4"/>
  <c r="E9302" i="4"/>
  <c r="F9302" i="4"/>
  <c r="E9303" i="4"/>
  <c r="G9303" i="4"/>
  <c r="E9304" i="4"/>
  <c r="F9304" i="4"/>
  <c r="E9305" i="4"/>
  <c r="F9305" i="4"/>
  <c r="E9306" i="4"/>
  <c r="F9306" i="4"/>
  <c r="E9307" i="4"/>
  <c r="F9307" i="4"/>
  <c r="G9307" i="4"/>
  <c r="E9308" i="4"/>
  <c r="G9308" i="4"/>
  <c r="E9309" i="4"/>
  <c r="F9309" i="4"/>
  <c r="E9310" i="4"/>
  <c r="F9310" i="4"/>
  <c r="G9310" i="4"/>
  <c r="E9311" i="4"/>
  <c r="F9311" i="4"/>
  <c r="E9312" i="4"/>
  <c r="E9313" i="4"/>
  <c r="F9313" i="4"/>
  <c r="G9313" i="4"/>
  <c r="E9314" i="4"/>
  <c r="F9314" i="4"/>
  <c r="E9315" i="4"/>
  <c r="F9315" i="4"/>
  <c r="G9315" i="4"/>
  <c r="E9316" i="4"/>
  <c r="F9316" i="4"/>
  <c r="G9316" i="4"/>
  <c r="E9317" i="4"/>
  <c r="F9317" i="4"/>
  <c r="E9318" i="4"/>
  <c r="F9318" i="4"/>
  <c r="E9319" i="4"/>
  <c r="F9319" i="4"/>
  <c r="E9320" i="4"/>
  <c r="F9320" i="4"/>
  <c r="E9321" i="4"/>
  <c r="G9321" i="4"/>
  <c r="E9322" i="4"/>
  <c r="F9322" i="4"/>
  <c r="E9323" i="4"/>
  <c r="F9323" i="4"/>
  <c r="G9323" i="4"/>
  <c r="E9324" i="4"/>
  <c r="F9324" i="4"/>
  <c r="E9325" i="4"/>
  <c r="F9325" i="4"/>
  <c r="E9326" i="4"/>
  <c r="F9326" i="4"/>
  <c r="G9326" i="4"/>
  <c r="E9327" i="4"/>
  <c r="F9327" i="4"/>
  <c r="E9328" i="4"/>
  <c r="F9328" i="4"/>
  <c r="E9329" i="4"/>
  <c r="F9329" i="4"/>
  <c r="E9330" i="4"/>
  <c r="E9331" i="4"/>
  <c r="G9331" i="4"/>
  <c r="E9332" i="4"/>
  <c r="F9332" i="4"/>
  <c r="E9333" i="4"/>
  <c r="F9333" i="4"/>
  <c r="G9333" i="4"/>
  <c r="E9334" i="4"/>
  <c r="F9334" i="4"/>
  <c r="E9335" i="4"/>
  <c r="F9335" i="4"/>
  <c r="E9336" i="4"/>
  <c r="F9336" i="4"/>
  <c r="E9337" i="4"/>
  <c r="F9337" i="4"/>
  <c r="E9338" i="4"/>
  <c r="F9338" i="4"/>
  <c r="E9339" i="4"/>
  <c r="F9339" i="4"/>
  <c r="G9339" i="4"/>
  <c r="E9340" i="4"/>
  <c r="G9340" i="4"/>
  <c r="E9341" i="4"/>
  <c r="F9341" i="4"/>
  <c r="E9342" i="4"/>
  <c r="F9342" i="4"/>
  <c r="G9342" i="4"/>
  <c r="E9343" i="4"/>
  <c r="G9343" i="4"/>
  <c r="E9344" i="4"/>
  <c r="F9344" i="4"/>
  <c r="G9344" i="4"/>
  <c r="E9345" i="4"/>
  <c r="F9345" i="4"/>
  <c r="E9346" i="4"/>
  <c r="F9346" i="4"/>
  <c r="G9346" i="4"/>
  <c r="E9347" i="4"/>
  <c r="F9347" i="4"/>
  <c r="G9347" i="4"/>
  <c r="E9348" i="4"/>
  <c r="F9348" i="4"/>
  <c r="G9348" i="4"/>
  <c r="E9349" i="4"/>
  <c r="G9349" i="4"/>
  <c r="E9350" i="4"/>
  <c r="F9350" i="4"/>
  <c r="E9351" i="4"/>
  <c r="F9351" i="4"/>
  <c r="E9352" i="4"/>
  <c r="F9352" i="4"/>
  <c r="E9353" i="4"/>
  <c r="F9353" i="4"/>
  <c r="G9353" i="4"/>
  <c r="E9354" i="4"/>
  <c r="F9354" i="4"/>
  <c r="E9355" i="4"/>
  <c r="F9355" i="4"/>
  <c r="G9355" i="4"/>
  <c r="E9356" i="4"/>
  <c r="G9356" i="4"/>
  <c r="E9357" i="4"/>
  <c r="F9357" i="4"/>
  <c r="E9358" i="4"/>
  <c r="F9358" i="4"/>
  <c r="E9359" i="4"/>
  <c r="F9359" i="4"/>
  <c r="E9360" i="4"/>
  <c r="E9361" i="4"/>
  <c r="F9361" i="4"/>
  <c r="G9361" i="4"/>
  <c r="E9362" i="4"/>
  <c r="F9362" i="4"/>
  <c r="G9362" i="4"/>
  <c r="E9363" i="4"/>
  <c r="G9363" i="4"/>
  <c r="F9363" i="4"/>
  <c r="E9364" i="4"/>
  <c r="F9364" i="4"/>
  <c r="E9365" i="4"/>
  <c r="F9365" i="4"/>
  <c r="E9366" i="4"/>
  <c r="F9366" i="4"/>
  <c r="E9367" i="4"/>
  <c r="F9367" i="4"/>
  <c r="G9367" i="4"/>
  <c r="E9368" i="4"/>
  <c r="F9368" i="4"/>
  <c r="E9369" i="4"/>
  <c r="G9369" i="4"/>
  <c r="F9369" i="4"/>
  <c r="E9370" i="4"/>
  <c r="F9370" i="4"/>
  <c r="E9371" i="4"/>
  <c r="F9371" i="4"/>
  <c r="E9372" i="4"/>
  <c r="F9372" i="4"/>
  <c r="E9373" i="4"/>
  <c r="G9373" i="4"/>
  <c r="F9373" i="4"/>
  <c r="E9374" i="4"/>
  <c r="F9374" i="4"/>
  <c r="G9374" i="4"/>
  <c r="E9375" i="4"/>
  <c r="F9375" i="4"/>
  <c r="G9375" i="4"/>
  <c r="E9376" i="4"/>
  <c r="F9376" i="4"/>
  <c r="E9377" i="4"/>
  <c r="F9377" i="4"/>
  <c r="E9378" i="4"/>
  <c r="E9379" i="4"/>
  <c r="F9379" i="4"/>
  <c r="E9380" i="4"/>
  <c r="F9380" i="4"/>
  <c r="E9381" i="4"/>
  <c r="F9381" i="4"/>
  <c r="G9381" i="4"/>
  <c r="E9382" i="4"/>
  <c r="F9382" i="4"/>
  <c r="G9382" i="4"/>
  <c r="E9383" i="4"/>
  <c r="G9383" i="4"/>
  <c r="F9383" i="4"/>
  <c r="E9384" i="4"/>
  <c r="G9384" i="4"/>
  <c r="F9384" i="4"/>
  <c r="E9385" i="4"/>
  <c r="F9385" i="4"/>
  <c r="G9385" i="4"/>
  <c r="E9386" i="4"/>
  <c r="F9386" i="4"/>
  <c r="E9387" i="4"/>
  <c r="F9387" i="4"/>
  <c r="E9388" i="4"/>
  <c r="F9388" i="4"/>
  <c r="E9389" i="4"/>
  <c r="F9389" i="4"/>
  <c r="E9390" i="4"/>
  <c r="F9390" i="4"/>
  <c r="E9391" i="4"/>
  <c r="G9391" i="4"/>
  <c r="E9392" i="4"/>
  <c r="F9392" i="4"/>
  <c r="G9392" i="4"/>
  <c r="E9393" i="4"/>
  <c r="F9393" i="4"/>
  <c r="E9394" i="4"/>
  <c r="F9394" i="4"/>
  <c r="G9394" i="4"/>
  <c r="E9395" i="4"/>
  <c r="F9395" i="4"/>
  <c r="G9395" i="4"/>
  <c r="E9396" i="4"/>
  <c r="F9396" i="4"/>
  <c r="G9396" i="4"/>
  <c r="E9397" i="4"/>
  <c r="F9397" i="4"/>
  <c r="E9398" i="4"/>
  <c r="F9398" i="4"/>
  <c r="E9399" i="4"/>
  <c r="G9399" i="4"/>
  <c r="F9399" i="4"/>
  <c r="E9400" i="4"/>
  <c r="F9400" i="4"/>
  <c r="E9401" i="4"/>
  <c r="F9401" i="4"/>
  <c r="E9402" i="4"/>
  <c r="F9402" i="4"/>
  <c r="E9403" i="4"/>
  <c r="F9403" i="4"/>
  <c r="E9404" i="4"/>
  <c r="F9404" i="4"/>
  <c r="G9404" i="4"/>
  <c r="E9405" i="4"/>
  <c r="G9405" i="4"/>
  <c r="E9406" i="4"/>
  <c r="F9406" i="4"/>
  <c r="E9407" i="4"/>
  <c r="F9407" i="4"/>
  <c r="E9408" i="4"/>
  <c r="F9408" i="4"/>
  <c r="E9409" i="4"/>
  <c r="F9409" i="4"/>
  <c r="E9410" i="4"/>
  <c r="G9410" i="4"/>
  <c r="F9410" i="4"/>
  <c r="E9411" i="4"/>
  <c r="F9411" i="4"/>
  <c r="G9411" i="4"/>
  <c r="E9412" i="4"/>
  <c r="F9412" i="4"/>
  <c r="G9412" i="4"/>
  <c r="E9413" i="4"/>
  <c r="G9413" i="4"/>
  <c r="F9413" i="4"/>
  <c r="E9414" i="4"/>
  <c r="F9414" i="4"/>
  <c r="E9415" i="4"/>
  <c r="F9415" i="4"/>
  <c r="E9416" i="4"/>
  <c r="F9416" i="4"/>
  <c r="E9417" i="4"/>
  <c r="F9417" i="4"/>
  <c r="E9418" i="4"/>
  <c r="G9418" i="4"/>
  <c r="F9418" i="4"/>
  <c r="E9419" i="4"/>
  <c r="F9419" i="4"/>
  <c r="E9420" i="4"/>
  <c r="F9420" i="4"/>
  <c r="E9421" i="4"/>
  <c r="F9421" i="4"/>
  <c r="E9422" i="4"/>
  <c r="F9422" i="4"/>
  <c r="E9423" i="4"/>
  <c r="G9423" i="4"/>
  <c r="E9424" i="4"/>
  <c r="F9424" i="4"/>
  <c r="E9425" i="4"/>
  <c r="F9425" i="4"/>
  <c r="G9425" i="4"/>
  <c r="E9426" i="4"/>
  <c r="G9426" i="4"/>
  <c r="E9427" i="4"/>
  <c r="F9427" i="4"/>
  <c r="E9428" i="4"/>
  <c r="F9428" i="4"/>
  <c r="E9429" i="4"/>
  <c r="F9429" i="4"/>
  <c r="E9430" i="4"/>
  <c r="F9430" i="4"/>
  <c r="E9431" i="4"/>
  <c r="G9431" i="4"/>
  <c r="E9432" i="4"/>
  <c r="F9432" i="4"/>
  <c r="E9433" i="4"/>
  <c r="F9433" i="4"/>
  <c r="E9434" i="4"/>
  <c r="F9434" i="4"/>
  <c r="E9435" i="4"/>
  <c r="F9435" i="4"/>
  <c r="E9436" i="4"/>
  <c r="F9436" i="4"/>
  <c r="E9437" i="4"/>
  <c r="E9438" i="4"/>
  <c r="F9438" i="4"/>
  <c r="G9438" i="4"/>
  <c r="E9439" i="4"/>
  <c r="G9439" i="4"/>
  <c r="E9440" i="4"/>
  <c r="F9440" i="4"/>
  <c r="E9441" i="4"/>
  <c r="F9441" i="4"/>
  <c r="E9442" i="4"/>
  <c r="F9442" i="4"/>
  <c r="E9443" i="4"/>
  <c r="F9443" i="4"/>
  <c r="G9443" i="4"/>
  <c r="E9444" i="4"/>
  <c r="E9445" i="4"/>
  <c r="G9445" i="4"/>
  <c r="E9446" i="4"/>
  <c r="G9446" i="4"/>
  <c r="F9446" i="4"/>
  <c r="E9447" i="4"/>
  <c r="F9447" i="4"/>
  <c r="G9447" i="4"/>
  <c r="E9448" i="4"/>
  <c r="F9448" i="4"/>
  <c r="E9449" i="4"/>
  <c r="G9449" i="4"/>
  <c r="F9449" i="4"/>
  <c r="E9450" i="4"/>
  <c r="F9450" i="4"/>
  <c r="G9450" i="4"/>
  <c r="E9451" i="4"/>
  <c r="G9451" i="4"/>
  <c r="F9451" i="4"/>
  <c r="E9452" i="4"/>
  <c r="F9452" i="4"/>
  <c r="E9453" i="4"/>
  <c r="G9453" i="4"/>
  <c r="E9454" i="4"/>
  <c r="F9454" i="4"/>
  <c r="G9454" i="4"/>
  <c r="E9455" i="4"/>
  <c r="F9455" i="4"/>
  <c r="G9455" i="4"/>
  <c r="E9456" i="4"/>
  <c r="F9456" i="4"/>
  <c r="E9457" i="4"/>
  <c r="G9457" i="4"/>
  <c r="E9458" i="4"/>
  <c r="F9458" i="4"/>
  <c r="G9458" i="4"/>
  <c r="E9459" i="4"/>
  <c r="F9459" i="4"/>
  <c r="G9459" i="4"/>
  <c r="E9460" i="4"/>
  <c r="F9460" i="4"/>
  <c r="E9461" i="4"/>
  <c r="G9461" i="4"/>
  <c r="E9462" i="4"/>
  <c r="G9462" i="4"/>
  <c r="F9462" i="4"/>
  <c r="E9463" i="4"/>
  <c r="F9463" i="4"/>
  <c r="G9463" i="4"/>
  <c r="E9464" i="4"/>
  <c r="F9464" i="4"/>
  <c r="E9465" i="4"/>
  <c r="G9465" i="4"/>
  <c r="F9465" i="4"/>
  <c r="E9466" i="4"/>
  <c r="F9466" i="4"/>
  <c r="G9466" i="4"/>
  <c r="E9467" i="4"/>
  <c r="G9467" i="4"/>
  <c r="F9467" i="4"/>
  <c r="E9468" i="4"/>
  <c r="F9468" i="4"/>
  <c r="E9469" i="4"/>
  <c r="G9469" i="4"/>
  <c r="E9470" i="4"/>
  <c r="F9470" i="4"/>
  <c r="G9470" i="4"/>
  <c r="E9471" i="4"/>
  <c r="F9471" i="4"/>
  <c r="G9471" i="4"/>
  <c r="E9472" i="4"/>
  <c r="F9472" i="4"/>
  <c r="E9473" i="4"/>
  <c r="G9473" i="4"/>
  <c r="E9474" i="4"/>
  <c r="F9474" i="4"/>
  <c r="G9474" i="4"/>
  <c r="E9475" i="4"/>
  <c r="F9475" i="4"/>
  <c r="G9475" i="4"/>
  <c r="E9476" i="4"/>
  <c r="F9476" i="4"/>
  <c r="E9477" i="4"/>
  <c r="G9477" i="4"/>
  <c r="E9478" i="4"/>
  <c r="G9478" i="4"/>
  <c r="F9478" i="4"/>
  <c r="E9479" i="4"/>
  <c r="F9479" i="4"/>
  <c r="G9479" i="4"/>
  <c r="E9480" i="4"/>
  <c r="F9480" i="4"/>
  <c r="E9481" i="4"/>
  <c r="G9481" i="4"/>
  <c r="F9481" i="4"/>
  <c r="E9482" i="4"/>
  <c r="F9482" i="4"/>
  <c r="G9482" i="4"/>
  <c r="E9483" i="4"/>
  <c r="G9483" i="4"/>
  <c r="F9483" i="4"/>
  <c r="E9484" i="4"/>
  <c r="F9484" i="4"/>
  <c r="E9485" i="4"/>
  <c r="G9485" i="4"/>
  <c r="E9486" i="4"/>
  <c r="F9486" i="4"/>
  <c r="G9486" i="4"/>
  <c r="E9487" i="4"/>
  <c r="F9487" i="4"/>
  <c r="G9487" i="4"/>
  <c r="E9488" i="4"/>
  <c r="F9488" i="4"/>
  <c r="E9489" i="4"/>
  <c r="G9489" i="4"/>
  <c r="E9490" i="4"/>
  <c r="F9490" i="4"/>
  <c r="G9490" i="4"/>
  <c r="E9491" i="4"/>
  <c r="F9491" i="4"/>
  <c r="G9491" i="4"/>
  <c r="E9492" i="4"/>
  <c r="F9492" i="4"/>
  <c r="E9493" i="4"/>
  <c r="G9493" i="4"/>
  <c r="E9494" i="4"/>
  <c r="G9494" i="4"/>
  <c r="F9494" i="4"/>
  <c r="E9495" i="4"/>
  <c r="F9495" i="4"/>
  <c r="G9495" i="4"/>
  <c r="E9496" i="4"/>
  <c r="F9496" i="4"/>
  <c r="E9497" i="4"/>
  <c r="G9497" i="4"/>
  <c r="F9497" i="4"/>
  <c r="E9498" i="4"/>
  <c r="F9498" i="4"/>
  <c r="G9498" i="4"/>
  <c r="E9499" i="4"/>
  <c r="G9499" i="4"/>
  <c r="F9499" i="4"/>
  <c r="E9500" i="4"/>
  <c r="F9500" i="4"/>
  <c r="E9501" i="4"/>
  <c r="G9501" i="4"/>
  <c r="E9502" i="4"/>
  <c r="F9502" i="4"/>
  <c r="G9502" i="4"/>
  <c r="E9503" i="4"/>
  <c r="F9503" i="4"/>
  <c r="G9503" i="4"/>
  <c r="E9504" i="4"/>
  <c r="F9504" i="4"/>
  <c r="E9505" i="4"/>
  <c r="G9505" i="4"/>
  <c r="E9506" i="4"/>
  <c r="F9506" i="4"/>
  <c r="G9506" i="4"/>
  <c r="E9507" i="4"/>
  <c r="F9507" i="4"/>
  <c r="G9507" i="4"/>
  <c r="E9508" i="4"/>
  <c r="F9508" i="4"/>
  <c r="E9509" i="4"/>
  <c r="G9509" i="4"/>
  <c r="E9510" i="4"/>
  <c r="G9510" i="4"/>
  <c r="F9510" i="4"/>
  <c r="E9511" i="4"/>
  <c r="F9511" i="4"/>
  <c r="G9511" i="4"/>
  <c r="E9512" i="4"/>
  <c r="F9512" i="4"/>
  <c r="E9513" i="4"/>
  <c r="G9513" i="4"/>
  <c r="F9513" i="4"/>
  <c r="E9514" i="4"/>
  <c r="F9514" i="4"/>
  <c r="G9514" i="4"/>
  <c r="E9515" i="4"/>
  <c r="G9515" i="4"/>
  <c r="F9515" i="4"/>
  <c r="E9516" i="4"/>
  <c r="F9516" i="4"/>
  <c r="E9517" i="4"/>
  <c r="G9517" i="4"/>
  <c r="E9518" i="4"/>
  <c r="F9518" i="4"/>
  <c r="G9518" i="4"/>
  <c r="E9519" i="4"/>
  <c r="F9519" i="4"/>
  <c r="G9519" i="4"/>
  <c r="E9520" i="4"/>
  <c r="F9520" i="4"/>
  <c r="E9521" i="4"/>
  <c r="G9521" i="4"/>
  <c r="E9522" i="4"/>
  <c r="F9522" i="4"/>
  <c r="G9522" i="4"/>
  <c r="E9523" i="4"/>
  <c r="F9523" i="4"/>
  <c r="G9523" i="4"/>
  <c r="E9524" i="4"/>
  <c r="F9524" i="4"/>
  <c r="E9525" i="4"/>
  <c r="G9525" i="4"/>
  <c r="E9526" i="4"/>
  <c r="G9526" i="4"/>
  <c r="F9526" i="4"/>
  <c r="E9527" i="4"/>
  <c r="F9527" i="4"/>
  <c r="G9527" i="4"/>
  <c r="E9528" i="4"/>
  <c r="F9528" i="4"/>
  <c r="E9529" i="4"/>
  <c r="G9529" i="4"/>
  <c r="F9529" i="4"/>
  <c r="E9530" i="4"/>
  <c r="F9530" i="4"/>
  <c r="G9530" i="4"/>
  <c r="E9531" i="4"/>
  <c r="G9531" i="4"/>
  <c r="F9531" i="4"/>
  <c r="E9532" i="4"/>
  <c r="F9532" i="4"/>
  <c r="E9533" i="4"/>
  <c r="G9533" i="4"/>
  <c r="E9534" i="4"/>
  <c r="F9534" i="4"/>
  <c r="G9534" i="4"/>
  <c r="E9535" i="4"/>
  <c r="F9535" i="4"/>
  <c r="G9535" i="4"/>
  <c r="E9536" i="4"/>
  <c r="F9536" i="4"/>
  <c r="E9537" i="4"/>
  <c r="G9537" i="4"/>
  <c r="E9538" i="4"/>
  <c r="F9538" i="4"/>
  <c r="G9538" i="4"/>
  <c r="E9539" i="4"/>
  <c r="F9539" i="4"/>
  <c r="G9539" i="4"/>
  <c r="E9540" i="4"/>
  <c r="F9540" i="4"/>
  <c r="E9541" i="4"/>
  <c r="G9541" i="4"/>
  <c r="E9542" i="4"/>
  <c r="G9542" i="4"/>
  <c r="F9542" i="4"/>
  <c r="E9543" i="4"/>
  <c r="F9543" i="4"/>
  <c r="G9543" i="4"/>
  <c r="E9544" i="4"/>
  <c r="F9544" i="4"/>
  <c r="E9545" i="4"/>
  <c r="G9545" i="4"/>
  <c r="F9545" i="4"/>
  <c r="E9546" i="4"/>
  <c r="F9546" i="4"/>
  <c r="G9546" i="4"/>
  <c r="E9547" i="4"/>
  <c r="G9547" i="4"/>
  <c r="F9547" i="4"/>
  <c r="E9548" i="4"/>
  <c r="F9548" i="4"/>
  <c r="E9549" i="4"/>
  <c r="G9549" i="4"/>
  <c r="E9550" i="4"/>
  <c r="F9550" i="4"/>
  <c r="G9550" i="4"/>
  <c r="E9551" i="4"/>
  <c r="F9551" i="4"/>
  <c r="G9551" i="4"/>
  <c r="E9552" i="4"/>
  <c r="F9552" i="4"/>
  <c r="E9553" i="4"/>
  <c r="G9553" i="4"/>
  <c r="E9554" i="4"/>
  <c r="F9554" i="4"/>
  <c r="G9554" i="4"/>
  <c r="E9555" i="4"/>
  <c r="F9555" i="4"/>
  <c r="G9555" i="4"/>
  <c r="E9556" i="4"/>
  <c r="F9556" i="4"/>
  <c r="E9557" i="4"/>
  <c r="G9557" i="4"/>
  <c r="E9558" i="4"/>
  <c r="G9558" i="4"/>
  <c r="F9558" i="4"/>
  <c r="E9559" i="4"/>
  <c r="F9559" i="4"/>
  <c r="G9559" i="4"/>
  <c r="E9560" i="4"/>
  <c r="F9560" i="4"/>
  <c r="E9561" i="4"/>
  <c r="G9561" i="4"/>
  <c r="F9561" i="4"/>
  <c r="E9562" i="4"/>
  <c r="F9562" i="4"/>
  <c r="G9562" i="4"/>
  <c r="E9563" i="4"/>
  <c r="G9563" i="4"/>
  <c r="F9563" i="4"/>
  <c r="E9564" i="4"/>
  <c r="F9564" i="4"/>
  <c r="E9565" i="4"/>
  <c r="G9565" i="4"/>
  <c r="E9566" i="4"/>
  <c r="F9566" i="4"/>
  <c r="G9566" i="4"/>
  <c r="E9567" i="4"/>
  <c r="F9567" i="4"/>
  <c r="G9567" i="4"/>
  <c r="E9568" i="4"/>
  <c r="F9568" i="4"/>
  <c r="E9569" i="4"/>
  <c r="G9569" i="4"/>
  <c r="E9570" i="4"/>
  <c r="F9570" i="4"/>
  <c r="G9570" i="4"/>
  <c r="E9571" i="4"/>
  <c r="F9571" i="4"/>
  <c r="G9571" i="4"/>
  <c r="E9572" i="4"/>
  <c r="F9572" i="4"/>
  <c r="E9573" i="4"/>
  <c r="G9573" i="4"/>
  <c r="E9574" i="4"/>
  <c r="G9574" i="4"/>
  <c r="F9574" i="4"/>
  <c r="E9575" i="4"/>
  <c r="F9575" i="4"/>
  <c r="G9575" i="4"/>
  <c r="E9576" i="4"/>
  <c r="F9576" i="4"/>
  <c r="E9577" i="4"/>
  <c r="G9577" i="4"/>
  <c r="F9577" i="4"/>
  <c r="E9578" i="4"/>
  <c r="F9578" i="4"/>
  <c r="G9578" i="4"/>
  <c r="E9579" i="4"/>
  <c r="G9579" i="4"/>
  <c r="F9579" i="4"/>
  <c r="E9580" i="4"/>
  <c r="F9580" i="4"/>
  <c r="E9581" i="4"/>
  <c r="G9581" i="4"/>
  <c r="E9582" i="4"/>
  <c r="F9582" i="4"/>
  <c r="G9582" i="4"/>
  <c r="E9583" i="4"/>
  <c r="F9583" i="4"/>
  <c r="G9583" i="4"/>
  <c r="E9584" i="4"/>
  <c r="F9584" i="4"/>
  <c r="E9585" i="4"/>
  <c r="G9585" i="4"/>
  <c r="E9586" i="4"/>
  <c r="F9586" i="4"/>
  <c r="G9586" i="4"/>
  <c r="E9587" i="4"/>
  <c r="F9587" i="4"/>
  <c r="G9587" i="4"/>
  <c r="E9588" i="4"/>
  <c r="F9588" i="4"/>
  <c r="E9589" i="4"/>
  <c r="G9589" i="4"/>
  <c r="E9590" i="4"/>
  <c r="G9590" i="4"/>
  <c r="F9590" i="4"/>
  <c r="E9591" i="4"/>
  <c r="F9591" i="4"/>
  <c r="G9591" i="4"/>
  <c r="E9592" i="4"/>
  <c r="F9592" i="4"/>
  <c r="E9593" i="4"/>
  <c r="G9593" i="4"/>
  <c r="F9593" i="4"/>
  <c r="E9594" i="4"/>
  <c r="F9594" i="4"/>
  <c r="G9594" i="4"/>
  <c r="E9595" i="4"/>
  <c r="G9595" i="4"/>
  <c r="F9595" i="4"/>
  <c r="E9596" i="4"/>
  <c r="F9596" i="4"/>
  <c r="E9597" i="4"/>
  <c r="G9597" i="4"/>
  <c r="E9598" i="4"/>
  <c r="F9598" i="4"/>
  <c r="G9598" i="4"/>
  <c r="E9599" i="4"/>
  <c r="F9599" i="4"/>
  <c r="G9599" i="4"/>
  <c r="E9600" i="4"/>
  <c r="F9600" i="4"/>
  <c r="E9601" i="4"/>
  <c r="G9601" i="4"/>
  <c r="E9602" i="4"/>
  <c r="F9602" i="4"/>
  <c r="G9602" i="4"/>
  <c r="E9603" i="4"/>
  <c r="F9603" i="4"/>
  <c r="G9603" i="4"/>
  <c r="E9604" i="4"/>
  <c r="F9604" i="4"/>
  <c r="E9605" i="4"/>
  <c r="G9605" i="4"/>
  <c r="E9606" i="4"/>
  <c r="G9606" i="4"/>
  <c r="F9606" i="4"/>
  <c r="E9607" i="4"/>
  <c r="F9607" i="4"/>
  <c r="G9607" i="4"/>
  <c r="E9608" i="4"/>
  <c r="F9608" i="4"/>
  <c r="E9609" i="4"/>
  <c r="G9609" i="4"/>
  <c r="F9609" i="4"/>
  <c r="E9610" i="4"/>
  <c r="F9610" i="4"/>
  <c r="G9610" i="4"/>
  <c r="E9611" i="4"/>
  <c r="G9611" i="4"/>
  <c r="F9611" i="4"/>
  <c r="E9612" i="4"/>
  <c r="F9612" i="4"/>
  <c r="E9613" i="4"/>
  <c r="G9613" i="4"/>
  <c r="E9614" i="4"/>
  <c r="F9614" i="4"/>
  <c r="G9614" i="4"/>
  <c r="E9615" i="4"/>
  <c r="F9615" i="4"/>
  <c r="G9615" i="4"/>
  <c r="E9616" i="4"/>
  <c r="F9616" i="4"/>
  <c r="E9617" i="4"/>
  <c r="G9617" i="4"/>
  <c r="E9618" i="4"/>
  <c r="F9618" i="4"/>
  <c r="G9618" i="4"/>
  <c r="E9619" i="4"/>
  <c r="F9619" i="4"/>
  <c r="G9619" i="4"/>
  <c r="E9620" i="4"/>
  <c r="F9620" i="4"/>
  <c r="E9621" i="4"/>
  <c r="G9621" i="4"/>
  <c r="E9622" i="4"/>
  <c r="G9622" i="4"/>
  <c r="F9622" i="4"/>
  <c r="E9623" i="4"/>
  <c r="F9623" i="4"/>
  <c r="G9623" i="4"/>
  <c r="E9624" i="4"/>
  <c r="F9624" i="4"/>
  <c r="E9625" i="4"/>
  <c r="G9625" i="4"/>
  <c r="F9625" i="4"/>
  <c r="E9626" i="4"/>
  <c r="F9626" i="4"/>
  <c r="G9626" i="4"/>
  <c r="E9627" i="4"/>
  <c r="G9627" i="4"/>
  <c r="F9627" i="4"/>
  <c r="E9628" i="4"/>
  <c r="F9628" i="4"/>
  <c r="E9629" i="4"/>
  <c r="G9629" i="4"/>
  <c r="E9630" i="4"/>
  <c r="F9630" i="4"/>
  <c r="G9630" i="4"/>
  <c r="E9631" i="4"/>
  <c r="F9631" i="4"/>
  <c r="G9631" i="4"/>
  <c r="E9632" i="4"/>
  <c r="F9632" i="4"/>
  <c r="E9633" i="4"/>
  <c r="G9633" i="4"/>
  <c r="E9634" i="4"/>
  <c r="F9634" i="4"/>
  <c r="G9634" i="4"/>
  <c r="E9635" i="4"/>
  <c r="F9635" i="4"/>
  <c r="G9635" i="4"/>
  <c r="E9636" i="4"/>
  <c r="F9636" i="4"/>
  <c r="E9637" i="4"/>
  <c r="G9637" i="4"/>
  <c r="E9638" i="4"/>
  <c r="G9638" i="4"/>
  <c r="F9638" i="4"/>
  <c r="E9639" i="4"/>
  <c r="F9639" i="4"/>
  <c r="G9639" i="4"/>
  <c r="E9640" i="4"/>
  <c r="F9640" i="4"/>
  <c r="E9641" i="4"/>
  <c r="G9641" i="4"/>
  <c r="F9641" i="4"/>
  <c r="E9642" i="4"/>
  <c r="F9642" i="4"/>
  <c r="G9642" i="4"/>
  <c r="E9643" i="4"/>
  <c r="G9643" i="4"/>
  <c r="F9643" i="4"/>
  <c r="E9644" i="4"/>
  <c r="F9644" i="4"/>
  <c r="E9645" i="4"/>
  <c r="G9645" i="4"/>
  <c r="E9646" i="4"/>
  <c r="F9646" i="4"/>
  <c r="G9646" i="4"/>
  <c r="E9647" i="4"/>
  <c r="F9647" i="4"/>
  <c r="G9647" i="4"/>
  <c r="E9648" i="4"/>
  <c r="F9648" i="4"/>
  <c r="E9649" i="4"/>
  <c r="G9649" i="4"/>
  <c r="E9650" i="4"/>
  <c r="F9650" i="4"/>
  <c r="G9650" i="4"/>
  <c r="E9651" i="4"/>
  <c r="F9651" i="4"/>
  <c r="G9651" i="4"/>
  <c r="E9652" i="4"/>
  <c r="F9652" i="4"/>
  <c r="E9653" i="4"/>
  <c r="G9653" i="4"/>
  <c r="E9654" i="4"/>
  <c r="G9654" i="4"/>
  <c r="F9654" i="4"/>
  <c r="E9655" i="4"/>
  <c r="F9655" i="4"/>
  <c r="G9655" i="4"/>
  <c r="E9656" i="4"/>
  <c r="F9656" i="4"/>
  <c r="E9657" i="4"/>
  <c r="G9657" i="4"/>
  <c r="F9657" i="4"/>
  <c r="E9658" i="4"/>
  <c r="F9658" i="4"/>
  <c r="G9658" i="4"/>
  <c r="E9659" i="4"/>
  <c r="G9659" i="4"/>
  <c r="F9659" i="4"/>
  <c r="E9660" i="4"/>
  <c r="F9660" i="4"/>
  <c r="E9661" i="4"/>
  <c r="G9661" i="4"/>
  <c r="E9662" i="4"/>
  <c r="F9662" i="4"/>
  <c r="G9662" i="4"/>
  <c r="E9663" i="4"/>
  <c r="F9663" i="4"/>
  <c r="G9663" i="4"/>
  <c r="E9664" i="4"/>
  <c r="F9664" i="4"/>
  <c r="E9665" i="4"/>
  <c r="G9665" i="4"/>
  <c r="E9666" i="4"/>
  <c r="F9666" i="4"/>
  <c r="G9666" i="4"/>
  <c r="E9667" i="4"/>
  <c r="F9667" i="4"/>
  <c r="G9667" i="4"/>
  <c r="E9668" i="4"/>
  <c r="F9668" i="4"/>
  <c r="E9669" i="4"/>
  <c r="G9669" i="4"/>
  <c r="E9670" i="4"/>
  <c r="G9670" i="4"/>
  <c r="F9670" i="4"/>
  <c r="E9671" i="4"/>
  <c r="F9671" i="4"/>
  <c r="G9671" i="4"/>
  <c r="E9672" i="4"/>
  <c r="F9672" i="4"/>
  <c r="E9673" i="4"/>
  <c r="G9673" i="4"/>
  <c r="F9673" i="4"/>
  <c r="E9674" i="4"/>
  <c r="F9674" i="4"/>
  <c r="G9674" i="4"/>
  <c r="E9675" i="4"/>
  <c r="G9675" i="4"/>
  <c r="F9675" i="4"/>
  <c r="E9676" i="4"/>
  <c r="F9676" i="4"/>
  <c r="E9677" i="4"/>
  <c r="G9677" i="4"/>
  <c r="E9678" i="4"/>
  <c r="F9678" i="4"/>
  <c r="G9678" i="4"/>
  <c r="E9679" i="4"/>
  <c r="F9679" i="4"/>
  <c r="G9679" i="4"/>
  <c r="E9680" i="4"/>
  <c r="F9680" i="4"/>
  <c r="E9681" i="4"/>
  <c r="G9681" i="4"/>
  <c r="E9682" i="4"/>
  <c r="F9682" i="4"/>
  <c r="G9682" i="4"/>
  <c r="E9683" i="4"/>
  <c r="F9683" i="4"/>
  <c r="E9684" i="4"/>
  <c r="F9684" i="4"/>
  <c r="E9685" i="4"/>
  <c r="G9685" i="4"/>
  <c r="E9686" i="4"/>
  <c r="G9686" i="4"/>
  <c r="F9686" i="4"/>
  <c r="E9687" i="4"/>
  <c r="F9687" i="4"/>
  <c r="G9687" i="4"/>
  <c r="E9688" i="4"/>
  <c r="F9688" i="4"/>
  <c r="E9689" i="4"/>
  <c r="G9689" i="4"/>
  <c r="F9689" i="4"/>
  <c r="E9690" i="4"/>
  <c r="F9690" i="4"/>
  <c r="G9690" i="4"/>
  <c r="E9691" i="4"/>
  <c r="G9691" i="4"/>
  <c r="F9691" i="4"/>
  <c r="E9692" i="4"/>
  <c r="F9692" i="4"/>
  <c r="E9693" i="4"/>
  <c r="G9693" i="4"/>
  <c r="E9694" i="4"/>
  <c r="F9694" i="4"/>
  <c r="E9695" i="4"/>
  <c r="F9695" i="4"/>
  <c r="G9695" i="4"/>
  <c r="E9696" i="4"/>
  <c r="F9696" i="4"/>
  <c r="E9697" i="4"/>
  <c r="G9697" i="4"/>
  <c r="E9698" i="4"/>
  <c r="F9698" i="4"/>
  <c r="G9698" i="4"/>
  <c r="E9699" i="4"/>
  <c r="F9699" i="4"/>
  <c r="E9700" i="4"/>
  <c r="F9700" i="4"/>
  <c r="E9701" i="4"/>
  <c r="G9701" i="4"/>
  <c r="E9702" i="4"/>
  <c r="G9702" i="4"/>
  <c r="F9702" i="4"/>
  <c r="E9703" i="4"/>
  <c r="F9703" i="4"/>
  <c r="G9703" i="4"/>
  <c r="E9704" i="4"/>
  <c r="F9704" i="4"/>
  <c r="E9705" i="4"/>
  <c r="G9705" i="4"/>
  <c r="F9705" i="4"/>
  <c r="E9706" i="4"/>
  <c r="F9706" i="4"/>
  <c r="G9706" i="4"/>
  <c r="E9707" i="4"/>
  <c r="G9707" i="4"/>
  <c r="F9707" i="4"/>
  <c r="E9708" i="4"/>
  <c r="F9708" i="4"/>
  <c r="E9709" i="4"/>
  <c r="G9709" i="4"/>
  <c r="E9710" i="4"/>
  <c r="F9710" i="4"/>
  <c r="E9711" i="4"/>
  <c r="F9711" i="4"/>
  <c r="G9711" i="4"/>
  <c r="E9712" i="4"/>
  <c r="F9712" i="4"/>
  <c r="E9713" i="4"/>
  <c r="G9713" i="4"/>
  <c r="E9714" i="4"/>
  <c r="F9714" i="4"/>
  <c r="G9714" i="4"/>
  <c r="E9715" i="4"/>
  <c r="F9715" i="4"/>
  <c r="E9716" i="4"/>
  <c r="F9716" i="4"/>
  <c r="E9717" i="4"/>
  <c r="G9717" i="4"/>
  <c r="E9718" i="4"/>
  <c r="G9718" i="4"/>
  <c r="F9718" i="4"/>
  <c r="E9719" i="4"/>
  <c r="F9719" i="4"/>
  <c r="G9719" i="4"/>
  <c r="E9720" i="4"/>
  <c r="F9720" i="4"/>
  <c r="E9721" i="4"/>
  <c r="G9721" i="4"/>
  <c r="F9721" i="4"/>
  <c r="E9722" i="4"/>
  <c r="F9722" i="4"/>
  <c r="G9722" i="4"/>
  <c r="E9723" i="4"/>
  <c r="G9723" i="4"/>
  <c r="F9723" i="4"/>
  <c r="E9724" i="4"/>
  <c r="F9724" i="4"/>
  <c r="E9725" i="4"/>
  <c r="G9725" i="4"/>
  <c r="E9726" i="4"/>
  <c r="F9726" i="4"/>
  <c r="E9727" i="4"/>
  <c r="F9727" i="4"/>
  <c r="G9727" i="4"/>
  <c r="E9728" i="4"/>
  <c r="F9728" i="4"/>
  <c r="E9729" i="4"/>
  <c r="G9729" i="4"/>
  <c r="E9730" i="4"/>
  <c r="F9730" i="4"/>
  <c r="G9730" i="4"/>
  <c r="E9731" i="4"/>
  <c r="F9731" i="4"/>
  <c r="E9732" i="4"/>
  <c r="F9732" i="4"/>
  <c r="E9733" i="4"/>
  <c r="G9733" i="4"/>
  <c r="E9734" i="4"/>
  <c r="G9734" i="4"/>
  <c r="F9734" i="4"/>
  <c r="E9735" i="4"/>
  <c r="F9735" i="4"/>
  <c r="G9735" i="4"/>
  <c r="E9736" i="4"/>
  <c r="F9736" i="4"/>
  <c r="E9737" i="4"/>
  <c r="G9737" i="4"/>
  <c r="F9737" i="4"/>
  <c r="E9738" i="4"/>
  <c r="F9738" i="4"/>
  <c r="G9738" i="4"/>
  <c r="E9739" i="4"/>
  <c r="G9739" i="4"/>
  <c r="F9739" i="4"/>
  <c r="E9740" i="4"/>
  <c r="F9740" i="4"/>
  <c r="E9741" i="4"/>
  <c r="G9741" i="4"/>
  <c r="E9742" i="4"/>
  <c r="F9742" i="4"/>
  <c r="E9743" i="4"/>
  <c r="F9743" i="4"/>
  <c r="G9743" i="4"/>
  <c r="E9744" i="4"/>
  <c r="F9744" i="4"/>
  <c r="E9745" i="4"/>
  <c r="G9745" i="4"/>
  <c r="E9746" i="4"/>
  <c r="F9746" i="4"/>
  <c r="G9746" i="4"/>
  <c r="E9747" i="4"/>
  <c r="F9747" i="4"/>
  <c r="E9748" i="4"/>
  <c r="F9748" i="4"/>
  <c r="E9749" i="4"/>
  <c r="G9749" i="4"/>
  <c r="E9750" i="4"/>
  <c r="G9750" i="4"/>
  <c r="F9750" i="4"/>
  <c r="E9751" i="4"/>
  <c r="F9751" i="4"/>
  <c r="G9751" i="4"/>
  <c r="E9752" i="4"/>
  <c r="F9752" i="4"/>
  <c r="E9753" i="4"/>
  <c r="G9753" i="4"/>
  <c r="F9753" i="4"/>
  <c r="E9754" i="4"/>
  <c r="F9754" i="4"/>
  <c r="G9754" i="4"/>
  <c r="E9755" i="4"/>
  <c r="G9755" i="4"/>
  <c r="F9755" i="4"/>
  <c r="E9756" i="4"/>
  <c r="F9756" i="4"/>
  <c r="E9757" i="4"/>
  <c r="G9757" i="4"/>
  <c r="E9758" i="4"/>
  <c r="F9758" i="4"/>
  <c r="E9759" i="4"/>
  <c r="F9759" i="4"/>
  <c r="G9759" i="4"/>
  <c r="E9760" i="4"/>
  <c r="F9760" i="4"/>
  <c r="E9761" i="4"/>
  <c r="G9761" i="4"/>
  <c r="E9762" i="4"/>
  <c r="F9762" i="4"/>
  <c r="G9762" i="4"/>
  <c r="E9763" i="4"/>
  <c r="F9763" i="4"/>
  <c r="E9764" i="4"/>
  <c r="F9764" i="4"/>
  <c r="E9765" i="4"/>
  <c r="G9765" i="4"/>
  <c r="E9766" i="4"/>
  <c r="G9766" i="4"/>
  <c r="F9766" i="4"/>
  <c r="E9767" i="4"/>
  <c r="F9767" i="4"/>
  <c r="G9767" i="4"/>
  <c r="E9768" i="4"/>
  <c r="F9768" i="4"/>
  <c r="E9769" i="4"/>
  <c r="G9769" i="4"/>
  <c r="F9769" i="4"/>
  <c r="E9770" i="4"/>
  <c r="F9770" i="4"/>
  <c r="G9770" i="4"/>
  <c r="E9771" i="4"/>
  <c r="G9771" i="4"/>
  <c r="F9771" i="4"/>
  <c r="E9772" i="4"/>
  <c r="F9772" i="4"/>
  <c r="E9773" i="4"/>
  <c r="G9773" i="4"/>
  <c r="E9774" i="4"/>
  <c r="F9774" i="4"/>
  <c r="E9775" i="4"/>
  <c r="F9775" i="4"/>
  <c r="G9775" i="4"/>
  <c r="E9776" i="4"/>
  <c r="F9776" i="4"/>
  <c r="E9777" i="4"/>
  <c r="G9777" i="4"/>
  <c r="E9778" i="4"/>
  <c r="F9778" i="4"/>
  <c r="G9778" i="4"/>
  <c r="E9779" i="4"/>
  <c r="F9779" i="4"/>
  <c r="E9780" i="4"/>
  <c r="F9780" i="4"/>
  <c r="E9781" i="4"/>
  <c r="G9781" i="4"/>
  <c r="E9782" i="4"/>
  <c r="G9782" i="4"/>
  <c r="F9782" i="4"/>
  <c r="E9783" i="4"/>
  <c r="F9783" i="4"/>
  <c r="G9783" i="4"/>
  <c r="E9784" i="4"/>
  <c r="F9784" i="4"/>
  <c r="E9785" i="4"/>
  <c r="G9785" i="4"/>
  <c r="F9785" i="4"/>
  <c r="E9786" i="4"/>
  <c r="F9786" i="4"/>
  <c r="G9786" i="4"/>
  <c r="E9787" i="4"/>
  <c r="G9787" i="4"/>
  <c r="F9787" i="4"/>
  <c r="E9788" i="4"/>
  <c r="F9788" i="4"/>
  <c r="E9789" i="4"/>
  <c r="G9789" i="4"/>
  <c r="E9790" i="4"/>
  <c r="F9790" i="4"/>
  <c r="E9791" i="4"/>
  <c r="F9791" i="4"/>
  <c r="G9791" i="4"/>
  <c r="E9792" i="4"/>
  <c r="F9792" i="4"/>
  <c r="E9793" i="4"/>
  <c r="G9793" i="4"/>
  <c r="E9794" i="4"/>
  <c r="F9794" i="4"/>
  <c r="G9794" i="4"/>
  <c r="E9795" i="4"/>
  <c r="F9795" i="4"/>
  <c r="E9796" i="4"/>
  <c r="F9796" i="4"/>
  <c r="E9797" i="4"/>
  <c r="G9797" i="4"/>
  <c r="E9798" i="4"/>
  <c r="G9798" i="4"/>
  <c r="F9798" i="4"/>
  <c r="E9799" i="4"/>
  <c r="F9799" i="4"/>
  <c r="G9799" i="4"/>
  <c r="E9800" i="4"/>
  <c r="F9800" i="4"/>
  <c r="E9801" i="4"/>
  <c r="G9801" i="4"/>
  <c r="F9801" i="4"/>
  <c r="E9802" i="4"/>
  <c r="F9802" i="4"/>
  <c r="G9802" i="4"/>
  <c r="E9803" i="4"/>
  <c r="G9803" i="4"/>
  <c r="F9803" i="4"/>
  <c r="E9804" i="4"/>
  <c r="F9804" i="4"/>
  <c r="E9805" i="4"/>
  <c r="G9805" i="4"/>
  <c r="E9806" i="4"/>
  <c r="F9806" i="4"/>
  <c r="E9807" i="4"/>
  <c r="F9807" i="4"/>
  <c r="G9807" i="4"/>
  <c r="E9808" i="4"/>
  <c r="F9808" i="4"/>
  <c r="E9809" i="4"/>
  <c r="G9809" i="4"/>
  <c r="E9810" i="4"/>
  <c r="F9810" i="4"/>
  <c r="G9810" i="4"/>
  <c r="E9811" i="4"/>
  <c r="F9811" i="4"/>
  <c r="E9812" i="4"/>
  <c r="F9812" i="4"/>
  <c r="E9813" i="4"/>
  <c r="G9813" i="4"/>
  <c r="E9814" i="4"/>
  <c r="G9814" i="4"/>
  <c r="F9814" i="4"/>
  <c r="E9815" i="4"/>
  <c r="F9815" i="4"/>
  <c r="G9815" i="4"/>
  <c r="E9816" i="4"/>
  <c r="F9816" i="4"/>
  <c r="E9817" i="4"/>
  <c r="G9817" i="4"/>
  <c r="F9817" i="4"/>
  <c r="E9818" i="4"/>
  <c r="F9818" i="4"/>
  <c r="G9818" i="4"/>
  <c r="E9819" i="4"/>
  <c r="G9819" i="4"/>
  <c r="F9819" i="4"/>
  <c r="E9820" i="4"/>
  <c r="F9820" i="4"/>
  <c r="E9821" i="4"/>
  <c r="G9821" i="4"/>
  <c r="E9822" i="4"/>
  <c r="F9822" i="4"/>
  <c r="E9823" i="4"/>
  <c r="F9823" i="4"/>
  <c r="G9823" i="4"/>
  <c r="E9824" i="4"/>
  <c r="F9824" i="4"/>
  <c r="E9825" i="4"/>
  <c r="G9825" i="4"/>
  <c r="E9826" i="4"/>
  <c r="F9826" i="4"/>
  <c r="G9826" i="4"/>
  <c r="E9827" i="4"/>
  <c r="F9827" i="4"/>
  <c r="E9828" i="4"/>
  <c r="F9828" i="4"/>
  <c r="E9829" i="4"/>
  <c r="G9829" i="4"/>
  <c r="E9830" i="4"/>
  <c r="G9830" i="4"/>
  <c r="F9830" i="4"/>
  <c r="E9831" i="4"/>
  <c r="F9831" i="4"/>
  <c r="G9831" i="4"/>
  <c r="E9832" i="4"/>
  <c r="F9832" i="4"/>
  <c r="E9833" i="4"/>
  <c r="G9833" i="4"/>
  <c r="F9833" i="4"/>
  <c r="E9834" i="4"/>
  <c r="F9834" i="4"/>
  <c r="G9834" i="4"/>
  <c r="E9835" i="4"/>
  <c r="G9835" i="4"/>
  <c r="F9835" i="4"/>
  <c r="E9836" i="4"/>
  <c r="F9836" i="4"/>
  <c r="E9837" i="4"/>
  <c r="G9837" i="4"/>
  <c r="E9838" i="4"/>
  <c r="F9838" i="4"/>
  <c r="E9839" i="4"/>
  <c r="F9839" i="4"/>
  <c r="G9839" i="4"/>
  <c r="E9840" i="4"/>
  <c r="F9840" i="4"/>
  <c r="E9841" i="4"/>
  <c r="G9841" i="4"/>
  <c r="E9842" i="4"/>
  <c r="F9842" i="4"/>
  <c r="G9842" i="4"/>
  <c r="E9843" i="4"/>
  <c r="F9843" i="4"/>
  <c r="E9844" i="4"/>
  <c r="F9844" i="4"/>
  <c r="E9845" i="4"/>
  <c r="G9845" i="4"/>
  <c r="E9846" i="4"/>
  <c r="G9846" i="4"/>
  <c r="F9846" i="4"/>
  <c r="E9847" i="4"/>
  <c r="F9847" i="4"/>
  <c r="G9847" i="4"/>
  <c r="E9848" i="4"/>
  <c r="F9848" i="4"/>
  <c r="E9849" i="4"/>
  <c r="G9849" i="4"/>
  <c r="F9849" i="4"/>
  <c r="E9850" i="4"/>
  <c r="F9850" i="4"/>
  <c r="G9850" i="4"/>
  <c r="E9851" i="4"/>
  <c r="G9851" i="4"/>
  <c r="F9851" i="4"/>
  <c r="E9852" i="4"/>
  <c r="F9852" i="4"/>
  <c r="E9853" i="4"/>
  <c r="G9853" i="4"/>
  <c r="E9854" i="4"/>
  <c r="F9854" i="4"/>
  <c r="E9855" i="4"/>
  <c r="F9855" i="4"/>
  <c r="G9855" i="4"/>
  <c r="E9856" i="4"/>
  <c r="F9856" i="4"/>
  <c r="E9857" i="4"/>
  <c r="G9857" i="4"/>
  <c r="E9858" i="4"/>
  <c r="F9858" i="4"/>
  <c r="G9858" i="4"/>
  <c r="E9859" i="4"/>
  <c r="F9859" i="4"/>
  <c r="E9860" i="4"/>
  <c r="F9860" i="4"/>
  <c r="E9861" i="4"/>
  <c r="G9861" i="4"/>
  <c r="E9862" i="4"/>
  <c r="G9862" i="4"/>
  <c r="F9862" i="4"/>
  <c r="E9863" i="4"/>
  <c r="F9863" i="4"/>
  <c r="G9863" i="4"/>
  <c r="E9864" i="4"/>
  <c r="F9864" i="4"/>
  <c r="E9865" i="4"/>
  <c r="G9865" i="4"/>
  <c r="F9865" i="4"/>
  <c r="E9866" i="4"/>
  <c r="F9866" i="4"/>
  <c r="G9866" i="4"/>
  <c r="E9867" i="4"/>
  <c r="G9867" i="4"/>
  <c r="F9867" i="4"/>
  <c r="E9868" i="4"/>
  <c r="F9868" i="4"/>
  <c r="E9869" i="4"/>
  <c r="G9869" i="4"/>
  <c r="E9870" i="4"/>
  <c r="F9870" i="4"/>
  <c r="E9871" i="4"/>
  <c r="F9871" i="4"/>
  <c r="G9871" i="4"/>
  <c r="E9872" i="4"/>
  <c r="F9872" i="4"/>
  <c r="E9873" i="4"/>
  <c r="G9873" i="4"/>
  <c r="E9874" i="4"/>
  <c r="F9874" i="4"/>
  <c r="G9874" i="4"/>
  <c r="E9875" i="4"/>
  <c r="F9875" i="4"/>
  <c r="E9876" i="4"/>
  <c r="F9876" i="4"/>
  <c r="E9877" i="4"/>
  <c r="G9877" i="4"/>
  <c r="E9878" i="4"/>
  <c r="G9878" i="4"/>
  <c r="F9878" i="4"/>
  <c r="E9879" i="4"/>
  <c r="F9879" i="4"/>
  <c r="G9879" i="4"/>
  <c r="E9880" i="4"/>
  <c r="F9880" i="4"/>
  <c r="E9881" i="4"/>
  <c r="G9881" i="4"/>
  <c r="F9881" i="4"/>
  <c r="E9882" i="4"/>
  <c r="F9882" i="4"/>
  <c r="G9882" i="4"/>
  <c r="E9883" i="4"/>
  <c r="G9883" i="4"/>
  <c r="F9883" i="4"/>
  <c r="E9884" i="4"/>
  <c r="F9884" i="4"/>
  <c r="E9885" i="4"/>
  <c r="G9885" i="4"/>
  <c r="E9886" i="4"/>
  <c r="F9886" i="4"/>
  <c r="E9887" i="4"/>
  <c r="F9887" i="4"/>
  <c r="G9887" i="4"/>
  <c r="E9888" i="4"/>
  <c r="F9888" i="4"/>
  <c r="E9889" i="4"/>
  <c r="G9889" i="4"/>
  <c r="E9890" i="4"/>
  <c r="F9890" i="4"/>
  <c r="G9890" i="4"/>
  <c r="E9891" i="4"/>
  <c r="F9891" i="4"/>
  <c r="E9892" i="4"/>
  <c r="F9892" i="4"/>
  <c r="E9893" i="4"/>
  <c r="G9893" i="4"/>
  <c r="E9894" i="4"/>
  <c r="G9894" i="4"/>
  <c r="F9894" i="4"/>
  <c r="E9895" i="4"/>
  <c r="F9895" i="4"/>
  <c r="G9895" i="4"/>
  <c r="E9896" i="4"/>
  <c r="F9896" i="4"/>
  <c r="E9897" i="4"/>
  <c r="G9897" i="4"/>
  <c r="F9897" i="4"/>
  <c r="E9898" i="4"/>
  <c r="F9898" i="4"/>
  <c r="G9898" i="4"/>
  <c r="E9899" i="4"/>
  <c r="G9899" i="4"/>
  <c r="F9899" i="4"/>
  <c r="E9900" i="4"/>
  <c r="F9900" i="4"/>
  <c r="E9901" i="4"/>
  <c r="G9901" i="4"/>
  <c r="E9902" i="4"/>
  <c r="F9902" i="4"/>
  <c r="E9903" i="4"/>
  <c r="F9903" i="4"/>
  <c r="G9903" i="4"/>
  <c r="E9904" i="4"/>
  <c r="F9904" i="4"/>
  <c r="E9905" i="4"/>
  <c r="G9905" i="4"/>
  <c r="E9906" i="4"/>
  <c r="F9906" i="4"/>
  <c r="G9906" i="4"/>
  <c r="E9907" i="4"/>
  <c r="F9907" i="4"/>
  <c r="E9908" i="4"/>
  <c r="F9908" i="4"/>
  <c r="E9909" i="4"/>
  <c r="G9909" i="4"/>
  <c r="E9910" i="4"/>
  <c r="G9910" i="4"/>
  <c r="F9910" i="4"/>
  <c r="E9911" i="4"/>
  <c r="F9911" i="4"/>
  <c r="G9911" i="4"/>
  <c r="E9912" i="4"/>
  <c r="F9912" i="4"/>
  <c r="E9913" i="4"/>
  <c r="G9913" i="4"/>
  <c r="F9913" i="4"/>
  <c r="E9914" i="4"/>
  <c r="F9914" i="4"/>
  <c r="G9914" i="4"/>
  <c r="E9915" i="4"/>
  <c r="G9915" i="4"/>
  <c r="F9915" i="4"/>
  <c r="E9916" i="4"/>
  <c r="F9916" i="4"/>
  <c r="E9917" i="4"/>
  <c r="G9917" i="4"/>
  <c r="E9918" i="4"/>
  <c r="F9918" i="4"/>
  <c r="E9919" i="4"/>
  <c r="F9919" i="4"/>
  <c r="G9919" i="4"/>
  <c r="E9920" i="4"/>
  <c r="F9920" i="4"/>
  <c r="E9921" i="4"/>
  <c r="G9921" i="4"/>
  <c r="E9922" i="4"/>
  <c r="F9922" i="4"/>
  <c r="G9922" i="4"/>
  <c r="E9923" i="4"/>
  <c r="F9923" i="4"/>
  <c r="E9924" i="4"/>
  <c r="F9924" i="4"/>
  <c r="E9925" i="4"/>
  <c r="G9925" i="4"/>
  <c r="E9926" i="4"/>
  <c r="G9926" i="4"/>
  <c r="F9926" i="4"/>
  <c r="E9927" i="4"/>
  <c r="F9927" i="4"/>
  <c r="G9927" i="4"/>
  <c r="E9928" i="4"/>
  <c r="F9928" i="4"/>
  <c r="E9929" i="4"/>
  <c r="G9929" i="4"/>
  <c r="F9929" i="4"/>
  <c r="E9930" i="4"/>
  <c r="F9930" i="4"/>
  <c r="G9930" i="4"/>
  <c r="E9931" i="4"/>
  <c r="G9931" i="4"/>
  <c r="F9931" i="4"/>
  <c r="E9932" i="4"/>
  <c r="F9932" i="4"/>
  <c r="E9933" i="4"/>
  <c r="G9933" i="4"/>
  <c r="E9934" i="4"/>
  <c r="F9934" i="4"/>
  <c r="E9935" i="4"/>
  <c r="F9935" i="4"/>
  <c r="G9935" i="4"/>
  <c r="E9936" i="4"/>
  <c r="F9936" i="4"/>
  <c r="E9937" i="4"/>
  <c r="G9937" i="4"/>
  <c r="E9938" i="4"/>
  <c r="F9938" i="4"/>
  <c r="G9938" i="4"/>
  <c r="E9939" i="4"/>
  <c r="F9939" i="4"/>
  <c r="E9940" i="4"/>
  <c r="F9940" i="4"/>
  <c r="E9941" i="4"/>
  <c r="G9941" i="4"/>
  <c r="E9942" i="4"/>
  <c r="G9942" i="4"/>
  <c r="F9942" i="4"/>
  <c r="E9943" i="4"/>
  <c r="F9943" i="4"/>
  <c r="G9943" i="4"/>
  <c r="E9944" i="4"/>
  <c r="F9944" i="4"/>
  <c r="E9945" i="4"/>
  <c r="G9945" i="4"/>
  <c r="F9945" i="4"/>
  <c r="E9946" i="4"/>
  <c r="F9946" i="4"/>
  <c r="G9946" i="4"/>
  <c r="E9947" i="4"/>
  <c r="G9947" i="4"/>
  <c r="F9947" i="4"/>
  <c r="E9948" i="4"/>
  <c r="F9948" i="4"/>
  <c r="E9949" i="4"/>
  <c r="G9949" i="4"/>
  <c r="E9950" i="4"/>
  <c r="F9950" i="4"/>
  <c r="E9951" i="4"/>
  <c r="F9951" i="4"/>
  <c r="G9951" i="4"/>
  <c r="E9952" i="4"/>
  <c r="F9952" i="4"/>
  <c r="E9953" i="4"/>
  <c r="G9953" i="4"/>
  <c r="E9954" i="4"/>
  <c r="F9954" i="4"/>
  <c r="G9954" i="4"/>
  <c r="E9955" i="4"/>
  <c r="F9955" i="4"/>
  <c r="E9956" i="4"/>
  <c r="F9956" i="4"/>
  <c r="E9957" i="4"/>
  <c r="G9957" i="4"/>
  <c r="E9958" i="4"/>
  <c r="G9958" i="4"/>
  <c r="F9958" i="4"/>
  <c r="E9959" i="4"/>
  <c r="F9959" i="4"/>
  <c r="G9959" i="4"/>
  <c r="E9960" i="4"/>
  <c r="F9960" i="4"/>
  <c r="E9961" i="4"/>
  <c r="G9961" i="4"/>
  <c r="F9961" i="4"/>
  <c r="E9962" i="4"/>
  <c r="F9962" i="4"/>
  <c r="G9962" i="4"/>
  <c r="E9963" i="4"/>
  <c r="G9963" i="4"/>
  <c r="F9963" i="4"/>
  <c r="E9964" i="4"/>
  <c r="F9964" i="4"/>
  <c r="E9965" i="4"/>
  <c r="G9965" i="4"/>
  <c r="E9966" i="4"/>
  <c r="F9966" i="4"/>
  <c r="E9967" i="4"/>
  <c r="F9967" i="4"/>
  <c r="G9967" i="4"/>
  <c r="E9968" i="4"/>
  <c r="F9968" i="4"/>
  <c r="E9969" i="4"/>
  <c r="G9969" i="4"/>
  <c r="E9970" i="4"/>
  <c r="F9970" i="4"/>
  <c r="G9970" i="4"/>
  <c r="E9971" i="4"/>
  <c r="F9971" i="4"/>
  <c r="E9972" i="4"/>
  <c r="F9972" i="4"/>
  <c r="E9973" i="4"/>
  <c r="G9973" i="4"/>
  <c r="E9974" i="4"/>
  <c r="G9974" i="4"/>
  <c r="F9974" i="4"/>
  <c r="E9975" i="4"/>
  <c r="F9975" i="4"/>
  <c r="G9975" i="4"/>
  <c r="E9976" i="4"/>
  <c r="F9976" i="4"/>
  <c r="E9977" i="4"/>
  <c r="G9977" i="4"/>
  <c r="F9977" i="4"/>
  <c r="E9978" i="4"/>
  <c r="F9978" i="4"/>
  <c r="G9978" i="4"/>
  <c r="E9979" i="4"/>
  <c r="G9979" i="4"/>
  <c r="F9979" i="4"/>
  <c r="E9980" i="4"/>
  <c r="F9980" i="4"/>
  <c r="E9981" i="4"/>
  <c r="G9981" i="4"/>
  <c r="E9982" i="4"/>
  <c r="F9982" i="4"/>
  <c r="E9983" i="4"/>
  <c r="F9983" i="4"/>
  <c r="G9983" i="4"/>
  <c r="E9984" i="4"/>
  <c r="F9984" i="4"/>
  <c r="E9985" i="4"/>
  <c r="G9985" i="4"/>
  <c r="E9986" i="4"/>
  <c r="F9986" i="4"/>
  <c r="G9986" i="4"/>
  <c r="E9987" i="4"/>
  <c r="F9987" i="4"/>
  <c r="E9988" i="4"/>
  <c r="F9988" i="4"/>
  <c r="E9989" i="4"/>
  <c r="G9989" i="4"/>
  <c r="E9990" i="4"/>
  <c r="G9990" i="4"/>
  <c r="F9990" i="4"/>
  <c r="E9991" i="4"/>
  <c r="F9991" i="4"/>
  <c r="G9991" i="4"/>
  <c r="E9992" i="4"/>
  <c r="F9992" i="4"/>
  <c r="E9993" i="4"/>
  <c r="G9993" i="4"/>
  <c r="F9993" i="4"/>
  <c r="E9994" i="4"/>
  <c r="F9994" i="4"/>
  <c r="G9994" i="4"/>
  <c r="E9995" i="4"/>
  <c r="G9995" i="4"/>
  <c r="F9995" i="4"/>
  <c r="E9996" i="4"/>
  <c r="F9996" i="4"/>
  <c r="E9997" i="4"/>
  <c r="G9997" i="4"/>
  <c r="E9998" i="4"/>
  <c r="F9998" i="4"/>
  <c r="E9999" i="4"/>
  <c r="F9999" i="4"/>
  <c r="G9999" i="4"/>
  <c r="F10000" i="4"/>
  <c r="G10000" i="4"/>
  <c r="F9109" i="4"/>
  <c r="G9109" i="4"/>
  <c r="F8918" i="4"/>
  <c r="G8918" i="4"/>
  <c r="F8884" i="4"/>
  <c r="G8884" i="4"/>
  <c r="F8809" i="4"/>
  <c r="G8809" i="4"/>
  <c r="F8662" i="4"/>
  <c r="G8662" i="4"/>
  <c r="G8125" i="4"/>
  <c r="F8125" i="4"/>
  <c r="F7993" i="4"/>
  <c r="G7993" i="4"/>
  <c r="F7414" i="4"/>
  <c r="G7414" i="4"/>
  <c r="F7344" i="4"/>
  <c r="G7344" i="4"/>
  <c r="G7235" i="4"/>
  <c r="F7235" i="4"/>
  <c r="F7085" i="4"/>
  <c r="G7085" i="4"/>
  <c r="G6763" i="4"/>
  <c r="F6763" i="4"/>
  <c r="F6576" i="4"/>
  <c r="G6576" i="4"/>
  <c r="F6470" i="4"/>
  <c r="G6470" i="4"/>
  <c r="F6348" i="4"/>
  <c r="G6348" i="4"/>
  <c r="F6316" i="4"/>
  <c r="G6316" i="4"/>
  <c r="G5949" i="4"/>
  <c r="F5949" i="4"/>
  <c r="F5648" i="4"/>
  <c r="G5648" i="4"/>
  <c r="F5203" i="4"/>
  <c r="G5203" i="4"/>
  <c r="G5060" i="4"/>
  <c r="F5060" i="4"/>
  <c r="G9376" i="4"/>
  <c r="G9335" i="4"/>
  <c r="G9217" i="4"/>
  <c r="F9182" i="4"/>
  <c r="G9182" i="4"/>
  <c r="F9160" i="4"/>
  <c r="G9160" i="4"/>
  <c r="G9131" i="4"/>
  <c r="G9108" i="4"/>
  <c r="F9037" i="4"/>
  <c r="G9037" i="4"/>
  <c r="F8993" i="4"/>
  <c r="G8993" i="4"/>
  <c r="G8965" i="4"/>
  <c r="F8908" i="4"/>
  <c r="G8908" i="4"/>
  <c r="G8883" i="4"/>
  <c r="F8883" i="4"/>
  <c r="G8740" i="4"/>
  <c r="F8740" i="4"/>
  <c r="F8148" i="4"/>
  <c r="G8148" i="4"/>
  <c r="F7749" i="4"/>
  <c r="G7749" i="4"/>
  <c r="F9989" i="4"/>
  <c r="F9973" i="4"/>
  <c r="F9957" i="4"/>
  <c r="F9941" i="4"/>
  <c r="F9925" i="4"/>
  <c r="F9909" i="4"/>
  <c r="F9893" i="4"/>
  <c r="F9877" i="4"/>
  <c r="F9861" i="4"/>
  <c r="F9845" i="4"/>
  <c r="F9829" i="4"/>
  <c r="F9813" i="4"/>
  <c r="F9797" i="4"/>
  <c r="F9781" i="4"/>
  <c r="F9765" i="4"/>
  <c r="F9749" i="4"/>
  <c r="F9733" i="4"/>
  <c r="F9717" i="4"/>
  <c r="F9701" i="4"/>
  <c r="F9685" i="4"/>
  <c r="F9669" i="4"/>
  <c r="F9653" i="4"/>
  <c r="F9637" i="4"/>
  <c r="F9621" i="4"/>
  <c r="F9605" i="4"/>
  <c r="F9589" i="4"/>
  <c r="F9573" i="4"/>
  <c r="F9557" i="4"/>
  <c r="F9541" i="4"/>
  <c r="F9525" i="4"/>
  <c r="F9509" i="4"/>
  <c r="F9493" i="4"/>
  <c r="F9477" i="4"/>
  <c r="F9461" i="4"/>
  <c r="F9445" i="4"/>
  <c r="F9431" i="4"/>
  <c r="G9424" i="4"/>
  <c r="G9417" i="4"/>
  <c r="G9341" i="4"/>
  <c r="F9280" i="4"/>
  <c r="F9253" i="4"/>
  <c r="G9232" i="4"/>
  <c r="F9224" i="4"/>
  <c r="G9209" i="4"/>
  <c r="F9181" i="4"/>
  <c r="G9181" i="4"/>
  <c r="G9159" i="4"/>
  <c r="G9152" i="4"/>
  <c r="G9115" i="4"/>
  <c r="F9100" i="4"/>
  <c r="G9100" i="4"/>
  <c r="G9036" i="4"/>
  <c r="F9036" i="4"/>
  <c r="G9028" i="4"/>
  <c r="F9028" i="4"/>
  <c r="G9020" i="4"/>
  <c r="F9020" i="4"/>
  <c r="G8992" i="4"/>
  <c r="F8992" i="4"/>
  <c r="F8976" i="4"/>
  <c r="G8976" i="4"/>
  <c r="G8916" i="4"/>
  <c r="F8899" i="4"/>
  <c r="G8899" i="4"/>
  <c r="F8882" i="4"/>
  <c r="G8882" i="4"/>
  <c r="G8783" i="4"/>
  <c r="F8783" i="4"/>
  <c r="F8294" i="4"/>
  <c r="G8294" i="4"/>
  <c r="F8156" i="4"/>
  <c r="G8156" i="4"/>
  <c r="F8966" i="4"/>
  <c r="G8966" i="4"/>
  <c r="G9327" i="4"/>
  <c r="F9061" i="4"/>
  <c r="G9061" i="4"/>
  <c r="G9019" i="4"/>
  <c r="F9019" i="4"/>
  <c r="G8983" i="4"/>
  <c r="F8983" i="4"/>
  <c r="G8975" i="4"/>
  <c r="F8975" i="4"/>
  <c r="F8964" i="4"/>
  <c r="G8964" i="4"/>
  <c r="F8931" i="4"/>
  <c r="G8931" i="4"/>
  <c r="F8874" i="4"/>
  <c r="G8874" i="4"/>
  <c r="F8824" i="4"/>
  <c r="G8824" i="4"/>
  <c r="F8645" i="4"/>
  <c r="G8645" i="4"/>
  <c r="F8589" i="4"/>
  <c r="G8589" i="4"/>
  <c r="G8419" i="4"/>
  <c r="F8419" i="4"/>
  <c r="F7764" i="4"/>
  <c r="G7764" i="4"/>
  <c r="G9197" i="4"/>
  <c r="F9197" i="4"/>
  <c r="F9038" i="4"/>
  <c r="G9038" i="4"/>
  <c r="F9437" i="4"/>
  <c r="G9437" i="4"/>
  <c r="G9403" i="4"/>
  <c r="F9444" i="4"/>
  <c r="G9444" i="4"/>
  <c r="G9436" i="4"/>
  <c r="G9430" i="4"/>
  <c r="F9423" i="4"/>
  <c r="G9416" i="4"/>
  <c r="F9340" i="4"/>
  <c r="F9231" i="4"/>
  <c r="G9151" i="4"/>
  <c r="F9151" i="4"/>
  <c r="F9098" i="4"/>
  <c r="G9098" i="4"/>
  <c r="G9082" i="4"/>
  <c r="G9074" i="4"/>
  <c r="F9060" i="4"/>
  <c r="G9052" i="4"/>
  <c r="F9018" i="4"/>
  <c r="G9018" i="4"/>
  <c r="F8982" i="4"/>
  <c r="G8982" i="4"/>
  <c r="G8963" i="4"/>
  <c r="F8963" i="4"/>
  <c r="G8947" i="4"/>
  <c r="F8930" i="4"/>
  <c r="G8930" i="4"/>
  <c r="F8915" i="4"/>
  <c r="F8873" i="4"/>
  <c r="G8873" i="4"/>
  <c r="F8774" i="4"/>
  <c r="G8774" i="4"/>
  <c r="F8342" i="4"/>
  <c r="G8342" i="4"/>
  <c r="F8254" i="4"/>
  <c r="G8254" i="4"/>
  <c r="F8217" i="4"/>
  <c r="G8217" i="4"/>
  <c r="F8163" i="4"/>
  <c r="G8163" i="4"/>
  <c r="F7781" i="4"/>
  <c r="G7781" i="4"/>
  <c r="F9218" i="4"/>
  <c r="G9218" i="4"/>
  <c r="G9998" i="4"/>
  <c r="G9971" i="4"/>
  <c r="G9966" i="4"/>
  <c r="G9939" i="4"/>
  <c r="G9934" i="4"/>
  <c r="G9907" i="4"/>
  <c r="G9902" i="4"/>
  <c r="G9875" i="4"/>
  <c r="G9870" i="4"/>
  <c r="G9843" i="4"/>
  <c r="G9838" i="4"/>
  <c r="G9811" i="4"/>
  <c r="G9806" i="4"/>
  <c r="G9795" i="4"/>
  <c r="G9790" i="4"/>
  <c r="G9763" i="4"/>
  <c r="G9758" i="4"/>
  <c r="G9731" i="4"/>
  <c r="G9726" i="4"/>
  <c r="G9699" i="4"/>
  <c r="G9694" i="4"/>
  <c r="F9272" i="4"/>
  <c r="G9272" i="4"/>
  <c r="F9150" i="4"/>
  <c r="G9150" i="4"/>
  <c r="G9097" i="4"/>
  <c r="F9097" i="4"/>
  <c r="F9017" i="4"/>
  <c r="G9017" i="4"/>
  <c r="F9008" i="4"/>
  <c r="G9008" i="4"/>
  <c r="F8872" i="4"/>
  <c r="G8872" i="4"/>
  <c r="F8864" i="4"/>
  <c r="G8864" i="4"/>
  <c r="F8846" i="4"/>
  <c r="G8846" i="4"/>
  <c r="F8627" i="4"/>
  <c r="G8627" i="4"/>
  <c r="F8564" i="4"/>
  <c r="G8564" i="4"/>
  <c r="G8532" i="4"/>
  <c r="F8532" i="4"/>
  <c r="F8426" i="4"/>
  <c r="G8426" i="4"/>
  <c r="G8063" i="4"/>
  <c r="F8063" i="4"/>
  <c r="F7842" i="4"/>
  <c r="G7842" i="4"/>
  <c r="F7835" i="4"/>
  <c r="G7835" i="4"/>
  <c r="F7803" i="4"/>
  <c r="G7803" i="4"/>
  <c r="G9987" i="4"/>
  <c r="G9982" i="4"/>
  <c r="G9955" i="4"/>
  <c r="G9950" i="4"/>
  <c r="G9923" i="4"/>
  <c r="G9918" i="4"/>
  <c r="G9891" i="4"/>
  <c r="G9886" i="4"/>
  <c r="G9859" i="4"/>
  <c r="G9854" i="4"/>
  <c r="G9827" i="4"/>
  <c r="G9822" i="4"/>
  <c r="G9779" i="4"/>
  <c r="G9774" i="4"/>
  <c r="G9747" i="4"/>
  <c r="G9742" i="4"/>
  <c r="G9715" i="4"/>
  <c r="G9710" i="4"/>
  <c r="G9683" i="4"/>
  <c r="G9415" i="4"/>
  <c r="G9402" i="4"/>
  <c r="F9284" i="4"/>
  <c r="G9278" i="4"/>
  <c r="F9271" i="4"/>
  <c r="G9201" i="4"/>
  <c r="F9193" i="4"/>
  <c r="G9149" i="4"/>
  <c r="F9089" i="4"/>
  <c r="G9081" i="4"/>
  <c r="F9081" i="4"/>
  <c r="G9059" i="4"/>
  <c r="F9059" i="4"/>
  <c r="F9051" i="4"/>
  <c r="G9051" i="4"/>
  <c r="G8980" i="4"/>
  <c r="G8961" i="4"/>
  <c r="G8954" i="4"/>
  <c r="G8863" i="4"/>
  <c r="F8863" i="4"/>
  <c r="F8722" i="4"/>
  <c r="G8722" i="4"/>
  <c r="G9434" i="4"/>
  <c r="G9421" i="4"/>
  <c r="F9312" i="4"/>
  <c r="G9312" i="4"/>
  <c r="F9135" i="4"/>
  <c r="G9135" i="4"/>
  <c r="F9058" i="4"/>
  <c r="G9058" i="4"/>
  <c r="F9050" i="4"/>
  <c r="G9050" i="4"/>
  <c r="F9015" i="4"/>
  <c r="G9015" i="4"/>
  <c r="F8998" i="4"/>
  <c r="G8998" i="4"/>
  <c r="G8945" i="4"/>
  <c r="F8945" i="4"/>
  <c r="G8267" i="4"/>
  <c r="F8267" i="4"/>
  <c r="F9997" i="4"/>
  <c r="F9981" i="4"/>
  <c r="F9965" i="4"/>
  <c r="F9949" i="4"/>
  <c r="F9933" i="4"/>
  <c r="F9917" i="4"/>
  <c r="F9901" i="4"/>
  <c r="F9885" i="4"/>
  <c r="F9869" i="4"/>
  <c r="F9853" i="4"/>
  <c r="F9837" i="4"/>
  <c r="F9821" i="4"/>
  <c r="F9805" i="4"/>
  <c r="F9789" i="4"/>
  <c r="F9773" i="4"/>
  <c r="F9757" i="4"/>
  <c r="F9741" i="4"/>
  <c r="F9725" i="4"/>
  <c r="F9709" i="4"/>
  <c r="F9693" i="4"/>
  <c r="F9677" i="4"/>
  <c r="F9661" i="4"/>
  <c r="F9645" i="4"/>
  <c r="F9629" i="4"/>
  <c r="F9613" i="4"/>
  <c r="F9597" i="4"/>
  <c r="F9581" i="4"/>
  <c r="F9565" i="4"/>
  <c r="F9549" i="4"/>
  <c r="F9533" i="4"/>
  <c r="F9517" i="4"/>
  <c r="F9501" i="4"/>
  <c r="F9485" i="4"/>
  <c r="F9469" i="4"/>
  <c r="F9453" i="4"/>
  <c r="G9427" i="4"/>
  <c r="G9414" i="4"/>
  <c r="G9401" i="4"/>
  <c r="G9360" i="4"/>
  <c r="F9360" i="4"/>
  <c r="G9332" i="4"/>
  <c r="G9325" i="4"/>
  <c r="F9303" i="4"/>
  <c r="F9289" i="4"/>
  <c r="F9277" i="4"/>
  <c r="G9264" i="4"/>
  <c r="F9250" i="4"/>
  <c r="G9250" i="4"/>
  <c r="G9235" i="4"/>
  <c r="G9229" i="4"/>
  <c r="F9200" i="4"/>
  <c r="G9192" i="4"/>
  <c r="G9156" i="4"/>
  <c r="G9148" i="4"/>
  <c r="F9148" i="4"/>
  <c r="G9141" i="4"/>
  <c r="F9134" i="4"/>
  <c r="G9134" i="4"/>
  <c r="G9112" i="4"/>
  <c r="G9088" i="4"/>
  <c r="F9088" i="4"/>
  <c r="G9072" i="4"/>
  <c r="G9066" i="4"/>
  <c r="G9057" i="4"/>
  <c r="F9049" i="4"/>
  <c r="G9049" i="4"/>
  <c r="G9041" i="4"/>
  <c r="G9032" i="4"/>
  <c r="G9023" i="4"/>
  <c r="F8936" i="4"/>
  <c r="G8936" i="4"/>
  <c r="G8861" i="4"/>
  <c r="G8828" i="4"/>
  <c r="F8828" i="4"/>
  <c r="F8476" i="4"/>
  <c r="G8476" i="4"/>
  <c r="G8087" i="4"/>
  <c r="F8087" i="4"/>
  <c r="F9170" i="4"/>
  <c r="G9170" i="4"/>
  <c r="G9119" i="4"/>
  <c r="F9119" i="4"/>
  <c r="G9079" i="4"/>
  <c r="F9079" i="4"/>
  <c r="F8987" i="4"/>
  <c r="G8987" i="4"/>
  <c r="G8912" i="4"/>
  <c r="F8912" i="4"/>
  <c r="F8902" i="4"/>
  <c r="G8902" i="4"/>
  <c r="G8835" i="4"/>
  <c r="F8835" i="4"/>
  <c r="F8728" i="4"/>
  <c r="G8728" i="4"/>
  <c r="F8405" i="4"/>
  <c r="G8405" i="4"/>
  <c r="F8102" i="4"/>
  <c r="G8102" i="4"/>
  <c r="F7895" i="4"/>
  <c r="G7895" i="4"/>
  <c r="F9439" i="4"/>
  <c r="G9433" i="4"/>
  <c r="F9426" i="4"/>
  <c r="F9349" i="4"/>
  <c r="G9336" i="4"/>
  <c r="F9331" i="4"/>
  <c r="G9324" i="4"/>
  <c r="G9302" i="4"/>
  <c r="F9263" i="4"/>
  <c r="G9263" i="4"/>
  <c r="G9255" i="4"/>
  <c r="G9205" i="4"/>
  <c r="F9191" i="4"/>
  <c r="F9169" i="4"/>
  <c r="G9161" i="4"/>
  <c r="G9155" i="4"/>
  <c r="F9118" i="4"/>
  <c r="G9118" i="4"/>
  <c r="G9111" i="4"/>
  <c r="F9111" i="4"/>
  <c r="G9086" i="4"/>
  <c r="F9078" i="4"/>
  <c r="G9078" i="4"/>
  <c r="G9071" i="4"/>
  <c r="G9065" i="4"/>
  <c r="F9065" i="4"/>
  <c r="G9056" i="4"/>
  <c r="F9056" i="4"/>
  <c r="F9040" i="4"/>
  <c r="G9040" i="4"/>
  <c r="F9031" i="4"/>
  <c r="G9031" i="4"/>
  <c r="F8996" i="4"/>
  <c r="G8996" i="4"/>
  <c r="F8986" i="4"/>
  <c r="G8986" i="4"/>
  <c r="F8968" i="4"/>
  <c r="G8968" i="4"/>
  <c r="F8952" i="4"/>
  <c r="G8952" i="4"/>
  <c r="G8943" i="4"/>
  <c r="G8911" i="4"/>
  <c r="F8911" i="4"/>
  <c r="F8901" i="4"/>
  <c r="F8894" i="4"/>
  <c r="G8894" i="4"/>
  <c r="G8877" i="4"/>
  <c r="F8877" i="4"/>
  <c r="F8843" i="4"/>
  <c r="G8843" i="4"/>
  <c r="F8834" i="4"/>
  <c r="G8834" i="4"/>
  <c r="F8685" i="4"/>
  <c r="G8685" i="4"/>
  <c r="G8232" i="4"/>
  <c r="F8232" i="4"/>
  <c r="F8110" i="4"/>
  <c r="G8110" i="4"/>
  <c r="F9985" i="4"/>
  <c r="F9969" i="4"/>
  <c r="F9953" i="4"/>
  <c r="F9937" i="4"/>
  <c r="F9921" i="4"/>
  <c r="F9905" i="4"/>
  <c r="F9889" i="4"/>
  <c r="F9873" i="4"/>
  <c r="F9857" i="4"/>
  <c r="F9841" i="4"/>
  <c r="F9825" i="4"/>
  <c r="F9809" i="4"/>
  <c r="F9793" i="4"/>
  <c r="F9777" i="4"/>
  <c r="F9761" i="4"/>
  <c r="F9745" i="4"/>
  <c r="F9729" i="4"/>
  <c r="F9713" i="4"/>
  <c r="F9697" i="4"/>
  <c r="F9681" i="4"/>
  <c r="F9665" i="4"/>
  <c r="F9649" i="4"/>
  <c r="F9633" i="4"/>
  <c r="F9617" i="4"/>
  <c r="F9601" i="4"/>
  <c r="F9585" i="4"/>
  <c r="F9569" i="4"/>
  <c r="F9553" i="4"/>
  <c r="F9537" i="4"/>
  <c r="F9521" i="4"/>
  <c r="F9505" i="4"/>
  <c r="F9489" i="4"/>
  <c r="F9473" i="4"/>
  <c r="F9457" i="4"/>
  <c r="F9405" i="4"/>
  <c r="G9393" i="4"/>
  <c r="G9372" i="4"/>
  <c r="G9364" i="4"/>
  <c r="G9309" i="4"/>
  <c r="F9241" i="4"/>
  <c r="F9219" i="4"/>
  <c r="G9219" i="4"/>
  <c r="G9211" i="4"/>
  <c r="F9211" i="4"/>
  <c r="G9183" i="4"/>
  <c r="G9117" i="4"/>
  <c r="F9110" i="4"/>
  <c r="G9110" i="4"/>
  <c r="F9077" i="4"/>
  <c r="G9077" i="4"/>
  <c r="F9064" i="4"/>
  <c r="G9064" i="4"/>
  <c r="G9055" i="4"/>
  <c r="F9055" i="4"/>
  <c r="F8967" i="4"/>
  <c r="G8967" i="4"/>
  <c r="G8876" i="4"/>
  <c r="F8876" i="4"/>
  <c r="F8833" i="4"/>
  <c r="G8833" i="4"/>
  <c r="F8786" i="4"/>
  <c r="G8786" i="4"/>
  <c r="F8376" i="4"/>
  <c r="G8376" i="4"/>
  <c r="G8281" i="4"/>
  <c r="F8281" i="4"/>
  <c r="G7973" i="4"/>
  <c r="F7973" i="4"/>
  <c r="F7947" i="4"/>
  <c r="G7947" i="4"/>
  <c r="F7922" i="4"/>
  <c r="G7922" i="4"/>
  <c r="G9014" i="4"/>
  <c r="G9001" i="4"/>
  <c r="G8990" i="4"/>
  <c r="G8978" i="4"/>
  <c r="G8971" i="4"/>
  <c r="G8862" i="4"/>
  <c r="G8823" i="4"/>
  <c r="F8816" i="4"/>
  <c r="G8785" i="4"/>
  <c r="G8773" i="4"/>
  <c r="G8753" i="4"/>
  <c r="G8739" i="4"/>
  <c r="G8727" i="4"/>
  <c r="G8721" i="4"/>
  <c r="G8696" i="4"/>
  <c r="G8689" i="4"/>
  <c r="F8684" i="4"/>
  <c r="G8661" i="4"/>
  <c r="F8644" i="4"/>
  <c r="G8644" i="4"/>
  <c r="G8638" i="4"/>
  <c r="G8632" i="4"/>
  <c r="G8626" i="4"/>
  <c r="G8593" i="4"/>
  <c r="F8588" i="4"/>
  <c r="G8581" i="4"/>
  <c r="F8563" i="4"/>
  <c r="G8511" i="4"/>
  <c r="G8489" i="4"/>
  <c r="G8475" i="4"/>
  <c r="G8469" i="4"/>
  <c r="G8425" i="4"/>
  <c r="G8418" i="4"/>
  <c r="G8375" i="4"/>
  <c r="G8253" i="4"/>
  <c r="G8231" i="4"/>
  <c r="G8168" i="4"/>
  <c r="G8162" i="4"/>
  <c r="G8139" i="4"/>
  <c r="F8124" i="4"/>
  <c r="G8109" i="4"/>
  <c r="F8109" i="4"/>
  <c r="G8101" i="4"/>
  <c r="F8101" i="4"/>
  <c r="G8079" i="4"/>
  <c r="G8045" i="4"/>
  <c r="F8037" i="4"/>
  <c r="G8037" i="4"/>
  <c r="G8020" i="4"/>
  <c r="F7972" i="4"/>
  <c r="G7972" i="4"/>
  <c r="F7946" i="4"/>
  <c r="G7946" i="4"/>
  <c r="G7921" i="4"/>
  <c r="F7921" i="4"/>
  <c r="F7858" i="4"/>
  <c r="G7858" i="4"/>
  <c r="F7834" i="4"/>
  <c r="G7834" i="4"/>
  <c r="G7780" i="4"/>
  <c r="F7695" i="4"/>
  <c r="G7695" i="4"/>
  <c r="G7179" i="4"/>
  <c r="F7179" i="4"/>
  <c r="G7148" i="4"/>
  <c r="F7148" i="4"/>
  <c r="F6890" i="4"/>
  <c r="G6890" i="4"/>
  <c r="F6793" i="4"/>
  <c r="G6793" i="4"/>
  <c r="G6785" i="4"/>
  <c r="F6785" i="4"/>
  <c r="G8810" i="4"/>
  <c r="G8778" i="4"/>
  <c r="G8715" i="4"/>
  <c r="F8709" i="4"/>
  <c r="G8702" i="4"/>
  <c r="F8649" i="4"/>
  <c r="G8643" i="4"/>
  <c r="F8605" i="4"/>
  <c r="G8576" i="4"/>
  <c r="F8547" i="4"/>
  <c r="G8542" i="4"/>
  <c r="G8505" i="4"/>
  <c r="F8500" i="4"/>
  <c r="G8494" i="4"/>
  <c r="F8481" i="4"/>
  <c r="G8462" i="4"/>
  <c r="F8456" i="4"/>
  <c r="F8443" i="4"/>
  <c r="G8395" i="4"/>
  <c r="G8389" i="4"/>
  <c r="F8333" i="4"/>
  <c r="G8333" i="4"/>
  <c r="G8272" i="4"/>
  <c r="F8272" i="4"/>
  <c r="F8194" i="4"/>
  <c r="G8194" i="4"/>
  <c r="G7911" i="4"/>
  <c r="F7911" i="4"/>
  <c r="G7901" i="4"/>
  <c r="F7901" i="4"/>
  <c r="F7883" i="4"/>
  <c r="G7883" i="4"/>
  <c r="G7811" i="4"/>
  <c r="F7811" i="4"/>
  <c r="F7796" i="4"/>
  <c r="G7796" i="4"/>
  <c r="F7684" i="4"/>
  <c r="G7684" i="4"/>
  <c r="F7675" i="4"/>
  <c r="G7675" i="4"/>
  <c r="F7438" i="4"/>
  <c r="G7438" i="4"/>
  <c r="G7300" i="4"/>
  <c r="F7300" i="4"/>
  <c r="F6809" i="4"/>
  <c r="G6809" i="4"/>
  <c r="G6675" i="4"/>
  <c r="F6675" i="4"/>
  <c r="G8772" i="4"/>
  <c r="G8744" i="4"/>
  <c r="F8683" i="4"/>
  <c r="G8683" i="4"/>
  <c r="G8675" i="4"/>
  <c r="G8660" i="4"/>
  <c r="G8625" i="4"/>
  <c r="G8552" i="4"/>
  <c r="G8519" i="4"/>
  <c r="F8519" i="4"/>
  <c r="G8488" i="4"/>
  <c r="G8436" i="4"/>
  <c r="G8223" i="4"/>
  <c r="F8153" i="4"/>
  <c r="G8153" i="4"/>
  <c r="G8123" i="4"/>
  <c r="F8123" i="4"/>
  <c r="F8107" i="4"/>
  <c r="G8107" i="4"/>
  <c r="F8008" i="4"/>
  <c r="G8008" i="4"/>
  <c r="F7919" i="4"/>
  <c r="G7919" i="4"/>
  <c r="F7832" i="4"/>
  <c r="G7832" i="4"/>
  <c r="G7795" i="4"/>
  <c r="F7795" i="4"/>
  <c r="F7730" i="4"/>
  <c r="G7730" i="4"/>
  <c r="F7656" i="4"/>
  <c r="G7656" i="4"/>
  <c r="F7648" i="4"/>
  <c r="G7648" i="4"/>
  <c r="F7421" i="4"/>
  <c r="G7421" i="4"/>
  <c r="F7017" i="4"/>
  <c r="G7017" i="4"/>
  <c r="G6681" i="4"/>
  <c r="F6681" i="4"/>
  <c r="F8764" i="4"/>
  <c r="G8752" i="4"/>
  <c r="G8720" i="4"/>
  <c r="G8708" i="4"/>
  <c r="G8688" i="4"/>
  <c r="F8688" i="4"/>
  <c r="G8682" i="4"/>
  <c r="G8575" i="4"/>
  <c r="F8499" i="4"/>
  <c r="F8480" i="4"/>
  <c r="G8474" i="4"/>
  <c r="G8468" i="4"/>
  <c r="F8429" i="4"/>
  <c r="F8416" i="4"/>
  <c r="F8401" i="4"/>
  <c r="G8379" i="4"/>
  <c r="G8373" i="4"/>
  <c r="F8373" i="4"/>
  <c r="F8324" i="4"/>
  <c r="F8317" i="4"/>
  <c r="F8299" i="4"/>
  <c r="F8277" i="4"/>
  <c r="F8264" i="4"/>
  <c r="G8264" i="4"/>
  <c r="G8258" i="4"/>
  <c r="F8200" i="4"/>
  <c r="F8173" i="4"/>
  <c r="G8152" i="4"/>
  <c r="F8145" i="4"/>
  <c r="G8145" i="4"/>
  <c r="G8068" i="4"/>
  <c r="G8059" i="4"/>
  <c r="G8052" i="4"/>
  <c r="F8035" i="4"/>
  <c r="G8035" i="4"/>
  <c r="G7989" i="4"/>
  <c r="F7989" i="4"/>
  <c r="F7909" i="4"/>
  <c r="G7909" i="4"/>
  <c r="G7881" i="4"/>
  <c r="F7873" i="4"/>
  <c r="F7848" i="4"/>
  <c r="F7778" i="4"/>
  <c r="G7778" i="4"/>
  <c r="F7761" i="4"/>
  <c r="F7729" i="4"/>
  <c r="F7392" i="4"/>
  <c r="G7392" i="4"/>
  <c r="G6984" i="4"/>
  <c r="F6984" i="4"/>
  <c r="G6690" i="4"/>
  <c r="F6690" i="4"/>
  <c r="F8121" i="4"/>
  <c r="G8121" i="4"/>
  <c r="F8076" i="4"/>
  <c r="G8076" i="4"/>
  <c r="F8027" i="4"/>
  <c r="G8027" i="4"/>
  <c r="F7979" i="4"/>
  <c r="G7979" i="4"/>
  <c r="F7969" i="4"/>
  <c r="G7969" i="4"/>
  <c r="G7917" i="4"/>
  <c r="F7917" i="4"/>
  <c r="F7864" i="4"/>
  <c r="G7864" i="4"/>
  <c r="F7777" i="4"/>
  <c r="G7777" i="4"/>
  <c r="F7721" i="4"/>
  <c r="G7721" i="4"/>
  <c r="F7714" i="4"/>
  <c r="G7714" i="4"/>
  <c r="G7691" i="4"/>
  <c r="F7691" i="4"/>
  <c r="G7672" i="4"/>
  <c r="F7672" i="4"/>
  <c r="F7332" i="4"/>
  <c r="G7332" i="4"/>
  <c r="F7248" i="4"/>
  <c r="G7248" i="4"/>
  <c r="F7154" i="4"/>
  <c r="G7154" i="4"/>
  <c r="G6913" i="4"/>
  <c r="F6913" i="4"/>
  <c r="G6839" i="4"/>
  <c r="F6839" i="4"/>
  <c r="G8871" i="4"/>
  <c r="F8820" i="4"/>
  <c r="G8782" i="4"/>
  <c r="G8763" i="4"/>
  <c r="G8719" i="4"/>
  <c r="F8719" i="4"/>
  <c r="G8707" i="4"/>
  <c r="G8693" i="4"/>
  <c r="G8681" i="4"/>
  <c r="G8659" i="4"/>
  <c r="G8629" i="4"/>
  <c r="G8624" i="4"/>
  <c r="G8574" i="4"/>
  <c r="G8551" i="4"/>
  <c r="F8551" i="4"/>
  <c r="G8540" i="4"/>
  <c r="F8473" i="4"/>
  <c r="F8467" i="4"/>
  <c r="F8435" i="4"/>
  <c r="G8400" i="4"/>
  <c r="F8400" i="4"/>
  <c r="G8386" i="4"/>
  <c r="G8323" i="4"/>
  <c r="F8316" i="4"/>
  <c r="F8276" i="4"/>
  <c r="G8276" i="4"/>
  <c r="G8257" i="4"/>
  <c r="F8222" i="4"/>
  <c r="G8222" i="4"/>
  <c r="F8199" i="4"/>
  <c r="G8172" i="4"/>
  <c r="F8165" i="4"/>
  <c r="F8151" i="4"/>
  <c r="G8151" i="4"/>
  <c r="F8082" i="4"/>
  <c r="G8082" i="4"/>
  <c r="G8075" i="4"/>
  <c r="F8026" i="4"/>
  <c r="G8026" i="4"/>
  <c r="F8006" i="4"/>
  <c r="G8006" i="4"/>
  <c r="F7907" i="4"/>
  <c r="F7863" i="4"/>
  <c r="F7521" i="4"/>
  <c r="G7521" i="4"/>
  <c r="G7443" i="4"/>
  <c r="F7443" i="4"/>
  <c r="F7428" i="4"/>
  <c r="G7428" i="4"/>
  <c r="F7401" i="4"/>
  <c r="G7401" i="4"/>
  <c r="F7372" i="4"/>
  <c r="G7372" i="4"/>
  <c r="G7099" i="4"/>
  <c r="F7099" i="4"/>
  <c r="G8807" i="4"/>
  <c r="G8699" i="4"/>
  <c r="G8673" i="4"/>
  <c r="G8609" i="4"/>
  <c r="G8497" i="4"/>
  <c r="F8408" i="4"/>
  <c r="G8408" i="4"/>
  <c r="G8291" i="4"/>
  <c r="F8291" i="4"/>
  <c r="F8097" i="4"/>
  <c r="G8097" i="4"/>
  <c r="F8042" i="4"/>
  <c r="G8042" i="4"/>
  <c r="F8005" i="4"/>
  <c r="G8005" i="4"/>
  <c r="F7889" i="4"/>
  <c r="G7889" i="4"/>
  <c r="F7644" i="4"/>
  <c r="G7644" i="4"/>
  <c r="F7621" i="4"/>
  <c r="G7621" i="4"/>
  <c r="F7541" i="4"/>
  <c r="G7541" i="4"/>
  <c r="F7228" i="4"/>
  <c r="G7228" i="4"/>
  <c r="F7196" i="4"/>
  <c r="G7196" i="4"/>
  <c r="G7134" i="4"/>
  <c r="F7134" i="4"/>
  <c r="G7073" i="4"/>
  <c r="F7073" i="4"/>
  <c r="F6713" i="4"/>
  <c r="G6713" i="4"/>
  <c r="G8870" i="4"/>
  <c r="F8851" i="4"/>
  <c r="G8819" i="4"/>
  <c r="G8801" i="4"/>
  <c r="G8781" i="4"/>
  <c r="G8762" i="4"/>
  <c r="G8730" i="4"/>
  <c r="G8692" i="4"/>
  <c r="G8686" i="4"/>
  <c r="G8663" i="4"/>
  <c r="F8640" i="4"/>
  <c r="G8628" i="4"/>
  <c r="G8539" i="4"/>
  <c r="G8527" i="4"/>
  <c r="G8485" i="4"/>
  <c r="G8472" i="4"/>
  <c r="G8466" i="4"/>
  <c r="F8459" i="4"/>
  <c r="G8447" i="4"/>
  <c r="G8434" i="4"/>
  <c r="G8414" i="4"/>
  <c r="G8385" i="4"/>
  <c r="G8322" i="4"/>
  <c r="F8296" i="4"/>
  <c r="F8256" i="4"/>
  <c r="G8226" i="4"/>
  <c r="F8024" i="4"/>
  <c r="G8024" i="4"/>
  <c r="F7906" i="4"/>
  <c r="G7906" i="4"/>
  <c r="F7897" i="4"/>
  <c r="G7897" i="4"/>
  <c r="G7888" i="4"/>
  <c r="F7888" i="4"/>
  <c r="F7879" i="4"/>
  <c r="G7879" i="4"/>
  <c r="F7862" i="4"/>
  <c r="G7862" i="4"/>
  <c r="F7752" i="4"/>
  <c r="G7752" i="4"/>
  <c r="F7711" i="4"/>
  <c r="G7711" i="4"/>
  <c r="F7643" i="4"/>
  <c r="G7643" i="4"/>
  <c r="F7593" i="4"/>
  <c r="G7593" i="4"/>
  <c r="F8858" i="4"/>
  <c r="G8858" i="4"/>
  <c r="G8830" i="4"/>
  <c r="G8825" i="4"/>
  <c r="G8787" i="4"/>
  <c r="G8756" i="4"/>
  <c r="F8749" i="4"/>
  <c r="F8723" i="4"/>
  <c r="G8646" i="4"/>
  <c r="G8634" i="4"/>
  <c r="F8602" i="4"/>
  <c r="G8602" i="4"/>
  <c r="F8303" i="4"/>
  <c r="G8303" i="4"/>
  <c r="F8289" i="4"/>
  <c r="G8289" i="4"/>
  <c r="G8177" i="4"/>
  <c r="F8177" i="4"/>
  <c r="G8049" i="4"/>
  <c r="F8049" i="4"/>
  <c r="F7995" i="4"/>
  <c r="F7985" i="4"/>
  <c r="G7985" i="4"/>
  <c r="F7975" i="4"/>
  <c r="G7975" i="4"/>
  <c r="F7924" i="4"/>
  <c r="G7924" i="4"/>
  <c r="F7861" i="4"/>
  <c r="G7861" i="4"/>
  <c r="F7751" i="4"/>
  <c r="G7751" i="4"/>
  <c r="G7680" i="4"/>
  <c r="F7680" i="4"/>
  <c r="F7468" i="4"/>
  <c r="G7468" i="4"/>
  <c r="F8608" i="4"/>
  <c r="G8608" i="4"/>
  <c r="G8141" i="4"/>
  <c r="F8141" i="4"/>
  <c r="F8095" i="4"/>
  <c r="G8095" i="4"/>
  <c r="F8065" i="4"/>
  <c r="G8065" i="4"/>
  <c r="F8022" i="4"/>
  <c r="G8022" i="4"/>
  <c r="F8013" i="4"/>
  <c r="G8013" i="4"/>
  <c r="F7886" i="4"/>
  <c r="G7886" i="4"/>
  <c r="F7877" i="4"/>
  <c r="G7877" i="4"/>
  <c r="G7844" i="4"/>
  <c r="F7844" i="4"/>
  <c r="F7626" i="4"/>
  <c r="G7626" i="4"/>
  <c r="F7580" i="4"/>
  <c r="G7580" i="4"/>
  <c r="F7547" i="4"/>
  <c r="G7547" i="4"/>
  <c r="F7528" i="4"/>
  <c r="G7528" i="4"/>
  <c r="F6741" i="4"/>
  <c r="G6741" i="4"/>
  <c r="F8621" i="4"/>
  <c r="G8621" i="4"/>
  <c r="F8438" i="4"/>
  <c r="G8438" i="4"/>
  <c r="F8314" i="4"/>
  <c r="G8314" i="4"/>
  <c r="F8126" i="4"/>
  <c r="G8126" i="4"/>
  <c r="F8012" i="4"/>
  <c r="G8012" i="4"/>
  <c r="F7964" i="4"/>
  <c r="G7964" i="4"/>
  <c r="F7876" i="4"/>
  <c r="G7876" i="4"/>
  <c r="F7703" i="4"/>
  <c r="G7703" i="4"/>
  <c r="G7450" i="4"/>
  <c r="F7450" i="4"/>
  <c r="F7254" i="4"/>
  <c r="G7254" i="4"/>
  <c r="F4584" i="4"/>
  <c r="G4584" i="4"/>
  <c r="F4494" i="4"/>
  <c r="G4494" i="4"/>
  <c r="G4317" i="4"/>
  <c r="F4317" i="4"/>
  <c r="G7637" i="4"/>
  <c r="G7592" i="4"/>
  <c r="G7579" i="4"/>
  <c r="G7552" i="4"/>
  <c r="G7540" i="4"/>
  <c r="G7480" i="4"/>
  <c r="G7467" i="4"/>
  <c r="G7449" i="4"/>
  <c r="G7437" i="4"/>
  <c r="G7343" i="4"/>
  <c r="F7343" i="4"/>
  <c r="G7337" i="4"/>
  <c r="G7292" i="4"/>
  <c r="G7286" i="4"/>
  <c r="G7258" i="4"/>
  <c r="G7253" i="4"/>
  <c r="G7240" i="4"/>
  <c r="G7133" i="4"/>
  <c r="G7120" i="4"/>
  <c r="G6983" i="4"/>
  <c r="F6983" i="4"/>
  <c r="F6784" i="4"/>
  <c r="G6784" i="4"/>
  <c r="G6771" i="4"/>
  <c r="F6771" i="4"/>
  <c r="F6762" i="4"/>
  <c r="G6762" i="4"/>
  <c r="G6689" i="4"/>
  <c r="F6689" i="4"/>
  <c r="F6205" i="4"/>
  <c r="G6205" i="4"/>
  <c r="F6105" i="4"/>
  <c r="G6105" i="4"/>
  <c r="F6050" i="4"/>
  <c r="G6050" i="4"/>
  <c r="G7612" i="4"/>
  <c r="G7586" i="4"/>
  <c r="F7506" i="4"/>
  <c r="G7506" i="4"/>
  <c r="G7498" i="4"/>
  <c r="F7485" i="4"/>
  <c r="G7353" i="4"/>
  <c r="G7348" i="4"/>
  <c r="F7348" i="4"/>
  <c r="F7275" i="4"/>
  <c r="F7233" i="4"/>
  <c r="G7226" i="4"/>
  <c r="F7159" i="4"/>
  <c r="F7146" i="4"/>
  <c r="F7090" i="4"/>
  <c r="F7051" i="4"/>
  <c r="G7037" i="4"/>
  <c r="F7002" i="4"/>
  <c r="G7002" i="4"/>
  <c r="F6995" i="4"/>
  <c r="G6954" i="4"/>
  <c r="G6945" i="4"/>
  <c r="F6945" i="4"/>
  <c r="G6904" i="4"/>
  <c r="F6888" i="4"/>
  <c r="F6845" i="4"/>
  <c r="G6822" i="4"/>
  <c r="F6711" i="4"/>
  <c r="G6711" i="4"/>
  <c r="G6597" i="4"/>
  <c r="F6597" i="4"/>
  <c r="F6584" i="4"/>
  <c r="G6584" i="4"/>
  <c r="F6355" i="4"/>
  <c r="G6355" i="4"/>
  <c r="F6149" i="4"/>
  <c r="G6149" i="4"/>
  <c r="F6123" i="4"/>
  <c r="G6123" i="4"/>
  <c r="F5964" i="4"/>
  <c r="G5964" i="4"/>
  <c r="F7519" i="4"/>
  <c r="G7519" i="4"/>
  <c r="G7219" i="4"/>
  <c r="F7219" i="4"/>
  <c r="G6861" i="4"/>
  <c r="F6861" i="4"/>
  <c r="F6323" i="4"/>
  <c r="G6323" i="4"/>
  <c r="G6271" i="4"/>
  <c r="F6271" i="4"/>
  <c r="F8029" i="4"/>
  <c r="F8003" i="4"/>
  <c r="F7968" i="4"/>
  <c r="G7962" i="4"/>
  <c r="G7949" i="4"/>
  <c r="G7938" i="4"/>
  <c r="G7930" i="4"/>
  <c r="F7891" i="4"/>
  <c r="G7831" i="4"/>
  <c r="F7824" i="4"/>
  <c r="G7785" i="4"/>
  <c r="G7779" i="4"/>
  <c r="G7765" i="4"/>
  <c r="G7739" i="4"/>
  <c r="G7733" i="4"/>
  <c r="F7727" i="4"/>
  <c r="G7720" i="4"/>
  <c r="G7690" i="4"/>
  <c r="G7683" i="4"/>
  <c r="F7655" i="4"/>
  <c r="G7636" i="4"/>
  <c r="G7618" i="4"/>
  <c r="G7611" i="4"/>
  <c r="F7597" i="4"/>
  <c r="G7585" i="4"/>
  <c r="F7539" i="4"/>
  <c r="G7531" i="4"/>
  <c r="G7525" i="4"/>
  <c r="G7484" i="4"/>
  <c r="G7479" i="4"/>
  <c r="F7472" i="4"/>
  <c r="G7436" i="4"/>
  <c r="G7430" i="4"/>
  <c r="G7404" i="4"/>
  <c r="G7382" i="4"/>
  <c r="F7376" i="4"/>
  <c r="F7358" i="4"/>
  <c r="G7352" i="4"/>
  <c r="G7336" i="4"/>
  <c r="G7329" i="4"/>
  <c r="F7316" i="4"/>
  <c r="G7285" i="4"/>
  <c r="G7274" i="4"/>
  <c r="G7257" i="4"/>
  <c r="F7252" i="4"/>
  <c r="F7225" i="4"/>
  <c r="G7206" i="4"/>
  <c r="F7187" i="4"/>
  <c r="G7145" i="4"/>
  <c r="F7119" i="4"/>
  <c r="F7111" i="4"/>
  <c r="G7020" i="4"/>
  <c r="G7014" i="4"/>
  <c r="F6994" i="4"/>
  <c r="G6918" i="4"/>
  <c r="F6918" i="4"/>
  <c r="G6860" i="4"/>
  <c r="F6852" i="4"/>
  <c r="G6844" i="4"/>
  <c r="G6821" i="4"/>
  <c r="G6782" i="4"/>
  <c r="F6782" i="4"/>
  <c r="G6709" i="4"/>
  <c r="G6687" i="4"/>
  <c r="F6687" i="4"/>
  <c r="F6672" i="4"/>
  <c r="G6672" i="4"/>
  <c r="F6582" i="4"/>
  <c r="G6582" i="4"/>
  <c r="F6564" i="4"/>
  <c r="G6564" i="4"/>
  <c r="F6500" i="4"/>
  <c r="G6500" i="4"/>
  <c r="F6409" i="4"/>
  <c r="G6409" i="4"/>
  <c r="G6298" i="4"/>
  <c r="F6298" i="4"/>
  <c r="G5747" i="4"/>
  <c r="F5747" i="4"/>
  <c r="G7792" i="4"/>
  <c r="G7746" i="4"/>
  <c r="G7641" i="4"/>
  <c r="G7563" i="4"/>
  <c r="F7544" i="4"/>
  <c r="G7517" i="4"/>
  <c r="G7504" i="4"/>
  <c r="G7496" i="4"/>
  <c r="G7465" i="4"/>
  <c r="G7453" i="4"/>
  <c r="F7447" i="4"/>
  <c r="F7417" i="4"/>
  <c r="F7411" i="4"/>
  <c r="G7389" i="4"/>
  <c r="F7369" i="4"/>
  <c r="G7364" i="4"/>
  <c r="G7346" i="4"/>
  <c r="G7304" i="4"/>
  <c r="G7297" i="4"/>
  <c r="G7290" i="4"/>
  <c r="F7279" i="4"/>
  <c r="F7238" i="4"/>
  <c r="F7231" i="4"/>
  <c r="F7217" i="4"/>
  <c r="F7182" i="4"/>
  <c r="F7176" i="4"/>
  <c r="G7170" i="4"/>
  <c r="G7157" i="4"/>
  <c r="F7151" i="4"/>
  <c r="G7088" i="4"/>
  <c r="F7082" i="4"/>
  <c r="G7082" i="4"/>
  <c r="G7076" i="4"/>
  <c r="G7069" i="4"/>
  <c r="F7063" i="4"/>
  <c r="G7043" i="4"/>
  <c r="F7043" i="4"/>
  <c r="G6981" i="4"/>
  <c r="F6952" i="4"/>
  <c r="F6933" i="4"/>
  <c r="G6933" i="4"/>
  <c r="G6881" i="4"/>
  <c r="F6881" i="4"/>
  <c r="F6874" i="4"/>
  <c r="F6781" i="4"/>
  <c r="G6781" i="4"/>
  <c r="G6760" i="4"/>
  <c r="F6719" i="4"/>
  <c r="F6695" i="4"/>
  <c r="G6686" i="4"/>
  <c r="F6686" i="4"/>
  <c r="F6278" i="4"/>
  <c r="G6278" i="4"/>
  <c r="F6217" i="4"/>
  <c r="G6217" i="4"/>
  <c r="G5989" i="4"/>
  <c r="F5989" i="4"/>
  <c r="G5874" i="4"/>
  <c r="F5874" i="4"/>
  <c r="F7770" i="4"/>
  <c r="G7770" i="4"/>
  <c r="G7589" i="4"/>
  <c r="G7556" i="4"/>
  <c r="G7538" i="4"/>
  <c r="G7490" i="4"/>
  <c r="G7440" i="4"/>
  <c r="G7424" i="4"/>
  <c r="G7381" i="4"/>
  <c r="G7375" i="4"/>
  <c r="F7375" i="4"/>
  <c r="G7357" i="4"/>
  <c r="F7315" i="4"/>
  <c r="G7309" i="4"/>
  <c r="G7251" i="4"/>
  <c r="F7251" i="4"/>
  <c r="F7211" i="4"/>
  <c r="F7144" i="4"/>
  <c r="F7137" i="4"/>
  <c r="G7110" i="4"/>
  <c r="G7056" i="4"/>
  <c r="F7027" i="4"/>
  <c r="G6959" i="4"/>
  <c r="F6959" i="4"/>
  <c r="F6941" i="4"/>
  <c r="F6908" i="4"/>
  <c r="F6901" i="4"/>
  <c r="G6867" i="4"/>
  <c r="F6867" i="4"/>
  <c r="F6735" i="4"/>
  <c r="G6735" i="4"/>
  <c r="F6708" i="4"/>
  <c r="G6708" i="4"/>
  <c r="F6649" i="4"/>
  <c r="G6649" i="4"/>
  <c r="F6633" i="4"/>
  <c r="G6633" i="4"/>
  <c r="G6609" i="4"/>
  <c r="F6609" i="4"/>
  <c r="F6562" i="4"/>
  <c r="G6562" i="4"/>
  <c r="G6458" i="4"/>
  <c r="F6458" i="4"/>
  <c r="G6362" i="4"/>
  <c r="F6362" i="4"/>
  <c r="F6304" i="4"/>
  <c r="G6304" i="4"/>
  <c r="G7256" i="4"/>
  <c r="F7256" i="4"/>
  <c r="G6873" i="4"/>
  <c r="F6873" i="4"/>
  <c r="F6858" i="4"/>
  <c r="G6804" i="4"/>
  <c r="F6804" i="4"/>
  <c r="F6734" i="4"/>
  <c r="G6734" i="4"/>
  <c r="F6725" i="4"/>
  <c r="F6718" i="4"/>
  <c r="G6718" i="4"/>
  <c r="F6707" i="4"/>
  <c r="F6593" i="4"/>
  <c r="F6398" i="4"/>
  <c r="G6398" i="4"/>
  <c r="G7966" i="4"/>
  <c r="F7955" i="4"/>
  <c r="G7935" i="4"/>
  <c r="G7915" i="4"/>
  <c r="F7872" i="4"/>
  <c r="G7847" i="4"/>
  <c r="F7790" i="4"/>
  <c r="G7790" i="4"/>
  <c r="F7763" i="4"/>
  <c r="G7713" i="4"/>
  <c r="G7674" i="4"/>
  <c r="G7666" i="4"/>
  <c r="G7588" i="4"/>
  <c r="F7568" i="4"/>
  <c r="F7555" i="4"/>
  <c r="G7548" i="4"/>
  <c r="G7509" i="4"/>
  <c r="G7489" i="4"/>
  <c r="G7458" i="4"/>
  <c r="F7445" i="4"/>
  <c r="G7380" i="4"/>
  <c r="G7373" i="4"/>
  <c r="F7362" i="4"/>
  <c r="G7345" i="4"/>
  <c r="F7334" i="4"/>
  <c r="G7314" i="4"/>
  <c r="G7308" i="4"/>
  <c r="F7302" i="4"/>
  <c r="F7295" i="4"/>
  <c r="G7261" i="4"/>
  <c r="F7255" i="4"/>
  <c r="G7249" i="4"/>
  <c r="G7229" i="4"/>
  <c r="G7222" i="4"/>
  <c r="G7180" i="4"/>
  <c r="F7169" i="4"/>
  <c r="F7156" i="4"/>
  <c r="G7149" i="4"/>
  <c r="G7116" i="4"/>
  <c r="F7116" i="4"/>
  <c r="G7100" i="4"/>
  <c r="G7074" i="4"/>
  <c r="G7055" i="4"/>
  <c r="F7055" i="4"/>
  <c r="G7048" i="4"/>
  <c r="G6997" i="4"/>
  <c r="F6992" i="4"/>
  <c r="G6986" i="4"/>
  <c r="F6965" i="4"/>
  <c r="G6950" i="4"/>
  <c r="F6950" i="4"/>
  <c r="G6914" i="4"/>
  <c r="G6865" i="4"/>
  <c r="F6865" i="4"/>
  <c r="G6827" i="4"/>
  <c r="F6827" i="4"/>
  <c r="F6758" i="4"/>
  <c r="G6758" i="4"/>
  <c r="F6733" i="4"/>
  <c r="F6654" i="4"/>
  <c r="G6654" i="4"/>
  <c r="G6639" i="4"/>
  <c r="F6607" i="4"/>
  <c r="G6607" i="4"/>
  <c r="G6285" i="4"/>
  <c r="F6285" i="4"/>
  <c r="F6192" i="4"/>
  <c r="G6192" i="4"/>
  <c r="F7627" i="4"/>
  <c r="F7601" i="4"/>
  <c r="G7594" i="4"/>
  <c r="F7581" i="4"/>
  <c r="F7536" i="4"/>
  <c r="G7522" i="4"/>
  <c r="G7482" i="4"/>
  <c r="G7394" i="4"/>
  <c r="F7394" i="4"/>
  <c r="F7387" i="4"/>
  <c r="F7355" i="4"/>
  <c r="G7350" i="4"/>
  <c r="G7320" i="4"/>
  <c r="F7277" i="4"/>
  <c r="F7271" i="4"/>
  <c r="F7236" i="4"/>
  <c r="G7142" i="4"/>
  <c r="G7123" i="4"/>
  <c r="F7123" i="4"/>
  <c r="F7115" i="4"/>
  <c r="F7093" i="4"/>
  <c r="F7086" i="4"/>
  <c r="G7061" i="4"/>
  <c r="F7061" i="4"/>
  <c r="G7041" i="4"/>
  <c r="F6978" i="4"/>
  <c r="F6899" i="4"/>
  <c r="F6864" i="4"/>
  <c r="G6864" i="4"/>
  <c r="G6787" i="4"/>
  <c r="F6787" i="4"/>
  <c r="G6773" i="4"/>
  <c r="F6757" i="4"/>
  <c r="G6757" i="4"/>
  <c r="F6716" i="4"/>
  <c r="G6716" i="4"/>
  <c r="F6369" i="4"/>
  <c r="G6369" i="4"/>
  <c r="F6117" i="4"/>
  <c r="G6117" i="4"/>
  <c r="F6076" i="4"/>
  <c r="G6076" i="4"/>
  <c r="G5910" i="4"/>
  <c r="F5910" i="4"/>
  <c r="F7665" i="4"/>
  <c r="G7665" i="4"/>
  <c r="G7444" i="4"/>
  <c r="F7444" i="4"/>
  <c r="G6964" i="4"/>
  <c r="F6964" i="4"/>
  <c r="G6948" i="4"/>
  <c r="F6948" i="4"/>
  <c r="G6856" i="4"/>
  <c r="F6856" i="4"/>
  <c r="G6849" i="4"/>
  <c r="F6849" i="4"/>
  <c r="G6715" i="4"/>
  <c r="F6715" i="4"/>
  <c r="F6668" i="4"/>
  <c r="G6668" i="4"/>
  <c r="G6578" i="4"/>
  <c r="F6578" i="4"/>
  <c r="F6569" i="4"/>
  <c r="G6569" i="4"/>
  <c r="F5920" i="4"/>
  <c r="G5920" i="4"/>
  <c r="G7307" i="4"/>
  <c r="F7307" i="4"/>
  <c r="G6977" i="4"/>
  <c r="F6977" i="4"/>
  <c r="F6937" i="4"/>
  <c r="G6937" i="4"/>
  <c r="F6898" i="4"/>
  <c r="G6898" i="4"/>
  <c r="F6714" i="4"/>
  <c r="G6714" i="4"/>
  <c r="F6691" i="4"/>
  <c r="G6691" i="4"/>
  <c r="G6558" i="4"/>
  <c r="F6558" i="4"/>
  <c r="F6403" i="4"/>
  <c r="G6403" i="4"/>
  <c r="G6043" i="4"/>
  <c r="F6043" i="4"/>
  <c r="F4181" i="4"/>
  <c r="G4181" i="4"/>
  <c r="F4001" i="4"/>
  <c r="G4001" i="4"/>
  <c r="F3718" i="4"/>
  <c r="G3718" i="4"/>
  <c r="G3694" i="4"/>
  <c r="F3694" i="4"/>
  <c r="G6671" i="4"/>
  <c r="G6606" i="4"/>
  <c r="F6606" i="4"/>
  <c r="G6594" i="4"/>
  <c r="F6583" i="4"/>
  <c r="F6577" i="4"/>
  <c r="F6563" i="4"/>
  <c r="F6557" i="4"/>
  <c r="G6499" i="4"/>
  <c r="F6475" i="4"/>
  <c r="F6463" i="4"/>
  <c r="G6408" i="4"/>
  <c r="G6402" i="4"/>
  <c r="G6322" i="4"/>
  <c r="F6322" i="4"/>
  <c r="G6284" i="4"/>
  <c r="G6223" i="4"/>
  <c r="G6216" i="4"/>
  <c r="G6191" i="4"/>
  <c r="F6148" i="4"/>
  <c r="G6148" i="4"/>
  <c r="G6122" i="4"/>
  <c r="G6116" i="4"/>
  <c r="F6067" i="4"/>
  <c r="G6049" i="4"/>
  <c r="F6049" i="4"/>
  <c r="G5996" i="4"/>
  <c r="G5963" i="4"/>
  <c r="F5963" i="4"/>
  <c r="F5901" i="4"/>
  <c r="G5901" i="4"/>
  <c r="G5777" i="4"/>
  <c r="G5746" i="4"/>
  <c r="F5746" i="4"/>
  <c r="G5733" i="4"/>
  <c r="G5675" i="4"/>
  <c r="F5675" i="4"/>
  <c r="F5561" i="4"/>
  <c r="G5561" i="4"/>
  <c r="F5385" i="4"/>
  <c r="G5385" i="4"/>
  <c r="G5066" i="4"/>
  <c r="F5066" i="4"/>
  <c r="G6535" i="4"/>
  <c r="F6486" i="4"/>
  <c r="G6486" i="4"/>
  <c r="G6443" i="4"/>
  <c r="F6340" i="4"/>
  <c r="G6340" i="4"/>
  <c r="G6326" i="4"/>
  <c r="G6309" i="4"/>
  <c r="G6289" i="4"/>
  <c r="G6269" i="4"/>
  <c r="G6242" i="4"/>
  <c r="G6235" i="4"/>
  <c r="G6159" i="4"/>
  <c r="G6126" i="4"/>
  <c r="G6103" i="4"/>
  <c r="G6097" i="4"/>
  <c r="G6054" i="4"/>
  <c r="F5979" i="4"/>
  <c r="G5979" i="4"/>
  <c r="F5724" i="4"/>
  <c r="G5724" i="4"/>
  <c r="F5479" i="4"/>
  <c r="G5479" i="4"/>
  <c r="F5403" i="4"/>
  <c r="G5403" i="4"/>
  <c r="F5173" i="4"/>
  <c r="G5173" i="4"/>
  <c r="G6811" i="4"/>
  <c r="F6811" i="4"/>
  <c r="G6556" i="4"/>
  <c r="F6529" i="4"/>
  <c r="G6516" i="4"/>
  <c r="G6498" i="4"/>
  <c r="F6498" i="4"/>
  <c r="F6491" i="4"/>
  <c r="G6485" i="4"/>
  <c r="F6474" i="4"/>
  <c r="G6462" i="4"/>
  <c r="F6429" i="4"/>
  <c r="F6407" i="4"/>
  <c r="G6401" i="4"/>
  <c r="G6360" i="4"/>
  <c r="F6346" i="4"/>
  <c r="G6173" i="4"/>
  <c r="F6173" i="4"/>
  <c r="F6121" i="4"/>
  <c r="G6115" i="4"/>
  <c r="F6110" i="4"/>
  <c r="G6091" i="4"/>
  <c r="F6074" i="4"/>
  <c r="F6066" i="4"/>
  <c r="G6025" i="4"/>
  <c r="F6025" i="4"/>
  <c r="G6003" i="4"/>
  <c r="G5995" i="4"/>
  <c r="F5986" i="4"/>
  <c r="F5947" i="4"/>
  <c r="F5871" i="4"/>
  <c r="F5864" i="4"/>
  <c r="F5849" i="4"/>
  <c r="G5849" i="4"/>
  <c r="G5835" i="4"/>
  <c r="G5826" i="4"/>
  <c r="F5826" i="4"/>
  <c r="F5768" i="4"/>
  <c r="F5693" i="4"/>
  <c r="G5618" i="4"/>
  <c r="F5618" i="4"/>
  <c r="F5441" i="4"/>
  <c r="G5441" i="4"/>
  <c r="F5264" i="4"/>
  <c r="G5264" i="4"/>
  <c r="G5130" i="4"/>
  <c r="F5130" i="4"/>
  <c r="G5018" i="4"/>
  <c r="F5018" i="4"/>
  <c r="G4878" i="4"/>
  <c r="F4878" i="4"/>
  <c r="F6509" i="4"/>
  <c r="G6509" i="4"/>
  <c r="F6024" i="4"/>
  <c r="G6024" i="4"/>
  <c r="G6010" i="4"/>
  <c r="F6010" i="4"/>
  <c r="G5797" i="4"/>
  <c r="F5797" i="4"/>
  <c r="G5760" i="4"/>
  <c r="F5760" i="4"/>
  <c r="F5655" i="4"/>
  <c r="G5655" i="4"/>
  <c r="G5568" i="4"/>
  <c r="F5568" i="4"/>
  <c r="F5501" i="4"/>
  <c r="G5501" i="4"/>
  <c r="F5391" i="4"/>
  <c r="G5391" i="4"/>
  <c r="G5079" i="4"/>
  <c r="F5079" i="4"/>
  <c r="F6220" i="4"/>
  <c r="G6220" i="4"/>
  <c r="G6073" i="4"/>
  <c r="F6073" i="4"/>
  <c r="F5916" i="4"/>
  <c r="G5916" i="4"/>
  <c r="G5796" i="4"/>
  <c r="F5796" i="4"/>
  <c r="F5692" i="4"/>
  <c r="G5692" i="4"/>
  <c r="G5682" i="4"/>
  <c r="F5682" i="4"/>
  <c r="F5671" i="4"/>
  <c r="G5671" i="4"/>
  <c r="F5485" i="4"/>
  <c r="G5485" i="4"/>
  <c r="F5347" i="4"/>
  <c r="G5347" i="4"/>
  <c r="F5209" i="4"/>
  <c r="G5209" i="4"/>
  <c r="G5030" i="4"/>
  <c r="F5030" i="4"/>
  <c r="G4886" i="4"/>
  <c r="F4886" i="4"/>
  <c r="F6795" i="4"/>
  <c r="G6752" i="4"/>
  <c r="G6739" i="4"/>
  <c r="G6724" i="4"/>
  <c r="G6694" i="4"/>
  <c r="F6674" i="4"/>
  <c r="G6663" i="4"/>
  <c r="G6645" i="4"/>
  <c r="F6638" i="4"/>
  <c r="F6615" i="4"/>
  <c r="F6603" i="4"/>
  <c r="G6533" i="4"/>
  <c r="F6527" i="4"/>
  <c r="G6502" i="4"/>
  <c r="G6496" i="4"/>
  <c r="G6478" i="4"/>
  <c r="G6427" i="4"/>
  <c r="F6420" i="4"/>
  <c r="G6420" i="4"/>
  <c r="G6412" i="4"/>
  <c r="G6383" i="4"/>
  <c r="F6371" i="4"/>
  <c r="G6364" i="4"/>
  <c r="G6358" i="4"/>
  <c r="F6331" i="4"/>
  <c r="G6318" i="4"/>
  <c r="G6301" i="4"/>
  <c r="G6294" i="4"/>
  <c r="G6226" i="4"/>
  <c r="F6219" i="4"/>
  <c r="G6194" i="4"/>
  <c r="G6188" i="4"/>
  <c r="G6171" i="4"/>
  <c r="G6151" i="4"/>
  <c r="G6145" i="4"/>
  <c r="G6132" i="4"/>
  <c r="G6084" i="4"/>
  <c r="G6078" i="4"/>
  <c r="G6031" i="4"/>
  <c r="G5984" i="4"/>
  <c r="F5968" i="4"/>
  <c r="G5968" i="4"/>
  <c r="F5960" i="4"/>
  <c r="G5929" i="4"/>
  <c r="F5929" i="4"/>
  <c r="G5855" i="4"/>
  <c r="F5847" i="4"/>
  <c r="F5833" i="4"/>
  <c r="G5833" i="4"/>
  <c r="G5787" i="4"/>
  <c r="F5691" i="4"/>
  <c r="G5691" i="4"/>
  <c r="G5192" i="4"/>
  <c r="F5192" i="4"/>
  <c r="G5092" i="4"/>
  <c r="F5092" i="4"/>
  <c r="F6514" i="4"/>
  <c r="F6483" i="4"/>
  <c r="G6472" i="4"/>
  <c r="F6454" i="4"/>
  <c r="G6434" i="4"/>
  <c r="F6405" i="4"/>
  <c r="G6377" i="4"/>
  <c r="G6344" i="4"/>
  <c r="F6313" i="4"/>
  <c r="G6307" i="4"/>
  <c r="G6287" i="4"/>
  <c r="F6258" i="4"/>
  <c r="F6253" i="4"/>
  <c r="G6240" i="4"/>
  <c r="F6182" i="4"/>
  <c r="G6137" i="4"/>
  <c r="F6119" i="4"/>
  <c r="F6107" i="4"/>
  <c r="F6089" i="4"/>
  <c r="F6057" i="4"/>
  <c r="F6052" i="4"/>
  <c r="G5993" i="4"/>
  <c r="F5993" i="4"/>
  <c r="F5928" i="4"/>
  <c r="G5928" i="4"/>
  <c r="F5884" i="4"/>
  <c r="G5862" i="4"/>
  <c r="F5862" i="4"/>
  <c r="G5832" i="4"/>
  <c r="G5803" i="4"/>
  <c r="F5803" i="4"/>
  <c r="G5730" i="4"/>
  <c r="F5730" i="4"/>
  <c r="G5719" i="4"/>
  <c r="F5669" i="4"/>
  <c r="G5669" i="4"/>
  <c r="G5631" i="4"/>
  <c r="F5631" i="4"/>
  <c r="F5523" i="4"/>
  <c r="G5523" i="4"/>
  <c r="G5048" i="4"/>
  <c r="F5048" i="4"/>
  <c r="G6546" i="4"/>
  <c r="F6546" i="4"/>
  <c r="F6100" i="4"/>
  <c r="G6100" i="4"/>
  <c r="F5992" i="4"/>
  <c r="G5992" i="4"/>
  <c r="G5846" i="4"/>
  <c r="F5846" i="4"/>
  <c r="G5810" i="4"/>
  <c r="F5810" i="4"/>
  <c r="F5765" i="4"/>
  <c r="G5765" i="4"/>
  <c r="F5680" i="4"/>
  <c r="G5680" i="4"/>
  <c r="F5397" i="4"/>
  <c r="G5397" i="4"/>
  <c r="G5240" i="4"/>
  <c r="F5240" i="4"/>
  <c r="G6924" i="4"/>
  <c r="F6924" i="4"/>
  <c r="F6703" i="4"/>
  <c r="G6703" i="4"/>
  <c r="F6655" i="4"/>
  <c r="G6596" i="4"/>
  <c r="G6565" i="4"/>
  <c r="F6559" i="4"/>
  <c r="G6552" i="4"/>
  <c r="G6513" i="4"/>
  <c r="F6477" i="4"/>
  <c r="G6471" i="4"/>
  <c r="G6440" i="4"/>
  <c r="G6404" i="4"/>
  <c r="G6376" i="4"/>
  <c r="G6312" i="4"/>
  <c r="F6286" i="4"/>
  <c r="G6252" i="4"/>
  <c r="G6244" i="4"/>
  <c r="F6239" i="4"/>
  <c r="F6193" i="4"/>
  <c r="F6170" i="4"/>
  <c r="F6162" i="4"/>
  <c r="G6106" i="4"/>
  <c r="F6106" i="4"/>
  <c r="F6099" i="4"/>
  <c r="F6044" i="4"/>
  <c r="F6020" i="4"/>
  <c r="G6020" i="4"/>
  <c r="G6007" i="4"/>
  <c r="G5966" i="4"/>
  <c r="G5883" i="4"/>
  <c r="G5876" i="4"/>
  <c r="F5845" i="4"/>
  <c r="F5809" i="4"/>
  <c r="G5809" i="4"/>
  <c r="F5764" i="4"/>
  <c r="F5688" i="4"/>
  <c r="F6452" i="4"/>
  <c r="G6452" i="4"/>
  <c r="G6299" i="4"/>
  <c r="F6299" i="4"/>
  <c r="G6130" i="4"/>
  <c r="F6130" i="4"/>
  <c r="F5911" i="4"/>
  <c r="G5911" i="4"/>
  <c r="F5772" i="4"/>
  <c r="G5772" i="4"/>
  <c r="F5749" i="4"/>
  <c r="G5749" i="4"/>
  <c r="G5678" i="4"/>
  <c r="F5678" i="4"/>
  <c r="G5650" i="4"/>
  <c r="F5650" i="4"/>
  <c r="F5605" i="4"/>
  <c r="G5605" i="4"/>
  <c r="F5549" i="4"/>
  <c r="G5549" i="4"/>
  <c r="G5490" i="4"/>
  <c r="F5490" i="4"/>
  <c r="F5304" i="4"/>
  <c r="G5304" i="4"/>
  <c r="G4989" i="4"/>
  <c r="F4989" i="4"/>
  <c r="G6311" i="4"/>
  <c r="F6311" i="4"/>
  <c r="G5981" i="4"/>
  <c r="F5981" i="4"/>
  <c r="G5957" i="4"/>
  <c r="F5957" i="4"/>
  <c r="G5882" i="4"/>
  <c r="F5882" i="4"/>
  <c r="G5829" i="4"/>
  <c r="F5829" i="4"/>
  <c r="F5763" i="4"/>
  <c r="G5763" i="4"/>
  <c r="F5420" i="4"/>
  <c r="G5420" i="4"/>
  <c r="G5489" i="4"/>
  <c r="G5451" i="4"/>
  <c r="G5440" i="4"/>
  <c r="G5384" i="4"/>
  <c r="G5329" i="4"/>
  <c r="G5303" i="4"/>
  <c r="G5257" i="4"/>
  <c r="G5239" i="4"/>
  <c r="G5208" i="4"/>
  <c r="F5208" i="4"/>
  <c r="G5141" i="4"/>
  <c r="G5118" i="4"/>
  <c r="F5118" i="4"/>
  <c r="G5091" i="4"/>
  <c r="F5091" i="4"/>
  <c r="G5053" i="4"/>
  <c r="F5029" i="4"/>
  <c r="G5029" i="4"/>
  <c r="F4816" i="4"/>
  <c r="G4816" i="4"/>
  <c r="G4663" i="4"/>
  <c r="F4663" i="4"/>
  <c r="F5707" i="4"/>
  <c r="G5687" i="4"/>
  <c r="G5673" i="4"/>
  <c r="G5636" i="4"/>
  <c r="G5625" i="4"/>
  <c r="F5566" i="4"/>
  <c r="G5547" i="4"/>
  <c r="G5533" i="4"/>
  <c r="G5516" i="4"/>
  <c r="G5511" i="4"/>
  <c r="G5505" i="4"/>
  <c r="G5477" i="4"/>
  <c r="F5472" i="4"/>
  <c r="F5462" i="4"/>
  <c r="F5435" i="4"/>
  <c r="G5429" i="4"/>
  <c r="F5418" i="4"/>
  <c r="G5401" i="4"/>
  <c r="G5395" i="4"/>
  <c r="G5377" i="4"/>
  <c r="G5372" i="4"/>
  <c r="F5362" i="4"/>
  <c r="F5319" i="4"/>
  <c r="G5313" i="4"/>
  <c r="G5297" i="4"/>
  <c r="F5286" i="4"/>
  <c r="G5268" i="4"/>
  <c r="G5225" i="4"/>
  <c r="F5213" i="4"/>
  <c r="G5207" i="4"/>
  <c r="F5190" i="4"/>
  <c r="F5177" i="4"/>
  <c r="F5171" i="4"/>
  <c r="G5135" i="4"/>
  <c r="G5117" i="4"/>
  <c r="F5097" i="4"/>
  <c r="F5084" i="4"/>
  <c r="F5058" i="4"/>
  <c r="F5010" i="4"/>
  <c r="F5002" i="4"/>
  <c r="G5002" i="4"/>
  <c r="F4978" i="4"/>
  <c r="G4978" i="4"/>
  <c r="F4925" i="4"/>
  <c r="F4909" i="4"/>
  <c r="F4893" i="4"/>
  <c r="G4893" i="4"/>
  <c r="F4850" i="4"/>
  <c r="F4840" i="4"/>
  <c r="G4840" i="4"/>
  <c r="F3809" i="4"/>
  <c r="G3809" i="4"/>
  <c r="G5577" i="4"/>
  <c r="F5539" i="4"/>
  <c r="G5527" i="4"/>
  <c r="F5466" i="4"/>
  <c r="F5406" i="4"/>
  <c r="F5367" i="4"/>
  <c r="G5356" i="4"/>
  <c r="F5334" i="4"/>
  <c r="F5262" i="4"/>
  <c r="G5220" i="4"/>
  <c r="F5160" i="4"/>
  <c r="F5154" i="4"/>
  <c r="F5064" i="4"/>
  <c r="G5064" i="4"/>
  <c r="G4987" i="4"/>
  <c r="F4987" i="4"/>
  <c r="G4955" i="4"/>
  <c r="F4955" i="4"/>
  <c r="F4940" i="4"/>
  <c r="G4940" i="4"/>
  <c r="F4884" i="4"/>
  <c r="G4884" i="4"/>
  <c r="F4805" i="4"/>
  <c r="G4805" i="4"/>
  <c r="G4675" i="4"/>
  <c r="F4675" i="4"/>
  <c r="F4500" i="4"/>
  <c r="G4500" i="4"/>
  <c r="F4482" i="4"/>
  <c r="G4482" i="4"/>
  <c r="G4335" i="4"/>
  <c r="F4335" i="4"/>
  <c r="G4090" i="4"/>
  <c r="F4090" i="4"/>
  <c r="F3854" i="4"/>
  <c r="G3854" i="4"/>
  <c r="G5231" i="4"/>
  <c r="F5231" i="4"/>
  <c r="G5096" i="4"/>
  <c r="F5096" i="4"/>
  <c r="F5009" i="4"/>
  <c r="G5009" i="4"/>
  <c r="F4866" i="4"/>
  <c r="G4866" i="4"/>
  <c r="G4728" i="4"/>
  <c r="F4728" i="4"/>
  <c r="G4681" i="4"/>
  <c r="F4681" i="4"/>
  <c r="F4300" i="4"/>
  <c r="G4300" i="4"/>
  <c r="F4194" i="4"/>
  <c r="G4194" i="4"/>
  <c r="G4098" i="4"/>
  <c r="F4098" i="4"/>
  <c r="G3871" i="4"/>
  <c r="F3871" i="4"/>
  <c r="G5617" i="4"/>
  <c r="G5589" i="4"/>
  <c r="G5465" i="4"/>
  <c r="G5449" i="4"/>
  <c r="G5433" i="4"/>
  <c r="G5405" i="4"/>
  <c r="G5400" i="4"/>
  <c r="G5355" i="4"/>
  <c r="G5349" i="4"/>
  <c r="G5333" i="4"/>
  <c r="G5317" i="4"/>
  <c r="G5312" i="4"/>
  <c r="G5301" i="4"/>
  <c r="F5153" i="4"/>
  <c r="G5153" i="4"/>
  <c r="F5115" i="4"/>
  <c r="G5115" i="4"/>
  <c r="G5102" i="4"/>
  <c r="F5102" i="4"/>
  <c r="G5027" i="4"/>
  <c r="F5027" i="4"/>
  <c r="G5008" i="4"/>
  <c r="G4901" i="4"/>
  <c r="F4901" i="4"/>
  <c r="G4891" i="4"/>
  <c r="F4891" i="4"/>
  <c r="F4822" i="4"/>
  <c r="G4822" i="4"/>
  <c r="F4626" i="4"/>
  <c r="G4626" i="4"/>
  <c r="F4540" i="4"/>
  <c r="G4540" i="4"/>
  <c r="G4271" i="4"/>
  <c r="F4271" i="4"/>
  <c r="F5571" i="4"/>
  <c r="F5520" i="4"/>
  <c r="F5498" i="4"/>
  <c r="F5422" i="4"/>
  <c r="F5411" i="4"/>
  <c r="G5388" i="4"/>
  <c r="F5344" i="4"/>
  <c r="F5322" i="4"/>
  <c r="G5249" i="4"/>
  <c r="F5243" i="4"/>
  <c r="G5243" i="4"/>
  <c r="F5218" i="4"/>
  <c r="F5194" i="4"/>
  <c r="G5122" i="4"/>
  <c r="F5122" i="4"/>
  <c r="F5114" i="4"/>
  <c r="G5107" i="4"/>
  <c r="G5101" i="4"/>
  <c r="G5082" i="4"/>
  <c r="F5082" i="4"/>
  <c r="F5069" i="4"/>
  <c r="G5069" i="4"/>
  <c r="G5039" i="4"/>
  <c r="F5039" i="4"/>
  <c r="F4984" i="4"/>
  <c r="G4970" i="4"/>
  <c r="F4970" i="4"/>
  <c r="F4914" i="4"/>
  <c r="F4900" i="4"/>
  <c r="G4900" i="4"/>
  <c r="G4881" i="4"/>
  <c r="F4872" i="4"/>
  <c r="G4872" i="4"/>
  <c r="F4830" i="4"/>
  <c r="G4830" i="4"/>
  <c r="F4785" i="4"/>
  <c r="G4785" i="4"/>
  <c r="F4306" i="4"/>
  <c r="G4306" i="4"/>
  <c r="G5094" i="4"/>
  <c r="F5094" i="4"/>
  <c r="F5044" i="4"/>
  <c r="G5044" i="4"/>
  <c r="G5014" i="4"/>
  <c r="F5014" i="4"/>
  <c r="F4953" i="4"/>
  <c r="G4953" i="4"/>
  <c r="F4793" i="4"/>
  <c r="G4793" i="4"/>
  <c r="F4688" i="4"/>
  <c r="G4688" i="4"/>
  <c r="F4650" i="4"/>
  <c r="G4650" i="4"/>
  <c r="G4511" i="4"/>
  <c r="F4511" i="4"/>
  <c r="F4488" i="4"/>
  <c r="G4488" i="4"/>
  <c r="F4277" i="4"/>
  <c r="G4277" i="4"/>
  <c r="G3973" i="4"/>
  <c r="F3973" i="4"/>
  <c r="F5778" i="4"/>
  <c r="G5736" i="4"/>
  <c r="F5690" i="4"/>
  <c r="G5683" i="4"/>
  <c r="F5670" i="4"/>
  <c r="G5657" i="4"/>
  <c r="F5616" i="4"/>
  <c r="G5595" i="4"/>
  <c r="G5588" i="4"/>
  <c r="F5581" i="4"/>
  <c r="F5570" i="4"/>
  <c r="G5563" i="4"/>
  <c r="G5551" i="4"/>
  <c r="G5536" i="4"/>
  <c r="G5513" i="4"/>
  <c r="F5502" i="4"/>
  <c r="G5497" i="4"/>
  <c r="F5486" i="4"/>
  <c r="G5464" i="4"/>
  <c r="F5459" i="4"/>
  <c r="G5448" i="4"/>
  <c r="F5442" i="4"/>
  <c r="G5432" i="4"/>
  <c r="G5421" i="4"/>
  <c r="G5404" i="4"/>
  <c r="G5359" i="4"/>
  <c r="G5348" i="4"/>
  <c r="G5343" i="4"/>
  <c r="G5332" i="4"/>
  <c r="G5321" i="4"/>
  <c r="G5316" i="4"/>
  <c r="G5311" i="4"/>
  <c r="G5300" i="4"/>
  <c r="F5265" i="4"/>
  <c r="G5241" i="4"/>
  <c r="G5235" i="4"/>
  <c r="G5217" i="4"/>
  <c r="G5193" i="4"/>
  <c r="G5113" i="4"/>
  <c r="F5074" i="4"/>
  <c r="F5050" i="4"/>
  <c r="F5043" i="4"/>
  <c r="F4928" i="4"/>
  <c r="F4880" i="4"/>
  <c r="G4880" i="4"/>
  <c r="F4845" i="4"/>
  <c r="G4845" i="4"/>
  <c r="F4836" i="4"/>
  <c r="G4759" i="4"/>
  <c r="F4759" i="4"/>
  <c r="F4517" i="4"/>
  <c r="G4517" i="4"/>
  <c r="G4352" i="4"/>
  <c r="F4352" i="4"/>
  <c r="G5695" i="4"/>
  <c r="F5676" i="4"/>
  <c r="F5664" i="4"/>
  <c r="F5530" i="4"/>
  <c r="F5518" i="4"/>
  <c r="F5491" i="4"/>
  <c r="F5426" i="4"/>
  <c r="F5326" i="4"/>
  <c r="G5283" i="4"/>
  <c r="F5283" i="4"/>
  <c r="G5276" i="4"/>
  <c r="G5204" i="4"/>
  <c r="G5199" i="4"/>
  <c r="G4998" i="4"/>
  <c r="F4998" i="4"/>
  <c r="G4936" i="4"/>
  <c r="F4936" i="4"/>
  <c r="G4819" i="4"/>
  <c r="F4819" i="4"/>
  <c r="G4749" i="4"/>
  <c r="F4749" i="4"/>
  <c r="F4658" i="4"/>
  <c r="G4658" i="4"/>
  <c r="G4311" i="4"/>
  <c r="F4311" i="4"/>
  <c r="G4167" i="4"/>
  <c r="F4167" i="4"/>
  <c r="F3986" i="4"/>
  <c r="G3986" i="4"/>
  <c r="F5049" i="4"/>
  <c r="G5049" i="4"/>
  <c r="G5019" i="4"/>
  <c r="F5019" i="4"/>
  <c r="F4854" i="4"/>
  <c r="G4854" i="4"/>
  <c r="F4632" i="4"/>
  <c r="G4632" i="4"/>
  <c r="F4424" i="4"/>
  <c r="G4424" i="4"/>
  <c r="F4358" i="4"/>
  <c r="G4358" i="4"/>
  <c r="F4282" i="4"/>
  <c r="G4282" i="4"/>
  <c r="G5086" i="4"/>
  <c r="F5086" i="4"/>
  <c r="G5024" i="4"/>
  <c r="F5024" i="4"/>
  <c r="G5012" i="4"/>
  <c r="F5012" i="4"/>
  <c r="F4942" i="4"/>
  <c r="G4942" i="4"/>
  <c r="F4853" i="4"/>
  <c r="G4853" i="4"/>
  <c r="G4842" i="4"/>
  <c r="F4842" i="4"/>
  <c r="G4791" i="4"/>
  <c r="F4791" i="4"/>
  <c r="F4757" i="4"/>
  <c r="G4757" i="4"/>
  <c r="F4522" i="4"/>
  <c r="G4522" i="4"/>
  <c r="F4254" i="4"/>
  <c r="G4254" i="4"/>
  <c r="G4173" i="4"/>
  <c r="F4173" i="4"/>
  <c r="G3608" i="4"/>
  <c r="F3608" i="4"/>
  <c r="G3012" i="4"/>
  <c r="F3012" i="4"/>
  <c r="F2859" i="4"/>
  <c r="G2859" i="4"/>
  <c r="G2841" i="4"/>
  <c r="F2841" i="4"/>
  <c r="G2815" i="4"/>
  <c r="F2815" i="4"/>
  <c r="G2799" i="4"/>
  <c r="F2799" i="4"/>
  <c r="F2646" i="4"/>
  <c r="G2646" i="4"/>
  <c r="F2631" i="4"/>
  <c r="G2631" i="4"/>
  <c r="F2520" i="4"/>
  <c r="G2520" i="4"/>
  <c r="G2483" i="4"/>
  <c r="F2483" i="4"/>
  <c r="F2408" i="4"/>
  <c r="G2408" i="4"/>
  <c r="F4481" i="4"/>
  <c r="G4481" i="4"/>
  <c r="G4351" i="4"/>
  <c r="F4351" i="4"/>
  <c r="F4097" i="4"/>
  <c r="G4097" i="4"/>
  <c r="G4062" i="4"/>
  <c r="F4062" i="4"/>
  <c r="G4015" i="4"/>
  <c r="F4015" i="4"/>
  <c r="F3972" i="4"/>
  <c r="G3972" i="4"/>
  <c r="F3925" i="4"/>
  <c r="G3925" i="4"/>
  <c r="F3909" i="4"/>
  <c r="G3909" i="4"/>
  <c r="G3808" i="4"/>
  <c r="F3808" i="4"/>
  <c r="F3717" i="4"/>
  <c r="G3717" i="4"/>
  <c r="F3200" i="4"/>
  <c r="G3200" i="4"/>
  <c r="F4246" i="4"/>
  <c r="G4246" i="4"/>
  <c r="F4218" i="4"/>
  <c r="G4218" i="4"/>
  <c r="G4096" i="4"/>
  <c r="F4096" i="4"/>
  <c r="G4075" i="4"/>
  <c r="F4075" i="4"/>
  <c r="G3943" i="4"/>
  <c r="F3943" i="4"/>
  <c r="F3892" i="4"/>
  <c r="G3892" i="4"/>
  <c r="F3807" i="4"/>
  <c r="G3807" i="4"/>
  <c r="G3762" i="4"/>
  <c r="F3762" i="4"/>
  <c r="F3727" i="4"/>
  <c r="G3727" i="4"/>
  <c r="F3702" i="4"/>
  <c r="G3702" i="4"/>
  <c r="G3623" i="4"/>
  <c r="F3623" i="4"/>
  <c r="G3614" i="4"/>
  <c r="F3614" i="4"/>
  <c r="F3252" i="4"/>
  <c r="G3252" i="4"/>
  <c r="F3219" i="4"/>
  <c r="G3219" i="4"/>
  <c r="G4710" i="4"/>
  <c r="G4692" i="4"/>
  <c r="G4661" i="4"/>
  <c r="G4648" i="4"/>
  <c r="G4612" i="4"/>
  <c r="G4450" i="4"/>
  <c r="G4422" i="4"/>
  <c r="G4410" i="4"/>
  <c r="G4245" i="4"/>
  <c r="G4231" i="4"/>
  <c r="F4231" i="4"/>
  <c r="G4074" i="4"/>
  <c r="G4054" i="4"/>
  <c r="G3992" i="4"/>
  <c r="F3992" i="4"/>
  <c r="F3827" i="4"/>
  <c r="G3827" i="4"/>
  <c r="G3788" i="4"/>
  <c r="F3788" i="4"/>
  <c r="G3753" i="4"/>
  <c r="F3753" i="4"/>
  <c r="F3726" i="4"/>
  <c r="G3726" i="4"/>
  <c r="G3683" i="4"/>
  <c r="F3683" i="4"/>
  <c r="G3661" i="4"/>
  <c r="F3661" i="4"/>
  <c r="F3654" i="4"/>
  <c r="G3654" i="4"/>
  <c r="F3622" i="4"/>
  <c r="G3622" i="4"/>
  <c r="G3507" i="4"/>
  <c r="F3507" i="4"/>
  <c r="F4666" i="4"/>
  <c r="G4636" i="4"/>
  <c r="F4629" i="4"/>
  <c r="G4624" i="4"/>
  <c r="G4617" i="4"/>
  <c r="G4588" i="4"/>
  <c r="F4497" i="4"/>
  <c r="F4491" i="4"/>
  <c r="F4479" i="4"/>
  <c r="G4433" i="4"/>
  <c r="G4374" i="4"/>
  <c r="G4368" i="4"/>
  <c r="F4368" i="4"/>
  <c r="G4321" i="4"/>
  <c r="F4303" i="4"/>
  <c r="F4184" i="4"/>
  <c r="F4178" i="4"/>
  <c r="G4170" i="4"/>
  <c r="F4130" i="4"/>
  <c r="G4123" i="4"/>
  <c r="F4123" i="4"/>
  <c r="G4103" i="4"/>
  <c r="F4103" i="4"/>
  <c r="F4088" i="4"/>
  <c r="G4088" i="4"/>
  <c r="G4081" i="4"/>
  <c r="F4060" i="4"/>
  <c r="G4060" i="4"/>
  <c r="G4020" i="4"/>
  <c r="F4013" i="4"/>
  <c r="G4013" i="4"/>
  <c r="G3991" i="4"/>
  <c r="F3991" i="4"/>
  <c r="G3977" i="4"/>
  <c r="G3869" i="4"/>
  <c r="F3851" i="4"/>
  <c r="G3851" i="4"/>
  <c r="G3787" i="4"/>
  <c r="F3725" i="4"/>
  <c r="G3725" i="4"/>
  <c r="G3653" i="4"/>
  <c r="F3653" i="4"/>
  <c r="G3550" i="4"/>
  <c r="F3550" i="4"/>
  <c r="F4537" i="4"/>
  <c r="G4537" i="4"/>
  <c r="G4102" i="4"/>
  <c r="F4102" i="4"/>
  <c r="G4047" i="4"/>
  <c r="F4047" i="4"/>
  <c r="F4012" i="4"/>
  <c r="G4012" i="4"/>
  <c r="G3950" i="4"/>
  <c r="F3950" i="4"/>
  <c r="F3707" i="4"/>
  <c r="G3707" i="4"/>
  <c r="G3659" i="4"/>
  <c r="F3659" i="4"/>
  <c r="G3590" i="4"/>
  <c r="F3590" i="4"/>
  <c r="F3524" i="4"/>
  <c r="G3524" i="4"/>
  <c r="G4818" i="4"/>
  <c r="G4790" i="4"/>
  <c r="G4784" i="4"/>
  <c r="G4709" i="4"/>
  <c r="G4702" i="4"/>
  <c r="G4684" i="4"/>
  <c r="G4641" i="4"/>
  <c r="G4628" i="4"/>
  <c r="G4542" i="4"/>
  <c r="G4536" i="4"/>
  <c r="G4490" i="4"/>
  <c r="G4183" i="4"/>
  <c r="F4183" i="4"/>
  <c r="F4177" i="4"/>
  <c r="G4177" i="4"/>
  <c r="F4129" i="4"/>
  <c r="G4129" i="4"/>
  <c r="F4005" i="4"/>
  <c r="G4005" i="4"/>
  <c r="F3875" i="4"/>
  <c r="G3875" i="4"/>
  <c r="G3849" i="4"/>
  <c r="F3849" i="4"/>
  <c r="F3751" i="4"/>
  <c r="G3751" i="4"/>
  <c r="F3706" i="4"/>
  <c r="G3706" i="4"/>
  <c r="F4741" i="4"/>
  <c r="G4734" i="4"/>
  <c r="F4690" i="4"/>
  <c r="G4652" i="4"/>
  <c r="F4592" i="4"/>
  <c r="F4586" i="4"/>
  <c r="F4559" i="4"/>
  <c r="G4484" i="4"/>
  <c r="F4397" i="4"/>
  <c r="F4391" i="4"/>
  <c r="G4348" i="4"/>
  <c r="F4319" i="4"/>
  <c r="G4313" i="4"/>
  <c r="G4290" i="4"/>
  <c r="G4285" i="4"/>
  <c r="F4285" i="4"/>
  <c r="G4273" i="4"/>
  <c r="F4267" i="4"/>
  <c r="F4229" i="4"/>
  <c r="G4229" i="4"/>
  <c r="G4176" i="4"/>
  <c r="F4176" i="4"/>
  <c r="F4156" i="4"/>
  <c r="G4156" i="4"/>
  <c r="F4108" i="4"/>
  <c r="G4108" i="4"/>
  <c r="G4039" i="4"/>
  <c r="F4039" i="4"/>
  <c r="G3997" i="4"/>
  <c r="G3935" i="4"/>
  <c r="F3935" i="4"/>
  <c r="F3921" i="4"/>
  <c r="G3921" i="4"/>
  <c r="F3882" i="4"/>
  <c r="G3882" i="4"/>
  <c r="G3636" i="4"/>
  <c r="F3636" i="4"/>
  <c r="G4571" i="4"/>
  <c r="F4571" i="4"/>
  <c r="G4431" i="4"/>
  <c r="F4431" i="4"/>
  <c r="G4162" i="4"/>
  <c r="F4162" i="4"/>
  <c r="F4065" i="4"/>
  <c r="F4025" i="4"/>
  <c r="G4025" i="4"/>
  <c r="G3988" i="4"/>
  <c r="G3962" i="4"/>
  <c r="F3962" i="4"/>
  <c r="G3934" i="4"/>
  <c r="G3912" i="4"/>
  <c r="F3912" i="4"/>
  <c r="F3794" i="4"/>
  <c r="G3794" i="4"/>
  <c r="G3680" i="4"/>
  <c r="F3680" i="4"/>
  <c r="G3666" i="4"/>
  <c r="F3666" i="4"/>
  <c r="F3474" i="4"/>
  <c r="G3474" i="4"/>
  <c r="G4189" i="4"/>
  <c r="F4189" i="4"/>
  <c r="G4106" i="4"/>
  <c r="G4085" i="4"/>
  <c r="G4071" i="4"/>
  <c r="F4071" i="4"/>
  <c r="F3904" i="4"/>
  <c r="G3904" i="4"/>
  <c r="F3866" i="4"/>
  <c r="G3866" i="4"/>
  <c r="G3856" i="4"/>
  <c r="F3856" i="4"/>
  <c r="G3793" i="4"/>
  <c r="F3793" i="4"/>
  <c r="G3627" i="4"/>
  <c r="F3627" i="4"/>
  <c r="F3574" i="4"/>
  <c r="G3574" i="4"/>
  <c r="F5142" i="4"/>
  <c r="F5075" i="4"/>
  <c r="F5059" i="4"/>
  <c r="F5054" i="4"/>
  <c r="F5034" i="4"/>
  <c r="F4963" i="4"/>
  <c r="F4950" i="4"/>
  <c r="F4924" i="4"/>
  <c r="G4904" i="4"/>
  <c r="G4898" i="4"/>
  <c r="F4851" i="4"/>
  <c r="F4788" i="4"/>
  <c r="F4732" i="4"/>
  <c r="G4713" i="4"/>
  <c r="F4707" i="4"/>
  <c r="F4639" i="4"/>
  <c r="G4614" i="4"/>
  <c r="F4609" i="4"/>
  <c r="G4601" i="4"/>
  <c r="G4596" i="4"/>
  <c r="F4471" i="4"/>
  <c r="G4458" i="4"/>
  <c r="F4453" i="4"/>
  <c r="F4447" i="4"/>
  <c r="G4441" i="4"/>
  <c r="G4436" i="4"/>
  <c r="F4413" i="4"/>
  <c r="G4401" i="4"/>
  <c r="F4365" i="4"/>
  <c r="F4336" i="4"/>
  <c r="F4234" i="4"/>
  <c r="G4234" i="4"/>
  <c r="G4221" i="4"/>
  <c r="F4221" i="4"/>
  <c r="F4078" i="4"/>
  <c r="G4078" i="4"/>
  <c r="F4070" i="4"/>
  <c r="F4064" i="4"/>
  <c r="F4037" i="4"/>
  <c r="F4030" i="4"/>
  <c r="F4017" i="4"/>
  <c r="F3967" i="4"/>
  <c r="F3895" i="4"/>
  <c r="G3895" i="4"/>
  <c r="F3810" i="4"/>
  <c r="G3739" i="4"/>
  <c r="F3494" i="4"/>
  <c r="G3494" i="4"/>
  <c r="F4324" i="4"/>
  <c r="G4324" i="4"/>
  <c r="G4207" i="4"/>
  <c r="F4207" i="4"/>
  <c r="F4133" i="4"/>
  <c r="G4133" i="4"/>
  <c r="F3945" i="4"/>
  <c r="G3945" i="4"/>
  <c r="F3894" i="4"/>
  <c r="G3894" i="4"/>
  <c r="G3864" i="4"/>
  <c r="F3864" i="4"/>
  <c r="G3418" i="4"/>
  <c r="F3418" i="4"/>
  <c r="G3296" i="4"/>
  <c r="F3296" i="4"/>
  <c r="F3237" i="4"/>
  <c r="G3237" i="4"/>
  <c r="F3229" i="4"/>
  <c r="G3229" i="4"/>
  <c r="F3199" i="4"/>
  <c r="G3199" i="4"/>
  <c r="F3092" i="4"/>
  <c r="G3092" i="4"/>
  <c r="F2806" i="4"/>
  <c r="G2806" i="4"/>
  <c r="F2722" i="4"/>
  <c r="G2722" i="4"/>
  <c r="G2683" i="4"/>
  <c r="F2683" i="4"/>
  <c r="G2659" i="4"/>
  <c r="F2659" i="4"/>
  <c r="F2574" i="4"/>
  <c r="G2574" i="4"/>
  <c r="F2557" i="4"/>
  <c r="G2557" i="4"/>
  <c r="G2510" i="4"/>
  <c r="F2510" i="4"/>
  <c r="F2500" i="4"/>
  <c r="G2500" i="4"/>
  <c r="F2447" i="4"/>
  <c r="G2447" i="4"/>
  <c r="G2332" i="4"/>
  <c r="F3578" i="4"/>
  <c r="F3538" i="4"/>
  <c r="G3538" i="4"/>
  <c r="G3508" i="4"/>
  <c r="G3454" i="4"/>
  <c r="F3454" i="4"/>
  <c r="G3447" i="4"/>
  <c r="G3384" i="4"/>
  <c r="F3384" i="4"/>
  <c r="F3314" i="4"/>
  <c r="G3314" i="4"/>
  <c r="F3287" i="4"/>
  <c r="G3287" i="4"/>
  <c r="F3120" i="4"/>
  <c r="G3120" i="4"/>
  <c r="F3074" i="4"/>
  <c r="G3074" i="4"/>
  <c r="F3043" i="4"/>
  <c r="G3043" i="4"/>
  <c r="G2946" i="4"/>
  <c r="F2946" i="4"/>
  <c r="G3404" i="4"/>
  <c r="F3404" i="4"/>
  <c r="F3350" i="4"/>
  <c r="G3350" i="4"/>
  <c r="F3286" i="4"/>
  <c r="G3286" i="4"/>
  <c r="F3269" i="4"/>
  <c r="G3269" i="4"/>
  <c r="F3168" i="4"/>
  <c r="G3168" i="4"/>
  <c r="F3126" i="4"/>
  <c r="G3126" i="4"/>
  <c r="F2966" i="4"/>
  <c r="G2966" i="4"/>
  <c r="G2929" i="4"/>
  <c r="F2929" i="4"/>
  <c r="F2896" i="4"/>
  <c r="G2896" i="4"/>
  <c r="G2857" i="4"/>
  <c r="F2857" i="4"/>
  <c r="F2831" i="4"/>
  <c r="G2831" i="4"/>
  <c r="F2812" i="4"/>
  <c r="G2812" i="4"/>
  <c r="F2796" i="4"/>
  <c r="G2796" i="4"/>
  <c r="F2711" i="4"/>
  <c r="G2711" i="4"/>
  <c r="F2690" i="4"/>
  <c r="G2690" i="4"/>
  <c r="F2572" i="4"/>
  <c r="G2572" i="4"/>
  <c r="F2538" i="4"/>
  <c r="G2538" i="4"/>
  <c r="G2528" i="4"/>
  <c r="F2528" i="4"/>
  <c r="F2498" i="4"/>
  <c r="G2498" i="4"/>
  <c r="F3863" i="4"/>
  <c r="G3863" i="4"/>
  <c r="G3560" i="4"/>
  <c r="F3560" i="4"/>
  <c r="F3446" i="4"/>
  <c r="G3446" i="4"/>
  <c r="G3422" i="4"/>
  <c r="F3403" i="4"/>
  <c r="G3403" i="4"/>
  <c r="G3389" i="4"/>
  <c r="F3382" i="4"/>
  <c r="G3382" i="4"/>
  <c r="G3366" i="4"/>
  <c r="G3334" i="4"/>
  <c r="F3312" i="4"/>
  <c r="G3276" i="4"/>
  <c r="G3226" i="4"/>
  <c r="F3226" i="4"/>
  <c r="F3197" i="4"/>
  <c r="G3197" i="4"/>
  <c r="G3017" i="4"/>
  <c r="F3017" i="4"/>
  <c r="F3381" i="4"/>
  <c r="G3381" i="4"/>
  <c r="G3267" i="4"/>
  <c r="F3267" i="4"/>
  <c r="F3196" i="4"/>
  <c r="G3196" i="4"/>
  <c r="F3151" i="4"/>
  <c r="G3151" i="4"/>
  <c r="F3118" i="4"/>
  <c r="G3118" i="4"/>
  <c r="F3090" i="4"/>
  <c r="G3090" i="4"/>
  <c r="G3055" i="4"/>
  <c r="F3055" i="4"/>
  <c r="F3040" i="4"/>
  <c r="G3040" i="4"/>
  <c r="G2974" i="4"/>
  <c r="F2974" i="4"/>
  <c r="F2944" i="4"/>
  <c r="G2944" i="4"/>
  <c r="F2936" i="4"/>
  <c r="G2936" i="4"/>
  <c r="F2794" i="4"/>
  <c r="G2794" i="4"/>
  <c r="F2747" i="4"/>
  <c r="G2747" i="4"/>
  <c r="F2699" i="4"/>
  <c r="G2699" i="4"/>
  <c r="F2455" i="4"/>
  <c r="G2455" i="4"/>
  <c r="F2381" i="4"/>
  <c r="G2381" i="4"/>
  <c r="G2355" i="4"/>
  <c r="G2328" i="4"/>
  <c r="G4027" i="4"/>
  <c r="F4027" i="4"/>
  <c r="F3908" i="4"/>
  <c r="G3908" i="4"/>
  <c r="F3697" i="4"/>
  <c r="G3682" i="4"/>
  <c r="F3639" i="4"/>
  <c r="G3626" i="4"/>
  <c r="F3620" i="4"/>
  <c r="F3576" i="4"/>
  <c r="F3473" i="4"/>
  <c r="G3473" i="4"/>
  <c r="F3430" i="4"/>
  <c r="G3430" i="4"/>
  <c r="G3372" i="4"/>
  <c r="G3347" i="4"/>
  <c r="F3318" i="4"/>
  <c r="G3318" i="4"/>
  <c r="F3311" i="4"/>
  <c r="G3311" i="4"/>
  <c r="F3303" i="4"/>
  <c r="G3303" i="4"/>
  <c r="F3293" i="4"/>
  <c r="G3293" i="4"/>
  <c r="F3248" i="4"/>
  <c r="G3248" i="4"/>
  <c r="F3210" i="4"/>
  <c r="F3159" i="4"/>
  <c r="G3159" i="4"/>
  <c r="F3144" i="4"/>
  <c r="G3144" i="4"/>
  <c r="G3704" i="4"/>
  <c r="F3704" i="4"/>
  <c r="G3588" i="4"/>
  <c r="F3588" i="4"/>
  <c r="F3535" i="4"/>
  <c r="G3535" i="4"/>
  <c r="G3479" i="4"/>
  <c r="F3479" i="4"/>
  <c r="F3415" i="4"/>
  <c r="G3415" i="4"/>
  <c r="F3302" i="4"/>
  <c r="G3302" i="4"/>
  <c r="F3234" i="4"/>
  <c r="G3234" i="4"/>
  <c r="G2972" i="4"/>
  <c r="F2972" i="4"/>
  <c r="G2869" i="4"/>
  <c r="F2869" i="4"/>
  <c r="F2855" i="4"/>
  <c r="G2855" i="4"/>
  <c r="F2562" i="4"/>
  <c r="G2562" i="4"/>
  <c r="F2525" i="4"/>
  <c r="G2525" i="4"/>
  <c r="F3594" i="4"/>
  <c r="G3594" i="4"/>
  <c r="G3443" i="4"/>
  <c r="F3443" i="4"/>
  <c r="F3428" i="4"/>
  <c r="G3428" i="4"/>
  <c r="G3400" i="4"/>
  <c r="F3400" i="4"/>
  <c r="G3387" i="4"/>
  <c r="F3387" i="4"/>
  <c r="F3356" i="4"/>
  <c r="G3356" i="4"/>
  <c r="F3325" i="4"/>
  <c r="G3325" i="4"/>
  <c r="F3301" i="4"/>
  <c r="G3301" i="4"/>
  <c r="F3291" i="4"/>
  <c r="F3187" i="4"/>
  <c r="G3187" i="4"/>
  <c r="F3115" i="4"/>
  <c r="G3115" i="4"/>
  <c r="G3108" i="4"/>
  <c r="G3007" i="4"/>
  <c r="F3007" i="4"/>
  <c r="F4263" i="4"/>
  <c r="G4252" i="4"/>
  <c r="F4224" i="4"/>
  <c r="F4191" i="4"/>
  <c r="F4145" i="4"/>
  <c r="G4110" i="4"/>
  <c r="G4084" i="4"/>
  <c r="G4073" i="4"/>
  <c r="F4063" i="4"/>
  <c r="G4046" i="4"/>
  <c r="G4036" i="4"/>
  <c r="F4031" i="4"/>
  <c r="G4021" i="4"/>
  <c r="F4016" i="4"/>
  <c r="G4010" i="4"/>
  <c r="G3989" i="4"/>
  <c r="F3984" i="4"/>
  <c r="G3974" i="4"/>
  <c r="G3958" i="4"/>
  <c r="F3946" i="4"/>
  <c r="F3913" i="4"/>
  <c r="F3887" i="4"/>
  <c r="G3858" i="4"/>
  <c r="G3846" i="4"/>
  <c r="G3822" i="4"/>
  <c r="F3783" i="4"/>
  <c r="G3783" i="4"/>
  <c r="F3737" i="4"/>
  <c r="G3737" i="4"/>
  <c r="G3714" i="4"/>
  <c r="G3674" i="4"/>
  <c r="G3631" i="4"/>
  <c r="G3598" i="4"/>
  <c r="G3563" i="4"/>
  <c r="G3557" i="4"/>
  <c r="G3545" i="4"/>
  <c r="F3503" i="4"/>
  <c r="G3503" i="4"/>
  <c r="G3496" i="4"/>
  <c r="G3484" i="4"/>
  <c r="G3464" i="4"/>
  <c r="F3464" i="4"/>
  <c r="F3450" i="4"/>
  <c r="G3450" i="4"/>
  <c r="F3370" i="4"/>
  <c r="G3370" i="4"/>
  <c r="G3355" i="4"/>
  <c r="F3355" i="4"/>
  <c r="G3339" i="4"/>
  <c r="F3339" i="4"/>
  <c r="F3300" i="4"/>
  <c r="G3300" i="4"/>
  <c r="F3273" i="4"/>
  <c r="G3273" i="4"/>
  <c r="F3222" i="4"/>
  <c r="G3222" i="4"/>
  <c r="F3123" i="4"/>
  <c r="G3123" i="4"/>
  <c r="F2940" i="4"/>
  <c r="G2940" i="4"/>
  <c r="G2908" i="4"/>
  <c r="F2908" i="4"/>
  <c r="F2763" i="4"/>
  <c r="G2763" i="4"/>
  <c r="F2734" i="4"/>
  <c r="G2734" i="4"/>
  <c r="F2706" i="4"/>
  <c r="G2706" i="4"/>
  <c r="G2560" i="4"/>
  <c r="F2560" i="4"/>
  <c r="F2494" i="4"/>
  <c r="G2494" i="4"/>
  <c r="F2469" i="4"/>
  <c r="G2469" i="4"/>
  <c r="G2451" i="4"/>
  <c r="F2451" i="4"/>
  <c r="F2411" i="4"/>
  <c r="G2411" i="4"/>
  <c r="G2368" i="4"/>
  <c r="G2351" i="4"/>
  <c r="F4127" i="4"/>
  <c r="G4121" i="4"/>
  <c r="G4116" i="4"/>
  <c r="F4057" i="4"/>
  <c r="F3999" i="4"/>
  <c r="F3952" i="4"/>
  <c r="F3930" i="4"/>
  <c r="F3919" i="4"/>
  <c r="G3898" i="4"/>
  <c r="F3867" i="4"/>
  <c r="G3867" i="4"/>
  <c r="F3789" i="4"/>
  <c r="G3765" i="4"/>
  <c r="F3742" i="4"/>
  <c r="F3687" i="4"/>
  <c r="F3662" i="4"/>
  <c r="G3649" i="4"/>
  <c r="F3618" i="4"/>
  <c r="G3618" i="4"/>
  <c r="F3611" i="4"/>
  <c r="F3604" i="4"/>
  <c r="G3581" i="4"/>
  <c r="F3581" i="4"/>
  <c r="F3502" i="4"/>
  <c r="G3471" i="4"/>
  <c r="F3407" i="4"/>
  <c r="G3308" i="4"/>
  <c r="F3308" i="4"/>
  <c r="F3290" i="4"/>
  <c r="G3290" i="4"/>
  <c r="F3254" i="4"/>
  <c r="G3254" i="4"/>
  <c r="F3245" i="4"/>
  <c r="G3245" i="4"/>
  <c r="F3221" i="4"/>
  <c r="G3221" i="4"/>
  <c r="F3164" i="4"/>
  <c r="G3164" i="4"/>
  <c r="F3141" i="4"/>
  <c r="G3141" i="4"/>
  <c r="F3100" i="4"/>
  <c r="G3100" i="4"/>
  <c r="F3060" i="4"/>
  <c r="G3060" i="4"/>
  <c r="G3872" i="4"/>
  <c r="F3872" i="4"/>
  <c r="F3803" i="4"/>
  <c r="G3803" i="4"/>
  <c r="G3426" i="4"/>
  <c r="F3426" i="4"/>
  <c r="F3413" i="4"/>
  <c r="G3413" i="4"/>
  <c r="F3337" i="4"/>
  <c r="G3337" i="4"/>
  <c r="F3298" i="4"/>
  <c r="G3298" i="4"/>
  <c r="G3280" i="4"/>
  <c r="F3280" i="4"/>
  <c r="F3263" i="4"/>
  <c r="G3263" i="4"/>
  <c r="G3220" i="4"/>
  <c r="F3220" i="4"/>
  <c r="G3171" i="4"/>
  <c r="F3171" i="4"/>
  <c r="F2999" i="4"/>
  <c r="G2999" i="4"/>
  <c r="F3209" i="4"/>
  <c r="G3209" i="4"/>
  <c r="G3147" i="4"/>
  <c r="F3147" i="4"/>
  <c r="F3088" i="4"/>
  <c r="G3088" i="4"/>
  <c r="G2873" i="4"/>
  <c r="F2873" i="4"/>
  <c r="F2848" i="4"/>
  <c r="G2848" i="4"/>
  <c r="F2786" i="4"/>
  <c r="G2786" i="4"/>
  <c r="F2702" i="4"/>
  <c r="G2702" i="4"/>
  <c r="G2592" i="4"/>
  <c r="F2592" i="4"/>
  <c r="F2539" i="4"/>
  <c r="G2539" i="4"/>
  <c r="F2509" i="4"/>
  <c r="G2509" i="4"/>
  <c r="G2406" i="4"/>
  <c r="F2406" i="4"/>
  <c r="G2331" i="4"/>
  <c r="F3257" i="4"/>
  <c r="G3257" i="4"/>
  <c r="F3228" i="4"/>
  <c r="G3228" i="4"/>
  <c r="G2943" i="4"/>
  <c r="F2943" i="4"/>
  <c r="F2912" i="4"/>
  <c r="G2912" i="4"/>
  <c r="G2903" i="4"/>
  <c r="F2903" i="4"/>
  <c r="F2871" i="4"/>
  <c r="G2871" i="4"/>
  <c r="G2830" i="4"/>
  <c r="F2830" i="4"/>
  <c r="G2719" i="4"/>
  <c r="F2719" i="4"/>
  <c r="G2637" i="4"/>
  <c r="F2637" i="4"/>
  <c r="F3433" i="4"/>
  <c r="G3433" i="4"/>
  <c r="F3173" i="4"/>
  <c r="G3173" i="4"/>
  <c r="F3158" i="4"/>
  <c r="G3158" i="4"/>
  <c r="F3085" i="4"/>
  <c r="G3085" i="4"/>
  <c r="F2910" i="4"/>
  <c r="G2910" i="4"/>
  <c r="G2828" i="4"/>
  <c r="F2828" i="4"/>
  <c r="G2793" i="4"/>
  <c r="F2793" i="4"/>
  <c r="F2727" i="4"/>
  <c r="G2727" i="4"/>
  <c r="G2563" i="4"/>
  <c r="F2563" i="4"/>
  <c r="F2506" i="4"/>
  <c r="G2506" i="4"/>
  <c r="G2488" i="4"/>
  <c r="F2488" i="4"/>
  <c r="F2380" i="4"/>
  <c r="G2380" i="4"/>
  <c r="G2371" i="4"/>
  <c r="F2371" i="4"/>
  <c r="G2362" i="4"/>
  <c r="F3333" i="4"/>
  <c r="G3333" i="4"/>
  <c r="F3143" i="4"/>
  <c r="G3143" i="4"/>
  <c r="F3104" i="4"/>
  <c r="G3104" i="4"/>
  <c r="G3068" i="4"/>
  <c r="F3068" i="4"/>
  <c r="G3044" i="4"/>
  <c r="F3044" i="4"/>
  <c r="F2844" i="4"/>
  <c r="G2844" i="4"/>
  <c r="G2809" i="4"/>
  <c r="F2809" i="4"/>
  <c r="G2624" i="4"/>
  <c r="F2624" i="4"/>
  <c r="F2524" i="4"/>
  <c r="G2524" i="4"/>
  <c r="G2452" i="4"/>
  <c r="F2452" i="4"/>
  <c r="G2336" i="4"/>
  <c r="F3916" i="4"/>
  <c r="G3916" i="4"/>
  <c r="G3468" i="4"/>
  <c r="G3449" i="4"/>
  <c r="G3408" i="4"/>
  <c r="G3390" i="4"/>
  <c r="G3365" i="4"/>
  <c r="G3344" i="4"/>
  <c r="F3338" i="4"/>
  <c r="F3331" i="4"/>
  <c r="F3299" i="4"/>
  <c r="G3292" i="4"/>
  <c r="G3285" i="4"/>
  <c r="F3270" i="4"/>
  <c r="G3178" i="4"/>
  <c r="F3163" i="4"/>
  <c r="G3163" i="4"/>
  <c r="G3155" i="4"/>
  <c r="F3117" i="4"/>
  <c r="G3117" i="4"/>
  <c r="G3042" i="4"/>
  <c r="F3042" i="4"/>
  <c r="F3034" i="4"/>
  <c r="G2916" i="4"/>
  <c r="G2762" i="4"/>
  <c r="F2762" i="4"/>
  <c r="F2522" i="4"/>
  <c r="G2522" i="4"/>
  <c r="F2503" i="4"/>
  <c r="G2503" i="4"/>
  <c r="F2493" i="4"/>
  <c r="G2493" i="4"/>
  <c r="F2399" i="4"/>
  <c r="G2399" i="4"/>
  <c r="G2342" i="4"/>
  <c r="F3261" i="4"/>
  <c r="G3261" i="4"/>
  <c r="G3232" i="4"/>
  <c r="F3232" i="4"/>
  <c r="F3215" i="4"/>
  <c r="G3215" i="4"/>
  <c r="F3190" i="4"/>
  <c r="G3190" i="4"/>
  <c r="G3116" i="4"/>
  <c r="F3116" i="4"/>
  <c r="G3065" i="4"/>
  <c r="F3065" i="4"/>
  <c r="F2990" i="4"/>
  <c r="G2990" i="4"/>
  <c r="F2851" i="4"/>
  <c r="G2851" i="4"/>
  <c r="F2842" i="4"/>
  <c r="G2842" i="4"/>
  <c r="F2542" i="4"/>
  <c r="G2542" i="4"/>
  <c r="G2502" i="4"/>
  <c r="F2502" i="4"/>
  <c r="G3033" i="4"/>
  <c r="F3033" i="4"/>
  <c r="F2907" i="4"/>
  <c r="G2907" i="4"/>
  <c r="F2561" i="4"/>
  <c r="G2561" i="4"/>
  <c r="F2501" i="4"/>
  <c r="G2501" i="4"/>
  <c r="F2492" i="4"/>
  <c r="G2492" i="4"/>
  <c r="F2484" i="4"/>
  <c r="G2484" i="4"/>
  <c r="G2379" i="4"/>
  <c r="F2379" i="4"/>
  <c r="G2330" i="4"/>
  <c r="F2928" i="4"/>
  <c r="G2928" i="4"/>
  <c r="F2814" i="4"/>
  <c r="G2814" i="4"/>
  <c r="F2718" i="4"/>
  <c r="G2718" i="4"/>
  <c r="G2576" i="4"/>
  <c r="F2576" i="4"/>
  <c r="F2559" i="4"/>
  <c r="G2559" i="4"/>
  <c r="G2544" i="4"/>
  <c r="F2544" i="4"/>
  <c r="G2499" i="4"/>
  <c r="F2499" i="4"/>
  <c r="F2482" i="4"/>
  <c r="G2482" i="4"/>
  <c r="G2448" i="4"/>
  <c r="F2448" i="4"/>
  <c r="F2434" i="4"/>
  <c r="G2434" i="4"/>
  <c r="G2419" i="4"/>
  <c r="F2419" i="4"/>
  <c r="F2410" i="4"/>
  <c r="G2410" i="4"/>
  <c r="G2969" i="4"/>
  <c r="F2969" i="4"/>
  <c r="G2913" i="4"/>
  <c r="F2913" i="4"/>
  <c r="G2876" i="4"/>
  <c r="F2876" i="4"/>
  <c r="G2821" i="4"/>
  <c r="F2821" i="4"/>
  <c r="F2680" i="4"/>
  <c r="G2680" i="4"/>
  <c r="F2613" i="4"/>
  <c r="G2613" i="4"/>
  <c r="G2440" i="4"/>
  <c r="F2440" i="4"/>
  <c r="G2392" i="4"/>
  <c r="F2392" i="4"/>
  <c r="G2352" i="4"/>
  <c r="G2344" i="4"/>
  <c r="F3062" i="4"/>
  <c r="G3062" i="4"/>
  <c r="G2911" i="4"/>
  <c r="F2911" i="4"/>
  <c r="G2852" i="4"/>
  <c r="F2852" i="4"/>
  <c r="G2779" i="4"/>
  <c r="F2779" i="4"/>
  <c r="F2742" i="4"/>
  <c r="G2742" i="4"/>
  <c r="G2733" i="4"/>
  <c r="F2733" i="4"/>
  <c r="G2707" i="4"/>
  <c r="F2707" i="4"/>
  <c r="F2591" i="4"/>
  <c r="G2591" i="4"/>
  <c r="G2584" i="4"/>
  <c r="F2584" i="4"/>
  <c r="F2573" i="4"/>
  <c r="G2573" i="4"/>
  <c r="F2556" i="4"/>
  <c r="G2556" i="4"/>
  <c r="F2541" i="4"/>
  <c r="G2541" i="4"/>
  <c r="F2533" i="4"/>
  <c r="G2533" i="4"/>
  <c r="G2523" i="4"/>
  <c r="F2523" i="4"/>
  <c r="F2407" i="4"/>
  <c r="G2407" i="4"/>
  <c r="G2384" i="4"/>
  <c r="F2384" i="4"/>
  <c r="G2325" i="4"/>
  <c r="G3041" i="4"/>
  <c r="F3041" i="4"/>
  <c r="G2889" i="4"/>
  <c r="F2889" i="4"/>
  <c r="G2850" i="4"/>
  <c r="F2850" i="4"/>
  <c r="F2827" i="4"/>
  <c r="G2827" i="4"/>
  <c r="G2487" i="4"/>
  <c r="F2487" i="4"/>
  <c r="G2462" i="4"/>
  <c r="F2462" i="4"/>
  <c r="G2454" i="4"/>
  <c r="F2454" i="4"/>
  <c r="F2405" i="4"/>
  <c r="G2405" i="4"/>
  <c r="F3207" i="4"/>
  <c r="G3207" i="4"/>
  <c r="G2849" i="4"/>
  <c r="F2849" i="4"/>
  <c r="F2581" i="4"/>
  <c r="G2581" i="4"/>
  <c r="G2486" i="4"/>
  <c r="F2486" i="4"/>
  <c r="F2453" i="4"/>
  <c r="G2453" i="4"/>
  <c r="F2423" i="4"/>
  <c r="G2423" i="4"/>
  <c r="G2333" i="4"/>
  <c r="F9234" i="4"/>
  <c r="G9234" i="4"/>
  <c r="F8946" i="4"/>
  <c r="G8946" i="4"/>
  <c r="F8850" i="4"/>
  <c r="G8850" i="4"/>
  <c r="F8642" i="4"/>
  <c r="G8642" i="4"/>
  <c r="F8550" i="4"/>
  <c r="G8550" i="4"/>
  <c r="F8482" i="4"/>
  <c r="G8482" i="4"/>
  <c r="F8445" i="4"/>
  <c r="G8445" i="4"/>
  <c r="G8387" i="4"/>
  <c r="F8387" i="4"/>
  <c r="G7933" i="4"/>
  <c r="F7933" i="4"/>
  <c r="F7882" i="4"/>
  <c r="G7882" i="4"/>
  <c r="F7726" i="4"/>
  <c r="G7726" i="4"/>
  <c r="G7455" i="4"/>
  <c r="F7455" i="4"/>
  <c r="G7199" i="4"/>
  <c r="F7199" i="4"/>
  <c r="G7075" i="4"/>
  <c r="F7075" i="4"/>
  <c r="F6946" i="4"/>
  <c r="G6946" i="4"/>
  <c r="F6547" i="4"/>
  <c r="G6547" i="4"/>
  <c r="G6354" i="4"/>
  <c r="F6354" i="4"/>
  <c r="F6267" i="4"/>
  <c r="G6267" i="4"/>
  <c r="F6221" i="4"/>
  <c r="G6221" i="4"/>
  <c r="F6101" i="4"/>
  <c r="G6101" i="4"/>
  <c r="G6023" i="4"/>
  <c r="F6023" i="4"/>
  <c r="G5651" i="4"/>
  <c r="F5651" i="4"/>
  <c r="G9408" i="4"/>
  <c r="G9390" i="4"/>
  <c r="G9358" i="4"/>
  <c r="F9321" i="4"/>
  <c r="G9298" i="4"/>
  <c r="G9238" i="4"/>
  <c r="G9026" i="4"/>
  <c r="G9003" i="4"/>
  <c r="F8994" i="4"/>
  <c r="G8994" i="4"/>
  <c r="F8969" i="4"/>
  <c r="G8950" i="4"/>
  <c r="G8926" i="4"/>
  <c r="G8906" i="4"/>
  <c r="G8878" i="4"/>
  <c r="F8849" i="4"/>
  <c r="F8754" i="4"/>
  <c r="G8754" i="4"/>
  <c r="G8704" i="4"/>
  <c r="G8694" i="4"/>
  <c r="G8678" i="4"/>
  <c r="G8668" i="4"/>
  <c r="G8585" i="4"/>
  <c r="F8557" i="4"/>
  <c r="F8444" i="4"/>
  <c r="G8444" i="4"/>
  <c r="F8241" i="4"/>
  <c r="G8241" i="4"/>
  <c r="F8214" i="4"/>
  <c r="G8214" i="4"/>
  <c r="G8071" i="4"/>
  <c r="F8071" i="4"/>
  <c r="F9330" i="4"/>
  <c r="G9330" i="4"/>
  <c r="F8974" i="4"/>
  <c r="G8974" i="4"/>
  <c r="F8854" i="4"/>
  <c r="G8854" i="4"/>
  <c r="F8619" i="4"/>
  <c r="G8619" i="4"/>
  <c r="F8607" i="4"/>
  <c r="G8607" i="4"/>
  <c r="F8407" i="4"/>
  <c r="G8407" i="4"/>
  <c r="F8378" i="4"/>
  <c r="G8378" i="4"/>
  <c r="G8339" i="4"/>
  <c r="F8339" i="4"/>
  <c r="G8160" i="4"/>
  <c r="F8160" i="4"/>
  <c r="G9442" i="4"/>
  <c r="G9429" i="4"/>
  <c r="G9407" i="4"/>
  <c r="G9389" i="4"/>
  <c r="G9380" i="4"/>
  <c r="G9371" i="4"/>
  <c r="G9357" i="4"/>
  <c r="G9334" i="4"/>
  <c r="G9329" i="4"/>
  <c r="G9320" i="4"/>
  <c r="G9311" i="4"/>
  <c r="G9297" i="4"/>
  <c r="G9251" i="4"/>
  <c r="G9237" i="4"/>
  <c r="G9228" i="4"/>
  <c r="G9168" i="4"/>
  <c r="G9122" i="4"/>
  <c r="G9099" i="4"/>
  <c r="F9090" i="4"/>
  <c r="G9090" i="4"/>
  <c r="G9085" i="4"/>
  <c r="G9062" i="4"/>
  <c r="G9048" i="4"/>
  <c r="G9039" i="4"/>
  <c r="G9030" i="4"/>
  <c r="G9016" i="4"/>
  <c r="F9007" i="4"/>
  <c r="G9002" i="4"/>
  <c r="G8988" i="4"/>
  <c r="G8973" i="4"/>
  <c r="G8949" i="4"/>
  <c r="G8940" i="4"/>
  <c r="G8935" i="4"/>
  <c r="G8925" i="4"/>
  <c r="G8853" i="4"/>
  <c r="G8848" i="4"/>
  <c r="G8800" i="4"/>
  <c r="G8729" i="4"/>
  <c r="G8703" i="4"/>
  <c r="G8677" i="4"/>
  <c r="F8667" i="4"/>
  <c r="G8667" i="4"/>
  <c r="G8556" i="4"/>
  <c r="F8556" i="4"/>
  <c r="F8516" i="4"/>
  <c r="G8516" i="4"/>
  <c r="F8406" i="4"/>
  <c r="G8406" i="4"/>
  <c r="F8359" i="4"/>
  <c r="G8359" i="4"/>
  <c r="F8246" i="4"/>
  <c r="G8246" i="4"/>
  <c r="F8220" i="4"/>
  <c r="G8220" i="4"/>
  <c r="F8078" i="4"/>
  <c r="G8078" i="4"/>
  <c r="F7983" i="4"/>
  <c r="G7983" i="4"/>
  <c r="G9420" i="4"/>
  <c r="G9398" i="4"/>
  <c r="G9366" i="4"/>
  <c r="G9352" i="4"/>
  <c r="F9343" i="4"/>
  <c r="G9338" i="4"/>
  <c r="G9306" i="4"/>
  <c r="G9274" i="4"/>
  <c r="G9269" i="4"/>
  <c r="F9260" i="4"/>
  <c r="G9246" i="4"/>
  <c r="G9214" i="4"/>
  <c r="F9177" i="4"/>
  <c r="G9154" i="4"/>
  <c r="G9094" i="4"/>
  <c r="G8958" i="4"/>
  <c r="G8910" i="4"/>
  <c r="F8891" i="4"/>
  <c r="G8886" i="4"/>
  <c r="G8838" i="4"/>
  <c r="G8814" i="4"/>
  <c r="F8748" i="4"/>
  <c r="G8738" i="4"/>
  <c r="G8713" i="4"/>
  <c r="G8672" i="4"/>
  <c r="G8666" i="4"/>
  <c r="F8555" i="4"/>
  <c r="G8555" i="4"/>
  <c r="F8515" i="4"/>
  <c r="G8515" i="4"/>
  <c r="F8083" i="4"/>
  <c r="G8083" i="4"/>
  <c r="F9186" i="4"/>
  <c r="G9186" i="4"/>
  <c r="F8594" i="4"/>
  <c r="G8594" i="4"/>
  <c r="F8554" i="4"/>
  <c r="G8554" i="4"/>
  <c r="F8526" i="4"/>
  <c r="G8526" i="4"/>
  <c r="G8487" i="4"/>
  <c r="F8487" i="4"/>
  <c r="F8454" i="4"/>
  <c r="G8454" i="4"/>
  <c r="F8430" i="4"/>
  <c r="G8430" i="4"/>
  <c r="F8113" i="4"/>
  <c r="G8113" i="4"/>
  <c r="G9441" i="4"/>
  <c r="G9428" i="4"/>
  <c r="G9419" i="4"/>
  <c r="G9406" i="4"/>
  <c r="G9397" i="4"/>
  <c r="G9388" i="4"/>
  <c r="G9379" i="4"/>
  <c r="G9370" i="4"/>
  <c r="G9365" i="4"/>
  <c r="F9356" i="4"/>
  <c r="G9351" i="4"/>
  <c r="G9337" i="4"/>
  <c r="G9328" i="4"/>
  <c r="G9319" i="4"/>
  <c r="G9305" i="4"/>
  <c r="G9296" i="4"/>
  <c r="G9268" i="4"/>
  <c r="G9259" i="4"/>
  <c r="G9245" i="4"/>
  <c r="G9236" i="4"/>
  <c r="G9227" i="4"/>
  <c r="G9213" i="4"/>
  <c r="G9190" i="4"/>
  <c r="G9185" i="4"/>
  <c r="G9176" i="4"/>
  <c r="G9167" i="4"/>
  <c r="G9153" i="4"/>
  <c r="G9107" i="4"/>
  <c r="G9093" i="4"/>
  <c r="G9084" i="4"/>
  <c r="G9024" i="4"/>
  <c r="F8972" i="4"/>
  <c r="G8957" i="4"/>
  <c r="G8948" i="4"/>
  <c r="G8939" i="4"/>
  <c r="G8934" i="4"/>
  <c r="F8924" i="4"/>
  <c r="F8909" i="4"/>
  <c r="G8904" i="4"/>
  <c r="G8890" i="4"/>
  <c r="G8885" i="4"/>
  <c r="G8852" i="4"/>
  <c r="G8847" i="4"/>
  <c r="G8837" i="4"/>
  <c r="G8799" i="4"/>
  <c r="F8771" i="4"/>
  <c r="G8766" i="4"/>
  <c r="G8761" i="4"/>
  <c r="G8747" i="4"/>
  <c r="F8697" i="4"/>
  <c r="F8671" i="4"/>
  <c r="G8665" i="4"/>
  <c r="G8655" i="4"/>
  <c r="F8623" i="4"/>
  <c r="G8611" i="4"/>
  <c r="G8573" i="4"/>
  <c r="F8561" i="4"/>
  <c r="G8561" i="4"/>
  <c r="F8553" i="4"/>
  <c r="G8553" i="4"/>
  <c r="F8486" i="4"/>
  <c r="G8486" i="4"/>
  <c r="F8383" i="4"/>
  <c r="G8383" i="4"/>
  <c r="F8251" i="4"/>
  <c r="G8251" i="4"/>
  <c r="F8198" i="4"/>
  <c r="G8198" i="4"/>
  <c r="G9432" i="4"/>
  <c r="G9314" i="4"/>
  <c r="G9291" i="4"/>
  <c r="F9282" i="4"/>
  <c r="G9282" i="4"/>
  <c r="G9254" i="4"/>
  <c r="G9222" i="4"/>
  <c r="G9208" i="4"/>
  <c r="F9199" i="4"/>
  <c r="G9194" i="4"/>
  <c r="G9162" i="4"/>
  <c r="G9130" i="4"/>
  <c r="G9125" i="4"/>
  <c r="F9116" i="4"/>
  <c r="G9102" i="4"/>
  <c r="G9070" i="4"/>
  <c r="F9033" i="4"/>
  <c r="G9010" i="4"/>
  <c r="G8981" i="4"/>
  <c r="G8962" i="4"/>
  <c r="F8914" i="4"/>
  <c r="G8914" i="4"/>
  <c r="G8866" i="4"/>
  <c r="G8842" i="4"/>
  <c r="G8818" i="4"/>
  <c r="G8808" i="4"/>
  <c r="G8794" i="4"/>
  <c r="G8789" i="4"/>
  <c r="F8780" i="4"/>
  <c r="G8742" i="4"/>
  <c r="F8616" i="4"/>
  <c r="G8616" i="4"/>
  <c r="G8599" i="4"/>
  <c r="F8560" i="4"/>
  <c r="G8560" i="4"/>
  <c r="G8531" i="4"/>
  <c r="F8531" i="4"/>
  <c r="G8513" i="4"/>
  <c r="G8448" i="4"/>
  <c r="F8448" i="4"/>
  <c r="G8411" i="4"/>
  <c r="F8329" i="4"/>
  <c r="G8329" i="4"/>
  <c r="F9042" i="4"/>
  <c r="G9042" i="4"/>
  <c r="G8784" i="4"/>
  <c r="G8765" i="4"/>
  <c r="G8751" i="4"/>
  <c r="G8701" i="4"/>
  <c r="G8664" i="4"/>
  <c r="F8530" i="4"/>
  <c r="G8530" i="4"/>
  <c r="F8364" i="4"/>
  <c r="G8364" i="4"/>
  <c r="F8349" i="4"/>
  <c r="G8349" i="4"/>
  <c r="F8230" i="4"/>
  <c r="G8230" i="4"/>
  <c r="F8203" i="4"/>
  <c r="G8203" i="4"/>
  <c r="G9440" i="4"/>
  <c r="G9387" i="4"/>
  <c r="F9378" i="4"/>
  <c r="G9378" i="4"/>
  <c r="G9350" i="4"/>
  <c r="G9318" i="4"/>
  <c r="G9304" i="4"/>
  <c r="F9295" i="4"/>
  <c r="G9290" i="4"/>
  <c r="G9258" i="4"/>
  <c r="G9226" i="4"/>
  <c r="G9221" i="4"/>
  <c r="F9212" i="4"/>
  <c r="G9198" i="4"/>
  <c r="G9166" i="4"/>
  <c r="F9129" i="4"/>
  <c r="G9106" i="4"/>
  <c r="G9046" i="4"/>
  <c r="G8938" i="4"/>
  <c r="F8841" i="4"/>
  <c r="F8817" i="4"/>
  <c r="F8793" i="4"/>
  <c r="G8746" i="4"/>
  <c r="G8741" i="4"/>
  <c r="F8706" i="4"/>
  <c r="G8706" i="4"/>
  <c r="G8680" i="4"/>
  <c r="G8587" i="4"/>
  <c r="G8582" i="4"/>
  <c r="F8402" i="4"/>
  <c r="G8402" i="4"/>
  <c r="G8040" i="4"/>
  <c r="F8040" i="4"/>
  <c r="G9988" i="4"/>
  <c r="G9980" i="4"/>
  <c r="G9972" i="4"/>
  <c r="G9964" i="4"/>
  <c r="G9956" i="4"/>
  <c r="G9948" i="4"/>
  <c r="G9940" i="4"/>
  <c r="G9932" i="4"/>
  <c r="G9924" i="4"/>
  <c r="G9916" i="4"/>
  <c r="G9908" i="4"/>
  <c r="G9900" i="4"/>
  <c r="G9892" i="4"/>
  <c r="G9880" i="4"/>
  <c r="G9868" i="4"/>
  <c r="G9860" i="4"/>
  <c r="G9852" i="4"/>
  <c r="G9844" i="4"/>
  <c r="G9836" i="4"/>
  <c r="G9828" i="4"/>
  <c r="G9820" i="4"/>
  <c r="G9812" i="4"/>
  <c r="G9804" i="4"/>
  <c r="G9796" i="4"/>
  <c r="G9784" i="4"/>
  <c r="G9776" i="4"/>
  <c r="G9768" i="4"/>
  <c r="G9760" i="4"/>
  <c r="G9752" i="4"/>
  <c r="G9744" i="4"/>
  <c r="G9732" i="4"/>
  <c r="G9724" i="4"/>
  <c r="G9716" i="4"/>
  <c r="G9704" i="4"/>
  <c r="G9696" i="4"/>
  <c r="G9688" i="4"/>
  <c r="G9676" i="4"/>
  <c r="G9664" i="4"/>
  <c r="G9656" i="4"/>
  <c r="G9648" i="4"/>
  <c r="G9640" i="4"/>
  <c r="G9632" i="4"/>
  <c r="G9620" i="4"/>
  <c r="G9612" i="4"/>
  <c r="G9604" i="4"/>
  <c r="G9600" i="4"/>
  <c r="G9592" i="4"/>
  <c r="G9584" i="4"/>
  <c r="G9572" i="4"/>
  <c r="G9568" i="4"/>
  <c r="G9560" i="4"/>
  <c r="G9552" i="4"/>
  <c r="G9548" i="4"/>
  <c r="G9540" i="4"/>
  <c r="G9536" i="4"/>
  <c r="G9532" i="4"/>
  <c r="G9524" i="4"/>
  <c r="G9520" i="4"/>
  <c r="G9516" i="4"/>
  <c r="G9512" i="4"/>
  <c r="G9508" i="4"/>
  <c r="G9504" i="4"/>
  <c r="G9500" i="4"/>
  <c r="G9496" i="4"/>
  <c r="G9488" i="4"/>
  <c r="G9484" i="4"/>
  <c r="G9480" i="4"/>
  <c r="G9476" i="4"/>
  <c r="G9472" i="4"/>
  <c r="G9468" i="4"/>
  <c r="G9464" i="4"/>
  <c r="G9460" i="4"/>
  <c r="G9456" i="4"/>
  <c r="G9452" i="4"/>
  <c r="G9448" i="4"/>
  <c r="G9299" i="4"/>
  <c r="G9285" i="4"/>
  <c r="G9276" i="4"/>
  <c r="G9216" i="4"/>
  <c r="F9138" i="4"/>
  <c r="G9138" i="4"/>
  <c r="G9133" i="4"/>
  <c r="G9096" i="4"/>
  <c r="G9087" i="4"/>
  <c r="G9027" i="4"/>
  <c r="G9013" i="4"/>
  <c r="G9004" i="4"/>
  <c r="G8995" i="4"/>
  <c r="G8927" i="4"/>
  <c r="G8917" i="4"/>
  <c r="F8898" i="4"/>
  <c r="G8898" i="4"/>
  <c r="G8893" i="4"/>
  <c r="G8888" i="4"/>
  <c r="G8879" i="4"/>
  <c r="G8869" i="4"/>
  <c r="G8860" i="4"/>
  <c r="G8821" i="4"/>
  <c r="G8797" i="4"/>
  <c r="G8769" i="4"/>
  <c r="G8755" i="4"/>
  <c r="G8731" i="4"/>
  <c r="F8690" i="4"/>
  <c r="G8690" i="4"/>
  <c r="G8669" i="4"/>
  <c r="F8566" i="4"/>
  <c r="G8566" i="4"/>
  <c r="F8209" i="4"/>
  <c r="G8209" i="4"/>
  <c r="F8136" i="4"/>
  <c r="G8136" i="4"/>
  <c r="G9996" i="4"/>
  <c r="G9992" i="4"/>
  <c r="G9984" i="4"/>
  <c r="G9976" i="4"/>
  <c r="G9968" i="4"/>
  <c r="G9960" i="4"/>
  <c r="G9952" i="4"/>
  <c r="G9944" i="4"/>
  <c r="G9936" i="4"/>
  <c r="G9928" i="4"/>
  <c r="G9920" i="4"/>
  <c r="G9912" i="4"/>
  <c r="G9904" i="4"/>
  <c r="G9896" i="4"/>
  <c r="G9888" i="4"/>
  <c r="G9884" i="4"/>
  <c r="G9876" i="4"/>
  <c r="G9872" i="4"/>
  <c r="G9864" i="4"/>
  <c r="G9856" i="4"/>
  <c r="G9848" i="4"/>
  <c r="G9840" i="4"/>
  <c r="G9832" i="4"/>
  <c r="G9824" i="4"/>
  <c r="G9816" i="4"/>
  <c r="G9808" i="4"/>
  <c r="G9800" i="4"/>
  <c r="G9792" i="4"/>
  <c r="G9788" i="4"/>
  <c r="G9780" i="4"/>
  <c r="G9772" i="4"/>
  <c r="G9764" i="4"/>
  <c r="G9756" i="4"/>
  <c r="G9748" i="4"/>
  <c r="G9740" i="4"/>
  <c r="G9736" i="4"/>
  <c r="G9728" i="4"/>
  <c r="G9720" i="4"/>
  <c r="G9712" i="4"/>
  <c r="G9708" i="4"/>
  <c r="G9700" i="4"/>
  <c r="G9692" i="4"/>
  <c r="G9684" i="4"/>
  <c r="G9680" i="4"/>
  <c r="G9672" i="4"/>
  <c r="G9668" i="4"/>
  <c r="G9660" i="4"/>
  <c r="G9652" i="4"/>
  <c r="G9644" i="4"/>
  <c r="G9636" i="4"/>
  <c r="G9628" i="4"/>
  <c r="G9624" i="4"/>
  <c r="G9616" i="4"/>
  <c r="G9608" i="4"/>
  <c r="G9596" i="4"/>
  <c r="G9588" i="4"/>
  <c r="G9580" i="4"/>
  <c r="G9576" i="4"/>
  <c r="G9564" i="4"/>
  <c r="G9556" i="4"/>
  <c r="G9544" i="4"/>
  <c r="G9528" i="4"/>
  <c r="G9492" i="4"/>
  <c r="G9435" i="4"/>
  <c r="G9422" i="4"/>
  <c r="G9409" i="4"/>
  <c r="G9377" i="4"/>
  <c r="G9368" i="4"/>
  <c r="G9359" i="4"/>
  <c r="G9345" i="4"/>
  <c r="G9400" i="4"/>
  <c r="F9391" i="4"/>
  <c r="G9386" i="4"/>
  <c r="G9354" i="4"/>
  <c r="G9322" i="4"/>
  <c r="G9317" i="4"/>
  <c r="F9308" i="4"/>
  <c r="G9294" i="4"/>
  <c r="G9262" i="4"/>
  <c r="F9225" i="4"/>
  <c r="G9202" i="4"/>
  <c r="G9142" i="4"/>
  <c r="G8970" i="4"/>
  <c r="G8937" i="4"/>
  <c r="F8937" i="4"/>
  <c r="G8907" i="4"/>
  <c r="G8845" i="4"/>
  <c r="F8840" i="4"/>
  <c r="F8802" i="4"/>
  <c r="G8802" i="4"/>
  <c r="F8745" i="4"/>
  <c r="G8695" i="4"/>
  <c r="G8679" i="4"/>
  <c r="G8674" i="4"/>
  <c r="F8653" i="4"/>
  <c r="G8614" i="4"/>
  <c r="G8586" i="4"/>
  <c r="G8558" i="4"/>
  <c r="G8464" i="4"/>
  <c r="F8464" i="4"/>
  <c r="F8388" i="4"/>
  <c r="G8388" i="4"/>
  <c r="F8610" i="4"/>
  <c r="G8610" i="4"/>
  <c r="G8382" i="4"/>
  <c r="G8363" i="4"/>
  <c r="F8358" i="4"/>
  <c r="G8358" i="4"/>
  <c r="G8348" i="4"/>
  <c r="G8338" i="4"/>
  <c r="G8250" i="4"/>
  <c r="G8240" i="4"/>
  <c r="G8229" i="4"/>
  <c r="G8219" i="4"/>
  <c r="G8202" i="4"/>
  <c r="G8197" i="4"/>
  <c r="G8186" i="4"/>
  <c r="G8159" i="4"/>
  <c r="G8135" i="4"/>
  <c r="F8129" i="4"/>
  <c r="G8077" i="4"/>
  <c r="F8077" i="4"/>
  <c r="F8070" i="4"/>
  <c r="G8070" i="4"/>
  <c r="F8064" i="4"/>
  <c r="F8039" i="4"/>
  <c r="G8039" i="4"/>
  <c r="G8015" i="4"/>
  <c r="F7982" i="4"/>
  <c r="G7982" i="4"/>
  <c r="F7945" i="4"/>
  <c r="F7932" i="4"/>
  <c r="G7932" i="4"/>
  <c r="F7607" i="4"/>
  <c r="G7607" i="4"/>
  <c r="F7575" i="4"/>
  <c r="G7575" i="4"/>
  <c r="F8298" i="4"/>
  <c r="G8298" i="4"/>
  <c r="F8266" i="4"/>
  <c r="G8266" i="4"/>
  <c r="F8191" i="4"/>
  <c r="G8191" i="4"/>
  <c r="F8094" i="4"/>
  <c r="G8094" i="4"/>
  <c r="F7988" i="4"/>
  <c r="G7988" i="4"/>
  <c r="F7974" i="4"/>
  <c r="G7974" i="4"/>
  <c r="F7887" i="4"/>
  <c r="G7887" i="4"/>
  <c r="F7833" i="4"/>
  <c r="G7833" i="4"/>
  <c r="F7731" i="4"/>
  <c r="G7731" i="4"/>
  <c r="F7537" i="4"/>
  <c r="G7537" i="4"/>
  <c r="F7466" i="4"/>
  <c r="G7466" i="4"/>
  <c r="F7356" i="4"/>
  <c r="G7356" i="4"/>
  <c r="G8410" i="4"/>
  <c r="G8381" i="4"/>
  <c r="G8362" i="4"/>
  <c r="G8332" i="4"/>
  <c r="G8297" i="4"/>
  <c r="F8260" i="4"/>
  <c r="G8249" i="4"/>
  <c r="G8239" i="4"/>
  <c r="G8228" i="4"/>
  <c r="G8218" i="4"/>
  <c r="G7987" i="4"/>
  <c r="F7987" i="4"/>
  <c r="F7950" i="4"/>
  <c r="G7950" i="4"/>
  <c r="F7838" i="4"/>
  <c r="G7838" i="4"/>
  <c r="F7775" i="4"/>
  <c r="G7775" i="4"/>
  <c r="F7471" i="4"/>
  <c r="G7471" i="4"/>
  <c r="F8169" i="4"/>
  <c r="G8169" i="4"/>
  <c r="F8146" i="4"/>
  <c r="G8146" i="4"/>
  <c r="F8122" i="4"/>
  <c r="G8122" i="4"/>
  <c r="G8099" i="4"/>
  <c r="F8099" i="4"/>
  <c r="G7939" i="4"/>
  <c r="F7939" i="4"/>
  <c r="F7892" i="4"/>
  <c r="G7892" i="4"/>
  <c r="F7553" i="4"/>
  <c r="G7553" i="4"/>
  <c r="F8238" i="4"/>
  <c r="G8238" i="4"/>
  <c r="F8092" i="4"/>
  <c r="G8092" i="4"/>
  <c r="F8062" i="4"/>
  <c r="G8062" i="4"/>
  <c r="F8000" i="4"/>
  <c r="G8000" i="4"/>
  <c r="F7994" i="4"/>
  <c r="G7994" i="4"/>
  <c r="F7961" i="4"/>
  <c r="G7961" i="4"/>
  <c r="F7905" i="4"/>
  <c r="G7905" i="4"/>
  <c r="G7885" i="4"/>
  <c r="F7885" i="4"/>
  <c r="G7856" i="4"/>
  <c r="F7856" i="4"/>
  <c r="G7843" i="4"/>
  <c r="F7843" i="4"/>
  <c r="F7750" i="4"/>
  <c r="G7750" i="4"/>
  <c r="F8518" i="4"/>
  <c r="G8518" i="4"/>
  <c r="F8461" i="4"/>
  <c r="G8442" i="4"/>
  <c r="G8423" i="4"/>
  <c r="F8404" i="4"/>
  <c r="G8394" i="4"/>
  <c r="G8366" i="4"/>
  <c r="F8321" i="4"/>
  <c r="G8311" i="4"/>
  <c r="G8280" i="4"/>
  <c r="F8269" i="4"/>
  <c r="G8237" i="4"/>
  <c r="G8211" i="4"/>
  <c r="F8206" i="4"/>
  <c r="G8206" i="4"/>
  <c r="F8174" i="4"/>
  <c r="G8174" i="4"/>
  <c r="G8061" i="4"/>
  <c r="F8031" i="4"/>
  <c r="F7591" i="4"/>
  <c r="G7591" i="4"/>
  <c r="F7558" i="4"/>
  <c r="G7558" i="4"/>
  <c r="G8243" i="4"/>
  <c r="F8243" i="4"/>
  <c r="F8086" i="4"/>
  <c r="G8086" i="4"/>
  <c r="F8048" i="4"/>
  <c r="G8048" i="4"/>
  <c r="F7937" i="4"/>
  <c r="G7937" i="4"/>
  <c r="F7929" i="4"/>
  <c r="G7929" i="4"/>
  <c r="G7760" i="4"/>
  <c r="F7760" i="4"/>
  <c r="F7617" i="4"/>
  <c r="G7617" i="4"/>
  <c r="F7596" i="4"/>
  <c r="G7596" i="4"/>
  <c r="G7488" i="4"/>
  <c r="F7488" i="4"/>
  <c r="F8658" i="4"/>
  <c r="G8658" i="4"/>
  <c r="G8630" i="4"/>
  <c r="G8598" i="4"/>
  <c r="F8565" i="4"/>
  <c r="G8512" i="4"/>
  <c r="G8484" i="4"/>
  <c r="F8470" i="4"/>
  <c r="G8470" i="4"/>
  <c r="G8465" i="4"/>
  <c r="G8441" i="4"/>
  <c r="F8422" i="4"/>
  <c r="G8422" i="4"/>
  <c r="G8417" i="4"/>
  <c r="G8403" i="4"/>
  <c r="G8393" i="4"/>
  <c r="G8384" i="4"/>
  <c r="F8365" i="4"/>
  <c r="G8355" i="4"/>
  <c r="G8345" i="4"/>
  <c r="G8330" i="4"/>
  <c r="G8325" i="4"/>
  <c r="G8320" i="4"/>
  <c r="G8310" i="4"/>
  <c r="F8295" i="4"/>
  <c r="G8290" i="4"/>
  <c r="G8279" i="4"/>
  <c r="G8236" i="4"/>
  <c r="F8115" i="4"/>
  <c r="G8085" i="4"/>
  <c r="F8047" i="4"/>
  <c r="G8047" i="4"/>
  <c r="G8018" i="4"/>
  <c r="G7998" i="4"/>
  <c r="G7992" i="4"/>
  <c r="F7936" i="4"/>
  <c r="G7936" i="4"/>
  <c r="F7916" i="4"/>
  <c r="G7916" i="4"/>
  <c r="F8570" i="4"/>
  <c r="G8570" i="4"/>
  <c r="G8498" i="4"/>
  <c r="G8479" i="4"/>
  <c r="G8455" i="4"/>
  <c r="G8431" i="4"/>
  <c r="G8398" i="4"/>
  <c r="G8350" i="4"/>
  <c r="G8340" i="4"/>
  <c r="F8335" i="4"/>
  <c r="G8335" i="4"/>
  <c r="F8284" i="4"/>
  <c r="F8221" i="4"/>
  <c r="G8204" i="4"/>
  <c r="F8183" i="4"/>
  <c r="F8166" i="4"/>
  <c r="G8166" i="4"/>
  <c r="F8155" i="4"/>
  <c r="F8143" i="4"/>
  <c r="G8143" i="4"/>
  <c r="G8137" i="4"/>
  <c r="F8108" i="4"/>
  <c r="G8108" i="4"/>
  <c r="F8072" i="4"/>
  <c r="F8054" i="4"/>
  <c r="G8054" i="4"/>
  <c r="F8023" i="4"/>
  <c r="G8023" i="4"/>
  <c r="F8011" i="4"/>
  <c r="G8011" i="4"/>
  <c r="F7978" i="4"/>
  <c r="G7978" i="4"/>
  <c r="F7971" i="4"/>
  <c r="G7965" i="4"/>
  <c r="F7965" i="4"/>
  <c r="G7422" i="4"/>
  <c r="F7422" i="4"/>
  <c r="F8374" i="4"/>
  <c r="G8374" i="4"/>
  <c r="F8278" i="4"/>
  <c r="G8278" i="4"/>
  <c r="F8252" i="4"/>
  <c r="G8252" i="4"/>
  <c r="F8114" i="4"/>
  <c r="G8114" i="4"/>
  <c r="G8053" i="4"/>
  <c r="F8017" i="4"/>
  <c r="F8010" i="4"/>
  <c r="G8010" i="4"/>
  <c r="F7997" i="4"/>
  <c r="G7997" i="4"/>
  <c r="F7991" i="4"/>
  <c r="G7991" i="4"/>
  <c r="F7977" i="4"/>
  <c r="G7977" i="4"/>
  <c r="G7953" i="4"/>
  <c r="F7809" i="4"/>
  <c r="G7809" i="4"/>
  <c r="F7622" i="4"/>
  <c r="G7622" i="4"/>
  <c r="F7569" i="4"/>
  <c r="G7569" i="4"/>
  <c r="F8154" i="4"/>
  <c r="G8154" i="4"/>
  <c r="F8009" i="4"/>
  <c r="G8009" i="4"/>
  <c r="F7990" i="4"/>
  <c r="G7990" i="4"/>
  <c r="F7976" i="4"/>
  <c r="G7976" i="4"/>
  <c r="F7934" i="4"/>
  <c r="G7934" i="4"/>
  <c r="F7871" i="4"/>
  <c r="G7871" i="4"/>
  <c r="F7846" i="4"/>
  <c r="G7846" i="4"/>
  <c r="G7789" i="4"/>
  <c r="F7789" i="4"/>
  <c r="G7664" i="4"/>
  <c r="F7664" i="4"/>
  <c r="F7606" i="4"/>
  <c r="G7606" i="4"/>
  <c r="F7590" i="4"/>
  <c r="G7590" i="4"/>
  <c r="F7574" i="4"/>
  <c r="G7574" i="4"/>
  <c r="G7397" i="4"/>
  <c r="F7384" i="4"/>
  <c r="G7384" i="4"/>
  <c r="F7310" i="4"/>
  <c r="G7310" i="4"/>
  <c r="G7259" i="4"/>
  <c r="F7259" i="4"/>
  <c r="F7158" i="4"/>
  <c r="G7158" i="4"/>
  <c r="G7121" i="4"/>
  <c r="F7121" i="4"/>
  <c r="G7107" i="4"/>
  <c r="F7107" i="4"/>
  <c r="G7038" i="4"/>
  <c r="F7038" i="4"/>
  <c r="F6797" i="4"/>
  <c r="G6797" i="4"/>
  <c r="G6766" i="4"/>
  <c r="F6766" i="4"/>
  <c r="F6553" i="4"/>
  <c r="G6553" i="4"/>
  <c r="F8182" i="4"/>
  <c r="G8182" i="4"/>
  <c r="G8030" i="4"/>
  <c r="G8025" i="4"/>
  <c r="F8016" i="4"/>
  <c r="G8002" i="4"/>
  <c r="G7954" i="4"/>
  <c r="F7920" i="4"/>
  <c r="G7910" i="4"/>
  <c r="G7900" i="4"/>
  <c r="G7866" i="4"/>
  <c r="G7827" i="4"/>
  <c r="G7817" i="4"/>
  <c r="F7798" i="4"/>
  <c r="G7798" i="4"/>
  <c r="G7783" i="4"/>
  <c r="G7744" i="4"/>
  <c r="F7715" i="4"/>
  <c r="G7689" i="4"/>
  <c r="G7679" i="4"/>
  <c r="G7673" i="4"/>
  <c r="G7668" i="4"/>
  <c r="G7642" i="4"/>
  <c r="F7632" i="4"/>
  <c r="G7508" i="4"/>
  <c r="G7503" i="4"/>
  <c r="G7497" i="4"/>
  <c r="G7460" i="4"/>
  <c r="G7409" i="4"/>
  <c r="F7409" i="4"/>
  <c r="G7383" i="4"/>
  <c r="F7383" i="4"/>
  <c r="F7291" i="4"/>
  <c r="F7181" i="4"/>
  <c r="G7181" i="4"/>
  <c r="F6817" i="4"/>
  <c r="G6817" i="4"/>
  <c r="F6600" i="4"/>
  <c r="G6600" i="4"/>
  <c r="F6396" i="4"/>
  <c r="G6396" i="4"/>
  <c r="G7822" i="4"/>
  <c r="G7807" i="4"/>
  <c r="G7802" i="4"/>
  <c r="F7773" i="4"/>
  <c r="G7758" i="4"/>
  <c r="F7734" i="4"/>
  <c r="G7734" i="4"/>
  <c r="G7724" i="4"/>
  <c r="F7699" i="4"/>
  <c r="G7694" i="4"/>
  <c r="G7662" i="4"/>
  <c r="G7657" i="4"/>
  <c r="G7652" i="4"/>
  <c r="G7647" i="4"/>
  <c r="G7615" i="4"/>
  <c r="G7610" i="4"/>
  <c r="F7584" i="4"/>
  <c r="G7567" i="4"/>
  <c r="G7562" i="4"/>
  <c r="G7535" i="4"/>
  <c r="G7529" i="4"/>
  <c r="G7524" i="4"/>
  <c r="G7518" i="4"/>
  <c r="G7513" i="4"/>
  <c r="F7486" i="4"/>
  <c r="G7486" i="4"/>
  <c r="F7475" i="4"/>
  <c r="F7448" i="4"/>
  <c r="F7264" i="4"/>
  <c r="G7264" i="4"/>
  <c r="F7029" i="4"/>
  <c r="G7029" i="4"/>
  <c r="F6426" i="4"/>
  <c r="G6426" i="4"/>
  <c r="F6419" i="4"/>
  <c r="G6419" i="4"/>
  <c r="F7678" i="4"/>
  <c r="G7678" i="4"/>
  <c r="F7502" i="4"/>
  <c r="G7502" i="4"/>
  <c r="G7459" i="4"/>
  <c r="F7459" i="4"/>
  <c r="F7402" i="4"/>
  <c r="G7402" i="4"/>
  <c r="G7339" i="4"/>
  <c r="F7339" i="4"/>
  <c r="F7296" i="4"/>
  <c r="G7296" i="4"/>
  <c r="F7241" i="4"/>
  <c r="G7241" i="4"/>
  <c r="G7204" i="4"/>
  <c r="F7204" i="4"/>
  <c r="F7098" i="4"/>
  <c r="G7098" i="4"/>
  <c r="G7015" i="4"/>
  <c r="F7015" i="4"/>
  <c r="F6909" i="4"/>
  <c r="G6909" i="4"/>
  <c r="F6692" i="4"/>
  <c r="G6692" i="4"/>
  <c r="F6526" i="4"/>
  <c r="G6526" i="4"/>
  <c r="F8038" i="4"/>
  <c r="G8038" i="4"/>
  <c r="F7904" i="4"/>
  <c r="G7870" i="4"/>
  <c r="G7855" i="4"/>
  <c r="G7850" i="4"/>
  <c r="F7821" i="4"/>
  <c r="G7806" i="4"/>
  <c r="F7782" i="4"/>
  <c r="G7782" i="4"/>
  <c r="G7772" i="4"/>
  <c r="G7743" i="4"/>
  <c r="G7738" i="4"/>
  <c r="G7708" i="4"/>
  <c r="F7693" i="4"/>
  <c r="F7677" i="4"/>
  <c r="F7667" i="4"/>
  <c r="F7651" i="4"/>
  <c r="G7646" i="4"/>
  <c r="G7614" i="4"/>
  <c r="G7609" i="4"/>
  <c r="G7604" i="4"/>
  <c r="G7599" i="4"/>
  <c r="G7583" i="4"/>
  <c r="G7577" i="4"/>
  <c r="G7572" i="4"/>
  <c r="G7566" i="4"/>
  <c r="G7561" i="4"/>
  <c r="F7534" i="4"/>
  <c r="G7534" i="4"/>
  <c r="F7523" i="4"/>
  <c r="F7501" i="4"/>
  <c r="G7431" i="4"/>
  <c r="F7431" i="4"/>
  <c r="G7413" i="4"/>
  <c r="G7395" i="4"/>
  <c r="F7395" i="4"/>
  <c r="F7333" i="4"/>
  <c r="G7333" i="4"/>
  <c r="F7112" i="4"/>
  <c r="G7112" i="4"/>
  <c r="F6616" i="4"/>
  <c r="G6616" i="4"/>
  <c r="F7894" i="4"/>
  <c r="G7894" i="4"/>
  <c r="F7630" i="4"/>
  <c r="G7630" i="4"/>
  <c r="F7550" i="4"/>
  <c r="G7550" i="4"/>
  <c r="F7284" i="4"/>
  <c r="G7284" i="4"/>
  <c r="F7273" i="4"/>
  <c r="G7273" i="4"/>
  <c r="G7227" i="4"/>
  <c r="F7227" i="4"/>
  <c r="F7190" i="4"/>
  <c r="G7190" i="4"/>
  <c r="F7130" i="4"/>
  <c r="G7130" i="4"/>
  <c r="F6840" i="4"/>
  <c r="G6840" i="4"/>
  <c r="F6740" i="4"/>
  <c r="G6740" i="4"/>
  <c r="F6643" i="4"/>
  <c r="G6643" i="4"/>
  <c r="F6622" i="4"/>
  <c r="G6622" i="4"/>
  <c r="F8134" i="4"/>
  <c r="G8134" i="4"/>
  <c r="G8106" i="4"/>
  <c r="G8074" i="4"/>
  <c r="G8060" i="4"/>
  <c r="F8051" i="4"/>
  <c r="G8046" i="4"/>
  <c r="G8014" i="4"/>
  <c r="F7981" i="4"/>
  <c r="F7952" i="4"/>
  <c r="G7918" i="4"/>
  <c r="G7908" i="4"/>
  <c r="G7903" i="4"/>
  <c r="G7898" i="4"/>
  <c r="G7893" i="4"/>
  <c r="F7869" i="4"/>
  <c r="G7854" i="4"/>
  <c r="G7849" i="4"/>
  <c r="F7830" i="4"/>
  <c r="G7830" i="4"/>
  <c r="G7825" i="4"/>
  <c r="G7820" i="4"/>
  <c r="G7815" i="4"/>
  <c r="G7805" i="4"/>
  <c r="G7791" i="4"/>
  <c r="G7786" i="4"/>
  <c r="G7771" i="4"/>
  <c r="F7747" i="4"/>
  <c r="G7742" i="4"/>
  <c r="G7737" i="4"/>
  <c r="G7732" i="4"/>
  <c r="G7697" i="4"/>
  <c r="G7692" i="4"/>
  <c r="G7687" i="4"/>
  <c r="G7676" i="4"/>
  <c r="G7671" i="4"/>
  <c r="F7645" i="4"/>
  <c r="F7629" i="4"/>
  <c r="F7619" i="4"/>
  <c r="F7603" i="4"/>
  <c r="G7598" i="4"/>
  <c r="F7582" i="4"/>
  <c r="G7582" i="4"/>
  <c r="F7571" i="4"/>
  <c r="F7549" i="4"/>
  <c r="G7500" i="4"/>
  <c r="G7495" i="4"/>
  <c r="G7473" i="4"/>
  <c r="G7446" i="4"/>
  <c r="F7425" i="4"/>
  <c r="G7419" i="4"/>
  <c r="F7419" i="4"/>
  <c r="G7406" i="4"/>
  <c r="G7319" i="4"/>
  <c r="F7319" i="4"/>
  <c r="F7301" i="4"/>
  <c r="G7301" i="4"/>
  <c r="G7167" i="4"/>
  <c r="F7167" i="4"/>
  <c r="F7089" i="4"/>
  <c r="G7089" i="4"/>
  <c r="F6808" i="4"/>
  <c r="G6808" i="4"/>
  <c r="F6449" i="4"/>
  <c r="G6449" i="4"/>
  <c r="F7942" i="4"/>
  <c r="G7942" i="4"/>
  <c r="F7859" i="4"/>
  <c r="G7810" i="4"/>
  <c r="F7776" i="4"/>
  <c r="G7766" i="4"/>
  <c r="G7756" i="4"/>
  <c r="F7712" i="4"/>
  <c r="G7660" i="4"/>
  <c r="G7532" i="4"/>
  <c r="G7516" i="4"/>
  <c r="G7511" i="4"/>
  <c r="F7457" i="4"/>
  <c r="G7451" i="4"/>
  <c r="F7451" i="4"/>
  <c r="F7418" i="4"/>
  <c r="G7418" i="4"/>
  <c r="F7400" i="4"/>
  <c r="G7400" i="4"/>
  <c r="F7393" i="4"/>
  <c r="G7393" i="4"/>
  <c r="F7374" i="4"/>
  <c r="F7245" i="4"/>
  <c r="G7047" i="4"/>
  <c r="F7047" i="4"/>
  <c r="F7878" i="4"/>
  <c r="G7878" i="4"/>
  <c r="F7702" i="4"/>
  <c r="G7702" i="4"/>
  <c r="F7686" i="4"/>
  <c r="G7686" i="4"/>
  <c r="F7494" i="4"/>
  <c r="G7494" i="4"/>
  <c r="F7478" i="4"/>
  <c r="G7478" i="4"/>
  <c r="G7399" i="4"/>
  <c r="F7399" i="4"/>
  <c r="F7342" i="4"/>
  <c r="G7342" i="4"/>
  <c r="F7232" i="4"/>
  <c r="G7232" i="4"/>
  <c r="F7213" i="4"/>
  <c r="G7213" i="4"/>
  <c r="F7172" i="4"/>
  <c r="G7172" i="4"/>
  <c r="G6955" i="4"/>
  <c r="F6955" i="4"/>
  <c r="F6900" i="4"/>
  <c r="G6900" i="4"/>
  <c r="F6826" i="4"/>
  <c r="G6826" i="4"/>
  <c r="F6712" i="4"/>
  <c r="G6712" i="4"/>
  <c r="F7670" i="4"/>
  <c r="G7670" i="4"/>
  <c r="F7510" i="4"/>
  <c r="G7510" i="4"/>
  <c r="F7386" i="4"/>
  <c r="G7386" i="4"/>
  <c r="F7324" i="4"/>
  <c r="G7324" i="4"/>
  <c r="F7293" i="4"/>
  <c r="G7293" i="4"/>
  <c r="F7250" i="4"/>
  <c r="G7250" i="4"/>
  <c r="G7135" i="4"/>
  <c r="F7135" i="4"/>
  <c r="F6660" i="4"/>
  <c r="G6660" i="4"/>
  <c r="G6574" i="4"/>
  <c r="F6574" i="4"/>
  <c r="F8326" i="4"/>
  <c r="G8326" i="4"/>
  <c r="F7926" i="4"/>
  <c r="G7926" i="4"/>
  <c r="F7654" i="4"/>
  <c r="G7654" i="4"/>
  <c r="F7638" i="4"/>
  <c r="G7638" i="4"/>
  <c r="F7542" i="4"/>
  <c r="G7542" i="4"/>
  <c r="F7526" i="4"/>
  <c r="G7526" i="4"/>
  <c r="G7423" i="4"/>
  <c r="F7423" i="4"/>
  <c r="F7416" i="4"/>
  <c r="G7416" i="4"/>
  <c r="F7330" i="4"/>
  <c r="G7330" i="4"/>
  <c r="F7218" i="4"/>
  <c r="G7218" i="4"/>
  <c r="G6756" i="4"/>
  <c r="F6756" i="4"/>
  <c r="G6729" i="4"/>
  <c r="F6729" i="4"/>
  <c r="F6493" i="4"/>
  <c r="G6493" i="4"/>
  <c r="F5615" i="4"/>
  <c r="G5615" i="4"/>
  <c r="G4982" i="4"/>
  <c r="F4982" i="4"/>
  <c r="F4910" i="4"/>
  <c r="G4910" i="4"/>
  <c r="F4870" i="4"/>
  <c r="G4870" i="4"/>
  <c r="F4694" i="4"/>
  <c r="G4694" i="4"/>
  <c r="F4385" i="4"/>
  <c r="G4385" i="4"/>
  <c r="G3814" i="4"/>
  <c r="F3814" i="4"/>
  <c r="G3763" i="4"/>
  <c r="F3763" i="4"/>
  <c r="F3642" i="4"/>
  <c r="G3642" i="4"/>
  <c r="G3624" i="4"/>
  <c r="F3624" i="4"/>
  <c r="F3606" i="4"/>
  <c r="G3606" i="4"/>
  <c r="G3467" i="4"/>
  <c r="F3467" i="4"/>
  <c r="F2450" i="4"/>
  <c r="G2450" i="4"/>
  <c r="G6807" i="4"/>
  <c r="F6807" i="4"/>
  <c r="G6525" i="4"/>
  <c r="F6525" i="4"/>
  <c r="F6448" i="4"/>
  <c r="G6448" i="4"/>
  <c r="F6425" i="4"/>
  <c r="G6425" i="4"/>
  <c r="G7221" i="4"/>
  <c r="G7143" i="4"/>
  <c r="F7143" i="4"/>
  <c r="G7138" i="4"/>
  <c r="G7101" i="4"/>
  <c r="G7092" i="4"/>
  <c r="G7032" i="4"/>
  <c r="G7018" i="4"/>
  <c r="G7009" i="4"/>
  <c r="G7000" i="4"/>
  <c r="G6972" i="4"/>
  <c r="G6958" i="4"/>
  <c r="G6949" i="4"/>
  <c r="G6940" i="4"/>
  <c r="G6926" i="4"/>
  <c r="G6917" i="4"/>
  <c r="G6889" i="4"/>
  <c r="G6880" i="4"/>
  <c r="G6866" i="4"/>
  <c r="G6857" i="4"/>
  <c r="G6848" i="4"/>
  <c r="G6834" i="4"/>
  <c r="G6791" i="4"/>
  <c r="F6791" i="4"/>
  <c r="G6770" i="4"/>
  <c r="G6744" i="4"/>
  <c r="F6680" i="4"/>
  <c r="G6680" i="4"/>
  <c r="G6567" i="4"/>
  <c r="F6411" i="4"/>
  <c r="G6411" i="4"/>
  <c r="F6389" i="4"/>
  <c r="G6389" i="4"/>
  <c r="F6366" i="4"/>
  <c r="G6366" i="4"/>
  <c r="F6352" i="4"/>
  <c r="G6352" i="4"/>
  <c r="F5934" i="4"/>
  <c r="G5934" i="4"/>
  <c r="G7405" i="4"/>
  <c r="F7396" i="4"/>
  <c r="F7391" i="4"/>
  <c r="F7359" i="4"/>
  <c r="F7327" i="4"/>
  <c r="G7322" i="4"/>
  <c r="F7313" i="4"/>
  <c r="F7299" i="4"/>
  <c r="F7267" i="4"/>
  <c r="F7230" i="4"/>
  <c r="F7207" i="4"/>
  <c r="F7147" i="4"/>
  <c r="F6935" i="4"/>
  <c r="G6912" i="4"/>
  <c r="G6903" i="4"/>
  <c r="F6903" i="4"/>
  <c r="F6875" i="4"/>
  <c r="F6843" i="4"/>
  <c r="G6829" i="4"/>
  <c r="F6820" i="4"/>
  <c r="F6815" i="4"/>
  <c r="F6801" i="4"/>
  <c r="G6775" i="4"/>
  <c r="F6775" i="4"/>
  <c r="F6738" i="4"/>
  <c r="G6717" i="4"/>
  <c r="F6717" i="4"/>
  <c r="F6706" i="4"/>
  <c r="G6685" i="4"/>
  <c r="F6669" i="4"/>
  <c r="F6648" i="4"/>
  <c r="G6648" i="4"/>
  <c r="G6631" i="4"/>
  <c r="F6620" i="4"/>
  <c r="G6620" i="4"/>
  <c r="G6614" i="4"/>
  <c r="G6572" i="4"/>
  <c r="G6551" i="4"/>
  <c r="F6551" i="4"/>
  <c r="G6545" i="4"/>
  <c r="G6540" i="4"/>
  <c r="F6465" i="4"/>
  <c r="F6459" i="4"/>
  <c r="G6459" i="4"/>
  <c r="G6453" i="4"/>
  <c r="G6442" i="4"/>
  <c r="F6442" i="4"/>
  <c r="G6430" i="4"/>
  <c r="F6410" i="4"/>
  <c r="G6410" i="4"/>
  <c r="G6359" i="4"/>
  <c r="F6359" i="4"/>
  <c r="F6147" i="4"/>
  <c r="G6147" i="4"/>
  <c r="F6129" i="4"/>
  <c r="G6129" i="4"/>
  <c r="F6072" i="4"/>
  <c r="G6072" i="4"/>
  <c r="F5982" i="4"/>
  <c r="G5982" i="4"/>
  <c r="G5873" i="4"/>
  <c r="F5873" i="4"/>
  <c r="G7377" i="4"/>
  <c r="G7317" i="4"/>
  <c r="G7239" i="4"/>
  <c r="F7239" i="4"/>
  <c r="G7234" i="4"/>
  <c r="G7197" i="4"/>
  <c r="G7188" i="4"/>
  <c r="G7128" i="4"/>
  <c r="G7114" i="4"/>
  <c r="G7105" i="4"/>
  <c r="G7096" i="4"/>
  <c r="G7068" i="4"/>
  <c r="G7054" i="4"/>
  <c r="G7045" i="4"/>
  <c r="G7036" i="4"/>
  <c r="G7022" i="4"/>
  <c r="G7013" i="4"/>
  <c r="G6985" i="4"/>
  <c r="G6976" i="4"/>
  <c r="G6962" i="4"/>
  <c r="G6953" i="4"/>
  <c r="G6944" i="4"/>
  <c r="G6930" i="4"/>
  <c r="G6902" i="4"/>
  <c r="G6893" i="4"/>
  <c r="G6884" i="4"/>
  <c r="G6870" i="4"/>
  <c r="G6824" i="4"/>
  <c r="G6810" i="4"/>
  <c r="G6759" i="4"/>
  <c r="F6759" i="4"/>
  <c r="G6710" i="4"/>
  <c r="G6658" i="4"/>
  <c r="G6641" i="4"/>
  <c r="F6588" i="4"/>
  <c r="G6588" i="4"/>
  <c r="F6534" i="4"/>
  <c r="G6534" i="4"/>
  <c r="F6512" i="4"/>
  <c r="G6512" i="4"/>
  <c r="F6417" i="4"/>
  <c r="G6417" i="4"/>
  <c r="F5988" i="4"/>
  <c r="G5988" i="4"/>
  <c r="F5939" i="4"/>
  <c r="G5939" i="4"/>
  <c r="F5879" i="4"/>
  <c r="G5879" i="4"/>
  <c r="F7363" i="4"/>
  <c r="F7326" i="4"/>
  <c r="F7303" i="4"/>
  <c r="F7243" i="4"/>
  <c r="F7031" i="4"/>
  <c r="G7008" i="4"/>
  <c r="G6999" i="4"/>
  <c r="F6999" i="4"/>
  <c r="F6971" i="4"/>
  <c r="F6939" i="4"/>
  <c r="G6925" i="4"/>
  <c r="F6916" i="4"/>
  <c r="F6911" i="4"/>
  <c r="F6879" i="4"/>
  <c r="F6847" i="4"/>
  <c r="G6842" i="4"/>
  <c r="F6833" i="4"/>
  <c r="F6819" i="4"/>
  <c r="G6800" i="4"/>
  <c r="F6779" i="4"/>
  <c r="F6769" i="4"/>
  <c r="G6743" i="4"/>
  <c r="F6743" i="4"/>
  <c r="G6737" i="4"/>
  <c r="G6732" i="4"/>
  <c r="G6705" i="4"/>
  <c r="G6684" i="4"/>
  <c r="G6630" i="4"/>
  <c r="G6625" i="4"/>
  <c r="G6592" i="4"/>
  <c r="G6571" i="4"/>
  <c r="F6566" i="4"/>
  <c r="G6544" i="4"/>
  <c r="G6539" i="4"/>
  <c r="G6511" i="4"/>
  <c r="G6435" i="4"/>
  <c r="F6382" i="4"/>
  <c r="G6077" i="4"/>
  <c r="F6077" i="4"/>
  <c r="G7335" i="4"/>
  <c r="F7335" i="4"/>
  <c r="G7224" i="4"/>
  <c r="G7210" i="4"/>
  <c r="G7201" i="4"/>
  <c r="G7192" i="4"/>
  <c r="G7164" i="4"/>
  <c r="G7150" i="4"/>
  <c r="G7141" i="4"/>
  <c r="G7132" i="4"/>
  <c r="G7118" i="4"/>
  <c r="G7109" i="4"/>
  <c r="G7081" i="4"/>
  <c r="G7072" i="4"/>
  <c r="G7058" i="4"/>
  <c r="G7049" i="4"/>
  <c r="G7040" i="4"/>
  <c r="G7026" i="4"/>
  <c r="G6998" i="4"/>
  <c r="G6989" i="4"/>
  <c r="G6980" i="4"/>
  <c r="G6966" i="4"/>
  <c r="G6920" i="4"/>
  <c r="G6906" i="4"/>
  <c r="G6897" i="4"/>
  <c r="G6837" i="4"/>
  <c r="G6789" i="4"/>
  <c r="F6726" i="4"/>
  <c r="G6726" i="4"/>
  <c r="F6528" i="4"/>
  <c r="G6528" i="4"/>
  <c r="F6350" i="4"/>
  <c r="G6350" i="4"/>
  <c r="F6230" i="4"/>
  <c r="G6230" i="4"/>
  <c r="F7127" i="4"/>
  <c r="G7104" i="4"/>
  <c r="G7095" i="4"/>
  <c r="F7095" i="4"/>
  <c r="F7067" i="4"/>
  <c r="F7035" i="4"/>
  <c r="G7021" i="4"/>
  <c r="F7012" i="4"/>
  <c r="F7007" i="4"/>
  <c r="F6975" i="4"/>
  <c r="F6943" i="4"/>
  <c r="G6938" i="4"/>
  <c r="F6929" i="4"/>
  <c r="F6915" i="4"/>
  <c r="F6883" i="4"/>
  <c r="F6846" i="4"/>
  <c r="F6823" i="4"/>
  <c r="F6799" i="4"/>
  <c r="G6778" i="4"/>
  <c r="G6768" i="4"/>
  <c r="F6747" i="4"/>
  <c r="G6736" i="4"/>
  <c r="G6731" i="4"/>
  <c r="F6704" i="4"/>
  <c r="G6704" i="4"/>
  <c r="F6683" i="4"/>
  <c r="F6657" i="4"/>
  <c r="G6651" i="4"/>
  <c r="F6640" i="4"/>
  <c r="G6640" i="4"/>
  <c r="F6629" i="4"/>
  <c r="G6624" i="4"/>
  <c r="F6560" i="4"/>
  <c r="G6560" i="4"/>
  <c r="F6538" i="4"/>
  <c r="F6451" i="4"/>
  <c r="G6451" i="4"/>
  <c r="F6428" i="4"/>
  <c r="G6428" i="4"/>
  <c r="F6357" i="4"/>
  <c r="G6357" i="4"/>
  <c r="F5999" i="4"/>
  <c r="G5999" i="4"/>
  <c r="G5902" i="4"/>
  <c r="F5902" i="4"/>
  <c r="G6855" i="4"/>
  <c r="F6855" i="4"/>
  <c r="F6720" i="4"/>
  <c r="G6720" i="4"/>
  <c r="F6468" i="4"/>
  <c r="G6468" i="4"/>
  <c r="F6375" i="4"/>
  <c r="G6375" i="4"/>
  <c r="F6343" i="4"/>
  <c r="G6343" i="4"/>
  <c r="F6138" i="4"/>
  <c r="G6138" i="4"/>
  <c r="F7435" i="4"/>
  <c r="F7223" i="4"/>
  <c r="G7200" i="4"/>
  <c r="G7191" i="4"/>
  <c r="F7191" i="4"/>
  <c r="F7163" i="4"/>
  <c r="F7131" i="4"/>
  <c r="G7117" i="4"/>
  <c r="F7108" i="4"/>
  <c r="F7103" i="4"/>
  <c r="F7071" i="4"/>
  <c r="F7039" i="4"/>
  <c r="G7034" i="4"/>
  <c r="F7025" i="4"/>
  <c r="F7011" i="4"/>
  <c r="F6979" i="4"/>
  <c r="F6942" i="4"/>
  <c r="F6919" i="4"/>
  <c r="F6859" i="4"/>
  <c r="F6798" i="4"/>
  <c r="F6788" i="4"/>
  <c r="F6767" i="4"/>
  <c r="G6746" i="4"/>
  <c r="F6730" i="4"/>
  <c r="F6656" i="4"/>
  <c r="G6656" i="4"/>
  <c r="G6634" i="4"/>
  <c r="F6634" i="4"/>
  <c r="F6623" i="4"/>
  <c r="F6580" i="4"/>
  <c r="G6580" i="4"/>
  <c r="F6554" i="4"/>
  <c r="F6494" i="4"/>
  <c r="G6439" i="4"/>
  <c r="F6414" i="4"/>
  <c r="F6276" i="4"/>
  <c r="G6276" i="4"/>
  <c r="G6045" i="4"/>
  <c r="F6045" i="4"/>
  <c r="F5958" i="4"/>
  <c r="G5958" i="4"/>
  <c r="G6951" i="4"/>
  <c r="F6951" i="4"/>
  <c r="F6617" i="4"/>
  <c r="G6617" i="4"/>
  <c r="F6548" i="4"/>
  <c r="G6548" i="4"/>
  <c r="F6520" i="4"/>
  <c r="G6520" i="4"/>
  <c r="F6488" i="4"/>
  <c r="G6488" i="4"/>
  <c r="F6456" i="4"/>
  <c r="G6456" i="4"/>
  <c r="F6433" i="4"/>
  <c r="G6433" i="4"/>
  <c r="F6368" i="4"/>
  <c r="G6368" i="4"/>
  <c r="F6336" i="4"/>
  <c r="G6336" i="4"/>
  <c r="F6006" i="4"/>
  <c r="G6006" i="4"/>
  <c r="G7287" i="4"/>
  <c r="F7287" i="4"/>
  <c r="F6161" i="4"/>
  <c r="G6161" i="4"/>
  <c r="G6017" i="4"/>
  <c r="F6017" i="4"/>
  <c r="F6128" i="4"/>
  <c r="G6128" i="4"/>
  <c r="G6028" i="4"/>
  <c r="F6022" i="4"/>
  <c r="G6022" i="4"/>
  <c r="G6005" i="4"/>
  <c r="F6005" i="4"/>
  <c r="F5987" i="4"/>
  <c r="G5987" i="4"/>
  <c r="F5872" i="4"/>
  <c r="G5872" i="4"/>
  <c r="F5865" i="4"/>
  <c r="G5865" i="4"/>
  <c r="F5841" i="4"/>
  <c r="G5841" i="4"/>
  <c r="G5753" i="4"/>
  <c r="F5753" i="4"/>
  <c r="G5702" i="4"/>
  <c r="F5702" i="4"/>
  <c r="F5496" i="4"/>
  <c r="G5496" i="4"/>
  <c r="F6464" i="4"/>
  <c r="G6464" i="4"/>
  <c r="G6422" i="4"/>
  <c r="G6413" i="4"/>
  <c r="G6353" i="4"/>
  <c r="G6339" i="4"/>
  <c r="G6330" i="4"/>
  <c r="G6321" i="4"/>
  <c r="G6293" i="4"/>
  <c r="G6279" i="4"/>
  <c r="G6270" i="4"/>
  <c r="G6261" i="4"/>
  <c r="G6247" i="4"/>
  <c r="G6238" i="4"/>
  <c r="G6210" i="4"/>
  <c r="G6201" i="4"/>
  <c r="G6187" i="4"/>
  <c r="G6178" i="4"/>
  <c r="G6169" i="4"/>
  <c r="G6155" i="4"/>
  <c r="G6127" i="4"/>
  <c r="G6118" i="4"/>
  <c r="G6109" i="4"/>
  <c r="G6095" i="4"/>
  <c r="G6080" i="4"/>
  <c r="G6033" i="4"/>
  <c r="F6033" i="4"/>
  <c r="G5945" i="4"/>
  <c r="F5945" i="4"/>
  <c r="G5915" i="4"/>
  <c r="G5889" i="4"/>
  <c r="F5889" i="4"/>
  <c r="G5834" i="4"/>
  <c r="F5834" i="4"/>
  <c r="F5788" i="4"/>
  <c r="G5788" i="4"/>
  <c r="G5728" i="4"/>
  <c r="F5728" i="4"/>
  <c r="F5541" i="4"/>
  <c r="G5541" i="4"/>
  <c r="G6256" i="4"/>
  <c r="G6233" i="4"/>
  <c r="F6224" i="4"/>
  <c r="G6224" i="4"/>
  <c r="G6196" i="4"/>
  <c r="G6164" i="4"/>
  <c r="G6150" i="4"/>
  <c r="F6141" i="4"/>
  <c r="G6136" i="4"/>
  <c r="G6104" i="4"/>
  <c r="G6060" i="4"/>
  <c r="F6032" i="4"/>
  <c r="G6027" i="4"/>
  <c r="F5974" i="4"/>
  <c r="G5974" i="4"/>
  <c r="G5944" i="4"/>
  <c r="G5932" i="4"/>
  <c r="F5908" i="4"/>
  <c r="G5908" i="4"/>
  <c r="G5900" i="4"/>
  <c r="G5852" i="4"/>
  <c r="G5819" i="4"/>
  <c r="G5548" i="4"/>
  <c r="F5548" i="4"/>
  <c r="G6334" i="4"/>
  <c r="G6306" i="4"/>
  <c r="G6297" i="4"/>
  <c r="G6283" i="4"/>
  <c r="G6274" i="4"/>
  <c r="G6265" i="4"/>
  <c r="G6251" i="4"/>
  <c r="F6070" i="4"/>
  <c r="G6070" i="4"/>
  <c r="G5997" i="4"/>
  <c r="F5997" i="4"/>
  <c r="G5985" i="4"/>
  <c r="F5985" i="4"/>
  <c r="G5973" i="4"/>
  <c r="F5973" i="4"/>
  <c r="G5937" i="4"/>
  <c r="F5937" i="4"/>
  <c r="G5925" i="4"/>
  <c r="F5925" i="4"/>
  <c r="G5870" i="4"/>
  <c r="F5870" i="4"/>
  <c r="G5758" i="4"/>
  <c r="F5758" i="4"/>
  <c r="F5713" i="4"/>
  <c r="G5713" i="4"/>
  <c r="G6329" i="4"/>
  <c r="F6320" i="4"/>
  <c r="G6320" i="4"/>
  <c r="G6292" i="4"/>
  <c r="G6260" i="4"/>
  <c r="G6246" i="4"/>
  <c r="F6237" i="4"/>
  <c r="G6232" i="4"/>
  <c r="G6200" i="4"/>
  <c r="G6168" i="4"/>
  <c r="G6163" i="4"/>
  <c r="F6154" i="4"/>
  <c r="G6140" i="4"/>
  <c r="G6108" i="4"/>
  <c r="F6069" i="4"/>
  <c r="G6059" i="4"/>
  <c r="F6026" i="4"/>
  <c r="F5972" i="4"/>
  <c r="G5955" i="4"/>
  <c r="F5943" i="4"/>
  <c r="F5931" i="4"/>
  <c r="G5914" i="4"/>
  <c r="F5914" i="4"/>
  <c r="G5894" i="4"/>
  <c r="F5894" i="4"/>
  <c r="G5887" i="4"/>
  <c r="G5869" i="4"/>
  <c r="F5869" i="4"/>
  <c r="F5857" i="4"/>
  <c r="F5851" i="4"/>
  <c r="G5851" i="4"/>
  <c r="F5825" i="4"/>
  <c r="G5825" i="4"/>
  <c r="G5661" i="4"/>
  <c r="F5661" i="4"/>
  <c r="G5598" i="4"/>
  <c r="F5598" i="4"/>
  <c r="G5555" i="4"/>
  <c r="F5555" i="4"/>
  <c r="G6037" i="4"/>
  <c r="F6037" i="4"/>
  <c r="G5991" i="4"/>
  <c r="F5991" i="4"/>
  <c r="F5913" i="4"/>
  <c r="G5913" i="4"/>
  <c r="G5686" i="4"/>
  <c r="F5686" i="4"/>
  <c r="F6416" i="4"/>
  <c r="G6416" i="4"/>
  <c r="G6388" i="4"/>
  <c r="G6374" i="4"/>
  <c r="G6365" i="4"/>
  <c r="G6356" i="4"/>
  <c r="G6342" i="4"/>
  <c r="F6333" i="4"/>
  <c r="G6328" i="4"/>
  <c r="G6305" i="4"/>
  <c r="G6296" i="4"/>
  <c r="G6291" i="4"/>
  <c r="G6282" i="4"/>
  <c r="G6273" i="4"/>
  <c r="G6264" i="4"/>
  <c r="G6259" i="4"/>
  <c r="F6250" i="4"/>
  <c r="G6245" i="4"/>
  <c r="G6236" i="4"/>
  <c r="G6231" i="4"/>
  <c r="G6222" i="4"/>
  <c r="G6213" i="4"/>
  <c r="G6204" i="4"/>
  <c r="G6199" i="4"/>
  <c r="G6190" i="4"/>
  <c r="F6167" i="4"/>
  <c r="G6144" i="4"/>
  <c r="G6068" i="4"/>
  <c r="G6042" i="4"/>
  <c r="G6036" i="4"/>
  <c r="G6002" i="4"/>
  <c r="G5990" i="4"/>
  <c r="F5971" i="4"/>
  <c r="F5954" i="4"/>
  <c r="G5942" i="4"/>
  <c r="G5930" i="4"/>
  <c r="F5930" i="4"/>
  <c r="G5919" i="4"/>
  <c r="G5912" i="4"/>
  <c r="F5912" i="4"/>
  <c r="F5831" i="4"/>
  <c r="G5831" i="4"/>
  <c r="G6208" i="4"/>
  <c r="F6176" i="4"/>
  <c r="G6176" i="4"/>
  <c r="G6093" i="4"/>
  <c r="F6093" i="4"/>
  <c r="G5978" i="4"/>
  <c r="F5978" i="4"/>
  <c r="G5898" i="4"/>
  <c r="F5898" i="4"/>
  <c r="F5875" i="4"/>
  <c r="G5875" i="4"/>
  <c r="G5738" i="4"/>
  <c r="F5738" i="4"/>
  <c r="G5666" i="4"/>
  <c r="F5666" i="4"/>
  <c r="G5646" i="4"/>
  <c r="F5646" i="4"/>
  <c r="G6001" i="4"/>
  <c r="F6001" i="4"/>
  <c r="G5977" i="4"/>
  <c r="F5977" i="4"/>
  <c r="G5953" i="4"/>
  <c r="F5953" i="4"/>
  <c r="G5941" i="4"/>
  <c r="F5941" i="4"/>
  <c r="F5799" i="4"/>
  <c r="G5799" i="4"/>
  <c r="F5697" i="4"/>
  <c r="G5697" i="4"/>
  <c r="G5582" i="4"/>
  <c r="F5582" i="4"/>
  <c r="F6272" i="4"/>
  <c r="G6272" i="4"/>
  <c r="F6000" i="4"/>
  <c r="G6000" i="4"/>
  <c r="G5904" i="4"/>
  <c r="F5904" i="4"/>
  <c r="G5843" i="4"/>
  <c r="F5843" i="4"/>
  <c r="G5836" i="4"/>
  <c r="F5836" i="4"/>
  <c r="F5748" i="4"/>
  <c r="G5748" i="4"/>
  <c r="F5723" i="4"/>
  <c r="G5723" i="4"/>
  <c r="F6608" i="4"/>
  <c r="G6608" i="4"/>
  <c r="G5917" i="4"/>
  <c r="F5917" i="4"/>
  <c r="G5903" i="4"/>
  <c r="F5903" i="4"/>
  <c r="G5891" i="4"/>
  <c r="F5891" i="4"/>
  <c r="G5854" i="4"/>
  <c r="F5854" i="4"/>
  <c r="G5878" i="4"/>
  <c r="F5878" i="4"/>
  <c r="G5818" i="4"/>
  <c r="F5818" i="4"/>
  <c r="F5798" i="4"/>
  <c r="F5737" i="4"/>
  <c r="F5722" i="4"/>
  <c r="G5712" i="4"/>
  <c r="F5712" i="4"/>
  <c r="G5696" i="4"/>
  <c r="G5660" i="4"/>
  <c r="G5645" i="4"/>
  <c r="F5614" i="4"/>
  <c r="F5587" i="4"/>
  <c r="F5431" i="4"/>
  <c r="G5431" i="4"/>
  <c r="F5299" i="4"/>
  <c r="G5299" i="4"/>
  <c r="F5592" i="4"/>
  <c r="G5592" i="4"/>
  <c r="F5484" i="4"/>
  <c r="G5484" i="4"/>
  <c r="F5452" i="4"/>
  <c r="G5452" i="4"/>
  <c r="F5408" i="4"/>
  <c r="G5408" i="4"/>
  <c r="F5236" i="4"/>
  <c r="G5236" i="4"/>
  <c r="F5179" i="4"/>
  <c r="G5179" i="4"/>
  <c r="G5782" i="4"/>
  <c r="F5782" i="4"/>
  <c r="F5721" i="4"/>
  <c r="G5721" i="4"/>
  <c r="G5649" i="4"/>
  <c r="G5644" i="4"/>
  <c r="G5591" i="4"/>
  <c r="G5580" i="4"/>
  <c r="F5553" i="4"/>
  <c r="G5553" i="4"/>
  <c r="F5528" i="4"/>
  <c r="G5528" i="4"/>
  <c r="G5478" i="4"/>
  <c r="F5478" i="4"/>
  <c r="G6013" i="4"/>
  <c r="F6013" i="4"/>
  <c r="F5906" i="4"/>
  <c r="F5886" i="4"/>
  <c r="F5858" i="4"/>
  <c r="F5838" i="4"/>
  <c r="F5822" i="4"/>
  <c r="G5801" i="4"/>
  <c r="G5781" i="4"/>
  <c r="G5776" i="4"/>
  <c r="G5771" i="4"/>
  <c r="F5766" i="4"/>
  <c r="F5751" i="4"/>
  <c r="G5726" i="4"/>
  <c r="F5726" i="4"/>
  <c r="G5720" i="4"/>
  <c r="G5705" i="4"/>
  <c r="G5700" i="4"/>
  <c r="F5684" i="4"/>
  <c r="G5679" i="4"/>
  <c r="F5674" i="4"/>
  <c r="F5654" i="4"/>
  <c r="F5630" i="4"/>
  <c r="F5624" i="4"/>
  <c r="G5624" i="4"/>
  <c r="F5602" i="4"/>
  <c r="F5596" i="4"/>
  <c r="F5564" i="4"/>
  <c r="G5564" i="4"/>
  <c r="G5552" i="4"/>
  <c r="F5482" i="4"/>
  <c r="F5467" i="4"/>
  <c r="G5467" i="4"/>
  <c r="F5308" i="4"/>
  <c r="G5308" i="4"/>
  <c r="G5258" i="4"/>
  <c r="F5258" i="4"/>
  <c r="F5827" i="4"/>
  <c r="F5806" i="4"/>
  <c r="G5791" i="4"/>
  <c r="F5725" i="4"/>
  <c r="F5694" i="4"/>
  <c r="G5689" i="4"/>
  <c r="F5658" i="4"/>
  <c r="G5623" i="4"/>
  <c r="G5612" i="4"/>
  <c r="G5607" i="4"/>
  <c r="F5585" i="4"/>
  <c r="F5532" i="4"/>
  <c r="F5340" i="4"/>
  <c r="G5340" i="4"/>
  <c r="F5601" i="4"/>
  <c r="G5601" i="4"/>
  <c r="F5569" i="4"/>
  <c r="G5569" i="4"/>
  <c r="G5526" i="4"/>
  <c r="F5526" i="4"/>
  <c r="G5450" i="4"/>
  <c r="F5450" i="4"/>
  <c r="G5184" i="4"/>
  <c r="F5184" i="4"/>
  <c r="G5790" i="4"/>
  <c r="F5790" i="4"/>
  <c r="G5562" i="4"/>
  <c r="F5562" i="4"/>
  <c r="G5795" i="4"/>
  <c r="F5795" i="4"/>
  <c r="G5789" i="4"/>
  <c r="G5734" i="4"/>
  <c r="F5734" i="4"/>
  <c r="G5729" i="4"/>
  <c r="G5672" i="4"/>
  <c r="G5638" i="4"/>
  <c r="F5638" i="4"/>
  <c r="G5622" i="4"/>
  <c r="F5622" i="4"/>
  <c r="G5550" i="4"/>
  <c r="F5550" i="4"/>
  <c r="F5544" i="4"/>
  <c r="G5544" i="4"/>
  <c r="G5514" i="4"/>
  <c r="F5514" i="4"/>
  <c r="F5503" i="4"/>
  <c r="G5503" i="4"/>
  <c r="F5487" i="4"/>
  <c r="G5487" i="4"/>
  <c r="F5444" i="4"/>
  <c r="G5444" i="4"/>
  <c r="G5290" i="4"/>
  <c r="F5290" i="4"/>
  <c r="G5965" i="4"/>
  <c r="F5965" i="4"/>
  <c r="F5794" i="4"/>
  <c r="G5779" i="4"/>
  <c r="G5769" i="4"/>
  <c r="F5754" i="4"/>
  <c r="F5718" i="4"/>
  <c r="G5703" i="4"/>
  <c r="G5698" i="4"/>
  <c r="F5698" i="4"/>
  <c r="F5677" i="4"/>
  <c r="F5662" i="4"/>
  <c r="F5652" i="4"/>
  <c r="G5647" i="4"/>
  <c r="F5642" i="4"/>
  <c r="F5594" i="4"/>
  <c r="G5578" i="4"/>
  <c r="F5578" i="4"/>
  <c r="G5567" i="4"/>
  <c r="G5543" i="4"/>
  <c r="F5519" i="4"/>
  <c r="G5519" i="4"/>
  <c r="F5804" i="4"/>
  <c r="G5804" i="4"/>
  <c r="G5610" i="4"/>
  <c r="F5610" i="4"/>
  <c r="F5599" i="4"/>
  <c r="G5599" i="4"/>
  <c r="F5583" i="4"/>
  <c r="G5583" i="4"/>
  <c r="F5508" i="4"/>
  <c r="G5508" i="4"/>
  <c r="F5399" i="4"/>
  <c r="G5399" i="4"/>
  <c r="G6061" i="4"/>
  <c r="F6061" i="4"/>
  <c r="G5850" i="4"/>
  <c r="F5850" i="4"/>
  <c r="G5830" i="4"/>
  <c r="F5830" i="4"/>
  <c r="F5535" i="4"/>
  <c r="G5535" i="4"/>
  <c r="G5198" i="4"/>
  <c r="F5198" i="4"/>
  <c r="G5443" i="4"/>
  <c r="G5398" i="4"/>
  <c r="F5398" i="4"/>
  <c r="G5380" i="4"/>
  <c r="G5339" i="4"/>
  <c r="G5271" i="4"/>
  <c r="G5248" i="4"/>
  <c r="G5216" i="4"/>
  <c r="G5183" i="4"/>
  <c r="G5164" i="4"/>
  <c r="F5119" i="4"/>
  <c r="G5119" i="4"/>
  <c r="G4712" i="4"/>
  <c r="F4712" i="4"/>
  <c r="F5434" i="4"/>
  <c r="F5402" i="4"/>
  <c r="F5366" i="4"/>
  <c r="F5330" i="4"/>
  <c r="F5280" i="4"/>
  <c r="F5266" i="4"/>
  <c r="G5230" i="4"/>
  <c r="F5230" i="4"/>
  <c r="G5159" i="4"/>
  <c r="G5134" i="4"/>
  <c r="F5134" i="4"/>
  <c r="G5302" i="4"/>
  <c r="F5302" i="4"/>
  <c r="G5206" i="4"/>
  <c r="F5206" i="4"/>
  <c r="G4921" i="4"/>
  <c r="F4921" i="4"/>
  <c r="F4877" i="4"/>
  <c r="G4877" i="4"/>
  <c r="F4814" i="4"/>
  <c r="G4814" i="4"/>
  <c r="G5542" i="4"/>
  <c r="F5542" i="4"/>
  <c r="G5537" i="4"/>
  <c r="G5524" i="4"/>
  <c r="G5483" i="4"/>
  <c r="G5415" i="4"/>
  <c r="G5392" i="4"/>
  <c r="G5379" i="4"/>
  <c r="F5338" i="4"/>
  <c r="F5306" i="4"/>
  <c r="G5288" i="4"/>
  <c r="G5279" i="4"/>
  <c r="F5270" i="4"/>
  <c r="G5256" i="4"/>
  <c r="G5247" i="4"/>
  <c r="F5234" i="4"/>
  <c r="G5215" i="4"/>
  <c r="G5196" i="4"/>
  <c r="G5182" i="4"/>
  <c r="F5182" i="4"/>
  <c r="G5158" i="4"/>
  <c r="F5158" i="4"/>
  <c r="G5148" i="4"/>
  <c r="G5143" i="4"/>
  <c r="F5072" i="4"/>
  <c r="F5067" i="4"/>
  <c r="G4764" i="4"/>
  <c r="F4764" i="4"/>
  <c r="F5629" i="4"/>
  <c r="F5606" i="4"/>
  <c r="F5546" i="4"/>
  <c r="F5510" i="4"/>
  <c r="F5474" i="4"/>
  <c r="G5460" i="4"/>
  <c r="F5424" i="4"/>
  <c r="G5419" i="4"/>
  <c r="F5410" i="4"/>
  <c r="G5396" i="4"/>
  <c r="G5383" i="4"/>
  <c r="F5374" i="4"/>
  <c r="G5360" i="4"/>
  <c r="G5351" i="4"/>
  <c r="F5342" i="4"/>
  <c r="G5324" i="4"/>
  <c r="F5315" i="4"/>
  <c r="F5310" i="4"/>
  <c r="G5292" i="4"/>
  <c r="F5274" i="4"/>
  <c r="G5260" i="4"/>
  <c r="G5251" i="4"/>
  <c r="F5238" i="4"/>
  <c r="F5210" i="4"/>
  <c r="G5191" i="4"/>
  <c r="G5172" i="4"/>
  <c r="F5138" i="4"/>
  <c r="F4993" i="4"/>
  <c r="G4993" i="4"/>
  <c r="F4932" i="4"/>
  <c r="G4932" i="4"/>
  <c r="G5455" i="4"/>
  <c r="G5446" i="4"/>
  <c r="F5446" i="4"/>
  <c r="G5428" i="4"/>
  <c r="G5387" i="4"/>
  <c r="F5242" i="4"/>
  <c r="G5228" i="4"/>
  <c r="F5219" i="4"/>
  <c r="F5214" i="4"/>
  <c r="F5186" i="4"/>
  <c r="G5167" i="4"/>
  <c r="F5147" i="4"/>
  <c r="F5132" i="4"/>
  <c r="G5132" i="4"/>
  <c r="G4833" i="4"/>
  <c r="F4833" i="4"/>
  <c r="F5414" i="4"/>
  <c r="G5116" i="4"/>
  <c r="F4965" i="4"/>
  <c r="G4965" i="4"/>
  <c r="G5350" i="4"/>
  <c r="F5350" i="4"/>
  <c r="G5004" i="4"/>
  <c r="F5004" i="4"/>
  <c r="F4777" i="4"/>
  <c r="G4777" i="4"/>
  <c r="F5386" i="4"/>
  <c r="F5354" i="4"/>
  <c r="F5318" i="4"/>
  <c r="F5282" i="4"/>
  <c r="F5232" i="4"/>
  <c r="G5110" i="4"/>
  <c r="F5110" i="4"/>
  <c r="F4938" i="4"/>
  <c r="G4938" i="4"/>
  <c r="G5254" i="4"/>
  <c r="F5254" i="4"/>
  <c r="G4899" i="4"/>
  <c r="F4899" i="4"/>
  <c r="F4852" i="4"/>
  <c r="G4852" i="4"/>
  <c r="F4789" i="4"/>
  <c r="G4789" i="4"/>
  <c r="G5590" i="4"/>
  <c r="F5590" i="4"/>
  <c r="G5494" i="4"/>
  <c r="F5494" i="4"/>
  <c r="G4971" i="4"/>
  <c r="F4971" i="4"/>
  <c r="F4858" i="4"/>
  <c r="G4858" i="4"/>
  <c r="G4801" i="4"/>
  <c r="F4801" i="4"/>
  <c r="G4931" i="4"/>
  <c r="F4931" i="4"/>
  <c r="F4876" i="4"/>
  <c r="G4876" i="4"/>
  <c r="F4857" i="4"/>
  <c r="G4857" i="4"/>
  <c r="G4800" i="4"/>
  <c r="F4800" i="4"/>
  <c r="G4763" i="4"/>
  <c r="F4763" i="4"/>
  <c r="G4608" i="4"/>
  <c r="F4608" i="4"/>
  <c r="F4577" i="4"/>
  <c r="G4577" i="4"/>
  <c r="G4283" i="4"/>
  <c r="F4283" i="4"/>
  <c r="G4986" i="4"/>
  <c r="G4959" i="4"/>
  <c r="F4959" i="4"/>
  <c r="G4875" i="4"/>
  <c r="F4875" i="4"/>
  <c r="F4844" i="4"/>
  <c r="G4844" i="4"/>
  <c r="G4717" i="4"/>
  <c r="F4717" i="4"/>
  <c r="F4657" i="4"/>
  <c r="G4657" i="4"/>
  <c r="F5126" i="4"/>
  <c r="G4991" i="4"/>
  <c r="F4991" i="4"/>
  <c r="G4980" i="4"/>
  <c r="F4969" i="4"/>
  <c r="G4958" i="4"/>
  <c r="F4947" i="4"/>
  <c r="F4908" i="4"/>
  <c r="G4897" i="4"/>
  <c r="F4874" i="4"/>
  <c r="G4843" i="4"/>
  <c r="F4843" i="4"/>
  <c r="G4837" i="4"/>
  <c r="G4825" i="4"/>
  <c r="F4812" i="4"/>
  <c r="G4812" i="4"/>
  <c r="G4787" i="4"/>
  <c r="F4787" i="4"/>
  <c r="G4769" i="4"/>
  <c r="F4756" i="4"/>
  <c r="G4756" i="4"/>
  <c r="G4333" i="4"/>
  <c r="F4333" i="4"/>
  <c r="G5108" i="4"/>
  <c r="G4855" i="4"/>
  <c r="F4855" i="4"/>
  <c r="G4811" i="4"/>
  <c r="F4811" i="4"/>
  <c r="F4798" i="4"/>
  <c r="G4798" i="4"/>
  <c r="G4775" i="4"/>
  <c r="F4775" i="4"/>
  <c r="G4755" i="4"/>
  <c r="F4755" i="4"/>
  <c r="F4742" i="4"/>
  <c r="G4742" i="4"/>
  <c r="F4698" i="4"/>
  <c r="G4551" i="4"/>
  <c r="F4551" i="4"/>
  <c r="F4468" i="4"/>
  <c r="G4468" i="4"/>
  <c r="F4985" i="4"/>
  <c r="G4979" i="4"/>
  <c r="F4979" i="4"/>
  <c r="G4968" i="4"/>
  <c r="F4957" i="4"/>
  <c r="G4946" i="4"/>
  <c r="F4935" i="4"/>
  <c r="G4918" i="4"/>
  <c r="F4896" i="4"/>
  <c r="F4873" i="4"/>
  <c r="G4862" i="4"/>
  <c r="F4824" i="4"/>
  <c r="F4810" i="4"/>
  <c r="F4774" i="4"/>
  <c r="G4774" i="4"/>
  <c r="G4768" i="4"/>
  <c r="G4754" i="4"/>
  <c r="G4703" i="4"/>
  <c r="F4703" i="4"/>
  <c r="G4512" i="4"/>
  <c r="F4512" i="4"/>
  <c r="G4359" i="4"/>
  <c r="F4359" i="4"/>
  <c r="G5007" i="4"/>
  <c r="F5007" i="4"/>
  <c r="G4890" i="4"/>
  <c r="G4867" i="4"/>
  <c r="F4867" i="4"/>
  <c r="F4849" i="4"/>
  <c r="G4849" i="4"/>
  <c r="F4685" i="4"/>
  <c r="G4685" i="4"/>
  <c r="F4642" i="4"/>
  <c r="G4642" i="4"/>
  <c r="F4556" i="4"/>
  <c r="G4556" i="4"/>
  <c r="G5006" i="4"/>
  <c r="F4995" i="4"/>
  <c r="F4956" i="4"/>
  <c r="G4945" i="4"/>
  <c r="F4934" i="4"/>
  <c r="G4917" i="4"/>
  <c r="G4895" i="4"/>
  <c r="F4895" i="4"/>
  <c r="G4861" i="4"/>
  <c r="F4861" i="4"/>
  <c r="G4848" i="4"/>
  <c r="F4848" i="4"/>
  <c r="G4823" i="4"/>
  <c r="F4823" i="4"/>
  <c r="F4809" i="4"/>
  <c r="G4809" i="4"/>
  <c r="G4796" i="4"/>
  <c r="F4767" i="4"/>
  <c r="F4740" i="4"/>
  <c r="F4726" i="4"/>
  <c r="G4726" i="4"/>
  <c r="G4587" i="4"/>
  <c r="F4587" i="4"/>
  <c r="F4364" i="4"/>
  <c r="G4364" i="4"/>
  <c r="G4923" i="4"/>
  <c r="F4923" i="4"/>
  <c r="G4883" i="4"/>
  <c r="F4883" i="4"/>
  <c r="G4847" i="4"/>
  <c r="F4847" i="4"/>
  <c r="F4780" i="4"/>
  <c r="G4780" i="4"/>
  <c r="F4733" i="4"/>
  <c r="G4733" i="4"/>
  <c r="G4671" i="4"/>
  <c r="F4671" i="4"/>
  <c r="F4566" i="4"/>
  <c r="G4566" i="4"/>
  <c r="G4416" i="4"/>
  <c r="F4416" i="4"/>
  <c r="F5150" i="4"/>
  <c r="F5005" i="4"/>
  <c r="G4994" i="4"/>
  <c r="F4983" i="4"/>
  <c r="G4966" i="4"/>
  <c r="F4944" i="4"/>
  <c r="G4933" i="4"/>
  <c r="F4922" i="4"/>
  <c r="F4889" i="4"/>
  <c r="G4889" i="4"/>
  <c r="G4882" i="4"/>
  <c r="G4846" i="4"/>
  <c r="G4802" i="4"/>
  <c r="G4795" i="4"/>
  <c r="F4795" i="4"/>
  <c r="G4779" i="4"/>
  <c r="F4779" i="4"/>
  <c r="F4766" i="4"/>
  <c r="G4766" i="4"/>
  <c r="G4739" i="4"/>
  <c r="F4739" i="4"/>
  <c r="F4708" i="4"/>
  <c r="G4708" i="4"/>
  <c r="G4487" i="4"/>
  <c r="F4487" i="4"/>
  <c r="G4911" i="4"/>
  <c r="F4911" i="4"/>
  <c r="F4821" i="4"/>
  <c r="G4821" i="4"/>
  <c r="G4815" i="4"/>
  <c r="F4815" i="4"/>
  <c r="G4778" i="4"/>
  <c r="F4778" i="4"/>
  <c r="G4765" i="4"/>
  <c r="F4765" i="4"/>
  <c r="G4627" i="4"/>
  <c r="F4627" i="4"/>
  <c r="G4943" i="4"/>
  <c r="F4943" i="4"/>
  <c r="G4807" i="4"/>
  <c r="F4807" i="4"/>
  <c r="G4751" i="4"/>
  <c r="F4751" i="4"/>
  <c r="G4731" i="4"/>
  <c r="F4731" i="4"/>
  <c r="G4719" i="4"/>
  <c r="F4719" i="4"/>
  <c r="F4532" i="4"/>
  <c r="G4532" i="4"/>
  <c r="F4492" i="4"/>
  <c r="G4492" i="4"/>
  <c r="G4379" i="4"/>
  <c r="F4379" i="4"/>
  <c r="G4531" i="4"/>
  <c r="F4531" i="4"/>
  <c r="G4467" i="4"/>
  <c r="F4467" i="4"/>
  <c r="F4316" i="4"/>
  <c r="G4316" i="4"/>
  <c r="F4233" i="4"/>
  <c r="G4233" i="4"/>
  <c r="G4163" i="4"/>
  <c r="F4163" i="4"/>
  <c r="F4124" i="4"/>
  <c r="G4124" i="4"/>
  <c r="F4028" i="4"/>
  <c r="G4028" i="4"/>
  <c r="F3689" i="4"/>
  <c r="G3689" i="4"/>
  <c r="F4305" i="4"/>
  <c r="G4305" i="4"/>
  <c r="F3876" i="4"/>
  <c r="G3876" i="4"/>
  <c r="G3770" i="4"/>
  <c r="F3770" i="4"/>
  <c r="F4863" i="4"/>
  <c r="F4826" i="4"/>
  <c r="F4803" i="4"/>
  <c r="F4743" i="4"/>
  <c r="G4738" i="4"/>
  <c r="G4729" i="4"/>
  <c r="G4720" i="4"/>
  <c r="G4706" i="4"/>
  <c r="F4655" i="4"/>
  <c r="F4621" i="4"/>
  <c r="F4611" i="4"/>
  <c r="G4606" i="4"/>
  <c r="G4585" i="4"/>
  <c r="G4580" i="4"/>
  <c r="F4525" i="4"/>
  <c r="G4505" i="4"/>
  <c r="F4461" i="4"/>
  <c r="G4451" i="4"/>
  <c r="F4451" i="4"/>
  <c r="G4435" i="4"/>
  <c r="F4435" i="4"/>
  <c r="G4409" i="4"/>
  <c r="G4393" i="4"/>
  <c r="G4331" i="4"/>
  <c r="F4331" i="4"/>
  <c r="G4067" i="4"/>
  <c r="F4067" i="4"/>
  <c r="G3923" i="4"/>
  <c r="F3923" i="4"/>
  <c r="G4835" i="4"/>
  <c r="F4835" i="4"/>
  <c r="G4761" i="4"/>
  <c r="F4752" i="4"/>
  <c r="F4747" i="4"/>
  <c r="F4715" i="4"/>
  <c r="F4683" i="4"/>
  <c r="G4678" i="4"/>
  <c r="F4669" i="4"/>
  <c r="F4640" i="4"/>
  <c r="F4635" i="4"/>
  <c r="G4630" i="4"/>
  <c r="G4569" i="4"/>
  <c r="F4539" i="4"/>
  <c r="G4515" i="4"/>
  <c r="F4515" i="4"/>
  <c r="F4475" i="4"/>
  <c r="G4404" i="4"/>
  <c r="G4388" i="4"/>
  <c r="G4377" i="4"/>
  <c r="F4320" i="4"/>
  <c r="F4281" i="4"/>
  <c r="G4281" i="4"/>
  <c r="G4211" i="4"/>
  <c r="F4211" i="4"/>
  <c r="F4172" i="4"/>
  <c r="G4172" i="4"/>
  <c r="F3821" i="4"/>
  <c r="G3821" i="4"/>
  <c r="G4673" i="4"/>
  <c r="G4654" i="4"/>
  <c r="G4620" i="4"/>
  <c r="G4595" i="4"/>
  <c r="F4595" i="4"/>
  <c r="G4574" i="4"/>
  <c r="G4529" i="4"/>
  <c r="G4465" i="4"/>
  <c r="G4419" i="4"/>
  <c r="F4419" i="4"/>
  <c r="G4372" i="4"/>
  <c r="F4076" i="4"/>
  <c r="G4076" i="4"/>
  <c r="F3932" i="4"/>
  <c r="G3932" i="4"/>
  <c r="F3730" i="4"/>
  <c r="G3730" i="4"/>
  <c r="F4682" i="4"/>
  <c r="F4634" i="4"/>
  <c r="F4605" i="4"/>
  <c r="G4579" i="4"/>
  <c r="F4579" i="4"/>
  <c r="G4553" i="4"/>
  <c r="F4509" i="4"/>
  <c r="G4489" i="4"/>
  <c r="G4444" i="4"/>
  <c r="G4403" i="4"/>
  <c r="F4403" i="4"/>
  <c r="G4387" i="4"/>
  <c r="F4387" i="4"/>
  <c r="G4361" i="4"/>
  <c r="G4345" i="4"/>
  <c r="F4292" i="4"/>
  <c r="G4292" i="4"/>
  <c r="F4237" i="4"/>
  <c r="G4691" i="4"/>
  <c r="F4691" i="4"/>
  <c r="G4563" i="4"/>
  <c r="F4563" i="4"/>
  <c r="G4499" i="4"/>
  <c r="F4499" i="4"/>
  <c r="F4329" i="4"/>
  <c r="G4329" i="4"/>
  <c r="G4291" i="4"/>
  <c r="F4291" i="4"/>
  <c r="G4259" i="4"/>
  <c r="F4259" i="4"/>
  <c r="F4220" i="4"/>
  <c r="G4220" i="4"/>
  <c r="F4137" i="4"/>
  <c r="G4137" i="4"/>
  <c r="G3971" i="4"/>
  <c r="F3971" i="4"/>
  <c r="F3886" i="4"/>
  <c r="G3886" i="4"/>
  <c r="F3738" i="4"/>
  <c r="G3738" i="4"/>
  <c r="F4695" i="4"/>
  <c r="F4653" i="4"/>
  <c r="F4619" i="4"/>
  <c r="G4604" i="4"/>
  <c r="F4583" i="4"/>
  <c r="F4573" i="4"/>
  <c r="F4528" i="4"/>
  <c r="G4508" i="4"/>
  <c r="F4503" i="4"/>
  <c r="F4464" i="4"/>
  <c r="G4443" i="4"/>
  <c r="F4443" i="4"/>
  <c r="G4412" i="4"/>
  <c r="F4407" i="4"/>
  <c r="F4381" i="4"/>
  <c r="G4371" i="4"/>
  <c r="F4371" i="4"/>
  <c r="F3743" i="4"/>
  <c r="G3743" i="4"/>
  <c r="G4643" i="4"/>
  <c r="F4643" i="4"/>
  <c r="G4427" i="4"/>
  <c r="F4427" i="4"/>
  <c r="G4355" i="4"/>
  <c r="F4355" i="4"/>
  <c r="G4339" i="4"/>
  <c r="F4339" i="4"/>
  <c r="F3980" i="4"/>
  <c r="G3980" i="4"/>
  <c r="F3841" i="4"/>
  <c r="G3841" i="4"/>
  <c r="G4547" i="4"/>
  <c r="F4547" i="4"/>
  <c r="G4483" i="4"/>
  <c r="F4483" i="4"/>
  <c r="G4323" i="4"/>
  <c r="F4323" i="4"/>
  <c r="G4307" i="4"/>
  <c r="F4307" i="4"/>
  <c r="F4268" i="4"/>
  <c r="G4268" i="4"/>
  <c r="F4185" i="4"/>
  <c r="G4185" i="4"/>
  <c r="G4115" i="4"/>
  <c r="F4115" i="4"/>
  <c r="G4395" i="4"/>
  <c r="F4395" i="4"/>
  <c r="F4257" i="4"/>
  <c r="G4257" i="4"/>
  <c r="G4019" i="4"/>
  <c r="F4019" i="4"/>
  <c r="G3840" i="4"/>
  <c r="F3840" i="4"/>
  <c r="F3813" i="4"/>
  <c r="G3813" i="4"/>
  <c r="G3688" i="4"/>
  <c r="F3688" i="4"/>
  <c r="G3676" i="4"/>
  <c r="F3676" i="4"/>
  <c r="F3260" i="4"/>
  <c r="G3260" i="4"/>
  <c r="F3177" i="4"/>
  <c r="G3177" i="4"/>
  <c r="G3066" i="4"/>
  <c r="F3066" i="4"/>
  <c r="G3053" i="4"/>
  <c r="F3053" i="4"/>
  <c r="F3016" i="4"/>
  <c r="G3016" i="4"/>
  <c r="G4297" i="4"/>
  <c r="G4284" i="4"/>
  <c r="G4249" i="4"/>
  <c r="G4236" i="4"/>
  <c r="G4201" i="4"/>
  <c r="G4188" i="4"/>
  <c r="G4153" i="4"/>
  <c r="G4140" i="4"/>
  <c r="G4092" i="4"/>
  <c r="G4044" i="4"/>
  <c r="G3996" i="4"/>
  <c r="G3948" i="4"/>
  <c r="F3902" i="4"/>
  <c r="G3902" i="4"/>
  <c r="F3839" i="4"/>
  <c r="G3839" i="4"/>
  <c r="F3826" i="4"/>
  <c r="G3826" i="4"/>
  <c r="G3812" i="4"/>
  <c r="F3812" i="4"/>
  <c r="G3782" i="4"/>
  <c r="F3782" i="4"/>
  <c r="G3768" i="4"/>
  <c r="F3768" i="4"/>
  <c r="G3756" i="4"/>
  <c r="F3756" i="4"/>
  <c r="F3750" i="4"/>
  <c r="G3750" i="4"/>
  <c r="G3724" i="4"/>
  <c r="F3724" i="4"/>
  <c r="F3675" i="4"/>
  <c r="G3675" i="4"/>
  <c r="G3652" i="4"/>
  <c r="F3652" i="4"/>
  <c r="F3313" i="4"/>
  <c r="G3313" i="4"/>
  <c r="F4275" i="4"/>
  <c r="F4227" i="4"/>
  <c r="F4179" i="4"/>
  <c r="F4131" i="4"/>
  <c r="F4083" i="4"/>
  <c r="F4035" i="4"/>
  <c r="F3987" i="4"/>
  <c r="F3939" i="4"/>
  <c r="G3906" i="4"/>
  <c r="G3901" i="4"/>
  <c r="F3874" i="4"/>
  <c r="G3874" i="4"/>
  <c r="F3862" i="4"/>
  <c r="G3850" i="4"/>
  <c r="G3838" i="4"/>
  <c r="F3825" i="4"/>
  <c r="G3819" i="4"/>
  <c r="F3811" i="4"/>
  <c r="G3806" i="4"/>
  <c r="G3781" i="4"/>
  <c r="G3767" i="4"/>
  <c r="G3749" i="4"/>
  <c r="G3736" i="4"/>
  <c r="F3736" i="4"/>
  <c r="G3651" i="4"/>
  <c r="F3651" i="4"/>
  <c r="F3629" i="4"/>
  <c r="G3629" i="4"/>
  <c r="G4244" i="4"/>
  <c r="G4209" i="4"/>
  <c r="G4196" i="4"/>
  <c r="G4161" i="4"/>
  <c r="G4148" i="4"/>
  <c r="G4113" i="4"/>
  <c r="G4100" i="4"/>
  <c r="G4052" i="4"/>
  <c r="G4004" i="4"/>
  <c r="G3956" i="4"/>
  <c r="G3735" i="4"/>
  <c r="F3728" i="4"/>
  <c r="G3716" i="4"/>
  <c r="F3716" i="4"/>
  <c r="G3711" i="4"/>
  <c r="F3561" i="4"/>
  <c r="G3561" i="4"/>
  <c r="F3429" i="4"/>
  <c r="G3429" i="4"/>
  <c r="G3352" i="4"/>
  <c r="F3352" i="4"/>
  <c r="F4235" i="4"/>
  <c r="F4187" i="4"/>
  <c r="F4139" i="4"/>
  <c r="F4091" i="4"/>
  <c r="F4043" i="4"/>
  <c r="F3995" i="4"/>
  <c r="F3947" i="4"/>
  <c r="F3900" i="4"/>
  <c r="F3861" i="4"/>
  <c r="G3861" i="4"/>
  <c r="F3837" i="4"/>
  <c r="G3824" i="4"/>
  <c r="F3824" i="4"/>
  <c r="G3818" i="4"/>
  <c r="F3805" i="4"/>
  <c r="G3780" i="4"/>
  <c r="F3780" i="4"/>
  <c r="F3754" i="4"/>
  <c r="G3748" i="4"/>
  <c r="F3748" i="4"/>
  <c r="F3722" i="4"/>
  <c r="F3505" i="4"/>
  <c r="G3505" i="4"/>
  <c r="G3860" i="4"/>
  <c r="F3860" i="4"/>
  <c r="G3844" i="4"/>
  <c r="F3844" i="4"/>
  <c r="F3773" i="4"/>
  <c r="G3773" i="4"/>
  <c r="G3747" i="4"/>
  <c r="F3747" i="4"/>
  <c r="G3734" i="4"/>
  <c r="F3734" i="4"/>
  <c r="G3699" i="4"/>
  <c r="F3699" i="4"/>
  <c r="G3638" i="4"/>
  <c r="F3638" i="4"/>
  <c r="G3616" i="4"/>
  <c r="F3616" i="4"/>
  <c r="G3358" i="4"/>
  <c r="F3358" i="4"/>
  <c r="F4243" i="4"/>
  <c r="F4195" i="4"/>
  <c r="F4147" i="4"/>
  <c r="F4099" i="4"/>
  <c r="F4051" i="4"/>
  <c r="F4003" i="4"/>
  <c r="F3955" i="4"/>
  <c r="F3899" i="4"/>
  <c r="G3883" i="4"/>
  <c r="G3878" i="4"/>
  <c r="G3859" i="4"/>
  <c r="G3836" i="4"/>
  <c r="F3836" i="4"/>
  <c r="G3817" i="4"/>
  <c r="F3817" i="4"/>
  <c r="G3798" i="4"/>
  <c r="F3791" i="4"/>
  <c r="G3791" i="4"/>
  <c r="F3733" i="4"/>
  <c r="G3721" i="4"/>
  <c r="F3721" i="4"/>
  <c r="F3698" i="4"/>
  <c r="G3698" i="4"/>
  <c r="G3684" i="4"/>
  <c r="F3684" i="4"/>
  <c r="F3615" i="4"/>
  <c r="G3615" i="4"/>
  <c r="F3434" i="4"/>
  <c r="G3434" i="4"/>
  <c r="G3830" i="4"/>
  <c r="F3830" i="4"/>
  <c r="G3816" i="4"/>
  <c r="F3816" i="4"/>
  <c r="F3759" i="4"/>
  <c r="G3759" i="4"/>
  <c r="G3720" i="4"/>
  <c r="F3720" i="4"/>
  <c r="F3570" i="4"/>
  <c r="G3570" i="4"/>
  <c r="F3510" i="4"/>
  <c r="G3510" i="4"/>
  <c r="F4347" i="4"/>
  <c r="F4299" i="4"/>
  <c r="F4251" i="4"/>
  <c r="F4203" i="4"/>
  <c r="F4155" i="4"/>
  <c r="F4107" i="4"/>
  <c r="F4059" i="4"/>
  <c r="F4011" i="4"/>
  <c r="F3963" i="4"/>
  <c r="F3915" i="4"/>
  <c r="F3877" i="4"/>
  <c r="G3842" i="4"/>
  <c r="G3829" i="4"/>
  <c r="G3815" i="4"/>
  <c r="G3797" i="4"/>
  <c r="G3785" i="4"/>
  <c r="F3777" i="4"/>
  <c r="G3771" i="4"/>
  <c r="G3758" i="4"/>
  <c r="F3745" i="4"/>
  <c r="F3719" i="4"/>
  <c r="G3660" i="4"/>
  <c r="F3660" i="4"/>
  <c r="F3491" i="4"/>
  <c r="G3491" i="4"/>
  <c r="G3865" i="4"/>
  <c r="F3865" i="4"/>
  <c r="G3374" i="4"/>
  <c r="F3374" i="4"/>
  <c r="F3914" i="4"/>
  <c r="G3914" i="4"/>
  <c r="G3828" i="4"/>
  <c r="F3828" i="4"/>
  <c r="G3796" i="4"/>
  <c r="F3796" i="4"/>
  <c r="G3784" i="4"/>
  <c r="F3784" i="4"/>
  <c r="G3776" i="4"/>
  <c r="F3776" i="4"/>
  <c r="G3744" i="4"/>
  <c r="F3744" i="4"/>
  <c r="G3708" i="4"/>
  <c r="F3708" i="4"/>
  <c r="F3690" i="4"/>
  <c r="G3690" i="4"/>
  <c r="F3647" i="4"/>
  <c r="G3647" i="4"/>
  <c r="F3607" i="4"/>
  <c r="G3607" i="4"/>
  <c r="G3546" i="4"/>
  <c r="G3504" i="4"/>
  <c r="G3490" i="4"/>
  <c r="G3466" i="4"/>
  <c r="G3378" i="4"/>
  <c r="G3279" i="4"/>
  <c r="F3279" i="4"/>
  <c r="F3227" i="4"/>
  <c r="G3227" i="4"/>
  <c r="F3157" i="4"/>
  <c r="G3157" i="4"/>
  <c r="F3072" i="4"/>
  <c r="G3072" i="4"/>
  <c r="F2623" i="4"/>
  <c r="G2623" i="4"/>
  <c r="F2577" i="4"/>
  <c r="G2577" i="4"/>
  <c r="F2463" i="4"/>
  <c r="G2463" i="4"/>
  <c r="G3804" i="4"/>
  <c r="F3804" i="4"/>
  <c r="F3592" i="4"/>
  <c r="F3555" i="4"/>
  <c r="F3532" i="4"/>
  <c r="F3480" i="4"/>
  <c r="G3461" i="4"/>
  <c r="G3442" i="4"/>
  <c r="F3423" i="4"/>
  <c r="F3409" i="4"/>
  <c r="G3409" i="4"/>
  <c r="G3383" i="4"/>
  <c r="G3362" i="4"/>
  <c r="G3340" i="4"/>
  <c r="G3278" i="4"/>
  <c r="F3278" i="4"/>
  <c r="F3121" i="4"/>
  <c r="G3121" i="4"/>
  <c r="F3111" i="4"/>
  <c r="G3111" i="4"/>
  <c r="F3095" i="4"/>
  <c r="G3095" i="4"/>
  <c r="G3564" i="4"/>
  <c r="F3564" i="4"/>
  <c r="F3393" i="4"/>
  <c r="G3393" i="4"/>
  <c r="F3367" i="4"/>
  <c r="G3367" i="4"/>
  <c r="F3345" i="4"/>
  <c r="G3345" i="4"/>
  <c r="F3306" i="4"/>
  <c r="G3306" i="4"/>
  <c r="F3247" i="4"/>
  <c r="G3247" i="4"/>
  <c r="F3191" i="4"/>
  <c r="G3191" i="4"/>
  <c r="G2789" i="4"/>
  <c r="F2789" i="4"/>
  <c r="F2656" i="4"/>
  <c r="G2656" i="4"/>
  <c r="F2644" i="4"/>
  <c r="G2644" i="4"/>
  <c r="F2638" i="4"/>
  <c r="G2638" i="4"/>
  <c r="F2529" i="4"/>
  <c r="G2529" i="4"/>
  <c r="G2470" i="4"/>
  <c r="F2470" i="4"/>
  <c r="F3628" i="4"/>
  <c r="F3568" i="4"/>
  <c r="F3489" i="4"/>
  <c r="G3489" i="4"/>
  <c r="G3460" i="4"/>
  <c r="F3441" i="4"/>
  <c r="G3441" i="4"/>
  <c r="G3377" i="4"/>
  <c r="F3361" i="4"/>
  <c r="G3361" i="4"/>
  <c r="G3323" i="4"/>
  <c r="F3323" i="4"/>
  <c r="F3305" i="4"/>
  <c r="G3305" i="4"/>
  <c r="G3231" i="4"/>
  <c r="F3231" i="4"/>
  <c r="G2973" i="4"/>
  <c r="F2973" i="4"/>
  <c r="F2950" i="4"/>
  <c r="G2950" i="4"/>
  <c r="F2887" i="4"/>
  <c r="F2875" i="4"/>
  <c r="G2875" i="4"/>
  <c r="F2788" i="4"/>
  <c r="G2788" i="4"/>
  <c r="F2774" i="4"/>
  <c r="G2774" i="4"/>
  <c r="G2721" i="4"/>
  <c r="F2721" i="4"/>
  <c r="F2668" i="4"/>
  <c r="G2668" i="4"/>
  <c r="G3021" i="4"/>
  <c r="F3021" i="4"/>
  <c r="G2996" i="4"/>
  <c r="F2996" i="4"/>
  <c r="G2874" i="4"/>
  <c r="F2874" i="4"/>
  <c r="G2435" i="4"/>
  <c r="F2435" i="4"/>
  <c r="F3664" i="4"/>
  <c r="G3521" i="4"/>
  <c r="G3493" i="4"/>
  <c r="G3469" i="4"/>
  <c r="G3445" i="4"/>
  <c r="G3402" i="4"/>
  <c r="F3371" i="4"/>
  <c r="G3349" i="4"/>
  <c r="F3310" i="4"/>
  <c r="F3205" i="4"/>
  <c r="G3205" i="4"/>
  <c r="G3135" i="4"/>
  <c r="F3135" i="4"/>
  <c r="F3083" i="4"/>
  <c r="G3083" i="4"/>
  <c r="G3045" i="4"/>
  <c r="F3045" i="4"/>
  <c r="F2838" i="4"/>
  <c r="G2838" i="4"/>
  <c r="G2826" i="4"/>
  <c r="F2826" i="4"/>
  <c r="G2813" i="4"/>
  <c r="F2813" i="4"/>
  <c r="F2795" i="4"/>
  <c r="G2795" i="4"/>
  <c r="F2772" i="4"/>
  <c r="G2772" i="4"/>
  <c r="F2750" i="4"/>
  <c r="G2750" i="4"/>
  <c r="G2705" i="4"/>
  <c r="F2705" i="4"/>
  <c r="F2682" i="4"/>
  <c r="G2682" i="4"/>
  <c r="F3321" i="4"/>
  <c r="G3321" i="4"/>
  <c r="F3275" i="4"/>
  <c r="G3275" i="4"/>
  <c r="F3169" i="4"/>
  <c r="G3169" i="4"/>
  <c r="F3075" i="4"/>
  <c r="G3075" i="4"/>
  <c r="F2971" i="4"/>
  <c r="G2971" i="4"/>
  <c r="G2941" i="4"/>
  <c r="F2941" i="4"/>
  <c r="G2922" i="4"/>
  <c r="F2922" i="4"/>
  <c r="F2688" i="4"/>
  <c r="G2688" i="4"/>
  <c r="F2648" i="4"/>
  <c r="G2648" i="4"/>
  <c r="F2567" i="4"/>
  <c r="G2567" i="4"/>
  <c r="G2345" i="4"/>
  <c r="F3348" i="4"/>
  <c r="G3348" i="4"/>
  <c r="F3332" i="4"/>
  <c r="G3332" i="4"/>
  <c r="F3103" i="4"/>
  <c r="G3103" i="4"/>
  <c r="F3038" i="4"/>
  <c r="G3038" i="4"/>
  <c r="G2983" i="4"/>
  <c r="F2983" i="4"/>
  <c r="F2756" i="4"/>
  <c r="G2756" i="4"/>
  <c r="F2726" i="4"/>
  <c r="G2726" i="4"/>
  <c r="G3852" i="4"/>
  <c r="F3852" i="4"/>
  <c r="F3792" i="4"/>
  <c r="G3778" i="4"/>
  <c r="F3769" i="4"/>
  <c r="F3764" i="4"/>
  <c r="F3732" i="4"/>
  <c r="F3700" i="4"/>
  <c r="G3695" i="4"/>
  <c r="F3686" i="4"/>
  <c r="F3672" i="4"/>
  <c r="F3640" i="4"/>
  <c r="F3603" i="4"/>
  <c r="F3580" i="4"/>
  <c r="F3506" i="4"/>
  <c r="G3501" i="4"/>
  <c r="G3463" i="4"/>
  <c r="G3425" i="4"/>
  <c r="F3406" i="4"/>
  <c r="F3380" i="4"/>
  <c r="G3380" i="4"/>
  <c r="G3375" i="4"/>
  <c r="F3364" i="4"/>
  <c r="F3354" i="4"/>
  <c r="G3354" i="4"/>
  <c r="F3297" i="4"/>
  <c r="G3297" i="4"/>
  <c r="F3281" i="4"/>
  <c r="G3281" i="4"/>
  <c r="F3268" i="4"/>
  <c r="G3268" i="4"/>
  <c r="F3262" i="4"/>
  <c r="G3262" i="4"/>
  <c r="F3255" i="4"/>
  <c r="G3255" i="4"/>
  <c r="F3239" i="4"/>
  <c r="G3239" i="4"/>
  <c r="G3087" i="4"/>
  <c r="F3087" i="4"/>
  <c r="G2935" i="4"/>
  <c r="F2935" i="4"/>
  <c r="G2695" i="4"/>
  <c r="F2695" i="4"/>
  <c r="G3612" i="4"/>
  <c r="F3612" i="4"/>
  <c r="F3353" i="4"/>
  <c r="G3353" i="4"/>
  <c r="F3113" i="4"/>
  <c r="G3113" i="4"/>
  <c r="G3031" i="4"/>
  <c r="F3031" i="4"/>
  <c r="F2811" i="4"/>
  <c r="G2811" i="4"/>
  <c r="F2770" i="4"/>
  <c r="G2770" i="4"/>
  <c r="F2732" i="4"/>
  <c r="G2732" i="4"/>
  <c r="G2957" i="4"/>
  <c r="F2957" i="4"/>
  <c r="F3137" i="4"/>
  <c r="G3137" i="4"/>
  <c r="G3069" i="4"/>
  <c r="F3069" i="4"/>
  <c r="F3056" i="4"/>
  <c r="G3056" i="4"/>
  <c r="F2984" i="4"/>
  <c r="G2984" i="4"/>
  <c r="F2923" i="4"/>
  <c r="G2923" i="4"/>
  <c r="F2886" i="4"/>
  <c r="G2886" i="4"/>
  <c r="G2765" i="4"/>
  <c r="F2765" i="4"/>
  <c r="G2713" i="4"/>
  <c r="F2713" i="4"/>
  <c r="F2570" i="4"/>
  <c r="G2570" i="4"/>
  <c r="F2471" i="4"/>
  <c r="G2471" i="4"/>
  <c r="F3225" i="4"/>
  <c r="G3225" i="4"/>
  <c r="F3131" i="4"/>
  <c r="G3131" i="4"/>
  <c r="G3061" i="4"/>
  <c r="F3061" i="4"/>
  <c r="F3032" i="4"/>
  <c r="G3032" i="4"/>
  <c r="F2982" i="4"/>
  <c r="G2982" i="4"/>
  <c r="F2947" i="4"/>
  <c r="G2947" i="4"/>
  <c r="F2904" i="4"/>
  <c r="G2904" i="4"/>
  <c r="F2819" i="4"/>
  <c r="G2819" i="4"/>
  <c r="F2780" i="4"/>
  <c r="G2780" i="4"/>
  <c r="G2749" i="4"/>
  <c r="F2749" i="4"/>
  <c r="F2740" i="4"/>
  <c r="G2740" i="4"/>
  <c r="G2689" i="4"/>
  <c r="F2689" i="4"/>
  <c r="G2630" i="4"/>
  <c r="F2630" i="4"/>
  <c r="F2461" i="4"/>
  <c r="G2461" i="4"/>
  <c r="G2422" i="4"/>
  <c r="F2422" i="4"/>
  <c r="G2327" i="4"/>
  <c r="F3185" i="4"/>
  <c r="G3185" i="4"/>
  <c r="F3080" i="4"/>
  <c r="G3080" i="4"/>
  <c r="F3011" i="4"/>
  <c r="G3011" i="4"/>
  <c r="G3005" i="4"/>
  <c r="F3005" i="4"/>
  <c r="F2958" i="4"/>
  <c r="G2958" i="4"/>
  <c r="F2934" i="4"/>
  <c r="G2934" i="4"/>
  <c r="F2824" i="4"/>
  <c r="G2824" i="4"/>
  <c r="F2800" i="4"/>
  <c r="G2800" i="4"/>
  <c r="F2527" i="4"/>
  <c r="G2527" i="4"/>
  <c r="F2521" i="4"/>
  <c r="G2521" i="4"/>
  <c r="F2513" i="4"/>
  <c r="G2513" i="4"/>
  <c r="F3179" i="4"/>
  <c r="G3179" i="4"/>
  <c r="F3129" i="4"/>
  <c r="G3129" i="4"/>
  <c r="F3059" i="4"/>
  <c r="G3059" i="4"/>
  <c r="F2902" i="4"/>
  <c r="G2902" i="4"/>
  <c r="F2854" i="4"/>
  <c r="G2854" i="4"/>
  <c r="F2835" i="4"/>
  <c r="G2835" i="4"/>
  <c r="G2817" i="4"/>
  <c r="F2817" i="4"/>
  <c r="G2769" i="4"/>
  <c r="F2769" i="4"/>
  <c r="F2694" i="4"/>
  <c r="G2694" i="4"/>
  <c r="G2673" i="4"/>
  <c r="F2673" i="4"/>
  <c r="F2660" i="4"/>
  <c r="G2660" i="4"/>
  <c r="G2566" i="4"/>
  <c r="F2566" i="4"/>
  <c r="F2505" i="4"/>
  <c r="G2505" i="4"/>
  <c r="F2481" i="4"/>
  <c r="G2481" i="4"/>
  <c r="F3265" i="4"/>
  <c r="G3265" i="4"/>
  <c r="F3253" i="4"/>
  <c r="G3253" i="4"/>
  <c r="F3109" i="4"/>
  <c r="G3109" i="4"/>
  <c r="G3077" i="4"/>
  <c r="F3077" i="4"/>
  <c r="G2979" i="4"/>
  <c r="F2792" i="4"/>
  <c r="G2792" i="4"/>
  <c r="F2776" i="4"/>
  <c r="G2776" i="4"/>
  <c r="F2746" i="4"/>
  <c r="G2746" i="4"/>
  <c r="F2554" i="4"/>
  <c r="G2554" i="4"/>
  <c r="G2534" i="4"/>
  <c r="F2534" i="4"/>
  <c r="F2474" i="4"/>
  <c r="G2474" i="4"/>
  <c r="F2466" i="4"/>
  <c r="G2466" i="4"/>
  <c r="F2426" i="4"/>
  <c r="G2426" i="4"/>
  <c r="F2385" i="4"/>
  <c r="G2385" i="4"/>
  <c r="F3233" i="4"/>
  <c r="G3233" i="4"/>
  <c r="F3089" i="4"/>
  <c r="G3089" i="4"/>
  <c r="F3064" i="4"/>
  <c r="G3064" i="4"/>
  <c r="F2926" i="4"/>
  <c r="G2926" i="4"/>
  <c r="F2822" i="4"/>
  <c r="G2822" i="4"/>
  <c r="F2798" i="4"/>
  <c r="G2798" i="4"/>
  <c r="G2761" i="4"/>
  <c r="F2761" i="4"/>
  <c r="G2753" i="4"/>
  <c r="F2753" i="4"/>
  <c r="G2701" i="4"/>
  <c r="F2701" i="4"/>
  <c r="F2692" i="4"/>
  <c r="G2692" i="4"/>
  <c r="F2625" i="4"/>
  <c r="G2625" i="4"/>
  <c r="F2594" i="4"/>
  <c r="G2594" i="4"/>
  <c r="F2540" i="4"/>
  <c r="G2540" i="4"/>
  <c r="F2519" i="4"/>
  <c r="G2519" i="4"/>
  <c r="F2418" i="4"/>
  <c r="G2418" i="4"/>
  <c r="F2404" i="4"/>
  <c r="G2404" i="4"/>
  <c r="F2378" i="4"/>
  <c r="G2378" i="4"/>
  <c r="G2370" i="4"/>
  <c r="F3319" i="4"/>
  <c r="G3319" i="4"/>
  <c r="F3217" i="4"/>
  <c r="G3217" i="4"/>
  <c r="F3027" i="4"/>
  <c r="G3027" i="4"/>
  <c r="G2925" i="4"/>
  <c r="F2925" i="4"/>
  <c r="F2846" i="4"/>
  <c r="G2846" i="4"/>
  <c r="F2752" i="4"/>
  <c r="G2752" i="4"/>
  <c r="G2729" i="4"/>
  <c r="F2729" i="4"/>
  <c r="F2593" i="4"/>
  <c r="G2593" i="4"/>
  <c r="G2579" i="4"/>
  <c r="F2579" i="4"/>
  <c r="G2547" i="4"/>
  <c r="F2547" i="4"/>
  <c r="F2444" i="4"/>
  <c r="G2444" i="4"/>
  <c r="F2431" i="4"/>
  <c r="G2431" i="4"/>
  <c r="F2417" i="4"/>
  <c r="G2417" i="4"/>
  <c r="F2396" i="4"/>
  <c r="G2396" i="4"/>
  <c r="G2356" i="4"/>
  <c r="G2989" i="4"/>
  <c r="F2989" i="4"/>
  <c r="G2837" i="4"/>
  <c r="F2837" i="4"/>
  <c r="G2805" i="4"/>
  <c r="F2805" i="4"/>
  <c r="F2768" i="4"/>
  <c r="G2768" i="4"/>
  <c r="F2748" i="4"/>
  <c r="G2748" i="4"/>
  <c r="G2741" i="4"/>
  <c r="F2741" i="4"/>
  <c r="F2708" i="4"/>
  <c r="G2708" i="4"/>
  <c r="G2681" i="4"/>
  <c r="F2681" i="4"/>
  <c r="F2580" i="4"/>
  <c r="G2580" i="4"/>
  <c r="F2514" i="4"/>
  <c r="G2514" i="4"/>
  <c r="F2489" i="4"/>
  <c r="G2489" i="4"/>
  <c r="F2372" i="4"/>
  <c r="G2372" i="4"/>
  <c r="G2364" i="4"/>
  <c r="G3037" i="4"/>
  <c r="F3037" i="4"/>
  <c r="G2885" i="4"/>
  <c r="F2885" i="4"/>
  <c r="G2853" i="4"/>
  <c r="F2853" i="4"/>
  <c r="F2760" i="4"/>
  <c r="G2760" i="4"/>
  <c r="F2720" i="4"/>
  <c r="G2720" i="4"/>
  <c r="F2700" i="4"/>
  <c r="G2700" i="4"/>
  <c r="G2693" i="4"/>
  <c r="F2693" i="4"/>
  <c r="F2578" i="4"/>
  <c r="G2578" i="4"/>
  <c r="F2468" i="4"/>
  <c r="G2468" i="4"/>
  <c r="F2460" i="4"/>
  <c r="G2460" i="4"/>
  <c r="F2409" i="4"/>
  <c r="G2409" i="4"/>
  <c r="G2326" i="4"/>
  <c r="G2933" i="4"/>
  <c r="F2933" i="4"/>
  <c r="G2901" i="4"/>
  <c r="F2901" i="4"/>
  <c r="G2797" i="4"/>
  <c r="F2797" i="4"/>
  <c r="G2773" i="4"/>
  <c r="F2773" i="4"/>
  <c r="F2712" i="4"/>
  <c r="G2712" i="4"/>
  <c r="F2672" i="4"/>
  <c r="G2672" i="4"/>
  <c r="F2636" i="4"/>
  <c r="G2636" i="4"/>
  <c r="F2546" i="4"/>
  <c r="G2546" i="4"/>
  <c r="F2511" i="4"/>
  <c r="G2511" i="4"/>
  <c r="F2441" i="4"/>
  <c r="G2441" i="4"/>
  <c r="F2415" i="4"/>
  <c r="G2415" i="4"/>
  <c r="F2402" i="4"/>
  <c r="G2402" i="4"/>
  <c r="F2383" i="4"/>
  <c r="G2383" i="4"/>
  <c r="F2377" i="4"/>
  <c r="G2377" i="4"/>
  <c r="G2369" i="4"/>
  <c r="G3289" i="4"/>
  <c r="G3241" i="4"/>
  <c r="G3193" i="4"/>
  <c r="G3145" i="4"/>
  <c r="G3097" i="4"/>
  <c r="F3079" i="4"/>
  <c r="G3030" i="4"/>
  <c r="G3019" i="4"/>
  <c r="G2998" i="4"/>
  <c r="G2981" i="4"/>
  <c r="F2981" i="4"/>
  <c r="F2970" i="4"/>
  <c r="G2949" i="4"/>
  <c r="F2949" i="4"/>
  <c r="G2894" i="4"/>
  <c r="G2883" i="4"/>
  <c r="G2872" i="4"/>
  <c r="G2867" i="4"/>
  <c r="G2845" i="4"/>
  <c r="F2845" i="4"/>
  <c r="G2840" i="4"/>
  <c r="F2791" i="4"/>
  <c r="G2785" i="4"/>
  <c r="F2785" i="4"/>
  <c r="G2778" i="4"/>
  <c r="F2764" i="4"/>
  <c r="G2764" i="4"/>
  <c r="G2758" i="4"/>
  <c r="G2745" i="4"/>
  <c r="F2745" i="4"/>
  <c r="G2725" i="4"/>
  <c r="F2725" i="4"/>
  <c r="G2704" i="4"/>
  <c r="G2698" i="4"/>
  <c r="G2678" i="4"/>
  <c r="G2658" i="4"/>
  <c r="F2628" i="4"/>
  <c r="G2628" i="4"/>
  <c r="G2583" i="4"/>
  <c r="F2575" i="4"/>
  <c r="G2575" i="4"/>
  <c r="G2532" i="4"/>
  <c r="G2518" i="4"/>
  <c r="F2518" i="4"/>
  <c r="F2479" i="4"/>
  <c r="G2479" i="4"/>
  <c r="F2465" i="4"/>
  <c r="G2465" i="4"/>
  <c r="G2458" i="4"/>
  <c r="F2400" i="4"/>
  <c r="G2361" i="4"/>
  <c r="G2337" i="4"/>
  <c r="G3284" i="4"/>
  <c r="G3271" i="4"/>
  <c r="G3258" i="4"/>
  <c r="G3223" i="4"/>
  <c r="G3175" i="4"/>
  <c r="G3127" i="4"/>
  <c r="G2861" i="4"/>
  <c r="F2861" i="4"/>
  <c r="G2829" i="4"/>
  <c r="F2829" i="4"/>
  <c r="F2784" i="4"/>
  <c r="G2784" i="4"/>
  <c r="F2744" i="4"/>
  <c r="G2744" i="4"/>
  <c r="F2724" i="4"/>
  <c r="G2724" i="4"/>
  <c r="G2717" i="4"/>
  <c r="F2717" i="4"/>
  <c r="F2684" i="4"/>
  <c r="G2684" i="4"/>
  <c r="F2664" i="4"/>
  <c r="G2664" i="4"/>
  <c r="F2652" i="4"/>
  <c r="G2652" i="4"/>
  <c r="G2627" i="4"/>
  <c r="F2627" i="4"/>
  <c r="G2614" i="4"/>
  <c r="F2614" i="4"/>
  <c r="F2413" i="4"/>
  <c r="G2413" i="4"/>
  <c r="G2367" i="4"/>
  <c r="G3249" i="4"/>
  <c r="G3201" i="4"/>
  <c r="G3153" i="4"/>
  <c r="G3105" i="4"/>
  <c r="G3078" i="4"/>
  <c r="G3067" i="4"/>
  <c r="G3046" i="4"/>
  <c r="G3029" i="4"/>
  <c r="F3029" i="4"/>
  <c r="F3018" i="4"/>
  <c r="G2997" i="4"/>
  <c r="F2997" i="4"/>
  <c r="G2942" i="4"/>
  <c r="G2931" i="4"/>
  <c r="G2920" i="4"/>
  <c r="G2915" i="4"/>
  <c r="G2893" i="4"/>
  <c r="F2893" i="4"/>
  <c r="G2888" i="4"/>
  <c r="F2839" i="4"/>
  <c r="G2790" i="4"/>
  <c r="G2777" i="4"/>
  <c r="F2777" i="4"/>
  <c r="F2757" i="4"/>
  <c r="F2743" i="4"/>
  <c r="G2737" i="4"/>
  <c r="F2737" i="4"/>
  <c r="G2730" i="4"/>
  <c r="F2716" i="4"/>
  <c r="G2716" i="4"/>
  <c r="G2710" i="4"/>
  <c r="G2697" i="4"/>
  <c r="F2697" i="4"/>
  <c r="G2677" i="4"/>
  <c r="F2677" i="4"/>
  <c r="F2640" i="4"/>
  <c r="G2640" i="4"/>
  <c r="G2634" i="4"/>
  <c r="G2626" i="4"/>
  <c r="F2602" i="4"/>
  <c r="G2602" i="4"/>
  <c r="F2582" i="4"/>
  <c r="G2543" i="4"/>
  <c r="G2531" i="4"/>
  <c r="F2531" i="4"/>
  <c r="F2457" i="4"/>
  <c r="G2457" i="4"/>
  <c r="F2433" i="4"/>
  <c r="G2433" i="4"/>
  <c r="F2420" i="4"/>
  <c r="G2420" i="4"/>
  <c r="F2412" i="4"/>
  <c r="G2412" i="4"/>
  <c r="F2375" i="4"/>
  <c r="G2375" i="4"/>
  <c r="G2354" i="4"/>
  <c r="G2348" i="4"/>
  <c r="G2909" i="4"/>
  <c r="F2909" i="4"/>
  <c r="G2877" i="4"/>
  <c r="F2877" i="4"/>
  <c r="F2736" i="4"/>
  <c r="G2736" i="4"/>
  <c r="F2696" i="4"/>
  <c r="G2696" i="4"/>
  <c r="F2676" i="4"/>
  <c r="G2676" i="4"/>
  <c r="G2669" i="4"/>
  <c r="F2669" i="4"/>
  <c r="G2595" i="4"/>
  <c r="F2595" i="4"/>
  <c r="F2588" i="4"/>
  <c r="G2588" i="4"/>
  <c r="F2530" i="4"/>
  <c r="G2530" i="4"/>
  <c r="F2516" i="4"/>
  <c r="G2516" i="4"/>
  <c r="F2508" i="4"/>
  <c r="G2508" i="4"/>
  <c r="F2393" i="4"/>
  <c r="G2393" i="4"/>
  <c r="G2374" i="4"/>
  <c r="F2374" i="4"/>
  <c r="G2335" i="4"/>
  <c r="F2553" i="4"/>
  <c r="G2553" i="4"/>
  <c r="F2537" i="4"/>
  <c r="G2537" i="4"/>
  <c r="F2497" i="4"/>
  <c r="G2497" i="4"/>
  <c r="G2353" i="4"/>
  <c r="F2569" i="4"/>
  <c r="G2569" i="4"/>
  <c r="F2473" i="4"/>
  <c r="G2473" i="4"/>
  <c r="G2329" i="4"/>
  <c r="F2601" i="4"/>
  <c r="G2601" i="4"/>
  <c r="F2585" i="4"/>
  <c r="G2585" i="4"/>
  <c r="F2449" i="4"/>
  <c r="G2449" i="4"/>
  <c r="F2617" i="4"/>
  <c r="G2617" i="4"/>
  <c r="F2545" i="4"/>
  <c r="G2545" i="4"/>
  <c r="F2425" i="4"/>
  <c r="G2425" i="4"/>
  <c r="F2633" i="4"/>
  <c r="G2633" i="4"/>
  <c r="F2401" i="4"/>
  <c r="G2401" i="4"/>
</calcChain>
</file>

<file path=xl/sharedStrings.xml><?xml version="1.0" encoding="utf-8"?>
<sst xmlns="http://schemas.openxmlformats.org/spreadsheetml/2006/main" count="1516" uniqueCount="458">
  <si>
    <t>Specialty</t>
  </si>
  <si>
    <t>Condensed Specialty</t>
  </si>
  <si>
    <t>Condensed Specialty Code</t>
  </si>
  <si>
    <t>List of Condensed Specialties</t>
  </si>
  <si>
    <t>Addiction Medicine</t>
  </si>
  <si>
    <t>Non Crit Med/Surg Fellow</t>
  </si>
  <si>
    <t>MinPGY</t>
  </si>
  <si>
    <t>ROLE DESCRIPTION</t>
  </si>
  <si>
    <t>Anesthesiology</t>
  </si>
  <si>
    <t>Adult Cardiothoracic Anesthesiology</t>
  </si>
  <si>
    <t>Critical Care Fellow</t>
  </si>
  <si>
    <t>Child Neurology</t>
  </si>
  <si>
    <t>Adult Congenital Heart Disease</t>
  </si>
  <si>
    <t>Dermatology</t>
  </si>
  <si>
    <t>Advanced Heart Failure</t>
  </si>
  <si>
    <t>Diagnostic Radiology</t>
  </si>
  <si>
    <t>MaxPGY</t>
  </si>
  <si>
    <t>Ind Med</t>
  </si>
  <si>
    <t>Allergy and Immunology</t>
  </si>
  <si>
    <t>Emergency Medicine</t>
  </si>
  <si>
    <t>Anatomic Pathology</t>
  </si>
  <si>
    <t>Non Med/Surg Fellow</t>
  </si>
  <si>
    <t>General Surgery</t>
  </si>
  <si>
    <t>Internal Medicine</t>
  </si>
  <si>
    <t>Blood Banking/Transfusion Medicine</t>
  </si>
  <si>
    <t>Internal Medicine/Pediatrics</t>
  </si>
  <si>
    <t>Cardiovascular Disease</t>
  </si>
  <si>
    <t>Interventional Radiology-Integrated</t>
  </si>
  <si>
    <t>Child and Adolescent Psychiatry</t>
  </si>
  <si>
    <t>Neurology</t>
  </si>
  <si>
    <t>Neurosurgery</t>
  </si>
  <si>
    <t>Clinical Cardiac Electrophysiology</t>
  </si>
  <si>
    <t>Procedural Fellow</t>
  </si>
  <si>
    <t>Obstetrics and Gynecology</t>
  </si>
  <si>
    <t>Clinical Chemistry</t>
  </si>
  <si>
    <t>Ophthalmology</t>
  </si>
  <si>
    <t>Clinical Informatics</t>
  </si>
  <si>
    <t>Oral and Maxillofacial Surgery</t>
  </si>
  <si>
    <t>Clinical Microbiology</t>
  </si>
  <si>
    <t>Orthopaedic Surgery</t>
  </si>
  <si>
    <t>Clinical Neurophysiology</t>
  </si>
  <si>
    <t>Otolaryngology</t>
  </si>
  <si>
    <t>Ind Proc</t>
  </si>
  <si>
    <t>Ind Ped</t>
  </si>
  <si>
    <t>Consultation - Liaison Psychiatry</t>
  </si>
  <si>
    <t>Ind ED</t>
  </si>
  <si>
    <t>Ind ICU</t>
  </si>
  <si>
    <t>Pathology</t>
  </si>
  <si>
    <t>Critical Care Medicine</t>
  </si>
  <si>
    <t>Pediatrics</t>
  </si>
  <si>
    <t>Cytopathology</t>
  </si>
  <si>
    <t>Physical Medicine and Rehabilitation</t>
  </si>
  <si>
    <t>ICU resident/APP</t>
  </si>
  <si>
    <t>Ind Airway</t>
  </si>
  <si>
    <t>Dir Med</t>
  </si>
  <si>
    <t>ICU intern</t>
  </si>
  <si>
    <t>Dir Proc</t>
  </si>
  <si>
    <t>Dir Ped</t>
  </si>
  <si>
    <t>Dir Airway</t>
  </si>
  <si>
    <t>Floor resident/APP</t>
  </si>
  <si>
    <t>Support</t>
  </si>
  <si>
    <t>Floor intern</t>
  </si>
  <si>
    <t>Procedure resident</t>
  </si>
  <si>
    <t>ER triage/screen</t>
  </si>
  <si>
    <t>Plastic Surgery-Integrated</t>
  </si>
  <si>
    <t>Developmental-Behavioral Pediatrics</t>
  </si>
  <si>
    <t>Psychiatry</t>
  </si>
  <si>
    <t>Radiation Oncology</t>
  </si>
  <si>
    <t>Emergency Medical Services</t>
  </si>
  <si>
    <t>Urology</t>
  </si>
  <si>
    <t>Endocrinology, Diabetes, and Metabolism</t>
  </si>
  <si>
    <t xml:space="preserve">Vascular Surgery- Integrated </t>
  </si>
  <si>
    <t>Epilepsy</t>
  </si>
  <si>
    <t>Female Pelvic Medicine and Reconstructive Surgery</t>
  </si>
  <si>
    <t>5,6</t>
  </si>
  <si>
    <t>Indrect Supervision</t>
  </si>
  <si>
    <t>Gastroenterology</t>
  </si>
  <si>
    <t>Gastrointestinal Pathology</t>
  </si>
  <si>
    <t>Geriatric Medicine</t>
  </si>
  <si>
    <t>Inpatient Medicine-Adult</t>
  </si>
  <si>
    <t>Close Supervision</t>
  </si>
  <si>
    <t>Geriatric Psychiatry</t>
  </si>
  <si>
    <t>Gynecology Oncology</t>
  </si>
  <si>
    <r>
      <rPr>
        <sz val="12"/>
        <color rgb="FF000000"/>
        <rFont val="Arial"/>
        <family val="2"/>
      </rPr>
      <t xml:space="preserve">Can Provide </t>
    </r>
    <r>
      <rPr>
        <b/>
        <sz val="12"/>
        <color rgb="FF000000"/>
        <rFont val="Arial"/>
        <family val="2"/>
      </rPr>
      <t>Indirectly Supervised Medical Care</t>
    </r>
    <r>
      <rPr>
        <sz val="12"/>
        <color rgb="FF000000"/>
        <rFont val="Arial"/>
        <family val="2"/>
      </rPr>
      <t>—Has completed all/most of an internal medicine/surgery residency</t>
    </r>
    <r>
      <rPr>
        <sz val="12"/>
        <color rgb="FF000000"/>
        <rFont val="Arial"/>
        <family val="2"/>
      </rPr>
      <t xml:space="preserve">, can </t>
    </r>
    <r>
      <rPr>
        <b/>
        <sz val="12"/>
        <color rgb="FF000000"/>
        <rFont val="Arial"/>
        <family val="2"/>
      </rPr>
      <t>supervise triage/screening</t>
    </r>
  </si>
  <si>
    <t>Hand Surgery</t>
  </si>
  <si>
    <t>Hematology and Oncology</t>
  </si>
  <si>
    <t>Inpatient Medicine-Peds</t>
  </si>
  <si>
    <t>Hematopathology</t>
  </si>
  <si>
    <t>Foundation</t>
  </si>
  <si>
    <t>Hospice and Palliative Care Medicine</t>
  </si>
  <si>
    <t>4,5</t>
  </si>
  <si>
    <t>Infectious Disease</t>
  </si>
  <si>
    <t>ED-Adult</t>
  </si>
  <si>
    <t>Interventional Cardiology</t>
  </si>
  <si>
    <t>Interventional Pulmonology</t>
  </si>
  <si>
    <r>
      <rPr>
        <sz val="12"/>
        <color rgb="FF000000"/>
        <rFont val="Arial"/>
        <family val="2"/>
      </rPr>
      <t xml:space="preserve">Can Perfrom </t>
    </r>
    <r>
      <rPr>
        <b/>
        <sz val="12"/>
        <color rgb="FF000000"/>
        <rFont val="Arial"/>
        <family val="2"/>
      </rPr>
      <t>Indirectly Supervised Bedside Procedures</t>
    </r>
    <r>
      <rPr>
        <sz val="12"/>
        <color rgb="FF000000"/>
        <rFont val="Arial"/>
        <family val="2"/>
      </rPr>
      <t xml:space="preserve">—Has significant expereience with central line, arterail line placement </t>
    </r>
  </si>
  <si>
    <t>ED-Peds</t>
  </si>
  <si>
    <t>Interventional Radiology</t>
  </si>
  <si>
    <t>3,4</t>
  </si>
  <si>
    <t>Obstetrics</t>
  </si>
  <si>
    <r>
      <t xml:space="preserve">Can Provide </t>
    </r>
    <r>
      <rPr>
        <b/>
        <sz val="11"/>
        <color theme="1"/>
        <rFont val="Calibri"/>
        <family val="2"/>
      </rPr>
      <t>Indirectly Supervised Pediatric Care</t>
    </r>
    <r>
      <rPr>
        <sz val="12"/>
        <color theme="1"/>
        <rFont val="Calibri"/>
        <family val="2"/>
      </rPr>
      <t>—Has completed all/most of an pediatric residency</t>
    </r>
    <r>
      <rPr>
        <sz val="11"/>
        <color theme="1"/>
        <rFont val="Calibri"/>
        <family val="2"/>
      </rPr>
      <t xml:space="preserve">, </t>
    </r>
    <r>
      <rPr>
        <b/>
        <sz val="11"/>
        <color theme="1"/>
        <rFont val="Calibri"/>
        <family val="2"/>
      </rPr>
      <t>can supervise triage screening</t>
    </r>
  </si>
  <si>
    <t>Laboratory Genetics and Genomics</t>
  </si>
  <si>
    <t>Maternal-Fetal Medicine</t>
  </si>
  <si>
    <t>Micrographic Surgery and Dermatologic Oncology</t>
  </si>
  <si>
    <t>Molecular Genetic Pathology</t>
  </si>
  <si>
    <t>Musculoskeletal Oncology</t>
  </si>
  <si>
    <t>Neonatal-Perinatal Medicine</t>
  </si>
  <si>
    <t>Nephrology</t>
  </si>
  <si>
    <t>Neuromuscular Medicine</t>
  </si>
  <si>
    <t>Bedside Procedures</t>
  </si>
  <si>
    <t>Neuropathology</t>
  </si>
  <si>
    <t>4,5,6,7,8</t>
  </si>
  <si>
    <t>Neuroradiology</t>
  </si>
  <si>
    <t>Airway</t>
  </si>
  <si>
    <t>Neurotology</t>
  </si>
  <si>
    <t>Nuclear Medicine</t>
  </si>
  <si>
    <t>Obstetric Anesthesiology</t>
  </si>
  <si>
    <r>
      <t xml:space="preserve">Can Provide </t>
    </r>
    <r>
      <rPr>
        <b/>
        <sz val="11"/>
        <color theme="1"/>
        <rFont val="Calibri"/>
        <family val="2"/>
      </rPr>
      <t>Indirectly Supervised Emergency Dept. Care</t>
    </r>
    <r>
      <rPr>
        <sz val="12"/>
        <color theme="1"/>
        <rFont val="Calibri"/>
        <family val="2"/>
      </rPr>
      <t>—Has completed all/most of an ED or internal medicine residency, can supervise triage screening</t>
    </r>
  </si>
  <si>
    <t>Orthopaedic Sports Medicine</t>
  </si>
  <si>
    <t>ICU/Vent Mngmnt</t>
  </si>
  <si>
    <t>Pain Medicine</t>
  </si>
  <si>
    <t>2,3</t>
  </si>
  <si>
    <t>Triage/Screening</t>
  </si>
  <si>
    <t>7,8</t>
  </si>
  <si>
    <t>Pediatric Anesthesiology</t>
  </si>
  <si>
    <t>Pediatric Cardiology</t>
  </si>
  <si>
    <t>Pediatric Critical Care</t>
  </si>
  <si>
    <t>Pediatric Electrophysiology</t>
  </si>
  <si>
    <t>Pediatric Emergency Medicine</t>
  </si>
  <si>
    <t>Pediatric Endocrinology</t>
  </si>
  <si>
    <t>Pediatric Gastroenterology</t>
  </si>
  <si>
    <r>
      <rPr>
        <sz val="12"/>
        <color rgb="FF000000"/>
        <rFont val="Arial"/>
        <family val="2"/>
      </rPr>
      <t>Can Provide I</t>
    </r>
    <r>
      <rPr>
        <b/>
        <sz val="12"/>
        <color rgb="FF000000"/>
        <rFont val="Arial"/>
        <family val="2"/>
      </rPr>
      <t>ndrectly Supervised</t>
    </r>
    <r>
      <rPr>
        <sz val="12"/>
        <color rgb="FF000000"/>
        <rFont val="Arial"/>
        <family val="2"/>
      </rPr>
      <t xml:space="preserve"> </t>
    </r>
    <r>
      <rPr>
        <b/>
        <sz val="12"/>
        <color rgb="FF000000"/>
        <rFont val="Arial"/>
        <family val="2"/>
      </rPr>
      <t>Medical or Surgical Intensive Care</t>
    </r>
    <r>
      <rPr>
        <sz val="12"/>
        <color rgb="FF000000"/>
        <rFont val="Arial"/>
        <family val="2"/>
      </rPr>
      <t>— Has had significant medical or pediatric intensive care experience in training, can manage ventilators and critically ill patients with indirect supervision.</t>
    </r>
  </si>
  <si>
    <t>Pediatric Hematology/Oncology</t>
  </si>
  <si>
    <t>Pediatric Hospital Medicine</t>
  </si>
  <si>
    <t>Pediatric Infectious Diseases</t>
  </si>
  <si>
    <t>Pediatric Otolaryngology</t>
  </si>
  <si>
    <t>Pediatric Pulmonology</t>
  </si>
  <si>
    <t>Pediatric Radiology</t>
  </si>
  <si>
    <t>Pediatric Rheumatology</t>
  </si>
  <si>
    <t>Pediatric Sports Medicine</t>
  </si>
  <si>
    <t>Pediatric Surgery</t>
  </si>
  <si>
    <t>Pediatric Urology</t>
  </si>
  <si>
    <t>Pediatrics/Medical Genetics and Genomics (Combined)</t>
  </si>
  <si>
    <t>Plastic Surgery</t>
  </si>
  <si>
    <t>Pulmonary Disease and Critical Care Medicine</t>
  </si>
  <si>
    <r>
      <rPr>
        <sz val="12"/>
        <color rgb="FF000000"/>
        <rFont val="Arial"/>
        <family val="2"/>
      </rPr>
      <t>Can Perform</t>
    </r>
    <r>
      <rPr>
        <b/>
        <sz val="12"/>
        <color rgb="FF000000"/>
        <rFont val="Arial"/>
        <family val="2"/>
      </rPr>
      <t xml:space="preserve"> Indirectly Supervised Intubation - </t>
    </r>
    <r>
      <rPr>
        <sz val="12"/>
        <color rgb="FF000000"/>
        <rFont val="Arial"/>
        <family val="2"/>
      </rPr>
      <t>Has had significant airway experience in training</t>
    </r>
  </si>
  <si>
    <t>Regional Anesthesiology and Acute Pain Medicine</t>
  </si>
  <si>
    <t>Rheumatology</t>
  </si>
  <si>
    <t>Sleep Medicine</t>
  </si>
  <si>
    <t>Surgical Critical Care</t>
  </si>
  <si>
    <t>Therapeutic Radiological Medical Physics</t>
  </si>
  <si>
    <t>Thoracic Surgery-Integrated</t>
  </si>
  <si>
    <t>Thoracic Surgery</t>
  </si>
  <si>
    <t>Transplant Nephrology</t>
  </si>
  <si>
    <t>Vascular and Interventional Radiology</t>
  </si>
  <si>
    <t>Vascular Neurology</t>
  </si>
  <si>
    <r>
      <rPr>
        <sz val="12"/>
        <color rgb="FF000000"/>
        <rFont val="Arial"/>
        <family val="2"/>
      </rPr>
      <t xml:space="preserve">Can Provide </t>
    </r>
    <r>
      <rPr>
        <b/>
        <sz val="12"/>
        <color rgb="FF000000"/>
        <rFont val="Arial"/>
        <family val="2"/>
      </rPr>
      <t>Directly Supervised Medical Care</t>
    </r>
    <r>
      <rPr>
        <sz val="12"/>
        <color rgb="FF000000"/>
        <rFont val="Arial"/>
        <family val="2"/>
      </rPr>
      <t xml:space="preserve">—Has completed part of an internal medicine/surgery residency, can particpate in </t>
    </r>
    <r>
      <rPr>
        <b/>
        <sz val="12"/>
        <color rgb="FF000000"/>
        <rFont val="Arial"/>
        <family val="2"/>
      </rPr>
      <t>triage/screening</t>
    </r>
  </si>
  <si>
    <t>Vascular Surgery-Integrated</t>
  </si>
  <si>
    <t>Vascular Surgery</t>
  </si>
  <si>
    <t xml:space="preserve">Vascular Surgery </t>
  </si>
  <si>
    <t>2,3,4</t>
  </si>
  <si>
    <t>4,5,6</t>
  </si>
  <si>
    <r>
      <t>Can Perfrom</t>
    </r>
    <r>
      <rPr>
        <b/>
        <sz val="11"/>
        <color theme="1"/>
        <rFont val="Calibri"/>
        <family val="2"/>
      </rPr>
      <t xml:space="preserve"> Directly Supervised Bedside Porcedure</t>
    </r>
    <r>
      <rPr>
        <sz val="12"/>
        <color theme="1"/>
        <rFont val="Calibri"/>
        <family val="2"/>
      </rPr>
      <t>s—Has some expereience with central line, arterail line placement</t>
    </r>
  </si>
  <si>
    <t>1,2</t>
  </si>
  <si>
    <r>
      <t xml:space="preserve">Can Provide </t>
    </r>
    <r>
      <rPr>
        <b/>
        <sz val="11"/>
        <color theme="1"/>
        <rFont val="Calibri"/>
        <family val="2"/>
      </rPr>
      <t>Directly Supervised Pediatric Care</t>
    </r>
    <r>
      <rPr>
        <sz val="12"/>
        <color theme="1"/>
        <rFont val="Calibri"/>
        <family val="2"/>
      </rPr>
      <t xml:space="preserve">—Has completed part of a pediatric residency, can particpate in </t>
    </r>
    <r>
      <rPr>
        <b/>
        <sz val="12"/>
        <color theme="1"/>
        <rFont val="Calibri"/>
        <family val="2"/>
      </rPr>
      <t>triage/screening</t>
    </r>
  </si>
  <si>
    <t>5,6,7</t>
  </si>
  <si>
    <t>4,5,6,7</t>
  </si>
  <si>
    <r>
      <t xml:space="preserve">Can Perform </t>
    </r>
    <r>
      <rPr>
        <b/>
        <sz val="11"/>
        <color theme="1"/>
        <rFont val="Calibri"/>
        <family val="2"/>
      </rPr>
      <t>Directly Supervised Intubation</t>
    </r>
    <r>
      <rPr>
        <sz val="11"/>
        <color theme="1"/>
        <rFont val="Calibri"/>
        <family val="2"/>
      </rPr>
      <t xml:space="preserve"> - Has had some airway experience in training</t>
    </r>
  </si>
  <si>
    <t>3,4,5</t>
  </si>
  <si>
    <t>1,2,3</t>
  </si>
  <si>
    <t>Cannot perform independent services as noted above, but could help transport patients, serve meals, deliver supplies, etc.</t>
  </si>
  <si>
    <t>3,4,5,6</t>
  </si>
  <si>
    <t>2,3,4,5</t>
  </si>
  <si>
    <t>6,7,8</t>
  </si>
  <si>
    <t>1,2,3,4,5,6,7</t>
  </si>
  <si>
    <t>6,7</t>
  </si>
  <si>
    <t>6,6</t>
  </si>
  <si>
    <t>1,2,3,4</t>
  </si>
  <si>
    <t>5,6,7,8</t>
  </si>
  <si>
    <t>Trainee Name</t>
  </si>
  <si>
    <t>Program Specialty (Institution-specific)</t>
  </si>
  <si>
    <t>Specialty/Subspecialty</t>
  </si>
  <si>
    <t>Condensed Specialty Type</t>
  </si>
  <si>
    <t>Condensed Specialty Code (for model input)</t>
  </si>
  <si>
    <t>Automatically mapped from Trainee Role Map</t>
  </si>
  <si>
    <t>Floor resident/APPMin</t>
  </si>
  <si>
    <t>Floor resident/APPMax</t>
  </si>
  <si>
    <t>Floor intern Min</t>
  </si>
  <si>
    <t>Floor intern Max</t>
  </si>
  <si>
    <t>RT Min</t>
  </si>
  <si>
    <t>RTMax</t>
  </si>
  <si>
    <t>Attending extender Min</t>
  </si>
  <si>
    <t>Attending Extender Max</t>
  </si>
  <si>
    <t>ICU resident/APP Min</t>
  </si>
  <si>
    <t>ICU resident/APP Max</t>
  </si>
  <si>
    <t>ICU intern Min</t>
  </si>
  <si>
    <t>ICU intern Max</t>
  </si>
  <si>
    <t>ER triage/screen Min</t>
  </si>
  <si>
    <t>ER triage/screen Max</t>
  </si>
  <si>
    <t>Procedure resident Min</t>
  </si>
  <si>
    <t>Procedure resident Max</t>
  </si>
  <si>
    <t>NA/LPN Min</t>
  </si>
  <si>
    <t>NA/LPN Max</t>
  </si>
  <si>
    <t>CP Min</t>
  </si>
  <si>
    <t>CP Max</t>
  </si>
  <si>
    <t>Airway team resident Min</t>
  </si>
  <si>
    <t>Airway team resident Max</t>
  </si>
  <si>
    <t>Non-Critical Care Procedure fellow</t>
  </si>
  <si>
    <t>Non-Critical Care Med/Surg Fellowship</t>
  </si>
  <si>
    <t>Resp therapist Max</t>
  </si>
  <si>
    <t>NA/LPNMax</t>
  </si>
  <si>
    <t>TOTALS by ROLE</t>
  </si>
  <si>
    <t>ICU Attending Extender Max</t>
  </si>
  <si>
    <t>Other_taxonomy</t>
  </si>
  <si>
    <t>Our_taxonomy</t>
  </si>
  <si>
    <t>Adult cardiothoracic anesthesiology</t>
  </si>
  <si>
    <t>Adult congenital heart disease</t>
  </si>
  <si>
    <t>Advanced heart failure and transplant cardiology</t>
  </si>
  <si>
    <t>Allergy and immunology</t>
  </si>
  <si>
    <t>Blood banking/transfusion medicine</t>
  </si>
  <si>
    <t>Cardiovascular disease</t>
  </si>
  <si>
    <t>Child and adolescent psychiatry</t>
  </si>
  <si>
    <t>Child neurology</t>
  </si>
  <si>
    <t>Clinical cardiac electrophysiology</t>
  </si>
  <si>
    <t>Clinical neurophysiology</t>
  </si>
  <si>
    <t>Consultation-liaison psychiatry</t>
  </si>
  <si>
    <t>Developmental-behavioral pediatrics</t>
  </si>
  <si>
    <t>Radiology-diagnostic</t>
  </si>
  <si>
    <t>Emergency medical services</t>
  </si>
  <si>
    <t>Emergency medicine</t>
  </si>
  <si>
    <t>Endocrinology, diabetes, and metabolism</t>
  </si>
  <si>
    <t>Surgery</t>
  </si>
  <si>
    <t>Geriatric psychiatry</t>
  </si>
  <si>
    <t>Hematology and medical oncology</t>
  </si>
  <si>
    <t>Infectious disease</t>
  </si>
  <si>
    <t>Internal medicine</t>
  </si>
  <si>
    <t>Interventional cardiology</t>
  </si>
  <si>
    <t>Interventional radiology - integrated</t>
  </si>
  <si>
    <t>Maternal-fetal medicine</t>
  </si>
  <si>
    <t>Micrographic surgery and dermatologic oncology</t>
  </si>
  <si>
    <t>Musculoskeletal oncology</t>
  </si>
  <si>
    <t>Neonatal-perinatal medicine</t>
  </si>
  <si>
    <t>Neurological surgery</t>
  </si>
  <si>
    <t>Nuclear medicine</t>
  </si>
  <si>
    <t>Obstetric anesthesiology</t>
  </si>
  <si>
    <t>Obstetrics and gynecology</t>
  </si>
  <si>
    <t>Orthopaedic sports medicine</t>
  </si>
  <si>
    <t>Orthopaedic surgery</t>
  </si>
  <si>
    <t>Otolaryngology - Head and Neck Surgery</t>
  </si>
  <si>
    <t>Pathology-anatomic and clinical</t>
  </si>
  <si>
    <t>Pediatric anesthesiology</t>
  </si>
  <si>
    <t>Pediatric cardiology</t>
  </si>
  <si>
    <t>Pediatric critical care medicine</t>
  </si>
  <si>
    <t>Pediatric endocrinology</t>
  </si>
  <si>
    <t>Pediatric gastroenterology</t>
  </si>
  <si>
    <t>Pediatric otolaryngology</t>
  </si>
  <si>
    <t>Pediatric pulmonology</t>
  </si>
  <si>
    <t>Pediatric radiology</t>
  </si>
  <si>
    <t>Pediatric surgery</t>
  </si>
  <si>
    <t>Pediatric urology</t>
  </si>
  <si>
    <t>Physical medicine and rehabilitation</t>
  </si>
  <si>
    <t>Plastic surgery</t>
  </si>
  <si>
    <t>Radiation oncology</t>
  </si>
  <si>
    <t>Regional anesthesiology and acute pain medicine</t>
  </si>
  <si>
    <t>Surgical critical care</t>
  </si>
  <si>
    <t>Thoracic surgery</t>
  </si>
  <si>
    <t>Vascular neurology</t>
  </si>
  <si>
    <t>Vascular surgery</t>
  </si>
  <si>
    <t>Thoracic Surgery- Integrated</t>
  </si>
  <si>
    <t>Resp therapist</t>
  </si>
  <si>
    <t>ICU Attending Extender</t>
  </si>
  <si>
    <t>NA/LPN</t>
  </si>
  <si>
    <t>CP</t>
  </si>
  <si>
    <t>Airway team resident</t>
  </si>
  <si>
    <t xml:space="preserve">     PGY 1</t>
  </si>
  <si>
    <t xml:space="preserve">     PGY 2</t>
  </si>
  <si>
    <t xml:space="preserve">     PGY 3</t>
  </si>
  <si>
    <t xml:space="preserve">     PGY 4</t>
  </si>
  <si>
    <t xml:space="preserve">     PGY 5</t>
  </si>
  <si>
    <t xml:space="preserve">     PGY 6</t>
  </si>
  <si>
    <t xml:space="preserve">     PGY 7</t>
  </si>
  <si>
    <t xml:space="preserve">     PGY 8</t>
  </si>
  <si>
    <t>program ID number</t>
  </si>
  <si>
    <t>program specialty</t>
  </si>
  <si>
    <t>resident id</t>
  </si>
  <si>
    <t>national provider id</t>
  </si>
  <si>
    <t>first name</t>
  </si>
  <si>
    <t>middle initial</t>
  </si>
  <si>
    <t>last name</t>
  </si>
  <si>
    <t xml:space="preserve">social security number </t>
  </si>
  <si>
    <t>email</t>
  </si>
  <si>
    <t>birth date</t>
  </si>
  <si>
    <t>resident start date</t>
  </si>
  <si>
    <t>resident expected completion date</t>
  </si>
  <si>
    <t>year in program</t>
  </si>
  <si>
    <t>medical school code</t>
  </si>
  <si>
    <t>date of degree</t>
  </si>
  <si>
    <t>medical school of graduation</t>
  </si>
  <si>
    <t>type of position</t>
  </si>
  <si>
    <t>years prior training</t>
  </si>
  <si>
    <t>prior training type</t>
  </si>
  <si>
    <t>status in program</t>
  </si>
  <si>
    <t>resident actual completion date</t>
  </si>
  <si>
    <t>gender</t>
  </si>
  <si>
    <t>ethnicity</t>
  </si>
  <si>
    <t>specialty prior training</t>
  </si>
  <si>
    <t>National Provider ID</t>
  </si>
  <si>
    <r>
      <rPr>
        <b/>
        <sz val="12"/>
        <color theme="1"/>
        <rFont val="Arial"/>
        <family val="2"/>
      </rPr>
      <t>BACKGROUND:</t>
    </r>
    <r>
      <rPr>
        <sz val="12"/>
        <color theme="1"/>
        <rFont val="Arial"/>
        <family val="2"/>
      </rPr>
      <t xml:space="preserve">
This Trainee Pandemic Role Allocation Tool will assist in organizing trainees from different sub-specialties at any given institution into Milestone-level appropriate clinical roles related to the care of COVID-19 patients and the anticipated high utilization of critical care resources they require. 
</t>
    </r>
    <r>
      <rPr>
        <b/>
        <sz val="12"/>
        <color theme="1"/>
        <rFont val="Arial"/>
        <family val="2"/>
      </rPr>
      <t>USER GUIDE available at hyperlink below:</t>
    </r>
    <r>
      <rPr>
        <sz val="12"/>
        <color theme="1"/>
        <rFont val="Arial"/>
        <family val="2"/>
      </rPr>
      <t xml:space="preserve">
</t>
    </r>
  </si>
  <si>
    <t>https://docs.google.com/document/d/e/2PACX-1vSsGDaRbiN44xHSzgdrgr9Xb8lZSoYTebd5gfccZaSttzeA2PVhRWvNKbuVLFmbV-sXwsxR-dr5XZVC/pub</t>
  </si>
  <si>
    <t>PASTE HERE</t>
  </si>
  <si>
    <t>For Institution Use</t>
  </si>
  <si>
    <t>Forensic Pathology</t>
  </si>
  <si>
    <t>Child Abuse Pediatrics</t>
  </si>
  <si>
    <t>Complex General Surgical Oncology</t>
  </si>
  <si>
    <t>Colon and Rectal Surgery</t>
  </si>
  <si>
    <t>Abdominal Radiology</t>
  </si>
  <si>
    <t>Addiction Psychiatry</t>
  </si>
  <si>
    <t>Adolescent Medicine</t>
  </si>
  <si>
    <t>Adult Reconstructive Orthopaedics</t>
  </si>
  <si>
    <t>Advanced Heart Failure and Transplant Cardiology</t>
  </si>
  <si>
    <t>Brain Injury Medicine</t>
  </si>
  <si>
    <t>Chemical Pathology</t>
  </si>
  <si>
    <t>Congenital Cardiac Surgery</t>
  </si>
  <si>
    <t>Craniofacial Surgery</t>
  </si>
  <si>
    <t>Dermatopathology</t>
  </si>
  <si>
    <t>Endovascular Surgical Neuroradiology</t>
  </si>
  <si>
    <t>Family Medicine</t>
  </si>
  <si>
    <t>Foot and Ankle Orthopaedics</t>
  </si>
  <si>
    <t>Forensic Psychiatry</t>
  </si>
  <si>
    <t>Hematology</t>
  </si>
  <si>
    <t>Hematology and Medical Oncology</t>
  </si>
  <si>
    <t>Hospice and Palliative Medicine (Multidisciplinary)</t>
  </si>
  <si>
    <t>Medical Biochemical Genetics</t>
  </si>
  <si>
    <t>Medical Genetics and Genomics</t>
  </si>
  <si>
    <t>Medical Microbiology</t>
  </si>
  <si>
    <t>Medical Oncology</t>
  </si>
  <si>
    <t>Medical Toxicology</t>
  </si>
  <si>
    <t>Musculoskeletal Radiology</t>
  </si>
  <si>
    <t>Neurodevelopmental Disabilities</t>
  </si>
  <si>
    <t>Neurological Surgery</t>
  </si>
  <si>
    <t>Nuclear Radiology</t>
  </si>
  <si>
    <t>Ophthalmic Plastic and Reconstructive Surgery</t>
  </si>
  <si>
    <t>Orthopaedic Surgery of the Spine</t>
  </si>
  <si>
    <t>Orthopaedic Trauma</t>
  </si>
  <si>
    <t>Pathology-Anatomic and Clinical</t>
  </si>
  <si>
    <t>Pediatric Critical Care Medicine</t>
  </si>
  <si>
    <t>Pediatric Nephrology</t>
  </si>
  <si>
    <t>Pediatric Orthopaedics</t>
  </si>
  <si>
    <t>Pediatric Pathology</t>
  </si>
  <si>
    <t>Pediatric Rehabilitation</t>
  </si>
  <si>
    <t>Pediatric Transplant Hepatology</t>
  </si>
  <si>
    <t>Preventive Medicine</t>
  </si>
  <si>
    <t>Pulmonary Disease</t>
  </si>
  <si>
    <t>Reproductive Endocrinology and Infertility</t>
  </si>
  <si>
    <t>Selective Pathology</t>
  </si>
  <si>
    <t>Spinal Cord Injury Medicine</t>
  </si>
  <si>
    <t>Transitional Year</t>
  </si>
  <si>
    <t>Transplant Hepatology</t>
  </si>
  <si>
    <t>Undersea and Hyperbaric Medicine</t>
  </si>
  <si>
    <t xml:space="preserve">Osteopathic Neuromusculoskeletal Medicine </t>
  </si>
  <si>
    <t>Our_taxonomy_old</t>
  </si>
  <si>
    <t xml:space="preserve">Pain medicine </t>
  </si>
  <si>
    <t>Colon and rectal surgery</t>
  </si>
  <si>
    <t>Medical toxicology</t>
  </si>
  <si>
    <t>Pediatric emergency medicine</t>
  </si>
  <si>
    <t>Pediatric Sports medicine</t>
  </si>
  <si>
    <t>Family medicine</t>
  </si>
  <si>
    <t>Geriatric medicine</t>
  </si>
  <si>
    <t xml:space="preserve">Hospice and palliative medicine (multidisciplinary) </t>
  </si>
  <si>
    <t>Sports medicine</t>
  </si>
  <si>
    <t>Medical oncology</t>
  </si>
  <si>
    <t>Pulmonary disease</t>
  </si>
  <si>
    <t xml:space="preserve">Pulmonary disease and critical care medicine </t>
  </si>
  <si>
    <t xml:space="preserve">Sleep medicine </t>
  </si>
  <si>
    <t>Transplant hepatology</t>
  </si>
  <si>
    <t>Medical genetics and genomics</t>
  </si>
  <si>
    <t>Medical biochemical genetics</t>
  </si>
  <si>
    <t xml:space="preserve">Molecular genetic pathology </t>
  </si>
  <si>
    <t>Endovascular surgical neuroradiology</t>
  </si>
  <si>
    <t>Brain injury medicine</t>
  </si>
  <si>
    <t>Neurodevelopmental disabilities</t>
  </si>
  <si>
    <t>Neuromuscular medicine</t>
  </si>
  <si>
    <t>Gynecologic oncology</t>
  </si>
  <si>
    <t xml:space="preserve">Reproductive endocrinology and infertility </t>
  </si>
  <si>
    <t xml:space="preserve">Ophthalmic plastic and reconstructive surgery </t>
  </si>
  <si>
    <t>Adult reconstructive orthopaedics</t>
  </si>
  <si>
    <t>Foot and ankle orthopaedics</t>
  </si>
  <si>
    <t>Orthopaedic surgery of the spine</t>
  </si>
  <si>
    <t>Orthopaedic trauma</t>
  </si>
  <si>
    <t>Pediatric orthopaedics</t>
  </si>
  <si>
    <t>Otolaryngology - head and neck surgery</t>
  </si>
  <si>
    <t>Chemical pathology</t>
  </si>
  <si>
    <t>Forensic pathology</t>
  </si>
  <si>
    <t>Medical microbiology</t>
  </si>
  <si>
    <t>Pediatric pathology</t>
  </si>
  <si>
    <t>Selective pathology</t>
  </si>
  <si>
    <t>Adolescent medicine</t>
  </si>
  <si>
    <t>Child abuse pediatrics</t>
  </si>
  <si>
    <t xml:space="preserve">Pediatric hematology/oncology </t>
  </si>
  <si>
    <t xml:space="preserve">Pediatric rheumatology </t>
  </si>
  <si>
    <t>Pediatric sports medicine</t>
  </si>
  <si>
    <t>Pediatric transplant hepatology</t>
  </si>
  <si>
    <t>Spinal cord injury medicine</t>
  </si>
  <si>
    <t>Pediatric rehabilitation</t>
  </si>
  <si>
    <t>Plastic surgery - integrated</t>
  </si>
  <si>
    <t>Craniofacial surgery</t>
  </si>
  <si>
    <t>Preventive medicine</t>
  </si>
  <si>
    <t xml:space="preserve">Undersea and hyperbaric medicine </t>
  </si>
  <si>
    <t xml:space="preserve">Addiction medicine </t>
  </si>
  <si>
    <t>Addiction psychiatry</t>
  </si>
  <si>
    <t>Forensic psychiatry</t>
  </si>
  <si>
    <t>Abdominal radiology</t>
  </si>
  <si>
    <t>Musculoskeletal radiology</t>
  </si>
  <si>
    <t>Nuclear radiology</t>
  </si>
  <si>
    <t xml:space="preserve">Vascular and interventional radiology </t>
  </si>
  <si>
    <t>Complex general surgical oncology</t>
  </si>
  <si>
    <t>Vascular surgery - integrated</t>
  </si>
  <si>
    <t>Congenital cardiac surgery</t>
  </si>
  <si>
    <t>Thoracic surgery - integrated</t>
  </si>
  <si>
    <t>Transitional year</t>
  </si>
  <si>
    <t xml:space="preserve">Internal medicine/Pediatrics </t>
  </si>
  <si>
    <t>Critical care medicine (Anesthesiology)</t>
  </si>
  <si>
    <t>Clinical informatics (Anesthesiology)</t>
  </si>
  <si>
    <t>Hand surgery (Orthopaedic surgery)</t>
  </si>
  <si>
    <t>Hand surgery (Plastic surgery)</t>
  </si>
  <si>
    <t>Hand surgery (Surgery)</t>
  </si>
  <si>
    <t>Critical care medicine (Internal medicine)</t>
  </si>
  <si>
    <t>Sports Medicine (Family Medicine)</t>
  </si>
  <si>
    <t>Clinical informatics (Emergency medicine)</t>
  </si>
  <si>
    <t>Clinical informatics (Family medicine)</t>
  </si>
  <si>
    <t>Clinical informatics (Internal medicine)</t>
  </si>
  <si>
    <t>Clinical informatics (Pathology-anatomic and clinical)</t>
  </si>
  <si>
    <t>Clinical informatics (Pediatrics)</t>
  </si>
  <si>
    <t>Medical toxicology (Emergency medicine)</t>
  </si>
  <si>
    <t>Undersea and hyperbaric medicine (Emergency medicine)</t>
  </si>
  <si>
    <t>Female pelvic medicine and reconstructive surgery (Obstetrics and gynecology)</t>
  </si>
  <si>
    <t>Female pelvic medicine and reconstructive surgery (Urology)</t>
  </si>
  <si>
    <t>Geriatric medicine (Family medicine)</t>
  </si>
  <si>
    <t xml:space="preserve">Osteopathic neuromusculoskeletal medicine </t>
  </si>
  <si>
    <t>Sports medicine (Family medicine)</t>
  </si>
  <si>
    <t>Pediatric emergency medicine (Pediatrics)</t>
  </si>
  <si>
    <t>Hospice and palliative medicine (multidisciplinary)</t>
  </si>
  <si>
    <t>Addiction medicine (multidisciplinary)</t>
  </si>
  <si>
    <t>Pain medicine (multidisciplinary)</t>
  </si>
  <si>
    <t>Sports medicine (Pediatrics)</t>
  </si>
  <si>
    <t>Geriatric medicine (Internal medicine)</t>
  </si>
  <si>
    <t>Sleep medicine (multidisciplinary)</t>
  </si>
  <si>
    <t>Neuromuscular medicine (Neurology)</t>
  </si>
  <si>
    <t>Molecular genetic pathology (multidisciplinary)</t>
  </si>
  <si>
    <t>Pediatric infectious diseases</t>
  </si>
  <si>
    <t>Internal medicine/Pediatrics</t>
  </si>
  <si>
    <t>Pulmonary disease and critical care medicine</t>
  </si>
  <si>
    <t>Plastic Surgery - Integrated</t>
  </si>
  <si>
    <t>Pediatric hematology/oncology</t>
  </si>
  <si>
    <t>Pediatric rheumatology</t>
  </si>
  <si>
    <t>Vascular and interventional radiology</t>
  </si>
  <si>
    <t>Internal Medicine/Family Medicine</t>
  </si>
  <si>
    <t>Year in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</si>
</sst>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Arial"/>
    </font>
    <font>
      <sz val="12"/>
      <name val="Arial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2"/>
      <name val="Arial"/>
      <family val="2"/>
    </font>
    <font>
      <i/>
      <sz val="12"/>
      <color theme="1"/>
      <name val="Arial"/>
      <family val="2"/>
    </font>
    <font>
      <i/>
      <sz val="12"/>
      <color rgb="FF000000"/>
      <name val="Arial"/>
      <family val="2"/>
    </font>
    <font>
      <sz val="12"/>
      <color theme="1"/>
      <name val="Roboto"/>
    </font>
    <font>
      <sz val="12"/>
      <name val="Roboto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Arial"/>
      <family val="2"/>
    </font>
    <font>
      <b/>
      <sz val="18"/>
      <name val="Calibri"/>
      <family val="2"/>
    </font>
    <font>
      <u/>
      <sz val="12"/>
      <color theme="10"/>
      <name val="Arial"/>
      <family val="2"/>
    </font>
    <font>
      <sz val="8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E2EFDA"/>
        <bgColor rgb="FFE2EFDA"/>
      </patternFill>
    </fill>
    <fill>
      <patternFill patternType="solid">
        <fgColor rgb="FFEFEFEF"/>
        <bgColor rgb="FFEFEFEF"/>
      </patternFill>
    </fill>
    <fill>
      <patternFill patternType="solid">
        <fgColor rgb="FFE2EFD9"/>
        <bgColor rgb="FFE2EFD9"/>
      </patternFill>
    </fill>
    <fill>
      <patternFill patternType="solid">
        <fgColor rgb="FFE5EEDC"/>
        <bgColor rgb="FFE5EEDC"/>
      </patternFill>
    </fill>
    <fill>
      <patternFill patternType="solid">
        <fgColor rgb="FFFEF2D0"/>
        <bgColor rgb="FFFEF2D0"/>
      </patternFill>
    </fill>
    <fill>
      <patternFill patternType="solid">
        <fgColor rgb="FFD6DCE4"/>
        <bgColor rgb="FFD6DCE4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4CCCC"/>
        <bgColor rgb="FFF4CCCC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BDAF5"/>
        <bgColor indexed="64"/>
      </patternFill>
    </fill>
    <fill>
      <patternFill patternType="solid">
        <fgColor rgb="FFB6D7A8"/>
        <bgColor rgb="FFB6D7A8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BDAF5"/>
        <bgColor rgb="FFC9DAF8"/>
      </patternFill>
    </fill>
    <fill>
      <patternFill patternType="solid">
        <fgColor rgb="FF92D050"/>
        <bgColor rgb="FFB6D7A8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rgb="FFE2EFDA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</borders>
  <cellStyleXfs count="3">
    <xf numFmtId="0" fontId="0" fillId="0" borderId="0"/>
    <xf numFmtId="0" fontId="17" fillId="0" borderId="2"/>
    <xf numFmtId="0" fontId="19" fillId="0" borderId="2" applyNumberFormat="0" applyFill="0" applyBorder="0" applyAlignment="0" applyProtection="0"/>
  </cellStyleXfs>
  <cellXfs count="113">
    <xf numFmtId="0" fontId="0" fillId="0" borderId="0" xfId="0" applyFont="1" applyAlignment="1"/>
    <xf numFmtId="0" fontId="1" fillId="0" borderId="0" xfId="0" applyFont="1" applyAlignment="1">
      <alignment wrapText="1"/>
    </xf>
    <xf numFmtId="0" fontId="3" fillId="3" borderId="0" xfId="0" applyFont="1" applyFill="1"/>
    <xf numFmtId="0" fontId="3" fillId="0" borderId="0" xfId="0" applyFont="1"/>
    <xf numFmtId="0" fontId="0" fillId="0" borderId="0" xfId="0" applyFont="1"/>
    <xf numFmtId="0" fontId="3" fillId="4" borderId="0" xfId="0" applyFont="1" applyFill="1"/>
    <xf numFmtId="0" fontId="0" fillId="4" borderId="0" xfId="0" applyFont="1" applyFill="1"/>
    <xf numFmtId="0" fontId="4" fillId="0" borderId="1" xfId="0" applyFont="1" applyBorder="1"/>
    <xf numFmtId="0" fontId="1" fillId="3" borderId="0" xfId="0" applyFont="1" applyFill="1"/>
    <xf numFmtId="0" fontId="1" fillId="0" borderId="0" xfId="0" applyFont="1"/>
    <xf numFmtId="0" fontId="1" fillId="4" borderId="0" xfId="0" applyFont="1" applyFill="1"/>
    <xf numFmtId="0" fontId="5" fillId="0" borderId="1" xfId="0" applyFont="1" applyBorder="1"/>
    <xf numFmtId="0" fontId="6" fillId="4" borderId="2" xfId="0" applyFont="1" applyFill="1" applyBorder="1"/>
    <xf numFmtId="0" fontId="5" fillId="5" borderId="1" xfId="0" applyFont="1" applyFill="1" applyBorder="1"/>
    <xf numFmtId="0" fontId="5" fillId="6" borderId="1" xfId="0" applyFont="1" applyFill="1" applyBorder="1"/>
    <xf numFmtId="0" fontId="5" fillId="7" borderId="1" xfId="0" applyFont="1" applyFill="1" applyBorder="1"/>
    <xf numFmtId="0" fontId="8" fillId="7" borderId="3" xfId="0" applyFont="1" applyFill="1" applyBorder="1"/>
    <xf numFmtId="0" fontId="7" fillId="0" borderId="0" xfId="0" applyFont="1" applyAlignment="1">
      <alignment wrapText="1"/>
    </xf>
    <xf numFmtId="0" fontId="8" fillId="7" borderId="2" xfId="0" applyFont="1" applyFill="1" applyBorder="1"/>
    <xf numFmtId="0" fontId="5" fillId="8" borderId="1" xfId="0" applyFont="1" applyFill="1" applyBorder="1"/>
    <xf numFmtId="0" fontId="5" fillId="0" borderId="0" xfId="0" applyFont="1"/>
    <xf numFmtId="0" fontId="5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1" fillId="0" borderId="0" xfId="0" applyFont="1" applyAlignment="1"/>
    <xf numFmtId="0" fontId="5" fillId="9" borderId="1" xfId="0" applyFont="1" applyFill="1" applyBorder="1"/>
    <xf numFmtId="0" fontId="8" fillId="5" borderId="3" xfId="0" applyFont="1" applyFill="1" applyBorder="1"/>
    <xf numFmtId="0" fontId="6" fillId="10" borderId="2" xfId="0" applyFont="1" applyFill="1" applyBorder="1"/>
    <xf numFmtId="0" fontId="8" fillId="0" borderId="0" xfId="0" applyFont="1"/>
    <xf numFmtId="0" fontId="5" fillId="8" borderId="1" xfId="0" applyFont="1" applyFill="1" applyBorder="1" applyAlignment="1">
      <alignment horizontal="left"/>
    </xf>
    <xf numFmtId="0" fontId="8" fillId="6" borderId="3" xfId="0" applyFont="1" applyFill="1" applyBorder="1"/>
    <xf numFmtId="0" fontId="8" fillId="8" borderId="3" xfId="0" applyFont="1" applyFill="1" applyBorder="1" applyAlignment="1">
      <alignment vertical="top"/>
    </xf>
    <xf numFmtId="0" fontId="5" fillId="0" borderId="1" xfId="0" applyFont="1" applyBorder="1" applyAlignment="1">
      <alignment vertical="top"/>
    </xf>
    <xf numFmtId="0" fontId="5" fillId="5" borderId="1" xfId="0" applyFont="1" applyFill="1" applyBorder="1" applyAlignment="1">
      <alignment vertical="top"/>
    </xf>
    <xf numFmtId="0" fontId="5" fillId="6" borderId="1" xfId="0" applyFont="1" applyFill="1" applyBorder="1" applyAlignment="1">
      <alignment vertical="top"/>
    </xf>
    <xf numFmtId="0" fontId="5" fillId="7" borderId="1" xfId="0" applyFont="1" applyFill="1" applyBorder="1" applyAlignment="1">
      <alignment vertical="top"/>
    </xf>
    <xf numFmtId="0" fontId="5" fillId="8" borderId="1" xfId="0" applyFont="1" applyFill="1" applyBorder="1" applyAlignment="1">
      <alignment vertical="top"/>
    </xf>
    <xf numFmtId="0" fontId="5" fillId="0" borderId="0" xfId="0" applyFont="1" applyAlignment="1">
      <alignment vertical="top"/>
    </xf>
    <xf numFmtId="0" fontId="4" fillId="3" borderId="1" xfId="0" applyFont="1" applyFill="1" applyBorder="1"/>
    <xf numFmtId="0" fontId="5" fillId="5" borderId="2" xfId="0" applyFont="1" applyFill="1" applyBorder="1"/>
    <xf numFmtId="0" fontId="5" fillId="6" borderId="2" xfId="0" applyFont="1" applyFill="1" applyBorder="1"/>
    <xf numFmtId="0" fontId="5" fillId="7" borderId="2" xfId="0" applyFont="1" applyFill="1" applyBorder="1"/>
    <xf numFmtId="0" fontId="5" fillId="8" borderId="2" xfId="0" applyFont="1" applyFill="1" applyBorder="1"/>
    <xf numFmtId="0" fontId="7" fillId="11" borderId="2" xfId="0" applyFont="1" applyFill="1" applyBorder="1" applyAlignment="1">
      <alignment wrapText="1"/>
    </xf>
    <xf numFmtId="0" fontId="2" fillId="11" borderId="2" xfId="0" applyFont="1" applyFill="1" applyBorder="1" applyAlignment="1">
      <alignment wrapText="1"/>
    </xf>
    <xf numFmtId="0" fontId="2" fillId="11" borderId="2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10" fillId="0" borderId="0" xfId="0" applyFont="1" applyAlignment="1">
      <alignment horizontal="right"/>
    </xf>
    <xf numFmtId="0" fontId="10" fillId="0" borderId="0" xfId="0" applyFont="1" applyAlignment="1"/>
    <xf numFmtId="0" fontId="0" fillId="0" borderId="0" xfId="0" applyFont="1" applyAlignment="1">
      <alignment wrapText="1"/>
    </xf>
    <xf numFmtId="0" fontId="0" fillId="2" borderId="2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0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3" fillId="12" borderId="0" xfId="0" applyFont="1" applyFill="1" applyAlignment="1"/>
    <xf numFmtId="0" fontId="1" fillId="12" borderId="0" xfId="0" applyFont="1" applyFill="1"/>
    <xf numFmtId="0" fontId="0" fillId="13" borderId="0" xfId="0" applyFont="1" applyFill="1"/>
    <xf numFmtId="0" fontId="7" fillId="0" borderId="2" xfId="1" applyFont="1"/>
    <xf numFmtId="0" fontId="17" fillId="0" borderId="2" xfId="1" applyAlignment="1">
      <alignment wrapText="1"/>
    </xf>
    <xf numFmtId="0" fontId="6" fillId="9" borderId="2" xfId="1" applyFont="1" applyFill="1" applyAlignment="1">
      <alignment horizontal="left" wrapText="1"/>
    </xf>
    <xf numFmtId="0" fontId="7" fillId="0" borderId="2" xfId="1" applyFont="1" applyAlignment="1">
      <alignment wrapText="1"/>
    </xf>
    <xf numFmtId="0" fontId="6" fillId="0" borderId="2" xfId="1" applyFont="1" applyAlignment="1">
      <alignment horizontal="left" wrapText="1"/>
    </xf>
    <xf numFmtId="0" fontId="2" fillId="0" borderId="2" xfId="1" applyFont="1" applyAlignment="1">
      <alignment horizontal="left" wrapText="1"/>
    </xf>
    <xf numFmtId="0" fontId="11" fillId="14" borderId="0" xfId="0" applyFont="1" applyFill="1" applyAlignment="1">
      <alignment wrapText="1"/>
    </xf>
    <xf numFmtId="0" fontId="12" fillId="14" borderId="0" xfId="0" applyFont="1" applyFill="1" applyAlignment="1">
      <alignment wrapText="1"/>
    </xf>
    <xf numFmtId="0" fontId="3" fillId="0" borderId="2" xfId="0" applyFont="1" applyFill="1" applyBorder="1" applyAlignment="1">
      <alignment wrapText="1"/>
    </xf>
    <xf numFmtId="0" fontId="0" fillId="0" borderId="0" xfId="0" applyFont="1" applyFill="1" applyAlignment="1"/>
    <xf numFmtId="0" fontId="3" fillId="15" borderId="2" xfId="0" applyFont="1" applyFill="1" applyBorder="1" applyAlignment="1">
      <alignment wrapText="1"/>
    </xf>
    <xf numFmtId="0" fontId="18" fillId="16" borderId="0" xfId="0" applyFont="1" applyFill="1"/>
    <xf numFmtId="0" fontId="15" fillId="16" borderId="0" xfId="0" applyFont="1" applyFill="1"/>
    <xf numFmtId="0" fontId="2" fillId="2" borderId="2" xfId="0" applyFont="1" applyFill="1" applyBorder="1"/>
    <xf numFmtId="0" fontId="6" fillId="2" borderId="2" xfId="0" applyFont="1" applyFill="1" applyBorder="1"/>
    <xf numFmtId="0" fontId="17" fillId="0" borderId="0" xfId="0" applyFont="1"/>
    <xf numFmtId="0" fontId="17" fillId="0" borderId="0" xfId="0" applyFont="1" applyAlignment="1"/>
    <xf numFmtId="0" fontId="17" fillId="10" borderId="2" xfId="0" applyFont="1" applyFill="1" applyBorder="1" applyAlignment="1"/>
    <xf numFmtId="0" fontId="0" fillId="17" borderId="0" xfId="0" applyFont="1" applyFill="1"/>
    <xf numFmtId="0" fontId="14" fillId="17" borderId="0" xfId="0" applyFont="1" applyFill="1" applyAlignment="1">
      <alignment horizontal="right"/>
    </xf>
    <xf numFmtId="0" fontId="1" fillId="17" borderId="0" xfId="0" applyFont="1" applyFill="1" applyAlignment="1">
      <alignment horizontal="right"/>
    </xf>
    <xf numFmtId="0" fontId="1" fillId="17" borderId="0" xfId="0" applyFont="1" applyFill="1"/>
    <xf numFmtId="0" fontId="17" fillId="17" borderId="0" xfId="0" applyFont="1" applyFill="1"/>
    <xf numFmtId="0" fontId="17" fillId="17" borderId="0" xfId="0" applyFont="1" applyFill="1" applyAlignment="1">
      <alignment horizontal="right"/>
    </xf>
    <xf numFmtId="0" fontId="0" fillId="0" borderId="0" xfId="0" applyFont="1" applyFill="1"/>
    <xf numFmtId="0" fontId="1" fillId="0" borderId="0" xfId="0" applyFont="1" applyFill="1"/>
    <xf numFmtId="0" fontId="17" fillId="0" borderId="0" xfId="0" applyFont="1" applyAlignment="1">
      <alignment horizontal="right"/>
    </xf>
    <xf numFmtId="0" fontId="3" fillId="12" borderId="0" xfId="0" applyFont="1" applyFill="1"/>
    <xf numFmtId="0" fontId="0" fillId="13" borderId="0" xfId="0" applyFill="1"/>
    <xf numFmtId="0" fontId="17" fillId="0" borderId="2" xfId="1"/>
    <xf numFmtId="0" fontId="7" fillId="0" borderId="0" xfId="0" applyFont="1"/>
    <xf numFmtId="0" fontId="19" fillId="0" borderId="2" xfId="2" applyBorder="1" applyAlignment="1">
      <alignment wrapText="1"/>
    </xf>
    <xf numFmtId="0" fontId="0" fillId="0" borderId="0" xfId="0"/>
    <xf numFmtId="0" fontId="6" fillId="18" borderId="2" xfId="0" applyFont="1" applyFill="1" applyBorder="1"/>
    <xf numFmtId="0" fontId="0" fillId="15" borderId="0" xfId="0" applyFill="1"/>
    <xf numFmtId="0" fontId="1" fillId="3" borderId="2" xfId="0" applyFont="1" applyFill="1" applyBorder="1" applyAlignment="1"/>
    <xf numFmtId="0" fontId="1" fillId="0" borderId="2" xfId="0" applyFont="1" applyBorder="1" applyAlignment="1"/>
    <xf numFmtId="0" fontId="18" fillId="19" borderId="0" xfId="0" applyFont="1" applyFill="1"/>
    <xf numFmtId="0" fontId="17" fillId="20" borderId="0" xfId="0" applyFont="1" applyFill="1"/>
    <xf numFmtId="0" fontId="20" fillId="0" borderId="7" xfId="0" applyFont="1" applyBorder="1" applyAlignment="1" applyProtection="1">
      <alignment vertical="top" wrapText="1" readingOrder="1"/>
      <protection locked="0"/>
    </xf>
    <xf numFmtId="0" fontId="17" fillId="21" borderId="0" xfId="0" applyFont="1" applyFill="1"/>
    <xf numFmtId="0" fontId="1" fillId="22" borderId="0" xfId="0" applyFont="1" applyFill="1"/>
    <xf numFmtId="0" fontId="0" fillId="17" borderId="0" xfId="0" applyFont="1" applyFill="1" applyAlignment="1"/>
    <xf numFmtId="0" fontId="5" fillId="6" borderId="4" xfId="0" applyFont="1" applyFill="1" applyBorder="1" applyAlignment="1">
      <alignment horizontal="left" wrapText="1"/>
    </xf>
    <xf numFmtId="0" fontId="10" fillId="0" borderId="6" xfId="0" applyFont="1" applyBorder="1"/>
    <xf numFmtId="0" fontId="10" fillId="0" borderId="5" xfId="0" applyFont="1" applyBorder="1"/>
    <xf numFmtId="0" fontId="5" fillId="5" borderId="4" xfId="0" applyFont="1" applyFill="1" applyBorder="1" applyAlignment="1">
      <alignment horizontal="left" wrapText="1"/>
    </xf>
    <xf numFmtId="0" fontId="4" fillId="8" borderId="4" xfId="0" applyFont="1" applyFill="1" applyBorder="1" applyAlignment="1">
      <alignment horizontal="left" wrapText="1"/>
    </xf>
    <xf numFmtId="0" fontId="5" fillId="7" borderId="4" xfId="0" applyFont="1" applyFill="1" applyBorder="1" applyAlignment="1">
      <alignment horizontal="left" wrapText="1"/>
    </xf>
    <xf numFmtId="0" fontId="17" fillId="13" borderId="2" xfId="1" applyFill="1" applyAlignment="1">
      <alignment horizontal="left" vertical="center" wrapText="1"/>
    </xf>
    <xf numFmtId="0" fontId="17" fillId="13" borderId="2" xfId="1" applyFill="1" applyAlignment="1">
      <alignment horizontal="left"/>
    </xf>
  </cellXfs>
  <cellStyles count="3">
    <cellStyle name="Hyperlink 2" xfId="2" xr:uid="{D9F04AA0-8779-8346-A692-52A8D5B4F572}"/>
    <cellStyle name="Normal" xfId="0" builtinId="0"/>
    <cellStyle name="Normal 2" xfId="1" xr:uid="{19EFA502-F5F5-8F4D-89C0-A1D8F4EF42A3}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CBDAF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CBDAF5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CBDAF5"/>
      <color rgb="FFD2E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76200</xdr:rowOff>
    </xdr:from>
    <xdr:to>
      <xdr:col>0</xdr:col>
      <xdr:colOff>2824163</xdr:colOff>
      <xdr:row>0</xdr:row>
      <xdr:rowOff>552450</xdr:rowOff>
    </xdr:to>
    <xdr:sp macro="[0]!RoleOutput.processOut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8BDDBF-12B9-4A05-9F08-B1FDD595CE5E}"/>
            </a:ext>
          </a:extLst>
        </xdr:cNvPr>
        <xdr:cNvSpPr/>
      </xdr:nvSpPr>
      <xdr:spPr>
        <a:xfrm>
          <a:off x="247650" y="76200"/>
          <a:ext cx="2576513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Click to 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76200</xdr:rowOff>
    </xdr:from>
    <xdr:to>
      <xdr:col>0</xdr:col>
      <xdr:colOff>2824163</xdr:colOff>
      <xdr:row>0</xdr:row>
      <xdr:rowOff>552450</xdr:rowOff>
    </xdr:to>
    <xdr:sp macro="[0]!RoleOutput.processOut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1E35D0-DFC7-2645-B673-FFE2E8FEE38C}"/>
            </a:ext>
          </a:extLst>
        </xdr:cNvPr>
        <xdr:cNvSpPr/>
      </xdr:nvSpPr>
      <xdr:spPr>
        <a:xfrm>
          <a:off x="247650" y="76200"/>
          <a:ext cx="2576513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Click to Update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A5051A-C948-7144-B47E-C67E30AB4941}" name="Table2" displayName="Table2" ref="A1:N262" totalsRowShown="0" headerRowDxfId="27" dataDxfId="26">
  <autoFilter ref="A1:N262" xr:uid="{A3699AD1-4284-9D4C-948E-ACC61E9B56B7}"/>
  <tableColumns count="14">
    <tableColumn id="1" xr3:uid="{79ED19A4-CC3D-F64A-BBCE-7CF3E8FFFC22}" name="Condensed Specialty" dataDxfId="25"/>
    <tableColumn id="2" xr3:uid="{81C58E34-D32D-294B-A8DB-386BE8238A12}" name="MinPGY" dataDxfId="24"/>
    <tableColumn id="3" xr3:uid="{BBDF5D52-6139-2441-9657-CCF6A1859AE6}" name="MaxPGY" dataDxfId="23"/>
    <tableColumn id="4" xr3:uid="{9A38B378-C27E-CC41-ACA1-DB1065D5D463}" name="Floor resident/APPMax" dataDxfId="22"/>
    <tableColumn id="5" xr3:uid="{6978C701-2657-C049-8D5D-0CEAD0ED6A8D}" name="Floor intern Max" dataDxfId="21"/>
    <tableColumn id="6" xr3:uid="{1AE764E1-2985-9442-8B9E-D15DB1F6790E}" name="Resp therapist Max" dataDxfId="20"/>
    <tableColumn id="7" xr3:uid="{37F0535C-703C-D040-BD2B-F442C5C73BA1}" name="ICU Attending Extender Max" dataDxfId="19"/>
    <tableColumn id="8" xr3:uid="{60CE0EB2-06EB-3542-8256-A9F3E48A524F}" name="ICU resident/APP Max" dataDxfId="18"/>
    <tableColumn id="9" xr3:uid="{9D92E0AA-93AA-6B4A-BF0B-FCA9DAAB696B}" name="ICU intern Max" dataDxfId="17"/>
    <tableColumn id="10" xr3:uid="{741A128C-B4B9-F84C-94C9-0E12B787C7EF}" name="ER triage/screen Max"/>
    <tableColumn id="11" xr3:uid="{9163649C-00E7-0E4D-BE1A-41BDDFF88A3A}" name="Procedure resident Max" dataDxfId="16"/>
    <tableColumn id="12" xr3:uid="{A314F28D-3259-8D4E-A60E-5EB2E97EE1AA}" name="NA/LPNMax" dataDxfId="15"/>
    <tableColumn id="13" xr3:uid="{AA9F3DA9-59A1-D14E-8497-16B256D07C76}" name="CP Max" dataDxfId="14"/>
    <tableColumn id="14" xr3:uid="{D5AB7CEF-1EB2-974C-A83A-F2807E117EA9}" name="Airway team resident Max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7EA438-C830-3F49-92A1-5CFDF675E126}" name="Table22" displayName="Table22" ref="A1:L262" totalsRowShown="0" headerRowDxfId="12" dataDxfId="11">
  <autoFilter ref="A1:L262" xr:uid="{EBF2DD0A-33DA-6C47-88A1-FAA2359BB4E8}"/>
  <tableColumns count="12">
    <tableColumn id="1" xr3:uid="{28A57424-1800-3442-B7B9-FAD64B13E588}" name="Condensed Specialty" dataDxfId="10"/>
    <tableColumn id="4" xr3:uid="{26B07067-1EB8-B944-A3CC-87D6EC405265}" name="Floor resident/APP" dataDxfId="9"/>
    <tableColumn id="5" xr3:uid="{5AD95EEA-0B69-714A-9D34-CF2B057B75A3}" name="Floor intern" dataDxfId="8"/>
    <tableColumn id="6" xr3:uid="{C3414240-A833-AF4C-9C0B-1575BB019CFB}" name="Resp therapist" dataDxfId="7"/>
    <tableColumn id="7" xr3:uid="{DD203EEF-21FB-D540-8A40-D5D4D85486DA}" name="ICU Attending Extender" dataDxfId="6"/>
    <tableColumn id="8" xr3:uid="{611AFB10-E624-D443-95BB-476AFE74703F}" name="ICU resident/APP" dataDxfId="5"/>
    <tableColumn id="9" xr3:uid="{97EEF4A9-5025-2A48-BF93-682461DDBE96}" name="ICU intern" dataDxfId="4"/>
    <tableColumn id="10" xr3:uid="{C078875F-2DAC-BB4C-BBAF-8F944AAA4158}" name="ER triage/screen"/>
    <tableColumn id="11" xr3:uid="{A05E14FF-F852-464A-A7E2-874E67448F33}" name="Procedure resident" dataDxfId="3"/>
    <tableColumn id="12" xr3:uid="{0914B3D2-26C3-514F-8585-CA7C0C49C6ED}" name="NA/LPN" dataDxfId="2"/>
    <tableColumn id="13" xr3:uid="{11BB11D5-406F-394F-ABE0-7CC838E57FF5}" name="CP" dataDxfId="1"/>
    <tableColumn id="14" xr3:uid="{5DFB1224-0DF0-4540-BF17-E625E1F30185}" name="Airway team resid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document/d/e/2PACX-1vSsGDaRbiN44xHSzgdrgr9Xb8lZSoYTebd5gfccZaSttzeA2PVhRWvNKbuVLFmbV-sXwsxR-dr5XZVC/pub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1.28515625" defaultRowHeight="15" customHeight="1"/>
  <cols>
    <col min="1" max="1" width="51" customWidth="1"/>
    <col min="2" max="2" width="7.7109375" customWidth="1"/>
    <col min="3" max="4" width="8.140625" customWidth="1"/>
    <col min="5" max="5" width="7.42578125" customWidth="1"/>
    <col min="6" max="6" width="8.7109375" customWidth="1"/>
    <col min="7" max="7" width="7.7109375" customWidth="1"/>
    <col min="8" max="8" width="7.28515625" customWidth="1"/>
    <col min="9" max="9" width="10.140625" customWidth="1"/>
    <col min="10" max="10" width="7.7109375" customWidth="1"/>
    <col min="11" max="11" width="7.28515625" customWidth="1"/>
    <col min="12" max="12" width="6.42578125" customWidth="1"/>
    <col min="13" max="13" width="12.28515625" customWidth="1"/>
    <col min="14" max="14" width="10.42578125" customWidth="1"/>
    <col min="15" max="15" width="14.140625" customWidth="1"/>
    <col min="16" max="16" width="12.42578125" customWidth="1"/>
    <col min="17" max="17" width="61.7109375" customWidth="1"/>
    <col min="18" max="26" width="8.7109375" customWidth="1"/>
  </cols>
  <sheetData>
    <row r="1" spans="1:26" ht="16">
      <c r="A1" s="7" t="s">
        <v>0</v>
      </c>
      <c r="B1" s="11" t="s">
        <v>6</v>
      </c>
      <c r="C1" s="11" t="s">
        <v>16</v>
      </c>
      <c r="D1" s="13" t="s">
        <v>17</v>
      </c>
      <c r="E1" s="13" t="s">
        <v>42</v>
      </c>
      <c r="F1" s="13" t="s">
        <v>43</v>
      </c>
      <c r="G1" s="13" t="s">
        <v>45</v>
      </c>
      <c r="H1" s="14" t="s">
        <v>46</v>
      </c>
      <c r="I1" s="14" t="s">
        <v>53</v>
      </c>
      <c r="J1" s="15" t="s">
        <v>54</v>
      </c>
      <c r="K1" s="15" t="s">
        <v>56</v>
      </c>
      <c r="L1" s="16" t="s">
        <v>57</v>
      </c>
      <c r="M1" s="18" t="s">
        <v>58</v>
      </c>
      <c r="N1" s="19" t="s">
        <v>60</v>
      </c>
      <c r="O1" s="20"/>
      <c r="P1" s="20"/>
      <c r="Q1" s="21"/>
      <c r="R1" s="20"/>
      <c r="S1" s="20"/>
      <c r="T1" s="20"/>
      <c r="U1" s="20"/>
      <c r="V1" s="20"/>
      <c r="W1" s="20"/>
      <c r="X1" s="20"/>
      <c r="Y1" s="20"/>
      <c r="Z1" s="20"/>
    </row>
    <row r="2" spans="1:26" ht="16">
      <c r="A2" s="11" t="s">
        <v>4</v>
      </c>
      <c r="B2" s="11">
        <v>4</v>
      </c>
      <c r="C2" s="11">
        <v>4</v>
      </c>
      <c r="D2" s="13"/>
      <c r="E2" s="13"/>
      <c r="F2" s="13"/>
      <c r="G2" s="13"/>
      <c r="H2" s="14"/>
      <c r="I2" s="14"/>
      <c r="J2" s="15">
        <v>4</v>
      </c>
      <c r="K2" s="15"/>
      <c r="L2" s="15"/>
      <c r="M2" s="15"/>
      <c r="N2" s="19"/>
      <c r="O2" s="20"/>
      <c r="P2" s="20"/>
      <c r="Q2" s="22" t="s">
        <v>7</v>
      </c>
      <c r="R2" s="20"/>
      <c r="S2" s="20"/>
      <c r="T2" s="20"/>
      <c r="U2" s="20"/>
      <c r="V2" s="20"/>
      <c r="W2" s="20"/>
      <c r="X2" s="20"/>
      <c r="Y2" s="20"/>
      <c r="Z2" s="20"/>
    </row>
    <row r="3" spans="1:26" ht="16">
      <c r="A3" s="11" t="s">
        <v>9</v>
      </c>
      <c r="B3" s="11">
        <v>5</v>
      </c>
      <c r="C3" s="11">
        <v>6</v>
      </c>
      <c r="D3" s="13"/>
      <c r="E3" s="13"/>
      <c r="F3" s="13"/>
      <c r="G3" s="13"/>
      <c r="H3" s="13" t="s">
        <v>74</v>
      </c>
      <c r="I3" s="13"/>
      <c r="J3" s="15"/>
      <c r="K3" s="15"/>
      <c r="L3" s="15"/>
      <c r="M3" s="15"/>
      <c r="N3" s="19"/>
      <c r="O3" s="20"/>
      <c r="P3" s="20"/>
      <c r="Q3" s="21"/>
      <c r="R3" s="20"/>
      <c r="S3" s="20"/>
      <c r="T3" s="20"/>
      <c r="U3" s="20" t="s">
        <v>75</v>
      </c>
      <c r="V3" s="20"/>
      <c r="W3" s="20"/>
      <c r="X3" s="20"/>
      <c r="Y3" s="20"/>
      <c r="Z3" s="20"/>
    </row>
    <row r="4" spans="1:26" ht="16">
      <c r="A4" s="24" t="s">
        <v>12</v>
      </c>
      <c r="B4" s="11">
        <v>8</v>
      </c>
      <c r="C4" s="11">
        <v>8</v>
      </c>
      <c r="D4" s="13">
        <v>8</v>
      </c>
      <c r="E4" s="13"/>
      <c r="F4" s="13"/>
      <c r="G4" s="13"/>
      <c r="H4" s="14"/>
      <c r="I4" s="14"/>
      <c r="J4" s="15"/>
      <c r="K4" s="15"/>
      <c r="L4" s="15"/>
      <c r="M4" s="15"/>
      <c r="N4" s="19"/>
      <c r="O4" s="20"/>
      <c r="P4" s="20"/>
      <c r="Q4" s="20"/>
      <c r="R4" s="20"/>
      <c r="S4" s="20" t="s">
        <v>79</v>
      </c>
      <c r="T4" s="20"/>
      <c r="U4" s="20" t="s">
        <v>80</v>
      </c>
      <c r="V4" s="20"/>
      <c r="W4" s="20"/>
      <c r="X4" s="20"/>
      <c r="Y4" s="20"/>
      <c r="Z4" s="20"/>
    </row>
    <row r="5" spans="1:26" ht="15.75" customHeight="1">
      <c r="A5" s="11" t="s">
        <v>14</v>
      </c>
      <c r="B5" s="11">
        <v>7</v>
      </c>
      <c r="C5" s="11">
        <v>7</v>
      </c>
      <c r="D5" s="13">
        <v>7</v>
      </c>
      <c r="E5" s="13"/>
      <c r="F5" s="13"/>
      <c r="G5" s="13"/>
      <c r="H5" s="14"/>
      <c r="I5" s="14"/>
      <c r="J5" s="15"/>
      <c r="K5" s="15"/>
      <c r="L5" s="15"/>
      <c r="M5" s="15"/>
      <c r="N5" s="19"/>
      <c r="O5" s="20"/>
      <c r="P5" s="25" t="s">
        <v>17</v>
      </c>
      <c r="Q5" s="108" t="s">
        <v>83</v>
      </c>
      <c r="R5" s="20"/>
      <c r="S5" s="20" t="s">
        <v>86</v>
      </c>
      <c r="T5" s="20"/>
      <c r="U5" s="20" t="s">
        <v>88</v>
      </c>
      <c r="V5" s="20"/>
      <c r="W5" s="20"/>
      <c r="X5" s="20"/>
      <c r="Y5" s="20"/>
      <c r="Z5" s="20"/>
    </row>
    <row r="6" spans="1:26" ht="15.75" customHeight="1">
      <c r="A6" s="11" t="s">
        <v>18</v>
      </c>
      <c r="B6" s="11">
        <v>4</v>
      </c>
      <c r="C6" s="11">
        <v>5</v>
      </c>
      <c r="D6" s="13" t="s">
        <v>90</v>
      </c>
      <c r="E6" s="13"/>
      <c r="F6" s="13"/>
      <c r="G6" s="13"/>
      <c r="H6" s="14"/>
      <c r="I6" s="14"/>
      <c r="J6" s="15"/>
      <c r="K6" s="15"/>
      <c r="L6" s="15"/>
      <c r="M6" s="15"/>
      <c r="N6" s="19"/>
      <c r="O6" s="20"/>
      <c r="P6" s="27"/>
      <c r="Q6" s="107"/>
      <c r="R6" s="20"/>
      <c r="S6" s="20" t="s">
        <v>92</v>
      </c>
      <c r="T6" s="20"/>
      <c r="U6" s="20"/>
      <c r="V6" s="20"/>
      <c r="W6" s="20"/>
      <c r="X6" s="20"/>
      <c r="Y6" s="20"/>
      <c r="Z6" s="20"/>
    </row>
    <row r="7" spans="1:26" ht="16">
      <c r="A7" s="11" t="s">
        <v>20</v>
      </c>
      <c r="B7" s="11">
        <v>5</v>
      </c>
      <c r="C7" s="11">
        <v>6</v>
      </c>
      <c r="D7" s="13"/>
      <c r="E7" s="13"/>
      <c r="F7" s="13"/>
      <c r="G7" s="13"/>
      <c r="H7" s="14"/>
      <c r="I7" s="14"/>
      <c r="J7" s="15"/>
      <c r="K7" s="15"/>
      <c r="L7" s="15"/>
      <c r="M7" s="15"/>
      <c r="N7" s="28" t="s">
        <v>74</v>
      </c>
      <c r="O7" s="20"/>
      <c r="P7" s="25" t="s">
        <v>42</v>
      </c>
      <c r="Q7" s="108" t="s">
        <v>95</v>
      </c>
      <c r="R7" s="20"/>
      <c r="S7" s="20" t="s">
        <v>96</v>
      </c>
      <c r="T7" s="20"/>
      <c r="U7" s="20"/>
      <c r="V7" s="20"/>
      <c r="W7" s="20"/>
      <c r="X7" s="20"/>
      <c r="Y7" s="20"/>
      <c r="Z7" s="20"/>
    </row>
    <row r="8" spans="1:26" ht="16">
      <c r="A8" s="11" t="s">
        <v>8</v>
      </c>
      <c r="B8" s="11">
        <v>1</v>
      </c>
      <c r="C8" s="11">
        <v>4</v>
      </c>
      <c r="D8" s="13" t="s">
        <v>98</v>
      </c>
      <c r="E8" s="13" t="s">
        <v>98</v>
      </c>
      <c r="F8" s="13"/>
      <c r="G8" s="13"/>
      <c r="H8" s="14">
        <v>4</v>
      </c>
      <c r="I8" s="14" t="s">
        <v>98</v>
      </c>
      <c r="J8" s="15">
        <v>2</v>
      </c>
      <c r="K8" s="15">
        <v>2</v>
      </c>
      <c r="L8" s="15"/>
      <c r="M8" s="15">
        <v>2</v>
      </c>
      <c r="N8" s="19">
        <v>1</v>
      </c>
      <c r="O8" s="20"/>
      <c r="P8" s="27"/>
      <c r="Q8" s="107"/>
      <c r="R8" s="20"/>
      <c r="S8" s="20" t="s">
        <v>99</v>
      </c>
      <c r="T8" s="20"/>
      <c r="U8" s="20"/>
      <c r="V8" s="20"/>
      <c r="W8" s="20"/>
      <c r="X8" s="20"/>
      <c r="Y8" s="20"/>
      <c r="Z8" s="20"/>
    </row>
    <row r="9" spans="1:26" ht="16">
      <c r="A9" s="11" t="s">
        <v>24</v>
      </c>
      <c r="B9" s="11">
        <v>5</v>
      </c>
      <c r="C9" s="11">
        <v>5</v>
      </c>
      <c r="D9" s="13">
        <v>5</v>
      </c>
      <c r="E9" s="13"/>
      <c r="F9" s="13"/>
      <c r="G9" s="13"/>
      <c r="H9" s="14"/>
      <c r="I9" s="14"/>
      <c r="J9" s="15"/>
      <c r="K9" s="15"/>
      <c r="L9" s="15"/>
      <c r="M9" s="15"/>
      <c r="N9" s="19"/>
      <c r="O9" s="20"/>
      <c r="P9" s="25" t="s">
        <v>43</v>
      </c>
      <c r="Q9" s="108" t="s">
        <v>100</v>
      </c>
      <c r="R9" s="20"/>
      <c r="S9" s="20" t="s">
        <v>109</v>
      </c>
      <c r="T9" s="20"/>
      <c r="U9" s="20"/>
      <c r="V9" s="20"/>
      <c r="W9" s="20"/>
      <c r="X9" s="20"/>
      <c r="Y9" s="20"/>
      <c r="Z9" s="20"/>
    </row>
    <row r="10" spans="1:26" ht="16">
      <c r="A10" s="24" t="s">
        <v>26</v>
      </c>
      <c r="B10" s="11">
        <v>3</v>
      </c>
      <c r="C10" s="11">
        <v>8</v>
      </c>
      <c r="D10" s="13" t="s">
        <v>111</v>
      </c>
      <c r="E10" s="13"/>
      <c r="F10" s="13"/>
      <c r="G10" s="13"/>
      <c r="H10" s="14"/>
      <c r="I10" s="14"/>
      <c r="J10" s="15"/>
      <c r="K10" s="15"/>
      <c r="L10" s="15"/>
      <c r="M10" s="15"/>
      <c r="N10" s="19"/>
      <c r="O10" s="20"/>
      <c r="P10" s="27"/>
      <c r="Q10" s="107"/>
      <c r="R10" s="20"/>
      <c r="S10" s="20" t="s">
        <v>113</v>
      </c>
      <c r="T10" s="20"/>
      <c r="U10" s="20"/>
      <c r="V10" s="20"/>
      <c r="W10" s="20"/>
      <c r="X10" s="20"/>
      <c r="Y10" s="20"/>
      <c r="Z10" s="20"/>
    </row>
    <row r="11" spans="1:26" ht="16">
      <c r="A11" s="11" t="s">
        <v>28</v>
      </c>
      <c r="B11" s="11">
        <v>4</v>
      </c>
      <c r="C11" s="11">
        <v>5</v>
      </c>
      <c r="D11" s="13"/>
      <c r="E11" s="13"/>
      <c r="F11" s="13"/>
      <c r="G11" s="13"/>
      <c r="H11" s="14"/>
      <c r="I11" s="14"/>
      <c r="J11" s="15"/>
      <c r="K11" s="15"/>
      <c r="L11" s="15"/>
      <c r="M11" s="15"/>
      <c r="N11" s="19" t="s">
        <v>90</v>
      </c>
      <c r="O11" s="20"/>
      <c r="P11" s="25" t="s">
        <v>45</v>
      </c>
      <c r="Q11" s="108" t="s">
        <v>117</v>
      </c>
      <c r="R11" s="20"/>
      <c r="S11" s="20" t="s">
        <v>119</v>
      </c>
      <c r="T11" s="20"/>
      <c r="U11" s="20"/>
      <c r="V11" s="20"/>
      <c r="W11" s="20"/>
      <c r="X11" s="20"/>
      <c r="Y11" s="20"/>
      <c r="Z11" s="20"/>
    </row>
    <row r="12" spans="1:26" ht="14.25" customHeight="1">
      <c r="A12" s="11" t="s">
        <v>11</v>
      </c>
      <c r="B12" s="11">
        <v>1</v>
      </c>
      <c r="C12" s="11">
        <v>5</v>
      </c>
      <c r="D12" s="13" t="s">
        <v>90</v>
      </c>
      <c r="E12" s="13"/>
      <c r="F12" s="13"/>
      <c r="G12" s="13"/>
      <c r="H12" s="14"/>
      <c r="I12" s="14"/>
      <c r="J12" s="15"/>
      <c r="K12" s="15"/>
      <c r="L12" s="15" t="s">
        <v>121</v>
      </c>
      <c r="M12" s="15"/>
      <c r="N12" s="19">
        <v>1</v>
      </c>
      <c r="O12" s="20"/>
      <c r="P12" s="27"/>
      <c r="Q12" s="107"/>
      <c r="R12" s="20"/>
      <c r="S12" s="20" t="s">
        <v>122</v>
      </c>
      <c r="T12" s="20"/>
      <c r="U12" s="20"/>
      <c r="V12" s="20"/>
      <c r="W12" s="20"/>
      <c r="X12" s="20"/>
      <c r="Y12" s="20"/>
      <c r="Z12" s="20"/>
    </row>
    <row r="13" spans="1:26" ht="16">
      <c r="A13" s="11" t="s">
        <v>31</v>
      </c>
      <c r="B13" s="11">
        <v>7</v>
      </c>
      <c r="C13" s="11">
        <v>8</v>
      </c>
      <c r="D13" s="13" t="s">
        <v>123</v>
      </c>
      <c r="E13" s="13"/>
      <c r="F13" s="13"/>
      <c r="G13" s="13"/>
      <c r="H13" s="14"/>
      <c r="I13" s="14"/>
      <c r="J13" s="15"/>
      <c r="K13" s="15"/>
      <c r="L13" s="15"/>
      <c r="M13" s="15"/>
      <c r="N13" s="19"/>
      <c r="O13" s="20"/>
      <c r="P13" s="29" t="s">
        <v>46</v>
      </c>
      <c r="Q13" s="105" t="s">
        <v>131</v>
      </c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6">
      <c r="A14" s="11" t="s">
        <v>34</v>
      </c>
      <c r="B14" s="11">
        <v>1</v>
      </c>
      <c r="C14" s="11">
        <v>1</v>
      </c>
      <c r="D14" s="13"/>
      <c r="E14" s="13"/>
      <c r="F14" s="13"/>
      <c r="G14" s="13"/>
      <c r="H14" s="14"/>
      <c r="I14" s="14"/>
      <c r="J14" s="15"/>
      <c r="K14" s="15"/>
      <c r="L14" s="15"/>
      <c r="M14" s="15"/>
      <c r="N14" s="19">
        <v>1</v>
      </c>
      <c r="O14" s="20"/>
      <c r="P14" s="27"/>
      <c r="Q14" s="106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16">
      <c r="A15" s="11" t="s">
        <v>36</v>
      </c>
      <c r="B15" s="11">
        <v>5</v>
      </c>
      <c r="C15" s="11">
        <v>5</v>
      </c>
      <c r="D15" s="13"/>
      <c r="E15" s="13"/>
      <c r="F15" s="13"/>
      <c r="G15" s="13"/>
      <c r="H15" s="14"/>
      <c r="I15" s="14"/>
      <c r="J15" s="15"/>
      <c r="K15" s="15"/>
      <c r="L15" s="15"/>
      <c r="M15" s="15"/>
      <c r="N15" s="19"/>
      <c r="O15" s="20"/>
      <c r="P15" s="27"/>
      <c r="Q15" s="107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4.25" customHeight="1">
      <c r="A16" s="11" t="s">
        <v>38</v>
      </c>
      <c r="B16" s="11">
        <v>2</v>
      </c>
      <c r="C16" s="11">
        <v>2</v>
      </c>
      <c r="D16" s="13"/>
      <c r="E16" s="13"/>
      <c r="F16" s="13"/>
      <c r="G16" s="13"/>
      <c r="H16" s="14"/>
      <c r="I16" s="14"/>
      <c r="J16" s="15"/>
      <c r="K16" s="15"/>
      <c r="L16" s="15"/>
      <c r="M16" s="15"/>
      <c r="N16" s="19">
        <v>1</v>
      </c>
      <c r="O16" s="20"/>
      <c r="P16" s="29" t="s">
        <v>53</v>
      </c>
      <c r="Q16" s="105" t="s">
        <v>145</v>
      </c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14.25" customHeight="1">
      <c r="A17" s="24" t="s">
        <v>40</v>
      </c>
      <c r="B17" s="11">
        <v>5</v>
      </c>
      <c r="C17" s="11">
        <v>5</v>
      </c>
      <c r="D17" s="13">
        <v>5</v>
      </c>
      <c r="E17" s="13"/>
      <c r="F17" s="13"/>
      <c r="G17" s="13"/>
      <c r="H17" s="14"/>
      <c r="I17" s="14"/>
      <c r="J17" s="15"/>
      <c r="K17" s="15">
        <v>5</v>
      </c>
      <c r="L17" s="15"/>
      <c r="M17" s="15"/>
      <c r="N17" s="19"/>
      <c r="O17" s="20"/>
      <c r="P17" s="27"/>
      <c r="Q17" s="106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4.25" customHeight="1">
      <c r="A18" s="11" t="s">
        <v>44</v>
      </c>
      <c r="B18" s="11">
        <v>5</v>
      </c>
      <c r="C18" s="11">
        <v>5</v>
      </c>
      <c r="D18" s="13"/>
      <c r="E18" s="13"/>
      <c r="F18" s="13"/>
      <c r="G18" s="13"/>
      <c r="H18" s="14"/>
      <c r="I18" s="14"/>
      <c r="J18" s="15">
        <v>5</v>
      </c>
      <c r="K18" s="15"/>
      <c r="L18" s="15"/>
      <c r="M18" s="15"/>
      <c r="N18" s="19"/>
      <c r="O18" s="20"/>
      <c r="P18" s="27"/>
      <c r="Q18" s="107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5.75" customHeight="1">
      <c r="A19" s="11" t="s">
        <v>48</v>
      </c>
      <c r="B19" s="11">
        <v>5</v>
      </c>
      <c r="C19" s="11">
        <v>6</v>
      </c>
      <c r="D19" s="13"/>
      <c r="E19" s="13"/>
      <c r="F19" s="13"/>
      <c r="G19" s="13"/>
      <c r="H19" s="14" t="s">
        <v>74</v>
      </c>
      <c r="I19" s="14"/>
      <c r="J19" s="15"/>
      <c r="K19" s="15"/>
      <c r="L19" s="15"/>
      <c r="M19" s="15"/>
      <c r="N19" s="19"/>
      <c r="O19" s="20"/>
      <c r="P19" s="20"/>
      <c r="Q19" s="21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16">
      <c r="A20" s="11" t="s">
        <v>50</v>
      </c>
      <c r="B20" s="11">
        <v>6</v>
      </c>
      <c r="C20" s="11">
        <v>6</v>
      </c>
      <c r="D20" s="13"/>
      <c r="E20" s="13"/>
      <c r="F20" s="13"/>
      <c r="G20" s="13"/>
      <c r="H20" s="14"/>
      <c r="I20" s="14"/>
      <c r="J20" s="15"/>
      <c r="K20" s="15"/>
      <c r="L20" s="15"/>
      <c r="M20" s="15"/>
      <c r="N20" s="19">
        <v>6</v>
      </c>
      <c r="O20" s="20"/>
      <c r="P20" s="16" t="s">
        <v>54</v>
      </c>
      <c r="Q20" s="110" t="s">
        <v>156</v>
      </c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5.75" customHeight="1">
      <c r="A21" s="11" t="s">
        <v>13</v>
      </c>
      <c r="B21" s="11">
        <v>2</v>
      </c>
      <c r="C21" s="11">
        <v>4</v>
      </c>
      <c r="D21" s="13"/>
      <c r="E21" s="13"/>
      <c r="F21" s="13"/>
      <c r="G21" s="13"/>
      <c r="H21" s="14"/>
      <c r="I21" s="14"/>
      <c r="J21" s="15" t="s">
        <v>160</v>
      </c>
      <c r="K21" s="15"/>
      <c r="L21" s="15"/>
      <c r="M21" s="15"/>
      <c r="N21" s="19"/>
      <c r="O21" s="20"/>
      <c r="P21" s="27"/>
      <c r="Q21" s="106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5.75" customHeight="1">
      <c r="A22" s="11" t="s">
        <v>65</v>
      </c>
      <c r="B22" s="11">
        <v>4</v>
      </c>
      <c r="C22" s="11">
        <v>6</v>
      </c>
      <c r="D22" s="13"/>
      <c r="E22" s="13"/>
      <c r="F22" s="13" t="s">
        <v>161</v>
      </c>
      <c r="G22" s="13"/>
      <c r="H22" s="14"/>
      <c r="I22" s="14"/>
      <c r="J22" s="15"/>
      <c r="K22" s="15"/>
      <c r="L22" s="15"/>
      <c r="M22" s="15"/>
      <c r="N22" s="19"/>
      <c r="O22" s="20"/>
      <c r="P22" s="20"/>
      <c r="Q22" s="107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5.75" customHeight="1">
      <c r="A23" s="11" t="s">
        <v>15</v>
      </c>
      <c r="B23" s="11">
        <v>2</v>
      </c>
      <c r="C23" s="11">
        <v>5</v>
      </c>
      <c r="D23" s="13"/>
      <c r="E23" s="13"/>
      <c r="F23" s="13"/>
      <c r="G23" s="13"/>
      <c r="H23" s="14"/>
      <c r="I23" s="14"/>
      <c r="J23" s="15" t="s">
        <v>121</v>
      </c>
      <c r="K23" s="15"/>
      <c r="L23" s="15"/>
      <c r="M23" s="15"/>
      <c r="N23" s="19"/>
      <c r="O23" s="20"/>
      <c r="P23" s="16" t="s">
        <v>56</v>
      </c>
      <c r="Q23" s="110" t="s">
        <v>162</v>
      </c>
      <c r="R23" s="20"/>
      <c r="S23" s="20"/>
      <c r="T23" s="20"/>
      <c r="U23" s="20"/>
      <c r="V23" s="20"/>
      <c r="W23" s="20"/>
      <c r="X23" s="20"/>
      <c r="Y23" s="20"/>
      <c r="Z23" s="20"/>
    </row>
    <row r="24" spans="1:26" ht="14.25" customHeight="1">
      <c r="A24" s="11" t="s">
        <v>68</v>
      </c>
      <c r="B24" s="11">
        <v>4</v>
      </c>
      <c r="C24" s="11">
        <v>4</v>
      </c>
      <c r="D24" s="13">
        <v>4</v>
      </c>
      <c r="E24" s="13"/>
      <c r="F24" s="13"/>
      <c r="G24" s="13">
        <v>4</v>
      </c>
      <c r="H24" s="14"/>
      <c r="I24" s="14"/>
      <c r="J24" s="15"/>
      <c r="K24" s="15"/>
      <c r="L24" s="15"/>
      <c r="M24" s="15"/>
      <c r="N24" s="19"/>
      <c r="O24" s="20"/>
      <c r="P24" s="20"/>
      <c r="Q24" s="106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5.75" customHeight="1">
      <c r="A25" s="24" t="s">
        <v>19</v>
      </c>
      <c r="B25" s="11">
        <v>1</v>
      </c>
      <c r="C25" s="11">
        <v>3</v>
      </c>
      <c r="D25" s="13"/>
      <c r="E25" s="13">
        <v>3</v>
      </c>
      <c r="F25" s="13"/>
      <c r="G25" s="13">
        <v>3</v>
      </c>
      <c r="H25" s="14">
        <v>3</v>
      </c>
      <c r="I25" s="14">
        <v>3</v>
      </c>
      <c r="J25" s="15" t="s">
        <v>163</v>
      </c>
      <c r="K25" s="15"/>
      <c r="L25" s="15"/>
      <c r="M25" s="15">
        <v>2</v>
      </c>
      <c r="N25" s="19"/>
      <c r="O25" s="20"/>
      <c r="P25" s="27"/>
      <c r="Q25" s="107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5.75" customHeight="1">
      <c r="A26" s="11" t="s">
        <v>70</v>
      </c>
      <c r="B26" s="11">
        <v>4</v>
      </c>
      <c r="C26" s="11">
        <v>6</v>
      </c>
      <c r="D26" s="13" t="s">
        <v>161</v>
      </c>
      <c r="E26" s="13"/>
      <c r="F26" s="13"/>
      <c r="G26" s="13"/>
      <c r="H26" s="14"/>
      <c r="I26" s="14"/>
      <c r="J26" s="15"/>
      <c r="K26" s="15"/>
      <c r="L26" s="15"/>
      <c r="M26" s="15"/>
      <c r="N26" s="19"/>
      <c r="O26" s="20"/>
      <c r="P26" s="16" t="s">
        <v>57</v>
      </c>
      <c r="Q26" s="110" t="s">
        <v>164</v>
      </c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5.75" customHeight="1">
      <c r="A27" s="11" t="s">
        <v>72</v>
      </c>
      <c r="B27" s="11">
        <v>6</v>
      </c>
      <c r="C27" s="11">
        <v>6</v>
      </c>
      <c r="D27" s="13">
        <v>6</v>
      </c>
      <c r="E27" s="13"/>
      <c r="F27" s="13"/>
      <c r="G27" s="13"/>
      <c r="H27" s="14"/>
      <c r="I27" s="14"/>
      <c r="J27" s="15"/>
      <c r="K27" s="15"/>
      <c r="L27" s="15"/>
      <c r="M27" s="15"/>
      <c r="N27" s="19"/>
      <c r="O27" s="20"/>
      <c r="P27" s="27"/>
      <c r="Q27" s="106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14.25" customHeight="1">
      <c r="A28" s="11" t="s">
        <v>73</v>
      </c>
      <c r="B28" s="11">
        <v>5</v>
      </c>
      <c r="C28" s="11">
        <v>7</v>
      </c>
      <c r="D28" s="13"/>
      <c r="E28" s="13" t="s">
        <v>165</v>
      </c>
      <c r="F28" s="13"/>
      <c r="G28" s="13"/>
      <c r="H28" s="14"/>
      <c r="I28" s="14"/>
      <c r="J28" s="15" t="s">
        <v>165</v>
      </c>
      <c r="K28" s="15"/>
      <c r="L28" s="15"/>
      <c r="M28" s="15"/>
      <c r="N28" s="19"/>
      <c r="O28" s="20"/>
      <c r="P28" s="20"/>
      <c r="Q28" s="107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5.75" customHeight="1">
      <c r="A29" s="11" t="s">
        <v>76</v>
      </c>
      <c r="B29" s="11">
        <v>4</v>
      </c>
      <c r="C29" s="11">
        <v>7</v>
      </c>
      <c r="D29" s="13" t="s">
        <v>166</v>
      </c>
      <c r="E29" s="13"/>
      <c r="F29" s="13"/>
      <c r="G29" s="13"/>
      <c r="H29" s="14"/>
      <c r="I29" s="14"/>
      <c r="J29" s="15"/>
      <c r="K29" s="15"/>
      <c r="L29" s="15"/>
      <c r="M29" s="15"/>
      <c r="N29" s="19"/>
      <c r="O29" s="20"/>
      <c r="P29" s="16" t="s">
        <v>58</v>
      </c>
      <c r="Q29" s="110" t="s">
        <v>167</v>
      </c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5.75" customHeight="1">
      <c r="A30" s="11" t="s">
        <v>77</v>
      </c>
      <c r="B30" s="11">
        <v>5</v>
      </c>
      <c r="C30" s="11">
        <v>6</v>
      </c>
      <c r="D30" s="13"/>
      <c r="E30" s="13"/>
      <c r="F30" s="13"/>
      <c r="G30" s="13"/>
      <c r="H30" s="14"/>
      <c r="I30" s="14"/>
      <c r="J30" s="15"/>
      <c r="K30" s="15"/>
      <c r="L30" s="15"/>
      <c r="M30" s="15"/>
      <c r="N30" s="19" t="s">
        <v>74</v>
      </c>
      <c r="O30" s="20"/>
      <c r="P30" s="27"/>
      <c r="Q30" s="106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customHeight="1">
      <c r="A31" s="11" t="s">
        <v>22</v>
      </c>
      <c r="B31" s="11">
        <v>1</v>
      </c>
      <c r="C31" s="11">
        <v>5</v>
      </c>
      <c r="D31" s="13" t="s">
        <v>90</v>
      </c>
      <c r="E31" s="13" t="s">
        <v>168</v>
      </c>
      <c r="F31" s="13"/>
      <c r="G31" s="13"/>
      <c r="H31" s="14" t="s">
        <v>90</v>
      </c>
      <c r="I31" s="14"/>
      <c r="J31" s="15" t="s">
        <v>169</v>
      </c>
      <c r="K31" s="15" t="s">
        <v>163</v>
      </c>
      <c r="L31" s="15"/>
      <c r="M31" s="15"/>
      <c r="N31" s="19"/>
      <c r="O31" s="20"/>
      <c r="P31" s="20"/>
      <c r="Q31" s="107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5.75" customHeight="1">
      <c r="A32" s="11" t="s">
        <v>78</v>
      </c>
      <c r="B32" s="11">
        <v>4</v>
      </c>
      <c r="C32" s="11">
        <v>4</v>
      </c>
      <c r="D32" s="13">
        <v>4</v>
      </c>
      <c r="E32" s="13"/>
      <c r="F32" s="13"/>
      <c r="G32" s="13"/>
      <c r="H32" s="14"/>
      <c r="I32" s="14"/>
      <c r="J32" s="15"/>
      <c r="K32" s="15"/>
      <c r="L32" s="15"/>
      <c r="M32" s="15"/>
      <c r="N32" s="19"/>
      <c r="O32" s="20"/>
      <c r="P32" s="20"/>
      <c r="Q32" s="21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5.75" customHeight="1">
      <c r="A33" s="11" t="s">
        <v>81</v>
      </c>
      <c r="B33" s="11">
        <v>5</v>
      </c>
      <c r="C33" s="11">
        <v>5</v>
      </c>
      <c r="D33" s="13"/>
      <c r="E33" s="13"/>
      <c r="F33" s="13"/>
      <c r="G33" s="13"/>
      <c r="H33" s="14"/>
      <c r="I33" s="14"/>
      <c r="J33" s="15"/>
      <c r="K33" s="15"/>
      <c r="L33" s="15"/>
      <c r="M33" s="15"/>
      <c r="N33" s="19"/>
      <c r="O33" s="20"/>
      <c r="P33" s="30" t="s">
        <v>60</v>
      </c>
      <c r="Q33" s="109" t="s">
        <v>170</v>
      </c>
      <c r="R33" s="20"/>
      <c r="S33" s="20"/>
      <c r="T33" s="20"/>
      <c r="U33" s="20"/>
      <c r="V33" s="20"/>
      <c r="W33" s="20"/>
      <c r="X33" s="27"/>
      <c r="Y33" s="20"/>
      <c r="Z33" s="20"/>
    </row>
    <row r="34" spans="1:26" ht="15.75" customHeight="1">
      <c r="A34" s="11" t="s">
        <v>82</v>
      </c>
      <c r="B34" s="11">
        <v>5</v>
      </c>
      <c r="C34" s="11">
        <v>6</v>
      </c>
      <c r="D34" s="13" t="s">
        <v>74</v>
      </c>
      <c r="E34" s="13" t="s">
        <v>74</v>
      </c>
      <c r="F34" s="13"/>
      <c r="G34" s="13"/>
      <c r="H34" s="14"/>
      <c r="I34" s="14"/>
      <c r="J34" s="15"/>
      <c r="K34" s="15"/>
      <c r="L34" s="15"/>
      <c r="M34" s="15"/>
      <c r="N34" s="19"/>
      <c r="O34" s="20"/>
      <c r="P34" s="20"/>
      <c r="Q34" s="107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5.75" customHeight="1">
      <c r="A35" s="11" t="s">
        <v>84</v>
      </c>
      <c r="B35" s="11">
        <v>6</v>
      </c>
      <c r="C35" s="11">
        <v>6</v>
      </c>
      <c r="D35" s="13">
        <v>6</v>
      </c>
      <c r="E35" s="13">
        <v>6</v>
      </c>
      <c r="F35" s="13"/>
      <c r="G35" s="13"/>
      <c r="H35" s="14"/>
      <c r="I35" s="14"/>
      <c r="J35" s="15"/>
      <c r="K35" s="15"/>
      <c r="L35" s="15"/>
      <c r="M35" s="15"/>
      <c r="N35" s="19"/>
      <c r="O35" s="20"/>
      <c r="P35" s="20"/>
      <c r="Q35" s="21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5.75" customHeight="1">
      <c r="A36" s="11" t="s">
        <v>85</v>
      </c>
      <c r="B36" s="11">
        <v>3</v>
      </c>
      <c r="C36" s="11">
        <v>6</v>
      </c>
      <c r="D36" s="13" t="s">
        <v>171</v>
      </c>
      <c r="E36" s="13"/>
      <c r="F36" s="13"/>
      <c r="G36" s="13"/>
      <c r="H36" s="14"/>
      <c r="I36" s="14"/>
      <c r="J36" s="15"/>
      <c r="K36" s="15"/>
      <c r="L36" s="15"/>
      <c r="M36" s="15"/>
      <c r="N36" s="19"/>
      <c r="O36" s="20"/>
      <c r="P36" s="20"/>
      <c r="Q36" s="21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15.75" customHeight="1">
      <c r="A37" s="11" t="s">
        <v>87</v>
      </c>
      <c r="B37" s="11">
        <v>5</v>
      </c>
      <c r="C37" s="11">
        <v>5</v>
      </c>
      <c r="D37" s="13">
        <v>5</v>
      </c>
      <c r="E37" s="13"/>
      <c r="F37" s="13"/>
      <c r="G37" s="13"/>
      <c r="H37" s="14"/>
      <c r="I37" s="14"/>
      <c r="J37" s="15"/>
      <c r="K37" s="15"/>
      <c r="L37" s="15"/>
      <c r="M37" s="15"/>
      <c r="N37" s="19"/>
      <c r="O37" s="20"/>
      <c r="P37" s="20"/>
      <c r="Q37" s="21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5.75" customHeight="1">
      <c r="A38" s="31" t="s">
        <v>89</v>
      </c>
      <c r="B38" s="31">
        <v>4</v>
      </c>
      <c r="C38" s="31">
        <v>4</v>
      </c>
      <c r="D38" s="32">
        <v>4</v>
      </c>
      <c r="E38" s="32"/>
      <c r="F38" s="32"/>
      <c r="G38" s="32"/>
      <c r="H38" s="33"/>
      <c r="I38" s="33"/>
      <c r="J38" s="34"/>
      <c r="K38" s="34"/>
      <c r="L38" s="34"/>
      <c r="M38" s="34"/>
      <c r="N38" s="35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spans="1:26" ht="15.75" customHeight="1">
      <c r="A39" s="11" t="s">
        <v>91</v>
      </c>
      <c r="B39" s="11">
        <v>4</v>
      </c>
      <c r="C39" s="11">
        <v>6</v>
      </c>
      <c r="D39" s="13" t="s">
        <v>161</v>
      </c>
      <c r="E39" s="13"/>
      <c r="F39" s="13"/>
      <c r="G39" s="13"/>
      <c r="H39" s="14"/>
      <c r="I39" s="14"/>
      <c r="J39" s="15"/>
      <c r="K39" s="15"/>
      <c r="L39" s="15"/>
      <c r="M39" s="15"/>
      <c r="N39" s="19"/>
      <c r="O39" s="20"/>
      <c r="P39" s="20"/>
      <c r="Q39" s="21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5.75" customHeight="1">
      <c r="A40" s="11" t="s">
        <v>23</v>
      </c>
      <c r="B40" s="11">
        <v>1</v>
      </c>
      <c r="C40" s="11">
        <v>4</v>
      </c>
      <c r="D40" s="13" t="s">
        <v>98</v>
      </c>
      <c r="E40" s="13" t="s">
        <v>98</v>
      </c>
      <c r="F40" s="13"/>
      <c r="G40" s="13"/>
      <c r="H40" s="14"/>
      <c r="I40" s="14"/>
      <c r="J40" s="15" t="s">
        <v>163</v>
      </c>
      <c r="K40" s="15" t="s">
        <v>163</v>
      </c>
      <c r="L40" s="15"/>
      <c r="M40" s="15"/>
      <c r="N40" s="19"/>
      <c r="O40" s="20"/>
      <c r="P40" s="20"/>
      <c r="Q40" s="21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5.75" customHeight="1">
      <c r="A41" s="11" t="s">
        <v>25</v>
      </c>
      <c r="B41" s="11">
        <v>1</v>
      </c>
      <c r="C41" s="11">
        <v>4</v>
      </c>
      <c r="D41" s="13" t="s">
        <v>98</v>
      </c>
      <c r="E41" s="13" t="s">
        <v>98</v>
      </c>
      <c r="F41" s="13" t="s">
        <v>98</v>
      </c>
      <c r="G41" s="13"/>
      <c r="H41" s="14"/>
      <c r="I41" s="14"/>
      <c r="J41" s="15" t="s">
        <v>163</v>
      </c>
      <c r="K41" s="15" t="s">
        <v>163</v>
      </c>
      <c r="L41" s="15"/>
      <c r="M41" s="15"/>
      <c r="N41" s="19"/>
      <c r="O41" s="20"/>
      <c r="P41" s="20"/>
      <c r="Q41" s="21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15.75" customHeight="1">
      <c r="A42" s="11" t="s">
        <v>93</v>
      </c>
      <c r="B42" s="11">
        <v>7</v>
      </c>
      <c r="C42" s="11">
        <v>7</v>
      </c>
      <c r="D42" s="13">
        <v>7</v>
      </c>
      <c r="E42" s="13"/>
      <c r="F42" s="13"/>
      <c r="G42" s="13"/>
      <c r="H42" s="14"/>
      <c r="I42" s="14"/>
      <c r="J42" s="15"/>
      <c r="K42" s="15"/>
      <c r="L42" s="15"/>
      <c r="M42" s="15"/>
      <c r="N42" s="19"/>
      <c r="O42" s="20"/>
      <c r="P42" s="20"/>
      <c r="Q42" s="21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5.75" customHeight="1">
      <c r="A43" s="24" t="s">
        <v>94</v>
      </c>
      <c r="B43" s="11">
        <v>7</v>
      </c>
      <c r="C43" s="11">
        <v>7</v>
      </c>
      <c r="D43" s="13">
        <v>7</v>
      </c>
      <c r="E43" s="13">
        <v>7</v>
      </c>
      <c r="F43" s="13"/>
      <c r="G43" s="13"/>
      <c r="H43" s="14">
        <v>7</v>
      </c>
      <c r="I43" s="14"/>
      <c r="J43" s="15"/>
      <c r="K43" s="15"/>
      <c r="L43" s="15"/>
      <c r="M43" s="15"/>
      <c r="N43" s="19"/>
      <c r="O43" s="20"/>
      <c r="P43" s="20"/>
      <c r="Q43" s="21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5.75" customHeight="1">
      <c r="A44" s="11" t="s">
        <v>27</v>
      </c>
      <c r="B44" s="11">
        <v>2</v>
      </c>
      <c r="C44" s="11">
        <v>5</v>
      </c>
      <c r="D44" s="13"/>
      <c r="E44" s="13" t="s">
        <v>90</v>
      </c>
      <c r="F44" s="13"/>
      <c r="G44" s="13"/>
      <c r="H44" s="14"/>
      <c r="I44" s="14"/>
      <c r="J44" s="15" t="s">
        <v>172</v>
      </c>
      <c r="K44" s="15"/>
      <c r="L44" s="15"/>
      <c r="M44" s="15"/>
      <c r="N44" s="19"/>
      <c r="O44" s="20"/>
      <c r="P44" s="20"/>
      <c r="Q44" s="21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15.75" customHeight="1">
      <c r="A45" s="24" t="s">
        <v>101</v>
      </c>
      <c r="B45" s="11">
        <v>2</v>
      </c>
      <c r="C45" s="11">
        <v>2</v>
      </c>
      <c r="D45" s="13"/>
      <c r="E45" s="13"/>
      <c r="F45" s="13"/>
      <c r="G45" s="13"/>
      <c r="H45" s="14"/>
      <c r="I45" s="14"/>
      <c r="J45" s="15"/>
      <c r="K45" s="15"/>
      <c r="L45" s="15"/>
      <c r="M45" s="15"/>
      <c r="N45" s="19">
        <v>2</v>
      </c>
      <c r="O45" s="20"/>
      <c r="P45" s="20"/>
      <c r="Q45" s="21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5.75" customHeight="1">
      <c r="A46" s="11" t="s">
        <v>102</v>
      </c>
      <c r="B46" s="11">
        <v>5</v>
      </c>
      <c r="C46" s="11">
        <v>7</v>
      </c>
      <c r="D46" s="13" t="s">
        <v>165</v>
      </c>
      <c r="E46" s="13" t="s">
        <v>165</v>
      </c>
      <c r="F46" s="13"/>
      <c r="G46" s="13"/>
      <c r="H46" s="14"/>
      <c r="I46" s="14"/>
      <c r="J46" s="15"/>
      <c r="K46" s="15"/>
      <c r="L46" s="15"/>
      <c r="M46" s="15"/>
      <c r="N46" s="19"/>
      <c r="O46" s="20"/>
      <c r="P46" s="20"/>
      <c r="Q46" s="21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5.75" customHeight="1">
      <c r="A47" s="11" t="s">
        <v>103</v>
      </c>
      <c r="B47" s="11">
        <v>5</v>
      </c>
      <c r="C47" s="11">
        <v>5</v>
      </c>
      <c r="D47" s="13"/>
      <c r="E47" s="13"/>
      <c r="F47" s="13"/>
      <c r="G47" s="13"/>
      <c r="H47" s="14"/>
      <c r="I47" s="14"/>
      <c r="J47" s="15">
        <v>5</v>
      </c>
      <c r="K47" s="15"/>
      <c r="L47" s="15"/>
      <c r="M47" s="15"/>
      <c r="N47" s="19"/>
      <c r="O47" s="20"/>
      <c r="P47" s="20"/>
      <c r="Q47" s="21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15.75" customHeight="1">
      <c r="A48" s="11" t="s">
        <v>104</v>
      </c>
      <c r="B48" s="11">
        <v>6</v>
      </c>
      <c r="C48" s="11">
        <v>6</v>
      </c>
      <c r="D48" s="13"/>
      <c r="E48" s="13"/>
      <c r="F48" s="13"/>
      <c r="G48" s="13"/>
      <c r="H48" s="14"/>
      <c r="I48" s="14"/>
      <c r="J48" s="15"/>
      <c r="K48" s="15"/>
      <c r="L48" s="15"/>
      <c r="M48" s="15"/>
      <c r="N48" s="19">
        <v>6</v>
      </c>
      <c r="O48" s="20"/>
      <c r="P48" s="20"/>
      <c r="Q48" s="21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5.75" customHeight="1">
      <c r="A49" s="24" t="s">
        <v>105</v>
      </c>
      <c r="B49" s="11">
        <v>6</v>
      </c>
      <c r="C49" s="11">
        <v>6</v>
      </c>
      <c r="D49" s="13">
        <v>6</v>
      </c>
      <c r="E49" s="13"/>
      <c r="F49" s="13"/>
      <c r="G49" s="13"/>
      <c r="H49" s="14"/>
      <c r="I49" s="14"/>
      <c r="J49" s="15"/>
      <c r="K49" s="15"/>
      <c r="L49" s="15"/>
      <c r="M49" s="15"/>
      <c r="N49" s="19"/>
      <c r="O49" s="20"/>
      <c r="P49" s="20"/>
      <c r="Q49" s="21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5.75" customHeight="1">
      <c r="A50" s="11" t="s">
        <v>106</v>
      </c>
      <c r="B50" s="11">
        <v>4</v>
      </c>
      <c r="C50" s="11">
        <v>6</v>
      </c>
      <c r="D50" s="13"/>
      <c r="E50" s="13"/>
      <c r="F50" s="13" t="s">
        <v>161</v>
      </c>
      <c r="G50" s="13"/>
      <c r="H50" s="14"/>
      <c r="I50" s="14"/>
      <c r="J50" s="15"/>
      <c r="K50" s="15"/>
      <c r="L50" s="15"/>
      <c r="M50" s="15"/>
      <c r="N50" s="19"/>
      <c r="O50" s="20"/>
      <c r="P50" s="20"/>
      <c r="Q50" s="21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15.75" customHeight="1">
      <c r="A51" s="11" t="s">
        <v>107</v>
      </c>
      <c r="B51" s="11">
        <v>4</v>
      </c>
      <c r="C51" s="11">
        <v>5</v>
      </c>
      <c r="D51" s="13" t="s">
        <v>90</v>
      </c>
      <c r="E51" s="13"/>
      <c r="F51" s="13"/>
      <c r="G51" s="13"/>
      <c r="H51" s="14"/>
      <c r="I51" s="14"/>
      <c r="J51" s="15"/>
      <c r="K51" s="15"/>
      <c r="L51" s="15"/>
      <c r="M51" s="15"/>
      <c r="N51" s="19"/>
      <c r="O51" s="20"/>
      <c r="P51" s="20"/>
      <c r="Q51" s="21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5.75" customHeight="1">
      <c r="A52" s="11" t="s">
        <v>29</v>
      </c>
      <c r="B52" s="11">
        <v>1</v>
      </c>
      <c r="C52" s="11">
        <v>4</v>
      </c>
      <c r="D52" s="13"/>
      <c r="E52" s="13"/>
      <c r="F52" s="13"/>
      <c r="G52" s="13"/>
      <c r="H52" s="14"/>
      <c r="I52" s="14"/>
      <c r="J52" s="15" t="s">
        <v>160</v>
      </c>
      <c r="K52" s="15"/>
      <c r="L52" s="15"/>
      <c r="M52" s="15"/>
      <c r="N52" s="19">
        <v>1</v>
      </c>
      <c r="O52" s="20"/>
      <c r="P52" s="20"/>
      <c r="Q52" s="21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5.75" customHeight="1">
      <c r="A53" s="24" t="s">
        <v>108</v>
      </c>
      <c r="B53" s="11">
        <v>5</v>
      </c>
      <c r="C53" s="11">
        <v>5</v>
      </c>
      <c r="D53" s="13">
        <v>5</v>
      </c>
      <c r="E53" s="13"/>
      <c r="F53" s="13"/>
      <c r="G53" s="13"/>
      <c r="H53" s="14"/>
      <c r="I53" s="14"/>
      <c r="J53" s="15"/>
      <c r="K53" s="15"/>
      <c r="L53" s="15"/>
      <c r="M53" s="15"/>
      <c r="N53" s="19"/>
      <c r="O53" s="20"/>
      <c r="P53" s="20"/>
      <c r="Q53" s="21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5.75" customHeight="1">
      <c r="A54" s="11" t="s">
        <v>110</v>
      </c>
      <c r="B54" s="11">
        <v>4</v>
      </c>
      <c r="C54" s="11">
        <v>5</v>
      </c>
      <c r="D54" s="13"/>
      <c r="E54" s="13"/>
      <c r="F54" s="13"/>
      <c r="G54" s="13"/>
      <c r="H54" s="14"/>
      <c r="I54" s="14"/>
      <c r="J54" s="15"/>
      <c r="K54" s="15"/>
      <c r="L54" s="15"/>
      <c r="M54" s="15"/>
      <c r="N54" s="19" t="s">
        <v>90</v>
      </c>
      <c r="O54" s="20"/>
      <c r="P54" s="20"/>
      <c r="Q54" s="21"/>
      <c r="R54" s="20"/>
      <c r="S54" s="20"/>
      <c r="T54" s="20"/>
      <c r="U54" s="20"/>
      <c r="V54" s="20"/>
      <c r="W54" s="20"/>
      <c r="X54" s="20"/>
      <c r="Y54" s="20"/>
      <c r="Z54" s="20"/>
    </row>
    <row r="55" spans="1:26" ht="15.75" customHeight="1">
      <c r="A55" s="11" t="s">
        <v>112</v>
      </c>
      <c r="B55" s="11">
        <v>6</v>
      </c>
      <c r="C55" s="11">
        <v>8</v>
      </c>
      <c r="D55" s="13"/>
      <c r="E55" s="13"/>
      <c r="F55" s="13"/>
      <c r="G55" s="13"/>
      <c r="H55" s="14"/>
      <c r="I55" s="14"/>
      <c r="J55" s="15" t="s">
        <v>173</v>
      </c>
      <c r="K55" s="15"/>
      <c r="L55" s="15"/>
      <c r="M55" s="15"/>
      <c r="N55" s="19"/>
      <c r="O55" s="20"/>
      <c r="P55" s="20"/>
      <c r="Q55" s="21"/>
      <c r="R55" s="20"/>
      <c r="S55" s="20"/>
      <c r="T55" s="20"/>
      <c r="U55" s="20"/>
      <c r="V55" s="20"/>
      <c r="W55" s="20"/>
      <c r="X55" s="20"/>
      <c r="Y55" s="20"/>
      <c r="Z55" s="20"/>
    </row>
    <row r="56" spans="1:26" ht="15.75" customHeight="1">
      <c r="A56" s="11" t="s">
        <v>30</v>
      </c>
      <c r="B56" s="11">
        <v>1</v>
      </c>
      <c r="C56" s="11">
        <v>7</v>
      </c>
      <c r="D56" s="13"/>
      <c r="E56" s="13" t="s">
        <v>166</v>
      </c>
      <c r="F56" s="13"/>
      <c r="G56" s="13"/>
      <c r="H56" s="14"/>
      <c r="I56" s="14"/>
      <c r="J56" s="15" t="s">
        <v>174</v>
      </c>
      <c r="K56" s="15"/>
      <c r="L56" s="15"/>
      <c r="M56" s="15"/>
      <c r="N56" s="19">
        <v>1</v>
      </c>
      <c r="O56" s="20"/>
      <c r="P56" s="20"/>
      <c r="Q56" s="21"/>
      <c r="R56" s="20"/>
      <c r="S56" s="20"/>
      <c r="T56" s="20"/>
      <c r="U56" s="20"/>
      <c r="V56" s="20"/>
      <c r="W56" s="20"/>
      <c r="X56" s="20"/>
      <c r="Y56" s="20"/>
      <c r="Z56" s="20"/>
    </row>
    <row r="57" spans="1:26" ht="15.75" customHeight="1">
      <c r="A57" s="11" t="s">
        <v>114</v>
      </c>
      <c r="B57" s="11">
        <v>6</v>
      </c>
      <c r="C57" s="11">
        <v>7</v>
      </c>
      <c r="D57" s="13"/>
      <c r="E57" s="13" t="s">
        <v>175</v>
      </c>
      <c r="F57" s="13"/>
      <c r="G57" s="13"/>
      <c r="H57" s="14"/>
      <c r="I57" s="14"/>
      <c r="J57" s="15" t="s">
        <v>176</v>
      </c>
      <c r="K57" s="15"/>
      <c r="L57" s="15" t="s">
        <v>175</v>
      </c>
      <c r="M57" s="15"/>
      <c r="N57" s="19"/>
      <c r="O57" s="20"/>
      <c r="P57" s="20"/>
      <c r="Q57" s="21"/>
      <c r="R57" s="20"/>
      <c r="S57" s="20"/>
      <c r="T57" s="20"/>
      <c r="U57" s="20"/>
      <c r="V57" s="20"/>
      <c r="W57" s="20"/>
      <c r="X57" s="20"/>
      <c r="Y57" s="20"/>
      <c r="Z57" s="20"/>
    </row>
    <row r="58" spans="1:26" ht="15.75" customHeight="1">
      <c r="A58" s="24" t="s">
        <v>115</v>
      </c>
      <c r="B58" s="11">
        <v>3</v>
      </c>
      <c r="C58" s="11">
        <v>6</v>
      </c>
      <c r="D58" s="13"/>
      <c r="E58" s="13"/>
      <c r="F58" s="13"/>
      <c r="G58" s="13"/>
      <c r="H58" s="14"/>
      <c r="I58" s="14"/>
      <c r="J58" s="15" t="s">
        <v>171</v>
      </c>
      <c r="K58" s="15"/>
      <c r="L58" s="15"/>
      <c r="M58" s="15"/>
      <c r="N58" s="19">
        <v>3</v>
      </c>
      <c r="O58" s="20"/>
      <c r="P58" s="20"/>
      <c r="Q58" s="21"/>
      <c r="R58" s="20"/>
      <c r="S58" s="20"/>
      <c r="T58" s="20"/>
      <c r="U58" s="20"/>
      <c r="V58" s="20"/>
      <c r="W58" s="20"/>
      <c r="X58" s="20"/>
      <c r="Y58" s="20"/>
      <c r="Z58" s="20"/>
    </row>
    <row r="59" spans="1:26" ht="15.75" customHeight="1">
      <c r="A59" s="11" t="s">
        <v>116</v>
      </c>
      <c r="B59" s="11">
        <v>5</v>
      </c>
      <c r="C59" s="11">
        <v>5</v>
      </c>
      <c r="D59" s="13">
        <v>5</v>
      </c>
      <c r="E59" s="13">
        <v>5</v>
      </c>
      <c r="F59" s="13"/>
      <c r="G59" s="13"/>
      <c r="H59" s="14"/>
      <c r="I59" s="14"/>
      <c r="J59" s="15"/>
      <c r="K59" s="15"/>
      <c r="L59" s="15"/>
      <c r="M59" s="15"/>
      <c r="N59" s="19"/>
      <c r="O59" s="20"/>
      <c r="P59" s="20"/>
      <c r="Q59" s="21"/>
      <c r="R59" s="20"/>
      <c r="S59" s="20"/>
      <c r="T59" s="20"/>
      <c r="U59" s="20"/>
      <c r="V59" s="20"/>
      <c r="W59" s="20"/>
      <c r="X59" s="20"/>
      <c r="Y59" s="20"/>
      <c r="Z59" s="20"/>
    </row>
    <row r="60" spans="1:26" ht="15.75" customHeight="1">
      <c r="A60" s="11" t="s">
        <v>33</v>
      </c>
      <c r="B60" s="11">
        <v>1</v>
      </c>
      <c r="C60" s="11">
        <v>4</v>
      </c>
      <c r="D60" s="13"/>
      <c r="E60" s="13" t="s">
        <v>98</v>
      </c>
      <c r="F60" s="13"/>
      <c r="G60" s="13"/>
      <c r="H60" s="14"/>
      <c r="I60" s="14"/>
      <c r="J60" s="15" t="s">
        <v>177</v>
      </c>
      <c r="K60" s="15" t="s">
        <v>163</v>
      </c>
      <c r="L60" s="15"/>
      <c r="M60" s="15"/>
      <c r="N60" s="19"/>
      <c r="O60" s="20"/>
      <c r="P60" s="20"/>
      <c r="Q60" s="21"/>
      <c r="R60" s="20"/>
      <c r="S60" s="20"/>
      <c r="T60" s="20"/>
      <c r="U60" s="20"/>
      <c r="V60" s="20"/>
      <c r="W60" s="20"/>
      <c r="X60" s="20"/>
      <c r="Y60" s="20"/>
      <c r="Z60" s="20"/>
    </row>
    <row r="61" spans="1:26" ht="15.75" customHeight="1">
      <c r="A61" s="11" t="s">
        <v>35</v>
      </c>
      <c r="B61" s="11">
        <v>2</v>
      </c>
      <c r="C61" s="11">
        <v>4</v>
      </c>
      <c r="D61" s="13"/>
      <c r="E61" s="13"/>
      <c r="F61" s="13"/>
      <c r="G61" s="13"/>
      <c r="H61" s="14"/>
      <c r="I61" s="14"/>
      <c r="J61" s="15" t="s">
        <v>160</v>
      </c>
      <c r="K61" s="15"/>
      <c r="L61" s="15"/>
      <c r="M61" s="15"/>
      <c r="N61" s="19"/>
      <c r="O61" s="20"/>
      <c r="P61" s="20"/>
      <c r="Q61" s="21"/>
      <c r="R61" s="20"/>
      <c r="S61" s="20"/>
      <c r="T61" s="20"/>
      <c r="U61" s="20"/>
      <c r="V61" s="20"/>
      <c r="W61" s="20"/>
      <c r="X61" s="20"/>
      <c r="Y61" s="20"/>
      <c r="Z61" s="20"/>
    </row>
    <row r="62" spans="1:26" ht="15.75" customHeight="1">
      <c r="A62" s="11" t="s">
        <v>37</v>
      </c>
      <c r="B62" s="11">
        <v>1</v>
      </c>
      <c r="C62" s="11">
        <v>6</v>
      </c>
      <c r="D62" s="13"/>
      <c r="E62" s="13" t="s">
        <v>74</v>
      </c>
      <c r="F62" s="13"/>
      <c r="G62" s="13"/>
      <c r="H62" s="14"/>
      <c r="I62" s="14"/>
      <c r="J62" s="15" t="s">
        <v>160</v>
      </c>
      <c r="K62" s="15"/>
      <c r="L62" s="15"/>
      <c r="M62" s="15"/>
      <c r="N62" s="19">
        <v>1</v>
      </c>
      <c r="O62" s="20"/>
      <c r="P62" s="20"/>
      <c r="Q62" s="21"/>
      <c r="R62" s="20"/>
      <c r="S62" s="20"/>
      <c r="T62" s="20"/>
      <c r="U62" s="20"/>
      <c r="V62" s="20"/>
      <c r="W62" s="20"/>
      <c r="X62" s="20"/>
      <c r="Y62" s="20"/>
      <c r="Z62" s="20"/>
    </row>
    <row r="63" spans="1:26" ht="15.75" customHeight="1">
      <c r="A63" s="11" t="s">
        <v>118</v>
      </c>
      <c r="B63" s="11">
        <v>6</v>
      </c>
      <c r="C63" s="11">
        <v>6</v>
      </c>
      <c r="D63" s="13"/>
      <c r="E63" s="13"/>
      <c r="F63" s="13"/>
      <c r="G63" s="13"/>
      <c r="H63" s="14"/>
      <c r="I63" s="14"/>
      <c r="J63" s="15">
        <v>6</v>
      </c>
      <c r="K63" s="15">
        <v>6</v>
      </c>
      <c r="L63" s="15"/>
      <c r="M63" s="15"/>
      <c r="N63" s="19"/>
      <c r="O63" s="20"/>
      <c r="P63" s="20"/>
      <c r="Q63" s="21"/>
      <c r="R63" s="20"/>
      <c r="S63" s="20"/>
      <c r="T63" s="20"/>
      <c r="U63" s="20"/>
      <c r="V63" s="20"/>
      <c r="W63" s="20"/>
      <c r="X63" s="20"/>
      <c r="Y63" s="20"/>
      <c r="Z63" s="20"/>
    </row>
    <row r="64" spans="1:26" ht="15.75" customHeight="1">
      <c r="A64" s="11" t="s">
        <v>39</v>
      </c>
      <c r="B64" s="11">
        <v>1</v>
      </c>
      <c r="C64" s="11">
        <v>5</v>
      </c>
      <c r="D64" s="13"/>
      <c r="E64" s="13"/>
      <c r="F64" s="13"/>
      <c r="G64" s="13"/>
      <c r="H64" s="14"/>
      <c r="I64" s="14"/>
      <c r="J64" s="15"/>
      <c r="K64" s="15"/>
      <c r="L64" s="15" t="s">
        <v>90</v>
      </c>
      <c r="M64" s="15"/>
      <c r="N64" s="19">
        <v>1</v>
      </c>
      <c r="O64" s="20"/>
      <c r="P64" s="20"/>
      <c r="Q64" s="21"/>
      <c r="R64" s="20"/>
      <c r="S64" s="20"/>
      <c r="T64" s="20"/>
      <c r="U64" s="20"/>
      <c r="V64" s="20"/>
      <c r="W64" s="20"/>
      <c r="X64" s="20"/>
      <c r="Y64" s="20"/>
      <c r="Z64" s="20"/>
    </row>
    <row r="65" spans="1:26" ht="15.75" customHeight="1">
      <c r="A65" s="11" t="s">
        <v>41</v>
      </c>
      <c r="B65" s="11">
        <v>1</v>
      </c>
      <c r="C65" s="11">
        <v>5</v>
      </c>
      <c r="D65" s="13" t="s">
        <v>90</v>
      </c>
      <c r="E65" s="13"/>
      <c r="F65" s="13"/>
      <c r="G65" s="13"/>
      <c r="H65" s="14"/>
      <c r="I65" s="14" t="s">
        <v>168</v>
      </c>
      <c r="J65" s="15" t="s">
        <v>163</v>
      </c>
      <c r="K65" s="15"/>
      <c r="L65" s="15"/>
      <c r="M65" s="15"/>
      <c r="N65" s="19">
        <v>1</v>
      </c>
      <c r="O65" s="20"/>
      <c r="P65" s="20"/>
      <c r="Q65" s="21"/>
      <c r="R65" s="20"/>
      <c r="S65" s="20"/>
      <c r="T65" s="20"/>
      <c r="U65" s="20"/>
      <c r="V65" s="20"/>
      <c r="W65" s="20"/>
      <c r="X65" s="20"/>
      <c r="Y65" s="20"/>
      <c r="Z65" s="20"/>
    </row>
    <row r="66" spans="1:26" ht="15.75" customHeight="1">
      <c r="A66" s="11" t="s">
        <v>120</v>
      </c>
      <c r="B66" s="11">
        <v>5</v>
      </c>
      <c r="C66" s="11">
        <v>5</v>
      </c>
      <c r="D66" s="13"/>
      <c r="E66" s="13">
        <v>5</v>
      </c>
      <c r="F66" s="13"/>
      <c r="G66" s="13"/>
      <c r="H66" s="14"/>
      <c r="I66" s="14"/>
      <c r="J66" s="15"/>
      <c r="K66" s="15"/>
      <c r="L66" s="15"/>
      <c r="M66" s="15"/>
      <c r="N66" s="19"/>
      <c r="O66" s="20"/>
      <c r="P66" s="20"/>
      <c r="Q66" s="21"/>
      <c r="R66" s="20"/>
      <c r="S66" s="20"/>
      <c r="T66" s="20"/>
      <c r="U66" s="20"/>
      <c r="V66" s="20"/>
      <c r="W66" s="20"/>
      <c r="X66" s="20"/>
      <c r="Y66" s="20"/>
      <c r="Z66" s="20"/>
    </row>
    <row r="67" spans="1:26" ht="15.75" customHeight="1">
      <c r="A67" s="11" t="s">
        <v>47</v>
      </c>
      <c r="B67" s="11">
        <v>1</v>
      </c>
      <c r="C67" s="11">
        <v>4</v>
      </c>
      <c r="D67" s="13"/>
      <c r="E67" s="13"/>
      <c r="F67" s="13"/>
      <c r="G67" s="13"/>
      <c r="H67" s="14"/>
      <c r="I67" s="14"/>
      <c r="J67" s="15"/>
      <c r="K67" s="15"/>
      <c r="L67" s="15"/>
      <c r="M67" s="15"/>
      <c r="N67" s="19" t="s">
        <v>177</v>
      </c>
      <c r="O67" s="20"/>
      <c r="P67" s="20"/>
      <c r="Q67" s="21"/>
      <c r="R67" s="20"/>
      <c r="S67" s="20"/>
      <c r="T67" s="20"/>
      <c r="U67" s="20"/>
      <c r="V67" s="20"/>
      <c r="W67" s="20"/>
      <c r="X67" s="20"/>
      <c r="Y67" s="20"/>
      <c r="Z67" s="20"/>
    </row>
    <row r="68" spans="1:26" ht="15.75" customHeight="1">
      <c r="A68" s="11" t="s">
        <v>124</v>
      </c>
      <c r="B68" s="11">
        <v>5</v>
      </c>
      <c r="C68" s="11">
        <v>5</v>
      </c>
      <c r="D68" s="13"/>
      <c r="E68" s="13">
        <v>5</v>
      </c>
      <c r="F68" s="13">
        <v>5</v>
      </c>
      <c r="G68" s="13"/>
      <c r="H68" s="14"/>
      <c r="I68" s="14"/>
      <c r="J68" s="15"/>
      <c r="K68" s="15"/>
      <c r="L68" s="15"/>
      <c r="M68" s="15"/>
      <c r="N68" s="19"/>
      <c r="O68" s="20"/>
      <c r="P68" s="20"/>
      <c r="Q68" s="21"/>
      <c r="R68" s="20"/>
      <c r="S68" s="20"/>
      <c r="T68" s="20"/>
      <c r="U68" s="20"/>
      <c r="V68" s="20"/>
      <c r="W68" s="20"/>
      <c r="X68" s="20"/>
      <c r="Y68" s="20"/>
      <c r="Z68" s="20"/>
    </row>
    <row r="69" spans="1:26" ht="15.75" customHeight="1">
      <c r="A69" s="11" t="s">
        <v>125</v>
      </c>
      <c r="B69" s="11">
        <v>4</v>
      </c>
      <c r="C69" s="11">
        <v>6</v>
      </c>
      <c r="D69" s="13"/>
      <c r="E69" s="13"/>
      <c r="F69" s="13" t="s">
        <v>161</v>
      </c>
      <c r="G69" s="13"/>
      <c r="H69" s="14"/>
      <c r="I69" s="14"/>
      <c r="J69" s="15"/>
      <c r="K69" s="15"/>
      <c r="L69" s="15"/>
      <c r="M69" s="15"/>
      <c r="N69" s="19"/>
      <c r="O69" s="20"/>
      <c r="P69" s="20"/>
      <c r="Q69" s="21"/>
      <c r="R69" s="20"/>
      <c r="S69" s="20"/>
      <c r="T69" s="20"/>
      <c r="U69" s="20"/>
      <c r="V69" s="20"/>
      <c r="W69" s="20"/>
      <c r="X69" s="20"/>
      <c r="Y69" s="20"/>
      <c r="Z69" s="20"/>
    </row>
    <row r="70" spans="1:26" ht="15.75" customHeight="1">
      <c r="A70" s="11" t="s">
        <v>126</v>
      </c>
      <c r="B70" s="11">
        <v>4</v>
      </c>
      <c r="C70" s="11">
        <v>6</v>
      </c>
      <c r="D70" s="13"/>
      <c r="E70" s="13">
        <v>4</v>
      </c>
      <c r="F70" s="13">
        <v>4</v>
      </c>
      <c r="G70" s="13"/>
      <c r="H70" s="14">
        <v>4</v>
      </c>
      <c r="I70" s="14"/>
      <c r="J70" s="15" t="s">
        <v>74</v>
      </c>
      <c r="K70" s="15"/>
      <c r="L70" s="15"/>
      <c r="M70" s="15"/>
      <c r="N70" s="19"/>
      <c r="O70" s="20"/>
      <c r="P70" s="20"/>
      <c r="Q70" s="21"/>
      <c r="R70" s="20"/>
      <c r="S70" s="20"/>
      <c r="T70" s="20"/>
      <c r="U70" s="20"/>
      <c r="V70" s="20"/>
      <c r="W70" s="20"/>
      <c r="X70" s="20"/>
      <c r="Y70" s="20"/>
      <c r="Z70" s="20"/>
    </row>
    <row r="71" spans="1:26" ht="15.75" customHeight="1">
      <c r="A71" s="11" t="s">
        <v>127</v>
      </c>
      <c r="B71" s="11">
        <v>7</v>
      </c>
      <c r="C71" s="11">
        <v>7</v>
      </c>
      <c r="D71" s="13"/>
      <c r="E71" s="13"/>
      <c r="F71" s="13">
        <v>7</v>
      </c>
      <c r="G71" s="13"/>
      <c r="H71" s="14"/>
      <c r="I71" s="14"/>
      <c r="J71" s="15"/>
      <c r="K71" s="15"/>
      <c r="L71" s="15"/>
      <c r="M71" s="15"/>
      <c r="N71" s="19"/>
      <c r="O71" s="20"/>
      <c r="P71" s="20"/>
      <c r="Q71" s="21"/>
      <c r="R71" s="20"/>
      <c r="S71" s="20"/>
      <c r="T71" s="20"/>
      <c r="U71" s="20"/>
      <c r="V71" s="20"/>
      <c r="W71" s="20"/>
      <c r="X71" s="20"/>
      <c r="Y71" s="20"/>
      <c r="Z71" s="20"/>
    </row>
    <row r="72" spans="1:26" ht="15.75" customHeight="1">
      <c r="A72" s="11" t="s">
        <v>128</v>
      </c>
      <c r="B72" s="11">
        <v>4</v>
      </c>
      <c r="C72" s="11">
        <v>6</v>
      </c>
      <c r="D72" s="13"/>
      <c r="E72" s="13" t="s">
        <v>161</v>
      </c>
      <c r="F72" s="13"/>
      <c r="G72" s="37" t="s">
        <v>161</v>
      </c>
      <c r="H72" s="14" t="s">
        <v>161</v>
      </c>
      <c r="I72" s="14"/>
      <c r="J72" s="15"/>
      <c r="K72" s="15"/>
      <c r="L72" s="15"/>
      <c r="M72" s="15"/>
      <c r="N72" s="19"/>
      <c r="O72" s="20"/>
      <c r="P72" s="20"/>
      <c r="Q72" s="21"/>
      <c r="R72" s="20"/>
      <c r="S72" s="20"/>
      <c r="T72" s="20"/>
      <c r="U72" s="20"/>
      <c r="V72" s="20"/>
      <c r="W72" s="20"/>
      <c r="X72" s="20"/>
      <c r="Y72" s="20"/>
      <c r="Z72" s="20"/>
    </row>
    <row r="73" spans="1:26" ht="15.75" customHeight="1">
      <c r="A73" s="11" t="s">
        <v>129</v>
      </c>
      <c r="B73" s="11">
        <v>5</v>
      </c>
      <c r="C73" s="11">
        <v>5</v>
      </c>
      <c r="D73" s="13"/>
      <c r="E73" s="13"/>
      <c r="F73" s="13">
        <v>5</v>
      </c>
      <c r="G73" s="13"/>
      <c r="H73" s="14"/>
      <c r="I73" s="14"/>
      <c r="J73" s="15"/>
      <c r="K73" s="15"/>
      <c r="L73" s="15"/>
      <c r="M73" s="15"/>
      <c r="N73" s="19"/>
      <c r="O73" s="20"/>
      <c r="P73" s="20"/>
      <c r="Q73" s="21"/>
      <c r="R73" s="20"/>
      <c r="S73" s="20"/>
      <c r="T73" s="20"/>
      <c r="U73" s="20"/>
      <c r="V73" s="20"/>
      <c r="W73" s="20"/>
      <c r="X73" s="20"/>
      <c r="Y73" s="20"/>
      <c r="Z73" s="20"/>
    </row>
    <row r="74" spans="1:26" ht="15.75" customHeight="1">
      <c r="A74" s="11" t="s">
        <v>130</v>
      </c>
      <c r="B74" s="11">
        <v>4</v>
      </c>
      <c r="C74" s="11">
        <v>6</v>
      </c>
      <c r="D74" s="13"/>
      <c r="E74" s="13"/>
      <c r="F74" s="13" t="s">
        <v>161</v>
      </c>
      <c r="G74" s="13"/>
      <c r="H74" s="14"/>
      <c r="I74" s="14"/>
      <c r="J74" s="15"/>
      <c r="K74" s="15"/>
      <c r="L74" s="15"/>
      <c r="M74" s="15"/>
      <c r="N74" s="19"/>
      <c r="O74" s="20"/>
      <c r="P74" s="20"/>
      <c r="Q74" s="21"/>
      <c r="R74" s="20"/>
      <c r="S74" s="20"/>
      <c r="T74" s="20"/>
      <c r="U74" s="20"/>
      <c r="V74" s="20"/>
      <c r="W74" s="20"/>
      <c r="X74" s="20"/>
      <c r="Y74" s="20"/>
      <c r="Z74" s="20"/>
    </row>
    <row r="75" spans="1:26" ht="15.75" customHeight="1">
      <c r="A75" s="11" t="s">
        <v>132</v>
      </c>
      <c r="B75" s="11">
        <v>4</v>
      </c>
      <c r="C75" s="11">
        <v>8</v>
      </c>
      <c r="D75" s="13"/>
      <c r="E75" s="13"/>
      <c r="F75" s="13" t="s">
        <v>111</v>
      </c>
      <c r="G75" s="13"/>
      <c r="H75" s="14"/>
      <c r="I75" s="14"/>
      <c r="J75" s="15"/>
      <c r="K75" s="15"/>
      <c r="L75" s="15"/>
      <c r="M75" s="15"/>
      <c r="N75" s="19"/>
      <c r="O75" s="20"/>
      <c r="P75" s="20"/>
      <c r="Q75" s="21"/>
      <c r="R75" s="20"/>
      <c r="S75" s="20"/>
      <c r="T75" s="20"/>
      <c r="U75" s="20"/>
      <c r="V75" s="20"/>
      <c r="W75" s="20"/>
      <c r="X75" s="20"/>
      <c r="Y75" s="20"/>
      <c r="Z75" s="20"/>
    </row>
    <row r="76" spans="1:26" ht="15.75" customHeight="1">
      <c r="A76" s="11" t="s">
        <v>133</v>
      </c>
      <c r="B76" s="11">
        <v>4</v>
      </c>
      <c r="C76" s="11">
        <v>4</v>
      </c>
      <c r="D76" s="13"/>
      <c r="E76" s="13"/>
      <c r="F76" s="13">
        <v>4</v>
      </c>
      <c r="G76" s="13"/>
      <c r="H76" s="14"/>
      <c r="I76" s="14"/>
      <c r="J76" s="15"/>
      <c r="K76" s="15"/>
      <c r="L76" s="15"/>
      <c r="M76" s="15"/>
      <c r="N76" s="19"/>
      <c r="O76" s="20"/>
      <c r="P76" s="20"/>
      <c r="Q76" s="21"/>
      <c r="R76" s="20"/>
      <c r="S76" s="20"/>
      <c r="T76" s="20"/>
      <c r="U76" s="20"/>
      <c r="V76" s="20"/>
      <c r="W76" s="20"/>
      <c r="X76" s="20"/>
      <c r="Y76" s="20"/>
      <c r="Z76" s="20"/>
    </row>
    <row r="77" spans="1:26" ht="15.75" customHeight="1">
      <c r="A77" s="11" t="s">
        <v>134</v>
      </c>
      <c r="B77" s="11">
        <v>2</v>
      </c>
      <c r="C77" s="11">
        <v>7</v>
      </c>
      <c r="D77" s="13"/>
      <c r="E77" s="13"/>
      <c r="F77" s="13" t="s">
        <v>166</v>
      </c>
      <c r="G77" s="13"/>
      <c r="H77" s="14"/>
      <c r="I77" s="14"/>
      <c r="J77" s="15"/>
      <c r="K77" s="15"/>
      <c r="L77" s="15"/>
      <c r="M77" s="15"/>
      <c r="N77" s="19"/>
      <c r="O77" s="20"/>
      <c r="P77" s="20"/>
      <c r="Q77" s="21"/>
      <c r="R77" s="20"/>
      <c r="S77" s="20"/>
      <c r="T77" s="20"/>
      <c r="U77" s="20"/>
      <c r="V77" s="20"/>
      <c r="W77" s="20"/>
      <c r="X77" s="20"/>
      <c r="Y77" s="20"/>
      <c r="Z77" s="20"/>
    </row>
    <row r="78" spans="1:26" ht="15.75" customHeight="1">
      <c r="A78" s="11" t="s">
        <v>135</v>
      </c>
      <c r="B78" s="11">
        <v>6</v>
      </c>
      <c r="C78" s="11">
        <v>6</v>
      </c>
      <c r="D78" s="13"/>
      <c r="E78" s="13">
        <v>6</v>
      </c>
      <c r="F78" s="13"/>
      <c r="G78" s="13"/>
      <c r="H78" s="14"/>
      <c r="I78" s="14"/>
      <c r="J78" s="15"/>
      <c r="K78" s="15">
        <v>6</v>
      </c>
      <c r="L78" s="15">
        <v>6</v>
      </c>
      <c r="M78" s="15"/>
      <c r="N78" s="19"/>
      <c r="O78" s="20"/>
      <c r="P78" s="20"/>
      <c r="Q78" s="21"/>
      <c r="R78" s="20"/>
      <c r="S78" s="20"/>
      <c r="T78" s="20"/>
      <c r="U78" s="20"/>
      <c r="V78" s="20"/>
      <c r="W78" s="20"/>
      <c r="X78" s="20"/>
      <c r="Y78" s="20"/>
      <c r="Z78" s="20"/>
    </row>
    <row r="79" spans="1:26" ht="15.75" customHeight="1">
      <c r="A79" s="11" t="s">
        <v>136</v>
      </c>
      <c r="B79" s="11">
        <v>4</v>
      </c>
      <c r="C79" s="11">
        <v>5</v>
      </c>
      <c r="D79" s="13"/>
      <c r="E79" s="13"/>
      <c r="F79" s="13" t="s">
        <v>90</v>
      </c>
      <c r="G79" s="13"/>
      <c r="H79" s="14"/>
      <c r="I79" s="14"/>
      <c r="J79" s="15"/>
      <c r="K79" s="15" t="s">
        <v>90</v>
      </c>
      <c r="L79" s="15"/>
      <c r="M79" s="15"/>
      <c r="N79" s="19"/>
      <c r="O79" s="20"/>
      <c r="P79" s="20"/>
      <c r="Q79" s="21"/>
      <c r="R79" s="20"/>
      <c r="S79" s="20"/>
      <c r="T79" s="20"/>
      <c r="U79" s="20"/>
      <c r="V79" s="20"/>
      <c r="W79" s="20"/>
      <c r="X79" s="20"/>
      <c r="Y79" s="20"/>
      <c r="Z79" s="20"/>
    </row>
    <row r="80" spans="1:26" ht="15.75" customHeight="1">
      <c r="A80" s="11" t="s">
        <v>137</v>
      </c>
      <c r="B80" s="11">
        <v>6</v>
      </c>
      <c r="C80" s="11">
        <v>6</v>
      </c>
      <c r="D80" s="13"/>
      <c r="E80" s="13"/>
      <c r="F80" s="13"/>
      <c r="G80" s="13"/>
      <c r="H80" s="14"/>
      <c r="I80" s="14"/>
      <c r="J80" s="15"/>
      <c r="K80" s="15"/>
      <c r="L80" s="15"/>
      <c r="M80" s="15"/>
      <c r="N80" s="19">
        <v>6</v>
      </c>
      <c r="O80" s="20"/>
      <c r="P80" s="20"/>
      <c r="Q80" s="21"/>
      <c r="R80" s="20"/>
      <c r="S80" s="20"/>
      <c r="T80" s="20"/>
      <c r="U80" s="20"/>
      <c r="V80" s="20"/>
      <c r="W80" s="20"/>
      <c r="X80" s="20"/>
      <c r="Y80" s="20"/>
      <c r="Z80" s="20"/>
    </row>
    <row r="81" spans="1:26" ht="15.75" customHeight="1">
      <c r="A81" s="11" t="s">
        <v>138</v>
      </c>
      <c r="B81" s="11">
        <v>5</v>
      </c>
      <c r="C81" s="11">
        <v>8</v>
      </c>
      <c r="D81" s="13"/>
      <c r="E81" s="13"/>
      <c r="F81" s="13" t="s">
        <v>178</v>
      </c>
      <c r="G81" s="13"/>
      <c r="H81" s="14"/>
      <c r="I81" s="14"/>
      <c r="J81" s="15"/>
      <c r="K81" s="15"/>
      <c r="L81" s="15"/>
      <c r="M81" s="15"/>
      <c r="N81" s="19"/>
      <c r="O81" s="20"/>
      <c r="P81" s="20"/>
      <c r="Q81" s="21"/>
      <c r="R81" s="20"/>
      <c r="S81" s="20"/>
      <c r="T81" s="20"/>
      <c r="U81" s="20"/>
      <c r="V81" s="20"/>
      <c r="W81" s="20"/>
      <c r="X81" s="20"/>
      <c r="Y81" s="20"/>
      <c r="Z81" s="20"/>
    </row>
    <row r="82" spans="1:26" ht="15.75" customHeight="1">
      <c r="A82" s="11" t="s">
        <v>139</v>
      </c>
      <c r="B82" s="11">
        <v>4</v>
      </c>
      <c r="C82" s="11">
        <v>5</v>
      </c>
      <c r="D82" s="13"/>
      <c r="E82" s="13"/>
      <c r="F82" s="13" t="s">
        <v>90</v>
      </c>
      <c r="G82" s="13"/>
      <c r="H82" s="14"/>
      <c r="I82" s="14"/>
      <c r="J82" s="15"/>
      <c r="K82" s="15"/>
      <c r="L82" s="15"/>
      <c r="M82" s="15"/>
      <c r="N82" s="19"/>
      <c r="O82" s="20"/>
      <c r="P82" s="20"/>
      <c r="Q82" s="21"/>
      <c r="R82" s="20"/>
      <c r="S82" s="20"/>
      <c r="T82" s="20"/>
      <c r="U82" s="20"/>
      <c r="V82" s="20"/>
      <c r="W82" s="20"/>
      <c r="X82" s="20"/>
      <c r="Y82" s="20"/>
      <c r="Z82" s="20"/>
    </row>
    <row r="83" spans="1:26" ht="15.75" customHeight="1">
      <c r="A83" s="11" t="s">
        <v>140</v>
      </c>
      <c r="B83" s="11">
        <v>6</v>
      </c>
      <c r="C83" s="11">
        <v>7</v>
      </c>
      <c r="D83" s="13" t="s">
        <v>175</v>
      </c>
      <c r="E83" s="13" t="s">
        <v>175</v>
      </c>
      <c r="F83" s="13" t="s">
        <v>175</v>
      </c>
      <c r="G83" s="13"/>
      <c r="H83" s="14" t="s">
        <v>175</v>
      </c>
      <c r="I83" s="14"/>
      <c r="J83" s="15"/>
      <c r="K83" s="15"/>
      <c r="L83" s="15"/>
      <c r="M83" s="15"/>
      <c r="N83" s="19"/>
      <c r="O83" s="20"/>
      <c r="P83" s="20"/>
      <c r="Q83" s="21"/>
      <c r="R83" s="20"/>
      <c r="S83" s="20"/>
      <c r="T83" s="20"/>
      <c r="U83" s="20"/>
      <c r="V83" s="20"/>
      <c r="W83" s="20"/>
      <c r="X83" s="20"/>
      <c r="Y83" s="20"/>
      <c r="Z83" s="20"/>
    </row>
    <row r="84" spans="1:26" ht="15.75" customHeight="1">
      <c r="A84" s="11" t="s">
        <v>141</v>
      </c>
      <c r="B84" s="11">
        <v>7</v>
      </c>
      <c r="C84" s="11">
        <v>7</v>
      </c>
      <c r="D84" s="13">
        <v>7</v>
      </c>
      <c r="E84" s="13">
        <v>7</v>
      </c>
      <c r="F84" s="13"/>
      <c r="G84" s="13"/>
      <c r="H84" s="14"/>
      <c r="I84" s="14"/>
      <c r="J84" s="15"/>
      <c r="K84" s="15"/>
      <c r="L84" s="15">
        <v>7</v>
      </c>
      <c r="M84" s="15"/>
      <c r="N84" s="19"/>
      <c r="O84" s="20"/>
      <c r="P84" s="20"/>
      <c r="Q84" s="21"/>
      <c r="R84" s="20"/>
      <c r="S84" s="20"/>
      <c r="T84" s="20"/>
      <c r="U84" s="20"/>
      <c r="V84" s="20"/>
      <c r="W84" s="20"/>
      <c r="X84" s="20"/>
      <c r="Y84" s="20"/>
      <c r="Z84" s="20"/>
    </row>
    <row r="85" spans="1:26" ht="15.75" customHeight="1">
      <c r="A85" s="11" t="s">
        <v>49</v>
      </c>
      <c r="B85" s="11">
        <v>1</v>
      </c>
      <c r="C85" s="11">
        <v>4</v>
      </c>
      <c r="D85" s="13"/>
      <c r="E85" s="13"/>
      <c r="F85" s="13" t="s">
        <v>98</v>
      </c>
      <c r="G85" s="13"/>
      <c r="H85" s="14"/>
      <c r="I85" s="14"/>
      <c r="J85" s="15"/>
      <c r="K85" s="15"/>
      <c r="L85" s="15" t="s">
        <v>163</v>
      </c>
      <c r="M85" s="15"/>
      <c r="N85" s="19"/>
      <c r="O85" s="20"/>
      <c r="P85" s="20"/>
      <c r="Q85" s="21"/>
      <c r="R85" s="20"/>
      <c r="S85" s="20"/>
      <c r="T85" s="20"/>
      <c r="U85" s="20"/>
      <c r="V85" s="20"/>
      <c r="W85" s="20"/>
      <c r="X85" s="20"/>
      <c r="Y85" s="20"/>
      <c r="Z85" s="20"/>
    </row>
    <row r="86" spans="1:26" ht="15.75" customHeight="1">
      <c r="A86" s="11" t="s">
        <v>142</v>
      </c>
      <c r="B86" s="11">
        <v>3</v>
      </c>
      <c r="C86" s="11">
        <v>3</v>
      </c>
      <c r="D86" s="13"/>
      <c r="E86" s="13"/>
      <c r="F86" s="13"/>
      <c r="G86" s="13"/>
      <c r="H86" s="14"/>
      <c r="I86" s="14"/>
      <c r="J86" s="15"/>
      <c r="K86" s="15"/>
      <c r="L86" s="15"/>
      <c r="M86" s="15"/>
      <c r="N86" s="19"/>
      <c r="O86" s="20"/>
      <c r="P86" s="20"/>
      <c r="Q86" s="21"/>
      <c r="R86" s="20"/>
      <c r="S86" s="20"/>
      <c r="T86" s="20"/>
      <c r="U86" s="20"/>
      <c r="V86" s="20"/>
      <c r="W86" s="20"/>
      <c r="X86" s="20"/>
      <c r="Y86" s="20"/>
      <c r="Z86" s="20"/>
    </row>
    <row r="87" spans="1:26" ht="15.75" customHeight="1">
      <c r="A87" s="11" t="s">
        <v>51</v>
      </c>
      <c r="B87" s="11">
        <v>1</v>
      </c>
      <c r="C87" s="11">
        <v>4</v>
      </c>
      <c r="D87" s="13"/>
      <c r="E87" s="13"/>
      <c r="F87" s="13"/>
      <c r="G87" s="13"/>
      <c r="H87" s="14"/>
      <c r="I87" s="14"/>
      <c r="J87" s="15" t="s">
        <v>160</v>
      </c>
      <c r="K87" s="15"/>
      <c r="L87" s="15"/>
      <c r="M87" s="15"/>
      <c r="N87" s="19">
        <v>1</v>
      </c>
      <c r="O87" s="20"/>
      <c r="P87" s="20"/>
      <c r="Q87" s="21"/>
      <c r="R87" s="20"/>
      <c r="S87" s="20"/>
      <c r="T87" s="20"/>
      <c r="U87" s="20"/>
      <c r="V87" s="20"/>
      <c r="W87" s="20"/>
      <c r="X87" s="20"/>
      <c r="Y87" s="20"/>
      <c r="Z87" s="20"/>
    </row>
    <row r="88" spans="1:26" ht="15.75" customHeight="1">
      <c r="A88" s="11" t="s">
        <v>143</v>
      </c>
      <c r="B88" s="11">
        <v>6</v>
      </c>
      <c r="C88" s="11">
        <v>8</v>
      </c>
      <c r="D88" s="13" t="s">
        <v>173</v>
      </c>
      <c r="E88" s="13" t="s">
        <v>173</v>
      </c>
      <c r="F88" s="13"/>
      <c r="G88" s="13"/>
      <c r="H88" s="14"/>
      <c r="I88" s="14"/>
      <c r="J88" s="15"/>
      <c r="K88" s="15"/>
      <c r="L88" s="15"/>
      <c r="M88" s="15"/>
      <c r="N88" s="19"/>
      <c r="O88" s="20"/>
      <c r="P88" s="20"/>
      <c r="Q88" s="21"/>
      <c r="R88" s="20"/>
      <c r="S88" s="20"/>
      <c r="T88" s="20"/>
      <c r="U88" s="20"/>
      <c r="V88" s="20"/>
      <c r="W88" s="20"/>
      <c r="X88" s="20"/>
      <c r="Y88" s="20"/>
      <c r="Z88" s="20"/>
    </row>
    <row r="89" spans="1:26" ht="15.75" customHeight="1">
      <c r="A89" s="11" t="s">
        <v>64</v>
      </c>
      <c r="B89" s="24">
        <v>1</v>
      </c>
      <c r="C89" s="24">
        <v>6</v>
      </c>
      <c r="D89" s="13"/>
      <c r="E89" s="13" t="s">
        <v>90</v>
      </c>
      <c r="F89" s="13"/>
      <c r="G89" s="13"/>
      <c r="H89" s="14"/>
      <c r="I89" s="14"/>
      <c r="J89" s="15" t="s">
        <v>172</v>
      </c>
      <c r="K89" s="15" t="s">
        <v>169</v>
      </c>
      <c r="L89" s="15"/>
      <c r="M89" s="15"/>
      <c r="N89" s="19">
        <v>1</v>
      </c>
      <c r="O89" s="20"/>
      <c r="P89" s="20"/>
      <c r="Q89" s="21"/>
      <c r="R89" s="20"/>
      <c r="S89" s="20"/>
      <c r="T89" s="20"/>
      <c r="U89" s="20"/>
      <c r="V89" s="20"/>
      <c r="W89" s="20"/>
      <c r="X89" s="20"/>
      <c r="Y89" s="20"/>
      <c r="Z89" s="20"/>
    </row>
    <row r="90" spans="1:26" ht="15.75" customHeight="1">
      <c r="A90" s="11" t="s">
        <v>66</v>
      </c>
      <c r="B90" s="11">
        <v>1</v>
      </c>
      <c r="C90" s="11">
        <v>4</v>
      </c>
      <c r="D90" s="13"/>
      <c r="E90" s="13"/>
      <c r="F90" s="13"/>
      <c r="G90" s="13"/>
      <c r="H90" s="14"/>
      <c r="I90" s="14"/>
      <c r="J90" s="15" t="s">
        <v>160</v>
      </c>
      <c r="K90" s="15"/>
      <c r="L90" s="15"/>
      <c r="M90" s="15"/>
      <c r="N90" s="19">
        <v>1</v>
      </c>
      <c r="O90" s="20"/>
      <c r="P90" s="20"/>
      <c r="Q90" s="21"/>
      <c r="R90" s="20"/>
      <c r="S90" s="20"/>
      <c r="T90" s="20"/>
      <c r="U90" s="20"/>
      <c r="V90" s="20"/>
      <c r="W90" s="20"/>
      <c r="X90" s="20"/>
      <c r="Y90" s="20"/>
      <c r="Z90" s="20"/>
    </row>
    <row r="91" spans="1:26" ht="15.75" customHeight="1">
      <c r="A91" s="11" t="s">
        <v>144</v>
      </c>
      <c r="B91" s="11">
        <v>3</v>
      </c>
      <c r="C91" s="11">
        <v>8</v>
      </c>
      <c r="D91" s="13" t="s">
        <v>90</v>
      </c>
      <c r="E91" s="13"/>
      <c r="F91" s="13"/>
      <c r="G91" s="13"/>
      <c r="H91" s="14" t="s">
        <v>173</v>
      </c>
      <c r="I91" s="14"/>
      <c r="J91" s="15"/>
      <c r="K91" s="15">
        <v>3</v>
      </c>
      <c r="L91" s="15"/>
      <c r="M91" s="15"/>
      <c r="N91" s="19"/>
      <c r="O91" s="20"/>
      <c r="P91" s="20"/>
      <c r="Q91" s="21"/>
      <c r="R91" s="20"/>
      <c r="S91" s="20"/>
      <c r="T91" s="20"/>
      <c r="U91" s="20"/>
      <c r="V91" s="20"/>
      <c r="W91" s="20"/>
      <c r="X91" s="20"/>
      <c r="Y91" s="20"/>
      <c r="Z91" s="20"/>
    </row>
    <row r="92" spans="1:26" ht="15.75" customHeight="1">
      <c r="A92" s="11" t="s">
        <v>67</v>
      </c>
      <c r="B92" s="11">
        <v>2</v>
      </c>
      <c r="C92" s="11">
        <v>5</v>
      </c>
      <c r="D92" s="13"/>
      <c r="E92" s="13"/>
      <c r="F92" s="13"/>
      <c r="G92" s="13"/>
      <c r="H92" s="14"/>
      <c r="I92" s="14"/>
      <c r="J92" s="15" t="s">
        <v>172</v>
      </c>
      <c r="K92" s="15"/>
      <c r="L92" s="15"/>
      <c r="M92" s="15"/>
      <c r="N92" s="19"/>
      <c r="O92" s="20"/>
      <c r="P92" s="20"/>
      <c r="Q92" s="21"/>
      <c r="R92" s="20"/>
      <c r="S92" s="20"/>
      <c r="T92" s="20"/>
      <c r="U92" s="20"/>
      <c r="V92" s="20"/>
      <c r="W92" s="20"/>
      <c r="X92" s="20"/>
      <c r="Y92" s="20"/>
      <c r="Z92" s="20"/>
    </row>
    <row r="93" spans="1:26" ht="15.75" customHeight="1">
      <c r="A93" s="11" t="s">
        <v>146</v>
      </c>
      <c r="B93" s="11">
        <v>5</v>
      </c>
      <c r="C93" s="11">
        <v>5</v>
      </c>
      <c r="D93" s="13">
        <v>5</v>
      </c>
      <c r="E93" s="13">
        <v>5</v>
      </c>
      <c r="F93" s="13"/>
      <c r="G93" s="13"/>
      <c r="H93" s="14">
        <v>5</v>
      </c>
      <c r="I93" s="14"/>
      <c r="J93" s="15"/>
      <c r="K93" s="15"/>
      <c r="L93" s="15"/>
      <c r="M93" s="15"/>
      <c r="N93" s="19"/>
      <c r="O93" s="20"/>
      <c r="P93" s="20"/>
      <c r="Q93" s="21"/>
      <c r="R93" s="20"/>
      <c r="S93" s="20"/>
      <c r="T93" s="20"/>
      <c r="U93" s="20"/>
      <c r="V93" s="20"/>
      <c r="W93" s="20"/>
      <c r="X93" s="20"/>
      <c r="Y93" s="20"/>
      <c r="Z93" s="20"/>
    </row>
    <row r="94" spans="1:26" ht="15.75" customHeight="1">
      <c r="A94" s="11" t="s">
        <v>147</v>
      </c>
      <c r="B94" s="11">
        <v>4</v>
      </c>
      <c r="C94" s="11">
        <v>6</v>
      </c>
      <c r="D94" s="13" t="s">
        <v>161</v>
      </c>
      <c r="E94" s="13"/>
      <c r="F94" s="13"/>
      <c r="G94" s="13"/>
      <c r="H94" s="14"/>
      <c r="I94" s="14"/>
      <c r="J94" s="15"/>
      <c r="K94" s="15"/>
      <c r="L94" s="15"/>
      <c r="M94" s="15"/>
      <c r="N94" s="19"/>
      <c r="O94" s="20"/>
      <c r="P94" s="20"/>
      <c r="Q94" s="21"/>
      <c r="R94" s="20"/>
      <c r="S94" s="20"/>
      <c r="T94" s="20"/>
      <c r="U94" s="20"/>
      <c r="V94" s="20"/>
      <c r="W94" s="20"/>
      <c r="X94" s="20"/>
      <c r="Y94" s="20"/>
      <c r="Z94" s="20"/>
    </row>
    <row r="95" spans="1:26" ht="15.75" customHeight="1">
      <c r="A95" s="11" t="s">
        <v>148</v>
      </c>
      <c r="B95" s="11">
        <v>4</v>
      </c>
      <c r="C95" s="11">
        <v>4</v>
      </c>
      <c r="D95" s="13">
        <v>4</v>
      </c>
      <c r="E95" s="13"/>
      <c r="F95" s="13"/>
      <c r="G95" s="13"/>
      <c r="H95" s="14"/>
      <c r="I95" s="14"/>
      <c r="J95" s="15"/>
      <c r="K95" s="15"/>
      <c r="L95" s="15"/>
      <c r="M95" s="15"/>
      <c r="N95" s="19"/>
      <c r="O95" s="20"/>
      <c r="P95" s="20"/>
      <c r="Q95" s="21"/>
      <c r="R95" s="20"/>
      <c r="S95" s="20"/>
      <c r="T95" s="20"/>
      <c r="U95" s="20"/>
      <c r="V95" s="20"/>
      <c r="W95" s="20"/>
      <c r="X95" s="20"/>
      <c r="Y95" s="20"/>
      <c r="Z95" s="20"/>
    </row>
    <row r="96" spans="1:26" ht="15.75" customHeight="1">
      <c r="A96" s="11" t="s">
        <v>149</v>
      </c>
      <c r="B96" s="11">
        <v>6</v>
      </c>
      <c r="C96" s="11">
        <v>6</v>
      </c>
      <c r="D96" s="13">
        <v>6</v>
      </c>
      <c r="E96" s="13">
        <v>6</v>
      </c>
      <c r="F96" s="13"/>
      <c r="G96" s="13"/>
      <c r="H96" s="14">
        <v>6</v>
      </c>
      <c r="I96" s="14"/>
      <c r="J96" s="15"/>
      <c r="K96" s="15"/>
      <c r="L96" s="15"/>
      <c r="M96" s="15"/>
      <c r="N96" s="19"/>
      <c r="O96" s="20"/>
      <c r="P96" s="20"/>
      <c r="Q96" s="21"/>
      <c r="R96" s="20"/>
      <c r="S96" s="20"/>
      <c r="T96" s="20"/>
      <c r="U96" s="20"/>
      <c r="V96" s="20"/>
      <c r="W96" s="20"/>
      <c r="X96" s="20"/>
      <c r="Y96" s="20"/>
      <c r="Z96" s="20"/>
    </row>
    <row r="97" spans="1:26" ht="15.75" customHeight="1">
      <c r="A97" s="11" t="s">
        <v>150</v>
      </c>
      <c r="B97" s="11">
        <v>1</v>
      </c>
      <c r="C97" s="11">
        <v>1</v>
      </c>
      <c r="D97" s="13"/>
      <c r="E97" s="13"/>
      <c r="F97" s="13"/>
      <c r="G97" s="13"/>
      <c r="H97" s="14"/>
      <c r="I97" s="14"/>
      <c r="J97" s="15"/>
      <c r="K97" s="15"/>
      <c r="L97" s="15"/>
      <c r="M97" s="15"/>
      <c r="N97" s="19">
        <v>1</v>
      </c>
      <c r="O97" s="20"/>
      <c r="P97" s="20"/>
      <c r="Q97" s="21"/>
      <c r="R97" s="20"/>
      <c r="S97" s="20"/>
      <c r="T97" s="20"/>
      <c r="U97" s="20"/>
      <c r="V97" s="20"/>
      <c r="W97" s="20"/>
      <c r="X97" s="20"/>
      <c r="Y97" s="20"/>
      <c r="Z97" s="20"/>
    </row>
    <row r="98" spans="1:26" ht="15.75" customHeight="1">
      <c r="A98" s="11" t="s">
        <v>152</v>
      </c>
      <c r="B98" s="11">
        <v>6</v>
      </c>
      <c r="C98" s="11">
        <v>8</v>
      </c>
      <c r="D98" s="13" t="s">
        <v>173</v>
      </c>
      <c r="E98" s="13" t="s">
        <v>173</v>
      </c>
      <c r="F98" s="13"/>
      <c r="G98" s="13"/>
      <c r="H98" s="14"/>
      <c r="I98" s="14"/>
      <c r="J98" s="15"/>
      <c r="K98" s="15"/>
      <c r="L98" s="15"/>
      <c r="M98" s="15"/>
      <c r="N98" s="19"/>
      <c r="O98" s="20"/>
      <c r="P98" s="20"/>
      <c r="Q98" s="21"/>
      <c r="R98" s="20"/>
      <c r="S98" s="20"/>
      <c r="T98" s="20"/>
      <c r="U98" s="20"/>
      <c r="V98" s="20"/>
      <c r="W98" s="20"/>
      <c r="X98" s="20"/>
      <c r="Y98" s="20"/>
      <c r="Z98" s="20"/>
    </row>
    <row r="99" spans="1:26" ht="15.75" customHeight="1">
      <c r="A99" s="11" t="s">
        <v>153</v>
      </c>
      <c r="B99" s="11">
        <v>6</v>
      </c>
      <c r="C99" s="11">
        <v>6</v>
      </c>
      <c r="D99" s="13">
        <v>6</v>
      </c>
      <c r="E99" s="13"/>
      <c r="F99" s="13"/>
      <c r="G99" s="13"/>
      <c r="H99" s="14"/>
      <c r="I99" s="14"/>
      <c r="J99" s="15"/>
      <c r="K99" s="15"/>
      <c r="L99" s="15"/>
      <c r="M99" s="15"/>
      <c r="N99" s="19"/>
      <c r="O99" s="20"/>
      <c r="P99" s="20"/>
      <c r="Q99" s="21"/>
      <c r="R99" s="20"/>
      <c r="S99" s="20"/>
      <c r="T99" s="20"/>
      <c r="U99" s="20"/>
      <c r="V99" s="20"/>
      <c r="W99" s="20"/>
      <c r="X99" s="20"/>
      <c r="Y99" s="20"/>
      <c r="Z99" s="20"/>
    </row>
    <row r="100" spans="1:26" ht="15.75" customHeight="1">
      <c r="A100" s="11" t="s">
        <v>69</v>
      </c>
      <c r="B100" s="11">
        <v>1</v>
      </c>
      <c r="C100" s="11">
        <v>5</v>
      </c>
      <c r="D100" s="13" t="s">
        <v>90</v>
      </c>
      <c r="E100" s="13"/>
      <c r="F100" s="13"/>
      <c r="G100" s="13"/>
      <c r="H100" s="14"/>
      <c r="I100" s="14"/>
      <c r="J100" s="15" t="s">
        <v>121</v>
      </c>
      <c r="K100" s="15" t="s">
        <v>172</v>
      </c>
      <c r="L100" s="15"/>
      <c r="M100" s="15"/>
      <c r="N100" s="19">
        <v>1</v>
      </c>
      <c r="O100" s="20"/>
      <c r="P100" s="20"/>
      <c r="Q100" s="21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ht="15.75" customHeight="1">
      <c r="A101" s="11" t="s">
        <v>154</v>
      </c>
      <c r="B101" s="11">
        <v>6</v>
      </c>
      <c r="C101" s="11">
        <v>6</v>
      </c>
      <c r="D101" s="13"/>
      <c r="E101" s="13">
        <v>6</v>
      </c>
      <c r="F101" s="13"/>
      <c r="G101" s="13"/>
      <c r="H101" s="14"/>
      <c r="I101" s="14"/>
      <c r="J101" s="15">
        <v>6</v>
      </c>
      <c r="K101" s="15"/>
      <c r="L101" s="15"/>
      <c r="M101" s="15"/>
      <c r="N101" s="19"/>
      <c r="O101" s="20"/>
      <c r="P101" s="20"/>
      <c r="Q101" s="21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ht="15.75" customHeight="1">
      <c r="A102" s="24" t="s">
        <v>155</v>
      </c>
      <c r="B102" s="11">
        <v>5</v>
      </c>
      <c r="C102" s="11">
        <v>5</v>
      </c>
      <c r="D102" s="13">
        <v>5</v>
      </c>
      <c r="E102" s="13"/>
      <c r="F102" s="13"/>
      <c r="G102" s="13"/>
      <c r="H102" s="14"/>
      <c r="I102" s="14"/>
      <c r="J102" s="15"/>
      <c r="K102" s="15">
        <v>5</v>
      </c>
      <c r="L102" s="15"/>
      <c r="M102" s="15"/>
      <c r="N102" s="19"/>
      <c r="O102" s="20"/>
      <c r="P102" s="20"/>
      <c r="Q102" s="21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ht="15.75" customHeight="1">
      <c r="A103" s="11" t="s">
        <v>158</v>
      </c>
      <c r="B103" s="11">
        <v>6</v>
      </c>
      <c r="C103" s="11">
        <v>7</v>
      </c>
      <c r="D103" s="13" t="s">
        <v>175</v>
      </c>
      <c r="E103" s="13" t="s">
        <v>175</v>
      </c>
      <c r="F103" s="13"/>
      <c r="G103" s="13"/>
      <c r="H103" s="14"/>
      <c r="I103" s="14"/>
      <c r="J103" s="15"/>
      <c r="K103" s="15"/>
      <c r="L103" s="15"/>
      <c r="M103" s="15"/>
      <c r="N103" s="19"/>
      <c r="O103" s="20"/>
      <c r="P103" s="20"/>
      <c r="Q103" s="21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ht="15.75" customHeight="1">
      <c r="A104" s="20"/>
      <c r="B104" s="20"/>
      <c r="C104" s="20"/>
      <c r="D104" s="38"/>
      <c r="E104" s="38"/>
      <c r="F104" s="38"/>
      <c r="G104" s="38"/>
      <c r="H104" s="39"/>
      <c r="I104" s="39"/>
      <c r="J104" s="40"/>
      <c r="K104" s="40"/>
      <c r="L104" s="40"/>
      <c r="M104" s="40"/>
      <c r="N104" s="41"/>
      <c r="O104" s="20"/>
      <c r="P104" s="20"/>
      <c r="Q104" s="21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ht="15.75" customHeight="1">
      <c r="A105" s="20"/>
      <c r="B105" s="20"/>
      <c r="C105" s="20"/>
      <c r="D105" s="38"/>
      <c r="E105" s="38"/>
      <c r="F105" s="38"/>
      <c r="G105" s="38"/>
      <c r="H105" s="39"/>
      <c r="I105" s="39"/>
      <c r="J105" s="40"/>
      <c r="K105" s="40"/>
      <c r="L105" s="40"/>
      <c r="M105" s="40"/>
      <c r="N105" s="41"/>
      <c r="O105" s="20"/>
      <c r="P105" s="20"/>
      <c r="Q105" s="21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ht="15.75" customHeight="1">
      <c r="A106" s="20"/>
      <c r="B106" s="20"/>
      <c r="C106" s="20"/>
      <c r="D106" s="38"/>
      <c r="E106" s="38"/>
      <c r="F106" s="38"/>
      <c r="G106" s="38"/>
      <c r="H106" s="39"/>
      <c r="I106" s="39"/>
      <c r="J106" s="40"/>
      <c r="K106" s="40"/>
      <c r="L106" s="40"/>
      <c r="M106" s="40"/>
      <c r="N106" s="41"/>
      <c r="O106" s="20"/>
      <c r="P106" s="20"/>
      <c r="Q106" s="21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ht="15.75" customHeight="1">
      <c r="A107" s="20"/>
      <c r="B107" s="20"/>
      <c r="C107" s="20"/>
      <c r="D107" s="38"/>
      <c r="E107" s="38"/>
      <c r="F107" s="38"/>
      <c r="G107" s="38"/>
      <c r="H107" s="39"/>
      <c r="I107" s="39"/>
      <c r="J107" s="40"/>
      <c r="K107" s="40"/>
      <c r="L107" s="40"/>
      <c r="M107" s="40"/>
      <c r="N107" s="41"/>
      <c r="O107" s="20"/>
      <c r="P107" s="20"/>
      <c r="Q107" s="21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ht="15.75" customHeight="1">
      <c r="A108" s="20"/>
      <c r="B108" s="20"/>
      <c r="C108" s="20"/>
      <c r="D108" s="38"/>
      <c r="E108" s="38"/>
      <c r="F108" s="38"/>
      <c r="G108" s="38"/>
      <c r="H108" s="39"/>
      <c r="I108" s="39"/>
      <c r="J108" s="40"/>
      <c r="K108" s="40"/>
      <c r="L108" s="40"/>
      <c r="M108" s="40"/>
      <c r="N108" s="41"/>
      <c r="O108" s="20"/>
      <c r="P108" s="20"/>
      <c r="Q108" s="21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ht="15.75" customHeight="1">
      <c r="A109" s="20"/>
      <c r="B109" s="20"/>
      <c r="C109" s="20"/>
      <c r="D109" s="38"/>
      <c r="E109" s="38"/>
      <c r="F109" s="38"/>
      <c r="G109" s="38"/>
      <c r="H109" s="39"/>
      <c r="I109" s="39"/>
      <c r="J109" s="40"/>
      <c r="K109" s="40"/>
      <c r="L109" s="40"/>
      <c r="M109" s="40"/>
      <c r="N109" s="41"/>
      <c r="O109" s="20"/>
      <c r="P109" s="20"/>
      <c r="Q109" s="21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ht="15.75" customHeight="1">
      <c r="A110" s="20"/>
      <c r="B110" s="20"/>
      <c r="C110" s="20"/>
      <c r="D110" s="38"/>
      <c r="E110" s="38"/>
      <c r="F110" s="38"/>
      <c r="G110" s="38"/>
      <c r="H110" s="39"/>
      <c r="I110" s="39"/>
      <c r="J110" s="40"/>
      <c r="K110" s="40"/>
      <c r="L110" s="40"/>
      <c r="M110" s="40"/>
      <c r="N110" s="41"/>
      <c r="O110" s="20"/>
      <c r="P110" s="20"/>
      <c r="Q110" s="21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ht="15.75" customHeight="1">
      <c r="A111" s="20"/>
      <c r="B111" s="20"/>
      <c r="C111" s="20"/>
      <c r="D111" s="38"/>
      <c r="E111" s="38"/>
      <c r="F111" s="38"/>
      <c r="G111" s="38"/>
      <c r="H111" s="39"/>
      <c r="I111" s="39"/>
      <c r="J111" s="40"/>
      <c r="K111" s="40"/>
      <c r="L111" s="40"/>
      <c r="M111" s="40"/>
      <c r="N111" s="41"/>
      <c r="O111" s="20"/>
      <c r="P111" s="20"/>
      <c r="Q111" s="21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ht="15.75" customHeight="1">
      <c r="A112" s="20"/>
      <c r="B112" s="20"/>
      <c r="C112" s="20"/>
      <c r="D112" s="38"/>
      <c r="E112" s="38"/>
      <c r="F112" s="38"/>
      <c r="G112" s="38"/>
      <c r="H112" s="39"/>
      <c r="I112" s="39"/>
      <c r="J112" s="40"/>
      <c r="K112" s="40"/>
      <c r="L112" s="40"/>
      <c r="M112" s="40"/>
      <c r="N112" s="41"/>
      <c r="O112" s="20"/>
      <c r="P112" s="20"/>
      <c r="Q112" s="21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ht="15.75" customHeight="1">
      <c r="A113" s="20"/>
      <c r="B113" s="20"/>
      <c r="C113" s="20"/>
      <c r="D113" s="38"/>
      <c r="E113" s="38"/>
      <c r="F113" s="38"/>
      <c r="G113" s="38"/>
      <c r="H113" s="39"/>
      <c r="I113" s="39"/>
      <c r="J113" s="40"/>
      <c r="K113" s="40"/>
      <c r="L113" s="40"/>
      <c r="M113" s="40"/>
      <c r="N113" s="41"/>
      <c r="O113" s="20"/>
      <c r="P113" s="20"/>
      <c r="Q113" s="21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ht="15.75" customHeight="1">
      <c r="A114" s="20"/>
      <c r="B114" s="20"/>
      <c r="C114" s="20"/>
      <c r="D114" s="38"/>
      <c r="E114" s="38"/>
      <c r="F114" s="38"/>
      <c r="G114" s="38"/>
      <c r="H114" s="39"/>
      <c r="I114" s="39"/>
      <c r="J114" s="40"/>
      <c r="K114" s="40"/>
      <c r="L114" s="40"/>
      <c r="M114" s="40"/>
      <c r="N114" s="41"/>
      <c r="O114" s="20"/>
      <c r="P114" s="20"/>
      <c r="Q114" s="21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ht="15.75" customHeight="1">
      <c r="A115" s="20"/>
      <c r="B115" s="20"/>
      <c r="C115" s="20"/>
      <c r="D115" s="38"/>
      <c r="E115" s="38"/>
      <c r="F115" s="38"/>
      <c r="G115" s="38"/>
      <c r="H115" s="39"/>
      <c r="I115" s="39"/>
      <c r="J115" s="40"/>
      <c r="K115" s="40"/>
      <c r="L115" s="40"/>
      <c r="M115" s="40"/>
      <c r="N115" s="41"/>
      <c r="O115" s="20"/>
      <c r="P115" s="20"/>
      <c r="Q115" s="21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ht="15.75" customHeight="1">
      <c r="A116" s="20"/>
      <c r="B116" s="20"/>
      <c r="C116" s="20"/>
      <c r="D116" s="38"/>
      <c r="E116" s="38"/>
      <c r="F116" s="38"/>
      <c r="G116" s="38"/>
      <c r="H116" s="39"/>
      <c r="I116" s="39"/>
      <c r="J116" s="40"/>
      <c r="K116" s="40"/>
      <c r="L116" s="40"/>
      <c r="M116" s="40"/>
      <c r="N116" s="41"/>
      <c r="O116" s="20"/>
      <c r="P116" s="20"/>
      <c r="Q116" s="21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ht="15.75" customHeight="1">
      <c r="A117" s="20"/>
      <c r="B117" s="20"/>
      <c r="C117" s="20"/>
      <c r="D117" s="38"/>
      <c r="E117" s="38"/>
      <c r="F117" s="38"/>
      <c r="G117" s="38"/>
      <c r="H117" s="39"/>
      <c r="I117" s="39"/>
      <c r="J117" s="40"/>
      <c r="K117" s="40"/>
      <c r="L117" s="40"/>
      <c r="M117" s="40"/>
      <c r="N117" s="41"/>
      <c r="O117" s="20"/>
      <c r="P117" s="20"/>
      <c r="Q117" s="21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ht="15.75" customHeight="1">
      <c r="A118" s="20"/>
      <c r="B118" s="20"/>
      <c r="C118" s="20"/>
      <c r="D118" s="38"/>
      <c r="E118" s="38"/>
      <c r="F118" s="38"/>
      <c r="G118" s="38"/>
      <c r="H118" s="39"/>
      <c r="I118" s="39"/>
      <c r="J118" s="40"/>
      <c r="K118" s="40"/>
      <c r="L118" s="40"/>
      <c r="M118" s="40"/>
      <c r="N118" s="41"/>
      <c r="O118" s="20"/>
      <c r="P118" s="20"/>
      <c r="Q118" s="21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ht="15.75" customHeight="1">
      <c r="A119" s="20"/>
      <c r="B119" s="20"/>
      <c r="C119" s="20"/>
      <c r="D119" s="38"/>
      <c r="E119" s="38"/>
      <c r="F119" s="38"/>
      <c r="G119" s="38"/>
      <c r="H119" s="39"/>
      <c r="I119" s="39"/>
      <c r="J119" s="40"/>
      <c r="K119" s="40"/>
      <c r="L119" s="40"/>
      <c r="M119" s="40"/>
      <c r="N119" s="41"/>
      <c r="O119" s="20"/>
      <c r="P119" s="20"/>
      <c r="Q119" s="21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ht="15.75" customHeight="1">
      <c r="A120" s="20"/>
      <c r="B120" s="20"/>
      <c r="C120" s="20"/>
      <c r="D120" s="38"/>
      <c r="E120" s="38"/>
      <c r="F120" s="38"/>
      <c r="G120" s="38"/>
      <c r="H120" s="39"/>
      <c r="I120" s="39"/>
      <c r="J120" s="40"/>
      <c r="K120" s="40"/>
      <c r="L120" s="40"/>
      <c r="M120" s="40"/>
      <c r="N120" s="41"/>
      <c r="O120" s="20"/>
      <c r="P120" s="20"/>
      <c r="Q120" s="21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ht="15.75" customHeight="1">
      <c r="A121" s="20"/>
      <c r="B121" s="20"/>
      <c r="C121" s="20"/>
      <c r="D121" s="38"/>
      <c r="E121" s="38"/>
      <c r="F121" s="38"/>
      <c r="G121" s="38"/>
      <c r="H121" s="39"/>
      <c r="I121" s="39"/>
      <c r="J121" s="40"/>
      <c r="K121" s="40"/>
      <c r="L121" s="40"/>
      <c r="M121" s="40"/>
      <c r="N121" s="41"/>
      <c r="O121" s="20"/>
      <c r="P121" s="20"/>
      <c r="Q121" s="21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ht="15.75" customHeight="1">
      <c r="A122" s="20"/>
      <c r="B122" s="20"/>
      <c r="C122" s="20"/>
      <c r="D122" s="38"/>
      <c r="E122" s="38"/>
      <c r="F122" s="38"/>
      <c r="G122" s="38"/>
      <c r="H122" s="39"/>
      <c r="I122" s="39"/>
      <c r="J122" s="40"/>
      <c r="K122" s="40"/>
      <c r="L122" s="40"/>
      <c r="M122" s="40"/>
      <c r="N122" s="41"/>
      <c r="O122" s="20"/>
      <c r="P122" s="20"/>
      <c r="Q122" s="21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ht="15.75" customHeight="1">
      <c r="A123" s="20"/>
      <c r="B123" s="20"/>
      <c r="C123" s="20"/>
      <c r="D123" s="38"/>
      <c r="E123" s="38"/>
      <c r="F123" s="38"/>
      <c r="G123" s="38"/>
      <c r="H123" s="39"/>
      <c r="I123" s="39"/>
      <c r="J123" s="40"/>
      <c r="K123" s="40"/>
      <c r="L123" s="40"/>
      <c r="M123" s="40"/>
      <c r="N123" s="41"/>
      <c r="O123" s="20"/>
      <c r="P123" s="20"/>
      <c r="Q123" s="21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ht="15.75" customHeight="1">
      <c r="A124" s="20"/>
      <c r="B124" s="20"/>
      <c r="C124" s="20"/>
      <c r="D124" s="38"/>
      <c r="E124" s="38"/>
      <c r="F124" s="38"/>
      <c r="G124" s="38"/>
      <c r="H124" s="39"/>
      <c r="I124" s="39"/>
      <c r="J124" s="40"/>
      <c r="K124" s="40"/>
      <c r="L124" s="40"/>
      <c r="M124" s="40"/>
      <c r="N124" s="41"/>
      <c r="O124" s="20"/>
      <c r="P124" s="20"/>
      <c r="Q124" s="21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ht="15.75" customHeight="1">
      <c r="A125" s="20"/>
      <c r="B125" s="20"/>
      <c r="C125" s="20"/>
      <c r="D125" s="38"/>
      <c r="E125" s="38"/>
      <c r="F125" s="38"/>
      <c r="G125" s="38"/>
      <c r="H125" s="39"/>
      <c r="I125" s="39"/>
      <c r="J125" s="40"/>
      <c r="K125" s="40"/>
      <c r="L125" s="40"/>
      <c r="M125" s="40"/>
      <c r="N125" s="41"/>
      <c r="O125" s="20"/>
      <c r="P125" s="20"/>
      <c r="Q125" s="21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ht="15.75" customHeight="1">
      <c r="A126" s="20"/>
      <c r="B126" s="20"/>
      <c r="C126" s="20"/>
      <c r="D126" s="38"/>
      <c r="E126" s="38"/>
      <c r="F126" s="38"/>
      <c r="G126" s="38"/>
      <c r="H126" s="39"/>
      <c r="I126" s="39"/>
      <c r="J126" s="40"/>
      <c r="K126" s="40"/>
      <c r="L126" s="40"/>
      <c r="M126" s="40"/>
      <c r="N126" s="41"/>
      <c r="O126" s="20"/>
      <c r="P126" s="20"/>
      <c r="Q126" s="21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ht="15.75" customHeight="1">
      <c r="A127" s="20"/>
      <c r="B127" s="20"/>
      <c r="C127" s="20"/>
      <c r="D127" s="38"/>
      <c r="E127" s="38"/>
      <c r="F127" s="38"/>
      <c r="G127" s="38"/>
      <c r="H127" s="39"/>
      <c r="I127" s="39"/>
      <c r="J127" s="40"/>
      <c r="K127" s="40"/>
      <c r="L127" s="40"/>
      <c r="M127" s="40"/>
      <c r="N127" s="41"/>
      <c r="O127" s="20"/>
      <c r="P127" s="20"/>
      <c r="Q127" s="21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ht="15.75" customHeight="1">
      <c r="A128" s="20"/>
      <c r="B128" s="20"/>
      <c r="C128" s="20"/>
      <c r="D128" s="38"/>
      <c r="E128" s="38"/>
      <c r="F128" s="38"/>
      <c r="G128" s="38"/>
      <c r="H128" s="39"/>
      <c r="I128" s="39"/>
      <c r="J128" s="40"/>
      <c r="K128" s="40"/>
      <c r="L128" s="40"/>
      <c r="M128" s="40"/>
      <c r="N128" s="41"/>
      <c r="O128" s="20"/>
      <c r="P128" s="20"/>
      <c r="Q128" s="21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ht="15.75" customHeight="1">
      <c r="A129" s="20"/>
      <c r="B129" s="20"/>
      <c r="C129" s="20"/>
      <c r="D129" s="38"/>
      <c r="E129" s="38"/>
      <c r="F129" s="38"/>
      <c r="G129" s="38"/>
      <c r="H129" s="39"/>
      <c r="I129" s="39"/>
      <c r="J129" s="40"/>
      <c r="K129" s="40"/>
      <c r="L129" s="40"/>
      <c r="M129" s="40"/>
      <c r="N129" s="41"/>
      <c r="O129" s="20"/>
      <c r="P129" s="20"/>
      <c r="Q129" s="21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ht="15.75" customHeight="1">
      <c r="A130" s="20"/>
      <c r="B130" s="20"/>
      <c r="C130" s="20"/>
      <c r="D130" s="38"/>
      <c r="E130" s="38"/>
      <c r="F130" s="38"/>
      <c r="G130" s="38"/>
      <c r="H130" s="39"/>
      <c r="I130" s="39"/>
      <c r="J130" s="40"/>
      <c r="K130" s="40"/>
      <c r="L130" s="40"/>
      <c r="M130" s="40"/>
      <c r="N130" s="41"/>
      <c r="O130" s="20"/>
      <c r="P130" s="20"/>
      <c r="Q130" s="21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ht="15.75" customHeight="1">
      <c r="A131" s="20"/>
      <c r="B131" s="20"/>
      <c r="C131" s="20"/>
      <c r="D131" s="38"/>
      <c r="E131" s="38"/>
      <c r="F131" s="38"/>
      <c r="G131" s="38"/>
      <c r="H131" s="39"/>
      <c r="I131" s="39"/>
      <c r="J131" s="40"/>
      <c r="K131" s="40"/>
      <c r="L131" s="40"/>
      <c r="M131" s="40"/>
      <c r="N131" s="41"/>
      <c r="O131" s="20"/>
      <c r="P131" s="20"/>
      <c r="Q131" s="21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15.75" customHeight="1">
      <c r="A132" s="20"/>
      <c r="B132" s="20"/>
      <c r="C132" s="20"/>
      <c r="D132" s="38"/>
      <c r="E132" s="38"/>
      <c r="F132" s="38"/>
      <c r="G132" s="38"/>
      <c r="H132" s="39"/>
      <c r="I132" s="39"/>
      <c r="J132" s="40"/>
      <c r="K132" s="40"/>
      <c r="L132" s="40"/>
      <c r="M132" s="40"/>
      <c r="N132" s="41"/>
      <c r="O132" s="20"/>
      <c r="P132" s="20"/>
      <c r="Q132" s="21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ht="15.75" customHeight="1">
      <c r="A133" s="20"/>
      <c r="B133" s="20"/>
      <c r="C133" s="20"/>
      <c r="D133" s="38"/>
      <c r="E133" s="38"/>
      <c r="F133" s="38"/>
      <c r="G133" s="38"/>
      <c r="H133" s="39"/>
      <c r="I133" s="39"/>
      <c r="J133" s="40"/>
      <c r="K133" s="40"/>
      <c r="L133" s="40"/>
      <c r="M133" s="40"/>
      <c r="N133" s="41"/>
      <c r="O133" s="20"/>
      <c r="P133" s="20"/>
      <c r="Q133" s="21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ht="15.75" customHeight="1">
      <c r="A134" s="20"/>
      <c r="B134" s="20"/>
      <c r="C134" s="20"/>
      <c r="D134" s="38"/>
      <c r="E134" s="38"/>
      <c r="F134" s="38"/>
      <c r="G134" s="38"/>
      <c r="H134" s="39"/>
      <c r="I134" s="39"/>
      <c r="J134" s="40"/>
      <c r="K134" s="40"/>
      <c r="L134" s="40"/>
      <c r="M134" s="40"/>
      <c r="N134" s="41"/>
      <c r="O134" s="20"/>
      <c r="P134" s="20"/>
      <c r="Q134" s="21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ht="15.75" customHeight="1">
      <c r="A135" s="20"/>
      <c r="B135" s="20"/>
      <c r="C135" s="20"/>
      <c r="D135" s="38"/>
      <c r="E135" s="38"/>
      <c r="F135" s="38"/>
      <c r="G135" s="38"/>
      <c r="H135" s="39"/>
      <c r="I135" s="39"/>
      <c r="J135" s="40"/>
      <c r="K135" s="40"/>
      <c r="L135" s="40"/>
      <c r="M135" s="40"/>
      <c r="N135" s="41"/>
      <c r="O135" s="20"/>
      <c r="P135" s="20"/>
      <c r="Q135" s="21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ht="15.75" customHeight="1">
      <c r="A136" s="20"/>
      <c r="B136" s="20"/>
      <c r="C136" s="20"/>
      <c r="D136" s="38"/>
      <c r="E136" s="38"/>
      <c r="F136" s="38"/>
      <c r="G136" s="38"/>
      <c r="H136" s="39"/>
      <c r="I136" s="39"/>
      <c r="J136" s="40"/>
      <c r="K136" s="40"/>
      <c r="L136" s="40"/>
      <c r="M136" s="40"/>
      <c r="N136" s="41"/>
      <c r="O136" s="20"/>
      <c r="P136" s="20"/>
      <c r="Q136" s="21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ht="15.75" customHeight="1">
      <c r="A137" s="20"/>
      <c r="B137" s="20"/>
      <c r="C137" s="20"/>
      <c r="D137" s="38"/>
      <c r="E137" s="38"/>
      <c r="F137" s="38"/>
      <c r="G137" s="38"/>
      <c r="H137" s="39"/>
      <c r="I137" s="39"/>
      <c r="J137" s="40"/>
      <c r="K137" s="40"/>
      <c r="L137" s="40"/>
      <c r="M137" s="40"/>
      <c r="N137" s="41"/>
      <c r="O137" s="20"/>
      <c r="P137" s="20"/>
      <c r="Q137" s="21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ht="15.75" customHeight="1">
      <c r="A138" s="20"/>
      <c r="B138" s="20"/>
      <c r="C138" s="20"/>
      <c r="D138" s="38"/>
      <c r="E138" s="38"/>
      <c r="F138" s="38"/>
      <c r="G138" s="38"/>
      <c r="H138" s="39"/>
      <c r="I138" s="39"/>
      <c r="J138" s="40"/>
      <c r="K138" s="40"/>
      <c r="L138" s="40"/>
      <c r="M138" s="40"/>
      <c r="N138" s="41"/>
      <c r="O138" s="20"/>
      <c r="P138" s="20"/>
      <c r="Q138" s="21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ht="15.75" customHeight="1">
      <c r="A139" s="20"/>
      <c r="B139" s="20"/>
      <c r="C139" s="20"/>
      <c r="D139" s="38"/>
      <c r="E139" s="38"/>
      <c r="F139" s="38"/>
      <c r="G139" s="38"/>
      <c r="H139" s="39"/>
      <c r="I139" s="39"/>
      <c r="J139" s="40"/>
      <c r="K139" s="40"/>
      <c r="L139" s="40"/>
      <c r="M139" s="40"/>
      <c r="N139" s="41"/>
      <c r="O139" s="20"/>
      <c r="P139" s="20"/>
      <c r="Q139" s="21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ht="15.75" customHeight="1">
      <c r="A140" s="20"/>
      <c r="B140" s="20"/>
      <c r="C140" s="20"/>
      <c r="D140" s="38"/>
      <c r="E140" s="38"/>
      <c r="F140" s="38"/>
      <c r="G140" s="38"/>
      <c r="H140" s="39"/>
      <c r="I140" s="39"/>
      <c r="J140" s="40"/>
      <c r="K140" s="40"/>
      <c r="L140" s="40"/>
      <c r="M140" s="40"/>
      <c r="N140" s="41"/>
      <c r="O140" s="20"/>
      <c r="P140" s="20"/>
      <c r="Q140" s="21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ht="15.75" customHeight="1">
      <c r="A141" s="20"/>
      <c r="B141" s="20"/>
      <c r="C141" s="20"/>
      <c r="D141" s="38"/>
      <c r="E141" s="38"/>
      <c r="F141" s="38"/>
      <c r="G141" s="38"/>
      <c r="H141" s="39"/>
      <c r="I141" s="39"/>
      <c r="J141" s="40"/>
      <c r="K141" s="40"/>
      <c r="L141" s="40"/>
      <c r="M141" s="40"/>
      <c r="N141" s="41"/>
      <c r="O141" s="20"/>
      <c r="P141" s="20"/>
      <c r="Q141" s="21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ht="15.75" customHeight="1">
      <c r="A142" s="20"/>
      <c r="B142" s="20"/>
      <c r="C142" s="20"/>
      <c r="D142" s="38"/>
      <c r="E142" s="38"/>
      <c r="F142" s="38"/>
      <c r="G142" s="38"/>
      <c r="H142" s="39"/>
      <c r="I142" s="39"/>
      <c r="J142" s="40"/>
      <c r="K142" s="40"/>
      <c r="L142" s="40"/>
      <c r="M142" s="40"/>
      <c r="N142" s="41"/>
      <c r="O142" s="20"/>
      <c r="P142" s="20"/>
      <c r="Q142" s="21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ht="15.75" customHeight="1">
      <c r="A143" s="20"/>
      <c r="B143" s="20"/>
      <c r="C143" s="20"/>
      <c r="D143" s="38"/>
      <c r="E143" s="38"/>
      <c r="F143" s="38"/>
      <c r="G143" s="38"/>
      <c r="H143" s="39"/>
      <c r="I143" s="39"/>
      <c r="J143" s="40"/>
      <c r="K143" s="40"/>
      <c r="L143" s="40"/>
      <c r="M143" s="40"/>
      <c r="N143" s="41"/>
      <c r="O143" s="20"/>
      <c r="P143" s="20"/>
      <c r="Q143" s="21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ht="15.75" customHeight="1">
      <c r="A144" s="20"/>
      <c r="B144" s="20"/>
      <c r="C144" s="20"/>
      <c r="D144" s="38"/>
      <c r="E144" s="38"/>
      <c r="F144" s="38"/>
      <c r="G144" s="38"/>
      <c r="H144" s="39"/>
      <c r="I144" s="39"/>
      <c r="J144" s="40"/>
      <c r="K144" s="40"/>
      <c r="L144" s="40"/>
      <c r="M144" s="40"/>
      <c r="N144" s="41"/>
      <c r="O144" s="20"/>
      <c r="P144" s="20"/>
      <c r="Q144" s="21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ht="15.75" customHeight="1">
      <c r="A145" s="20"/>
      <c r="B145" s="20"/>
      <c r="C145" s="20"/>
      <c r="D145" s="38"/>
      <c r="E145" s="38"/>
      <c r="F145" s="38"/>
      <c r="G145" s="38"/>
      <c r="H145" s="39"/>
      <c r="I145" s="39"/>
      <c r="J145" s="40"/>
      <c r="K145" s="40"/>
      <c r="L145" s="40"/>
      <c r="M145" s="40"/>
      <c r="N145" s="41"/>
      <c r="O145" s="20"/>
      <c r="P145" s="20"/>
      <c r="Q145" s="21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ht="15.75" customHeight="1">
      <c r="A146" s="20"/>
      <c r="B146" s="20"/>
      <c r="C146" s="20"/>
      <c r="D146" s="38"/>
      <c r="E146" s="38"/>
      <c r="F146" s="38"/>
      <c r="G146" s="38"/>
      <c r="H146" s="39"/>
      <c r="I146" s="39"/>
      <c r="J146" s="40"/>
      <c r="K146" s="40"/>
      <c r="L146" s="40"/>
      <c r="M146" s="40"/>
      <c r="N146" s="41"/>
      <c r="O146" s="20"/>
      <c r="P146" s="20"/>
      <c r="Q146" s="21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ht="15.75" customHeight="1">
      <c r="A147" s="20"/>
      <c r="B147" s="20"/>
      <c r="C147" s="20"/>
      <c r="D147" s="38"/>
      <c r="E147" s="38"/>
      <c r="F147" s="38"/>
      <c r="G147" s="38"/>
      <c r="H147" s="39"/>
      <c r="I147" s="39"/>
      <c r="J147" s="40"/>
      <c r="K147" s="40"/>
      <c r="L147" s="40"/>
      <c r="M147" s="40"/>
      <c r="N147" s="41"/>
      <c r="O147" s="20"/>
      <c r="P147" s="20"/>
      <c r="Q147" s="21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ht="15.75" customHeight="1">
      <c r="A148" s="20"/>
      <c r="B148" s="20"/>
      <c r="C148" s="20"/>
      <c r="D148" s="38"/>
      <c r="E148" s="38"/>
      <c r="F148" s="38"/>
      <c r="G148" s="38"/>
      <c r="H148" s="39"/>
      <c r="I148" s="39"/>
      <c r="J148" s="40"/>
      <c r="K148" s="40"/>
      <c r="L148" s="40"/>
      <c r="M148" s="40"/>
      <c r="N148" s="41"/>
      <c r="O148" s="20"/>
      <c r="P148" s="20"/>
      <c r="Q148" s="21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ht="15.75" customHeight="1">
      <c r="A149" s="20"/>
      <c r="B149" s="20"/>
      <c r="C149" s="20"/>
      <c r="D149" s="38"/>
      <c r="E149" s="38"/>
      <c r="F149" s="38"/>
      <c r="G149" s="38"/>
      <c r="H149" s="39"/>
      <c r="I149" s="39"/>
      <c r="J149" s="40"/>
      <c r="K149" s="40"/>
      <c r="L149" s="40"/>
      <c r="M149" s="40"/>
      <c r="N149" s="41"/>
      <c r="O149" s="20"/>
      <c r="P149" s="20"/>
      <c r="Q149" s="21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ht="15.75" customHeight="1">
      <c r="A150" s="20"/>
      <c r="B150" s="20"/>
      <c r="C150" s="20"/>
      <c r="D150" s="38"/>
      <c r="E150" s="38"/>
      <c r="F150" s="38"/>
      <c r="G150" s="38"/>
      <c r="H150" s="39"/>
      <c r="I150" s="39"/>
      <c r="J150" s="40"/>
      <c r="K150" s="40"/>
      <c r="L150" s="40"/>
      <c r="M150" s="40"/>
      <c r="N150" s="41"/>
      <c r="O150" s="20"/>
      <c r="P150" s="20"/>
      <c r="Q150" s="21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ht="15.75" customHeight="1">
      <c r="A151" s="20"/>
      <c r="B151" s="20"/>
      <c r="C151" s="20"/>
      <c r="D151" s="38"/>
      <c r="E151" s="38"/>
      <c r="F151" s="38"/>
      <c r="G151" s="38"/>
      <c r="H151" s="39"/>
      <c r="I151" s="39"/>
      <c r="J151" s="40"/>
      <c r="K151" s="40"/>
      <c r="L151" s="40"/>
      <c r="M151" s="40"/>
      <c r="N151" s="41"/>
      <c r="O151" s="20"/>
      <c r="P151" s="20"/>
      <c r="Q151" s="21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ht="15.75" customHeight="1">
      <c r="A152" s="20"/>
      <c r="B152" s="20"/>
      <c r="C152" s="20"/>
      <c r="D152" s="38"/>
      <c r="E152" s="38"/>
      <c r="F152" s="38"/>
      <c r="G152" s="38"/>
      <c r="H152" s="39"/>
      <c r="I152" s="39"/>
      <c r="J152" s="40"/>
      <c r="K152" s="40"/>
      <c r="L152" s="40"/>
      <c r="M152" s="40"/>
      <c r="N152" s="41"/>
      <c r="O152" s="20"/>
      <c r="P152" s="20"/>
      <c r="Q152" s="21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ht="15.75" customHeight="1">
      <c r="A153" s="20"/>
      <c r="B153" s="20"/>
      <c r="C153" s="20"/>
      <c r="D153" s="38"/>
      <c r="E153" s="38"/>
      <c r="F153" s="38"/>
      <c r="G153" s="38"/>
      <c r="H153" s="39"/>
      <c r="I153" s="39"/>
      <c r="J153" s="40"/>
      <c r="K153" s="40"/>
      <c r="L153" s="40"/>
      <c r="M153" s="40"/>
      <c r="N153" s="41"/>
      <c r="O153" s="20"/>
      <c r="P153" s="20"/>
      <c r="Q153" s="21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ht="15.75" customHeight="1">
      <c r="A154" s="20"/>
      <c r="B154" s="20"/>
      <c r="C154" s="20"/>
      <c r="D154" s="38"/>
      <c r="E154" s="38"/>
      <c r="F154" s="38"/>
      <c r="G154" s="38"/>
      <c r="H154" s="39"/>
      <c r="I154" s="39"/>
      <c r="J154" s="40"/>
      <c r="K154" s="40"/>
      <c r="L154" s="40"/>
      <c r="M154" s="40"/>
      <c r="N154" s="41"/>
      <c r="O154" s="20"/>
      <c r="P154" s="20"/>
      <c r="Q154" s="21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ht="15.75" customHeight="1">
      <c r="A155" s="20"/>
      <c r="B155" s="20"/>
      <c r="C155" s="20"/>
      <c r="D155" s="38"/>
      <c r="E155" s="38"/>
      <c r="F155" s="38"/>
      <c r="G155" s="38"/>
      <c r="H155" s="39"/>
      <c r="I155" s="39"/>
      <c r="J155" s="40"/>
      <c r="K155" s="40"/>
      <c r="L155" s="40"/>
      <c r="M155" s="40"/>
      <c r="N155" s="41"/>
      <c r="O155" s="20"/>
      <c r="P155" s="20"/>
      <c r="Q155" s="21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ht="15.75" customHeight="1">
      <c r="A156" s="20"/>
      <c r="B156" s="20"/>
      <c r="C156" s="20"/>
      <c r="D156" s="38"/>
      <c r="E156" s="38"/>
      <c r="F156" s="38"/>
      <c r="G156" s="38"/>
      <c r="H156" s="39"/>
      <c r="I156" s="39"/>
      <c r="J156" s="40"/>
      <c r="K156" s="40"/>
      <c r="L156" s="40"/>
      <c r="M156" s="40"/>
      <c r="N156" s="41"/>
      <c r="O156" s="20"/>
      <c r="P156" s="20"/>
      <c r="Q156" s="21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ht="15.75" customHeight="1">
      <c r="A157" s="20"/>
      <c r="B157" s="20"/>
      <c r="C157" s="20"/>
      <c r="D157" s="38"/>
      <c r="E157" s="38"/>
      <c r="F157" s="38"/>
      <c r="G157" s="38"/>
      <c r="H157" s="39"/>
      <c r="I157" s="39"/>
      <c r="J157" s="40"/>
      <c r="K157" s="40"/>
      <c r="L157" s="40"/>
      <c r="M157" s="40"/>
      <c r="N157" s="41"/>
      <c r="O157" s="20"/>
      <c r="P157" s="20"/>
      <c r="Q157" s="21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ht="15.75" customHeight="1">
      <c r="A158" s="20"/>
      <c r="B158" s="20"/>
      <c r="C158" s="20"/>
      <c r="D158" s="38"/>
      <c r="E158" s="38"/>
      <c r="F158" s="38"/>
      <c r="G158" s="38"/>
      <c r="H158" s="39"/>
      <c r="I158" s="39"/>
      <c r="J158" s="40"/>
      <c r="K158" s="40"/>
      <c r="L158" s="40"/>
      <c r="M158" s="40"/>
      <c r="N158" s="41"/>
      <c r="O158" s="20"/>
      <c r="P158" s="20"/>
      <c r="Q158" s="21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ht="15.75" customHeight="1">
      <c r="A159" s="20"/>
      <c r="B159" s="20"/>
      <c r="C159" s="20"/>
      <c r="D159" s="38"/>
      <c r="E159" s="38"/>
      <c r="F159" s="38"/>
      <c r="G159" s="38"/>
      <c r="H159" s="39"/>
      <c r="I159" s="39"/>
      <c r="J159" s="40"/>
      <c r="K159" s="40"/>
      <c r="L159" s="40"/>
      <c r="M159" s="40"/>
      <c r="N159" s="41"/>
      <c r="O159" s="20"/>
      <c r="P159" s="20"/>
      <c r="Q159" s="21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ht="15.75" customHeight="1">
      <c r="A160" s="20"/>
      <c r="B160" s="20"/>
      <c r="C160" s="20"/>
      <c r="D160" s="38"/>
      <c r="E160" s="38"/>
      <c r="F160" s="38"/>
      <c r="G160" s="38"/>
      <c r="H160" s="39"/>
      <c r="I160" s="39"/>
      <c r="J160" s="40"/>
      <c r="K160" s="40"/>
      <c r="L160" s="40"/>
      <c r="M160" s="40"/>
      <c r="N160" s="41"/>
      <c r="O160" s="20"/>
      <c r="P160" s="20"/>
      <c r="Q160" s="21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ht="15.75" customHeight="1">
      <c r="A161" s="20"/>
      <c r="B161" s="20"/>
      <c r="C161" s="20"/>
      <c r="D161" s="38"/>
      <c r="E161" s="38"/>
      <c r="F161" s="38"/>
      <c r="G161" s="38"/>
      <c r="H161" s="39"/>
      <c r="I161" s="39"/>
      <c r="J161" s="40"/>
      <c r="K161" s="40"/>
      <c r="L161" s="40"/>
      <c r="M161" s="40"/>
      <c r="N161" s="41"/>
      <c r="O161" s="20"/>
      <c r="P161" s="20"/>
      <c r="Q161" s="21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ht="15.75" customHeight="1">
      <c r="A162" s="20"/>
      <c r="B162" s="20"/>
      <c r="C162" s="20"/>
      <c r="D162" s="38"/>
      <c r="E162" s="38"/>
      <c r="F162" s="38"/>
      <c r="G162" s="38"/>
      <c r="H162" s="39"/>
      <c r="I162" s="39"/>
      <c r="J162" s="40"/>
      <c r="K162" s="40"/>
      <c r="L162" s="40"/>
      <c r="M162" s="40"/>
      <c r="N162" s="41"/>
      <c r="O162" s="20"/>
      <c r="P162" s="20"/>
      <c r="Q162" s="21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ht="15.75" customHeight="1">
      <c r="A163" s="20"/>
      <c r="B163" s="20"/>
      <c r="C163" s="20"/>
      <c r="D163" s="38"/>
      <c r="E163" s="38"/>
      <c r="F163" s="38"/>
      <c r="G163" s="38"/>
      <c r="H163" s="39"/>
      <c r="I163" s="39"/>
      <c r="J163" s="40"/>
      <c r="K163" s="40"/>
      <c r="L163" s="40"/>
      <c r="M163" s="40"/>
      <c r="N163" s="41"/>
      <c r="O163" s="20"/>
      <c r="P163" s="20"/>
      <c r="Q163" s="21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ht="15.75" customHeight="1">
      <c r="A164" s="20"/>
      <c r="B164" s="20"/>
      <c r="C164" s="20"/>
      <c r="D164" s="38"/>
      <c r="E164" s="38"/>
      <c r="F164" s="38"/>
      <c r="G164" s="38"/>
      <c r="H164" s="39"/>
      <c r="I164" s="39"/>
      <c r="J164" s="40"/>
      <c r="K164" s="40"/>
      <c r="L164" s="40"/>
      <c r="M164" s="40"/>
      <c r="N164" s="41"/>
      <c r="O164" s="20"/>
      <c r="P164" s="20"/>
      <c r="Q164" s="21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ht="15.75" customHeight="1">
      <c r="A165" s="20"/>
      <c r="B165" s="20"/>
      <c r="C165" s="20"/>
      <c r="D165" s="38"/>
      <c r="E165" s="38"/>
      <c r="F165" s="38"/>
      <c r="G165" s="38"/>
      <c r="H165" s="39"/>
      <c r="I165" s="39"/>
      <c r="J165" s="40"/>
      <c r="K165" s="40"/>
      <c r="L165" s="40"/>
      <c r="M165" s="40"/>
      <c r="N165" s="41"/>
      <c r="O165" s="20"/>
      <c r="P165" s="20"/>
      <c r="Q165" s="21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ht="15.75" customHeight="1">
      <c r="A166" s="20"/>
      <c r="B166" s="20"/>
      <c r="C166" s="20"/>
      <c r="D166" s="38"/>
      <c r="E166" s="38"/>
      <c r="F166" s="38"/>
      <c r="G166" s="38"/>
      <c r="H166" s="39"/>
      <c r="I166" s="39"/>
      <c r="J166" s="40"/>
      <c r="K166" s="40"/>
      <c r="L166" s="40"/>
      <c r="M166" s="40"/>
      <c r="N166" s="41"/>
      <c r="O166" s="20"/>
      <c r="P166" s="20"/>
      <c r="Q166" s="21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ht="15.75" customHeight="1">
      <c r="A167" s="20"/>
      <c r="B167" s="20"/>
      <c r="C167" s="20"/>
      <c r="D167" s="38"/>
      <c r="E167" s="38"/>
      <c r="F167" s="38"/>
      <c r="G167" s="38"/>
      <c r="H167" s="39"/>
      <c r="I167" s="39"/>
      <c r="J167" s="40"/>
      <c r="K167" s="40"/>
      <c r="L167" s="40"/>
      <c r="M167" s="40"/>
      <c r="N167" s="41"/>
      <c r="O167" s="20"/>
      <c r="P167" s="20"/>
      <c r="Q167" s="21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ht="15.75" customHeight="1">
      <c r="A168" s="20"/>
      <c r="B168" s="20"/>
      <c r="C168" s="20"/>
      <c r="D168" s="38"/>
      <c r="E168" s="38"/>
      <c r="F168" s="38"/>
      <c r="G168" s="38"/>
      <c r="H168" s="39"/>
      <c r="I168" s="39"/>
      <c r="J168" s="40"/>
      <c r="K168" s="40"/>
      <c r="L168" s="40"/>
      <c r="M168" s="40"/>
      <c r="N168" s="41"/>
      <c r="O168" s="20"/>
      <c r="P168" s="20"/>
      <c r="Q168" s="21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ht="15.75" customHeight="1">
      <c r="A169" s="20"/>
      <c r="B169" s="20"/>
      <c r="C169" s="20"/>
      <c r="D169" s="38"/>
      <c r="E169" s="38"/>
      <c r="F169" s="38"/>
      <c r="G169" s="38"/>
      <c r="H169" s="39"/>
      <c r="I169" s="39"/>
      <c r="J169" s="40"/>
      <c r="K169" s="40"/>
      <c r="L169" s="40"/>
      <c r="M169" s="40"/>
      <c r="N169" s="41"/>
      <c r="O169" s="20"/>
      <c r="P169" s="20"/>
      <c r="Q169" s="21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ht="15.75" customHeight="1">
      <c r="A170" s="20"/>
      <c r="B170" s="20"/>
      <c r="C170" s="20"/>
      <c r="D170" s="38"/>
      <c r="E170" s="38"/>
      <c r="F170" s="38"/>
      <c r="G170" s="38"/>
      <c r="H170" s="39"/>
      <c r="I170" s="39"/>
      <c r="J170" s="40"/>
      <c r="K170" s="40"/>
      <c r="L170" s="40"/>
      <c r="M170" s="40"/>
      <c r="N170" s="41"/>
      <c r="O170" s="20"/>
      <c r="P170" s="20"/>
      <c r="Q170" s="21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ht="15.75" customHeight="1">
      <c r="A171" s="20"/>
      <c r="B171" s="20"/>
      <c r="C171" s="20"/>
      <c r="D171" s="38"/>
      <c r="E171" s="38"/>
      <c r="F171" s="38"/>
      <c r="G171" s="38"/>
      <c r="H171" s="39"/>
      <c r="I171" s="39"/>
      <c r="J171" s="40"/>
      <c r="K171" s="40"/>
      <c r="L171" s="40"/>
      <c r="M171" s="40"/>
      <c r="N171" s="41"/>
      <c r="O171" s="20"/>
      <c r="P171" s="20"/>
      <c r="Q171" s="21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ht="15.75" customHeight="1">
      <c r="A172" s="20"/>
      <c r="B172" s="20"/>
      <c r="C172" s="20"/>
      <c r="D172" s="38"/>
      <c r="E172" s="38"/>
      <c r="F172" s="38"/>
      <c r="G172" s="38"/>
      <c r="H172" s="39"/>
      <c r="I172" s="39"/>
      <c r="J172" s="40"/>
      <c r="K172" s="40"/>
      <c r="L172" s="40"/>
      <c r="M172" s="40"/>
      <c r="N172" s="41"/>
      <c r="O172" s="20"/>
      <c r="P172" s="20"/>
      <c r="Q172" s="21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ht="15.75" customHeight="1">
      <c r="A173" s="20"/>
      <c r="B173" s="20"/>
      <c r="C173" s="20"/>
      <c r="D173" s="38"/>
      <c r="E173" s="38"/>
      <c r="F173" s="38"/>
      <c r="G173" s="38"/>
      <c r="H173" s="39"/>
      <c r="I173" s="39"/>
      <c r="J173" s="40"/>
      <c r="K173" s="40"/>
      <c r="L173" s="40"/>
      <c r="M173" s="40"/>
      <c r="N173" s="41"/>
      <c r="O173" s="20"/>
      <c r="P173" s="20"/>
      <c r="Q173" s="21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ht="15.75" customHeight="1">
      <c r="A174" s="20"/>
      <c r="B174" s="20"/>
      <c r="C174" s="20"/>
      <c r="D174" s="38"/>
      <c r="E174" s="38"/>
      <c r="F174" s="38"/>
      <c r="G174" s="38"/>
      <c r="H174" s="39"/>
      <c r="I174" s="39"/>
      <c r="J174" s="40"/>
      <c r="K174" s="40"/>
      <c r="L174" s="40"/>
      <c r="M174" s="40"/>
      <c r="N174" s="41"/>
      <c r="O174" s="20"/>
      <c r="P174" s="20"/>
      <c r="Q174" s="21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ht="15.75" customHeight="1">
      <c r="A175" s="20"/>
      <c r="B175" s="20"/>
      <c r="C175" s="20"/>
      <c r="D175" s="38"/>
      <c r="E175" s="38"/>
      <c r="F175" s="38"/>
      <c r="G175" s="38"/>
      <c r="H175" s="39"/>
      <c r="I175" s="39"/>
      <c r="J175" s="40"/>
      <c r="K175" s="40"/>
      <c r="L175" s="40"/>
      <c r="M175" s="40"/>
      <c r="N175" s="41"/>
      <c r="O175" s="20"/>
      <c r="P175" s="20"/>
      <c r="Q175" s="21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ht="15.75" customHeight="1">
      <c r="A176" s="20"/>
      <c r="B176" s="20"/>
      <c r="C176" s="20"/>
      <c r="D176" s="38"/>
      <c r="E176" s="38"/>
      <c r="F176" s="38"/>
      <c r="G176" s="38"/>
      <c r="H176" s="39"/>
      <c r="I176" s="39"/>
      <c r="J176" s="40"/>
      <c r="K176" s="40"/>
      <c r="L176" s="40"/>
      <c r="M176" s="40"/>
      <c r="N176" s="41"/>
      <c r="O176" s="20"/>
      <c r="P176" s="20"/>
      <c r="Q176" s="21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ht="15.75" customHeight="1">
      <c r="A177" s="20"/>
      <c r="B177" s="20"/>
      <c r="C177" s="20"/>
      <c r="D177" s="38"/>
      <c r="E177" s="38"/>
      <c r="F177" s="38"/>
      <c r="G177" s="38"/>
      <c r="H177" s="39"/>
      <c r="I177" s="39"/>
      <c r="J177" s="40"/>
      <c r="K177" s="40"/>
      <c r="L177" s="40"/>
      <c r="M177" s="40"/>
      <c r="N177" s="41"/>
      <c r="O177" s="20"/>
      <c r="P177" s="20"/>
      <c r="Q177" s="21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ht="15.75" customHeight="1">
      <c r="A178" s="20"/>
      <c r="B178" s="20"/>
      <c r="C178" s="20"/>
      <c r="D178" s="38"/>
      <c r="E178" s="38"/>
      <c r="F178" s="38"/>
      <c r="G178" s="38"/>
      <c r="H178" s="39"/>
      <c r="I178" s="39"/>
      <c r="J178" s="40"/>
      <c r="K178" s="40"/>
      <c r="L178" s="40"/>
      <c r="M178" s="40"/>
      <c r="N178" s="41"/>
      <c r="O178" s="20"/>
      <c r="P178" s="20"/>
      <c r="Q178" s="21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ht="15.75" customHeight="1">
      <c r="A179" s="20"/>
      <c r="B179" s="20"/>
      <c r="C179" s="20"/>
      <c r="D179" s="38"/>
      <c r="E179" s="38"/>
      <c r="F179" s="38"/>
      <c r="G179" s="38"/>
      <c r="H179" s="39"/>
      <c r="I179" s="39"/>
      <c r="J179" s="40"/>
      <c r="K179" s="40"/>
      <c r="L179" s="40"/>
      <c r="M179" s="40"/>
      <c r="N179" s="41"/>
      <c r="O179" s="20"/>
      <c r="P179" s="20"/>
      <c r="Q179" s="21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ht="15.75" customHeight="1">
      <c r="A180" s="20"/>
      <c r="B180" s="20"/>
      <c r="C180" s="20"/>
      <c r="D180" s="38"/>
      <c r="E180" s="38"/>
      <c r="F180" s="38"/>
      <c r="G180" s="38"/>
      <c r="H180" s="39"/>
      <c r="I180" s="39"/>
      <c r="J180" s="40"/>
      <c r="K180" s="40"/>
      <c r="L180" s="40"/>
      <c r="M180" s="40"/>
      <c r="N180" s="41"/>
      <c r="O180" s="20"/>
      <c r="P180" s="20"/>
      <c r="Q180" s="21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ht="15.75" customHeight="1">
      <c r="A181" s="20"/>
      <c r="B181" s="20"/>
      <c r="C181" s="20"/>
      <c r="D181" s="38"/>
      <c r="E181" s="38"/>
      <c r="F181" s="38"/>
      <c r="G181" s="38"/>
      <c r="H181" s="39"/>
      <c r="I181" s="39"/>
      <c r="J181" s="40"/>
      <c r="K181" s="40"/>
      <c r="L181" s="40"/>
      <c r="M181" s="40"/>
      <c r="N181" s="41"/>
      <c r="O181" s="20"/>
      <c r="P181" s="20"/>
      <c r="Q181" s="21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ht="15.75" customHeight="1">
      <c r="A182" s="20"/>
      <c r="B182" s="20"/>
      <c r="C182" s="20"/>
      <c r="D182" s="38"/>
      <c r="E182" s="38"/>
      <c r="F182" s="38"/>
      <c r="G182" s="38"/>
      <c r="H182" s="39"/>
      <c r="I182" s="39"/>
      <c r="J182" s="40"/>
      <c r="K182" s="40"/>
      <c r="L182" s="40"/>
      <c r="M182" s="40"/>
      <c r="N182" s="41"/>
      <c r="O182" s="20"/>
      <c r="P182" s="20"/>
      <c r="Q182" s="21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ht="15.75" customHeight="1">
      <c r="A183" s="20"/>
      <c r="B183" s="20"/>
      <c r="C183" s="20"/>
      <c r="D183" s="38"/>
      <c r="E183" s="38"/>
      <c r="F183" s="38"/>
      <c r="G183" s="38"/>
      <c r="H183" s="39"/>
      <c r="I183" s="39"/>
      <c r="J183" s="40"/>
      <c r="K183" s="40"/>
      <c r="L183" s="40"/>
      <c r="M183" s="40"/>
      <c r="N183" s="41"/>
      <c r="O183" s="20"/>
      <c r="P183" s="20"/>
      <c r="Q183" s="21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ht="15.75" customHeight="1">
      <c r="A184" s="20"/>
      <c r="B184" s="20"/>
      <c r="C184" s="20"/>
      <c r="D184" s="38"/>
      <c r="E184" s="38"/>
      <c r="F184" s="38"/>
      <c r="G184" s="38"/>
      <c r="H184" s="39"/>
      <c r="I184" s="39"/>
      <c r="J184" s="40"/>
      <c r="K184" s="40"/>
      <c r="L184" s="40"/>
      <c r="M184" s="40"/>
      <c r="N184" s="41"/>
      <c r="O184" s="20"/>
      <c r="P184" s="20"/>
      <c r="Q184" s="21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ht="15.75" customHeight="1">
      <c r="A185" s="20"/>
      <c r="B185" s="20"/>
      <c r="C185" s="20"/>
      <c r="D185" s="38"/>
      <c r="E185" s="38"/>
      <c r="F185" s="38"/>
      <c r="G185" s="38"/>
      <c r="H185" s="39"/>
      <c r="I185" s="39"/>
      <c r="J185" s="40"/>
      <c r="K185" s="40"/>
      <c r="L185" s="40"/>
      <c r="M185" s="40"/>
      <c r="N185" s="41"/>
      <c r="O185" s="20"/>
      <c r="P185" s="20"/>
      <c r="Q185" s="21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ht="15.75" customHeight="1">
      <c r="A186" s="20"/>
      <c r="B186" s="20"/>
      <c r="C186" s="20"/>
      <c r="D186" s="38"/>
      <c r="E186" s="38"/>
      <c r="F186" s="38"/>
      <c r="G186" s="38"/>
      <c r="H186" s="39"/>
      <c r="I186" s="39"/>
      <c r="J186" s="40"/>
      <c r="K186" s="40"/>
      <c r="L186" s="40"/>
      <c r="M186" s="40"/>
      <c r="N186" s="41"/>
      <c r="O186" s="20"/>
      <c r="P186" s="20"/>
      <c r="Q186" s="21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ht="15.75" customHeight="1">
      <c r="A187" s="20"/>
      <c r="B187" s="20"/>
      <c r="C187" s="20"/>
      <c r="D187" s="38"/>
      <c r="E187" s="38"/>
      <c r="F187" s="38"/>
      <c r="G187" s="38"/>
      <c r="H187" s="39"/>
      <c r="I187" s="39"/>
      <c r="J187" s="40"/>
      <c r="K187" s="40"/>
      <c r="L187" s="40"/>
      <c r="M187" s="40"/>
      <c r="N187" s="41"/>
      <c r="O187" s="20"/>
      <c r="P187" s="20"/>
      <c r="Q187" s="21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ht="15.75" customHeight="1">
      <c r="A188" s="20"/>
      <c r="B188" s="20"/>
      <c r="C188" s="20"/>
      <c r="D188" s="38"/>
      <c r="E188" s="38"/>
      <c r="F188" s="38"/>
      <c r="G188" s="38"/>
      <c r="H188" s="39"/>
      <c r="I188" s="39"/>
      <c r="J188" s="40"/>
      <c r="K188" s="40"/>
      <c r="L188" s="40"/>
      <c r="M188" s="40"/>
      <c r="N188" s="41"/>
      <c r="O188" s="20"/>
      <c r="P188" s="20"/>
      <c r="Q188" s="21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ht="15.75" customHeight="1">
      <c r="A189" s="20"/>
      <c r="B189" s="20"/>
      <c r="C189" s="20"/>
      <c r="D189" s="38"/>
      <c r="E189" s="38"/>
      <c r="F189" s="38"/>
      <c r="G189" s="38"/>
      <c r="H189" s="39"/>
      <c r="I189" s="39"/>
      <c r="J189" s="40"/>
      <c r="K189" s="40"/>
      <c r="L189" s="40"/>
      <c r="M189" s="40"/>
      <c r="N189" s="41"/>
      <c r="O189" s="20"/>
      <c r="P189" s="20"/>
      <c r="Q189" s="21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ht="15.75" customHeight="1">
      <c r="A190" s="20"/>
      <c r="B190" s="20"/>
      <c r="C190" s="20"/>
      <c r="D190" s="38"/>
      <c r="E190" s="38"/>
      <c r="F190" s="38"/>
      <c r="G190" s="38"/>
      <c r="H190" s="39"/>
      <c r="I190" s="39"/>
      <c r="J190" s="40"/>
      <c r="K190" s="40"/>
      <c r="L190" s="40"/>
      <c r="M190" s="40"/>
      <c r="N190" s="41"/>
      <c r="O190" s="20"/>
      <c r="P190" s="20"/>
      <c r="Q190" s="21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ht="15.75" customHeight="1">
      <c r="A191" s="20"/>
      <c r="B191" s="20"/>
      <c r="C191" s="20"/>
      <c r="D191" s="38"/>
      <c r="E191" s="38"/>
      <c r="F191" s="38"/>
      <c r="G191" s="38"/>
      <c r="H191" s="39"/>
      <c r="I191" s="39"/>
      <c r="J191" s="40"/>
      <c r="K191" s="40"/>
      <c r="L191" s="40"/>
      <c r="M191" s="40"/>
      <c r="N191" s="41"/>
      <c r="O191" s="20"/>
      <c r="P191" s="20"/>
      <c r="Q191" s="21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ht="15.75" customHeight="1">
      <c r="A192" s="20"/>
      <c r="B192" s="20"/>
      <c r="C192" s="20"/>
      <c r="D192" s="38"/>
      <c r="E192" s="38"/>
      <c r="F192" s="38"/>
      <c r="G192" s="38"/>
      <c r="H192" s="39"/>
      <c r="I192" s="39"/>
      <c r="J192" s="40"/>
      <c r="K192" s="40"/>
      <c r="L192" s="40"/>
      <c r="M192" s="40"/>
      <c r="N192" s="41"/>
      <c r="O192" s="20"/>
      <c r="P192" s="20"/>
      <c r="Q192" s="21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ht="15.75" customHeight="1">
      <c r="A193" s="20"/>
      <c r="B193" s="20"/>
      <c r="C193" s="20"/>
      <c r="D193" s="38"/>
      <c r="E193" s="38"/>
      <c r="F193" s="38"/>
      <c r="G193" s="38"/>
      <c r="H193" s="39"/>
      <c r="I193" s="39"/>
      <c r="J193" s="40"/>
      <c r="K193" s="40"/>
      <c r="L193" s="40"/>
      <c r="M193" s="40"/>
      <c r="N193" s="41"/>
      <c r="O193" s="20"/>
      <c r="P193" s="20"/>
      <c r="Q193" s="21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ht="15.75" customHeight="1">
      <c r="A194" s="20"/>
      <c r="B194" s="20"/>
      <c r="C194" s="20"/>
      <c r="D194" s="38"/>
      <c r="E194" s="38"/>
      <c r="F194" s="38"/>
      <c r="G194" s="38"/>
      <c r="H194" s="39"/>
      <c r="I194" s="39"/>
      <c r="J194" s="40"/>
      <c r="K194" s="40"/>
      <c r="L194" s="40"/>
      <c r="M194" s="40"/>
      <c r="N194" s="41"/>
      <c r="O194" s="20"/>
      <c r="P194" s="20"/>
      <c r="Q194" s="21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ht="15.75" customHeight="1">
      <c r="A195" s="20"/>
      <c r="B195" s="20"/>
      <c r="C195" s="20"/>
      <c r="D195" s="38"/>
      <c r="E195" s="38"/>
      <c r="F195" s="38"/>
      <c r="G195" s="38"/>
      <c r="H195" s="39"/>
      <c r="I195" s="39"/>
      <c r="J195" s="40"/>
      <c r="K195" s="40"/>
      <c r="L195" s="40"/>
      <c r="M195" s="40"/>
      <c r="N195" s="41"/>
      <c r="O195" s="20"/>
      <c r="P195" s="20"/>
      <c r="Q195" s="21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ht="15.75" customHeight="1">
      <c r="A196" s="20"/>
      <c r="B196" s="20"/>
      <c r="C196" s="20"/>
      <c r="D196" s="38"/>
      <c r="E196" s="38"/>
      <c r="F196" s="38"/>
      <c r="G196" s="38"/>
      <c r="H196" s="39"/>
      <c r="I196" s="39"/>
      <c r="J196" s="40"/>
      <c r="K196" s="40"/>
      <c r="L196" s="40"/>
      <c r="M196" s="40"/>
      <c r="N196" s="41"/>
      <c r="O196" s="20"/>
      <c r="P196" s="20"/>
      <c r="Q196" s="21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ht="15.75" customHeight="1">
      <c r="A197" s="20"/>
      <c r="B197" s="20"/>
      <c r="C197" s="20"/>
      <c r="D197" s="38"/>
      <c r="E197" s="38"/>
      <c r="F197" s="38"/>
      <c r="G197" s="38"/>
      <c r="H197" s="39"/>
      <c r="I197" s="39"/>
      <c r="J197" s="40"/>
      <c r="K197" s="40"/>
      <c r="L197" s="40"/>
      <c r="M197" s="40"/>
      <c r="N197" s="41"/>
      <c r="O197" s="20"/>
      <c r="P197" s="20"/>
      <c r="Q197" s="21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ht="15.75" customHeight="1">
      <c r="A198" s="20"/>
      <c r="B198" s="20"/>
      <c r="C198" s="20"/>
      <c r="D198" s="38"/>
      <c r="E198" s="38"/>
      <c r="F198" s="38"/>
      <c r="G198" s="38"/>
      <c r="H198" s="39"/>
      <c r="I198" s="39"/>
      <c r="J198" s="40"/>
      <c r="K198" s="40"/>
      <c r="L198" s="40"/>
      <c r="M198" s="40"/>
      <c r="N198" s="41"/>
      <c r="O198" s="20"/>
      <c r="P198" s="20"/>
      <c r="Q198" s="21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ht="15.75" customHeight="1">
      <c r="A199" s="20"/>
      <c r="B199" s="20"/>
      <c r="C199" s="20"/>
      <c r="D199" s="38"/>
      <c r="E199" s="38"/>
      <c r="F199" s="38"/>
      <c r="G199" s="38"/>
      <c r="H199" s="39"/>
      <c r="I199" s="39"/>
      <c r="J199" s="40"/>
      <c r="K199" s="40"/>
      <c r="L199" s="40"/>
      <c r="M199" s="40"/>
      <c r="N199" s="41"/>
      <c r="O199" s="20"/>
      <c r="P199" s="20"/>
      <c r="Q199" s="21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ht="15.75" customHeight="1">
      <c r="A200" s="20"/>
      <c r="B200" s="20"/>
      <c r="C200" s="20"/>
      <c r="D200" s="38"/>
      <c r="E200" s="38"/>
      <c r="F200" s="38"/>
      <c r="G200" s="38"/>
      <c r="H200" s="39"/>
      <c r="I200" s="39"/>
      <c r="J200" s="40"/>
      <c r="K200" s="40"/>
      <c r="L200" s="40"/>
      <c r="M200" s="40"/>
      <c r="N200" s="41"/>
      <c r="O200" s="20"/>
      <c r="P200" s="20"/>
      <c r="Q200" s="21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ht="15.75" customHeight="1">
      <c r="A201" s="20"/>
      <c r="B201" s="20"/>
      <c r="C201" s="20"/>
      <c r="D201" s="38"/>
      <c r="E201" s="38"/>
      <c r="F201" s="38"/>
      <c r="G201" s="38"/>
      <c r="H201" s="39"/>
      <c r="I201" s="39"/>
      <c r="J201" s="40"/>
      <c r="K201" s="40"/>
      <c r="L201" s="40"/>
      <c r="M201" s="40"/>
      <c r="N201" s="41"/>
      <c r="O201" s="20"/>
      <c r="P201" s="20"/>
      <c r="Q201" s="21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ht="15.75" customHeight="1">
      <c r="A202" s="20"/>
      <c r="B202" s="20"/>
      <c r="C202" s="20"/>
      <c r="D202" s="38"/>
      <c r="E202" s="38"/>
      <c r="F202" s="38"/>
      <c r="G202" s="38"/>
      <c r="H202" s="39"/>
      <c r="I202" s="39"/>
      <c r="J202" s="40"/>
      <c r="K202" s="40"/>
      <c r="L202" s="40"/>
      <c r="M202" s="40"/>
      <c r="N202" s="41"/>
      <c r="O202" s="20"/>
      <c r="P202" s="20"/>
      <c r="Q202" s="21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ht="15.75" customHeight="1">
      <c r="A203" s="20"/>
      <c r="B203" s="20"/>
      <c r="C203" s="20"/>
      <c r="D203" s="38"/>
      <c r="E203" s="38"/>
      <c r="F203" s="38"/>
      <c r="G203" s="38"/>
      <c r="H203" s="39"/>
      <c r="I203" s="39"/>
      <c r="J203" s="40"/>
      <c r="K203" s="40"/>
      <c r="L203" s="40"/>
      <c r="M203" s="40"/>
      <c r="N203" s="41"/>
      <c r="O203" s="20"/>
      <c r="P203" s="20"/>
      <c r="Q203" s="21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ht="15.75" customHeight="1">
      <c r="A204" s="20"/>
      <c r="B204" s="20"/>
      <c r="C204" s="20"/>
      <c r="D204" s="38"/>
      <c r="E204" s="38"/>
      <c r="F204" s="38"/>
      <c r="G204" s="38"/>
      <c r="H204" s="39"/>
      <c r="I204" s="39"/>
      <c r="J204" s="40"/>
      <c r="K204" s="40"/>
      <c r="L204" s="40"/>
      <c r="M204" s="40"/>
      <c r="N204" s="41"/>
      <c r="O204" s="20"/>
      <c r="P204" s="20"/>
      <c r="Q204" s="21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ht="15.75" customHeight="1">
      <c r="A205" s="20"/>
      <c r="B205" s="20"/>
      <c r="C205" s="20"/>
      <c r="D205" s="38"/>
      <c r="E205" s="38"/>
      <c r="F205" s="38"/>
      <c r="G205" s="38"/>
      <c r="H205" s="39"/>
      <c r="I205" s="39"/>
      <c r="J205" s="40"/>
      <c r="K205" s="40"/>
      <c r="L205" s="40"/>
      <c r="M205" s="40"/>
      <c r="N205" s="41"/>
      <c r="O205" s="20"/>
      <c r="P205" s="20"/>
      <c r="Q205" s="21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ht="15.75" customHeight="1">
      <c r="A206" s="20"/>
      <c r="B206" s="20"/>
      <c r="C206" s="20"/>
      <c r="D206" s="38"/>
      <c r="E206" s="38"/>
      <c r="F206" s="38"/>
      <c r="G206" s="38"/>
      <c r="H206" s="39"/>
      <c r="I206" s="39"/>
      <c r="J206" s="40"/>
      <c r="K206" s="40"/>
      <c r="L206" s="40"/>
      <c r="M206" s="40"/>
      <c r="N206" s="41"/>
      <c r="O206" s="20"/>
      <c r="P206" s="20"/>
      <c r="Q206" s="21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ht="15.75" customHeight="1">
      <c r="A207" s="20"/>
      <c r="B207" s="20"/>
      <c r="C207" s="20"/>
      <c r="D207" s="38"/>
      <c r="E207" s="38"/>
      <c r="F207" s="38"/>
      <c r="G207" s="38"/>
      <c r="H207" s="39"/>
      <c r="I207" s="39"/>
      <c r="J207" s="40"/>
      <c r="K207" s="40"/>
      <c r="L207" s="40"/>
      <c r="M207" s="40"/>
      <c r="N207" s="41"/>
      <c r="O207" s="20"/>
      <c r="P207" s="20"/>
      <c r="Q207" s="21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ht="15.75" customHeight="1">
      <c r="A208" s="20"/>
      <c r="B208" s="20"/>
      <c r="C208" s="20"/>
      <c r="D208" s="38"/>
      <c r="E208" s="38"/>
      <c r="F208" s="38"/>
      <c r="G208" s="38"/>
      <c r="H208" s="39"/>
      <c r="I208" s="39"/>
      <c r="J208" s="40"/>
      <c r="K208" s="40"/>
      <c r="L208" s="40"/>
      <c r="M208" s="40"/>
      <c r="N208" s="41"/>
      <c r="O208" s="20"/>
      <c r="P208" s="20"/>
      <c r="Q208" s="21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ht="15.75" customHeight="1">
      <c r="A209" s="20"/>
      <c r="B209" s="20"/>
      <c r="C209" s="20"/>
      <c r="D209" s="38"/>
      <c r="E209" s="38"/>
      <c r="F209" s="38"/>
      <c r="G209" s="38"/>
      <c r="H209" s="39"/>
      <c r="I209" s="39"/>
      <c r="J209" s="40"/>
      <c r="K209" s="40"/>
      <c r="L209" s="40"/>
      <c r="M209" s="40"/>
      <c r="N209" s="41"/>
      <c r="O209" s="20"/>
      <c r="P209" s="20"/>
      <c r="Q209" s="21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ht="15.75" customHeight="1">
      <c r="A210" s="20"/>
      <c r="B210" s="20"/>
      <c r="C210" s="20"/>
      <c r="D210" s="38"/>
      <c r="E210" s="38"/>
      <c r="F210" s="38"/>
      <c r="G210" s="38"/>
      <c r="H210" s="39"/>
      <c r="I210" s="39"/>
      <c r="J210" s="40"/>
      <c r="K210" s="40"/>
      <c r="L210" s="40"/>
      <c r="M210" s="40"/>
      <c r="N210" s="41"/>
      <c r="O210" s="20"/>
      <c r="P210" s="20"/>
      <c r="Q210" s="21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ht="15.75" customHeight="1">
      <c r="A211" s="20"/>
      <c r="B211" s="20"/>
      <c r="C211" s="20"/>
      <c r="D211" s="38"/>
      <c r="E211" s="38"/>
      <c r="F211" s="38"/>
      <c r="G211" s="38"/>
      <c r="H211" s="39"/>
      <c r="I211" s="39"/>
      <c r="J211" s="40"/>
      <c r="K211" s="40"/>
      <c r="L211" s="40"/>
      <c r="M211" s="40"/>
      <c r="N211" s="41"/>
      <c r="O211" s="20"/>
      <c r="P211" s="20"/>
      <c r="Q211" s="21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ht="15.75" customHeight="1">
      <c r="A212" s="20"/>
      <c r="B212" s="20"/>
      <c r="C212" s="20"/>
      <c r="D212" s="38"/>
      <c r="E212" s="38"/>
      <c r="F212" s="38"/>
      <c r="G212" s="38"/>
      <c r="H212" s="39"/>
      <c r="I212" s="39"/>
      <c r="J212" s="40"/>
      <c r="K212" s="40"/>
      <c r="L212" s="40"/>
      <c r="M212" s="40"/>
      <c r="N212" s="41"/>
      <c r="O212" s="20"/>
      <c r="P212" s="20"/>
      <c r="Q212" s="21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ht="15.75" customHeight="1">
      <c r="A213" s="20"/>
      <c r="B213" s="20"/>
      <c r="C213" s="20"/>
      <c r="D213" s="38"/>
      <c r="E213" s="38"/>
      <c r="F213" s="38"/>
      <c r="G213" s="38"/>
      <c r="H213" s="39"/>
      <c r="I213" s="39"/>
      <c r="J213" s="40"/>
      <c r="K213" s="40"/>
      <c r="L213" s="40"/>
      <c r="M213" s="40"/>
      <c r="N213" s="41"/>
      <c r="O213" s="20"/>
      <c r="P213" s="20"/>
      <c r="Q213" s="21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ht="15.75" customHeight="1">
      <c r="A214" s="20"/>
      <c r="B214" s="20"/>
      <c r="C214" s="20"/>
      <c r="D214" s="38"/>
      <c r="E214" s="38"/>
      <c r="F214" s="38"/>
      <c r="G214" s="38"/>
      <c r="H214" s="39"/>
      <c r="I214" s="39"/>
      <c r="J214" s="40"/>
      <c r="K214" s="40"/>
      <c r="L214" s="40"/>
      <c r="M214" s="40"/>
      <c r="N214" s="41"/>
      <c r="O214" s="20"/>
      <c r="P214" s="20"/>
      <c r="Q214" s="21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ht="15.75" customHeight="1">
      <c r="A215" s="20"/>
      <c r="B215" s="20"/>
      <c r="C215" s="20"/>
      <c r="D215" s="38"/>
      <c r="E215" s="38"/>
      <c r="F215" s="38"/>
      <c r="G215" s="38"/>
      <c r="H215" s="39"/>
      <c r="I215" s="39"/>
      <c r="J215" s="40"/>
      <c r="K215" s="40"/>
      <c r="L215" s="40"/>
      <c r="M215" s="40"/>
      <c r="N215" s="41"/>
      <c r="O215" s="20"/>
      <c r="P215" s="20"/>
      <c r="Q215" s="21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ht="15.75" customHeight="1">
      <c r="A216" s="20"/>
      <c r="B216" s="20"/>
      <c r="C216" s="20"/>
      <c r="D216" s="38"/>
      <c r="E216" s="38"/>
      <c r="F216" s="38"/>
      <c r="G216" s="38"/>
      <c r="H216" s="39"/>
      <c r="I216" s="39"/>
      <c r="J216" s="40"/>
      <c r="K216" s="40"/>
      <c r="L216" s="40"/>
      <c r="M216" s="40"/>
      <c r="N216" s="41"/>
      <c r="O216" s="20"/>
      <c r="P216" s="20"/>
      <c r="Q216" s="21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ht="15.75" customHeight="1">
      <c r="A217" s="20"/>
      <c r="B217" s="20"/>
      <c r="C217" s="20"/>
      <c r="D217" s="38"/>
      <c r="E217" s="38"/>
      <c r="F217" s="38"/>
      <c r="G217" s="38"/>
      <c r="H217" s="39"/>
      <c r="I217" s="39"/>
      <c r="J217" s="40"/>
      <c r="K217" s="40"/>
      <c r="L217" s="40"/>
      <c r="M217" s="40"/>
      <c r="N217" s="41"/>
      <c r="O217" s="20"/>
      <c r="P217" s="20"/>
      <c r="Q217" s="21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ht="15.75" customHeight="1">
      <c r="A218" s="20"/>
      <c r="B218" s="20"/>
      <c r="C218" s="20"/>
      <c r="D218" s="38"/>
      <c r="E218" s="38"/>
      <c r="F218" s="38"/>
      <c r="G218" s="38"/>
      <c r="H218" s="39"/>
      <c r="I218" s="39"/>
      <c r="J218" s="40"/>
      <c r="K218" s="40"/>
      <c r="L218" s="40"/>
      <c r="M218" s="40"/>
      <c r="N218" s="41"/>
      <c r="O218" s="20"/>
      <c r="P218" s="20"/>
      <c r="Q218" s="21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ht="15.75" customHeight="1">
      <c r="A219" s="20"/>
      <c r="B219" s="20"/>
      <c r="C219" s="20"/>
      <c r="D219" s="38"/>
      <c r="E219" s="38"/>
      <c r="F219" s="38"/>
      <c r="G219" s="38"/>
      <c r="H219" s="39"/>
      <c r="I219" s="39"/>
      <c r="J219" s="40"/>
      <c r="K219" s="40"/>
      <c r="L219" s="40"/>
      <c r="M219" s="40"/>
      <c r="N219" s="41"/>
      <c r="O219" s="20"/>
      <c r="P219" s="20"/>
      <c r="Q219" s="21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ht="15.75" customHeight="1">
      <c r="A220" s="20"/>
      <c r="B220" s="20"/>
      <c r="C220" s="20"/>
      <c r="D220" s="38"/>
      <c r="E220" s="38"/>
      <c r="F220" s="38"/>
      <c r="G220" s="38"/>
      <c r="H220" s="39"/>
      <c r="I220" s="39"/>
      <c r="J220" s="40"/>
      <c r="K220" s="40"/>
      <c r="L220" s="40"/>
      <c r="M220" s="40"/>
      <c r="N220" s="41"/>
      <c r="O220" s="20"/>
      <c r="P220" s="20"/>
      <c r="Q220" s="21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ht="15.75" customHeight="1">
      <c r="A221" s="20"/>
      <c r="B221" s="20"/>
      <c r="C221" s="20"/>
      <c r="D221" s="38"/>
      <c r="E221" s="38"/>
      <c r="F221" s="38"/>
      <c r="G221" s="38"/>
      <c r="H221" s="39"/>
      <c r="I221" s="39"/>
      <c r="J221" s="40"/>
      <c r="K221" s="40"/>
      <c r="L221" s="40"/>
      <c r="M221" s="40"/>
      <c r="N221" s="41"/>
      <c r="O221" s="20"/>
      <c r="P221" s="20"/>
      <c r="Q221" s="21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ht="15.75" customHeight="1">
      <c r="A222" s="20"/>
      <c r="B222" s="20"/>
      <c r="C222" s="20"/>
      <c r="D222" s="38"/>
      <c r="E222" s="38"/>
      <c r="F222" s="38"/>
      <c r="G222" s="38"/>
      <c r="H222" s="39"/>
      <c r="I222" s="39"/>
      <c r="J222" s="40"/>
      <c r="K222" s="40"/>
      <c r="L222" s="40"/>
      <c r="M222" s="40"/>
      <c r="N222" s="41"/>
      <c r="O222" s="20"/>
      <c r="P222" s="20"/>
      <c r="Q222" s="21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ht="15.75" customHeight="1">
      <c r="A223" s="20"/>
      <c r="B223" s="20"/>
      <c r="C223" s="20"/>
      <c r="D223" s="38"/>
      <c r="E223" s="38"/>
      <c r="F223" s="38"/>
      <c r="G223" s="38"/>
      <c r="H223" s="39"/>
      <c r="I223" s="39"/>
      <c r="J223" s="40"/>
      <c r="K223" s="40"/>
      <c r="L223" s="40"/>
      <c r="M223" s="40"/>
      <c r="N223" s="41"/>
      <c r="O223" s="20"/>
      <c r="P223" s="20"/>
      <c r="Q223" s="21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ht="15.75" customHeight="1">
      <c r="A224" s="20"/>
      <c r="B224" s="20"/>
      <c r="C224" s="20"/>
      <c r="D224" s="38"/>
      <c r="E224" s="38"/>
      <c r="F224" s="38"/>
      <c r="G224" s="38"/>
      <c r="H224" s="39"/>
      <c r="I224" s="39"/>
      <c r="J224" s="40"/>
      <c r="K224" s="40"/>
      <c r="L224" s="40"/>
      <c r="M224" s="40"/>
      <c r="N224" s="41"/>
      <c r="O224" s="20"/>
      <c r="P224" s="20"/>
      <c r="Q224" s="21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ht="15.75" customHeight="1">
      <c r="A225" s="20"/>
      <c r="B225" s="20"/>
      <c r="C225" s="20"/>
      <c r="D225" s="38"/>
      <c r="E225" s="38"/>
      <c r="F225" s="38"/>
      <c r="G225" s="38"/>
      <c r="H225" s="39"/>
      <c r="I225" s="39"/>
      <c r="J225" s="40"/>
      <c r="K225" s="40"/>
      <c r="L225" s="40"/>
      <c r="M225" s="40"/>
      <c r="N225" s="41"/>
      <c r="O225" s="20"/>
      <c r="P225" s="20"/>
      <c r="Q225" s="21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ht="15.75" customHeight="1">
      <c r="A226" s="20"/>
      <c r="B226" s="20"/>
      <c r="C226" s="20"/>
      <c r="D226" s="38"/>
      <c r="E226" s="38"/>
      <c r="F226" s="38"/>
      <c r="G226" s="38"/>
      <c r="H226" s="39"/>
      <c r="I226" s="39"/>
      <c r="J226" s="40"/>
      <c r="K226" s="40"/>
      <c r="L226" s="40"/>
      <c r="M226" s="40"/>
      <c r="N226" s="41"/>
      <c r="O226" s="20"/>
      <c r="P226" s="20"/>
      <c r="Q226" s="21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ht="15.75" customHeight="1">
      <c r="A227" s="20"/>
      <c r="B227" s="20"/>
      <c r="C227" s="20"/>
      <c r="D227" s="38"/>
      <c r="E227" s="38"/>
      <c r="F227" s="38"/>
      <c r="G227" s="38"/>
      <c r="H227" s="39"/>
      <c r="I227" s="39"/>
      <c r="J227" s="40"/>
      <c r="K227" s="40"/>
      <c r="L227" s="40"/>
      <c r="M227" s="40"/>
      <c r="N227" s="41"/>
      <c r="O227" s="20"/>
      <c r="P227" s="20"/>
      <c r="Q227" s="21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ht="15.75" customHeight="1">
      <c r="A228" s="20"/>
      <c r="B228" s="20"/>
      <c r="C228" s="20"/>
      <c r="D228" s="38"/>
      <c r="E228" s="38"/>
      <c r="F228" s="38"/>
      <c r="G228" s="38"/>
      <c r="H228" s="39"/>
      <c r="I228" s="39"/>
      <c r="J228" s="40"/>
      <c r="K228" s="40"/>
      <c r="L228" s="40"/>
      <c r="M228" s="40"/>
      <c r="N228" s="41"/>
      <c r="O228" s="20"/>
      <c r="P228" s="20"/>
      <c r="Q228" s="21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ht="15.75" customHeight="1">
      <c r="A229" s="20"/>
      <c r="B229" s="20"/>
      <c r="C229" s="20"/>
      <c r="D229" s="38"/>
      <c r="E229" s="38"/>
      <c r="F229" s="38"/>
      <c r="G229" s="38"/>
      <c r="H229" s="39"/>
      <c r="I229" s="39"/>
      <c r="J229" s="40"/>
      <c r="K229" s="40"/>
      <c r="L229" s="40"/>
      <c r="M229" s="40"/>
      <c r="N229" s="41"/>
      <c r="O229" s="20"/>
      <c r="P229" s="20"/>
      <c r="Q229" s="21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ht="15.75" customHeight="1">
      <c r="A230" s="20"/>
      <c r="B230" s="20"/>
      <c r="C230" s="20"/>
      <c r="D230" s="38"/>
      <c r="E230" s="38"/>
      <c r="F230" s="38"/>
      <c r="G230" s="38"/>
      <c r="H230" s="39"/>
      <c r="I230" s="39"/>
      <c r="J230" s="40"/>
      <c r="K230" s="40"/>
      <c r="L230" s="40"/>
      <c r="M230" s="40"/>
      <c r="N230" s="41"/>
      <c r="O230" s="20"/>
      <c r="P230" s="20"/>
      <c r="Q230" s="21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ht="15.75" customHeight="1">
      <c r="A231" s="20"/>
      <c r="B231" s="20"/>
      <c r="C231" s="20"/>
      <c r="D231" s="38"/>
      <c r="E231" s="38"/>
      <c r="F231" s="38"/>
      <c r="G231" s="38"/>
      <c r="H231" s="39"/>
      <c r="I231" s="39"/>
      <c r="J231" s="40"/>
      <c r="K231" s="40"/>
      <c r="L231" s="40"/>
      <c r="M231" s="40"/>
      <c r="N231" s="41"/>
      <c r="O231" s="20"/>
      <c r="P231" s="20"/>
      <c r="Q231" s="21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ht="15.75" customHeight="1">
      <c r="A232" s="20"/>
      <c r="B232" s="20"/>
      <c r="C232" s="20"/>
      <c r="D232" s="38"/>
      <c r="E232" s="38"/>
      <c r="F232" s="38"/>
      <c r="G232" s="38"/>
      <c r="H232" s="39"/>
      <c r="I232" s="39"/>
      <c r="J232" s="40"/>
      <c r="K232" s="40"/>
      <c r="L232" s="40"/>
      <c r="M232" s="40"/>
      <c r="N232" s="41"/>
      <c r="O232" s="20"/>
      <c r="P232" s="20"/>
      <c r="Q232" s="21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ht="15.75" customHeight="1">
      <c r="A233" s="20"/>
      <c r="B233" s="20"/>
      <c r="C233" s="20"/>
      <c r="D233" s="38"/>
      <c r="E233" s="38"/>
      <c r="F233" s="38"/>
      <c r="G233" s="38"/>
      <c r="H233" s="39"/>
      <c r="I233" s="39"/>
      <c r="J233" s="40"/>
      <c r="K233" s="40"/>
      <c r="L233" s="40"/>
      <c r="M233" s="40"/>
      <c r="N233" s="41"/>
      <c r="O233" s="20"/>
      <c r="P233" s="20"/>
      <c r="Q233" s="21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ht="15.75" customHeight="1">
      <c r="A234" s="20"/>
      <c r="B234" s="20"/>
      <c r="C234" s="20"/>
      <c r="D234" s="38"/>
      <c r="E234" s="38"/>
      <c r="F234" s="38"/>
      <c r="G234" s="38"/>
      <c r="H234" s="39"/>
      <c r="I234" s="39"/>
      <c r="J234" s="40"/>
      <c r="K234" s="40"/>
      <c r="L234" s="40"/>
      <c r="M234" s="40"/>
      <c r="N234" s="41"/>
      <c r="O234" s="20"/>
      <c r="P234" s="20"/>
      <c r="Q234" s="21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ht="15.75" customHeight="1">
      <c r="A235" s="20"/>
      <c r="B235" s="20"/>
      <c r="C235" s="20"/>
      <c r="D235" s="38"/>
      <c r="E235" s="38"/>
      <c r="F235" s="38"/>
      <c r="G235" s="38"/>
      <c r="H235" s="39"/>
      <c r="I235" s="39"/>
      <c r="J235" s="40"/>
      <c r="K235" s="40"/>
      <c r="L235" s="40"/>
      <c r="M235" s="40"/>
      <c r="N235" s="41"/>
      <c r="O235" s="20"/>
      <c r="P235" s="20"/>
      <c r="Q235" s="21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ht="15.75" customHeight="1">
      <c r="A236" s="20"/>
      <c r="B236" s="20"/>
      <c r="C236" s="20"/>
      <c r="D236" s="38"/>
      <c r="E236" s="38"/>
      <c r="F236" s="38"/>
      <c r="G236" s="38"/>
      <c r="H236" s="39"/>
      <c r="I236" s="39"/>
      <c r="J236" s="40"/>
      <c r="K236" s="40"/>
      <c r="L236" s="40"/>
      <c r="M236" s="40"/>
      <c r="N236" s="41"/>
      <c r="O236" s="20"/>
      <c r="P236" s="20"/>
      <c r="Q236" s="21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ht="15.75" customHeight="1">
      <c r="A237" s="20"/>
      <c r="B237" s="20"/>
      <c r="C237" s="20"/>
      <c r="D237" s="38"/>
      <c r="E237" s="38"/>
      <c r="F237" s="38"/>
      <c r="G237" s="38"/>
      <c r="H237" s="39"/>
      <c r="I237" s="39"/>
      <c r="J237" s="40"/>
      <c r="K237" s="40"/>
      <c r="L237" s="40"/>
      <c r="M237" s="40"/>
      <c r="N237" s="41"/>
      <c r="O237" s="20"/>
      <c r="P237" s="20"/>
      <c r="Q237" s="21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ht="15.75" customHeight="1">
      <c r="A238" s="20"/>
      <c r="B238" s="20"/>
      <c r="C238" s="20"/>
      <c r="D238" s="38"/>
      <c r="E238" s="38"/>
      <c r="F238" s="38"/>
      <c r="G238" s="38"/>
      <c r="H238" s="39"/>
      <c r="I238" s="39"/>
      <c r="J238" s="40"/>
      <c r="K238" s="40"/>
      <c r="L238" s="40"/>
      <c r="M238" s="40"/>
      <c r="N238" s="41"/>
      <c r="O238" s="20"/>
      <c r="P238" s="20"/>
      <c r="Q238" s="21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ht="15.75" customHeight="1">
      <c r="A239" s="20"/>
      <c r="B239" s="20"/>
      <c r="C239" s="20"/>
      <c r="D239" s="38"/>
      <c r="E239" s="38"/>
      <c r="F239" s="38"/>
      <c r="G239" s="38"/>
      <c r="H239" s="39"/>
      <c r="I239" s="39"/>
      <c r="J239" s="40"/>
      <c r="K239" s="40"/>
      <c r="L239" s="40"/>
      <c r="M239" s="40"/>
      <c r="N239" s="41"/>
      <c r="O239" s="20"/>
      <c r="P239" s="20"/>
      <c r="Q239" s="21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ht="15.75" customHeight="1">
      <c r="A240" s="20"/>
      <c r="B240" s="20"/>
      <c r="C240" s="20"/>
      <c r="D240" s="38"/>
      <c r="E240" s="38"/>
      <c r="F240" s="38"/>
      <c r="G240" s="38"/>
      <c r="H240" s="39"/>
      <c r="I240" s="39"/>
      <c r="J240" s="40"/>
      <c r="K240" s="40"/>
      <c r="L240" s="40"/>
      <c r="M240" s="40"/>
      <c r="N240" s="41"/>
      <c r="O240" s="20"/>
      <c r="P240" s="20"/>
      <c r="Q240" s="21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ht="15.75" customHeight="1">
      <c r="A241" s="20"/>
      <c r="B241" s="20"/>
      <c r="C241" s="20"/>
      <c r="D241" s="38"/>
      <c r="E241" s="38"/>
      <c r="F241" s="38"/>
      <c r="G241" s="38"/>
      <c r="H241" s="39"/>
      <c r="I241" s="39"/>
      <c r="J241" s="40"/>
      <c r="K241" s="40"/>
      <c r="L241" s="40"/>
      <c r="M241" s="40"/>
      <c r="N241" s="41"/>
      <c r="O241" s="20"/>
      <c r="P241" s="20"/>
      <c r="Q241" s="21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ht="15.75" customHeight="1">
      <c r="A242" s="20"/>
      <c r="B242" s="20"/>
      <c r="C242" s="20"/>
      <c r="D242" s="38"/>
      <c r="E242" s="38"/>
      <c r="F242" s="38"/>
      <c r="G242" s="38"/>
      <c r="H242" s="39"/>
      <c r="I242" s="39"/>
      <c r="J242" s="40"/>
      <c r="K242" s="40"/>
      <c r="L242" s="40"/>
      <c r="M242" s="40"/>
      <c r="N242" s="41"/>
      <c r="O242" s="20"/>
      <c r="P242" s="20"/>
      <c r="Q242" s="21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ht="15.75" customHeight="1">
      <c r="A243" s="20"/>
      <c r="B243" s="20"/>
      <c r="C243" s="20"/>
      <c r="D243" s="38"/>
      <c r="E243" s="38"/>
      <c r="F243" s="38"/>
      <c r="G243" s="38"/>
      <c r="H243" s="39"/>
      <c r="I243" s="39"/>
      <c r="J243" s="40"/>
      <c r="K243" s="40"/>
      <c r="L243" s="40"/>
      <c r="M243" s="40"/>
      <c r="N243" s="41"/>
      <c r="O243" s="20"/>
      <c r="P243" s="20"/>
      <c r="Q243" s="21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ht="15.75" customHeight="1">
      <c r="A244" s="20"/>
      <c r="B244" s="20"/>
      <c r="C244" s="20"/>
      <c r="D244" s="38"/>
      <c r="E244" s="38"/>
      <c r="F244" s="38"/>
      <c r="G244" s="38"/>
      <c r="H244" s="39"/>
      <c r="I244" s="39"/>
      <c r="J244" s="40"/>
      <c r="K244" s="40"/>
      <c r="L244" s="40"/>
      <c r="M244" s="40"/>
      <c r="N244" s="41"/>
      <c r="O244" s="20"/>
      <c r="P244" s="20"/>
      <c r="Q244" s="21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ht="15.75" customHeight="1">
      <c r="A245" s="20"/>
      <c r="B245" s="20"/>
      <c r="C245" s="20"/>
      <c r="D245" s="38"/>
      <c r="E245" s="38"/>
      <c r="F245" s="38"/>
      <c r="G245" s="38"/>
      <c r="H245" s="39"/>
      <c r="I245" s="39"/>
      <c r="J245" s="40"/>
      <c r="K245" s="40"/>
      <c r="L245" s="40"/>
      <c r="M245" s="40"/>
      <c r="N245" s="41"/>
      <c r="O245" s="20"/>
      <c r="P245" s="20"/>
      <c r="Q245" s="21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ht="15.75" customHeight="1">
      <c r="A246" s="20"/>
      <c r="B246" s="20"/>
      <c r="C246" s="20"/>
      <c r="D246" s="38"/>
      <c r="E246" s="38"/>
      <c r="F246" s="38"/>
      <c r="G246" s="38"/>
      <c r="H246" s="39"/>
      <c r="I246" s="39"/>
      <c r="J246" s="40"/>
      <c r="K246" s="40"/>
      <c r="L246" s="40"/>
      <c r="M246" s="40"/>
      <c r="N246" s="41"/>
      <c r="O246" s="20"/>
      <c r="P246" s="20"/>
      <c r="Q246" s="21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ht="15.75" customHeight="1">
      <c r="A247" s="20"/>
      <c r="B247" s="20"/>
      <c r="C247" s="20"/>
      <c r="D247" s="38"/>
      <c r="E247" s="38"/>
      <c r="F247" s="38"/>
      <c r="G247" s="38"/>
      <c r="H247" s="39"/>
      <c r="I247" s="39"/>
      <c r="J247" s="40"/>
      <c r="K247" s="40"/>
      <c r="L247" s="40"/>
      <c r="M247" s="40"/>
      <c r="N247" s="41"/>
      <c r="O247" s="20"/>
      <c r="P247" s="20"/>
      <c r="Q247" s="21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ht="15.75" customHeight="1">
      <c r="A248" s="20"/>
      <c r="B248" s="20"/>
      <c r="C248" s="20"/>
      <c r="D248" s="38"/>
      <c r="E248" s="38"/>
      <c r="F248" s="38"/>
      <c r="G248" s="38"/>
      <c r="H248" s="39"/>
      <c r="I248" s="39"/>
      <c r="J248" s="40"/>
      <c r="K248" s="40"/>
      <c r="L248" s="40"/>
      <c r="M248" s="40"/>
      <c r="N248" s="41"/>
      <c r="O248" s="20"/>
      <c r="P248" s="20"/>
      <c r="Q248" s="21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ht="15.75" customHeight="1">
      <c r="A249" s="20"/>
      <c r="B249" s="20"/>
      <c r="C249" s="20"/>
      <c r="D249" s="38"/>
      <c r="E249" s="38"/>
      <c r="F249" s="38"/>
      <c r="G249" s="38"/>
      <c r="H249" s="39"/>
      <c r="I249" s="39"/>
      <c r="J249" s="40"/>
      <c r="K249" s="40"/>
      <c r="L249" s="40"/>
      <c r="M249" s="40"/>
      <c r="N249" s="41"/>
      <c r="O249" s="20"/>
      <c r="P249" s="20"/>
      <c r="Q249" s="21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ht="15.75" customHeight="1">
      <c r="A250" s="20"/>
      <c r="B250" s="20"/>
      <c r="C250" s="20"/>
      <c r="D250" s="38"/>
      <c r="E250" s="38"/>
      <c r="F250" s="38"/>
      <c r="G250" s="38"/>
      <c r="H250" s="39"/>
      <c r="I250" s="39"/>
      <c r="J250" s="40"/>
      <c r="K250" s="40"/>
      <c r="L250" s="40"/>
      <c r="M250" s="40"/>
      <c r="N250" s="41"/>
      <c r="O250" s="20"/>
      <c r="P250" s="20"/>
      <c r="Q250" s="21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ht="15.75" customHeight="1">
      <c r="A251" s="20"/>
      <c r="B251" s="20"/>
      <c r="C251" s="20"/>
      <c r="D251" s="38"/>
      <c r="E251" s="38"/>
      <c r="F251" s="38"/>
      <c r="G251" s="38"/>
      <c r="H251" s="39"/>
      <c r="I251" s="39"/>
      <c r="J251" s="40"/>
      <c r="K251" s="40"/>
      <c r="L251" s="40"/>
      <c r="M251" s="40"/>
      <c r="N251" s="41"/>
      <c r="O251" s="20"/>
      <c r="P251" s="20"/>
      <c r="Q251" s="21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ht="15.75" customHeight="1">
      <c r="A252" s="20"/>
      <c r="B252" s="20"/>
      <c r="C252" s="20"/>
      <c r="D252" s="38"/>
      <c r="E252" s="38"/>
      <c r="F252" s="38"/>
      <c r="G252" s="38"/>
      <c r="H252" s="39"/>
      <c r="I252" s="39"/>
      <c r="J252" s="40"/>
      <c r="K252" s="40"/>
      <c r="L252" s="40"/>
      <c r="M252" s="40"/>
      <c r="N252" s="41"/>
      <c r="O252" s="20"/>
      <c r="P252" s="20"/>
      <c r="Q252" s="21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ht="15.75" customHeight="1">
      <c r="A253" s="20"/>
      <c r="B253" s="20"/>
      <c r="C253" s="20"/>
      <c r="D253" s="38"/>
      <c r="E253" s="38"/>
      <c r="F253" s="38"/>
      <c r="G253" s="38"/>
      <c r="H253" s="39"/>
      <c r="I253" s="39"/>
      <c r="J253" s="40"/>
      <c r="K253" s="40"/>
      <c r="L253" s="40"/>
      <c r="M253" s="40"/>
      <c r="N253" s="41"/>
      <c r="O253" s="20"/>
      <c r="P253" s="20"/>
      <c r="Q253" s="21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ht="15.75" customHeight="1">
      <c r="A254" s="20"/>
      <c r="B254" s="20"/>
      <c r="C254" s="20"/>
      <c r="D254" s="38"/>
      <c r="E254" s="38"/>
      <c r="F254" s="38"/>
      <c r="G254" s="38"/>
      <c r="H254" s="39"/>
      <c r="I254" s="39"/>
      <c r="J254" s="40"/>
      <c r="K254" s="40"/>
      <c r="L254" s="40"/>
      <c r="M254" s="40"/>
      <c r="N254" s="41"/>
      <c r="O254" s="20"/>
      <c r="P254" s="20"/>
      <c r="Q254" s="21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ht="15.75" customHeight="1">
      <c r="A255" s="20"/>
      <c r="B255" s="20"/>
      <c r="C255" s="20"/>
      <c r="D255" s="38"/>
      <c r="E255" s="38"/>
      <c r="F255" s="38"/>
      <c r="G255" s="38"/>
      <c r="H255" s="39"/>
      <c r="I255" s="39"/>
      <c r="J255" s="40"/>
      <c r="K255" s="40"/>
      <c r="L255" s="40"/>
      <c r="M255" s="40"/>
      <c r="N255" s="41"/>
      <c r="O255" s="20"/>
      <c r="P255" s="20"/>
      <c r="Q255" s="21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ht="15.75" customHeight="1">
      <c r="A256" s="20"/>
      <c r="B256" s="20"/>
      <c r="C256" s="20"/>
      <c r="D256" s="38"/>
      <c r="E256" s="38"/>
      <c r="F256" s="38"/>
      <c r="G256" s="38"/>
      <c r="H256" s="39"/>
      <c r="I256" s="39"/>
      <c r="J256" s="40"/>
      <c r="K256" s="40"/>
      <c r="L256" s="40"/>
      <c r="M256" s="40"/>
      <c r="N256" s="41"/>
      <c r="O256" s="20"/>
      <c r="P256" s="20"/>
      <c r="Q256" s="21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ht="15.75" customHeight="1">
      <c r="A257" s="20"/>
      <c r="B257" s="20"/>
      <c r="C257" s="20"/>
      <c r="D257" s="38"/>
      <c r="E257" s="38"/>
      <c r="F257" s="38"/>
      <c r="G257" s="38"/>
      <c r="H257" s="39"/>
      <c r="I257" s="39"/>
      <c r="J257" s="40"/>
      <c r="K257" s="40"/>
      <c r="L257" s="40"/>
      <c r="M257" s="40"/>
      <c r="N257" s="41"/>
      <c r="O257" s="20"/>
      <c r="P257" s="20"/>
      <c r="Q257" s="21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ht="15.75" customHeight="1">
      <c r="A258" s="20"/>
      <c r="B258" s="20"/>
      <c r="C258" s="20"/>
      <c r="D258" s="38"/>
      <c r="E258" s="38"/>
      <c r="F258" s="38"/>
      <c r="G258" s="38"/>
      <c r="H258" s="39"/>
      <c r="I258" s="39"/>
      <c r="J258" s="40"/>
      <c r="K258" s="40"/>
      <c r="L258" s="40"/>
      <c r="M258" s="40"/>
      <c r="N258" s="41"/>
      <c r="O258" s="20"/>
      <c r="P258" s="20"/>
      <c r="Q258" s="21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ht="15.75" customHeight="1">
      <c r="A259" s="20"/>
      <c r="B259" s="20"/>
      <c r="C259" s="20"/>
      <c r="D259" s="38"/>
      <c r="E259" s="38"/>
      <c r="F259" s="38"/>
      <c r="G259" s="38"/>
      <c r="H259" s="39"/>
      <c r="I259" s="39"/>
      <c r="J259" s="40"/>
      <c r="K259" s="40"/>
      <c r="L259" s="40"/>
      <c r="M259" s="40"/>
      <c r="N259" s="41"/>
      <c r="O259" s="20"/>
      <c r="P259" s="20"/>
      <c r="Q259" s="21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ht="15.75" customHeight="1">
      <c r="A260" s="20"/>
      <c r="B260" s="20"/>
      <c r="C260" s="20"/>
      <c r="D260" s="38"/>
      <c r="E260" s="38"/>
      <c r="F260" s="38"/>
      <c r="G260" s="38"/>
      <c r="H260" s="39"/>
      <c r="I260" s="39"/>
      <c r="J260" s="40"/>
      <c r="K260" s="40"/>
      <c r="L260" s="40"/>
      <c r="M260" s="40"/>
      <c r="N260" s="41"/>
      <c r="O260" s="20"/>
      <c r="P260" s="20"/>
      <c r="Q260" s="21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ht="15.75" customHeight="1">
      <c r="A261" s="20"/>
      <c r="B261" s="20"/>
      <c r="C261" s="20"/>
      <c r="D261" s="38"/>
      <c r="E261" s="38"/>
      <c r="F261" s="38"/>
      <c r="G261" s="38"/>
      <c r="H261" s="39"/>
      <c r="I261" s="39"/>
      <c r="J261" s="40"/>
      <c r="K261" s="40"/>
      <c r="L261" s="40"/>
      <c r="M261" s="40"/>
      <c r="N261" s="41"/>
      <c r="O261" s="20"/>
      <c r="P261" s="20"/>
      <c r="Q261" s="21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ht="15.75" customHeight="1">
      <c r="A262" s="20"/>
      <c r="B262" s="20"/>
      <c r="C262" s="20"/>
      <c r="D262" s="38"/>
      <c r="E262" s="38"/>
      <c r="F262" s="38"/>
      <c r="G262" s="38"/>
      <c r="H262" s="39"/>
      <c r="I262" s="39"/>
      <c r="J262" s="40"/>
      <c r="K262" s="40"/>
      <c r="L262" s="40"/>
      <c r="M262" s="40"/>
      <c r="N262" s="41"/>
      <c r="O262" s="20"/>
      <c r="P262" s="20"/>
      <c r="Q262" s="21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ht="15.75" customHeight="1">
      <c r="A263" s="20"/>
      <c r="B263" s="20"/>
      <c r="C263" s="20"/>
      <c r="D263" s="38"/>
      <c r="E263" s="38"/>
      <c r="F263" s="38"/>
      <c r="G263" s="38"/>
      <c r="H263" s="39"/>
      <c r="I263" s="39"/>
      <c r="J263" s="40"/>
      <c r="K263" s="40"/>
      <c r="L263" s="40"/>
      <c r="M263" s="40"/>
      <c r="N263" s="41"/>
      <c r="O263" s="20"/>
      <c r="P263" s="20"/>
      <c r="Q263" s="21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ht="15.75" customHeight="1">
      <c r="A264" s="20"/>
      <c r="B264" s="20"/>
      <c r="C264" s="20"/>
      <c r="D264" s="38"/>
      <c r="E264" s="38"/>
      <c r="F264" s="38"/>
      <c r="G264" s="38"/>
      <c r="H264" s="39"/>
      <c r="I264" s="39"/>
      <c r="J264" s="40"/>
      <c r="K264" s="40"/>
      <c r="L264" s="40"/>
      <c r="M264" s="40"/>
      <c r="N264" s="41"/>
      <c r="O264" s="20"/>
      <c r="P264" s="20"/>
      <c r="Q264" s="21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ht="15.75" customHeight="1">
      <c r="A265" s="20"/>
      <c r="B265" s="20"/>
      <c r="C265" s="20"/>
      <c r="D265" s="38"/>
      <c r="E265" s="38"/>
      <c r="F265" s="38"/>
      <c r="G265" s="38"/>
      <c r="H265" s="39"/>
      <c r="I265" s="39"/>
      <c r="J265" s="40"/>
      <c r="K265" s="40"/>
      <c r="L265" s="40"/>
      <c r="M265" s="40"/>
      <c r="N265" s="41"/>
      <c r="O265" s="20"/>
      <c r="P265" s="20"/>
      <c r="Q265" s="21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ht="15.75" customHeight="1">
      <c r="A266" s="20"/>
      <c r="B266" s="20"/>
      <c r="C266" s="20"/>
      <c r="D266" s="38"/>
      <c r="E266" s="38"/>
      <c r="F266" s="38"/>
      <c r="G266" s="38"/>
      <c r="H266" s="39"/>
      <c r="I266" s="39"/>
      <c r="J266" s="40"/>
      <c r="K266" s="40"/>
      <c r="L266" s="40"/>
      <c r="M266" s="40"/>
      <c r="N266" s="41"/>
      <c r="O266" s="20"/>
      <c r="P266" s="20"/>
      <c r="Q266" s="21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ht="15.75" customHeight="1">
      <c r="A267" s="20"/>
      <c r="B267" s="20"/>
      <c r="C267" s="20"/>
      <c r="D267" s="38"/>
      <c r="E267" s="38"/>
      <c r="F267" s="38"/>
      <c r="G267" s="38"/>
      <c r="H267" s="39"/>
      <c r="I267" s="39"/>
      <c r="J267" s="40"/>
      <c r="K267" s="40"/>
      <c r="L267" s="40"/>
      <c r="M267" s="40"/>
      <c r="N267" s="41"/>
      <c r="O267" s="20"/>
      <c r="P267" s="20"/>
      <c r="Q267" s="21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ht="15.75" customHeight="1">
      <c r="A268" s="20"/>
      <c r="B268" s="20"/>
      <c r="C268" s="20"/>
      <c r="D268" s="38"/>
      <c r="E268" s="38"/>
      <c r="F268" s="38"/>
      <c r="G268" s="38"/>
      <c r="H268" s="39"/>
      <c r="I268" s="39"/>
      <c r="J268" s="40"/>
      <c r="K268" s="40"/>
      <c r="L268" s="40"/>
      <c r="M268" s="40"/>
      <c r="N268" s="41"/>
      <c r="O268" s="20"/>
      <c r="P268" s="20"/>
      <c r="Q268" s="21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ht="15.75" customHeight="1">
      <c r="A269" s="20"/>
      <c r="B269" s="20"/>
      <c r="C269" s="20"/>
      <c r="D269" s="38"/>
      <c r="E269" s="38"/>
      <c r="F269" s="38"/>
      <c r="G269" s="38"/>
      <c r="H269" s="39"/>
      <c r="I269" s="39"/>
      <c r="J269" s="40"/>
      <c r="K269" s="40"/>
      <c r="L269" s="40"/>
      <c r="M269" s="40"/>
      <c r="N269" s="41"/>
      <c r="O269" s="20"/>
      <c r="P269" s="20"/>
      <c r="Q269" s="21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ht="15.75" customHeight="1">
      <c r="A270" s="20"/>
      <c r="B270" s="20"/>
      <c r="C270" s="20"/>
      <c r="D270" s="38"/>
      <c r="E270" s="38"/>
      <c r="F270" s="38"/>
      <c r="G270" s="38"/>
      <c r="H270" s="39"/>
      <c r="I270" s="39"/>
      <c r="J270" s="40"/>
      <c r="K270" s="40"/>
      <c r="L270" s="40"/>
      <c r="M270" s="40"/>
      <c r="N270" s="41"/>
      <c r="O270" s="20"/>
      <c r="P270" s="20"/>
      <c r="Q270" s="21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ht="15.75" customHeight="1">
      <c r="A271" s="20"/>
      <c r="B271" s="20"/>
      <c r="C271" s="20"/>
      <c r="D271" s="38"/>
      <c r="E271" s="38"/>
      <c r="F271" s="38"/>
      <c r="G271" s="38"/>
      <c r="H271" s="39"/>
      <c r="I271" s="39"/>
      <c r="J271" s="40"/>
      <c r="K271" s="40"/>
      <c r="L271" s="40"/>
      <c r="M271" s="40"/>
      <c r="N271" s="41"/>
      <c r="O271" s="20"/>
      <c r="P271" s="20"/>
      <c r="Q271" s="21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ht="15.75" customHeight="1">
      <c r="A272" s="20"/>
      <c r="B272" s="20"/>
      <c r="C272" s="20"/>
      <c r="D272" s="38"/>
      <c r="E272" s="38"/>
      <c r="F272" s="38"/>
      <c r="G272" s="38"/>
      <c r="H272" s="39"/>
      <c r="I272" s="39"/>
      <c r="J272" s="40"/>
      <c r="K272" s="40"/>
      <c r="L272" s="40"/>
      <c r="M272" s="40"/>
      <c r="N272" s="41"/>
      <c r="O272" s="20"/>
      <c r="P272" s="20"/>
      <c r="Q272" s="21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ht="15.75" customHeight="1">
      <c r="A273" s="20"/>
      <c r="B273" s="20"/>
      <c r="C273" s="20"/>
      <c r="D273" s="38"/>
      <c r="E273" s="38"/>
      <c r="F273" s="38"/>
      <c r="G273" s="38"/>
      <c r="H273" s="39"/>
      <c r="I273" s="39"/>
      <c r="J273" s="40"/>
      <c r="K273" s="40"/>
      <c r="L273" s="40"/>
      <c r="M273" s="40"/>
      <c r="N273" s="41"/>
      <c r="O273" s="20"/>
      <c r="P273" s="20"/>
      <c r="Q273" s="21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ht="15.75" customHeight="1">
      <c r="A274" s="20"/>
      <c r="B274" s="20"/>
      <c r="C274" s="20"/>
      <c r="D274" s="38"/>
      <c r="E274" s="38"/>
      <c r="F274" s="38"/>
      <c r="G274" s="38"/>
      <c r="H274" s="39"/>
      <c r="I274" s="39"/>
      <c r="J274" s="40"/>
      <c r="K274" s="40"/>
      <c r="L274" s="40"/>
      <c r="M274" s="40"/>
      <c r="N274" s="41"/>
      <c r="O274" s="20"/>
      <c r="P274" s="20"/>
      <c r="Q274" s="21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ht="15.75" customHeight="1">
      <c r="A275" s="20"/>
      <c r="B275" s="20"/>
      <c r="C275" s="20"/>
      <c r="D275" s="38"/>
      <c r="E275" s="38"/>
      <c r="F275" s="38"/>
      <c r="G275" s="38"/>
      <c r="H275" s="39"/>
      <c r="I275" s="39"/>
      <c r="J275" s="40"/>
      <c r="K275" s="40"/>
      <c r="L275" s="40"/>
      <c r="M275" s="40"/>
      <c r="N275" s="41"/>
      <c r="O275" s="20"/>
      <c r="P275" s="20"/>
      <c r="Q275" s="21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ht="15.75" customHeight="1">
      <c r="A276" s="20"/>
      <c r="B276" s="20"/>
      <c r="C276" s="20"/>
      <c r="D276" s="38"/>
      <c r="E276" s="38"/>
      <c r="F276" s="38"/>
      <c r="G276" s="38"/>
      <c r="H276" s="39"/>
      <c r="I276" s="39"/>
      <c r="J276" s="40"/>
      <c r="K276" s="40"/>
      <c r="L276" s="40"/>
      <c r="M276" s="40"/>
      <c r="N276" s="41"/>
      <c r="O276" s="20"/>
      <c r="P276" s="20"/>
      <c r="Q276" s="21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ht="15.75" customHeight="1">
      <c r="A277" s="20"/>
      <c r="B277" s="20"/>
      <c r="C277" s="20"/>
      <c r="D277" s="38"/>
      <c r="E277" s="38"/>
      <c r="F277" s="38"/>
      <c r="G277" s="38"/>
      <c r="H277" s="39"/>
      <c r="I277" s="39"/>
      <c r="J277" s="40"/>
      <c r="K277" s="40"/>
      <c r="L277" s="40"/>
      <c r="M277" s="40"/>
      <c r="N277" s="41"/>
      <c r="O277" s="20"/>
      <c r="P277" s="20"/>
      <c r="Q277" s="21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ht="15.75" customHeight="1">
      <c r="A278" s="20"/>
      <c r="B278" s="20"/>
      <c r="C278" s="20"/>
      <c r="D278" s="38"/>
      <c r="E278" s="38"/>
      <c r="F278" s="38"/>
      <c r="G278" s="38"/>
      <c r="H278" s="39"/>
      <c r="I278" s="39"/>
      <c r="J278" s="40"/>
      <c r="K278" s="40"/>
      <c r="L278" s="40"/>
      <c r="M278" s="40"/>
      <c r="N278" s="41"/>
      <c r="O278" s="20"/>
      <c r="P278" s="20"/>
      <c r="Q278" s="21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ht="15.75" customHeight="1">
      <c r="A279" s="20"/>
      <c r="B279" s="20"/>
      <c r="C279" s="20"/>
      <c r="D279" s="38"/>
      <c r="E279" s="38"/>
      <c r="F279" s="38"/>
      <c r="G279" s="38"/>
      <c r="H279" s="39"/>
      <c r="I279" s="39"/>
      <c r="J279" s="40"/>
      <c r="K279" s="40"/>
      <c r="L279" s="40"/>
      <c r="M279" s="40"/>
      <c r="N279" s="41"/>
      <c r="O279" s="20"/>
      <c r="P279" s="20"/>
      <c r="Q279" s="21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ht="15.75" customHeight="1">
      <c r="A280" s="20"/>
      <c r="B280" s="20"/>
      <c r="C280" s="20"/>
      <c r="D280" s="38"/>
      <c r="E280" s="38"/>
      <c r="F280" s="38"/>
      <c r="G280" s="38"/>
      <c r="H280" s="39"/>
      <c r="I280" s="39"/>
      <c r="J280" s="40"/>
      <c r="K280" s="40"/>
      <c r="L280" s="40"/>
      <c r="M280" s="40"/>
      <c r="N280" s="41"/>
      <c r="O280" s="20"/>
      <c r="P280" s="20"/>
      <c r="Q280" s="21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ht="15.75" customHeight="1">
      <c r="A281" s="20"/>
      <c r="B281" s="20"/>
      <c r="C281" s="20"/>
      <c r="D281" s="38"/>
      <c r="E281" s="38"/>
      <c r="F281" s="38"/>
      <c r="G281" s="38"/>
      <c r="H281" s="39"/>
      <c r="I281" s="39"/>
      <c r="J281" s="40"/>
      <c r="K281" s="40"/>
      <c r="L281" s="40"/>
      <c r="M281" s="40"/>
      <c r="N281" s="41"/>
      <c r="O281" s="20"/>
      <c r="P281" s="20"/>
      <c r="Q281" s="21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ht="15.75" customHeight="1">
      <c r="A282" s="20"/>
      <c r="B282" s="20"/>
      <c r="C282" s="20"/>
      <c r="D282" s="38"/>
      <c r="E282" s="38"/>
      <c r="F282" s="38"/>
      <c r="G282" s="38"/>
      <c r="H282" s="39"/>
      <c r="I282" s="39"/>
      <c r="J282" s="40"/>
      <c r="K282" s="40"/>
      <c r="L282" s="40"/>
      <c r="M282" s="40"/>
      <c r="N282" s="41"/>
      <c r="O282" s="20"/>
      <c r="P282" s="20"/>
      <c r="Q282" s="21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ht="15.75" customHeight="1">
      <c r="A283" s="20"/>
      <c r="B283" s="20"/>
      <c r="C283" s="20"/>
      <c r="D283" s="38"/>
      <c r="E283" s="38"/>
      <c r="F283" s="38"/>
      <c r="G283" s="38"/>
      <c r="H283" s="39"/>
      <c r="I283" s="39"/>
      <c r="J283" s="40"/>
      <c r="K283" s="40"/>
      <c r="L283" s="40"/>
      <c r="M283" s="40"/>
      <c r="N283" s="41"/>
      <c r="O283" s="20"/>
      <c r="P283" s="20"/>
      <c r="Q283" s="21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ht="15.75" customHeight="1">
      <c r="A284" s="20"/>
      <c r="B284" s="20"/>
      <c r="C284" s="20"/>
      <c r="D284" s="38"/>
      <c r="E284" s="38"/>
      <c r="F284" s="38"/>
      <c r="G284" s="38"/>
      <c r="H284" s="39"/>
      <c r="I284" s="39"/>
      <c r="J284" s="40"/>
      <c r="K284" s="40"/>
      <c r="L284" s="40"/>
      <c r="M284" s="40"/>
      <c r="N284" s="41"/>
      <c r="O284" s="20"/>
      <c r="P284" s="20"/>
      <c r="Q284" s="21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ht="15.75" customHeight="1">
      <c r="A285" s="20"/>
      <c r="B285" s="20"/>
      <c r="C285" s="20"/>
      <c r="D285" s="38"/>
      <c r="E285" s="38"/>
      <c r="F285" s="38"/>
      <c r="G285" s="38"/>
      <c r="H285" s="39"/>
      <c r="I285" s="39"/>
      <c r="J285" s="40"/>
      <c r="K285" s="40"/>
      <c r="L285" s="40"/>
      <c r="M285" s="40"/>
      <c r="N285" s="41"/>
      <c r="O285" s="20"/>
      <c r="P285" s="20"/>
      <c r="Q285" s="21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ht="15.75" customHeight="1">
      <c r="A286" s="20"/>
      <c r="B286" s="20"/>
      <c r="C286" s="20"/>
      <c r="D286" s="38"/>
      <c r="E286" s="38"/>
      <c r="F286" s="38"/>
      <c r="G286" s="38"/>
      <c r="H286" s="39"/>
      <c r="I286" s="39"/>
      <c r="J286" s="40"/>
      <c r="K286" s="40"/>
      <c r="L286" s="40"/>
      <c r="M286" s="40"/>
      <c r="N286" s="41"/>
      <c r="O286" s="20"/>
      <c r="P286" s="20"/>
      <c r="Q286" s="21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ht="15.75" customHeight="1">
      <c r="A287" s="20"/>
      <c r="B287" s="20"/>
      <c r="C287" s="20"/>
      <c r="D287" s="38"/>
      <c r="E287" s="38"/>
      <c r="F287" s="38"/>
      <c r="G287" s="38"/>
      <c r="H287" s="39"/>
      <c r="I287" s="39"/>
      <c r="J287" s="40"/>
      <c r="K287" s="40"/>
      <c r="L287" s="40"/>
      <c r="M287" s="40"/>
      <c r="N287" s="41"/>
      <c r="O287" s="20"/>
      <c r="P287" s="20"/>
      <c r="Q287" s="21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ht="15.75" customHeight="1">
      <c r="A288" s="20"/>
      <c r="B288" s="20"/>
      <c r="C288" s="20"/>
      <c r="D288" s="38"/>
      <c r="E288" s="38"/>
      <c r="F288" s="38"/>
      <c r="G288" s="38"/>
      <c r="H288" s="39"/>
      <c r="I288" s="39"/>
      <c r="J288" s="40"/>
      <c r="K288" s="40"/>
      <c r="L288" s="40"/>
      <c r="M288" s="40"/>
      <c r="N288" s="41"/>
      <c r="O288" s="20"/>
      <c r="P288" s="20"/>
      <c r="Q288" s="21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ht="15.75" customHeight="1">
      <c r="A289" s="20"/>
      <c r="B289" s="20"/>
      <c r="C289" s="20"/>
      <c r="D289" s="38"/>
      <c r="E289" s="38"/>
      <c r="F289" s="38"/>
      <c r="G289" s="38"/>
      <c r="H289" s="39"/>
      <c r="I289" s="39"/>
      <c r="J289" s="40"/>
      <c r="K289" s="40"/>
      <c r="L289" s="40"/>
      <c r="M289" s="40"/>
      <c r="N289" s="41"/>
      <c r="O289" s="20"/>
      <c r="P289" s="20"/>
      <c r="Q289" s="21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ht="15.75" customHeight="1">
      <c r="A290" s="20"/>
      <c r="B290" s="20"/>
      <c r="C290" s="20"/>
      <c r="D290" s="38"/>
      <c r="E290" s="38"/>
      <c r="F290" s="38"/>
      <c r="G290" s="38"/>
      <c r="H290" s="39"/>
      <c r="I290" s="39"/>
      <c r="J290" s="40"/>
      <c r="K290" s="40"/>
      <c r="L290" s="40"/>
      <c r="M290" s="40"/>
      <c r="N290" s="41"/>
      <c r="O290" s="20"/>
      <c r="P290" s="20"/>
      <c r="Q290" s="21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ht="15.75" customHeight="1">
      <c r="A291" s="20"/>
      <c r="B291" s="20"/>
      <c r="C291" s="20"/>
      <c r="D291" s="38"/>
      <c r="E291" s="38"/>
      <c r="F291" s="38"/>
      <c r="G291" s="38"/>
      <c r="H291" s="39"/>
      <c r="I291" s="39"/>
      <c r="J291" s="40"/>
      <c r="K291" s="40"/>
      <c r="L291" s="40"/>
      <c r="M291" s="40"/>
      <c r="N291" s="41"/>
      <c r="O291" s="20"/>
      <c r="P291" s="20"/>
      <c r="Q291" s="21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ht="15.75" customHeight="1">
      <c r="A292" s="20"/>
      <c r="B292" s="20"/>
      <c r="C292" s="20"/>
      <c r="D292" s="38"/>
      <c r="E292" s="38"/>
      <c r="F292" s="38"/>
      <c r="G292" s="38"/>
      <c r="H292" s="39"/>
      <c r="I292" s="39"/>
      <c r="J292" s="40"/>
      <c r="K292" s="40"/>
      <c r="L292" s="40"/>
      <c r="M292" s="40"/>
      <c r="N292" s="41"/>
      <c r="O292" s="20"/>
      <c r="P292" s="20"/>
      <c r="Q292" s="21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ht="15.75" customHeight="1">
      <c r="A293" s="20"/>
      <c r="B293" s="20"/>
      <c r="C293" s="20"/>
      <c r="D293" s="38"/>
      <c r="E293" s="38"/>
      <c r="F293" s="38"/>
      <c r="G293" s="38"/>
      <c r="H293" s="39"/>
      <c r="I293" s="39"/>
      <c r="J293" s="40"/>
      <c r="K293" s="40"/>
      <c r="L293" s="40"/>
      <c r="M293" s="40"/>
      <c r="N293" s="41"/>
      <c r="O293" s="20"/>
      <c r="P293" s="20"/>
      <c r="Q293" s="21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ht="15.75" customHeight="1">
      <c r="A294" s="20"/>
      <c r="B294" s="20"/>
      <c r="C294" s="20"/>
      <c r="D294" s="38"/>
      <c r="E294" s="38"/>
      <c r="F294" s="38"/>
      <c r="G294" s="38"/>
      <c r="H294" s="39"/>
      <c r="I294" s="39"/>
      <c r="J294" s="40"/>
      <c r="K294" s="40"/>
      <c r="L294" s="40"/>
      <c r="M294" s="40"/>
      <c r="N294" s="41"/>
      <c r="O294" s="20"/>
      <c r="P294" s="20"/>
      <c r="Q294" s="21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ht="15.75" customHeight="1">
      <c r="A295" s="20"/>
      <c r="B295" s="20"/>
      <c r="C295" s="20"/>
      <c r="D295" s="38"/>
      <c r="E295" s="38"/>
      <c r="F295" s="38"/>
      <c r="G295" s="38"/>
      <c r="H295" s="39"/>
      <c r="I295" s="39"/>
      <c r="J295" s="40"/>
      <c r="K295" s="40"/>
      <c r="L295" s="40"/>
      <c r="M295" s="40"/>
      <c r="N295" s="41"/>
      <c r="O295" s="20"/>
      <c r="P295" s="20"/>
      <c r="Q295" s="21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ht="15.75" customHeight="1">
      <c r="A296" s="20"/>
      <c r="B296" s="20"/>
      <c r="C296" s="20"/>
      <c r="D296" s="38"/>
      <c r="E296" s="38"/>
      <c r="F296" s="38"/>
      <c r="G296" s="38"/>
      <c r="H296" s="39"/>
      <c r="I296" s="39"/>
      <c r="J296" s="40"/>
      <c r="K296" s="40"/>
      <c r="L296" s="40"/>
      <c r="M296" s="40"/>
      <c r="N296" s="41"/>
      <c r="O296" s="20"/>
      <c r="P296" s="20"/>
      <c r="Q296" s="21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ht="15.75" customHeight="1">
      <c r="A297" s="20"/>
      <c r="B297" s="20"/>
      <c r="C297" s="20"/>
      <c r="D297" s="38"/>
      <c r="E297" s="38"/>
      <c r="F297" s="38"/>
      <c r="G297" s="38"/>
      <c r="H297" s="39"/>
      <c r="I297" s="39"/>
      <c r="J297" s="40"/>
      <c r="K297" s="40"/>
      <c r="L297" s="40"/>
      <c r="M297" s="40"/>
      <c r="N297" s="41"/>
      <c r="O297" s="20"/>
      <c r="P297" s="20"/>
      <c r="Q297" s="21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ht="15.75" customHeight="1">
      <c r="A298" s="20"/>
      <c r="B298" s="20"/>
      <c r="C298" s="20"/>
      <c r="D298" s="38"/>
      <c r="E298" s="38"/>
      <c r="F298" s="38"/>
      <c r="G298" s="38"/>
      <c r="H298" s="39"/>
      <c r="I298" s="39"/>
      <c r="J298" s="40"/>
      <c r="K298" s="40"/>
      <c r="L298" s="40"/>
      <c r="M298" s="40"/>
      <c r="N298" s="41"/>
      <c r="O298" s="20"/>
      <c r="P298" s="20"/>
      <c r="Q298" s="21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ht="15.75" customHeight="1">
      <c r="A299" s="20"/>
      <c r="B299" s="20"/>
      <c r="C299" s="20"/>
      <c r="D299" s="38"/>
      <c r="E299" s="38"/>
      <c r="F299" s="38"/>
      <c r="G299" s="38"/>
      <c r="H299" s="39"/>
      <c r="I299" s="39"/>
      <c r="J299" s="40"/>
      <c r="K299" s="40"/>
      <c r="L299" s="40"/>
      <c r="M299" s="40"/>
      <c r="N299" s="41"/>
      <c r="O299" s="20"/>
      <c r="P299" s="20"/>
      <c r="Q299" s="21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ht="15.75" customHeight="1">
      <c r="A300" s="20"/>
      <c r="B300" s="20"/>
      <c r="C300" s="20"/>
      <c r="D300" s="38"/>
      <c r="E300" s="38"/>
      <c r="F300" s="38"/>
      <c r="G300" s="38"/>
      <c r="H300" s="39"/>
      <c r="I300" s="39"/>
      <c r="J300" s="40"/>
      <c r="K300" s="40"/>
      <c r="L300" s="40"/>
      <c r="M300" s="40"/>
      <c r="N300" s="41"/>
      <c r="O300" s="20"/>
      <c r="P300" s="20"/>
      <c r="Q300" s="21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ht="15.75" customHeight="1">
      <c r="A301" s="20"/>
      <c r="B301" s="20"/>
      <c r="C301" s="20"/>
      <c r="D301" s="38"/>
      <c r="E301" s="38"/>
      <c r="F301" s="38"/>
      <c r="G301" s="38"/>
      <c r="H301" s="39"/>
      <c r="I301" s="39"/>
      <c r="J301" s="40"/>
      <c r="K301" s="40"/>
      <c r="L301" s="40"/>
      <c r="M301" s="40"/>
      <c r="N301" s="41"/>
      <c r="O301" s="20"/>
      <c r="P301" s="20"/>
      <c r="Q301" s="21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ht="15.75" customHeight="1">
      <c r="A302" s="20"/>
      <c r="B302" s="20"/>
      <c r="C302" s="20"/>
      <c r="D302" s="38"/>
      <c r="E302" s="38"/>
      <c r="F302" s="38"/>
      <c r="G302" s="38"/>
      <c r="H302" s="39"/>
      <c r="I302" s="39"/>
      <c r="J302" s="40"/>
      <c r="K302" s="40"/>
      <c r="L302" s="40"/>
      <c r="M302" s="40"/>
      <c r="N302" s="41"/>
      <c r="O302" s="20"/>
      <c r="P302" s="20"/>
      <c r="Q302" s="21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ht="15.75" customHeight="1">
      <c r="A303" s="20"/>
      <c r="B303" s="20"/>
      <c r="C303" s="20"/>
      <c r="D303" s="38"/>
      <c r="E303" s="38"/>
      <c r="F303" s="38"/>
      <c r="G303" s="38"/>
      <c r="H303" s="39"/>
      <c r="I303" s="39"/>
      <c r="J303" s="40"/>
      <c r="K303" s="40"/>
      <c r="L303" s="40"/>
      <c r="M303" s="40"/>
      <c r="N303" s="41"/>
      <c r="O303" s="20"/>
      <c r="P303" s="20"/>
      <c r="Q303" s="21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ht="15.75" customHeight="1">
      <c r="A304" s="20"/>
      <c r="B304" s="20"/>
      <c r="C304" s="20"/>
      <c r="D304" s="38"/>
      <c r="E304" s="38"/>
      <c r="F304" s="38"/>
      <c r="G304" s="38"/>
      <c r="H304" s="39"/>
      <c r="I304" s="39"/>
      <c r="J304" s="40"/>
      <c r="K304" s="40"/>
      <c r="L304" s="40"/>
      <c r="M304" s="40"/>
      <c r="N304" s="41"/>
      <c r="O304" s="20"/>
      <c r="P304" s="20"/>
      <c r="Q304" s="21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ht="15.75" customHeight="1">
      <c r="A305" s="20"/>
      <c r="B305" s="20"/>
      <c r="C305" s="20"/>
      <c r="D305" s="38"/>
      <c r="E305" s="38"/>
      <c r="F305" s="38"/>
      <c r="G305" s="38"/>
      <c r="H305" s="39"/>
      <c r="I305" s="39"/>
      <c r="J305" s="40"/>
      <c r="K305" s="40"/>
      <c r="L305" s="40"/>
      <c r="M305" s="40"/>
      <c r="N305" s="41"/>
      <c r="O305" s="20"/>
      <c r="P305" s="20"/>
      <c r="Q305" s="21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ht="15.75" customHeight="1">
      <c r="A306" s="20"/>
      <c r="B306" s="20"/>
      <c r="C306" s="20"/>
      <c r="D306" s="38"/>
      <c r="E306" s="38"/>
      <c r="F306" s="38"/>
      <c r="G306" s="38"/>
      <c r="H306" s="39"/>
      <c r="I306" s="39"/>
      <c r="J306" s="40"/>
      <c r="K306" s="40"/>
      <c r="L306" s="40"/>
      <c r="M306" s="40"/>
      <c r="N306" s="41"/>
      <c r="O306" s="20"/>
      <c r="P306" s="20"/>
      <c r="Q306" s="21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ht="15.75" customHeight="1">
      <c r="A307" s="20"/>
      <c r="B307" s="20"/>
      <c r="C307" s="20"/>
      <c r="D307" s="38"/>
      <c r="E307" s="38"/>
      <c r="F307" s="38"/>
      <c r="G307" s="38"/>
      <c r="H307" s="39"/>
      <c r="I307" s="39"/>
      <c r="J307" s="40"/>
      <c r="K307" s="40"/>
      <c r="L307" s="40"/>
      <c r="M307" s="40"/>
      <c r="N307" s="41"/>
      <c r="O307" s="20"/>
      <c r="P307" s="20"/>
      <c r="Q307" s="21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ht="15.75" customHeight="1">
      <c r="A308" s="20"/>
      <c r="B308" s="20"/>
      <c r="C308" s="20"/>
      <c r="D308" s="38"/>
      <c r="E308" s="38"/>
      <c r="F308" s="38"/>
      <c r="G308" s="38"/>
      <c r="H308" s="39"/>
      <c r="I308" s="39"/>
      <c r="J308" s="40"/>
      <c r="K308" s="40"/>
      <c r="L308" s="40"/>
      <c r="M308" s="40"/>
      <c r="N308" s="41"/>
      <c r="O308" s="20"/>
      <c r="P308" s="20"/>
      <c r="Q308" s="21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ht="15.75" customHeight="1">
      <c r="A309" s="20"/>
      <c r="B309" s="20"/>
      <c r="C309" s="20"/>
      <c r="D309" s="38"/>
      <c r="E309" s="38"/>
      <c r="F309" s="38"/>
      <c r="G309" s="38"/>
      <c r="H309" s="39"/>
      <c r="I309" s="39"/>
      <c r="J309" s="40"/>
      <c r="K309" s="40"/>
      <c r="L309" s="40"/>
      <c r="M309" s="40"/>
      <c r="N309" s="41"/>
      <c r="O309" s="20"/>
      <c r="P309" s="20"/>
      <c r="Q309" s="21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ht="15.75" customHeight="1">
      <c r="A310" s="20"/>
      <c r="B310" s="20"/>
      <c r="C310" s="20"/>
      <c r="D310" s="38"/>
      <c r="E310" s="38"/>
      <c r="F310" s="38"/>
      <c r="G310" s="38"/>
      <c r="H310" s="39"/>
      <c r="I310" s="39"/>
      <c r="J310" s="40"/>
      <c r="K310" s="40"/>
      <c r="L310" s="40"/>
      <c r="M310" s="40"/>
      <c r="N310" s="41"/>
      <c r="O310" s="20"/>
      <c r="P310" s="20"/>
      <c r="Q310" s="21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ht="15.75" customHeight="1">
      <c r="A311" s="20"/>
      <c r="B311" s="20"/>
      <c r="C311" s="20"/>
      <c r="D311" s="38"/>
      <c r="E311" s="38"/>
      <c r="F311" s="38"/>
      <c r="G311" s="38"/>
      <c r="H311" s="39"/>
      <c r="I311" s="39"/>
      <c r="J311" s="40"/>
      <c r="K311" s="40"/>
      <c r="L311" s="40"/>
      <c r="M311" s="40"/>
      <c r="N311" s="41"/>
      <c r="O311" s="20"/>
      <c r="P311" s="20"/>
      <c r="Q311" s="21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ht="15.75" customHeight="1">
      <c r="A312" s="20"/>
      <c r="B312" s="20"/>
      <c r="C312" s="20"/>
      <c r="D312" s="38"/>
      <c r="E312" s="38"/>
      <c r="F312" s="38"/>
      <c r="G312" s="38"/>
      <c r="H312" s="39"/>
      <c r="I312" s="39"/>
      <c r="J312" s="40"/>
      <c r="K312" s="40"/>
      <c r="L312" s="40"/>
      <c r="M312" s="40"/>
      <c r="N312" s="41"/>
      <c r="O312" s="20"/>
      <c r="P312" s="20"/>
      <c r="Q312" s="21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ht="15.75" customHeight="1">
      <c r="A313" s="20"/>
      <c r="B313" s="20"/>
      <c r="C313" s="20"/>
      <c r="D313" s="38"/>
      <c r="E313" s="38"/>
      <c r="F313" s="38"/>
      <c r="G313" s="38"/>
      <c r="H313" s="39"/>
      <c r="I313" s="39"/>
      <c r="J313" s="40"/>
      <c r="K313" s="40"/>
      <c r="L313" s="40"/>
      <c r="M313" s="40"/>
      <c r="N313" s="41"/>
      <c r="O313" s="20"/>
      <c r="P313" s="20"/>
      <c r="Q313" s="21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ht="15.75" customHeight="1">
      <c r="A314" s="20"/>
      <c r="B314" s="20"/>
      <c r="C314" s="20"/>
      <c r="D314" s="38"/>
      <c r="E314" s="38"/>
      <c r="F314" s="38"/>
      <c r="G314" s="38"/>
      <c r="H314" s="39"/>
      <c r="I314" s="39"/>
      <c r="J314" s="40"/>
      <c r="K314" s="40"/>
      <c r="L314" s="40"/>
      <c r="M314" s="40"/>
      <c r="N314" s="41"/>
      <c r="O314" s="20"/>
      <c r="P314" s="20"/>
      <c r="Q314" s="21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ht="15.75" customHeight="1">
      <c r="A315" s="20"/>
      <c r="B315" s="20"/>
      <c r="C315" s="20"/>
      <c r="D315" s="38"/>
      <c r="E315" s="38"/>
      <c r="F315" s="38"/>
      <c r="G315" s="38"/>
      <c r="H315" s="39"/>
      <c r="I315" s="39"/>
      <c r="J315" s="40"/>
      <c r="K315" s="40"/>
      <c r="L315" s="40"/>
      <c r="M315" s="40"/>
      <c r="N315" s="41"/>
      <c r="O315" s="20"/>
      <c r="P315" s="20"/>
      <c r="Q315" s="21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ht="15.75" customHeight="1">
      <c r="A316" s="20"/>
      <c r="B316" s="20"/>
      <c r="C316" s="20"/>
      <c r="D316" s="38"/>
      <c r="E316" s="38"/>
      <c r="F316" s="38"/>
      <c r="G316" s="38"/>
      <c r="H316" s="39"/>
      <c r="I316" s="39"/>
      <c r="J316" s="40"/>
      <c r="K316" s="40"/>
      <c r="L316" s="40"/>
      <c r="M316" s="40"/>
      <c r="N316" s="41"/>
      <c r="O316" s="20"/>
      <c r="P316" s="20"/>
      <c r="Q316" s="21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ht="15.75" customHeight="1">
      <c r="A317" s="20"/>
      <c r="B317" s="20"/>
      <c r="C317" s="20"/>
      <c r="D317" s="38"/>
      <c r="E317" s="38"/>
      <c r="F317" s="38"/>
      <c r="G317" s="38"/>
      <c r="H317" s="39"/>
      <c r="I317" s="39"/>
      <c r="J317" s="40"/>
      <c r="K317" s="40"/>
      <c r="L317" s="40"/>
      <c r="M317" s="40"/>
      <c r="N317" s="41"/>
      <c r="O317" s="20"/>
      <c r="P317" s="20"/>
      <c r="Q317" s="21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ht="15.75" customHeight="1">
      <c r="A318" s="20"/>
      <c r="B318" s="20"/>
      <c r="C318" s="20"/>
      <c r="D318" s="38"/>
      <c r="E318" s="38"/>
      <c r="F318" s="38"/>
      <c r="G318" s="38"/>
      <c r="H318" s="39"/>
      <c r="I318" s="39"/>
      <c r="J318" s="40"/>
      <c r="K318" s="40"/>
      <c r="L318" s="40"/>
      <c r="M318" s="40"/>
      <c r="N318" s="41"/>
      <c r="O318" s="20"/>
      <c r="P318" s="20"/>
      <c r="Q318" s="21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ht="15.75" customHeight="1">
      <c r="A319" s="20"/>
      <c r="B319" s="20"/>
      <c r="C319" s="20"/>
      <c r="D319" s="38"/>
      <c r="E319" s="38"/>
      <c r="F319" s="38"/>
      <c r="G319" s="38"/>
      <c r="H319" s="39"/>
      <c r="I319" s="39"/>
      <c r="J319" s="40"/>
      <c r="K319" s="40"/>
      <c r="L319" s="40"/>
      <c r="M319" s="40"/>
      <c r="N319" s="41"/>
      <c r="O319" s="20"/>
      <c r="P319" s="20"/>
      <c r="Q319" s="21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ht="15.75" customHeight="1">
      <c r="A320" s="20"/>
      <c r="B320" s="20"/>
      <c r="C320" s="20"/>
      <c r="D320" s="38"/>
      <c r="E320" s="38"/>
      <c r="F320" s="38"/>
      <c r="G320" s="38"/>
      <c r="H320" s="39"/>
      <c r="I320" s="39"/>
      <c r="J320" s="40"/>
      <c r="K320" s="40"/>
      <c r="L320" s="40"/>
      <c r="M320" s="40"/>
      <c r="N320" s="41"/>
      <c r="O320" s="20"/>
      <c r="P320" s="20"/>
      <c r="Q320" s="21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ht="15.75" customHeight="1">
      <c r="A321" s="20"/>
      <c r="B321" s="20"/>
      <c r="C321" s="20"/>
      <c r="D321" s="38"/>
      <c r="E321" s="38"/>
      <c r="F321" s="38"/>
      <c r="G321" s="38"/>
      <c r="H321" s="39"/>
      <c r="I321" s="39"/>
      <c r="J321" s="40"/>
      <c r="K321" s="40"/>
      <c r="L321" s="40"/>
      <c r="M321" s="40"/>
      <c r="N321" s="41"/>
      <c r="O321" s="20"/>
      <c r="P321" s="20"/>
      <c r="Q321" s="21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ht="15.75" customHeight="1">
      <c r="A322" s="20"/>
      <c r="B322" s="20"/>
      <c r="C322" s="20"/>
      <c r="D322" s="38"/>
      <c r="E322" s="38"/>
      <c r="F322" s="38"/>
      <c r="G322" s="38"/>
      <c r="H322" s="39"/>
      <c r="I322" s="39"/>
      <c r="J322" s="40"/>
      <c r="K322" s="40"/>
      <c r="L322" s="40"/>
      <c r="M322" s="40"/>
      <c r="N322" s="41"/>
      <c r="O322" s="20"/>
      <c r="P322" s="20"/>
      <c r="Q322" s="21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ht="15.75" customHeight="1">
      <c r="A323" s="20"/>
      <c r="B323" s="20"/>
      <c r="C323" s="20"/>
      <c r="D323" s="38"/>
      <c r="E323" s="38"/>
      <c r="F323" s="38"/>
      <c r="G323" s="38"/>
      <c r="H323" s="39"/>
      <c r="I323" s="39"/>
      <c r="J323" s="40"/>
      <c r="K323" s="40"/>
      <c r="L323" s="40"/>
      <c r="M323" s="40"/>
      <c r="N323" s="41"/>
      <c r="O323" s="20"/>
      <c r="P323" s="20"/>
      <c r="Q323" s="21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ht="15.75" customHeight="1">
      <c r="A324" s="20"/>
      <c r="B324" s="20"/>
      <c r="C324" s="20"/>
      <c r="D324" s="38"/>
      <c r="E324" s="38"/>
      <c r="F324" s="38"/>
      <c r="G324" s="38"/>
      <c r="H324" s="39"/>
      <c r="I324" s="39"/>
      <c r="J324" s="40"/>
      <c r="K324" s="40"/>
      <c r="L324" s="40"/>
      <c r="M324" s="40"/>
      <c r="N324" s="41"/>
      <c r="O324" s="20"/>
      <c r="P324" s="20"/>
      <c r="Q324" s="21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ht="15.75" customHeight="1">
      <c r="A325" s="20"/>
      <c r="B325" s="20"/>
      <c r="C325" s="20"/>
      <c r="D325" s="38"/>
      <c r="E325" s="38"/>
      <c r="F325" s="38"/>
      <c r="G325" s="38"/>
      <c r="H325" s="39"/>
      <c r="I325" s="39"/>
      <c r="J325" s="40"/>
      <c r="K325" s="40"/>
      <c r="L325" s="40"/>
      <c r="M325" s="40"/>
      <c r="N325" s="41"/>
      <c r="O325" s="20"/>
      <c r="P325" s="20"/>
      <c r="Q325" s="21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ht="15.75" customHeight="1">
      <c r="A326" s="20"/>
      <c r="B326" s="20"/>
      <c r="C326" s="20"/>
      <c r="D326" s="38"/>
      <c r="E326" s="38"/>
      <c r="F326" s="38"/>
      <c r="G326" s="38"/>
      <c r="H326" s="39"/>
      <c r="I326" s="39"/>
      <c r="J326" s="40"/>
      <c r="K326" s="40"/>
      <c r="L326" s="40"/>
      <c r="M326" s="40"/>
      <c r="N326" s="41"/>
      <c r="O326" s="20"/>
      <c r="P326" s="20"/>
      <c r="Q326" s="21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ht="15.75" customHeight="1">
      <c r="A327" s="20"/>
      <c r="B327" s="20"/>
      <c r="C327" s="20"/>
      <c r="D327" s="38"/>
      <c r="E327" s="38"/>
      <c r="F327" s="38"/>
      <c r="G327" s="38"/>
      <c r="H327" s="39"/>
      <c r="I327" s="39"/>
      <c r="J327" s="40"/>
      <c r="K327" s="40"/>
      <c r="L327" s="40"/>
      <c r="M327" s="40"/>
      <c r="N327" s="41"/>
      <c r="O327" s="20"/>
      <c r="P327" s="20"/>
      <c r="Q327" s="21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ht="15.75" customHeight="1">
      <c r="A328" s="20"/>
      <c r="B328" s="20"/>
      <c r="C328" s="20"/>
      <c r="D328" s="38"/>
      <c r="E328" s="38"/>
      <c r="F328" s="38"/>
      <c r="G328" s="38"/>
      <c r="H328" s="39"/>
      <c r="I328" s="39"/>
      <c r="J328" s="40"/>
      <c r="K328" s="40"/>
      <c r="L328" s="40"/>
      <c r="M328" s="40"/>
      <c r="N328" s="41"/>
      <c r="O328" s="20"/>
      <c r="P328" s="20"/>
      <c r="Q328" s="21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ht="15.75" customHeight="1">
      <c r="A329" s="20"/>
      <c r="B329" s="20"/>
      <c r="C329" s="20"/>
      <c r="D329" s="38"/>
      <c r="E329" s="38"/>
      <c r="F329" s="38"/>
      <c r="G329" s="38"/>
      <c r="H329" s="39"/>
      <c r="I329" s="39"/>
      <c r="J329" s="40"/>
      <c r="K329" s="40"/>
      <c r="L329" s="40"/>
      <c r="M329" s="40"/>
      <c r="N329" s="41"/>
      <c r="O329" s="20"/>
      <c r="P329" s="20"/>
      <c r="Q329" s="21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ht="15.75" customHeight="1">
      <c r="A330" s="20"/>
      <c r="B330" s="20"/>
      <c r="C330" s="20"/>
      <c r="D330" s="38"/>
      <c r="E330" s="38"/>
      <c r="F330" s="38"/>
      <c r="G330" s="38"/>
      <c r="H330" s="39"/>
      <c r="I330" s="39"/>
      <c r="J330" s="40"/>
      <c r="K330" s="40"/>
      <c r="L330" s="40"/>
      <c r="M330" s="40"/>
      <c r="N330" s="41"/>
      <c r="O330" s="20"/>
      <c r="P330" s="20"/>
      <c r="Q330" s="21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ht="15.75" customHeight="1">
      <c r="A331" s="20"/>
      <c r="B331" s="20"/>
      <c r="C331" s="20"/>
      <c r="D331" s="38"/>
      <c r="E331" s="38"/>
      <c r="F331" s="38"/>
      <c r="G331" s="38"/>
      <c r="H331" s="39"/>
      <c r="I331" s="39"/>
      <c r="J331" s="40"/>
      <c r="K331" s="40"/>
      <c r="L331" s="40"/>
      <c r="M331" s="40"/>
      <c r="N331" s="41"/>
      <c r="O331" s="20"/>
      <c r="P331" s="20"/>
      <c r="Q331" s="21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ht="15.75" customHeight="1">
      <c r="A332" s="20"/>
      <c r="B332" s="20"/>
      <c r="C332" s="20"/>
      <c r="D332" s="38"/>
      <c r="E332" s="38"/>
      <c r="F332" s="38"/>
      <c r="G332" s="38"/>
      <c r="H332" s="39"/>
      <c r="I332" s="39"/>
      <c r="J332" s="40"/>
      <c r="K332" s="40"/>
      <c r="L332" s="40"/>
      <c r="M332" s="40"/>
      <c r="N332" s="41"/>
      <c r="O332" s="20"/>
      <c r="P332" s="20"/>
      <c r="Q332" s="21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ht="15.75" customHeight="1">
      <c r="A333" s="20"/>
      <c r="B333" s="20"/>
      <c r="C333" s="20"/>
      <c r="D333" s="38"/>
      <c r="E333" s="38"/>
      <c r="F333" s="38"/>
      <c r="G333" s="38"/>
      <c r="H333" s="39"/>
      <c r="I333" s="39"/>
      <c r="J333" s="40"/>
      <c r="K333" s="40"/>
      <c r="L333" s="40"/>
      <c r="M333" s="40"/>
      <c r="N333" s="41"/>
      <c r="O333" s="20"/>
      <c r="P333" s="20"/>
      <c r="Q333" s="21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ht="15.75" customHeight="1">
      <c r="A334" s="20"/>
      <c r="B334" s="20"/>
      <c r="C334" s="20"/>
      <c r="D334" s="38"/>
      <c r="E334" s="38"/>
      <c r="F334" s="38"/>
      <c r="G334" s="38"/>
      <c r="H334" s="39"/>
      <c r="I334" s="39"/>
      <c r="J334" s="40"/>
      <c r="K334" s="40"/>
      <c r="L334" s="40"/>
      <c r="M334" s="40"/>
      <c r="N334" s="41"/>
      <c r="O334" s="20"/>
      <c r="P334" s="20"/>
      <c r="Q334" s="21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ht="15.75" customHeight="1">
      <c r="A335" s="20"/>
      <c r="B335" s="20"/>
      <c r="C335" s="20"/>
      <c r="D335" s="38"/>
      <c r="E335" s="38"/>
      <c r="F335" s="38"/>
      <c r="G335" s="38"/>
      <c r="H335" s="39"/>
      <c r="I335" s="39"/>
      <c r="J335" s="40"/>
      <c r="K335" s="40"/>
      <c r="L335" s="40"/>
      <c r="M335" s="40"/>
      <c r="N335" s="41"/>
      <c r="O335" s="20"/>
      <c r="P335" s="20"/>
      <c r="Q335" s="21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ht="15.75" customHeight="1">
      <c r="A336" s="20"/>
      <c r="B336" s="20"/>
      <c r="C336" s="20"/>
      <c r="D336" s="38"/>
      <c r="E336" s="38"/>
      <c r="F336" s="38"/>
      <c r="G336" s="38"/>
      <c r="H336" s="39"/>
      <c r="I336" s="39"/>
      <c r="J336" s="40"/>
      <c r="K336" s="40"/>
      <c r="L336" s="40"/>
      <c r="M336" s="40"/>
      <c r="N336" s="41"/>
      <c r="O336" s="20"/>
      <c r="P336" s="20"/>
      <c r="Q336" s="21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ht="15.75" customHeight="1">
      <c r="A337" s="20"/>
      <c r="B337" s="20"/>
      <c r="C337" s="20"/>
      <c r="D337" s="38"/>
      <c r="E337" s="38"/>
      <c r="F337" s="38"/>
      <c r="G337" s="38"/>
      <c r="H337" s="39"/>
      <c r="I337" s="39"/>
      <c r="J337" s="40"/>
      <c r="K337" s="40"/>
      <c r="L337" s="40"/>
      <c r="M337" s="40"/>
      <c r="N337" s="41"/>
      <c r="O337" s="20"/>
      <c r="P337" s="20"/>
      <c r="Q337" s="21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ht="15.75" customHeight="1">
      <c r="A338" s="20"/>
      <c r="B338" s="20"/>
      <c r="C338" s="20"/>
      <c r="D338" s="38"/>
      <c r="E338" s="38"/>
      <c r="F338" s="38"/>
      <c r="G338" s="38"/>
      <c r="H338" s="39"/>
      <c r="I338" s="39"/>
      <c r="J338" s="40"/>
      <c r="K338" s="40"/>
      <c r="L338" s="40"/>
      <c r="M338" s="40"/>
      <c r="N338" s="41"/>
      <c r="O338" s="20"/>
      <c r="P338" s="20"/>
      <c r="Q338" s="21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ht="15.75" customHeight="1">
      <c r="A339" s="20"/>
      <c r="B339" s="20"/>
      <c r="C339" s="20"/>
      <c r="D339" s="38"/>
      <c r="E339" s="38"/>
      <c r="F339" s="38"/>
      <c r="G339" s="38"/>
      <c r="H339" s="39"/>
      <c r="I339" s="39"/>
      <c r="J339" s="40"/>
      <c r="K339" s="40"/>
      <c r="L339" s="40"/>
      <c r="M339" s="40"/>
      <c r="N339" s="41"/>
      <c r="O339" s="20"/>
      <c r="P339" s="20"/>
      <c r="Q339" s="21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ht="15.75" customHeight="1">
      <c r="A340" s="20"/>
      <c r="B340" s="20"/>
      <c r="C340" s="20"/>
      <c r="D340" s="38"/>
      <c r="E340" s="38"/>
      <c r="F340" s="38"/>
      <c r="G340" s="38"/>
      <c r="H340" s="39"/>
      <c r="I340" s="39"/>
      <c r="J340" s="40"/>
      <c r="K340" s="40"/>
      <c r="L340" s="40"/>
      <c r="M340" s="40"/>
      <c r="N340" s="41"/>
      <c r="O340" s="20"/>
      <c r="P340" s="20"/>
      <c r="Q340" s="21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ht="15.75" customHeight="1">
      <c r="A341" s="20"/>
      <c r="B341" s="20"/>
      <c r="C341" s="20"/>
      <c r="D341" s="38"/>
      <c r="E341" s="38"/>
      <c r="F341" s="38"/>
      <c r="G341" s="38"/>
      <c r="H341" s="39"/>
      <c r="I341" s="39"/>
      <c r="J341" s="40"/>
      <c r="K341" s="40"/>
      <c r="L341" s="40"/>
      <c r="M341" s="40"/>
      <c r="N341" s="41"/>
      <c r="O341" s="20"/>
      <c r="P341" s="20"/>
      <c r="Q341" s="21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ht="15.75" customHeight="1">
      <c r="A342" s="20"/>
      <c r="B342" s="20"/>
      <c r="C342" s="20"/>
      <c r="D342" s="38"/>
      <c r="E342" s="38"/>
      <c r="F342" s="38"/>
      <c r="G342" s="38"/>
      <c r="H342" s="39"/>
      <c r="I342" s="39"/>
      <c r="J342" s="40"/>
      <c r="K342" s="40"/>
      <c r="L342" s="40"/>
      <c r="M342" s="40"/>
      <c r="N342" s="41"/>
      <c r="O342" s="20"/>
      <c r="P342" s="20"/>
      <c r="Q342" s="21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ht="15.75" customHeight="1">
      <c r="A343" s="20"/>
      <c r="B343" s="20"/>
      <c r="C343" s="20"/>
      <c r="D343" s="38"/>
      <c r="E343" s="38"/>
      <c r="F343" s="38"/>
      <c r="G343" s="38"/>
      <c r="H343" s="39"/>
      <c r="I343" s="39"/>
      <c r="J343" s="40"/>
      <c r="K343" s="40"/>
      <c r="L343" s="40"/>
      <c r="M343" s="40"/>
      <c r="N343" s="41"/>
      <c r="O343" s="20"/>
      <c r="P343" s="20"/>
      <c r="Q343" s="21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ht="15.75" customHeight="1">
      <c r="A344" s="20"/>
      <c r="B344" s="20"/>
      <c r="C344" s="20"/>
      <c r="D344" s="38"/>
      <c r="E344" s="38"/>
      <c r="F344" s="38"/>
      <c r="G344" s="38"/>
      <c r="H344" s="39"/>
      <c r="I344" s="39"/>
      <c r="J344" s="40"/>
      <c r="K344" s="40"/>
      <c r="L344" s="40"/>
      <c r="M344" s="40"/>
      <c r="N344" s="41"/>
      <c r="O344" s="20"/>
      <c r="P344" s="20"/>
      <c r="Q344" s="21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ht="15.75" customHeight="1">
      <c r="A345" s="20"/>
      <c r="B345" s="20"/>
      <c r="C345" s="20"/>
      <c r="D345" s="38"/>
      <c r="E345" s="38"/>
      <c r="F345" s="38"/>
      <c r="G345" s="38"/>
      <c r="H345" s="39"/>
      <c r="I345" s="39"/>
      <c r="J345" s="40"/>
      <c r="K345" s="40"/>
      <c r="L345" s="40"/>
      <c r="M345" s="40"/>
      <c r="N345" s="41"/>
      <c r="O345" s="20"/>
      <c r="P345" s="20"/>
      <c r="Q345" s="21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ht="15.75" customHeight="1">
      <c r="A346" s="20"/>
      <c r="B346" s="20"/>
      <c r="C346" s="20"/>
      <c r="D346" s="38"/>
      <c r="E346" s="38"/>
      <c r="F346" s="38"/>
      <c r="G346" s="38"/>
      <c r="H346" s="39"/>
      <c r="I346" s="39"/>
      <c r="J346" s="40"/>
      <c r="K346" s="40"/>
      <c r="L346" s="40"/>
      <c r="M346" s="40"/>
      <c r="N346" s="41"/>
      <c r="O346" s="20"/>
      <c r="P346" s="20"/>
      <c r="Q346" s="21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ht="15.75" customHeight="1">
      <c r="A347" s="20"/>
      <c r="B347" s="20"/>
      <c r="C347" s="20"/>
      <c r="D347" s="38"/>
      <c r="E347" s="38"/>
      <c r="F347" s="38"/>
      <c r="G347" s="38"/>
      <c r="H347" s="39"/>
      <c r="I347" s="39"/>
      <c r="J347" s="40"/>
      <c r="K347" s="40"/>
      <c r="L347" s="40"/>
      <c r="M347" s="40"/>
      <c r="N347" s="41"/>
      <c r="O347" s="20"/>
      <c r="P347" s="20"/>
      <c r="Q347" s="21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ht="15.75" customHeight="1">
      <c r="A348" s="20"/>
      <c r="B348" s="20"/>
      <c r="C348" s="20"/>
      <c r="D348" s="38"/>
      <c r="E348" s="38"/>
      <c r="F348" s="38"/>
      <c r="G348" s="38"/>
      <c r="H348" s="39"/>
      <c r="I348" s="39"/>
      <c r="J348" s="40"/>
      <c r="K348" s="40"/>
      <c r="L348" s="40"/>
      <c r="M348" s="40"/>
      <c r="N348" s="41"/>
      <c r="O348" s="20"/>
      <c r="P348" s="20"/>
      <c r="Q348" s="21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ht="15.75" customHeight="1">
      <c r="A349" s="20"/>
      <c r="B349" s="20"/>
      <c r="C349" s="20"/>
      <c r="D349" s="38"/>
      <c r="E349" s="38"/>
      <c r="F349" s="38"/>
      <c r="G349" s="38"/>
      <c r="H349" s="39"/>
      <c r="I349" s="39"/>
      <c r="J349" s="40"/>
      <c r="K349" s="40"/>
      <c r="L349" s="40"/>
      <c r="M349" s="40"/>
      <c r="N349" s="41"/>
      <c r="O349" s="20"/>
      <c r="P349" s="20"/>
      <c r="Q349" s="21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ht="15.75" customHeight="1">
      <c r="A350" s="20"/>
      <c r="B350" s="20"/>
      <c r="C350" s="20"/>
      <c r="D350" s="38"/>
      <c r="E350" s="38"/>
      <c r="F350" s="38"/>
      <c r="G350" s="38"/>
      <c r="H350" s="39"/>
      <c r="I350" s="39"/>
      <c r="J350" s="40"/>
      <c r="K350" s="40"/>
      <c r="L350" s="40"/>
      <c r="M350" s="40"/>
      <c r="N350" s="41"/>
      <c r="O350" s="20"/>
      <c r="P350" s="20"/>
      <c r="Q350" s="21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ht="15.75" customHeight="1">
      <c r="A351" s="20"/>
      <c r="B351" s="20"/>
      <c r="C351" s="20"/>
      <c r="D351" s="38"/>
      <c r="E351" s="38"/>
      <c r="F351" s="38"/>
      <c r="G351" s="38"/>
      <c r="H351" s="39"/>
      <c r="I351" s="39"/>
      <c r="J351" s="40"/>
      <c r="K351" s="40"/>
      <c r="L351" s="40"/>
      <c r="M351" s="40"/>
      <c r="N351" s="41"/>
      <c r="O351" s="20"/>
      <c r="P351" s="20"/>
      <c r="Q351" s="21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ht="15.75" customHeight="1">
      <c r="A352" s="20"/>
      <c r="B352" s="20"/>
      <c r="C352" s="20"/>
      <c r="D352" s="38"/>
      <c r="E352" s="38"/>
      <c r="F352" s="38"/>
      <c r="G352" s="38"/>
      <c r="H352" s="39"/>
      <c r="I352" s="39"/>
      <c r="J352" s="40"/>
      <c r="K352" s="40"/>
      <c r="L352" s="40"/>
      <c r="M352" s="40"/>
      <c r="N352" s="41"/>
      <c r="O352" s="20"/>
      <c r="P352" s="20"/>
      <c r="Q352" s="21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ht="15.75" customHeight="1">
      <c r="A353" s="20"/>
      <c r="B353" s="20"/>
      <c r="C353" s="20"/>
      <c r="D353" s="38"/>
      <c r="E353" s="38"/>
      <c r="F353" s="38"/>
      <c r="G353" s="38"/>
      <c r="H353" s="39"/>
      <c r="I353" s="39"/>
      <c r="J353" s="40"/>
      <c r="K353" s="40"/>
      <c r="L353" s="40"/>
      <c r="M353" s="40"/>
      <c r="N353" s="41"/>
      <c r="O353" s="20"/>
      <c r="P353" s="20"/>
      <c r="Q353" s="21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ht="15.75" customHeight="1">
      <c r="A354" s="20"/>
      <c r="B354" s="20"/>
      <c r="C354" s="20"/>
      <c r="D354" s="38"/>
      <c r="E354" s="38"/>
      <c r="F354" s="38"/>
      <c r="G354" s="38"/>
      <c r="H354" s="39"/>
      <c r="I354" s="39"/>
      <c r="J354" s="40"/>
      <c r="K354" s="40"/>
      <c r="L354" s="40"/>
      <c r="M354" s="40"/>
      <c r="N354" s="41"/>
      <c r="O354" s="20"/>
      <c r="P354" s="20"/>
      <c r="Q354" s="21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ht="15.75" customHeight="1">
      <c r="A355" s="20"/>
      <c r="B355" s="20"/>
      <c r="C355" s="20"/>
      <c r="D355" s="38"/>
      <c r="E355" s="38"/>
      <c r="F355" s="38"/>
      <c r="G355" s="38"/>
      <c r="H355" s="39"/>
      <c r="I355" s="39"/>
      <c r="J355" s="40"/>
      <c r="K355" s="40"/>
      <c r="L355" s="40"/>
      <c r="M355" s="40"/>
      <c r="N355" s="41"/>
      <c r="O355" s="20"/>
      <c r="P355" s="20"/>
      <c r="Q355" s="21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ht="15.75" customHeight="1">
      <c r="A356" s="20"/>
      <c r="B356" s="20"/>
      <c r="C356" s="20"/>
      <c r="D356" s="38"/>
      <c r="E356" s="38"/>
      <c r="F356" s="38"/>
      <c r="G356" s="38"/>
      <c r="H356" s="39"/>
      <c r="I356" s="39"/>
      <c r="J356" s="40"/>
      <c r="K356" s="40"/>
      <c r="L356" s="40"/>
      <c r="M356" s="40"/>
      <c r="N356" s="41"/>
      <c r="O356" s="20"/>
      <c r="P356" s="20"/>
      <c r="Q356" s="21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ht="15.75" customHeight="1">
      <c r="A357" s="20"/>
      <c r="B357" s="20"/>
      <c r="C357" s="20"/>
      <c r="D357" s="38"/>
      <c r="E357" s="38"/>
      <c r="F357" s="38"/>
      <c r="G357" s="38"/>
      <c r="H357" s="39"/>
      <c r="I357" s="39"/>
      <c r="J357" s="40"/>
      <c r="K357" s="40"/>
      <c r="L357" s="40"/>
      <c r="M357" s="40"/>
      <c r="N357" s="41"/>
      <c r="O357" s="20"/>
      <c r="P357" s="20"/>
      <c r="Q357" s="21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ht="15.75" customHeight="1">
      <c r="A358" s="20"/>
      <c r="B358" s="20"/>
      <c r="C358" s="20"/>
      <c r="D358" s="38"/>
      <c r="E358" s="38"/>
      <c r="F358" s="38"/>
      <c r="G358" s="38"/>
      <c r="H358" s="39"/>
      <c r="I358" s="39"/>
      <c r="J358" s="40"/>
      <c r="K358" s="40"/>
      <c r="L358" s="40"/>
      <c r="M358" s="40"/>
      <c r="N358" s="41"/>
      <c r="O358" s="20"/>
      <c r="P358" s="20"/>
      <c r="Q358" s="21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ht="15.75" customHeight="1">
      <c r="A359" s="20"/>
      <c r="B359" s="20"/>
      <c r="C359" s="20"/>
      <c r="D359" s="38"/>
      <c r="E359" s="38"/>
      <c r="F359" s="38"/>
      <c r="G359" s="38"/>
      <c r="H359" s="39"/>
      <c r="I359" s="39"/>
      <c r="J359" s="40"/>
      <c r="K359" s="40"/>
      <c r="L359" s="40"/>
      <c r="M359" s="40"/>
      <c r="N359" s="41"/>
      <c r="O359" s="20"/>
      <c r="P359" s="20"/>
      <c r="Q359" s="21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ht="15.75" customHeight="1">
      <c r="A360" s="20"/>
      <c r="B360" s="20"/>
      <c r="C360" s="20"/>
      <c r="D360" s="38"/>
      <c r="E360" s="38"/>
      <c r="F360" s="38"/>
      <c r="G360" s="38"/>
      <c r="H360" s="39"/>
      <c r="I360" s="39"/>
      <c r="J360" s="40"/>
      <c r="K360" s="40"/>
      <c r="L360" s="40"/>
      <c r="M360" s="40"/>
      <c r="N360" s="41"/>
      <c r="O360" s="20"/>
      <c r="P360" s="20"/>
      <c r="Q360" s="21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ht="15.75" customHeight="1">
      <c r="A361" s="20"/>
      <c r="B361" s="20"/>
      <c r="C361" s="20"/>
      <c r="D361" s="38"/>
      <c r="E361" s="38"/>
      <c r="F361" s="38"/>
      <c r="G361" s="38"/>
      <c r="H361" s="39"/>
      <c r="I361" s="39"/>
      <c r="J361" s="40"/>
      <c r="K361" s="40"/>
      <c r="L361" s="40"/>
      <c r="M361" s="40"/>
      <c r="N361" s="41"/>
      <c r="O361" s="20"/>
      <c r="P361" s="20"/>
      <c r="Q361" s="21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ht="15.75" customHeight="1">
      <c r="A362" s="20"/>
      <c r="B362" s="20"/>
      <c r="C362" s="20"/>
      <c r="D362" s="38"/>
      <c r="E362" s="38"/>
      <c r="F362" s="38"/>
      <c r="G362" s="38"/>
      <c r="H362" s="39"/>
      <c r="I362" s="39"/>
      <c r="J362" s="40"/>
      <c r="K362" s="40"/>
      <c r="L362" s="40"/>
      <c r="M362" s="40"/>
      <c r="N362" s="41"/>
      <c r="O362" s="20"/>
      <c r="P362" s="20"/>
      <c r="Q362" s="21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ht="15.75" customHeight="1">
      <c r="A363" s="20"/>
      <c r="B363" s="20"/>
      <c r="C363" s="20"/>
      <c r="D363" s="38"/>
      <c r="E363" s="38"/>
      <c r="F363" s="38"/>
      <c r="G363" s="38"/>
      <c r="H363" s="39"/>
      <c r="I363" s="39"/>
      <c r="J363" s="40"/>
      <c r="K363" s="40"/>
      <c r="L363" s="40"/>
      <c r="M363" s="40"/>
      <c r="N363" s="41"/>
      <c r="O363" s="20"/>
      <c r="P363" s="20"/>
      <c r="Q363" s="21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ht="15.75" customHeight="1">
      <c r="A364" s="20"/>
      <c r="B364" s="20"/>
      <c r="C364" s="20"/>
      <c r="D364" s="38"/>
      <c r="E364" s="38"/>
      <c r="F364" s="38"/>
      <c r="G364" s="38"/>
      <c r="H364" s="39"/>
      <c r="I364" s="39"/>
      <c r="J364" s="40"/>
      <c r="K364" s="40"/>
      <c r="L364" s="40"/>
      <c r="M364" s="40"/>
      <c r="N364" s="41"/>
      <c r="O364" s="20"/>
      <c r="P364" s="20"/>
      <c r="Q364" s="21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ht="15.75" customHeight="1">
      <c r="A365" s="20"/>
      <c r="B365" s="20"/>
      <c r="C365" s="20"/>
      <c r="D365" s="38"/>
      <c r="E365" s="38"/>
      <c r="F365" s="38"/>
      <c r="G365" s="38"/>
      <c r="H365" s="39"/>
      <c r="I365" s="39"/>
      <c r="J365" s="40"/>
      <c r="K365" s="40"/>
      <c r="L365" s="40"/>
      <c r="M365" s="40"/>
      <c r="N365" s="41"/>
      <c r="O365" s="20"/>
      <c r="P365" s="20"/>
      <c r="Q365" s="21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ht="15.75" customHeight="1">
      <c r="A366" s="20"/>
      <c r="B366" s="20"/>
      <c r="C366" s="20"/>
      <c r="D366" s="38"/>
      <c r="E366" s="38"/>
      <c r="F366" s="38"/>
      <c r="G366" s="38"/>
      <c r="H366" s="39"/>
      <c r="I366" s="39"/>
      <c r="J366" s="40"/>
      <c r="K366" s="40"/>
      <c r="L366" s="40"/>
      <c r="M366" s="40"/>
      <c r="N366" s="41"/>
      <c r="O366" s="20"/>
      <c r="P366" s="20"/>
      <c r="Q366" s="21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ht="15.75" customHeight="1">
      <c r="A367" s="20"/>
      <c r="B367" s="20"/>
      <c r="C367" s="20"/>
      <c r="D367" s="38"/>
      <c r="E367" s="38"/>
      <c r="F367" s="38"/>
      <c r="G367" s="38"/>
      <c r="H367" s="39"/>
      <c r="I367" s="39"/>
      <c r="J367" s="40"/>
      <c r="K367" s="40"/>
      <c r="L367" s="40"/>
      <c r="M367" s="40"/>
      <c r="N367" s="41"/>
      <c r="O367" s="20"/>
      <c r="P367" s="20"/>
      <c r="Q367" s="21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ht="15.75" customHeight="1">
      <c r="A368" s="20"/>
      <c r="B368" s="20"/>
      <c r="C368" s="20"/>
      <c r="D368" s="38"/>
      <c r="E368" s="38"/>
      <c r="F368" s="38"/>
      <c r="G368" s="38"/>
      <c r="H368" s="39"/>
      <c r="I368" s="39"/>
      <c r="J368" s="40"/>
      <c r="K368" s="40"/>
      <c r="L368" s="40"/>
      <c r="M368" s="40"/>
      <c r="N368" s="41"/>
      <c r="O368" s="20"/>
      <c r="P368" s="20"/>
      <c r="Q368" s="21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ht="15.75" customHeight="1">
      <c r="A369" s="20"/>
      <c r="B369" s="20"/>
      <c r="C369" s="20"/>
      <c r="D369" s="38"/>
      <c r="E369" s="38"/>
      <c r="F369" s="38"/>
      <c r="G369" s="38"/>
      <c r="H369" s="39"/>
      <c r="I369" s="39"/>
      <c r="J369" s="40"/>
      <c r="K369" s="40"/>
      <c r="L369" s="40"/>
      <c r="M369" s="40"/>
      <c r="N369" s="41"/>
      <c r="O369" s="20"/>
      <c r="P369" s="20"/>
      <c r="Q369" s="21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ht="15.75" customHeight="1">
      <c r="A370" s="20"/>
      <c r="B370" s="20"/>
      <c r="C370" s="20"/>
      <c r="D370" s="38"/>
      <c r="E370" s="38"/>
      <c r="F370" s="38"/>
      <c r="G370" s="38"/>
      <c r="H370" s="39"/>
      <c r="I370" s="39"/>
      <c r="J370" s="40"/>
      <c r="K370" s="40"/>
      <c r="L370" s="40"/>
      <c r="M370" s="40"/>
      <c r="N370" s="41"/>
      <c r="O370" s="20"/>
      <c r="P370" s="20"/>
      <c r="Q370" s="21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ht="15.75" customHeight="1">
      <c r="A371" s="20"/>
      <c r="B371" s="20"/>
      <c r="C371" s="20"/>
      <c r="D371" s="38"/>
      <c r="E371" s="38"/>
      <c r="F371" s="38"/>
      <c r="G371" s="38"/>
      <c r="H371" s="39"/>
      <c r="I371" s="39"/>
      <c r="J371" s="40"/>
      <c r="K371" s="40"/>
      <c r="L371" s="40"/>
      <c r="M371" s="40"/>
      <c r="N371" s="41"/>
      <c r="O371" s="20"/>
      <c r="P371" s="20"/>
      <c r="Q371" s="21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ht="15.75" customHeight="1">
      <c r="A372" s="20"/>
      <c r="B372" s="20"/>
      <c r="C372" s="20"/>
      <c r="D372" s="38"/>
      <c r="E372" s="38"/>
      <c r="F372" s="38"/>
      <c r="G372" s="38"/>
      <c r="H372" s="39"/>
      <c r="I372" s="39"/>
      <c r="J372" s="40"/>
      <c r="K372" s="40"/>
      <c r="L372" s="40"/>
      <c r="M372" s="40"/>
      <c r="N372" s="41"/>
      <c r="O372" s="20"/>
      <c r="P372" s="20"/>
      <c r="Q372" s="21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ht="15.75" customHeight="1">
      <c r="A373" s="20"/>
      <c r="B373" s="20"/>
      <c r="C373" s="20"/>
      <c r="D373" s="38"/>
      <c r="E373" s="38"/>
      <c r="F373" s="38"/>
      <c r="G373" s="38"/>
      <c r="H373" s="39"/>
      <c r="I373" s="39"/>
      <c r="J373" s="40"/>
      <c r="K373" s="40"/>
      <c r="L373" s="40"/>
      <c r="M373" s="40"/>
      <c r="N373" s="41"/>
      <c r="O373" s="20"/>
      <c r="P373" s="20"/>
      <c r="Q373" s="21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ht="15.75" customHeight="1">
      <c r="A374" s="20"/>
      <c r="B374" s="20"/>
      <c r="C374" s="20"/>
      <c r="D374" s="38"/>
      <c r="E374" s="38"/>
      <c r="F374" s="38"/>
      <c r="G374" s="38"/>
      <c r="H374" s="39"/>
      <c r="I374" s="39"/>
      <c r="J374" s="40"/>
      <c r="K374" s="40"/>
      <c r="L374" s="40"/>
      <c r="M374" s="40"/>
      <c r="N374" s="41"/>
      <c r="O374" s="20"/>
      <c r="P374" s="20"/>
      <c r="Q374" s="21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ht="15.75" customHeight="1">
      <c r="A375" s="20"/>
      <c r="B375" s="20"/>
      <c r="C375" s="20"/>
      <c r="D375" s="38"/>
      <c r="E375" s="38"/>
      <c r="F375" s="38"/>
      <c r="G375" s="38"/>
      <c r="H375" s="39"/>
      <c r="I375" s="39"/>
      <c r="J375" s="40"/>
      <c r="K375" s="40"/>
      <c r="L375" s="40"/>
      <c r="M375" s="40"/>
      <c r="N375" s="41"/>
      <c r="O375" s="20"/>
      <c r="P375" s="20"/>
      <c r="Q375" s="21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ht="15.75" customHeight="1">
      <c r="A376" s="20"/>
      <c r="B376" s="20"/>
      <c r="C376" s="20"/>
      <c r="D376" s="38"/>
      <c r="E376" s="38"/>
      <c r="F376" s="38"/>
      <c r="G376" s="38"/>
      <c r="H376" s="39"/>
      <c r="I376" s="39"/>
      <c r="J376" s="40"/>
      <c r="K376" s="40"/>
      <c r="L376" s="40"/>
      <c r="M376" s="40"/>
      <c r="N376" s="41"/>
      <c r="O376" s="20"/>
      <c r="P376" s="20"/>
      <c r="Q376" s="21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ht="15.75" customHeight="1">
      <c r="A377" s="20"/>
      <c r="B377" s="20"/>
      <c r="C377" s="20"/>
      <c r="D377" s="38"/>
      <c r="E377" s="38"/>
      <c r="F377" s="38"/>
      <c r="G377" s="38"/>
      <c r="H377" s="39"/>
      <c r="I377" s="39"/>
      <c r="J377" s="40"/>
      <c r="K377" s="40"/>
      <c r="L377" s="40"/>
      <c r="M377" s="40"/>
      <c r="N377" s="41"/>
      <c r="O377" s="20"/>
      <c r="P377" s="20"/>
      <c r="Q377" s="21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ht="15.75" customHeight="1">
      <c r="A378" s="20"/>
      <c r="B378" s="20"/>
      <c r="C378" s="20"/>
      <c r="D378" s="38"/>
      <c r="E378" s="38"/>
      <c r="F378" s="38"/>
      <c r="G378" s="38"/>
      <c r="H378" s="39"/>
      <c r="I378" s="39"/>
      <c r="J378" s="40"/>
      <c r="K378" s="40"/>
      <c r="L378" s="40"/>
      <c r="M378" s="40"/>
      <c r="N378" s="41"/>
      <c r="O378" s="20"/>
      <c r="P378" s="20"/>
      <c r="Q378" s="21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ht="15.75" customHeight="1">
      <c r="A379" s="20"/>
      <c r="B379" s="20"/>
      <c r="C379" s="20"/>
      <c r="D379" s="38"/>
      <c r="E379" s="38"/>
      <c r="F379" s="38"/>
      <c r="G379" s="38"/>
      <c r="H379" s="39"/>
      <c r="I379" s="39"/>
      <c r="J379" s="40"/>
      <c r="K379" s="40"/>
      <c r="L379" s="40"/>
      <c r="M379" s="40"/>
      <c r="N379" s="41"/>
      <c r="O379" s="20"/>
      <c r="P379" s="20"/>
      <c r="Q379" s="21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ht="15.75" customHeight="1">
      <c r="A380" s="20"/>
      <c r="B380" s="20"/>
      <c r="C380" s="20"/>
      <c r="D380" s="38"/>
      <c r="E380" s="38"/>
      <c r="F380" s="38"/>
      <c r="G380" s="38"/>
      <c r="H380" s="39"/>
      <c r="I380" s="39"/>
      <c r="J380" s="40"/>
      <c r="K380" s="40"/>
      <c r="L380" s="40"/>
      <c r="M380" s="40"/>
      <c r="N380" s="41"/>
      <c r="O380" s="20"/>
      <c r="P380" s="20"/>
      <c r="Q380" s="21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ht="15.75" customHeight="1">
      <c r="A381" s="20"/>
      <c r="B381" s="20"/>
      <c r="C381" s="20"/>
      <c r="D381" s="38"/>
      <c r="E381" s="38"/>
      <c r="F381" s="38"/>
      <c r="G381" s="38"/>
      <c r="H381" s="39"/>
      <c r="I381" s="39"/>
      <c r="J381" s="40"/>
      <c r="K381" s="40"/>
      <c r="L381" s="40"/>
      <c r="M381" s="40"/>
      <c r="N381" s="41"/>
      <c r="O381" s="20"/>
      <c r="P381" s="20"/>
      <c r="Q381" s="21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ht="15.75" customHeight="1">
      <c r="A382" s="20"/>
      <c r="B382" s="20"/>
      <c r="C382" s="20"/>
      <c r="D382" s="38"/>
      <c r="E382" s="38"/>
      <c r="F382" s="38"/>
      <c r="G382" s="38"/>
      <c r="H382" s="39"/>
      <c r="I382" s="39"/>
      <c r="J382" s="40"/>
      <c r="K382" s="40"/>
      <c r="L382" s="40"/>
      <c r="M382" s="40"/>
      <c r="N382" s="41"/>
      <c r="O382" s="20"/>
      <c r="P382" s="20"/>
      <c r="Q382" s="21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ht="15.75" customHeight="1">
      <c r="A383" s="20"/>
      <c r="B383" s="20"/>
      <c r="C383" s="20"/>
      <c r="D383" s="38"/>
      <c r="E383" s="38"/>
      <c r="F383" s="38"/>
      <c r="G383" s="38"/>
      <c r="H383" s="39"/>
      <c r="I383" s="39"/>
      <c r="J383" s="40"/>
      <c r="K383" s="40"/>
      <c r="L383" s="40"/>
      <c r="M383" s="40"/>
      <c r="N383" s="41"/>
      <c r="O383" s="20"/>
      <c r="P383" s="20"/>
      <c r="Q383" s="21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ht="15.75" customHeight="1">
      <c r="A384" s="20"/>
      <c r="B384" s="20"/>
      <c r="C384" s="20"/>
      <c r="D384" s="38"/>
      <c r="E384" s="38"/>
      <c r="F384" s="38"/>
      <c r="G384" s="38"/>
      <c r="H384" s="39"/>
      <c r="I384" s="39"/>
      <c r="J384" s="40"/>
      <c r="K384" s="40"/>
      <c r="L384" s="40"/>
      <c r="M384" s="40"/>
      <c r="N384" s="41"/>
      <c r="O384" s="20"/>
      <c r="P384" s="20"/>
      <c r="Q384" s="21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ht="15.75" customHeight="1">
      <c r="A385" s="20"/>
      <c r="B385" s="20"/>
      <c r="C385" s="20"/>
      <c r="D385" s="38"/>
      <c r="E385" s="38"/>
      <c r="F385" s="38"/>
      <c r="G385" s="38"/>
      <c r="H385" s="39"/>
      <c r="I385" s="39"/>
      <c r="J385" s="40"/>
      <c r="K385" s="40"/>
      <c r="L385" s="40"/>
      <c r="M385" s="40"/>
      <c r="N385" s="41"/>
      <c r="O385" s="20"/>
      <c r="P385" s="20"/>
      <c r="Q385" s="21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ht="15.75" customHeight="1">
      <c r="A386" s="20"/>
      <c r="B386" s="20"/>
      <c r="C386" s="20"/>
      <c r="D386" s="38"/>
      <c r="E386" s="38"/>
      <c r="F386" s="38"/>
      <c r="G386" s="38"/>
      <c r="H386" s="39"/>
      <c r="I386" s="39"/>
      <c r="J386" s="40"/>
      <c r="K386" s="40"/>
      <c r="L386" s="40"/>
      <c r="M386" s="40"/>
      <c r="N386" s="41"/>
      <c r="O386" s="20"/>
      <c r="P386" s="20"/>
      <c r="Q386" s="21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ht="15.75" customHeight="1">
      <c r="A387" s="20"/>
      <c r="B387" s="20"/>
      <c r="C387" s="20"/>
      <c r="D387" s="38"/>
      <c r="E387" s="38"/>
      <c r="F387" s="38"/>
      <c r="G387" s="38"/>
      <c r="H387" s="39"/>
      <c r="I387" s="39"/>
      <c r="J387" s="40"/>
      <c r="K387" s="40"/>
      <c r="L387" s="40"/>
      <c r="M387" s="40"/>
      <c r="N387" s="41"/>
      <c r="O387" s="20"/>
      <c r="P387" s="20"/>
      <c r="Q387" s="21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ht="15.75" customHeight="1">
      <c r="A388" s="20"/>
      <c r="B388" s="20"/>
      <c r="C388" s="20"/>
      <c r="D388" s="38"/>
      <c r="E388" s="38"/>
      <c r="F388" s="38"/>
      <c r="G388" s="38"/>
      <c r="H388" s="39"/>
      <c r="I388" s="39"/>
      <c r="J388" s="40"/>
      <c r="K388" s="40"/>
      <c r="L388" s="40"/>
      <c r="M388" s="40"/>
      <c r="N388" s="41"/>
      <c r="O388" s="20"/>
      <c r="P388" s="20"/>
      <c r="Q388" s="21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ht="15.75" customHeight="1">
      <c r="A389" s="20"/>
      <c r="B389" s="20"/>
      <c r="C389" s="20"/>
      <c r="D389" s="38"/>
      <c r="E389" s="38"/>
      <c r="F389" s="38"/>
      <c r="G389" s="38"/>
      <c r="H389" s="39"/>
      <c r="I389" s="39"/>
      <c r="J389" s="40"/>
      <c r="K389" s="40"/>
      <c r="L389" s="40"/>
      <c r="M389" s="40"/>
      <c r="N389" s="41"/>
      <c r="O389" s="20"/>
      <c r="P389" s="20"/>
      <c r="Q389" s="21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ht="15.75" customHeight="1">
      <c r="A390" s="20"/>
      <c r="B390" s="20"/>
      <c r="C390" s="20"/>
      <c r="D390" s="38"/>
      <c r="E390" s="38"/>
      <c r="F390" s="38"/>
      <c r="G390" s="38"/>
      <c r="H390" s="39"/>
      <c r="I390" s="39"/>
      <c r="J390" s="40"/>
      <c r="K390" s="40"/>
      <c r="L390" s="40"/>
      <c r="M390" s="40"/>
      <c r="N390" s="41"/>
      <c r="O390" s="20"/>
      <c r="P390" s="20"/>
      <c r="Q390" s="21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ht="15.75" customHeight="1">
      <c r="A391" s="20"/>
      <c r="B391" s="20"/>
      <c r="C391" s="20"/>
      <c r="D391" s="38"/>
      <c r="E391" s="38"/>
      <c r="F391" s="38"/>
      <c r="G391" s="38"/>
      <c r="H391" s="39"/>
      <c r="I391" s="39"/>
      <c r="J391" s="40"/>
      <c r="K391" s="40"/>
      <c r="L391" s="40"/>
      <c r="M391" s="40"/>
      <c r="N391" s="41"/>
      <c r="O391" s="20"/>
      <c r="P391" s="20"/>
      <c r="Q391" s="21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ht="15.75" customHeight="1">
      <c r="A392" s="20"/>
      <c r="B392" s="20"/>
      <c r="C392" s="20"/>
      <c r="D392" s="38"/>
      <c r="E392" s="38"/>
      <c r="F392" s="38"/>
      <c r="G392" s="38"/>
      <c r="H392" s="39"/>
      <c r="I392" s="39"/>
      <c r="J392" s="40"/>
      <c r="K392" s="40"/>
      <c r="L392" s="40"/>
      <c r="M392" s="40"/>
      <c r="N392" s="41"/>
      <c r="O392" s="20"/>
      <c r="P392" s="20"/>
      <c r="Q392" s="21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ht="15.75" customHeight="1">
      <c r="A393" s="20"/>
      <c r="B393" s="20"/>
      <c r="C393" s="20"/>
      <c r="D393" s="38"/>
      <c r="E393" s="38"/>
      <c r="F393" s="38"/>
      <c r="G393" s="38"/>
      <c r="H393" s="39"/>
      <c r="I393" s="39"/>
      <c r="J393" s="40"/>
      <c r="K393" s="40"/>
      <c r="L393" s="40"/>
      <c r="M393" s="40"/>
      <c r="N393" s="41"/>
      <c r="O393" s="20"/>
      <c r="P393" s="20"/>
      <c r="Q393" s="21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ht="15.75" customHeight="1">
      <c r="A394" s="20"/>
      <c r="B394" s="20"/>
      <c r="C394" s="20"/>
      <c r="D394" s="38"/>
      <c r="E394" s="38"/>
      <c r="F394" s="38"/>
      <c r="G394" s="38"/>
      <c r="H394" s="39"/>
      <c r="I394" s="39"/>
      <c r="J394" s="40"/>
      <c r="K394" s="40"/>
      <c r="L394" s="40"/>
      <c r="M394" s="40"/>
      <c r="N394" s="41"/>
      <c r="O394" s="20"/>
      <c r="P394" s="20"/>
      <c r="Q394" s="21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ht="15.75" customHeight="1">
      <c r="A395" s="20"/>
      <c r="B395" s="20"/>
      <c r="C395" s="20"/>
      <c r="D395" s="38"/>
      <c r="E395" s="38"/>
      <c r="F395" s="38"/>
      <c r="G395" s="38"/>
      <c r="H395" s="39"/>
      <c r="I395" s="39"/>
      <c r="J395" s="40"/>
      <c r="K395" s="40"/>
      <c r="L395" s="40"/>
      <c r="M395" s="40"/>
      <c r="N395" s="41"/>
      <c r="O395" s="20"/>
      <c r="P395" s="20"/>
      <c r="Q395" s="21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ht="15.75" customHeight="1">
      <c r="A396" s="20"/>
      <c r="B396" s="20"/>
      <c r="C396" s="20"/>
      <c r="D396" s="38"/>
      <c r="E396" s="38"/>
      <c r="F396" s="38"/>
      <c r="G396" s="38"/>
      <c r="H396" s="39"/>
      <c r="I396" s="39"/>
      <c r="J396" s="40"/>
      <c r="K396" s="40"/>
      <c r="L396" s="40"/>
      <c r="M396" s="40"/>
      <c r="N396" s="41"/>
      <c r="O396" s="20"/>
      <c r="P396" s="20"/>
      <c r="Q396" s="21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ht="15.75" customHeight="1">
      <c r="A397" s="20"/>
      <c r="B397" s="20"/>
      <c r="C397" s="20"/>
      <c r="D397" s="38"/>
      <c r="E397" s="38"/>
      <c r="F397" s="38"/>
      <c r="G397" s="38"/>
      <c r="H397" s="39"/>
      <c r="I397" s="39"/>
      <c r="J397" s="40"/>
      <c r="K397" s="40"/>
      <c r="L397" s="40"/>
      <c r="M397" s="40"/>
      <c r="N397" s="41"/>
      <c r="O397" s="20"/>
      <c r="P397" s="20"/>
      <c r="Q397" s="21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ht="15.75" customHeight="1">
      <c r="A398" s="20"/>
      <c r="B398" s="20"/>
      <c r="C398" s="20"/>
      <c r="D398" s="38"/>
      <c r="E398" s="38"/>
      <c r="F398" s="38"/>
      <c r="G398" s="38"/>
      <c r="H398" s="39"/>
      <c r="I398" s="39"/>
      <c r="J398" s="40"/>
      <c r="K398" s="40"/>
      <c r="L398" s="40"/>
      <c r="M398" s="40"/>
      <c r="N398" s="41"/>
      <c r="O398" s="20"/>
      <c r="P398" s="20"/>
      <c r="Q398" s="21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ht="15.75" customHeight="1">
      <c r="A399" s="20"/>
      <c r="B399" s="20"/>
      <c r="C399" s="20"/>
      <c r="D399" s="38"/>
      <c r="E399" s="38"/>
      <c r="F399" s="38"/>
      <c r="G399" s="38"/>
      <c r="H399" s="39"/>
      <c r="I399" s="39"/>
      <c r="J399" s="40"/>
      <c r="K399" s="40"/>
      <c r="L399" s="40"/>
      <c r="M399" s="40"/>
      <c r="N399" s="41"/>
      <c r="O399" s="20"/>
      <c r="P399" s="20"/>
      <c r="Q399" s="21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ht="15.75" customHeight="1">
      <c r="A400" s="20"/>
      <c r="B400" s="20"/>
      <c r="C400" s="20"/>
      <c r="D400" s="38"/>
      <c r="E400" s="38"/>
      <c r="F400" s="38"/>
      <c r="G400" s="38"/>
      <c r="H400" s="39"/>
      <c r="I400" s="39"/>
      <c r="J400" s="40"/>
      <c r="K400" s="40"/>
      <c r="L400" s="40"/>
      <c r="M400" s="40"/>
      <c r="N400" s="41"/>
      <c r="O400" s="20"/>
      <c r="P400" s="20"/>
      <c r="Q400" s="21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ht="15.75" customHeight="1">
      <c r="A401" s="20"/>
      <c r="B401" s="20"/>
      <c r="C401" s="20"/>
      <c r="D401" s="38"/>
      <c r="E401" s="38"/>
      <c r="F401" s="38"/>
      <c r="G401" s="38"/>
      <c r="H401" s="39"/>
      <c r="I401" s="39"/>
      <c r="J401" s="40"/>
      <c r="K401" s="40"/>
      <c r="L401" s="40"/>
      <c r="M401" s="40"/>
      <c r="N401" s="41"/>
      <c r="O401" s="20"/>
      <c r="P401" s="20"/>
      <c r="Q401" s="21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ht="15.75" customHeight="1">
      <c r="A402" s="20"/>
      <c r="B402" s="20"/>
      <c r="C402" s="20"/>
      <c r="D402" s="38"/>
      <c r="E402" s="38"/>
      <c r="F402" s="38"/>
      <c r="G402" s="38"/>
      <c r="H402" s="39"/>
      <c r="I402" s="39"/>
      <c r="J402" s="40"/>
      <c r="K402" s="40"/>
      <c r="L402" s="40"/>
      <c r="M402" s="40"/>
      <c r="N402" s="41"/>
      <c r="O402" s="20"/>
      <c r="P402" s="20"/>
      <c r="Q402" s="21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ht="15.75" customHeight="1">
      <c r="A403" s="20"/>
      <c r="B403" s="20"/>
      <c r="C403" s="20"/>
      <c r="D403" s="38"/>
      <c r="E403" s="38"/>
      <c r="F403" s="38"/>
      <c r="G403" s="38"/>
      <c r="H403" s="39"/>
      <c r="I403" s="39"/>
      <c r="J403" s="40"/>
      <c r="K403" s="40"/>
      <c r="L403" s="40"/>
      <c r="M403" s="40"/>
      <c r="N403" s="41"/>
      <c r="O403" s="20"/>
      <c r="P403" s="20"/>
      <c r="Q403" s="21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ht="15.75" customHeight="1">
      <c r="A404" s="20"/>
      <c r="B404" s="20"/>
      <c r="C404" s="20"/>
      <c r="D404" s="38"/>
      <c r="E404" s="38"/>
      <c r="F404" s="38"/>
      <c r="G404" s="38"/>
      <c r="H404" s="39"/>
      <c r="I404" s="39"/>
      <c r="J404" s="40"/>
      <c r="K404" s="40"/>
      <c r="L404" s="40"/>
      <c r="M404" s="40"/>
      <c r="N404" s="41"/>
      <c r="O404" s="20"/>
      <c r="P404" s="20"/>
      <c r="Q404" s="21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ht="15.75" customHeight="1">
      <c r="A405" s="20"/>
      <c r="B405" s="20"/>
      <c r="C405" s="20"/>
      <c r="D405" s="38"/>
      <c r="E405" s="38"/>
      <c r="F405" s="38"/>
      <c r="G405" s="38"/>
      <c r="H405" s="39"/>
      <c r="I405" s="39"/>
      <c r="J405" s="40"/>
      <c r="K405" s="40"/>
      <c r="L405" s="40"/>
      <c r="M405" s="40"/>
      <c r="N405" s="41"/>
      <c r="O405" s="20"/>
      <c r="P405" s="20"/>
      <c r="Q405" s="21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ht="15.75" customHeight="1">
      <c r="A406" s="20"/>
      <c r="B406" s="20"/>
      <c r="C406" s="20"/>
      <c r="D406" s="38"/>
      <c r="E406" s="38"/>
      <c r="F406" s="38"/>
      <c r="G406" s="38"/>
      <c r="H406" s="39"/>
      <c r="I406" s="39"/>
      <c r="J406" s="40"/>
      <c r="K406" s="40"/>
      <c r="L406" s="40"/>
      <c r="M406" s="40"/>
      <c r="N406" s="41"/>
      <c r="O406" s="20"/>
      <c r="P406" s="20"/>
      <c r="Q406" s="21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ht="15.75" customHeight="1">
      <c r="A407" s="20"/>
      <c r="B407" s="20"/>
      <c r="C407" s="20"/>
      <c r="D407" s="38"/>
      <c r="E407" s="38"/>
      <c r="F407" s="38"/>
      <c r="G407" s="38"/>
      <c r="H407" s="39"/>
      <c r="I407" s="39"/>
      <c r="J407" s="40"/>
      <c r="K407" s="40"/>
      <c r="L407" s="40"/>
      <c r="M407" s="40"/>
      <c r="N407" s="41"/>
      <c r="O407" s="20"/>
      <c r="P407" s="20"/>
      <c r="Q407" s="21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ht="15.75" customHeight="1">
      <c r="A408" s="20"/>
      <c r="B408" s="20"/>
      <c r="C408" s="20"/>
      <c r="D408" s="38"/>
      <c r="E408" s="38"/>
      <c r="F408" s="38"/>
      <c r="G408" s="38"/>
      <c r="H408" s="39"/>
      <c r="I408" s="39"/>
      <c r="J408" s="40"/>
      <c r="K408" s="40"/>
      <c r="L408" s="40"/>
      <c r="M408" s="40"/>
      <c r="N408" s="41"/>
      <c r="O408" s="20"/>
      <c r="P408" s="20"/>
      <c r="Q408" s="21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ht="15.75" customHeight="1">
      <c r="A409" s="20"/>
      <c r="B409" s="20"/>
      <c r="C409" s="20"/>
      <c r="D409" s="38"/>
      <c r="E409" s="38"/>
      <c r="F409" s="38"/>
      <c r="G409" s="38"/>
      <c r="H409" s="39"/>
      <c r="I409" s="39"/>
      <c r="J409" s="40"/>
      <c r="K409" s="40"/>
      <c r="L409" s="40"/>
      <c r="M409" s="40"/>
      <c r="N409" s="41"/>
      <c r="O409" s="20"/>
      <c r="P409" s="20"/>
      <c r="Q409" s="21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ht="15.75" customHeight="1">
      <c r="A410" s="20"/>
      <c r="B410" s="20"/>
      <c r="C410" s="20"/>
      <c r="D410" s="38"/>
      <c r="E410" s="38"/>
      <c r="F410" s="38"/>
      <c r="G410" s="38"/>
      <c r="H410" s="39"/>
      <c r="I410" s="39"/>
      <c r="J410" s="40"/>
      <c r="K410" s="40"/>
      <c r="L410" s="40"/>
      <c r="M410" s="40"/>
      <c r="N410" s="41"/>
      <c r="O410" s="20"/>
      <c r="P410" s="20"/>
      <c r="Q410" s="21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ht="15.75" customHeight="1">
      <c r="A411" s="20"/>
      <c r="B411" s="20"/>
      <c r="C411" s="20"/>
      <c r="D411" s="38"/>
      <c r="E411" s="38"/>
      <c r="F411" s="38"/>
      <c r="G411" s="38"/>
      <c r="H411" s="39"/>
      <c r="I411" s="39"/>
      <c r="J411" s="40"/>
      <c r="K411" s="40"/>
      <c r="L411" s="40"/>
      <c r="M411" s="40"/>
      <c r="N411" s="41"/>
      <c r="O411" s="20"/>
      <c r="P411" s="20"/>
      <c r="Q411" s="21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ht="15.75" customHeight="1">
      <c r="A412" s="20"/>
      <c r="B412" s="20"/>
      <c r="C412" s="20"/>
      <c r="D412" s="38"/>
      <c r="E412" s="38"/>
      <c r="F412" s="38"/>
      <c r="G412" s="38"/>
      <c r="H412" s="39"/>
      <c r="I412" s="39"/>
      <c r="J412" s="40"/>
      <c r="K412" s="40"/>
      <c r="L412" s="40"/>
      <c r="M412" s="40"/>
      <c r="N412" s="41"/>
      <c r="O412" s="20"/>
      <c r="P412" s="20"/>
      <c r="Q412" s="21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ht="15.75" customHeight="1">
      <c r="A413" s="20"/>
      <c r="B413" s="20"/>
      <c r="C413" s="20"/>
      <c r="D413" s="38"/>
      <c r="E413" s="38"/>
      <c r="F413" s="38"/>
      <c r="G413" s="38"/>
      <c r="H413" s="39"/>
      <c r="I413" s="39"/>
      <c r="J413" s="40"/>
      <c r="K413" s="40"/>
      <c r="L413" s="40"/>
      <c r="M413" s="40"/>
      <c r="N413" s="41"/>
      <c r="O413" s="20"/>
      <c r="P413" s="20"/>
      <c r="Q413" s="21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ht="15.75" customHeight="1">
      <c r="A414" s="20"/>
      <c r="B414" s="20"/>
      <c r="C414" s="20"/>
      <c r="D414" s="38"/>
      <c r="E414" s="38"/>
      <c r="F414" s="38"/>
      <c r="G414" s="38"/>
      <c r="H414" s="39"/>
      <c r="I414" s="39"/>
      <c r="J414" s="40"/>
      <c r="K414" s="40"/>
      <c r="L414" s="40"/>
      <c r="M414" s="40"/>
      <c r="N414" s="41"/>
      <c r="O414" s="20"/>
      <c r="P414" s="20"/>
      <c r="Q414" s="21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15.75" customHeight="1">
      <c r="A415" s="20"/>
      <c r="B415" s="20"/>
      <c r="C415" s="20"/>
      <c r="D415" s="38"/>
      <c r="E415" s="38"/>
      <c r="F415" s="38"/>
      <c r="G415" s="38"/>
      <c r="H415" s="39"/>
      <c r="I415" s="39"/>
      <c r="J415" s="40"/>
      <c r="K415" s="40"/>
      <c r="L415" s="40"/>
      <c r="M415" s="40"/>
      <c r="N415" s="41"/>
      <c r="O415" s="20"/>
      <c r="P415" s="20"/>
      <c r="Q415" s="21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ht="15.75" customHeight="1">
      <c r="A416" s="20"/>
      <c r="B416" s="20"/>
      <c r="C416" s="20"/>
      <c r="D416" s="38"/>
      <c r="E416" s="38"/>
      <c r="F416" s="38"/>
      <c r="G416" s="38"/>
      <c r="H416" s="39"/>
      <c r="I416" s="39"/>
      <c r="J416" s="40"/>
      <c r="K416" s="40"/>
      <c r="L416" s="40"/>
      <c r="M416" s="40"/>
      <c r="N416" s="41"/>
      <c r="O416" s="20"/>
      <c r="P416" s="20"/>
      <c r="Q416" s="21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ht="15.75" customHeight="1">
      <c r="A417" s="20"/>
      <c r="B417" s="20"/>
      <c r="C417" s="20"/>
      <c r="D417" s="38"/>
      <c r="E417" s="38"/>
      <c r="F417" s="38"/>
      <c r="G417" s="38"/>
      <c r="H417" s="39"/>
      <c r="I417" s="39"/>
      <c r="J417" s="40"/>
      <c r="K417" s="40"/>
      <c r="L417" s="40"/>
      <c r="M417" s="40"/>
      <c r="N417" s="41"/>
      <c r="O417" s="20"/>
      <c r="P417" s="20"/>
      <c r="Q417" s="21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ht="15.75" customHeight="1">
      <c r="A418" s="20"/>
      <c r="B418" s="20"/>
      <c r="C418" s="20"/>
      <c r="D418" s="38"/>
      <c r="E418" s="38"/>
      <c r="F418" s="38"/>
      <c r="G418" s="38"/>
      <c r="H418" s="39"/>
      <c r="I418" s="39"/>
      <c r="J418" s="40"/>
      <c r="K418" s="40"/>
      <c r="L418" s="40"/>
      <c r="M418" s="40"/>
      <c r="N418" s="41"/>
      <c r="O418" s="20"/>
      <c r="P418" s="20"/>
      <c r="Q418" s="21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ht="15.75" customHeight="1">
      <c r="A419" s="20"/>
      <c r="B419" s="20"/>
      <c r="C419" s="20"/>
      <c r="D419" s="38"/>
      <c r="E419" s="38"/>
      <c r="F419" s="38"/>
      <c r="G419" s="38"/>
      <c r="H419" s="39"/>
      <c r="I419" s="39"/>
      <c r="J419" s="40"/>
      <c r="K419" s="40"/>
      <c r="L419" s="40"/>
      <c r="M419" s="40"/>
      <c r="N419" s="41"/>
      <c r="O419" s="20"/>
      <c r="P419" s="20"/>
      <c r="Q419" s="21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15.75" customHeight="1">
      <c r="A420" s="20"/>
      <c r="B420" s="20"/>
      <c r="C420" s="20"/>
      <c r="D420" s="38"/>
      <c r="E420" s="38"/>
      <c r="F420" s="38"/>
      <c r="G420" s="38"/>
      <c r="H420" s="39"/>
      <c r="I420" s="39"/>
      <c r="J420" s="40"/>
      <c r="K420" s="40"/>
      <c r="L420" s="40"/>
      <c r="M420" s="40"/>
      <c r="N420" s="41"/>
      <c r="O420" s="20"/>
      <c r="P420" s="20"/>
      <c r="Q420" s="21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ht="15.75" customHeight="1">
      <c r="A421" s="20"/>
      <c r="B421" s="20"/>
      <c r="C421" s="20"/>
      <c r="D421" s="38"/>
      <c r="E421" s="38"/>
      <c r="F421" s="38"/>
      <c r="G421" s="38"/>
      <c r="H421" s="39"/>
      <c r="I421" s="39"/>
      <c r="J421" s="40"/>
      <c r="K421" s="40"/>
      <c r="L421" s="40"/>
      <c r="M421" s="40"/>
      <c r="N421" s="41"/>
      <c r="O421" s="20"/>
      <c r="P421" s="20"/>
      <c r="Q421" s="21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ht="15.75" customHeight="1">
      <c r="A422" s="20"/>
      <c r="B422" s="20"/>
      <c r="C422" s="20"/>
      <c r="D422" s="38"/>
      <c r="E422" s="38"/>
      <c r="F422" s="38"/>
      <c r="G422" s="38"/>
      <c r="H422" s="39"/>
      <c r="I422" s="39"/>
      <c r="J422" s="40"/>
      <c r="K422" s="40"/>
      <c r="L422" s="40"/>
      <c r="M422" s="40"/>
      <c r="N422" s="41"/>
      <c r="O422" s="20"/>
      <c r="P422" s="20"/>
      <c r="Q422" s="21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ht="15.75" customHeight="1">
      <c r="A423" s="20"/>
      <c r="B423" s="20"/>
      <c r="C423" s="20"/>
      <c r="D423" s="38"/>
      <c r="E423" s="38"/>
      <c r="F423" s="38"/>
      <c r="G423" s="38"/>
      <c r="H423" s="39"/>
      <c r="I423" s="39"/>
      <c r="J423" s="40"/>
      <c r="K423" s="40"/>
      <c r="L423" s="40"/>
      <c r="M423" s="40"/>
      <c r="N423" s="41"/>
      <c r="O423" s="20"/>
      <c r="P423" s="20"/>
      <c r="Q423" s="21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ht="15.75" customHeight="1">
      <c r="A424" s="20"/>
      <c r="B424" s="20"/>
      <c r="C424" s="20"/>
      <c r="D424" s="38"/>
      <c r="E424" s="38"/>
      <c r="F424" s="38"/>
      <c r="G424" s="38"/>
      <c r="H424" s="39"/>
      <c r="I424" s="39"/>
      <c r="J424" s="40"/>
      <c r="K424" s="40"/>
      <c r="L424" s="40"/>
      <c r="M424" s="40"/>
      <c r="N424" s="41"/>
      <c r="O424" s="20"/>
      <c r="P424" s="20"/>
      <c r="Q424" s="21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ht="15.75" customHeight="1">
      <c r="A425" s="20"/>
      <c r="B425" s="20"/>
      <c r="C425" s="20"/>
      <c r="D425" s="38"/>
      <c r="E425" s="38"/>
      <c r="F425" s="38"/>
      <c r="G425" s="38"/>
      <c r="H425" s="39"/>
      <c r="I425" s="39"/>
      <c r="J425" s="40"/>
      <c r="K425" s="40"/>
      <c r="L425" s="40"/>
      <c r="M425" s="40"/>
      <c r="N425" s="41"/>
      <c r="O425" s="20"/>
      <c r="P425" s="20"/>
      <c r="Q425" s="21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ht="15.75" customHeight="1">
      <c r="A426" s="20"/>
      <c r="B426" s="20"/>
      <c r="C426" s="20"/>
      <c r="D426" s="38"/>
      <c r="E426" s="38"/>
      <c r="F426" s="38"/>
      <c r="G426" s="38"/>
      <c r="H426" s="39"/>
      <c r="I426" s="39"/>
      <c r="J426" s="40"/>
      <c r="K426" s="40"/>
      <c r="L426" s="40"/>
      <c r="M426" s="40"/>
      <c r="N426" s="41"/>
      <c r="O426" s="20"/>
      <c r="P426" s="20"/>
      <c r="Q426" s="21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ht="15.75" customHeight="1">
      <c r="A427" s="20"/>
      <c r="B427" s="20"/>
      <c r="C427" s="20"/>
      <c r="D427" s="38"/>
      <c r="E427" s="38"/>
      <c r="F427" s="38"/>
      <c r="G427" s="38"/>
      <c r="H427" s="39"/>
      <c r="I427" s="39"/>
      <c r="J427" s="40"/>
      <c r="K427" s="40"/>
      <c r="L427" s="40"/>
      <c r="M427" s="40"/>
      <c r="N427" s="41"/>
      <c r="O427" s="20"/>
      <c r="P427" s="20"/>
      <c r="Q427" s="21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ht="15.75" customHeight="1">
      <c r="A428" s="20"/>
      <c r="B428" s="20"/>
      <c r="C428" s="20"/>
      <c r="D428" s="38"/>
      <c r="E428" s="38"/>
      <c r="F428" s="38"/>
      <c r="G428" s="38"/>
      <c r="H428" s="39"/>
      <c r="I428" s="39"/>
      <c r="J428" s="40"/>
      <c r="K428" s="40"/>
      <c r="L428" s="40"/>
      <c r="M428" s="40"/>
      <c r="N428" s="41"/>
      <c r="O428" s="20"/>
      <c r="P428" s="20"/>
      <c r="Q428" s="21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ht="15.75" customHeight="1">
      <c r="A429" s="20"/>
      <c r="B429" s="20"/>
      <c r="C429" s="20"/>
      <c r="D429" s="38"/>
      <c r="E429" s="38"/>
      <c r="F429" s="38"/>
      <c r="G429" s="38"/>
      <c r="H429" s="39"/>
      <c r="I429" s="39"/>
      <c r="J429" s="40"/>
      <c r="K429" s="40"/>
      <c r="L429" s="40"/>
      <c r="M429" s="40"/>
      <c r="N429" s="41"/>
      <c r="O429" s="20"/>
      <c r="P429" s="20"/>
      <c r="Q429" s="21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ht="15.75" customHeight="1">
      <c r="A430" s="20"/>
      <c r="B430" s="20"/>
      <c r="C430" s="20"/>
      <c r="D430" s="38"/>
      <c r="E430" s="38"/>
      <c r="F430" s="38"/>
      <c r="G430" s="38"/>
      <c r="H430" s="39"/>
      <c r="I430" s="39"/>
      <c r="J430" s="40"/>
      <c r="K430" s="40"/>
      <c r="L430" s="40"/>
      <c r="M430" s="40"/>
      <c r="N430" s="41"/>
      <c r="O430" s="20"/>
      <c r="P430" s="20"/>
      <c r="Q430" s="21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ht="15.75" customHeight="1">
      <c r="A431" s="20"/>
      <c r="B431" s="20"/>
      <c r="C431" s="20"/>
      <c r="D431" s="38"/>
      <c r="E431" s="38"/>
      <c r="F431" s="38"/>
      <c r="G431" s="38"/>
      <c r="H431" s="39"/>
      <c r="I431" s="39"/>
      <c r="J431" s="40"/>
      <c r="K431" s="40"/>
      <c r="L431" s="40"/>
      <c r="M431" s="40"/>
      <c r="N431" s="41"/>
      <c r="O431" s="20"/>
      <c r="P431" s="20"/>
      <c r="Q431" s="21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ht="15.75" customHeight="1">
      <c r="A432" s="20"/>
      <c r="B432" s="20"/>
      <c r="C432" s="20"/>
      <c r="D432" s="38"/>
      <c r="E432" s="38"/>
      <c r="F432" s="38"/>
      <c r="G432" s="38"/>
      <c r="H432" s="39"/>
      <c r="I432" s="39"/>
      <c r="J432" s="40"/>
      <c r="K432" s="40"/>
      <c r="L432" s="40"/>
      <c r="M432" s="40"/>
      <c r="N432" s="41"/>
      <c r="O432" s="20"/>
      <c r="P432" s="20"/>
      <c r="Q432" s="21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ht="15.75" customHeight="1">
      <c r="A433" s="20"/>
      <c r="B433" s="20"/>
      <c r="C433" s="20"/>
      <c r="D433" s="38"/>
      <c r="E433" s="38"/>
      <c r="F433" s="38"/>
      <c r="G433" s="38"/>
      <c r="H433" s="39"/>
      <c r="I433" s="39"/>
      <c r="J433" s="40"/>
      <c r="K433" s="40"/>
      <c r="L433" s="40"/>
      <c r="M433" s="40"/>
      <c r="N433" s="41"/>
      <c r="O433" s="20"/>
      <c r="P433" s="20"/>
      <c r="Q433" s="21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ht="15.75" customHeight="1">
      <c r="A434" s="20"/>
      <c r="B434" s="20"/>
      <c r="C434" s="20"/>
      <c r="D434" s="38"/>
      <c r="E434" s="38"/>
      <c r="F434" s="38"/>
      <c r="G434" s="38"/>
      <c r="H434" s="39"/>
      <c r="I434" s="39"/>
      <c r="J434" s="40"/>
      <c r="K434" s="40"/>
      <c r="L434" s="40"/>
      <c r="M434" s="40"/>
      <c r="N434" s="41"/>
      <c r="O434" s="20"/>
      <c r="P434" s="20"/>
      <c r="Q434" s="21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ht="15.75" customHeight="1">
      <c r="A435" s="20"/>
      <c r="B435" s="20"/>
      <c r="C435" s="20"/>
      <c r="D435" s="38"/>
      <c r="E435" s="38"/>
      <c r="F435" s="38"/>
      <c r="G435" s="38"/>
      <c r="H435" s="39"/>
      <c r="I435" s="39"/>
      <c r="J435" s="40"/>
      <c r="K435" s="40"/>
      <c r="L435" s="40"/>
      <c r="M435" s="40"/>
      <c r="N435" s="41"/>
      <c r="O435" s="20"/>
      <c r="P435" s="20"/>
      <c r="Q435" s="21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ht="15.75" customHeight="1">
      <c r="A436" s="20"/>
      <c r="B436" s="20"/>
      <c r="C436" s="20"/>
      <c r="D436" s="38"/>
      <c r="E436" s="38"/>
      <c r="F436" s="38"/>
      <c r="G436" s="38"/>
      <c r="H436" s="39"/>
      <c r="I436" s="39"/>
      <c r="J436" s="40"/>
      <c r="K436" s="40"/>
      <c r="L436" s="40"/>
      <c r="M436" s="40"/>
      <c r="N436" s="41"/>
      <c r="O436" s="20"/>
      <c r="P436" s="20"/>
      <c r="Q436" s="21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ht="15.75" customHeight="1">
      <c r="A437" s="20"/>
      <c r="B437" s="20"/>
      <c r="C437" s="20"/>
      <c r="D437" s="38"/>
      <c r="E437" s="38"/>
      <c r="F437" s="38"/>
      <c r="G437" s="38"/>
      <c r="H437" s="39"/>
      <c r="I437" s="39"/>
      <c r="J437" s="40"/>
      <c r="K437" s="40"/>
      <c r="L437" s="40"/>
      <c r="M437" s="40"/>
      <c r="N437" s="41"/>
      <c r="O437" s="20"/>
      <c r="P437" s="20"/>
      <c r="Q437" s="21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ht="15.75" customHeight="1">
      <c r="A438" s="20"/>
      <c r="B438" s="20"/>
      <c r="C438" s="20"/>
      <c r="D438" s="38"/>
      <c r="E438" s="38"/>
      <c r="F438" s="38"/>
      <c r="G438" s="38"/>
      <c r="H438" s="39"/>
      <c r="I438" s="39"/>
      <c r="J438" s="40"/>
      <c r="K438" s="40"/>
      <c r="L438" s="40"/>
      <c r="M438" s="40"/>
      <c r="N438" s="41"/>
      <c r="O438" s="20"/>
      <c r="P438" s="20"/>
      <c r="Q438" s="21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ht="15.75" customHeight="1">
      <c r="A439" s="20"/>
      <c r="B439" s="20"/>
      <c r="C439" s="20"/>
      <c r="D439" s="38"/>
      <c r="E439" s="38"/>
      <c r="F439" s="38"/>
      <c r="G439" s="38"/>
      <c r="H439" s="39"/>
      <c r="I439" s="39"/>
      <c r="J439" s="40"/>
      <c r="K439" s="40"/>
      <c r="L439" s="40"/>
      <c r="M439" s="40"/>
      <c r="N439" s="41"/>
      <c r="O439" s="20"/>
      <c r="P439" s="20"/>
      <c r="Q439" s="21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ht="15.75" customHeight="1">
      <c r="A440" s="20"/>
      <c r="B440" s="20"/>
      <c r="C440" s="20"/>
      <c r="D440" s="38"/>
      <c r="E440" s="38"/>
      <c r="F440" s="38"/>
      <c r="G440" s="38"/>
      <c r="H440" s="39"/>
      <c r="I440" s="39"/>
      <c r="J440" s="40"/>
      <c r="K440" s="40"/>
      <c r="L440" s="40"/>
      <c r="M440" s="40"/>
      <c r="N440" s="41"/>
      <c r="O440" s="20"/>
      <c r="P440" s="20"/>
      <c r="Q440" s="21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ht="15.75" customHeight="1">
      <c r="A441" s="20"/>
      <c r="B441" s="20"/>
      <c r="C441" s="20"/>
      <c r="D441" s="38"/>
      <c r="E441" s="38"/>
      <c r="F441" s="38"/>
      <c r="G441" s="38"/>
      <c r="H441" s="39"/>
      <c r="I441" s="39"/>
      <c r="J441" s="40"/>
      <c r="K441" s="40"/>
      <c r="L441" s="40"/>
      <c r="M441" s="40"/>
      <c r="N441" s="41"/>
      <c r="O441" s="20"/>
      <c r="P441" s="20"/>
      <c r="Q441" s="21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ht="15.75" customHeight="1">
      <c r="A442" s="20"/>
      <c r="B442" s="20"/>
      <c r="C442" s="20"/>
      <c r="D442" s="38"/>
      <c r="E442" s="38"/>
      <c r="F442" s="38"/>
      <c r="G442" s="38"/>
      <c r="H442" s="39"/>
      <c r="I442" s="39"/>
      <c r="J442" s="40"/>
      <c r="K442" s="40"/>
      <c r="L442" s="40"/>
      <c r="M442" s="40"/>
      <c r="N442" s="41"/>
      <c r="O442" s="20"/>
      <c r="P442" s="20"/>
      <c r="Q442" s="21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ht="15.75" customHeight="1">
      <c r="A443" s="20"/>
      <c r="B443" s="20"/>
      <c r="C443" s="20"/>
      <c r="D443" s="38"/>
      <c r="E443" s="38"/>
      <c r="F443" s="38"/>
      <c r="G443" s="38"/>
      <c r="H443" s="39"/>
      <c r="I443" s="39"/>
      <c r="J443" s="40"/>
      <c r="K443" s="40"/>
      <c r="L443" s="40"/>
      <c r="M443" s="40"/>
      <c r="N443" s="41"/>
      <c r="O443" s="20"/>
      <c r="P443" s="20"/>
      <c r="Q443" s="21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ht="15.75" customHeight="1">
      <c r="A444" s="20"/>
      <c r="B444" s="20"/>
      <c r="C444" s="20"/>
      <c r="D444" s="38"/>
      <c r="E444" s="38"/>
      <c r="F444" s="38"/>
      <c r="G444" s="38"/>
      <c r="H444" s="39"/>
      <c r="I444" s="39"/>
      <c r="J444" s="40"/>
      <c r="K444" s="40"/>
      <c r="L444" s="40"/>
      <c r="M444" s="40"/>
      <c r="N444" s="41"/>
      <c r="O444" s="20"/>
      <c r="P444" s="20"/>
      <c r="Q444" s="21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ht="15.75" customHeight="1">
      <c r="A445" s="20"/>
      <c r="B445" s="20"/>
      <c r="C445" s="20"/>
      <c r="D445" s="38"/>
      <c r="E445" s="38"/>
      <c r="F445" s="38"/>
      <c r="G445" s="38"/>
      <c r="H445" s="39"/>
      <c r="I445" s="39"/>
      <c r="J445" s="40"/>
      <c r="K445" s="40"/>
      <c r="L445" s="40"/>
      <c r="M445" s="40"/>
      <c r="N445" s="41"/>
      <c r="O445" s="20"/>
      <c r="P445" s="20"/>
      <c r="Q445" s="21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ht="15.75" customHeight="1">
      <c r="A446" s="20"/>
      <c r="B446" s="20"/>
      <c r="C446" s="20"/>
      <c r="D446" s="38"/>
      <c r="E446" s="38"/>
      <c r="F446" s="38"/>
      <c r="G446" s="38"/>
      <c r="H446" s="39"/>
      <c r="I446" s="39"/>
      <c r="J446" s="40"/>
      <c r="K446" s="40"/>
      <c r="L446" s="40"/>
      <c r="M446" s="40"/>
      <c r="N446" s="41"/>
      <c r="O446" s="20"/>
      <c r="P446" s="20"/>
      <c r="Q446" s="21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ht="15.75" customHeight="1">
      <c r="A447" s="20"/>
      <c r="B447" s="20"/>
      <c r="C447" s="20"/>
      <c r="D447" s="38"/>
      <c r="E447" s="38"/>
      <c r="F447" s="38"/>
      <c r="G447" s="38"/>
      <c r="H447" s="39"/>
      <c r="I447" s="39"/>
      <c r="J447" s="40"/>
      <c r="K447" s="40"/>
      <c r="L447" s="40"/>
      <c r="M447" s="40"/>
      <c r="N447" s="41"/>
      <c r="O447" s="20"/>
      <c r="P447" s="20"/>
      <c r="Q447" s="21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ht="15.75" customHeight="1">
      <c r="A448" s="20"/>
      <c r="B448" s="20"/>
      <c r="C448" s="20"/>
      <c r="D448" s="38"/>
      <c r="E448" s="38"/>
      <c r="F448" s="38"/>
      <c r="G448" s="38"/>
      <c r="H448" s="39"/>
      <c r="I448" s="39"/>
      <c r="J448" s="40"/>
      <c r="K448" s="40"/>
      <c r="L448" s="40"/>
      <c r="M448" s="40"/>
      <c r="N448" s="41"/>
      <c r="O448" s="20"/>
      <c r="P448" s="20"/>
      <c r="Q448" s="21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ht="15.75" customHeight="1">
      <c r="A449" s="20"/>
      <c r="B449" s="20"/>
      <c r="C449" s="20"/>
      <c r="D449" s="38"/>
      <c r="E449" s="38"/>
      <c r="F449" s="38"/>
      <c r="G449" s="38"/>
      <c r="H449" s="39"/>
      <c r="I449" s="39"/>
      <c r="J449" s="40"/>
      <c r="K449" s="40"/>
      <c r="L449" s="40"/>
      <c r="M449" s="40"/>
      <c r="N449" s="41"/>
      <c r="O449" s="20"/>
      <c r="P449" s="20"/>
      <c r="Q449" s="21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ht="15.75" customHeight="1">
      <c r="A450" s="20"/>
      <c r="B450" s="20"/>
      <c r="C450" s="20"/>
      <c r="D450" s="38"/>
      <c r="E450" s="38"/>
      <c r="F450" s="38"/>
      <c r="G450" s="38"/>
      <c r="H450" s="39"/>
      <c r="I450" s="39"/>
      <c r="J450" s="40"/>
      <c r="K450" s="40"/>
      <c r="L450" s="40"/>
      <c r="M450" s="40"/>
      <c r="N450" s="41"/>
      <c r="O450" s="20"/>
      <c r="P450" s="20"/>
      <c r="Q450" s="21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ht="15.75" customHeight="1">
      <c r="A451" s="20"/>
      <c r="B451" s="20"/>
      <c r="C451" s="20"/>
      <c r="D451" s="38"/>
      <c r="E451" s="38"/>
      <c r="F451" s="38"/>
      <c r="G451" s="38"/>
      <c r="H451" s="39"/>
      <c r="I451" s="39"/>
      <c r="J451" s="40"/>
      <c r="K451" s="40"/>
      <c r="L451" s="40"/>
      <c r="M451" s="40"/>
      <c r="N451" s="41"/>
      <c r="O451" s="20"/>
      <c r="P451" s="20"/>
      <c r="Q451" s="21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ht="15.75" customHeight="1">
      <c r="A452" s="20"/>
      <c r="B452" s="20"/>
      <c r="C452" s="20"/>
      <c r="D452" s="38"/>
      <c r="E452" s="38"/>
      <c r="F452" s="38"/>
      <c r="G452" s="38"/>
      <c r="H452" s="39"/>
      <c r="I452" s="39"/>
      <c r="J452" s="40"/>
      <c r="K452" s="40"/>
      <c r="L452" s="40"/>
      <c r="M452" s="40"/>
      <c r="N452" s="41"/>
      <c r="O452" s="20"/>
      <c r="P452" s="20"/>
      <c r="Q452" s="21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ht="15.75" customHeight="1">
      <c r="A453" s="20"/>
      <c r="B453" s="20"/>
      <c r="C453" s="20"/>
      <c r="D453" s="38"/>
      <c r="E453" s="38"/>
      <c r="F453" s="38"/>
      <c r="G453" s="38"/>
      <c r="H453" s="39"/>
      <c r="I453" s="39"/>
      <c r="J453" s="40"/>
      <c r="K453" s="40"/>
      <c r="L453" s="40"/>
      <c r="M453" s="40"/>
      <c r="N453" s="41"/>
      <c r="O453" s="20"/>
      <c r="P453" s="20"/>
      <c r="Q453" s="21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ht="15.75" customHeight="1">
      <c r="A454" s="20"/>
      <c r="B454" s="20"/>
      <c r="C454" s="20"/>
      <c r="D454" s="38"/>
      <c r="E454" s="38"/>
      <c r="F454" s="38"/>
      <c r="G454" s="38"/>
      <c r="H454" s="39"/>
      <c r="I454" s="39"/>
      <c r="J454" s="40"/>
      <c r="K454" s="40"/>
      <c r="L454" s="40"/>
      <c r="M454" s="40"/>
      <c r="N454" s="41"/>
      <c r="O454" s="20"/>
      <c r="P454" s="20"/>
      <c r="Q454" s="21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ht="15.75" customHeight="1">
      <c r="A455" s="20"/>
      <c r="B455" s="20"/>
      <c r="C455" s="20"/>
      <c r="D455" s="38"/>
      <c r="E455" s="38"/>
      <c r="F455" s="38"/>
      <c r="G455" s="38"/>
      <c r="H455" s="39"/>
      <c r="I455" s="39"/>
      <c r="J455" s="40"/>
      <c r="K455" s="40"/>
      <c r="L455" s="40"/>
      <c r="M455" s="40"/>
      <c r="N455" s="41"/>
      <c r="O455" s="20"/>
      <c r="P455" s="20"/>
      <c r="Q455" s="21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ht="15.75" customHeight="1">
      <c r="A456" s="20"/>
      <c r="B456" s="20"/>
      <c r="C456" s="20"/>
      <c r="D456" s="38"/>
      <c r="E456" s="38"/>
      <c r="F456" s="38"/>
      <c r="G456" s="38"/>
      <c r="H456" s="39"/>
      <c r="I456" s="39"/>
      <c r="J456" s="40"/>
      <c r="K456" s="40"/>
      <c r="L456" s="40"/>
      <c r="M456" s="40"/>
      <c r="N456" s="41"/>
      <c r="O456" s="20"/>
      <c r="P456" s="20"/>
      <c r="Q456" s="21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ht="15.75" customHeight="1">
      <c r="A457" s="20"/>
      <c r="B457" s="20"/>
      <c r="C457" s="20"/>
      <c r="D457" s="38"/>
      <c r="E457" s="38"/>
      <c r="F457" s="38"/>
      <c r="G457" s="38"/>
      <c r="H457" s="39"/>
      <c r="I457" s="39"/>
      <c r="J457" s="40"/>
      <c r="K457" s="40"/>
      <c r="L457" s="40"/>
      <c r="M457" s="40"/>
      <c r="N457" s="41"/>
      <c r="O457" s="20"/>
      <c r="P457" s="20"/>
      <c r="Q457" s="21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ht="15.75" customHeight="1">
      <c r="A458" s="20"/>
      <c r="B458" s="20"/>
      <c r="C458" s="20"/>
      <c r="D458" s="38"/>
      <c r="E458" s="38"/>
      <c r="F458" s="38"/>
      <c r="G458" s="38"/>
      <c r="H458" s="39"/>
      <c r="I458" s="39"/>
      <c r="J458" s="40"/>
      <c r="K458" s="40"/>
      <c r="L458" s="40"/>
      <c r="M458" s="40"/>
      <c r="N458" s="41"/>
      <c r="O458" s="20"/>
      <c r="P458" s="20"/>
      <c r="Q458" s="21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ht="15.75" customHeight="1">
      <c r="A459" s="20"/>
      <c r="B459" s="20"/>
      <c r="C459" s="20"/>
      <c r="D459" s="38"/>
      <c r="E459" s="38"/>
      <c r="F459" s="38"/>
      <c r="G459" s="38"/>
      <c r="H459" s="39"/>
      <c r="I459" s="39"/>
      <c r="J459" s="40"/>
      <c r="K459" s="40"/>
      <c r="L459" s="40"/>
      <c r="M459" s="40"/>
      <c r="N459" s="41"/>
      <c r="O459" s="20"/>
      <c r="P459" s="20"/>
      <c r="Q459" s="21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ht="15.75" customHeight="1">
      <c r="A460" s="20"/>
      <c r="B460" s="20"/>
      <c r="C460" s="20"/>
      <c r="D460" s="38"/>
      <c r="E460" s="38"/>
      <c r="F460" s="38"/>
      <c r="G460" s="38"/>
      <c r="H460" s="39"/>
      <c r="I460" s="39"/>
      <c r="J460" s="40"/>
      <c r="K460" s="40"/>
      <c r="L460" s="40"/>
      <c r="M460" s="40"/>
      <c r="N460" s="41"/>
      <c r="O460" s="20"/>
      <c r="P460" s="20"/>
      <c r="Q460" s="21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ht="15.75" customHeight="1">
      <c r="A461" s="20"/>
      <c r="B461" s="20"/>
      <c r="C461" s="20"/>
      <c r="D461" s="38"/>
      <c r="E461" s="38"/>
      <c r="F461" s="38"/>
      <c r="G461" s="38"/>
      <c r="H461" s="39"/>
      <c r="I461" s="39"/>
      <c r="J461" s="40"/>
      <c r="K461" s="40"/>
      <c r="L461" s="40"/>
      <c r="M461" s="40"/>
      <c r="N461" s="41"/>
      <c r="O461" s="20"/>
      <c r="P461" s="20"/>
      <c r="Q461" s="21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ht="15.75" customHeight="1">
      <c r="A462" s="20"/>
      <c r="B462" s="20"/>
      <c r="C462" s="20"/>
      <c r="D462" s="38"/>
      <c r="E462" s="38"/>
      <c r="F462" s="38"/>
      <c r="G462" s="38"/>
      <c r="H462" s="39"/>
      <c r="I462" s="39"/>
      <c r="J462" s="40"/>
      <c r="K462" s="40"/>
      <c r="L462" s="40"/>
      <c r="M462" s="40"/>
      <c r="N462" s="41"/>
      <c r="O462" s="20"/>
      <c r="P462" s="20"/>
      <c r="Q462" s="21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ht="15.75" customHeight="1">
      <c r="A463" s="20"/>
      <c r="B463" s="20"/>
      <c r="C463" s="20"/>
      <c r="D463" s="38"/>
      <c r="E463" s="38"/>
      <c r="F463" s="38"/>
      <c r="G463" s="38"/>
      <c r="H463" s="39"/>
      <c r="I463" s="39"/>
      <c r="J463" s="40"/>
      <c r="K463" s="40"/>
      <c r="L463" s="40"/>
      <c r="M463" s="40"/>
      <c r="N463" s="41"/>
      <c r="O463" s="20"/>
      <c r="P463" s="20"/>
      <c r="Q463" s="21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ht="15.75" customHeight="1">
      <c r="A464" s="20"/>
      <c r="B464" s="20"/>
      <c r="C464" s="20"/>
      <c r="D464" s="38"/>
      <c r="E464" s="38"/>
      <c r="F464" s="38"/>
      <c r="G464" s="38"/>
      <c r="H464" s="39"/>
      <c r="I464" s="39"/>
      <c r="J464" s="40"/>
      <c r="K464" s="40"/>
      <c r="L464" s="40"/>
      <c r="M464" s="40"/>
      <c r="N464" s="41"/>
      <c r="O464" s="20"/>
      <c r="P464" s="20"/>
      <c r="Q464" s="21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ht="15.75" customHeight="1">
      <c r="A465" s="20"/>
      <c r="B465" s="20"/>
      <c r="C465" s="20"/>
      <c r="D465" s="38"/>
      <c r="E465" s="38"/>
      <c r="F465" s="38"/>
      <c r="G465" s="38"/>
      <c r="H465" s="39"/>
      <c r="I465" s="39"/>
      <c r="J465" s="40"/>
      <c r="K465" s="40"/>
      <c r="L465" s="40"/>
      <c r="M465" s="40"/>
      <c r="N465" s="41"/>
      <c r="O465" s="20"/>
      <c r="P465" s="20"/>
      <c r="Q465" s="21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ht="15.75" customHeight="1">
      <c r="A466" s="20"/>
      <c r="B466" s="20"/>
      <c r="C466" s="20"/>
      <c r="D466" s="38"/>
      <c r="E466" s="38"/>
      <c r="F466" s="38"/>
      <c r="G466" s="38"/>
      <c r="H466" s="39"/>
      <c r="I466" s="39"/>
      <c r="J466" s="40"/>
      <c r="K466" s="40"/>
      <c r="L466" s="40"/>
      <c r="M466" s="40"/>
      <c r="N466" s="41"/>
      <c r="O466" s="20"/>
      <c r="P466" s="20"/>
      <c r="Q466" s="21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ht="15.75" customHeight="1">
      <c r="A467" s="20"/>
      <c r="B467" s="20"/>
      <c r="C467" s="20"/>
      <c r="D467" s="38"/>
      <c r="E467" s="38"/>
      <c r="F467" s="38"/>
      <c r="G467" s="38"/>
      <c r="H467" s="39"/>
      <c r="I467" s="39"/>
      <c r="J467" s="40"/>
      <c r="K467" s="40"/>
      <c r="L467" s="40"/>
      <c r="M467" s="40"/>
      <c r="N467" s="41"/>
      <c r="O467" s="20"/>
      <c r="P467" s="20"/>
      <c r="Q467" s="21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ht="15.75" customHeight="1">
      <c r="A468" s="20"/>
      <c r="B468" s="20"/>
      <c r="C468" s="20"/>
      <c r="D468" s="38"/>
      <c r="E468" s="38"/>
      <c r="F468" s="38"/>
      <c r="G468" s="38"/>
      <c r="H468" s="39"/>
      <c r="I468" s="39"/>
      <c r="J468" s="40"/>
      <c r="K468" s="40"/>
      <c r="L468" s="40"/>
      <c r="M468" s="40"/>
      <c r="N468" s="41"/>
      <c r="O468" s="20"/>
      <c r="P468" s="20"/>
      <c r="Q468" s="21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ht="15.75" customHeight="1">
      <c r="A469" s="20"/>
      <c r="B469" s="20"/>
      <c r="C469" s="20"/>
      <c r="D469" s="38"/>
      <c r="E469" s="38"/>
      <c r="F469" s="38"/>
      <c r="G469" s="38"/>
      <c r="H469" s="39"/>
      <c r="I469" s="39"/>
      <c r="J469" s="40"/>
      <c r="K469" s="40"/>
      <c r="L469" s="40"/>
      <c r="M469" s="40"/>
      <c r="N469" s="41"/>
      <c r="O469" s="20"/>
      <c r="P469" s="20"/>
      <c r="Q469" s="21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ht="15.75" customHeight="1">
      <c r="A470" s="20"/>
      <c r="B470" s="20"/>
      <c r="C470" s="20"/>
      <c r="D470" s="38"/>
      <c r="E470" s="38"/>
      <c r="F470" s="38"/>
      <c r="G470" s="38"/>
      <c r="H470" s="39"/>
      <c r="I470" s="39"/>
      <c r="J470" s="40"/>
      <c r="K470" s="40"/>
      <c r="L470" s="40"/>
      <c r="M470" s="40"/>
      <c r="N470" s="41"/>
      <c r="O470" s="20"/>
      <c r="P470" s="20"/>
      <c r="Q470" s="21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ht="15.75" customHeight="1">
      <c r="A471" s="20"/>
      <c r="B471" s="20"/>
      <c r="C471" s="20"/>
      <c r="D471" s="38"/>
      <c r="E471" s="38"/>
      <c r="F471" s="38"/>
      <c r="G471" s="38"/>
      <c r="H471" s="39"/>
      <c r="I471" s="39"/>
      <c r="J471" s="40"/>
      <c r="K471" s="40"/>
      <c r="L471" s="40"/>
      <c r="M471" s="40"/>
      <c r="N471" s="41"/>
      <c r="O471" s="20"/>
      <c r="P471" s="20"/>
      <c r="Q471" s="21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ht="15.75" customHeight="1">
      <c r="A472" s="20"/>
      <c r="B472" s="20"/>
      <c r="C472" s="20"/>
      <c r="D472" s="38"/>
      <c r="E472" s="38"/>
      <c r="F472" s="38"/>
      <c r="G472" s="38"/>
      <c r="H472" s="39"/>
      <c r="I472" s="39"/>
      <c r="J472" s="40"/>
      <c r="K472" s="40"/>
      <c r="L472" s="40"/>
      <c r="M472" s="40"/>
      <c r="N472" s="41"/>
      <c r="O472" s="20"/>
      <c r="P472" s="20"/>
      <c r="Q472" s="21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ht="15.75" customHeight="1">
      <c r="A473" s="20"/>
      <c r="B473" s="20"/>
      <c r="C473" s="20"/>
      <c r="D473" s="38"/>
      <c r="E473" s="38"/>
      <c r="F473" s="38"/>
      <c r="G473" s="38"/>
      <c r="H473" s="39"/>
      <c r="I473" s="39"/>
      <c r="J473" s="40"/>
      <c r="K473" s="40"/>
      <c r="L473" s="40"/>
      <c r="M473" s="40"/>
      <c r="N473" s="41"/>
      <c r="O473" s="20"/>
      <c r="P473" s="20"/>
      <c r="Q473" s="21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ht="15.75" customHeight="1">
      <c r="A474" s="20"/>
      <c r="B474" s="20"/>
      <c r="C474" s="20"/>
      <c r="D474" s="38"/>
      <c r="E474" s="38"/>
      <c r="F474" s="38"/>
      <c r="G474" s="38"/>
      <c r="H474" s="39"/>
      <c r="I474" s="39"/>
      <c r="J474" s="40"/>
      <c r="K474" s="40"/>
      <c r="L474" s="40"/>
      <c r="M474" s="40"/>
      <c r="N474" s="41"/>
      <c r="O474" s="20"/>
      <c r="P474" s="20"/>
      <c r="Q474" s="21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ht="15.75" customHeight="1">
      <c r="A475" s="20"/>
      <c r="B475" s="20"/>
      <c r="C475" s="20"/>
      <c r="D475" s="38"/>
      <c r="E475" s="38"/>
      <c r="F475" s="38"/>
      <c r="G475" s="38"/>
      <c r="H475" s="39"/>
      <c r="I475" s="39"/>
      <c r="J475" s="40"/>
      <c r="K475" s="40"/>
      <c r="L475" s="40"/>
      <c r="M475" s="40"/>
      <c r="N475" s="41"/>
      <c r="O475" s="20"/>
      <c r="P475" s="20"/>
      <c r="Q475" s="21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ht="15.75" customHeight="1">
      <c r="A476" s="20"/>
      <c r="B476" s="20"/>
      <c r="C476" s="20"/>
      <c r="D476" s="38"/>
      <c r="E476" s="38"/>
      <c r="F476" s="38"/>
      <c r="G476" s="38"/>
      <c r="H476" s="39"/>
      <c r="I476" s="39"/>
      <c r="J476" s="40"/>
      <c r="K476" s="40"/>
      <c r="L476" s="40"/>
      <c r="M476" s="40"/>
      <c r="N476" s="41"/>
      <c r="O476" s="20"/>
      <c r="P476" s="20"/>
      <c r="Q476" s="21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ht="15.75" customHeight="1">
      <c r="A477" s="20"/>
      <c r="B477" s="20"/>
      <c r="C477" s="20"/>
      <c r="D477" s="38"/>
      <c r="E477" s="38"/>
      <c r="F477" s="38"/>
      <c r="G477" s="38"/>
      <c r="H477" s="39"/>
      <c r="I477" s="39"/>
      <c r="J477" s="40"/>
      <c r="K477" s="40"/>
      <c r="L477" s="40"/>
      <c r="M477" s="40"/>
      <c r="N477" s="41"/>
      <c r="O477" s="20"/>
      <c r="P477" s="20"/>
      <c r="Q477" s="21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ht="15.75" customHeight="1">
      <c r="A478" s="20"/>
      <c r="B478" s="20"/>
      <c r="C478" s="20"/>
      <c r="D478" s="38"/>
      <c r="E478" s="38"/>
      <c r="F478" s="38"/>
      <c r="G478" s="38"/>
      <c r="H478" s="39"/>
      <c r="I478" s="39"/>
      <c r="J478" s="40"/>
      <c r="K478" s="40"/>
      <c r="L478" s="40"/>
      <c r="M478" s="40"/>
      <c r="N478" s="41"/>
      <c r="O478" s="20"/>
      <c r="P478" s="20"/>
      <c r="Q478" s="21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ht="15.75" customHeight="1">
      <c r="A479" s="20"/>
      <c r="B479" s="20"/>
      <c r="C479" s="20"/>
      <c r="D479" s="38"/>
      <c r="E479" s="38"/>
      <c r="F479" s="38"/>
      <c r="G479" s="38"/>
      <c r="H479" s="39"/>
      <c r="I479" s="39"/>
      <c r="J479" s="40"/>
      <c r="K479" s="40"/>
      <c r="L479" s="40"/>
      <c r="M479" s="40"/>
      <c r="N479" s="41"/>
      <c r="O479" s="20"/>
      <c r="P479" s="20"/>
      <c r="Q479" s="21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ht="15.75" customHeight="1">
      <c r="A480" s="20"/>
      <c r="B480" s="20"/>
      <c r="C480" s="20"/>
      <c r="D480" s="38"/>
      <c r="E480" s="38"/>
      <c r="F480" s="38"/>
      <c r="G480" s="38"/>
      <c r="H480" s="39"/>
      <c r="I480" s="39"/>
      <c r="J480" s="40"/>
      <c r="K480" s="40"/>
      <c r="L480" s="40"/>
      <c r="M480" s="40"/>
      <c r="N480" s="41"/>
      <c r="O480" s="20"/>
      <c r="P480" s="20"/>
      <c r="Q480" s="21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ht="15.75" customHeight="1">
      <c r="A481" s="20"/>
      <c r="B481" s="20"/>
      <c r="C481" s="20"/>
      <c r="D481" s="38"/>
      <c r="E481" s="38"/>
      <c r="F481" s="38"/>
      <c r="G481" s="38"/>
      <c r="H481" s="39"/>
      <c r="I481" s="39"/>
      <c r="J481" s="40"/>
      <c r="K481" s="40"/>
      <c r="L481" s="40"/>
      <c r="M481" s="40"/>
      <c r="N481" s="41"/>
      <c r="O481" s="20"/>
      <c r="P481" s="20"/>
      <c r="Q481" s="21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ht="15.75" customHeight="1">
      <c r="A482" s="20"/>
      <c r="B482" s="20"/>
      <c r="C482" s="20"/>
      <c r="D482" s="38"/>
      <c r="E482" s="38"/>
      <c r="F482" s="38"/>
      <c r="G482" s="38"/>
      <c r="H482" s="39"/>
      <c r="I482" s="39"/>
      <c r="J482" s="40"/>
      <c r="K482" s="40"/>
      <c r="L482" s="40"/>
      <c r="M482" s="40"/>
      <c r="N482" s="41"/>
      <c r="O482" s="20"/>
      <c r="P482" s="20"/>
      <c r="Q482" s="21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ht="15.75" customHeight="1">
      <c r="A483" s="20"/>
      <c r="B483" s="20"/>
      <c r="C483" s="20"/>
      <c r="D483" s="38"/>
      <c r="E483" s="38"/>
      <c r="F483" s="38"/>
      <c r="G483" s="38"/>
      <c r="H483" s="39"/>
      <c r="I483" s="39"/>
      <c r="J483" s="40"/>
      <c r="K483" s="40"/>
      <c r="L483" s="40"/>
      <c r="M483" s="40"/>
      <c r="N483" s="41"/>
      <c r="O483" s="20"/>
      <c r="P483" s="20"/>
      <c r="Q483" s="21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ht="15.75" customHeight="1">
      <c r="A484" s="20"/>
      <c r="B484" s="20"/>
      <c r="C484" s="20"/>
      <c r="D484" s="38"/>
      <c r="E484" s="38"/>
      <c r="F484" s="38"/>
      <c r="G484" s="38"/>
      <c r="H484" s="39"/>
      <c r="I484" s="39"/>
      <c r="J484" s="40"/>
      <c r="K484" s="40"/>
      <c r="L484" s="40"/>
      <c r="M484" s="40"/>
      <c r="N484" s="41"/>
      <c r="O484" s="20"/>
      <c r="P484" s="20"/>
      <c r="Q484" s="21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ht="15.75" customHeight="1">
      <c r="A485" s="20"/>
      <c r="B485" s="20"/>
      <c r="C485" s="20"/>
      <c r="D485" s="38"/>
      <c r="E485" s="38"/>
      <c r="F485" s="38"/>
      <c r="G485" s="38"/>
      <c r="H485" s="39"/>
      <c r="I485" s="39"/>
      <c r="J485" s="40"/>
      <c r="K485" s="40"/>
      <c r="L485" s="40"/>
      <c r="M485" s="40"/>
      <c r="N485" s="41"/>
      <c r="O485" s="20"/>
      <c r="P485" s="20"/>
      <c r="Q485" s="21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ht="15.75" customHeight="1">
      <c r="A486" s="20"/>
      <c r="B486" s="20"/>
      <c r="C486" s="20"/>
      <c r="D486" s="38"/>
      <c r="E486" s="38"/>
      <c r="F486" s="38"/>
      <c r="G486" s="38"/>
      <c r="H486" s="39"/>
      <c r="I486" s="39"/>
      <c r="J486" s="40"/>
      <c r="K486" s="40"/>
      <c r="L486" s="40"/>
      <c r="M486" s="40"/>
      <c r="N486" s="41"/>
      <c r="O486" s="20"/>
      <c r="P486" s="20"/>
      <c r="Q486" s="21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ht="15.75" customHeight="1">
      <c r="A487" s="20"/>
      <c r="B487" s="20"/>
      <c r="C487" s="20"/>
      <c r="D487" s="38"/>
      <c r="E487" s="38"/>
      <c r="F487" s="38"/>
      <c r="G487" s="38"/>
      <c r="H487" s="39"/>
      <c r="I487" s="39"/>
      <c r="J487" s="40"/>
      <c r="K487" s="40"/>
      <c r="L487" s="40"/>
      <c r="M487" s="40"/>
      <c r="N487" s="41"/>
      <c r="O487" s="20"/>
      <c r="P487" s="20"/>
      <c r="Q487" s="21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ht="15.75" customHeight="1">
      <c r="A488" s="20"/>
      <c r="B488" s="20"/>
      <c r="C488" s="20"/>
      <c r="D488" s="38"/>
      <c r="E488" s="38"/>
      <c r="F488" s="38"/>
      <c r="G488" s="38"/>
      <c r="H488" s="39"/>
      <c r="I488" s="39"/>
      <c r="J488" s="40"/>
      <c r="K488" s="40"/>
      <c r="L488" s="40"/>
      <c r="M488" s="40"/>
      <c r="N488" s="41"/>
      <c r="O488" s="20"/>
      <c r="P488" s="20"/>
      <c r="Q488" s="21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ht="15.75" customHeight="1">
      <c r="A489" s="20"/>
      <c r="B489" s="20"/>
      <c r="C489" s="20"/>
      <c r="D489" s="38"/>
      <c r="E489" s="38"/>
      <c r="F489" s="38"/>
      <c r="G489" s="38"/>
      <c r="H489" s="39"/>
      <c r="I489" s="39"/>
      <c r="J489" s="40"/>
      <c r="K489" s="40"/>
      <c r="L489" s="40"/>
      <c r="M489" s="40"/>
      <c r="N489" s="41"/>
      <c r="O489" s="20"/>
      <c r="P489" s="20"/>
      <c r="Q489" s="21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ht="15.75" customHeight="1">
      <c r="A490" s="20"/>
      <c r="B490" s="20"/>
      <c r="C490" s="20"/>
      <c r="D490" s="38"/>
      <c r="E490" s="38"/>
      <c r="F490" s="38"/>
      <c r="G490" s="38"/>
      <c r="H490" s="39"/>
      <c r="I490" s="39"/>
      <c r="J490" s="40"/>
      <c r="K490" s="40"/>
      <c r="L490" s="40"/>
      <c r="M490" s="40"/>
      <c r="N490" s="41"/>
      <c r="O490" s="20"/>
      <c r="P490" s="20"/>
      <c r="Q490" s="21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ht="15.75" customHeight="1">
      <c r="A491" s="20"/>
      <c r="B491" s="20"/>
      <c r="C491" s="20"/>
      <c r="D491" s="38"/>
      <c r="E491" s="38"/>
      <c r="F491" s="38"/>
      <c r="G491" s="38"/>
      <c r="H491" s="39"/>
      <c r="I491" s="39"/>
      <c r="J491" s="40"/>
      <c r="K491" s="40"/>
      <c r="L491" s="40"/>
      <c r="M491" s="40"/>
      <c r="N491" s="41"/>
      <c r="O491" s="20"/>
      <c r="P491" s="20"/>
      <c r="Q491" s="21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ht="15.75" customHeight="1">
      <c r="A492" s="20"/>
      <c r="B492" s="20"/>
      <c r="C492" s="20"/>
      <c r="D492" s="38"/>
      <c r="E492" s="38"/>
      <c r="F492" s="38"/>
      <c r="G492" s="38"/>
      <c r="H492" s="39"/>
      <c r="I492" s="39"/>
      <c r="J492" s="40"/>
      <c r="K492" s="40"/>
      <c r="L492" s="40"/>
      <c r="M492" s="40"/>
      <c r="N492" s="41"/>
      <c r="O492" s="20"/>
      <c r="P492" s="20"/>
      <c r="Q492" s="21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ht="15.75" customHeight="1">
      <c r="A493" s="20"/>
      <c r="B493" s="20"/>
      <c r="C493" s="20"/>
      <c r="D493" s="38"/>
      <c r="E493" s="38"/>
      <c r="F493" s="38"/>
      <c r="G493" s="38"/>
      <c r="H493" s="39"/>
      <c r="I493" s="39"/>
      <c r="J493" s="40"/>
      <c r="K493" s="40"/>
      <c r="L493" s="40"/>
      <c r="M493" s="40"/>
      <c r="N493" s="41"/>
      <c r="O493" s="20"/>
      <c r="P493" s="20"/>
      <c r="Q493" s="21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ht="15.75" customHeight="1">
      <c r="A494" s="20"/>
      <c r="B494" s="20"/>
      <c r="C494" s="20"/>
      <c r="D494" s="38"/>
      <c r="E494" s="38"/>
      <c r="F494" s="38"/>
      <c r="G494" s="38"/>
      <c r="H494" s="39"/>
      <c r="I494" s="39"/>
      <c r="J494" s="40"/>
      <c r="K494" s="40"/>
      <c r="L494" s="40"/>
      <c r="M494" s="40"/>
      <c r="N494" s="41"/>
      <c r="O494" s="20"/>
      <c r="P494" s="20"/>
      <c r="Q494" s="21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ht="15.75" customHeight="1">
      <c r="A495" s="20"/>
      <c r="B495" s="20"/>
      <c r="C495" s="20"/>
      <c r="D495" s="38"/>
      <c r="E495" s="38"/>
      <c r="F495" s="38"/>
      <c r="G495" s="38"/>
      <c r="H495" s="39"/>
      <c r="I495" s="39"/>
      <c r="J495" s="40"/>
      <c r="K495" s="40"/>
      <c r="L495" s="40"/>
      <c r="M495" s="40"/>
      <c r="N495" s="41"/>
      <c r="O495" s="20"/>
      <c r="P495" s="20"/>
      <c r="Q495" s="21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ht="15.75" customHeight="1">
      <c r="A496" s="20"/>
      <c r="B496" s="20"/>
      <c r="C496" s="20"/>
      <c r="D496" s="38"/>
      <c r="E496" s="38"/>
      <c r="F496" s="38"/>
      <c r="G496" s="38"/>
      <c r="H496" s="39"/>
      <c r="I496" s="39"/>
      <c r="J496" s="40"/>
      <c r="K496" s="40"/>
      <c r="L496" s="40"/>
      <c r="M496" s="40"/>
      <c r="N496" s="41"/>
      <c r="O496" s="20"/>
      <c r="P496" s="20"/>
      <c r="Q496" s="21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ht="15.75" customHeight="1">
      <c r="A497" s="20"/>
      <c r="B497" s="20"/>
      <c r="C497" s="20"/>
      <c r="D497" s="38"/>
      <c r="E497" s="38"/>
      <c r="F497" s="38"/>
      <c r="G497" s="38"/>
      <c r="H497" s="39"/>
      <c r="I497" s="39"/>
      <c r="J497" s="40"/>
      <c r="K497" s="40"/>
      <c r="L497" s="40"/>
      <c r="M497" s="40"/>
      <c r="N497" s="41"/>
      <c r="O497" s="20"/>
      <c r="P497" s="20"/>
      <c r="Q497" s="21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ht="15.75" customHeight="1">
      <c r="A498" s="20"/>
      <c r="B498" s="20"/>
      <c r="C498" s="20"/>
      <c r="D498" s="38"/>
      <c r="E498" s="38"/>
      <c r="F498" s="38"/>
      <c r="G498" s="38"/>
      <c r="H498" s="39"/>
      <c r="I498" s="39"/>
      <c r="J498" s="40"/>
      <c r="K498" s="40"/>
      <c r="L498" s="40"/>
      <c r="M498" s="40"/>
      <c r="N498" s="41"/>
      <c r="O498" s="20"/>
      <c r="P498" s="20"/>
      <c r="Q498" s="21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ht="15.75" customHeight="1">
      <c r="A499" s="20"/>
      <c r="B499" s="20"/>
      <c r="C499" s="20"/>
      <c r="D499" s="38"/>
      <c r="E499" s="38"/>
      <c r="F499" s="38"/>
      <c r="G499" s="38"/>
      <c r="H499" s="39"/>
      <c r="I499" s="39"/>
      <c r="J499" s="40"/>
      <c r="K499" s="40"/>
      <c r="L499" s="40"/>
      <c r="M499" s="40"/>
      <c r="N499" s="41"/>
      <c r="O499" s="20"/>
      <c r="P499" s="20"/>
      <c r="Q499" s="21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ht="15.75" customHeight="1">
      <c r="A500" s="20"/>
      <c r="B500" s="20"/>
      <c r="C500" s="20"/>
      <c r="D500" s="38"/>
      <c r="E500" s="38"/>
      <c r="F500" s="38"/>
      <c r="G500" s="38"/>
      <c r="H500" s="39"/>
      <c r="I500" s="39"/>
      <c r="J500" s="40"/>
      <c r="K500" s="40"/>
      <c r="L500" s="40"/>
      <c r="M500" s="40"/>
      <c r="N500" s="41"/>
      <c r="O500" s="20"/>
      <c r="P500" s="20"/>
      <c r="Q500" s="21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ht="15.75" customHeight="1">
      <c r="A501" s="20"/>
      <c r="B501" s="20"/>
      <c r="C501" s="20"/>
      <c r="D501" s="38"/>
      <c r="E501" s="38"/>
      <c r="F501" s="38"/>
      <c r="G501" s="38"/>
      <c r="H501" s="39"/>
      <c r="I501" s="39"/>
      <c r="J501" s="40"/>
      <c r="K501" s="40"/>
      <c r="L501" s="40"/>
      <c r="M501" s="40"/>
      <c r="N501" s="41"/>
      <c r="O501" s="20"/>
      <c r="P501" s="20"/>
      <c r="Q501" s="21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ht="15.75" customHeight="1">
      <c r="A502" s="20"/>
      <c r="B502" s="20"/>
      <c r="C502" s="20"/>
      <c r="D502" s="38"/>
      <c r="E502" s="38"/>
      <c r="F502" s="38"/>
      <c r="G502" s="38"/>
      <c r="H502" s="39"/>
      <c r="I502" s="39"/>
      <c r="J502" s="40"/>
      <c r="K502" s="40"/>
      <c r="L502" s="40"/>
      <c r="M502" s="40"/>
      <c r="N502" s="41"/>
      <c r="O502" s="20"/>
      <c r="P502" s="20"/>
      <c r="Q502" s="21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ht="15.75" customHeight="1">
      <c r="A503" s="20"/>
      <c r="B503" s="20"/>
      <c r="C503" s="20"/>
      <c r="D503" s="38"/>
      <c r="E503" s="38"/>
      <c r="F503" s="38"/>
      <c r="G503" s="38"/>
      <c r="H503" s="39"/>
      <c r="I503" s="39"/>
      <c r="J503" s="40"/>
      <c r="K503" s="40"/>
      <c r="L503" s="40"/>
      <c r="M503" s="40"/>
      <c r="N503" s="41"/>
      <c r="O503" s="20"/>
      <c r="P503" s="20"/>
      <c r="Q503" s="21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ht="15.75" customHeight="1">
      <c r="A504" s="20"/>
      <c r="B504" s="20"/>
      <c r="C504" s="20"/>
      <c r="D504" s="38"/>
      <c r="E504" s="38"/>
      <c r="F504" s="38"/>
      <c r="G504" s="38"/>
      <c r="H504" s="39"/>
      <c r="I504" s="39"/>
      <c r="J504" s="40"/>
      <c r="K504" s="40"/>
      <c r="L504" s="40"/>
      <c r="M504" s="40"/>
      <c r="N504" s="41"/>
      <c r="O504" s="20"/>
      <c r="P504" s="20"/>
      <c r="Q504" s="21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ht="15.75" customHeight="1">
      <c r="A505" s="20"/>
      <c r="B505" s="20"/>
      <c r="C505" s="20"/>
      <c r="D505" s="38"/>
      <c r="E505" s="38"/>
      <c r="F505" s="38"/>
      <c r="G505" s="38"/>
      <c r="H505" s="39"/>
      <c r="I505" s="39"/>
      <c r="J505" s="40"/>
      <c r="K505" s="40"/>
      <c r="L505" s="40"/>
      <c r="M505" s="40"/>
      <c r="N505" s="41"/>
      <c r="O505" s="20"/>
      <c r="P505" s="20"/>
      <c r="Q505" s="21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ht="15.75" customHeight="1">
      <c r="A506" s="20"/>
      <c r="B506" s="20"/>
      <c r="C506" s="20"/>
      <c r="D506" s="38"/>
      <c r="E506" s="38"/>
      <c r="F506" s="38"/>
      <c r="G506" s="38"/>
      <c r="H506" s="39"/>
      <c r="I506" s="39"/>
      <c r="J506" s="40"/>
      <c r="K506" s="40"/>
      <c r="L506" s="40"/>
      <c r="M506" s="40"/>
      <c r="N506" s="41"/>
      <c r="O506" s="20"/>
      <c r="P506" s="20"/>
      <c r="Q506" s="21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ht="15.75" customHeight="1">
      <c r="A507" s="20"/>
      <c r="B507" s="20"/>
      <c r="C507" s="20"/>
      <c r="D507" s="38"/>
      <c r="E507" s="38"/>
      <c r="F507" s="38"/>
      <c r="G507" s="38"/>
      <c r="H507" s="39"/>
      <c r="I507" s="39"/>
      <c r="J507" s="40"/>
      <c r="K507" s="40"/>
      <c r="L507" s="40"/>
      <c r="M507" s="40"/>
      <c r="N507" s="41"/>
      <c r="O507" s="20"/>
      <c r="P507" s="20"/>
      <c r="Q507" s="21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ht="15.75" customHeight="1">
      <c r="A508" s="20"/>
      <c r="B508" s="20"/>
      <c r="C508" s="20"/>
      <c r="D508" s="38"/>
      <c r="E508" s="38"/>
      <c r="F508" s="38"/>
      <c r="G508" s="38"/>
      <c r="H508" s="39"/>
      <c r="I508" s="39"/>
      <c r="J508" s="40"/>
      <c r="K508" s="40"/>
      <c r="L508" s="40"/>
      <c r="M508" s="40"/>
      <c r="N508" s="41"/>
      <c r="O508" s="20"/>
      <c r="P508" s="20"/>
      <c r="Q508" s="21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ht="15.75" customHeight="1">
      <c r="A509" s="20"/>
      <c r="B509" s="20"/>
      <c r="C509" s="20"/>
      <c r="D509" s="38"/>
      <c r="E509" s="38"/>
      <c r="F509" s="38"/>
      <c r="G509" s="38"/>
      <c r="H509" s="39"/>
      <c r="I509" s="39"/>
      <c r="J509" s="40"/>
      <c r="K509" s="40"/>
      <c r="L509" s="40"/>
      <c r="M509" s="40"/>
      <c r="N509" s="41"/>
      <c r="O509" s="20"/>
      <c r="P509" s="20"/>
      <c r="Q509" s="21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ht="15.75" customHeight="1">
      <c r="A510" s="20"/>
      <c r="B510" s="20"/>
      <c r="C510" s="20"/>
      <c r="D510" s="38"/>
      <c r="E510" s="38"/>
      <c r="F510" s="38"/>
      <c r="G510" s="38"/>
      <c r="H510" s="39"/>
      <c r="I510" s="39"/>
      <c r="J510" s="40"/>
      <c r="K510" s="40"/>
      <c r="L510" s="40"/>
      <c r="M510" s="40"/>
      <c r="N510" s="41"/>
      <c r="O510" s="20"/>
      <c r="P510" s="20"/>
      <c r="Q510" s="21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ht="15.75" customHeight="1">
      <c r="A511" s="20"/>
      <c r="B511" s="20"/>
      <c r="C511" s="20"/>
      <c r="D511" s="38"/>
      <c r="E511" s="38"/>
      <c r="F511" s="38"/>
      <c r="G511" s="38"/>
      <c r="H511" s="39"/>
      <c r="I511" s="39"/>
      <c r="J511" s="40"/>
      <c r="K511" s="40"/>
      <c r="L511" s="40"/>
      <c r="M511" s="40"/>
      <c r="N511" s="41"/>
      <c r="O511" s="20"/>
      <c r="P511" s="20"/>
      <c r="Q511" s="21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ht="15.75" customHeight="1">
      <c r="A512" s="20"/>
      <c r="B512" s="20"/>
      <c r="C512" s="20"/>
      <c r="D512" s="38"/>
      <c r="E512" s="38"/>
      <c r="F512" s="38"/>
      <c r="G512" s="38"/>
      <c r="H512" s="39"/>
      <c r="I512" s="39"/>
      <c r="J512" s="40"/>
      <c r="K512" s="40"/>
      <c r="L512" s="40"/>
      <c r="M512" s="40"/>
      <c r="N512" s="41"/>
      <c r="O512" s="20"/>
      <c r="P512" s="20"/>
      <c r="Q512" s="21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ht="15.75" customHeight="1">
      <c r="A513" s="20"/>
      <c r="B513" s="20"/>
      <c r="C513" s="20"/>
      <c r="D513" s="38"/>
      <c r="E513" s="38"/>
      <c r="F513" s="38"/>
      <c r="G513" s="38"/>
      <c r="H513" s="39"/>
      <c r="I513" s="39"/>
      <c r="J513" s="40"/>
      <c r="K513" s="40"/>
      <c r="L513" s="40"/>
      <c r="M513" s="40"/>
      <c r="N513" s="41"/>
      <c r="O513" s="20"/>
      <c r="P513" s="20"/>
      <c r="Q513" s="21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ht="15.75" customHeight="1">
      <c r="A514" s="20"/>
      <c r="B514" s="20"/>
      <c r="C514" s="20"/>
      <c r="D514" s="38"/>
      <c r="E514" s="38"/>
      <c r="F514" s="38"/>
      <c r="G514" s="38"/>
      <c r="H514" s="39"/>
      <c r="I514" s="39"/>
      <c r="J514" s="40"/>
      <c r="K514" s="40"/>
      <c r="L514" s="40"/>
      <c r="M514" s="40"/>
      <c r="N514" s="41"/>
      <c r="O514" s="20"/>
      <c r="P514" s="20"/>
      <c r="Q514" s="21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ht="15.75" customHeight="1">
      <c r="A515" s="20"/>
      <c r="B515" s="20"/>
      <c r="C515" s="20"/>
      <c r="D515" s="38"/>
      <c r="E515" s="38"/>
      <c r="F515" s="38"/>
      <c r="G515" s="38"/>
      <c r="H515" s="39"/>
      <c r="I515" s="39"/>
      <c r="J515" s="40"/>
      <c r="K515" s="40"/>
      <c r="L515" s="40"/>
      <c r="M515" s="40"/>
      <c r="N515" s="41"/>
      <c r="O515" s="20"/>
      <c r="P515" s="20"/>
      <c r="Q515" s="21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ht="15.75" customHeight="1">
      <c r="A516" s="20"/>
      <c r="B516" s="20"/>
      <c r="C516" s="20"/>
      <c r="D516" s="38"/>
      <c r="E516" s="38"/>
      <c r="F516" s="38"/>
      <c r="G516" s="38"/>
      <c r="H516" s="39"/>
      <c r="I516" s="39"/>
      <c r="J516" s="40"/>
      <c r="K516" s="40"/>
      <c r="L516" s="40"/>
      <c r="M516" s="40"/>
      <c r="N516" s="41"/>
      <c r="O516" s="20"/>
      <c r="P516" s="20"/>
      <c r="Q516" s="21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ht="15.75" customHeight="1">
      <c r="A517" s="20"/>
      <c r="B517" s="20"/>
      <c r="C517" s="20"/>
      <c r="D517" s="38"/>
      <c r="E517" s="38"/>
      <c r="F517" s="38"/>
      <c r="G517" s="38"/>
      <c r="H517" s="39"/>
      <c r="I517" s="39"/>
      <c r="J517" s="40"/>
      <c r="K517" s="40"/>
      <c r="L517" s="40"/>
      <c r="M517" s="40"/>
      <c r="N517" s="41"/>
      <c r="O517" s="20"/>
      <c r="P517" s="20"/>
      <c r="Q517" s="21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ht="15.75" customHeight="1">
      <c r="A518" s="20"/>
      <c r="B518" s="20"/>
      <c r="C518" s="20"/>
      <c r="D518" s="38"/>
      <c r="E518" s="38"/>
      <c r="F518" s="38"/>
      <c r="G518" s="38"/>
      <c r="H518" s="39"/>
      <c r="I518" s="39"/>
      <c r="J518" s="40"/>
      <c r="K518" s="40"/>
      <c r="L518" s="40"/>
      <c r="M518" s="40"/>
      <c r="N518" s="41"/>
      <c r="O518" s="20"/>
      <c r="P518" s="20"/>
      <c r="Q518" s="21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ht="15.75" customHeight="1">
      <c r="A519" s="20"/>
      <c r="B519" s="20"/>
      <c r="C519" s="20"/>
      <c r="D519" s="38"/>
      <c r="E519" s="38"/>
      <c r="F519" s="38"/>
      <c r="G519" s="38"/>
      <c r="H519" s="39"/>
      <c r="I519" s="39"/>
      <c r="J519" s="40"/>
      <c r="K519" s="40"/>
      <c r="L519" s="40"/>
      <c r="M519" s="40"/>
      <c r="N519" s="41"/>
      <c r="O519" s="20"/>
      <c r="P519" s="20"/>
      <c r="Q519" s="21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ht="15.75" customHeight="1">
      <c r="A520" s="20"/>
      <c r="B520" s="20"/>
      <c r="C520" s="20"/>
      <c r="D520" s="38"/>
      <c r="E520" s="38"/>
      <c r="F520" s="38"/>
      <c r="G520" s="38"/>
      <c r="H520" s="39"/>
      <c r="I520" s="39"/>
      <c r="J520" s="40"/>
      <c r="K520" s="40"/>
      <c r="L520" s="40"/>
      <c r="M520" s="40"/>
      <c r="N520" s="41"/>
      <c r="O520" s="20"/>
      <c r="P520" s="20"/>
      <c r="Q520" s="21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ht="15.75" customHeight="1">
      <c r="A521" s="20"/>
      <c r="B521" s="20"/>
      <c r="C521" s="20"/>
      <c r="D521" s="38"/>
      <c r="E521" s="38"/>
      <c r="F521" s="38"/>
      <c r="G521" s="38"/>
      <c r="H521" s="39"/>
      <c r="I521" s="39"/>
      <c r="J521" s="40"/>
      <c r="K521" s="40"/>
      <c r="L521" s="40"/>
      <c r="M521" s="40"/>
      <c r="N521" s="41"/>
      <c r="O521" s="20"/>
      <c r="P521" s="20"/>
      <c r="Q521" s="21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ht="15.75" customHeight="1">
      <c r="A522" s="20"/>
      <c r="B522" s="20"/>
      <c r="C522" s="20"/>
      <c r="D522" s="38"/>
      <c r="E522" s="38"/>
      <c r="F522" s="38"/>
      <c r="G522" s="38"/>
      <c r="H522" s="39"/>
      <c r="I522" s="39"/>
      <c r="J522" s="40"/>
      <c r="K522" s="40"/>
      <c r="L522" s="40"/>
      <c r="M522" s="40"/>
      <c r="N522" s="41"/>
      <c r="O522" s="20"/>
      <c r="P522" s="20"/>
      <c r="Q522" s="21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ht="15.75" customHeight="1">
      <c r="A523" s="20"/>
      <c r="B523" s="20"/>
      <c r="C523" s="20"/>
      <c r="D523" s="38"/>
      <c r="E523" s="38"/>
      <c r="F523" s="38"/>
      <c r="G523" s="38"/>
      <c r="H523" s="39"/>
      <c r="I523" s="39"/>
      <c r="J523" s="40"/>
      <c r="K523" s="40"/>
      <c r="L523" s="40"/>
      <c r="M523" s="40"/>
      <c r="N523" s="41"/>
      <c r="O523" s="20"/>
      <c r="P523" s="20"/>
      <c r="Q523" s="21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ht="15.75" customHeight="1">
      <c r="A524" s="20"/>
      <c r="B524" s="20"/>
      <c r="C524" s="20"/>
      <c r="D524" s="38"/>
      <c r="E524" s="38"/>
      <c r="F524" s="38"/>
      <c r="G524" s="38"/>
      <c r="H524" s="39"/>
      <c r="I524" s="39"/>
      <c r="J524" s="40"/>
      <c r="K524" s="40"/>
      <c r="L524" s="40"/>
      <c r="M524" s="40"/>
      <c r="N524" s="41"/>
      <c r="O524" s="20"/>
      <c r="P524" s="20"/>
      <c r="Q524" s="21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ht="15.75" customHeight="1">
      <c r="A525" s="20"/>
      <c r="B525" s="20"/>
      <c r="C525" s="20"/>
      <c r="D525" s="38"/>
      <c r="E525" s="38"/>
      <c r="F525" s="38"/>
      <c r="G525" s="38"/>
      <c r="H525" s="39"/>
      <c r="I525" s="39"/>
      <c r="J525" s="40"/>
      <c r="K525" s="40"/>
      <c r="L525" s="40"/>
      <c r="M525" s="40"/>
      <c r="N525" s="41"/>
      <c r="O525" s="20"/>
      <c r="P525" s="20"/>
      <c r="Q525" s="21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ht="15.75" customHeight="1">
      <c r="A526" s="20"/>
      <c r="B526" s="20"/>
      <c r="C526" s="20"/>
      <c r="D526" s="38"/>
      <c r="E526" s="38"/>
      <c r="F526" s="38"/>
      <c r="G526" s="38"/>
      <c r="H526" s="39"/>
      <c r="I526" s="39"/>
      <c r="J526" s="40"/>
      <c r="K526" s="40"/>
      <c r="L526" s="40"/>
      <c r="M526" s="40"/>
      <c r="N526" s="41"/>
      <c r="O526" s="20"/>
      <c r="P526" s="20"/>
      <c r="Q526" s="21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ht="15.75" customHeight="1">
      <c r="A527" s="20"/>
      <c r="B527" s="20"/>
      <c r="C527" s="20"/>
      <c r="D527" s="38"/>
      <c r="E527" s="38"/>
      <c r="F527" s="38"/>
      <c r="G527" s="38"/>
      <c r="H527" s="39"/>
      <c r="I527" s="39"/>
      <c r="J527" s="40"/>
      <c r="K527" s="40"/>
      <c r="L527" s="40"/>
      <c r="M527" s="40"/>
      <c r="N527" s="41"/>
      <c r="O527" s="20"/>
      <c r="P527" s="20"/>
      <c r="Q527" s="21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ht="15.75" customHeight="1">
      <c r="A528" s="20"/>
      <c r="B528" s="20"/>
      <c r="C528" s="20"/>
      <c r="D528" s="38"/>
      <c r="E528" s="38"/>
      <c r="F528" s="38"/>
      <c r="G528" s="38"/>
      <c r="H528" s="39"/>
      <c r="I528" s="39"/>
      <c r="J528" s="40"/>
      <c r="K528" s="40"/>
      <c r="L528" s="40"/>
      <c r="M528" s="40"/>
      <c r="N528" s="41"/>
      <c r="O528" s="20"/>
      <c r="P528" s="20"/>
      <c r="Q528" s="21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ht="15.75" customHeight="1">
      <c r="A529" s="20"/>
      <c r="B529" s="20"/>
      <c r="C529" s="20"/>
      <c r="D529" s="38"/>
      <c r="E529" s="38"/>
      <c r="F529" s="38"/>
      <c r="G529" s="38"/>
      <c r="H529" s="39"/>
      <c r="I529" s="39"/>
      <c r="J529" s="40"/>
      <c r="K529" s="40"/>
      <c r="L529" s="40"/>
      <c r="M529" s="40"/>
      <c r="N529" s="41"/>
      <c r="O529" s="20"/>
      <c r="P529" s="20"/>
      <c r="Q529" s="21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ht="15.75" customHeight="1">
      <c r="A530" s="20"/>
      <c r="B530" s="20"/>
      <c r="C530" s="20"/>
      <c r="D530" s="38"/>
      <c r="E530" s="38"/>
      <c r="F530" s="38"/>
      <c r="G530" s="38"/>
      <c r="H530" s="39"/>
      <c r="I530" s="39"/>
      <c r="J530" s="40"/>
      <c r="K530" s="40"/>
      <c r="L530" s="40"/>
      <c r="M530" s="40"/>
      <c r="N530" s="41"/>
      <c r="O530" s="20"/>
      <c r="P530" s="20"/>
      <c r="Q530" s="21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ht="15.75" customHeight="1">
      <c r="A531" s="20"/>
      <c r="B531" s="20"/>
      <c r="C531" s="20"/>
      <c r="D531" s="38"/>
      <c r="E531" s="38"/>
      <c r="F531" s="38"/>
      <c r="G531" s="38"/>
      <c r="H531" s="39"/>
      <c r="I531" s="39"/>
      <c r="J531" s="40"/>
      <c r="K531" s="40"/>
      <c r="L531" s="40"/>
      <c r="M531" s="40"/>
      <c r="N531" s="41"/>
      <c r="O531" s="20"/>
      <c r="P531" s="20"/>
      <c r="Q531" s="21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ht="15.75" customHeight="1">
      <c r="A532" s="20"/>
      <c r="B532" s="20"/>
      <c r="C532" s="20"/>
      <c r="D532" s="38"/>
      <c r="E532" s="38"/>
      <c r="F532" s="38"/>
      <c r="G532" s="38"/>
      <c r="H532" s="39"/>
      <c r="I532" s="39"/>
      <c r="J532" s="40"/>
      <c r="K532" s="40"/>
      <c r="L532" s="40"/>
      <c r="M532" s="40"/>
      <c r="N532" s="41"/>
      <c r="O532" s="20"/>
      <c r="P532" s="20"/>
      <c r="Q532" s="21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ht="15.75" customHeight="1">
      <c r="A533" s="20"/>
      <c r="B533" s="20"/>
      <c r="C533" s="20"/>
      <c r="D533" s="38"/>
      <c r="E533" s="38"/>
      <c r="F533" s="38"/>
      <c r="G533" s="38"/>
      <c r="H533" s="39"/>
      <c r="I533" s="39"/>
      <c r="J533" s="40"/>
      <c r="K533" s="40"/>
      <c r="L533" s="40"/>
      <c r="M533" s="40"/>
      <c r="N533" s="41"/>
      <c r="O533" s="20"/>
      <c r="P533" s="20"/>
      <c r="Q533" s="21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ht="15.75" customHeight="1">
      <c r="A534" s="20"/>
      <c r="B534" s="20"/>
      <c r="C534" s="20"/>
      <c r="D534" s="38"/>
      <c r="E534" s="38"/>
      <c r="F534" s="38"/>
      <c r="G534" s="38"/>
      <c r="H534" s="39"/>
      <c r="I534" s="39"/>
      <c r="J534" s="40"/>
      <c r="K534" s="40"/>
      <c r="L534" s="40"/>
      <c r="M534" s="40"/>
      <c r="N534" s="41"/>
      <c r="O534" s="20"/>
      <c r="P534" s="20"/>
      <c r="Q534" s="21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ht="15.75" customHeight="1">
      <c r="A535" s="20"/>
      <c r="B535" s="20"/>
      <c r="C535" s="20"/>
      <c r="D535" s="38"/>
      <c r="E535" s="38"/>
      <c r="F535" s="38"/>
      <c r="G535" s="38"/>
      <c r="H535" s="39"/>
      <c r="I535" s="39"/>
      <c r="J535" s="40"/>
      <c r="K535" s="40"/>
      <c r="L535" s="40"/>
      <c r="M535" s="40"/>
      <c r="N535" s="41"/>
      <c r="O535" s="20"/>
      <c r="P535" s="20"/>
      <c r="Q535" s="21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ht="15.75" customHeight="1">
      <c r="A536" s="20"/>
      <c r="B536" s="20"/>
      <c r="C536" s="20"/>
      <c r="D536" s="38"/>
      <c r="E536" s="38"/>
      <c r="F536" s="38"/>
      <c r="G536" s="38"/>
      <c r="H536" s="39"/>
      <c r="I536" s="39"/>
      <c r="J536" s="40"/>
      <c r="K536" s="40"/>
      <c r="L536" s="40"/>
      <c r="M536" s="40"/>
      <c r="N536" s="41"/>
      <c r="O536" s="20"/>
      <c r="P536" s="20"/>
      <c r="Q536" s="21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ht="15.75" customHeight="1">
      <c r="A537" s="20"/>
      <c r="B537" s="20"/>
      <c r="C537" s="20"/>
      <c r="D537" s="38"/>
      <c r="E537" s="38"/>
      <c r="F537" s="38"/>
      <c r="G537" s="38"/>
      <c r="H537" s="39"/>
      <c r="I537" s="39"/>
      <c r="J537" s="40"/>
      <c r="K537" s="40"/>
      <c r="L537" s="40"/>
      <c r="M537" s="40"/>
      <c r="N537" s="41"/>
      <c r="O537" s="20"/>
      <c r="P537" s="20"/>
      <c r="Q537" s="21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ht="15.75" customHeight="1">
      <c r="A538" s="20"/>
      <c r="B538" s="20"/>
      <c r="C538" s="20"/>
      <c r="D538" s="38"/>
      <c r="E538" s="38"/>
      <c r="F538" s="38"/>
      <c r="G538" s="38"/>
      <c r="H538" s="39"/>
      <c r="I538" s="39"/>
      <c r="J538" s="40"/>
      <c r="K538" s="40"/>
      <c r="L538" s="40"/>
      <c r="M538" s="40"/>
      <c r="N538" s="41"/>
      <c r="O538" s="20"/>
      <c r="P538" s="20"/>
      <c r="Q538" s="21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ht="15.75" customHeight="1">
      <c r="A539" s="20"/>
      <c r="B539" s="20"/>
      <c r="C539" s="20"/>
      <c r="D539" s="38"/>
      <c r="E539" s="38"/>
      <c r="F539" s="38"/>
      <c r="G539" s="38"/>
      <c r="H539" s="39"/>
      <c r="I539" s="39"/>
      <c r="J539" s="40"/>
      <c r="K539" s="40"/>
      <c r="L539" s="40"/>
      <c r="M539" s="40"/>
      <c r="N539" s="41"/>
      <c r="O539" s="20"/>
      <c r="P539" s="20"/>
      <c r="Q539" s="21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ht="15.75" customHeight="1">
      <c r="A540" s="20"/>
      <c r="B540" s="20"/>
      <c r="C540" s="20"/>
      <c r="D540" s="38"/>
      <c r="E540" s="38"/>
      <c r="F540" s="38"/>
      <c r="G540" s="38"/>
      <c r="H540" s="39"/>
      <c r="I540" s="39"/>
      <c r="J540" s="40"/>
      <c r="K540" s="40"/>
      <c r="L540" s="40"/>
      <c r="M540" s="40"/>
      <c r="N540" s="41"/>
      <c r="O540" s="20"/>
      <c r="P540" s="20"/>
      <c r="Q540" s="21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ht="15.75" customHeight="1">
      <c r="A541" s="20"/>
      <c r="B541" s="20"/>
      <c r="C541" s="20"/>
      <c r="D541" s="38"/>
      <c r="E541" s="38"/>
      <c r="F541" s="38"/>
      <c r="G541" s="38"/>
      <c r="H541" s="39"/>
      <c r="I541" s="39"/>
      <c r="J541" s="40"/>
      <c r="K541" s="40"/>
      <c r="L541" s="40"/>
      <c r="M541" s="40"/>
      <c r="N541" s="41"/>
      <c r="O541" s="20"/>
      <c r="P541" s="20"/>
      <c r="Q541" s="21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ht="15.75" customHeight="1">
      <c r="A542" s="20"/>
      <c r="B542" s="20"/>
      <c r="C542" s="20"/>
      <c r="D542" s="38"/>
      <c r="E542" s="38"/>
      <c r="F542" s="38"/>
      <c r="G542" s="38"/>
      <c r="H542" s="39"/>
      <c r="I542" s="39"/>
      <c r="J542" s="40"/>
      <c r="K542" s="40"/>
      <c r="L542" s="40"/>
      <c r="M542" s="40"/>
      <c r="N542" s="41"/>
      <c r="O542" s="20"/>
      <c r="P542" s="20"/>
      <c r="Q542" s="21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ht="15.75" customHeight="1">
      <c r="A543" s="20"/>
      <c r="B543" s="20"/>
      <c r="C543" s="20"/>
      <c r="D543" s="38"/>
      <c r="E543" s="38"/>
      <c r="F543" s="38"/>
      <c r="G543" s="38"/>
      <c r="H543" s="39"/>
      <c r="I543" s="39"/>
      <c r="J543" s="40"/>
      <c r="K543" s="40"/>
      <c r="L543" s="40"/>
      <c r="M543" s="40"/>
      <c r="N543" s="41"/>
      <c r="O543" s="20"/>
      <c r="P543" s="20"/>
      <c r="Q543" s="21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ht="15.75" customHeight="1">
      <c r="A544" s="20"/>
      <c r="B544" s="20"/>
      <c r="C544" s="20"/>
      <c r="D544" s="38"/>
      <c r="E544" s="38"/>
      <c r="F544" s="38"/>
      <c r="G544" s="38"/>
      <c r="H544" s="39"/>
      <c r="I544" s="39"/>
      <c r="J544" s="40"/>
      <c r="K544" s="40"/>
      <c r="L544" s="40"/>
      <c r="M544" s="40"/>
      <c r="N544" s="41"/>
      <c r="O544" s="20"/>
      <c r="P544" s="20"/>
      <c r="Q544" s="21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ht="15.75" customHeight="1">
      <c r="A545" s="20"/>
      <c r="B545" s="20"/>
      <c r="C545" s="20"/>
      <c r="D545" s="38"/>
      <c r="E545" s="38"/>
      <c r="F545" s="38"/>
      <c r="G545" s="38"/>
      <c r="H545" s="39"/>
      <c r="I545" s="39"/>
      <c r="J545" s="40"/>
      <c r="K545" s="40"/>
      <c r="L545" s="40"/>
      <c r="M545" s="40"/>
      <c r="N545" s="41"/>
      <c r="O545" s="20"/>
      <c r="P545" s="20"/>
      <c r="Q545" s="21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ht="15.75" customHeight="1">
      <c r="A546" s="20"/>
      <c r="B546" s="20"/>
      <c r="C546" s="20"/>
      <c r="D546" s="38"/>
      <c r="E546" s="38"/>
      <c r="F546" s="38"/>
      <c r="G546" s="38"/>
      <c r="H546" s="39"/>
      <c r="I546" s="39"/>
      <c r="J546" s="40"/>
      <c r="K546" s="40"/>
      <c r="L546" s="40"/>
      <c r="M546" s="40"/>
      <c r="N546" s="41"/>
      <c r="O546" s="20"/>
      <c r="P546" s="20"/>
      <c r="Q546" s="21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ht="15.75" customHeight="1">
      <c r="A547" s="20"/>
      <c r="B547" s="20"/>
      <c r="C547" s="20"/>
      <c r="D547" s="38"/>
      <c r="E547" s="38"/>
      <c r="F547" s="38"/>
      <c r="G547" s="38"/>
      <c r="H547" s="39"/>
      <c r="I547" s="39"/>
      <c r="J547" s="40"/>
      <c r="K547" s="40"/>
      <c r="L547" s="40"/>
      <c r="M547" s="40"/>
      <c r="N547" s="41"/>
      <c r="O547" s="20"/>
      <c r="P547" s="20"/>
      <c r="Q547" s="21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ht="15.75" customHeight="1">
      <c r="A548" s="20"/>
      <c r="B548" s="20"/>
      <c r="C548" s="20"/>
      <c r="D548" s="38"/>
      <c r="E548" s="38"/>
      <c r="F548" s="38"/>
      <c r="G548" s="38"/>
      <c r="H548" s="39"/>
      <c r="I548" s="39"/>
      <c r="J548" s="40"/>
      <c r="K548" s="40"/>
      <c r="L548" s="40"/>
      <c r="M548" s="40"/>
      <c r="N548" s="41"/>
      <c r="O548" s="20"/>
      <c r="P548" s="20"/>
      <c r="Q548" s="21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ht="15.75" customHeight="1">
      <c r="A549" s="20"/>
      <c r="B549" s="20"/>
      <c r="C549" s="20"/>
      <c r="D549" s="38"/>
      <c r="E549" s="38"/>
      <c r="F549" s="38"/>
      <c r="G549" s="38"/>
      <c r="H549" s="39"/>
      <c r="I549" s="39"/>
      <c r="J549" s="40"/>
      <c r="K549" s="40"/>
      <c r="L549" s="40"/>
      <c r="M549" s="40"/>
      <c r="N549" s="41"/>
      <c r="O549" s="20"/>
      <c r="P549" s="20"/>
      <c r="Q549" s="21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ht="15.75" customHeight="1">
      <c r="A550" s="20"/>
      <c r="B550" s="20"/>
      <c r="C550" s="20"/>
      <c r="D550" s="38"/>
      <c r="E550" s="38"/>
      <c r="F550" s="38"/>
      <c r="G550" s="38"/>
      <c r="H550" s="39"/>
      <c r="I550" s="39"/>
      <c r="J550" s="40"/>
      <c r="K550" s="40"/>
      <c r="L550" s="40"/>
      <c r="M550" s="40"/>
      <c r="N550" s="41"/>
      <c r="O550" s="20"/>
      <c r="P550" s="20"/>
      <c r="Q550" s="21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ht="15.75" customHeight="1">
      <c r="A551" s="20"/>
      <c r="B551" s="20"/>
      <c r="C551" s="20"/>
      <c r="D551" s="38"/>
      <c r="E551" s="38"/>
      <c r="F551" s="38"/>
      <c r="G551" s="38"/>
      <c r="H551" s="39"/>
      <c r="I551" s="39"/>
      <c r="J551" s="40"/>
      <c r="K551" s="40"/>
      <c r="L551" s="40"/>
      <c r="M551" s="40"/>
      <c r="N551" s="41"/>
      <c r="O551" s="20"/>
      <c r="P551" s="20"/>
      <c r="Q551" s="21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ht="15.75" customHeight="1">
      <c r="A552" s="20"/>
      <c r="B552" s="20"/>
      <c r="C552" s="20"/>
      <c r="D552" s="38"/>
      <c r="E552" s="38"/>
      <c r="F552" s="38"/>
      <c r="G552" s="38"/>
      <c r="H552" s="39"/>
      <c r="I552" s="39"/>
      <c r="J552" s="40"/>
      <c r="K552" s="40"/>
      <c r="L552" s="40"/>
      <c r="M552" s="40"/>
      <c r="N552" s="41"/>
      <c r="O552" s="20"/>
      <c r="P552" s="20"/>
      <c r="Q552" s="21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ht="15.75" customHeight="1">
      <c r="A553" s="20"/>
      <c r="B553" s="20"/>
      <c r="C553" s="20"/>
      <c r="D553" s="38"/>
      <c r="E553" s="38"/>
      <c r="F553" s="38"/>
      <c r="G553" s="38"/>
      <c r="H553" s="39"/>
      <c r="I553" s="39"/>
      <c r="J553" s="40"/>
      <c r="K553" s="40"/>
      <c r="L553" s="40"/>
      <c r="M553" s="40"/>
      <c r="N553" s="41"/>
      <c r="O553" s="20"/>
      <c r="P553" s="20"/>
      <c r="Q553" s="21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ht="15.75" customHeight="1">
      <c r="A554" s="20"/>
      <c r="B554" s="20"/>
      <c r="C554" s="20"/>
      <c r="D554" s="38"/>
      <c r="E554" s="38"/>
      <c r="F554" s="38"/>
      <c r="G554" s="38"/>
      <c r="H554" s="39"/>
      <c r="I554" s="39"/>
      <c r="J554" s="40"/>
      <c r="K554" s="40"/>
      <c r="L554" s="40"/>
      <c r="M554" s="40"/>
      <c r="N554" s="41"/>
      <c r="O554" s="20"/>
      <c r="P554" s="20"/>
      <c r="Q554" s="21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ht="15.75" customHeight="1">
      <c r="A555" s="20"/>
      <c r="B555" s="20"/>
      <c r="C555" s="20"/>
      <c r="D555" s="38"/>
      <c r="E555" s="38"/>
      <c r="F555" s="38"/>
      <c r="G555" s="38"/>
      <c r="H555" s="39"/>
      <c r="I555" s="39"/>
      <c r="J555" s="40"/>
      <c r="K555" s="40"/>
      <c r="L555" s="40"/>
      <c r="M555" s="40"/>
      <c r="N555" s="41"/>
      <c r="O555" s="20"/>
      <c r="P555" s="20"/>
      <c r="Q555" s="21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ht="15.75" customHeight="1">
      <c r="A556" s="20"/>
      <c r="B556" s="20"/>
      <c r="C556" s="20"/>
      <c r="D556" s="38"/>
      <c r="E556" s="38"/>
      <c r="F556" s="38"/>
      <c r="G556" s="38"/>
      <c r="H556" s="39"/>
      <c r="I556" s="39"/>
      <c r="J556" s="40"/>
      <c r="K556" s="40"/>
      <c r="L556" s="40"/>
      <c r="M556" s="40"/>
      <c r="N556" s="41"/>
      <c r="O556" s="20"/>
      <c r="P556" s="20"/>
      <c r="Q556" s="21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ht="15.75" customHeight="1">
      <c r="A557" s="20"/>
      <c r="B557" s="20"/>
      <c r="C557" s="20"/>
      <c r="D557" s="38"/>
      <c r="E557" s="38"/>
      <c r="F557" s="38"/>
      <c r="G557" s="38"/>
      <c r="H557" s="39"/>
      <c r="I557" s="39"/>
      <c r="J557" s="40"/>
      <c r="K557" s="40"/>
      <c r="L557" s="40"/>
      <c r="M557" s="40"/>
      <c r="N557" s="41"/>
      <c r="O557" s="20"/>
      <c r="P557" s="20"/>
      <c r="Q557" s="21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ht="15.75" customHeight="1">
      <c r="A558" s="20"/>
      <c r="B558" s="20"/>
      <c r="C558" s="20"/>
      <c r="D558" s="38"/>
      <c r="E558" s="38"/>
      <c r="F558" s="38"/>
      <c r="G558" s="38"/>
      <c r="H558" s="39"/>
      <c r="I558" s="39"/>
      <c r="J558" s="40"/>
      <c r="K558" s="40"/>
      <c r="L558" s="40"/>
      <c r="M558" s="40"/>
      <c r="N558" s="41"/>
      <c r="O558" s="20"/>
      <c r="P558" s="20"/>
      <c r="Q558" s="21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ht="15.75" customHeight="1">
      <c r="A559" s="20"/>
      <c r="B559" s="20"/>
      <c r="C559" s="20"/>
      <c r="D559" s="38"/>
      <c r="E559" s="38"/>
      <c r="F559" s="38"/>
      <c r="G559" s="38"/>
      <c r="H559" s="39"/>
      <c r="I559" s="39"/>
      <c r="J559" s="40"/>
      <c r="K559" s="40"/>
      <c r="L559" s="40"/>
      <c r="M559" s="40"/>
      <c r="N559" s="41"/>
      <c r="O559" s="20"/>
      <c r="P559" s="20"/>
      <c r="Q559" s="21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ht="15.75" customHeight="1">
      <c r="A560" s="20"/>
      <c r="B560" s="20"/>
      <c r="C560" s="20"/>
      <c r="D560" s="38"/>
      <c r="E560" s="38"/>
      <c r="F560" s="38"/>
      <c r="G560" s="38"/>
      <c r="H560" s="39"/>
      <c r="I560" s="39"/>
      <c r="J560" s="40"/>
      <c r="K560" s="40"/>
      <c r="L560" s="40"/>
      <c r="M560" s="40"/>
      <c r="N560" s="41"/>
      <c r="O560" s="20"/>
      <c r="P560" s="20"/>
      <c r="Q560" s="21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ht="15.75" customHeight="1">
      <c r="A561" s="20"/>
      <c r="B561" s="20"/>
      <c r="C561" s="20"/>
      <c r="D561" s="38"/>
      <c r="E561" s="38"/>
      <c r="F561" s="38"/>
      <c r="G561" s="38"/>
      <c r="H561" s="39"/>
      <c r="I561" s="39"/>
      <c r="J561" s="40"/>
      <c r="K561" s="40"/>
      <c r="L561" s="40"/>
      <c r="M561" s="40"/>
      <c r="N561" s="41"/>
      <c r="O561" s="20"/>
      <c r="P561" s="20"/>
      <c r="Q561" s="21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ht="15.75" customHeight="1">
      <c r="A562" s="20"/>
      <c r="B562" s="20"/>
      <c r="C562" s="20"/>
      <c r="D562" s="38"/>
      <c r="E562" s="38"/>
      <c r="F562" s="38"/>
      <c r="G562" s="38"/>
      <c r="H562" s="39"/>
      <c r="I562" s="39"/>
      <c r="J562" s="40"/>
      <c r="K562" s="40"/>
      <c r="L562" s="40"/>
      <c r="M562" s="40"/>
      <c r="N562" s="41"/>
      <c r="O562" s="20"/>
      <c r="P562" s="20"/>
      <c r="Q562" s="21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ht="15.75" customHeight="1">
      <c r="A563" s="20"/>
      <c r="B563" s="20"/>
      <c r="C563" s="20"/>
      <c r="D563" s="38"/>
      <c r="E563" s="38"/>
      <c r="F563" s="38"/>
      <c r="G563" s="38"/>
      <c r="H563" s="39"/>
      <c r="I563" s="39"/>
      <c r="J563" s="40"/>
      <c r="K563" s="40"/>
      <c r="L563" s="40"/>
      <c r="M563" s="40"/>
      <c r="N563" s="41"/>
      <c r="O563" s="20"/>
      <c r="P563" s="20"/>
      <c r="Q563" s="21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ht="15.75" customHeight="1">
      <c r="A564" s="20"/>
      <c r="B564" s="20"/>
      <c r="C564" s="20"/>
      <c r="D564" s="38"/>
      <c r="E564" s="38"/>
      <c r="F564" s="38"/>
      <c r="G564" s="38"/>
      <c r="H564" s="39"/>
      <c r="I564" s="39"/>
      <c r="J564" s="40"/>
      <c r="K564" s="40"/>
      <c r="L564" s="40"/>
      <c r="M564" s="40"/>
      <c r="N564" s="41"/>
      <c r="O564" s="20"/>
      <c r="P564" s="20"/>
      <c r="Q564" s="21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ht="15.75" customHeight="1">
      <c r="A565" s="20"/>
      <c r="B565" s="20"/>
      <c r="C565" s="20"/>
      <c r="D565" s="38"/>
      <c r="E565" s="38"/>
      <c r="F565" s="38"/>
      <c r="G565" s="38"/>
      <c r="H565" s="39"/>
      <c r="I565" s="39"/>
      <c r="J565" s="40"/>
      <c r="K565" s="40"/>
      <c r="L565" s="40"/>
      <c r="M565" s="40"/>
      <c r="N565" s="41"/>
      <c r="O565" s="20"/>
      <c r="P565" s="20"/>
      <c r="Q565" s="21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ht="15.75" customHeight="1">
      <c r="A566" s="20"/>
      <c r="B566" s="20"/>
      <c r="C566" s="20"/>
      <c r="D566" s="38"/>
      <c r="E566" s="38"/>
      <c r="F566" s="38"/>
      <c r="G566" s="38"/>
      <c r="H566" s="39"/>
      <c r="I566" s="39"/>
      <c r="J566" s="40"/>
      <c r="K566" s="40"/>
      <c r="L566" s="40"/>
      <c r="M566" s="40"/>
      <c r="N566" s="41"/>
      <c r="O566" s="20"/>
      <c r="P566" s="20"/>
      <c r="Q566" s="21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ht="15.75" customHeight="1">
      <c r="A567" s="20"/>
      <c r="B567" s="20"/>
      <c r="C567" s="20"/>
      <c r="D567" s="38"/>
      <c r="E567" s="38"/>
      <c r="F567" s="38"/>
      <c r="G567" s="38"/>
      <c r="H567" s="39"/>
      <c r="I567" s="39"/>
      <c r="J567" s="40"/>
      <c r="K567" s="40"/>
      <c r="L567" s="40"/>
      <c r="M567" s="40"/>
      <c r="N567" s="41"/>
      <c r="O567" s="20"/>
      <c r="P567" s="20"/>
      <c r="Q567" s="21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ht="15.75" customHeight="1">
      <c r="A568" s="20"/>
      <c r="B568" s="20"/>
      <c r="C568" s="20"/>
      <c r="D568" s="38"/>
      <c r="E568" s="38"/>
      <c r="F568" s="38"/>
      <c r="G568" s="38"/>
      <c r="H568" s="39"/>
      <c r="I568" s="39"/>
      <c r="J568" s="40"/>
      <c r="K568" s="40"/>
      <c r="L568" s="40"/>
      <c r="M568" s="40"/>
      <c r="N568" s="41"/>
      <c r="O568" s="20"/>
      <c r="P568" s="20"/>
      <c r="Q568" s="21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ht="15.75" customHeight="1">
      <c r="A569" s="20"/>
      <c r="B569" s="20"/>
      <c r="C569" s="20"/>
      <c r="D569" s="38"/>
      <c r="E569" s="38"/>
      <c r="F569" s="38"/>
      <c r="G569" s="38"/>
      <c r="H569" s="39"/>
      <c r="I569" s="39"/>
      <c r="J569" s="40"/>
      <c r="K569" s="40"/>
      <c r="L569" s="40"/>
      <c r="M569" s="40"/>
      <c r="N569" s="41"/>
      <c r="O569" s="20"/>
      <c r="P569" s="20"/>
      <c r="Q569" s="21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ht="15.75" customHeight="1">
      <c r="A570" s="20"/>
      <c r="B570" s="20"/>
      <c r="C570" s="20"/>
      <c r="D570" s="38"/>
      <c r="E570" s="38"/>
      <c r="F570" s="38"/>
      <c r="G570" s="38"/>
      <c r="H570" s="39"/>
      <c r="I570" s="39"/>
      <c r="J570" s="40"/>
      <c r="K570" s="40"/>
      <c r="L570" s="40"/>
      <c r="M570" s="40"/>
      <c r="N570" s="41"/>
      <c r="O570" s="20"/>
      <c r="P570" s="20"/>
      <c r="Q570" s="21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ht="15.75" customHeight="1">
      <c r="A571" s="20"/>
      <c r="B571" s="20"/>
      <c r="C571" s="20"/>
      <c r="D571" s="38"/>
      <c r="E571" s="38"/>
      <c r="F571" s="38"/>
      <c r="G571" s="38"/>
      <c r="H571" s="39"/>
      <c r="I571" s="39"/>
      <c r="J571" s="40"/>
      <c r="K571" s="40"/>
      <c r="L571" s="40"/>
      <c r="M571" s="40"/>
      <c r="N571" s="41"/>
      <c r="O571" s="20"/>
      <c r="P571" s="20"/>
      <c r="Q571" s="21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ht="15.75" customHeight="1">
      <c r="A572" s="20"/>
      <c r="B572" s="20"/>
      <c r="C572" s="20"/>
      <c r="D572" s="38"/>
      <c r="E572" s="38"/>
      <c r="F572" s="38"/>
      <c r="G572" s="38"/>
      <c r="H572" s="39"/>
      <c r="I572" s="39"/>
      <c r="J572" s="40"/>
      <c r="K572" s="40"/>
      <c r="L572" s="40"/>
      <c r="M572" s="40"/>
      <c r="N572" s="41"/>
      <c r="O572" s="20"/>
      <c r="P572" s="20"/>
      <c r="Q572" s="21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ht="15.75" customHeight="1">
      <c r="A573" s="20"/>
      <c r="B573" s="20"/>
      <c r="C573" s="20"/>
      <c r="D573" s="38"/>
      <c r="E573" s="38"/>
      <c r="F573" s="38"/>
      <c r="G573" s="38"/>
      <c r="H573" s="39"/>
      <c r="I573" s="39"/>
      <c r="J573" s="40"/>
      <c r="K573" s="40"/>
      <c r="L573" s="40"/>
      <c r="M573" s="40"/>
      <c r="N573" s="41"/>
      <c r="O573" s="20"/>
      <c r="P573" s="20"/>
      <c r="Q573" s="21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ht="15.75" customHeight="1">
      <c r="A574" s="20"/>
      <c r="B574" s="20"/>
      <c r="C574" s="20"/>
      <c r="D574" s="38"/>
      <c r="E574" s="38"/>
      <c r="F574" s="38"/>
      <c r="G574" s="38"/>
      <c r="H574" s="39"/>
      <c r="I574" s="39"/>
      <c r="J574" s="40"/>
      <c r="K574" s="40"/>
      <c r="L574" s="40"/>
      <c r="M574" s="40"/>
      <c r="N574" s="41"/>
      <c r="O574" s="20"/>
      <c r="P574" s="20"/>
      <c r="Q574" s="21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ht="15.75" customHeight="1">
      <c r="A575" s="20"/>
      <c r="B575" s="20"/>
      <c r="C575" s="20"/>
      <c r="D575" s="38"/>
      <c r="E575" s="38"/>
      <c r="F575" s="38"/>
      <c r="G575" s="38"/>
      <c r="H575" s="39"/>
      <c r="I575" s="39"/>
      <c r="J575" s="40"/>
      <c r="K575" s="40"/>
      <c r="L575" s="40"/>
      <c r="M575" s="40"/>
      <c r="N575" s="41"/>
      <c r="O575" s="20"/>
      <c r="P575" s="20"/>
      <c r="Q575" s="21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ht="15.75" customHeight="1">
      <c r="A576" s="20"/>
      <c r="B576" s="20"/>
      <c r="C576" s="20"/>
      <c r="D576" s="38"/>
      <c r="E576" s="38"/>
      <c r="F576" s="38"/>
      <c r="G576" s="38"/>
      <c r="H576" s="39"/>
      <c r="I576" s="39"/>
      <c r="J576" s="40"/>
      <c r="K576" s="40"/>
      <c r="L576" s="40"/>
      <c r="M576" s="40"/>
      <c r="N576" s="41"/>
      <c r="O576" s="20"/>
      <c r="P576" s="20"/>
      <c r="Q576" s="21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ht="15.75" customHeight="1">
      <c r="A577" s="20"/>
      <c r="B577" s="20"/>
      <c r="C577" s="20"/>
      <c r="D577" s="38"/>
      <c r="E577" s="38"/>
      <c r="F577" s="38"/>
      <c r="G577" s="38"/>
      <c r="H577" s="39"/>
      <c r="I577" s="39"/>
      <c r="J577" s="40"/>
      <c r="K577" s="40"/>
      <c r="L577" s="40"/>
      <c r="M577" s="40"/>
      <c r="N577" s="41"/>
      <c r="O577" s="20"/>
      <c r="P577" s="20"/>
      <c r="Q577" s="21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ht="15.75" customHeight="1">
      <c r="A578" s="20"/>
      <c r="B578" s="20"/>
      <c r="C578" s="20"/>
      <c r="D578" s="38"/>
      <c r="E578" s="38"/>
      <c r="F578" s="38"/>
      <c r="G578" s="38"/>
      <c r="H578" s="39"/>
      <c r="I578" s="39"/>
      <c r="J578" s="40"/>
      <c r="K578" s="40"/>
      <c r="L578" s="40"/>
      <c r="M578" s="40"/>
      <c r="N578" s="41"/>
      <c r="O578" s="20"/>
      <c r="P578" s="20"/>
      <c r="Q578" s="21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ht="15.75" customHeight="1">
      <c r="A579" s="20"/>
      <c r="B579" s="20"/>
      <c r="C579" s="20"/>
      <c r="D579" s="38"/>
      <c r="E579" s="38"/>
      <c r="F579" s="38"/>
      <c r="G579" s="38"/>
      <c r="H579" s="39"/>
      <c r="I579" s="39"/>
      <c r="J579" s="40"/>
      <c r="K579" s="40"/>
      <c r="L579" s="40"/>
      <c r="M579" s="40"/>
      <c r="N579" s="41"/>
      <c r="O579" s="20"/>
      <c r="P579" s="20"/>
      <c r="Q579" s="21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ht="15.75" customHeight="1">
      <c r="A580" s="20"/>
      <c r="B580" s="20"/>
      <c r="C580" s="20"/>
      <c r="D580" s="38"/>
      <c r="E580" s="38"/>
      <c r="F580" s="38"/>
      <c r="G580" s="38"/>
      <c r="H580" s="39"/>
      <c r="I580" s="39"/>
      <c r="J580" s="40"/>
      <c r="K580" s="40"/>
      <c r="L580" s="40"/>
      <c r="M580" s="40"/>
      <c r="N580" s="41"/>
      <c r="O580" s="20"/>
      <c r="P580" s="20"/>
      <c r="Q580" s="21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ht="15.75" customHeight="1">
      <c r="A581" s="20"/>
      <c r="B581" s="20"/>
      <c r="C581" s="20"/>
      <c r="D581" s="38"/>
      <c r="E581" s="38"/>
      <c r="F581" s="38"/>
      <c r="G581" s="38"/>
      <c r="H581" s="39"/>
      <c r="I581" s="39"/>
      <c r="J581" s="40"/>
      <c r="K581" s="40"/>
      <c r="L581" s="40"/>
      <c r="M581" s="40"/>
      <c r="N581" s="41"/>
      <c r="O581" s="20"/>
      <c r="P581" s="20"/>
      <c r="Q581" s="21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ht="15.75" customHeight="1">
      <c r="A582" s="20"/>
      <c r="B582" s="20"/>
      <c r="C582" s="20"/>
      <c r="D582" s="38"/>
      <c r="E582" s="38"/>
      <c r="F582" s="38"/>
      <c r="G582" s="38"/>
      <c r="H582" s="39"/>
      <c r="I582" s="39"/>
      <c r="J582" s="40"/>
      <c r="K582" s="40"/>
      <c r="L582" s="40"/>
      <c r="M582" s="40"/>
      <c r="N582" s="41"/>
      <c r="O582" s="20"/>
      <c r="P582" s="20"/>
      <c r="Q582" s="21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ht="15.75" customHeight="1">
      <c r="A583" s="20"/>
      <c r="B583" s="20"/>
      <c r="C583" s="20"/>
      <c r="D583" s="38"/>
      <c r="E583" s="38"/>
      <c r="F583" s="38"/>
      <c r="G583" s="38"/>
      <c r="H583" s="39"/>
      <c r="I583" s="39"/>
      <c r="J583" s="40"/>
      <c r="K583" s="40"/>
      <c r="L583" s="40"/>
      <c r="M583" s="40"/>
      <c r="N583" s="41"/>
      <c r="O583" s="20"/>
      <c r="P583" s="20"/>
      <c r="Q583" s="21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ht="15.75" customHeight="1">
      <c r="A584" s="20"/>
      <c r="B584" s="20"/>
      <c r="C584" s="20"/>
      <c r="D584" s="38"/>
      <c r="E584" s="38"/>
      <c r="F584" s="38"/>
      <c r="G584" s="38"/>
      <c r="H584" s="39"/>
      <c r="I584" s="39"/>
      <c r="J584" s="40"/>
      <c r="K584" s="40"/>
      <c r="L584" s="40"/>
      <c r="M584" s="40"/>
      <c r="N584" s="41"/>
      <c r="O584" s="20"/>
      <c r="P584" s="20"/>
      <c r="Q584" s="21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ht="15.75" customHeight="1">
      <c r="A585" s="20"/>
      <c r="B585" s="20"/>
      <c r="C585" s="20"/>
      <c r="D585" s="38"/>
      <c r="E585" s="38"/>
      <c r="F585" s="38"/>
      <c r="G585" s="38"/>
      <c r="H585" s="39"/>
      <c r="I585" s="39"/>
      <c r="J585" s="40"/>
      <c r="K585" s="40"/>
      <c r="L585" s="40"/>
      <c r="M585" s="40"/>
      <c r="N585" s="41"/>
      <c r="O585" s="20"/>
      <c r="P585" s="20"/>
      <c r="Q585" s="21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ht="15.75" customHeight="1">
      <c r="A586" s="20"/>
      <c r="B586" s="20"/>
      <c r="C586" s="20"/>
      <c r="D586" s="38"/>
      <c r="E586" s="38"/>
      <c r="F586" s="38"/>
      <c r="G586" s="38"/>
      <c r="H586" s="39"/>
      <c r="I586" s="39"/>
      <c r="J586" s="40"/>
      <c r="K586" s="40"/>
      <c r="L586" s="40"/>
      <c r="M586" s="40"/>
      <c r="N586" s="41"/>
      <c r="O586" s="20"/>
      <c r="P586" s="20"/>
      <c r="Q586" s="21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ht="15.75" customHeight="1">
      <c r="A587" s="20"/>
      <c r="B587" s="20"/>
      <c r="C587" s="20"/>
      <c r="D587" s="38"/>
      <c r="E587" s="38"/>
      <c r="F587" s="38"/>
      <c r="G587" s="38"/>
      <c r="H587" s="39"/>
      <c r="I587" s="39"/>
      <c r="J587" s="40"/>
      <c r="K587" s="40"/>
      <c r="L587" s="40"/>
      <c r="M587" s="40"/>
      <c r="N587" s="41"/>
      <c r="O587" s="20"/>
      <c r="P587" s="20"/>
      <c r="Q587" s="21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ht="15.75" customHeight="1">
      <c r="A588" s="20"/>
      <c r="B588" s="20"/>
      <c r="C588" s="20"/>
      <c r="D588" s="38"/>
      <c r="E588" s="38"/>
      <c r="F588" s="38"/>
      <c r="G588" s="38"/>
      <c r="H588" s="39"/>
      <c r="I588" s="39"/>
      <c r="J588" s="40"/>
      <c r="K588" s="40"/>
      <c r="L588" s="40"/>
      <c r="M588" s="40"/>
      <c r="N588" s="41"/>
      <c r="O588" s="20"/>
      <c r="P588" s="20"/>
      <c r="Q588" s="21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ht="15.75" customHeight="1">
      <c r="A589" s="20"/>
      <c r="B589" s="20"/>
      <c r="C589" s="20"/>
      <c r="D589" s="38"/>
      <c r="E589" s="38"/>
      <c r="F589" s="38"/>
      <c r="G589" s="38"/>
      <c r="H589" s="39"/>
      <c r="I589" s="39"/>
      <c r="J589" s="40"/>
      <c r="K589" s="40"/>
      <c r="L589" s="40"/>
      <c r="M589" s="40"/>
      <c r="N589" s="41"/>
      <c r="O589" s="20"/>
      <c r="P589" s="20"/>
      <c r="Q589" s="21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ht="15.75" customHeight="1">
      <c r="A590" s="20"/>
      <c r="B590" s="20"/>
      <c r="C590" s="20"/>
      <c r="D590" s="38"/>
      <c r="E590" s="38"/>
      <c r="F590" s="38"/>
      <c r="G590" s="38"/>
      <c r="H590" s="39"/>
      <c r="I590" s="39"/>
      <c r="J590" s="40"/>
      <c r="K590" s="40"/>
      <c r="L590" s="40"/>
      <c r="M590" s="40"/>
      <c r="N590" s="41"/>
      <c r="O590" s="20"/>
      <c r="P590" s="20"/>
      <c r="Q590" s="21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ht="15.75" customHeight="1">
      <c r="A591" s="20"/>
      <c r="B591" s="20"/>
      <c r="C591" s="20"/>
      <c r="D591" s="38"/>
      <c r="E591" s="38"/>
      <c r="F591" s="38"/>
      <c r="G591" s="38"/>
      <c r="H591" s="39"/>
      <c r="I591" s="39"/>
      <c r="J591" s="40"/>
      <c r="K591" s="40"/>
      <c r="L591" s="40"/>
      <c r="M591" s="40"/>
      <c r="N591" s="41"/>
      <c r="O591" s="20"/>
      <c r="P591" s="20"/>
      <c r="Q591" s="21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ht="15.75" customHeight="1">
      <c r="A592" s="20"/>
      <c r="B592" s="20"/>
      <c r="C592" s="20"/>
      <c r="D592" s="38"/>
      <c r="E592" s="38"/>
      <c r="F592" s="38"/>
      <c r="G592" s="38"/>
      <c r="H592" s="39"/>
      <c r="I592" s="39"/>
      <c r="J592" s="40"/>
      <c r="K592" s="40"/>
      <c r="L592" s="40"/>
      <c r="M592" s="40"/>
      <c r="N592" s="41"/>
      <c r="O592" s="20"/>
      <c r="P592" s="20"/>
      <c r="Q592" s="21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ht="15.75" customHeight="1">
      <c r="A593" s="20"/>
      <c r="B593" s="20"/>
      <c r="C593" s="20"/>
      <c r="D593" s="38"/>
      <c r="E593" s="38"/>
      <c r="F593" s="38"/>
      <c r="G593" s="38"/>
      <c r="H593" s="39"/>
      <c r="I593" s="39"/>
      <c r="J593" s="40"/>
      <c r="K593" s="40"/>
      <c r="L593" s="40"/>
      <c r="M593" s="40"/>
      <c r="N593" s="41"/>
      <c r="O593" s="20"/>
      <c r="P593" s="20"/>
      <c r="Q593" s="21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ht="15.75" customHeight="1">
      <c r="A594" s="20"/>
      <c r="B594" s="20"/>
      <c r="C594" s="20"/>
      <c r="D594" s="38"/>
      <c r="E594" s="38"/>
      <c r="F594" s="38"/>
      <c r="G594" s="38"/>
      <c r="H594" s="39"/>
      <c r="I594" s="39"/>
      <c r="J594" s="40"/>
      <c r="K594" s="40"/>
      <c r="L594" s="40"/>
      <c r="M594" s="40"/>
      <c r="N594" s="41"/>
      <c r="O594" s="20"/>
      <c r="P594" s="20"/>
      <c r="Q594" s="21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ht="15.75" customHeight="1">
      <c r="A595" s="20"/>
      <c r="B595" s="20"/>
      <c r="C595" s="20"/>
      <c r="D595" s="38"/>
      <c r="E595" s="38"/>
      <c r="F595" s="38"/>
      <c r="G595" s="38"/>
      <c r="H595" s="39"/>
      <c r="I595" s="39"/>
      <c r="J595" s="40"/>
      <c r="K595" s="40"/>
      <c r="L595" s="40"/>
      <c r="M595" s="40"/>
      <c r="N595" s="41"/>
      <c r="O595" s="20"/>
      <c r="P595" s="20"/>
      <c r="Q595" s="21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ht="15.75" customHeight="1">
      <c r="A596" s="20"/>
      <c r="B596" s="20"/>
      <c r="C596" s="20"/>
      <c r="D596" s="38"/>
      <c r="E596" s="38"/>
      <c r="F596" s="38"/>
      <c r="G596" s="38"/>
      <c r="H596" s="39"/>
      <c r="I596" s="39"/>
      <c r="J596" s="40"/>
      <c r="K596" s="40"/>
      <c r="L596" s="40"/>
      <c r="M596" s="40"/>
      <c r="N596" s="41"/>
      <c r="O596" s="20"/>
      <c r="P596" s="20"/>
      <c r="Q596" s="21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ht="15.75" customHeight="1">
      <c r="A597" s="20"/>
      <c r="B597" s="20"/>
      <c r="C597" s="20"/>
      <c r="D597" s="38"/>
      <c r="E597" s="38"/>
      <c r="F597" s="38"/>
      <c r="G597" s="38"/>
      <c r="H597" s="39"/>
      <c r="I597" s="39"/>
      <c r="J597" s="40"/>
      <c r="K597" s="40"/>
      <c r="L597" s="40"/>
      <c r="M597" s="40"/>
      <c r="N597" s="41"/>
      <c r="O597" s="20"/>
      <c r="P597" s="20"/>
      <c r="Q597" s="21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ht="15.75" customHeight="1">
      <c r="A598" s="20"/>
      <c r="B598" s="20"/>
      <c r="C598" s="20"/>
      <c r="D598" s="38"/>
      <c r="E598" s="38"/>
      <c r="F598" s="38"/>
      <c r="G598" s="38"/>
      <c r="H598" s="39"/>
      <c r="I598" s="39"/>
      <c r="J598" s="40"/>
      <c r="K598" s="40"/>
      <c r="L598" s="40"/>
      <c r="M598" s="40"/>
      <c r="N598" s="41"/>
      <c r="O598" s="20"/>
      <c r="P598" s="20"/>
      <c r="Q598" s="21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ht="15.75" customHeight="1">
      <c r="A599" s="20"/>
      <c r="B599" s="20"/>
      <c r="C599" s="20"/>
      <c r="D599" s="38"/>
      <c r="E599" s="38"/>
      <c r="F599" s="38"/>
      <c r="G599" s="38"/>
      <c r="H599" s="39"/>
      <c r="I599" s="39"/>
      <c r="J599" s="40"/>
      <c r="K599" s="40"/>
      <c r="L599" s="40"/>
      <c r="M599" s="40"/>
      <c r="N599" s="41"/>
      <c r="O599" s="20"/>
      <c r="P599" s="20"/>
      <c r="Q599" s="21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ht="15.75" customHeight="1">
      <c r="A600" s="20"/>
      <c r="B600" s="20"/>
      <c r="C600" s="20"/>
      <c r="D600" s="38"/>
      <c r="E600" s="38"/>
      <c r="F600" s="38"/>
      <c r="G600" s="38"/>
      <c r="H600" s="39"/>
      <c r="I600" s="39"/>
      <c r="J600" s="40"/>
      <c r="K600" s="40"/>
      <c r="L600" s="40"/>
      <c r="M600" s="40"/>
      <c r="N600" s="41"/>
      <c r="O600" s="20"/>
      <c r="P600" s="20"/>
      <c r="Q600" s="21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ht="15.75" customHeight="1">
      <c r="A601" s="20"/>
      <c r="B601" s="20"/>
      <c r="C601" s="20"/>
      <c r="D601" s="38"/>
      <c r="E601" s="38"/>
      <c r="F601" s="38"/>
      <c r="G601" s="38"/>
      <c r="H601" s="39"/>
      <c r="I601" s="39"/>
      <c r="J601" s="40"/>
      <c r="K601" s="40"/>
      <c r="L601" s="40"/>
      <c r="M601" s="40"/>
      <c r="N601" s="41"/>
      <c r="O601" s="20"/>
      <c r="P601" s="20"/>
      <c r="Q601" s="21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ht="15.75" customHeight="1">
      <c r="A602" s="20"/>
      <c r="B602" s="20"/>
      <c r="C602" s="20"/>
      <c r="D602" s="38"/>
      <c r="E602" s="38"/>
      <c r="F602" s="38"/>
      <c r="G602" s="38"/>
      <c r="H602" s="39"/>
      <c r="I602" s="39"/>
      <c r="J602" s="40"/>
      <c r="K602" s="40"/>
      <c r="L602" s="40"/>
      <c r="M602" s="40"/>
      <c r="N602" s="41"/>
      <c r="O602" s="20"/>
      <c r="P602" s="20"/>
      <c r="Q602" s="21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ht="15.75" customHeight="1">
      <c r="A603" s="20"/>
      <c r="B603" s="20"/>
      <c r="C603" s="20"/>
      <c r="D603" s="38"/>
      <c r="E603" s="38"/>
      <c r="F603" s="38"/>
      <c r="G603" s="38"/>
      <c r="H603" s="39"/>
      <c r="I603" s="39"/>
      <c r="J603" s="40"/>
      <c r="K603" s="40"/>
      <c r="L603" s="40"/>
      <c r="M603" s="40"/>
      <c r="N603" s="41"/>
      <c r="O603" s="20"/>
      <c r="P603" s="20"/>
      <c r="Q603" s="21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ht="15.75" customHeight="1">
      <c r="A604" s="20"/>
      <c r="B604" s="20"/>
      <c r="C604" s="20"/>
      <c r="D604" s="38"/>
      <c r="E604" s="38"/>
      <c r="F604" s="38"/>
      <c r="G604" s="38"/>
      <c r="H604" s="39"/>
      <c r="I604" s="39"/>
      <c r="J604" s="40"/>
      <c r="K604" s="40"/>
      <c r="L604" s="40"/>
      <c r="M604" s="40"/>
      <c r="N604" s="41"/>
      <c r="O604" s="20"/>
      <c r="P604" s="20"/>
      <c r="Q604" s="21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ht="15.75" customHeight="1">
      <c r="A605" s="20"/>
      <c r="B605" s="20"/>
      <c r="C605" s="20"/>
      <c r="D605" s="38"/>
      <c r="E605" s="38"/>
      <c r="F605" s="38"/>
      <c r="G605" s="38"/>
      <c r="H605" s="39"/>
      <c r="I605" s="39"/>
      <c r="J605" s="40"/>
      <c r="K605" s="40"/>
      <c r="L605" s="40"/>
      <c r="M605" s="40"/>
      <c r="N605" s="41"/>
      <c r="O605" s="20"/>
      <c r="P605" s="20"/>
      <c r="Q605" s="21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ht="15.75" customHeight="1">
      <c r="A606" s="20"/>
      <c r="B606" s="20"/>
      <c r="C606" s="20"/>
      <c r="D606" s="38"/>
      <c r="E606" s="38"/>
      <c r="F606" s="38"/>
      <c r="G606" s="38"/>
      <c r="H606" s="39"/>
      <c r="I606" s="39"/>
      <c r="J606" s="40"/>
      <c r="K606" s="40"/>
      <c r="L606" s="40"/>
      <c r="M606" s="40"/>
      <c r="N606" s="41"/>
      <c r="O606" s="20"/>
      <c r="P606" s="20"/>
      <c r="Q606" s="21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ht="15.75" customHeight="1">
      <c r="A607" s="20"/>
      <c r="B607" s="20"/>
      <c r="C607" s="20"/>
      <c r="D607" s="38"/>
      <c r="E607" s="38"/>
      <c r="F607" s="38"/>
      <c r="G607" s="38"/>
      <c r="H607" s="39"/>
      <c r="I607" s="39"/>
      <c r="J607" s="40"/>
      <c r="K607" s="40"/>
      <c r="L607" s="40"/>
      <c r="M607" s="40"/>
      <c r="N607" s="41"/>
      <c r="O607" s="20"/>
      <c r="P607" s="20"/>
      <c r="Q607" s="21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ht="15.75" customHeight="1">
      <c r="A608" s="20"/>
      <c r="B608" s="20"/>
      <c r="C608" s="20"/>
      <c r="D608" s="38"/>
      <c r="E608" s="38"/>
      <c r="F608" s="38"/>
      <c r="G608" s="38"/>
      <c r="H608" s="39"/>
      <c r="I608" s="39"/>
      <c r="J608" s="40"/>
      <c r="K608" s="40"/>
      <c r="L608" s="40"/>
      <c r="M608" s="40"/>
      <c r="N608" s="41"/>
      <c r="O608" s="20"/>
      <c r="P608" s="20"/>
      <c r="Q608" s="21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ht="15.75" customHeight="1">
      <c r="A609" s="20"/>
      <c r="B609" s="20"/>
      <c r="C609" s="20"/>
      <c r="D609" s="38"/>
      <c r="E609" s="38"/>
      <c r="F609" s="38"/>
      <c r="G609" s="38"/>
      <c r="H609" s="39"/>
      <c r="I609" s="39"/>
      <c r="J609" s="40"/>
      <c r="K609" s="40"/>
      <c r="L609" s="40"/>
      <c r="M609" s="40"/>
      <c r="N609" s="41"/>
      <c r="O609" s="20"/>
      <c r="P609" s="20"/>
      <c r="Q609" s="21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ht="15.75" customHeight="1">
      <c r="A610" s="20"/>
      <c r="B610" s="20"/>
      <c r="C610" s="20"/>
      <c r="D610" s="38"/>
      <c r="E610" s="38"/>
      <c r="F610" s="38"/>
      <c r="G610" s="38"/>
      <c r="H610" s="39"/>
      <c r="I610" s="39"/>
      <c r="J610" s="40"/>
      <c r="K610" s="40"/>
      <c r="L610" s="40"/>
      <c r="M610" s="40"/>
      <c r="N610" s="41"/>
      <c r="O610" s="20"/>
      <c r="P610" s="20"/>
      <c r="Q610" s="21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ht="15.75" customHeight="1">
      <c r="A611" s="20"/>
      <c r="B611" s="20"/>
      <c r="C611" s="20"/>
      <c r="D611" s="38"/>
      <c r="E611" s="38"/>
      <c r="F611" s="38"/>
      <c r="G611" s="38"/>
      <c r="H611" s="39"/>
      <c r="I611" s="39"/>
      <c r="J611" s="40"/>
      <c r="K611" s="40"/>
      <c r="L611" s="40"/>
      <c r="M611" s="40"/>
      <c r="N611" s="41"/>
      <c r="O611" s="20"/>
      <c r="P611" s="20"/>
      <c r="Q611" s="21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ht="15.75" customHeight="1">
      <c r="A612" s="20"/>
      <c r="B612" s="20"/>
      <c r="C612" s="20"/>
      <c r="D612" s="38"/>
      <c r="E612" s="38"/>
      <c r="F612" s="38"/>
      <c r="G612" s="38"/>
      <c r="H612" s="39"/>
      <c r="I612" s="39"/>
      <c r="J612" s="40"/>
      <c r="K612" s="40"/>
      <c r="L612" s="40"/>
      <c r="M612" s="40"/>
      <c r="N612" s="41"/>
      <c r="O612" s="20"/>
      <c r="P612" s="20"/>
      <c r="Q612" s="21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ht="15.75" customHeight="1">
      <c r="A613" s="20"/>
      <c r="B613" s="20"/>
      <c r="C613" s="20"/>
      <c r="D613" s="38"/>
      <c r="E613" s="38"/>
      <c r="F613" s="38"/>
      <c r="G613" s="38"/>
      <c r="H613" s="39"/>
      <c r="I613" s="39"/>
      <c r="J613" s="40"/>
      <c r="K613" s="40"/>
      <c r="L613" s="40"/>
      <c r="M613" s="40"/>
      <c r="N613" s="41"/>
      <c r="O613" s="20"/>
      <c r="P613" s="20"/>
      <c r="Q613" s="21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ht="15.75" customHeight="1">
      <c r="A614" s="20"/>
      <c r="B614" s="20"/>
      <c r="C614" s="20"/>
      <c r="D614" s="38"/>
      <c r="E614" s="38"/>
      <c r="F614" s="38"/>
      <c r="G614" s="38"/>
      <c r="H614" s="39"/>
      <c r="I614" s="39"/>
      <c r="J614" s="40"/>
      <c r="K614" s="40"/>
      <c r="L614" s="40"/>
      <c r="M614" s="40"/>
      <c r="N614" s="41"/>
      <c r="O614" s="20"/>
      <c r="P614" s="20"/>
      <c r="Q614" s="21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ht="15.75" customHeight="1">
      <c r="A615" s="20"/>
      <c r="B615" s="20"/>
      <c r="C615" s="20"/>
      <c r="D615" s="38"/>
      <c r="E615" s="38"/>
      <c r="F615" s="38"/>
      <c r="G615" s="38"/>
      <c r="H615" s="39"/>
      <c r="I615" s="39"/>
      <c r="J615" s="40"/>
      <c r="K615" s="40"/>
      <c r="L615" s="40"/>
      <c r="M615" s="40"/>
      <c r="N615" s="41"/>
      <c r="O615" s="20"/>
      <c r="P615" s="20"/>
      <c r="Q615" s="21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ht="15.75" customHeight="1">
      <c r="A616" s="20"/>
      <c r="B616" s="20"/>
      <c r="C616" s="20"/>
      <c r="D616" s="38"/>
      <c r="E616" s="38"/>
      <c r="F616" s="38"/>
      <c r="G616" s="38"/>
      <c r="H616" s="39"/>
      <c r="I616" s="39"/>
      <c r="J616" s="40"/>
      <c r="K616" s="40"/>
      <c r="L616" s="40"/>
      <c r="M616" s="40"/>
      <c r="N616" s="41"/>
      <c r="O616" s="20"/>
      <c r="P616" s="20"/>
      <c r="Q616" s="21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ht="15.75" customHeight="1">
      <c r="A617" s="20"/>
      <c r="B617" s="20"/>
      <c r="C617" s="20"/>
      <c r="D617" s="38"/>
      <c r="E617" s="38"/>
      <c r="F617" s="38"/>
      <c r="G617" s="38"/>
      <c r="H617" s="39"/>
      <c r="I617" s="39"/>
      <c r="J617" s="40"/>
      <c r="K617" s="40"/>
      <c r="L617" s="40"/>
      <c r="M617" s="40"/>
      <c r="N617" s="41"/>
      <c r="O617" s="20"/>
      <c r="P617" s="20"/>
      <c r="Q617" s="21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ht="15.75" customHeight="1">
      <c r="A618" s="20"/>
      <c r="B618" s="20"/>
      <c r="C618" s="20"/>
      <c r="D618" s="38"/>
      <c r="E618" s="38"/>
      <c r="F618" s="38"/>
      <c r="G618" s="38"/>
      <c r="H618" s="39"/>
      <c r="I618" s="39"/>
      <c r="J618" s="40"/>
      <c r="K618" s="40"/>
      <c r="L618" s="40"/>
      <c r="M618" s="40"/>
      <c r="N618" s="41"/>
      <c r="O618" s="20"/>
      <c r="P618" s="20"/>
      <c r="Q618" s="21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ht="15.75" customHeight="1">
      <c r="A619" s="20"/>
      <c r="B619" s="20"/>
      <c r="C619" s="20"/>
      <c r="D619" s="38"/>
      <c r="E619" s="38"/>
      <c r="F619" s="38"/>
      <c r="G619" s="38"/>
      <c r="H619" s="39"/>
      <c r="I619" s="39"/>
      <c r="J619" s="40"/>
      <c r="K619" s="40"/>
      <c r="L619" s="40"/>
      <c r="M619" s="40"/>
      <c r="N619" s="41"/>
      <c r="O619" s="20"/>
      <c r="P619" s="20"/>
      <c r="Q619" s="21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ht="15.75" customHeight="1">
      <c r="A620" s="20"/>
      <c r="B620" s="20"/>
      <c r="C620" s="20"/>
      <c r="D620" s="38"/>
      <c r="E620" s="38"/>
      <c r="F620" s="38"/>
      <c r="G620" s="38"/>
      <c r="H620" s="39"/>
      <c r="I620" s="39"/>
      <c r="J620" s="40"/>
      <c r="K620" s="40"/>
      <c r="L620" s="40"/>
      <c r="M620" s="40"/>
      <c r="N620" s="41"/>
      <c r="O620" s="20"/>
      <c r="P620" s="20"/>
      <c r="Q620" s="21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ht="15.75" customHeight="1">
      <c r="A621" s="20"/>
      <c r="B621" s="20"/>
      <c r="C621" s="20"/>
      <c r="D621" s="38"/>
      <c r="E621" s="38"/>
      <c r="F621" s="38"/>
      <c r="G621" s="38"/>
      <c r="H621" s="39"/>
      <c r="I621" s="39"/>
      <c r="J621" s="40"/>
      <c r="K621" s="40"/>
      <c r="L621" s="40"/>
      <c r="M621" s="40"/>
      <c r="N621" s="41"/>
      <c r="O621" s="20"/>
      <c r="P621" s="20"/>
      <c r="Q621" s="21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ht="15.75" customHeight="1">
      <c r="A622" s="20"/>
      <c r="B622" s="20"/>
      <c r="C622" s="20"/>
      <c r="D622" s="38"/>
      <c r="E622" s="38"/>
      <c r="F622" s="38"/>
      <c r="G622" s="38"/>
      <c r="H622" s="39"/>
      <c r="I622" s="39"/>
      <c r="J622" s="40"/>
      <c r="K622" s="40"/>
      <c r="L622" s="40"/>
      <c r="M622" s="40"/>
      <c r="N622" s="41"/>
      <c r="O622" s="20"/>
      <c r="P622" s="20"/>
      <c r="Q622" s="21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ht="15.75" customHeight="1">
      <c r="A623" s="20"/>
      <c r="B623" s="20"/>
      <c r="C623" s="20"/>
      <c r="D623" s="38"/>
      <c r="E623" s="38"/>
      <c r="F623" s="38"/>
      <c r="G623" s="38"/>
      <c r="H623" s="39"/>
      <c r="I623" s="39"/>
      <c r="J623" s="40"/>
      <c r="K623" s="40"/>
      <c r="L623" s="40"/>
      <c r="M623" s="40"/>
      <c r="N623" s="41"/>
      <c r="O623" s="20"/>
      <c r="P623" s="20"/>
      <c r="Q623" s="21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ht="15.75" customHeight="1">
      <c r="A624" s="20"/>
      <c r="B624" s="20"/>
      <c r="C624" s="20"/>
      <c r="D624" s="38"/>
      <c r="E624" s="38"/>
      <c r="F624" s="38"/>
      <c r="G624" s="38"/>
      <c r="H624" s="39"/>
      <c r="I624" s="39"/>
      <c r="J624" s="40"/>
      <c r="K624" s="40"/>
      <c r="L624" s="40"/>
      <c r="M624" s="40"/>
      <c r="N624" s="41"/>
      <c r="O624" s="20"/>
      <c r="P624" s="20"/>
      <c r="Q624" s="21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ht="15.75" customHeight="1">
      <c r="A625" s="20"/>
      <c r="B625" s="20"/>
      <c r="C625" s="20"/>
      <c r="D625" s="38"/>
      <c r="E625" s="38"/>
      <c r="F625" s="38"/>
      <c r="G625" s="38"/>
      <c r="H625" s="39"/>
      <c r="I625" s="39"/>
      <c r="J625" s="40"/>
      <c r="K625" s="40"/>
      <c r="L625" s="40"/>
      <c r="M625" s="40"/>
      <c r="N625" s="41"/>
      <c r="O625" s="20"/>
      <c r="P625" s="20"/>
      <c r="Q625" s="21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ht="15.75" customHeight="1">
      <c r="A626" s="20"/>
      <c r="B626" s="20"/>
      <c r="C626" s="20"/>
      <c r="D626" s="38"/>
      <c r="E626" s="38"/>
      <c r="F626" s="38"/>
      <c r="G626" s="38"/>
      <c r="H626" s="39"/>
      <c r="I626" s="39"/>
      <c r="J626" s="40"/>
      <c r="K626" s="40"/>
      <c r="L626" s="40"/>
      <c r="M626" s="40"/>
      <c r="N626" s="41"/>
      <c r="O626" s="20"/>
      <c r="P626" s="20"/>
      <c r="Q626" s="21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ht="15.75" customHeight="1">
      <c r="A627" s="20"/>
      <c r="B627" s="20"/>
      <c r="C627" s="20"/>
      <c r="D627" s="38"/>
      <c r="E627" s="38"/>
      <c r="F627" s="38"/>
      <c r="G627" s="38"/>
      <c r="H627" s="39"/>
      <c r="I627" s="39"/>
      <c r="J627" s="40"/>
      <c r="K627" s="40"/>
      <c r="L627" s="40"/>
      <c r="M627" s="40"/>
      <c r="N627" s="41"/>
      <c r="O627" s="20"/>
      <c r="P627" s="20"/>
      <c r="Q627" s="21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ht="15.75" customHeight="1">
      <c r="A628" s="20"/>
      <c r="B628" s="20"/>
      <c r="C628" s="20"/>
      <c r="D628" s="38"/>
      <c r="E628" s="38"/>
      <c r="F628" s="38"/>
      <c r="G628" s="38"/>
      <c r="H628" s="39"/>
      <c r="I628" s="39"/>
      <c r="J628" s="40"/>
      <c r="K628" s="40"/>
      <c r="L628" s="40"/>
      <c r="M628" s="40"/>
      <c r="N628" s="41"/>
      <c r="O628" s="20"/>
      <c r="P628" s="20"/>
      <c r="Q628" s="21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ht="15.75" customHeight="1">
      <c r="A629" s="20"/>
      <c r="B629" s="20"/>
      <c r="C629" s="20"/>
      <c r="D629" s="38"/>
      <c r="E629" s="38"/>
      <c r="F629" s="38"/>
      <c r="G629" s="38"/>
      <c r="H629" s="39"/>
      <c r="I629" s="39"/>
      <c r="J629" s="40"/>
      <c r="K629" s="40"/>
      <c r="L629" s="40"/>
      <c r="M629" s="40"/>
      <c r="N629" s="41"/>
      <c r="O629" s="20"/>
      <c r="P629" s="20"/>
      <c r="Q629" s="21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ht="15.75" customHeight="1">
      <c r="A630" s="20"/>
      <c r="B630" s="20"/>
      <c r="C630" s="20"/>
      <c r="D630" s="38"/>
      <c r="E630" s="38"/>
      <c r="F630" s="38"/>
      <c r="G630" s="38"/>
      <c r="H630" s="39"/>
      <c r="I630" s="39"/>
      <c r="J630" s="40"/>
      <c r="K630" s="40"/>
      <c r="L630" s="40"/>
      <c r="M630" s="40"/>
      <c r="N630" s="41"/>
      <c r="O630" s="20"/>
      <c r="P630" s="20"/>
      <c r="Q630" s="21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ht="15.75" customHeight="1">
      <c r="A631" s="20"/>
      <c r="B631" s="20"/>
      <c r="C631" s="20"/>
      <c r="D631" s="38"/>
      <c r="E631" s="38"/>
      <c r="F631" s="38"/>
      <c r="G631" s="38"/>
      <c r="H631" s="39"/>
      <c r="I631" s="39"/>
      <c r="J631" s="40"/>
      <c r="K631" s="40"/>
      <c r="L631" s="40"/>
      <c r="M631" s="40"/>
      <c r="N631" s="41"/>
      <c r="O631" s="20"/>
      <c r="P631" s="20"/>
      <c r="Q631" s="21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ht="15.75" customHeight="1">
      <c r="A632" s="20"/>
      <c r="B632" s="20"/>
      <c r="C632" s="20"/>
      <c r="D632" s="38"/>
      <c r="E632" s="38"/>
      <c r="F632" s="38"/>
      <c r="G632" s="38"/>
      <c r="H632" s="39"/>
      <c r="I632" s="39"/>
      <c r="J632" s="40"/>
      <c r="K632" s="40"/>
      <c r="L632" s="40"/>
      <c r="M632" s="40"/>
      <c r="N632" s="41"/>
      <c r="O632" s="20"/>
      <c r="P632" s="20"/>
      <c r="Q632" s="21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ht="15.75" customHeight="1">
      <c r="A633" s="20"/>
      <c r="B633" s="20"/>
      <c r="C633" s="20"/>
      <c r="D633" s="38"/>
      <c r="E633" s="38"/>
      <c r="F633" s="38"/>
      <c r="G633" s="38"/>
      <c r="H633" s="39"/>
      <c r="I633" s="39"/>
      <c r="J633" s="40"/>
      <c r="K633" s="40"/>
      <c r="L633" s="40"/>
      <c r="M633" s="40"/>
      <c r="N633" s="41"/>
      <c r="O633" s="20"/>
      <c r="P633" s="20"/>
      <c r="Q633" s="21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ht="15.75" customHeight="1">
      <c r="A634" s="20"/>
      <c r="B634" s="20"/>
      <c r="C634" s="20"/>
      <c r="D634" s="38"/>
      <c r="E634" s="38"/>
      <c r="F634" s="38"/>
      <c r="G634" s="38"/>
      <c r="H634" s="39"/>
      <c r="I634" s="39"/>
      <c r="J634" s="40"/>
      <c r="K634" s="40"/>
      <c r="L634" s="40"/>
      <c r="M634" s="40"/>
      <c r="N634" s="41"/>
      <c r="O634" s="20"/>
      <c r="P634" s="20"/>
      <c r="Q634" s="21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ht="15.75" customHeight="1">
      <c r="A635" s="20"/>
      <c r="B635" s="20"/>
      <c r="C635" s="20"/>
      <c r="D635" s="38"/>
      <c r="E635" s="38"/>
      <c r="F635" s="38"/>
      <c r="G635" s="38"/>
      <c r="H635" s="39"/>
      <c r="I635" s="39"/>
      <c r="J635" s="40"/>
      <c r="K635" s="40"/>
      <c r="L635" s="40"/>
      <c r="M635" s="40"/>
      <c r="N635" s="41"/>
      <c r="O635" s="20"/>
      <c r="P635" s="20"/>
      <c r="Q635" s="21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ht="15.75" customHeight="1">
      <c r="A636" s="20"/>
      <c r="B636" s="20"/>
      <c r="C636" s="20"/>
      <c r="D636" s="38"/>
      <c r="E636" s="38"/>
      <c r="F636" s="38"/>
      <c r="G636" s="38"/>
      <c r="H636" s="39"/>
      <c r="I636" s="39"/>
      <c r="J636" s="40"/>
      <c r="K636" s="40"/>
      <c r="L636" s="40"/>
      <c r="M636" s="40"/>
      <c r="N636" s="41"/>
      <c r="O636" s="20"/>
      <c r="P636" s="20"/>
      <c r="Q636" s="21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ht="15.75" customHeight="1">
      <c r="A637" s="20"/>
      <c r="B637" s="20"/>
      <c r="C637" s="20"/>
      <c r="D637" s="38"/>
      <c r="E637" s="38"/>
      <c r="F637" s="38"/>
      <c r="G637" s="38"/>
      <c r="H637" s="39"/>
      <c r="I637" s="39"/>
      <c r="J637" s="40"/>
      <c r="K637" s="40"/>
      <c r="L637" s="40"/>
      <c r="M637" s="40"/>
      <c r="N637" s="41"/>
      <c r="O637" s="20"/>
      <c r="P637" s="20"/>
      <c r="Q637" s="21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ht="15.75" customHeight="1">
      <c r="A638" s="20"/>
      <c r="B638" s="20"/>
      <c r="C638" s="20"/>
      <c r="D638" s="38"/>
      <c r="E638" s="38"/>
      <c r="F638" s="38"/>
      <c r="G638" s="38"/>
      <c r="H638" s="39"/>
      <c r="I638" s="39"/>
      <c r="J638" s="40"/>
      <c r="K638" s="40"/>
      <c r="L638" s="40"/>
      <c r="M638" s="40"/>
      <c r="N638" s="41"/>
      <c r="O638" s="20"/>
      <c r="P638" s="20"/>
      <c r="Q638" s="21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ht="15.75" customHeight="1">
      <c r="A639" s="20"/>
      <c r="B639" s="20"/>
      <c r="C639" s="20"/>
      <c r="D639" s="38"/>
      <c r="E639" s="38"/>
      <c r="F639" s="38"/>
      <c r="G639" s="38"/>
      <c r="H639" s="39"/>
      <c r="I639" s="39"/>
      <c r="J639" s="40"/>
      <c r="K639" s="40"/>
      <c r="L639" s="40"/>
      <c r="M639" s="40"/>
      <c r="N639" s="41"/>
      <c r="O639" s="20"/>
      <c r="P639" s="20"/>
      <c r="Q639" s="21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ht="15.75" customHeight="1">
      <c r="A640" s="20"/>
      <c r="B640" s="20"/>
      <c r="C640" s="20"/>
      <c r="D640" s="38"/>
      <c r="E640" s="38"/>
      <c r="F640" s="38"/>
      <c r="G640" s="38"/>
      <c r="H640" s="39"/>
      <c r="I640" s="39"/>
      <c r="J640" s="40"/>
      <c r="K640" s="40"/>
      <c r="L640" s="40"/>
      <c r="M640" s="40"/>
      <c r="N640" s="41"/>
      <c r="O640" s="20"/>
      <c r="P640" s="20"/>
      <c r="Q640" s="21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ht="15.75" customHeight="1">
      <c r="A641" s="20"/>
      <c r="B641" s="20"/>
      <c r="C641" s="20"/>
      <c r="D641" s="38"/>
      <c r="E641" s="38"/>
      <c r="F641" s="38"/>
      <c r="G641" s="38"/>
      <c r="H641" s="39"/>
      <c r="I641" s="39"/>
      <c r="J641" s="40"/>
      <c r="K641" s="40"/>
      <c r="L641" s="40"/>
      <c r="M641" s="40"/>
      <c r="N641" s="41"/>
      <c r="O641" s="20"/>
      <c r="P641" s="20"/>
      <c r="Q641" s="21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ht="15.75" customHeight="1">
      <c r="A642" s="20"/>
      <c r="B642" s="20"/>
      <c r="C642" s="20"/>
      <c r="D642" s="38"/>
      <c r="E642" s="38"/>
      <c r="F642" s="38"/>
      <c r="G642" s="38"/>
      <c r="H642" s="39"/>
      <c r="I642" s="39"/>
      <c r="J642" s="40"/>
      <c r="K642" s="40"/>
      <c r="L642" s="40"/>
      <c r="M642" s="40"/>
      <c r="N642" s="41"/>
      <c r="O642" s="20"/>
      <c r="P642" s="20"/>
      <c r="Q642" s="21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ht="15.75" customHeight="1">
      <c r="A643" s="20"/>
      <c r="B643" s="20"/>
      <c r="C643" s="20"/>
      <c r="D643" s="38"/>
      <c r="E643" s="38"/>
      <c r="F643" s="38"/>
      <c r="G643" s="38"/>
      <c r="H643" s="39"/>
      <c r="I643" s="39"/>
      <c r="J643" s="40"/>
      <c r="K643" s="40"/>
      <c r="L643" s="40"/>
      <c r="M643" s="40"/>
      <c r="N643" s="41"/>
      <c r="O643" s="20"/>
      <c r="P643" s="20"/>
      <c r="Q643" s="21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ht="15.75" customHeight="1">
      <c r="A644" s="20"/>
      <c r="B644" s="20"/>
      <c r="C644" s="20"/>
      <c r="D644" s="38"/>
      <c r="E644" s="38"/>
      <c r="F644" s="38"/>
      <c r="G644" s="38"/>
      <c r="H644" s="39"/>
      <c r="I644" s="39"/>
      <c r="J644" s="40"/>
      <c r="K644" s="40"/>
      <c r="L644" s="40"/>
      <c r="M644" s="40"/>
      <c r="N644" s="41"/>
      <c r="O644" s="20"/>
      <c r="P644" s="20"/>
      <c r="Q644" s="21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ht="15.75" customHeight="1">
      <c r="A645" s="20"/>
      <c r="B645" s="20"/>
      <c r="C645" s="20"/>
      <c r="D645" s="38"/>
      <c r="E645" s="38"/>
      <c r="F645" s="38"/>
      <c r="G645" s="38"/>
      <c r="H645" s="39"/>
      <c r="I645" s="39"/>
      <c r="J645" s="40"/>
      <c r="K645" s="40"/>
      <c r="L645" s="40"/>
      <c r="M645" s="40"/>
      <c r="N645" s="41"/>
      <c r="O645" s="20"/>
      <c r="P645" s="20"/>
      <c r="Q645" s="21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ht="15.75" customHeight="1">
      <c r="A646" s="20"/>
      <c r="B646" s="20"/>
      <c r="C646" s="20"/>
      <c r="D646" s="38"/>
      <c r="E646" s="38"/>
      <c r="F646" s="38"/>
      <c r="G646" s="38"/>
      <c r="H646" s="39"/>
      <c r="I646" s="39"/>
      <c r="J646" s="40"/>
      <c r="K646" s="40"/>
      <c r="L646" s="40"/>
      <c r="M646" s="40"/>
      <c r="N646" s="41"/>
      <c r="O646" s="20"/>
      <c r="P646" s="20"/>
      <c r="Q646" s="21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ht="15.75" customHeight="1">
      <c r="A647" s="20"/>
      <c r="B647" s="20"/>
      <c r="C647" s="20"/>
      <c r="D647" s="38"/>
      <c r="E647" s="38"/>
      <c r="F647" s="38"/>
      <c r="G647" s="38"/>
      <c r="H647" s="39"/>
      <c r="I647" s="39"/>
      <c r="J647" s="40"/>
      <c r="K647" s="40"/>
      <c r="L647" s="40"/>
      <c r="M647" s="40"/>
      <c r="N647" s="41"/>
      <c r="O647" s="20"/>
      <c r="P647" s="20"/>
      <c r="Q647" s="21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ht="15.75" customHeight="1">
      <c r="A648" s="20"/>
      <c r="B648" s="20"/>
      <c r="C648" s="20"/>
      <c r="D648" s="38"/>
      <c r="E648" s="38"/>
      <c r="F648" s="38"/>
      <c r="G648" s="38"/>
      <c r="H648" s="39"/>
      <c r="I648" s="39"/>
      <c r="J648" s="40"/>
      <c r="K648" s="40"/>
      <c r="L648" s="40"/>
      <c r="M648" s="40"/>
      <c r="N648" s="41"/>
      <c r="O648" s="20"/>
      <c r="P648" s="20"/>
      <c r="Q648" s="21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ht="15.75" customHeight="1">
      <c r="A649" s="20"/>
      <c r="B649" s="20"/>
      <c r="C649" s="20"/>
      <c r="D649" s="38"/>
      <c r="E649" s="38"/>
      <c r="F649" s="38"/>
      <c r="G649" s="38"/>
      <c r="H649" s="39"/>
      <c r="I649" s="39"/>
      <c r="J649" s="40"/>
      <c r="K649" s="40"/>
      <c r="L649" s="40"/>
      <c r="M649" s="40"/>
      <c r="N649" s="41"/>
      <c r="O649" s="20"/>
      <c r="P649" s="20"/>
      <c r="Q649" s="21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ht="15.75" customHeight="1">
      <c r="A650" s="20"/>
      <c r="B650" s="20"/>
      <c r="C650" s="20"/>
      <c r="D650" s="38"/>
      <c r="E650" s="38"/>
      <c r="F650" s="38"/>
      <c r="G650" s="38"/>
      <c r="H650" s="39"/>
      <c r="I650" s="39"/>
      <c r="J650" s="40"/>
      <c r="K650" s="40"/>
      <c r="L650" s="40"/>
      <c r="M650" s="40"/>
      <c r="N650" s="41"/>
      <c r="O650" s="20"/>
      <c r="P650" s="20"/>
      <c r="Q650" s="21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ht="15.75" customHeight="1">
      <c r="A651" s="20"/>
      <c r="B651" s="20"/>
      <c r="C651" s="20"/>
      <c r="D651" s="38"/>
      <c r="E651" s="38"/>
      <c r="F651" s="38"/>
      <c r="G651" s="38"/>
      <c r="H651" s="39"/>
      <c r="I651" s="39"/>
      <c r="J651" s="40"/>
      <c r="K651" s="40"/>
      <c r="L651" s="40"/>
      <c r="M651" s="40"/>
      <c r="N651" s="41"/>
      <c r="O651" s="20"/>
      <c r="P651" s="20"/>
      <c r="Q651" s="21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ht="15.75" customHeight="1">
      <c r="A652" s="20"/>
      <c r="B652" s="20"/>
      <c r="C652" s="20"/>
      <c r="D652" s="38"/>
      <c r="E652" s="38"/>
      <c r="F652" s="38"/>
      <c r="G652" s="38"/>
      <c r="H652" s="39"/>
      <c r="I652" s="39"/>
      <c r="J652" s="40"/>
      <c r="K652" s="40"/>
      <c r="L652" s="40"/>
      <c r="M652" s="40"/>
      <c r="N652" s="41"/>
      <c r="O652" s="20"/>
      <c r="P652" s="20"/>
      <c r="Q652" s="21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ht="15.75" customHeight="1">
      <c r="A653" s="20"/>
      <c r="B653" s="20"/>
      <c r="C653" s="20"/>
      <c r="D653" s="38"/>
      <c r="E653" s="38"/>
      <c r="F653" s="38"/>
      <c r="G653" s="38"/>
      <c r="H653" s="39"/>
      <c r="I653" s="39"/>
      <c r="J653" s="40"/>
      <c r="K653" s="40"/>
      <c r="L653" s="40"/>
      <c r="M653" s="40"/>
      <c r="N653" s="41"/>
      <c r="O653" s="20"/>
      <c r="P653" s="20"/>
      <c r="Q653" s="21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ht="15.75" customHeight="1">
      <c r="A654" s="20"/>
      <c r="B654" s="20"/>
      <c r="C654" s="20"/>
      <c r="D654" s="38"/>
      <c r="E654" s="38"/>
      <c r="F654" s="38"/>
      <c r="G654" s="38"/>
      <c r="H654" s="39"/>
      <c r="I654" s="39"/>
      <c r="J654" s="40"/>
      <c r="K654" s="40"/>
      <c r="L654" s="40"/>
      <c r="M654" s="40"/>
      <c r="N654" s="41"/>
      <c r="O654" s="20"/>
      <c r="P654" s="20"/>
      <c r="Q654" s="21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ht="15.75" customHeight="1">
      <c r="A655" s="20"/>
      <c r="B655" s="20"/>
      <c r="C655" s="20"/>
      <c r="D655" s="38"/>
      <c r="E655" s="38"/>
      <c r="F655" s="38"/>
      <c r="G655" s="38"/>
      <c r="H655" s="39"/>
      <c r="I655" s="39"/>
      <c r="J655" s="40"/>
      <c r="K655" s="40"/>
      <c r="L655" s="40"/>
      <c r="M655" s="40"/>
      <c r="N655" s="41"/>
      <c r="O655" s="20"/>
      <c r="P655" s="20"/>
      <c r="Q655" s="21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ht="15.75" customHeight="1">
      <c r="A656" s="20"/>
      <c r="B656" s="20"/>
      <c r="C656" s="20"/>
      <c r="D656" s="38"/>
      <c r="E656" s="38"/>
      <c r="F656" s="38"/>
      <c r="G656" s="38"/>
      <c r="H656" s="39"/>
      <c r="I656" s="39"/>
      <c r="J656" s="40"/>
      <c r="K656" s="40"/>
      <c r="L656" s="40"/>
      <c r="M656" s="40"/>
      <c r="N656" s="41"/>
      <c r="O656" s="20"/>
      <c r="P656" s="20"/>
      <c r="Q656" s="21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ht="15.75" customHeight="1">
      <c r="A657" s="20"/>
      <c r="B657" s="20"/>
      <c r="C657" s="20"/>
      <c r="D657" s="38"/>
      <c r="E657" s="38"/>
      <c r="F657" s="38"/>
      <c r="G657" s="38"/>
      <c r="H657" s="39"/>
      <c r="I657" s="39"/>
      <c r="J657" s="40"/>
      <c r="K657" s="40"/>
      <c r="L657" s="40"/>
      <c r="M657" s="40"/>
      <c r="N657" s="41"/>
      <c r="O657" s="20"/>
      <c r="P657" s="20"/>
      <c r="Q657" s="21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ht="15.75" customHeight="1">
      <c r="A658" s="20"/>
      <c r="B658" s="20"/>
      <c r="C658" s="20"/>
      <c r="D658" s="38"/>
      <c r="E658" s="38"/>
      <c r="F658" s="38"/>
      <c r="G658" s="38"/>
      <c r="H658" s="39"/>
      <c r="I658" s="39"/>
      <c r="J658" s="40"/>
      <c r="K658" s="40"/>
      <c r="L658" s="40"/>
      <c r="M658" s="40"/>
      <c r="N658" s="41"/>
      <c r="O658" s="20"/>
      <c r="P658" s="20"/>
      <c r="Q658" s="21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ht="15.75" customHeight="1">
      <c r="A659" s="20"/>
      <c r="B659" s="20"/>
      <c r="C659" s="20"/>
      <c r="D659" s="38"/>
      <c r="E659" s="38"/>
      <c r="F659" s="38"/>
      <c r="G659" s="38"/>
      <c r="H659" s="39"/>
      <c r="I659" s="39"/>
      <c r="J659" s="40"/>
      <c r="K659" s="40"/>
      <c r="L659" s="40"/>
      <c r="M659" s="40"/>
      <c r="N659" s="41"/>
      <c r="O659" s="20"/>
      <c r="P659" s="20"/>
      <c r="Q659" s="21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ht="15.75" customHeight="1">
      <c r="A660" s="20"/>
      <c r="B660" s="20"/>
      <c r="C660" s="20"/>
      <c r="D660" s="38"/>
      <c r="E660" s="38"/>
      <c r="F660" s="38"/>
      <c r="G660" s="38"/>
      <c r="H660" s="39"/>
      <c r="I660" s="39"/>
      <c r="J660" s="40"/>
      <c r="K660" s="40"/>
      <c r="L660" s="40"/>
      <c r="M660" s="40"/>
      <c r="N660" s="41"/>
      <c r="O660" s="20"/>
      <c r="P660" s="20"/>
      <c r="Q660" s="21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ht="15.75" customHeight="1">
      <c r="A661" s="20"/>
      <c r="B661" s="20"/>
      <c r="C661" s="20"/>
      <c r="D661" s="38"/>
      <c r="E661" s="38"/>
      <c r="F661" s="38"/>
      <c r="G661" s="38"/>
      <c r="H661" s="39"/>
      <c r="I661" s="39"/>
      <c r="J661" s="40"/>
      <c r="K661" s="40"/>
      <c r="L661" s="40"/>
      <c r="M661" s="40"/>
      <c r="N661" s="41"/>
      <c r="O661" s="20"/>
      <c r="P661" s="20"/>
      <c r="Q661" s="21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ht="15.75" customHeight="1">
      <c r="A662" s="20"/>
      <c r="B662" s="20"/>
      <c r="C662" s="20"/>
      <c r="D662" s="38"/>
      <c r="E662" s="38"/>
      <c r="F662" s="38"/>
      <c r="G662" s="38"/>
      <c r="H662" s="39"/>
      <c r="I662" s="39"/>
      <c r="J662" s="40"/>
      <c r="K662" s="40"/>
      <c r="L662" s="40"/>
      <c r="M662" s="40"/>
      <c r="N662" s="41"/>
      <c r="O662" s="20"/>
      <c r="P662" s="20"/>
      <c r="Q662" s="21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ht="15.75" customHeight="1">
      <c r="A663" s="20"/>
      <c r="B663" s="20"/>
      <c r="C663" s="20"/>
      <c r="D663" s="38"/>
      <c r="E663" s="38"/>
      <c r="F663" s="38"/>
      <c r="G663" s="38"/>
      <c r="H663" s="39"/>
      <c r="I663" s="39"/>
      <c r="J663" s="40"/>
      <c r="K663" s="40"/>
      <c r="L663" s="40"/>
      <c r="M663" s="40"/>
      <c r="N663" s="41"/>
      <c r="O663" s="20"/>
      <c r="P663" s="20"/>
      <c r="Q663" s="21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ht="15.75" customHeight="1">
      <c r="A664" s="20"/>
      <c r="B664" s="20"/>
      <c r="C664" s="20"/>
      <c r="D664" s="38"/>
      <c r="E664" s="38"/>
      <c r="F664" s="38"/>
      <c r="G664" s="38"/>
      <c r="H664" s="39"/>
      <c r="I664" s="39"/>
      <c r="J664" s="40"/>
      <c r="K664" s="40"/>
      <c r="L664" s="40"/>
      <c r="M664" s="40"/>
      <c r="N664" s="41"/>
      <c r="O664" s="20"/>
      <c r="P664" s="20"/>
      <c r="Q664" s="21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ht="15.75" customHeight="1">
      <c r="A665" s="20"/>
      <c r="B665" s="20"/>
      <c r="C665" s="20"/>
      <c r="D665" s="38"/>
      <c r="E665" s="38"/>
      <c r="F665" s="38"/>
      <c r="G665" s="38"/>
      <c r="H665" s="39"/>
      <c r="I665" s="39"/>
      <c r="J665" s="40"/>
      <c r="K665" s="40"/>
      <c r="L665" s="40"/>
      <c r="M665" s="40"/>
      <c r="N665" s="41"/>
      <c r="O665" s="20"/>
      <c r="P665" s="20"/>
      <c r="Q665" s="21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ht="15.75" customHeight="1">
      <c r="A666" s="20"/>
      <c r="B666" s="20"/>
      <c r="C666" s="20"/>
      <c r="D666" s="38"/>
      <c r="E666" s="38"/>
      <c r="F666" s="38"/>
      <c r="G666" s="38"/>
      <c r="H666" s="39"/>
      <c r="I666" s="39"/>
      <c r="J666" s="40"/>
      <c r="K666" s="40"/>
      <c r="L666" s="40"/>
      <c r="M666" s="40"/>
      <c r="N666" s="41"/>
      <c r="O666" s="20"/>
      <c r="P666" s="20"/>
      <c r="Q666" s="21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ht="15.75" customHeight="1">
      <c r="A667" s="20"/>
      <c r="B667" s="20"/>
      <c r="C667" s="20"/>
      <c r="D667" s="38"/>
      <c r="E667" s="38"/>
      <c r="F667" s="38"/>
      <c r="G667" s="38"/>
      <c r="H667" s="39"/>
      <c r="I667" s="39"/>
      <c r="J667" s="40"/>
      <c r="K667" s="40"/>
      <c r="L667" s="40"/>
      <c r="M667" s="40"/>
      <c r="N667" s="41"/>
      <c r="O667" s="20"/>
      <c r="P667" s="20"/>
      <c r="Q667" s="21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ht="15.75" customHeight="1">
      <c r="A668" s="20"/>
      <c r="B668" s="20"/>
      <c r="C668" s="20"/>
      <c r="D668" s="38"/>
      <c r="E668" s="38"/>
      <c r="F668" s="38"/>
      <c r="G668" s="38"/>
      <c r="H668" s="39"/>
      <c r="I668" s="39"/>
      <c r="J668" s="40"/>
      <c r="K668" s="40"/>
      <c r="L668" s="40"/>
      <c r="M668" s="40"/>
      <c r="N668" s="41"/>
      <c r="O668" s="20"/>
      <c r="P668" s="20"/>
      <c r="Q668" s="21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ht="15.75" customHeight="1">
      <c r="A669" s="20"/>
      <c r="B669" s="20"/>
      <c r="C669" s="20"/>
      <c r="D669" s="38"/>
      <c r="E669" s="38"/>
      <c r="F669" s="38"/>
      <c r="G669" s="38"/>
      <c r="H669" s="39"/>
      <c r="I669" s="39"/>
      <c r="J669" s="40"/>
      <c r="K669" s="40"/>
      <c r="L669" s="40"/>
      <c r="M669" s="40"/>
      <c r="N669" s="41"/>
      <c r="O669" s="20"/>
      <c r="P669" s="20"/>
      <c r="Q669" s="21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ht="15.75" customHeight="1">
      <c r="A670" s="20"/>
      <c r="B670" s="20"/>
      <c r="C670" s="20"/>
      <c r="D670" s="38"/>
      <c r="E670" s="38"/>
      <c r="F670" s="38"/>
      <c r="G670" s="38"/>
      <c r="H670" s="39"/>
      <c r="I670" s="39"/>
      <c r="J670" s="40"/>
      <c r="K670" s="40"/>
      <c r="L670" s="40"/>
      <c r="M670" s="40"/>
      <c r="N670" s="41"/>
      <c r="O670" s="20"/>
      <c r="P670" s="20"/>
      <c r="Q670" s="21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ht="15.75" customHeight="1">
      <c r="A671" s="20"/>
      <c r="B671" s="20"/>
      <c r="C671" s="20"/>
      <c r="D671" s="38"/>
      <c r="E671" s="38"/>
      <c r="F671" s="38"/>
      <c r="G671" s="38"/>
      <c r="H671" s="39"/>
      <c r="I671" s="39"/>
      <c r="J671" s="40"/>
      <c r="K671" s="40"/>
      <c r="L671" s="40"/>
      <c r="M671" s="40"/>
      <c r="N671" s="41"/>
      <c r="O671" s="20"/>
      <c r="P671" s="20"/>
      <c r="Q671" s="21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ht="15.75" customHeight="1">
      <c r="A672" s="20"/>
      <c r="B672" s="20"/>
      <c r="C672" s="20"/>
      <c r="D672" s="38"/>
      <c r="E672" s="38"/>
      <c r="F672" s="38"/>
      <c r="G672" s="38"/>
      <c r="H672" s="39"/>
      <c r="I672" s="39"/>
      <c r="J672" s="40"/>
      <c r="K672" s="40"/>
      <c r="L672" s="40"/>
      <c r="M672" s="40"/>
      <c r="N672" s="41"/>
      <c r="O672" s="20"/>
      <c r="P672" s="20"/>
      <c r="Q672" s="21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ht="15.75" customHeight="1">
      <c r="A673" s="20"/>
      <c r="B673" s="20"/>
      <c r="C673" s="20"/>
      <c r="D673" s="38"/>
      <c r="E673" s="38"/>
      <c r="F673" s="38"/>
      <c r="G673" s="38"/>
      <c r="H673" s="39"/>
      <c r="I673" s="39"/>
      <c r="J673" s="40"/>
      <c r="K673" s="40"/>
      <c r="L673" s="40"/>
      <c r="M673" s="40"/>
      <c r="N673" s="41"/>
      <c r="O673" s="20"/>
      <c r="P673" s="20"/>
      <c r="Q673" s="21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ht="15.75" customHeight="1">
      <c r="A674" s="20"/>
      <c r="B674" s="20"/>
      <c r="C674" s="20"/>
      <c r="D674" s="38"/>
      <c r="E674" s="38"/>
      <c r="F674" s="38"/>
      <c r="G674" s="38"/>
      <c r="H674" s="39"/>
      <c r="I674" s="39"/>
      <c r="J674" s="40"/>
      <c r="K674" s="40"/>
      <c r="L674" s="40"/>
      <c r="M674" s="40"/>
      <c r="N674" s="41"/>
      <c r="O674" s="20"/>
      <c r="P674" s="20"/>
      <c r="Q674" s="21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ht="15.75" customHeight="1">
      <c r="A675" s="20"/>
      <c r="B675" s="20"/>
      <c r="C675" s="20"/>
      <c r="D675" s="38"/>
      <c r="E675" s="38"/>
      <c r="F675" s="38"/>
      <c r="G675" s="38"/>
      <c r="H675" s="39"/>
      <c r="I675" s="39"/>
      <c r="J675" s="40"/>
      <c r="K675" s="40"/>
      <c r="L675" s="40"/>
      <c r="M675" s="40"/>
      <c r="N675" s="41"/>
      <c r="O675" s="20"/>
      <c r="P675" s="20"/>
      <c r="Q675" s="21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ht="15.75" customHeight="1">
      <c r="A676" s="20"/>
      <c r="B676" s="20"/>
      <c r="C676" s="20"/>
      <c r="D676" s="38"/>
      <c r="E676" s="38"/>
      <c r="F676" s="38"/>
      <c r="G676" s="38"/>
      <c r="H676" s="39"/>
      <c r="I676" s="39"/>
      <c r="J676" s="40"/>
      <c r="K676" s="40"/>
      <c r="L676" s="40"/>
      <c r="M676" s="40"/>
      <c r="N676" s="41"/>
      <c r="O676" s="20"/>
      <c r="P676" s="20"/>
      <c r="Q676" s="21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ht="15.75" customHeight="1">
      <c r="A677" s="20"/>
      <c r="B677" s="20"/>
      <c r="C677" s="20"/>
      <c r="D677" s="38"/>
      <c r="E677" s="38"/>
      <c r="F677" s="38"/>
      <c r="G677" s="38"/>
      <c r="H677" s="39"/>
      <c r="I677" s="39"/>
      <c r="J677" s="40"/>
      <c r="K677" s="40"/>
      <c r="L677" s="40"/>
      <c r="M677" s="40"/>
      <c r="N677" s="41"/>
      <c r="O677" s="20"/>
      <c r="P677" s="20"/>
      <c r="Q677" s="21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ht="15.75" customHeight="1">
      <c r="A678" s="20"/>
      <c r="B678" s="20"/>
      <c r="C678" s="20"/>
      <c r="D678" s="38"/>
      <c r="E678" s="38"/>
      <c r="F678" s="38"/>
      <c r="G678" s="38"/>
      <c r="H678" s="39"/>
      <c r="I678" s="39"/>
      <c r="J678" s="40"/>
      <c r="K678" s="40"/>
      <c r="L678" s="40"/>
      <c r="M678" s="40"/>
      <c r="N678" s="41"/>
      <c r="O678" s="20"/>
      <c r="P678" s="20"/>
      <c r="Q678" s="21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ht="15.75" customHeight="1">
      <c r="A679" s="20"/>
      <c r="B679" s="20"/>
      <c r="C679" s="20"/>
      <c r="D679" s="38"/>
      <c r="E679" s="38"/>
      <c r="F679" s="38"/>
      <c r="G679" s="38"/>
      <c r="H679" s="39"/>
      <c r="I679" s="39"/>
      <c r="J679" s="40"/>
      <c r="K679" s="40"/>
      <c r="L679" s="40"/>
      <c r="M679" s="40"/>
      <c r="N679" s="41"/>
      <c r="O679" s="20"/>
      <c r="P679" s="20"/>
      <c r="Q679" s="21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ht="15.75" customHeight="1">
      <c r="A680" s="20"/>
      <c r="B680" s="20"/>
      <c r="C680" s="20"/>
      <c r="D680" s="38"/>
      <c r="E680" s="38"/>
      <c r="F680" s="38"/>
      <c r="G680" s="38"/>
      <c r="H680" s="39"/>
      <c r="I680" s="39"/>
      <c r="J680" s="40"/>
      <c r="K680" s="40"/>
      <c r="L680" s="40"/>
      <c r="M680" s="40"/>
      <c r="N680" s="41"/>
      <c r="O680" s="20"/>
      <c r="P680" s="20"/>
      <c r="Q680" s="21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ht="15.75" customHeight="1">
      <c r="A681" s="20"/>
      <c r="B681" s="20"/>
      <c r="C681" s="20"/>
      <c r="D681" s="38"/>
      <c r="E681" s="38"/>
      <c r="F681" s="38"/>
      <c r="G681" s="38"/>
      <c r="H681" s="39"/>
      <c r="I681" s="39"/>
      <c r="J681" s="40"/>
      <c r="K681" s="40"/>
      <c r="L681" s="40"/>
      <c r="M681" s="40"/>
      <c r="N681" s="41"/>
      <c r="O681" s="20"/>
      <c r="P681" s="20"/>
      <c r="Q681" s="21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ht="15.75" customHeight="1">
      <c r="A682" s="20"/>
      <c r="B682" s="20"/>
      <c r="C682" s="20"/>
      <c r="D682" s="38"/>
      <c r="E682" s="38"/>
      <c r="F682" s="38"/>
      <c r="G682" s="38"/>
      <c r="H682" s="39"/>
      <c r="I682" s="39"/>
      <c r="J682" s="40"/>
      <c r="K682" s="40"/>
      <c r="L682" s="40"/>
      <c r="M682" s="40"/>
      <c r="N682" s="41"/>
      <c r="O682" s="20"/>
      <c r="P682" s="20"/>
      <c r="Q682" s="21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ht="15.75" customHeight="1">
      <c r="A683" s="20"/>
      <c r="B683" s="20"/>
      <c r="C683" s="20"/>
      <c r="D683" s="38"/>
      <c r="E683" s="38"/>
      <c r="F683" s="38"/>
      <c r="G683" s="38"/>
      <c r="H683" s="39"/>
      <c r="I683" s="39"/>
      <c r="J683" s="40"/>
      <c r="K683" s="40"/>
      <c r="L683" s="40"/>
      <c r="M683" s="40"/>
      <c r="N683" s="41"/>
      <c r="O683" s="20"/>
      <c r="P683" s="20"/>
      <c r="Q683" s="21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ht="15.75" customHeight="1">
      <c r="A684" s="20"/>
      <c r="B684" s="20"/>
      <c r="C684" s="20"/>
      <c r="D684" s="38"/>
      <c r="E684" s="38"/>
      <c r="F684" s="38"/>
      <c r="G684" s="38"/>
      <c r="H684" s="39"/>
      <c r="I684" s="39"/>
      <c r="J684" s="40"/>
      <c r="K684" s="40"/>
      <c r="L684" s="40"/>
      <c r="M684" s="40"/>
      <c r="N684" s="41"/>
      <c r="O684" s="20"/>
      <c r="P684" s="20"/>
      <c r="Q684" s="21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ht="15.75" customHeight="1">
      <c r="A685" s="20"/>
      <c r="B685" s="20"/>
      <c r="C685" s="20"/>
      <c r="D685" s="38"/>
      <c r="E685" s="38"/>
      <c r="F685" s="38"/>
      <c r="G685" s="38"/>
      <c r="H685" s="39"/>
      <c r="I685" s="39"/>
      <c r="J685" s="40"/>
      <c r="K685" s="40"/>
      <c r="L685" s="40"/>
      <c r="M685" s="40"/>
      <c r="N685" s="41"/>
      <c r="O685" s="20"/>
      <c r="P685" s="20"/>
      <c r="Q685" s="21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ht="15.75" customHeight="1">
      <c r="A686" s="20"/>
      <c r="B686" s="20"/>
      <c r="C686" s="20"/>
      <c r="D686" s="38"/>
      <c r="E686" s="38"/>
      <c r="F686" s="38"/>
      <c r="G686" s="38"/>
      <c r="H686" s="39"/>
      <c r="I686" s="39"/>
      <c r="J686" s="40"/>
      <c r="K686" s="40"/>
      <c r="L686" s="40"/>
      <c r="M686" s="40"/>
      <c r="N686" s="41"/>
      <c r="O686" s="20"/>
      <c r="P686" s="20"/>
      <c r="Q686" s="21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ht="15.75" customHeight="1">
      <c r="A687" s="20"/>
      <c r="B687" s="20"/>
      <c r="C687" s="20"/>
      <c r="D687" s="38"/>
      <c r="E687" s="38"/>
      <c r="F687" s="38"/>
      <c r="G687" s="38"/>
      <c r="H687" s="39"/>
      <c r="I687" s="39"/>
      <c r="J687" s="40"/>
      <c r="K687" s="40"/>
      <c r="L687" s="40"/>
      <c r="M687" s="40"/>
      <c r="N687" s="41"/>
      <c r="O687" s="20"/>
      <c r="P687" s="20"/>
      <c r="Q687" s="21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ht="15.75" customHeight="1">
      <c r="A688" s="20"/>
      <c r="B688" s="20"/>
      <c r="C688" s="20"/>
      <c r="D688" s="38"/>
      <c r="E688" s="38"/>
      <c r="F688" s="38"/>
      <c r="G688" s="38"/>
      <c r="H688" s="39"/>
      <c r="I688" s="39"/>
      <c r="J688" s="40"/>
      <c r="K688" s="40"/>
      <c r="L688" s="40"/>
      <c r="M688" s="40"/>
      <c r="N688" s="41"/>
      <c r="O688" s="20"/>
      <c r="P688" s="20"/>
      <c r="Q688" s="21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ht="15.75" customHeight="1">
      <c r="A689" s="20"/>
      <c r="B689" s="20"/>
      <c r="C689" s="20"/>
      <c r="D689" s="38"/>
      <c r="E689" s="38"/>
      <c r="F689" s="38"/>
      <c r="G689" s="38"/>
      <c r="H689" s="39"/>
      <c r="I689" s="39"/>
      <c r="J689" s="40"/>
      <c r="K689" s="40"/>
      <c r="L689" s="40"/>
      <c r="M689" s="40"/>
      <c r="N689" s="41"/>
      <c r="O689" s="20"/>
      <c r="P689" s="20"/>
      <c r="Q689" s="21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ht="15.75" customHeight="1">
      <c r="A690" s="20"/>
      <c r="B690" s="20"/>
      <c r="C690" s="20"/>
      <c r="D690" s="38"/>
      <c r="E690" s="38"/>
      <c r="F690" s="38"/>
      <c r="G690" s="38"/>
      <c r="H690" s="39"/>
      <c r="I690" s="39"/>
      <c r="J690" s="40"/>
      <c r="K690" s="40"/>
      <c r="L690" s="40"/>
      <c r="M690" s="40"/>
      <c r="N690" s="41"/>
      <c r="O690" s="20"/>
      <c r="P690" s="20"/>
      <c r="Q690" s="21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ht="15.75" customHeight="1">
      <c r="A691" s="20"/>
      <c r="B691" s="20"/>
      <c r="C691" s="20"/>
      <c r="D691" s="38"/>
      <c r="E691" s="38"/>
      <c r="F691" s="38"/>
      <c r="G691" s="38"/>
      <c r="H691" s="39"/>
      <c r="I691" s="39"/>
      <c r="J691" s="40"/>
      <c r="K691" s="40"/>
      <c r="L691" s="40"/>
      <c r="M691" s="40"/>
      <c r="N691" s="41"/>
      <c r="O691" s="20"/>
      <c r="P691" s="20"/>
      <c r="Q691" s="21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ht="15.75" customHeight="1">
      <c r="A692" s="20"/>
      <c r="B692" s="20"/>
      <c r="C692" s="20"/>
      <c r="D692" s="38"/>
      <c r="E692" s="38"/>
      <c r="F692" s="38"/>
      <c r="G692" s="38"/>
      <c r="H692" s="39"/>
      <c r="I692" s="39"/>
      <c r="J692" s="40"/>
      <c r="K692" s="40"/>
      <c r="L692" s="40"/>
      <c r="M692" s="40"/>
      <c r="N692" s="41"/>
      <c r="O692" s="20"/>
      <c r="P692" s="20"/>
      <c r="Q692" s="21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ht="15.75" customHeight="1">
      <c r="A693" s="20"/>
      <c r="B693" s="20"/>
      <c r="C693" s="20"/>
      <c r="D693" s="38"/>
      <c r="E693" s="38"/>
      <c r="F693" s="38"/>
      <c r="G693" s="38"/>
      <c r="H693" s="39"/>
      <c r="I693" s="39"/>
      <c r="J693" s="40"/>
      <c r="K693" s="40"/>
      <c r="L693" s="40"/>
      <c r="M693" s="40"/>
      <c r="N693" s="41"/>
      <c r="O693" s="20"/>
      <c r="P693" s="20"/>
      <c r="Q693" s="21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ht="15.75" customHeight="1">
      <c r="A694" s="20"/>
      <c r="B694" s="20"/>
      <c r="C694" s="20"/>
      <c r="D694" s="38"/>
      <c r="E694" s="38"/>
      <c r="F694" s="38"/>
      <c r="G694" s="38"/>
      <c r="H694" s="39"/>
      <c r="I694" s="39"/>
      <c r="J694" s="40"/>
      <c r="K694" s="40"/>
      <c r="L694" s="40"/>
      <c r="M694" s="40"/>
      <c r="N694" s="41"/>
      <c r="O694" s="20"/>
      <c r="P694" s="20"/>
      <c r="Q694" s="21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ht="15.75" customHeight="1">
      <c r="A695" s="20"/>
      <c r="B695" s="20"/>
      <c r="C695" s="20"/>
      <c r="D695" s="38"/>
      <c r="E695" s="38"/>
      <c r="F695" s="38"/>
      <c r="G695" s="38"/>
      <c r="H695" s="39"/>
      <c r="I695" s="39"/>
      <c r="J695" s="40"/>
      <c r="K695" s="40"/>
      <c r="L695" s="40"/>
      <c r="M695" s="40"/>
      <c r="N695" s="41"/>
      <c r="O695" s="20"/>
      <c r="P695" s="20"/>
      <c r="Q695" s="21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ht="15.75" customHeight="1">
      <c r="A696" s="20"/>
      <c r="B696" s="20"/>
      <c r="C696" s="20"/>
      <c r="D696" s="38"/>
      <c r="E696" s="38"/>
      <c r="F696" s="38"/>
      <c r="G696" s="38"/>
      <c r="H696" s="39"/>
      <c r="I696" s="39"/>
      <c r="J696" s="40"/>
      <c r="K696" s="40"/>
      <c r="L696" s="40"/>
      <c r="M696" s="40"/>
      <c r="N696" s="41"/>
      <c r="O696" s="20"/>
      <c r="P696" s="20"/>
      <c r="Q696" s="21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ht="15.75" customHeight="1">
      <c r="A697" s="20"/>
      <c r="B697" s="20"/>
      <c r="C697" s="20"/>
      <c r="D697" s="38"/>
      <c r="E697" s="38"/>
      <c r="F697" s="38"/>
      <c r="G697" s="38"/>
      <c r="H697" s="39"/>
      <c r="I697" s="39"/>
      <c r="J697" s="40"/>
      <c r="K697" s="40"/>
      <c r="L697" s="40"/>
      <c r="M697" s="40"/>
      <c r="N697" s="41"/>
      <c r="O697" s="20"/>
      <c r="P697" s="20"/>
      <c r="Q697" s="21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ht="15.75" customHeight="1">
      <c r="A698" s="20"/>
      <c r="B698" s="20"/>
      <c r="C698" s="20"/>
      <c r="D698" s="38"/>
      <c r="E698" s="38"/>
      <c r="F698" s="38"/>
      <c r="G698" s="38"/>
      <c r="H698" s="39"/>
      <c r="I698" s="39"/>
      <c r="J698" s="40"/>
      <c r="K698" s="40"/>
      <c r="L698" s="40"/>
      <c r="M698" s="40"/>
      <c r="N698" s="41"/>
      <c r="O698" s="20"/>
      <c r="P698" s="20"/>
      <c r="Q698" s="21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ht="15.75" customHeight="1">
      <c r="A699" s="20"/>
      <c r="B699" s="20"/>
      <c r="C699" s="20"/>
      <c r="D699" s="38"/>
      <c r="E699" s="38"/>
      <c r="F699" s="38"/>
      <c r="G699" s="38"/>
      <c r="H699" s="39"/>
      <c r="I699" s="39"/>
      <c r="J699" s="40"/>
      <c r="K699" s="40"/>
      <c r="L699" s="40"/>
      <c r="M699" s="40"/>
      <c r="N699" s="41"/>
      <c r="O699" s="20"/>
      <c r="P699" s="20"/>
      <c r="Q699" s="21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ht="15.75" customHeight="1">
      <c r="A700" s="20"/>
      <c r="B700" s="20"/>
      <c r="C700" s="20"/>
      <c r="D700" s="38"/>
      <c r="E700" s="38"/>
      <c r="F700" s="38"/>
      <c r="G700" s="38"/>
      <c r="H700" s="39"/>
      <c r="I700" s="39"/>
      <c r="J700" s="40"/>
      <c r="K700" s="40"/>
      <c r="L700" s="40"/>
      <c r="M700" s="40"/>
      <c r="N700" s="41"/>
      <c r="O700" s="20"/>
      <c r="P700" s="20"/>
      <c r="Q700" s="21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ht="15.75" customHeight="1">
      <c r="A701" s="20"/>
      <c r="B701" s="20"/>
      <c r="C701" s="20"/>
      <c r="D701" s="38"/>
      <c r="E701" s="38"/>
      <c r="F701" s="38"/>
      <c r="G701" s="38"/>
      <c r="H701" s="39"/>
      <c r="I701" s="39"/>
      <c r="J701" s="40"/>
      <c r="K701" s="40"/>
      <c r="L701" s="40"/>
      <c r="M701" s="40"/>
      <c r="N701" s="41"/>
      <c r="O701" s="20"/>
      <c r="P701" s="20"/>
      <c r="Q701" s="21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ht="15.75" customHeight="1">
      <c r="A702" s="20"/>
      <c r="B702" s="20"/>
      <c r="C702" s="20"/>
      <c r="D702" s="38"/>
      <c r="E702" s="38"/>
      <c r="F702" s="38"/>
      <c r="G702" s="38"/>
      <c r="H702" s="39"/>
      <c r="I702" s="39"/>
      <c r="J702" s="40"/>
      <c r="K702" s="40"/>
      <c r="L702" s="40"/>
      <c r="M702" s="40"/>
      <c r="N702" s="41"/>
      <c r="O702" s="20"/>
      <c r="P702" s="20"/>
      <c r="Q702" s="21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ht="15.75" customHeight="1">
      <c r="A703" s="20"/>
      <c r="B703" s="20"/>
      <c r="C703" s="20"/>
      <c r="D703" s="38"/>
      <c r="E703" s="38"/>
      <c r="F703" s="38"/>
      <c r="G703" s="38"/>
      <c r="H703" s="39"/>
      <c r="I703" s="39"/>
      <c r="J703" s="40"/>
      <c r="K703" s="40"/>
      <c r="L703" s="40"/>
      <c r="M703" s="40"/>
      <c r="N703" s="41"/>
      <c r="O703" s="20"/>
      <c r="P703" s="20"/>
      <c r="Q703" s="21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ht="15.75" customHeight="1">
      <c r="A704" s="20"/>
      <c r="B704" s="20"/>
      <c r="C704" s="20"/>
      <c r="D704" s="38"/>
      <c r="E704" s="38"/>
      <c r="F704" s="38"/>
      <c r="G704" s="38"/>
      <c r="H704" s="39"/>
      <c r="I704" s="39"/>
      <c r="J704" s="40"/>
      <c r="K704" s="40"/>
      <c r="L704" s="40"/>
      <c r="M704" s="40"/>
      <c r="N704" s="41"/>
      <c r="O704" s="20"/>
      <c r="P704" s="20"/>
      <c r="Q704" s="21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ht="15.75" customHeight="1">
      <c r="A705" s="20"/>
      <c r="B705" s="20"/>
      <c r="C705" s="20"/>
      <c r="D705" s="38"/>
      <c r="E705" s="38"/>
      <c r="F705" s="38"/>
      <c r="G705" s="38"/>
      <c r="H705" s="39"/>
      <c r="I705" s="39"/>
      <c r="J705" s="40"/>
      <c r="K705" s="40"/>
      <c r="L705" s="40"/>
      <c r="M705" s="40"/>
      <c r="N705" s="41"/>
      <c r="O705" s="20"/>
      <c r="P705" s="20"/>
      <c r="Q705" s="21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ht="15.75" customHeight="1">
      <c r="A706" s="20"/>
      <c r="B706" s="20"/>
      <c r="C706" s="20"/>
      <c r="D706" s="38"/>
      <c r="E706" s="38"/>
      <c r="F706" s="38"/>
      <c r="G706" s="38"/>
      <c r="H706" s="39"/>
      <c r="I706" s="39"/>
      <c r="J706" s="40"/>
      <c r="K706" s="40"/>
      <c r="L706" s="40"/>
      <c r="M706" s="40"/>
      <c r="N706" s="41"/>
      <c r="O706" s="20"/>
      <c r="P706" s="20"/>
      <c r="Q706" s="21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ht="15.75" customHeight="1">
      <c r="A707" s="20"/>
      <c r="B707" s="20"/>
      <c r="C707" s="20"/>
      <c r="D707" s="38"/>
      <c r="E707" s="38"/>
      <c r="F707" s="38"/>
      <c r="G707" s="38"/>
      <c r="H707" s="39"/>
      <c r="I707" s="39"/>
      <c r="J707" s="40"/>
      <c r="K707" s="40"/>
      <c r="L707" s="40"/>
      <c r="M707" s="40"/>
      <c r="N707" s="41"/>
      <c r="O707" s="20"/>
      <c r="P707" s="20"/>
      <c r="Q707" s="21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ht="15.75" customHeight="1">
      <c r="A708" s="20"/>
      <c r="B708" s="20"/>
      <c r="C708" s="20"/>
      <c r="D708" s="38"/>
      <c r="E708" s="38"/>
      <c r="F708" s="38"/>
      <c r="G708" s="38"/>
      <c r="H708" s="39"/>
      <c r="I708" s="39"/>
      <c r="J708" s="40"/>
      <c r="K708" s="40"/>
      <c r="L708" s="40"/>
      <c r="M708" s="40"/>
      <c r="N708" s="41"/>
      <c r="O708" s="20"/>
      <c r="P708" s="20"/>
      <c r="Q708" s="21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ht="15.75" customHeight="1">
      <c r="A709" s="20"/>
      <c r="B709" s="20"/>
      <c r="C709" s="20"/>
      <c r="D709" s="38"/>
      <c r="E709" s="38"/>
      <c r="F709" s="38"/>
      <c r="G709" s="38"/>
      <c r="H709" s="39"/>
      <c r="I709" s="39"/>
      <c r="J709" s="40"/>
      <c r="K709" s="40"/>
      <c r="L709" s="40"/>
      <c r="M709" s="40"/>
      <c r="N709" s="41"/>
      <c r="O709" s="20"/>
      <c r="P709" s="20"/>
      <c r="Q709" s="21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ht="15.75" customHeight="1">
      <c r="A710" s="20"/>
      <c r="B710" s="20"/>
      <c r="C710" s="20"/>
      <c r="D710" s="38"/>
      <c r="E710" s="38"/>
      <c r="F710" s="38"/>
      <c r="G710" s="38"/>
      <c r="H710" s="39"/>
      <c r="I710" s="39"/>
      <c r="J710" s="40"/>
      <c r="K710" s="40"/>
      <c r="L710" s="40"/>
      <c r="M710" s="40"/>
      <c r="N710" s="41"/>
      <c r="O710" s="20"/>
      <c r="P710" s="20"/>
      <c r="Q710" s="21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ht="15.75" customHeight="1">
      <c r="A711" s="20"/>
      <c r="B711" s="20"/>
      <c r="C711" s="20"/>
      <c r="D711" s="38"/>
      <c r="E711" s="38"/>
      <c r="F711" s="38"/>
      <c r="G711" s="38"/>
      <c r="H711" s="39"/>
      <c r="I711" s="39"/>
      <c r="J711" s="40"/>
      <c r="K711" s="40"/>
      <c r="L711" s="40"/>
      <c r="M711" s="40"/>
      <c r="N711" s="41"/>
      <c r="O711" s="20"/>
      <c r="P711" s="20"/>
      <c r="Q711" s="21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ht="15.75" customHeight="1">
      <c r="A712" s="20"/>
      <c r="B712" s="20"/>
      <c r="C712" s="20"/>
      <c r="D712" s="38"/>
      <c r="E712" s="38"/>
      <c r="F712" s="38"/>
      <c r="G712" s="38"/>
      <c r="H712" s="39"/>
      <c r="I712" s="39"/>
      <c r="J712" s="40"/>
      <c r="K712" s="40"/>
      <c r="L712" s="40"/>
      <c r="M712" s="40"/>
      <c r="N712" s="41"/>
      <c r="O712" s="20"/>
      <c r="P712" s="20"/>
      <c r="Q712" s="21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ht="15.75" customHeight="1">
      <c r="A713" s="20"/>
      <c r="B713" s="20"/>
      <c r="C713" s="20"/>
      <c r="D713" s="38"/>
      <c r="E713" s="38"/>
      <c r="F713" s="38"/>
      <c r="G713" s="38"/>
      <c r="H713" s="39"/>
      <c r="I713" s="39"/>
      <c r="J713" s="40"/>
      <c r="K713" s="40"/>
      <c r="L713" s="40"/>
      <c r="M713" s="40"/>
      <c r="N713" s="41"/>
      <c r="O713" s="20"/>
      <c r="P713" s="20"/>
      <c r="Q713" s="21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ht="15.75" customHeight="1">
      <c r="A714" s="20"/>
      <c r="B714" s="20"/>
      <c r="C714" s="20"/>
      <c r="D714" s="38"/>
      <c r="E714" s="38"/>
      <c r="F714" s="38"/>
      <c r="G714" s="38"/>
      <c r="H714" s="39"/>
      <c r="I714" s="39"/>
      <c r="J714" s="40"/>
      <c r="K714" s="40"/>
      <c r="L714" s="40"/>
      <c r="M714" s="40"/>
      <c r="N714" s="41"/>
      <c r="O714" s="20"/>
      <c r="P714" s="20"/>
      <c r="Q714" s="21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ht="15.75" customHeight="1">
      <c r="A715" s="20"/>
      <c r="B715" s="20"/>
      <c r="C715" s="20"/>
      <c r="D715" s="38"/>
      <c r="E715" s="38"/>
      <c r="F715" s="38"/>
      <c r="G715" s="38"/>
      <c r="H715" s="39"/>
      <c r="I715" s="39"/>
      <c r="J715" s="40"/>
      <c r="K715" s="40"/>
      <c r="L715" s="40"/>
      <c r="M715" s="40"/>
      <c r="N715" s="41"/>
      <c r="O715" s="20"/>
      <c r="P715" s="20"/>
      <c r="Q715" s="21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ht="15.75" customHeight="1">
      <c r="A716" s="20"/>
      <c r="B716" s="20"/>
      <c r="C716" s="20"/>
      <c r="D716" s="38"/>
      <c r="E716" s="38"/>
      <c r="F716" s="38"/>
      <c r="G716" s="38"/>
      <c r="H716" s="39"/>
      <c r="I716" s="39"/>
      <c r="J716" s="40"/>
      <c r="K716" s="40"/>
      <c r="L716" s="40"/>
      <c r="M716" s="40"/>
      <c r="N716" s="41"/>
      <c r="O716" s="20"/>
      <c r="P716" s="20"/>
      <c r="Q716" s="21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ht="15.75" customHeight="1">
      <c r="A717" s="20"/>
      <c r="B717" s="20"/>
      <c r="C717" s="20"/>
      <c r="D717" s="38"/>
      <c r="E717" s="38"/>
      <c r="F717" s="38"/>
      <c r="G717" s="38"/>
      <c r="H717" s="39"/>
      <c r="I717" s="39"/>
      <c r="J717" s="40"/>
      <c r="K717" s="40"/>
      <c r="L717" s="40"/>
      <c r="M717" s="40"/>
      <c r="N717" s="41"/>
      <c r="O717" s="20"/>
      <c r="P717" s="20"/>
      <c r="Q717" s="21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ht="15.75" customHeight="1">
      <c r="A718" s="20"/>
      <c r="B718" s="20"/>
      <c r="C718" s="20"/>
      <c r="D718" s="38"/>
      <c r="E718" s="38"/>
      <c r="F718" s="38"/>
      <c r="G718" s="38"/>
      <c r="H718" s="39"/>
      <c r="I718" s="39"/>
      <c r="J718" s="40"/>
      <c r="K718" s="40"/>
      <c r="L718" s="40"/>
      <c r="M718" s="40"/>
      <c r="N718" s="41"/>
      <c r="O718" s="20"/>
      <c r="P718" s="20"/>
      <c r="Q718" s="21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ht="15.75" customHeight="1">
      <c r="A719" s="20"/>
      <c r="B719" s="20"/>
      <c r="C719" s="20"/>
      <c r="D719" s="38"/>
      <c r="E719" s="38"/>
      <c r="F719" s="38"/>
      <c r="G719" s="38"/>
      <c r="H719" s="39"/>
      <c r="I719" s="39"/>
      <c r="J719" s="40"/>
      <c r="K719" s="40"/>
      <c r="L719" s="40"/>
      <c r="M719" s="40"/>
      <c r="N719" s="41"/>
      <c r="O719" s="20"/>
      <c r="P719" s="20"/>
      <c r="Q719" s="21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ht="15.75" customHeight="1">
      <c r="A720" s="20"/>
      <c r="B720" s="20"/>
      <c r="C720" s="20"/>
      <c r="D720" s="38"/>
      <c r="E720" s="38"/>
      <c r="F720" s="38"/>
      <c r="G720" s="38"/>
      <c r="H720" s="39"/>
      <c r="I720" s="39"/>
      <c r="J720" s="40"/>
      <c r="K720" s="40"/>
      <c r="L720" s="40"/>
      <c r="M720" s="40"/>
      <c r="N720" s="41"/>
      <c r="O720" s="20"/>
      <c r="P720" s="20"/>
      <c r="Q720" s="21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ht="15.75" customHeight="1">
      <c r="A721" s="20"/>
      <c r="B721" s="20"/>
      <c r="C721" s="20"/>
      <c r="D721" s="38"/>
      <c r="E721" s="38"/>
      <c r="F721" s="38"/>
      <c r="G721" s="38"/>
      <c r="H721" s="39"/>
      <c r="I721" s="39"/>
      <c r="J721" s="40"/>
      <c r="K721" s="40"/>
      <c r="L721" s="40"/>
      <c r="M721" s="40"/>
      <c r="N721" s="41"/>
      <c r="O721" s="20"/>
      <c r="P721" s="20"/>
      <c r="Q721" s="21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ht="15.75" customHeight="1">
      <c r="A722" s="20"/>
      <c r="B722" s="20"/>
      <c r="C722" s="20"/>
      <c r="D722" s="38"/>
      <c r="E722" s="38"/>
      <c r="F722" s="38"/>
      <c r="G722" s="38"/>
      <c r="H722" s="39"/>
      <c r="I722" s="39"/>
      <c r="J722" s="40"/>
      <c r="K722" s="40"/>
      <c r="L722" s="40"/>
      <c r="M722" s="40"/>
      <c r="N722" s="41"/>
      <c r="O722" s="20"/>
      <c r="P722" s="20"/>
      <c r="Q722" s="21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ht="15.75" customHeight="1">
      <c r="A723" s="20"/>
      <c r="B723" s="20"/>
      <c r="C723" s="20"/>
      <c r="D723" s="38"/>
      <c r="E723" s="38"/>
      <c r="F723" s="38"/>
      <c r="G723" s="38"/>
      <c r="H723" s="39"/>
      <c r="I723" s="39"/>
      <c r="J723" s="40"/>
      <c r="K723" s="40"/>
      <c r="L723" s="40"/>
      <c r="M723" s="40"/>
      <c r="N723" s="41"/>
      <c r="O723" s="20"/>
      <c r="P723" s="20"/>
      <c r="Q723" s="21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ht="15.75" customHeight="1">
      <c r="A724" s="20"/>
      <c r="B724" s="20"/>
      <c r="C724" s="20"/>
      <c r="D724" s="38"/>
      <c r="E724" s="38"/>
      <c r="F724" s="38"/>
      <c r="G724" s="38"/>
      <c r="H724" s="39"/>
      <c r="I724" s="39"/>
      <c r="J724" s="40"/>
      <c r="K724" s="40"/>
      <c r="L724" s="40"/>
      <c r="M724" s="40"/>
      <c r="N724" s="41"/>
      <c r="O724" s="20"/>
      <c r="P724" s="20"/>
      <c r="Q724" s="21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ht="15.75" customHeight="1">
      <c r="A725" s="20"/>
      <c r="B725" s="20"/>
      <c r="C725" s="20"/>
      <c r="D725" s="38"/>
      <c r="E725" s="38"/>
      <c r="F725" s="38"/>
      <c r="G725" s="38"/>
      <c r="H725" s="39"/>
      <c r="I725" s="39"/>
      <c r="J725" s="40"/>
      <c r="K725" s="40"/>
      <c r="L725" s="40"/>
      <c r="M725" s="40"/>
      <c r="N725" s="41"/>
      <c r="O725" s="20"/>
      <c r="P725" s="20"/>
      <c r="Q725" s="21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ht="15.75" customHeight="1">
      <c r="A726" s="20"/>
      <c r="B726" s="20"/>
      <c r="C726" s="20"/>
      <c r="D726" s="38"/>
      <c r="E726" s="38"/>
      <c r="F726" s="38"/>
      <c r="G726" s="38"/>
      <c r="H726" s="39"/>
      <c r="I726" s="39"/>
      <c r="J726" s="40"/>
      <c r="K726" s="40"/>
      <c r="L726" s="40"/>
      <c r="M726" s="40"/>
      <c r="N726" s="41"/>
      <c r="O726" s="20"/>
      <c r="P726" s="20"/>
      <c r="Q726" s="21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ht="15.75" customHeight="1">
      <c r="A727" s="20"/>
      <c r="B727" s="20"/>
      <c r="C727" s="20"/>
      <c r="D727" s="38"/>
      <c r="E727" s="38"/>
      <c r="F727" s="38"/>
      <c r="G727" s="38"/>
      <c r="H727" s="39"/>
      <c r="I727" s="39"/>
      <c r="J727" s="40"/>
      <c r="K727" s="40"/>
      <c r="L727" s="40"/>
      <c r="M727" s="40"/>
      <c r="N727" s="41"/>
      <c r="O727" s="20"/>
      <c r="P727" s="20"/>
      <c r="Q727" s="21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ht="15.75" customHeight="1">
      <c r="A728" s="20"/>
      <c r="B728" s="20"/>
      <c r="C728" s="20"/>
      <c r="D728" s="38"/>
      <c r="E728" s="38"/>
      <c r="F728" s="38"/>
      <c r="G728" s="38"/>
      <c r="H728" s="39"/>
      <c r="I728" s="39"/>
      <c r="J728" s="40"/>
      <c r="K728" s="40"/>
      <c r="L728" s="40"/>
      <c r="M728" s="40"/>
      <c r="N728" s="41"/>
      <c r="O728" s="20"/>
      <c r="P728" s="20"/>
      <c r="Q728" s="21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ht="15.75" customHeight="1">
      <c r="A729" s="20"/>
      <c r="B729" s="20"/>
      <c r="C729" s="20"/>
      <c r="D729" s="38"/>
      <c r="E729" s="38"/>
      <c r="F729" s="38"/>
      <c r="G729" s="38"/>
      <c r="H729" s="39"/>
      <c r="I729" s="39"/>
      <c r="J729" s="40"/>
      <c r="K729" s="40"/>
      <c r="L729" s="40"/>
      <c r="M729" s="40"/>
      <c r="N729" s="41"/>
      <c r="O729" s="20"/>
      <c r="P729" s="20"/>
      <c r="Q729" s="21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ht="15.75" customHeight="1">
      <c r="A730" s="20"/>
      <c r="B730" s="20"/>
      <c r="C730" s="20"/>
      <c r="D730" s="38"/>
      <c r="E730" s="38"/>
      <c r="F730" s="38"/>
      <c r="G730" s="38"/>
      <c r="H730" s="39"/>
      <c r="I730" s="39"/>
      <c r="J730" s="40"/>
      <c r="K730" s="40"/>
      <c r="L730" s="40"/>
      <c r="M730" s="40"/>
      <c r="N730" s="41"/>
      <c r="O730" s="20"/>
      <c r="P730" s="20"/>
      <c r="Q730" s="21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ht="15.75" customHeight="1">
      <c r="A731" s="20"/>
      <c r="B731" s="20"/>
      <c r="C731" s="20"/>
      <c r="D731" s="38"/>
      <c r="E731" s="38"/>
      <c r="F731" s="38"/>
      <c r="G731" s="38"/>
      <c r="H731" s="39"/>
      <c r="I731" s="39"/>
      <c r="J731" s="40"/>
      <c r="K731" s="40"/>
      <c r="L731" s="40"/>
      <c r="M731" s="40"/>
      <c r="N731" s="41"/>
      <c r="O731" s="20"/>
      <c r="P731" s="20"/>
      <c r="Q731" s="21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ht="15.75" customHeight="1">
      <c r="A732" s="20"/>
      <c r="B732" s="20"/>
      <c r="C732" s="20"/>
      <c r="D732" s="38"/>
      <c r="E732" s="38"/>
      <c r="F732" s="38"/>
      <c r="G732" s="38"/>
      <c r="H732" s="39"/>
      <c r="I732" s="39"/>
      <c r="J732" s="40"/>
      <c r="K732" s="40"/>
      <c r="L732" s="40"/>
      <c r="M732" s="40"/>
      <c r="N732" s="41"/>
      <c r="O732" s="20"/>
      <c r="P732" s="20"/>
      <c r="Q732" s="21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ht="15.75" customHeight="1">
      <c r="A733" s="20"/>
      <c r="B733" s="20"/>
      <c r="C733" s="20"/>
      <c r="D733" s="38"/>
      <c r="E733" s="38"/>
      <c r="F733" s="38"/>
      <c r="G733" s="38"/>
      <c r="H733" s="39"/>
      <c r="I733" s="39"/>
      <c r="J733" s="40"/>
      <c r="K733" s="40"/>
      <c r="L733" s="40"/>
      <c r="M733" s="40"/>
      <c r="N733" s="41"/>
      <c r="O733" s="20"/>
      <c r="P733" s="20"/>
      <c r="Q733" s="21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ht="15.75" customHeight="1">
      <c r="A734" s="20"/>
      <c r="B734" s="20"/>
      <c r="C734" s="20"/>
      <c r="D734" s="38"/>
      <c r="E734" s="38"/>
      <c r="F734" s="38"/>
      <c r="G734" s="38"/>
      <c r="H734" s="39"/>
      <c r="I734" s="39"/>
      <c r="J734" s="40"/>
      <c r="K734" s="40"/>
      <c r="L734" s="40"/>
      <c r="M734" s="40"/>
      <c r="N734" s="41"/>
      <c r="O734" s="20"/>
      <c r="P734" s="20"/>
      <c r="Q734" s="21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ht="15.75" customHeight="1">
      <c r="A735" s="20"/>
      <c r="B735" s="20"/>
      <c r="C735" s="20"/>
      <c r="D735" s="38"/>
      <c r="E735" s="38"/>
      <c r="F735" s="38"/>
      <c r="G735" s="38"/>
      <c r="H735" s="39"/>
      <c r="I735" s="39"/>
      <c r="J735" s="40"/>
      <c r="K735" s="40"/>
      <c r="L735" s="40"/>
      <c r="M735" s="40"/>
      <c r="N735" s="41"/>
      <c r="O735" s="20"/>
      <c r="P735" s="20"/>
      <c r="Q735" s="21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ht="15.75" customHeight="1">
      <c r="A736" s="20"/>
      <c r="B736" s="20"/>
      <c r="C736" s="20"/>
      <c r="D736" s="38"/>
      <c r="E736" s="38"/>
      <c r="F736" s="38"/>
      <c r="G736" s="38"/>
      <c r="H736" s="39"/>
      <c r="I736" s="39"/>
      <c r="J736" s="40"/>
      <c r="K736" s="40"/>
      <c r="L736" s="40"/>
      <c r="M736" s="40"/>
      <c r="N736" s="41"/>
      <c r="O736" s="20"/>
      <c r="P736" s="20"/>
      <c r="Q736" s="21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ht="15.75" customHeight="1">
      <c r="A737" s="20"/>
      <c r="B737" s="20"/>
      <c r="C737" s="20"/>
      <c r="D737" s="38"/>
      <c r="E737" s="38"/>
      <c r="F737" s="38"/>
      <c r="G737" s="38"/>
      <c r="H737" s="39"/>
      <c r="I737" s="39"/>
      <c r="J737" s="40"/>
      <c r="K737" s="40"/>
      <c r="L737" s="40"/>
      <c r="M737" s="40"/>
      <c r="N737" s="41"/>
      <c r="O737" s="20"/>
      <c r="P737" s="20"/>
      <c r="Q737" s="21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ht="15.75" customHeight="1">
      <c r="A738" s="20"/>
      <c r="B738" s="20"/>
      <c r="C738" s="20"/>
      <c r="D738" s="38"/>
      <c r="E738" s="38"/>
      <c r="F738" s="38"/>
      <c r="G738" s="38"/>
      <c r="H738" s="39"/>
      <c r="I738" s="39"/>
      <c r="J738" s="40"/>
      <c r="K738" s="40"/>
      <c r="L738" s="40"/>
      <c r="M738" s="40"/>
      <c r="N738" s="41"/>
      <c r="O738" s="20"/>
      <c r="P738" s="20"/>
      <c r="Q738" s="21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ht="15.75" customHeight="1">
      <c r="A739" s="20"/>
      <c r="B739" s="20"/>
      <c r="C739" s="20"/>
      <c r="D739" s="38"/>
      <c r="E739" s="38"/>
      <c r="F739" s="38"/>
      <c r="G739" s="38"/>
      <c r="H739" s="39"/>
      <c r="I739" s="39"/>
      <c r="J739" s="40"/>
      <c r="K739" s="40"/>
      <c r="L739" s="40"/>
      <c r="M739" s="40"/>
      <c r="N739" s="41"/>
      <c r="O739" s="20"/>
      <c r="P739" s="20"/>
      <c r="Q739" s="21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ht="15.75" customHeight="1">
      <c r="A740" s="20"/>
      <c r="B740" s="20"/>
      <c r="C740" s="20"/>
      <c r="D740" s="38"/>
      <c r="E740" s="38"/>
      <c r="F740" s="38"/>
      <c r="G740" s="38"/>
      <c r="H740" s="39"/>
      <c r="I740" s="39"/>
      <c r="J740" s="40"/>
      <c r="K740" s="40"/>
      <c r="L740" s="40"/>
      <c r="M740" s="40"/>
      <c r="N740" s="41"/>
      <c r="O740" s="20"/>
      <c r="P740" s="20"/>
      <c r="Q740" s="21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ht="15.75" customHeight="1">
      <c r="A741" s="20"/>
      <c r="B741" s="20"/>
      <c r="C741" s="20"/>
      <c r="D741" s="38"/>
      <c r="E741" s="38"/>
      <c r="F741" s="38"/>
      <c r="G741" s="38"/>
      <c r="H741" s="39"/>
      <c r="I741" s="39"/>
      <c r="J741" s="40"/>
      <c r="K741" s="40"/>
      <c r="L741" s="40"/>
      <c r="M741" s="40"/>
      <c r="N741" s="41"/>
      <c r="O741" s="20"/>
      <c r="P741" s="20"/>
      <c r="Q741" s="21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ht="15.75" customHeight="1">
      <c r="A742" s="20"/>
      <c r="B742" s="20"/>
      <c r="C742" s="20"/>
      <c r="D742" s="38"/>
      <c r="E742" s="38"/>
      <c r="F742" s="38"/>
      <c r="G742" s="38"/>
      <c r="H742" s="39"/>
      <c r="I742" s="39"/>
      <c r="J742" s="40"/>
      <c r="K742" s="40"/>
      <c r="L742" s="40"/>
      <c r="M742" s="40"/>
      <c r="N742" s="41"/>
      <c r="O742" s="20"/>
      <c r="P742" s="20"/>
      <c r="Q742" s="21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ht="15.75" customHeight="1">
      <c r="A743" s="20"/>
      <c r="B743" s="20"/>
      <c r="C743" s="20"/>
      <c r="D743" s="38"/>
      <c r="E743" s="38"/>
      <c r="F743" s="38"/>
      <c r="G743" s="38"/>
      <c r="H743" s="39"/>
      <c r="I743" s="39"/>
      <c r="J743" s="40"/>
      <c r="K743" s="40"/>
      <c r="L743" s="40"/>
      <c r="M743" s="40"/>
      <c r="N743" s="41"/>
      <c r="O743" s="20"/>
      <c r="P743" s="20"/>
      <c r="Q743" s="21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ht="15.75" customHeight="1">
      <c r="A744" s="20"/>
      <c r="B744" s="20"/>
      <c r="C744" s="20"/>
      <c r="D744" s="38"/>
      <c r="E744" s="38"/>
      <c r="F744" s="38"/>
      <c r="G744" s="38"/>
      <c r="H744" s="39"/>
      <c r="I744" s="39"/>
      <c r="J744" s="40"/>
      <c r="K744" s="40"/>
      <c r="L744" s="40"/>
      <c r="M744" s="40"/>
      <c r="N744" s="41"/>
      <c r="O744" s="20"/>
      <c r="P744" s="20"/>
      <c r="Q744" s="21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ht="15.75" customHeight="1">
      <c r="A745" s="20"/>
      <c r="B745" s="20"/>
      <c r="C745" s="20"/>
      <c r="D745" s="38"/>
      <c r="E745" s="38"/>
      <c r="F745" s="38"/>
      <c r="G745" s="38"/>
      <c r="H745" s="39"/>
      <c r="I745" s="39"/>
      <c r="J745" s="40"/>
      <c r="K745" s="40"/>
      <c r="L745" s="40"/>
      <c r="M745" s="40"/>
      <c r="N745" s="41"/>
      <c r="O745" s="20"/>
      <c r="P745" s="20"/>
      <c r="Q745" s="21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ht="15.75" customHeight="1">
      <c r="A746" s="20"/>
      <c r="B746" s="20"/>
      <c r="C746" s="20"/>
      <c r="D746" s="38"/>
      <c r="E746" s="38"/>
      <c r="F746" s="38"/>
      <c r="G746" s="38"/>
      <c r="H746" s="39"/>
      <c r="I746" s="39"/>
      <c r="J746" s="40"/>
      <c r="K746" s="40"/>
      <c r="L746" s="40"/>
      <c r="M746" s="40"/>
      <c r="N746" s="41"/>
      <c r="O746" s="20"/>
      <c r="P746" s="20"/>
      <c r="Q746" s="21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ht="15.75" customHeight="1">
      <c r="A747" s="20"/>
      <c r="B747" s="20"/>
      <c r="C747" s="20"/>
      <c r="D747" s="38"/>
      <c r="E747" s="38"/>
      <c r="F747" s="38"/>
      <c r="G747" s="38"/>
      <c r="H747" s="39"/>
      <c r="I747" s="39"/>
      <c r="J747" s="40"/>
      <c r="K747" s="40"/>
      <c r="L747" s="40"/>
      <c r="M747" s="40"/>
      <c r="N747" s="41"/>
      <c r="O747" s="20"/>
      <c r="P747" s="20"/>
      <c r="Q747" s="21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ht="15.75" customHeight="1">
      <c r="A748" s="20"/>
      <c r="B748" s="20"/>
      <c r="C748" s="20"/>
      <c r="D748" s="38"/>
      <c r="E748" s="38"/>
      <c r="F748" s="38"/>
      <c r="G748" s="38"/>
      <c r="H748" s="39"/>
      <c r="I748" s="39"/>
      <c r="J748" s="40"/>
      <c r="K748" s="40"/>
      <c r="L748" s="40"/>
      <c r="M748" s="40"/>
      <c r="N748" s="41"/>
      <c r="O748" s="20"/>
      <c r="P748" s="20"/>
      <c r="Q748" s="21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ht="15.75" customHeight="1">
      <c r="A749" s="20"/>
      <c r="B749" s="20"/>
      <c r="C749" s="20"/>
      <c r="D749" s="38"/>
      <c r="E749" s="38"/>
      <c r="F749" s="38"/>
      <c r="G749" s="38"/>
      <c r="H749" s="39"/>
      <c r="I749" s="39"/>
      <c r="J749" s="40"/>
      <c r="K749" s="40"/>
      <c r="L749" s="40"/>
      <c r="M749" s="40"/>
      <c r="N749" s="41"/>
      <c r="O749" s="20"/>
      <c r="P749" s="20"/>
      <c r="Q749" s="21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ht="15.75" customHeight="1">
      <c r="A750" s="20"/>
      <c r="B750" s="20"/>
      <c r="C750" s="20"/>
      <c r="D750" s="38"/>
      <c r="E750" s="38"/>
      <c r="F750" s="38"/>
      <c r="G750" s="38"/>
      <c r="H750" s="39"/>
      <c r="I750" s="39"/>
      <c r="J750" s="40"/>
      <c r="K750" s="40"/>
      <c r="L750" s="40"/>
      <c r="M750" s="40"/>
      <c r="N750" s="41"/>
      <c r="O750" s="20"/>
      <c r="P750" s="20"/>
      <c r="Q750" s="21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ht="15.75" customHeight="1">
      <c r="A751" s="20"/>
      <c r="B751" s="20"/>
      <c r="C751" s="20"/>
      <c r="D751" s="38"/>
      <c r="E751" s="38"/>
      <c r="F751" s="38"/>
      <c r="G751" s="38"/>
      <c r="H751" s="39"/>
      <c r="I751" s="39"/>
      <c r="J751" s="40"/>
      <c r="K751" s="40"/>
      <c r="L751" s="40"/>
      <c r="M751" s="40"/>
      <c r="N751" s="41"/>
      <c r="O751" s="20"/>
      <c r="P751" s="20"/>
      <c r="Q751" s="21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ht="15.75" customHeight="1">
      <c r="A752" s="20"/>
      <c r="B752" s="20"/>
      <c r="C752" s="20"/>
      <c r="D752" s="38"/>
      <c r="E752" s="38"/>
      <c r="F752" s="38"/>
      <c r="G752" s="38"/>
      <c r="H752" s="39"/>
      <c r="I752" s="39"/>
      <c r="J752" s="40"/>
      <c r="K752" s="40"/>
      <c r="L752" s="40"/>
      <c r="M752" s="40"/>
      <c r="N752" s="41"/>
      <c r="O752" s="20"/>
      <c r="P752" s="20"/>
      <c r="Q752" s="21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ht="15.75" customHeight="1">
      <c r="A753" s="20"/>
      <c r="B753" s="20"/>
      <c r="C753" s="20"/>
      <c r="D753" s="38"/>
      <c r="E753" s="38"/>
      <c r="F753" s="38"/>
      <c r="G753" s="38"/>
      <c r="H753" s="39"/>
      <c r="I753" s="39"/>
      <c r="J753" s="40"/>
      <c r="K753" s="40"/>
      <c r="L753" s="40"/>
      <c r="M753" s="40"/>
      <c r="N753" s="41"/>
      <c r="O753" s="20"/>
      <c r="P753" s="20"/>
      <c r="Q753" s="21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ht="15.75" customHeight="1">
      <c r="A754" s="20"/>
      <c r="B754" s="20"/>
      <c r="C754" s="20"/>
      <c r="D754" s="38"/>
      <c r="E754" s="38"/>
      <c r="F754" s="38"/>
      <c r="G754" s="38"/>
      <c r="H754" s="39"/>
      <c r="I754" s="39"/>
      <c r="J754" s="40"/>
      <c r="K754" s="40"/>
      <c r="L754" s="40"/>
      <c r="M754" s="40"/>
      <c r="N754" s="41"/>
      <c r="O754" s="20"/>
      <c r="P754" s="20"/>
      <c r="Q754" s="21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ht="15.75" customHeight="1">
      <c r="A755" s="20"/>
      <c r="B755" s="20"/>
      <c r="C755" s="20"/>
      <c r="D755" s="38"/>
      <c r="E755" s="38"/>
      <c r="F755" s="38"/>
      <c r="G755" s="38"/>
      <c r="H755" s="39"/>
      <c r="I755" s="39"/>
      <c r="J755" s="40"/>
      <c r="K755" s="40"/>
      <c r="L755" s="40"/>
      <c r="M755" s="40"/>
      <c r="N755" s="41"/>
      <c r="O755" s="20"/>
      <c r="P755" s="20"/>
      <c r="Q755" s="21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ht="15.75" customHeight="1">
      <c r="A756" s="20"/>
      <c r="B756" s="20"/>
      <c r="C756" s="20"/>
      <c r="D756" s="38"/>
      <c r="E756" s="38"/>
      <c r="F756" s="38"/>
      <c r="G756" s="38"/>
      <c r="H756" s="39"/>
      <c r="I756" s="39"/>
      <c r="J756" s="40"/>
      <c r="K756" s="40"/>
      <c r="L756" s="40"/>
      <c r="M756" s="40"/>
      <c r="N756" s="41"/>
      <c r="O756" s="20"/>
      <c r="P756" s="20"/>
      <c r="Q756" s="21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ht="15.75" customHeight="1">
      <c r="A757" s="20"/>
      <c r="B757" s="20"/>
      <c r="C757" s="20"/>
      <c r="D757" s="38"/>
      <c r="E757" s="38"/>
      <c r="F757" s="38"/>
      <c r="G757" s="38"/>
      <c r="H757" s="39"/>
      <c r="I757" s="39"/>
      <c r="J757" s="40"/>
      <c r="K757" s="40"/>
      <c r="L757" s="40"/>
      <c r="M757" s="40"/>
      <c r="N757" s="41"/>
      <c r="O757" s="20"/>
      <c r="P757" s="20"/>
      <c r="Q757" s="21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ht="15.75" customHeight="1">
      <c r="A758" s="20"/>
      <c r="B758" s="20"/>
      <c r="C758" s="20"/>
      <c r="D758" s="38"/>
      <c r="E758" s="38"/>
      <c r="F758" s="38"/>
      <c r="G758" s="38"/>
      <c r="H758" s="39"/>
      <c r="I758" s="39"/>
      <c r="J758" s="40"/>
      <c r="K758" s="40"/>
      <c r="L758" s="40"/>
      <c r="M758" s="40"/>
      <c r="N758" s="41"/>
      <c r="O758" s="20"/>
      <c r="P758" s="20"/>
      <c r="Q758" s="21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ht="15.75" customHeight="1">
      <c r="A759" s="20"/>
      <c r="B759" s="20"/>
      <c r="C759" s="20"/>
      <c r="D759" s="38"/>
      <c r="E759" s="38"/>
      <c r="F759" s="38"/>
      <c r="G759" s="38"/>
      <c r="H759" s="39"/>
      <c r="I759" s="39"/>
      <c r="J759" s="40"/>
      <c r="K759" s="40"/>
      <c r="L759" s="40"/>
      <c r="M759" s="40"/>
      <c r="N759" s="41"/>
      <c r="O759" s="20"/>
      <c r="P759" s="20"/>
      <c r="Q759" s="21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ht="15.75" customHeight="1">
      <c r="A760" s="20"/>
      <c r="B760" s="20"/>
      <c r="C760" s="20"/>
      <c r="D760" s="38"/>
      <c r="E760" s="38"/>
      <c r="F760" s="38"/>
      <c r="G760" s="38"/>
      <c r="H760" s="39"/>
      <c r="I760" s="39"/>
      <c r="J760" s="40"/>
      <c r="K760" s="40"/>
      <c r="L760" s="40"/>
      <c r="M760" s="40"/>
      <c r="N760" s="41"/>
      <c r="O760" s="20"/>
      <c r="P760" s="20"/>
      <c r="Q760" s="21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ht="15.75" customHeight="1">
      <c r="A761" s="20"/>
      <c r="B761" s="20"/>
      <c r="C761" s="20"/>
      <c r="D761" s="38"/>
      <c r="E761" s="38"/>
      <c r="F761" s="38"/>
      <c r="G761" s="38"/>
      <c r="H761" s="39"/>
      <c r="I761" s="39"/>
      <c r="J761" s="40"/>
      <c r="K761" s="40"/>
      <c r="L761" s="40"/>
      <c r="M761" s="40"/>
      <c r="N761" s="41"/>
      <c r="O761" s="20"/>
      <c r="P761" s="20"/>
      <c r="Q761" s="21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ht="15.75" customHeight="1">
      <c r="A762" s="20"/>
      <c r="B762" s="20"/>
      <c r="C762" s="20"/>
      <c r="D762" s="38"/>
      <c r="E762" s="38"/>
      <c r="F762" s="38"/>
      <c r="G762" s="38"/>
      <c r="H762" s="39"/>
      <c r="I762" s="39"/>
      <c r="J762" s="40"/>
      <c r="K762" s="40"/>
      <c r="L762" s="40"/>
      <c r="M762" s="40"/>
      <c r="N762" s="41"/>
      <c r="O762" s="20"/>
      <c r="P762" s="20"/>
      <c r="Q762" s="21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ht="15.75" customHeight="1">
      <c r="A763" s="20"/>
      <c r="B763" s="20"/>
      <c r="C763" s="20"/>
      <c r="D763" s="38"/>
      <c r="E763" s="38"/>
      <c r="F763" s="38"/>
      <c r="G763" s="38"/>
      <c r="H763" s="39"/>
      <c r="I763" s="39"/>
      <c r="J763" s="40"/>
      <c r="K763" s="40"/>
      <c r="L763" s="40"/>
      <c r="M763" s="40"/>
      <c r="N763" s="41"/>
      <c r="O763" s="20"/>
      <c r="P763" s="20"/>
      <c r="Q763" s="21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ht="15.75" customHeight="1">
      <c r="A764" s="20"/>
      <c r="B764" s="20"/>
      <c r="C764" s="20"/>
      <c r="D764" s="38"/>
      <c r="E764" s="38"/>
      <c r="F764" s="38"/>
      <c r="G764" s="38"/>
      <c r="H764" s="39"/>
      <c r="I764" s="39"/>
      <c r="J764" s="40"/>
      <c r="K764" s="40"/>
      <c r="L764" s="40"/>
      <c r="M764" s="40"/>
      <c r="N764" s="41"/>
      <c r="O764" s="20"/>
      <c r="P764" s="20"/>
      <c r="Q764" s="21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ht="15.75" customHeight="1">
      <c r="A765" s="20"/>
      <c r="B765" s="20"/>
      <c r="C765" s="20"/>
      <c r="D765" s="38"/>
      <c r="E765" s="38"/>
      <c r="F765" s="38"/>
      <c r="G765" s="38"/>
      <c r="H765" s="39"/>
      <c r="I765" s="39"/>
      <c r="J765" s="40"/>
      <c r="K765" s="40"/>
      <c r="L765" s="40"/>
      <c r="M765" s="40"/>
      <c r="N765" s="41"/>
      <c r="O765" s="20"/>
      <c r="P765" s="20"/>
      <c r="Q765" s="21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ht="15.75" customHeight="1">
      <c r="A766" s="20"/>
      <c r="B766" s="20"/>
      <c r="C766" s="20"/>
      <c r="D766" s="38"/>
      <c r="E766" s="38"/>
      <c r="F766" s="38"/>
      <c r="G766" s="38"/>
      <c r="H766" s="39"/>
      <c r="I766" s="39"/>
      <c r="J766" s="40"/>
      <c r="K766" s="40"/>
      <c r="L766" s="40"/>
      <c r="M766" s="40"/>
      <c r="N766" s="41"/>
      <c r="O766" s="20"/>
      <c r="P766" s="20"/>
      <c r="Q766" s="21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ht="15.75" customHeight="1">
      <c r="A767" s="20"/>
      <c r="B767" s="20"/>
      <c r="C767" s="20"/>
      <c r="D767" s="38"/>
      <c r="E767" s="38"/>
      <c r="F767" s="38"/>
      <c r="G767" s="38"/>
      <c r="H767" s="39"/>
      <c r="I767" s="39"/>
      <c r="J767" s="40"/>
      <c r="K767" s="40"/>
      <c r="L767" s="40"/>
      <c r="M767" s="40"/>
      <c r="N767" s="41"/>
      <c r="O767" s="20"/>
      <c r="P767" s="20"/>
      <c r="Q767" s="21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ht="15.75" customHeight="1">
      <c r="A768" s="20"/>
      <c r="B768" s="20"/>
      <c r="C768" s="20"/>
      <c r="D768" s="38"/>
      <c r="E768" s="38"/>
      <c r="F768" s="38"/>
      <c r="G768" s="38"/>
      <c r="H768" s="39"/>
      <c r="I768" s="39"/>
      <c r="J768" s="40"/>
      <c r="K768" s="40"/>
      <c r="L768" s="40"/>
      <c r="M768" s="40"/>
      <c r="N768" s="41"/>
      <c r="O768" s="20"/>
      <c r="P768" s="20"/>
      <c r="Q768" s="21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ht="15.75" customHeight="1">
      <c r="A769" s="20"/>
      <c r="B769" s="20"/>
      <c r="C769" s="20"/>
      <c r="D769" s="38"/>
      <c r="E769" s="38"/>
      <c r="F769" s="38"/>
      <c r="G769" s="38"/>
      <c r="H769" s="39"/>
      <c r="I769" s="39"/>
      <c r="J769" s="40"/>
      <c r="K769" s="40"/>
      <c r="L769" s="40"/>
      <c r="M769" s="40"/>
      <c r="N769" s="41"/>
      <c r="O769" s="20"/>
      <c r="P769" s="20"/>
      <c r="Q769" s="21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ht="15.75" customHeight="1">
      <c r="A770" s="20"/>
      <c r="B770" s="20"/>
      <c r="C770" s="20"/>
      <c r="D770" s="38"/>
      <c r="E770" s="38"/>
      <c r="F770" s="38"/>
      <c r="G770" s="38"/>
      <c r="H770" s="39"/>
      <c r="I770" s="39"/>
      <c r="J770" s="40"/>
      <c r="K770" s="40"/>
      <c r="L770" s="40"/>
      <c r="M770" s="40"/>
      <c r="N770" s="41"/>
      <c r="O770" s="20"/>
      <c r="P770" s="20"/>
      <c r="Q770" s="21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ht="15.75" customHeight="1">
      <c r="A771" s="20"/>
      <c r="B771" s="20"/>
      <c r="C771" s="20"/>
      <c r="D771" s="38"/>
      <c r="E771" s="38"/>
      <c r="F771" s="38"/>
      <c r="G771" s="38"/>
      <c r="H771" s="39"/>
      <c r="I771" s="39"/>
      <c r="J771" s="40"/>
      <c r="K771" s="40"/>
      <c r="L771" s="40"/>
      <c r="M771" s="40"/>
      <c r="N771" s="41"/>
      <c r="O771" s="20"/>
      <c r="P771" s="20"/>
      <c r="Q771" s="21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ht="15.75" customHeight="1">
      <c r="A772" s="20"/>
      <c r="B772" s="20"/>
      <c r="C772" s="20"/>
      <c r="D772" s="38"/>
      <c r="E772" s="38"/>
      <c r="F772" s="38"/>
      <c r="G772" s="38"/>
      <c r="H772" s="39"/>
      <c r="I772" s="39"/>
      <c r="J772" s="40"/>
      <c r="K772" s="40"/>
      <c r="L772" s="40"/>
      <c r="M772" s="40"/>
      <c r="N772" s="41"/>
      <c r="O772" s="20"/>
      <c r="P772" s="20"/>
      <c r="Q772" s="21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ht="15.75" customHeight="1">
      <c r="A773" s="20"/>
      <c r="B773" s="20"/>
      <c r="C773" s="20"/>
      <c r="D773" s="38"/>
      <c r="E773" s="38"/>
      <c r="F773" s="38"/>
      <c r="G773" s="38"/>
      <c r="H773" s="39"/>
      <c r="I773" s="39"/>
      <c r="J773" s="40"/>
      <c r="K773" s="40"/>
      <c r="L773" s="40"/>
      <c r="M773" s="40"/>
      <c r="N773" s="41"/>
      <c r="O773" s="20"/>
      <c r="P773" s="20"/>
      <c r="Q773" s="21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ht="15.75" customHeight="1">
      <c r="A774" s="20"/>
      <c r="B774" s="20"/>
      <c r="C774" s="20"/>
      <c r="D774" s="38"/>
      <c r="E774" s="38"/>
      <c r="F774" s="38"/>
      <c r="G774" s="38"/>
      <c r="H774" s="39"/>
      <c r="I774" s="39"/>
      <c r="J774" s="40"/>
      <c r="K774" s="40"/>
      <c r="L774" s="40"/>
      <c r="M774" s="40"/>
      <c r="N774" s="41"/>
      <c r="O774" s="20"/>
      <c r="P774" s="20"/>
      <c r="Q774" s="21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ht="15.75" customHeight="1">
      <c r="A775" s="20"/>
      <c r="B775" s="20"/>
      <c r="C775" s="20"/>
      <c r="D775" s="38"/>
      <c r="E775" s="38"/>
      <c r="F775" s="38"/>
      <c r="G775" s="38"/>
      <c r="H775" s="39"/>
      <c r="I775" s="39"/>
      <c r="J775" s="40"/>
      <c r="K775" s="40"/>
      <c r="L775" s="40"/>
      <c r="M775" s="40"/>
      <c r="N775" s="41"/>
      <c r="O775" s="20"/>
      <c r="P775" s="20"/>
      <c r="Q775" s="21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ht="15.75" customHeight="1">
      <c r="A776" s="20"/>
      <c r="B776" s="20"/>
      <c r="C776" s="20"/>
      <c r="D776" s="38"/>
      <c r="E776" s="38"/>
      <c r="F776" s="38"/>
      <c r="G776" s="38"/>
      <c r="H776" s="39"/>
      <c r="I776" s="39"/>
      <c r="J776" s="40"/>
      <c r="K776" s="40"/>
      <c r="L776" s="40"/>
      <c r="M776" s="40"/>
      <c r="N776" s="41"/>
      <c r="O776" s="20"/>
      <c r="P776" s="20"/>
      <c r="Q776" s="21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ht="15.75" customHeight="1">
      <c r="A777" s="20"/>
      <c r="B777" s="20"/>
      <c r="C777" s="20"/>
      <c r="D777" s="38"/>
      <c r="E777" s="38"/>
      <c r="F777" s="38"/>
      <c r="G777" s="38"/>
      <c r="H777" s="39"/>
      <c r="I777" s="39"/>
      <c r="J777" s="40"/>
      <c r="K777" s="40"/>
      <c r="L777" s="40"/>
      <c r="M777" s="40"/>
      <c r="N777" s="41"/>
      <c r="O777" s="20"/>
      <c r="P777" s="20"/>
      <c r="Q777" s="21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ht="15.75" customHeight="1">
      <c r="A778" s="20"/>
      <c r="B778" s="20"/>
      <c r="C778" s="20"/>
      <c r="D778" s="38"/>
      <c r="E778" s="38"/>
      <c r="F778" s="38"/>
      <c r="G778" s="38"/>
      <c r="H778" s="39"/>
      <c r="I778" s="39"/>
      <c r="J778" s="40"/>
      <c r="K778" s="40"/>
      <c r="L778" s="40"/>
      <c r="M778" s="40"/>
      <c r="N778" s="41"/>
      <c r="O778" s="20"/>
      <c r="P778" s="20"/>
      <c r="Q778" s="21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ht="15.75" customHeight="1">
      <c r="A779" s="20"/>
      <c r="B779" s="20"/>
      <c r="C779" s="20"/>
      <c r="D779" s="38"/>
      <c r="E779" s="38"/>
      <c r="F779" s="38"/>
      <c r="G779" s="38"/>
      <c r="H779" s="39"/>
      <c r="I779" s="39"/>
      <c r="J779" s="40"/>
      <c r="K779" s="40"/>
      <c r="L779" s="40"/>
      <c r="M779" s="40"/>
      <c r="N779" s="41"/>
      <c r="O779" s="20"/>
      <c r="P779" s="20"/>
      <c r="Q779" s="21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ht="15.75" customHeight="1">
      <c r="A780" s="20"/>
      <c r="B780" s="20"/>
      <c r="C780" s="20"/>
      <c r="D780" s="38"/>
      <c r="E780" s="38"/>
      <c r="F780" s="38"/>
      <c r="G780" s="38"/>
      <c r="H780" s="39"/>
      <c r="I780" s="39"/>
      <c r="J780" s="40"/>
      <c r="K780" s="40"/>
      <c r="L780" s="40"/>
      <c r="M780" s="40"/>
      <c r="N780" s="41"/>
      <c r="O780" s="20"/>
      <c r="P780" s="20"/>
      <c r="Q780" s="21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ht="15.75" customHeight="1">
      <c r="A781" s="20"/>
      <c r="B781" s="20"/>
      <c r="C781" s="20"/>
      <c r="D781" s="38"/>
      <c r="E781" s="38"/>
      <c r="F781" s="38"/>
      <c r="G781" s="38"/>
      <c r="H781" s="39"/>
      <c r="I781" s="39"/>
      <c r="J781" s="40"/>
      <c r="K781" s="40"/>
      <c r="L781" s="40"/>
      <c r="M781" s="40"/>
      <c r="N781" s="41"/>
      <c r="O781" s="20"/>
      <c r="P781" s="20"/>
      <c r="Q781" s="21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ht="15.75" customHeight="1">
      <c r="A782" s="20"/>
      <c r="B782" s="20"/>
      <c r="C782" s="20"/>
      <c r="D782" s="38"/>
      <c r="E782" s="38"/>
      <c r="F782" s="38"/>
      <c r="G782" s="38"/>
      <c r="H782" s="39"/>
      <c r="I782" s="39"/>
      <c r="J782" s="40"/>
      <c r="K782" s="40"/>
      <c r="L782" s="40"/>
      <c r="M782" s="40"/>
      <c r="N782" s="41"/>
      <c r="O782" s="20"/>
      <c r="P782" s="20"/>
      <c r="Q782" s="21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ht="15.75" customHeight="1">
      <c r="A783" s="20"/>
      <c r="B783" s="20"/>
      <c r="C783" s="20"/>
      <c r="D783" s="38"/>
      <c r="E783" s="38"/>
      <c r="F783" s="38"/>
      <c r="G783" s="38"/>
      <c r="H783" s="39"/>
      <c r="I783" s="39"/>
      <c r="J783" s="40"/>
      <c r="K783" s="40"/>
      <c r="L783" s="40"/>
      <c r="M783" s="40"/>
      <c r="N783" s="41"/>
      <c r="O783" s="20"/>
      <c r="P783" s="20"/>
      <c r="Q783" s="21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ht="15.75" customHeight="1">
      <c r="A784" s="20"/>
      <c r="B784" s="20"/>
      <c r="C784" s="20"/>
      <c r="D784" s="38"/>
      <c r="E784" s="38"/>
      <c r="F784" s="38"/>
      <c r="G784" s="38"/>
      <c r="H784" s="39"/>
      <c r="I784" s="39"/>
      <c r="J784" s="40"/>
      <c r="K784" s="40"/>
      <c r="L784" s="40"/>
      <c r="M784" s="40"/>
      <c r="N784" s="41"/>
      <c r="O784" s="20"/>
      <c r="P784" s="20"/>
      <c r="Q784" s="21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ht="15.75" customHeight="1">
      <c r="A785" s="20"/>
      <c r="B785" s="20"/>
      <c r="C785" s="20"/>
      <c r="D785" s="38"/>
      <c r="E785" s="38"/>
      <c r="F785" s="38"/>
      <c r="G785" s="38"/>
      <c r="H785" s="39"/>
      <c r="I785" s="39"/>
      <c r="J785" s="40"/>
      <c r="K785" s="40"/>
      <c r="L785" s="40"/>
      <c r="M785" s="40"/>
      <c r="N785" s="41"/>
      <c r="O785" s="20"/>
      <c r="P785" s="20"/>
      <c r="Q785" s="21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ht="15.75" customHeight="1">
      <c r="A786" s="20"/>
      <c r="B786" s="20"/>
      <c r="C786" s="20"/>
      <c r="D786" s="38"/>
      <c r="E786" s="38"/>
      <c r="F786" s="38"/>
      <c r="G786" s="38"/>
      <c r="H786" s="39"/>
      <c r="I786" s="39"/>
      <c r="J786" s="40"/>
      <c r="K786" s="40"/>
      <c r="L786" s="40"/>
      <c r="M786" s="40"/>
      <c r="N786" s="41"/>
      <c r="O786" s="20"/>
      <c r="P786" s="20"/>
      <c r="Q786" s="21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ht="15.75" customHeight="1">
      <c r="A787" s="20"/>
      <c r="B787" s="20"/>
      <c r="C787" s="20"/>
      <c r="D787" s="38"/>
      <c r="E787" s="38"/>
      <c r="F787" s="38"/>
      <c r="G787" s="38"/>
      <c r="H787" s="39"/>
      <c r="I787" s="39"/>
      <c r="J787" s="40"/>
      <c r="K787" s="40"/>
      <c r="L787" s="40"/>
      <c r="M787" s="40"/>
      <c r="N787" s="41"/>
      <c r="O787" s="20"/>
      <c r="P787" s="20"/>
      <c r="Q787" s="21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ht="15.75" customHeight="1">
      <c r="A788" s="20"/>
      <c r="B788" s="20"/>
      <c r="C788" s="20"/>
      <c r="D788" s="38"/>
      <c r="E788" s="38"/>
      <c r="F788" s="38"/>
      <c r="G788" s="38"/>
      <c r="H788" s="39"/>
      <c r="I788" s="39"/>
      <c r="J788" s="40"/>
      <c r="K788" s="40"/>
      <c r="L788" s="40"/>
      <c r="M788" s="40"/>
      <c r="N788" s="41"/>
      <c r="O788" s="20"/>
      <c r="P788" s="20"/>
      <c r="Q788" s="21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ht="15.75" customHeight="1">
      <c r="A789" s="20"/>
      <c r="B789" s="20"/>
      <c r="C789" s="20"/>
      <c r="D789" s="38"/>
      <c r="E789" s="38"/>
      <c r="F789" s="38"/>
      <c r="G789" s="38"/>
      <c r="H789" s="39"/>
      <c r="I789" s="39"/>
      <c r="J789" s="40"/>
      <c r="K789" s="40"/>
      <c r="L789" s="40"/>
      <c r="M789" s="40"/>
      <c r="N789" s="41"/>
      <c r="O789" s="20"/>
      <c r="P789" s="20"/>
      <c r="Q789" s="21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ht="15.75" customHeight="1">
      <c r="A790" s="20"/>
      <c r="B790" s="20"/>
      <c r="C790" s="20"/>
      <c r="D790" s="38"/>
      <c r="E790" s="38"/>
      <c r="F790" s="38"/>
      <c r="G790" s="38"/>
      <c r="H790" s="39"/>
      <c r="I790" s="39"/>
      <c r="J790" s="40"/>
      <c r="K790" s="40"/>
      <c r="L790" s="40"/>
      <c r="M790" s="40"/>
      <c r="N790" s="41"/>
      <c r="O790" s="20"/>
      <c r="P790" s="20"/>
      <c r="Q790" s="21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ht="15.75" customHeight="1">
      <c r="A791" s="20"/>
      <c r="B791" s="20"/>
      <c r="C791" s="20"/>
      <c r="D791" s="38"/>
      <c r="E791" s="38"/>
      <c r="F791" s="38"/>
      <c r="G791" s="38"/>
      <c r="H791" s="39"/>
      <c r="I791" s="39"/>
      <c r="J791" s="40"/>
      <c r="K791" s="40"/>
      <c r="L791" s="40"/>
      <c r="M791" s="40"/>
      <c r="N791" s="41"/>
      <c r="O791" s="20"/>
      <c r="P791" s="20"/>
      <c r="Q791" s="21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ht="15.75" customHeight="1">
      <c r="A792" s="20"/>
      <c r="B792" s="20"/>
      <c r="C792" s="20"/>
      <c r="D792" s="38"/>
      <c r="E792" s="38"/>
      <c r="F792" s="38"/>
      <c r="G792" s="38"/>
      <c r="H792" s="39"/>
      <c r="I792" s="39"/>
      <c r="J792" s="40"/>
      <c r="K792" s="40"/>
      <c r="L792" s="40"/>
      <c r="M792" s="40"/>
      <c r="N792" s="41"/>
      <c r="O792" s="20"/>
      <c r="P792" s="20"/>
      <c r="Q792" s="21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ht="15.75" customHeight="1">
      <c r="A793" s="20"/>
      <c r="B793" s="20"/>
      <c r="C793" s="20"/>
      <c r="D793" s="38"/>
      <c r="E793" s="38"/>
      <c r="F793" s="38"/>
      <c r="G793" s="38"/>
      <c r="H793" s="39"/>
      <c r="I793" s="39"/>
      <c r="J793" s="40"/>
      <c r="K793" s="40"/>
      <c r="L793" s="40"/>
      <c r="M793" s="40"/>
      <c r="N793" s="41"/>
      <c r="O793" s="20"/>
      <c r="P793" s="20"/>
      <c r="Q793" s="21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ht="15.75" customHeight="1">
      <c r="A794" s="20"/>
      <c r="B794" s="20"/>
      <c r="C794" s="20"/>
      <c r="D794" s="38"/>
      <c r="E794" s="38"/>
      <c r="F794" s="38"/>
      <c r="G794" s="38"/>
      <c r="H794" s="39"/>
      <c r="I794" s="39"/>
      <c r="J794" s="40"/>
      <c r="K794" s="40"/>
      <c r="L794" s="40"/>
      <c r="M794" s="40"/>
      <c r="N794" s="41"/>
      <c r="O794" s="20"/>
      <c r="P794" s="20"/>
      <c r="Q794" s="21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ht="15.75" customHeight="1">
      <c r="A795" s="20"/>
      <c r="B795" s="20"/>
      <c r="C795" s="20"/>
      <c r="D795" s="38"/>
      <c r="E795" s="38"/>
      <c r="F795" s="38"/>
      <c r="G795" s="38"/>
      <c r="H795" s="39"/>
      <c r="I795" s="39"/>
      <c r="J795" s="40"/>
      <c r="K795" s="40"/>
      <c r="L795" s="40"/>
      <c r="M795" s="40"/>
      <c r="N795" s="41"/>
      <c r="O795" s="20"/>
      <c r="P795" s="20"/>
      <c r="Q795" s="21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ht="15.75" customHeight="1">
      <c r="A796" s="20"/>
      <c r="B796" s="20"/>
      <c r="C796" s="20"/>
      <c r="D796" s="38"/>
      <c r="E796" s="38"/>
      <c r="F796" s="38"/>
      <c r="G796" s="38"/>
      <c r="H796" s="39"/>
      <c r="I796" s="39"/>
      <c r="J796" s="40"/>
      <c r="K796" s="40"/>
      <c r="L796" s="40"/>
      <c r="M796" s="40"/>
      <c r="N796" s="41"/>
      <c r="O796" s="20"/>
      <c r="P796" s="20"/>
      <c r="Q796" s="21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ht="15.75" customHeight="1">
      <c r="A797" s="20"/>
      <c r="B797" s="20"/>
      <c r="C797" s="20"/>
      <c r="D797" s="38"/>
      <c r="E797" s="38"/>
      <c r="F797" s="38"/>
      <c r="G797" s="38"/>
      <c r="H797" s="39"/>
      <c r="I797" s="39"/>
      <c r="J797" s="40"/>
      <c r="K797" s="40"/>
      <c r="L797" s="40"/>
      <c r="M797" s="40"/>
      <c r="N797" s="41"/>
      <c r="O797" s="20"/>
      <c r="P797" s="20"/>
      <c r="Q797" s="21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ht="15.75" customHeight="1">
      <c r="A798" s="20"/>
      <c r="B798" s="20"/>
      <c r="C798" s="20"/>
      <c r="D798" s="38"/>
      <c r="E798" s="38"/>
      <c r="F798" s="38"/>
      <c r="G798" s="38"/>
      <c r="H798" s="39"/>
      <c r="I798" s="39"/>
      <c r="J798" s="40"/>
      <c r="K798" s="40"/>
      <c r="L798" s="40"/>
      <c r="M798" s="40"/>
      <c r="N798" s="41"/>
      <c r="O798" s="20"/>
      <c r="P798" s="20"/>
      <c r="Q798" s="21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ht="15.75" customHeight="1">
      <c r="A799" s="20"/>
      <c r="B799" s="20"/>
      <c r="C799" s="20"/>
      <c r="D799" s="38"/>
      <c r="E799" s="38"/>
      <c r="F799" s="38"/>
      <c r="G799" s="38"/>
      <c r="H799" s="39"/>
      <c r="I799" s="39"/>
      <c r="J799" s="40"/>
      <c r="K799" s="40"/>
      <c r="L799" s="40"/>
      <c r="M799" s="40"/>
      <c r="N799" s="41"/>
      <c r="O799" s="20"/>
      <c r="P799" s="20"/>
      <c r="Q799" s="21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ht="15.75" customHeight="1">
      <c r="A800" s="20"/>
      <c r="B800" s="20"/>
      <c r="C800" s="20"/>
      <c r="D800" s="38"/>
      <c r="E800" s="38"/>
      <c r="F800" s="38"/>
      <c r="G800" s="38"/>
      <c r="H800" s="39"/>
      <c r="I800" s="39"/>
      <c r="J800" s="40"/>
      <c r="K800" s="40"/>
      <c r="L800" s="40"/>
      <c r="M800" s="40"/>
      <c r="N800" s="41"/>
      <c r="O800" s="20"/>
      <c r="P800" s="20"/>
      <c r="Q800" s="21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ht="15.75" customHeight="1">
      <c r="A801" s="20"/>
      <c r="B801" s="20"/>
      <c r="C801" s="20"/>
      <c r="D801" s="38"/>
      <c r="E801" s="38"/>
      <c r="F801" s="38"/>
      <c r="G801" s="38"/>
      <c r="H801" s="39"/>
      <c r="I801" s="39"/>
      <c r="J801" s="40"/>
      <c r="K801" s="40"/>
      <c r="L801" s="40"/>
      <c r="M801" s="40"/>
      <c r="N801" s="41"/>
      <c r="O801" s="20"/>
      <c r="P801" s="20"/>
      <c r="Q801" s="21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ht="15.75" customHeight="1">
      <c r="A802" s="20"/>
      <c r="B802" s="20"/>
      <c r="C802" s="20"/>
      <c r="D802" s="38"/>
      <c r="E802" s="38"/>
      <c r="F802" s="38"/>
      <c r="G802" s="38"/>
      <c r="H802" s="39"/>
      <c r="I802" s="39"/>
      <c r="J802" s="40"/>
      <c r="K802" s="40"/>
      <c r="L802" s="40"/>
      <c r="M802" s="40"/>
      <c r="N802" s="41"/>
      <c r="O802" s="20"/>
      <c r="P802" s="20"/>
      <c r="Q802" s="21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ht="15.75" customHeight="1">
      <c r="A803" s="20"/>
      <c r="B803" s="20"/>
      <c r="C803" s="20"/>
      <c r="D803" s="38"/>
      <c r="E803" s="38"/>
      <c r="F803" s="38"/>
      <c r="G803" s="38"/>
      <c r="H803" s="39"/>
      <c r="I803" s="39"/>
      <c r="J803" s="40"/>
      <c r="K803" s="40"/>
      <c r="L803" s="40"/>
      <c r="M803" s="40"/>
      <c r="N803" s="41"/>
      <c r="O803" s="20"/>
      <c r="P803" s="20"/>
      <c r="Q803" s="21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ht="15.75" customHeight="1">
      <c r="A804" s="20"/>
      <c r="B804" s="20"/>
      <c r="C804" s="20"/>
      <c r="D804" s="38"/>
      <c r="E804" s="38"/>
      <c r="F804" s="38"/>
      <c r="G804" s="38"/>
      <c r="H804" s="39"/>
      <c r="I804" s="39"/>
      <c r="J804" s="40"/>
      <c r="K804" s="40"/>
      <c r="L804" s="40"/>
      <c r="M804" s="40"/>
      <c r="N804" s="41"/>
      <c r="O804" s="20"/>
      <c r="P804" s="20"/>
      <c r="Q804" s="21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ht="15.75" customHeight="1">
      <c r="A805" s="20"/>
      <c r="B805" s="20"/>
      <c r="C805" s="20"/>
      <c r="D805" s="38"/>
      <c r="E805" s="38"/>
      <c r="F805" s="38"/>
      <c r="G805" s="38"/>
      <c r="H805" s="39"/>
      <c r="I805" s="39"/>
      <c r="J805" s="40"/>
      <c r="K805" s="40"/>
      <c r="L805" s="40"/>
      <c r="M805" s="40"/>
      <c r="N805" s="41"/>
      <c r="O805" s="20"/>
      <c r="P805" s="20"/>
      <c r="Q805" s="21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ht="15.75" customHeight="1">
      <c r="A806" s="20"/>
      <c r="B806" s="20"/>
      <c r="C806" s="20"/>
      <c r="D806" s="38"/>
      <c r="E806" s="38"/>
      <c r="F806" s="38"/>
      <c r="G806" s="38"/>
      <c r="H806" s="39"/>
      <c r="I806" s="39"/>
      <c r="J806" s="40"/>
      <c r="K806" s="40"/>
      <c r="L806" s="40"/>
      <c r="M806" s="40"/>
      <c r="N806" s="41"/>
      <c r="O806" s="20"/>
      <c r="P806" s="20"/>
      <c r="Q806" s="21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ht="15.75" customHeight="1">
      <c r="A807" s="20"/>
      <c r="B807" s="20"/>
      <c r="C807" s="20"/>
      <c r="D807" s="38"/>
      <c r="E807" s="38"/>
      <c r="F807" s="38"/>
      <c r="G807" s="38"/>
      <c r="H807" s="39"/>
      <c r="I807" s="39"/>
      <c r="J807" s="40"/>
      <c r="K807" s="40"/>
      <c r="L807" s="40"/>
      <c r="M807" s="40"/>
      <c r="N807" s="41"/>
      <c r="O807" s="20"/>
      <c r="P807" s="20"/>
      <c r="Q807" s="21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ht="15.75" customHeight="1">
      <c r="A808" s="20"/>
      <c r="B808" s="20"/>
      <c r="C808" s="20"/>
      <c r="D808" s="38"/>
      <c r="E808" s="38"/>
      <c r="F808" s="38"/>
      <c r="G808" s="38"/>
      <c r="H808" s="39"/>
      <c r="I808" s="39"/>
      <c r="J808" s="40"/>
      <c r="K808" s="40"/>
      <c r="L808" s="40"/>
      <c r="M808" s="40"/>
      <c r="N808" s="41"/>
      <c r="O808" s="20"/>
      <c r="P808" s="20"/>
      <c r="Q808" s="21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ht="15.75" customHeight="1">
      <c r="A809" s="20"/>
      <c r="B809" s="20"/>
      <c r="C809" s="20"/>
      <c r="D809" s="38"/>
      <c r="E809" s="38"/>
      <c r="F809" s="38"/>
      <c r="G809" s="38"/>
      <c r="H809" s="39"/>
      <c r="I809" s="39"/>
      <c r="J809" s="40"/>
      <c r="K809" s="40"/>
      <c r="L809" s="40"/>
      <c r="M809" s="40"/>
      <c r="N809" s="41"/>
      <c r="O809" s="20"/>
      <c r="P809" s="20"/>
      <c r="Q809" s="21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ht="15.75" customHeight="1">
      <c r="A810" s="20"/>
      <c r="B810" s="20"/>
      <c r="C810" s="20"/>
      <c r="D810" s="38"/>
      <c r="E810" s="38"/>
      <c r="F810" s="38"/>
      <c r="G810" s="38"/>
      <c r="H810" s="39"/>
      <c r="I810" s="39"/>
      <c r="J810" s="40"/>
      <c r="K810" s="40"/>
      <c r="L810" s="40"/>
      <c r="M810" s="40"/>
      <c r="N810" s="41"/>
      <c r="O810" s="20"/>
      <c r="P810" s="20"/>
      <c r="Q810" s="21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ht="15.75" customHeight="1">
      <c r="A811" s="20"/>
      <c r="B811" s="20"/>
      <c r="C811" s="20"/>
      <c r="D811" s="38"/>
      <c r="E811" s="38"/>
      <c r="F811" s="38"/>
      <c r="G811" s="38"/>
      <c r="H811" s="39"/>
      <c r="I811" s="39"/>
      <c r="J811" s="40"/>
      <c r="K811" s="40"/>
      <c r="L811" s="40"/>
      <c r="M811" s="40"/>
      <c r="N811" s="41"/>
      <c r="O811" s="20"/>
      <c r="P811" s="20"/>
      <c r="Q811" s="21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ht="15.75" customHeight="1">
      <c r="A812" s="20"/>
      <c r="B812" s="20"/>
      <c r="C812" s="20"/>
      <c r="D812" s="38"/>
      <c r="E812" s="38"/>
      <c r="F812" s="38"/>
      <c r="G812" s="38"/>
      <c r="H812" s="39"/>
      <c r="I812" s="39"/>
      <c r="J812" s="40"/>
      <c r="K812" s="40"/>
      <c r="L812" s="40"/>
      <c r="M812" s="40"/>
      <c r="N812" s="41"/>
      <c r="O812" s="20"/>
      <c r="P812" s="20"/>
      <c r="Q812" s="21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ht="15.75" customHeight="1">
      <c r="A813" s="20"/>
      <c r="B813" s="20"/>
      <c r="C813" s="20"/>
      <c r="D813" s="38"/>
      <c r="E813" s="38"/>
      <c r="F813" s="38"/>
      <c r="G813" s="38"/>
      <c r="H813" s="39"/>
      <c r="I813" s="39"/>
      <c r="J813" s="40"/>
      <c r="K813" s="40"/>
      <c r="L813" s="40"/>
      <c r="M813" s="40"/>
      <c r="N813" s="41"/>
      <c r="O813" s="20"/>
      <c r="P813" s="20"/>
      <c r="Q813" s="21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ht="15.75" customHeight="1">
      <c r="A814" s="20"/>
      <c r="B814" s="20"/>
      <c r="C814" s="20"/>
      <c r="D814" s="38"/>
      <c r="E814" s="38"/>
      <c r="F814" s="38"/>
      <c r="G814" s="38"/>
      <c r="H814" s="39"/>
      <c r="I814" s="39"/>
      <c r="J814" s="40"/>
      <c r="K814" s="40"/>
      <c r="L814" s="40"/>
      <c r="M814" s="40"/>
      <c r="N814" s="41"/>
      <c r="O814" s="20"/>
      <c r="P814" s="20"/>
      <c r="Q814" s="21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ht="15.75" customHeight="1">
      <c r="A815" s="20"/>
      <c r="B815" s="20"/>
      <c r="C815" s="20"/>
      <c r="D815" s="38"/>
      <c r="E815" s="38"/>
      <c r="F815" s="38"/>
      <c r="G815" s="38"/>
      <c r="H815" s="39"/>
      <c r="I815" s="39"/>
      <c r="J815" s="40"/>
      <c r="K815" s="40"/>
      <c r="L815" s="40"/>
      <c r="M815" s="40"/>
      <c r="N815" s="41"/>
      <c r="O815" s="20"/>
      <c r="P815" s="20"/>
      <c r="Q815" s="21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ht="15.75" customHeight="1">
      <c r="A816" s="20"/>
      <c r="B816" s="20"/>
      <c r="C816" s="20"/>
      <c r="D816" s="38"/>
      <c r="E816" s="38"/>
      <c r="F816" s="38"/>
      <c r="G816" s="38"/>
      <c r="H816" s="39"/>
      <c r="I816" s="39"/>
      <c r="J816" s="40"/>
      <c r="K816" s="40"/>
      <c r="L816" s="40"/>
      <c r="M816" s="40"/>
      <c r="N816" s="41"/>
      <c r="O816" s="20"/>
      <c r="P816" s="20"/>
      <c r="Q816" s="21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ht="15.75" customHeight="1">
      <c r="A817" s="20"/>
      <c r="B817" s="20"/>
      <c r="C817" s="20"/>
      <c r="D817" s="38"/>
      <c r="E817" s="38"/>
      <c r="F817" s="38"/>
      <c r="G817" s="38"/>
      <c r="H817" s="39"/>
      <c r="I817" s="39"/>
      <c r="J817" s="40"/>
      <c r="K817" s="40"/>
      <c r="L817" s="40"/>
      <c r="M817" s="40"/>
      <c r="N817" s="41"/>
      <c r="O817" s="20"/>
      <c r="P817" s="20"/>
      <c r="Q817" s="21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ht="15.75" customHeight="1">
      <c r="A818" s="20"/>
      <c r="B818" s="20"/>
      <c r="C818" s="20"/>
      <c r="D818" s="38"/>
      <c r="E818" s="38"/>
      <c r="F818" s="38"/>
      <c r="G818" s="38"/>
      <c r="H818" s="39"/>
      <c r="I818" s="39"/>
      <c r="J818" s="40"/>
      <c r="K818" s="40"/>
      <c r="L818" s="40"/>
      <c r="M818" s="40"/>
      <c r="N818" s="41"/>
      <c r="O818" s="20"/>
      <c r="P818" s="20"/>
      <c r="Q818" s="21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ht="15.75" customHeight="1">
      <c r="A819" s="20"/>
      <c r="B819" s="20"/>
      <c r="C819" s="20"/>
      <c r="D819" s="38"/>
      <c r="E819" s="38"/>
      <c r="F819" s="38"/>
      <c r="G819" s="38"/>
      <c r="H819" s="39"/>
      <c r="I819" s="39"/>
      <c r="J819" s="40"/>
      <c r="K819" s="40"/>
      <c r="L819" s="40"/>
      <c r="M819" s="40"/>
      <c r="N819" s="41"/>
      <c r="O819" s="20"/>
      <c r="P819" s="20"/>
      <c r="Q819" s="21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ht="15.75" customHeight="1">
      <c r="A820" s="20"/>
      <c r="B820" s="20"/>
      <c r="C820" s="20"/>
      <c r="D820" s="38"/>
      <c r="E820" s="38"/>
      <c r="F820" s="38"/>
      <c r="G820" s="38"/>
      <c r="H820" s="39"/>
      <c r="I820" s="39"/>
      <c r="J820" s="40"/>
      <c r="K820" s="40"/>
      <c r="L820" s="40"/>
      <c r="M820" s="40"/>
      <c r="N820" s="41"/>
      <c r="O820" s="20"/>
      <c r="P820" s="20"/>
      <c r="Q820" s="21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ht="15.75" customHeight="1">
      <c r="A821" s="20"/>
      <c r="B821" s="20"/>
      <c r="C821" s="20"/>
      <c r="D821" s="38"/>
      <c r="E821" s="38"/>
      <c r="F821" s="38"/>
      <c r="G821" s="38"/>
      <c r="H821" s="39"/>
      <c r="I821" s="39"/>
      <c r="J821" s="40"/>
      <c r="K821" s="40"/>
      <c r="L821" s="40"/>
      <c r="M821" s="40"/>
      <c r="N821" s="41"/>
      <c r="O821" s="20"/>
      <c r="P821" s="20"/>
      <c r="Q821" s="21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ht="15.75" customHeight="1">
      <c r="A822" s="20"/>
      <c r="B822" s="20"/>
      <c r="C822" s="20"/>
      <c r="D822" s="38"/>
      <c r="E822" s="38"/>
      <c r="F822" s="38"/>
      <c r="G822" s="38"/>
      <c r="H822" s="39"/>
      <c r="I822" s="39"/>
      <c r="J822" s="40"/>
      <c r="K822" s="40"/>
      <c r="L822" s="40"/>
      <c r="M822" s="40"/>
      <c r="N822" s="41"/>
      <c r="O822" s="20"/>
      <c r="P822" s="20"/>
      <c r="Q822" s="21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ht="15.75" customHeight="1">
      <c r="A823" s="20"/>
      <c r="B823" s="20"/>
      <c r="C823" s="20"/>
      <c r="D823" s="38"/>
      <c r="E823" s="38"/>
      <c r="F823" s="38"/>
      <c r="G823" s="38"/>
      <c r="H823" s="39"/>
      <c r="I823" s="39"/>
      <c r="J823" s="40"/>
      <c r="K823" s="40"/>
      <c r="L823" s="40"/>
      <c r="M823" s="40"/>
      <c r="N823" s="41"/>
      <c r="O823" s="20"/>
      <c r="P823" s="20"/>
      <c r="Q823" s="21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ht="15.75" customHeight="1">
      <c r="A824" s="20"/>
      <c r="B824" s="20"/>
      <c r="C824" s="20"/>
      <c r="D824" s="38"/>
      <c r="E824" s="38"/>
      <c r="F824" s="38"/>
      <c r="G824" s="38"/>
      <c r="H824" s="39"/>
      <c r="I824" s="39"/>
      <c r="J824" s="40"/>
      <c r="K824" s="40"/>
      <c r="L824" s="40"/>
      <c r="M824" s="40"/>
      <c r="N824" s="41"/>
      <c r="O824" s="20"/>
      <c r="P824" s="20"/>
      <c r="Q824" s="21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ht="15.75" customHeight="1">
      <c r="A825" s="20"/>
      <c r="B825" s="20"/>
      <c r="C825" s="20"/>
      <c r="D825" s="38"/>
      <c r="E825" s="38"/>
      <c r="F825" s="38"/>
      <c r="G825" s="38"/>
      <c r="H825" s="39"/>
      <c r="I825" s="39"/>
      <c r="J825" s="40"/>
      <c r="K825" s="40"/>
      <c r="L825" s="40"/>
      <c r="M825" s="40"/>
      <c r="N825" s="41"/>
      <c r="O825" s="20"/>
      <c r="P825" s="20"/>
      <c r="Q825" s="21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ht="15.75" customHeight="1">
      <c r="A826" s="20"/>
      <c r="B826" s="20"/>
      <c r="C826" s="20"/>
      <c r="D826" s="38"/>
      <c r="E826" s="38"/>
      <c r="F826" s="38"/>
      <c r="G826" s="38"/>
      <c r="H826" s="39"/>
      <c r="I826" s="39"/>
      <c r="J826" s="40"/>
      <c r="K826" s="40"/>
      <c r="L826" s="40"/>
      <c r="M826" s="40"/>
      <c r="N826" s="41"/>
      <c r="O826" s="20"/>
      <c r="P826" s="20"/>
      <c r="Q826" s="21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ht="15.75" customHeight="1">
      <c r="A827" s="20"/>
      <c r="B827" s="20"/>
      <c r="C827" s="20"/>
      <c r="D827" s="38"/>
      <c r="E827" s="38"/>
      <c r="F827" s="38"/>
      <c r="G827" s="38"/>
      <c r="H827" s="39"/>
      <c r="I827" s="39"/>
      <c r="J827" s="40"/>
      <c r="K827" s="40"/>
      <c r="L827" s="40"/>
      <c r="M827" s="40"/>
      <c r="N827" s="41"/>
      <c r="O827" s="20"/>
      <c r="P827" s="20"/>
      <c r="Q827" s="21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ht="15.75" customHeight="1">
      <c r="A828" s="20"/>
      <c r="B828" s="20"/>
      <c r="C828" s="20"/>
      <c r="D828" s="38"/>
      <c r="E828" s="38"/>
      <c r="F828" s="38"/>
      <c r="G828" s="38"/>
      <c r="H828" s="39"/>
      <c r="I828" s="39"/>
      <c r="J828" s="40"/>
      <c r="K828" s="40"/>
      <c r="L828" s="40"/>
      <c r="M828" s="40"/>
      <c r="N828" s="41"/>
      <c r="O828" s="20"/>
      <c r="P828" s="20"/>
      <c r="Q828" s="21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ht="15.75" customHeight="1">
      <c r="A829" s="20"/>
      <c r="B829" s="20"/>
      <c r="C829" s="20"/>
      <c r="D829" s="38"/>
      <c r="E829" s="38"/>
      <c r="F829" s="38"/>
      <c r="G829" s="38"/>
      <c r="H829" s="39"/>
      <c r="I829" s="39"/>
      <c r="J829" s="40"/>
      <c r="K829" s="40"/>
      <c r="L829" s="40"/>
      <c r="M829" s="40"/>
      <c r="N829" s="41"/>
      <c r="O829" s="20"/>
      <c r="P829" s="20"/>
      <c r="Q829" s="21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ht="15.75" customHeight="1">
      <c r="A830" s="20"/>
      <c r="B830" s="20"/>
      <c r="C830" s="20"/>
      <c r="D830" s="38"/>
      <c r="E830" s="38"/>
      <c r="F830" s="38"/>
      <c r="G830" s="38"/>
      <c r="H830" s="39"/>
      <c r="I830" s="39"/>
      <c r="J830" s="40"/>
      <c r="K830" s="40"/>
      <c r="L830" s="40"/>
      <c r="M830" s="40"/>
      <c r="N830" s="41"/>
      <c r="O830" s="20"/>
      <c r="P830" s="20"/>
      <c r="Q830" s="21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ht="15.75" customHeight="1">
      <c r="A831" s="20"/>
      <c r="B831" s="20"/>
      <c r="C831" s="20"/>
      <c r="D831" s="38"/>
      <c r="E831" s="38"/>
      <c r="F831" s="38"/>
      <c r="G831" s="38"/>
      <c r="H831" s="39"/>
      <c r="I831" s="39"/>
      <c r="J831" s="40"/>
      <c r="K831" s="40"/>
      <c r="L831" s="40"/>
      <c r="M831" s="40"/>
      <c r="N831" s="41"/>
      <c r="O831" s="20"/>
      <c r="P831" s="20"/>
      <c r="Q831" s="21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ht="15.75" customHeight="1">
      <c r="A832" s="20"/>
      <c r="B832" s="20"/>
      <c r="C832" s="20"/>
      <c r="D832" s="38"/>
      <c r="E832" s="38"/>
      <c r="F832" s="38"/>
      <c r="G832" s="38"/>
      <c r="H832" s="39"/>
      <c r="I832" s="39"/>
      <c r="J832" s="40"/>
      <c r="K832" s="40"/>
      <c r="L832" s="40"/>
      <c r="M832" s="40"/>
      <c r="N832" s="41"/>
      <c r="O832" s="20"/>
      <c r="P832" s="20"/>
      <c r="Q832" s="21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ht="15.75" customHeight="1">
      <c r="A833" s="20"/>
      <c r="B833" s="20"/>
      <c r="C833" s="20"/>
      <c r="D833" s="38"/>
      <c r="E833" s="38"/>
      <c r="F833" s="38"/>
      <c r="G833" s="38"/>
      <c r="H833" s="39"/>
      <c r="I833" s="39"/>
      <c r="J833" s="40"/>
      <c r="K833" s="40"/>
      <c r="L833" s="40"/>
      <c r="M833" s="40"/>
      <c r="N833" s="41"/>
      <c r="O833" s="20"/>
      <c r="P833" s="20"/>
      <c r="Q833" s="21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ht="15.75" customHeight="1">
      <c r="A834" s="20"/>
      <c r="B834" s="20"/>
      <c r="C834" s="20"/>
      <c r="D834" s="38"/>
      <c r="E834" s="38"/>
      <c r="F834" s="38"/>
      <c r="G834" s="38"/>
      <c r="H834" s="39"/>
      <c r="I834" s="39"/>
      <c r="J834" s="40"/>
      <c r="K834" s="40"/>
      <c r="L834" s="40"/>
      <c r="M834" s="40"/>
      <c r="N834" s="41"/>
      <c r="O834" s="20"/>
      <c r="P834" s="20"/>
      <c r="Q834" s="21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ht="15.75" customHeight="1">
      <c r="A835" s="20"/>
      <c r="B835" s="20"/>
      <c r="C835" s="20"/>
      <c r="D835" s="38"/>
      <c r="E835" s="38"/>
      <c r="F835" s="38"/>
      <c r="G835" s="38"/>
      <c r="H835" s="39"/>
      <c r="I835" s="39"/>
      <c r="J835" s="40"/>
      <c r="K835" s="40"/>
      <c r="L835" s="40"/>
      <c r="M835" s="40"/>
      <c r="N835" s="41"/>
      <c r="O835" s="20"/>
      <c r="P835" s="20"/>
      <c r="Q835" s="21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ht="15.75" customHeight="1">
      <c r="A836" s="20"/>
      <c r="B836" s="20"/>
      <c r="C836" s="20"/>
      <c r="D836" s="38"/>
      <c r="E836" s="38"/>
      <c r="F836" s="38"/>
      <c r="G836" s="38"/>
      <c r="H836" s="39"/>
      <c r="I836" s="39"/>
      <c r="J836" s="40"/>
      <c r="K836" s="40"/>
      <c r="L836" s="40"/>
      <c r="M836" s="40"/>
      <c r="N836" s="41"/>
      <c r="O836" s="20"/>
      <c r="P836" s="20"/>
      <c r="Q836" s="21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ht="15.75" customHeight="1">
      <c r="A837" s="20"/>
      <c r="B837" s="20"/>
      <c r="C837" s="20"/>
      <c r="D837" s="38"/>
      <c r="E837" s="38"/>
      <c r="F837" s="38"/>
      <c r="G837" s="38"/>
      <c r="H837" s="39"/>
      <c r="I837" s="39"/>
      <c r="J837" s="40"/>
      <c r="K837" s="40"/>
      <c r="L837" s="40"/>
      <c r="M837" s="40"/>
      <c r="N837" s="41"/>
      <c r="O837" s="20"/>
      <c r="P837" s="20"/>
      <c r="Q837" s="21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ht="15.75" customHeight="1">
      <c r="A838" s="20"/>
      <c r="B838" s="20"/>
      <c r="C838" s="20"/>
      <c r="D838" s="38"/>
      <c r="E838" s="38"/>
      <c r="F838" s="38"/>
      <c r="G838" s="38"/>
      <c r="H838" s="39"/>
      <c r="I838" s="39"/>
      <c r="J838" s="40"/>
      <c r="K838" s="40"/>
      <c r="L838" s="40"/>
      <c r="M838" s="40"/>
      <c r="N838" s="41"/>
      <c r="O838" s="20"/>
      <c r="P838" s="20"/>
      <c r="Q838" s="21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ht="15.75" customHeight="1">
      <c r="A839" s="20"/>
      <c r="B839" s="20"/>
      <c r="C839" s="20"/>
      <c r="D839" s="38"/>
      <c r="E839" s="38"/>
      <c r="F839" s="38"/>
      <c r="G839" s="38"/>
      <c r="H839" s="39"/>
      <c r="I839" s="39"/>
      <c r="J839" s="40"/>
      <c r="K839" s="40"/>
      <c r="L839" s="40"/>
      <c r="M839" s="40"/>
      <c r="N839" s="41"/>
      <c r="O839" s="20"/>
      <c r="P839" s="20"/>
      <c r="Q839" s="21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ht="15.75" customHeight="1">
      <c r="A840" s="20"/>
      <c r="B840" s="20"/>
      <c r="C840" s="20"/>
      <c r="D840" s="38"/>
      <c r="E840" s="38"/>
      <c r="F840" s="38"/>
      <c r="G840" s="38"/>
      <c r="H840" s="39"/>
      <c r="I840" s="39"/>
      <c r="J840" s="40"/>
      <c r="K840" s="40"/>
      <c r="L840" s="40"/>
      <c r="M840" s="40"/>
      <c r="N840" s="41"/>
      <c r="O840" s="20"/>
      <c r="P840" s="20"/>
      <c r="Q840" s="21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ht="15.75" customHeight="1">
      <c r="A841" s="20"/>
      <c r="B841" s="20"/>
      <c r="C841" s="20"/>
      <c r="D841" s="38"/>
      <c r="E841" s="38"/>
      <c r="F841" s="38"/>
      <c r="G841" s="38"/>
      <c r="H841" s="39"/>
      <c r="I841" s="39"/>
      <c r="J841" s="40"/>
      <c r="K841" s="40"/>
      <c r="L841" s="40"/>
      <c r="M841" s="40"/>
      <c r="N841" s="41"/>
      <c r="O841" s="20"/>
      <c r="P841" s="20"/>
      <c r="Q841" s="21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ht="15.75" customHeight="1">
      <c r="A842" s="20"/>
      <c r="B842" s="20"/>
      <c r="C842" s="20"/>
      <c r="D842" s="38"/>
      <c r="E842" s="38"/>
      <c r="F842" s="38"/>
      <c r="G842" s="38"/>
      <c r="H842" s="39"/>
      <c r="I842" s="39"/>
      <c r="J842" s="40"/>
      <c r="K842" s="40"/>
      <c r="L842" s="40"/>
      <c r="M842" s="40"/>
      <c r="N842" s="41"/>
      <c r="O842" s="20"/>
      <c r="P842" s="20"/>
      <c r="Q842" s="21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ht="15.75" customHeight="1">
      <c r="A843" s="20"/>
      <c r="B843" s="20"/>
      <c r="C843" s="20"/>
      <c r="D843" s="38"/>
      <c r="E843" s="38"/>
      <c r="F843" s="38"/>
      <c r="G843" s="38"/>
      <c r="H843" s="39"/>
      <c r="I843" s="39"/>
      <c r="J843" s="40"/>
      <c r="K843" s="40"/>
      <c r="L843" s="40"/>
      <c r="M843" s="40"/>
      <c r="N843" s="41"/>
      <c r="O843" s="20"/>
      <c r="P843" s="20"/>
      <c r="Q843" s="21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ht="15.75" customHeight="1">
      <c r="A844" s="20"/>
      <c r="B844" s="20"/>
      <c r="C844" s="20"/>
      <c r="D844" s="38"/>
      <c r="E844" s="38"/>
      <c r="F844" s="38"/>
      <c r="G844" s="38"/>
      <c r="H844" s="39"/>
      <c r="I844" s="39"/>
      <c r="J844" s="40"/>
      <c r="K844" s="40"/>
      <c r="L844" s="40"/>
      <c r="M844" s="40"/>
      <c r="N844" s="41"/>
      <c r="O844" s="20"/>
      <c r="P844" s="20"/>
      <c r="Q844" s="21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ht="15.75" customHeight="1">
      <c r="A845" s="20"/>
      <c r="B845" s="20"/>
      <c r="C845" s="20"/>
      <c r="D845" s="38"/>
      <c r="E845" s="38"/>
      <c r="F845" s="38"/>
      <c r="G845" s="38"/>
      <c r="H845" s="39"/>
      <c r="I845" s="39"/>
      <c r="J845" s="40"/>
      <c r="K845" s="40"/>
      <c r="L845" s="40"/>
      <c r="M845" s="40"/>
      <c r="N845" s="41"/>
      <c r="O845" s="20"/>
      <c r="P845" s="20"/>
      <c r="Q845" s="21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ht="15.75" customHeight="1">
      <c r="A846" s="20"/>
      <c r="B846" s="20"/>
      <c r="C846" s="20"/>
      <c r="D846" s="38"/>
      <c r="E846" s="38"/>
      <c r="F846" s="38"/>
      <c r="G846" s="38"/>
      <c r="H846" s="39"/>
      <c r="I846" s="39"/>
      <c r="J846" s="40"/>
      <c r="K846" s="40"/>
      <c r="L846" s="40"/>
      <c r="M846" s="40"/>
      <c r="N846" s="41"/>
      <c r="O846" s="20"/>
      <c r="P846" s="20"/>
      <c r="Q846" s="21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ht="15.75" customHeight="1">
      <c r="A847" s="20"/>
      <c r="B847" s="20"/>
      <c r="C847" s="20"/>
      <c r="D847" s="38"/>
      <c r="E847" s="38"/>
      <c r="F847" s="38"/>
      <c r="G847" s="38"/>
      <c r="H847" s="39"/>
      <c r="I847" s="39"/>
      <c r="J847" s="40"/>
      <c r="K847" s="40"/>
      <c r="L847" s="40"/>
      <c r="M847" s="40"/>
      <c r="N847" s="41"/>
      <c r="O847" s="20"/>
      <c r="P847" s="20"/>
      <c r="Q847" s="21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ht="15.75" customHeight="1">
      <c r="A848" s="20"/>
      <c r="B848" s="20"/>
      <c r="C848" s="20"/>
      <c r="D848" s="38"/>
      <c r="E848" s="38"/>
      <c r="F848" s="38"/>
      <c r="G848" s="38"/>
      <c r="H848" s="39"/>
      <c r="I848" s="39"/>
      <c r="J848" s="40"/>
      <c r="K848" s="40"/>
      <c r="L848" s="40"/>
      <c r="M848" s="40"/>
      <c r="N848" s="41"/>
      <c r="O848" s="20"/>
      <c r="P848" s="20"/>
      <c r="Q848" s="21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ht="15.75" customHeight="1">
      <c r="A849" s="20"/>
      <c r="B849" s="20"/>
      <c r="C849" s="20"/>
      <c r="D849" s="38"/>
      <c r="E849" s="38"/>
      <c r="F849" s="38"/>
      <c r="G849" s="38"/>
      <c r="H849" s="39"/>
      <c r="I849" s="39"/>
      <c r="J849" s="40"/>
      <c r="K849" s="40"/>
      <c r="L849" s="40"/>
      <c r="M849" s="40"/>
      <c r="N849" s="41"/>
      <c r="O849" s="20"/>
      <c r="P849" s="20"/>
      <c r="Q849" s="21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ht="15.75" customHeight="1">
      <c r="A850" s="20"/>
      <c r="B850" s="20"/>
      <c r="C850" s="20"/>
      <c r="D850" s="38"/>
      <c r="E850" s="38"/>
      <c r="F850" s="38"/>
      <c r="G850" s="38"/>
      <c r="H850" s="39"/>
      <c r="I850" s="39"/>
      <c r="J850" s="40"/>
      <c r="K850" s="40"/>
      <c r="L850" s="40"/>
      <c r="M850" s="40"/>
      <c r="N850" s="41"/>
      <c r="O850" s="20"/>
      <c r="P850" s="20"/>
      <c r="Q850" s="21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ht="15.75" customHeight="1">
      <c r="A851" s="20"/>
      <c r="B851" s="20"/>
      <c r="C851" s="20"/>
      <c r="D851" s="38"/>
      <c r="E851" s="38"/>
      <c r="F851" s="38"/>
      <c r="G851" s="38"/>
      <c r="H851" s="39"/>
      <c r="I851" s="39"/>
      <c r="J851" s="40"/>
      <c r="K851" s="40"/>
      <c r="L851" s="40"/>
      <c r="M851" s="40"/>
      <c r="N851" s="41"/>
      <c r="O851" s="20"/>
      <c r="P851" s="20"/>
      <c r="Q851" s="21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ht="15.75" customHeight="1">
      <c r="A852" s="20"/>
      <c r="B852" s="20"/>
      <c r="C852" s="20"/>
      <c r="D852" s="38"/>
      <c r="E852" s="38"/>
      <c r="F852" s="38"/>
      <c r="G852" s="38"/>
      <c r="H852" s="39"/>
      <c r="I852" s="39"/>
      <c r="J852" s="40"/>
      <c r="K852" s="40"/>
      <c r="L852" s="40"/>
      <c r="M852" s="40"/>
      <c r="N852" s="41"/>
      <c r="O852" s="20"/>
      <c r="P852" s="20"/>
      <c r="Q852" s="21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ht="15.75" customHeight="1">
      <c r="A853" s="20"/>
      <c r="B853" s="20"/>
      <c r="C853" s="20"/>
      <c r="D853" s="38"/>
      <c r="E853" s="38"/>
      <c r="F853" s="38"/>
      <c r="G853" s="38"/>
      <c r="H853" s="39"/>
      <c r="I853" s="39"/>
      <c r="J853" s="40"/>
      <c r="K853" s="40"/>
      <c r="L853" s="40"/>
      <c r="M853" s="40"/>
      <c r="N853" s="41"/>
      <c r="O853" s="20"/>
      <c r="P853" s="20"/>
      <c r="Q853" s="21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ht="15.75" customHeight="1">
      <c r="A854" s="20"/>
      <c r="B854" s="20"/>
      <c r="C854" s="20"/>
      <c r="D854" s="38"/>
      <c r="E854" s="38"/>
      <c r="F854" s="38"/>
      <c r="G854" s="38"/>
      <c r="H854" s="39"/>
      <c r="I854" s="39"/>
      <c r="J854" s="40"/>
      <c r="K854" s="40"/>
      <c r="L854" s="40"/>
      <c r="M854" s="40"/>
      <c r="N854" s="41"/>
      <c r="O854" s="20"/>
      <c r="P854" s="20"/>
      <c r="Q854" s="21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ht="15.75" customHeight="1">
      <c r="A855" s="20"/>
      <c r="B855" s="20"/>
      <c r="C855" s="20"/>
      <c r="D855" s="38"/>
      <c r="E855" s="38"/>
      <c r="F855" s="38"/>
      <c r="G855" s="38"/>
      <c r="H855" s="39"/>
      <c r="I855" s="39"/>
      <c r="J855" s="40"/>
      <c r="K855" s="40"/>
      <c r="L855" s="40"/>
      <c r="M855" s="40"/>
      <c r="N855" s="41"/>
      <c r="O855" s="20"/>
      <c r="P855" s="20"/>
      <c r="Q855" s="21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ht="15.75" customHeight="1">
      <c r="A856" s="20"/>
      <c r="B856" s="20"/>
      <c r="C856" s="20"/>
      <c r="D856" s="38"/>
      <c r="E856" s="38"/>
      <c r="F856" s="38"/>
      <c r="G856" s="38"/>
      <c r="H856" s="39"/>
      <c r="I856" s="39"/>
      <c r="J856" s="40"/>
      <c r="K856" s="40"/>
      <c r="L856" s="40"/>
      <c r="M856" s="40"/>
      <c r="N856" s="41"/>
      <c r="O856" s="20"/>
      <c r="P856" s="20"/>
      <c r="Q856" s="21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ht="15.75" customHeight="1">
      <c r="A857" s="20"/>
      <c r="B857" s="20"/>
      <c r="C857" s="20"/>
      <c r="D857" s="38"/>
      <c r="E857" s="38"/>
      <c r="F857" s="38"/>
      <c r="G857" s="38"/>
      <c r="H857" s="39"/>
      <c r="I857" s="39"/>
      <c r="J857" s="40"/>
      <c r="K857" s="40"/>
      <c r="L857" s="40"/>
      <c r="M857" s="40"/>
      <c r="N857" s="41"/>
      <c r="O857" s="20"/>
      <c r="P857" s="20"/>
      <c r="Q857" s="21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ht="15.75" customHeight="1">
      <c r="A858" s="20"/>
      <c r="B858" s="20"/>
      <c r="C858" s="20"/>
      <c r="D858" s="38"/>
      <c r="E858" s="38"/>
      <c r="F858" s="38"/>
      <c r="G858" s="38"/>
      <c r="H858" s="39"/>
      <c r="I858" s="39"/>
      <c r="J858" s="40"/>
      <c r="K858" s="40"/>
      <c r="L858" s="40"/>
      <c r="M858" s="40"/>
      <c r="N858" s="41"/>
      <c r="O858" s="20"/>
      <c r="P858" s="20"/>
      <c r="Q858" s="21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ht="15.75" customHeight="1">
      <c r="A859" s="20"/>
      <c r="B859" s="20"/>
      <c r="C859" s="20"/>
      <c r="D859" s="38"/>
      <c r="E859" s="38"/>
      <c r="F859" s="38"/>
      <c r="G859" s="38"/>
      <c r="H859" s="39"/>
      <c r="I859" s="39"/>
      <c r="J859" s="40"/>
      <c r="K859" s="40"/>
      <c r="L859" s="40"/>
      <c r="M859" s="40"/>
      <c r="N859" s="41"/>
      <c r="O859" s="20"/>
      <c r="P859" s="20"/>
      <c r="Q859" s="21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ht="15.75" customHeight="1">
      <c r="A860" s="20"/>
      <c r="B860" s="20"/>
      <c r="C860" s="20"/>
      <c r="D860" s="38"/>
      <c r="E860" s="38"/>
      <c r="F860" s="38"/>
      <c r="G860" s="38"/>
      <c r="H860" s="39"/>
      <c r="I860" s="39"/>
      <c r="J860" s="40"/>
      <c r="K860" s="40"/>
      <c r="L860" s="40"/>
      <c r="M860" s="40"/>
      <c r="N860" s="41"/>
      <c r="O860" s="20"/>
      <c r="P860" s="20"/>
      <c r="Q860" s="21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ht="15.75" customHeight="1">
      <c r="A861" s="20"/>
      <c r="B861" s="20"/>
      <c r="C861" s="20"/>
      <c r="D861" s="38"/>
      <c r="E861" s="38"/>
      <c r="F861" s="38"/>
      <c r="G861" s="38"/>
      <c r="H861" s="39"/>
      <c r="I861" s="39"/>
      <c r="J861" s="40"/>
      <c r="K861" s="40"/>
      <c r="L861" s="40"/>
      <c r="M861" s="40"/>
      <c r="N861" s="41"/>
      <c r="O861" s="20"/>
      <c r="P861" s="20"/>
      <c r="Q861" s="21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ht="15.75" customHeight="1">
      <c r="A862" s="20"/>
      <c r="B862" s="20"/>
      <c r="C862" s="20"/>
      <c r="D862" s="38"/>
      <c r="E862" s="38"/>
      <c r="F862" s="38"/>
      <c r="G862" s="38"/>
      <c r="H862" s="39"/>
      <c r="I862" s="39"/>
      <c r="J862" s="40"/>
      <c r="K862" s="40"/>
      <c r="L862" s="40"/>
      <c r="M862" s="40"/>
      <c r="N862" s="41"/>
      <c r="O862" s="20"/>
      <c r="P862" s="20"/>
      <c r="Q862" s="21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ht="15.75" customHeight="1">
      <c r="A863" s="20"/>
      <c r="B863" s="20"/>
      <c r="C863" s="20"/>
      <c r="D863" s="38"/>
      <c r="E863" s="38"/>
      <c r="F863" s="38"/>
      <c r="G863" s="38"/>
      <c r="H863" s="39"/>
      <c r="I863" s="39"/>
      <c r="J863" s="40"/>
      <c r="K863" s="40"/>
      <c r="L863" s="40"/>
      <c r="M863" s="40"/>
      <c r="N863" s="41"/>
      <c r="O863" s="20"/>
      <c r="P863" s="20"/>
      <c r="Q863" s="21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ht="15.75" customHeight="1">
      <c r="A864" s="20"/>
      <c r="B864" s="20"/>
      <c r="C864" s="20"/>
      <c r="D864" s="38"/>
      <c r="E864" s="38"/>
      <c r="F864" s="38"/>
      <c r="G864" s="38"/>
      <c r="H864" s="39"/>
      <c r="I864" s="39"/>
      <c r="J864" s="40"/>
      <c r="K864" s="40"/>
      <c r="L864" s="40"/>
      <c r="M864" s="40"/>
      <c r="N864" s="41"/>
      <c r="O864" s="20"/>
      <c r="P864" s="20"/>
      <c r="Q864" s="21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ht="15.75" customHeight="1">
      <c r="A865" s="20"/>
      <c r="B865" s="20"/>
      <c r="C865" s="20"/>
      <c r="D865" s="38"/>
      <c r="E865" s="38"/>
      <c r="F865" s="38"/>
      <c r="G865" s="38"/>
      <c r="H865" s="39"/>
      <c r="I865" s="39"/>
      <c r="J865" s="40"/>
      <c r="K865" s="40"/>
      <c r="L865" s="40"/>
      <c r="M865" s="40"/>
      <c r="N865" s="41"/>
      <c r="O865" s="20"/>
      <c r="P865" s="20"/>
      <c r="Q865" s="21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ht="15.75" customHeight="1">
      <c r="A866" s="20"/>
      <c r="B866" s="20"/>
      <c r="C866" s="20"/>
      <c r="D866" s="38"/>
      <c r="E866" s="38"/>
      <c r="F866" s="38"/>
      <c r="G866" s="38"/>
      <c r="H866" s="39"/>
      <c r="I866" s="39"/>
      <c r="J866" s="40"/>
      <c r="K866" s="40"/>
      <c r="L866" s="40"/>
      <c r="M866" s="40"/>
      <c r="N866" s="41"/>
      <c r="O866" s="20"/>
      <c r="P866" s="20"/>
      <c r="Q866" s="21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ht="15.75" customHeight="1">
      <c r="A867" s="20"/>
      <c r="B867" s="20"/>
      <c r="C867" s="20"/>
      <c r="D867" s="38"/>
      <c r="E867" s="38"/>
      <c r="F867" s="38"/>
      <c r="G867" s="38"/>
      <c r="H867" s="39"/>
      <c r="I867" s="39"/>
      <c r="J867" s="40"/>
      <c r="K867" s="40"/>
      <c r="L867" s="40"/>
      <c r="M867" s="40"/>
      <c r="N867" s="41"/>
      <c r="O867" s="20"/>
      <c r="P867" s="20"/>
      <c r="Q867" s="21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ht="15.75" customHeight="1">
      <c r="A868" s="20"/>
      <c r="B868" s="20"/>
      <c r="C868" s="20"/>
      <c r="D868" s="38"/>
      <c r="E868" s="38"/>
      <c r="F868" s="38"/>
      <c r="G868" s="38"/>
      <c r="H868" s="39"/>
      <c r="I868" s="39"/>
      <c r="J868" s="40"/>
      <c r="K868" s="40"/>
      <c r="L868" s="40"/>
      <c r="M868" s="40"/>
      <c r="N868" s="41"/>
      <c r="O868" s="20"/>
      <c r="P868" s="20"/>
      <c r="Q868" s="21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ht="15.75" customHeight="1">
      <c r="A869" s="20"/>
      <c r="B869" s="20"/>
      <c r="C869" s="20"/>
      <c r="D869" s="38"/>
      <c r="E869" s="38"/>
      <c r="F869" s="38"/>
      <c r="G869" s="38"/>
      <c r="H869" s="39"/>
      <c r="I869" s="39"/>
      <c r="J869" s="40"/>
      <c r="K869" s="40"/>
      <c r="L869" s="40"/>
      <c r="M869" s="40"/>
      <c r="N869" s="41"/>
      <c r="O869" s="20"/>
      <c r="P869" s="20"/>
      <c r="Q869" s="21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ht="15.75" customHeight="1">
      <c r="A870" s="20"/>
      <c r="B870" s="20"/>
      <c r="C870" s="20"/>
      <c r="D870" s="38"/>
      <c r="E870" s="38"/>
      <c r="F870" s="38"/>
      <c r="G870" s="38"/>
      <c r="H870" s="39"/>
      <c r="I870" s="39"/>
      <c r="J870" s="40"/>
      <c r="K870" s="40"/>
      <c r="L870" s="40"/>
      <c r="M870" s="40"/>
      <c r="N870" s="41"/>
      <c r="O870" s="20"/>
      <c r="P870" s="20"/>
      <c r="Q870" s="21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ht="15.75" customHeight="1">
      <c r="A871" s="20"/>
      <c r="B871" s="20"/>
      <c r="C871" s="20"/>
      <c r="D871" s="38"/>
      <c r="E871" s="38"/>
      <c r="F871" s="38"/>
      <c r="G871" s="38"/>
      <c r="H871" s="39"/>
      <c r="I871" s="39"/>
      <c r="J871" s="40"/>
      <c r="K871" s="40"/>
      <c r="L871" s="40"/>
      <c r="M871" s="40"/>
      <c r="N871" s="41"/>
      <c r="O871" s="20"/>
      <c r="P871" s="20"/>
      <c r="Q871" s="21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ht="15.75" customHeight="1">
      <c r="A872" s="20"/>
      <c r="B872" s="20"/>
      <c r="C872" s="20"/>
      <c r="D872" s="38"/>
      <c r="E872" s="38"/>
      <c r="F872" s="38"/>
      <c r="G872" s="38"/>
      <c r="H872" s="39"/>
      <c r="I872" s="39"/>
      <c r="J872" s="40"/>
      <c r="K872" s="40"/>
      <c r="L872" s="40"/>
      <c r="M872" s="40"/>
      <c r="N872" s="41"/>
      <c r="O872" s="20"/>
      <c r="P872" s="20"/>
      <c r="Q872" s="21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ht="15.75" customHeight="1">
      <c r="A873" s="20"/>
      <c r="B873" s="20"/>
      <c r="C873" s="20"/>
      <c r="D873" s="38"/>
      <c r="E873" s="38"/>
      <c r="F873" s="38"/>
      <c r="G873" s="38"/>
      <c r="H873" s="39"/>
      <c r="I873" s="39"/>
      <c r="J873" s="40"/>
      <c r="K873" s="40"/>
      <c r="L873" s="40"/>
      <c r="M873" s="40"/>
      <c r="N873" s="41"/>
      <c r="O873" s="20"/>
      <c r="P873" s="20"/>
      <c r="Q873" s="21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ht="15.75" customHeight="1">
      <c r="A874" s="20"/>
      <c r="B874" s="20"/>
      <c r="C874" s="20"/>
      <c r="D874" s="38"/>
      <c r="E874" s="38"/>
      <c r="F874" s="38"/>
      <c r="G874" s="38"/>
      <c r="H874" s="39"/>
      <c r="I874" s="39"/>
      <c r="J874" s="40"/>
      <c r="K874" s="40"/>
      <c r="L874" s="40"/>
      <c r="M874" s="40"/>
      <c r="N874" s="41"/>
      <c r="O874" s="20"/>
      <c r="P874" s="20"/>
      <c r="Q874" s="21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ht="15.75" customHeight="1">
      <c r="A875" s="20"/>
      <c r="B875" s="20"/>
      <c r="C875" s="20"/>
      <c r="D875" s="38"/>
      <c r="E875" s="38"/>
      <c r="F875" s="38"/>
      <c r="G875" s="38"/>
      <c r="H875" s="39"/>
      <c r="I875" s="39"/>
      <c r="J875" s="40"/>
      <c r="K875" s="40"/>
      <c r="L875" s="40"/>
      <c r="M875" s="40"/>
      <c r="N875" s="41"/>
      <c r="O875" s="20"/>
      <c r="P875" s="20"/>
      <c r="Q875" s="21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ht="15.75" customHeight="1">
      <c r="A876" s="20"/>
      <c r="B876" s="20"/>
      <c r="C876" s="20"/>
      <c r="D876" s="38"/>
      <c r="E876" s="38"/>
      <c r="F876" s="38"/>
      <c r="G876" s="38"/>
      <c r="H876" s="39"/>
      <c r="I876" s="39"/>
      <c r="J876" s="40"/>
      <c r="K876" s="40"/>
      <c r="L876" s="40"/>
      <c r="M876" s="40"/>
      <c r="N876" s="41"/>
      <c r="O876" s="20"/>
      <c r="P876" s="20"/>
      <c r="Q876" s="21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ht="15.75" customHeight="1">
      <c r="A877" s="20"/>
      <c r="B877" s="20"/>
      <c r="C877" s="20"/>
      <c r="D877" s="38"/>
      <c r="E877" s="38"/>
      <c r="F877" s="38"/>
      <c r="G877" s="38"/>
      <c r="H877" s="39"/>
      <c r="I877" s="39"/>
      <c r="J877" s="40"/>
      <c r="K877" s="40"/>
      <c r="L877" s="40"/>
      <c r="M877" s="40"/>
      <c r="N877" s="41"/>
      <c r="O877" s="20"/>
      <c r="P877" s="20"/>
      <c r="Q877" s="21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ht="15.75" customHeight="1">
      <c r="A878" s="20"/>
      <c r="B878" s="20"/>
      <c r="C878" s="20"/>
      <c r="D878" s="38"/>
      <c r="E878" s="38"/>
      <c r="F878" s="38"/>
      <c r="G878" s="38"/>
      <c r="H878" s="39"/>
      <c r="I878" s="39"/>
      <c r="J878" s="40"/>
      <c r="K878" s="40"/>
      <c r="L878" s="40"/>
      <c r="M878" s="40"/>
      <c r="N878" s="41"/>
      <c r="O878" s="20"/>
      <c r="P878" s="20"/>
      <c r="Q878" s="21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ht="15.75" customHeight="1">
      <c r="A879" s="20"/>
      <c r="B879" s="20"/>
      <c r="C879" s="20"/>
      <c r="D879" s="38"/>
      <c r="E879" s="38"/>
      <c r="F879" s="38"/>
      <c r="G879" s="38"/>
      <c r="H879" s="39"/>
      <c r="I879" s="39"/>
      <c r="J879" s="40"/>
      <c r="K879" s="40"/>
      <c r="L879" s="40"/>
      <c r="M879" s="40"/>
      <c r="N879" s="41"/>
      <c r="O879" s="20"/>
      <c r="P879" s="20"/>
      <c r="Q879" s="21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5.75" customHeight="1">
      <c r="A880" s="20"/>
      <c r="B880" s="20"/>
      <c r="C880" s="20"/>
      <c r="D880" s="38"/>
      <c r="E880" s="38"/>
      <c r="F880" s="38"/>
      <c r="G880" s="38"/>
      <c r="H880" s="39"/>
      <c r="I880" s="39"/>
      <c r="J880" s="40"/>
      <c r="K880" s="40"/>
      <c r="L880" s="40"/>
      <c r="M880" s="40"/>
      <c r="N880" s="41"/>
      <c r="O880" s="20"/>
      <c r="P880" s="20"/>
      <c r="Q880" s="21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ht="15.75" customHeight="1">
      <c r="A881" s="20"/>
      <c r="B881" s="20"/>
      <c r="C881" s="20"/>
      <c r="D881" s="38"/>
      <c r="E881" s="38"/>
      <c r="F881" s="38"/>
      <c r="G881" s="38"/>
      <c r="H881" s="39"/>
      <c r="I881" s="39"/>
      <c r="J881" s="40"/>
      <c r="K881" s="40"/>
      <c r="L881" s="40"/>
      <c r="M881" s="40"/>
      <c r="N881" s="41"/>
      <c r="O881" s="20"/>
      <c r="P881" s="20"/>
      <c r="Q881" s="21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ht="15.75" customHeight="1">
      <c r="A882" s="20"/>
      <c r="B882" s="20"/>
      <c r="C882" s="20"/>
      <c r="D882" s="38"/>
      <c r="E882" s="38"/>
      <c r="F882" s="38"/>
      <c r="G882" s="38"/>
      <c r="H882" s="39"/>
      <c r="I882" s="39"/>
      <c r="J882" s="40"/>
      <c r="K882" s="40"/>
      <c r="L882" s="40"/>
      <c r="M882" s="40"/>
      <c r="N882" s="41"/>
      <c r="O882" s="20"/>
      <c r="P882" s="20"/>
      <c r="Q882" s="21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ht="15.75" customHeight="1">
      <c r="A883" s="20"/>
      <c r="B883" s="20"/>
      <c r="C883" s="20"/>
      <c r="D883" s="38"/>
      <c r="E883" s="38"/>
      <c r="F883" s="38"/>
      <c r="G883" s="38"/>
      <c r="H883" s="39"/>
      <c r="I883" s="39"/>
      <c r="J883" s="40"/>
      <c r="K883" s="40"/>
      <c r="L883" s="40"/>
      <c r="M883" s="40"/>
      <c r="N883" s="41"/>
      <c r="O883" s="20"/>
      <c r="P883" s="20"/>
      <c r="Q883" s="21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ht="15.75" customHeight="1">
      <c r="A884" s="20"/>
      <c r="B884" s="20"/>
      <c r="C884" s="20"/>
      <c r="D884" s="38"/>
      <c r="E884" s="38"/>
      <c r="F884" s="38"/>
      <c r="G884" s="38"/>
      <c r="H884" s="39"/>
      <c r="I884" s="39"/>
      <c r="J884" s="40"/>
      <c r="K884" s="40"/>
      <c r="L884" s="40"/>
      <c r="M884" s="40"/>
      <c r="N884" s="41"/>
      <c r="O884" s="20"/>
      <c r="P884" s="20"/>
      <c r="Q884" s="21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ht="15.75" customHeight="1">
      <c r="A885" s="20"/>
      <c r="B885" s="20"/>
      <c r="C885" s="20"/>
      <c r="D885" s="38"/>
      <c r="E885" s="38"/>
      <c r="F885" s="38"/>
      <c r="G885" s="38"/>
      <c r="H885" s="39"/>
      <c r="I885" s="39"/>
      <c r="J885" s="40"/>
      <c r="K885" s="40"/>
      <c r="L885" s="40"/>
      <c r="M885" s="40"/>
      <c r="N885" s="41"/>
      <c r="O885" s="20"/>
      <c r="P885" s="20"/>
      <c r="Q885" s="21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ht="15.75" customHeight="1">
      <c r="A886" s="20"/>
      <c r="B886" s="20"/>
      <c r="C886" s="20"/>
      <c r="D886" s="38"/>
      <c r="E886" s="38"/>
      <c r="F886" s="38"/>
      <c r="G886" s="38"/>
      <c r="H886" s="39"/>
      <c r="I886" s="39"/>
      <c r="J886" s="40"/>
      <c r="K886" s="40"/>
      <c r="L886" s="40"/>
      <c r="M886" s="40"/>
      <c r="N886" s="41"/>
      <c r="O886" s="20"/>
      <c r="P886" s="20"/>
      <c r="Q886" s="21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ht="15.75" customHeight="1">
      <c r="A887" s="20"/>
      <c r="B887" s="20"/>
      <c r="C887" s="20"/>
      <c r="D887" s="38"/>
      <c r="E887" s="38"/>
      <c r="F887" s="38"/>
      <c r="G887" s="38"/>
      <c r="H887" s="39"/>
      <c r="I887" s="39"/>
      <c r="J887" s="40"/>
      <c r="K887" s="40"/>
      <c r="L887" s="40"/>
      <c r="M887" s="40"/>
      <c r="N887" s="41"/>
      <c r="O887" s="20"/>
      <c r="P887" s="20"/>
      <c r="Q887" s="21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ht="15.75" customHeight="1">
      <c r="A888" s="20"/>
      <c r="B888" s="20"/>
      <c r="C888" s="20"/>
      <c r="D888" s="38"/>
      <c r="E888" s="38"/>
      <c r="F888" s="38"/>
      <c r="G888" s="38"/>
      <c r="H888" s="39"/>
      <c r="I888" s="39"/>
      <c r="J888" s="40"/>
      <c r="K888" s="40"/>
      <c r="L888" s="40"/>
      <c r="M888" s="40"/>
      <c r="N888" s="41"/>
      <c r="O888" s="20"/>
      <c r="P888" s="20"/>
      <c r="Q888" s="21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ht="15.75" customHeight="1">
      <c r="A889" s="20"/>
      <c r="B889" s="20"/>
      <c r="C889" s="20"/>
      <c r="D889" s="38"/>
      <c r="E889" s="38"/>
      <c r="F889" s="38"/>
      <c r="G889" s="38"/>
      <c r="H889" s="39"/>
      <c r="I889" s="39"/>
      <c r="J889" s="40"/>
      <c r="K889" s="40"/>
      <c r="L889" s="40"/>
      <c r="M889" s="40"/>
      <c r="N889" s="41"/>
      <c r="O889" s="20"/>
      <c r="P889" s="20"/>
      <c r="Q889" s="21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ht="15.75" customHeight="1">
      <c r="A890" s="20"/>
      <c r="B890" s="20"/>
      <c r="C890" s="20"/>
      <c r="D890" s="38"/>
      <c r="E890" s="38"/>
      <c r="F890" s="38"/>
      <c r="G890" s="38"/>
      <c r="H890" s="39"/>
      <c r="I890" s="39"/>
      <c r="J890" s="40"/>
      <c r="K890" s="40"/>
      <c r="L890" s="40"/>
      <c r="M890" s="40"/>
      <c r="N890" s="41"/>
      <c r="O890" s="20"/>
      <c r="P890" s="20"/>
      <c r="Q890" s="21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ht="15.75" customHeight="1">
      <c r="A891" s="20"/>
      <c r="B891" s="20"/>
      <c r="C891" s="20"/>
      <c r="D891" s="38"/>
      <c r="E891" s="38"/>
      <c r="F891" s="38"/>
      <c r="G891" s="38"/>
      <c r="H891" s="39"/>
      <c r="I891" s="39"/>
      <c r="J891" s="40"/>
      <c r="K891" s="40"/>
      <c r="L891" s="40"/>
      <c r="M891" s="40"/>
      <c r="N891" s="41"/>
      <c r="O891" s="20"/>
      <c r="P891" s="20"/>
      <c r="Q891" s="21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ht="15.75" customHeight="1">
      <c r="A892" s="20"/>
      <c r="B892" s="20"/>
      <c r="C892" s="20"/>
      <c r="D892" s="38"/>
      <c r="E892" s="38"/>
      <c r="F892" s="38"/>
      <c r="G892" s="38"/>
      <c r="H892" s="39"/>
      <c r="I892" s="39"/>
      <c r="J892" s="40"/>
      <c r="K892" s="40"/>
      <c r="L892" s="40"/>
      <c r="M892" s="40"/>
      <c r="N892" s="41"/>
      <c r="O892" s="20"/>
      <c r="P892" s="20"/>
      <c r="Q892" s="21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ht="15.75" customHeight="1">
      <c r="A893" s="20"/>
      <c r="B893" s="20"/>
      <c r="C893" s="20"/>
      <c r="D893" s="38"/>
      <c r="E893" s="38"/>
      <c r="F893" s="38"/>
      <c r="G893" s="38"/>
      <c r="H893" s="39"/>
      <c r="I893" s="39"/>
      <c r="J893" s="40"/>
      <c r="K893" s="40"/>
      <c r="L893" s="40"/>
      <c r="M893" s="40"/>
      <c r="N893" s="41"/>
      <c r="O893" s="20"/>
      <c r="P893" s="20"/>
      <c r="Q893" s="21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ht="15.75" customHeight="1">
      <c r="A894" s="20"/>
      <c r="B894" s="20"/>
      <c r="C894" s="20"/>
      <c r="D894" s="38"/>
      <c r="E894" s="38"/>
      <c r="F894" s="38"/>
      <c r="G894" s="38"/>
      <c r="H894" s="39"/>
      <c r="I894" s="39"/>
      <c r="J894" s="40"/>
      <c r="K894" s="40"/>
      <c r="L894" s="40"/>
      <c r="M894" s="40"/>
      <c r="N894" s="41"/>
      <c r="O894" s="20"/>
      <c r="P894" s="20"/>
      <c r="Q894" s="21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ht="15.75" customHeight="1">
      <c r="A895" s="20"/>
      <c r="B895" s="20"/>
      <c r="C895" s="20"/>
      <c r="D895" s="38"/>
      <c r="E895" s="38"/>
      <c r="F895" s="38"/>
      <c r="G895" s="38"/>
      <c r="H895" s="39"/>
      <c r="I895" s="39"/>
      <c r="J895" s="40"/>
      <c r="K895" s="40"/>
      <c r="L895" s="40"/>
      <c r="M895" s="40"/>
      <c r="N895" s="41"/>
      <c r="O895" s="20"/>
      <c r="P895" s="20"/>
      <c r="Q895" s="21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ht="15.75" customHeight="1">
      <c r="A896" s="20"/>
      <c r="B896" s="20"/>
      <c r="C896" s="20"/>
      <c r="D896" s="38"/>
      <c r="E896" s="38"/>
      <c r="F896" s="38"/>
      <c r="G896" s="38"/>
      <c r="H896" s="39"/>
      <c r="I896" s="39"/>
      <c r="J896" s="40"/>
      <c r="K896" s="40"/>
      <c r="L896" s="40"/>
      <c r="M896" s="40"/>
      <c r="N896" s="41"/>
      <c r="O896" s="20"/>
      <c r="P896" s="20"/>
      <c r="Q896" s="21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ht="15.75" customHeight="1">
      <c r="A897" s="20"/>
      <c r="B897" s="20"/>
      <c r="C897" s="20"/>
      <c r="D897" s="38"/>
      <c r="E897" s="38"/>
      <c r="F897" s="38"/>
      <c r="G897" s="38"/>
      <c r="H897" s="39"/>
      <c r="I897" s="39"/>
      <c r="J897" s="40"/>
      <c r="K897" s="40"/>
      <c r="L897" s="40"/>
      <c r="M897" s="40"/>
      <c r="N897" s="41"/>
      <c r="O897" s="20"/>
      <c r="P897" s="20"/>
      <c r="Q897" s="21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ht="15.75" customHeight="1">
      <c r="A898" s="20"/>
      <c r="B898" s="20"/>
      <c r="C898" s="20"/>
      <c r="D898" s="38"/>
      <c r="E898" s="38"/>
      <c r="F898" s="38"/>
      <c r="G898" s="38"/>
      <c r="H898" s="39"/>
      <c r="I898" s="39"/>
      <c r="J898" s="40"/>
      <c r="K898" s="40"/>
      <c r="L898" s="40"/>
      <c r="M898" s="40"/>
      <c r="N898" s="41"/>
      <c r="O898" s="20"/>
      <c r="P898" s="20"/>
      <c r="Q898" s="21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ht="15.75" customHeight="1">
      <c r="A899" s="20"/>
      <c r="B899" s="20"/>
      <c r="C899" s="20"/>
      <c r="D899" s="38"/>
      <c r="E899" s="38"/>
      <c r="F899" s="38"/>
      <c r="G899" s="38"/>
      <c r="H899" s="39"/>
      <c r="I899" s="39"/>
      <c r="J899" s="40"/>
      <c r="K899" s="40"/>
      <c r="L899" s="40"/>
      <c r="M899" s="40"/>
      <c r="N899" s="41"/>
      <c r="O899" s="20"/>
      <c r="P899" s="20"/>
      <c r="Q899" s="21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ht="15.75" customHeight="1">
      <c r="A900" s="20"/>
      <c r="B900" s="20"/>
      <c r="C900" s="20"/>
      <c r="D900" s="38"/>
      <c r="E900" s="38"/>
      <c r="F900" s="38"/>
      <c r="G900" s="38"/>
      <c r="H900" s="39"/>
      <c r="I900" s="39"/>
      <c r="J900" s="40"/>
      <c r="K900" s="40"/>
      <c r="L900" s="40"/>
      <c r="M900" s="40"/>
      <c r="N900" s="41"/>
      <c r="O900" s="20"/>
      <c r="P900" s="20"/>
      <c r="Q900" s="21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ht="15.75" customHeight="1">
      <c r="A901" s="20"/>
      <c r="B901" s="20"/>
      <c r="C901" s="20"/>
      <c r="D901" s="38"/>
      <c r="E901" s="38"/>
      <c r="F901" s="38"/>
      <c r="G901" s="38"/>
      <c r="H901" s="39"/>
      <c r="I901" s="39"/>
      <c r="J901" s="40"/>
      <c r="K901" s="40"/>
      <c r="L901" s="40"/>
      <c r="M901" s="40"/>
      <c r="N901" s="41"/>
      <c r="O901" s="20"/>
      <c r="P901" s="20"/>
      <c r="Q901" s="21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ht="15.75" customHeight="1">
      <c r="A902" s="20"/>
      <c r="B902" s="20"/>
      <c r="C902" s="20"/>
      <c r="D902" s="38"/>
      <c r="E902" s="38"/>
      <c r="F902" s="38"/>
      <c r="G902" s="38"/>
      <c r="H902" s="39"/>
      <c r="I902" s="39"/>
      <c r="J902" s="40"/>
      <c r="K902" s="40"/>
      <c r="L902" s="40"/>
      <c r="M902" s="40"/>
      <c r="N902" s="41"/>
      <c r="O902" s="20"/>
      <c r="P902" s="20"/>
      <c r="Q902" s="21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ht="15.75" customHeight="1">
      <c r="A903" s="20"/>
      <c r="B903" s="20"/>
      <c r="C903" s="20"/>
      <c r="D903" s="38"/>
      <c r="E903" s="38"/>
      <c r="F903" s="38"/>
      <c r="G903" s="38"/>
      <c r="H903" s="39"/>
      <c r="I903" s="39"/>
      <c r="J903" s="40"/>
      <c r="K903" s="40"/>
      <c r="L903" s="40"/>
      <c r="M903" s="40"/>
      <c r="N903" s="41"/>
      <c r="O903" s="20"/>
      <c r="P903" s="20"/>
      <c r="Q903" s="21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ht="15.75" customHeight="1">
      <c r="A904" s="20"/>
      <c r="B904" s="20"/>
      <c r="C904" s="20"/>
      <c r="D904" s="38"/>
      <c r="E904" s="38"/>
      <c r="F904" s="38"/>
      <c r="G904" s="38"/>
      <c r="H904" s="39"/>
      <c r="I904" s="39"/>
      <c r="J904" s="40"/>
      <c r="K904" s="40"/>
      <c r="L904" s="40"/>
      <c r="M904" s="40"/>
      <c r="N904" s="41"/>
      <c r="O904" s="20"/>
      <c r="P904" s="20"/>
      <c r="Q904" s="21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ht="15.75" customHeight="1">
      <c r="A905" s="20"/>
      <c r="B905" s="20"/>
      <c r="C905" s="20"/>
      <c r="D905" s="38"/>
      <c r="E905" s="38"/>
      <c r="F905" s="38"/>
      <c r="G905" s="38"/>
      <c r="H905" s="39"/>
      <c r="I905" s="39"/>
      <c r="J905" s="40"/>
      <c r="K905" s="40"/>
      <c r="L905" s="40"/>
      <c r="M905" s="40"/>
      <c r="N905" s="41"/>
      <c r="O905" s="20"/>
      <c r="P905" s="20"/>
      <c r="Q905" s="21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ht="15.75" customHeight="1">
      <c r="A906" s="20"/>
      <c r="B906" s="20"/>
      <c r="C906" s="20"/>
      <c r="D906" s="38"/>
      <c r="E906" s="38"/>
      <c r="F906" s="38"/>
      <c r="G906" s="38"/>
      <c r="H906" s="39"/>
      <c r="I906" s="39"/>
      <c r="J906" s="40"/>
      <c r="K906" s="40"/>
      <c r="L906" s="40"/>
      <c r="M906" s="40"/>
      <c r="N906" s="41"/>
      <c r="O906" s="20"/>
      <c r="P906" s="20"/>
      <c r="Q906" s="21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ht="15.75" customHeight="1">
      <c r="A907" s="20"/>
      <c r="B907" s="20"/>
      <c r="C907" s="20"/>
      <c r="D907" s="38"/>
      <c r="E907" s="38"/>
      <c r="F907" s="38"/>
      <c r="G907" s="38"/>
      <c r="H907" s="39"/>
      <c r="I907" s="39"/>
      <c r="J907" s="40"/>
      <c r="K907" s="40"/>
      <c r="L907" s="40"/>
      <c r="M907" s="40"/>
      <c r="N907" s="41"/>
      <c r="O907" s="20"/>
      <c r="P907" s="20"/>
      <c r="Q907" s="21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ht="15.75" customHeight="1">
      <c r="A908" s="20"/>
      <c r="B908" s="20"/>
      <c r="C908" s="20"/>
      <c r="D908" s="38"/>
      <c r="E908" s="38"/>
      <c r="F908" s="38"/>
      <c r="G908" s="38"/>
      <c r="H908" s="39"/>
      <c r="I908" s="39"/>
      <c r="J908" s="40"/>
      <c r="K908" s="40"/>
      <c r="L908" s="40"/>
      <c r="M908" s="40"/>
      <c r="N908" s="41"/>
      <c r="O908" s="20"/>
      <c r="P908" s="20"/>
      <c r="Q908" s="21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ht="15.75" customHeight="1">
      <c r="A909" s="20"/>
      <c r="B909" s="20"/>
      <c r="C909" s="20"/>
      <c r="D909" s="38"/>
      <c r="E909" s="38"/>
      <c r="F909" s="38"/>
      <c r="G909" s="38"/>
      <c r="H909" s="39"/>
      <c r="I909" s="39"/>
      <c r="J909" s="40"/>
      <c r="K909" s="40"/>
      <c r="L909" s="40"/>
      <c r="M909" s="40"/>
      <c r="N909" s="41"/>
      <c r="O909" s="20"/>
      <c r="P909" s="20"/>
      <c r="Q909" s="21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ht="15.75" customHeight="1">
      <c r="A910" s="20"/>
      <c r="B910" s="20"/>
      <c r="C910" s="20"/>
      <c r="D910" s="38"/>
      <c r="E910" s="38"/>
      <c r="F910" s="38"/>
      <c r="G910" s="38"/>
      <c r="H910" s="39"/>
      <c r="I910" s="39"/>
      <c r="J910" s="40"/>
      <c r="K910" s="40"/>
      <c r="L910" s="40"/>
      <c r="M910" s="40"/>
      <c r="N910" s="41"/>
      <c r="O910" s="20"/>
      <c r="P910" s="20"/>
      <c r="Q910" s="21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ht="15.75" customHeight="1">
      <c r="A911" s="20"/>
      <c r="B911" s="20"/>
      <c r="C911" s="20"/>
      <c r="D911" s="38"/>
      <c r="E911" s="38"/>
      <c r="F911" s="38"/>
      <c r="G911" s="38"/>
      <c r="H911" s="39"/>
      <c r="I911" s="39"/>
      <c r="J911" s="40"/>
      <c r="K911" s="40"/>
      <c r="L911" s="40"/>
      <c r="M911" s="40"/>
      <c r="N911" s="41"/>
      <c r="O911" s="20"/>
      <c r="P911" s="20"/>
      <c r="Q911" s="21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ht="15.75" customHeight="1">
      <c r="A912" s="20"/>
      <c r="B912" s="20"/>
      <c r="C912" s="20"/>
      <c r="D912" s="38"/>
      <c r="E912" s="38"/>
      <c r="F912" s="38"/>
      <c r="G912" s="38"/>
      <c r="H912" s="39"/>
      <c r="I912" s="39"/>
      <c r="J912" s="40"/>
      <c r="K912" s="40"/>
      <c r="L912" s="40"/>
      <c r="M912" s="40"/>
      <c r="N912" s="41"/>
      <c r="O912" s="20"/>
      <c r="P912" s="20"/>
      <c r="Q912" s="21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ht="15.75" customHeight="1">
      <c r="A913" s="20"/>
      <c r="B913" s="20"/>
      <c r="C913" s="20"/>
      <c r="D913" s="38"/>
      <c r="E913" s="38"/>
      <c r="F913" s="38"/>
      <c r="G913" s="38"/>
      <c r="H913" s="39"/>
      <c r="I913" s="39"/>
      <c r="J913" s="40"/>
      <c r="K913" s="40"/>
      <c r="L913" s="40"/>
      <c r="M913" s="40"/>
      <c r="N913" s="41"/>
      <c r="O913" s="20"/>
      <c r="P913" s="20"/>
      <c r="Q913" s="21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ht="15.75" customHeight="1">
      <c r="A914" s="20"/>
      <c r="B914" s="20"/>
      <c r="C914" s="20"/>
      <c r="D914" s="38"/>
      <c r="E914" s="38"/>
      <c r="F914" s="38"/>
      <c r="G914" s="38"/>
      <c r="H914" s="39"/>
      <c r="I914" s="39"/>
      <c r="J914" s="40"/>
      <c r="K914" s="40"/>
      <c r="L914" s="40"/>
      <c r="M914" s="40"/>
      <c r="N914" s="41"/>
      <c r="O914" s="20"/>
      <c r="P914" s="20"/>
      <c r="Q914" s="21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ht="15.75" customHeight="1">
      <c r="A915" s="20"/>
      <c r="B915" s="20"/>
      <c r="C915" s="20"/>
      <c r="D915" s="38"/>
      <c r="E915" s="38"/>
      <c r="F915" s="38"/>
      <c r="G915" s="38"/>
      <c r="H915" s="39"/>
      <c r="I915" s="39"/>
      <c r="J915" s="40"/>
      <c r="K915" s="40"/>
      <c r="L915" s="40"/>
      <c r="M915" s="40"/>
      <c r="N915" s="41"/>
      <c r="O915" s="20"/>
      <c r="P915" s="20"/>
      <c r="Q915" s="21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ht="15.75" customHeight="1">
      <c r="A916" s="20"/>
      <c r="B916" s="20"/>
      <c r="C916" s="20"/>
      <c r="D916" s="38"/>
      <c r="E916" s="38"/>
      <c r="F916" s="38"/>
      <c r="G916" s="38"/>
      <c r="H916" s="39"/>
      <c r="I916" s="39"/>
      <c r="J916" s="40"/>
      <c r="K916" s="40"/>
      <c r="L916" s="40"/>
      <c r="M916" s="40"/>
      <c r="N916" s="41"/>
      <c r="O916" s="20"/>
      <c r="P916" s="20"/>
      <c r="Q916" s="21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ht="15.75" customHeight="1">
      <c r="A917" s="20"/>
      <c r="B917" s="20"/>
      <c r="C917" s="20"/>
      <c r="D917" s="38"/>
      <c r="E917" s="38"/>
      <c r="F917" s="38"/>
      <c r="G917" s="38"/>
      <c r="H917" s="39"/>
      <c r="I917" s="39"/>
      <c r="J917" s="40"/>
      <c r="K917" s="40"/>
      <c r="L917" s="40"/>
      <c r="M917" s="40"/>
      <c r="N917" s="41"/>
      <c r="O917" s="20"/>
      <c r="P917" s="20"/>
      <c r="Q917" s="21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ht="15.75" customHeight="1">
      <c r="A918" s="20"/>
      <c r="B918" s="20"/>
      <c r="C918" s="20"/>
      <c r="D918" s="38"/>
      <c r="E918" s="38"/>
      <c r="F918" s="38"/>
      <c r="G918" s="38"/>
      <c r="H918" s="39"/>
      <c r="I918" s="39"/>
      <c r="J918" s="40"/>
      <c r="K918" s="40"/>
      <c r="L918" s="40"/>
      <c r="M918" s="40"/>
      <c r="N918" s="41"/>
      <c r="O918" s="20"/>
      <c r="P918" s="20"/>
      <c r="Q918" s="21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ht="15.75" customHeight="1">
      <c r="A919" s="20"/>
      <c r="B919" s="20"/>
      <c r="C919" s="20"/>
      <c r="D919" s="38"/>
      <c r="E919" s="38"/>
      <c r="F919" s="38"/>
      <c r="G919" s="38"/>
      <c r="H919" s="39"/>
      <c r="I919" s="39"/>
      <c r="J919" s="40"/>
      <c r="K919" s="40"/>
      <c r="L919" s="40"/>
      <c r="M919" s="40"/>
      <c r="N919" s="41"/>
      <c r="O919" s="20"/>
      <c r="P919" s="20"/>
      <c r="Q919" s="21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ht="15.75" customHeight="1">
      <c r="A920" s="20"/>
      <c r="B920" s="20"/>
      <c r="C920" s="20"/>
      <c r="D920" s="38"/>
      <c r="E920" s="38"/>
      <c r="F920" s="38"/>
      <c r="G920" s="38"/>
      <c r="H920" s="39"/>
      <c r="I920" s="39"/>
      <c r="J920" s="40"/>
      <c r="K920" s="40"/>
      <c r="L920" s="40"/>
      <c r="M920" s="40"/>
      <c r="N920" s="41"/>
      <c r="O920" s="20"/>
      <c r="P920" s="20"/>
      <c r="Q920" s="21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ht="15.75" customHeight="1">
      <c r="A921" s="20"/>
      <c r="B921" s="20"/>
      <c r="C921" s="20"/>
      <c r="D921" s="38"/>
      <c r="E921" s="38"/>
      <c r="F921" s="38"/>
      <c r="G921" s="38"/>
      <c r="H921" s="39"/>
      <c r="I921" s="39"/>
      <c r="J921" s="40"/>
      <c r="K921" s="40"/>
      <c r="L921" s="40"/>
      <c r="M921" s="40"/>
      <c r="N921" s="41"/>
      <c r="O921" s="20"/>
      <c r="P921" s="20"/>
      <c r="Q921" s="21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ht="15.75" customHeight="1">
      <c r="A922" s="20"/>
      <c r="B922" s="20"/>
      <c r="C922" s="20"/>
      <c r="D922" s="38"/>
      <c r="E922" s="38"/>
      <c r="F922" s="38"/>
      <c r="G922" s="38"/>
      <c r="H922" s="39"/>
      <c r="I922" s="39"/>
      <c r="J922" s="40"/>
      <c r="K922" s="40"/>
      <c r="L922" s="40"/>
      <c r="M922" s="40"/>
      <c r="N922" s="41"/>
      <c r="O922" s="20"/>
      <c r="P922" s="20"/>
      <c r="Q922" s="21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ht="15.75" customHeight="1">
      <c r="A923" s="20"/>
      <c r="B923" s="20"/>
      <c r="C923" s="20"/>
      <c r="D923" s="38"/>
      <c r="E923" s="38"/>
      <c r="F923" s="38"/>
      <c r="G923" s="38"/>
      <c r="H923" s="39"/>
      <c r="I923" s="39"/>
      <c r="J923" s="40"/>
      <c r="K923" s="40"/>
      <c r="L923" s="40"/>
      <c r="M923" s="40"/>
      <c r="N923" s="41"/>
      <c r="O923" s="20"/>
      <c r="P923" s="20"/>
      <c r="Q923" s="21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ht="15.75" customHeight="1">
      <c r="A924" s="20"/>
      <c r="B924" s="20"/>
      <c r="C924" s="20"/>
      <c r="D924" s="38"/>
      <c r="E924" s="38"/>
      <c r="F924" s="38"/>
      <c r="G924" s="38"/>
      <c r="H924" s="39"/>
      <c r="I924" s="39"/>
      <c r="J924" s="40"/>
      <c r="K924" s="40"/>
      <c r="L924" s="40"/>
      <c r="M924" s="40"/>
      <c r="N924" s="41"/>
      <c r="O924" s="20"/>
      <c r="P924" s="20"/>
      <c r="Q924" s="21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ht="15.75" customHeight="1">
      <c r="A925" s="20"/>
      <c r="B925" s="20"/>
      <c r="C925" s="20"/>
      <c r="D925" s="38"/>
      <c r="E925" s="38"/>
      <c r="F925" s="38"/>
      <c r="G925" s="38"/>
      <c r="H925" s="39"/>
      <c r="I925" s="39"/>
      <c r="J925" s="40"/>
      <c r="K925" s="40"/>
      <c r="L925" s="40"/>
      <c r="M925" s="40"/>
      <c r="N925" s="41"/>
      <c r="O925" s="20"/>
      <c r="P925" s="20"/>
      <c r="Q925" s="21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ht="15.75" customHeight="1">
      <c r="A926" s="20"/>
      <c r="B926" s="20"/>
      <c r="C926" s="20"/>
      <c r="D926" s="38"/>
      <c r="E926" s="38"/>
      <c r="F926" s="38"/>
      <c r="G926" s="38"/>
      <c r="H926" s="39"/>
      <c r="I926" s="39"/>
      <c r="J926" s="40"/>
      <c r="K926" s="40"/>
      <c r="L926" s="40"/>
      <c r="M926" s="40"/>
      <c r="N926" s="41"/>
      <c r="O926" s="20"/>
      <c r="P926" s="20"/>
      <c r="Q926" s="21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ht="15.75" customHeight="1">
      <c r="A927" s="20"/>
      <c r="B927" s="20"/>
      <c r="C927" s="20"/>
      <c r="D927" s="38"/>
      <c r="E927" s="38"/>
      <c r="F927" s="38"/>
      <c r="G927" s="38"/>
      <c r="H927" s="39"/>
      <c r="I927" s="39"/>
      <c r="J927" s="40"/>
      <c r="K927" s="40"/>
      <c r="L927" s="40"/>
      <c r="M927" s="40"/>
      <c r="N927" s="41"/>
      <c r="O927" s="20"/>
      <c r="P927" s="20"/>
      <c r="Q927" s="21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ht="15.75" customHeight="1">
      <c r="A928" s="20"/>
      <c r="B928" s="20"/>
      <c r="C928" s="20"/>
      <c r="D928" s="38"/>
      <c r="E928" s="38"/>
      <c r="F928" s="38"/>
      <c r="G928" s="38"/>
      <c r="H928" s="39"/>
      <c r="I928" s="39"/>
      <c r="J928" s="40"/>
      <c r="K928" s="40"/>
      <c r="L928" s="40"/>
      <c r="M928" s="40"/>
      <c r="N928" s="41"/>
      <c r="O928" s="20"/>
      <c r="P928" s="20"/>
      <c r="Q928" s="21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ht="15.75" customHeight="1">
      <c r="A929" s="20"/>
      <c r="B929" s="20"/>
      <c r="C929" s="20"/>
      <c r="D929" s="38"/>
      <c r="E929" s="38"/>
      <c r="F929" s="38"/>
      <c r="G929" s="38"/>
      <c r="H929" s="39"/>
      <c r="I929" s="39"/>
      <c r="J929" s="40"/>
      <c r="K929" s="40"/>
      <c r="L929" s="40"/>
      <c r="M929" s="40"/>
      <c r="N929" s="41"/>
      <c r="O929" s="20"/>
      <c r="P929" s="20"/>
      <c r="Q929" s="21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ht="15.75" customHeight="1">
      <c r="A930" s="20"/>
      <c r="B930" s="20"/>
      <c r="C930" s="20"/>
      <c r="D930" s="38"/>
      <c r="E930" s="38"/>
      <c r="F930" s="38"/>
      <c r="G930" s="38"/>
      <c r="H930" s="39"/>
      <c r="I930" s="39"/>
      <c r="J930" s="40"/>
      <c r="K930" s="40"/>
      <c r="L930" s="40"/>
      <c r="M930" s="40"/>
      <c r="N930" s="41"/>
      <c r="O930" s="20"/>
      <c r="P930" s="20"/>
      <c r="Q930" s="21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ht="15.75" customHeight="1">
      <c r="A931" s="20"/>
      <c r="B931" s="20"/>
      <c r="C931" s="20"/>
      <c r="D931" s="38"/>
      <c r="E931" s="38"/>
      <c r="F931" s="38"/>
      <c r="G931" s="38"/>
      <c r="H931" s="39"/>
      <c r="I931" s="39"/>
      <c r="J931" s="40"/>
      <c r="K931" s="40"/>
      <c r="L931" s="40"/>
      <c r="M931" s="40"/>
      <c r="N931" s="41"/>
      <c r="O931" s="20"/>
      <c r="P931" s="20"/>
      <c r="Q931" s="21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ht="15.75" customHeight="1">
      <c r="A932" s="20"/>
      <c r="B932" s="20"/>
      <c r="C932" s="20"/>
      <c r="D932" s="38"/>
      <c r="E932" s="38"/>
      <c r="F932" s="38"/>
      <c r="G932" s="38"/>
      <c r="H932" s="39"/>
      <c r="I932" s="39"/>
      <c r="J932" s="40"/>
      <c r="K932" s="40"/>
      <c r="L932" s="40"/>
      <c r="M932" s="40"/>
      <c r="N932" s="41"/>
      <c r="O932" s="20"/>
      <c r="P932" s="20"/>
      <c r="Q932" s="21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ht="15.75" customHeight="1">
      <c r="A933" s="20"/>
      <c r="B933" s="20"/>
      <c r="C933" s="20"/>
      <c r="D933" s="38"/>
      <c r="E933" s="38"/>
      <c r="F933" s="38"/>
      <c r="G933" s="38"/>
      <c r="H933" s="39"/>
      <c r="I933" s="39"/>
      <c r="J933" s="40"/>
      <c r="K933" s="40"/>
      <c r="L933" s="40"/>
      <c r="M933" s="40"/>
      <c r="N933" s="41"/>
      <c r="O933" s="20"/>
      <c r="P933" s="20"/>
      <c r="Q933" s="21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ht="15.75" customHeight="1">
      <c r="A934" s="20"/>
      <c r="B934" s="20"/>
      <c r="C934" s="20"/>
      <c r="D934" s="38"/>
      <c r="E934" s="38"/>
      <c r="F934" s="38"/>
      <c r="G934" s="38"/>
      <c r="H934" s="39"/>
      <c r="I934" s="39"/>
      <c r="J934" s="40"/>
      <c r="K934" s="40"/>
      <c r="L934" s="40"/>
      <c r="M934" s="40"/>
      <c r="N934" s="41"/>
      <c r="O934" s="20"/>
      <c r="P934" s="20"/>
      <c r="Q934" s="21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ht="15.75" customHeight="1">
      <c r="A935" s="20"/>
      <c r="B935" s="20"/>
      <c r="C935" s="20"/>
      <c r="D935" s="38"/>
      <c r="E935" s="38"/>
      <c r="F935" s="38"/>
      <c r="G935" s="38"/>
      <c r="H935" s="39"/>
      <c r="I935" s="39"/>
      <c r="J935" s="40"/>
      <c r="K935" s="40"/>
      <c r="L935" s="40"/>
      <c r="M935" s="40"/>
      <c r="N935" s="41"/>
      <c r="O935" s="20"/>
      <c r="P935" s="20"/>
      <c r="Q935" s="21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ht="15.75" customHeight="1">
      <c r="A936" s="20"/>
      <c r="B936" s="20"/>
      <c r="C936" s="20"/>
      <c r="D936" s="38"/>
      <c r="E936" s="38"/>
      <c r="F936" s="38"/>
      <c r="G936" s="38"/>
      <c r="H936" s="39"/>
      <c r="I936" s="39"/>
      <c r="J936" s="40"/>
      <c r="K936" s="40"/>
      <c r="L936" s="40"/>
      <c r="M936" s="40"/>
      <c r="N936" s="41"/>
      <c r="O936" s="20"/>
      <c r="P936" s="20"/>
      <c r="Q936" s="21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ht="15.75" customHeight="1">
      <c r="A937" s="20"/>
      <c r="B937" s="20"/>
      <c r="C937" s="20"/>
      <c r="D937" s="38"/>
      <c r="E937" s="38"/>
      <c r="F937" s="38"/>
      <c r="G937" s="38"/>
      <c r="H937" s="39"/>
      <c r="I937" s="39"/>
      <c r="J937" s="40"/>
      <c r="K937" s="40"/>
      <c r="L937" s="40"/>
      <c r="M937" s="40"/>
      <c r="N937" s="41"/>
      <c r="O937" s="20"/>
      <c r="P937" s="20"/>
      <c r="Q937" s="21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ht="15.75" customHeight="1">
      <c r="A938" s="20"/>
      <c r="B938" s="20"/>
      <c r="C938" s="20"/>
      <c r="D938" s="38"/>
      <c r="E938" s="38"/>
      <c r="F938" s="38"/>
      <c r="G938" s="38"/>
      <c r="H938" s="39"/>
      <c r="I938" s="39"/>
      <c r="J938" s="40"/>
      <c r="K938" s="40"/>
      <c r="L938" s="40"/>
      <c r="M938" s="40"/>
      <c r="N938" s="41"/>
      <c r="O938" s="20"/>
      <c r="P938" s="20"/>
      <c r="Q938" s="21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ht="15.75" customHeight="1">
      <c r="A939" s="20"/>
      <c r="B939" s="20"/>
      <c r="C939" s="20"/>
      <c r="D939" s="38"/>
      <c r="E939" s="38"/>
      <c r="F939" s="38"/>
      <c r="G939" s="38"/>
      <c r="H939" s="39"/>
      <c r="I939" s="39"/>
      <c r="J939" s="40"/>
      <c r="K939" s="40"/>
      <c r="L939" s="40"/>
      <c r="M939" s="40"/>
      <c r="N939" s="41"/>
      <c r="O939" s="20"/>
      <c r="P939" s="20"/>
      <c r="Q939" s="21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ht="15.75" customHeight="1">
      <c r="A940" s="20"/>
      <c r="B940" s="20"/>
      <c r="C940" s="20"/>
      <c r="D940" s="38"/>
      <c r="E940" s="38"/>
      <c r="F940" s="38"/>
      <c r="G940" s="38"/>
      <c r="H940" s="39"/>
      <c r="I940" s="39"/>
      <c r="J940" s="40"/>
      <c r="K940" s="40"/>
      <c r="L940" s="40"/>
      <c r="M940" s="40"/>
      <c r="N940" s="41"/>
      <c r="O940" s="20"/>
      <c r="P940" s="20"/>
      <c r="Q940" s="21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ht="15.75" customHeight="1">
      <c r="A941" s="20"/>
      <c r="B941" s="20"/>
      <c r="C941" s="20"/>
      <c r="D941" s="38"/>
      <c r="E941" s="38"/>
      <c r="F941" s="38"/>
      <c r="G941" s="38"/>
      <c r="H941" s="39"/>
      <c r="I941" s="39"/>
      <c r="J941" s="40"/>
      <c r="K941" s="40"/>
      <c r="L941" s="40"/>
      <c r="M941" s="40"/>
      <c r="N941" s="41"/>
      <c r="O941" s="20"/>
      <c r="P941" s="20"/>
      <c r="Q941" s="21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ht="15.75" customHeight="1">
      <c r="A942" s="20"/>
      <c r="B942" s="20"/>
      <c r="C942" s="20"/>
      <c r="D942" s="38"/>
      <c r="E942" s="38"/>
      <c r="F942" s="38"/>
      <c r="G942" s="38"/>
      <c r="H942" s="39"/>
      <c r="I942" s="39"/>
      <c r="J942" s="40"/>
      <c r="K942" s="40"/>
      <c r="L942" s="40"/>
      <c r="M942" s="40"/>
      <c r="N942" s="41"/>
      <c r="O942" s="20"/>
      <c r="P942" s="20"/>
      <c r="Q942" s="21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ht="15.75" customHeight="1">
      <c r="A943" s="20"/>
      <c r="B943" s="20"/>
      <c r="C943" s="20"/>
      <c r="D943" s="38"/>
      <c r="E943" s="38"/>
      <c r="F943" s="38"/>
      <c r="G943" s="38"/>
      <c r="H943" s="39"/>
      <c r="I943" s="39"/>
      <c r="J943" s="40"/>
      <c r="K943" s="40"/>
      <c r="L943" s="40"/>
      <c r="M943" s="40"/>
      <c r="N943" s="41"/>
      <c r="O943" s="20"/>
      <c r="P943" s="20"/>
      <c r="Q943" s="21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ht="15.75" customHeight="1">
      <c r="A944" s="20"/>
      <c r="B944" s="20"/>
      <c r="C944" s="20"/>
      <c r="D944" s="38"/>
      <c r="E944" s="38"/>
      <c r="F944" s="38"/>
      <c r="G944" s="38"/>
      <c r="H944" s="39"/>
      <c r="I944" s="39"/>
      <c r="J944" s="40"/>
      <c r="K944" s="40"/>
      <c r="L944" s="40"/>
      <c r="M944" s="40"/>
      <c r="N944" s="41"/>
      <c r="O944" s="20"/>
      <c r="P944" s="20"/>
      <c r="Q944" s="21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ht="15.75" customHeight="1">
      <c r="A945" s="20"/>
      <c r="B945" s="20"/>
      <c r="C945" s="20"/>
      <c r="D945" s="38"/>
      <c r="E945" s="38"/>
      <c r="F945" s="38"/>
      <c r="G945" s="38"/>
      <c r="H945" s="39"/>
      <c r="I945" s="39"/>
      <c r="J945" s="40"/>
      <c r="K945" s="40"/>
      <c r="L945" s="40"/>
      <c r="M945" s="40"/>
      <c r="N945" s="41"/>
      <c r="O945" s="20"/>
      <c r="P945" s="20"/>
      <c r="Q945" s="21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ht="15.75" customHeight="1">
      <c r="A946" s="20"/>
      <c r="B946" s="20"/>
      <c r="C946" s="20"/>
      <c r="D946" s="38"/>
      <c r="E946" s="38"/>
      <c r="F946" s="38"/>
      <c r="G946" s="38"/>
      <c r="H946" s="39"/>
      <c r="I946" s="39"/>
      <c r="J946" s="40"/>
      <c r="K946" s="40"/>
      <c r="L946" s="40"/>
      <c r="M946" s="40"/>
      <c r="N946" s="41"/>
      <c r="O946" s="20"/>
      <c r="P946" s="20"/>
      <c r="Q946" s="21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ht="15.75" customHeight="1">
      <c r="A947" s="20"/>
      <c r="B947" s="20"/>
      <c r="C947" s="20"/>
      <c r="D947" s="38"/>
      <c r="E947" s="38"/>
      <c r="F947" s="38"/>
      <c r="G947" s="38"/>
      <c r="H947" s="39"/>
      <c r="I947" s="39"/>
      <c r="J947" s="40"/>
      <c r="K947" s="40"/>
      <c r="L947" s="40"/>
      <c r="M947" s="40"/>
      <c r="N947" s="41"/>
      <c r="O947" s="20"/>
      <c r="P947" s="20"/>
      <c r="Q947" s="21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ht="15.75" customHeight="1">
      <c r="A948" s="20"/>
      <c r="B948" s="20"/>
      <c r="C948" s="20"/>
      <c r="D948" s="38"/>
      <c r="E948" s="38"/>
      <c r="F948" s="38"/>
      <c r="G948" s="38"/>
      <c r="H948" s="39"/>
      <c r="I948" s="39"/>
      <c r="J948" s="40"/>
      <c r="K948" s="40"/>
      <c r="L948" s="40"/>
      <c r="M948" s="40"/>
      <c r="N948" s="41"/>
      <c r="O948" s="20"/>
      <c r="P948" s="20"/>
      <c r="Q948" s="21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ht="15.75" customHeight="1">
      <c r="A949" s="20"/>
      <c r="B949" s="20"/>
      <c r="C949" s="20"/>
      <c r="D949" s="38"/>
      <c r="E949" s="38"/>
      <c r="F949" s="38"/>
      <c r="G949" s="38"/>
      <c r="H949" s="39"/>
      <c r="I949" s="39"/>
      <c r="J949" s="40"/>
      <c r="K949" s="40"/>
      <c r="L949" s="40"/>
      <c r="M949" s="40"/>
      <c r="N949" s="41"/>
      <c r="O949" s="20"/>
      <c r="P949" s="20"/>
      <c r="Q949" s="21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ht="15.75" customHeight="1">
      <c r="A950" s="20"/>
      <c r="B950" s="20"/>
      <c r="C950" s="20"/>
      <c r="D950" s="38"/>
      <c r="E950" s="38"/>
      <c r="F950" s="38"/>
      <c r="G950" s="38"/>
      <c r="H950" s="39"/>
      <c r="I950" s="39"/>
      <c r="J950" s="40"/>
      <c r="K950" s="40"/>
      <c r="L950" s="40"/>
      <c r="M950" s="40"/>
      <c r="N950" s="41"/>
      <c r="O950" s="20"/>
      <c r="P950" s="20"/>
      <c r="Q950" s="21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ht="15.75" customHeight="1">
      <c r="A951" s="20"/>
      <c r="B951" s="20"/>
      <c r="C951" s="20"/>
      <c r="D951" s="38"/>
      <c r="E951" s="38"/>
      <c r="F951" s="38"/>
      <c r="G951" s="38"/>
      <c r="H951" s="39"/>
      <c r="I951" s="39"/>
      <c r="J951" s="40"/>
      <c r="K951" s="40"/>
      <c r="L951" s="40"/>
      <c r="M951" s="40"/>
      <c r="N951" s="41"/>
      <c r="O951" s="20"/>
      <c r="P951" s="20"/>
      <c r="Q951" s="21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ht="15.75" customHeight="1">
      <c r="A952" s="20"/>
      <c r="B952" s="20"/>
      <c r="C952" s="20"/>
      <c r="D952" s="38"/>
      <c r="E952" s="38"/>
      <c r="F952" s="38"/>
      <c r="G952" s="38"/>
      <c r="H952" s="39"/>
      <c r="I952" s="39"/>
      <c r="J952" s="40"/>
      <c r="K952" s="40"/>
      <c r="L952" s="40"/>
      <c r="M952" s="40"/>
      <c r="N952" s="41"/>
      <c r="O952" s="20"/>
      <c r="P952" s="20"/>
      <c r="Q952" s="21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ht="15.75" customHeight="1">
      <c r="A953" s="20"/>
      <c r="B953" s="20"/>
      <c r="C953" s="20"/>
      <c r="D953" s="38"/>
      <c r="E953" s="38"/>
      <c r="F953" s="38"/>
      <c r="G953" s="38"/>
      <c r="H953" s="39"/>
      <c r="I953" s="39"/>
      <c r="J953" s="40"/>
      <c r="K953" s="40"/>
      <c r="L953" s="40"/>
      <c r="M953" s="40"/>
      <c r="N953" s="41"/>
      <c r="O953" s="20"/>
      <c r="P953" s="20"/>
      <c r="Q953" s="21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ht="15.75" customHeight="1">
      <c r="A954" s="20"/>
      <c r="B954" s="20"/>
      <c r="C954" s="20"/>
      <c r="D954" s="38"/>
      <c r="E954" s="38"/>
      <c r="F954" s="38"/>
      <c r="G954" s="38"/>
      <c r="H954" s="39"/>
      <c r="I954" s="39"/>
      <c r="J954" s="40"/>
      <c r="K954" s="40"/>
      <c r="L954" s="40"/>
      <c r="M954" s="40"/>
      <c r="N954" s="41"/>
      <c r="O954" s="20"/>
      <c r="P954" s="20"/>
      <c r="Q954" s="21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ht="15.75" customHeight="1">
      <c r="A955" s="20"/>
      <c r="B955" s="20"/>
      <c r="C955" s="20"/>
      <c r="D955" s="38"/>
      <c r="E955" s="38"/>
      <c r="F955" s="38"/>
      <c r="G955" s="38"/>
      <c r="H955" s="39"/>
      <c r="I955" s="39"/>
      <c r="J955" s="40"/>
      <c r="K955" s="40"/>
      <c r="L955" s="40"/>
      <c r="M955" s="40"/>
      <c r="N955" s="41"/>
      <c r="O955" s="20"/>
      <c r="P955" s="20"/>
      <c r="Q955" s="21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ht="15.75" customHeight="1">
      <c r="A956" s="20"/>
      <c r="B956" s="20"/>
      <c r="C956" s="20"/>
      <c r="D956" s="38"/>
      <c r="E956" s="38"/>
      <c r="F956" s="38"/>
      <c r="G956" s="38"/>
      <c r="H956" s="39"/>
      <c r="I956" s="39"/>
      <c r="J956" s="40"/>
      <c r="K956" s="40"/>
      <c r="L956" s="40"/>
      <c r="M956" s="40"/>
      <c r="N956" s="41"/>
      <c r="O956" s="20"/>
      <c r="P956" s="20"/>
      <c r="Q956" s="21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ht="15.75" customHeight="1">
      <c r="A957" s="20"/>
      <c r="B957" s="20"/>
      <c r="C957" s="20"/>
      <c r="D957" s="38"/>
      <c r="E957" s="38"/>
      <c r="F957" s="38"/>
      <c r="G957" s="38"/>
      <c r="H957" s="39"/>
      <c r="I957" s="39"/>
      <c r="J957" s="40"/>
      <c r="K957" s="40"/>
      <c r="L957" s="40"/>
      <c r="M957" s="40"/>
      <c r="N957" s="41"/>
      <c r="O957" s="20"/>
      <c r="P957" s="20"/>
      <c r="Q957" s="21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ht="15.75" customHeight="1">
      <c r="A958" s="20"/>
      <c r="B958" s="20"/>
      <c r="C958" s="20"/>
      <c r="D958" s="38"/>
      <c r="E958" s="38"/>
      <c r="F958" s="38"/>
      <c r="G958" s="38"/>
      <c r="H958" s="39"/>
      <c r="I958" s="39"/>
      <c r="J958" s="40"/>
      <c r="K958" s="40"/>
      <c r="L958" s="40"/>
      <c r="M958" s="40"/>
      <c r="N958" s="41"/>
      <c r="O958" s="20"/>
      <c r="P958" s="20"/>
      <c r="Q958" s="21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ht="15.75" customHeight="1">
      <c r="A959" s="20"/>
      <c r="B959" s="20"/>
      <c r="C959" s="20"/>
      <c r="D959" s="38"/>
      <c r="E959" s="38"/>
      <c r="F959" s="38"/>
      <c r="G959" s="38"/>
      <c r="H959" s="39"/>
      <c r="I959" s="39"/>
      <c r="J959" s="40"/>
      <c r="K959" s="40"/>
      <c r="L959" s="40"/>
      <c r="M959" s="40"/>
      <c r="N959" s="41"/>
      <c r="O959" s="20"/>
      <c r="P959" s="20"/>
      <c r="Q959" s="21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ht="15.75" customHeight="1">
      <c r="A960" s="20"/>
      <c r="B960" s="20"/>
      <c r="C960" s="20"/>
      <c r="D960" s="38"/>
      <c r="E960" s="38"/>
      <c r="F960" s="38"/>
      <c r="G960" s="38"/>
      <c r="H960" s="39"/>
      <c r="I960" s="39"/>
      <c r="J960" s="40"/>
      <c r="K960" s="40"/>
      <c r="L960" s="40"/>
      <c r="M960" s="40"/>
      <c r="N960" s="41"/>
      <c r="O960" s="20"/>
      <c r="P960" s="20"/>
      <c r="Q960" s="21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ht="15.75" customHeight="1">
      <c r="A961" s="20"/>
      <c r="B961" s="20"/>
      <c r="C961" s="20"/>
      <c r="D961" s="38"/>
      <c r="E961" s="38"/>
      <c r="F961" s="38"/>
      <c r="G961" s="38"/>
      <c r="H961" s="39"/>
      <c r="I961" s="39"/>
      <c r="J961" s="40"/>
      <c r="K961" s="40"/>
      <c r="L961" s="40"/>
      <c r="M961" s="40"/>
      <c r="N961" s="41"/>
      <c r="O961" s="20"/>
      <c r="P961" s="20"/>
      <c r="Q961" s="21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ht="15.75" customHeight="1">
      <c r="A962" s="20"/>
      <c r="B962" s="20"/>
      <c r="C962" s="20"/>
      <c r="D962" s="38"/>
      <c r="E962" s="38"/>
      <c r="F962" s="38"/>
      <c r="G962" s="38"/>
      <c r="H962" s="39"/>
      <c r="I962" s="39"/>
      <c r="J962" s="40"/>
      <c r="K962" s="40"/>
      <c r="L962" s="40"/>
      <c r="M962" s="40"/>
      <c r="N962" s="41"/>
      <c r="O962" s="20"/>
      <c r="P962" s="20"/>
      <c r="Q962" s="21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ht="15.75" customHeight="1">
      <c r="A963" s="20"/>
      <c r="B963" s="20"/>
      <c r="C963" s="20"/>
      <c r="D963" s="38"/>
      <c r="E963" s="38"/>
      <c r="F963" s="38"/>
      <c r="G963" s="38"/>
      <c r="H963" s="39"/>
      <c r="I963" s="39"/>
      <c r="J963" s="40"/>
      <c r="K963" s="40"/>
      <c r="L963" s="40"/>
      <c r="M963" s="40"/>
      <c r="N963" s="41"/>
      <c r="O963" s="20"/>
      <c r="P963" s="20"/>
      <c r="Q963" s="21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ht="15.75" customHeight="1">
      <c r="A964" s="20"/>
      <c r="B964" s="20"/>
      <c r="C964" s="20"/>
      <c r="D964" s="38"/>
      <c r="E964" s="38"/>
      <c r="F964" s="38"/>
      <c r="G964" s="38"/>
      <c r="H964" s="39"/>
      <c r="I964" s="39"/>
      <c r="J964" s="40"/>
      <c r="K964" s="40"/>
      <c r="L964" s="40"/>
      <c r="M964" s="40"/>
      <c r="N964" s="41"/>
      <c r="O964" s="20"/>
      <c r="P964" s="20"/>
      <c r="Q964" s="21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ht="15.75" customHeight="1">
      <c r="A965" s="20"/>
      <c r="B965" s="20"/>
      <c r="C965" s="20"/>
      <c r="D965" s="38"/>
      <c r="E965" s="38"/>
      <c r="F965" s="38"/>
      <c r="G965" s="38"/>
      <c r="H965" s="39"/>
      <c r="I965" s="39"/>
      <c r="J965" s="40"/>
      <c r="K965" s="40"/>
      <c r="L965" s="40"/>
      <c r="M965" s="40"/>
      <c r="N965" s="41"/>
      <c r="O965" s="20"/>
      <c r="P965" s="20"/>
      <c r="Q965" s="21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ht="15.75" customHeight="1">
      <c r="A966" s="20"/>
      <c r="B966" s="20"/>
      <c r="C966" s="20"/>
      <c r="D966" s="38"/>
      <c r="E966" s="38"/>
      <c r="F966" s="38"/>
      <c r="G966" s="38"/>
      <c r="H966" s="39"/>
      <c r="I966" s="39"/>
      <c r="J966" s="40"/>
      <c r="K966" s="40"/>
      <c r="L966" s="40"/>
      <c r="M966" s="40"/>
      <c r="N966" s="41"/>
      <c r="O966" s="20"/>
      <c r="P966" s="20"/>
      <c r="Q966" s="21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ht="15.75" customHeight="1">
      <c r="A967" s="20"/>
      <c r="B967" s="20"/>
      <c r="C967" s="20"/>
      <c r="D967" s="38"/>
      <c r="E967" s="38"/>
      <c r="F967" s="38"/>
      <c r="G967" s="38"/>
      <c r="H967" s="39"/>
      <c r="I967" s="39"/>
      <c r="J967" s="40"/>
      <c r="K967" s="40"/>
      <c r="L967" s="40"/>
      <c r="M967" s="40"/>
      <c r="N967" s="41"/>
      <c r="O967" s="20"/>
      <c r="P967" s="20"/>
      <c r="Q967" s="21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ht="15.75" customHeight="1">
      <c r="A968" s="20"/>
      <c r="B968" s="20"/>
      <c r="C968" s="20"/>
      <c r="D968" s="38"/>
      <c r="E968" s="38"/>
      <c r="F968" s="38"/>
      <c r="G968" s="38"/>
      <c r="H968" s="39"/>
      <c r="I968" s="39"/>
      <c r="J968" s="40"/>
      <c r="K968" s="40"/>
      <c r="L968" s="40"/>
      <c r="M968" s="40"/>
      <c r="N968" s="41"/>
      <c r="O968" s="20"/>
      <c r="P968" s="20"/>
      <c r="Q968" s="21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ht="15.75" customHeight="1">
      <c r="A969" s="20"/>
      <c r="B969" s="20"/>
      <c r="C969" s="20"/>
      <c r="D969" s="38"/>
      <c r="E969" s="38"/>
      <c r="F969" s="38"/>
      <c r="G969" s="38"/>
      <c r="H969" s="39"/>
      <c r="I969" s="39"/>
      <c r="J969" s="40"/>
      <c r="K969" s="40"/>
      <c r="L969" s="40"/>
      <c r="M969" s="40"/>
      <c r="N969" s="41"/>
      <c r="O969" s="20"/>
      <c r="P969" s="20"/>
      <c r="Q969" s="21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ht="15.75" customHeight="1">
      <c r="A970" s="20"/>
      <c r="B970" s="20"/>
      <c r="C970" s="20"/>
      <c r="D970" s="38"/>
      <c r="E970" s="38"/>
      <c r="F970" s="38"/>
      <c r="G970" s="38"/>
      <c r="H970" s="39"/>
      <c r="I970" s="39"/>
      <c r="J970" s="40"/>
      <c r="K970" s="40"/>
      <c r="L970" s="40"/>
      <c r="M970" s="40"/>
      <c r="N970" s="41"/>
      <c r="O970" s="20"/>
      <c r="P970" s="20"/>
      <c r="Q970" s="21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ht="15.75" customHeight="1">
      <c r="A971" s="20"/>
      <c r="B971" s="20"/>
      <c r="C971" s="20"/>
      <c r="D971" s="38"/>
      <c r="E971" s="38"/>
      <c r="F971" s="38"/>
      <c r="G971" s="38"/>
      <c r="H971" s="39"/>
      <c r="I971" s="39"/>
      <c r="J971" s="40"/>
      <c r="K971" s="40"/>
      <c r="L971" s="40"/>
      <c r="M971" s="40"/>
      <c r="N971" s="41"/>
      <c r="O971" s="20"/>
      <c r="P971" s="20"/>
      <c r="Q971" s="21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ht="15.75" customHeight="1">
      <c r="A972" s="20"/>
      <c r="B972" s="20"/>
      <c r="C972" s="20"/>
      <c r="D972" s="38"/>
      <c r="E972" s="38"/>
      <c r="F972" s="38"/>
      <c r="G972" s="38"/>
      <c r="H972" s="39"/>
      <c r="I972" s="39"/>
      <c r="J972" s="40"/>
      <c r="K972" s="40"/>
      <c r="L972" s="40"/>
      <c r="M972" s="40"/>
      <c r="N972" s="41"/>
      <c r="O972" s="20"/>
      <c r="P972" s="20"/>
      <c r="Q972" s="21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ht="15.75" customHeight="1">
      <c r="A973" s="20"/>
      <c r="B973" s="20"/>
      <c r="C973" s="20"/>
      <c r="D973" s="38"/>
      <c r="E973" s="38"/>
      <c r="F973" s="38"/>
      <c r="G973" s="38"/>
      <c r="H973" s="39"/>
      <c r="I973" s="39"/>
      <c r="J973" s="40"/>
      <c r="K973" s="40"/>
      <c r="L973" s="40"/>
      <c r="M973" s="40"/>
      <c r="N973" s="41"/>
      <c r="O973" s="20"/>
      <c r="P973" s="20"/>
      <c r="Q973" s="21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ht="15.75" customHeight="1">
      <c r="A974" s="20"/>
      <c r="B974" s="20"/>
      <c r="C974" s="20"/>
      <c r="D974" s="38"/>
      <c r="E974" s="38"/>
      <c r="F974" s="38"/>
      <c r="G974" s="38"/>
      <c r="H974" s="39"/>
      <c r="I974" s="39"/>
      <c r="J974" s="40"/>
      <c r="K974" s="40"/>
      <c r="L974" s="40"/>
      <c r="M974" s="40"/>
      <c r="N974" s="41"/>
      <c r="O974" s="20"/>
      <c r="P974" s="20"/>
      <c r="Q974" s="21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ht="15.75" customHeight="1">
      <c r="A975" s="20"/>
      <c r="B975" s="20"/>
      <c r="C975" s="20"/>
      <c r="D975" s="38"/>
      <c r="E975" s="38"/>
      <c r="F975" s="38"/>
      <c r="G975" s="38"/>
      <c r="H975" s="39"/>
      <c r="I975" s="39"/>
      <c r="J975" s="40"/>
      <c r="K975" s="40"/>
      <c r="L975" s="40"/>
      <c r="M975" s="40"/>
      <c r="N975" s="41"/>
      <c r="O975" s="20"/>
      <c r="P975" s="20"/>
      <c r="Q975" s="21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ht="15.75" customHeight="1">
      <c r="A976" s="20"/>
      <c r="B976" s="20"/>
      <c r="C976" s="20"/>
      <c r="D976" s="38"/>
      <c r="E976" s="38"/>
      <c r="F976" s="38"/>
      <c r="G976" s="38"/>
      <c r="H976" s="39"/>
      <c r="I976" s="39"/>
      <c r="J976" s="40"/>
      <c r="K976" s="40"/>
      <c r="L976" s="40"/>
      <c r="M976" s="40"/>
      <c r="N976" s="41"/>
      <c r="O976" s="20"/>
      <c r="P976" s="20"/>
      <c r="Q976" s="21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ht="15.75" customHeight="1">
      <c r="A977" s="20"/>
      <c r="B977" s="20"/>
      <c r="C977" s="20"/>
      <c r="D977" s="38"/>
      <c r="E977" s="38"/>
      <c r="F977" s="38"/>
      <c r="G977" s="38"/>
      <c r="H977" s="39"/>
      <c r="I977" s="39"/>
      <c r="J977" s="40"/>
      <c r="K977" s="40"/>
      <c r="L977" s="40"/>
      <c r="M977" s="40"/>
      <c r="N977" s="41"/>
      <c r="O977" s="20"/>
      <c r="P977" s="20"/>
      <c r="Q977" s="21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ht="15.75" customHeight="1">
      <c r="A978" s="20"/>
      <c r="B978" s="20"/>
      <c r="C978" s="20"/>
      <c r="D978" s="38"/>
      <c r="E978" s="38"/>
      <c r="F978" s="38"/>
      <c r="G978" s="38"/>
      <c r="H978" s="39"/>
      <c r="I978" s="39"/>
      <c r="J978" s="40"/>
      <c r="K978" s="40"/>
      <c r="L978" s="40"/>
      <c r="M978" s="40"/>
      <c r="N978" s="41"/>
      <c r="O978" s="20"/>
      <c r="P978" s="20"/>
      <c r="Q978" s="21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ht="15.75" customHeight="1">
      <c r="A979" s="20"/>
      <c r="B979" s="20"/>
      <c r="C979" s="20"/>
      <c r="D979" s="38"/>
      <c r="E979" s="38"/>
      <c r="F979" s="38"/>
      <c r="G979" s="38"/>
      <c r="H979" s="39"/>
      <c r="I979" s="39"/>
      <c r="J979" s="40"/>
      <c r="K979" s="40"/>
      <c r="L979" s="40"/>
      <c r="M979" s="40"/>
      <c r="N979" s="41"/>
      <c r="O979" s="20"/>
      <c r="P979" s="20"/>
      <c r="Q979" s="21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ht="15.75" customHeight="1">
      <c r="A980" s="20"/>
      <c r="B980" s="20"/>
      <c r="C980" s="20"/>
      <c r="D980" s="38"/>
      <c r="E980" s="38"/>
      <c r="F980" s="38"/>
      <c r="G980" s="38"/>
      <c r="H980" s="39"/>
      <c r="I980" s="39"/>
      <c r="J980" s="40"/>
      <c r="K980" s="40"/>
      <c r="L980" s="40"/>
      <c r="M980" s="40"/>
      <c r="N980" s="41"/>
      <c r="O980" s="20"/>
      <c r="P980" s="20"/>
      <c r="Q980" s="21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ht="15.75" customHeight="1">
      <c r="A981" s="20"/>
      <c r="B981" s="20"/>
      <c r="C981" s="20"/>
      <c r="D981" s="38"/>
      <c r="E981" s="38"/>
      <c r="F981" s="38"/>
      <c r="G981" s="38"/>
      <c r="H981" s="39"/>
      <c r="I981" s="39"/>
      <c r="J981" s="40"/>
      <c r="K981" s="40"/>
      <c r="L981" s="40"/>
      <c r="M981" s="40"/>
      <c r="N981" s="41"/>
      <c r="O981" s="20"/>
      <c r="P981" s="20"/>
      <c r="Q981" s="21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ht="15.75" customHeight="1">
      <c r="A982" s="20"/>
      <c r="B982" s="20"/>
      <c r="C982" s="20"/>
      <c r="D982" s="38"/>
      <c r="E982" s="38"/>
      <c r="F982" s="38"/>
      <c r="G982" s="38"/>
      <c r="H982" s="39"/>
      <c r="I982" s="39"/>
      <c r="J982" s="40"/>
      <c r="K982" s="40"/>
      <c r="L982" s="40"/>
      <c r="M982" s="40"/>
      <c r="N982" s="41"/>
      <c r="O982" s="20"/>
      <c r="P982" s="20"/>
      <c r="Q982" s="21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ht="15.75" customHeight="1">
      <c r="A983" s="20"/>
      <c r="B983" s="20"/>
      <c r="C983" s="20"/>
      <c r="D983" s="38"/>
      <c r="E983" s="38"/>
      <c r="F983" s="38"/>
      <c r="G983" s="38"/>
      <c r="H983" s="39"/>
      <c r="I983" s="39"/>
      <c r="J983" s="40"/>
      <c r="K983" s="40"/>
      <c r="L983" s="40"/>
      <c r="M983" s="40"/>
      <c r="N983" s="41"/>
      <c r="O983" s="20"/>
      <c r="P983" s="20"/>
      <c r="Q983" s="21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ht="15.75" customHeight="1">
      <c r="A984" s="20"/>
      <c r="B984" s="20"/>
      <c r="C984" s="20"/>
      <c r="D984" s="38"/>
      <c r="E984" s="38"/>
      <c r="F984" s="38"/>
      <c r="G984" s="38"/>
      <c r="H984" s="39"/>
      <c r="I984" s="39"/>
      <c r="J984" s="40"/>
      <c r="K984" s="40"/>
      <c r="L984" s="40"/>
      <c r="M984" s="40"/>
      <c r="N984" s="41"/>
      <c r="O984" s="20"/>
      <c r="P984" s="20"/>
      <c r="Q984" s="21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ht="15.75" customHeight="1">
      <c r="A985" s="20"/>
      <c r="B985" s="20"/>
      <c r="C985" s="20"/>
      <c r="D985" s="38"/>
      <c r="E985" s="38"/>
      <c r="F985" s="38"/>
      <c r="G985" s="38"/>
      <c r="H985" s="39"/>
      <c r="I985" s="39"/>
      <c r="J985" s="40"/>
      <c r="K985" s="40"/>
      <c r="L985" s="40"/>
      <c r="M985" s="40"/>
      <c r="N985" s="41"/>
      <c r="O985" s="20"/>
      <c r="P985" s="20"/>
      <c r="Q985" s="21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ht="15.75" customHeight="1">
      <c r="A986" s="20"/>
      <c r="B986" s="20"/>
      <c r="C986" s="20"/>
      <c r="D986" s="38"/>
      <c r="E986" s="38"/>
      <c r="F986" s="38"/>
      <c r="G986" s="38"/>
      <c r="H986" s="39"/>
      <c r="I986" s="39"/>
      <c r="J986" s="40"/>
      <c r="K986" s="40"/>
      <c r="L986" s="40"/>
      <c r="M986" s="40"/>
      <c r="N986" s="41"/>
      <c r="O986" s="20"/>
      <c r="P986" s="20"/>
      <c r="Q986" s="21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ht="15.75" customHeight="1">
      <c r="A987" s="20"/>
      <c r="B987" s="20"/>
      <c r="C987" s="20"/>
      <c r="D987" s="38"/>
      <c r="E987" s="38"/>
      <c r="F987" s="38"/>
      <c r="G987" s="38"/>
      <c r="H987" s="39"/>
      <c r="I987" s="39"/>
      <c r="J987" s="40"/>
      <c r="K987" s="40"/>
      <c r="L987" s="40"/>
      <c r="M987" s="40"/>
      <c r="N987" s="41"/>
      <c r="O987" s="20"/>
      <c r="P987" s="20"/>
      <c r="Q987" s="21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ht="15.75" customHeight="1">
      <c r="A988" s="20"/>
      <c r="B988" s="20"/>
      <c r="C988" s="20"/>
      <c r="D988" s="38"/>
      <c r="E988" s="38"/>
      <c r="F988" s="38"/>
      <c r="G988" s="38"/>
      <c r="H988" s="39"/>
      <c r="I988" s="39"/>
      <c r="J988" s="40"/>
      <c r="K988" s="40"/>
      <c r="L988" s="40"/>
      <c r="M988" s="40"/>
      <c r="N988" s="41"/>
      <c r="O988" s="20"/>
      <c r="P988" s="20"/>
      <c r="Q988" s="21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ht="15.75" customHeight="1">
      <c r="A989" s="20"/>
      <c r="B989" s="20"/>
      <c r="C989" s="20"/>
      <c r="D989" s="38"/>
      <c r="E989" s="38"/>
      <c r="F989" s="38"/>
      <c r="G989" s="38"/>
      <c r="H989" s="39"/>
      <c r="I989" s="39"/>
      <c r="J989" s="40"/>
      <c r="K989" s="40"/>
      <c r="L989" s="40"/>
      <c r="M989" s="40"/>
      <c r="N989" s="41"/>
      <c r="O989" s="20"/>
      <c r="P989" s="20"/>
      <c r="Q989" s="21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ht="15.75" customHeight="1">
      <c r="A990" s="20"/>
      <c r="B990" s="20"/>
      <c r="C990" s="20"/>
      <c r="D990" s="38"/>
      <c r="E990" s="38"/>
      <c r="F990" s="38"/>
      <c r="G990" s="38"/>
      <c r="H990" s="39"/>
      <c r="I990" s="39"/>
      <c r="J990" s="40"/>
      <c r="K990" s="40"/>
      <c r="L990" s="40"/>
      <c r="M990" s="40"/>
      <c r="N990" s="41"/>
      <c r="O990" s="20"/>
      <c r="P990" s="20"/>
      <c r="Q990" s="21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ht="15.75" customHeight="1">
      <c r="A991" s="20"/>
      <c r="B991" s="20"/>
      <c r="C991" s="20"/>
      <c r="D991" s="38"/>
      <c r="E991" s="38"/>
      <c r="F991" s="38"/>
      <c r="G991" s="38"/>
      <c r="H991" s="39"/>
      <c r="I991" s="39"/>
      <c r="J991" s="40"/>
      <c r="K991" s="40"/>
      <c r="L991" s="40"/>
      <c r="M991" s="40"/>
      <c r="N991" s="41"/>
      <c r="O991" s="20"/>
      <c r="P991" s="20"/>
      <c r="Q991" s="21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ht="15.75" customHeight="1">
      <c r="A992" s="20"/>
      <c r="B992" s="20"/>
      <c r="C992" s="20"/>
      <c r="D992" s="38"/>
      <c r="E992" s="38"/>
      <c r="F992" s="38"/>
      <c r="G992" s="38"/>
      <c r="H992" s="39"/>
      <c r="I992" s="39"/>
      <c r="J992" s="40"/>
      <c r="K992" s="40"/>
      <c r="L992" s="40"/>
      <c r="M992" s="40"/>
      <c r="N992" s="41"/>
      <c r="O992" s="20"/>
      <c r="P992" s="20"/>
      <c r="Q992" s="21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ht="15.75" customHeight="1">
      <c r="A993" s="20"/>
      <c r="B993" s="20"/>
      <c r="C993" s="20"/>
      <c r="D993" s="38"/>
      <c r="E993" s="38"/>
      <c r="F993" s="38"/>
      <c r="G993" s="38"/>
      <c r="H993" s="39"/>
      <c r="I993" s="39"/>
      <c r="J993" s="40"/>
      <c r="K993" s="40"/>
      <c r="L993" s="40"/>
      <c r="M993" s="40"/>
      <c r="N993" s="41"/>
      <c r="O993" s="20"/>
      <c r="P993" s="20"/>
      <c r="Q993" s="21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ht="15.75" customHeight="1">
      <c r="A994" s="20"/>
      <c r="B994" s="20"/>
      <c r="C994" s="20"/>
      <c r="D994" s="38"/>
      <c r="E994" s="38"/>
      <c r="F994" s="38"/>
      <c r="G994" s="38"/>
      <c r="H994" s="39"/>
      <c r="I994" s="39"/>
      <c r="J994" s="40"/>
      <c r="K994" s="40"/>
      <c r="L994" s="40"/>
      <c r="M994" s="40"/>
      <c r="N994" s="41"/>
      <c r="O994" s="20"/>
      <c r="P994" s="20"/>
      <c r="Q994" s="21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ht="15.75" customHeight="1">
      <c r="A995" s="20"/>
      <c r="B995" s="20"/>
      <c r="C995" s="20"/>
      <c r="D995" s="38"/>
      <c r="E995" s="38"/>
      <c r="F995" s="38"/>
      <c r="G995" s="38"/>
      <c r="H995" s="39"/>
      <c r="I995" s="39"/>
      <c r="J995" s="40"/>
      <c r="K995" s="40"/>
      <c r="L995" s="40"/>
      <c r="M995" s="40"/>
      <c r="N995" s="41"/>
      <c r="O995" s="20"/>
      <c r="P995" s="20"/>
      <c r="Q995" s="21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ht="15.75" customHeight="1">
      <c r="A996" s="20"/>
      <c r="B996" s="20"/>
      <c r="C996" s="20"/>
      <c r="D996" s="38"/>
      <c r="E996" s="38"/>
      <c r="F996" s="38"/>
      <c r="G996" s="38"/>
      <c r="H996" s="39"/>
      <c r="I996" s="39"/>
      <c r="J996" s="40"/>
      <c r="K996" s="40"/>
      <c r="L996" s="40"/>
      <c r="M996" s="40"/>
      <c r="N996" s="41"/>
      <c r="O996" s="20"/>
      <c r="P996" s="20"/>
      <c r="Q996" s="21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ht="15.75" customHeight="1">
      <c r="A997" s="20"/>
      <c r="B997" s="20"/>
      <c r="C997" s="20"/>
      <c r="D997" s="38"/>
      <c r="E997" s="38"/>
      <c r="F997" s="38"/>
      <c r="G997" s="38"/>
      <c r="H997" s="39"/>
      <c r="I997" s="39"/>
      <c r="J997" s="40"/>
      <c r="K997" s="40"/>
      <c r="L997" s="40"/>
      <c r="M997" s="40"/>
      <c r="N997" s="41"/>
      <c r="O997" s="20"/>
      <c r="P997" s="20"/>
      <c r="Q997" s="21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ht="15.75" customHeight="1">
      <c r="A998" s="20"/>
      <c r="B998" s="20"/>
      <c r="C998" s="20"/>
      <c r="D998" s="38"/>
      <c r="E998" s="38"/>
      <c r="F998" s="38"/>
      <c r="G998" s="38"/>
      <c r="H998" s="39"/>
      <c r="I998" s="39"/>
      <c r="J998" s="40"/>
      <c r="K998" s="40"/>
      <c r="L998" s="40"/>
      <c r="M998" s="40"/>
      <c r="N998" s="41"/>
      <c r="O998" s="20"/>
      <c r="P998" s="20"/>
      <c r="Q998" s="21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ht="15.75" customHeight="1">
      <c r="A999" s="20"/>
      <c r="B999" s="20"/>
      <c r="C999" s="20"/>
      <c r="D999" s="38"/>
      <c r="E999" s="38"/>
      <c r="F999" s="38"/>
      <c r="G999" s="38"/>
      <c r="H999" s="39"/>
      <c r="I999" s="39"/>
      <c r="J999" s="40"/>
      <c r="K999" s="40"/>
      <c r="L999" s="40"/>
      <c r="M999" s="40"/>
      <c r="N999" s="41"/>
      <c r="O999" s="20"/>
      <c r="P999" s="20"/>
      <c r="Q999" s="21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ht="15.75" customHeight="1">
      <c r="A1000" s="20"/>
      <c r="B1000" s="20"/>
      <c r="C1000" s="20"/>
      <c r="D1000" s="38"/>
      <c r="E1000" s="38"/>
      <c r="F1000" s="38"/>
      <c r="G1000" s="38"/>
      <c r="H1000" s="39"/>
      <c r="I1000" s="39"/>
      <c r="J1000" s="40"/>
      <c r="K1000" s="40"/>
      <c r="L1000" s="40"/>
      <c r="M1000" s="40"/>
      <c r="N1000" s="41"/>
      <c r="O1000" s="20"/>
      <c r="P1000" s="20"/>
      <c r="Q1000" s="21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11">
    <mergeCell ref="Q33:Q34"/>
    <mergeCell ref="Q29:Q31"/>
    <mergeCell ref="Q26:Q28"/>
    <mergeCell ref="Q20:Q22"/>
    <mergeCell ref="Q16:Q18"/>
    <mergeCell ref="Q23:Q25"/>
    <mergeCell ref="Q13:Q15"/>
    <mergeCell ref="Q11:Q12"/>
    <mergeCell ref="Q9:Q10"/>
    <mergeCell ref="Q7:Q8"/>
    <mergeCell ref="Q5:Q6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0DEEF-DD13-3B46-9234-E835ED846371}">
  <sheetPr codeName="Sheet1">
    <outlinePr summaryBelow="0" summaryRight="0"/>
  </sheetPr>
  <dimension ref="A1:B24"/>
  <sheetViews>
    <sheetView zoomScale="124" zoomScaleNormal="200" workbookViewId="0">
      <selection activeCell="A4" sqref="A4"/>
    </sheetView>
  </sheetViews>
  <sheetFormatPr baseColWidth="10" defaultColWidth="11.28515625" defaultRowHeight="15" customHeight="1"/>
  <cols>
    <col min="1" max="1" width="44.5703125" style="91" customWidth="1"/>
    <col min="2" max="2" width="49.7109375" style="91" customWidth="1"/>
    <col min="3" max="16384" width="11.28515625" style="91"/>
  </cols>
  <sheetData>
    <row r="1" spans="1:2" ht="127" customHeight="1">
      <c r="A1" s="111" t="s">
        <v>307</v>
      </c>
      <c r="B1" s="112"/>
    </row>
    <row r="2" spans="1:2" ht="47" customHeight="1">
      <c r="A2" s="93" t="s">
        <v>308</v>
      </c>
      <c r="B2" s="63"/>
    </row>
    <row r="3" spans="1:2" ht="47" customHeight="1">
      <c r="A3" s="63"/>
      <c r="B3" s="63"/>
    </row>
    <row r="4" spans="1:2" ht="47" customHeight="1">
      <c r="A4" s="65"/>
      <c r="B4" s="66"/>
    </row>
    <row r="5" spans="1:2" ht="47" customHeight="1">
      <c r="A5" s="65"/>
      <c r="B5" s="63"/>
    </row>
    <row r="6" spans="1:2" ht="47" customHeight="1">
      <c r="A6" s="65"/>
      <c r="B6" s="66"/>
    </row>
    <row r="7" spans="1:2" ht="47" customHeight="1">
      <c r="A7" s="65"/>
      <c r="B7" s="65"/>
    </row>
    <row r="8" spans="1:2" ht="47" customHeight="1">
      <c r="A8" s="65"/>
      <c r="B8" s="66"/>
    </row>
    <row r="9" spans="1:2" ht="47" customHeight="1">
      <c r="A9" s="65"/>
      <c r="B9" s="67"/>
    </row>
    <row r="10" spans="1:2" ht="47" customHeight="1">
      <c r="A10" s="65"/>
      <c r="B10" s="66"/>
    </row>
    <row r="11" spans="1:2" ht="47" customHeight="1">
      <c r="A11" s="65"/>
      <c r="B11" s="66"/>
    </row>
    <row r="12" spans="1:2" ht="47" customHeight="1">
      <c r="A12" s="65"/>
      <c r="B12" s="66"/>
    </row>
    <row r="13" spans="1:2" ht="47" customHeight="1">
      <c r="A13" s="65"/>
      <c r="B13" s="66"/>
    </row>
    <row r="14" spans="1:2" ht="47" customHeight="1">
      <c r="A14" s="65"/>
      <c r="B14" s="66"/>
    </row>
    <row r="15" spans="1:2" ht="47" customHeight="1">
      <c r="A15" s="65"/>
      <c r="B15" s="63"/>
    </row>
    <row r="16" spans="1:2" ht="47" customHeight="1">
      <c r="A16" s="65"/>
      <c r="B16" s="63"/>
    </row>
    <row r="17" spans="1:2" ht="47" customHeight="1">
      <c r="A17" s="65"/>
      <c r="B17" s="64"/>
    </row>
    <row r="18" spans="1:2" ht="47" customHeight="1">
      <c r="A18" s="62"/>
      <c r="B18" s="63"/>
    </row>
    <row r="19" spans="1:2" ht="16">
      <c r="A19" s="63"/>
      <c r="B19" s="63"/>
    </row>
    <row r="20" spans="1:2" ht="16">
      <c r="A20" s="63"/>
      <c r="B20" s="63"/>
    </row>
    <row r="21" spans="1:2" ht="16">
      <c r="A21" s="63"/>
      <c r="B21" s="63"/>
    </row>
    <row r="22" spans="1:2" ht="16">
      <c r="A22" s="63"/>
      <c r="B22" s="63"/>
    </row>
    <row r="23" spans="1:2" ht="16">
      <c r="A23" s="63"/>
      <c r="B23" s="63"/>
    </row>
    <row r="24" spans="1:2" ht="16">
      <c r="A24" s="62"/>
      <c r="B24" s="62"/>
    </row>
  </sheetData>
  <mergeCells count="1">
    <mergeCell ref="A1:B1"/>
  </mergeCells>
  <hyperlinks>
    <hyperlink ref="A2" r:id="rId1" xr:uid="{C0EDF260-1D49-604A-96E3-B89CD81B195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D10000"/>
  <sheetViews>
    <sheetView workbookViewId="0">
      <selection activeCell="E12" sqref="E12"/>
    </sheetView>
  </sheetViews>
  <sheetFormatPr baseColWidth="10" defaultColWidth="11.28515625" defaultRowHeight="15" customHeight="1"/>
  <cols>
    <col min="1" max="1" width="16" customWidth="1"/>
    <col min="2" max="2" width="15.140625" customWidth="1"/>
    <col min="3" max="3" width="15" customWidth="1"/>
    <col min="4" max="4" width="19.85546875" customWidth="1"/>
    <col min="5" max="5" width="42.85546875" customWidth="1"/>
    <col min="6" max="6" width="28.140625" customWidth="1"/>
    <col min="7" max="7" width="23.42578125" customWidth="1"/>
    <col min="8" max="30" width="11.28515625" customWidth="1"/>
  </cols>
  <sheetData>
    <row r="1" spans="1:30" ht="34">
      <c r="A1" s="42" t="s">
        <v>306</v>
      </c>
      <c r="B1" s="42" t="s">
        <v>179</v>
      </c>
      <c r="C1" s="43" t="s">
        <v>457</v>
      </c>
      <c r="D1" s="44" t="s">
        <v>180</v>
      </c>
      <c r="E1" s="45" t="s">
        <v>181</v>
      </c>
      <c r="F1" s="46" t="s">
        <v>182</v>
      </c>
      <c r="G1" s="46" t="s">
        <v>183</v>
      </c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</row>
    <row r="2" spans="1:30" ht="34">
      <c r="A2" s="68" t="s">
        <v>310</v>
      </c>
      <c r="B2" s="68" t="s">
        <v>310</v>
      </c>
      <c r="C2" s="68" t="s">
        <v>309</v>
      </c>
      <c r="D2" s="68" t="s">
        <v>309</v>
      </c>
      <c r="E2" s="69"/>
      <c r="F2" s="69" t="s">
        <v>184</v>
      </c>
      <c r="G2" s="68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</row>
    <row r="3" spans="1:30" ht="17">
      <c r="A3" s="48"/>
      <c r="B3" s="49" t="str">
        <f>CONCATENATE(Reports!E2," ",Reports!F2," ",Reports!G2)</f>
        <v xml:space="preserve">  </v>
      </c>
      <c r="C3" s="101"/>
      <c r="D3" s="101"/>
      <c r="E3" s="49" t="str">
        <f>IFERROR(VLOOKUP(D3,'taxonomy map'!$A$1:$B$171,2,FALSE),"")</f>
        <v/>
      </c>
      <c r="F3" s="49" t="str">
        <f>IFERROR(VLOOKUP(E3,'Condensed Specialty Crosswalk'!$A$2:$C$182,2,FALSE),"")</f>
        <v/>
      </c>
      <c r="G3" s="49" t="str">
        <f>IFERROR(VLOOKUP(E3,'Condensed Specialty Crosswalk'!$A$2:$C$182,3,FALSE),"")</f>
        <v/>
      </c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</row>
    <row r="4" spans="1:30" ht="17">
      <c r="A4" s="49"/>
      <c r="B4" s="49" t="str">
        <f>CONCATENATE(Reports!E3," ",Reports!F3," ",Reports!G3)</f>
        <v xml:space="preserve">  </v>
      </c>
      <c r="C4" s="101"/>
      <c r="D4" s="101"/>
      <c r="E4" s="49" t="str">
        <f>IFERROR(VLOOKUP(D4,'taxonomy map'!$A$1:$B$171,2,FALSE),"")</f>
        <v/>
      </c>
      <c r="F4" s="49" t="str">
        <f>IFERROR(VLOOKUP(E4,'Condensed Specialty Crosswalk'!$A$2:$C$182,2,FALSE),"")</f>
        <v/>
      </c>
      <c r="G4" s="49" t="str">
        <f>IFERROR(VLOOKUP(E4,'Condensed Specialty Crosswalk'!$A$2:$C$182,3,FALSE),"")</f>
        <v/>
      </c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</row>
    <row r="5" spans="1:30" ht="17">
      <c r="A5" s="49"/>
      <c r="B5" s="49" t="str">
        <f>CONCATENATE(Reports!E4," ",Reports!F4," ",Reports!G4)</f>
        <v xml:space="preserve">  </v>
      </c>
      <c r="C5" s="101"/>
      <c r="D5" s="101"/>
      <c r="E5" s="49" t="str">
        <f>IFERROR(VLOOKUP(D5,'taxonomy map'!$A$1:$B$171,2,FALSE),"")</f>
        <v/>
      </c>
      <c r="F5" s="49" t="str">
        <f>IFERROR(VLOOKUP(E5,'Condensed Specialty Crosswalk'!$A$2:$C$182,2,FALSE),"")</f>
        <v/>
      </c>
      <c r="G5" s="49" t="str">
        <f>IFERROR(VLOOKUP(E5,'Condensed Specialty Crosswalk'!$A$2:$C$182,3,FALSE),"")</f>
        <v/>
      </c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</row>
    <row r="6" spans="1:30" ht="17">
      <c r="A6" s="49"/>
      <c r="B6" s="49" t="str">
        <f>CONCATENATE(Reports!E5," ",Reports!F5," ",Reports!G5)</f>
        <v xml:space="preserve">  </v>
      </c>
      <c r="C6" s="101"/>
      <c r="D6" s="101"/>
      <c r="E6" s="49" t="str">
        <f>IFERROR(VLOOKUP(D6,'taxonomy map'!$A$1:$B$171,2,FALSE),"")</f>
        <v/>
      </c>
      <c r="F6" s="49" t="str">
        <f>IFERROR(VLOOKUP(E6,'Condensed Specialty Crosswalk'!$A$2:$C$182,2,FALSE),"")</f>
        <v/>
      </c>
      <c r="G6" s="49" t="str">
        <f>IFERROR(VLOOKUP(E6,'Condensed Specialty Crosswalk'!$A$2:$C$182,3,FALSE),"")</f>
        <v/>
      </c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</row>
    <row r="7" spans="1:30" ht="17">
      <c r="A7" s="49"/>
      <c r="B7" s="49" t="str">
        <f>CONCATENATE(Reports!E6," ",Reports!F6," ",Reports!G6)</f>
        <v xml:space="preserve">  </v>
      </c>
      <c r="C7" s="101"/>
      <c r="D7" s="101"/>
      <c r="E7" s="49" t="str">
        <f>IFERROR(VLOOKUP(D7,'taxonomy map'!$A$1:$B$171,2,FALSE),"")</f>
        <v/>
      </c>
      <c r="F7" s="49" t="str">
        <f>IFERROR(VLOOKUP(E7,'Condensed Specialty Crosswalk'!$A$2:$C$182,2,FALSE),"")</f>
        <v/>
      </c>
      <c r="G7" s="49" t="str">
        <f>IFERROR(VLOOKUP(E7,'Condensed Specialty Crosswalk'!$A$2:$C$182,3,FALSE),"")</f>
        <v/>
      </c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1:30" ht="17">
      <c r="A8" s="49"/>
      <c r="B8" s="49" t="str">
        <f>CONCATENATE(Reports!E7," ",Reports!F7," ",Reports!G7)</f>
        <v xml:space="preserve">  </v>
      </c>
      <c r="C8" s="101"/>
      <c r="D8" s="101"/>
      <c r="E8" s="49" t="str">
        <f>IFERROR(VLOOKUP(D8,'taxonomy map'!$A$1:$B$171,2,FALSE),"")</f>
        <v/>
      </c>
      <c r="F8" s="49" t="str">
        <f>IFERROR(VLOOKUP(E8,'Condensed Specialty Crosswalk'!$A$2:$C$182,2,FALSE),"")</f>
        <v/>
      </c>
      <c r="G8" s="49" t="str">
        <f>IFERROR(VLOOKUP(E8,'Condensed Specialty Crosswalk'!$A$2:$C$182,3,FALSE),"")</f>
        <v/>
      </c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1:30" ht="17">
      <c r="A9" s="49"/>
      <c r="B9" s="49" t="str">
        <f>CONCATENATE(Reports!E8," ",Reports!F8," ",Reports!G8)</f>
        <v xml:space="preserve">  </v>
      </c>
      <c r="C9" s="101"/>
      <c r="D9" s="101"/>
      <c r="E9" s="49" t="str">
        <f>IFERROR(VLOOKUP(D9,'taxonomy map'!$A$1:$B$171,2,FALSE),"")</f>
        <v/>
      </c>
      <c r="F9" s="49" t="str">
        <f>IFERROR(VLOOKUP(E9,'Condensed Specialty Crosswalk'!$A$2:$C$182,2,FALSE),"")</f>
        <v/>
      </c>
      <c r="G9" s="49" t="str">
        <f>IFERROR(VLOOKUP(E9,'Condensed Specialty Crosswalk'!$A$2:$C$182,3,FALSE),"")</f>
        <v/>
      </c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</row>
    <row r="10" spans="1:30" ht="17">
      <c r="A10" s="49"/>
      <c r="B10" s="49" t="str">
        <f>CONCATENATE(Reports!E9," ",Reports!F9," ",Reports!G9)</f>
        <v xml:space="preserve">  </v>
      </c>
      <c r="C10" s="101"/>
      <c r="D10" s="101"/>
      <c r="E10" s="49" t="str">
        <f>IFERROR(VLOOKUP(D10,'taxonomy map'!$A$1:$B$171,2,FALSE),"")</f>
        <v/>
      </c>
      <c r="F10" s="49" t="str">
        <f>IFERROR(VLOOKUP(E10,'Condensed Specialty Crosswalk'!$A$2:$C$182,2,FALSE),"")</f>
        <v/>
      </c>
      <c r="G10" s="49" t="str">
        <f>IFERROR(VLOOKUP(E10,'Condensed Specialty Crosswalk'!$A$2:$C$182,3,FALSE),"")</f>
        <v/>
      </c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</row>
    <row r="11" spans="1:30" ht="17">
      <c r="A11" s="49"/>
      <c r="B11" s="49" t="str">
        <f>CONCATENATE(Reports!E10," ",Reports!F10," ",Reports!G10)</f>
        <v xml:space="preserve">  </v>
      </c>
      <c r="C11" s="101"/>
      <c r="D11" s="101"/>
      <c r="E11" s="49" t="str">
        <f>IFERROR(VLOOKUP(D11,'taxonomy map'!$A$1:$B$171,2,FALSE),"")</f>
        <v/>
      </c>
      <c r="F11" s="49" t="str">
        <f>IFERROR(VLOOKUP(E11,'Condensed Specialty Crosswalk'!$A$2:$C$182,2,FALSE),"")</f>
        <v/>
      </c>
      <c r="G11" s="49" t="str">
        <f>IFERROR(VLOOKUP(E11,'Condensed Specialty Crosswalk'!$A$2:$C$182,3,FALSE),"")</f>
        <v/>
      </c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</row>
    <row r="12" spans="1:30" ht="17">
      <c r="A12" s="49"/>
      <c r="B12" s="49" t="str">
        <f>CONCATENATE(Reports!E11," ",Reports!F11," ",Reports!G11)</f>
        <v xml:space="preserve">  </v>
      </c>
      <c r="C12" s="101"/>
      <c r="D12" s="101"/>
      <c r="E12" s="49" t="str">
        <f>IFERROR(VLOOKUP(D12,'taxonomy map'!$A$1:$B$171,2,FALSE),"")</f>
        <v/>
      </c>
      <c r="F12" s="49" t="str">
        <f>IFERROR(VLOOKUP(E12,'Condensed Specialty Crosswalk'!$A$2:$C$182,2,FALSE),"")</f>
        <v/>
      </c>
      <c r="G12" s="49" t="str">
        <f>IFERROR(VLOOKUP(E12,'Condensed Specialty Crosswalk'!$A$2:$C$182,3,FALSE),"")</f>
        <v/>
      </c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</row>
    <row r="13" spans="1:30" ht="17">
      <c r="A13" s="49"/>
      <c r="B13" s="49" t="str">
        <f>CONCATENATE(Reports!E12," ",Reports!F12," ",Reports!G12)</f>
        <v xml:space="preserve">  </v>
      </c>
      <c r="C13" s="101"/>
      <c r="D13" s="101"/>
      <c r="E13" s="49" t="str">
        <f>IFERROR(VLOOKUP(D13,'taxonomy map'!$A$1:$B$171,2,FALSE),"")</f>
        <v/>
      </c>
      <c r="F13" s="49" t="str">
        <f>IFERROR(VLOOKUP(E13,'Condensed Specialty Crosswalk'!$A$2:$C$182,2,FALSE),"")</f>
        <v/>
      </c>
      <c r="G13" s="49" t="str">
        <f>IFERROR(VLOOKUP(E13,'Condensed Specialty Crosswalk'!$A$2:$C$182,3,FALSE),"")</f>
        <v/>
      </c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</row>
    <row r="14" spans="1:30" ht="17">
      <c r="A14" s="49"/>
      <c r="B14" s="49" t="str">
        <f>CONCATENATE(Reports!E13," ",Reports!F13," ",Reports!G13)</f>
        <v xml:space="preserve">  </v>
      </c>
      <c r="C14" s="101"/>
      <c r="D14" s="101"/>
      <c r="E14" s="49" t="str">
        <f>IFERROR(VLOOKUP(D14,'taxonomy map'!$A$1:$B$171,2,FALSE),"")</f>
        <v/>
      </c>
      <c r="F14" s="49" t="str">
        <f>IFERROR(VLOOKUP(E14,'Condensed Specialty Crosswalk'!$A$2:$C$182,2,FALSE),"")</f>
        <v/>
      </c>
      <c r="G14" s="49" t="str">
        <f>IFERROR(VLOOKUP(E14,'Condensed Specialty Crosswalk'!$A$2:$C$182,3,FALSE),"")</f>
        <v/>
      </c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</row>
    <row r="15" spans="1:30" ht="17">
      <c r="A15" s="49"/>
      <c r="B15" s="49" t="str">
        <f>CONCATENATE(Reports!E14," ",Reports!F14," ",Reports!G14)</f>
        <v xml:space="preserve">  </v>
      </c>
      <c r="C15" s="101"/>
      <c r="D15" s="101"/>
      <c r="E15" s="49" t="str">
        <f>IFERROR(VLOOKUP(D15,'taxonomy map'!$A$1:$B$171,2,FALSE),"")</f>
        <v/>
      </c>
      <c r="F15" s="49" t="str">
        <f>IFERROR(VLOOKUP(E15,'Condensed Specialty Crosswalk'!$A$2:$C$182,2,FALSE),"")</f>
        <v/>
      </c>
      <c r="G15" s="49" t="str">
        <f>IFERROR(VLOOKUP(E15,'Condensed Specialty Crosswalk'!$A$2:$C$182,3,FALSE),"")</f>
        <v/>
      </c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</row>
    <row r="16" spans="1:30" ht="17">
      <c r="A16" s="49"/>
      <c r="B16" s="49" t="str">
        <f>CONCATENATE(Reports!E15," ",Reports!F15," ",Reports!G15)</f>
        <v xml:space="preserve">  </v>
      </c>
      <c r="C16" s="101"/>
      <c r="D16" s="101"/>
      <c r="E16" s="49" t="str">
        <f>IFERROR(VLOOKUP(D16,'taxonomy map'!$A$1:$B$171,2,FALSE),"")</f>
        <v/>
      </c>
      <c r="F16" s="49" t="str">
        <f>IFERROR(VLOOKUP(E16,'Condensed Specialty Crosswalk'!$A$2:$C$182,2,FALSE),"")</f>
        <v/>
      </c>
      <c r="G16" s="49" t="str">
        <f>IFERROR(VLOOKUP(E16,'Condensed Specialty Crosswalk'!$A$2:$C$182,3,FALSE),"")</f>
        <v/>
      </c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</row>
    <row r="17" spans="1:30" ht="17">
      <c r="A17" s="49"/>
      <c r="B17" s="49" t="str">
        <f>CONCATENATE(Reports!E16," ",Reports!F16," ",Reports!G16)</f>
        <v xml:space="preserve">  </v>
      </c>
      <c r="C17" s="101"/>
      <c r="D17" s="101"/>
      <c r="E17" s="49" t="str">
        <f>IFERROR(VLOOKUP(D17,'taxonomy map'!$A$1:$B$171,2,FALSE),"")</f>
        <v/>
      </c>
      <c r="F17" s="49" t="str">
        <f>IFERROR(VLOOKUP(E17,'Condensed Specialty Crosswalk'!$A$2:$C$182,2,FALSE),"")</f>
        <v/>
      </c>
      <c r="G17" s="49" t="str">
        <f>IFERROR(VLOOKUP(E17,'Condensed Specialty Crosswalk'!$A$2:$C$182,3,FALSE),"")</f>
        <v/>
      </c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</row>
    <row r="18" spans="1:30" ht="17">
      <c r="A18" s="49"/>
      <c r="B18" s="49" t="str">
        <f>CONCATENATE(Reports!E17," ",Reports!F17," ",Reports!G17)</f>
        <v xml:space="preserve">  </v>
      </c>
      <c r="C18" s="101"/>
      <c r="D18" s="101"/>
      <c r="E18" s="49" t="str">
        <f>IFERROR(VLOOKUP(D18,'taxonomy map'!$A$1:$B$171,2,FALSE),"")</f>
        <v/>
      </c>
      <c r="F18" s="49" t="str">
        <f>IFERROR(VLOOKUP(E18,'Condensed Specialty Crosswalk'!$A$2:$C$182,2,FALSE),"")</f>
        <v/>
      </c>
      <c r="G18" s="49" t="str">
        <f>IFERROR(VLOOKUP(E18,'Condensed Specialty Crosswalk'!$A$2:$C$182,3,FALSE),"")</f>
        <v/>
      </c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</row>
    <row r="19" spans="1:30" ht="17">
      <c r="A19" s="49"/>
      <c r="B19" s="49" t="str">
        <f>CONCATENATE(Reports!E18," ",Reports!F18," ",Reports!G18)</f>
        <v xml:space="preserve">  </v>
      </c>
      <c r="C19" s="101"/>
      <c r="D19" s="101"/>
      <c r="E19" s="49" t="str">
        <f>IFERROR(VLOOKUP(D19,'taxonomy map'!$A$1:$B$171,2,FALSE),"")</f>
        <v/>
      </c>
      <c r="F19" s="49" t="str">
        <f>IFERROR(VLOOKUP(E19,'Condensed Specialty Crosswalk'!$A$2:$C$182,2,FALSE),"")</f>
        <v/>
      </c>
      <c r="G19" s="49" t="str">
        <f>IFERROR(VLOOKUP(E19,'Condensed Specialty Crosswalk'!$A$2:$C$182,3,FALSE),"")</f>
        <v/>
      </c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</row>
    <row r="20" spans="1:30" ht="17">
      <c r="A20" s="49"/>
      <c r="B20" s="49" t="str">
        <f>CONCATENATE(Reports!E19," ",Reports!F19," ",Reports!G19)</f>
        <v xml:space="preserve">  </v>
      </c>
      <c r="C20" s="101"/>
      <c r="D20" s="101"/>
      <c r="E20" s="49" t="str">
        <f>IFERROR(VLOOKUP(D20,'taxonomy map'!$A$1:$B$171,2,FALSE),"")</f>
        <v/>
      </c>
      <c r="F20" s="49" t="str">
        <f>IFERROR(VLOOKUP(E20,'Condensed Specialty Crosswalk'!$A$2:$C$182,2,FALSE),"")</f>
        <v/>
      </c>
      <c r="G20" s="49" t="str">
        <f>IFERROR(VLOOKUP(E20,'Condensed Specialty Crosswalk'!$A$2:$C$182,3,FALSE),"")</f>
        <v/>
      </c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</row>
    <row r="21" spans="1:30" ht="17">
      <c r="A21" s="49"/>
      <c r="B21" s="49" t="str">
        <f>CONCATENATE(Reports!E20," ",Reports!F20," ",Reports!G20)</f>
        <v xml:space="preserve">  </v>
      </c>
      <c r="C21" s="101"/>
      <c r="D21" s="101"/>
      <c r="E21" s="49" t="str">
        <f>IFERROR(VLOOKUP(D21,'taxonomy map'!$A$1:$B$171,2,FALSE),"")</f>
        <v/>
      </c>
      <c r="F21" s="49" t="str">
        <f>IFERROR(VLOOKUP(E21,'Condensed Specialty Crosswalk'!$A$2:$C$182,2,FALSE),"")</f>
        <v/>
      </c>
      <c r="G21" s="49" t="str">
        <f>IFERROR(VLOOKUP(E21,'Condensed Specialty Crosswalk'!$A$2:$C$182,3,FALSE),"")</f>
        <v/>
      </c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</row>
    <row r="22" spans="1:30" ht="17">
      <c r="A22" s="49"/>
      <c r="B22" s="49" t="str">
        <f>CONCATENATE(Reports!E21," ",Reports!F21," ",Reports!G21)</f>
        <v xml:space="preserve">  </v>
      </c>
      <c r="C22" s="101"/>
      <c r="D22" s="101"/>
      <c r="E22" s="49" t="str">
        <f>IFERROR(VLOOKUP(D22,'taxonomy map'!$A$1:$B$171,2,FALSE),"")</f>
        <v/>
      </c>
      <c r="F22" s="49" t="str">
        <f>IFERROR(VLOOKUP(E22,'Condensed Specialty Crosswalk'!$A$2:$C$182,2,FALSE),"")</f>
        <v/>
      </c>
      <c r="G22" s="49" t="str">
        <f>IFERROR(VLOOKUP(E22,'Condensed Specialty Crosswalk'!$A$2:$C$182,3,FALSE),"")</f>
        <v/>
      </c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</row>
    <row r="23" spans="1:30" ht="17">
      <c r="A23" s="49"/>
      <c r="B23" s="49" t="str">
        <f>CONCATENATE(Reports!E22," ",Reports!F22," ",Reports!G22)</f>
        <v xml:space="preserve">  </v>
      </c>
      <c r="C23" s="101"/>
      <c r="D23" s="101"/>
      <c r="E23" s="49" t="str">
        <f>IFERROR(VLOOKUP(D23,'taxonomy map'!$A$1:$B$171,2,FALSE),"")</f>
        <v/>
      </c>
      <c r="F23" s="49" t="str">
        <f>IFERROR(VLOOKUP(E23,'Condensed Specialty Crosswalk'!$A$2:$C$182,2,FALSE),"")</f>
        <v/>
      </c>
      <c r="G23" s="49" t="str">
        <f>IFERROR(VLOOKUP(E23,'Condensed Specialty Crosswalk'!$A$2:$C$182,3,FALSE),"")</f>
        <v/>
      </c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30" ht="17">
      <c r="A24" s="49"/>
      <c r="B24" s="49" t="str">
        <f>CONCATENATE(Reports!E23," ",Reports!F23," ",Reports!G23)</f>
        <v xml:space="preserve">  </v>
      </c>
      <c r="C24" s="101"/>
      <c r="D24" s="101"/>
      <c r="E24" s="49" t="str">
        <f>IFERROR(VLOOKUP(D24,'taxonomy map'!$A$1:$B$171,2,FALSE),"")</f>
        <v/>
      </c>
      <c r="F24" s="49" t="str">
        <f>IFERROR(VLOOKUP(E24,'Condensed Specialty Crosswalk'!$A$2:$C$182,2,FALSE),"")</f>
        <v/>
      </c>
      <c r="G24" s="49" t="str">
        <f>IFERROR(VLOOKUP(E24,'Condensed Specialty Crosswalk'!$A$2:$C$182,3,FALSE),"")</f>
        <v/>
      </c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</row>
    <row r="25" spans="1:30" ht="17">
      <c r="A25" s="49"/>
      <c r="B25" s="49" t="str">
        <f>CONCATENATE(Reports!E24," ",Reports!F24," ",Reports!G24)</f>
        <v xml:space="preserve">  </v>
      </c>
      <c r="C25" s="101"/>
      <c r="D25" s="101"/>
      <c r="E25" s="49" t="str">
        <f>IFERROR(VLOOKUP(D25,'taxonomy map'!$A$1:$B$171,2,FALSE),"")</f>
        <v/>
      </c>
      <c r="F25" s="49" t="str">
        <f>IFERROR(VLOOKUP(E25,'Condensed Specialty Crosswalk'!$A$2:$C$182,2,FALSE),"")</f>
        <v/>
      </c>
      <c r="G25" s="49" t="str">
        <f>IFERROR(VLOOKUP(E25,'Condensed Specialty Crosswalk'!$A$2:$C$182,3,FALSE),"")</f>
        <v/>
      </c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</row>
    <row r="26" spans="1:30" ht="17">
      <c r="A26" s="49"/>
      <c r="B26" s="49" t="str">
        <f>CONCATENATE(Reports!E25," ",Reports!F25," ",Reports!G25)</f>
        <v xml:space="preserve">  </v>
      </c>
      <c r="C26" s="101"/>
      <c r="D26" s="101"/>
      <c r="E26" s="49" t="str">
        <f>IFERROR(VLOOKUP(D26,'taxonomy map'!$A$1:$B$171,2,FALSE),"")</f>
        <v/>
      </c>
      <c r="F26" s="49" t="str">
        <f>IFERROR(VLOOKUP(E26,'Condensed Specialty Crosswalk'!$A$2:$C$182,2,FALSE),"")</f>
        <v/>
      </c>
      <c r="G26" s="49" t="str">
        <f>IFERROR(VLOOKUP(E26,'Condensed Specialty Crosswalk'!$A$2:$C$182,3,FALSE),"")</f>
        <v/>
      </c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</row>
    <row r="27" spans="1:30" ht="17">
      <c r="A27" s="49"/>
      <c r="B27" s="49" t="str">
        <f>CONCATENATE(Reports!E26," ",Reports!F26," ",Reports!G26)</f>
        <v xml:space="preserve">  </v>
      </c>
      <c r="C27" s="101"/>
      <c r="D27" s="101"/>
      <c r="E27" s="49" t="str">
        <f>IFERROR(VLOOKUP(D27,'taxonomy map'!$A$1:$B$171,2,FALSE),"")</f>
        <v/>
      </c>
      <c r="F27" s="49" t="str">
        <f>IFERROR(VLOOKUP(E27,'Condensed Specialty Crosswalk'!$A$2:$C$182,2,FALSE),"")</f>
        <v/>
      </c>
      <c r="G27" s="49" t="str">
        <f>IFERROR(VLOOKUP(E27,'Condensed Specialty Crosswalk'!$A$2:$C$182,3,FALSE),"")</f>
        <v/>
      </c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</row>
    <row r="28" spans="1:30" ht="17">
      <c r="A28" s="49"/>
      <c r="B28" s="49" t="str">
        <f>CONCATENATE(Reports!E27," ",Reports!F27," ",Reports!G27)</f>
        <v xml:space="preserve">  </v>
      </c>
      <c r="C28" s="101"/>
      <c r="D28" s="101"/>
      <c r="E28" s="49" t="str">
        <f>IFERROR(VLOOKUP(D28,'taxonomy map'!$A$1:$B$171,2,FALSE),"")</f>
        <v/>
      </c>
      <c r="F28" s="49" t="str">
        <f>IFERROR(VLOOKUP(E28,'Condensed Specialty Crosswalk'!$A$2:$C$182,2,FALSE),"")</f>
        <v/>
      </c>
      <c r="G28" s="49" t="str">
        <f>IFERROR(VLOOKUP(E28,'Condensed Specialty Crosswalk'!$A$2:$C$182,3,FALSE),"")</f>
        <v/>
      </c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</row>
    <row r="29" spans="1:30" ht="17">
      <c r="A29" s="49"/>
      <c r="B29" s="49" t="str">
        <f>CONCATENATE(Reports!E28," ",Reports!F28," ",Reports!G28)</f>
        <v xml:space="preserve">  </v>
      </c>
      <c r="C29" s="101"/>
      <c r="D29" s="101"/>
      <c r="E29" s="49" t="str">
        <f>IFERROR(VLOOKUP(D29,'taxonomy map'!$A$1:$B$171,2,FALSE),"")</f>
        <v/>
      </c>
      <c r="F29" s="49" t="str">
        <f>IFERROR(VLOOKUP(E29,'Condensed Specialty Crosswalk'!$A$2:$C$182,2,FALSE),"")</f>
        <v/>
      </c>
      <c r="G29" s="49" t="str">
        <f>IFERROR(VLOOKUP(E29,'Condensed Specialty Crosswalk'!$A$2:$C$182,3,FALSE),"")</f>
        <v/>
      </c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</row>
    <row r="30" spans="1:30" ht="17">
      <c r="A30" s="49"/>
      <c r="B30" s="49" t="str">
        <f>CONCATENATE(Reports!E29," ",Reports!F29," ",Reports!G29)</f>
        <v xml:space="preserve">  </v>
      </c>
      <c r="C30" s="101"/>
      <c r="D30" s="101"/>
      <c r="E30" s="49" t="str">
        <f>IFERROR(VLOOKUP(D30,'taxonomy map'!$A$1:$B$171,2,FALSE),"")</f>
        <v/>
      </c>
      <c r="F30" s="49" t="str">
        <f>IFERROR(VLOOKUP(E30,'Condensed Specialty Crosswalk'!$A$2:$C$182,2,FALSE),"")</f>
        <v/>
      </c>
      <c r="G30" s="49" t="str">
        <f>IFERROR(VLOOKUP(E30,'Condensed Specialty Crosswalk'!$A$2:$C$182,3,FALSE),"")</f>
        <v/>
      </c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</row>
    <row r="31" spans="1:30" ht="17">
      <c r="A31" s="49"/>
      <c r="B31" s="49" t="str">
        <f>CONCATENATE(Reports!E30," ",Reports!F30," ",Reports!G30)</f>
        <v xml:space="preserve">  </v>
      </c>
      <c r="C31" s="101"/>
      <c r="D31" s="101"/>
      <c r="E31" s="49" t="str">
        <f>IFERROR(VLOOKUP(D31,'taxonomy map'!$A$1:$B$171,2,FALSE),"")</f>
        <v/>
      </c>
      <c r="F31" s="49" t="str">
        <f>IFERROR(VLOOKUP(E31,'Condensed Specialty Crosswalk'!$A$2:$C$182,2,FALSE),"")</f>
        <v/>
      </c>
      <c r="G31" s="49" t="str">
        <f>IFERROR(VLOOKUP(E31,'Condensed Specialty Crosswalk'!$A$2:$C$182,3,FALSE),"")</f>
        <v/>
      </c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</row>
    <row r="32" spans="1:30" ht="17">
      <c r="A32" s="49"/>
      <c r="B32" s="49" t="str">
        <f>CONCATENATE(Reports!E31," ",Reports!F31," ",Reports!G31)</f>
        <v xml:space="preserve">  </v>
      </c>
      <c r="C32" s="101"/>
      <c r="D32" s="101"/>
      <c r="E32" s="49" t="str">
        <f>IFERROR(VLOOKUP(D32,'taxonomy map'!$A$1:$B$171,2,FALSE),"")</f>
        <v/>
      </c>
      <c r="F32" s="49" t="str">
        <f>IFERROR(VLOOKUP(E32,'Condensed Specialty Crosswalk'!$A$2:$C$182,2,FALSE),"")</f>
        <v/>
      </c>
      <c r="G32" s="49" t="str">
        <f>IFERROR(VLOOKUP(E32,'Condensed Specialty Crosswalk'!$A$2:$C$182,3,FALSE),"")</f>
        <v/>
      </c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</row>
    <row r="33" spans="1:30" ht="17">
      <c r="A33" s="49"/>
      <c r="B33" s="49" t="str">
        <f>CONCATENATE(Reports!E32," ",Reports!F32," ",Reports!G32)</f>
        <v xml:space="preserve">  </v>
      </c>
      <c r="C33" s="101"/>
      <c r="D33" s="101"/>
      <c r="E33" s="49" t="str">
        <f>IFERROR(VLOOKUP(D33,'taxonomy map'!$A$1:$B$171,2,FALSE),"")</f>
        <v/>
      </c>
      <c r="F33" s="49" t="str">
        <f>IFERROR(VLOOKUP(E33,'Condensed Specialty Crosswalk'!$A$2:$C$182,2,FALSE),"")</f>
        <v/>
      </c>
      <c r="G33" s="49" t="str">
        <f>IFERROR(VLOOKUP(E33,'Condensed Specialty Crosswalk'!$A$2:$C$182,3,FALSE),"")</f>
        <v/>
      </c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</row>
    <row r="34" spans="1:30" ht="17">
      <c r="A34" s="49"/>
      <c r="B34" s="49" t="str">
        <f>CONCATENATE(Reports!E33," ",Reports!F33," ",Reports!G33)</f>
        <v xml:space="preserve">  </v>
      </c>
      <c r="C34" s="101"/>
      <c r="D34" s="101"/>
      <c r="E34" s="49" t="str">
        <f>IFERROR(VLOOKUP(D34,'taxonomy map'!$A$1:$B$171,2,FALSE),"")</f>
        <v/>
      </c>
      <c r="F34" s="49" t="str">
        <f>IFERROR(VLOOKUP(E34,'Condensed Specialty Crosswalk'!$A$2:$C$182,2,FALSE),"")</f>
        <v/>
      </c>
      <c r="G34" s="49" t="str">
        <f>IFERROR(VLOOKUP(E34,'Condensed Specialty Crosswalk'!$A$2:$C$182,3,FALSE),"")</f>
        <v/>
      </c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</row>
    <row r="35" spans="1:30" ht="17">
      <c r="A35" s="49"/>
      <c r="B35" s="49" t="str">
        <f>CONCATENATE(Reports!E34," ",Reports!F34," ",Reports!G34)</f>
        <v xml:space="preserve">  </v>
      </c>
      <c r="C35" s="101"/>
      <c r="D35" s="101"/>
      <c r="E35" s="49" t="str">
        <f>IFERROR(VLOOKUP(D35,'taxonomy map'!$A$1:$B$171,2,FALSE),"")</f>
        <v/>
      </c>
      <c r="F35" s="49" t="str">
        <f>IFERROR(VLOOKUP(E35,'Condensed Specialty Crosswalk'!$A$2:$C$182,2,FALSE),"")</f>
        <v/>
      </c>
      <c r="G35" s="49" t="str">
        <f>IFERROR(VLOOKUP(E35,'Condensed Specialty Crosswalk'!$A$2:$C$182,3,FALSE),"")</f>
        <v/>
      </c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</row>
    <row r="36" spans="1:30" ht="17">
      <c r="A36" s="49"/>
      <c r="B36" s="49" t="str">
        <f>CONCATENATE(Reports!E35," ",Reports!F35," ",Reports!G35)</f>
        <v xml:space="preserve">  </v>
      </c>
      <c r="C36" s="101"/>
      <c r="D36" s="101"/>
      <c r="E36" s="49" t="str">
        <f>IFERROR(VLOOKUP(D36,'taxonomy map'!$A$1:$B$171,2,FALSE),"")</f>
        <v/>
      </c>
      <c r="F36" s="49" t="str">
        <f>IFERROR(VLOOKUP(E36,'Condensed Specialty Crosswalk'!$A$2:$C$182,2,FALSE),"")</f>
        <v/>
      </c>
      <c r="G36" s="49" t="str">
        <f>IFERROR(VLOOKUP(E36,'Condensed Specialty Crosswalk'!$A$2:$C$182,3,FALSE),"")</f>
        <v/>
      </c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</row>
    <row r="37" spans="1:30" ht="17">
      <c r="A37" s="49"/>
      <c r="B37" s="49" t="str">
        <f>CONCATENATE(Reports!E36," ",Reports!F36," ",Reports!G36)</f>
        <v xml:space="preserve">  </v>
      </c>
      <c r="C37" s="101"/>
      <c r="D37" s="101"/>
      <c r="E37" s="49" t="str">
        <f>IFERROR(VLOOKUP(D37,'taxonomy map'!$A$1:$B$171,2,FALSE),"")</f>
        <v/>
      </c>
      <c r="F37" s="49" t="str">
        <f>IFERROR(VLOOKUP(E37,'Condensed Specialty Crosswalk'!$A$2:$C$182,2,FALSE),"")</f>
        <v/>
      </c>
      <c r="G37" s="49" t="str">
        <f>IFERROR(VLOOKUP(E37,'Condensed Specialty Crosswalk'!$A$2:$C$182,3,FALSE),"")</f>
        <v/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</row>
    <row r="38" spans="1:30" ht="17">
      <c r="A38" s="49"/>
      <c r="B38" s="49" t="str">
        <f>CONCATENATE(Reports!E37," ",Reports!F37," ",Reports!G37)</f>
        <v xml:space="preserve">  </v>
      </c>
      <c r="C38" s="101"/>
      <c r="D38" s="101"/>
      <c r="E38" s="49" t="str">
        <f>IFERROR(VLOOKUP(D38,'taxonomy map'!$A$1:$B$171,2,FALSE),"")</f>
        <v/>
      </c>
      <c r="F38" s="49" t="str">
        <f>IFERROR(VLOOKUP(E38,'Condensed Specialty Crosswalk'!$A$2:$C$182,2,FALSE),"")</f>
        <v/>
      </c>
      <c r="G38" s="49" t="str">
        <f>IFERROR(VLOOKUP(E38,'Condensed Specialty Crosswalk'!$A$2:$C$182,3,FALSE),"")</f>
        <v/>
      </c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</row>
    <row r="39" spans="1:30" ht="17">
      <c r="A39" s="49"/>
      <c r="B39" s="49" t="str">
        <f>CONCATENATE(Reports!E38," ",Reports!F38," ",Reports!G38)</f>
        <v xml:space="preserve">  </v>
      </c>
      <c r="C39" s="101"/>
      <c r="D39" s="101"/>
      <c r="E39" s="49" t="str">
        <f>IFERROR(VLOOKUP(D39,'taxonomy map'!$A$1:$B$171,2,FALSE),"")</f>
        <v/>
      </c>
      <c r="F39" s="49" t="str">
        <f>IFERROR(VLOOKUP(E39,'Condensed Specialty Crosswalk'!$A$2:$C$182,2,FALSE),"")</f>
        <v/>
      </c>
      <c r="G39" s="49" t="str">
        <f>IFERROR(VLOOKUP(E39,'Condensed Specialty Crosswalk'!$A$2:$C$182,3,FALSE),"")</f>
        <v/>
      </c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</row>
    <row r="40" spans="1:30" ht="17">
      <c r="A40" s="49"/>
      <c r="B40" s="49" t="str">
        <f>CONCATENATE(Reports!E39," ",Reports!F39," ",Reports!G39)</f>
        <v xml:space="preserve">  </v>
      </c>
      <c r="C40" s="101"/>
      <c r="D40" s="101"/>
      <c r="E40" s="49" t="str">
        <f>IFERROR(VLOOKUP(D40,'taxonomy map'!$A$1:$B$171,2,FALSE),"")</f>
        <v/>
      </c>
      <c r="F40" s="49" t="str">
        <f>IFERROR(VLOOKUP(E40,'Condensed Specialty Crosswalk'!$A$2:$C$182,2,FALSE),"")</f>
        <v/>
      </c>
      <c r="G40" s="49" t="str">
        <f>IFERROR(VLOOKUP(E40,'Condensed Specialty Crosswalk'!$A$2:$C$182,3,FALSE),"")</f>
        <v/>
      </c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</row>
    <row r="41" spans="1:30" ht="17">
      <c r="A41" s="49"/>
      <c r="B41" s="49" t="str">
        <f>CONCATENATE(Reports!E40," ",Reports!F40," ",Reports!G40)</f>
        <v xml:space="preserve">  </v>
      </c>
      <c r="C41" s="101"/>
      <c r="D41" s="101"/>
      <c r="E41" s="49" t="str">
        <f>IFERROR(VLOOKUP(D41,'taxonomy map'!$A$1:$B$171,2,FALSE),"")</f>
        <v/>
      </c>
      <c r="F41" s="49" t="str">
        <f>IFERROR(VLOOKUP(E41,'Condensed Specialty Crosswalk'!$A$2:$C$182,2,FALSE),"")</f>
        <v/>
      </c>
      <c r="G41" s="49" t="str">
        <f>IFERROR(VLOOKUP(E41,'Condensed Specialty Crosswalk'!$A$2:$C$182,3,FALSE),"")</f>
        <v/>
      </c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</row>
    <row r="42" spans="1:30" ht="17">
      <c r="A42" s="49"/>
      <c r="B42" s="49" t="str">
        <f>CONCATENATE(Reports!E41," ",Reports!F41," ",Reports!G41)</f>
        <v xml:space="preserve">  </v>
      </c>
      <c r="C42" s="101"/>
      <c r="D42" s="101"/>
      <c r="E42" s="49" t="str">
        <f>IFERROR(VLOOKUP(D42,'taxonomy map'!$A$1:$B$171,2,FALSE),"")</f>
        <v/>
      </c>
      <c r="F42" s="49" t="str">
        <f>IFERROR(VLOOKUP(E42,'Condensed Specialty Crosswalk'!$A$2:$C$182,2,FALSE),"")</f>
        <v/>
      </c>
      <c r="G42" s="49" t="str">
        <f>IFERROR(VLOOKUP(E42,'Condensed Specialty Crosswalk'!$A$2:$C$182,3,FALSE),"")</f>
        <v/>
      </c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</row>
    <row r="43" spans="1:30" ht="17">
      <c r="A43" s="49"/>
      <c r="B43" s="49" t="str">
        <f>CONCATENATE(Reports!E42," ",Reports!F42," ",Reports!G42)</f>
        <v xml:space="preserve">  </v>
      </c>
      <c r="C43" s="101"/>
      <c r="D43" s="101"/>
      <c r="E43" s="49" t="str">
        <f>IFERROR(VLOOKUP(D43,'taxonomy map'!$A$1:$B$171,2,FALSE),"")</f>
        <v/>
      </c>
      <c r="F43" s="49" t="str">
        <f>IFERROR(VLOOKUP(E43,'Condensed Specialty Crosswalk'!$A$2:$C$182,2,FALSE),"")</f>
        <v/>
      </c>
      <c r="G43" s="49" t="str">
        <f>IFERROR(VLOOKUP(E43,'Condensed Specialty Crosswalk'!$A$2:$C$182,3,FALSE),"")</f>
        <v/>
      </c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</row>
    <row r="44" spans="1:30" ht="17">
      <c r="A44" s="49"/>
      <c r="B44" s="49" t="str">
        <f>CONCATENATE(Reports!E43," ",Reports!F43," ",Reports!G43)</f>
        <v xml:space="preserve">  </v>
      </c>
      <c r="C44" s="101"/>
      <c r="D44" s="101"/>
      <c r="E44" s="49" t="str">
        <f>IFERROR(VLOOKUP(D44,'taxonomy map'!$A$1:$B$171,2,FALSE),"")</f>
        <v/>
      </c>
      <c r="F44" s="49" t="str">
        <f>IFERROR(VLOOKUP(E44,'Condensed Specialty Crosswalk'!$A$2:$C$182,2,FALSE),"")</f>
        <v/>
      </c>
      <c r="G44" s="49" t="str">
        <f>IFERROR(VLOOKUP(E44,'Condensed Specialty Crosswalk'!$A$2:$C$182,3,FALSE),"")</f>
        <v/>
      </c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</row>
    <row r="45" spans="1:30" ht="17">
      <c r="A45" s="49"/>
      <c r="B45" s="49" t="str">
        <f>CONCATENATE(Reports!E44," ",Reports!F44," ",Reports!G44)</f>
        <v xml:space="preserve">  </v>
      </c>
      <c r="C45" s="101"/>
      <c r="D45" s="101"/>
      <c r="E45" s="49" t="str">
        <f>IFERROR(VLOOKUP(D45,'taxonomy map'!$A$1:$B$171,2,FALSE),"")</f>
        <v/>
      </c>
      <c r="F45" s="49" t="str">
        <f>IFERROR(VLOOKUP(E45,'Condensed Specialty Crosswalk'!$A$2:$C$182,2,FALSE),"")</f>
        <v/>
      </c>
      <c r="G45" s="49" t="str">
        <f>IFERROR(VLOOKUP(E45,'Condensed Specialty Crosswalk'!$A$2:$C$182,3,FALSE),"")</f>
        <v/>
      </c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</row>
    <row r="46" spans="1:30" ht="17">
      <c r="A46" s="49"/>
      <c r="B46" s="49" t="str">
        <f>CONCATENATE(Reports!E45," ",Reports!F45," ",Reports!G45)</f>
        <v xml:space="preserve">  </v>
      </c>
      <c r="C46" s="101"/>
      <c r="D46" s="101"/>
      <c r="E46" s="49" t="str">
        <f>IFERROR(VLOOKUP(D46,'taxonomy map'!$A$1:$B$171,2,FALSE),"")</f>
        <v/>
      </c>
      <c r="F46" s="49" t="str">
        <f>IFERROR(VLOOKUP(E46,'Condensed Specialty Crosswalk'!$A$2:$C$182,2,FALSE),"")</f>
        <v/>
      </c>
      <c r="G46" s="49" t="str">
        <f>IFERROR(VLOOKUP(E46,'Condensed Specialty Crosswalk'!$A$2:$C$182,3,FALSE),"")</f>
        <v/>
      </c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</row>
    <row r="47" spans="1:30" ht="17">
      <c r="A47" s="49"/>
      <c r="B47" s="49" t="str">
        <f>CONCATENATE(Reports!E46," ",Reports!F46," ",Reports!G46)</f>
        <v xml:space="preserve">  </v>
      </c>
      <c r="C47" s="101"/>
      <c r="D47" s="101"/>
      <c r="E47" s="49" t="str">
        <f>IFERROR(VLOOKUP(D47,'taxonomy map'!$A$1:$B$171,2,FALSE),"")</f>
        <v/>
      </c>
      <c r="F47" s="49" t="str">
        <f>IFERROR(VLOOKUP(E47,'Condensed Specialty Crosswalk'!$A$2:$C$182,2,FALSE),"")</f>
        <v/>
      </c>
      <c r="G47" s="49" t="str">
        <f>IFERROR(VLOOKUP(E47,'Condensed Specialty Crosswalk'!$A$2:$C$182,3,FALSE),"")</f>
        <v/>
      </c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</row>
    <row r="48" spans="1:30" ht="17">
      <c r="A48" s="49"/>
      <c r="B48" s="49" t="str">
        <f>CONCATENATE(Reports!E47," ",Reports!F47," ",Reports!G47)</f>
        <v xml:space="preserve">  </v>
      </c>
      <c r="C48" s="101"/>
      <c r="D48" s="101"/>
      <c r="E48" s="49" t="str">
        <f>IFERROR(VLOOKUP(D48,'taxonomy map'!$A$1:$B$171,2,FALSE),"")</f>
        <v/>
      </c>
      <c r="F48" s="49" t="str">
        <f>IFERROR(VLOOKUP(E48,'Condensed Specialty Crosswalk'!$A$2:$C$182,2,FALSE),"")</f>
        <v/>
      </c>
      <c r="G48" s="49" t="str">
        <f>IFERROR(VLOOKUP(E48,'Condensed Specialty Crosswalk'!$A$2:$C$182,3,FALSE),"")</f>
        <v/>
      </c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</row>
    <row r="49" spans="1:30" ht="17">
      <c r="A49" s="49"/>
      <c r="B49" s="49" t="str">
        <f>CONCATENATE(Reports!E48," ",Reports!F48," ",Reports!G48)</f>
        <v xml:space="preserve">  </v>
      </c>
      <c r="C49" s="101"/>
      <c r="D49" s="101"/>
      <c r="E49" s="49" t="str">
        <f>IFERROR(VLOOKUP(D49,'taxonomy map'!$A$1:$B$171,2,FALSE),"")</f>
        <v/>
      </c>
      <c r="F49" s="49" t="str">
        <f>IFERROR(VLOOKUP(E49,'Condensed Specialty Crosswalk'!$A$2:$C$182,2,FALSE),"")</f>
        <v/>
      </c>
      <c r="G49" s="49" t="str">
        <f>IFERROR(VLOOKUP(E49,'Condensed Specialty Crosswalk'!$A$2:$C$182,3,FALSE),"")</f>
        <v/>
      </c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</row>
    <row r="50" spans="1:30" ht="17">
      <c r="A50" s="49"/>
      <c r="B50" s="49" t="str">
        <f>CONCATENATE(Reports!E49," ",Reports!F49," ",Reports!G49)</f>
        <v xml:space="preserve">  </v>
      </c>
      <c r="C50" s="101"/>
      <c r="D50" s="101"/>
      <c r="E50" s="49" t="str">
        <f>IFERROR(VLOOKUP(D50,'taxonomy map'!$A$1:$B$171,2,FALSE),"")</f>
        <v/>
      </c>
      <c r="F50" s="49" t="str">
        <f>IFERROR(VLOOKUP(E50,'Condensed Specialty Crosswalk'!$A$2:$C$182,2,FALSE),"")</f>
        <v/>
      </c>
      <c r="G50" s="49" t="str">
        <f>IFERROR(VLOOKUP(E50,'Condensed Specialty Crosswalk'!$A$2:$C$182,3,FALSE),"")</f>
        <v/>
      </c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</row>
    <row r="51" spans="1:30" ht="17">
      <c r="A51" s="49"/>
      <c r="B51" s="49" t="str">
        <f>CONCATENATE(Reports!E50," ",Reports!F50," ",Reports!G50)</f>
        <v xml:space="preserve">  </v>
      </c>
      <c r="C51" s="101"/>
      <c r="D51" s="101"/>
      <c r="E51" s="49" t="str">
        <f>IFERROR(VLOOKUP(D51,'taxonomy map'!$A$1:$B$171,2,FALSE),"")</f>
        <v/>
      </c>
      <c r="F51" s="49" t="str">
        <f>IFERROR(VLOOKUP(E51,'Condensed Specialty Crosswalk'!$A$2:$C$182,2,FALSE),"")</f>
        <v/>
      </c>
      <c r="G51" s="49" t="str">
        <f>IFERROR(VLOOKUP(E51,'Condensed Specialty Crosswalk'!$A$2:$C$182,3,FALSE),"")</f>
        <v/>
      </c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</row>
    <row r="52" spans="1:30" ht="17">
      <c r="A52" s="49"/>
      <c r="B52" s="49" t="str">
        <f>CONCATENATE(Reports!E51," ",Reports!F51," ",Reports!G51)</f>
        <v xml:space="preserve">  </v>
      </c>
      <c r="C52" s="101"/>
      <c r="D52" s="101"/>
      <c r="E52" s="49" t="str">
        <f>IFERROR(VLOOKUP(D52,'taxonomy map'!$A$1:$B$171,2,FALSE),"")</f>
        <v/>
      </c>
      <c r="F52" s="49" t="str">
        <f>IFERROR(VLOOKUP(E52,'Condensed Specialty Crosswalk'!$A$2:$C$182,2,FALSE),"")</f>
        <v/>
      </c>
      <c r="G52" s="49" t="str">
        <f>IFERROR(VLOOKUP(E52,'Condensed Specialty Crosswalk'!$A$2:$C$182,3,FALSE),"")</f>
        <v/>
      </c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</row>
    <row r="53" spans="1:30" ht="17">
      <c r="A53" s="49"/>
      <c r="B53" s="49" t="str">
        <f>CONCATENATE(Reports!E52," ",Reports!F52," ",Reports!G52)</f>
        <v xml:space="preserve">  </v>
      </c>
      <c r="C53" s="101"/>
      <c r="D53" s="101"/>
      <c r="E53" s="49" t="str">
        <f>IFERROR(VLOOKUP(D53,'taxonomy map'!$A$1:$B$171,2,FALSE),"")</f>
        <v/>
      </c>
      <c r="F53" s="49" t="str">
        <f>IFERROR(VLOOKUP(E53,'Condensed Specialty Crosswalk'!$A$2:$C$182,2,FALSE),"")</f>
        <v/>
      </c>
      <c r="G53" s="49" t="str">
        <f>IFERROR(VLOOKUP(E53,'Condensed Specialty Crosswalk'!$A$2:$C$182,3,FALSE),"")</f>
        <v/>
      </c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</row>
    <row r="54" spans="1:30" ht="17">
      <c r="A54" s="49"/>
      <c r="B54" s="49" t="str">
        <f>CONCATENATE(Reports!E53," ",Reports!F53," ",Reports!G53)</f>
        <v xml:space="preserve">  </v>
      </c>
      <c r="C54" s="101"/>
      <c r="D54" s="101"/>
      <c r="E54" s="49" t="str">
        <f>IFERROR(VLOOKUP(D54,'taxonomy map'!$A$1:$B$171,2,FALSE),"")</f>
        <v/>
      </c>
      <c r="F54" s="49" t="str">
        <f>IFERROR(VLOOKUP(E54,'Condensed Specialty Crosswalk'!$A$2:$C$182,2,FALSE),"")</f>
        <v/>
      </c>
      <c r="G54" s="49" t="str">
        <f>IFERROR(VLOOKUP(E54,'Condensed Specialty Crosswalk'!$A$2:$C$182,3,FALSE),"")</f>
        <v/>
      </c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</row>
    <row r="55" spans="1:30" ht="17">
      <c r="A55" s="49"/>
      <c r="B55" s="49" t="str">
        <f>CONCATENATE(Reports!E54," ",Reports!F54," ",Reports!G54)</f>
        <v xml:space="preserve">  </v>
      </c>
      <c r="C55" s="101"/>
      <c r="D55" s="101"/>
      <c r="E55" s="49" t="str">
        <f>IFERROR(VLOOKUP(D55,'taxonomy map'!$A$1:$B$171,2,FALSE),"")</f>
        <v/>
      </c>
      <c r="F55" s="49" t="str">
        <f>IFERROR(VLOOKUP(E55,'Condensed Specialty Crosswalk'!$A$2:$C$182,2,FALSE),"")</f>
        <v/>
      </c>
      <c r="G55" s="49" t="str">
        <f>IFERROR(VLOOKUP(E55,'Condensed Specialty Crosswalk'!$A$2:$C$182,3,FALSE),"")</f>
        <v/>
      </c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</row>
    <row r="56" spans="1:30" ht="17">
      <c r="A56" s="49"/>
      <c r="B56" s="49" t="str">
        <f>CONCATENATE(Reports!E55," ",Reports!F55," ",Reports!G55)</f>
        <v xml:space="preserve">  </v>
      </c>
      <c r="C56" s="101"/>
      <c r="D56" s="101"/>
      <c r="E56" s="49" t="str">
        <f>IFERROR(VLOOKUP(D56,'taxonomy map'!$A$1:$B$171,2,FALSE),"")</f>
        <v/>
      </c>
      <c r="F56" s="49" t="str">
        <f>IFERROR(VLOOKUP(E56,'Condensed Specialty Crosswalk'!$A$2:$C$182,2,FALSE),"")</f>
        <v/>
      </c>
      <c r="G56" s="49" t="str">
        <f>IFERROR(VLOOKUP(E56,'Condensed Specialty Crosswalk'!$A$2:$C$182,3,FALSE),"")</f>
        <v/>
      </c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</row>
    <row r="57" spans="1:30" ht="17">
      <c r="A57" s="49"/>
      <c r="B57" s="49" t="str">
        <f>CONCATENATE(Reports!E56," ",Reports!F56," ",Reports!G56)</f>
        <v xml:space="preserve">  </v>
      </c>
      <c r="C57" s="101"/>
      <c r="D57" s="101"/>
      <c r="E57" s="49" t="str">
        <f>IFERROR(VLOOKUP(D57,'taxonomy map'!$A$1:$B$171,2,FALSE),"")</f>
        <v/>
      </c>
      <c r="F57" s="49" t="str">
        <f>IFERROR(VLOOKUP(E57,'Condensed Specialty Crosswalk'!$A$2:$C$182,2,FALSE),"")</f>
        <v/>
      </c>
      <c r="G57" s="49" t="str">
        <f>IFERROR(VLOOKUP(E57,'Condensed Specialty Crosswalk'!$A$2:$C$182,3,FALSE),"")</f>
        <v/>
      </c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</row>
    <row r="58" spans="1:30" ht="17">
      <c r="A58" s="49"/>
      <c r="B58" s="49" t="str">
        <f>CONCATENATE(Reports!E57," ",Reports!F57," ",Reports!G57)</f>
        <v xml:space="preserve">  </v>
      </c>
      <c r="C58" s="101"/>
      <c r="D58" s="101"/>
      <c r="E58" s="49" t="str">
        <f>IFERROR(VLOOKUP(D58,'taxonomy map'!$A$1:$B$171,2,FALSE),"")</f>
        <v/>
      </c>
      <c r="F58" s="49" t="str">
        <f>IFERROR(VLOOKUP(E58,'Condensed Specialty Crosswalk'!$A$2:$C$182,2,FALSE),"")</f>
        <v/>
      </c>
      <c r="G58" s="49" t="str">
        <f>IFERROR(VLOOKUP(E58,'Condensed Specialty Crosswalk'!$A$2:$C$182,3,FALSE),"")</f>
        <v/>
      </c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</row>
    <row r="59" spans="1:30" ht="17">
      <c r="A59" s="49"/>
      <c r="B59" s="49" t="str">
        <f>CONCATENATE(Reports!E58," ",Reports!F58," ",Reports!G58)</f>
        <v xml:space="preserve">  </v>
      </c>
      <c r="C59" s="101"/>
      <c r="D59" s="101"/>
      <c r="E59" s="49" t="str">
        <f>IFERROR(VLOOKUP(D59,'taxonomy map'!$A$1:$B$171,2,FALSE),"")</f>
        <v/>
      </c>
      <c r="F59" s="49" t="str">
        <f>IFERROR(VLOOKUP(E59,'Condensed Specialty Crosswalk'!$A$2:$C$182,2,FALSE),"")</f>
        <v/>
      </c>
      <c r="G59" s="49" t="str">
        <f>IFERROR(VLOOKUP(E59,'Condensed Specialty Crosswalk'!$A$2:$C$182,3,FALSE),"")</f>
        <v/>
      </c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</row>
    <row r="60" spans="1:30" ht="17">
      <c r="A60" s="49"/>
      <c r="B60" s="49" t="str">
        <f>CONCATENATE(Reports!E59," ",Reports!F59," ",Reports!G59)</f>
        <v xml:space="preserve">  </v>
      </c>
      <c r="C60" s="101"/>
      <c r="D60" s="101"/>
      <c r="E60" s="49" t="str">
        <f>IFERROR(VLOOKUP(D60,'taxonomy map'!$A$1:$B$171,2,FALSE),"")</f>
        <v/>
      </c>
      <c r="F60" s="49" t="str">
        <f>IFERROR(VLOOKUP(E60,'Condensed Specialty Crosswalk'!$A$2:$C$182,2,FALSE),"")</f>
        <v/>
      </c>
      <c r="G60" s="49" t="str">
        <f>IFERROR(VLOOKUP(E60,'Condensed Specialty Crosswalk'!$A$2:$C$182,3,FALSE),"")</f>
        <v/>
      </c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</row>
    <row r="61" spans="1:30" ht="17">
      <c r="A61" s="49"/>
      <c r="B61" s="49" t="str">
        <f>CONCATENATE(Reports!E60," ",Reports!F60," ",Reports!G60)</f>
        <v xml:space="preserve">  </v>
      </c>
      <c r="C61" s="101"/>
      <c r="D61" s="101"/>
      <c r="E61" s="49" t="str">
        <f>IFERROR(VLOOKUP(D61,'taxonomy map'!$A$1:$B$171,2,FALSE),"")</f>
        <v/>
      </c>
      <c r="F61" s="49" t="str">
        <f>IFERROR(VLOOKUP(E61,'Condensed Specialty Crosswalk'!$A$2:$C$182,2,FALSE),"")</f>
        <v/>
      </c>
      <c r="G61" s="49" t="str">
        <f>IFERROR(VLOOKUP(E61,'Condensed Specialty Crosswalk'!$A$2:$C$182,3,FALSE),"")</f>
        <v/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</row>
    <row r="62" spans="1:30" ht="17">
      <c r="A62" s="49"/>
      <c r="B62" s="49" t="str">
        <f>CONCATENATE(Reports!E61," ",Reports!F61," ",Reports!G61)</f>
        <v xml:space="preserve">  </v>
      </c>
      <c r="C62" s="101"/>
      <c r="D62" s="101"/>
      <c r="E62" s="49" t="str">
        <f>IFERROR(VLOOKUP(D62,'taxonomy map'!$A$1:$B$171,2,FALSE),"")</f>
        <v/>
      </c>
      <c r="F62" s="49" t="str">
        <f>IFERROR(VLOOKUP(E62,'Condensed Specialty Crosswalk'!$A$2:$C$182,2,FALSE),"")</f>
        <v/>
      </c>
      <c r="G62" s="49" t="str">
        <f>IFERROR(VLOOKUP(E62,'Condensed Specialty Crosswalk'!$A$2:$C$182,3,FALSE),"")</f>
        <v/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</row>
    <row r="63" spans="1:30" ht="17">
      <c r="A63" s="49"/>
      <c r="B63" s="49" t="str">
        <f>CONCATENATE(Reports!E62," ",Reports!F62," ",Reports!G62)</f>
        <v xml:space="preserve">  </v>
      </c>
      <c r="C63" s="101"/>
      <c r="D63" s="101"/>
      <c r="E63" s="49" t="str">
        <f>IFERROR(VLOOKUP(D63,'taxonomy map'!$A$1:$B$171,2,FALSE),"")</f>
        <v/>
      </c>
      <c r="F63" s="49" t="str">
        <f>IFERROR(VLOOKUP(E63,'Condensed Specialty Crosswalk'!$A$2:$C$182,2,FALSE),"")</f>
        <v/>
      </c>
      <c r="G63" s="49" t="str">
        <f>IFERROR(VLOOKUP(E63,'Condensed Specialty Crosswalk'!$A$2:$C$182,3,FALSE),"")</f>
        <v/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</row>
    <row r="64" spans="1:30" ht="17">
      <c r="A64" s="49"/>
      <c r="B64" s="49" t="str">
        <f>CONCATENATE(Reports!E63," ",Reports!F63," ",Reports!G63)</f>
        <v xml:space="preserve">  </v>
      </c>
      <c r="C64" s="101"/>
      <c r="D64" s="101"/>
      <c r="E64" s="49" t="str">
        <f>IFERROR(VLOOKUP(D64,'taxonomy map'!$A$1:$B$171,2,FALSE),"")</f>
        <v/>
      </c>
      <c r="F64" s="49" t="str">
        <f>IFERROR(VLOOKUP(E64,'Condensed Specialty Crosswalk'!$A$2:$C$182,2,FALSE),"")</f>
        <v/>
      </c>
      <c r="G64" s="49" t="str">
        <f>IFERROR(VLOOKUP(E64,'Condensed Specialty Crosswalk'!$A$2:$C$182,3,FALSE),"")</f>
        <v/>
      </c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</row>
    <row r="65" spans="1:30" ht="17">
      <c r="A65" s="49"/>
      <c r="B65" s="49" t="str">
        <f>CONCATENATE(Reports!E64," ",Reports!F64," ",Reports!G64)</f>
        <v xml:space="preserve">  </v>
      </c>
      <c r="C65" s="101"/>
      <c r="D65" s="101"/>
      <c r="E65" s="49" t="str">
        <f>IFERROR(VLOOKUP(D65,'taxonomy map'!$A$1:$B$171,2,FALSE),"")</f>
        <v/>
      </c>
      <c r="F65" s="49" t="str">
        <f>IFERROR(VLOOKUP(E65,'Condensed Specialty Crosswalk'!$A$2:$C$182,2,FALSE),"")</f>
        <v/>
      </c>
      <c r="G65" s="49" t="str">
        <f>IFERROR(VLOOKUP(E65,'Condensed Specialty Crosswalk'!$A$2:$C$182,3,FALSE),"")</f>
        <v/>
      </c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</row>
    <row r="66" spans="1:30" ht="17">
      <c r="A66" s="49"/>
      <c r="B66" s="49" t="str">
        <f>CONCATENATE(Reports!E65," ",Reports!F65," ",Reports!G65)</f>
        <v xml:space="preserve">  </v>
      </c>
      <c r="C66" s="101"/>
      <c r="D66" s="101"/>
      <c r="E66" s="49" t="str">
        <f>IFERROR(VLOOKUP(D66,'taxonomy map'!$A$1:$B$171,2,FALSE),"")</f>
        <v/>
      </c>
      <c r="F66" s="49" t="str">
        <f>IFERROR(VLOOKUP(E66,'Condensed Specialty Crosswalk'!$A$2:$C$182,2,FALSE),"")</f>
        <v/>
      </c>
      <c r="G66" s="49" t="str">
        <f>IFERROR(VLOOKUP(E66,'Condensed Specialty Crosswalk'!$A$2:$C$182,3,FALSE),"")</f>
        <v/>
      </c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</row>
    <row r="67" spans="1:30" ht="17">
      <c r="A67" s="49"/>
      <c r="B67" s="49" t="str">
        <f>CONCATENATE(Reports!E66," ",Reports!F66," ",Reports!G66)</f>
        <v xml:space="preserve">  </v>
      </c>
      <c r="C67" s="101"/>
      <c r="D67" s="101"/>
      <c r="E67" s="49" t="str">
        <f>IFERROR(VLOOKUP(D67,'taxonomy map'!$A$1:$B$171,2,FALSE),"")</f>
        <v/>
      </c>
      <c r="F67" s="49" t="str">
        <f>IFERROR(VLOOKUP(E67,'Condensed Specialty Crosswalk'!$A$2:$C$182,2,FALSE),"")</f>
        <v/>
      </c>
      <c r="G67" s="49" t="str">
        <f>IFERROR(VLOOKUP(E67,'Condensed Specialty Crosswalk'!$A$2:$C$182,3,FALSE),"")</f>
        <v/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</row>
    <row r="68" spans="1:30" ht="17">
      <c r="A68" s="49"/>
      <c r="B68" s="49" t="str">
        <f>CONCATENATE(Reports!E67," ",Reports!F67," ",Reports!G67)</f>
        <v xml:space="preserve">  </v>
      </c>
      <c r="C68" s="101"/>
      <c r="D68" s="101"/>
      <c r="E68" s="49" t="str">
        <f>IFERROR(VLOOKUP(D68,'taxonomy map'!$A$1:$B$171,2,FALSE),"")</f>
        <v/>
      </c>
      <c r="F68" s="49" t="str">
        <f>IFERROR(VLOOKUP(E68,'Condensed Specialty Crosswalk'!$A$2:$C$182,2,FALSE),"")</f>
        <v/>
      </c>
      <c r="G68" s="49" t="str">
        <f>IFERROR(VLOOKUP(E68,'Condensed Specialty Crosswalk'!$A$2:$C$182,3,FALSE),"")</f>
        <v/>
      </c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</row>
    <row r="69" spans="1:30" ht="17">
      <c r="A69" s="49"/>
      <c r="B69" s="49" t="str">
        <f>CONCATENATE(Reports!E68," ",Reports!F68," ",Reports!G68)</f>
        <v xml:space="preserve">  </v>
      </c>
      <c r="C69" s="101"/>
      <c r="D69" s="101"/>
      <c r="E69" s="49" t="str">
        <f>IFERROR(VLOOKUP(D69,'taxonomy map'!$A$1:$B$171,2,FALSE),"")</f>
        <v/>
      </c>
      <c r="F69" s="49" t="str">
        <f>IFERROR(VLOOKUP(E69,'Condensed Specialty Crosswalk'!$A$2:$C$182,2,FALSE),"")</f>
        <v/>
      </c>
      <c r="G69" s="49" t="str">
        <f>IFERROR(VLOOKUP(E69,'Condensed Specialty Crosswalk'!$A$2:$C$182,3,FALSE),"")</f>
        <v/>
      </c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</row>
    <row r="70" spans="1:30" ht="17">
      <c r="A70" s="49"/>
      <c r="B70" s="49" t="str">
        <f>CONCATENATE(Reports!E69," ",Reports!F69," ",Reports!G69)</f>
        <v xml:space="preserve">  </v>
      </c>
      <c r="C70" s="101"/>
      <c r="D70" s="101"/>
      <c r="E70" s="49" t="str">
        <f>IFERROR(VLOOKUP(D70,'taxonomy map'!$A$1:$B$171,2,FALSE),"")</f>
        <v/>
      </c>
      <c r="F70" s="49" t="str">
        <f>IFERROR(VLOOKUP(E70,'Condensed Specialty Crosswalk'!$A$2:$C$182,2,FALSE),"")</f>
        <v/>
      </c>
      <c r="G70" s="49" t="str">
        <f>IFERROR(VLOOKUP(E70,'Condensed Specialty Crosswalk'!$A$2:$C$182,3,FALSE),"")</f>
        <v/>
      </c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</row>
    <row r="71" spans="1:30" ht="17">
      <c r="A71" s="49"/>
      <c r="B71" s="49" t="str">
        <f>CONCATENATE(Reports!E70," ",Reports!F70," ",Reports!G70)</f>
        <v xml:space="preserve">  </v>
      </c>
      <c r="C71" s="101"/>
      <c r="D71" s="101"/>
      <c r="E71" s="49" t="str">
        <f>IFERROR(VLOOKUP(D71,'taxonomy map'!$A$1:$B$171,2,FALSE),"")</f>
        <v/>
      </c>
      <c r="F71" s="49" t="str">
        <f>IFERROR(VLOOKUP(E71,'Condensed Specialty Crosswalk'!$A$2:$C$182,2,FALSE),"")</f>
        <v/>
      </c>
      <c r="G71" s="49" t="str">
        <f>IFERROR(VLOOKUP(E71,'Condensed Specialty Crosswalk'!$A$2:$C$182,3,FALSE),"")</f>
        <v/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</row>
    <row r="72" spans="1:30" ht="17">
      <c r="A72" s="49"/>
      <c r="B72" s="49" t="str">
        <f>CONCATENATE(Reports!E71," ",Reports!F71," ",Reports!G71)</f>
        <v xml:space="preserve">  </v>
      </c>
      <c r="C72" s="101"/>
      <c r="D72" s="101"/>
      <c r="E72" s="49" t="str">
        <f>IFERROR(VLOOKUP(D72,'taxonomy map'!$A$1:$B$171,2,FALSE),"")</f>
        <v/>
      </c>
      <c r="F72" s="49" t="str">
        <f>IFERROR(VLOOKUP(E72,'Condensed Specialty Crosswalk'!$A$2:$C$182,2,FALSE),"")</f>
        <v/>
      </c>
      <c r="G72" s="49" t="str">
        <f>IFERROR(VLOOKUP(E72,'Condensed Specialty Crosswalk'!$A$2:$C$182,3,FALSE),"")</f>
        <v/>
      </c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</row>
    <row r="73" spans="1:30" ht="17">
      <c r="A73" s="49"/>
      <c r="B73" s="49" t="str">
        <f>CONCATENATE(Reports!E72," ",Reports!F72," ",Reports!G72)</f>
        <v xml:space="preserve">  </v>
      </c>
      <c r="C73" s="101"/>
      <c r="D73" s="101"/>
      <c r="E73" s="49" t="str">
        <f>IFERROR(VLOOKUP(D73,'taxonomy map'!$A$1:$B$171,2,FALSE),"")</f>
        <v/>
      </c>
      <c r="F73" s="49" t="str">
        <f>IFERROR(VLOOKUP(E73,'Condensed Specialty Crosswalk'!$A$2:$C$182,2,FALSE),"")</f>
        <v/>
      </c>
      <c r="G73" s="49" t="str">
        <f>IFERROR(VLOOKUP(E73,'Condensed Specialty Crosswalk'!$A$2:$C$182,3,FALSE),"")</f>
        <v/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</row>
    <row r="74" spans="1:30" ht="17">
      <c r="A74" s="49"/>
      <c r="B74" s="49" t="str">
        <f>CONCATENATE(Reports!E73," ",Reports!F73," ",Reports!G73)</f>
        <v xml:space="preserve">  </v>
      </c>
      <c r="C74" s="101"/>
      <c r="D74" s="101"/>
      <c r="E74" s="49" t="str">
        <f>IFERROR(VLOOKUP(D74,'taxonomy map'!$A$1:$B$171,2,FALSE),"")</f>
        <v/>
      </c>
      <c r="F74" s="49" t="str">
        <f>IFERROR(VLOOKUP(E74,'Condensed Specialty Crosswalk'!$A$2:$C$182,2,FALSE),"")</f>
        <v/>
      </c>
      <c r="G74" s="49" t="str">
        <f>IFERROR(VLOOKUP(E74,'Condensed Specialty Crosswalk'!$A$2:$C$182,3,FALSE),"")</f>
        <v/>
      </c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</row>
    <row r="75" spans="1:30" ht="17">
      <c r="A75" s="49"/>
      <c r="B75" s="49" t="str">
        <f>CONCATENATE(Reports!E74," ",Reports!F74," ",Reports!G74)</f>
        <v xml:space="preserve">  </v>
      </c>
      <c r="C75" s="101"/>
      <c r="D75" s="101"/>
      <c r="E75" s="49" t="str">
        <f>IFERROR(VLOOKUP(D75,'taxonomy map'!$A$1:$B$171,2,FALSE),"")</f>
        <v/>
      </c>
      <c r="F75" s="49" t="str">
        <f>IFERROR(VLOOKUP(E75,'Condensed Specialty Crosswalk'!$A$2:$C$182,2,FALSE),"")</f>
        <v/>
      </c>
      <c r="G75" s="49" t="str">
        <f>IFERROR(VLOOKUP(E75,'Condensed Specialty Crosswalk'!$A$2:$C$182,3,FALSE),"")</f>
        <v/>
      </c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</row>
    <row r="76" spans="1:30" ht="17">
      <c r="A76" s="49"/>
      <c r="B76" s="49" t="str">
        <f>CONCATENATE(Reports!E75," ",Reports!F75," ",Reports!G75)</f>
        <v xml:space="preserve">  </v>
      </c>
      <c r="C76" s="101"/>
      <c r="D76" s="101"/>
      <c r="E76" s="49" t="str">
        <f>IFERROR(VLOOKUP(D76,'taxonomy map'!$A$1:$B$171,2,FALSE),"")</f>
        <v/>
      </c>
      <c r="F76" s="49" t="str">
        <f>IFERROR(VLOOKUP(E76,'Condensed Specialty Crosswalk'!$A$2:$C$182,2,FALSE),"")</f>
        <v/>
      </c>
      <c r="G76" s="49" t="str">
        <f>IFERROR(VLOOKUP(E76,'Condensed Specialty Crosswalk'!$A$2:$C$182,3,FALSE),"")</f>
        <v/>
      </c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</row>
    <row r="77" spans="1:30" ht="17">
      <c r="A77" s="49"/>
      <c r="B77" s="49" t="str">
        <f>CONCATENATE(Reports!E76," ",Reports!F76," ",Reports!G76)</f>
        <v xml:space="preserve">  </v>
      </c>
      <c r="C77" s="101"/>
      <c r="D77" s="101"/>
      <c r="E77" s="49" t="str">
        <f>IFERROR(VLOOKUP(D77,'taxonomy map'!$A$1:$B$171,2,FALSE),"")</f>
        <v/>
      </c>
      <c r="F77" s="49" t="str">
        <f>IFERROR(VLOOKUP(E77,'Condensed Specialty Crosswalk'!$A$2:$C$182,2,FALSE),"")</f>
        <v/>
      </c>
      <c r="G77" s="49" t="str">
        <f>IFERROR(VLOOKUP(E77,'Condensed Specialty Crosswalk'!$A$2:$C$182,3,FALSE),"")</f>
        <v/>
      </c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</row>
    <row r="78" spans="1:30" ht="17">
      <c r="A78" s="49"/>
      <c r="B78" s="49" t="str">
        <f>CONCATENATE(Reports!E77," ",Reports!F77," ",Reports!G77)</f>
        <v xml:space="preserve">  </v>
      </c>
      <c r="C78" s="101"/>
      <c r="D78" s="101"/>
      <c r="E78" s="49" t="str">
        <f>IFERROR(VLOOKUP(D78,'taxonomy map'!$A$1:$B$171,2,FALSE),"")</f>
        <v/>
      </c>
      <c r="F78" s="49" t="str">
        <f>IFERROR(VLOOKUP(E78,'Condensed Specialty Crosswalk'!$A$2:$C$182,2,FALSE),"")</f>
        <v/>
      </c>
      <c r="G78" s="49" t="str">
        <f>IFERROR(VLOOKUP(E78,'Condensed Specialty Crosswalk'!$A$2:$C$182,3,FALSE),"")</f>
        <v/>
      </c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</row>
    <row r="79" spans="1:30" ht="17">
      <c r="A79" s="49"/>
      <c r="B79" s="49" t="str">
        <f>CONCATENATE(Reports!E78," ",Reports!F78," ",Reports!G78)</f>
        <v xml:space="preserve">  </v>
      </c>
      <c r="C79" s="101"/>
      <c r="D79" s="101"/>
      <c r="E79" s="49" t="str">
        <f>IFERROR(VLOOKUP(D79,'taxonomy map'!$A$1:$B$171,2,FALSE),"")</f>
        <v/>
      </c>
      <c r="F79" s="49" t="str">
        <f>IFERROR(VLOOKUP(E79,'Condensed Specialty Crosswalk'!$A$2:$C$182,2,FALSE),"")</f>
        <v/>
      </c>
      <c r="G79" s="49" t="str">
        <f>IFERROR(VLOOKUP(E79,'Condensed Specialty Crosswalk'!$A$2:$C$182,3,FALSE),"")</f>
        <v/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</row>
    <row r="80" spans="1:30" ht="17">
      <c r="A80" s="49"/>
      <c r="B80" s="49" t="str">
        <f>CONCATENATE(Reports!E79," ",Reports!F79," ",Reports!G79)</f>
        <v xml:space="preserve">  </v>
      </c>
      <c r="C80" s="101"/>
      <c r="D80" s="101"/>
      <c r="E80" s="49" t="str">
        <f>IFERROR(VLOOKUP(D80,'taxonomy map'!$A$1:$B$171,2,FALSE),"")</f>
        <v/>
      </c>
      <c r="F80" s="49" t="str">
        <f>IFERROR(VLOOKUP(E80,'Condensed Specialty Crosswalk'!$A$2:$C$182,2,FALSE),"")</f>
        <v/>
      </c>
      <c r="G80" s="49" t="str">
        <f>IFERROR(VLOOKUP(E80,'Condensed Specialty Crosswalk'!$A$2:$C$182,3,FALSE),"")</f>
        <v/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</row>
    <row r="81" spans="1:30" ht="17">
      <c r="A81" s="49"/>
      <c r="B81" s="49" t="str">
        <f>CONCATENATE(Reports!E80," ",Reports!F80," ",Reports!G80)</f>
        <v xml:space="preserve">  </v>
      </c>
      <c r="C81" s="101"/>
      <c r="D81" s="101"/>
      <c r="E81" s="49" t="str">
        <f>IFERROR(VLOOKUP(D81,'taxonomy map'!$A$1:$B$171,2,FALSE),"")</f>
        <v/>
      </c>
      <c r="F81" s="49" t="str">
        <f>IFERROR(VLOOKUP(E81,'Condensed Specialty Crosswalk'!$A$2:$C$182,2,FALSE),"")</f>
        <v/>
      </c>
      <c r="G81" s="49" t="str">
        <f>IFERROR(VLOOKUP(E81,'Condensed Specialty Crosswalk'!$A$2:$C$182,3,FALSE),"")</f>
        <v/>
      </c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</row>
    <row r="82" spans="1:30" ht="17">
      <c r="A82" s="49"/>
      <c r="B82" s="49" t="str">
        <f>CONCATENATE(Reports!E81," ",Reports!F81," ",Reports!G81)</f>
        <v xml:space="preserve">  </v>
      </c>
      <c r="C82" s="101"/>
      <c r="D82" s="101"/>
      <c r="E82" s="49" t="str">
        <f>IFERROR(VLOOKUP(D82,'taxonomy map'!$A$1:$B$171,2,FALSE),"")</f>
        <v/>
      </c>
      <c r="F82" s="49" t="str">
        <f>IFERROR(VLOOKUP(E82,'Condensed Specialty Crosswalk'!$A$2:$C$182,2,FALSE),"")</f>
        <v/>
      </c>
      <c r="G82" s="49" t="str">
        <f>IFERROR(VLOOKUP(E82,'Condensed Specialty Crosswalk'!$A$2:$C$182,3,FALSE),"")</f>
        <v/>
      </c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</row>
    <row r="83" spans="1:30" ht="17">
      <c r="A83" s="49"/>
      <c r="B83" s="49" t="str">
        <f>CONCATENATE(Reports!E82," ",Reports!F82," ",Reports!G82)</f>
        <v xml:space="preserve">  </v>
      </c>
      <c r="C83" s="101"/>
      <c r="D83" s="101"/>
      <c r="E83" s="49" t="str">
        <f>IFERROR(VLOOKUP(D83,'taxonomy map'!$A$1:$B$171,2,FALSE),"")</f>
        <v/>
      </c>
      <c r="F83" s="49" t="str">
        <f>IFERROR(VLOOKUP(E83,'Condensed Specialty Crosswalk'!$A$2:$C$182,2,FALSE),"")</f>
        <v/>
      </c>
      <c r="G83" s="49" t="str">
        <f>IFERROR(VLOOKUP(E83,'Condensed Specialty Crosswalk'!$A$2:$C$182,3,FALSE),"")</f>
        <v/>
      </c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</row>
    <row r="84" spans="1:30" ht="17">
      <c r="A84" s="49"/>
      <c r="B84" s="49" t="str">
        <f>CONCATENATE(Reports!E83," ",Reports!F83," ",Reports!G83)</f>
        <v xml:space="preserve">  </v>
      </c>
      <c r="C84" s="101"/>
      <c r="D84" s="101"/>
      <c r="E84" s="49" t="str">
        <f>IFERROR(VLOOKUP(D84,'taxonomy map'!$A$1:$B$171,2,FALSE),"")</f>
        <v/>
      </c>
      <c r="F84" s="49" t="str">
        <f>IFERROR(VLOOKUP(E84,'Condensed Specialty Crosswalk'!$A$2:$C$182,2,FALSE),"")</f>
        <v/>
      </c>
      <c r="G84" s="49" t="str">
        <f>IFERROR(VLOOKUP(E84,'Condensed Specialty Crosswalk'!$A$2:$C$182,3,FALSE),"")</f>
        <v/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</row>
    <row r="85" spans="1:30" ht="17">
      <c r="A85" s="49"/>
      <c r="B85" s="49" t="str">
        <f>CONCATENATE(Reports!E84," ",Reports!F84," ",Reports!G84)</f>
        <v xml:space="preserve">  </v>
      </c>
      <c r="C85" s="101"/>
      <c r="D85" s="101"/>
      <c r="E85" s="49" t="str">
        <f>IFERROR(VLOOKUP(D85,'taxonomy map'!$A$1:$B$171,2,FALSE),"")</f>
        <v/>
      </c>
      <c r="F85" s="49" t="str">
        <f>IFERROR(VLOOKUP(E85,'Condensed Specialty Crosswalk'!$A$2:$C$182,2,FALSE),"")</f>
        <v/>
      </c>
      <c r="G85" s="49" t="str">
        <f>IFERROR(VLOOKUP(E85,'Condensed Specialty Crosswalk'!$A$2:$C$182,3,FALSE),"")</f>
        <v/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</row>
    <row r="86" spans="1:30" ht="17">
      <c r="A86" s="49"/>
      <c r="B86" s="49" t="str">
        <f>CONCATENATE(Reports!E85," ",Reports!F85," ",Reports!G85)</f>
        <v xml:space="preserve">  </v>
      </c>
      <c r="C86" s="101"/>
      <c r="D86" s="101"/>
      <c r="E86" s="49" t="str">
        <f>IFERROR(VLOOKUP(D86,'taxonomy map'!$A$1:$B$171,2,FALSE),"")</f>
        <v/>
      </c>
      <c r="F86" s="49" t="str">
        <f>IFERROR(VLOOKUP(E86,'Condensed Specialty Crosswalk'!$A$2:$C$182,2,FALSE),"")</f>
        <v/>
      </c>
      <c r="G86" s="49" t="str">
        <f>IFERROR(VLOOKUP(E86,'Condensed Specialty Crosswalk'!$A$2:$C$182,3,FALSE),"")</f>
        <v/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</row>
    <row r="87" spans="1:30" ht="17">
      <c r="A87" s="49"/>
      <c r="B87" s="49" t="str">
        <f>CONCATENATE(Reports!E86," ",Reports!F86," ",Reports!G86)</f>
        <v xml:space="preserve">  </v>
      </c>
      <c r="C87" s="101"/>
      <c r="D87" s="101"/>
      <c r="E87" s="49" t="str">
        <f>IFERROR(VLOOKUP(D87,'taxonomy map'!$A$1:$B$171,2,FALSE),"")</f>
        <v/>
      </c>
      <c r="F87" s="49" t="str">
        <f>IFERROR(VLOOKUP(E87,'Condensed Specialty Crosswalk'!$A$2:$C$182,2,FALSE),"")</f>
        <v/>
      </c>
      <c r="G87" s="49" t="str">
        <f>IFERROR(VLOOKUP(E87,'Condensed Specialty Crosswalk'!$A$2:$C$182,3,FALSE),"")</f>
        <v/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</row>
    <row r="88" spans="1:30" ht="17">
      <c r="A88" s="49"/>
      <c r="B88" s="49" t="str">
        <f>CONCATENATE(Reports!E87," ",Reports!F87," ",Reports!G87)</f>
        <v xml:space="preserve">  </v>
      </c>
      <c r="C88" s="101"/>
      <c r="D88" s="101"/>
      <c r="E88" s="49" t="str">
        <f>IFERROR(VLOOKUP(D88,'taxonomy map'!$A$1:$B$171,2,FALSE),"")</f>
        <v/>
      </c>
      <c r="F88" s="49" t="str">
        <f>IFERROR(VLOOKUP(E88,'Condensed Specialty Crosswalk'!$A$2:$C$182,2,FALSE),"")</f>
        <v/>
      </c>
      <c r="G88" s="49" t="str">
        <f>IFERROR(VLOOKUP(E88,'Condensed Specialty Crosswalk'!$A$2:$C$182,3,FALSE),"")</f>
        <v/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</row>
    <row r="89" spans="1:30" ht="17">
      <c r="A89" s="49"/>
      <c r="B89" s="49" t="str">
        <f>CONCATENATE(Reports!E88," ",Reports!F88," ",Reports!G88)</f>
        <v xml:space="preserve">  </v>
      </c>
      <c r="C89" s="101"/>
      <c r="D89" s="101"/>
      <c r="E89" s="49" t="str">
        <f>IFERROR(VLOOKUP(D89,'taxonomy map'!$A$1:$B$171,2,FALSE),"")</f>
        <v/>
      </c>
      <c r="F89" s="49" t="str">
        <f>IFERROR(VLOOKUP(E89,'Condensed Specialty Crosswalk'!$A$2:$C$182,2,FALSE),"")</f>
        <v/>
      </c>
      <c r="G89" s="49" t="str">
        <f>IFERROR(VLOOKUP(E89,'Condensed Specialty Crosswalk'!$A$2:$C$182,3,FALSE),"")</f>
        <v/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</row>
    <row r="90" spans="1:30" ht="17">
      <c r="A90" s="49"/>
      <c r="B90" s="49" t="str">
        <f>CONCATENATE(Reports!E89," ",Reports!F89," ",Reports!G89)</f>
        <v xml:space="preserve">  </v>
      </c>
      <c r="C90" s="101"/>
      <c r="D90" s="101"/>
      <c r="E90" s="49" t="str">
        <f>IFERROR(VLOOKUP(D90,'taxonomy map'!$A$1:$B$171,2,FALSE),"")</f>
        <v/>
      </c>
      <c r="F90" s="49" t="str">
        <f>IFERROR(VLOOKUP(E90,'Condensed Specialty Crosswalk'!$A$2:$C$182,2,FALSE),"")</f>
        <v/>
      </c>
      <c r="G90" s="49" t="str">
        <f>IFERROR(VLOOKUP(E90,'Condensed Specialty Crosswalk'!$A$2:$C$182,3,FALSE),"")</f>
        <v/>
      </c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</row>
    <row r="91" spans="1:30" ht="17">
      <c r="A91" s="49"/>
      <c r="B91" s="49" t="str">
        <f>CONCATENATE(Reports!E90," ",Reports!F90," ",Reports!G90)</f>
        <v xml:space="preserve">  </v>
      </c>
      <c r="C91" s="101"/>
      <c r="D91" s="101"/>
      <c r="E91" s="49" t="str">
        <f>IFERROR(VLOOKUP(D91,'taxonomy map'!$A$1:$B$171,2,FALSE),"")</f>
        <v/>
      </c>
      <c r="F91" s="49" t="str">
        <f>IFERROR(VLOOKUP(E91,'Condensed Specialty Crosswalk'!$A$2:$C$182,2,FALSE),"")</f>
        <v/>
      </c>
      <c r="G91" s="49" t="str">
        <f>IFERROR(VLOOKUP(E91,'Condensed Specialty Crosswalk'!$A$2:$C$182,3,FALSE),"")</f>
        <v/>
      </c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</row>
    <row r="92" spans="1:30" ht="17">
      <c r="A92" s="49"/>
      <c r="B92" s="49" t="str">
        <f>CONCATENATE(Reports!E91," ",Reports!F91," ",Reports!G91)</f>
        <v xml:space="preserve">  </v>
      </c>
      <c r="C92" s="101"/>
      <c r="D92" s="101"/>
      <c r="E92" s="49" t="str">
        <f>IFERROR(VLOOKUP(D92,'taxonomy map'!$A$1:$B$171,2,FALSE),"")</f>
        <v/>
      </c>
      <c r="F92" s="49" t="str">
        <f>IFERROR(VLOOKUP(E92,'Condensed Specialty Crosswalk'!$A$2:$C$182,2,FALSE),"")</f>
        <v/>
      </c>
      <c r="G92" s="49" t="str">
        <f>IFERROR(VLOOKUP(E92,'Condensed Specialty Crosswalk'!$A$2:$C$182,3,FALSE),"")</f>
        <v/>
      </c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</row>
    <row r="93" spans="1:30" ht="17">
      <c r="A93" s="49"/>
      <c r="B93" s="49" t="str">
        <f>CONCATENATE(Reports!E92," ",Reports!F92," ",Reports!G92)</f>
        <v xml:space="preserve">  </v>
      </c>
      <c r="C93" s="101"/>
      <c r="D93" s="101"/>
      <c r="E93" s="49" t="str">
        <f>IFERROR(VLOOKUP(D93,'taxonomy map'!$A$1:$B$171,2,FALSE),"")</f>
        <v/>
      </c>
      <c r="F93" s="49" t="str">
        <f>IFERROR(VLOOKUP(E93,'Condensed Specialty Crosswalk'!$A$2:$C$182,2,FALSE),"")</f>
        <v/>
      </c>
      <c r="G93" s="49" t="str">
        <f>IFERROR(VLOOKUP(E93,'Condensed Specialty Crosswalk'!$A$2:$C$182,3,FALSE),"")</f>
        <v/>
      </c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</row>
    <row r="94" spans="1:30" ht="17">
      <c r="A94" s="49"/>
      <c r="B94" s="49" t="str">
        <f>CONCATENATE(Reports!E93," ",Reports!F93," ",Reports!G93)</f>
        <v xml:space="preserve">  </v>
      </c>
      <c r="C94" s="101"/>
      <c r="D94" s="101"/>
      <c r="E94" s="49" t="str">
        <f>IFERROR(VLOOKUP(D94,'taxonomy map'!$A$1:$B$171,2,FALSE),"")</f>
        <v/>
      </c>
      <c r="F94" s="49" t="str">
        <f>IFERROR(VLOOKUP(E94,'Condensed Specialty Crosswalk'!$A$2:$C$182,2,FALSE),"")</f>
        <v/>
      </c>
      <c r="G94" s="49" t="str">
        <f>IFERROR(VLOOKUP(E94,'Condensed Specialty Crosswalk'!$A$2:$C$182,3,FALSE),"")</f>
        <v/>
      </c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</row>
    <row r="95" spans="1:30" ht="17">
      <c r="A95" s="49"/>
      <c r="B95" s="49" t="str">
        <f>CONCATENATE(Reports!E94," ",Reports!F94," ",Reports!G94)</f>
        <v xml:space="preserve">  </v>
      </c>
      <c r="C95" s="101"/>
      <c r="D95" s="101"/>
      <c r="E95" s="49" t="str">
        <f>IFERROR(VLOOKUP(D95,'taxonomy map'!$A$1:$B$171,2,FALSE),"")</f>
        <v/>
      </c>
      <c r="F95" s="49" t="str">
        <f>IFERROR(VLOOKUP(E95,'Condensed Specialty Crosswalk'!$A$2:$C$182,2,FALSE),"")</f>
        <v/>
      </c>
      <c r="G95" s="49" t="str">
        <f>IFERROR(VLOOKUP(E95,'Condensed Specialty Crosswalk'!$A$2:$C$182,3,FALSE),"")</f>
        <v/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</row>
    <row r="96" spans="1:30" ht="17">
      <c r="A96" s="49"/>
      <c r="B96" s="49" t="str">
        <f>CONCATENATE(Reports!E95," ",Reports!F95," ",Reports!G95)</f>
        <v xml:space="preserve">  </v>
      </c>
      <c r="C96" s="101"/>
      <c r="D96" s="101"/>
      <c r="E96" s="49" t="str">
        <f>IFERROR(VLOOKUP(D96,'taxonomy map'!$A$1:$B$171,2,FALSE),"")</f>
        <v/>
      </c>
      <c r="F96" s="49" t="str">
        <f>IFERROR(VLOOKUP(E96,'Condensed Specialty Crosswalk'!$A$2:$C$182,2,FALSE),"")</f>
        <v/>
      </c>
      <c r="G96" s="49" t="str">
        <f>IFERROR(VLOOKUP(E96,'Condensed Specialty Crosswalk'!$A$2:$C$182,3,FALSE),"")</f>
        <v/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</row>
    <row r="97" spans="1:30" ht="17">
      <c r="A97" s="49"/>
      <c r="B97" s="49" t="str">
        <f>CONCATENATE(Reports!E96," ",Reports!F96," ",Reports!G96)</f>
        <v xml:space="preserve">  </v>
      </c>
      <c r="C97" s="101"/>
      <c r="D97" s="101"/>
      <c r="E97" s="49" t="str">
        <f>IFERROR(VLOOKUP(D97,'taxonomy map'!$A$1:$B$171,2,FALSE),"")</f>
        <v/>
      </c>
      <c r="F97" s="49" t="str">
        <f>IFERROR(VLOOKUP(E97,'Condensed Specialty Crosswalk'!$A$2:$C$182,2,FALSE),"")</f>
        <v/>
      </c>
      <c r="G97" s="49" t="str">
        <f>IFERROR(VLOOKUP(E97,'Condensed Specialty Crosswalk'!$A$2:$C$182,3,FALSE),"")</f>
        <v/>
      </c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</row>
    <row r="98" spans="1:30" ht="17">
      <c r="A98" s="49"/>
      <c r="B98" s="49" t="str">
        <f>CONCATENATE(Reports!E97," ",Reports!F97," ",Reports!G97)</f>
        <v xml:space="preserve">  </v>
      </c>
      <c r="C98" s="101"/>
      <c r="D98" s="101"/>
      <c r="E98" s="49" t="str">
        <f>IFERROR(VLOOKUP(D98,'taxonomy map'!$A$1:$B$171,2,FALSE),"")</f>
        <v/>
      </c>
      <c r="F98" s="49" t="str">
        <f>IFERROR(VLOOKUP(E98,'Condensed Specialty Crosswalk'!$A$2:$C$182,2,FALSE),"")</f>
        <v/>
      </c>
      <c r="G98" s="49" t="str">
        <f>IFERROR(VLOOKUP(E98,'Condensed Specialty Crosswalk'!$A$2:$C$182,3,FALSE),"")</f>
        <v/>
      </c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</row>
    <row r="99" spans="1:30" ht="17">
      <c r="A99" s="49"/>
      <c r="B99" s="49" t="str">
        <f>CONCATENATE(Reports!E98," ",Reports!F98," ",Reports!G98)</f>
        <v xml:space="preserve">  </v>
      </c>
      <c r="C99" s="101"/>
      <c r="D99" s="101"/>
      <c r="E99" s="49" t="str">
        <f>IFERROR(VLOOKUP(D99,'taxonomy map'!$A$1:$B$171,2,FALSE),"")</f>
        <v/>
      </c>
      <c r="F99" s="49" t="str">
        <f>IFERROR(VLOOKUP(E99,'Condensed Specialty Crosswalk'!$A$2:$C$182,2,FALSE),"")</f>
        <v/>
      </c>
      <c r="G99" s="49" t="str">
        <f>IFERROR(VLOOKUP(E99,'Condensed Specialty Crosswalk'!$A$2:$C$182,3,FALSE),"")</f>
        <v/>
      </c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</row>
    <row r="100" spans="1:30" ht="17">
      <c r="A100" s="49"/>
      <c r="B100" s="49" t="str">
        <f>CONCATENATE(Reports!E99," ",Reports!F99," ",Reports!G99)</f>
        <v xml:space="preserve">  </v>
      </c>
      <c r="C100" s="101"/>
      <c r="D100" s="101"/>
      <c r="E100" s="49" t="str">
        <f>IFERROR(VLOOKUP(D100,'taxonomy map'!$A$1:$B$171,2,FALSE),"")</f>
        <v/>
      </c>
      <c r="F100" s="49" t="str">
        <f>IFERROR(VLOOKUP(E100,'Condensed Specialty Crosswalk'!$A$2:$C$182,2,FALSE),"")</f>
        <v/>
      </c>
      <c r="G100" s="49" t="str">
        <f>IFERROR(VLOOKUP(E100,'Condensed Specialty Crosswalk'!$A$2:$C$182,3,FALSE),"")</f>
        <v/>
      </c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</row>
    <row r="101" spans="1:30" ht="17">
      <c r="A101" s="49"/>
      <c r="B101" s="49" t="str">
        <f>CONCATENATE(Reports!E100," ",Reports!F100," ",Reports!G100)</f>
        <v xml:space="preserve">  </v>
      </c>
      <c r="C101" s="101"/>
      <c r="D101" s="101"/>
      <c r="E101" s="49" t="str">
        <f>IFERROR(VLOOKUP(D101,'taxonomy map'!$A$1:$B$171,2,FALSE),"")</f>
        <v/>
      </c>
      <c r="F101" s="49" t="str">
        <f>IFERROR(VLOOKUP(E101,'Condensed Specialty Crosswalk'!$A$2:$C$182,2,FALSE),"")</f>
        <v/>
      </c>
      <c r="G101" s="49" t="str">
        <f>IFERROR(VLOOKUP(E101,'Condensed Specialty Crosswalk'!$A$2:$C$182,3,FALSE),"")</f>
        <v/>
      </c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</row>
    <row r="102" spans="1:30" ht="17">
      <c r="A102" s="49"/>
      <c r="B102" s="49" t="str">
        <f>CONCATENATE(Reports!E101," ",Reports!F101," ",Reports!G101)</f>
        <v xml:space="preserve">  </v>
      </c>
      <c r="C102" s="101"/>
      <c r="D102" s="101"/>
      <c r="E102" s="49" t="str">
        <f>IFERROR(VLOOKUP(D102,'taxonomy map'!$A$1:$B$171,2,FALSE),"")</f>
        <v/>
      </c>
      <c r="F102" s="49" t="str">
        <f>IFERROR(VLOOKUP(E102,'Condensed Specialty Crosswalk'!$A$2:$C$182,2,FALSE),"")</f>
        <v/>
      </c>
      <c r="G102" s="49" t="str">
        <f>IFERROR(VLOOKUP(E102,'Condensed Specialty Crosswalk'!$A$2:$C$182,3,FALSE),"")</f>
        <v/>
      </c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</row>
    <row r="103" spans="1:30" ht="17">
      <c r="A103" s="49"/>
      <c r="B103" s="49" t="str">
        <f>CONCATENATE(Reports!E102," ",Reports!F102," ",Reports!G102)</f>
        <v xml:space="preserve">  </v>
      </c>
      <c r="C103" s="101"/>
      <c r="D103" s="101"/>
      <c r="E103" s="49" t="str">
        <f>IFERROR(VLOOKUP(D103,'taxonomy map'!$A$1:$B$171,2,FALSE),"")</f>
        <v/>
      </c>
      <c r="F103" s="49" t="str">
        <f>IFERROR(VLOOKUP(E103,'Condensed Specialty Crosswalk'!$A$2:$C$182,2,FALSE),"")</f>
        <v/>
      </c>
      <c r="G103" s="49" t="str">
        <f>IFERROR(VLOOKUP(E103,'Condensed Specialty Crosswalk'!$A$2:$C$182,3,FALSE),"")</f>
        <v/>
      </c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</row>
    <row r="104" spans="1:30" ht="17">
      <c r="A104" s="49"/>
      <c r="B104" s="49" t="str">
        <f>CONCATENATE(Reports!E103," ",Reports!F103," ",Reports!G103)</f>
        <v xml:space="preserve">  </v>
      </c>
      <c r="C104" s="101"/>
      <c r="D104" s="101"/>
      <c r="E104" s="49" t="str">
        <f>IFERROR(VLOOKUP(D104,'taxonomy map'!$A$1:$B$171,2,FALSE),"")</f>
        <v/>
      </c>
      <c r="F104" s="49" t="str">
        <f>IFERROR(VLOOKUP(E104,'Condensed Specialty Crosswalk'!$A$2:$C$182,2,FALSE),"")</f>
        <v/>
      </c>
      <c r="G104" s="49" t="str">
        <f>IFERROR(VLOOKUP(E104,'Condensed Specialty Crosswalk'!$A$2:$C$182,3,FALSE),"")</f>
        <v/>
      </c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</row>
    <row r="105" spans="1:30" ht="17">
      <c r="A105" s="49"/>
      <c r="B105" s="49" t="str">
        <f>CONCATENATE(Reports!E104," ",Reports!F104," ",Reports!G104)</f>
        <v xml:space="preserve">  </v>
      </c>
      <c r="C105" s="101"/>
      <c r="D105" s="101"/>
      <c r="E105" s="49" t="str">
        <f>IFERROR(VLOOKUP(D105,'taxonomy map'!$A$1:$B$171,2,FALSE),"")</f>
        <v/>
      </c>
      <c r="F105" s="49" t="str">
        <f>IFERROR(VLOOKUP(E105,'Condensed Specialty Crosswalk'!$A$2:$C$182,2,FALSE),"")</f>
        <v/>
      </c>
      <c r="G105" s="49" t="str">
        <f>IFERROR(VLOOKUP(E105,'Condensed Specialty Crosswalk'!$A$2:$C$182,3,FALSE),"")</f>
        <v/>
      </c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</row>
    <row r="106" spans="1:30" ht="17">
      <c r="A106" s="49"/>
      <c r="B106" s="49" t="str">
        <f>CONCATENATE(Reports!E105," ",Reports!F105," ",Reports!G105)</f>
        <v xml:space="preserve">  </v>
      </c>
      <c r="C106" s="101"/>
      <c r="D106" s="101"/>
      <c r="E106" s="49" t="str">
        <f>IFERROR(VLOOKUP(D106,'taxonomy map'!$A$1:$B$171,2,FALSE),"")</f>
        <v/>
      </c>
      <c r="F106" s="49" t="str">
        <f>IFERROR(VLOOKUP(E106,'Condensed Specialty Crosswalk'!$A$2:$C$182,2,FALSE),"")</f>
        <v/>
      </c>
      <c r="G106" s="49" t="str">
        <f>IFERROR(VLOOKUP(E106,'Condensed Specialty Crosswalk'!$A$2:$C$182,3,FALSE),"")</f>
        <v/>
      </c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</row>
    <row r="107" spans="1:30" ht="17">
      <c r="A107" s="49"/>
      <c r="B107" s="49" t="str">
        <f>CONCATENATE(Reports!E106," ",Reports!F106," ",Reports!G106)</f>
        <v xml:space="preserve">  </v>
      </c>
      <c r="C107" s="101"/>
      <c r="D107" s="101"/>
      <c r="E107" s="49" t="str">
        <f>IFERROR(VLOOKUP(D107,'taxonomy map'!$A$1:$B$171,2,FALSE),"")</f>
        <v/>
      </c>
      <c r="F107" s="49" t="str">
        <f>IFERROR(VLOOKUP(E107,'Condensed Specialty Crosswalk'!$A$2:$C$182,2,FALSE),"")</f>
        <v/>
      </c>
      <c r="G107" s="49" t="str">
        <f>IFERROR(VLOOKUP(E107,'Condensed Specialty Crosswalk'!$A$2:$C$182,3,FALSE),"")</f>
        <v/>
      </c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</row>
    <row r="108" spans="1:30" ht="17">
      <c r="A108" s="49"/>
      <c r="B108" s="49" t="str">
        <f>CONCATENATE(Reports!E107," ",Reports!F107," ",Reports!G107)</f>
        <v xml:space="preserve">  </v>
      </c>
      <c r="C108" s="101"/>
      <c r="D108" s="101"/>
      <c r="E108" s="49" t="str">
        <f>IFERROR(VLOOKUP(D108,'taxonomy map'!$A$1:$B$171,2,FALSE),"")</f>
        <v/>
      </c>
      <c r="F108" s="49" t="str">
        <f>IFERROR(VLOOKUP(E108,'Condensed Specialty Crosswalk'!$A$2:$C$182,2,FALSE),"")</f>
        <v/>
      </c>
      <c r="G108" s="49" t="str">
        <f>IFERROR(VLOOKUP(E108,'Condensed Specialty Crosswalk'!$A$2:$C$182,3,FALSE),"")</f>
        <v/>
      </c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</row>
    <row r="109" spans="1:30" ht="17">
      <c r="A109" s="49"/>
      <c r="B109" s="49" t="str">
        <f>CONCATENATE(Reports!E108," ",Reports!F108," ",Reports!G108)</f>
        <v xml:space="preserve">  </v>
      </c>
      <c r="C109" s="101"/>
      <c r="D109" s="101"/>
      <c r="E109" s="49" t="str">
        <f>IFERROR(VLOOKUP(D109,'taxonomy map'!$A$1:$B$171,2,FALSE),"")</f>
        <v/>
      </c>
      <c r="F109" s="49" t="str">
        <f>IFERROR(VLOOKUP(E109,'Condensed Specialty Crosswalk'!$A$2:$C$182,2,FALSE),"")</f>
        <v/>
      </c>
      <c r="G109" s="49" t="str">
        <f>IFERROR(VLOOKUP(E109,'Condensed Specialty Crosswalk'!$A$2:$C$182,3,FALSE),"")</f>
        <v/>
      </c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</row>
    <row r="110" spans="1:30" ht="17">
      <c r="A110" s="49"/>
      <c r="B110" s="49" t="str">
        <f>CONCATENATE(Reports!E109," ",Reports!F109," ",Reports!G109)</f>
        <v xml:space="preserve">  </v>
      </c>
      <c r="C110" s="101"/>
      <c r="D110" s="101"/>
      <c r="E110" s="49" t="str">
        <f>IFERROR(VLOOKUP(D110,'taxonomy map'!$A$1:$B$171,2,FALSE),"")</f>
        <v/>
      </c>
      <c r="F110" s="49" t="str">
        <f>IFERROR(VLOOKUP(E110,'Condensed Specialty Crosswalk'!$A$2:$C$182,2,FALSE),"")</f>
        <v/>
      </c>
      <c r="G110" s="49" t="str">
        <f>IFERROR(VLOOKUP(E110,'Condensed Specialty Crosswalk'!$A$2:$C$182,3,FALSE),"")</f>
        <v/>
      </c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</row>
    <row r="111" spans="1:30" ht="17">
      <c r="A111" s="49"/>
      <c r="B111" s="49" t="str">
        <f>CONCATENATE(Reports!E110," ",Reports!F110," ",Reports!G110)</f>
        <v xml:space="preserve">  </v>
      </c>
      <c r="C111" s="101"/>
      <c r="D111" s="101"/>
      <c r="E111" s="49" t="str">
        <f>IFERROR(VLOOKUP(D111,'taxonomy map'!$A$1:$B$171,2,FALSE),"")</f>
        <v/>
      </c>
      <c r="F111" s="49" t="str">
        <f>IFERROR(VLOOKUP(E111,'Condensed Specialty Crosswalk'!$A$2:$C$182,2,FALSE),"")</f>
        <v/>
      </c>
      <c r="G111" s="49" t="str">
        <f>IFERROR(VLOOKUP(E111,'Condensed Specialty Crosswalk'!$A$2:$C$182,3,FALSE),"")</f>
        <v/>
      </c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</row>
    <row r="112" spans="1:30" ht="17">
      <c r="A112" s="49"/>
      <c r="B112" s="49" t="str">
        <f>CONCATENATE(Reports!E111," ",Reports!F111," ",Reports!G111)</f>
        <v xml:space="preserve">  </v>
      </c>
      <c r="C112" s="101"/>
      <c r="D112" s="101"/>
      <c r="E112" s="49" t="str">
        <f>IFERROR(VLOOKUP(D112,'taxonomy map'!$A$1:$B$171,2,FALSE),"")</f>
        <v/>
      </c>
      <c r="F112" s="49" t="str">
        <f>IFERROR(VLOOKUP(E112,'Condensed Specialty Crosswalk'!$A$2:$C$182,2,FALSE),"")</f>
        <v/>
      </c>
      <c r="G112" s="49" t="str">
        <f>IFERROR(VLOOKUP(E112,'Condensed Specialty Crosswalk'!$A$2:$C$182,3,FALSE),"")</f>
        <v/>
      </c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</row>
    <row r="113" spans="1:30" ht="17">
      <c r="A113" s="49"/>
      <c r="B113" s="49" t="str">
        <f>CONCATENATE(Reports!E112," ",Reports!F112," ",Reports!G112)</f>
        <v xml:space="preserve">  </v>
      </c>
      <c r="C113" s="101"/>
      <c r="D113" s="101"/>
      <c r="E113" s="49" t="str">
        <f>IFERROR(VLOOKUP(D113,'taxonomy map'!$A$1:$B$171,2,FALSE),"")</f>
        <v/>
      </c>
      <c r="F113" s="49" t="str">
        <f>IFERROR(VLOOKUP(E113,'Condensed Specialty Crosswalk'!$A$2:$C$182,2,FALSE),"")</f>
        <v/>
      </c>
      <c r="G113" s="49" t="str">
        <f>IFERROR(VLOOKUP(E113,'Condensed Specialty Crosswalk'!$A$2:$C$182,3,FALSE),"")</f>
        <v/>
      </c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</row>
    <row r="114" spans="1:30" ht="17">
      <c r="A114" s="49"/>
      <c r="B114" s="49" t="str">
        <f>CONCATENATE(Reports!E113," ",Reports!F113," ",Reports!G113)</f>
        <v xml:space="preserve">  </v>
      </c>
      <c r="C114" s="101"/>
      <c r="D114" s="101"/>
      <c r="E114" s="49" t="str">
        <f>IFERROR(VLOOKUP(D114,'taxonomy map'!$A$1:$B$171,2,FALSE),"")</f>
        <v/>
      </c>
      <c r="F114" s="49" t="str">
        <f>IFERROR(VLOOKUP(E114,'Condensed Specialty Crosswalk'!$A$2:$C$182,2,FALSE),"")</f>
        <v/>
      </c>
      <c r="G114" s="49" t="str">
        <f>IFERROR(VLOOKUP(E114,'Condensed Specialty Crosswalk'!$A$2:$C$182,3,FALSE),"")</f>
        <v/>
      </c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</row>
    <row r="115" spans="1:30" ht="17">
      <c r="A115" s="49"/>
      <c r="B115" s="49" t="str">
        <f>CONCATENATE(Reports!E114," ",Reports!F114," ",Reports!G114)</f>
        <v xml:space="preserve">  </v>
      </c>
      <c r="C115" s="101"/>
      <c r="D115" s="101"/>
      <c r="E115" s="49" t="str">
        <f>IFERROR(VLOOKUP(D115,'taxonomy map'!$A$1:$B$171,2,FALSE),"")</f>
        <v/>
      </c>
      <c r="F115" s="49" t="str">
        <f>IFERROR(VLOOKUP(E115,'Condensed Specialty Crosswalk'!$A$2:$C$182,2,FALSE),"")</f>
        <v/>
      </c>
      <c r="G115" s="49" t="str">
        <f>IFERROR(VLOOKUP(E115,'Condensed Specialty Crosswalk'!$A$2:$C$182,3,FALSE),"")</f>
        <v/>
      </c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</row>
    <row r="116" spans="1:30" ht="17">
      <c r="A116" s="49"/>
      <c r="B116" s="49" t="str">
        <f>CONCATENATE(Reports!E115," ",Reports!F115," ",Reports!G115)</f>
        <v xml:space="preserve">  </v>
      </c>
      <c r="C116" s="101"/>
      <c r="D116" s="101"/>
      <c r="E116" s="49" t="str">
        <f>IFERROR(VLOOKUP(D116,'taxonomy map'!$A$1:$B$171,2,FALSE),"")</f>
        <v/>
      </c>
      <c r="F116" s="49" t="str">
        <f>IFERROR(VLOOKUP(E116,'Condensed Specialty Crosswalk'!$A$2:$C$182,2,FALSE),"")</f>
        <v/>
      </c>
      <c r="G116" s="49" t="str">
        <f>IFERROR(VLOOKUP(E116,'Condensed Specialty Crosswalk'!$A$2:$C$182,3,FALSE),"")</f>
        <v/>
      </c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</row>
    <row r="117" spans="1:30" ht="17">
      <c r="A117" s="49"/>
      <c r="B117" s="49" t="str">
        <f>CONCATENATE(Reports!E116," ",Reports!F116," ",Reports!G116)</f>
        <v xml:space="preserve">  </v>
      </c>
      <c r="C117" s="101"/>
      <c r="D117" s="101"/>
      <c r="E117" s="49" t="str">
        <f>IFERROR(VLOOKUP(D117,'taxonomy map'!$A$1:$B$171,2,FALSE),"")</f>
        <v/>
      </c>
      <c r="F117" s="49" t="str">
        <f>IFERROR(VLOOKUP(E117,'Condensed Specialty Crosswalk'!$A$2:$C$182,2,FALSE),"")</f>
        <v/>
      </c>
      <c r="G117" s="49" t="str">
        <f>IFERROR(VLOOKUP(E117,'Condensed Specialty Crosswalk'!$A$2:$C$182,3,FALSE),"")</f>
        <v/>
      </c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</row>
    <row r="118" spans="1:30" ht="17">
      <c r="A118" s="49"/>
      <c r="B118" s="49" t="str">
        <f>CONCATENATE(Reports!E117," ",Reports!F117," ",Reports!G117)</f>
        <v xml:space="preserve">  </v>
      </c>
      <c r="C118" s="101"/>
      <c r="D118" s="101"/>
      <c r="E118" s="49" t="str">
        <f>IFERROR(VLOOKUP(D118,'taxonomy map'!$A$1:$B$171,2,FALSE),"")</f>
        <v/>
      </c>
      <c r="F118" s="49" t="str">
        <f>IFERROR(VLOOKUP(E118,'Condensed Specialty Crosswalk'!$A$2:$C$182,2,FALSE),"")</f>
        <v/>
      </c>
      <c r="G118" s="49" t="str">
        <f>IFERROR(VLOOKUP(E118,'Condensed Specialty Crosswalk'!$A$2:$C$182,3,FALSE),"")</f>
        <v/>
      </c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</row>
    <row r="119" spans="1:30" ht="17">
      <c r="A119" s="49"/>
      <c r="B119" s="49" t="str">
        <f>CONCATENATE(Reports!E118," ",Reports!F118," ",Reports!G118)</f>
        <v xml:space="preserve">  </v>
      </c>
      <c r="C119" s="101"/>
      <c r="D119" s="101"/>
      <c r="E119" s="49" t="str">
        <f>IFERROR(VLOOKUP(D119,'taxonomy map'!$A$1:$B$171,2,FALSE),"")</f>
        <v/>
      </c>
      <c r="F119" s="49" t="str">
        <f>IFERROR(VLOOKUP(E119,'Condensed Specialty Crosswalk'!$A$2:$C$182,2,FALSE),"")</f>
        <v/>
      </c>
      <c r="G119" s="49" t="str">
        <f>IFERROR(VLOOKUP(E119,'Condensed Specialty Crosswalk'!$A$2:$C$182,3,FALSE),"")</f>
        <v/>
      </c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</row>
    <row r="120" spans="1:30" ht="17">
      <c r="A120" s="49"/>
      <c r="B120" s="49" t="str">
        <f>CONCATENATE(Reports!E119," ",Reports!F119," ",Reports!G119)</f>
        <v xml:space="preserve">  </v>
      </c>
      <c r="C120" s="101"/>
      <c r="D120" s="101"/>
      <c r="E120" s="49" t="str">
        <f>IFERROR(VLOOKUP(D120,'taxonomy map'!$A$1:$B$171,2,FALSE),"")</f>
        <v/>
      </c>
      <c r="F120" s="49" t="str">
        <f>IFERROR(VLOOKUP(E120,'Condensed Specialty Crosswalk'!$A$2:$C$182,2,FALSE),"")</f>
        <v/>
      </c>
      <c r="G120" s="49" t="str">
        <f>IFERROR(VLOOKUP(E120,'Condensed Specialty Crosswalk'!$A$2:$C$182,3,FALSE),"")</f>
        <v/>
      </c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</row>
    <row r="121" spans="1:30" ht="17">
      <c r="A121" s="49"/>
      <c r="B121" s="49" t="str">
        <f>CONCATENATE(Reports!E120," ",Reports!F120," ",Reports!G120)</f>
        <v xml:space="preserve">  </v>
      </c>
      <c r="C121" s="101"/>
      <c r="D121" s="101"/>
      <c r="E121" s="49" t="str">
        <f>IFERROR(VLOOKUP(D121,'taxonomy map'!$A$1:$B$171,2,FALSE),"")</f>
        <v/>
      </c>
      <c r="F121" s="49" t="str">
        <f>IFERROR(VLOOKUP(E121,'Condensed Specialty Crosswalk'!$A$2:$C$182,2,FALSE),"")</f>
        <v/>
      </c>
      <c r="G121" s="49" t="str">
        <f>IFERROR(VLOOKUP(E121,'Condensed Specialty Crosswalk'!$A$2:$C$182,3,FALSE),"")</f>
        <v/>
      </c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</row>
    <row r="122" spans="1:30" ht="17">
      <c r="A122" s="49"/>
      <c r="B122" s="49" t="str">
        <f>CONCATENATE(Reports!E121," ",Reports!F121," ",Reports!G121)</f>
        <v xml:space="preserve">  </v>
      </c>
      <c r="C122" s="101"/>
      <c r="D122" s="101"/>
      <c r="E122" s="49" t="str">
        <f>IFERROR(VLOOKUP(D122,'taxonomy map'!$A$1:$B$171,2,FALSE),"")</f>
        <v/>
      </c>
      <c r="F122" s="49" t="str">
        <f>IFERROR(VLOOKUP(E122,'Condensed Specialty Crosswalk'!$A$2:$C$182,2,FALSE),"")</f>
        <v/>
      </c>
      <c r="G122" s="49" t="str">
        <f>IFERROR(VLOOKUP(E122,'Condensed Specialty Crosswalk'!$A$2:$C$182,3,FALSE),"")</f>
        <v/>
      </c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</row>
    <row r="123" spans="1:30" ht="17">
      <c r="A123" s="49"/>
      <c r="B123" s="49" t="str">
        <f>CONCATENATE(Reports!E122," ",Reports!F122," ",Reports!G122)</f>
        <v xml:space="preserve">  </v>
      </c>
      <c r="C123" s="101"/>
      <c r="D123" s="101"/>
      <c r="E123" s="49" t="str">
        <f>IFERROR(VLOOKUP(D123,'taxonomy map'!$A$1:$B$171,2,FALSE),"")</f>
        <v/>
      </c>
      <c r="F123" s="49" t="str">
        <f>IFERROR(VLOOKUP(E123,'Condensed Specialty Crosswalk'!$A$2:$C$182,2,FALSE),"")</f>
        <v/>
      </c>
      <c r="G123" s="49" t="str">
        <f>IFERROR(VLOOKUP(E123,'Condensed Specialty Crosswalk'!$A$2:$C$182,3,FALSE),"")</f>
        <v/>
      </c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</row>
    <row r="124" spans="1:30" ht="17">
      <c r="A124" s="49"/>
      <c r="B124" s="49" t="str">
        <f>CONCATENATE(Reports!E123," ",Reports!F123," ",Reports!G123)</f>
        <v xml:space="preserve">  </v>
      </c>
      <c r="C124" s="101"/>
      <c r="D124" s="101"/>
      <c r="E124" s="49" t="str">
        <f>IFERROR(VLOOKUP(D124,'taxonomy map'!$A$1:$B$171,2,FALSE),"")</f>
        <v/>
      </c>
      <c r="F124" s="49" t="str">
        <f>IFERROR(VLOOKUP(E124,'Condensed Specialty Crosswalk'!$A$2:$C$182,2,FALSE),"")</f>
        <v/>
      </c>
      <c r="G124" s="49" t="str">
        <f>IFERROR(VLOOKUP(E124,'Condensed Specialty Crosswalk'!$A$2:$C$182,3,FALSE),"")</f>
        <v/>
      </c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</row>
    <row r="125" spans="1:30" ht="17">
      <c r="A125" s="49"/>
      <c r="B125" s="49" t="str">
        <f>CONCATENATE(Reports!E124," ",Reports!F124," ",Reports!G124)</f>
        <v xml:space="preserve">  </v>
      </c>
      <c r="C125" s="101"/>
      <c r="D125" s="101"/>
      <c r="E125" s="49" t="str">
        <f>IFERROR(VLOOKUP(D125,'taxonomy map'!$A$1:$B$171,2,FALSE),"")</f>
        <v/>
      </c>
      <c r="F125" s="49" t="str">
        <f>IFERROR(VLOOKUP(E125,'Condensed Specialty Crosswalk'!$A$2:$C$182,2,FALSE),"")</f>
        <v/>
      </c>
      <c r="G125" s="49" t="str">
        <f>IFERROR(VLOOKUP(E125,'Condensed Specialty Crosswalk'!$A$2:$C$182,3,FALSE),"")</f>
        <v/>
      </c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</row>
    <row r="126" spans="1:30" ht="17">
      <c r="A126" s="49"/>
      <c r="B126" s="49" t="str">
        <f>CONCATENATE(Reports!E125," ",Reports!F125," ",Reports!G125)</f>
        <v xml:space="preserve">  </v>
      </c>
      <c r="C126" s="101"/>
      <c r="D126" s="101"/>
      <c r="E126" s="49" t="str">
        <f>IFERROR(VLOOKUP(D126,'taxonomy map'!$A$1:$B$171,2,FALSE),"")</f>
        <v/>
      </c>
      <c r="F126" s="49" t="str">
        <f>IFERROR(VLOOKUP(E126,'Condensed Specialty Crosswalk'!$A$2:$C$182,2,FALSE),"")</f>
        <v/>
      </c>
      <c r="G126" s="49" t="str">
        <f>IFERROR(VLOOKUP(E126,'Condensed Specialty Crosswalk'!$A$2:$C$182,3,FALSE),"")</f>
        <v/>
      </c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</row>
    <row r="127" spans="1:30" ht="17">
      <c r="A127" s="49"/>
      <c r="B127" s="49" t="str">
        <f>CONCATENATE(Reports!E126," ",Reports!F126," ",Reports!G126)</f>
        <v xml:space="preserve">  </v>
      </c>
      <c r="C127" s="101"/>
      <c r="D127" s="101"/>
      <c r="E127" s="49" t="str">
        <f>IFERROR(VLOOKUP(D127,'taxonomy map'!$A$1:$B$171,2,FALSE),"")</f>
        <v/>
      </c>
      <c r="F127" s="49" t="str">
        <f>IFERROR(VLOOKUP(E127,'Condensed Specialty Crosswalk'!$A$2:$C$182,2,FALSE),"")</f>
        <v/>
      </c>
      <c r="G127" s="49" t="str">
        <f>IFERROR(VLOOKUP(E127,'Condensed Specialty Crosswalk'!$A$2:$C$182,3,FALSE),"")</f>
        <v/>
      </c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</row>
    <row r="128" spans="1:30" ht="17">
      <c r="A128" s="49"/>
      <c r="B128" s="49" t="str">
        <f>CONCATENATE(Reports!E127," ",Reports!F127," ",Reports!G127)</f>
        <v xml:space="preserve">  </v>
      </c>
      <c r="C128" s="101"/>
      <c r="D128" s="101"/>
      <c r="E128" s="49" t="str">
        <f>IFERROR(VLOOKUP(D128,'taxonomy map'!$A$1:$B$171,2,FALSE),"")</f>
        <v/>
      </c>
      <c r="F128" s="49" t="str">
        <f>IFERROR(VLOOKUP(E128,'Condensed Specialty Crosswalk'!$A$2:$C$182,2,FALSE),"")</f>
        <v/>
      </c>
      <c r="G128" s="49" t="str">
        <f>IFERROR(VLOOKUP(E128,'Condensed Specialty Crosswalk'!$A$2:$C$182,3,FALSE),"")</f>
        <v/>
      </c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</row>
    <row r="129" spans="1:30" ht="17">
      <c r="A129" s="49"/>
      <c r="B129" s="49" t="str">
        <f>CONCATENATE(Reports!E128," ",Reports!F128," ",Reports!G128)</f>
        <v xml:space="preserve">  </v>
      </c>
      <c r="C129" s="101"/>
      <c r="D129" s="101"/>
      <c r="E129" s="49" t="str">
        <f>IFERROR(VLOOKUP(D129,'taxonomy map'!$A$1:$B$171,2,FALSE),"")</f>
        <v/>
      </c>
      <c r="F129" s="49" t="str">
        <f>IFERROR(VLOOKUP(E129,'Condensed Specialty Crosswalk'!$A$2:$C$182,2,FALSE),"")</f>
        <v/>
      </c>
      <c r="G129" s="49" t="str">
        <f>IFERROR(VLOOKUP(E129,'Condensed Specialty Crosswalk'!$A$2:$C$182,3,FALSE),"")</f>
        <v/>
      </c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</row>
    <row r="130" spans="1:30" ht="17">
      <c r="A130" s="49"/>
      <c r="B130" s="49" t="str">
        <f>CONCATENATE(Reports!E129," ",Reports!F129," ",Reports!G129)</f>
        <v xml:space="preserve">  </v>
      </c>
      <c r="C130" s="101"/>
      <c r="D130" s="101"/>
      <c r="E130" s="49" t="str">
        <f>IFERROR(VLOOKUP(D130,'taxonomy map'!$A$1:$B$171,2,FALSE),"")</f>
        <v/>
      </c>
      <c r="F130" s="49" t="str">
        <f>IFERROR(VLOOKUP(E130,'Condensed Specialty Crosswalk'!$A$2:$C$182,2,FALSE),"")</f>
        <v/>
      </c>
      <c r="G130" s="49" t="str">
        <f>IFERROR(VLOOKUP(E130,'Condensed Specialty Crosswalk'!$A$2:$C$182,3,FALSE),"")</f>
        <v/>
      </c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</row>
    <row r="131" spans="1:30" ht="17">
      <c r="A131" s="49"/>
      <c r="B131" s="49" t="str">
        <f>CONCATENATE(Reports!E130," ",Reports!F130," ",Reports!G130)</f>
        <v xml:space="preserve">  </v>
      </c>
      <c r="C131" s="101"/>
      <c r="D131" s="101"/>
      <c r="E131" s="49" t="str">
        <f>IFERROR(VLOOKUP(D131,'taxonomy map'!$A$1:$B$171,2,FALSE),"")</f>
        <v/>
      </c>
      <c r="F131" s="49" t="str">
        <f>IFERROR(VLOOKUP(E131,'Condensed Specialty Crosswalk'!$A$2:$C$182,2,FALSE),"")</f>
        <v/>
      </c>
      <c r="G131" s="49" t="str">
        <f>IFERROR(VLOOKUP(E131,'Condensed Specialty Crosswalk'!$A$2:$C$182,3,FALSE),"")</f>
        <v/>
      </c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</row>
    <row r="132" spans="1:30" ht="17">
      <c r="A132" s="49"/>
      <c r="B132" s="49" t="str">
        <f>CONCATENATE(Reports!E131," ",Reports!F131," ",Reports!G131)</f>
        <v xml:space="preserve">  </v>
      </c>
      <c r="C132" s="101"/>
      <c r="D132" s="101"/>
      <c r="E132" s="49" t="str">
        <f>IFERROR(VLOOKUP(D132,'taxonomy map'!$A$1:$B$171,2,FALSE),"")</f>
        <v/>
      </c>
      <c r="F132" s="49" t="str">
        <f>IFERROR(VLOOKUP(E132,'Condensed Specialty Crosswalk'!$A$2:$C$182,2,FALSE),"")</f>
        <v/>
      </c>
      <c r="G132" s="49" t="str">
        <f>IFERROR(VLOOKUP(E132,'Condensed Specialty Crosswalk'!$A$2:$C$182,3,FALSE),"")</f>
        <v/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</row>
    <row r="133" spans="1:30" ht="17">
      <c r="A133" s="49"/>
      <c r="B133" s="49" t="str">
        <f>CONCATENATE(Reports!E132," ",Reports!F132," ",Reports!G132)</f>
        <v xml:space="preserve">  </v>
      </c>
      <c r="C133" s="101"/>
      <c r="D133" s="101"/>
      <c r="E133" s="49" t="str">
        <f>IFERROR(VLOOKUP(D133,'taxonomy map'!$A$1:$B$171,2,FALSE),"")</f>
        <v/>
      </c>
      <c r="F133" s="49" t="str">
        <f>IFERROR(VLOOKUP(E133,'Condensed Specialty Crosswalk'!$A$2:$C$182,2,FALSE),"")</f>
        <v/>
      </c>
      <c r="G133" s="49" t="str">
        <f>IFERROR(VLOOKUP(E133,'Condensed Specialty Crosswalk'!$A$2:$C$182,3,FALSE),"")</f>
        <v/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</row>
    <row r="134" spans="1:30" ht="17">
      <c r="A134" s="49"/>
      <c r="B134" s="49" t="str">
        <f>CONCATENATE(Reports!E133," ",Reports!F133," ",Reports!G133)</f>
        <v xml:space="preserve">  </v>
      </c>
      <c r="C134" s="101"/>
      <c r="D134" s="101"/>
      <c r="E134" s="49" t="str">
        <f>IFERROR(VLOOKUP(D134,'taxonomy map'!$A$1:$B$171,2,FALSE),"")</f>
        <v/>
      </c>
      <c r="F134" s="49" t="str">
        <f>IFERROR(VLOOKUP(E134,'Condensed Specialty Crosswalk'!$A$2:$C$182,2,FALSE),"")</f>
        <v/>
      </c>
      <c r="G134" s="49" t="str">
        <f>IFERROR(VLOOKUP(E134,'Condensed Specialty Crosswalk'!$A$2:$C$182,3,FALSE),"")</f>
        <v/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</row>
    <row r="135" spans="1:30" ht="17">
      <c r="A135" s="49"/>
      <c r="B135" s="49" t="str">
        <f>CONCATENATE(Reports!E134," ",Reports!F134," ",Reports!G134)</f>
        <v xml:space="preserve">  </v>
      </c>
      <c r="C135" s="101"/>
      <c r="D135" s="101"/>
      <c r="E135" s="49" t="str">
        <f>IFERROR(VLOOKUP(D135,'taxonomy map'!$A$1:$B$171,2,FALSE),"")</f>
        <v/>
      </c>
      <c r="F135" s="49" t="str">
        <f>IFERROR(VLOOKUP(E135,'Condensed Specialty Crosswalk'!$A$2:$C$182,2,FALSE),"")</f>
        <v/>
      </c>
      <c r="G135" s="49" t="str">
        <f>IFERROR(VLOOKUP(E135,'Condensed Specialty Crosswalk'!$A$2:$C$182,3,FALSE),"")</f>
        <v/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</row>
    <row r="136" spans="1:30" ht="17">
      <c r="A136" s="49"/>
      <c r="B136" s="49" t="str">
        <f>CONCATENATE(Reports!E135," ",Reports!F135," ",Reports!G135)</f>
        <v xml:space="preserve">  </v>
      </c>
      <c r="C136" s="101"/>
      <c r="D136" s="101"/>
      <c r="E136" s="49" t="str">
        <f>IFERROR(VLOOKUP(D136,'taxonomy map'!$A$1:$B$171,2,FALSE),"")</f>
        <v/>
      </c>
      <c r="F136" s="49" t="str">
        <f>IFERROR(VLOOKUP(E136,'Condensed Specialty Crosswalk'!$A$2:$C$182,2,FALSE),"")</f>
        <v/>
      </c>
      <c r="G136" s="49" t="str">
        <f>IFERROR(VLOOKUP(E136,'Condensed Specialty Crosswalk'!$A$2:$C$182,3,FALSE),"")</f>
        <v/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</row>
    <row r="137" spans="1:30" ht="17">
      <c r="A137" s="49"/>
      <c r="B137" s="49" t="str">
        <f>CONCATENATE(Reports!E136," ",Reports!F136," ",Reports!G136)</f>
        <v xml:space="preserve">  </v>
      </c>
      <c r="C137" s="101"/>
      <c r="D137" s="101"/>
      <c r="E137" s="49" t="str">
        <f>IFERROR(VLOOKUP(D137,'taxonomy map'!$A$1:$B$171,2,FALSE),"")</f>
        <v/>
      </c>
      <c r="F137" s="49" t="str">
        <f>IFERROR(VLOOKUP(E137,'Condensed Specialty Crosswalk'!$A$2:$C$182,2,FALSE),"")</f>
        <v/>
      </c>
      <c r="G137" s="49" t="str">
        <f>IFERROR(VLOOKUP(E137,'Condensed Specialty Crosswalk'!$A$2:$C$182,3,FALSE),"")</f>
        <v/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</row>
    <row r="138" spans="1:30" ht="17">
      <c r="A138" s="49"/>
      <c r="B138" s="49" t="str">
        <f>CONCATENATE(Reports!E137," ",Reports!F137," ",Reports!G137)</f>
        <v xml:space="preserve">  </v>
      </c>
      <c r="C138" s="101"/>
      <c r="D138" s="101"/>
      <c r="E138" s="49" t="str">
        <f>IFERROR(VLOOKUP(D138,'taxonomy map'!$A$1:$B$171,2,FALSE),"")</f>
        <v/>
      </c>
      <c r="F138" s="49" t="str">
        <f>IFERROR(VLOOKUP(E138,'Condensed Specialty Crosswalk'!$A$2:$C$182,2,FALSE),"")</f>
        <v/>
      </c>
      <c r="G138" s="49" t="str">
        <f>IFERROR(VLOOKUP(E138,'Condensed Specialty Crosswalk'!$A$2:$C$182,3,FALSE),"")</f>
        <v/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</row>
    <row r="139" spans="1:30" ht="17">
      <c r="A139" s="49"/>
      <c r="B139" s="49" t="str">
        <f>CONCATENATE(Reports!E138," ",Reports!F138," ",Reports!G138)</f>
        <v xml:space="preserve">  </v>
      </c>
      <c r="C139" s="101"/>
      <c r="D139" s="101"/>
      <c r="E139" s="49" t="str">
        <f>IFERROR(VLOOKUP(D139,'taxonomy map'!$A$1:$B$171,2,FALSE),"")</f>
        <v/>
      </c>
      <c r="F139" s="49" t="str">
        <f>IFERROR(VLOOKUP(E139,'Condensed Specialty Crosswalk'!$A$2:$C$182,2,FALSE),"")</f>
        <v/>
      </c>
      <c r="G139" s="49" t="str">
        <f>IFERROR(VLOOKUP(E139,'Condensed Specialty Crosswalk'!$A$2:$C$182,3,FALSE),"")</f>
        <v/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</row>
    <row r="140" spans="1:30" ht="17">
      <c r="A140" s="49"/>
      <c r="B140" s="49" t="str">
        <f>CONCATENATE(Reports!E139," ",Reports!F139," ",Reports!G139)</f>
        <v xml:space="preserve">  </v>
      </c>
      <c r="C140" s="101"/>
      <c r="D140" s="101"/>
      <c r="E140" s="49" t="str">
        <f>IFERROR(VLOOKUP(D140,'taxonomy map'!$A$1:$B$171,2,FALSE),"")</f>
        <v/>
      </c>
      <c r="F140" s="49" t="str">
        <f>IFERROR(VLOOKUP(E140,'Condensed Specialty Crosswalk'!$A$2:$C$182,2,FALSE),"")</f>
        <v/>
      </c>
      <c r="G140" s="49" t="str">
        <f>IFERROR(VLOOKUP(E140,'Condensed Specialty Crosswalk'!$A$2:$C$182,3,FALSE),"")</f>
        <v/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</row>
    <row r="141" spans="1:30" ht="17">
      <c r="A141" s="49"/>
      <c r="B141" s="49" t="str">
        <f>CONCATENATE(Reports!E140," ",Reports!F140," ",Reports!G140)</f>
        <v xml:space="preserve">  </v>
      </c>
      <c r="C141" s="101"/>
      <c r="D141" s="101"/>
      <c r="E141" s="49" t="str">
        <f>IFERROR(VLOOKUP(D141,'taxonomy map'!$A$1:$B$171,2,FALSE),"")</f>
        <v/>
      </c>
      <c r="F141" s="49" t="str">
        <f>IFERROR(VLOOKUP(E141,'Condensed Specialty Crosswalk'!$A$2:$C$182,2,FALSE),"")</f>
        <v/>
      </c>
      <c r="G141" s="49" t="str">
        <f>IFERROR(VLOOKUP(E141,'Condensed Specialty Crosswalk'!$A$2:$C$182,3,FALSE),"")</f>
        <v/>
      </c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</row>
    <row r="142" spans="1:30" ht="17">
      <c r="A142" s="49"/>
      <c r="B142" s="49" t="str">
        <f>CONCATENATE(Reports!E141," ",Reports!F141," ",Reports!G141)</f>
        <v xml:space="preserve">  </v>
      </c>
      <c r="C142" s="101"/>
      <c r="D142" s="101"/>
      <c r="E142" s="49" t="str">
        <f>IFERROR(VLOOKUP(D142,'taxonomy map'!$A$1:$B$171,2,FALSE),"")</f>
        <v/>
      </c>
      <c r="F142" s="49" t="str">
        <f>IFERROR(VLOOKUP(E142,'Condensed Specialty Crosswalk'!$A$2:$C$182,2,FALSE),"")</f>
        <v/>
      </c>
      <c r="G142" s="49" t="str">
        <f>IFERROR(VLOOKUP(E142,'Condensed Specialty Crosswalk'!$A$2:$C$182,3,FALSE),"")</f>
        <v/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</row>
    <row r="143" spans="1:30" ht="17">
      <c r="A143" s="49"/>
      <c r="B143" s="49" t="str">
        <f>CONCATENATE(Reports!E142," ",Reports!F142," ",Reports!G142)</f>
        <v xml:space="preserve">  </v>
      </c>
      <c r="C143" s="101"/>
      <c r="D143" s="101"/>
      <c r="E143" s="49" t="str">
        <f>IFERROR(VLOOKUP(D143,'taxonomy map'!$A$1:$B$171,2,FALSE),"")</f>
        <v/>
      </c>
      <c r="F143" s="49" t="str">
        <f>IFERROR(VLOOKUP(E143,'Condensed Specialty Crosswalk'!$A$2:$C$182,2,FALSE),"")</f>
        <v/>
      </c>
      <c r="G143" s="49" t="str">
        <f>IFERROR(VLOOKUP(E143,'Condensed Specialty Crosswalk'!$A$2:$C$182,3,FALSE),"")</f>
        <v/>
      </c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</row>
    <row r="144" spans="1:30" ht="17">
      <c r="A144" s="49"/>
      <c r="B144" s="49" t="str">
        <f>CONCATENATE(Reports!E143," ",Reports!F143," ",Reports!G143)</f>
        <v xml:space="preserve">  </v>
      </c>
      <c r="C144" s="101"/>
      <c r="D144" s="101"/>
      <c r="E144" s="49" t="str">
        <f>IFERROR(VLOOKUP(D144,'taxonomy map'!$A$1:$B$171,2,FALSE),"")</f>
        <v/>
      </c>
      <c r="F144" s="49" t="str">
        <f>IFERROR(VLOOKUP(E144,'Condensed Specialty Crosswalk'!$A$2:$C$182,2,FALSE),"")</f>
        <v/>
      </c>
      <c r="G144" s="49" t="str">
        <f>IFERROR(VLOOKUP(E144,'Condensed Specialty Crosswalk'!$A$2:$C$182,3,FALSE),"")</f>
        <v/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</row>
    <row r="145" spans="1:30" ht="17">
      <c r="A145" s="49"/>
      <c r="B145" s="49" t="str">
        <f>CONCATENATE(Reports!E144," ",Reports!F144," ",Reports!G144)</f>
        <v xml:space="preserve">  </v>
      </c>
      <c r="C145" s="101"/>
      <c r="D145" s="101"/>
      <c r="E145" s="49" t="str">
        <f>IFERROR(VLOOKUP(D145,'taxonomy map'!$A$1:$B$171,2,FALSE),"")</f>
        <v/>
      </c>
      <c r="F145" s="49" t="str">
        <f>IFERROR(VLOOKUP(E145,'Condensed Specialty Crosswalk'!$A$2:$C$182,2,FALSE),"")</f>
        <v/>
      </c>
      <c r="G145" s="49" t="str">
        <f>IFERROR(VLOOKUP(E145,'Condensed Specialty Crosswalk'!$A$2:$C$182,3,FALSE),"")</f>
        <v/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</row>
    <row r="146" spans="1:30" ht="17">
      <c r="A146" s="49"/>
      <c r="B146" s="49" t="str">
        <f>CONCATENATE(Reports!E145," ",Reports!F145," ",Reports!G145)</f>
        <v xml:space="preserve">  </v>
      </c>
      <c r="C146" s="101"/>
      <c r="D146" s="101"/>
      <c r="E146" s="49" t="str">
        <f>IFERROR(VLOOKUP(D146,'taxonomy map'!$A$1:$B$171,2,FALSE),"")</f>
        <v/>
      </c>
      <c r="F146" s="49" t="str">
        <f>IFERROR(VLOOKUP(E146,'Condensed Specialty Crosswalk'!$A$2:$C$182,2,FALSE),"")</f>
        <v/>
      </c>
      <c r="G146" s="49" t="str">
        <f>IFERROR(VLOOKUP(E146,'Condensed Specialty Crosswalk'!$A$2:$C$182,3,FALSE),"")</f>
        <v/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</row>
    <row r="147" spans="1:30" ht="17">
      <c r="A147" s="49"/>
      <c r="B147" s="49" t="str">
        <f>CONCATENATE(Reports!E146," ",Reports!F146," ",Reports!G146)</f>
        <v xml:space="preserve">  </v>
      </c>
      <c r="C147" s="101"/>
      <c r="D147" s="101"/>
      <c r="E147" s="49" t="str">
        <f>IFERROR(VLOOKUP(D147,'taxonomy map'!$A$1:$B$171,2,FALSE),"")</f>
        <v/>
      </c>
      <c r="F147" s="49" t="str">
        <f>IFERROR(VLOOKUP(E147,'Condensed Specialty Crosswalk'!$A$2:$C$182,2,FALSE),"")</f>
        <v/>
      </c>
      <c r="G147" s="49" t="str">
        <f>IFERROR(VLOOKUP(E147,'Condensed Specialty Crosswalk'!$A$2:$C$182,3,FALSE),"")</f>
        <v/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</row>
    <row r="148" spans="1:30" ht="17">
      <c r="A148" s="49"/>
      <c r="B148" s="49" t="str">
        <f>CONCATENATE(Reports!E147," ",Reports!F147," ",Reports!G147)</f>
        <v xml:space="preserve">  </v>
      </c>
      <c r="C148" s="101"/>
      <c r="D148" s="101"/>
      <c r="E148" s="49" t="str">
        <f>IFERROR(VLOOKUP(D148,'taxonomy map'!$A$1:$B$171,2,FALSE),"")</f>
        <v/>
      </c>
      <c r="F148" s="49" t="str">
        <f>IFERROR(VLOOKUP(E148,'Condensed Specialty Crosswalk'!$A$2:$C$182,2,FALSE),"")</f>
        <v/>
      </c>
      <c r="G148" s="49" t="str">
        <f>IFERROR(VLOOKUP(E148,'Condensed Specialty Crosswalk'!$A$2:$C$182,3,FALSE),"")</f>
        <v/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</row>
    <row r="149" spans="1:30" ht="17">
      <c r="A149" s="49"/>
      <c r="B149" s="49" t="str">
        <f>CONCATENATE(Reports!E148," ",Reports!F148," ",Reports!G148)</f>
        <v xml:space="preserve">  </v>
      </c>
      <c r="C149" s="101"/>
      <c r="D149" s="101"/>
      <c r="E149" s="49" t="str">
        <f>IFERROR(VLOOKUP(D149,'taxonomy map'!$A$1:$B$171,2,FALSE),"")</f>
        <v/>
      </c>
      <c r="F149" s="49" t="str">
        <f>IFERROR(VLOOKUP(E149,'Condensed Specialty Crosswalk'!$A$2:$C$182,2,FALSE),"")</f>
        <v/>
      </c>
      <c r="G149" s="49" t="str">
        <f>IFERROR(VLOOKUP(E149,'Condensed Specialty Crosswalk'!$A$2:$C$182,3,FALSE),"")</f>
        <v/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</row>
    <row r="150" spans="1:30" ht="17">
      <c r="A150" s="49"/>
      <c r="B150" s="49" t="str">
        <f>CONCATENATE(Reports!E149," ",Reports!F149," ",Reports!G149)</f>
        <v xml:space="preserve">  </v>
      </c>
      <c r="C150" s="101"/>
      <c r="D150" s="101"/>
      <c r="E150" s="49" t="str">
        <f>IFERROR(VLOOKUP(D150,'taxonomy map'!$A$1:$B$171,2,FALSE),"")</f>
        <v/>
      </c>
      <c r="F150" s="49" t="str">
        <f>IFERROR(VLOOKUP(E150,'Condensed Specialty Crosswalk'!$A$2:$C$182,2,FALSE),"")</f>
        <v/>
      </c>
      <c r="G150" s="49" t="str">
        <f>IFERROR(VLOOKUP(E150,'Condensed Specialty Crosswalk'!$A$2:$C$182,3,FALSE),"")</f>
        <v/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</row>
    <row r="151" spans="1:30" ht="17">
      <c r="A151" s="49"/>
      <c r="B151" s="49" t="str">
        <f>CONCATENATE(Reports!E150," ",Reports!F150," ",Reports!G150)</f>
        <v xml:space="preserve">  </v>
      </c>
      <c r="C151" s="101"/>
      <c r="D151" s="101"/>
      <c r="E151" s="49" t="str">
        <f>IFERROR(VLOOKUP(D151,'taxonomy map'!$A$1:$B$171,2,FALSE),"")</f>
        <v/>
      </c>
      <c r="F151" s="49" t="str">
        <f>IFERROR(VLOOKUP(E151,'Condensed Specialty Crosswalk'!$A$2:$C$182,2,FALSE),"")</f>
        <v/>
      </c>
      <c r="G151" s="49" t="str">
        <f>IFERROR(VLOOKUP(E151,'Condensed Specialty Crosswalk'!$A$2:$C$182,3,FALSE),"")</f>
        <v/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</row>
    <row r="152" spans="1:30" ht="17">
      <c r="A152" s="49"/>
      <c r="B152" s="49" t="str">
        <f>CONCATENATE(Reports!E151," ",Reports!F151," ",Reports!G151)</f>
        <v xml:space="preserve">  </v>
      </c>
      <c r="C152" s="101"/>
      <c r="D152" s="101"/>
      <c r="E152" s="49" t="str">
        <f>IFERROR(VLOOKUP(D152,'taxonomy map'!$A$1:$B$171,2,FALSE),"")</f>
        <v/>
      </c>
      <c r="F152" s="49" t="str">
        <f>IFERROR(VLOOKUP(E152,'Condensed Specialty Crosswalk'!$A$2:$C$182,2,FALSE),"")</f>
        <v/>
      </c>
      <c r="G152" s="49" t="str">
        <f>IFERROR(VLOOKUP(E152,'Condensed Specialty Crosswalk'!$A$2:$C$182,3,FALSE),"")</f>
        <v/>
      </c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</row>
    <row r="153" spans="1:30" ht="17">
      <c r="A153" s="49"/>
      <c r="B153" s="49" t="str">
        <f>CONCATENATE(Reports!E152," ",Reports!F152," ",Reports!G152)</f>
        <v xml:space="preserve">  </v>
      </c>
      <c r="C153" s="101"/>
      <c r="D153" s="101"/>
      <c r="E153" s="49" t="str">
        <f>IFERROR(VLOOKUP(D153,'taxonomy map'!$A$1:$B$171,2,FALSE),"")</f>
        <v/>
      </c>
      <c r="F153" s="49" t="str">
        <f>IFERROR(VLOOKUP(E153,'Condensed Specialty Crosswalk'!$A$2:$C$182,2,FALSE),"")</f>
        <v/>
      </c>
      <c r="G153" s="49" t="str">
        <f>IFERROR(VLOOKUP(E153,'Condensed Specialty Crosswalk'!$A$2:$C$182,3,FALSE),"")</f>
        <v/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</row>
    <row r="154" spans="1:30" ht="17">
      <c r="A154" s="49"/>
      <c r="B154" s="49" t="str">
        <f>CONCATENATE(Reports!E153," ",Reports!F153," ",Reports!G153)</f>
        <v xml:space="preserve">  </v>
      </c>
      <c r="C154" s="101"/>
      <c r="D154" s="101"/>
      <c r="E154" s="49" t="str">
        <f>IFERROR(VLOOKUP(D154,'taxonomy map'!$A$1:$B$171,2,FALSE),"")</f>
        <v/>
      </c>
      <c r="F154" s="49" t="str">
        <f>IFERROR(VLOOKUP(E154,'Condensed Specialty Crosswalk'!$A$2:$C$182,2,FALSE),"")</f>
        <v/>
      </c>
      <c r="G154" s="49" t="str">
        <f>IFERROR(VLOOKUP(E154,'Condensed Specialty Crosswalk'!$A$2:$C$182,3,FALSE),"")</f>
        <v/>
      </c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</row>
    <row r="155" spans="1:30" ht="17">
      <c r="A155" s="49"/>
      <c r="B155" s="49" t="str">
        <f>CONCATENATE(Reports!E154," ",Reports!F154," ",Reports!G154)</f>
        <v xml:space="preserve">  </v>
      </c>
      <c r="C155" s="101"/>
      <c r="D155" s="101"/>
      <c r="E155" s="49" t="str">
        <f>IFERROR(VLOOKUP(D155,'taxonomy map'!$A$1:$B$171,2,FALSE),"")</f>
        <v/>
      </c>
      <c r="F155" s="49" t="str">
        <f>IFERROR(VLOOKUP(E155,'Condensed Specialty Crosswalk'!$A$2:$C$182,2,FALSE),"")</f>
        <v/>
      </c>
      <c r="G155" s="49" t="str">
        <f>IFERROR(VLOOKUP(E155,'Condensed Specialty Crosswalk'!$A$2:$C$182,3,FALSE),"")</f>
        <v/>
      </c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</row>
    <row r="156" spans="1:30" ht="17">
      <c r="A156" s="49"/>
      <c r="B156" s="49" t="str">
        <f>CONCATENATE(Reports!E155," ",Reports!F155," ",Reports!G155)</f>
        <v xml:space="preserve">  </v>
      </c>
      <c r="C156" s="101"/>
      <c r="D156" s="101"/>
      <c r="E156" s="49" t="str">
        <f>IFERROR(VLOOKUP(D156,'taxonomy map'!$A$1:$B$171,2,FALSE),"")</f>
        <v/>
      </c>
      <c r="F156" s="49" t="str">
        <f>IFERROR(VLOOKUP(E156,'Condensed Specialty Crosswalk'!$A$2:$C$182,2,FALSE),"")</f>
        <v/>
      </c>
      <c r="G156" s="49" t="str">
        <f>IFERROR(VLOOKUP(E156,'Condensed Specialty Crosswalk'!$A$2:$C$182,3,FALSE),"")</f>
        <v/>
      </c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</row>
    <row r="157" spans="1:30" ht="17">
      <c r="A157" s="49"/>
      <c r="B157" s="49" t="str">
        <f>CONCATENATE(Reports!E156," ",Reports!F156," ",Reports!G156)</f>
        <v xml:space="preserve">  </v>
      </c>
      <c r="C157" s="101"/>
      <c r="D157" s="101"/>
      <c r="E157" s="49" t="str">
        <f>IFERROR(VLOOKUP(D157,'taxonomy map'!$A$1:$B$171,2,FALSE),"")</f>
        <v/>
      </c>
      <c r="F157" s="49" t="str">
        <f>IFERROR(VLOOKUP(E157,'Condensed Specialty Crosswalk'!$A$2:$C$182,2,FALSE),"")</f>
        <v/>
      </c>
      <c r="G157" s="49" t="str">
        <f>IFERROR(VLOOKUP(E157,'Condensed Specialty Crosswalk'!$A$2:$C$182,3,FALSE),"")</f>
        <v/>
      </c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</row>
    <row r="158" spans="1:30" ht="17">
      <c r="A158" s="49"/>
      <c r="B158" s="49" t="str">
        <f>CONCATENATE(Reports!E157," ",Reports!F157," ",Reports!G157)</f>
        <v xml:space="preserve">  </v>
      </c>
      <c r="C158" s="101"/>
      <c r="D158" s="101"/>
      <c r="E158" s="49" t="str">
        <f>IFERROR(VLOOKUP(D158,'taxonomy map'!$A$1:$B$171,2,FALSE),"")</f>
        <v/>
      </c>
      <c r="F158" s="49" t="str">
        <f>IFERROR(VLOOKUP(E158,'Condensed Specialty Crosswalk'!$A$2:$C$182,2,FALSE),"")</f>
        <v/>
      </c>
      <c r="G158" s="49" t="str">
        <f>IFERROR(VLOOKUP(E158,'Condensed Specialty Crosswalk'!$A$2:$C$182,3,FALSE),"")</f>
        <v/>
      </c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</row>
    <row r="159" spans="1:30" ht="17">
      <c r="A159" s="49"/>
      <c r="B159" s="49" t="str">
        <f>CONCATENATE(Reports!E158," ",Reports!F158," ",Reports!G158)</f>
        <v xml:space="preserve">  </v>
      </c>
      <c r="C159" s="101"/>
      <c r="D159" s="101"/>
      <c r="E159" s="49" t="str">
        <f>IFERROR(VLOOKUP(D159,'taxonomy map'!$A$1:$B$171,2,FALSE),"")</f>
        <v/>
      </c>
      <c r="F159" s="49" t="str">
        <f>IFERROR(VLOOKUP(E159,'Condensed Specialty Crosswalk'!$A$2:$C$182,2,FALSE),"")</f>
        <v/>
      </c>
      <c r="G159" s="49" t="str">
        <f>IFERROR(VLOOKUP(E159,'Condensed Specialty Crosswalk'!$A$2:$C$182,3,FALSE),"")</f>
        <v/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</row>
    <row r="160" spans="1:30" ht="17">
      <c r="A160" s="49"/>
      <c r="B160" s="49" t="str">
        <f>CONCATENATE(Reports!E159," ",Reports!F159," ",Reports!G159)</f>
        <v xml:space="preserve">  </v>
      </c>
      <c r="C160" s="101"/>
      <c r="D160" s="101"/>
      <c r="E160" s="49" t="str">
        <f>IFERROR(VLOOKUP(D160,'taxonomy map'!$A$1:$B$171,2,FALSE),"")</f>
        <v/>
      </c>
      <c r="F160" s="49" t="str">
        <f>IFERROR(VLOOKUP(E160,'Condensed Specialty Crosswalk'!$A$2:$C$182,2,FALSE),"")</f>
        <v/>
      </c>
      <c r="G160" s="49" t="str">
        <f>IFERROR(VLOOKUP(E160,'Condensed Specialty Crosswalk'!$A$2:$C$182,3,FALSE),"")</f>
        <v/>
      </c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</row>
    <row r="161" spans="1:30" ht="17">
      <c r="A161" s="49"/>
      <c r="B161" s="49" t="str">
        <f>CONCATENATE(Reports!E160," ",Reports!F160," ",Reports!G160)</f>
        <v xml:space="preserve">  </v>
      </c>
      <c r="C161" s="101"/>
      <c r="D161" s="101"/>
      <c r="E161" s="49" t="str">
        <f>IFERROR(VLOOKUP(D161,'taxonomy map'!$A$1:$B$171,2,FALSE),"")</f>
        <v/>
      </c>
      <c r="F161" s="49" t="str">
        <f>IFERROR(VLOOKUP(E161,'Condensed Specialty Crosswalk'!$A$2:$C$182,2,FALSE),"")</f>
        <v/>
      </c>
      <c r="G161" s="49" t="str">
        <f>IFERROR(VLOOKUP(E161,'Condensed Specialty Crosswalk'!$A$2:$C$182,3,FALSE),"")</f>
        <v/>
      </c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</row>
    <row r="162" spans="1:30" ht="17">
      <c r="A162" s="49"/>
      <c r="B162" s="49" t="str">
        <f>CONCATENATE(Reports!E161," ",Reports!F161," ",Reports!G161)</f>
        <v xml:space="preserve">  </v>
      </c>
      <c r="C162" s="101"/>
      <c r="D162" s="101"/>
      <c r="E162" s="49" t="str">
        <f>IFERROR(VLOOKUP(D162,'taxonomy map'!$A$1:$B$171,2,FALSE),"")</f>
        <v/>
      </c>
      <c r="F162" s="49" t="str">
        <f>IFERROR(VLOOKUP(E162,'Condensed Specialty Crosswalk'!$A$2:$C$182,2,FALSE),"")</f>
        <v/>
      </c>
      <c r="G162" s="49" t="str">
        <f>IFERROR(VLOOKUP(E162,'Condensed Specialty Crosswalk'!$A$2:$C$182,3,FALSE),"")</f>
        <v/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</row>
    <row r="163" spans="1:30" ht="17">
      <c r="A163" s="49"/>
      <c r="B163" s="49" t="str">
        <f>CONCATENATE(Reports!E162," ",Reports!F162," ",Reports!G162)</f>
        <v xml:space="preserve">  </v>
      </c>
      <c r="C163" s="101"/>
      <c r="D163" s="101"/>
      <c r="E163" s="49" t="str">
        <f>IFERROR(VLOOKUP(D163,'taxonomy map'!$A$1:$B$171,2,FALSE),"")</f>
        <v/>
      </c>
      <c r="F163" s="49" t="str">
        <f>IFERROR(VLOOKUP(E163,'Condensed Specialty Crosswalk'!$A$2:$C$182,2,FALSE),"")</f>
        <v/>
      </c>
      <c r="G163" s="49" t="str">
        <f>IFERROR(VLOOKUP(E163,'Condensed Specialty Crosswalk'!$A$2:$C$182,3,FALSE),"")</f>
        <v/>
      </c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</row>
    <row r="164" spans="1:30" ht="17">
      <c r="A164" s="49"/>
      <c r="B164" s="49" t="str">
        <f>CONCATENATE(Reports!E163," ",Reports!F163," ",Reports!G163)</f>
        <v xml:space="preserve">  </v>
      </c>
      <c r="C164" s="101"/>
      <c r="D164" s="101"/>
      <c r="E164" s="49" t="str">
        <f>IFERROR(VLOOKUP(D164,'taxonomy map'!$A$1:$B$171,2,FALSE),"")</f>
        <v/>
      </c>
      <c r="F164" s="49" t="str">
        <f>IFERROR(VLOOKUP(E164,'Condensed Specialty Crosswalk'!$A$2:$C$182,2,FALSE),"")</f>
        <v/>
      </c>
      <c r="G164" s="49" t="str">
        <f>IFERROR(VLOOKUP(E164,'Condensed Specialty Crosswalk'!$A$2:$C$182,3,FALSE),"")</f>
        <v/>
      </c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</row>
    <row r="165" spans="1:30" ht="17">
      <c r="A165" s="49"/>
      <c r="B165" s="49" t="str">
        <f>CONCATENATE(Reports!E164," ",Reports!F164," ",Reports!G164)</f>
        <v xml:space="preserve">  </v>
      </c>
      <c r="C165" s="101"/>
      <c r="D165" s="101"/>
      <c r="E165" s="49" t="str">
        <f>IFERROR(VLOOKUP(D165,'taxonomy map'!$A$1:$B$171,2,FALSE),"")</f>
        <v/>
      </c>
      <c r="F165" s="49" t="str">
        <f>IFERROR(VLOOKUP(E165,'Condensed Specialty Crosswalk'!$A$2:$C$182,2,FALSE),"")</f>
        <v/>
      </c>
      <c r="G165" s="49" t="str">
        <f>IFERROR(VLOOKUP(E165,'Condensed Specialty Crosswalk'!$A$2:$C$182,3,FALSE),"")</f>
        <v/>
      </c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</row>
    <row r="166" spans="1:30" ht="17">
      <c r="A166" s="49"/>
      <c r="B166" s="49" t="str">
        <f>CONCATENATE(Reports!E165," ",Reports!F165," ",Reports!G165)</f>
        <v xml:space="preserve">  </v>
      </c>
      <c r="C166" s="101"/>
      <c r="D166" s="101"/>
      <c r="E166" s="49" t="str">
        <f>IFERROR(VLOOKUP(D166,'taxonomy map'!$A$1:$B$171,2,FALSE),"")</f>
        <v/>
      </c>
      <c r="F166" s="49" t="str">
        <f>IFERROR(VLOOKUP(E166,'Condensed Specialty Crosswalk'!$A$2:$C$182,2,FALSE),"")</f>
        <v/>
      </c>
      <c r="G166" s="49" t="str">
        <f>IFERROR(VLOOKUP(E166,'Condensed Specialty Crosswalk'!$A$2:$C$182,3,FALSE),"")</f>
        <v/>
      </c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</row>
    <row r="167" spans="1:30" ht="17">
      <c r="A167" s="49"/>
      <c r="B167" s="49" t="str">
        <f>CONCATENATE(Reports!E166," ",Reports!F166," ",Reports!G166)</f>
        <v xml:space="preserve">  </v>
      </c>
      <c r="C167" s="101"/>
      <c r="D167" s="101"/>
      <c r="E167" s="49" t="str">
        <f>IFERROR(VLOOKUP(D167,'taxonomy map'!$A$1:$B$171,2,FALSE),"")</f>
        <v/>
      </c>
      <c r="F167" s="49" t="str">
        <f>IFERROR(VLOOKUP(E167,'Condensed Specialty Crosswalk'!$A$2:$C$182,2,FALSE),"")</f>
        <v/>
      </c>
      <c r="G167" s="49" t="str">
        <f>IFERROR(VLOOKUP(E167,'Condensed Specialty Crosswalk'!$A$2:$C$182,3,FALSE),"")</f>
        <v/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</row>
    <row r="168" spans="1:30" ht="17">
      <c r="A168" s="49"/>
      <c r="B168" s="49" t="str">
        <f>CONCATENATE(Reports!E167," ",Reports!F167," ",Reports!G167)</f>
        <v xml:space="preserve">  </v>
      </c>
      <c r="C168" s="101"/>
      <c r="D168" s="101"/>
      <c r="E168" s="49" t="str">
        <f>IFERROR(VLOOKUP(D168,'taxonomy map'!$A$1:$B$171,2,FALSE),"")</f>
        <v/>
      </c>
      <c r="F168" s="49" t="str">
        <f>IFERROR(VLOOKUP(E168,'Condensed Specialty Crosswalk'!$A$2:$C$182,2,FALSE),"")</f>
        <v/>
      </c>
      <c r="G168" s="49" t="str">
        <f>IFERROR(VLOOKUP(E168,'Condensed Specialty Crosswalk'!$A$2:$C$182,3,FALSE),"")</f>
        <v/>
      </c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</row>
    <row r="169" spans="1:30" ht="17">
      <c r="A169" s="49"/>
      <c r="B169" s="49" t="str">
        <f>CONCATENATE(Reports!E168," ",Reports!F168," ",Reports!G168)</f>
        <v xml:space="preserve">  </v>
      </c>
      <c r="C169" s="101"/>
      <c r="D169" s="101"/>
      <c r="E169" s="49" t="str">
        <f>IFERROR(VLOOKUP(D169,'taxonomy map'!$A$1:$B$171,2,FALSE),"")</f>
        <v/>
      </c>
      <c r="F169" s="49" t="str">
        <f>IFERROR(VLOOKUP(E169,'Condensed Specialty Crosswalk'!$A$2:$C$182,2,FALSE),"")</f>
        <v/>
      </c>
      <c r="G169" s="49" t="str">
        <f>IFERROR(VLOOKUP(E169,'Condensed Specialty Crosswalk'!$A$2:$C$182,3,FALSE),"")</f>
        <v/>
      </c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</row>
    <row r="170" spans="1:30" ht="17">
      <c r="A170" s="49"/>
      <c r="B170" s="49" t="str">
        <f>CONCATENATE(Reports!E169," ",Reports!F169," ",Reports!G169)</f>
        <v xml:space="preserve">  </v>
      </c>
      <c r="C170" s="101"/>
      <c r="D170" s="101"/>
      <c r="E170" s="49" t="str">
        <f>IFERROR(VLOOKUP(D170,'taxonomy map'!$A$1:$B$171,2,FALSE),"")</f>
        <v/>
      </c>
      <c r="F170" s="49" t="str">
        <f>IFERROR(VLOOKUP(E170,'Condensed Specialty Crosswalk'!$A$2:$C$182,2,FALSE),"")</f>
        <v/>
      </c>
      <c r="G170" s="49" t="str">
        <f>IFERROR(VLOOKUP(E170,'Condensed Specialty Crosswalk'!$A$2:$C$182,3,FALSE),"")</f>
        <v/>
      </c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</row>
    <row r="171" spans="1:30" ht="17">
      <c r="A171" s="49"/>
      <c r="B171" s="49" t="str">
        <f>CONCATENATE(Reports!E170," ",Reports!F170," ",Reports!G170)</f>
        <v xml:space="preserve">  </v>
      </c>
      <c r="C171" s="101"/>
      <c r="D171" s="101"/>
      <c r="E171" s="49" t="str">
        <f>IFERROR(VLOOKUP(D171,'taxonomy map'!$A$1:$B$171,2,FALSE),"")</f>
        <v/>
      </c>
      <c r="F171" s="49" t="str">
        <f>IFERROR(VLOOKUP(E171,'Condensed Specialty Crosswalk'!$A$2:$C$182,2,FALSE),"")</f>
        <v/>
      </c>
      <c r="G171" s="49" t="str">
        <f>IFERROR(VLOOKUP(E171,'Condensed Specialty Crosswalk'!$A$2:$C$182,3,FALSE),"")</f>
        <v/>
      </c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</row>
    <row r="172" spans="1:30" ht="17">
      <c r="A172" s="49"/>
      <c r="B172" s="49" t="str">
        <f>CONCATENATE(Reports!E171," ",Reports!F171," ",Reports!G171)</f>
        <v xml:space="preserve">  </v>
      </c>
      <c r="C172" s="101"/>
      <c r="D172" s="101"/>
      <c r="E172" s="49" t="str">
        <f>IFERROR(VLOOKUP(D172,'taxonomy map'!$A$1:$B$171,2,FALSE),"")</f>
        <v/>
      </c>
      <c r="F172" s="49" t="str">
        <f>IFERROR(VLOOKUP(E172,'Condensed Specialty Crosswalk'!$A$2:$C$182,2,FALSE),"")</f>
        <v/>
      </c>
      <c r="G172" s="49" t="str">
        <f>IFERROR(VLOOKUP(E172,'Condensed Specialty Crosswalk'!$A$2:$C$182,3,FALSE),"")</f>
        <v/>
      </c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</row>
    <row r="173" spans="1:30" ht="17">
      <c r="A173" s="49"/>
      <c r="B173" s="49" t="str">
        <f>CONCATENATE(Reports!E172," ",Reports!F172," ",Reports!G172)</f>
        <v xml:space="preserve">  </v>
      </c>
      <c r="C173" s="101"/>
      <c r="D173" s="101"/>
      <c r="E173" s="49" t="str">
        <f>IFERROR(VLOOKUP(D173,'taxonomy map'!$A$1:$B$171,2,FALSE),"")</f>
        <v/>
      </c>
      <c r="F173" s="49" t="str">
        <f>IFERROR(VLOOKUP(E173,'Condensed Specialty Crosswalk'!$A$2:$C$182,2,FALSE),"")</f>
        <v/>
      </c>
      <c r="G173" s="49" t="str">
        <f>IFERROR(VLOOKUP(E173,'Condensed Specialty Crosswalk'!$A$2:$C$182,3,FALSE),"")</f>
        <v/>
      </c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</row>
    <row r="174" spans="1:30" ht="17">
      <c r="A174" s="49"/>
      <c r="B174" s="49" t="str">
        <f>CONCATENATE(Reports!E173," ",Reports!F173," ",Reports!G173)</f>
        <v xml:space="preserve">  </v>
      </c>
      <c r="C174" s="101"/>
      <c r="D174" s="101"/>
      <c r="E174" s="49" t="str">
        <f>IFERROR(VLOOKUP(D174,'taxonomy map'!$A$1:$B$171,2,FALSE),"")</f>
        <v/>
      </c>
      <c r="F174" s="49" t="str">
        <f>IFERROR(VLOOKUP(E174,'Condensed Specialty Crosswalk'!$A$2:$C$182,2,FALSE),"")</f>
        <v/>
      </c>
      <c r="G174" s="49" t="str">
        <f>IFERROR(VLOOKUP(E174,'Condensed Specialty Crosswalk'!$A$2:$C$182,3,FALSE),"")</f>
        <v/>
      </c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</row>
    <row r="175" spans="1:30" ht="17">
      <c r="A175" s="49"/>
      <c r="B175" s="49" t="str">
        <f>CONCATENATE(Reports!E174," ",Reports!F174," ",Reports!G174)</f>
        <v xml:space="preserve">  </v>
      </c>
      <c r="C175" s="101"/>
      <c r="D175" s="101"/>
      <c r="E175" s="49" t="str">
        <f>IFERROR(VLOOKUP(D175,'taxonomy map'!$A$1:$B$171,2,FALSE),"")</f>
        <v/>
      </c>
      <c r="F175" s="49" t="str">
        <f>IFERROR(VLOOKUP(E175,'Condensed Specialty Crosswalk'!$A$2:$C$182,2,FALSE),"")</f>
        <v/>
      </c>
      <c r="G175" s="49" t="str">
        <f>IFERROR(VLOOKUP(E175,'Condensed Specialty Crosswalk'!$A$2:$C$182,3,FALSE),"")</f>
        <v/>
      </c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</row>
    <row r="176" spans="1:30" ht="17">
      <c r="A176" s="49"/>
      <c r="B176" s="49" t="str">
        <f>CONCATENATE(Reports!E175," ",Reports!F175," ",Reports!G175)</f>
        <v xml:space="preserve">  </v>
      </c>
      <c r="C176" s="101"/>
      <c r="D176" s="101"/>
      <c r="E176" s="49" t="str">
        <f>IFERROR(VLOOKUP(D176,'taxonomy map'!$A$1:$B$171,2,FALSE),"")</f>
        <v/>
      </c>
      <c r="F176" s="49" t="str">
        <f>IFERROR(VLOOKUP(E176,'Condensed Specialty Crosswalk'!$A$2:$C$182,2,FALSE),"")</f>
        <v/>
      </c>
      <c r="G176" s="49" t="str">
        <f>IFERROR(VLOOKUP(E176,'Condensed Specialty Crosswalk'!$A$2:$C$182,3,FALSE),"")</f>
        <v/>
      </c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</row>
    <row r="177" spans="1:30" ht="17">
      <c r="A177" s="49"/>
      <c r="B177" s="49" t="str">
        <f>CONCATENATE(Reports!E176," ",Reports!F176," ",Reports!G176)</f>
        <v xml:space="preserve">  </v>
      </c>
      <c r="C177" s="101"/>
      <c r="D177" s="101"/>
      <c r="E177" s="49" t="str">
        <f>IFERROR(VLOOKUP(D177,'taxonomy map'!$A$1:$B$171,2,FALSE),"")</f>
        <v/>
      </c>
      <c r="F177" s="49" t="str">
        <f>IFERROR(VLOOKUP(E177,'Condensed Specialty Crosswalk'!$A$2:$C$182,2,FALSE),"")</f>
        <v/>
      </c>
      <c r="G177" s="49" t="str">
        <f>IFERROR(VLOOKUP(E177,'Condensed Specialty Crosswalk'!$A$2:$C$182,3,FALSE),"")</f>
        <v/>
      </c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</row>
    <row r="178" spans="1:30" ht="17">
      <c r="A178" s="49"/>
      <c r="B178" s="49" t="str">
        <f>CONCATENATE(Reports!E177," ",Reports!F177," ",Reports!G177)</f>
        <v xml:space="preserve">  </v>
      </c>
      <c r="C178" s="101"/>
      <c r="D178" s="101"/>
      <c r="E178" s="49" t="str">
        <f>IFERROR(VLOOKUP(D178,'taxonomy map'!$A$1:$B$171,2,FALSE),"")</f>
        <v/>
      </c>
      <c r="F178" s="49" t="str">
        <f>IFERROR(VLOOKUP(E178,'Condensed Specialty Crosswalk'!$A$2:$C$182,2,FALSE),"")</f>
        <v/>
      </c>
      <c r="G178" s="49" t="str">
        <f>IFERROR(VLOOKUP(E178,'Condensed Specialty Crosswalk'!$A$2:$C$182,3,FALSE),"")</f>
        <v/>
      </c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</row>
    <row r="179" spans="1:30" ht="17">
      <c r="A179" s="49"/>
      <c r="B179" s="49" t="str">
        <f>CONCATENATE(Reports!E178," ",Reports!F178," ",Reports!G178)</f>
        <v xml:space="preserve">  </v>
      </c>
      <c r="C179" s="101"/>
      <c r="D179" s="101"/>
      <c r="E179" s="49" t="str">
        <f>IFERROR(VLOOKUP(D179,'taxonomy map'!$A$1:$B$171,2,FALSE),"")</f>
        <v/>
      </c>
      <c r="F179" s="49" t="str">
        <f>IFERROR(VLOOKUP(E179,'Condensed Specialty Crosswalk'!$A$2:$C$182,2,FALSE),"")</f>
        <v/>
      </c>
      <c r="G179" s="49" t="str">
        <f>IFERROR(VLOOKUP(E179,'Condensed Specialty Crosswalk'!$A$2:$C$182,3,FALSE),"")</f>
        <v/>
      </c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</row>
    <row r="180" spans="1:30" ht="17">
      <c r="A180" s="49"/>
      <c r="B180" s="49" t="str">
        <f>CONCATENATE(Reports!E179," ",Reports!F179," ",Reports!G179)</f>
        <v xml:space="preserve">  </v>
      </c>
      <c r="C180" s="101"/>
      <c r="D180" s="101"/>
      <c r="E180" s="49" t="str">
        <f>IFERROR(VLOOKUP(D180,'taxonomy map'!$A$1:$B$171,2,FALSE),"")</f>
        <v/>
      </c>
      <c r="F180" s="49" t="str">
        <f>IFERROR(VLOOKUP(E180,'Condensed Specialty Crosswalk'!$A$2:$C$182,2,FALSE),"")</f>
        <v/>
      </c>
      <c r="G180" s="49" t="str">
        <f>IFERROR(VLOOKUP(E180,'Condensed Specialty Crosswalk'!$A$2:$C$182,3,FALSE),"")</f>
        <v/>
      </c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</row>
    <row r="181" spans="1:30" ht="17">
      <c r="A181" s="49"/>
      <c r="B181" s="49" t="str">
        <f>CONCATENATE(Reports!E180," ",Reports!F180," ",Reports!G180)</f>
        <v xml:space="preserve">  </v>
      </c>
      <c r="C181" s="101"/>
      <c r="D181" s="101"/>
      <c r="E181" s="49" t="str">
        <f>IFERROR(VLOOKUP(D181,'taxonomy map'!$A$1:$B$171,2,FALSE),"")</f>
        <v/>
      </c>
      <c r="F181" s="49" t="str">
        <f>IFERROR(VLOOKUP(E181,'Condensed Specialty Crosswalk'!$A$2:$C$182,2,FALSE),"")</f>
        <v/>
      </c>
      <c r="G181" s="49" t="str">
        <f>IFERROR(VLOOKUP(E181,'Condensed Specialty Crosswalk'!$A$2:$C$182,3,FALSE),"")</f>
        <v/>
      </c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</row>
    <row r="182" spans="1:30" ht="17">
      <c r="A182" s="49"/>
      <c r="B182" s="49" t="str">
        <f>CONCATENATE(Reports!E181," ",Reports!F181," ",Reports!G181)</f>
        <v xml:space="preserve">  </v>
      </c>
      <c r="C182" s="101"/>
      <c r="D182" s="101"/>
      <c r="E182" s="49" t="str">
        <f>IFERROR(VLOOKUP(D182,'taxonomy map'!$A$1:$B$171,2,FALSE),"")</f>
        <v/>
      </c>
      <c r="F182" s="49" t="str">
        <f>IFERROR(VLOOKUP(E182,'Condensed Specialty Crosswalk'!$A$2:$C$182,2,FALSE),"")</f>
        <v/>
      </c>
      <c r="G182" s="49" t="str">
        <f>IFERROR(VLOOKUP(E182,'Condensed Specialty Crosswalk'!$A$2:$C$182,3,FALSE),"")</f>
        <v/>
      </c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</row>
    <row r="183" spans="1:30" ht="17">
      <c r="A183" s="49"/>
      <c r="B183" s="49" t="str">
        <f>CONCATENATE(Reports!E182," ",Reports!F182," ",Reports!G182)</f>
        <v xml:space="preserve">  </v>
      </c>
      <c r="C183" s="101"/>
      <c r="D183" s="101"/>
      <c r="E183" s="49" t="str">
        <f>IFERROR(VLOOKUP(D183,'taxonomy map'!$A$1:$B$171,2,FALSE),"")</f>
        <v/>
      </c>
      <c r="F183" s="49" t="str">
        <f>IFERROR(VLOOKUP(E183,'Condensed Specialty Crosswalk'!$A$2:$C$182,2,FALSE),"")</f>
        <v/>
      </c>
      <c r="G183" s="49" t="str">
        <f>IFERROR(VLOOKUP(E183,'Condensed Specialty Crosswalk'!$A$2:$C$182,3,FALSE),"")</f>
        <v/>
      </c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</row>
    <row r="184" spans="1:30" ht="17">
      <c r="A184" s="49"/>
      <c r="B184" s="49" t="str">
        <f>CONCATENATE(Reports!E183," ",Reports!F183," ",Reports!G183)</f>
        <v xml:space="preserve">  </v>
      </c>
      <c r="C184" s="101"/>
      <c r="D184" s="101"/>
      <c r="E184" s="49" t="str">
        <f>IFERROR(VLOOKUP(D184,'taxonomy map'!$A$1:$B$171,2,FALSE),"")</f>
        <v/>
      </c>
      <c r="F184" s="49" t="str">
        <f>IFERROR(VLOOKUP(E184,'Condensed Specialty Crosswalk'!$A$2:$C$182,2,FALSE),"")</f>
        <v/>
      </c>
      <c r="G184" s="49" t="str">
        <f>IFERROR(VLOOKUP(E184,'Condensed Specialty Crosswalk'!$A$2:$C$182,3,FALSE),"")</f>
        <v/>
      </c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</row>
    <row r="185" spans="1:30" ht="17">
      <c r="A185" s="49"/>
      <c r="B185" s="49" t="str">
        <f>CONCATENATE(Reports!E184," ",Reports!F184," ",Reports!G184)</f>
        <v xml:space="preserve">  </v>
      </c>
      <c r="C185" s="101"/>
      <c r="D185" s="101"/>
      <c r="E185" s="49" t="str">
        <f>IFERROR(VLOOKUP(D185,'taxonomy map'!$A$1:$B$171,2,FALSE),"")</f>
        <v/>
      </c>
      <c r="F185" s="49" t="str">
        <f>IFERROR(VLOOKUP(E185,'Condensed Specialty Crosswalk'!$A$2:$C$182,2,FALSE),"")</f>
        <v/>
      </c>
      <c r="G185" s="49" t="str">
        <f>IFERROR(VLOOKUP(E185,'Condensed Specialty Crosswalk'!$A$2:$C$182,3,FALSE),"")</f>
        <v/>
      </c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</row>
    <row r="186" spans="1:30" ht="17">
      <c r="A186" s="49"/>
      <c r="B186" s="49" t="str">
        <f>CONCATENATE(Reports!E185," ",Reports!F185," ",Reports!G185)</f>
        <v xml:space="preserve">  </v>
      </c>
      <c r="C186" s="101"/>
      <c r="D186" s="101"/>
      <c r="E186" s="49" t="str">
        <f>IFERROR(VLOOKUP(D186,'taxonomy map'!$A$1:$B$171,2,FALSE),"")</f>
        <v/>
      </c>
      <c r="F186" s="49" t="str">
        <f>IFERROR(VLOOKUP(E186,'Condensed Specialty Crosswalk'!$A$2:$C$182,2,FALSE),"")</f>
        <v/>
      </c>
      <c r="G186" s="49" t="str">
        <f>IFERROR(VLOOKUP(E186,'Condensed Specialty Crosswalk'!$A$2:$C$182,3,FALSE),"")</f>
        <v/>
      </c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</row>
    <row r="187" spans="1:30" ht="17">
      <c r="A187" s="49"/>
      <c r="B187" s="49" t="str">
        <f>CONCATENATE(Reports!E186," ",Reports!F186," ",Reports!G186)</f>
        <v xml:space="preserve">  </v>
      </c>
      <c r="C187" s="101"/>
      <c r="D187" s="101"/>
      <c r="E187" s="49" t="str">
        <f>IFERROR(VLOOKUP(D187,'taxonomy map'!$A$1:$B$171,2,FALSE),"")</f>
        <v/>
      </c>
      <c r="F187" s="49" t="str">
        <f>IFERROR(VLOOKUP(E187,'Condensed Specialty Crosswalk'!$A$2:$C$182,2,FALSE),"")</f>
        <v/>
      </c>
      <c r="G187" s="49" t="str">
        <f>IFERROR(VLOOKUP(E187,'Condensed Specialty Crosswalk'!$A$2:$C$182,3,FALSE),"")</f>
        <v/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</row>
    <row r="188" spans="1:30" ht="17">
      <c r="A188" s="49"/>
      <c r="B188" s="49" t="str">
        <f>CONCATENATE(Reports!E187," ",Reports!F187," ",Reports!G187)</f>
        <v xml:space="preserve">  </v>
      </c>
      <c r="C188" s="101"/>
      <c r="D188" s="101"/>
      <c r="E188" s="49" t="str">
        <f>IFERROR(VLOOKUP(D188,'taxonomy map'!$A$1:$B$171,2,FALSE),"")</f>
        <v/>
      </c>
      <c r="F188" s="49" t="str">
        <f>IFERROR(VLOOKUP(E188,'Condensed Specialty Crosswalk'!$A$2:$C$182,2,FALSE),"")</f>
        <v/>
      </c>
      <c r="G188" s="49" t="str">
        <f>IFERROR(VLOOKUP(E188,'Condensed Specialty Crosswalk'!$A$2:$C$182,3,FALSE),"")</f>
        <v/>
      </c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</row>
    <row r="189" spans="1:30" ht="17">
      <c r="A189" s="49"/>
      <c r="B189" s="49" t="str">
        <f>CONCATENATE(Reports!E188," ",Reports!F188," ",Reports!G188)</f>
        <v xml:space="preserve">  </v>
      </c>
      <c r="C189" s="101"/>
      <c r="D189" s="101"/>
      <c r="E189" s="49" t="str">
        <f>IFERROR(VLOOKUP(D189,'taxonomy map'!$A$1:$B$171,2,FALSE),"")</f>
        <v/>
      </c>
      <c r="F189" s="49" t="str">
        <f>IFERROR(VLOOKUP(E189,'Condensed Specialty Crosswalk'!$A$2:$C$182,2,FALSE),"")</f>
        <v/>
      </c>
      <c r="G189" s="49" t="str">
        <f>IFERROR(VLOOKUP(E189,'Condensed Specialty Crosswalk'!$A$2:$C$182,3,FALSE),"")</f>
        <v/>
      </c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</row>
    <row r="190" spans="1:30" ht="17">
      <c r="A190" s="49"/>
      <c r="B190" s="49" t="str">
        <f>CONCATENATE(Reports!E189," ",Reports!F189," ",Reports!G189)</f>
        <v xml:space="preserve">  </v>
      </c>
      <c r="C190" s="101"/>
      <c r="D190" s="101"/>
      <c r="E190" s="49" t="str">
        <f>IFERROR(VLOOKUP(D190,'taxonomy map'!$A$1:$B$171,2,FALSE),"")</f>
        <v/>
      </c>
      <c r="F190" s="49" t="str">
        <f>IFERROR(VLOOKUP(E190,'Condensed Specialty Crosswalk'!$A$2:$C$182,2,FALSE),"")</f>
        <v/>
      </c>
      <c r="G190" s="49" t="str">
        <f>IFERROR(VLOOKUP(E190,'Condensed Specialty Crosswalk'!$A$2:$C$182,3,FALSE),"")</f>
        <v/>
      </c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</row>
    <row r="191" spans="1:30" ht="17">
      <c r="A191" s="49"/>
      <c r="B191" s="49" t="str">
        <f>CONCATENATE(Reports!E190," ",Reports!F190," ",Reports!G190)</f>
        <v xml:space="preserve">  </v>
      </c>
      <c r="C191" s="101"/>
      <c r="D191" s="101"/>
      <c r="E191" s="49" t="str">
        <f>IFERROR(VLOOKUP(D191,'taxonomy map'!$A$1:$B$171,2,FALSE),"")</f>
        <v/>
      </c>
      <c r="F191" s="49" t="str">
        <f>IFERROR(VLOOKUP(E191,'Condensed Specialty Crosswalk'!$A$2:$C$182,2,FALSE),"")</f>
        <v/>
      </c>
      <c r="G191" s="49" t="str">
        <f>IFERROR(VLOOKUP(E191,'Condensed Specialty Crosswalk'!$A$2:$C$182,3,FALSE),"")</f>
        <v/>
      </c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52"/>
    </row>
    <row r="192" spans="1:30" ht="17">
      <c r="A192" s="49"/>
      <c r="B192" s="49" t="str">
        <f>CONCATENATE(Reports!E191," ",Reports!F191," ",Reports!G191)</f>
        <v xml:space="preserve">  </v>
      </c>
      <c r="C192" s="101"/>
      <c r="D192" s="101"/>
      <c r="E192" s="49" t="str">
        <f>IFERROR(VLOOKUP(D192,'taxonomy map'!$A$1:$B$171,2,FALSE),"")</f>
        <v/>
      </c>
      <c r="F192" s="49" t="str">
        <f>IFERROR(VLOOKUP(E192,'Condensed Specialty Crosswalk'!$A$2:$C$182,2,FALSE),"")</f>
        <v/>
      </c>
      <c r="G192" s="49" t="str">
        <f>IFERROR(VLOOKUP(E192,'Condensed Specialty Crosswalk'!$A$2:$C$182,3,FALSE),"")</f>
        <v/>
      </c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52"/>
    </row>
    <row r="193" spans="1:30" ht="17">
      <c r="A193" s="49"/>
      <c r="B193" s="49" t="str">
        <f>CONCATENATE(Reports!E192," ",Reports!F192," ",Reports!G192)</f>
        <v xml:space="preserve">  </v>
      </c>
      <c r="C193" s="101"/>
      <c r="D193" s="101"/>
      <c r="E193" s="49" t="str">
        <f>IFERROR(VLOOKUP(D193,'taxonomy map'!$A$1:$B$171,2,FALSE),"")</f>
        <v/>
      </c>
      <c r="F193" s="49" t="str">
        <f>IFERROR(VLOOKUP(E193,'Condensed Specialty Crosswalk'!$A$2:$C$182,2,FALSE),"")</f>
        <v/>
      </c>
      <c r="G193" s="49" t="str">
        <f>IFERROR(VLOOKUP(E193,'Condensed Specialty Crosswalk'!$A$2:$C$182,3,FALSE),"")</f>
        <v/>
      </c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52"/>
    </row>
    <row r="194" spans="1:30" ht="17">
      <c r="A194" s="49"/>
      <c r="B194" s="49" t="str">
        <f>CONCATENATE(Reports!E193," ",Reports!F193," ",Reports!G193)</f>
        <v xml:space="preserve">  </v>
      </c>
      <c r="C194" s="101"/>
      <c r="D194" s="101"/>
      <c r="E194" s="49" t="str">
        <f>IFERROR(VLOOKUP(D194,'taxonomy map'!$A$1:$B$171,2,FALSE),"")</f>
        <v/>
      </c>
      <c r="F194" s="49" t="str">
        <f>IFERROR(VLOOKUP(E194,'Condensed Specialty Crosswalk'!$A$2:$C$182,2,FALSE),"")</f>
        <v/>
      </c>
      <c r="G194" s="49" t="str">
        <f>IFERROR(VLOOKUP(E194,'Condensed Specialty Crosswalk'!$A$2:$C$182,3,FALSE),"")</f>
        <v/>
      </c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52"/>
    </row>
    <row r="195" spans="1:30" ht="17">
      <c r="A195" s="49"/>
      <c r="B195" s="49" t="str">
        <f>CONCATENATE(Reports!E194," ",Reports!F194," ",Reports!G194)</f>
        <v xml:space="preserve">  </v>
      </c>
      <c r="C195" s="101"/>
      <c r="D195" s="101"/>
      <c r="E195" s="49" t="str">
        <f>IFERROR(VLOOKUP(D195,'taxonomy map'!$A$1:$B$171,2,FALSE),"")</f>
        <v/>
      </c>
      <c r="F195" s="49" t="str">
        <f>IFERROR(VLOOKUP(E195,'Condensed Specialty Crosswalk'!$A$2:$C$182,2,FALSE),"")</f>
        <v/>
      </c>
      <c r="G195" s="49" t="str">
        <f>IFERROR(VLOOKUP(E195,'Condensed Specialty Crosswalk'!$A$2:$C$182,3,FALSE),"")</f>
        <v/>
      </c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52"/>
    </row>
    <row r="196" spans="1:30" ht="17">
      <c r="A196" s="49"/>
      <c r="B196" s="49" t="str">
        <f>CONCATENATE(Reports!E195," ",Reports!F195," ",Reports!G195)</f>
        <v xml:space="preserve">  </v>
      </c>
      <c r="C196" s="101"/>
      <c r="D196" s="101"/>
      <c r="E196" s="49" t="str">
        <f>IFERROR(VLOOKUP(D196,'taxonomy map'!$A$1:$B$171,2,FALSE),"")</f>
        <v/>
      </c>
      <c r="F196" s="49" t="str">
        <f>IFERROR(VLOOKUP(E196,'Condensed Specialty Crosswalk'!$A$2:$C$182,2,FALSE),"")</f>
        <v/>
      </c>
      <c r="G196" s="49" t="str">
        <f>IFERROR(VLOOKUP(E196,'Condensed Specialty Crosswalk'!$A$2:$C$182,3,FALSE),"")</f>
        <v/>
      </c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52"/>
    </row>
    <row r="197" spans="1:30" ht="17">
      <c r="A197" s="49"/>
      <c r="B197" s="49" t="str">
        <f>CONCATENATE(Reports!E196," ",Reports!F196," ",Reports!G196)</f>
        <v xml:space="preserve">  </v>
      </c>
      <c r="C197" s="101"/>
      <c r="D197" s="101"/>
      <c r="E197" s="49" t="str">
        <f>IFERROR(VLOOKUP(D197,'taxonomy map'!$A$1:$B$171,2,FALSE),"")</f>
        <v/>
      </c>
      <c r="F197" s="49" t="str">
        <f>IFERROR(VLOOKUP(E197,'Condensed Specialty Crosswalk'!$A$2:$C$182,2,FALSE),"")</f>
        <v/>
      </c>
      <c r="G197" s="49" t="str">
        <f>IFERROR(VLOOKUP(E197,'Condensed Specialty Crosswalk'!$A$2:$C$182,3,FALSE),"")</f>
        <v/>
      </c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52"/>
    </row>
    <row r="198" spans="1:30" ht="17">
      <c r="A198" s="49"/>
      <c r="B198" s="49" t="str">
        <f>CONCATENATE(Reports!E197," ",Reports!F197," ",Reports!G197)</f>
        <v xml:space="preserve">  </v>
      </c>
      <c r="C198" s="101"/>
      <c r="D198" s="101"/>
      <c r="E198" s="49" t="str">
        <f>IFERROR(VLOOKUP(D198,'taxonomy map'!$A$1:$B$171,2,FALSE),"")</f>
        <v/>
      </c>
      <c r="F198" s="49" t="str">
        <f>IFERROR(VLOOKUP(E198,'Condensed Specialty Crosswalk'!$A$2:$C$182,2,FALSE),"")</f>
        <v/>
      </c>
      <c r="G198" s="49" t="str">
        <f>IFERROR(VLOOKUP(E198,'Condensed Specialty Crosswalk'!$A$2:$C$182,3,FALSE),"")</f>
        <v/>
      </c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52"/>
    </row>
    <row r="199" spans="1:30" ht="17">
      <c r="A199" s="49"/>
      <c r="B199" s="49" t="str">
        <f>CONCATENATE(Reports!E198," ",Reports!F198," ",Reports!G198)</f>
        <v xml:space="preserve">  </v>
      </c>
      <c r="C199" s="101"/>
      <c r="D199" s="101"/>
      <c r="E199" s="49" t="str">
        <f>IFERROR(VLOOKUP(D199,'taxonomy map'!$A$1:$B$171,2,FALSE),"")</f>
        <v/>
      </c>
      <c r="F199" s="49" t="str">
        <f>IFERROR(VLOOKUP(E199,'Condensed Specialty Crosswalk'!$A$2:$C$182,2,FALSE),"")</f>
        <v/>
      </c>
      <c r="G199" s="49" t="str">
        <f>IFERROR(VLOOKUP(E199,'Condensed Specialty Crosswalk'!$A$2:$C$182,3,FALSE),"")</f>
        <v/>
      </c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52"/>
    </row>
    <row r="200" spans="1:30" ht="17">
      <c r="A200" s="49"/>
      <c r="B200" s="49" t="str">
        <f>CONCATENATE(Reports!E199," ",Reports!F199," ",Reports!G199)</f>
        <v xml:space="preserve">  </v>
      </c>
      <c r="C200" s="101"/>
      <c r="D200" s="101"/>
      <c r="E200" s="49" t="str">
        <f>IFERROR(VLOOKUP(D200,'taxonomy map'!$A$1:$B$171,2,FALSE),"")</f>
        <v/>
      </c>
      <c r="F200" s="49" t="str">
        <f>IFERROR(VLOOKUP(E200,'Condensed Specialty Crosswalk'!$A$2:$C$182,2,FALSE),"")</f>
        <v/>
      </c>
      <c r="G200" s="49" t="str">
        <f>IFERROR(VLOOKUP(E200,'Condensed Specialty Crosswalk'!$A$2:$C$182,3,FALSE),"")</f>
        <v/>
      </c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52"/>
    </row>
    <row r="201" spans="1:30" ht="17">
      <c r="A201" s="49"/>
      <c r="B201" s="49" t="str">
        <f>CONCATENATE(Reports!E200," ",Reports!F200," ",Reports!G200)</f>
        <v xml:space="preserve">  </v>
      </c>
      <c r="C201" s="101"/>
      <c r="D201" s="101"/>
      <c r="E201" s="49" t="str">
        <f>IFERROR(VLOOKUP(D201,'taxonomy map'!$A$1:$B$171,2,FALSE),"")</f>
        <v/>
      </c>
      <c r="F201" s="49" t="str">
        <f>IFERROR(VLOOKUP(E201,'Condensed Specialty Crosswalk'!$A$2:$C$182,2,FALSE),"")</f>
        <v/>
      </c>
      <c r="G201" s="49" t="str">
        <f>IFERROR(VLOOKUP(E201,'Condensed Specialty Crosswalk'!$A$2:$C$182,3,FALSE),"")</f>
        <v/>
      </c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52"/>
    </row>
    <row r="202" spans="1:30" ht="17">
      <c r="A202" s="49"/>
      <c r="B202" s="49" t="str">
        <f>CONCATENATE(Reports!E201," ",Reports!F201," ",Reports!G201)</f>
        <v xml:space="preserve">  </v>
      </c>
      <c r="C202" s="101"/>
      <c r="D202" s="101"/>
      <c r="E202" s="49" t="str">
        <f>IFERROR(VLOOKUP(D202,'taxonomy map'!$A$1:$B$171,2,FALSE),"")</f>
        <v/>
      </c>
      <c r="F202" s="49" t="str">
        <f>IFERROR(VLOOKUP(E202,'Condensed Specialty Crosswalk'!$A$2:$C$182,2,FALSE),"")</f>
        <v/>
      </c>
      <c r="G202" s="49" t="str">
        <f>IFERROR(VLOOKUP(E202,'Condensed Specialty Crosswalk'!$A$2:$C$182,3,FALSE),"")</f>
        <v/>
      </c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</row>
    <row r="203" spans="1:30" ht="17">
      <c r="A203" s="49"/>
      <c r="B203" s="49" t="str">
        <f>CONCATENATE(Reports!E202," ",Reports!F202," ",Reports!G202)</f>
        <v xml:space="preserve">  </v>
      </c>
      <c r="C203" s="101"/>
      <c r="D203" s="101"/>
      <c r="E203" s="49" t="str">
        <f>IFERROR(VLOOKUP(D203,'taxonomy map'!$A$1:$B$171,2,FALSE),"")</f>
        <v/>
      </c>
      <c r="F203" s="49" t="str">
        <f>IFERROR(VLOOKUP(E203,'Condensed Specialty Crosswalk'!$A$2:$C$182,2,FALSE),"")</f>
        <v/>
      </c>
      <c r="G203" s="49" t="str">
        <f>IFERROR(VLOOKUP(E203,'Condensed Specialty Crosswalk'!$A$2:$C$182,3,FALSE),"")</f>
        <v/>
      </c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</row>
    <row r="204" spans="1:30" ht="17">
      <c r="A204" s="49"/>
      <c r="B204" s="49" t="str">
        <f>CONCATENATE(Reports!E203," ",Reports!F203," ",Reports!G203)</f>
        <v xml:space="preserve">  </v>
      </c>
      <c r="C204" s="101"/>
      <c r="D204" s="101"/>
      <c r="E204" s="49" t="str">
        <f>IFERROR(VLOOKUP(D204,'taxonomy map'!$A$1:$B$171,2,FALSE),"")</f>
        <v/>
      </c>
      <c r="F204" s="49" t="str">
        <f>IFERROR(VLOOKUP(E204,'Condensed Specialty Crosswalk'!$A$2:$C$182,2,FALSE),"")</f>
        <v/>
      </c>
      <c r="G204" s="49" t="str">
        <f>IFERROR(VLOOKUP(E204,'Condensed Specialty Crosswalk'!$A$2:$C$182,3,FALSE),"")</f>
        <v/>
      </c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</row>
    <row r="205" spans="1:30" ht="17">
      <c r="A205" s="49"/>
      <c r="B205" s="49" t="str">
        <f>CONCATENATE(Reports!E204," ",Reports!F204," ",Reports!G204)</f>
        <v xml:space="preserve">  </v>
      </c>
      <c r="C205" s="101"/>
      <c r="D205" s="101"/>
      <c r="E205" s="49" t="str">
        <f>IFERROR(VLOOKUP(D205,'taxonomy map'!$A$1:$B$171,2,FALSE),"")</f>
        <v/>
      </c>
      <c r="F205" s="49" t="str">
        <f>IFERROR(VLOOKUP(E205,'Condensed Specialty Crosswalk'!$A$2:$C$182,2,FALSE),"")</f>
        <v/>
      </c>
      <c r="G205" s="49" t="str">
        <f>IFERROR(VLOOKUP(E205,'Condensed Specialty Crosswalk'!$A$2:$C$182,3,FALSE),"")</f>
        <v/>
      </c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</row>
    <row r="206" spans="1:30" ht="17">
      <c r="A206" s="49"/>
      <c r="B206" s="49" t="str">
        <f>CONCATENATE(Reports!E205," ",Reports!F205," ",Reports!G205)</f>
        <v xml:space="preserve">  </v>
      </c>
      <c r="C206" s="101"/>
      <c r="D206" s="101"/>
      <c r="E206" s="49" t="str">
        <f>IFERROR(VLOOKUP(D206,'taxonomy map'!$A$1:$B$171,2,FALSE),"")</f>
        <v/>
      </c>
      <c r="F206" s="49" t="str">
        <f>IFERROR(VLOOKUP(E206,'Condensed Specialty Crosswalk'!$A$2:$C$182,2,FALSE),"")</f>
        <v/>
      </c>
      <c r="G206" s="49" t="str">
        <f>IFERROR(VLOOKUP(E206,'Condensed Specialty Crosswalk'!$A$2:$C$182,3,FALSE),"")</f>
        <v/>
      </c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</row>
    <row r="207" spans="1:30" ht="17">
      <c r="A207" s="49"/>
      <c r="B207" s="49" t="str">
        <f>CONCATENATE(Reports!E206," ",Reports!F206," ",Reports!G206)</f>
        <v xml:space="preserve">  </v>
      </c>
      <c r="C207" s="101"/>
      <c r="D207" s="101"/>
      <c r="E207" s="49" t="str">
        <f>IFERROR(VLOOKUP(D207,'taxonomy map'!$A$1:$B$171,2,FALSE),"")</f>
        <v/>
      </c>
      <c r="F207" s="49" t="str">
        <f>IFERROR(VLOOKUP(E207,'Condensed Specialty Crosswalk'!$A$2:$C$182,2,FALSE),"")</f>
        <v/>
      </c>
      <c r="G207" s="49" t="str">
        <f>IFERROR(VLOOKUP(E207,'Condensed Specialty Crosswalk'!$A$2:$C$182,3,FALSE),"")</f>
        <v/>
      </c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</row>
    <row r="208" spans="1:30" ht="17">
      <c r="A208" s="49"/>
      <c r="B208" s="49" t="str">
        <f>CONCATENATE(Reports!E207," ",Reports!F207," ",Reports!G207)</f>
        <v xml:space="preserve">  </v>
      </c>
      <c r="C208" s="101"/>
      <c r="D208" s="101"/>
      <c r="E208" s="49" t="str">
        <f>IFERROR(VLOOKUP(D208,'taxonomy map'!$A$1:$B$171,2,FALSE),"")</f>
        <v/>
      </c>
      <c r="F208" s="49" t="str">
        <f>IFERROR(VLOOKUP(E208,'Condensed Specialty Crosswalk'!$A$2:$C$182,2,FALSE),"")</f>
        <v/>
      </c>
      <c r="G208" s="49" t="str">
        <f>IFERROR(VLOOKUP(E208,'Condensed Specialty Crosswalk'!$A$2:$C$182,3,FALSE),"")</f>
        <v/>
      </c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</row>
    <row r="209" spans="1:30" ht="17">
      <c r="A209" s="49"/>
      <c r="B209" s="49" t="str">
        <f>CONCATENATE(Reports!E208," ",Reports!F208," ",Reports!G208)</f>
        <v xml:space="preserve">  </v>
      </c>
      <c r="C209" s="101"/>
      <c r="D209" s="101"/>
      <c r="E209" s="49" t="str">
        <f>IFERROR(VLOOKUP(D209,'taxonomy map'!$A$1:$B$171,2,FALSE),"")</f>
        <v/>
      </c>
      <c r="F209" s="49" t="str">
        <f>IFERROR(VLOOKUP(E209,'Condensed Specialty Crosswalk'!$A$2:$C$182,2,FALSE),"")</f>
        <v/>
      </c>
      <c r="G209" s="49" t="str">
        <f>IFERROR(VLOOKUP(E209,'Condensed Specialty Crosswalk'!$A$2:$C$182,3,FALSE),"")</f>
        <v/>
      </c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</row>
    <row r="210" spans="1:30" ht="17">
      <c r="A210" s="49"/>
      <c r="B210" s="49" t="str">
        <f>CONCATENATE(Reports!E209," ",Reports!F209," ",Reports!G209)</f>
        <v xml:space="preserve">  </v>
      </c>
      <c r="C210" s="101"/>
      <c r="D210" s="101"/>
      <c r="E210" s="49" t="str">
        <f>IFERROR(VLOOKUP(D210,'taxonomy map'!$A$1:$B$171,2,FALSE),"")</f>
        <v/>
      </c>
      <c r="F210" s="49" t="str">
        <f>IFERROR(VLOOKUP(E210,'Condensed Specialty Crosswalk'!$A$2:$C$182,2,FALSE),"")</f>
        <v/>
      </c>
      <c r="G210" s="49" t="str">
        <f>IFERROR(VLOOKUP(E210,'Condensed Specialty Crosswalk'!$A$2:$C$182,3,FALSE),"")</f>
        <v/>
      </c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</row>
    <row r="211" spans="1:30" ht="17">
      <c r="A211" s="49"/>
      <c r="B211" s="49" t="str">
        <f>CONCATENATE(Reports!E210," ",Reports!F210," ",Reports!G210)</f>
        <v xml:space="preserve">  </v>
      </c>
      <c r="C211" s="101"/>
      <c r="D211" s="101"/>
      <c r="E211" s="49" t="str">
        <f>IFERROR(VLOOKUP(D211,'taxonomy map'!$A$1:$B$171,2,FALSE),"")</f>
        <v/>
      </c>
      <c r="F211" s="49" t="str">
        <f>IFERROR(VLOOKUP(E211,'Condensed Specialty Crosswalk'!$A$2:$C$182,2,FALSE),"")</f>
        <v/>
      </c>
      <c r="G211" s="49" t="str">
        <f>IFERROR(VLOOKUP(E211,'Condensed Specialty Crosswalk'!$A$2:$C$182,3,FALSE),"")</f>
        <v/>
      </c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</row>
    <row r="212" spans="1:30" ht="17">
      <c r="A212" s="49"/>
      <c r="B212" s="49" t="str">
        <f>CONCATENATE(Reports!E211," ",Reports!F211," ",Reports!G211)</f>
        <v xml:space="preserve">  </v>
      </c>
      <c r="C212" s="101"/>
      <c r="D212" s="101"/>
      <c r="E212" s="49" t="str">
        <f>IFERROR(VLOOKUP(D212,'taxonomy map'!$A$1:$B$171,2,FALSE),"")</f>
        <v/>
      </c>
      <c r="F212" s="49" t="str">
        <f>IFERROR(VLOOKUP(E212,'Condensed Specialty Crosswalk'!$A$2:$C$182,2,FALSE),"")</f>
        <v/>
      </c>
      <c r="G212" s="49" t="str">
        <f>IFERROR(VLOOKUP(E212,'Condensed Specialty Crosswalk'!$A$2:$C$182,3,FALSE),"")</f>
        <v/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</row>
    <row r="213" spans="1:30" ht="17">
      <c r="A213" s="49"/>
      <c r="B213" s="49" t="str">
        <f>CONCATENATE(Reports!E212," ",Reports!F212," ",Reports!G212)</f>
        <v xml:space="preserve">  </v>
      </c>
      <c r="C213" s="101"/>
      <c r="D213" s="101"/>
      <c r="E213" s="49" t="str">
        <f>IFERROR(VLOOKUP(D213,'taxonomy map'!$A$1:$B$171,2,FALSE),"")</f>
        <v/>
      </c>
      <c r="F213" s="49" t="str">
        <f>IFERROR(VLOOKUP(E213,'Condensed Specialty Crosswalk'!$A$2:$C$182,2,FALSE),"")</f>
        <v/>
      </c>
      <c r="G213" s="49" t="str">
        <f>IFERROR(VLOOKUP(E213,'Condensed Specialty Crosswalk'!$A$2:$C$182,3,FALSE),"")</f>
        <v/>
      </c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</row>
    <row r="214" spans="1:30" ht="17">
      <c r="A214" s="49"/>
      <c r="B214" s="49" t="str">
        <f>CONCATENATE(Reports!E213," ",Reports!F213," ",Reports!G213)</f>
        <v xml:space="preserve">  </v>
      </c>
      <c r="C214" s="101"/>
      <c r="D214" s="101"/>
      <c r="E214" s="49" t="str">
        <f>IFERROR(VLOOKUP(D214,'taxonomy map'!$A$1:$B$171,2,FALSE),"")</f>
        <v/>
      </c>
      <c r="F214" s="49" t="str">
        <f>IFERROR(VLOOKUP(E214,'Condensed Specialty Crosswalk'!$A$2:$C$182,2,FALSE),"")</f>
        <v/>
      </c>
      <c r="G214" s="49" t="str">
        <f>IFERROR(VLOOKUP(E214,'Condensed Specialty Crosswalk'!$A$2:$C$182,3,FALSE),"")</f>
        <v/>
      </c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</row>
    <row r="215" spans="1:30" ht="17">
      <c r="A215" s="49"/>
      <c r="B215" s="49" t="str">
        <f>CONCATENATE(Reports!E214," ",Reports!F214," ",Reports!G214)</f>
        <v xml:space="preserve">  </v>
      </c>
      <c r="C215" s="101"/>
      <c r="D215" s="101"/>
      <c r="E215" s="49" t="str">
        <f>IFERROR(VLOOKUP(D215,'taxonomy map'!$A$1:$B$171,2,FALSE),"")</f>
        <v/>
      </c>
      <c r="F215" s="49" t="str">
        <f>IFERROR(VLOOKUP(E215,'Condensed Specialty Crosswalk'!$A$2:$C$182,2,FALSE),"")</f>
        <v/>
      </c>
      <c r="G215" s="49" t="str">
        <f>IFERROR(VLOOKUP(E215,'Condensed Specialty Crosswalk'!$A$2:$C$182,3,FALSE),"")</f>
        <v/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</row>
    <row r="216" spans="1:30" ht="17">
      <c r="A216" s="49"/>
      <c r="B216" s="49" t="str">
        <f>CONCATENATE(Reports!E215," ",Reports!F215," ",Reports!G215)</f>
        <v xml:space="preserve">  </v>
      </c>
      <c r="C216" s="101"/>
      <c r="D216" s="101"/>
      <c r="E216" s="49" t="str">
        <f>IFERROR(VLOOKUP(D216,'taxonomy map'!$A$1:$B$171,2,FALSE),"")</f>
        <v/>
      </c>
      <c r="F216" s="49" t="str">
        <f>IFERROR(VLOOKUP(E216,'Condensed Specialty Crosswalk'!$A$2:$C$182,2,FALSE),"")</f>
        <v/>
      </c>
      <c r="G216" s="49" t="str">
        <f>IFERROR(VLOOKUP(E216,'Condensed Specialty Crosswalk'!$A$2:$C$182,3,FALSE),"")</f>
        <v/>
      </c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</row>
    <row r="217" spans="1:30" ht="17">
      <c r="A217" s="49"/>
      <c r="B217" s="49" t="str">
        <f>CONCATENATE(Reports!E216," ",Reports!F216," ",Reports!G216)</f>
        <v xml:space="preserve">  </v>
      </c>
      <c r="C217" s="101"/>
      <c r="D217" s="101"/>
      <c r="E217" s="49" t="str">
        <f>IFERROR(VLOOKUP(D217,'taxonomy map'!$A$1:$B$171,2,FALSE),"")</f>
        <v/>
      </c>
      <c r="F217" s="49" t="str">
        <f>IFERROR(VLOOKUP(E217,'Condensed Specialty Crosswalk'!$A$2:$C$182,2,FALSE),"")</f>
        <v/>
      </c>
      <c r="G217" s="49" t="str">
        <f>IFERROR(VLOOKUP(E217,'Condensed Specialty Crosswalk'!$A$2:$C$182,3,FALSE),"")</f>
        <v/>
      </c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</row>
    <row r="218" spans="1:30" ht="17">
      <c r="A218" s="49"/>
      <c r="B218" s="49" t="str">
        <f>CONCATENATE(Reports!E217," ",Reports!F217," ",Reports!G217)</f>
        <v xml:space="preserve">  </v>
      </c>
      <c r="C218" s="101"/>
      <c r="D218" s="101"/>
      <c r="E218" s="49" t="str">
        <f>IFERROR(VLOOKUP(D218,'taxonomy map'!$A$1:$B$171,2,FALSE),"")</f>
        <v/>
      </c>
      <c r="F218" s="49" t="str">
        <f>IFERROR(VLOOKUP(E218,'Condensed Specialty Crosswalk'!$A$2:$C$182,2,FALSE),"")</f>
        <v/>
      </c>
      <c r="G218" s="49" t="str">
        <f>IFERROR(VLOOKUP(E218,'Condensed Specialty Crosswalk'!$A$2:$C$182,3,FALSE),"")</f>
        <v/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</row>
    <row r="219" spans="1:30" ht="17">
      <c r="A219" s="49"/>
      <c r="B219" s="49" t="str">
        <f>CONCATENATE(Reports!E218," ",Reports!F218," ",Reports!G218)</f>
        <v xml:space="preserve">  </v>
      </c>
      <c r="C219" s="101"/>
      <c r="D219" s="101"/>
      <c r="E219" s="49" t="str">
        <f>IFERROR(VLOOKUP(D219,'taxonomy map'!$A$1:$B$171,2,FALSE),"")</f>
        <v/>
      </c>
      <c r="F219" s="49" t="str">
        <f>IFERROR(VLOOKUP(E219,'Condensed Specialty Crosswalk'!$A$2:$C$182,2,FALSE),"")</f>
        <v/>
      </c>
      <c r="G219" s="49" t="str">
        <f>IFERROR(VLOOKUP(E219,'Condensed Specialty Crosswalk'!$A$2:$C$182,3,FALSE),"")</f>
        <v/>
      </c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</row>
    <row r="220" spans="1:30" ht="17">
      <c r="A220" s="49"/>
      <c r="B220" s="49" t="str">
        <f>CONCATENATE(Reports!E219," ",Reports!F219," ",Reports!G219)</f>
        <v xml:space="preserve">  </v>
      </c>
      <c r="C220" s="101"/>
      <c r="D220" s="101"/>
      <c r="E220" s="49" t="str">
        <f>IFERROR(VLOOKUP(D220,'taxonomy map'!$A$1:$B$171,2,FALSE),"")</f>
        <v/>
      </c>
      <c r="F220" s="49" t="str">
        <f>IFERROR(VLOOKUP(E220,'Condensed Specialty Crosswalk'!$A$2:$C$182,2,FALSE),"")</f>
        <v/>
      </c>
      <c r="G220" s="49" t="str">
        <f>IFERROR(VLOOKUP(E220,'Condensed Specialty Crosswalk'!$A$2:$C$182,3,FALSE),"")</f>
        <v/>
      </c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</row>
    <row r="221" spans="1:30" ht="17">
      <c r="A221" s="49"/>
      <c r="B221" s="49" t="str">
        <f>CONCATENATE(Reports!E220," ",Reports!F220," ",Reports!G220)</f>
        <v xml:space="preserve">  </v>
      </c>
      <c r="C221" s="101"/>
      <c r="D221" s="101"/>
      <c r="E221" s="49" t="str">
        <f>IFERROR(VLOOKUP(D221,'taxonomy map'!$A$1:$B$171,2,FALSE),"")</f>
        <v/>
      </c>
      <c r="F221" s="49" t="str">
        <f>IFERROR(VLOOKUP(E221,'Condensed Specialty Crosswalk'!$A$2:$C$182,2,FALSE),"")</f>
        <v/>
      </c>
      <c r="G221" s="49" t="str">
        <f>IFERROR(VLOOKUP(E221,'Condensed Specialty Crosswalk'!$A$2:$C$182,3,FALSE),"")</f>
        <v/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</row>
    <row r="222" spans="1:30" ht="17">
      <c r="A222" s="49"/>
      <c r="B222" s="49" t="str">
        <f>CONCATENATE(Reports!E221," ",Reports!F221," ",Reports!G221)</f>
        <v xml:space="preserve">  </v>
      </c>
      <c r="C222" s="101"/>
      <c r="D222" s="101"/>
      <c r="E222" s="49" t="str">
        <f>IFERROR(VLOOKUP(D222,'taxonomy map'!$A$1:$B$171,2,FALSE),"")</f>
        <v/>
      </c>
      <c r="F222" s="49" t="str">
        <f>IFERROR(VLOOKUP(E222,'Condensed Specialty Crosswalk'!$A$2:$C$182,2,FALSE),"")</f>
        <v/>
      </c>
      <c r="G222" s="49" t="str">
        <f>IFERROR(VLOOKUP(E222,'Condensed Specialty Crosswalk'!$A$2:$C$182,3,FALSE),"")</f>
        <v/>
      </c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</row>
    <row r="223" spans="1:30" ht="17">
      <c r="A223" s="49"/>
      <c r="B223" s="49" t="str">
        <f>CONCATENATE(Reports!E222," ",Reports!F222," ",Reports!G222)</f>
        <v xml:space="preserve">  </v>
      </c>
      <c r="C223" s="101"/>
      <c r="D223" s="101"/>
      <c r="E223" s="49" t="str">
        <f>IFERROR(VLOOKUP(D223,'taxonomy map'!$A$1:$B$171,2,FALSE),"")</f>
        <v/>
      </c>
      <c r="F223" s="49" t="str">
        <f>IFERROR(VLOOKUP(E223,'Condensed Specialty Crosswalk'!$A$2:$C$182,2,FALSE),"")</f>
        <v/>
      </c>
      <c r="G223" s="49" t="str">
        <f>IFERROR(VLOOKUP(E223,'Condensed Specialty Crosswalk'!$A$2:$C$182,3,FALSE),"")</f>
        <v/>
      </c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</row>
    <row r="224" spans="1:30" ht="17">
      <c r="A224" s="49"/>
      <c r="B224" s="49" t="str">
        <f>CONCATENATE(Reports!E223," ",Reports!F223," ",Reports!G223)</f>
        <v xml:space="preserve">  </v>
      </c>
      <c r="C224" s="101"/>
      <c r="D224" s="101"/>
      <c r="E224" s="49" t="str">
        <f>IFERROR(VLOOKUP(D224,'taxonomy map'!$A$1:$B$171,2,FALSE),"")</f>
        <v/>
      </c>
      <c r="F224" s="49" t="str">
        <f>IFERROR(VLOOKUP(E224,'Condensed Specialty Crosswalk'!$A$2:$C$182,2,FALSE),"")</f>
        <v/>
      </c>
      <c r="G224" s="49" t="str">
        <f>IFERROR(VLOOKUP(E224,'Condensed Specialty Crosswalk'!$A$2:$C$182,3,FALSE),"")</f>
        <v/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</row>
    <row r="225" spans="1:30" ht="17">
      <c r="A225" s="49"/>
      <c r="B225" s="49" t="str">
        <f>CONCATENATE(Reports!E224," ",Reports!F224," ",Reports!G224)</f>
        <v xml:space="preserve">  </v>
      </c>
      <c r="C225" s="101"/>
      <c r="D225" s="101"/>
      <c r="E225" s="49" t="str">
        <f>IFERROR(VLOOKUP(D225,'taxonomy map'!$A$1:$B$171,2,FALSE),"")</f>
        <v/>
      </c>
      <c r="F225" s="49" t="str">
        <f>IFERROR(VLOOKUP(E225,'Condensed Specialty Crosswalk'!$A$2:$C$182,2,FALSE),"")</f>
        <v/>
      </c>
      <c r="G225" s="49" t="str">
        <f>IFERROR(VLOOKUP(E225,'Condensed Specialty Crosswalk'!$A$2:$C$182,3,FALSE),"")</f>
        <v/>
      </c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</row>
    <row r="226" spans="1:30" ht="17">
      <c r="A226" s="49"/>
      <c r="B226" s="49" t="str">
        <f>CONCATENATE(Reports!E225," ",Reports!F225," ",Reports!G225)</f>
        <v xml:space="preserve">  </v>
      </c>
      <c r="C226" s="101"/>
      <c r="D226" s="101"/>
      <c r="E226" s="49" t="str">
        <f>IFERROR(VLOOKUP(D226,'taxonomy map'!$A$1:$B$171,2,FALSE),"")</f>
        <v/>
      </c>
      <c r="F226" s="49" t="str">
        <f>IFERROR(VLOOKUP(E226,'Condensed Specialty Crosswalk'!$A$2:$C$182,2,FALSE),"")</f>
        <v/>
      </c>
      <c r="G226" s="49" t="str">
        <f>IFERROR(VLOOKUP(E226,'Condensed Specialty Crosswalk'!$A$2:$C$182,3,FALSE),"")</f>
        <v/>
      </c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</row>
    <row r="227" spans="1:30" ht="17">
      <c r="A227" s="49"/>
      <c r="B227" s="49" t="str">
        <f>CONCATENATE(Reports!E226," ",Reports!F226," ",Reports!G226)</f>
        <v xml:space="preserve">  </v>
      </c>
      <c r="C227" s="101"/>
      <c r="D227" s="101"/>
      <c r="E227" s="49" t="str">
        <f>IFERROR(VLOOKUP(D227,'taxonomy map'!$A$1:$B$171,2,FALSE),"")</f>
        <v/>
      </c>
      <c r="F227" s="49" t="str">
        <f>IFERROR(VLOOKUP(E227,'Condensed Specialty Crosswalk'!$A$2:$C$182,2,FALSE),"")</f>
        <v/>
      </c>
      <c r="G227" s="49" t="str">
        <f>IFERROR(VLOOKUP(E227,'Condensed Specialty Crosswalk'!$A$2:$C$182,3,FALSE),"")</f>
        <v/>
      </c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</row>
    <row r="228" spans="1:30" ht="17">
      <c r="A228" s="49"/>
      <c r="B228" s="49" t="str">
        <f>CONCATENATE(Reports!E227," ",Reports!F227," ",Reports!G227)</f>
        <v xml:space="preserve">  </v>
      </c>
      <c r="C228" s="101"/>
      <c r="D228" s="101"/>
      <c r="E228" s="49" t="str">
        <f>IFERROR(VLOOKUP(D228,'taxonomy map'!$A$1:$B$171,2,FALSE),"")</f>
        <v/>
      </c>
      <c r="F228" s="49" t="str">
        <f>IFERROR(VLOOKUP(E228,'Condensed Specialty Crosswalk'!$A$2:$C$182,2,FALSE),"")</f>
        <v/>
      </c>
      <c r="G228" s="49" t="str">
        <f>IFERROR(VLOOKUP(E228,'Condensed Specialty Crosswalk'!$A$2:$C$182,3,FALSE),"")</f>
        <v/>
      </c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</row>
    <row r="229" spans="1:30" ht="17">
      <c r="A229" s="49"/>
      <c r="B229" s="49" t="str">
        <f>CONCATENATE(Reports!E228," ",Reports!F228," ",Reports!G228)</f>
        <v xml:space="preserve">  </v>
      </c>
      <c r="C229" s="101"/>
      <c r="D229" s="101"/>
      <c r="E229" s="49" t="str">
        <f>IFERROR(VLOOKUP(D229,'taxonomy map'!$A$1:$B$171,2,FALSE),"")</f>
        <v/>
      </c>
      <c r="F229" s="49" t="str">
        <f>IFERROR(VLOOKUP(E229,'Condensed Specialty Crosswalk'!$A$2:$C$182,2,FALSE),"")</f>
        <v/>
      </c>
      <c r="G229" s="49" t="str">
        <f>IFERROR(VLOOKUP(E229,'Condensed Specialty Crosswalk'!$A$2:$C$182,3,FALSE),"")</f>
        <v/>
      </c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52"/>
    </row>
    <row r="230" spans="1:30" ht="17">
      <c r="A230" s="49"/>
      <c r="B230" s="49" t="str">
        <f>CONCATENATE(Reports!E229," ",Reports!F229," ",Reports!G229)</f>
        <v xml:space="preserve">  </v>
      </c>
      <c r="C230" s="101"/>
      <c r="D230" s="101"/>
      <c r="E230" s="49" t="str">
        <f>IFERROR(VLOOKUP(D230,'taxonomy map'!$A$1:$B$171,2,FALSE),"")</f>
        <v/>
      </c>
      <c r="F230" s="49" t="str">
        <f>IFERROR(VLOOKUP(E230,'Condensed Specialty Crosswalk'!$A$2:$C$182,2,FALSE),"")</f>
        <v/>
      </c>
      <c r="G230" s="49" t="str">
        <f>IFERROR(VLOOKUP(E230,'Condensed Specialty Crosswalk'!$A$2:$C$182,3,FALSE),"")</f>
        <v/>
      </c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</row>
    <row r="231" spans="1:30" ht="17">
      <c r="A231" s="49"/>
      <c r="B231" s="49" t="str">
        <f>CONCATENATE(Reports!E230," ",Reports!F230," ",Reports!G230)</f>
        <v xml:space="preserve">  </v>
      </c>
      <c r="C231" s="101"/>
      <c r="D231" s="101"/>
      <c r="E231" s="49" t="str">
        <f>IFERROR(VLOOKUP(D231,'taxonomy map'!$A$1:$B$171,2,FALSE),"")</f>
        <v/>
      </c>
      <c r="F231" s="49" t="str">
        <f>IFERROR(VLOOKUP(E231,'Condensed Specialty Crosswalk'!$A$2:$C$182,2,FALSE),"")</f>
        <v/>
      </c>
      <c r="G231" s="49" t="str">
        <f>IFERROR(VLOOKUP(E231,'Condensed Specialty Crosswalk'!$A$2:$C$182,3,FALSE),"")</f>
        <v/>
      </c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</row>
    <row r="232" spans="1:30" ht="17">
      <c r="A232" s="49"/>
      <c r="B232" s="49" t="str">
        <f>CONCATENATE(Reports!E231," ",Reports!F231," ",Reports!G231)</f>
        <v xml:space="preserve">  </v>
      </c>
      <c r="C232" s="101"/>
      <c r="D232" s="101"/>
      <c r="E232" s="49" t="str">
        <f>IFERROR(VLOOKUP(D232,'taxonomy map'!$A$1:$B$171,2,FALSE),"")</f>
        <v/>
      </c>
      <c r="F232" s="49" t="str">
        <f>IFERROR(VLOOKUP(E232,'Condensed Specialty Crosswalk'!$A$2:$C$182,2,FALSE),"")</f>
        <v/>
      </c>
      <c r="G232" s="49" t="str">
        <f>IFERROR(VLOOKUP(E232,'Condensed Specialty Crosswalk'!$A$2:$C$182,3,FALSE),"")</f>
        <v/>
      </c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</row>
    <row r="233" spans="1:30" ht="17">
      <c r="A233" s="49"/>
      <c r="B233" s="49" t="str">
        <f>CONCATENATE(Reports!E232," ",Reports!F232," ",Reports!G232)</f>
        <v xml:space="preserve">  </v>
      </c>
      <c r="C233" s="101"/>
      <c r="D233" s="101"/>
      <c r="E233" s="49" t="str">
        <f>IFERROR(VLOOKUP(D233,'taxonomy map'!$A$1:$B$171,2,FALSE),"")</f>
        <v/>
      </c>
      <c r="F233" s="49" t="str">
        <f>IFERROR(VLOOKUP(E233,'Condensed Specialty Crosswalk'!$A$2:$C$182,2,FALSE),"")</f>
        <v/>
      </c>
      <c r="G233" s="49" t="str">
        <f>IFERROR(VLOOKUP(E233,'Condensed Specialty Crosswalk'!$A$2:$C$182,3,FALSE),"")</f>
        <v/>
      </c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</row>
    <row r="234" spans="1:30" ht="17">
      <c r="A234" s="49"/>
      <c r="B234" s="49" t="str">
        <f>CONCATENATE(Reports!E233," ",Reports!F233," ",Reports!G233)</f>
        <v xml:space="preserve">  </v>
      </c>
      <c r="C234" s="101"/>
      <c r="D234" s="101"/>
      <c r="E234" s="49" t="str">
        <f>IFERROR(VLOOKUP(D234,'taxonomy map'!$A$1:$B$171,2,FALSE),"")</f>
        <v/>
      </c>
      <c r="F234" s="49" t="str">
        <f>IFERROR(VLOOKUP(E234,'Condensed Specialty Crosswalk'!$A$2:$C$182,2,FALSE),"")</f>
        <v/>
      </c>
      <c r="G234" s="49" t="str">
        <f>IFERROR(VLOOKUP(E234,'Condensed Specialty Crosswalk'!$A$2:$C$182,3,FALSE),"")</f>
        <v/>
      </c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</row>
    <row r="235" spans="1:30" ht="17">
      <c r="A235" s="49"/>
      <c r="B235" s="49" t="str">
        <f>CONCATENATE(Reports!E234," ",Reports!F234," ",Reports!G234)</f>
        <v xml:space="preserve">  </v>
      </c>
      <c r="C235" s="101"/>
      <c r="D235" s="101"/>
      <c r="E235" s="49" t="str">
        <f>IFERROR(VLOOKUP(D235,'taxonomy map'!$A$1:$B$171,2,FALSE),"")</f>
        <v/>
      </c>
      <c r="F235" s="49" t="str">
        <f>IFERROR(VLOOKUP(E235,'Condensed Specialty Crosswalk'!$A$2:$C$182,2,FALSE),"")</f>
        <v/>
      </c>
      <c r="G235" s="49" t="str">
        <f>IFERROR(VLOOKUP(E235,'Condensed Specialty Crosswalk'!$A$2:$C$182,3,FALSE),"")</f>
        <v/>
      </c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</row>
    <row r="236" spans="1:30" ht="17">
      <c r="A236" s="49"/>
      <c r="B236" s="49" t="str">
        <f>CONCATENATE(Reports!E235," ",Reports!F235," ",Reports!G235)</f>
        <v xml:space="preserve">  </v>
      </c>
      <c r="C236" s="101"/>
      <c r="D236" s="101"/>
      <c r="E236" s="49" t="str">
        <f>IFERROR(VLOOKUP(D236,'taxonomy map'!$A$1:$B$171,2,FALSE),"")</f>
        <v/>
      </c>
      <c r="F236" s="49" t="str">
        <f>IFERROR(VLOOKUP(E236,'Condensed Specialty Crosswalk'!$A$2:$C$182,2,FALSE),"")</f>
        <v/>
      </c>
      <c r="G236" s="49" t="str">
        <f>IFERROR(VLOOKUP(E236,'Condensed Specialty Crosswalk'!$A$2:$C$182,3,FALSE),"")</f>
        <v/>
      </c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</row>
    <row r="237" spans="1:30" ht="17">
      <c r="A237" s="49"/>
      <c r="B237" s="49" t="str">
        <f>CONCATENATE(Reports!E236," ",Reports!F236," ",Reports!G236)</f>
        <v xml:space="preserve">  </v>
      </c>
      <c r="C237" s="101"/>
      <c r="D237" s="101"/>
      <c r="E237" s="49" t="str">
        <f>IFERROR(VLOOKUP(D237,'taxonomy map'!$A$1:$B$171,2,FALSE),"")</f>
        <v/>
      </c>
      <c r="F237" s="49" t="str">
        <f>IFERROR(VLOOKUP(E237,'Condensed Specialty Crosswalk'!$A$2:$C$182,2,FALSE),"")</f>
        <v/>
      </c>
      <c r="G237" s="49" t="str">
        <f>IFERROR(VLOOKUP(E237,'Condensed Specialty Crosswalk'!$A$2:$C$182,3,FALSE),"")</f>
        <v/>
      </c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</row>
    <row r="238" spans="1:30" ht="17">
      <c r="A238" s="49"/>
      <c r="B238" s="49" t="str">
        <f>CONCATENATE(Reports!E237," ",Reports!F237," ",Reports!G237)</f>
        <v xml:space="preserve">  </v>
      </c>
      <c r="C238" s="101"/>
      <c r="D238" s="101"/>
      <c r="E238" s="49" t="str">
        <f>IFERROR(VLOOKUP(D238,'taxonomy map'!$A$1:$B$171,2,FALSE),"")</f>
        <v/>
      </c>
      <c r="F238" s="49" t="str">
        <f>IFERROR(VLOOKUP(E238,'Condensed Specialty Crosswalk'!$A$2:$C$182,2,FALSE),"")</f>
        <v/>
      </c>
      <c r="G238" s="49" t="str">
        <f>IFERROR(VLOOKUP(E238,'Condensed Specialty Crosswalk'!$A$2:$C$182,3,FALSE),"")</f>
        <v/>
      </c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</row>
    <row r="239" spans="1:30" ht="17">
      <c r="A239" s="49"/>
      <c r="B239" s="49" t="str">
        <f>CONCATENATE(Reports!E238," ",Reports!F238," ",Reports!G238)</f>
        <v xml:space="preserve">  </v>
      </c>
      <c r="C239" s="101"/>
      <c r="D239" s="101"/>
      <c r="E239" s="49" t="str">
        <f>IFERROR(VLOOKUP(D239,'taxonomy map'!$A$1:$B$171,2,FALSE),"")</f>
        <v/>
      </c>
      <c r="F239" s="49" t="str">
        <f>IFERROR(VLOOKUP(E239,'Condensed Specialty Crosswalk'!$A$2:$C$182,2,FALSE),"")</f>
        <v/>
      </c>
      <c r="G239" s="49" t="str">
        <f>IFERROR(VLOOKUP(E239,'Condensed Specialty Crosswalk'!$A$2:$C$182,3,FALSE),"")</f>
        <v/>
      </c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</row>
    <row r="240" spans="1:30" ht="17">
      <c r="A240" s="49"/>
      <c r="B240" s="49" t="str">
        <f>CONCATENATE(Reports!E239," ",Reports!F239," ",Reports!G239)</f>
        <v xml:space="preserve">  </v>
      </c>
      <c r="C240" s="101"/>
      <c r="D240" s="101"/>
      <c r="E240" s="49" t="str">
        <f>IFERROR(VLOOKUP(D240,'taxonomy map'!$A$1:$B$171,2,FALSE),"")</f>
        <v/>
      </c>
      <c r="F240" s="49" t="str">
        <f>IFERROR(VLOOKUP(E240,'Condensed Specialty Crosswalk'!$A$2:$C$182,2,FALSE),"")</f>
        <v/>
      </c>
      <c r="G240" s="49" t="str">
        <f>IFERROR(VLOOKUP(E240,'Condensed Specialty Crosswalk'!$A$2:$C$182,3,FALSE),"")</f>
        <v/>
      </c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</row>
    <row r="241" spans="1:30" ht="17">
      <c r="A241" s="49"/>
      <c r="B241" s="49" t="str">
        <f>CONCATENATE(Reports!E240," ",Reports!F240," ",Reports!G240)</f>
        <v xml:space="preserve">  </v>
      </c>
      <c r="C241" s="101"/>
      <c r="D241" s="101"/>
      <c r="E241" s="49" t="str">
        <f>IFERROR(VLOOKUP(D241,'taxonomy map'!$A$1:$B$171,2,FALSE),"")</f>
        <v/>
      </c>
      <c r="F241" s="49" t="str">
        <f>IFERROR(VLOOKUP(E241,'Condensed Specialty Crosswalk'!$A$2:$C$182,2,FALSE),"")</f>
        <v/>
      </c>
      <c r="G241" s="49" t="str">
        <f>IFERROR(VLOOKUP(E241,'Condensed Specialty Crosswalk'!$A$2:$C$182,3,FALSE),"")</f>
        <v/>
      </c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</row>
    <row r="242" spans="1:30" ht="17">
      <c r="A242" s="49"/>
      <c r="B242" s="49" t="str">
        <f>CONCATENATE(Reports!E241," ",Reports!F241," ",Reports!G241)</f>
        <v xml:space="preserve">  </v>
      </c>
      <c r="C242" s="101"/>
      <c r="D242" s="101"/>
      <c r="E242" s="49" t="str">
        <f>IFERROR(VLOOKUP(D242,'taxonomy map'!$A$1:$B$171,2,FALSE),"")</f>
        <v/>
      </c>
      <c r="F242" s="49" t="str">
        <f>IFERROR(VLOOKUP(E242,'Condensed Specialty Crosswalk'!$A$2:$C$182,2,FALSE),"")</f>
        <v/>
      </c>
      <c r="G242" s="49" t="str">
        <f>IFERROR(VLOOKUP(E242,'Condensed Specialty Crosswalk'!$A$2:$C$182,3,FALSE),"")</f>
        <v/>
      </c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</row>
    <row r="243" spans="1:30" ht="17">
      <c r="A243" s="49"/>
      <c r="B243" s="49" t="str">
        <f>CONCATENATE(Reports!E242," ",Reports!F242," ",Reports!G242)</f>
        <v xml:space="preserve">  </v>
      </c>
      <c r="C243" s="101"/>
      <c r="D243" s="101"/>
      <c r="E243" s="49" t="str">
        <f>IFERROR(VLOOKUP(D243,'taxonomy map'!$A$1:$B$171,2,FALSE),"")</f>
        <v/>
      </c>
      <c r="F243" s="49" t="str">
        <f>IFERROR(VLOOKUP(E243,'Condensed Specialty Crosswalk'!$A$2:$C$182,2,FALSE),"")</f>
        <v/>
      </c>
      <c r="G243" s="49" t="str">
        <f>IFERROR(VLOOKUP(E243,'Condensed Specialty Crosswalk'!$A$2:$C$182,3,FALSE),"")</f>
        <v/>
      </c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</row>
    <row r="244" spans="1:30" ht="17">
      <c r="A244" s="49"/>
      <c r="B244" s="49" t="str">
        <f>CONCATENATE(Reports!E243," ",Reports!F243," ",Reports!G243)</f>
        <v xml:space="preserve">  </v>
      </c>
      <c r="C244" s="101"/>
      <c r="D244" s="101"/>
      <c r="E244" s="49" t="str">
        <f>IFERROR(VLOOKUP(D244,'taxonomy map'!$A$1:$B$171,2,FALSE),"")</f>
        <v/>
      </c>
      <c r="F244" s="49" t="str">
        <f>IFERROR(VLOOKUP(E244,'Condensed Specialty Crosswalk'!$A$2:$C$182,2,FALSE),"")</f>
        <v/>
      </c>
      <c r="G244" s="49" t="str">
        <f>IFERROR(VLOOKUP(E244,'Condensed Specialty Crosswalk'!$A$2:$C$182,3,FALSE),"")</f>
        <v/>
      </c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</row>
    <row r="245" spans="1:30" ht="17">
      <c r="A245" s="49"/>
      <c r="B245" s="49" t="str">
        <f>CONCATENATE(Reports!E244," ",Reports!F244," ",Reports!G244)</f>
        <v xml:space="preserve">  </v>
      </c>
      <c r="C245" s="101"/>
      <c r="D245" s="101"/>
      <c r="E245" s="49" t="str">
        <f>IFERROR(VLOOKUP(D245,'taxonomy map'!$A$1:$B$171,2,FALSE),"")</f>
        <v/>
      </c>
      <c r="F245" s="49" t="str">
        <f>IFERROR(VLOOKUP(E245,'Condensed Specialty Crosswalk'!$A$2:$C$182,2,FALSE),"")</f>
        <v/>
      </c>
      <c r="G245" s="49" t="str">
        <f>IFERROR(VLOOKUP(E245,'Condensed Specialty Crosswalk'!$A$2:$C$182,3,FALSE),"")</f>
        <v/>
      </c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</row>
    <row r="246" spans="1:30" ht="17">
      <c r="A246" s="49"/>
      <c r="B246" s="49" t="str">
        <f>CONCATENATE(Reports!E245," ",Reports!F245," ",Reports!G245)</f>
        <v xml:space="preserve">  </v>
      </c>
      <c r="C246" s="101"/>
      <c r="D246" s="101"/>
      <c r="E246" s="49" t="str">
        <f>IFERROR(VLOOKUP(D246,'taxonomy map'!$A$1:$B$171,2,FALSE),"")</f>
        <v/>
      </c>
      <c r="F246" s="49" t="str">
        <f>IFERROR(VLOOKUP(E246,'Condensed Specialty Crosswalk'!$A$2:$C$182,2,FALSE),"")</f>
        <v/>
      </c>
      <c r="G246" s="49" t="str">
        <f>IFERROR(VLOOKUP(E246,'Condensed Specialty Crosswalk'!$A$2:$C$182,3,FALSE),"")</f>
        <v/>
      </c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</row>
    <row r="247" spans="1:30" ht="17">
      <c r="A247" s="49"/>
      <c r="B247" s="49" t="str">
        <f>CONCATENATE(Reports!E246," ",Reports!F246," ",Reports!G246)</f>
        <v xml:space="preserve">  </v>
      </c>
      <c r="C247" s="101"/>
      <c r="D247" s="101"/>
      <c r="E247" s="49" t="str">
        <f>IFERROR(VLOOKUP(D247,'taxonomy map'!$A$1:$B$171,2,FALSE),"")</f>
        <v/>
      </c>
      <c r="F247" s="49" t="str">
        <f>IFERROR(VLOOKUP(E247,'Condensed Specialty Crosswalk'!$A$2:$C$182,2,FALSE),"")</f>
        <v/>
      </c>
      <c r="G247" s="49" t="str">
        <f>IFERROR(VLOOKUP(E247,'Condensed Specialty Crosswalk'!$A$2:$C$182,3,FALSE),"")</f>
        <v/>
      </c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52"/>
    </row>
    <row r="248" spans="1:30" ht="17">
      <c r="A248" s="49"/>
      <c r="B248" s="49" t="str">
        <f>CONCATENATE(Reports!E247," ",Reports!F247," ",Reports!G247)</f>
        <v xml:space="preserve">  </v>
      </c>
      <c r="C248" s="101"/>
      <c r="D248" s="101"/>
      <c r="E248" s="49" t="str">
        <f>IFERROR(VLOOKUP(D248,'taxonomy map'!$A$1:$B$171,2,FALSE),"")</f>
        <v/>
      </c>
      <c r="F248" s="49" t="str">
        <f>IFERROR(VLOOKUP(E248,'Condensed Specialty Crosswalk'!$A$2:$C$182,2,FALSE),"")</f>
        <v/>
      </c>
      <c r="G248" s="49" t="str">
        <f>IFERROR(VLOOKUP(E248,'Condensed Specialty Crosswalk'!$A$2:$C$182,3,FALSE),"")</f>
        <v/>
      </c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52"/>
    </row>
    <row r="249" spans="1:30" ht="17">
      <c r="A249" s="49"/>
      <c r="B249" s="49" t="str">
        <f>CONCATENATE(Reports!E248," ",Reports!F248," ",Reports!G248)</f>
        <v xml:space="preserve">  </v>
      </c>
      <c r="C249" s="101"/>
      <c r="D249" s="101"/>
      <c r="E249" s="49" t="str">
        <f>IFERROR(VLOOKUP(D249,'taxonomy map'!$A$1:$B$171,2,FALSE),"")</f>
        <v/>
      </c>
      <c r="F249" s="49" t="str">
        <f>IFERROR(VLOOKUP(E249,'Condensed Specialty Crosswalk'!$A$2:$C$182,2,FALSE),"")</f>
        <v/>
      </c>
      <c r="G249" s="49" t="str">
        <f>IFERROR(VLOOKUP(E249,'Condensed Specialty Crosswalk'!$A$2:$C$182,3,FALSE),"")</f>
        <v/>
      </c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52"/>
    </row>
    <row r="250" spans="1:30" ht="17">
      <c r="A250" s="49"/>
      <c r="B250" s="49" t="str">
        <f>CONCATENATE(Reports!E249," ",Reports!F249," ",Reports!G249)</f>
        <v xml:space="preserve">  </v>
      </c>
      <c r="C250" s="101"/>
      <c r="D250" s="101"/>
      <c r="E250" s="49" t="str">
        <f>IFERROR(VLOOKUP(D250,'taxonomy map'!$A$1:$B$171,2,FALSE),"")</f>
        <v/>
      </c>
      <c r="F250" s="49" t="str">
        <f>IFERROR(VLOOKUP(E250,'Condensed Specialty Crosswalk'!$A$2:$C$182,2,FALSE),"")</f>
        <v/>
      </c>
      <c r="G250" s="49" t="str">
        <f>IFERROR(VLOOKUP(E250,'Condensed Specialty Crosswalk'!$A$2:$C$182,3,FALSE),"")</f>
        <v/>
      </c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</row>
    <row r="251" spans="1:30" ht="17">
      <c r="A251" s="49"/>
      <c r="B251" s="49" t="str">
        <f>CONCATENATE(Reports!E250," ",Reports!F250," ",Reports!G250)</f>
        <v xml:space="preserve">  </v>
      </c>
      <c r="C251" s="101"/>
      <c r="D251" s="101"/>
      <c r="E251" s="49" t="str">
        <f>IFERROR(VLOOKUP(D251,'taxonomy map'!$A$1:$B$171,2,FALSE),"")</f>
        <v/>
      </c>
      <c r="F251" s="49" t="str">
        <f>IFERROR(VLOOKUP(E251,'Condensed Specialty Crosswalk'!$A$2:$C$182,2,FALSE),"")</f>
        <v/>
      </c>
      <c r="G251" s="49" t="str">
        <f>IFERROR(VLOOKUP(E251,'Condensed Specialty Crosswalk'!$A$2:$C$182,3,FALSE),"")</f>
        <v/>
      </c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52"/>
    </row>
    <row r="252" spans="1:30" ht="17">
      <c r="A252" s="49"/>
      <c r="B252" s="49" t="str">
        <f>CONCATENATE(Reports!E251," ",Reports!F251," ",Reports!G251)</f>
        <v xml:space="preserve">  </v>
      </c>
      <c r="C252" s="101"/>
      <c r="D252" s="101"/>
      <c r="E252" s="49" t="str">
        <f>IFERROR(VLOOKUP(D252,'taxonomy map'!$A$1:$B$171,2,FALSE),"")</f>
        <v/>
      </c>
      <c r="F252" s="49" t="str">
        <f>IFERROR(VLOOKUP(E252,'Condensed Specialty Crosswalk'!$A$2:$C$182,2,FALSE),"")</f>
        <v/>
      </c>
      <c r="G252" s="49" t="str">
        <f>IFERROR(VLOOKUP(E252,'Condensed Specialty Crosswalk'!$A$2:$C$182,3,FALSE),"")</f>
        <v/>
      </c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</row>
    <row r="253" spans="1:30" ht="17">
      <c r="A253" s="49"/>
      <c r="B253" s="49" t="str">
        <f>CONCATENATE(Reports!E252," ",Reports!F252," ",Reports!G252)</f>
        <v xml:space="preserve">  </v>
      </c>
      <c r="C253" s="101"/>
      <c r="D253" s="101"/>
      <c r="E253" s="49" t="str">
        <f>IFERROR(VLOOKUP(D253,'taxonomy map'!$A$1:$B$171,2,FALSE),"")</f>
        <v/>
      </c>
      <c r="F253" s="49" t="str">
        <f>IFERROR(VLOOKUP(E253,'Condensed Specialty Crosswalk'!$A$2:$C$182,2,FALSE),"")</f>
        <v/>
      </c>
      <c r="G253" s="49" t="str">
        <f>IFERROR(VLOOKUP(E253,'Condensed Specialty Crosswalk'!$A$2:$C$182,3,FALSE),"")</f>
        <v/>
      </c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</row>
    <row r="254" spans="1:30" ht="17">
      <c r="A254" s="49"/>
      <c r="B254" s="49" t="str">
        <f>CONCATENATE(Reports!E253," ",Reports!F253," ",Reports!G253)</f>
        <v xml:space="preserve">  </v>
      </c>
      <c r="C254" s="101"/>
      <c r="D254" s="101"/>
      <c r="E254" s="49" t="str">
        <f>IFERROR(VLOOKUP(D254,'taxonomy map'!$A$1:$B$171,2,FALSE),"")</f>
        <v/>
      </c>
      <c r="F254" s="49" t="str">
        <f>IFERROR(VLOOKUP(E254,'Condensed Specialty Crosswalk'!$A$2:$C$182,2,FALSE),"")</f>
        <v/>
      </c>
      <c r="G254" s="49" t="str">
        <f>IFERROR(VLOOKUP(E254,'Condensed Specialty Crosswalk'!$A$2:$C$182,3,FALSE),"")</f>
        <v/>
      </c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</row>
    <row r="255" spans="1:30" ht="17">
      <c r="A255" s="49"/>
      <c r="B255" s="49" t="str">
        <f>CONCATENATE(Reports!E254," ",Reports!F254," ",Reports!G254)</f>
        <v xml:space="preserve">  </v>
      </c>
      <c r="C255" s="101"/>
      <c r="D255" s="101"/>
      <c r="E255" s="49" t="str">
        <f>IFERROR(VLOOKUP(D255,'taxonomy map'!$A$1:$B$171,2,FALSE),"")</f>
        <v/>
      </c>
      <c r="F255" s="49" t="str">
        <f>IFERROR(VLOOKUP(E255,'Condensed Specialty Crosswalk'!$A$2:$C$182,2,FALSE),"")</f>
        <v/>
      </c>
      <c r="G255" s="49" t="str">
        <f>IFERROR(VLOOKUP(E255,'Condensed Specialty Crosswalk'!$A$2:$C$182,3,FALSE),"")</f>
        <v/>
      </c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</row>
    <row r="256" spans="1:30" ht="17">
      <c r="A256" s="49"/>
      <c r="B256" s="49" t="str">
        <f>CONCATENATE(Reports!E255," ",Reports!F255," ",Reports!G255)</f>
        <v xml:space="preserve">  </v>
      </c>
      <c r="C256" s="101"/>
      <c r="D256" s="101"/>
      <c r="E256" s="49" t="str">
        <f>IFERROR(VLOOKUP(D256,'taxonomy map'!$A$1:$B$171,2,FALSE),"")</f>
        <v/>
      </c>
      <c r="F256" s="49" t="str">
        <f>IFERROR(VLOOKUP(E256,'Condensed Specialty Crosswalk'!$A$2:$C$182,2,FALSE),"")</f>
        <v/>
      </c>
      <c r="G256" s="49" t="str">
        <f>IFERROR(VLOOKUP(E256,'Condensed Specialty Crosswalk'!$A$2:$C$182,3,FALSE),"")</f>
        <v/>
      </c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</row>
    <row r="257" spans="1:30" ht="17">
      <c r="A257" s="49"/>
      <c r="B257" s="49" t="str">
        <f>CONCATENATE(Reports!E256," ",Reports!F256," ",Reports!G256)</f>
        <v xml:space="preserve">  </v>
      </c>
      <c r="C257" s="101"/>
      <c r="D257" s="101"/>
      <c r="E257" s="49" t="str">
        <f>IFERROR(VLOOKUP(D257,'taxonomy map'!$A$1:$B$171,2,FALSE),"")</f>
        <v/>
      </c>
      <c r="F257" s="49" t="str">
        <f>IFERROR(VLOOKUP(E257,'Condensed Specialty Crosswalk'!$A$2:$C$182,2,FALSE),"")</f>
        <v/>
      </c>
      <c r="G257" s="49" t="str">
        <f>IFERROR(VLOOKUP(E257,'Condensed Specialty Crosswalk'!$A$2:$C$182,3,FALSE),"")</f>
        <v/>
      </c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52"/>
    </row>
    <row r="258" spans="1:30" ht="17">
      <c r="A258" s="49"/>
      <c r="B258" s="49" t="str">
        <f>CONCATENATE(Reports!E257," ",Reports!F257," ",Reports!G257)</f>
        <v xml:space="preserve">  </v>
      </c>
      <c r="C258" s="101"/>
      <c r="D258" s="101"/>
      <c r="E258" s="49" t="str">
        <f>IFERROR(VLOOKUP(D258,'taxonomy map'!$A$1:$B$171,2,FALSE),"")</f>
        <v/>
      </c>
      <c r="F258" s="49" t="str">
        <f>IFERROR(VLOOKUP(E258,'Condensed Specialty Crosswalk'!$A$2:$C$182,2,FALSE),"")</f>
        <v/>
      </c>
      <c r="G258" s="49" t="str">
        <f>IFERROR(VLOOKUP(E258,'Condensed Specialty Crosswalk'!$A$2:$C$182,3,FALSE),"")</f>
        <v/>
      </c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52"/>
    </row>
    <row r="259" spans="1:30" ht="17">
      <c r="A259" s="49"/>
      <c r="B259" s="49" t="str">
        <f>CONCATENATE(Reports!E258," ",Reports!F258," ",Reports!G258)</f>
        <v xml:space="preserve">  </v>
      </c>
      <c r="C259" s="101"/>
      <c r="D259" s="101"/>
      <c r="E259" s="49" t="str">
        <f>IFERROR(VLOOKUP(D259,'taxonomy map'!$A$1:$B$171,2,FALSE),"")</f>
        <v/>
      </c>
      <c r="F259" s="49" t="str">
        <f>IFERROR(VLOOKUP(E259,'Condensed Specialty Crosswalk'!$A$2:$C$182,2,FALSE),"")</f>
        <v/>
      </c>
      <c r="G259" s="49" t="str">
        <f>IFERROR(VLOOKUP(E259,'Condensed Specialty Crosswalk'!$A$2:$C$182,3,FALSE),"")</f>
        <v/>
      </c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</row>
    <row r="260" spans="1:30" ht="17">
      <c r="A260" s="49"/>
      <c r="B260" s="49" t="str">
        <f>CONCATENATE(Reports!E259," ",Reports!F259," ",Reports!G259)</f>
        <v xml:space="preserve">  </v>
      </c>
      <c r="C260" s="101"/>
      <c r="D260" s="101"/>
      <c r="E260" s="49" t="str">
        <f>IFERROR(VLOOKUP(D260,'taxonomy map'!$A$1:$B$171,2,FALSE),"")</f>
        <v/>
      </c>
      <c r="F260" s="49" t="str">
        <f>IFERROR(VLOOKUP(E260,'Condensed Specialty Crosswalk'!$A$2:$C$182,2,FALSE),"")</f>
        <v/>
      </c>
      <c r="G260" s="49" t="str">
        <f>IFERROR(VLOOKUP(E260,'Condensed Specialty Crosswalk'!$A$2:$C$182,3,FALSE),"")</f>
        <v/>
      </c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</row>
    <row r="261" spans="1:30" ht="17">
      <c r="A261" s="49"/>
      <c r="B261" s="49" t="str">
        <f>CONCATENATE(Reports!E260," ",Reports!F260," ",Reports!G260)</f>
        <v xml:space="preserve">  </v>
      </c>
      <c r="C261" s="101"/>
      <c r="D261" s="101"/>
      <c r="E261" s="49" t="str">
        <f>IFERROR(VLOOKUP(D261,'taxonomy map'!$A$1:$B$171,2,FALSE),"")</f>
        <v/>
      </c>
      <c r="F261" s="49" t="str">
        <f>IFERROR(VLOOKUP(E261,'Condensed Specialty Crosswalk'!$A$2:$C$182,2,FALSE),"")</f>
        <v/>
      </c>
      <c r="G261" s="49" t="str">
        <f>IFERROR(VLOOKUP(E261,'Condensed Specialty Crosswalk'!$A$2:$C$182,3,FALSE),"")</f>
        <v/>
      </c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</row>
    <row r="262" spans="1:30" ht="17">
      <c r="A262" s="49"/>
      <c r="B262" s="49" t="str">
        <f>CONCATENATE(Reports!E261," ",Reports!F261," ",Reports!G261)</f>
        <v xml:space="preserve">  </v>
      </c>
      <c r="C262" s="101"/>
      <c r="D262" s="101"/>
      <c r="E262" s="49" t="str">
        <f>IFERROR(VLOOKUP(D262,'taxonomy map'!$A$1:$B$171,2,FALSE),"")</f>
        <v/>
      </c>
      <c r="F262" s="49" t="str">
        <f>IFERROR(VLOOKUP(E262,'Condensed Specialty Crosswalk'!$A$2:$C$182,2,FALSE),"")</f>
        <v/>
      </c>
      <c r="G262" s="49" t="str">
        <f>IFERROR(VLOOKUP(E262,'Condensed Specialty Crosswalk'!$A$2:$C$182,3,FALSE),"")</f>
        <v/>
      </c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52"/>
    </row>
    <row r="263" spans="1:30" ht="17">
      <c r="A263" s="49"/>
      <c r="B263" s="49" t="str">
        <f>CONCATENATE(Reports!E262," ",Reports!F262," ",Reports!G262)</f>
        <v xml:space="preserve">  </v>
      </c>
      <c r="C263" s="101"/>
      <c r="D263" s="101"/>
      <c r="E263" s="49" t="str">
        <f>IFERROR(VLOOKUP(D263,'taxonomy map'!$A$1:$B$171,2,FALSE),"")</f>
        <v/>
      </c>
      <c r="F263" s="49" t="str">
        <f>IFERROR(VLOOKUP(E263,'Condensed Specialty Crosswalk'!$A$2:$C$182,2,FALSE),"")</f>
        <v/>
      </c>
      <c r="G263" s="49" t="str">
        <f>IFERROR(VLOOKUP(E263,'Condensed Specialty Crosswalk'!$A$2:$C$182,3,FALSE),"")</f>
        <v/>
      </c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</row>
    <row r="264" spans="1:30" ht="17">
      <c r="A264" s="49"/>
      <c r="B264" s="49" t="str">
        <f>CONCATENATE(Reports!E263," ",Reports!F263," ",Reports!G263)</f>
        <v xml:space="preserve">  </v>
      </c>
      <c r="C264" s="101"/>
      <c r="D264" s="101"/>
      <c r="E264" s="49" t="str">
        <f>IFERROR(VLOOKUP(D264,'taxonomy map'!$A$1:$B$171,2,FALSE),"")</f>
        <v/>
      </c>
      <c r="F264" s="49" t="str">
        <f>IFERROR(VLOOKUP(E264,'Condensed Specialty Crosswalk'!$A$2:$C$182,2,FALSE),"")</f>
        <v/>
      </c>
      <c r="G264" s="49" t="str">
        <f>IFERROR(VLOOKUP(E264,'Condensed Specialty Crosswalk'!$A$2:$C$182,3,FALSE),"")</f>
        <v/>
      </c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</row>
    <row r="265" spans="1:30" ht="17">
      <c r="A265" s="49"/>
      <c r="B265" s="49" t="str">
        <f>CONCATENATE(Reports!E264," ",Reports!F264," ",Reports!G264)</f>
        <v xml:space="preserve">  </v>
      </c>
      <c r="C265" s="101"/>
      <c r="D265" s="101"/>
      <c r="E265" s="49" t="str">
        <f>IFERROR(VLOOKUP(D265,'taxonomy map'!$A$1:$B$171,2,FALSE),"")</f>
        <v/>
      </c>
      <c r="F265" s="49" t="str">
        <f>IFERROR(VLOOKUP(E265,'Condensed Specialty Crosswalk'!$A$2:$C$182,2,FALSE),"")</f>
        <v/>
      </c>
      <c r="G265" s="49" t="str">
        <f>IFERROR(VLOOKUP(E265,'Condensed Specialty Crosswalk'!$A$2:$C$182,3,FALSE),"")</f>
        <v/>
      </c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</row>
    <row r="266" spans="1:30" ht="17">
      <c r="A266" s="49"/>
      <c r="B266" s="49" t="str">
        <f>CONCATENATE(Reports!E265," ",Reports!F265," ",Reports!G265)</f>
        <v xml:space="preserve">  </v>
      </c>
      <c r="C266" s="101"/>
      <c r="D266" s="101"/>
      <c r="E266" s="49" t="str">
        <f>IFERROR(VLOOKUP(D266,'taxonomy map'!$A$1:$B$171,2,FALSE),"")</f>
        <v/>
      </c>
      <c r="F266" s="49" t="str">
        <f>IFERROR(VLOOKUP(E266,'Condensed Specialty Crosswalk'!$A$2:$C$182,2,FALSE),"")</f>
        <v/>
      </c>
      <c r="G266" s="49" t="str">
        <f>IFERROR(VLOOKUP(E266,'Condensed Specialty Crosswalk'!$A$2:$C$182,3,FALSE),"")</f>
        <v/>
      </c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</row>
    <row r="267" spans="1:30" ht="17">
      <c r="A267" s="49"/>
      <c r="B267" s="49" t="str">
        <f>CONCATENATE(Reports!E266," ",Reports!F266," ",Reports!G266)</f>
        <v xml:space="preserve">  </v>
      </c>
      <c r="C267" s="101"/>
      <c r="D267" s="101"/>
      <c r="E267" s="49" t="str">
        <f>IFERROR(VLOOKUP(D267,'taxonomy map'!$A$1:$B$171,2,FALSE),"")</f>
        <v/>
      </c>
      <c r="F267" s="49" t="str">
        <f>IFERROR(VLOOKUP(E267,'Condensed Specialty Crosswalk'!$A$2:$C$182,2,FALSE),"")</f>
        <v/>
      </c>
      <c r="G267" s="49" t="str">
        <f>IFERROR(VLOOKUP(E267,'Condensed Specialty Crosswalk'!$A$2:$C$182,3,FALSE),"")</f>
        <v/>
      </c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</row>
    <row r="268" spans="1:30" ht="17">
      <c r="A268" s="49"/>
      <c r="B268" s="49" t="str">
        <f>CONCATENATE(Reports!E267," ",Reports!F267," ",Reports!G267)</f>
        <v xml:space="preserve">  </v>
      </c>
      <c r="C268" s="101"/>
      <c r="D268" s="101"/>
      <c r="E268" s="49" t="str">
        <f>IFERROR(VLOOKUP(D268,'taxonomy map'!$A$1:$B$171,2,FALSE),"")</f>
        <v/>
      </c>
      <c r="F268" s="49" t="str">
        <f>IFERROR(VLOOKUP(E268,'Condensed Specialty Crosswalk'!$A$2:$C$182,2,FALSE),"")</f>
        <v/>
      </c>
      <c r="G268" s="49" t="str">
        <f>IFERROR(VLOOKUP(E268,'Condensed Specialty Crosswalk'!$A$2:$C$182,3,FALSE),"")</f>
        <v/>
      </c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</row>
    <row r="269" spans="1:30" ht="17">
      <c r="A269" s="49"/>
      <c r="B269" s="49" t="str">
        <f>CONCATENATE(Reports!E268," ",Reports!F268," ",Reports!G268)</f>
        <v xml:space="preserve">  </v>
      </c>
      <c r="C269" s="101"/>
      <c r="D269" s="101"/>
      <c r="E269" s="49" t="str">
        <f>IFERROR(VLOOKUP(D269,'taxonomy map'!$A$1:$B$171,2,FALSE),"")</f>
        <v/>
      </c>
      <c r="F269" s="49" t="str">
        <f>IFERROR(VLOOKUP(E269,'Condensed Specialty Crosswalk'!$A$2:$C$182,2,FALSE),"")</f>
        <v/>
      </c>
      <c r="G269" s="49" t="str">
        <f>IFERROR(VLOOKUP(E269,'Condensed Specialty Crosswalk'!$A$2:$C$182,3,FALSE),"")</f>
        <v/>
      </c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</row>
    <row r="270" spans="1:30" ht="17">
      <c r="A270" s="49"/>
      <c r="B270" s="49" t="str">
        <f>CONCATENATE(Reports!E269," ",Reports!F269," ",Reports!G269)</f>
        <v xml:space="preserve">  </v>
      </c>
      <c r="C270" s="101"/>
      <c r="D270" s="101"/>
      <c r="E270" s="49" t="str">
        <f>IFERROR(VLOOKUP(D270,'taxonomy map'!$A$1:$B$171,2,FALSE),"")</f>
        <v/>
      </c>
      <c r="F270" s="49" t="str">
        <f>IFERROR(VLOOKUP(E270,'Condensed Specialty Crosswalk'!$A$2:$C$182,2,FALSE),"")</f>
        <v/>
      </c>
      <c r="G270" s="49" t="str">
        <f>IFERROR(VLOOKUP(E270,'Condensed Specialty Crosswalk'!$A$2:$C$182,3,FALSE),"")</f>
        <v/>
      </c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</row>
    <row r="271" spans="1:30" ht="17">
      <c r="A271" s="49"/>
      <c r="B271" s="49" t="str">
        <f>CONCATENATE(Reports!E270," ",Reports!F270," ",Reports!G270)</f>
        <v xml:space="preserve">  </v>
      </c>
      <c r="C271" s="101"/>
      <c r="D271" s="101"/>
      <c r="E271" s="49" t="str">
        <f>IFERROR(VLOOKUP(D271,'taxonomy map'!$A$1:$B$171,2,FALSE),"")</f>
        <v/>
      </c>
      <c r="F271" s="49" t="str">
        <f>IFERROR(VLOOKUP(E271,'Condensed Specialty Crosswalk'!$A$2:$C$182,2,FALSE),"")</f>
        <v/>
      </c>
      <c r="G271" s="49" t="str">
        <f>IFERROR(VLOOKUP(E271,'Condensed Specialty Crosswalk'!$A$2:$C$182,3,FALSE),"")</f>
        <v/>
      </c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</row>
    <row r="272" spans="1:30" ht="17">
      <c r="A272" s="49"/>
      <c r="B272" s="49" t="str">
        <f>CONCATENATE(Reports!E271," ",Reports!F271," ",Reports!G271)</f>
        <v xml:space="preserve">  </v>
      </c>
      <c r="C272" s="101"/>
      <c r="D272" s="101"/>
      <c r="E272" s="49" t="str">
        <f>IFERROR(VLOOKUP(D272,'taxonomy map'!$A$1:$B$171,2,FALSE),"")</f>
        <v/>
      </c>
      <c r="F272" s="49" t="str">
        <f>IFERROR(VLOOKUP(E272,'Condensed Specialty Crosswalk'!$A$2:$C$182,2,FALSE),"")</f>
        <v/>
      </c>
      <c r="G272" s="49" t="str">
        <f>IFERROR(VLOOKUP(E272,'Condensed Specialty Crosswalk'!$A$2:$C$182,3,FALSE),"")</f>
        <v/>
      </c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</row>
    <row r="273" spans="1:30" ht="17">
      <c r="A273" s="49"/>
      <c r="B273" s="49" t="str">
        <f>CONCATENATE(Reports!E272," ",Reports!F272," ",Reports!G272)</f>
        <v xml:space="preserve">  </v>
      </c>
      <c r="C273" s="101"/>
      <c r="D273" s="101"/>
      <c r="E273" s="49" t="str">
        <f>IFERROR(VLOOKUP(D273,'taxonomy map'!$A$1:$B$171,2,FALSE),"")</f>
        <v/>
      </c>
      <c r="F273" s="49" t="str">
        <f>IFERROR(VLOOKUP(E273,'Condensed Specialty Crosswalk'!$A$2:$C$182,2,FALSE),"")</f>
        <v/>
      </c>
      <c r="G273" s="49" t="str">
        <f>IFERROR(VLOOKUP(E273,'Condensed Specialty Crosswalk'!$A$2:$C$182,3,FALSE),"")</f>
        <v/>
      </c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</row>
    <row r="274" spans="1:30" ht="17">
      <c r="A274" s="49"/>
      <c r="B274" s="49" t="str">
        <f>CONCATENATE(Reports!E273," ",Reports!F273," ",Reports!G273)</f>
        <v xml:space="preserve">  </v>
      </c>
      <c r="C274" s="101"/>
      <c r="D274" s="101"/>
      <c r="E274" s="49" t="str">
        <f>IFERROR(VLOOKUP(D274,'taxonomy map'!$A$1:$B$171,2,FALSE),"")</f>
        <v/>
      </c>
      <c r="F274" s="49" t="str">
        <f>IFERROR(VLOOKUP(E274,'Condensed Specialty Crosswalk'!$A$2:$C$182,2,FALSE),"")</f>
        <v/>
      </c>
      <c r="G274" s="49" t="str">
        <f>IFERROR(VLOOKUP(E274,'Condensed Specialty Crosswalk'!$A$2:$C$182,3,FALSE),"")</f>
        <v/>
      </c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</row>
    <row r="275" spans="1:30" ht="17">
      <c r="A275" s="49"/>
      <c r="B275" s="49" t="str">
        <f>CONCATENATE(Reports!E274," ",Reports!F274," ",Reports!G274)</f>
        <v xml:space="preserve">  </v>
      </c>
      <c r="C275" s="101"/>
      <c r="D275" s="101"/>
      <c r="E275" s="49" t="str">
        <f>IFERROR(VLOOKUP(D275,'taxonomy map'!$A$1:$B$171,2,FALSE),"")</f>
        <v/>
      </c>
      <c r="F275" s="49" t="str">
        <f>IFERROR(VLOOKUP(E275,'Condensed Specialty Crosswalk'!$A$2:$C$182,2,FALSE),"")</f>
        <v/>
      </c>
      <c r="G275" s="49" t="str">
        <f>IFERROR(VLOOKUP(E275,'Condensed Specialty Crosswalk'!$A$2:$C$182,3,FALSE),"")</f>
        <v/>
      </c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</row>
    <row r="276" spans="1:30" ht="17">
      <c r="A276" s="49"/>
      <c r="B276" s="49" t="str">
        <f>CONCATENATE(Reports!E275," ",Reports!F275," ",Reports!G275)</f>
        <v xml:space="preserve">  </v>
      </c>
      <c r="C276" s="101"/>
      <c r="D276" s="101"/>
      <c r="E276" s="49" t="str">
        <f>IFERROR(VLOOKUP(D276,'taxonomy map'!$A$1:$B$171,2,FALSE),"")</f>
        <v/>
      </c>
      <c r="F276" s="49" t="str">
        <f>IFERROR(VLOOKUP(E276,'Condensed Specialty Crosswalk'!$A$2:$C$182,2,FALSE),"")</f>
        <v/>
      </c>
      <c r="G276" s="49" t="str">
        <f>IFERROR(VLOOKUP(E276,'Condensed Specialty Crosswalk'!$A$2:$C$182,3,FALSE),"")</f>
        <v/>
      </c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</row>
    <row r="277" spans="1:30" ht="17">
      <c r="A277" s="49"/>
      <c r="B277" s="49" t="str">
        <f>CONCATENATE(Reports!E276," ",Reports!F276," ",Reports!G276)</f>
        <v xml:space="preserve">  </v>
      </c>
      <c r="C277" s="101"/>
      <c r="D277" s="101"/>
      <c r="E277" s="49" t="str">
        <f>IFERROR(VLOOKUP(D277,'taxonomy map'!$A$1:$B$171,2,FALSE),"")</f>
        <v/>
      </c>
      <c r="F277" s="49" t="str">
        <f>IFERROR(VLOOKUP(E277,'Condensed Specialty Crosswalk'!$A$2:$C$182,2,FALSE),"")</f>
        <v/>
      </c>
      <c r="G277" s="49" t="str">
        <f>IFERROR(VLOOKUP(E277,'Condensed Specialty Crosswalk'!$A$2:$C$182,3,FALSE),"")</f>
        <v/>
      </c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</row>
    <row r="278" spans="1:30" ht="17">
      <c r="A278" s="49"/>
      <c r="B278" s="49" t="str">
        <f>CONCATENATE(Reports!E277," ",Reports!F277," ",Reports!G277)</f>
        <v xml:space="preserve">  </v>
      </c>
      <c r="C278" s="101"/>
      <c r="D278" s="101"/>
      <c r="E278" s="49" t="str">
        <f>IFERROR(VLOOKUP(D278,'taxonomy map'!$A$1:$B$171,2,FALSE),"")</f>
        <v/>
      </c>
      <c r="F278" s="49" t="str">
        <f>IFERROR(VLOOKUP(E278,'Condensed Specialty Crosswalk'!$A$2:$C$182,2,FALSE),"")</f>
        <v/>
      </c>
      <c r="G278" s="49" t="str">
        <f>IFERROR(VLOOKUP(E278,'Condensed Specialty Crosswalk'!$A$2:$C$182,3,FALSE),"")</f>
        <v/>
      </c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</row>
    <row r="279" spans="1:30" ht="17">
      <c r="A279" s="49"/>
      <c r="B279" s="49" t="str">
        <f>CONCATENATE(Reports!E278," ",Reports!F278," ",Reports!G278)</f>
        <v xml:space="preserve">  </v>
      </c>
      <c r="C279" s="101"/>
      <c r="D279" s="101"/>
      <c r="E279" s="49" t="str">
        <f>IFERROR(VLOOKUP(D279,'taxonomy map'!$A$1:$B$171,2,FALSE),"")</f>
        <v/>
      </c>
      <c r="F279" s="49" t="str">
        <f>IFERROR(VLOOKUP(E279,'Condensed Specialty Crosswalk'!$A$2:$C$182,2,FALSE),"")</f>
        <v/>
      </c>
      <c r="G279" s="49" t="str">
        <f>IFERROR(VLOOKUP(E279,'Condensed Specialty Crosswalk'!$A$2:$C$182,3,FALSE),"")</f>
        <v/>
      </c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</row>
    <row r="280" spans="1:30" ht="17">
      <c r="A280" s="49"/>
      <c r="B280" s="49" t="str">
        <f>CONCATENATE(Reports!E279," ",Reports!F279," ",Reports!G279)</f>
        <v xml:space="preserve">  </v>
      </c>
      <c r="C280" s="101"/>
      <c r="D280" s="101"/>
      <c r="E280" s="49" t="str">
        <f>IFERROR(VLOOKUP(D280,'taxonomy map'!$A$1:$B$171,2,FALSE),"")</f>
        <v/>
      </c>
      <c r="F280" s="49" t="str">
        <f>IFERROR(VLOOKUP(E280,'Condensed Specialty Crosswalk'!$A$2:$C$182,2,FALSE),"")</f>
        <v/>
      </c>
      <c r="G280" s="49" t="str">
        <f>IFERROR(VLOOKUP(E280,'Condensed Specialty Crosswalk'!$A$2:$C$182,3,FALSE),"")</f>
        <v/>
      </c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</row>
    <row r="281" spans="1:30" ht="17">
      <c r="A281" s="49"/>
      <c r="B281" s="49" t="str">
        <f>CONCATENATE(Reports!E280," ",Reports!F280," ",Reports!G280)</f>
        <v xml:space="preserve">  </v>
      </c>
      <c r="C281" s="101"/>
      <c r="D281" s="101"/>
      <c r="E281" s="49" t="str">
        <f>IFERROR(VLOOKUP(D281,'taxonomy map'!$A$1:$B$171,2,FALSE),"")</f>
        <v/>
      </c>
      <c r="F281" s="49" t="str">
        <f>IFERROR(VLOOKUP(E281,'Condensed Specialty Crosswalk'!$A$2:$C$182,2,FALSE),"")</f>
        <v/>
      </c>
      <c r="G281" s="49" t="str">
        <f>IFERROR(VLOOKUP(E281,'Condensed Specialty Crosswalk'!$A$2:$C$182,3,FALSE),"")</f>
        <v/>
      </c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</row>
    <row r="282" spans="1:30" ht="17">
      <c r="A282" s="49"/>
      <c r="B282" s="49" t="str">
        <f>CONCATENATE(Reports!E281," ",Reports!F281," ",Reports!G281)</f>
        <v xml:space="preserve">  </v>
      </c>
      <c r="C282" s="101"/>
      <c r="D282" s="101"/>
      <c r="E282" s="49" t="str">
        <f>IFERROR(VLOOKUP(D282,'taxonomy map'!$A$1:$B$171,2,FALSE),"")</f>
        <v/>
      </c>
      <c r="F282" s="49" t="str">
        <f>IFERROR(VLOOKUP(E282,'Condensed Specialty Crosswalk'!$A$2:$C$182,2,FALSE),"")</f>
        <v/>
      </c>
      <c r="G282" s="49" t="str">
        <f>IFERROR(VLOOKUP(E282,'Condensed Specialty Crosswalk'!$A$2:$C$182,3,FALSE),"")</f>
        <v/>
      </c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</row>
    <row r="283" spans="1:30" ht="17">
      <c r="A283" s="49"/>
      <c r="B283" s="49" t="str">
        <f>CONCATENATE(Reports!E282," ",Reports!F282," ",Reports!G282)</f>
        <v xml:space="preserve">  </v>
      </c>
      <c r="C283" s="101"/>
      <c r="D283" s="101"/>
      <c r="E283" s="49" t="str">
        <f>IFERROR(VLOOKUP(D283,'taxonomy map'!$A$1:$B$171,2,FALSE),"")</f>
        <v/>
      </c>
      <c r="F283" s="49" t="str">
        <f>IFERROR(VLOOKUP(E283,'Condensed Specialty Crosswalk'!$A$2:$C$182,2,FALSE),"")</f>
        <v/>
      </c>
      <c r="G283" s="49" t="str">
        <f>IFERROR(VLOOKUP(E283,'Condensed Specialty Crosswalk'!$A$2:$C$182,3,FALSE),"")</f>
        <v/>
      </c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</row>
    <row r="284" spans="1:30" ht="17">
      <c r="A284" s="49"/>
      <c r="B284" s="49" t="str">
        <f>CONCATENATE(Reports!E283," ",Reports!F283," ",Reports!G283)</f>
        <v xml:space="preserve">  </v>
      </c>
      <c r="C284" s="101"/>
      <c r="D284" s="101"/>
      <c r="E284" s="49" t="str">
        <f>IFERROR(VLOOKUP(D284,'taxonomy map'!$A$1:$B$171,2,FALSE),"")</f>
        <v/>
      </c>
      <c r="F284" s="49" t="str">
        <f>IFERROR(VLOOKUP(E284,'Condensed Specialty Crosswalk'!$A$2:$C$182,2,FALSE),"")</f>
        <v/>
      </c>
      <c r="G284" s="49" t="str">
        <f>IFERROR(VLOOKUP(E284,'Condensed Specialty Crosswalk'!$A$2:$C$182,3,FALSE),"")</f>
        <v/>
      </c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</row>
    <row r="285" spans="1:30" ht="17">
      <c r="A285" s="49"/>
      <c r="B285" s="49" t="str">
        <f>CONCATENATE(Reports!E284," ",Reports!F284," ",Reports!G284)</f>
        <v xml:space="preserve">  </v>
      </c>
      <c r="C285" s="101"/>
      <c r="D285" s="101"/>
      <c r="E285" s="49" t="str">
        <f>IFERROR(VLOOKUP(D285,'taxonomy map'!$A$1:$B$171,2,FALSE),"")</f>
        <v/>
      </c>
      <c r="F285" s="49" t="str">
        <f>IFERROR(VLOOKUP(E285,'Condensed Specialty Crosswalk'!$A$2:$C$182,2,FALSE),"")</f>
        <v/>
      </c>
      <c r="G285" s="49" t="str">
        <f>IFERROR(VLOOKUP(E285,'Condensed Specialty Crosswalk'!$A$2:$C$182,3,FALSE),"")</f>
        <v/>
      </c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</row>
    <row r="286" spans="1:30" ht="17">
      <c r="A286" s="49"/>
      <c r="B286" s="49" t="str">
        <f>CONCATENATE(Reports!E285," ",Reports!F285," ",Reports!G285)</f>
        <v xml:space="preserve">  </v>
      </c>
      <c r="C286" s="101"/>
      <c r="D286" s="101"/>
      <c r="E286" s="49" t="str">
        <f>IFERROR(VLOOKUP(D286,'taxonomy map'!$A$1:$B$171,2,FALSE),"")</f>
        <v/>
      </c>
      <c r="F286" s="49" t="str">
        <f>IFERROR(VLOOKUP(E286,'Condensed Specialty Crosswalk'!$A$2:$C$182,2,FALSE),"")</f>
        <v/>
      </c>
      <c r="G286" s="49" t="str">
        <f>IFERROR(VLOOKUP(E286,'Condensed Specialty Crosswalk'!$A$2:$C$182,3,FALSE),"")</f>
        <v/>
      </c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52"/>
    </row>
    <row r="287" spans="1:30" ht="17">
      <c r="A287" s="49"/>
      <c r="B287" s="49" t="str">
        <f>CONCATENATE(Reports!E286," ",Reports!F286," ",Reports!G286)</f>
        <v xml:space="preserve">  </v>
      </c>
      <c r="C287" s="101"/>
      <c r="D287" s="101"/>
      <c r="E287" s="49" t="str">
        <f>IFERROR(VLOOKUP(D287,'taxonomy map'!$A$1:$B$171,2,FALSE),"")</f>
        <v/>
      </c>
      <c r="F287" s="49" t="str">
        <f>IFERROR(VLOOKUP(E287,'Condensed Specialty Crosswalk'!$A$2:$C$182,2,FALSE),"")</f>
        <v/>
      </c>
      <c r="G287" s="49" t="str">
        <f>IFERROR(VLOOKUP(E287,'Condensed Specialty Crosswalk'!$A$2:$C$182,3,FALSE),"")</f>
        <v/>
      </c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52"/>
    </row>
    <row r="288" spans="1:30" ht="17">
      <c r="A288" s="49"/>
      <c r="B288" s="49" t="str">
        <f>CONCATENATE(Reports!E287," ",Reports!F287," ",Reports!G287)</f>
        <v xml:space="preserve">  </v>
      </c>
      <c r="C288" s="101"/>
      <c r="D288" s="101"/>
      <c r="E288" s="49" t="str">
        <f>IFERROR(VLOOKUP(D288,'taxonomy map'!$A$1:$B$171,2,FALSE),"")</f>
        <v/>
      </c>
      <c r="F288" s="49" t="str">
        <f>IFERROR(VLOOKUP(E288,'Condensed Specialty Crosswalk'!$A$2:$C$182,2,FALSE),"")</f>
        <v/>
      </c>
      <c r="G288" s="49" t="str">
        <f>IFERROR(VLOOKUP(E288,'Condensed Specialty Crosswalk'!$A$2:$C$182,3,FALSE),"")</f>
        <v/>
      </c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52"/>
    </row>
    <row r="289" spans="1:30" ht="17">
      <c r="A289" s="49"/>
      <c r="B289" s="49" t="str">
        <f>CONCATENATE(Reports!E288," ",Reports!F288," ",Reports!G288)</f>
        <v xml:space="preserve">  </v>
      </c>
      <c r="C289" s="101"/>
      <c r="D289" s="101"/>
      <c r="E289" s="49" t="str">
        <f>IFERROR(VLOOKUP(D289,'taxonomy map'!$A$1:$B$171,2,FALSE),"")</f>
        <v/>
      </c>
      <c r="F289" s="49" t="str">
        <f>IFERROR(VLOOKUP(E289,'Condensed Specialty Crosswalk'!$A$2:$C$182,2,FALSE),"")</f>
        <v/>
      </c>
      <c r="G289" s="49" t="str">
        <f>IFERROR(VLOOKUP(E289,'Condensed Specialty Crosswalk'!$A$2:$C$182,3,FALSE),"")</f>
        <v/>
      </c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52"/>
    </row>
    <row r="290" spans="1:30" ht="17">
      <c r="A290" s="49"/>
      <c r="B290" s="49" t="str">
        <f>CONCATENATE(Reports!E289," ",Reports!F289," ",Reports!G289)</f>
        <v xml:space="preserve">  </v>
      </c>
      <c r="C290" s="101"/>
      <c r="D290" s="101"/>
      <c r="E290" s="49" t="str">
        <f>IFERROR(VLOOKUP(D290,'taxonomy map'!$A$1:$B$171,2,FALSE),"")</f>
        <v/>
      </c>
      <c r="F290" s="49" t="str">
        <f>IFERROR(VLOOKUP(E290,'Condensed Specialty Crosswalk'!$A$2:$C$182,2,FALSE),"")</f>
        <v/>
      </c>
      <c r="G290" s="49" t="str">
        <f>IFERROR(VLOOKUP(E290,'Condensed Specialty Crosswalk'!$A$2:$C$182,3,FALSE),"")</f>
        <v/>
      </c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52"/>
    </row>
    <row r="291" spans="1:30" ht="17">
      <c r="A291" s="49"/>
      <c r="B291" s="49" t="str">
        <f>CONCATENATE(Reports!E290," ",Reports!F290," ",Reports!G290)</f>
        <v xml:space="preserve">  </v>
      </c>
      <c r="C291" s="101"/>
      <c r="D291" s="101"/>
      <c r="E291" s="49" t="str">
        <f>IFERROR(VLOOKUP(D291,'taxonomy map'!$A$1:$B$171,2,FALSE),"")</f>
        <v/>
      </c>
      <c r="F291" s="49" t="str">
        <f>IFERROR(VLOOKUP(E291,'Condensed Specialty Crosswalk'!$A$2:$C$182,2,FALSE),"")</f>
        <v/>
      </c>
      <c r="G291" s="49" t="str">
        <f>IFERROR(VLOOKUP(E291,'Condensed Specialty Crosswalk'!$A$2:$C$182,3,FALSE),"")</f>
        <v/>
      </c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</row>
    <row r="292" spans="1:30" ht="17">
      <c r="A292" s="49"/>
      <c r="B292" s="49" t="str">
        <f>CONCATENATE(Reports!E291," ",Reports!F291," ",Reports!G291)</f>
        <v xml:space="preserve">  </v>
      </c>
      <c r="C292" s="101"/>
      <c r="D292" s="101"/>
      <c r="E292" s="49" t="str">
        <f>IFERROR(VLOOKUP(D292,'taxonomy map'!$A$1:$B$171,2,FALSE),"")</f>
        <v/>
      </c>
      <c r="F292" s="49" t="str">
        <f>IFERROR(VLOOKUP(E292,'Condensed Specialty Crosswalk'!$A$2:$C$182,2,FALSE),"")</f>
        <v/>
      </c>
      <c r="G292" s="49" t="str">
        <f>IFERROR(VLOOKUP(E292,'Condensed Specialty Crosswalk'!$A$2:$C$182,3,FALSE),"")</f>
        <v/>
      </c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52"/>
    </row>
    <row r="293" spans="1:30" ht="17">
      <c r="A293" s="49"/>
      <c r="B293" s="49" t="str">
        <f>CONCATENATE(Reports!E292," ",Reports!F292," ",Reports!G292)</f>
        <v xml:space="preserve">  </v>
      </c>
      <c r="C293" s="101"/>
      <c r="D293" s="101"/>
      <c r="E293" s="49" t="str">
        <f>IFERROR(VLOOKUP(D293,'taxonomy map'!$A$1:$B$171,2,FALSE),"")</f>
        <v/>
      </c>
      <c r="F293" s="49" t="str">
        <f>IFERROR(VLOOKUP(E293,'Condensed Specialty Crosswalk'!$A$2:$C$182,2,FALSE),"")</f>
        <v/>
      </c>
      <c r="G293" s="49" t="str">
        <f>IFERROR(VLOOKUP(E293,'Condensed Specialty Crosswalk'!$A$2:$C$182,3,FALSE),"")</f>
        <v/>
      </c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52"/>
    </row>
    <row r="294" spans="1:30" ht="17">
      <c r="A294" s="49"/>
      <c r="B294" s="49" t="str">
        <f>CONCATENATE(Reports!E293," ",Reports!F293," ",Reports!G293)</f>
        <v xml:space="preserve">  </v>
      </c>
      <c r="C294" s="101"/>
      <c r="D294" s="101"/>
      <c r="E294" s="49" t="str">
        <f>IFERROR(VLOOKUP(D294,'taxonomy map'!$A$1:$B$171,2,FALSE),"")</f>
        <v/>
      </c>
      <c r="F294" s="49" t="str">
        <f>IFERROR(VLOOKUP(E294,'Condensed Specialty Crosswalk'!$A$2:$C$182,2,FALSE),"")</f>
        <v/>
      </c>
      <c r="G294" s="49" t="str">
        <f>IFERROR(VLOOKUP(E294,'Condensed Specialty Crosswalk'!$A$2:$C$182,3,FALSE),"")</f>
        <v/>
      </c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52"/>
    </row>
    <row r="295" spans="1:30" ht="17">
      <c r="A295" s="49"/>
      <c r="B295" s="49" t="str">
        <f>CONCATENATE(Reports!E294," ",Reports!F294," ",Reports!G294)</f>
        <v xml:space="preserve">  </v>
      </c>
      <c r="C295" s="101"/>
      <c r="D295" s="101"/>
      <c r="E295" s="49" t="str">
        <f>IFERROR(VLOOKUP(D295,'taxonomy map'!$A$1:$B$171,2,FALSE),"")</f>
        <v/>
      </c>
      <c r="F295" s="49" t="str">
        <f>IFERROR(VLOOKUP(E295,'Condensed Specialty Crosswalk'!$A$2:$C$182,2,FALSE),"")</f>
        <v/>
      </c>
      <c r="G295" s="49" t="str">
        <f>IFERROR(VLOOKUP(E295,'Condensed Specialty Crosswalk'!$A$2:$C$182,3,FALSE),"")</f>
        <v/>
      </c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</row>
    <row r="296" spans="1:30" ht="17">
      <c r="A296" s="49"/>
      <c r="B296" s="49" t="str">
        <f>CONCATENATE(Reports!E295," ",Reports!F295," ",Reports!G295)</f>
        <v xml:space="preserve">  </v>
      </c>
      <c r="C296" s="101"/>
      <c r="D296" s="101"/>
      <c r="E296" s="49" t="str">
        <f>IFERROR(VLOOKUP(D296,'taxonomy map'!$A$1:$B$171,2,FALSE),"")</f>
        <v/>
      </c>
      <c r="F296" s="49" t="str">
        <f>IFERROR(VLOOKUP(E296,'Condensed Specialty Crosswalk'!$A$2:$C$182,2,FALSE),"")</f>
        <v/>
      </c>
      <c r="G296" s="49" t="str">
        <f>IFERROR(VLOOKUP(E296,'Condensed Specialty Crosswalk'!$A$2:$C$182,3,FALSE),"")</f>
        <v/>
      </c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</row>
    <row r="297" spans="1:30" ht="17">
      <c r="A297" s="49"/>
      <c r="B297" s="49" t="str">
        <f>CONCATENATE(Reports!E296," ",Reports!F296," ",Reports!G296)</f>
        <v xml:space="preserve">  </v>
      </c>
      <c r="C297" s="101"/>
      <c r="D297" s="101"/>
      <c r="E297" s="49" t="str">
        <f>IFERROR(VLOOKUP(D297,'taxonomy map'!$A$1:$B$171,2,FALSE),"")</f>
        <v/>
      </c>
      <c r="F297" s="49" t="str">
        <f>IFERROR(VLOOKUP(E297,'Condensed Specialty Crosswalk'!$A$2:$C$182,2,FALSE),"")</f>
        <v/>
      </c>
      <c r="G297" s="49" t="str">
        <f>IFERROR(VLOOKUP(E297,'Condensed Specialty Crosswalk'!$A$2:$C$182,3,FALSE),"")</f>
        <v/>
      </c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52"/>
    </row>
    <row r="298" spans="1:30" ht="17">
      <c r="A298" s="49"/>
      <c r="B298" s="49" t="str">
        <f>CONCATENATE(Reports!E297," ",Reports!F297," ",Reports!G297)</f>
        <v xml:space="preserve">  </v>
      </c>
      <c r="C298" s="101"/>
      <c r="D298" s="101"/>
      <c r="E298" s="49" t="str">
        <f>IFERROR(VLOOKUP(D298,'taxonomy map'!$A$1:$B$171,2,FALSE),"")</f>
        <v/>
      </c>
      <c r="F298" s="49" t="str">
        <f>IFERROR(VLOOKUP(E298,'Condensed Specialty Crosswalk'!$A$2:$C$182,2,FALSE),"")</f>
        <v/>
      </c>
      <c r="G298" s="49" t="str">
        <f>IFERROR(VLOOKUP(E298,'Condensed Specialty Crosswalk'!$A$2:$C$182,3,FALSE),"")</f>
        <v/>
      </c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52"/>
    </row>
    <row r="299" spans="1:30" ht="17">
      <c r="A299" s="49"/>
      <c r="B299" s="49" t="str">
        <f>CONCATENATE(Reports!E298," ",Reports!F298," ",Reports!G298)</f>
        <v xml:space="preserve">  </v>
      </c>
      <c r="C299" s="101"/>
      <c r="D299" s="101"/>
      <c r="E299" s="49" t="str">
        <f>IFERROR(VLOOKUP(D299,'taxonomy map'!$A$1:$B$171,2,FALSE),"")</f>
        <v/>
      </c>
      <c r="F299" s="49" t="str">
        <f>IFERROR(VLOOKUP(E299,'Condensed Specialty Crosswalk'!$A$2:$C$182,2,FALSE),"")</f>
        <v/>
      </c>
      <c r="G299" s="49" t="str">
        <f>IFERROR(VLOOKUP(E299,'Condensed Specialty Crosswalk'!$A$2:$C$182,3,FALSE),"")</f>
        <v/>
      </c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52"/>
    </row>
    <row r="300" spans="1:30" ht="17">
      <c r="A300" s="49"/>
      <c r="B300" s="49" t="str">
        <f>CONCATENATE(Reports!E299," ",Reports!F299," ",Reports!G299)</f>
        <v xml:space="preserve">  </v>
      </c>
      <c r="C300" s="101"/>
      <c r="D300" s="101"/>
      <c r="E300" s="49" t="str">
        <f>IFERROR(VLOOKUP(D300,'taxonomy map'!$A$1:$B$171,2,FALSE),"")</f>
        <v/>
      </c>
      <c r="F300" s="49" t="str">
        <f>IFERROR(VLOOKUP(E300,'Condensed Specialty Crosswalk'!$A$2:$C$182,2,FALSE),"")</f>
        <v/>
      </c>
      <c r="G300" s="49" t="str">
        <f>IFERROR(VLOOKUP(E300,'Condensed Specialty Crosswalk'!$A$2:$C$182,3,FALSE),"")</f>
        <v/>
      </c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52"/>
    </row>
    <row r="301" spans="1:30" ht="17">
      <c r="A301" s="49"/>
      <c r="B301" s="49" t="str">
        <f>CONCATENATE(Reports!E300," ",Reports!F300," ",Reports!G300)</f>
        <v xml:space="preserve">  </v>
      </c>
      <c r="C301" s="101"/>
      <c r="D301" s="101"/>
      <c r="E301" s="49" t="str">
        <f>IFERROR(VLOOKUP(D301,'taxonomy map'!$A$1:$B$171,2,FALSE),"")</f>
        <v/>
      </c>
      <c r="F301" s="49" t="str">
        <f>IFERROR(VLOOKUP(E301,'Condensed Specialty Crosswalk'!$A$2:$C$182,2,FALSE),"")</f>
        <v/>
      </c>
      <c r="G301" s="49" t="str">
        <f>IFERROR(VLOOKUP(E301,'Condensed Specialty Crosswalk'!$A$2:$C$182,3,FALSE),"")</f>
        <v/>
      </c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52"/>
    </row>
    <row r="302" spans="1:30" ht="17">
      <c r="A302" s="49"/>
      <c r="B302" s="49" t="str">
        <f>CONCATENATE(Reports!E301," ",Reports!F301," ",Reports!G301)</f>
        <v xml:space="preserve">  </v>
      </c>
      <c r="C302" s="101"/>
      <c r="D302" s="101"/>
      <c r="E302" s="49" t="str">
        <f>IFERROR(VLOOKUP(D302,'taxonomy map'!$A$1:$B$171,2,FALSE),"")</f>
        <v/>
      </c>
      <c r="F302" s="49" t="str">
        <f>IFERROR(VLOOKUP(E302,'Condensed Specialty Crosswalk'!$A$2:$C$182,2,FALSE),"")</f>
        <v/>
      </c>
      <c r="G302" s="49" t="str">
        <f>IFERROR(VLOOKUP(E302,'Condensed Specialty Crosswalk'!$A$2:$C$182,3,FALSE),"")</f>
        <v/>
      </c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52"/>
    </row>
    <row r="303" spans="1:30" ht="17">
      <c r="A303" s="49"/>
      <c r="B303" s="49" t="str">
        <f>CONCATENATE(Reports!E302," ",Reports!F302," ",Reports!G302)</f>
        <v xml:space="preserve">  </v>
      </c>
      <c r="C303" s="101"/>
      <c r="D303" s="101"/>
      <c r="E303" s="49" t="str">
        <f>IFERROR(VLOOKUP(D303,'taxonomy map'!$A$1:$B$171,2,FALSE),"")</f>
        <v/>
      </c>
      <c r="F303" s="49" t="str">
        <f>IFERROR(VLOOKUP(E303,'Condensed Specialty Crosswalk'!$A$2:$C$182,2,FALSE),"")</f>
        <v/>
      </c>
      <c r="G303" s="49" t="str">
        <f>IFERROR(VLOOKUP(E303,'Condensed Specialty Crosswalk'!$A$2:$C$182,3,FALSE),"")</f>
        <v/>
      </c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52"/>
    </row>
    <row r="304" spans="1:30" ht="17">
      <c r="A304" s="49"/>
      <c r="B304" s="49" t="str">
        <f>CONCATENATE(Reports!E303," ",Reports!F303," ",Reports!G303)</f>
        <v xml:space="preserve">  </v>
      </c>
      <c r="C304" s="101"/>
      <c r="D304" s="101"/>
      <c r="E304" s="49" t="str">
        <f>IFERROR(VLOOKUP(D304,'taxonomy map'!$A$1:$B$171,2,FALSE),"")</f>
        <v/>
      </c>
      <c r="F304" s="49" t="str">
        <f>IFERROR(VLOOKUP(E304,'Condensed Specialty Crosswalk'!$A$2:$C$182,2,FALSE),"")</f>
        <v/>
      </c>
      <c r="G304" s="49" t="str">
        <f>IFERROR(VLOOKUP(E304,'Condensed Specialty Crosswalk'!$A$2:$C$182,3,FALSE),"")</f>
        <v/>
      </c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52"/>
    </row>
    <row r="305" spans="1:30" ht="17">
      <c r="A305" s="49"/>
      <c r="B305" s="49" t="str">
        <f>CONCATENATE(Reports!E304," ",Reports!F304," ",Reports!G304)</f>
        <v xml:space="preserve">  </v>
      </c>
      <c r="C305" s="101"/>
      <c r="D305" s="101"/>
      <c r="E305" s="49" t="str">
        <f>IFERROR(VLOOKUP(D305,'taxonomy map'!$A$1:$B$171,2,FALSE),"")</f>
        <v/>
      </c>
      <c r="F305" s="49" t="str">
        <f>IFERROR(VLOOKUP(E305,'Condensed Specialty Crosswalk'!$A$2:$C$182,2,FALSE),"")</f>
        <v/>
      </c>
      <c r="G305" s="49" t="str">
        <f>IFERROR(VLOOKUP(E305,'Condensed Specialty Crosswalk'!$A$2:$C$182,3,FALSE),"")</f>
        <v/>
      </c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52"/>
    </row>
    <row r="306" spans="1:30" ht="17">
      <c r="A306" s="49"/>
      <c r="B306" s="49" t="str">
        <f>CONCATENATE(Reports!E305," ",Reports!F305," ",Reports!G305)</f>
        <v xml:space="preserve">  </v>
      </c>
      <c r="C306" s="101"/>
      <c r="D306" s="101"/>
      <c r="E306" s="49" t="str">
        <f>IFERROR(VLOOKUP(D306,'taxonomy map'!$A$1:$B$171,2,FALSE),"")</f>
        <v/>
      </c>
      <c r="F306" s="49" t="str">
        <f>IFERROR(VLOOKUP(E306,'Condensed Specialty Crosswalk'!$A$2:$C$182,2,FALSE),"")</f>
        <v/>
      </c>
      <c r="G306" s="49" t="str">
        <f>IFERROR(VLOOKUP(E306,'Condensed Specialty Crosswalk'!$A$2:$C$182,3,FALSE),"")</f>
        <v/>
      </c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52"/>
    </row>
    <row r="307" spans="1:30" ht="17">
      <c r="A307" s="49"/>
      <c r="B307" s="49" t="str">
        <f>CONCATENATE(Reports!E306," ",Reports!F306," ",Reports!G306)</f>
        <v xml:space="preserve">  </v>
      </c>
      <c r="C307" s="101"/>
      <c r="D307" s="101"/>
      <c r="E307" s="49" t="str">
        <f>IFERROR(VLOOKUP(D307,'taxonomy map'!$A$1:$B$171,2,FALSE),"")</f>
        <v/>
      </c>
      <c r="F307" s="49" t="str">
        <f>IFERROR(VLOOKUP(E307,'Condensed Specialty Crosswalk'!$A$2:$C$182,2,FALSE),"")</f>
        <v/>
      </c>
      <c r="G307" s="49" t="str">
        <f>IFERROR(VLOOKUP(E307,'Condensed Specialty Crosswalk'!$A$2:$C$182,3,FALSE),"")</f>
        <v/>
      </c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52"/>
    </row>
    <row r="308" spans="1:30" ht="17">
      <c r="A308" s="49"/>
      <c r="B308" s="49" t="str">
        <f>CONCATENATE(Reports!E307," ",Reports!F307," ",Reports!G307)</f>
        <v xml:space="preserve">  </v>
      </c>
      <c r="C308" s="101"/>
      <c r="D308" s="101"/>
      <c r="E308" s="49" t="str">
        <f>IFERROR(VLOOKUP(D308,'taxonomy map'!$A$1:$B$171,2,FALSE),"")</f>
        <v/>
      </c>
      <c r="F308" s="49" t="str">
        <f>IFERROR(VLOOKUP(E308,'Condensed Specialty Crosswalk'!$A$2:$C$182,2,FALSE),"")</f>
        <v/>
      </c>
      <c r="G308" s="49" t="str">
        <f>IFERROR(VLOOKUP(E308,'Condensed Specialty Crosswalk'!$A$2:$C$182,3,FALSE),"")</f>
        <v/>
      </c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</row>
    <row r="309" spans="1:30" ht="17">
      <c r="A309" s="49"/>
      <c r="B309" s="49" t="str">
        <f>CONCATENATE(Reports!E308," ",Reports!F308," ",Reports!G308)</f>
        <v xml:space="preserve">  </v>
      </c>
      <c r="C309" s="101"/>
      <c r="D309" s="101"/>
      <c r="E309" s="49" t="str">
        <f>IFERROR(VLOOKUP(D309,'taxonomy map'!$A$1:$B$171,2,FALSE),"")</f>
        <v/>
      </c>
      <c r="F309" s="49" t="str">
        <f>IFERROR(VLOOKUP(E309,'Condensed Specialty Crosswalk'!$A$2:$C$182,2,FALSE),"")</f>
        <v/>
      </c>
      <c r="G309" s="49" t="str">
        <f>IFERROR(VLOOKUP(E309,'Condensed Specialty Crosswalk'!$A$2:$C$182,3,FALSE),"")</f>
        <v/>
      </c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</row>
    <row r="310" spans="1:30" ht="17">
      <c r="A310" s="49"/>
      <c r="B310" s="49" t="str">
        <f>CONCATENATE(Reports!E309," ",Reports!F309," ",Reports!G309)</f>
        <v xml:space="preserve">  </v>
      </c>
      <c r="C310" s="101"/>
      <c r="D310" s="101"/>
      <c r="E310" s="49" t="str">
        <f>IFERROR(VLOOKUP(D310,'taxonomy map'!$A$1:$B$171,2,FALSE),"")</f>
        <v/>
      </c>
      <c r="F310" s="49" t="str">
        <f>IFERROR(VLOOKUP(E310,'Condensed Specialty Crosswalk'!$A$2:$C$182,2,FALSE),"")</f>
        <v/>
      </c>
      <c r="G310" s="49" t="str">
        <f>IFERROR(VLOOKUP(E310,'Condensed Specialty Crosswalk'!$A$2:$C$182,3,FALSE),"")</f>
        <v/>
      </c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</row>
    <row r="311" spans="1:30" ht="17">
      <c r="A311" s="49"/>
      <c r="B311" s="49" t="str">
        <f>CONCATENATE(Reports!E310," ",Reports!F310," ",Reports!G310)</f>
        <v xml:space="preserve">  </v>
      </c>
      <c r="C311" s="101"/>
      <c r="D311" s="101"/>
      <c r="E311" s="49" t="str">
        <f>IFERROR(VLOOKUP(D311,'taxonomy map'!$A$1:$B$171,2,FALSE),"")</f>
        <v/>
      </c>
      <c r="F311" s="49" t="str">
        <f>IFERROR(VLOOKUP(E311,'Condensed Specialty Crosswalk'!$A$2:$C$182,2,FALSE),"")</f>
        <v/>
      </c>
      <c r="G311" s="49" t="str">
        <f>IFERROR(VLOOKUP(E311,'Condensed Specialty Crosswalk'!$A$2:$C$182,3,FALSE),"")</f>
        <v/>
      </c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</row>
    <row r="312" spans="1:30" ht="17">
      <c r="A312" s="49"/>
      <c r="B312" s="49" t="str">
        <f>CONCATENATE(Reports!E311," ",Reports!F311," ",Reports!G311)</f>
        <v xml:space="preserve">  </v>
      </c>
      <c r="C312" s="101"/>
      <c r="D312" s="101"/>
      <c r="E312" s="49" t="str">
        <f>IFERROR(VLOOKUP(D312,'taxonomy map'!$A$1:$B$171,2,FALSE),"")</f>
        <v/>
      </c>
      <c r="F312" s="49" t="str">
        <f>IFERROR(VLOOKUP(E312,'Condensed Specialty Crosswalk'!$A$2:$C$182,2,FALSE),"")</f>
        <v/>
      </c>
      <c r="G312" s="49" t="str">
        <f>IFERROR(VLOOKUP(E312,'Condensed Specialty Crosswalk'!$A$2:$C$182,3,FALSE),"")</f>
        <v/>
      </c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</row>
    <row r="313" spans="1:30" ht="17">
      <c r="A313" s="49"/>
      <c r="B313" s="49" t="str">
        <f>CONCATENATE(Reports!E312," ",Reports!F312," ",Reports!G312)</f>
        <v xml:space="preserve">  </v>
      </c>
      <c r="C313" s="101"/>
      <c r="D313" s="101"/>
      <c r="E313" s="49" t="str">
        <f>IFERROR(VLOOKUP(D313,'taxonomy map'!$A$1:$B$171,2,FALSE),"")</f>
        <v/>
      </c>
      <c r="F313" s="49" t="str">
        <f>IFERROR(VLOOKUP(E313,'Condensed Specialty Crosswalk'!$A$2:$C$182,2,FALSE),"")</f>
        <v/>
      </c>
      <c r="G313" s="49" t="str">
        <f>IFERROR(VLOOKUP(E313,'Condensed Specialty Crosswalk'!$A$2:$C$182,3,FALSE),"")</f>
        <v/>
      </c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</row>
    <row r="314" spans="1:30" ht="17">
      <c r="A314" s="49"/>
      <c r="B314" s="49" t="str">
        <f>CONCATENATE(Reports!E313," ",Reports!F313," ",Reports!G313)</f>
        <v xml:space="preserve">  </v>
      </c>
      <c r="C314" s="101"/>
      <c r="D314" s="101"/>
      <c r="E314" s="49" t="str">
        <f>IFERROR(VLOOKUP(D314,'taxonomy map'!$A$1:$B$171,2,FALSE),"")</f>
        <v/>
      </c>
      <c r="F314" s="49" t="str">
        <f>IFERROR(VLOOKUP(E314,'Condensed Specialty Crosswalk'!$A$2:$C$182,2,FALSE),"")</f>
        <v/>
      </c>
      <c r="G314" s="49" t="str">
        <f>IFERROR(VLOOKUP(E314,'Condensed Specialty Crosswalk'!$A$2:$C$182,3,FALSE),"")</f>
        <v/>
      </c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</row>
    <row r="315" spans="1:30" ht="17">
      <c r="A315" s="49"/>
      <c r="B315" s="49" t="str">
        <f>CONCATENATE(Reports!E314," ",Reports!F314," ",Reports!G314)</f>
        <v xml:space="preserve">  </v>
      </c>
      <c r="C315" s="101"/>
      <c r="D315" s="101"/>
      <c r="E315" s="49" t="str">
        <f>IFERROR(VLOOKUP(D315,'taxonomy map'!$A$1:$B$171,2,FALSE),"")</f>
        <v/>
      </c>
      <c r="F315" s="49" t="str">
        <f>IFERROR(VLOOKUP(E315,'Condensed Specialty Crosswalk'!$A$2:$C$182,2,FALSE),"")</f>
        <v/>
      </c>
      <c r="G315" s="49" t="str">
        <f>IFERROR(VLOOKUP(E315,'Condensed Specialty Crosswalk'!$A$2:$C$182,3,FALSE),"")</f>
        <v/>
      </c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</row>
    <row r="316" spans="1:30" ht="17">
      <c r="A316" s="49"/>
      <c r="B316" s="49" t="str">
        <f>CONCATENATE(Reports!E315," ",Reports!F315," ",Reports!G315)</f>
        <v xml:space="preserve">  </v>
      </c>
      <c r="C316" s="101"/>
      <c r="D316" s="101"/>
      <c r="E316" s="49" t="str">
        <f>IFERROR(VLOOKUP(D316,'taxonomy map'!$A$1:$B$171,2,FALSE),"")</f>
        <v/>
      </c>
      <c r="F316" s="49" t="str">
        <f>IFERROR(VLOOKUP(E316,'Condensed Specialty Crosswalk'!$A$2:$C$182,2,FALSE),"")</f>
        <v/>
      </c>
      <c r="G316" s="49" t="str">
        <f>IFERROR(VLOOKUP(E316,'Condensed Specialty Crosswalk'!$A$2:$C$182,3,FALSE),"")</f>
        <v/>
      </c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</row>
    <row r="317" spans="1:30" ht="17">
      <c r="A317" s="49"/>
      <c r="B317" s="49" t="str">
        <f>CONCATENATE(Reports!E316," ",Reports!F316," ",Reports!G316)</f>
        <v xml:space="preserve">  </v>
      </c>
      <c r="C317" s="101"/>
      <c r="D317" s="101"/>
      <c r="E317" s="49" t="str">
        <f>IFERROR(VLOOKUP(D317,'taxonomy map'!$A$1:$B$171,2,FALSE),"")</f>
        <v/>
      </c>
      <c r="F317" s="49" t="str">
        <f>IFERROR(VLOOKUP(E317,'Condensed Specialty Crosswalk'!$A$2:$C$182,2,FALSE),"")</f>
        <v/>
      </c>
      <c r="G317" s="49" t="str">
        <f>IFERROR(VLOOKUP(E317,'Condensed Specialty Crosswalk'!$A$2:$C$182,3,FALSE),"")</f>
        <v/>
      </c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</row>
    <row r="318" spans="1:30" ht="17">
      <c r="A318" s="49"/>
      <c r="B318" s="49" t="str">
        <f>CONCATENATE(Reports!E317," ",Reports!F317," ",Reports!G317)</f>
        <v xml:space="preserve">  </v>
      </c>
      <c r="C318" s="101"/>
      <c r="D318" s="101"/>
      <c r="E318" s="49" t="str">
        <f>IFERROR(VLOOKUP(D318,'taxonomy map'!$A$1:$B$171,2,FALSE),"")</f>
        <v/>
      </c>
      <c r="F318" s="49" t="str">
        <f>IFERROR(VLOOKUP(E318,'Condensed Specialty Crosswalk'!$A$2:$C$182,2,FALSE),"")</f>
        <v/>
      </c>
      <c r="G318" s="49" t="str">
        <f>IFERROR(VLOOKUP(E318,'Condensed Specialty Crosswalk'!$A$2:$C$182,3,FALSE),"")</f>
        <v/>
      </c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</row>
    <row r="319" spans="1:30" ht="17">
      <c r="A319" s="49"/>
      <c r="B319" s="49" t="str">
        <f>CONCATENATE(Reports!E318," ",Reports!F318," ",Reports!G318)</f>
        <v xml:space="preserve">  </v>
      </c>
      <c r="C319" s="101"/>
      <c r="D319" s="101"/>
      <c r="E319" s="49" t="str">
        <f>IFERROR(VLOOKUP(D319,'taxonomy map'!$A$1:$B$171,2,FALSE),"")</f>
        <v/>
      </c>
      <c r="F319" s="49" t="str">
        <f>IFERROR(VLOOKUP(E319,'Condensed Specialty Crosswalk'!$A$2:$C$182,2,FALSE),"")</f>
        <v/>
      </c>
      <c r="G319" s="49" t="str">
        <f>IFERROR(VLOOKUP(E319,'Condensed Specialty Crosswalk'!$A$2:$C$182,3,FALSE),"")</f>
        <v/>
      </c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</row>
    <row r="320" spans="1:30" ht="17">
      <c r="A320" s="49"/>
      <c r="B320" s="49" t="str">
        <f>CONCATENATE(Reports!E319," ",Reports!F319," ",Reports!G319)</f>
        <v xml:space="preserve">  </v>
      </c>
      <c r="C320" s="101"/>
      <c r="D320" s="101"/>
      <c r="E320" s="49" t="str">
        <f>IFERROR(VLOOKUP(D320,'taxonomy map'!$A$1:$B$171,2,FALSE),"")</f>
        <v/>
      </c>
      <c r="F320" s="49" t="str">
        <f>IFERROR(VLOOKUP(E320,'Condensed Specialty Crosswalk'!$A$2:$C$182,2,FALSE),"")</f>
        <v/>
      </c>
      <c r="G320" s="49" t="str">
        <f>IFERROR(VLOOKUP(E320,'Condensed Specialty Crosswalk'!$A$2:$C$182,3,FALSE),"")</f>
        <v/>
      </c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</row>
    <row r="321" spans="1:30" ht="17">
      <c r="A321" s="49"/>
      <c r="B321" s="49" t="str">
        <f>CONCATENATE(Reports!E320," ",Reports!F320," ",Reports!G320)</f>
        <v xml:space="preserve">  </v>
      </c>
      <c r="C321" s="101"/>
      <c r="D321" s="101"/>
      <c r="E321" s="49" t="str">
        <f>IFERROR(VLOOKUP(D321,'taxonomy map'!$A$1:$B$171,2,FALSE),"")</f>
        <v/>
      </c>
      <c r="F321" s="49" t="str">
        <f>IFERROR(VLOOKUP(E321,'Condensed Specialty Crosswalk'!$A$2:$C$182,2,FALSE),"")</f>
        <v/>
      </c>
      <c r="G321" s="49" t="str">
        <f>IFERROR(VLOOKUP(E321,'Condensed Specialty Crosswalk'!$A$2:$C$182,3,FALSE),"")</f>
        <v/>
      </c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</row>
    <row r="322" spans="1:30" ht="17">
      <c r="A322" s="49"/>
      <c r="B322" s="49" t="str">
        <f>CONCATENATE(Reports!E321," ",Reports!F321," ",Reports!G321)</f>
        <v xml:space="preserve">  </v>
      </c>
      <c r="C322" s="101"/>
      <c r="D322" s="101"/>
      <c r="E322" s="49" t="str">
        <f>IFERROR(VLOOKUP(D322,'taxonomy map'!$A$1:$B$171,2,FALSE),"")</f>
        <v/>
      </c>
      <c r="F322" s="49" t="str">
        <f>IFERROR(VLOOKUP(E322,'Condensed Specialty Crosswalk'!$A$2:$C$182,2,FALSE),"")</f>
        <v/>
      </c>
      <c r="G322" s="49" t="str">
        <f>IFERROR(VLOOKUP(E322,'Condensed Specialty Crosswalk'!$A$2:$C$182,3,FALSE),"")</f>
        <v/>
      </c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</row>
    <row r="323" spans="1:30" ht="17">
      <c r="A323" s="49"/>
      <c r="B323" s="49" t="str">
        <f>CONCATENATE(Reports!E322," ",Reports!F322," ",Reports!G322)</f>
        <v xml:space="preserve">  </v>
      </c>
      <c r="C323" s="101"/>
      <c r="D323" s="101"/>
      <c r="E323" s="49" t="str">
        <f>IFERROR(VLOOKUP(D323,'taxonomy map'!$A$1:$B$171,2,FALSE),"")</f>
        <v/>
      </c>
      <c r="F323" s="49" t="str">
        <f>IFERROR(VLOOKUP(E323,'Condensed Specialty Crosswalk'!$A$2:$C$182,2,FALSE),"")</f>
        <v/>
      </c>
      <c r="G323" s="49" t="str">
        <f>IFERROR(VLOOKUP(E323,'Condensed Specialty Crosswalk'!$A$2:$C$182,3,FALSE),"")</f>
        <v/>
      </c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</row>
    <row r="324" spans="1:30" ht="17">
      <c r="A324" s="49"/>
      <c r="B324" s="49" t="str">
        <f>CONCATENATE(Reports!E323," ",Reports!F323," ",Reports!G323)</f>
        <v xml:space="preserve">  </v>
      </c>
      <c r="C324" s="101"/>
      <c r="D324" s="101"/>
      <c r="E324" s="49" t="str">
        <f>IFERROR(VLOOKUP(D324,'taxonomy map'!$A$1:$B$171,2,FALSE),"")</f>
        <v/>
      </c>
      <c r="F324" s="49" t="str">
        <f>IFERROR(VLOOKUP(E324,'Condensed Specialty Crosswalk'!$A$2:$C$182,2,FALSE),"")</f>
        <v/>
      </c>
      <c r="G324" s="49" t="str">
        <f>IFERROR(VLOOKUP(E324,'Condensed Specialty Crosswalk'!$A$2:$C$182,3,FALSE),"")</f>
        <v/>
      </c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</row>
    <row r="325" spans="1:30" ht="17">
      <c r="A325" s="49"/>
      <c r="B325" s="49" t="str">
        <f>CONCATENATE(Reports!E324," ",Reports!F324," ",Reports!G324)</f>
        <v xml:space="preserve">  </v>
      </c>
      <c r="C325" s="101"/>
      <c r="D325" s="101"/>
      <c r="E325" s="49" t="str">
        <f>IFERROR(VLOOKUP(D325,'taxonomy map'!$A$1:$B$171,2,FALSE),"")</f>
        <v/>
      </c>
      <c r="F325" s="49" t="str">
        <f>IFERROR(VLOOKUP(E325,'Condensed Specialty Crosswalk'!$A$2:$C$182,2,FALSE),"")</f>
        <v/>
      </c>
      <c r="G325" s="49" t="str">
        <f>IFERROR(VLOOKUP(E325,'Condensed Specialty Crosswalk'!$A$2:$C$182,3,FALSE),"")</f>
        <v/>
      </c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</row>
    <row r="326" spans="1:30" ht="17">
      <c r="A326" s="49"/>
      <c r="B326" s="49" t="str">
        <f>CONCATENATE(Reports!E325," ",Reports!F325," ",Reports!G325)</f>
        <v xml:space="preserve">  </v>
      </c>
      <c r="C326" s="101"/>
      <c r="D326" s="101"/>
      <c r="E326" s="49" t="str">
        <f>IFERROR(VLOOKUP(D326,'taxonomy map'!$A$1:$B$171,2,FALSE),"")</f>
        <v/>
      </c>
      <c r="F326" s="49" t="str">
        <f>IFERROR(VLOOKUP(E326,'Condensed Specialty Crosswalk'!$A$2:$C$182,2,FALSE),"")</f>
        <v/>
      </c>
      <c r="G326" s="49" t="str">
        <f>IFERROR(VLOOKUP(E326,'Condensed Specialty Crosswalk'!$A$2:$C$182,3,FALSE),"")</f>
        <v/>
      </c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</row>
    <row r="327" spans="1:30" ht="17">
      <c r="A327" s="49"/>
      <c r="B327" s="49" t="str">
        <f>CONCATENATE(Reports!E326," ",Reports!F326," ",Reports!G326)</f>
        <v xml:space="preserve">  </v>
      </c>
      <c r="C327" s="101"/>
      <c r="D327" s="101"/>
      <c r="E327" s="49" t="str">
        <f>IFERROR(VLOOKUP(D327,'taxonomy map'!$A$1:$B$171,2,FALSE),"")</f>
        <v/>
      </c>
      <c r="F327" s="49" t="str">
        <f>IFERROR(VLOOKUP(E327,'Condensed Specialty Crosswalk'!$A$2:$C$182,2,FALSE),"")</f>
        <v/>
      </c>
      <c r="G327" s="49" t="str">
        <f>IFERROR(VLOOKUP(E327,'Condensed Specialty Crosswalk'!$A$2:$C$182,3,FALSE),"")</f>
        <v/>
      </c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</row>
    <row r="328" spans="1:30" ht="17">
      <c r="A328" s="49"/>
      <c r="B328" s="49" t="str">
        <f>CONCATENATE(Reports!E327," ",Reports!F327," ",Reports!G327)</f>
        <v xml:space="preserve">  </v>
      </c>
      <c r="C328" s="101"/>
      <c r="D328" s="101"/>
      <c r="E328" s="49" t="str">
        <f>IFERROR(VLOOKUP(D328,'taxonomy map'!$A$1:$B$171,2,FALSE),"")</f>
        <v/>
      </c>
      <c r="F328" s="49" t="str">
        <f>IFERROR(VLOOKUP(E328,'Condensed Specialty Crosswalk'!$A$2:$C$182,2,FALSE),"")</f>
        <v/>
      </c>
      <c r="G328" s="49" t="str">
        <f>IFERROR(VLOOKUP(E328,'Condensed Specialty Crosswalk'!$A$2:$C$182,3,FALSE),"")</f>
        <v/>
      </c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</row>
    <row r="329" spans="1:30" ht="17">
      <c r="A329" s="49"/>
      <c r="B329" s="49" t="str">
        <f>CONCATENATE(Reports!E328," ",Reports!F328," ",Reports!G328)</f>
        <v xml:space="preserve">  </v>
      </c>
      <c r="C329" s="101"/>
      <c r="D329" s="101"/>
      <c r="E329" s="49" t="str">
        <f>IFERROR(VLOOKUP(D329,'taxonomy map'!$A$1:$B$171,2,FALSE),"")</f>
        <v/>
      </c>
      <c r="F329" s="49" t="str">
        <f>IFERROR(VLOOKUP(E329,'Condensed Specialty Crosswalk'!$A$2:$C$182,2,FALSE),"")</f>
        <v/>
      </c>
      <c r="G329" s="49" t="str">
        <f>IFERROR(VLOOKUP(E329,'Condensed Specialty Crosswalk'!$A$2:$C$182,3,FALSE),"")</f>
        <v/>
      </c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52"/>
    </row>
    <row r="330" spans="1:30" ht="17">
      <c r="A330" s="49"/>
      <c r="B330" s="49" t="str">
        <f>CONCATENATE(Reports!E329," ",Reports!F329," ",Reports!G329)</f>
        <v xml:space="preserve">  </v>
      </c>
      <c r="C330" s="101"/>
      <c r="D330" s="101"/>
      <c r="E330" s="49" t="str">
        <f>IFERROR(VLOOKUP(D330,'taxonomy map'!$A$1:$B$171,2,FALSE),"")</f>
        <v/>
      </c>
      <c r="F330" s="49" t="str">
        <f>IFERROR(VLOOKUP(E330,'Condensed Specialty Crosswalk'!$A$2:$C$182,2,FALSE),"")</f>
        <v/>
      </c>
      <c r="G330" s="49" t="str">
        <f>IFERROR(VLOOKUP(E330,'Condensed Specialty Crosswalk'!$A$2:$C$182,3,FALSE),"")</f>
        <v/>
      </c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</row>
    <row r="331" spans="1:30" ht="17">
      <c r="A331" s="49"/>
      <c r="B331" s="49" t="str">
        <f>CONCATENATE(Reports!E330," ",Reports!F330," ",Reports!G330)</f>
        <v xml:space="preserve">  </v>
      </c>
      <c r="C331" s="101"/>
      <c r="D331" s="101"/>
      <c r="E331" s="49" t="str">
        <f>IFERROR(VLOOKUP(D331,'taxonomy map'!$A$1:$B$171,2,FALSE),"")</f>
        <v/>
      </c>
      <c r="F331" s="49" t="str">
        <f>IFERROR(VLOOKUP(E331,'Condensed Specialty Crosswalk'!$A$2:$C$182,2,FALSE),"")</f>
        <v/>
      </c>
      <c r="G331" s="49" t="str">
        <f>IFERROR(VLOOKUP(E331,'Condensed Specialty Crosswalk'!$A$2:$C$182,3,FALSE),"")</f>
        <v/>
      </c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52"/>
    </row>
    <row r="332" spans="1:30" ht="17">
      <c r="A332" s="49"/>
      <c r="B332" s="49" t="str">
        <f>CONCATENATE(Reports!E331," ",Reports!F331," ",Reports!G331)</f>
        <v xml:space="preserve">  </v>
      </c>
      <c r="C332" s="101"/>
      <c r="D332" s="101"/>
      <c r="E332" s="49" t="str">
        <f>IFERROR(VLOOKUP(D332,'taxonomy map'!$A$1:$B$171,2,FALSE),"")</f>
        <v/>
      </c>
      <c r="F332" s="49" t="str">
        <f>IFERROR(VLOOKUP(E332,'Condensed Specialty Crosswalk'!$A$2:$C$182,2,FALSE),"")</f>
        <v/>
      </c>
      <c r="G332" s="49" t="str">
        <f>IFERROR(VLOOKUP(E332,'Condensed Specialty Crosswalk'!$A$2:$C$182,3,FALSE),"")</f>
        <v/>
      </c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</row>
    <row r="333" spans="1:30" ht="17">
      <c r="A333" s="49"/>
      <c r="B333" s="49" t="str">
        <f>CONCATENATE(Reports!E332," ",Reports!F332," ",Reports!G332)</f>
        <v xml:space="preserve">  </v>
      </c>
      <c r="C333" s="101"/>
      <c r="D333" s="101"/>
      <c r="E333" s="49" t="str">
        <f>IFERROR(VLOOKUP(D333,'taxonomy map'!$A$1:$B$171,2,FALSE),"")</f>
        <v/>
      </c>
      <c r="F333" s="49" t="str">
        <f>IFERROR(VLOOKUP(E333,'Condensed Specialty Crosswalk'!$A$2:$C$182,2,FALSE),"")</f>
        <v/>
      </c>
      <c r="G333" s="49" t="str">
        <f>IFERROR(VLOOKUP(E333,'Condensed Specialty Crosswalk'!$A$2:$C$182,3,FALSE),"")</f>
        <v/>
      </c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</row>
    <row r="334" spans="1:30" ht="17">
      <c r="A334" s="49"/>
      <c r="B334" s="49" t="str">
        <f>CONCATENATE(Reports!E333," ",Reports!F333," ",Reports!G333)</f>
        <v xml:space="preserve">  </v>
      </c>
      <c r="C334" s="101"/>
      <c r="D334" s="101"/>
      <c r="E334" s="49" t="str">
        <f>IFERROR(VLOOKUP(D334,'taxonomy map'!$A$1:$B$171,2,FALSE),"")</f>
        <v/>
      </c>
      <c r="F334" s="49" t="str">
        <f>IFERROR(VLOOKUP(E334,'Condensed Specialty Crosswalk'!$A$2:$C$182,2,FALSE),"")</f>
        <v/>
      </c>
      <c r="G334" s="49" t="str">
        <f>IFERROR(VLOOKUP(E334,'Condensed Specialty Crosswalk'!$A$2:$C$182,3,FALSE),"")</f>
        <v/>
      </c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</row>
    <row r="335" spans="1:30" ht="17">
      <c r="A335" s="49"/>
      <c r="B335" s="49" t="str">
        <f>CONCATENATE(Reports!E334," ",Reports!F334," ",Reports!G334)</f>
        <v xml:space="preserve">  </v>
      </c>
      <c r="C335" s="101"/>
      <c r="D335" s="101"/>
      <c r="E335" s="49" t="str">
        <f>IFERROR(VLOOKUP(D335,'taxonomy map'!$A$1:$B$171,2,FALSE),"")</f>
        <v/>
      </c>
      <c r="F335" s="49" t="str">
        <f>IFERROR(VLOOKUP(E335,'Condensed Specialty Crosswalk'!$A$2:$C$182,2,FALSE),"")</f>
        <v/>
      </c>
      <c r="G335" s="49" t="str">
        <f>IFERROR(VLOOKUP(E335,'Condensed Specialty Crosswalk'!$A$2:$C$182,3,FALSE),"")</f>
        <v/>
      </c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</row>
    <row r="336" spans="1:30" ht="17">
      <c r="A336" s="49"/>
      <c r="B336" s="49" t="str">
        <f>CONCATENATE(Reports!E335," ",Reports!F335," ",Reports!G335)</f>
        <v xml:space="preserve">  </v>
      </c>
      <c r="C336" s="101"/>
      <c r="D336" s="101"/>
      <c r="E336" s="49" t="str">
        <f>IFERROR(VLOOKUP(D336,'taxonomy map'!$A$1:$B$171,2,FALSE),"")</f>
        <v/>
      </c>
      <c r="F336" s="49" t="str">
        <f>IFERROR(VLOOKUP(E336,'Condensed Specialty Crosswalk'!$A$2:$C$182,2,FALSE),"")</f>
        <v/>
      </c>
      <c r="G336" s="49" t="str">
        <f>IFERROR(VLOOKUP(E336,'Condensed Specialty Crosswalk'!$A$2:$C$182,3,FALSE),"")</f>
        <v/>
      </c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</row>
    <row r="337" spans="1:30" ht="17">
      <c r="A337" s="49"/>
      <c r="B337" s="49" t="str">
        <f>CONCATENATE(Reports!E336," ",Reports!F336," ",Reports!G336)</f>
        <v xml:space="preserve">  </v>
      </c>
      <c r="C337" s="101"/>
      <c r="D337" s="101"/>
      <c r="E337" s="49" t="str">
        <f>IFERROR(VLOOKUP(D337,'taxonomy map'!$A$1:$B$171,2,FALSE),"")</f>
        <v/>
      </c>
      <c r="F337" s="49" t="str">
        <f>IFERROR(VLOOKUP(E337,'Condensed Specialty Crosswalk'!$A$2:$C$182,2,FALSE),"")</f>
        <v/>
      </c>
      <c r="G337" s="49" t="str">
        <f>IFERROR(VLOOKUP(E337,'Condensed Specialty Crosswalk'!$A$2:$C$182,3,FALSE),"")</f>
        <v/>
      </c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</row>
    <row r="338" spans="1:30" ht="17">
      <c r="A338" s="49"/>
      <c r="B338" s="49" t="str">
        <f>CONCATENATE(Reports!E337," ",Reports!F337," ",Reports!G337)</f>
        <v xml:space="preserve">  </v>
      </c>
      <c r="C338" s="101"/>
      <c r="D338" s="101"/>
      <c r="E338" s="49" t="str">
        <f>IFERROR(VLOOKUP(D338,'taxonomy map'!$A$1:$B$171,2,FALSE),"")</f>
        <v/>
      </c>
      <c r="F338" s="49" t="str">
        <f>IFERROR(VLOOKUP(E338,'Condensed Specialty Crosswalk'!$A$2:$C$182,2,FALSE),"")</f>
        <v/>
      </c>
      <c r="G338" s="49" t="str">
        <f>IFERROR(VLOOKUP(E338,'Condensed Specialty Crosswalk'!$A$2:$C$182,3,FALSE),"")</f>
        <v/>
      </c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</row>
    <row r="339" spans="1:30" ht="17">
      <c r="A339" s="49"/>
      <c r="B339" s="49" t="str">
        <f>CONCATENATE(Reports!E338," ",Reports!F338," ",Reports!G338)</f>
        <v xml:space="preserve">  </v>
      </c>
      <c r="C339" s="101"/>
      <c r="D339" s="101"/>
      <c r="E339" s="49" t="str">
        <f>IFERROR(VLOOKUP(D339,'taxonomy map'!$A$1:$B$171,2,FALSE),"")</f>
        <v/>
      </c>
      <c r="F339" s="49" t="str">
        <f>IFERROR(VLOOKUP(E339,'Condensed Specialty Crosswalk'!$A$2:$C$182,2,FALSE),"")</f>
        <v/>
      </c>
      <c r="G339" s="49" t="str">
        <f>IFERROR(VLOOKUP(E339,'Condensed Specialty Crosswalk'!$A$2:$C$182,3,FALSE),"")</f>
        <v/>
      </c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</row>
    <row r="340" spans="1:30" ht="17">
      <c r="A340" s="49"/>
      <c r="B340" s="49" t="str">
        <f>CONCATENATE(Reports!E339," ",Reports!F339," ",Reports!G339)</f>
        <v xml:space="preserve">  </v>
      </c>
      <c r="C340" s="101"/>
      <c r="D340" s="101"/>
      <c r="E340" s="49" t="str">
        <f>IFERROR(VLOOKUP(D340,'taxonomy map'!$A$1:$B$171,2,FALSE),"")</f>
        <v/>
      </c>
      <c r="F340" s="49" t="str">
        <f>IFERROR(VLOOKUP(E340,'Condensed Specialty Crosswalk'!$A$2:$C$182,2,FALSE),"")</f>
        <v/>
      </c>
      <c r="G340" s="49" t="str">
        <f>IFERROR(VLOOKUP(E340,'Condensed Specialty Crosswalk'!$A$2:$C$182,3,FALSE),"")</f>
        <v/>
      </c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</row>
    <row r="341" spans="1:30" ht="17">
      <c r="A341" s="49"/>
      <c r="B341" s="49" t="str">
        <f>CONCATENATE(Reports!E340," ",Reports!F340," ",Reports!G340)</f>
        <v xml:space="preserve">  </v>
      </c>
      <c r="C341" s="101"/>
      <c r="D341" s="101"/>
      <c r="E341" s="49" t="str">
        <f>IFERROR(VLOOKUP(D341,'taxonomy map'!$A$1:$B$171,2,FALSE),"")</f>
        <v/>
      </c>
      <c r="F341" s="49" t="str">
        <f>IFERROR(VLOOKUP(E341,'Condensed Specialty Crosswalk'!$A$2:$C$182,2,FALSE),"")</f>
        <v/>
      </c>
      <c r="G341" s="49" t="str">
        <f>IFERROR(VLOOKUP(E341,'Condensed Specialty Crosswalk'!$A$2:$C$182,3,FALSE),"")</f>
        <v/>
      </c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</row>
    <row r="342" spans="1:30" ht="17">
      <c r="A342" s="49"/>
      <c r="B342" s="49" t="str">
        <f>CONCATENATE(Reports!E341," ",Reports!F341," ",Reports!G341)</f>
        <v xml:space="preserve">  </v>
      </c>
      <c r="C342" s="101"/>
      <c r="D342" s="101"/>
      <c r="E342" s="49" t="str">
        <f>IFERROR(VLOOKUP(D342,'taxonomy map'!$A$1:$B$171,2,FALSE),"")</f>
        <v/>
      </c>
      <c r="F342" s="49" t="str">
        <f>IFERROR(VLOOKUP(E342,'Condensed Specialty Crosswalk'!$A$2:$C$182,2,FALSE),"")</f>
        <v/>
      </c>
      <c r="G342" s="49" t="str">
        <f>IFERROR(VLOOKUP(E342,'Condensed Specialty Crosswalk'!$A$2:$C$182,3,FALSE),"")</f>
        <v/>
      </c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</row>
    <row r="343" spans="1:30" ht="17">
      <c r="A343" s="49"/>
      <c r="B343" s="49" t="str">
        <f>CONCATENATE(Reports!E342," ",Reports!F342," ",Reports!G342)</f>
        <v xml:space="preserve">  </v>
      </c>
      <c r="C343" s="101"/>
      <c r="D343" s="101"/>
      <c r="E343" s="49" t="str">
        <f>IFERROR(VLOOKUP(D343,'taxonomy map'!$A$1:$B$171,2,FALSE),"")</f>
        <v/>
      </c>
      <c r="F343" s="49" t="str">
        <f>IFERROR(VLOOKUP(E343,'Condensed Specialty Crosswalk'!$A$2:$C$182,2,FALSE),"")</f>
        <v/>
      </c>
      <c r="G343" s="49" t="str">
        <f>IFERROR(VLOOKUP(E343,'Condensed Specialty Crosswalk'!$A$2:$C$182,3,FALSE),"")</f>
        <v/>
      </c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</row>
    <row r="344" spans="1:30" ht="17">
      <c r="A344" s="49"/>
      <c r="B344" s="49" t="str">
        <f>CONCATENATE(Reports!E343," ",Reports!F343," ",Reports!G343)</f>
        <v xml:space="preserve">  </v>
      </c>
      <c r="C344" s="101"/>
      <c r="D344" s="101"/>
      <c r="E344" s="49" t="str">
        <f>IFERROR(VLOOKUP(D344,'taxonomy map'!$A$1:$B$171,2,FALSE),"")</f>
        <v/>
      </c>
      <c r="F344" s="49" t="str">
        <f>IFERROR(VLOOKUP(E344,'Condensed Specialty Crosswalk'!$A$2:$C$182,2,FALSE),"")</f>
        <v/>
      </c>
      <c r="G344" s="49" t="str">
        <f>IFERROR(VLOOKUP(E344,'Condensed Specialty Crosswalk'!$A$2:$C$182,3,FALSE),"")</f>
        <v/>
      </c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</row>
    <row r="345" spans="1:30" ht="17">
      <c r="A345" s="49"/>
      <c r="B345" s="49" t="str">
        <f>CONCATENATE(Reports!E344," ",Reports!F344," ",Reports!G344)</f>
        <v xml:space="preserve">  </v>
      </c>
      <c r="C345" s="101"/>
      <c r="D345" s="101"/>
      <c r="E345" s="49" t="str">
        <f>IFERROR(VLOOKUP(D345,'taxonomy map'!$A$1:$B$171,2,FALSE),"")</f>
        <v/>
      </c>
      <c r="F345" s="49" t="str">
        <f>IFERROR(VLOOKUP(E345,'Condensed Specialty Crosswalk'!$A$2:$C$182,2,FALSE),"")</f>
        <v/>
      </c>
      <c r="G345" s="49" t="str">
        <f>IFERROR(VLOOKUP(E345,'Condensed Specialty Crosswalk'!$A$2:$C$182,3,FALSE),"")</f>
        <v/>
      </c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</row>
    <row r="346" spans="1:30" ht="17">
      <c r="A346" s="49"/>
      <c r="B346" s="49" t="str">
        <f>CONCATENATE(Reports!E345," ",Reports!F345," ",Reports!G345)</f>
        <v xml:space="preserve">  </v>
      </c>
      <c r="C346" s="101"/>
      <c r="D346" s="101"/>
      <c r="E346" s="49" t="str">
        <f>IFERROR(VLOOKUP(D346,'taxonomy map'!$A$1:$B$171,2,FALSE),"")</f>
        <v/>
      </c>
      <c r="F346" s="49" t="str">
        <f>IFERROR(VLOOKUP(E346,'Condensed Specialty Crosswalk'!$A$2:$C$182,2,FALSE),"")</f>
        <v/>
      </c>
      <c r="G346" s="49" t="str">
        <f>IFERROR(VLOOKUP(E346,'Condensed Specialty Crosswalk'!$A$2:$C$182,3,FALSE),"")</f>
        <v/>
      </c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</row>
    <row r="347" spans="1:30" ht="17">
      <c r="A347" s="49"/>
      <c r="B347" s="49" t="str">
        <f>CONCATENATE(Reports!E346," ",Reports!F346," ",Reports!G346)</f>
        <v xml:space="preserve">  </v>
      </c>
      <c r="C347" s="101"/>
      <c r="D347" s="101"/>
      <c r="E347" s="49" t="str">
        <f>IFERROR(VLOOKUP(D347,'taxonomy map'!$A$1:$B$171,2,FALSE),"")</f>
        <v/>
      </c>
      <c r="F347" s="49" t="str">
        <f>IFERROR(VLOOKUP(E347,'Condensed Specialty Crosswalk'!$A$2:$C$182,2,FALSE),"")</f>
        <v/>
      </c>
      <c r="G347" s="49" t="str">
        <f>IFERROR(VLOOKUP(E347,'Condensed Specialty Crosswalk'!$A$2:$C$182,3,FALSE),"")</f>
        <v/>
      </c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</row>
    <row r="348" spans="1:30" ht="17">
      <c r="A348" s="49"/>
      <c r="B348" s="49" t="str">
        <f>CONCATENATE(Reports!E347," ",Reports!F347," ",Reports!G347)</f>
        <v xml:space="preserve">  </v>
      </c>
      <c r="C348" s="101"/>
      <c r="D348" s="101"/>
      <c r="E348" s="49" t="str">
        <f>IFERROR(VLOOKUP(D348,'taxonomy map'!$A$1:$B$171,2,FALSE),"")</f>
        <v/>
      </c>
      <c r="F348" s="49" t="str">
        <f>IFERROR(VLOOKUP(E348,'Condensed Specialty Crosswalk'!$A$2:$C$182,2,FALSE),"")</f>
        <v/>
      </c>
      <c r="G348" s="49" t="str">
        <f>IFERROR(VLOOKUP(E348,'Condensed Specialty Crosswalk'!$A$2:$C$182,3,FALSE),"")</f>
        <v/>
      </c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</row>
    <row r="349" spans="1:30" ht="17">
      <c r="A349" s="49"/>
      <c r="B349" s="49" t="str">
        <f>CONCATENATE(Reports!E348," ",Reports!F348," ",Reports!G348)</f>
        <v xml:space="preserve">  </v>
      </c>
      <c r="C349" s="101"/>
      <c r="D349" s="101"/>
      <c r="E349" s="49" t="str">
        <f>IFERROR(VLOOKUP(D349,'taxonomy map'!$A$1:$B$171,2,FALSE),"")</f>
        <v/>
      </c>
      <c r="F349" s="49" t="str">
        <f>IFERROR(VLOOKUP(E349,'Condensed Specialty Crosswalk'!$A$2:$C$182,2,FALSE),"")</f>
        <v/>
      </c>
      <c r="G349" s="49" t="str">
        <f>IFERROR(VLOOKUP(E349,'Condensed Specialty Crosswalk'!$A$2:$C$182,3,FALSE),"")</f>
        <v/>
      </c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</row>
    <row r="350" spans="1:30" ht="17">
      <c r="A350" s="49"/>
      <c r="B350" s="49" t="str">
        <f>CONCATENATE(Reports!E349," ",Reports!F349," ",Reports!G349)</f>
        <v xml:space="preserve">  </v>
      </c>
      <c r="C350" s="101"/>
      <c r="D350" s="101"/>
      <c r="E350" s="49" t="str">
        <f>IFERROR(VLOOKUP(D350,'taxonomy map'!$A$1:$B$171,2,FALSE),"")</f>
        <v/>
      </c>
      <c r="F350" s="49" t="str">
        <f>IFERROR(VLOOKUP(E350,'Condensed Specialty Crosswalk'!$A$2:$C$182,2,FALSE),"")</f>
        <v/>
      </c>
      <c r="G350" s="49" t="str">
        <f>IFERROR(VLOOKUP(E350,'Condensed Specialty Crosswalk'!$A$2:$C$182,3,FALSE),"")</f>
        <v/>
      </c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</row>
    <row r="351" spans="1:30" ht="17">
      <c r="A351" s="49"/>
      <c r="B351" s="49" t="str">
        <f>CONCATENATE(Reports!E350," ",Reports!F350," ",Reports!G350)</f>
        <v xml:space="preserve">  </v>
      </c>
      <c r="C351" s="101"/>
      <c r="D351" s="101"/>
      <c r="E351" s="49" t="str">
        <f>IFERROR(VLOOKUP(D351,'taxonomy map'!$A$1:$B$171,2,FALSE),"")</f>
        <v/>
      </c>
      <c r="F351" s="49" t="str">
        <f>IFERROR(VLOOKUP(E351,'Condensed Specialty Crosswalk'!$A$2:$C$182,2,FALSE),"")</f>
        <v/>
      </c>
      <c r="G351" s="49" t="str">
        <f>IFERROR(VLOOKUP(E351,'Condensed Specialty Crosswalk'!$A$2:$C$182,3,FALSE),"")</f>
        <v/>
      </c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</row>
    <row r="352" spans="1:30" ht="17">
      <c r="A352" s="49"/>
      <c r="B352" s="49" t="str">
        <f>CONCATENATE(Reports!E351," ",Reports!F351," ",Reports!G351)</f>
        <v xml:space="preserve">  </v>
      </c>
      <c r="C352" s="101"/>
      <c r="D352" s="101"/>
      <c r="E352" s="49" t="str">
        <f>IFERROR(VLOOKUP(D352,'taxonomy map'!$A$1:$B$171,2,FALSE),"")</f>
        <v/>
      </c>
      <c r="F352" s="49" t="str">
        <f>IFERROR(VLOOKUP(E352,'Condensed Specialty Crosswalk'!$A$2:$C$182,2,FALSE),"")</f>
        <v/>
      </c>
      <c r="G352" s="49" t="str">
        <f>IFERROR(VLOOKUP(E352,'Condensed Specialty Crosswalk'!$A$2:$C$182,3,FALSE),"")</f>
        <v/>
      </c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</row>
    <row r="353" spans="1:30" ht="17">
      <c r="A353" s="49"/>
      <c r="B353" s="49" t="str">
        <f>CONCATENATE(Reports!E352," ",Reports!F352," ",Reports!G352)</f>
        <v xml:space="preserve">  </v>
      </c>
      <c r="C353" s="101"/>
      <c r="D353" s="101"/>
      <c r="E353" s="49" t="str">
        <f>IFERROR(VLOOKUP(D353,'taxonomy map'!$A$1:$B$171,2,FALSE),"")</f>
        <v/>
      </c>
      <c r="F353" s="49" t="str">
        <f>IFERROR(VLOOKUP(E353,'Condensed Specialty Crosswalk'!$A$2:$C$182,2,FALSE),"")</f>
        <v/>
      </c>
      <c r="G353" s="49" t="str">
        <f>IFERROR(VLOOKUP(E353,'Condensed Specialty Crosswalk'!$A$2:$C$182,3,FALSE),"")</f>
        <v/>
      </c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</row>
    <row r="354" spans="1:30" ht="17">
      <c r="A354" s="49"/>
      <c r="B354" s="49" t="str">
        <f>CONCATENATE(Reports!E353," ",Reports!F353," ",Reports!G353)</f>
        <v xml:space="preserve">  </v>
      </c>
      <c r="C354" s="101"/>
      <c r="D354" s="101"/>
      <c r="E354" s="49" t="str">
        <f>IFERROR(VLOOKUP(D354,'taxonomy map'!$A$1:$B$171,2,FALSE),"")</f>
        <v/>
      </c>
      <c r="F354" s="49" t="str">
        <f>IFERROR(VLOOKUP(E354,'Condensed Specialty Crosswalk'!$A$2:$C$182,2,FALSE),"")</f>
        <v/>
      </c>
      <c r="G354" s="49" t="str">
        <f>IFERROR(VLOOKUP(E354,'Condensed Specialty Crosswalk'!$A$2:$C$182,3,FALSE),"")</f>
        <v/>
      </c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</row>
    <row r="355" spans="1:30" ht="17">
      <c r="A355" s="49"/>
      <c r="B355" s="49" t="str">
        <f>CONCATENATE(Reports!E354," ",Reports!F354," ",Reports!G354)</f>
        <v xml:space="preserve">  </v>
      </c>
      <c r="C355" s="101"/>
      <c r="D355" s="101"/>
      <c r="E355" s="49" t="str">
        <f>IFERROR(VLOOKUP(D355,'taxonomy map'!$A$1:$B$171,2,FALSE),"")</f>
        <v/>
      </c>
      <c r="F355" s="49" t="str">
        <f>IFERROR(VLOOKUP(E355,'Condensed Specialty Crosswalk'!$A$2:$C$182,2,FALSE),"")</f>
        <v/>
      </c>
      <c r="G355" s="49" t="str">
        <f>IFERROR(VLOOKUP(E355,'Condensed Specialty Crosswalk'!$A$2:$C$182,3,FALSE),"")</f>
        <v/>
      </c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52"/>
    </row>
    <row r="356" spans="1:30" ht="17">
      <c r="A356" s="49"/>
      <c r="B356" s="49" t="str">
        <f>CONCATENATE(Reports!E355," ",Reports!F355," ",Reports!G355)</f>
        <v xml:space="preserve">  </v>
      </c>
      <c r="C356" s="101"/>
      <c r="D356" s="101"/>
      <c r="E356" s="49" t="str">
        <f>IFERROR(VLOOKUP(D356,'taxonomy map'!$A$1:$B$171,2,FALSE),"")</f>
        <v/>
      </c>
      <c r="F356" s="49" t="str">
        <f>IFERROR(VLOOKUP(E356,'Condensed Specialty Crosswalk'!$A$2:$C$182,2,FALSE),"")</f>
        <v/>
      </c>
      <c r="G356" s="49" t="str">
        <f>IFERROR(VLOOKUP(E356,'Condensed Specialty Crosswalk'!$A$2:$C$182,3,FALSE),"")</f>
        <v/>
      </c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</row>
    <row r="357" spans="1:30" ht="17">
      <c r="A357" s="49"/>
      <c r="B357" s="49" t="str">
        <f>CONCATENATE(Reports!E356," ",Reports!F356," ",Reports!G356)</f>
        <v xml:space="preserve">  </v>
      </c>
      <c r="C357" s="101"/>
      <c r="D357" s="101"/>
      <c r="E357" s="49" t="str">
        <f>IFERROR(VLOOKUP(D357,'taxonomy map'!$A$1:$B$171,2,FALSE),"")</f>
        <v/>
      </c>
      <c r="F357" s="49" t="str">
        <f>IFERROR(VLOOKUP(E357,'Condensed Specialty Crosswalk'!$A$2:$C$182,2,FALSE),"")</f>
        <v/>
      </c>
      <c r="G357" s="49" t="str">
        <f>IFERROR(VLOOKUP(E357,'Condensed Specialty Crosswalk'!$A$2:$C$182,3,FALSE),"")</f>
        <v/>
      </c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52"/>
    </row>
    <row r="358" spans="1:30" ht="17">
      <c r="A358" s="49"/>
      <c r="B358" s="49" t="str">
        <f>CONCATENATE(Reports!E357," ",Reports!F357," ",Reports!G357)</f>
        <v xml:space="preserve">  </v>
      </c>
      <c r="C358" s="101"/>
      <c r="D358" s="101"/>
      <c r="E358" s="49" t="str">
        <f>IFERROR(VLOOKUP(D358,'taxonomy map'!$A$1:$B$171,2,FALSE),"")</f>
        <v/>
      </c>
      <c r="F358" s="49" t="str">
        <f>IFERROR(VLOOKUP(E358,'Condensed Specialty Crosswalk'!$A$2:$C$182,2,FALSE),"")</f>
        <v/>
      </c>
      <c r="G358" s="49" t="str">
        <f>IFERROR(VLOOKUP(E358,'Condensed Specialty Crosswalk'!$A$2:$C$182,3,FALSE),"")</f>
        <v/>
      </c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</row>
    <row r="359" spans="1:30" ht="17">
      <c r="A359" s="49"/>
      <c r="B359" s="49" t="str">
        <f>CONCATENATE(Reports!E358," ",Reports!F358," ",Reports!G358)</f>
        <v xml:space="preserve">  </v>
      </c>
      <c r="C359" s="101"/>
      <c r="D359" s="101"/>
      <c r="E359" s="49" t="str">
        <f>IFERROR(VLOOKUP(D359,'taxonomy map'!$A$1:$B$171,2,FALSE),"")</f>
        <v/>
      </c>
      <c r="F359" s="49" t="str">
        <f>IFERROR(VLOOKUP(E359,'Condensed Specialty Crosswalk'!$A$2:$C$182,2,FALSE),"")</f>
        <v/>
      </c>
      <c r="G359" s="49" t="str">
        <f>IFERROR(VLOOKUP(E359,'Condensed Specialty Crosswalk'!$A$2:$C$182,3,FALSE),"")</f>
        <v/>
      </c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52"/>
    </row>
    <row r="360" spans="1:30" ht="17">
      <c r="A360" s="49"/>
      <c r="B360" s="49" t="str">
        <f>CONCATENATE(Reports!E359," ",Reports!F359," ",Reports!G359)</f>
        <v xml:space="preserve">  </v>
      </c>
      <c r="C360" s="101"/>
      <c r="D360" s="101"/>
      <c r="E360" s="49" t="str">
        <f>IFERROR(VLOOKUP(D360,'taxonomy map'!$A$1:$B$171,2,FALSE),"")</f>
        <v/>
      </c>
      <c r="F360" s="49" t="str">
        <f>IFERROR(VLOOKUP(E360,'Condensed Specialty Crosswalk'!$A$2:$C$182,2,FALSE),"")</f>
        <v/>
      </c>
      <c r="G360" s="49" t="str">
        <f>IFERROR(VLOOKUP(E360,'Condensed Specialty Crosswalk'!$A$2:$C$182,3,FALSE),"")</f>
        <v/>
      </c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</row>
    <row r="361" spans="1:30" ht="17">
      <c r="A361" s="49"/>
      <c r="B361" s="49" t="str">
        <f>CONCATENATE(Reports!E360," ",Reports!F360," ",Reports!G360)</f>
        <v xml:space="preserve">  </v>
      </c>
      <c r="C361" s="101"/>
      <c r="D361" s="101"/>
      <c r="E361" s="49" t="str">
        <f>IFERROR(VLOOKUP(D361,'taxonomy map'!$A$1:$B$171,2,FALSE),"")</f>
        <v/>
      </c>
      <c r="F361" s="49" t="str">
        <f>IFERROR(VLOOKUP(E361,'Condensed Specialty Crosswalk'!$A$2:$C$182,2,FALSE),"")</f>
        <v/>
      </c>
      <c r="G361" s="49" t="str">
        <f>IFERROR(VLOOKUP(E361,'Condensed Specialty Crosswalk'!$A$2:$C$182,3,FALSE),"")</f>
        <v/>
      </c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52"/>
    </row>
    <row r="362" spans="1:30" ht="17">
      <c r="A362" s="49"/>
      <c r="B362" s="49" t="str">
        <f>CONCATENATE(Reports!E361," ",Reports!F361," ",Reports!G361)</f>
        <v xml:space="preserve">  </v>
      </c>
      <c r="C362" s="101"/>
      <c r="D362" s="101"/>
      <c r="E362" s="49" t="str">
        <f>IFERROR(VLOOKUP(D362,'taxonomy map'!$A$1:$B$171,2,FALSE),"")</f>
        <v/>
      </c>
      <c r="F362" s="49" t="str">
        <f>IFERROR(VLOOKUP(E362,'Condensed Specialty Crosswalk'!$A$2:$C$182,2,FALSE),"")</f>
        <v/>
      </c>
      <c r="G362" s="49" t="str">
        <f>IFERROR(VLOOKUP(E362,'Condensed Specialty Crosswalk'!$A$2:$C$182,3,FALSE),"")</f>
        <v/>
      </c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</row>
    <row r="363" spans="1:30" ht="17">
      <c r="A363" s="49"/>
      <c r="B363" s="49" t="str">
        <f>CONCATENATE(Reports!E362," ",Reports!F362," ",Reports!G362)</f>
        <v xml:space="preserve">  </v>
      </c>
      <c r="C363" s="101"/>
      <c r="D363" s="101"/>
      <c r="E363" s="49" t="str">
        <f>IFERROR(VLOOKUP(D363,'taxonomy map'!$A$1:$B$171,2,FALSE),"")</f>
        <v/>
      </c>
      <c r="F363" s="49" t="str">
        <f>IFERROR(VLOOKUP(E363,'Condensed Specialty Crosswalk'!$A$2:$C$182,2,FALSE),"")</f>
        <v/>
      </c>
      <c r="G363" s="49" t="str">
        <f>IFERROR(VLOOKUP(E363,'Condensed Specialty Crosswalk'!$A$2:$C$182,3,FALSE),"")</f>
        <v/>
      </c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</row>
    <row r="364" spans="1:30" ht="17">
      <c r="A364" s="49"/>
      <c r="B364" s="49" t="str">
        <f>CONCATENATE(Reports!E363," ",Reports!F363," ",Reports!G363)</f>
        <v xml:space="preserve">  </v>
      </c>
      <c r="C364" s="101"/>
      <c r="D364" s="101"/>
      <c r="E364" s="49" t="str">
        <f>IFERROR(VLOOKUP(D364,'taxonomy map'!$A$1:$B$171,2,FALSE),"")</f>
        <v/>
      </c>
      <c r="F364" s="49" t="str">
        <f>IFERROR(VLOOKUP(E364,'Condensed Specialty Crosswalk'!$A$2:$C$182,2,FALSE),"")</f>
        <v/>
      </c>
      <c r="G364" s="49" t="str">
        <f>IFERROR(VLOOKUP(E364,'Condensed Specialty Crosswalk'!$A$2:$C$182,3,FALSE),"")</f>
        <v/>
      </c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</row>
    <row r="365" spans="1:30" ht="17">
      <c r="A365" s="49"/>
      <c r="B365" s="49" t="str">
        <f>CONCATENATE(Reports!E364," ",Reports!F364," ",Reports!G364)</f>
        <v xml:space="preserve">  </v>
      </c>
      <c r="C365" s="101"/>
      <c r="D365" s="101"/>
      <c r="E365" s="49" t="str">
        <f>IFERROR(VLOOKUP(D365,'taxonomy map'!$A$1:$B$171,2,FALSE),"")</f>
        <v/>
      </c>
      <c r="F365" s="49" t="str">
        <f>IFERROR(VLOOKUP(E365,'Condensed Specialty Crosswalk'!$A$2:$C$182,2,FALSE),"")</f>
        <v/>
      </c>
      <c r="G365" s="49" t="str">
        <f>IFERROR(VLOOKUP(E365,'Condensed Specialty Crosswalk'!$A$2:$C$182,3,FALSE),"")</f>
        <v/>
      </c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52"/>
    </row>
    <row r="366" spans="1:30" ht="17">
      <c r="A366" s="49"/>
      <c r="B366" s="49" t="str">
        <f>CONCATENATE(Reports!E365," ",Reports!F365," ",Reports!G365)</f>
        <v xml:space="preserve">  </v>
      </c>
      <c r="C366" s="101"/>
      <c r="D366" s="101"/>
      <c r="E366" s="49" t="str">
        <f>IFERROR(VLOOKUP(D366,'taxonomy map'!$A$1:$B$171,2,FALSE),"")</f>
        <v/>
      </c>
      <c r="F366" s="49" t="str">
        <f>IFERROR(VLOOKUP(E366,'Condensed Specialty Crosswalk'!$A$2:$C$182,2,FALSE),"")</f>
        <v/>
      </c>
      <c r="G366" s="49" t="str">
        <f>IFERROR(VLOOKUP(E366,'Condensed Specialty Crosswalk'!$A$2:$C$182,3,FALSE),"")</f>
        <v/>
      </c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</row>
    <row r="367" spans="1:30" ht="17">
      <c r="A367" s="49"/>
      <c r="B367" s="49" t="str">
        <f>CONCATENATE(Reports!E366," ",Reports!F366," ",Reports!G366)</f>
        <v xml:space="preserve">  </v>
      </c>
      <c r="C367" s="101"/>
      <c r="D367" s="101"/>
      <c r="E367" s="49" t="str">
        <f>IFERROR(VLOOKUP(D367,'taxonomy map'!$A$1:$B$171,2,FALSE),"")</f>
        <v/>
      </c>
      <c r="F367" s="49" t="str">
        <f>IFERROR(VLOOKUP(E367,'Condensed Specialty Crosswalk'!$A$2:$C$182,2,FALSE),"")</f>
        <v/>
      </c>
      <c r="G367" s="49" t="str">
        <f>IFERROR(VLOOKUP(E367,'Condensed Specialty Crosswalk'!$A$2:$C$182,3,FALSE),"")</f>
        <v/>
      </c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52"/>
    </row>
    <row r="368" spans="1:30" ht="17">
      <c r="A368" s="49"/>
      <c r="B368" s="49" t="str">
        <f>CONCATENATE(Reports!E367," ",Reports!F367," ",Reports!G367)</f>
        <v xml:space="preserve">  </v>
      </c>
      <c r="C368" s="101"/>
      <c r="D368" s="101"/>
      <c r="E368" s="49" t="str">
        <f>IFERROR(VLOOKUP(D368,'taxonomy map'!$A$1:$B$171,2,FALSE),"")</f>
        <v/>
      </c>
      <c r="F368" s="49" t="str">
        <f>IFERROR(VLOOKUP(E368,'Condensed Specialty Crosswalk'!$A$2:$C$182,2,FALSE),"")</f>
        <v/>
      </c>
      <c r="G368" s="49" t="str">
        <f>IFERROR(VLOOKUP(E368,'Condensed Specialty Crosswalk'!$A$2:$C$182,3,FALSE),"")</f>
        <v/>
      </c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52"/>
    </row>
    <row r="369" spans="1:30" ht="17">
      <c r="A369" s="49"/>
      <c r="B369" s="49" t="str">
        <f>CONCATENATE(Reports!E368," ",Reports!F368," ",Reports!G368)</f>
        <v xml:space="preserve">  </v>
      </c>
      <c r="C369" s="101"/>
      <c r="D369" s="101"/>
      <c r="E369" s="49" t="str">
        <f>IFERROR(VLOOKUP(D369,'taxonomy map'!$A$1:$B$171,2,FALSE),"")</f>
        <v/>
      </c>
      <c r="F369" s="49" t="str">
        <f>IFERROR(VLOOKUP(E369,'Condensed Specialty Crosswalk'!$A$2:$C$182,2,FALSE),"")</f>
        <v/>
      </c>
      <c r="G369" s="49" t="str">
        <f>IFERROR(VLOOKUP(E369,'Condensed Specialty Crosswalk'!$A$2:$C$182,3,FALSE),"")</f>
        <v/>
      </c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52"/>
    </row>
    <row r="370" spans="1:30" ht="17">
      <c r="A370" s="49"/>
      <c r="B370" s="49" t="str">
        <f>CONCATENATE(Reports!E369," ",Reports!F369," ",Reports!G369)</f>
        <v xml:space="preserve">  </v>
      </c>
      <c r="C370" s="101"/>
      <c r="D370" s="101"/>
      <c r="E370" s="49" t="str">
        <f>IFERROR(VLOOKUP(D370,'taxonomy map'!$A$1:$B$171,2,FALSE),"")</f>
        <v/>
      </c>
      <c r="F370" s="49" t="str">
        <f>IFERROR(VLOOKUP(E370,'Condensed Specialty Crosswalk'!$A$2:$C$182,2,FALSE),"")</f>
        <v/>
      </c>
      <c r="G370" s="49" t="str">
        <f>IFERROR(VLOOKUP(E370,'Condensed Specialty Crosswalk'!$A$2:$C$182,3,FALSE),"")</f>
        <v/>
      </c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52"/>
    </row>
    <row r="371" spans="1:30" ht="17">
      <c r="A371" s="49"/>
      <c r="B371" s="49" t="str">
        <f>CONCATENATE(Reports!E370," ",Reports!F370," ",Reports!G370)</f>
        <v xml:space="preserve">  </v>
      </c>
      <c r="C371" s="101"/>
      <c r="D371" s="101"/>
      <c r="E371" s="49" t="str">
        <f>IFERROR(VLOOKUP(D371,'taxonomy map'!$A$1:$B$171,2,FALSE),"")</f>
        <v/>
      </c>
      <c r="F371" s="49" t="str">
        <f>IFERROR(VLOOKUP(E371,'Condensed Specialty Crosswalk'!$A$2:$C$182,2,FALSE),"")</f>
        <v/>
      </c>
      <c r="G371" s="49" t="str">
        <f>IFERROR(VLOOKUP(E371,'Condensed Specialty Crosswalk'!$A$2:$C$182,3,FALSE),"")</f>
        <v/>
      </c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52"/>
    </row>
    <row r="372" spans="1:30" ht="17">
      <c r="A372" s="49"/>
      <c r="B372" s="49" t="str">
        <f>CONCATENATE(Reports!E371," ",Reports!F371," ",Reports!G371)</f>
        <v xml:space="preserve">  </v>
      </c>
      <c r="C372" s="101"/>
      <c r="D372" s="101"/>
      <c r="E372" s="49" t="str">
        <f>IFERROR(VLOOKUP(D372,'taxonomy map'!$A$1:$B$171,2,FALSE),"")</f>
        <v/>
      </c>
      <c r="F372" s="49" t="str">
        <f>IFERROR(VLOOKUP(E372,'Condensed Specialty Crosswalk'!$A$2:$C$182,2,FALSE),"")</f>
        <v/>
      </c>
      <c r="G372" s="49" t="str">
        <f>IFERROR(VLOOKUP(E372,'Condensed Specialty Crosswalk'!$A$2:$C$182,3,FALSE),"")</f>
        <v/>
      </c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52"/>
    </row>
    <row r="373" spans="1:30" ht="17">
      <c r="A373" s="49"/>
      <c r="B373" s="49" t="str">
        <f>CONCATENATE(Reports!E372," ",Reports!F372," ",Reports!G372)</f>
        <v xml:space="preserve">  </v>
      </c>
      <c r="C373" s="101"/>
      <c r="D373" s="101"/>
      <c r="E373" s="49" t="str">
        <f>IFERROR(VLOOKUP(D373,'taxonomy map'!$A$1:$B$171,2,FALSE),"")</f>
        <v/>
      </c>
      <c r="F373" s="49" t="str">
        <f>IFERROR(VLOOKUP(E373,'Condensed Specialty Crosswalk'!$A$2:$C$182,2,FALSE),"")</f>
        <v/>
      </c>
      <c r="G373" s="49" t="str">
        <f>IFERROR(VLOOKUP(E373,'Condensed Specialty Crosswalk'!$A$2:$C$182,3,FALSE),"")</f>
        <v/>
      </c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52"/>
    </row>
    <row r="374" spans="1:30" ht="17">
      <c r="A374" s="49"/>
      <c r="B374" s="49" t="str">
        <f>CONCATENATE(Reports!E373," ",Reports!F373," ",Reports!G373)</f>
        <v xml:space="preserve">  </v>
      </c>
      <c r="C374" s="101"/>
      <c r="D374" s="101"/>
      <c r="E374" s="49" t="str">
        <f>IFERROR(VLOOKUP(D374,'taxonomy map'!$A$1:$B$171,2,FALSE),"")</f>
        <v/>
      </c>
      <c r="F374" s="49" t="str">
        <f>IFERROR(VLOOKUP(E374,'Condensed Specialty Crosswalk'!$A$2:$C$182,2,FALSE),"")</f>
        <v/>
      </c>
      <c r="G374" s="49" t="str">
        <f>IFERROR(VLOOKUP(E374,'Condensed Specialty Crosswalk'!$A$2:$C$182,3,FALSE),"")</f>
        <v/>
      </c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52"/>
    </row>
    <row r="375" spans="1:30" ht="17">
      <c r="A375" s="49"/>
      <c r="B375" s="49" t="str">
        <f>CONCATENATE(Reports!E374," ",Reports!F374," ",Reports!G374)</f>
        <v xml:space="preserve">  </v>
      </c>
      <c r="C375" s="101"/>
      <c r="D375" s="101"/>
      <c r="E375" s="49" t="str">
        <f>IFERROR(VLOOKUP(D375,'taxonomy map'!$A$1:$B$171,2,FALSE),"")</f>
        <v/>
      </c>
      <c r="F375" s="49" t="str">
        <f>IFERROR(VLOOKUP(E375,'Condensed Specialty Crosswalk'!$A$2:$C$182,2,FALSE),"")</f>
        <v/>
      </c>
      <c r="G375" s="49" t="str">
        <f>IFERROR(VLOOKUP(E375,'Condensed Specialty Crosswalk'!$A$2:$C$182,3,FALSE),"")</f>
        <v/>
      </c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52"/>
    </row>
    <row r="376" spans="1:30" ht="17">
      <c r="A376" s="49"/>
      <c r="B376" s="49" t="str">
        <f>CONCATENATE(Reports!E375," ",Reports!F375," ",Reports!G375)</f>
        <v xml:space="preserve">  </v>
      </c>
      <c r="C376" s="101"/>
      <c r="D376" s="101"/>
      <c r="E376" s="49" t="str">
        <f>IFERROR(VLOOKUP(D376,'taxonomy map'!$A$1:$B$171,2,FALSE),"")</f>
        <v/>
      </c>
      <c r="F376" s="49" t="str">
        <f>IFERROR(VLOOKUP(E376,'Condensed Specialty Crosswalk'!$A$2:$C$182,2,FALSE),"")</f>
        <v/>
      </c>
      <c r="G376" s="49" t="str">
        <f>IFERROR(VLOOKUP(E376,'Condensed Specialty Crosswalk'!$A$2:$C$182,3,FALSE),"")</f>
        <v/>
      </c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52"/>
    </row>
    <row r="377" spans="1:30" ht="17">
      <c r="A377" s="49"/>
      <c r="B377" s="49" t="str">
        <f>CONCATENATE(Reports!E376," ",Reports!F376," ",Reports!G376)</f>
        <v xml:space="preserve">  </v>
      </c>
      <c r="C377" s="101"/>
      <c r="D377" s="101"/>
      <c r="E377" s="49" t="str">
        <f>IFERROR(VLOOKUP(D377,'taxonomy map'!$A$1:$B$171,2,FALSE),"")</f>
        <v/>
      </c>
      <c r="F377" s="49" t="str">
        <f>IFERROR(VLOOKUP(E377,'Condensed Specialty Crosswalk'!$A$2:$C$182,2,FALSE),"")</f>
        <v/>
      </c>
      <c r="G377" s="49" t="str">
        <f>IFERROR(VLOOKUP(E377,'Condensed Specialty Crosswalk'!$A$2:$C$182,3,FALSE),"")</f>
        <v/>
      </c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52"/>
    </row>
    <row r="378" spans="1:30" ht="17">
      <c r="A378" s="49"/>
      <c r="B378" s="49" t="str">
        <f>CONCATENATE(Reports!E377," ",Reports!F377," ",Reports!G377)</f>
        <v xml:space="preserve">  </v>
      </c>
      <c r="C378" s="101"/>
      <c r="D378" s="101"/>
      <c r="E378" s="49" t="str">
        <f>IFERROR(VLOOKUP(D378,'taxonomy map'!$A$1:$B$171,2,FALSE),"")</f>
        <v/>
      </c>
      <c r="F378" s="49" t="str">
        <f>IFERROR(VLOOKUP(E378,'Condensed Specialty Crosswalk'!$A$2:$C$182,2,FALSE),"")</f>
        <v/>
      </c>
      <c r="G378" s="49" t="str">
        <f>IFERROR(VLOOKUP(E378,'Condensed Specialty Crosswalk'!$A$2:$C$182,3,FALSE),"")</f>
        <v/>
      </c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</row>
    <row r="379" spans="1:30" ht="17">
      <c r="A379" s="49"/>
      <c r="B379" s="49" t="str">
        <f>CONCATENATE(Reports!E378," ",Reports!F378," ",Reports!G378)</f>
        <v xml:space="preserve">  </v>
      </c>
      <c r="C379" s="101"/>
      <c r="D379" s="101"/>
      <c r="E379" s="49" t="str">
        <f>IFERROR(VLOOKUP(D379,'taxonomy map'!$A$1:$B$171,2,FALSE),"")</f>
        <v/>
      </c>
      <c r="F379" s="49" t="str">
        <f>IFERROR(VLOOKUP(E379,'Condensed Specialty Crosswalk'!$A$2:$C$182,2,FALSE),"")</f>
        <v/>
      </c>
      <c r="G379" s="49" t="str">
        <f>IFERROR(VLOOKUP(E379,'Condensed Specialty Crosswalk'!$A$2:$C$182,3,FALSE),"")</f>
        <v/>
      </c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52"/>
    </row>
    <row r="380" spans="1:30" ht="17">
      <c r="A380" s="49"/>
      <c r="B380" s="49" t="str">
        <f>CONCATENATE(Reports!E379," ",Reports!F379," ",Reports!G379)</f>
        <v xml:space="preserve">  </v>
      </c>
      <c r="C380" s="101"/>
      <c r="D380" s="101"/>
      <c r="E380" s="49" t="str">
        <f>IFERROR(VLOOKUP(D380,'taxonomy map'!$A$1:$B$171,2,FALSE),"")</f>
        <v/>
      </c>
      <c r="F380" s="49" t="str">
        <f>IFERROR(VLOOKUP(E380,'Condensed Specialty Crosswalk'!$A$2:$C$182,2,FALSE),"")</f>
        <v/>
      </c>
      <c r="G380" s="49" t="str">
        <f>IFERROR(VLOOKUP(E380,'Condensed Specialty Crosswalk'!$A$2:$C$182,3,FALSE),"")</f>
        <v/>
      </c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52"/>
    </row>
    <row r="381" spans="1:30" ht="17">
      <c r="A381" s="49"/>
      <c r="B381" s="49" t="str">
        <f>CONCATENATE(Reports!E380," ",Reports!F380," ",Reports!G380)</f>
        <v xml:space="preserve">  </v>
      </c>
      <c r="C381" s="101"/>
      <c r="D381" s="101"/>
      <c r="E381" s="49" t="str">
        <f>IFERROR(VLOOKUP(D381,'taxonomy map'!$A$1:$B$171,2,FALSE),"")</f>
        <v/>
      </c>
      <c r="F381" s="49" t="str">
        <f>IFERROR(VLOOKUP(E381,'Condensed Specialty Crosswalk'!$A$2:$C$182,2,FALSE),"")</f>
        <v/>
      </c>
      <c r="G381" s="49" t="str">
        <f>IFERROR(VLOOKUP(E381,'Condensed Specialty Crosswalk'!$A$2:$C$182,3,FALSE),"")</f>
        <v/>
      </c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52"/>
    </row>
    <row r="382" spans="1:30" ht="17">
      <c r="A382" s="49"/>
      <c r="B382" s="49" t="str">
        <f>CONCATENATE(Reports!E381," ",Reports!F381," ",Reports!G381)</f>
        <v xml:space="preserve">  </v>
      </c>
      <c r="C382" s="101"/>
      <c r="D382" s="101"/>
      <c r="E382" s="49" t="str">
        <f>IFERROR(VLOOKUP(D382,'taxonomy map'!$A$1:$B$171,2,FALSE),"")</f>
        <v/>
      </c>
      <c r="F382" s="49" t="str">
        <f>IFERROR(VLOOKUP(E382,'Condensed Specialty Crosswalk'!$A$2:$C$182,2,FALSE),"")</f>
        <v/>
      </c>
      <c r="G382" s="49" t="str">
        <f>IFERROR(VLOOKUP(E382,'Condensed Specialty Crosswalk'!$A$2:$C$182,3,FALSE),"")</f>
        <v/>
      </c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52"/>
    </row>
    <row r="383" spans="1:30" ht="17">
      <c r="A383" s="49"/>
      <c r="B383" s="49" t="str">
        <f>CONCATENATE(Reports!E382," ",Reports!F382," ",Reports!G382)</f>
        <v xml:space="preserve">  </v>
      </c>
      <c r="C383" s="101"/>
      <c r="D383" s="101"/>
      <c r="E383" s="49" t="str">
        <f>IFERROR(VLOOKUP(D383,'taxonomy map'!$A$1:$B$171,2,FALSE),"")</f>
        <v/>
      </c>
      <c r="F383" s="49" t="str">
        <f>IFERROR(VLOOKUP(E383,'Condensed Specialty Crosswalk'!$A$2:$C$182,2,FALSE),"")</f>
        <v/>
      </c>
      <c r="G383" s="49" t="str">
        <f>IFERROR(VLOOKUP(E383,'Condensed Specialty Crosswalk'!$A$2:$C$182,3,FALSE),"")</f>
        <v/>
      </c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52"/>
    </row>
    <row r="384" spans="1:30" ht="17">
      <c r="A384" s="49"/>
      <c r="B384" s="49" t="str">
        <f>CONCATENATE(Reports!E383," ",Reports!F383," ",Reports!G383)</f>
        <v xml:space="preserve">  </v>
      </c>
      <c r="C384" s="101"/>
      <c r="D384" s="101"/>
      <c r="E384" s="49" t="str">
        <f>IFERROR(VLOOKUP(D384,'taxonomy map'!$A$1:$B$171,2,FALSE),"")</f>
        <v/>
      </c>
      <c r="F384" s="49" t="str">
        <f>IFERROR(VLOOKUP(E384,'Condensed Specialty Crosswalk'!$A$2:$C$182,2,FALSE),"")</f>
        <v/>
      </c>
      <c r="G384" s="49" t="str">
        <f>IFERROR(VLOOKUP(E384,'Condensed Specialty Crosswalk'!$A$2:$C$182,3,FALSE),"")</f>
        <v/>
      </c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52"/>
    </row>
    <row r="385" spans="1:30" ht="17">
      <c r="A385" s="49"/>
      <c r="B385" s="49" t="str">
        <f>CONCATENATE(Reports!E384," ",Reports!F384," ",Reports!G384)</f>
        <v xml:space="preserve">  </v>
      </c>
      <c r="C385" s="101"/>
      <c r="D385" s="101"/>
      <c r="E385" s="49" t="str">
        <f>IFERROR(VLOOKUP(D385,'taxonomy map'!$A$1:$B$171,2,FALSE),"")</f>
        <v/>
      </c>
      <c r="F385" s="49" t="str">
        <f>IFERROR(VLOOKUP(E385,'Condensed Specialty Crosswalk'!$A$2:$C$182,2,FALSE),"")</f>
        <v/>
      </c>
      <c r="G385" s="49" t="str">
        <f>IFERROR(VLOOKUP(E385,'Condensed Specialty Crosswalk'!$A$2:$C$182,3,FALSE),"")</f>
        <v/>
      </c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52"/>
    </row>
    <row r="386" spans="1:30" ht="17">
      <c r="A386" s="49"/>
      <c r="B386" s="49" t="str">
        <f>CONCATENATE(Reports!E385," ",Reports!F385," ",Reports!G385)</f>
        <v xml:space="preserve">  </v>
      </c>
      <c r="C386" s="101"/>
      <c r="D386" s="101"/>
      <c r="E386" s="49" t="str">
        <f>IFERROR(VLOOKUP(D386,'taxonomy map'!$A$1:$B$171,2,FALSE),"")</f>
        <v/>
      </c>
      <c r="F386" s="49" t="str">
        <f>IFERROR(VLOOKUP(E386,'Condensed Specialty Crosswalk'!$A$2:$C$182,2,FALSE),"")</f>
        <v/>
      </c>
      <c r="G386" s="49" t="str">
        <f>IFERROR(VLOOKUP(E386,'Condensed Specialty Crosswalk'!$A$2:$C$182,3,FALSE),"")</f>
        <v/>
      </c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52"/>
    </row>
    <row r="387" spans="1:30" ht="17">
      <c r="A387" s="49"/>
      <c r="B387" s="49" t="str">
        <f>CONCATENATE(Reports!E386," ",Reports!F386," ",Reports!G386)</f>
        <v xml:space="preserve">  </v>
      </c>
      <c r="C387" s="101"/>
      <c r="D387" s="101"/>
      <c r="E387" s="49" t="str">
        <f>IFERROR(VLOOKUP(D387,'taxonomy map'!$A$1:$B$171,2,FALSE),"")</f>
        <v/>
      </c>
      <c r="F387" s="49" t="str">
        <f>IFERROR(VLOOKUP(E387,'Condensed Specialty Crosswalk'!$A$2:$C$182,2,FALSE),"")</f>
        <v/>
      </c>
      <c r="G387" s="49" t="str">
        <f>IFERROR(VLOOKUP(E387,'Condensed Specialty Crosswalk'!$A$2:$C$182,3,FALSE),"")</f>
        <v/>
      </c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52"/>
    </row>
    <row r="388" spans="1:30" ht="17">
      <c r="A388" s="49"/>
      <c r="B388" s="49" t="str">
        <f>CONCATENATE(Reports!E387," ",Reports!F387," ",Reports!G387)</f>
        <v xml:space="preserve">  </v>
      </c>
      <c r="C388" s="101"/>
      <c r="D388" s="101"/>
      <c r="E388" s="49" t="str">
        <f>IFERROR(VLOOKUP(D388,'taxonomy map'!$A$1:$B$171,2,FALSE),"")</f>
        <v/>
      </c>
      <c r="F388" s="49" t="str">
        <f>IFERROR(VLOOKUP(E388,'Condensed Specialty Crosswalk'!$A$2:$C$182,2,FALSE),"")</f>
        <v/>
      </c>
      <c r="G388" s="49" t="str">
        <f>IFERROR(VLOOKUP(E388,'Condensed Specialty Crosswalk'!$A$2:$C$182,3,FALSE),"")</f>
        <v/>
      </c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</row>
    <row r="389" spans="1:30" ht="17">
      <c r="A389" s="49"/>
      <c r="B389" s="49" t="str">
        <f>CONCATENATE(Reports!E388," ",Reports!F388," ",Reports!G388)</f>
        <v xml:space="preserve">  </v>
      </c>
      <c r="C389" s="101"/>
      <c r="D389" s="101"/>
      <c r="E389" s="49" t="str">
        <f>IFERROR(VLOOKUP(D389,'taxonomy map'!$A$1:$B$171,2,FALSE),"")</f>
        <v/>
      </c>
      <c r="F389" s="49" t="str">
        <f>IFERROR(VLOOKUP(E389,'Condensed Specialty Crosswalk'!$A$2:$C$182,2,FALSE),"")</f>
        <v/>
      </c>
      <c r="G389" s="49" t="str">
        <f>IFERROR(VLOOKUP(E389,'Condensed Specialty Crosswalk'!$A$2:$C$182,3,FALSE),"")</f>
        <v/>
      </c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52"/>
    </row>
    <row r="390" spans="1:30" ht="17">
      <c r="A390" s="49"/>
      <c r="B390" s="49" t="str">
        <f>CONCATENATE(Reports!E389," ",Reports!F389," ",Reports!G389)</f>
        <v xml:space="preserve">  </v>
      </c>
      <c r="C390" s="101"/>
      <c r="D390" s="101"/>
      <c r="E390" s="49" t="str">
        <f>IFERROR(VLOOKUP(D390,'taxonomy map'!$A$1:$B$171,2,FALSE),"")</f>
        <v/>
      </c>
      <c r="F390" s="49" t="str">
        <f>IFERROR(VLOOKUP(E390,'Condensed Specialty Crosswalk'!$A$2:$C$182,2,FALSE),"")</f>
        <v/>
      </c>
      <c r="G390" s="49" t="str">
        <f>IFERROR(VLOOKUP(E390,'Condensed Specialty Crosswalk'!$A$2:$C$182,3,FALSE),"")</f>
        <v/>
      </c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52"/>
    </row>
    <row r="391" spans="1:30" ht="17">
      <c r="A391" s="49"/>
      <c r="B391" s="49" t="str">
        <f>CONCATENATE(Reports!E390," ",Reports!F390," ",Reports!G390)</f>
        <v xml:space="preserve">  </v>
      </c>
      <c r="C391" s="101"/>
      <c r="D391" s="101"/>
      <c r="E391" s="49" t="str">
        <f>IFERROR(VLOOKUP(D391,'taxonomy map'!$A$1:$B$171,2,FALSE),"")</f>
        <v/>
      </c>
      <c r="F391" s="49" t="str">
        <f>IFERROR(VLOOKUP(E391,'Condensed Specialty Crosswalk'!$A$2:$C$182,2,FALSE),"")</f>
        <v/>
      </c>
      <c r="G391" s="49" t="str">
        <f>IFERROR(VLOOKUP(E391,'Condensed Specialty Crosswalk'!$A$2:$C$182,3,FALSE),"")</f>
        <v/>
      </c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</row>
    <row r="392" spans="1:30" ht="17">
      <c r="A392" s="49"/>
      <c r="B392" s="49" t="str">
        <f>CONCATENATE(Reports!E391," ",Reports!F391," ",Reports!G391)</f>
        <v xml:space="preserve">  </v>
      </c>
      <c r="C392" s="101"/>
      <c r="D392" s="101"/>
      <c r="E392" s="49" t="str">
        <f>IFERROR(VLOOKUP(D392,'taxonomy map'!$A$1:$B$171,2,FALSE),"")</f>
        <v/>
      </c>
      <c r="F392" s="49" t="str">
        <f>IFERROR(VLOOKUP(E392,'Condensed Specialty Crosswalk'!$A$2:$C$182,2,FALSE),"")</f>
        <v/>
      </c>
      <c r="G392" s="49" t="str">
        <f>IFERROR(VLOOKUP(E392,'Condensed Specialty Crosswalk'!$A$2:$C$182,3,FALSE),"")</f>
        <v/>
      </c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</row>
    <row r="393" spans="1:30" ht="17">
      <c r="A393" s="49"/>
      <c r="B393" s="49" t="str">
        <f>CONCATENATE(Reports!E392," ",Reports!F392," ",Reports!G392)</f>
        <v xml:space="preserve">  </v>
      </c>
      <c r="C393" s="101"/>
      <c r="D393" s="101"/>
      <c r="E393" s="49" t="str">
        <f>IFERROR(VLOOKUP(D393,'taxonomy map'!$A$1:$B$171,2,FALSE),"")</f>
        <v/>
      </c>
      <c r="F393" s="49" t="str">
        <f>IFERROR(VLOOKUP(E393,'Condensed Specialty Crosswalk'!$A$2:$C$182,2,FALSE),"")</f>
        <v/>
      </c>
      <c r="G393" s="49" t="str">
        <f>IFERROR(VLOOKUP(E393,'Condensed Specialty Crosswalk'!$A$2:$C$182,3,FALSE),"")</f>
        <v/>
      </c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</row>
    <row r="394" spans="1:30" ht="17">
      <c r="A394" s="49"/>
      <c r="B394" s="49" t="str">
        <f>CONCATENATE(Reports!E393," ",Reports!F393," ",Reports!G393)</f>
        <v xml:space="preserve">  </v>
      </c>
      <c r="C394" s="101"/>
      <c r="D394" s="101"/>
      <c r="E394" s="49" t="str">
        <f>IFERROR(VLOOKUP(D394,'taxonomy map'!$A$1:$B$171,2,FALSE),"")</f>
        <v/>
      </c>
      <c r="F394" s="49" t="str">
        <f>IFERROR(VLOOKUP(E394,'Condensed Specialty Crosswalk'!$A$2:$C$182,2,FALSE),"")</f>
        <v/>
      </c>
      <c r="G394" s="49" t="str">
        <f>IFERROR(VLOOKUP(E394,'Condensed Specialty Crosswalk'!$A$2:$C$182,3,FALSE),"")</f>
        <v/>
      </c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</row>
    <row r="395" spans="1:30" ht="17">
      <c r="A395" s="49"/>
      <c r="B395" s="49" t="str">
        <f>CONCATENATE(Reports!E394," ",Reports!F394," ",Reports!G394)</f>
        <v xml:space="preserve">  </v>
      </c>
      <c r="C395" s="101"/>
      <c r="D395" s="101"/>
      <c r="E395" s="49" t="str">
        <f>IFERROR(VLOOKUP(D395,'taxonomy map'!$A$1:$B$171,2,FALSE),"")</f>
        <v/>
      </c>
      <c r="F395" s="49" t="str">
        <f>IFERROR(VLOOKUP(E395,'Condensed Specialty Crosswalk'!$A$2:$C$182,2,FALSE),"")</f>
        <v/>
      </c>
      <c r="G395" s="49" t="str">
        <f>IFERROR(VLOOKUP(E395,'Condensed Specialty Crosswalk'!$A$2:$C$182,3,FALSE),"")</f>
        <v/>
      </c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</row>
    <row r="396" spans="1:30" ht="17">
      <c r="A396" s="49"/>
      <c r="B396" s="49" t="str">
        <f>CONCATENATE(Reports!E395," ",Reports!F395," ",Reports!G395)</f>
        <v xml:space="preserve">  </v>
      </c>
      <c r="C396" s="101"/>
      <c r="D396" s="101"/>
      <c r="E396" s="49" t="str">
        <f>IFERROR(VLOOKUP(D396,'taxonomy map'!$A$1:$B$171,2,FALSE),"")</f>
        <v/>
      </c>
      <c r="F396" s="49" t="str">
        <f>IFERROR(VLOOKUP(E396,'Condensed Specialty Crosswalk'!$A$2:$C$182,2,FALSE),"")</f>
        <v/>
      </c>
      <c r="G396" s="49" t="str">
        <f>IFERROR(VLOOKUP(E396,'Condensed Specialty Crosswalk'!$A$2:$C$182,3,FALSE),"")</f>
        <v/>
      </c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</row>
    <row r="397" spans="1:30" ht="17">
      <c r="A397" s="49"/>
      <c r="B397" s="49" t="str">
        <f>CONCATENATE(Reports!E396," ",Reports!F396," ",Reports!G396)</f>
        <v xml:space="preserve">  </v>
      </c>
      <c r="C397" s="101"/>
      <c r="D397" s="101"/>
      <c r="E397" s="49" t="str">
        <f>IFERROR(VLOOKUP(D397,'taxonomy map'!$A$1:$B$171,2,FALSE),"")</f>
        <v/>
      </c>
      <c r="F397" s="49" t="str">
        <f>IFERROR(VLOOKUP(E397,'Condensed Specialty Crosswalk'!$A$2:$C$182,2,FALSE),"")</f>
        <v/>
      </c>
      <c r="G397" s="49" t="str">
        <f>IFERROR(VLOOKUP(E397,'Condensed Specialty Crosswalk'!$A$2:$C$182,3,FALSE),"")</f>
        <v/>
      </c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</row>
    <row r="398" spans="1:30" ht="17">
      <c r="A398" s="49"/>
      <c r="B398" s="49" t="str">
        <f>CONCATENATE(Reports!E397," ",Reports!F397," ",Reports!G397)</f>
        <v xml:space="preserve">  </v>
      </c>
      <c r="C398" s="101"/>
      <c r="D398" s="101"/>
      <c r="E398" s="49" t="str">
        <f>IFERROR(VLOOKUP(D398,'taxonomy map'!$A$1:$B$171,2,FALSE),"")</f>
        <v/>
      </c>
      <c r="F398" s="49" t="str">
        <f>IFERROR(VLOOKUP(E398,'Condensed Specialty Crosswalk'!$A$2:$C$182,2,FALSE),"")</f>
        <v/>
      </c>
      <c r="G398" s="49" t="str">
        <f>IFERROR(VLOOKUP(E398,'Condensed Specialty Crosswalk'!$A$2:$C$182,3,FALSE),"")</f>
        <v/>
      </c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</row>
    <row r="399" spans="1:30" ht="17">
      <c r="A399" s="49"/>
      <c r="B399" s="49" t="str">
        <f>CONCATENATE(Reports!E398," ",Reports!F398," ",Reports!G398)</f>
        <v xml:space="preserve">  </v>
      </c>
      <c r="C399" s="101"/>
      <c r="D399" s="101"/>
      <c r="E399" s="49" t="str">
        <f>IFERROR(VLOOKUP(D399,'taxonomy map'!$A$1:$B$171,2,FALSE),"")</f>
        <v/>
      </c>
      <c r="F399" s="49" t="str">
        <f>IFERROR(VLOOKUP(E399,'Condensed Specialty Crosswalk'!$A$2:$C$182,2,FALSE),"")</f>
        <v/>
      </c>
      <c r="G399" s="49" t="str">
        <f>IFERROR(VLOOKUP(E399,'Condensed Specialty Crosswalk'!$A$2:$C$182,3,FALSE),"")</f>
        <v/>
      </c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</row>
    <row r="400" spans="1:30" ht="17">
      <c r="A400" s="49"/>
      <c r="B400" s="49" t="str">
        <f>CONCATENATE(Reports!E399," ",Reports!F399," ",Reports!G399)</f>
        <v xml:space="preserve">  </v>
      </c>
      <c r="C400" s="101"/>
      <c r="D400" s="101"/>
      <c r="E400" s="49" t="str">
        <f>IFERROR(VLOOKUP(D400,'taxonomy map'!$A$1:$B$171,2,FALSE),"")</f>
        <v/>
      </c>
      <c r="F400" s="49" t="str">
        <f>IFERROR(VLOOKUP(E400,'Condensed Specialty Crosswalk'!$A$2:$C$182,2,FALSE),"")</f>
        <v/>
      </c>
      <c r="G400" s="49" t="str">
        <f>IFERROR(VLOOKUP(E400,'Condensed Specialty Crosswalk'!$A$2:$C$182,3,FALSE),"")</f>
        <v/>
      </c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</row>
    <row r="401" spans="1:30" ht="17">
      <c r="A401" s="49"/>
      <c r="B401" s="49" t="str">
        <f>CONCATENATE(Reports!E400," ",Reports!F400," ",Reports!G400)</f>
        <v xml:space="preserve">  </v>
      </c>
      <c r="C401" s="101"/>
      <c r="D401" s="101"/>
      <c r="E401" s="49" t="str">
        <f>IFERROR(VLOOKUP(D401,'taxonomy map'!$A$1:$B$171,2,FALSE),"")</f>
        <v/>
      </c>
      <c r="F401" s="49" t="str">
        <f>IFERROR(VLOOKUP(E401,'Condensed Specialty Crosswalk'!$A$2:$C$182,2,FALSE),"")</f>
        <v/>
      </c>
      <c r="G401" s="49" t="str">
        <f>IFERROR(VLOOKUP(E401,'Condensed Specialty Crosswalk'!$A$2:$C$182,3,FALSE),"")</f>
        <v/>
      </c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</row>
    <row r="402" spans="1:30" ht="17">
      <c r="A402" s="49"/>
      <c r="B402" s="49" t="str">
        <f>CONCATENATE(Reports!E401," ",Reports!F401," ",Reports!G401)</f>
        <v xml:space="preserve">  </v>
      </c>
      <c r="C402" s="101"/>
      <c r="D402" s="101"/>
      <c r="E402" s="49" t="str">
        <f>IFERROR(VLOOKUP(D402,'taxonomy map'!$A$1:$B$171,2,FALSE),"")</f>
        <v/>
      </c>
      <c r="F402" s="49" t="str">
        <f>IFERROR(VLOOKUP(E402,'Condensed Specialty Crosswalk'!$A$2:$C$182,2,FALSE),"")</f>
        <v/>
      </c>
      <c r="G402" s="49" t="str">
        <f>IFERROR(VLOOKUP(E402,'Condensed Specialty Crosswalk'!$A$2:$C$182,3,FALSE),"")</f>
        <v/>
      </c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</row>
    <row r="403" spans="1:30" ht="17">
      <c r="A403" s="49"/>
      <c r="B403" s="49" t="str">
        <f>CONCATENATE(Reports!E402," ",Reports!F402," ",Reports!G402)</f>
        <v xml:space="preserve">  </v>
      </c>
      <c r="C403" s="101"/>
      <c r="D403" s="101"/>
      <c r="E403" s="49" t="str">
        <f>IFERROR(VLOOKUP(D403,'taxonomy map'!$A$1:$B$171,2,FALSE),"")</f>
        <v/>
      </c>
      <c r="F403" s="49" t="str">
        <f>IFERROR(VLOOKUP(E403,'Condensed Specialty Crosswalk'!$A$2:$C$182,2,FALSE),"")</f>
        <v/>
      </c>
      <c r="G403" s="49" t="str">
        <f>IFERROR(VLOOKUP(E403,'Condensed Specialty Crosswalk'!$A$2:$C$182,3,FALSE),"")</f>
        <v/>
      </c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</row>
    <row r="404" spans="1:30" ht="17">
      <c r="A404" s="49"/>
      <c r="B404" s="49" t="str">
        <f>CONCATENATE(Reports!E403," ",Reports!F403," ",Reports!G403)</f>
        <v xml:space="preserve">  </v>
      </c>
      <c r="C404" s="101"/>
      <c r="D404" s="101"/>
      <c r="E404" s="49" t="str">
        <f>IFERROR(VLOOKUP(D404,'taxonomy map'!$A$1:$B$171,2,FALSE),"")</f>
        <v/>
      </c>
      <c r="F404" s="49" t="str">
        <f>IFERROR(VLOOKUP(E404,'Condensed Specialty Crosswalk'!$A$2:$C$182,2,FALSE),"")</f>
        <v/>
      </c>
      <c r="G404" s="49" t="str">
        <f>IFERROR(VLOOKUP(E404,'Condensed Specialty Crosswalk'!$A$2:$C$182,3,FALSE),"")</f>
        <v/>
      </c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</row>
    <row r="405" spans="1:30" ht="17">
      <c r="A405" s="49"/>
      <c r="B405" s="49" t="str">
        <f>CONCATENATE(Reports!E404," ",Reports!F404," ",Reports!G404)</f>
        <v xml:space="preserve">  </v>
      </c>
      <c r="C405" s="101"/>
      <c r="D405" s="101"/>
      <c r="E405" s="49" t="str">
        <f>IFERROR(VLOOKUP(D405,'taxonomy map'!$A$1:$B$171,2,FALSE),"")</f>
        <v/>
      </c>
      <c r="F405" s="49" t="str">
        <f>IFERROR(VLOOKUP(E405,'Condensed Specialty Crosswalk'!$A$2:$C$182,2,FALSE),"")</f>
        <v/>
      </c>
      <c r="G405" s="49" t="str">
        <f>IFERROR(VLOOKUP(E405,'Condensed Specialty Crosswalk'!$A$2:$C$182,3,FALSE),"")</f>
        <v/>
      </c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</row>
    <row r="406" spans="1:30" ht="17">
      <c r="A406" s="49"/>
      <c r="B406" s="49" t="str">
        <f>CONCATENATE(Reports!E405," ",Reports!F405," ",Reports!G405)</f>
        <v xml:space="preserve">  </v>
      </c>
      <c r="C406" s="101"/>
      <c r="D406" s="101"/>
      <c r="E406" s="49" t="str">
        <f>IFERROR(VLOOKUP(D406,'taxonomy map'!$A$1:$B$171,2,FALSE),"")</f>
        <v/>
      </c>
      <c r="F406" s="49" t="str">
        <f>IFERROR(VLOOKUP(E406,'Condensed Specialty Crosswalk'!$A$2:$C$182,2,FALSE),"")</f>
        <v/>
      </c>
      <c r="G406" s="49" t="str">
        <f>IFERROR(VLOOKUP(E406,'Condensed Specialty Crosswalk'!$A$2:$C$182,3,FALSE),"")</f>
        <v/>
      </c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</row>
    <row r="407" spans="1:30" ht="17">
      <c r="A407" s="49"/>
      <c r="B407" s="49" t="str">
        <f>CONCATENATE(Reports!E406," ",Reports!F406," ",Reports!G406)</f>
        <v xml:space="preserve">  </v>
      </c>
      <c r="C407" s="101"/>
      <c r="D407" s="101"/>
      <c r="E407" s="49" t="str">
        <f>IFERROR(VLOOKUP(D407,'taxonomy map'!$A$1:$B$171,2,FALSE),"")</f>
        <v/>
      </c>
      <c r="F407" s="49" t="str">
        <f>IFERROR(VLOOKUP(E407,'Condensed Specialty Crosswalk'!$A$2:$C$182,2,FALSE),"")</f>
        <v/>
      </c>
      <c r="G407" s="49" t="str">
        <f>IFERROR(VLOOKUP(E407,'Condensed Specialty Crosswalk'!$A$2:$C$182,3,FALSE),"")</f>
        <v/>
      </c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</row>
    <row r="408" spans="1:30" ht="17">
      <c r="A408" s="49"/>
      <c r="B408" s="49" t="str">
        <f>CONCATENATE(Reports!E407," ",Reports!F407," ",Reports!G407)</f>
        <v xml:space="preserve">  </v>
      </c>
      <c r="C408" s="101"/>
      <c r="D408" s="101"/>
      <c r="E408" s="49" t="str">
        <f>IFERROR(VLOOKUP(D408,'taxonomy map'!$A$1:$B$171,2,FALSE),"")</f>
        <v/>
      </c>
      <c r="F408" s="49" t="str">
        <f>IFERROR(VLOOKUP(E408,'Condensed Specialty Crosswalk'!$A$2:$C$182,2,FALSE),"")</f>
        <v/>
      </c>
      <c r="G408" s="49" t="str">
        <f>IFERROR(VLOOKUP(E408,'Condensed Specialty Crosswalk'!$A$2:$C$182,3,FALSE),"")</f>
        <v/>
      </c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</row>
    <row r="409" spans="1:30" ht="17">
      <c r="A409" s="49"/>
      <c r="B409" s="49" t="str">
        <f>CONCATENATE(Reports!E408," ",Reports!F408," ",Reports!G408)</f>
        <v xml:space="preserve">  </v>
      </c>
      <c r="C409" s="101"/>
      <c r="D409" s="101"/>
      <c r="E409" s="49" t="str">
        <f>IFERROR(VLOOKUP(D409,'taxonomy map'!$A$1:$B$171,2,FALSE),"")</f>
        <v/>
      </c>
      <c r="F409" s="49" t="str">
        <f>IFERROR(VLOOKUP(E409,'Condensed Specialty Crosswalk'!$A$2:$C$182,2,FALSE),"")</f>
        <v/>
      </c>
      <c r="G409" s="49" t="str">
        <f>IFERROR(VLOOKUP(E409,'Condensed Specialty Crosswalk'!$A$2:$C$182,3,FALSE),"")</f>
        <v/>
      </c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</row>
    <row r="410" spans="1:30" ht="17">
      <c r="A410" s="49"/>
      <c r="B410" s="49" t="str">
        <f>CONCATENATE(Reports!E409," ",Reports!F409," ",Reports!G409)</f>
        <v xml:space="preserve">  </v>
      </c>
      <c r="C410" s="101"/>
      <c r="D410" s="101"/>
      <c r="E410" s="49" t="str">
        <f>IFERROR(VLOOKUP(D410,'taxonomy map'!$A$1:$B$171,2,FALSE),"")</f>
        <v/>
      </c>
      <c r="F410" s="49" t="str">
        <f>IFERROR(VLOOKUP(E410,'Condensed Specialty Crosswalk'!$A$2:$C$182,2,FALSE),"")</f>
        <v/>
      </c>
      <c r="G410" s="49" t="str">
        <f>IFERROR(VLOOKUP(E410,'Condensed Specialty Crosswalk'!$A$2:$C$182,3,FALSE),"")</f>
        <v/>
      </c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</row>
    <row r="411" spans="1:30" ht="17">
      <c r="A411" s="49"/>
      <c r="B411" s="49" t="str">
        <f>CONCATENATE(Reports!E410," ",Reports!F410," ",Reports!G410)</f>
        <v xml:space="preserve">  </v>
      </c>
      <c r="C411" s="101"/>
      <c r="D411" s="101"/>
      <c r="E411" s="49" t="str">
        <f>IFERROR(VLOOKUP(D411,'taxonomy map'!$A$1:$B$171,2,FALSE),"")</f>
        <v/>
      </c>
      <c r="F411" s="49" t="str">
        <f>IFERROR(VLOOKUP(E411,'Condensed Specialty Crosswalk'!$A$2:$C$182,2,FALSE),"")</f>
        <v/>
      </c>
      <c r="G411" s="49" t="str">
        <f>IFERROR(VLOOKUP(E411,'Condensed Specialty Crosswalk'!$A$2:$C$182,3,FALSE),"")</f>
        <v/>
      </c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</row>
    <row r="412" spans="1:30" ht="17">
      <c r="A412" s="49"/>
      <c r="B412" s="49" t="str">
        <f>CONCATENATE(Reports!E411," ",Reports!F411," ",Reports!G411)</f>
        <v xml:space="preserve">  </v>
      </c>
      <c r="C412" s="101"/>
      <c r="D412" s="101"/>
      <c r="E412" s="49" t="str">
        <f>IFERROR(VLOOKUP(D412,'taxonomy map'!$A$1:$B$171,2,FALSE),"")</f>
        <v/>
      </c>
      <c r="F412" s="49" t="str">
        <f>IFERROR(VLOOKUP(E412,'Condensed Specialty Crosswalk'!$A$2:$C$182,2,FALSE),"")</f>
        <v/>
      </c>
      <c r="G412" s="49" t="str">
        <f>IFERROR(VLOOKUP(E412,'Condensed Specialty Crosswalk'!$A$2:$C$182,3,FALSE),"")</f>
        <v/>
      </c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</row>
    <row r="413" spans="1:30" ht="17">
      <c r="A413" s="49"/>
      <c r="B413" s="49" t="str">
        <f>CONCATENATE(Reports!E412," ",Reports!F412," ",Reports!G412)</f>
        <v xml:space="preserve">  </v>
      </c>
      <c r="C413" s="101"/>
      <c r="D413" s="101"/>
      <c r="E413" s="49" t="str">
        <f>IFERROR(VLOOKUP(D413,'taxonomy map'!$A$1:$B$171,2,FALSE),"")</f>
        <v/>
      </c>
      <c r="F413" s="49" t="str">
        <f>IFERROR(VLOOKUP(E413,'Condensed Specialty Crosswalk'!$A$2:$C$182,2,FALSE),"")</f>
        <v/>
      </c>
      <c r="G413" s="49" t="str">
        <f>IFERROR(VLOOKUP(E413,'Condensed Specialty Crosswalk'!$A$2:$C$182,3,FALSE),"")</f>
        <v/>
      </c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</row>
    <row r="414" spans="1:30" ht="17">
      <c r="A414" s="49"/>
      <c r="B414" s="49" t="str">
        <f>CONCATENATE(Reports!E413," ",Reports!F413," ",Reports!G413)</f>
        <v xml:space="preserve">  </v>
      </c>
      <c r="C414" s="101"/>
      <c r="D414" s="101"/>
      <c r="E414" s="49" t="str">
        <f>IFERROR(VLOOKUP(D414,'taxonomy map'!$A$1:$B$171,2,FALSE),"")</f>
        <v/>
      </c>
      <c r="F414" s="49" t="str">
        <f>IFERROR(VLOOKUP(E414,'Condensed Specialty Crosswalk'!$A$2:$C$182,2,FALSE),"")</f>
        <v/>
      </c>
      <c r="G414" s="49" t="str">
        <f>IFERROR(VLOOKUP(E414,'Condensed Specialty Crosswalk'!$A$2:$C$182,3,FALSE),"")</f>
        <v/>
      </c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</row>
    <row r="415" spans="1:30" ht="17">
      <c r="A415" s="49"/>
      <c r="B415" s="49" t="str">
        <f>CONCATENATE(Reports!E414," ",Reports!F414," ",Reports!G414)</f>
        <v xml:space="preserve">  </v>
      </c>
      <c r="C415" s="101"/>
      <c r="D415" s="101"/>
      <c r="E415" s="49" t="str">
        <f>IFERROR(VLOOKUP(D415,'taxonomy map'!$A$1:$B$171,2,FALSE),"")</f>
        <v/>
      </c>
      <c r="F415" s="49" t="str">
        <f>IFERROR(VLOOKUP(E415,'Condensed Specialty Crosswalk'!$A$2:$C$182,2,FALSE),"")</f>
        <v/>
      </c>
      <c r="G415" s="49" t="str">
        <f>IFERROR(VLOOKUP(E415,'Condensed Specialty Crosswalk'!$A$2:$C$182,3,FALSE),"")</f>
        <v/>
      </c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</row>
    <row r="416" spans="1:30" ht="17">
      <c r="A416" s="49"/>
      <c r="B416" s="49" t="str">
        <f>CONCATENATE(Reports!E415," ",Reports!F415," ",Reports!G415)</f>
        <v xml:space="preserve">  </v>
      </c>
      <c r="C416" s="101"/>
      <c r="D416" s="101"/>
      <c r="E416" s="49" t="str">
        <f>IFERROR(VLOOKUP(D416,'taxonomy map'!$A$1:$B$171,2,FALSE),"")</f>
        <v/>
      </c>
      <c r="F416" s="49" t="str">
        <f>IFERROR(VLOOKUP(E416,'Condensed Specialty Crosswalk'!$A$2:$C$182,2,FALSE),"")</f>
        <v/>
      </c>
      <c r="G416" s="49" t="str">
        <f>IFERROR(VLOOKUP(E416,'Condensed Specialty Crosswalk'!$A$2:$C$182,3,FALSE),"")</f>
        <v/>
      </c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</row>
    <row r="417" spans="1:30" ht="17">
      <c r="A417" s="49"/>
      <c r="B417" s="49" t="str">
        <f>CONCATENATE(Reports!E416," ",Reports!F416," ",Reports!G416)</f>
        <v xml:space="preserve">  </v>
      </c>
      <c r="C417" s="101"/>
      <c r="D417" s="101"/>
      <c r="E417" s="49" t="str">
        <f>IFERROR(VLOOKUP(D417,'taxonomy map'!$A$1:$B$171,2,FALSE),"")</f>
        <v/>
      </c>
      <c r="F417" s="49" t="str">
        <f>IFERROR(VLOOKUP(E417,'Condensed Specialty Crosswalk'!$A$2:$C$182,2,FALSE),"")</f>
        <v/>
      </c>
      <c r="G417" s="49" t="str">
        <f>IFERROR(VLOOKUP(E417,'Condensed Specialty Crosswalk'!$A$2:$C$182,3,FALSE),"")</f>
        <v/>
      </c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</row>
    <row r="418" spans="1:30" ht="17">
      <c r="A418" s="49"/>
      <c r="B418" s="49" t="str">
        <f>CONCATENATE(Reports!E417," ",Reports!F417," ",Reports!G417)</f>
        <v xml:space="preserve">  </v>
      </c>
      <c r="C418" s="101"/>
      <c r="D418" s="101"/>
      <c r="E418" s="49" t="str">
        <f>IFERROR(VLOOKUP(D418,'taxonomy map'!$A$1:$B$171,2,FALSE),"")</f>
        <v/>
      </c>
      <c r="F418" s="49" t="str">
        <f>IFERROR(VLOOKUP(E418,'Condensed Specialty Crosswalk'!$A$2:$C$182,2,FALSE),"")</f>
        <v/>
      </c>
      <c r="G418" s="49" t="str">
        <f>IFERROR(VLOOKUP(E418,'Condensed Specialty Crosswalk'!$A$2:$C$182,3,FALSE),"")</f>
        <v/>
      </c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</row>
    <row r="419" spans="1:30" ht="17">
      <c r="A419" s="49"/>
      <c r="B419" s="49" t="str">
        <f>CONCATENATE(Reports!E418," ",Reports!F418," ",Reports!G418)</f>
        <v xml:space="preserve">  </v>
      </c>
      <c r="C419" s="101"/>
      <c r="D419" s="101"/>
      <c r="E419" s="49" t="str">
        <f>IFERROR(VLOOKUP(D419,'taxonomy map'!$A$1:$B$171,2,FALSE),"")</f>
        <v/>
      </c>
      <c r="F419" s="49" t="str">
        <f>IFERROR(VLOOKUP(E419,'Condensed Specialty Crosswalk'!$A$2:$C$182,2,FALSE),"")</f>
        <v/>
      </c>
      <c r="G419" s="49" t="str">
        <f>IFERROR(VLOOKUP(E419,'Condensed Specialty Crosswalk'!$A$2:$C$182,3,FALSE),"")</f>
        <v/>
      </c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</row>
    <row r="420" spans="1:30" ht="17">
      <c r="A420" s="49"/>
      <c r="B420" s="49" t="str">
        <f>CONCATENATE(Reports!E419," ",Reports!F419," ",Reports!G419)</f>
        <v xml:space="preserve">  </v>
      </c>
      <c r="C420" s="101"/>
      <c r="D420" s="101"/>
      <c r="E420" s="49" t="str">
        <f>IFERROR(VLOOKUP(D420,'taxonomy map'!$A$1:$B$171,2,FALSE),"")</f>
        <v/>
      </c>
      <c r="F420" s="49" t="str">
        <f>IFERROR(VLOOKUP(E420,'Condensed Specialty Crosswalk'!$A$2:$C$182,2,FALSE),"")</f>
        <v/>
      </c>
      <c r="G420" s="49" t="str">
        <f>IFERROR(VLOOKUP(E420,'Condensed Specialty Crosswalk'!$A$2:$C$182,3,FALSE),"")</f>
        <v/>
      </c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</row>
    <row r="421" spans="1:30" ht="17">
      <c r="A421" s="49"/>
      <c r="B421" s="49" t="str">
        <f>CONCATENATE(Reports!E420," ",Reports!F420," ",Reports!G420)</f>
        <v xml:space="preserve">  </v>
      </c>
      <c r="C421" s="101"/>
      <c r="D421" s="101"/>
      <c r="E421" s="49" t="str">
        <f>IFERROR(VLOOKUP(D421,'taxonomy map'!$A$1:$B$171,2,FALSE),"")</f>
        <v/>
      </c>
      <c r="F421" s="49" t="str">
        <f>IFERROR(VLOOKUP(E421,'Condensed Specialty Crosswalk'!$A$2:$C$182,2,FALSE),"")</f>
        <v/>
      </c>
      <c r="G421" s="49" t="str">
        <f>IFERROR(VLOOKUP(E421,'Condensed Specialty Crosswalk'!$A$2:$C$182,3,FALSE),"")</f>
        <v/>
      </c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</row>
    <row r="422" spans="1:30" ht="17">
      <c r="A422" s="49"/>
      <c r="B422" s="49" t="str">
        <f>CONCATENATE(Reports!E421," ",Reports!F421," ",Reports!G421)</f>
        <v xml:space="preserve">  </v>
      </c>
      <c r="C422" s="101"/>
      <c r="D422" s="101"/>
      <c r="E422" s="49" t="str">
        <f>IFERROR(VLOOKUP(D422,'taxonomy map'!$A$1:$B$171,2,FALSE),"")</f>
        <v/>
      </c>
      <c r="F422" s="49" t="str">
        <f>IFERROR(VLOOKUP(E422,'Condensed Specialty Crosswalk'!$A$2:$C$182,2,FALSE),"")</f>
        <v/>
      </c>
      <c r="G422" s="49" t="str">
        <f>IFERROR(VLOOKUP(E422,'Condensed Specialty Crosswalk'!$A$2:$C$182,3,FALSE),"")</f>
        <v/>
      </c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</row>
    <row r="423" spans="1:30" ht="17">
      <c r="A423" s="49"/>
      <c r="B423" s="49" t="str">
        <f>CONCATENATE(Reports!E422," ",Reports!F422," ",Reports!G422)</f>
        <v xml:space="preserve">  </v>
      </c>
      <c r="C423" s="101"/>
      <c r="D423" s="101"/>
      <c r="E423" s="49" t="str">
        <f>IFERROR(VLOOKUP(D423,'taxonomy map'!$A$1:$B$171,2,FALSE),"")</f>
        <v/>
      </c>
      <c r="F423" s="49" t="str">
        <f>IFERROR(VLOOKUP(E423,'Condensed Specialty Crosswalk'!$A$2:$C$182,2,FALSE),"")</f>
        <v/>
      </c>
      <c r="G423" s="49" t="str">
        <f>IFERROR(VLOOKUP(E423,'Condensed Specialty Crosswalk'!$A$2:$C$182,3,FALSE),"")</f>
        <v/>
      </c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</row>
    <row r="424" spans="1:30" ht="17">
      <c r="A424" s="49"/>
      <c r="B424" s="49" t="str">
        <f>CONCATENATE(Reports!E423," ",Reports!F423," ",Reports!G423)</f>
        <v xml:space="preserve">  </v>
      </c>
      <c r="C424" s="101"/>
      <c r="D424" s="101"/>
      <c r="E424" s="49" t="str">
        <f>IFERROR(VLOOKUP(D424,'taxonomy map'!$A$1:$B$171,2,FALSE),"")</f>
        <v/>
      </c>
      <c r="F424" s="49" t="str">
        <f>IFERROR(VLOOKUP(E424,'Condensed Specialty Crosswalk'!$A$2:$C$182,2,FALSE),"")</f>
        <v/>
      </c>
      <c r="G424" s="49" t="str">
        <f>IFERROR(VLOOKUP(E424,'Condensed Specialty Crosswalk'!$A$2:$C$182,3,FALSE),"")</f>
        <v/>
      </c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</row>
    <row r="425" spans="1:30" ht="17">
      <c r="A425" s="49"/>
      <c r="B425" s="49" t="str">
        <f>CONCATENATE(Reports!E424," ",Reports!F424," ",Reports!G424)</f>
        <v xml:space="preserve">  </v>
      </c>
      <c r="C425" s="101"/>
      <c r="D425" s="101"/>
      <c r="E425" s="49" t="str">
        <f>IFERROR(VLOOKUP(D425,'taxonomy map'!$A$1:$B$171,2,FALSE),"")</f>
        <v/>
      </c>
      <c r="F425" s="49" t="str">
        <f>IFERROR(VLOOKUP(E425,'Condensed Specialty Crosswalk'!$A$2:$C$182,2,FALSE),"")</f>
        <v/>
      </c>
      <c r="G425" s="49" t="str">
        <f>IFERROR(VLOOKUP(E425,'Condensed Specialty Crosswalk'!$A$2:$C$182,3,FALSE),"")</f>
        <v/>
      </c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</row>
    <row r="426" spans="1:30" ht="17">
      <c r="A426" s="49"/>
      <c r="B426" s="49" t="str">
        <f>CONCATENATE(Reports!E425," ",Reports!F425," ",Reports!G425)</f>
        <v xml:space="preserve">  </v>
      </c>
      <c r="C426" s="101"/>
      <c r="D426" s="101"/>
      <c r="E426" s="49" t="str">
        <f>IFERROR(VLOOKUP(D426,'taxonomy map'!$A$1:$B$171,2,FALSE),"")</f>
        <v/>
      </c>
      <c r="F426" s="49" t="str">
        <f>IFERROR(VLOOKUP(E426,'Condensed Specialty Crosswalk'!$A$2:$C$182,2,FALSE),"")</f>
        <v/>
      </c>
      <c r="G426" s="49" t="str">
        <f>IFERROR(VLOOKUP(E426,'Condensed Specialty Crosswalk'!$A$2:$C$182,3,FALSE),"")</f>
        <v/>
      </c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</row>
    <row r="427" spans="1:30" ht="17">
      <c r="A427" s="49"/>
      <c r="B427" s="49" t="str">
        <f>CONCATENATE(Reports!E426," ",Reports!F426," ",Reports!G426)</f>
        <v xml:space="preserve">  </v>
      </c>
      <c r="C427" s="101"/>
      <c r="D427" s="101"/>
      <c r="E427" s="49" t="str">
        <f>IFERROR(VLOOKUP(D427,'taxonomy map'!$A$1:$B$171,2,FALSE),"")</f>
        <v/>
      </c>
      <c r="F427" s="49" t="str">
        <f>IFERROR(VLOOKUP(E427,'Condensed Specialty Crosswalk'!$A$2:$C$182,2,FALSE),"")</f>
        <v/>
      </c>
      <c r="G427" s="49" t="str">
        <f>IFERROR(VLOOKUP(E427,'Condensed Specialty Crosswalk'!$A$2:$C$182,3,FALSE),"")</f>
        <v/>
      </c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</row>
    <row r="428" spans="1:30" ht="17">
      <c r="A428" s="49"/>
      <c r="B428" s="49" t="str">
        <f>CONCATENATE(Reports!E427," ",Reports!F427," ",Reports!G427)</f>
        <v xml:space="preserve">  </v>
      </c>
      <c r="C428" s="101"/>
      <c r="D428" s="101"/>
      <c r="E428" s="49" t="str">
        <f>IFERROR(VLOOKUP(D428,'taxonomy map'!$A$1:$B$171,2,FALSE),"")</f>
        <v/>
      </c>
      <c r="F428" s="49" t="str">
        <f>IFERROR(VLOOKUP(E428,'Condensed Specialty Crosswalk'!$A$2:$C$182,2,FALSE),"")</f>
        <v/>
      </c>
      <c r="G428" s="49" t="str">
        <f>IFERROR(VLOOKUP(E428,'Condensed Specialty Crosswalk'!$A$2:$C$182,3,FALSE),"")</f>
        <v/>
      </c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</row>
    <row r="429" spans="1:30" ht="17">
      <c r="A429" s="49"/>
      <c r="B429" s="49" t="str">
        <f>CONCATENATE(Reports!E428," ",Reports!F428," ",Reports!G428)</f>
        <v xml:space="preserve">  </v>
      </c>
      <c r="C429" s="101"/>
      <c r="D429" s="101"/>
      <c r="E429" s="49" t="str">
        <f>IFERROR(VLOOKUP(D429,'taxonomy map'!$A$1:$B$171,2,FALSE),"")</f>
        <v/>
      </c>
      <c r="F429" s="49" t="str">
        <f>IFERROR(VLOOKUP(E429,'Condensed Specialty Crosswalk'!$A$2:$C$182,2,FALSE),"")</f>
        <v/>
      </c>
      <c r="G429" s="49" t="str">
        <f>IFERROR(VLOOKUP(E429,'Condensed Specialty Crosswalk'!$A$2:$C$182,3,FALSE),"")</f>
        <v/>
      </c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</row>
    <row r="430" spans="1:30" ht="17">
      <c r="A430" s="49"/>
      <c r="B430" s="49" t="str">
        <f>CONCATENATE(Reports!E429," ",Reports!F429," ",Reports!G429)</f>
        <v xml:space="preserve">  </v>
      </c>
      <c r="C430" s="101"/>
      <c r="D430" s="101"/>
      <c r="E430" s="49" t="str">
        <f>IFERROR(VLOOKUP(D430,'taxonomy map'!$A$1:$B$171,2,FALSE),"")</f>
        <v/>
      </c>
      <c r="F430" s="49" t="str">
        <f>IFERROR(VLOOKUP(E430,'Condensed Specialty Crosswalk'!$A$2:$C$182,2,FALSE),"")</f>
        <v/>
      </c>
      <c r="G430" s="49" t="str">
        <f>IFERROR(VLOOKUP(E430,'Condensed Specialty Crosswalk'!$A$2:$C$182,3,FALSE),"")</f>
        <v/>
      </c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</row>
    <row r="431" spans="1:30" ht="17">
      <c r="A431" s="49"/>
      <c r="B431" s="49" t="str">
        <f>CONCATENATE(Reports!E430," ",Reports!F430," ",Reports!G430)</f>
        <v xml:space="preserve">  </v>
      </c>
      <c r="C431" s="101"/>
      <c r="D431" s="101"/>
      <c r="E431" s="49" t="str">
        <f>IFERROR(VLOOKUP(D431,'taxonomy map'!$A$1:$B$171,2,FALSE),"")</f>
        <v/>
      </c>
      <c r="F431" s="49" t="str">
        <f>IFERROR(VLOOKUP(E431,'Condensed Specialty Crosswalk'!$A$2:$C$182,2,FALSE),"")</f>
        <v/>
      </c>
      <c r="G431" s="49" t="str">
        <f>IFERROR(VLOOKUP(E431,'Condensed Specialty Crosswalk'!$A$2:$C$182,3,FALSE),"")</f>
        <v/>
      </c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</row>
    <row r="432" spans="1:30" ht="17">
      <c r="A432" s="49"/>
      <c r="B432" s="49" t="str">
        <f>CONCATENATE(Reports!E431," ",Reports!F431," ",Reports!G431)</f>
        <v xml:space="preserve">  </v>
      </c>
      <c r="C432" s="101"/>
      <c r="D432" s="101"/>
      <c r="E432" s="49" t="str">
        <f>IFERROR(VLOOKUP(D432,'taxonomy map'!$A$1:$B$171,2,FALSE),"")</f>
        <v/>
      </c>
      <c r="F432" s="49" t="str">
        <f>IFERROR(VLOOKUP(E432,'Condensed Specialty Crosswalk'!$A$2:$C$182,2,FALSE),"")</f>
        <v/>
      </c>
      <c r="G432" s="49" t="str">
        <f>IFERROR(VLOOKUP(E432,'Condensed Specialty Crosswalk'!$A$2:$C$182,3,FALSE),"")</f>
        <v/>
      </c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</row>
    <row r="433" spans="1:30" ht="17">
      <c r="A433" s="49"/>
      <c r="B433" s="49" t="str">
        <f>CONCATENATE(Reports!E432," ",Reports!F432," ",Reports!G432)</f>
        <v xml:space="preserve">  </v>
      </c>
      <c r="C433" s="101"/>
      <c r="D433" s="101"/>
      <c r="E433" s="49" t="str">
        <f>IFERROR(VLOOKUP(D433,'taxonomy map'!$A$1:$B$171,2,FALSE),"")</f>
        <v/>
      </c>
      <c r="F433" s="49" t="str">
        <f>IFERROR(VLOOKUP(E433,'Condensed Specialty Crosswalk'!$A$2:$C$182,2,FALSE),"")</f>
        <v/>
      </c>
      <c r="G433" s="49" t="str">
        <f>IFERROR(VLOOKUP(E433,'Condensed Specialty Crosswalk'!$A$2:$C$182,3,FALSE),"")</f>
        <v/>
      </c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</row>
    <row r="434" spans="1:30" ht="17">
      <c r="A434" s="49"/>
      <c r="B434" s="49" t="str">
        <f>CONCATENATE(Reports!E433," ",Reports!F433," ",Reports!G433)</f>
        <v xml:space="preserve">  </v>
      </c>
      <c r="C434" s="101"/>
      <c r="D434" s="101"/>
      <c r="E434" s="49" t="str">
        <f>IFERROR(VLOOKUP(D434,'taxonomy map'!$A$1:$B$171,2,FALSE),"")</f>
        <v/>
      </c>
      <c r="F434" s="49" t="str">
        <f>IFERROR(VLOOKUP(E434,'Condensed Specialty Crosswalk'!$A$2:$C$182,2,FALSE),"")</f>
        <v/>
      </c>
      <c r="G434" s="49" t="str">
        <f>IFERROR(VLOOKUP(E434,'Condensed Specialty Crosswalk'!$A$2:$C$182,3,FALSE),"")</f>
        <v/>
      </c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</row>
    <row r="435" spans="1:30" ht="17">
      <c r="A435" s="49"/>
      <c r="B435" s="49" t="str">
        <f>CONCATENATE(Reports!E434," ",Reports!F434," ",Reports!G434)</f>
        <v xml:space="preserve">  </v>
      </c>
      <c r="C435" s="101"/>
      <c r="D435" s="101"/>
      <c r="E435" s="49" t="str">
        <f>IFERROR(VLOOKUP(D435,'taxonomy map'!$A$1:$B$171,2,FALSE),"")</f>
        <v/>
      </c>
      <c r="F435" s="49" t="str">
        <f>IFERROR(VLOOKUP(E435,'Condensed Specialty Crosswalk'!$A$2:$C$182,2,FALSE),"")</f>
        <v/>
      </c>
      <c r="G435" s="49" t="str">
        <f>IFERROR(VLOOKUP(E435,'Condensed Specialty Crosswalk'!$A$2:$C$182,3,FALSE),"")</f>
        <v/>
      </c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</row>
    <row r="436" spans="1:30" ht="17">
      <c r="A436" s="49"/>
      <c r="B436" s="49" t="str">
        <f>CONCATENATE(Reports!E435," ",Reports!F435," ",Reports!G435)</f>
        <v xml:space="preserve">  </v>
      </c>
      <c r="C436" s="101"/>
      <c r="D436" s="101"/>
      <c r="E436" s="49" t="str">
        <f>IFERROR(VLOOKUP(D436,'taxonomy map'!$A$1:$B$171,2,FALSE),"")</f>
        <v/>
      </c>
      <c r="F436" s="49" t="str">
        <f>IFERROR(VLOOKUP(E436,'Condensed Specialty Crosswalk'!$A$2:$C$182,2,FALSE),"")</f>
        <v/>
      </c>
      <c r="G436" s="49" t="str">
        <f>IFERROR(VLOOKUP(E436,'Condensed Specialty Crosswalk'!$A$2:$C$182,3,FALSE),"")</f>
        <v/>
      </c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</row>
    <row r="437" spans="1:30" ht="17">
      <c r="A437" s="49"/>
      <c r="B437" s="49" t="str">
        <f>CONCATENATE(Reports!E436," ",Reports!F436," ",Reports!G436)</f>
        <v xml:space="preserve">  </v>
      </c>
      <c r="C437" s="101"/>
      <c r="D437" s="101"/>
      <c r="E437" s="49" t="str">
        <f>IFERROR(VLOOKUP(D437,'taxonomy map'!$A$1:$B$171,2,FALSE),"")</f>
        <v/>
      </c>
      <c r="F437" s="49" t="str">
        <f>IFERROR(VLOOKUP(E437,'Condensed Specialty Crosswalk'!$A$2:$C$182,2,FALSE),"")</f>
        <v/>
      </c>
      <c r="G437" s="49" t="str">
        <f>IFERROR(VLOOKUP(E437,'Condensed Specialty Crosswalk'!$A$2:$C$182,3,FALSE),"")</f>
        <v/>
      </c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</row>
    <row r="438" spans="1:30" ht="17">
      <c r="A438" s="49"/>
      <c r="B438" s="49" t="str">
        <f>CONCATENATE(Reports!E437," ",Reports!F437," ",Reports!G437)</f>
        <v xml:space="preserve">  </v>
      </c>
      <c r="C438" s="101"/>
      <c r="D438" s="101"/>
      <c r="E438" s="49" t="str">
        <f>IFERROR(VLOOKUP(D438,'taxonomy map'!$A$1:$B$171,2,FALSE),"")</f>
        <v/>
      </c>
      <c r="F438" s="49" t="str">
        <f>IFERROR(VLOOKUP(E438,'Condensed Specialty Crosswalk'!$A$2:$C$182,2,FALSE),"")</f>
        <v/>
      </c>
      <c r="G438" s="49" t="str">
        <f>IFERROR(VLOOKUP(E438,'Condensed Specialty Crosswalk'!$A$2:$C$182,3,FALSE),"")</f>
        <v/>
      </c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</row>
    <row r="439" spans="1:30" ht="17">
      <c r="A439" s="49"/>
      <c r="B439" s="49" t="str">
        <f>CONCATENATE(Reports!E438," ",Reports!F438," ",Reports!G438)</f>
        <v xml:space="preserve">  </v>
      </c>
      <c r="C439" s="101"/>
      <c r="D439" s="101"/>
      <c r="E439" s="49" t="str">
        <f>IFERROR(VLOOKUP(D439,'taxonomy map'!$A$1:$B$171,2,FALSE),"")</f>
        <v/>
      </c>
      <c r="F439" s="49" t="str">
        <f>IFERROR(VLOOKUP(E439,'Condensed Specialty Crosswalk'!$A$2:$C$182,2,FALSE),"")</f>
        <v/>
      </c>
      <c r="G439" s="49" t="str">
        <f>IFERROR(VLOOKUP(E439,'Condensed Specialty Crosswalk'!$A$2:$C$182,3,FALSE),"")</f>
        <v/>
      </c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</row>
    <row r="440" spans="1:30" ht="17">
      <c r="A440" s="49"/>
      <c r="B440" s="49" t="str">
        <f>CONCATENATE(Reports!E439," ",Reports!F439," ",Reports!G439)</f>
        <v xml:space="preserve">  </v>
      </c>
      <c r="C440" s="101"/>
      <c r="D440" s="101"/>
      <c r="E440" s="49" t="str">
        <f>IFERROR(VLOOKUP(D440,'taxonomy map'!$A$1:$B$171,2,FALSE),"")</f>
        <v/>
      </c>
      <c r="F440" s="49" t="str">
        <f>IFERROR(VLOOKUP(E440,'Condensed Specialty Crosswalk'!$A$2:$C$182,2,FALSE),"")</f>
        <v/>
      </c>
      <c r="G440" s="49" t="str">
        <f>IFERROR(VLOOKUP(E440,'Condensed Specialty Crosswalk'!$A$2:$C$182,3,FALSE),"")</f>
        <v/>
      </c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</row>
    <row r="441" spans="1:30" ht="17">
      <c r="A441" s="49"/>
      <c r="B441" s="49" t="str">
        <f>CONCATENATE(Reports!E440," ",Reports!F440," ",Reports!G440)</f>
        <v xml:space="preserve">  </v>
      </c>
      <c r="C441" s="101"/>
      <c r="D441" s="101"/>
      <c r="E441" s="49" t="str">
        <f>IFERROR(VLOOKUP(D441,'taxonomy map'!$A$1:$B$171,2,FALSE),"")</f>
        <v/>
      </c>
      <c r="F441" s="49" t="str">
        <f>IFERROR(VLOOKUP(E441,'Condensed Specialty Crosswalk'!$A$2:$C$182,2,FALSE),"")</f>
        <v/>
      </c>
      <c r="G441" s="49" t="str">
        <f>IFERROR(VLOOKUP(E441,'Condensed Specialty Crosswalk'!$A$2:$C$182,3,FALSE),"")</f>
        <v/>
      </c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</row>
    <row r="442" spans="1:30" ht="17">
      <c r="A442" s="49"/>
      <c r="B442" s="49" t="str">
        <f>CONCATENATE(Reports!E441," ",Reports!F441," ",Reports!G441)</f>
        <v xml:space="preserve">  </v>
      </c>
      <c r="C442" s="101"/>
      <c r="D442" s="101"/>
      <c r="E442" s="49" t="str">
        <f>IFERROR(VLOOKUP(D442,'taxonomy map'!$A$1:$B$171,2,FALSE),"")</f>
        <v/>
      </c>
      <c r="F442" s="49" t="str">
        <f>IFERROR(VLOOKUP(E442,'Condensed Specialty Crosswalk'!$A$2:$C$182,2,FALSE),"")</f>
        <v/>
      </c>
      <c r="G442" s="49" t="str">
        <f>IFERROR(VLOOKUP(E442,'Condensed Specialty Crosswalk'!$A$2:$C$182,3,FALSE),"")</f>
        <v/>
      </c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</row>
    <row r="443" spans="1:30" ht="17">
      <c r="A443" s="49"/>
      <c r="B443" s="49" t="str">
        <f>CONCATENATE(Reports!E442," ",Reports!F442," ",Reports!G442)</f>
        <v xml:space="preserve">  </v>
      </c>
      <c r="C443" s="101"/>
      <c r="D443" s="101"/>
      <c r="E443" s="49" t="str">
        <f>IFERROR(VLOOKUP(D443,'taxonomy map'!$A$1:$B$171,2,FALSE),"")</f>
        <v/>
      </c>
      <c r="F443" s="49" t="str">
        <f>IFERROR(VLOOKUP(E443,'Condensed Specialty Crosswalk'!$A$2:$C$182,2,FALSE),"")</f>
        <v/>
      </c>
      <c r="G443" s="49" t="str">
        <f>IFERROR(VLOOKUP(E443,'Condensed Specialty Crosswalk'!$A$2:$C$182,3,FALSE),"")</f>
        <v/>
      </c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</row>
    <row r="444" spans="1:30" ht="17">
      <c r="A444" s="49"/>
      <c r="B444" s="49" t="str">
        <f>CONCATENATE(Reports!E443," ",Reports!F443," ",Reports!G443)</f>
        <v xml:space="preserve">  </v>
      </c>
      <c r="C444" s="101"/>
      <c r="D444" s="101"/>
      <c r="E444" s="49" t="str">
        <f>IFERROR(VLOOKUP(D444,'taxonomy map'!$A$1:$B$171,2,FALSE),"")</f>
        <v/>
      </c>
      <c r="F444" s="49" t="str">
        <f>IFERROR(VLOOKUP(E444,'Condensed Specialty Crosswalk'!$A$2:$C$182,2,FALSE),"")</f>
        <v/>
      </c>
      <c r="G444" s="49" t="str">
        <f>IFERROR(VLOOKUP(E444,'Condensed Specialty Crosswalk'!$A$2:$C$182,3,FALSE),"")</f>
        <v/>
      </c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</row>
    <row r="445" spans="1:30" ht="17">
      <c r="A445" s="49"/>
      <c r="B445" s="49" t="str">
        <f>CONCATENATE(Reports!E444," ",Reports!F444," ",Reports!G444)</f>
        <v xml:space="preserve">  </v>
      </c>
      <c r="C445" s="101"/>
      <c r="D445" s="101"/>
      <c r="E445" s="49" t="str">
        <f>IFERROR(VLOOKUP(D445,'taxonomy map'!$A$1:$B$171,2,FALSE),"")</f>
        <v/>
      </c>
      <c r="F445" s="49" t="str">
        <f>IFERROR(VLOOKUP(E445,'Condensed Specialty Crosswalk'!$A$2:$C$182,2,FALSE),"")</f>
        <v/>
      </c>
      <c r="G445" s="49" t="str">
        <f>IFERROR(VLOOKUP(E445,'Condensed Specialty Crosswalk'!$A$2:$C$182,3,FALSE),"")</f>
        <v/>
      </c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</row>
    <row r="446" spans="1:30" ht="17">
      <c r="A446" s="49"/>
      <c r="B446" s="49" t="str">
        <f>CONCATENATE(Reports!E445," ",Reports!F445," ",Reports!G445)</f>
        <v xml:space="preserve">  </v>
      </c>
      <c r="C446" s="101"/>
      <c r="D446" s="101"/>
      <c r="E446" s="49" t="str">
        <f>IFERROR(VLOOKUP(D446,'taxonomy map'!$A$1:$B$171,2,FALSE),"")</f>
        <v/>
      </c>
      <c r="F446" s="49" t="str">
        <f>IFERROR(VLOOKUP(E446,'Condensed Specialty Crosswalk'!$A$2:$C$182,2,FALSE),"")</f>
        <v/>
      </c>
      <c r="G446" s="49" t="str">
        <f>IFERROR(VLOOKUP(E446,'Condensed Specialty Crosswalk'!$A$2:$C$182,3,FALSE),"")</f>
        <v/>
      </c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</row>
    <row r="447" spans="1:30" ht="17">
      <c r="A447" s="49"/>
      <c r="B447" s="49" t="str">
        <f>CONCATENATE(Reports!E446," ",Reports!F446," ",Reports!G446)</f>
        <v xml:space="preserve">  </v>
      </c>
      <c r="C447" s="101"/>
      <c r="D447" s="101"/>
      <c r="E447" s="49" t="str">
        <f>IFERROR(VLOOKUP(D447,'taxonomy map'!$A$1:$B$171,2,FALSE),"")</f>
        <v/>
      </c>
      <c r="F447" s="49" t="str">
        <f>IFERROR(VLOOKUP(E447,'Condensed Specialty Crosswalk'!$A$2:$C$182,2,FALSE),"")</f>
        <v/>
      </c>
      <c r="G447" s="49" t="str">
        <f>IFERROR(VLOOKUP(E447,'Condensed Specialty Crosswalk'!$A$2:$C$182,3,FALSE),"")</f>
        <v/>
      </c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</row>
    <row r="448" spans="1:30" ht="17">
      <c r="A448" s="49"/>
      <c r="B448" s="49" t="str">
        <f>CONCATENATE(Reports!E447," ",Reports!F447," ",Reports!G447)</f>
        <v xml:space="preserve">  </v>
      </c>
      <c r="C448" s="101"/>
      <c r="D448" s="101"/>
      <c r="E448" s="49" t="str">
        <f>IFERROR(VLOOKUP(D448,'taxonomy map'!$A$1:$B$171,2,FALSE),"")</f>
        <v/>
      </c>
      <c r="F448" s="49" t="str">
        <f>IFERROR(VLOOKUP(E448,'Condensed Specialty Crosswalk'!$A$2:$C$182,2,FALSE),"")</f>
        <v/>
      </c>
      <c r="G448" s="49" t="str">
        <f>IFERROR(VLOOKUP(E448,'Condensed Specialty Crosswalk'!$A$2:$C$182,3,FALSE),"")</f>
        <v/>
      </c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</row>
    <row r="449" spans="1:30" ht="17">
      <c r="A449" s="49"/>
      <c r="B449" s="49" t="str">
        <f>CONCATENATE(Reports!E448," ",Reports!F448," ",Reports!G448)</f>
        <v xml:space="preserve">  </v>
      </c>
      <c r="C449" s="101"/>
      <c r="D449" s="101"/>
      <c r="E449" s="49" t="str">
        <f>IFERROR(VLOOKUP(D449,'taxonomy map'!$A$1:$B$171,2,FALSE),"")</f>
        <v/>
      </c>
      <c r="F449" s="49" t="str">
        <f>IFERROR(VLOOKUP(E449,'Condensed Specialty Crosswalk'!$A$2:$C$182,2,FALSE),"")</f>
        <v/>
      </c>
      <c r="G449" s="49" t="str">
        <f>IFERROR(VLOOKUP(E449,'Condensed Specialty Crosswalk'!$A$2:$C$182,3,FALSE),"")</f>
        <v/>
      </c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</row>
    <row r="450" spans="1:30" ht="17">
      <c r="A450" s="49"/>
      <c r="B450" s="49" t="str">
        <f>CONCATENATE(Reports!E449," ",Reports!F449," ",Reports!G449)</f>
        <v xml:space="preserve">  </v>
      </c>
      <c r="C450" s="101"/>
      <c r="D450" s="101"/>
      <c r="E450" s="49" t="str">
        <f>IFERROR(VLOOKUP(D450,'taxonomy map'!$A$1:$B$171,2,FALSE),"")</f>
        <v/>
      </c>
      <c r="F450" s="49" t="str">
        <f>IFERROR(VLOOKUP(E450,'Condensed Specialty Crosswalk'!$A$2:$C$182,2,FALSE),"")</f>
        <v/>
      </c>
      <c r="G450" s="49" t="str">
        <f>IFERROR(VLOOKUP(E450,'Condensed Specialty Crosswalk'!$A$2:$C$182,3,FALSE),"")</f>
        <v/>
      </c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</row>
    <row r="451" spans="1:30" ht="17">
      <c r="A451" s="49"/>
      <c r="B451" s="49" t="str">
        <f>CONCATENATE(Reports!E450," ",Reports!F450," ",Reports!G450)</f>
        <v xml:space="preserve">  </v>
      </c>
      <c r="C451" s="101"/>
      <c r="D451" s="101"/>
      <c r="E451" s="49" t="str">
        <f>IFERROR(VLOOKUP(D451,'taxonomy map'!$A$1:$B$171,2,FALSE),"")</f>
        <v/>
      </c>
      <c r="F451" s="49" t="str">
        <f>IFERROR(VLOOKUP(E451,'Condensed Specialty Crosswalk'!$A$2:$C$182,2,FALSE),"")</f>
        <v/>
      </c>
      <c r="G451" s="49" t="str">
        <f>IFERROR(VLOOKUP(E451,'Condensed Specialty Crosswalk'!$A$2:$C$182,3,FALSE),"")</f>
        <v/>
      </c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</row>
    <row r="452" spans="1:30" ht="17">
      <c r="A452" s="49"/>
      <c r="B452" s="49" t="str">
        <f>CONCATENATE(Reports!E451," ",Reports!F451," ",Reports!G451)</f>
        <v xml:space="preserve">  </v>
      </c>
      <c r="C452" s="101"/>
      <c r="D452" s="101"/>
      <c r="E452" s="49" t="str">
        <f>IFERROR(VLOOKUP(D452,'taxonomy map'!$A$1:$B$171,2,FALSE),"")</f>
        <v/>
      </c>
      <c r="F452" s="49" t="str">
        <f>IFERROR(VLOOKUP(E452,'Condensed Specialty Crosswalk'!$A$2:$C$182,2,FALSE),"")</f>
        <v/>
      </c>
      <c r="G452" s="49" t="str">
        <f>IFERROR(VLOOKUP(E452,'Condensed Specialty Crosswalk'!$A$2:$C$182,3,FALSE),"")</f>
        <v/>
      </c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</row>
    <row r="453" spans="1:30" ht="17">
      <c r="A453" s="49"/>
      <c r="B453" s="49" t="str">
        <f>CONCATENATE(Reports!E452," ",Reports!F452," ",Reports!G452)</f>
        <v xml:space="preserve">  </v>
      </c>
      <c r="C453" s="101"/>
      <c r="D453" s="101"/>
      <c r="E453" s="49" t="str">
        <f>IFERROR(VLOOKUP(D453,'taxonomy map'!$A$1:$B$171,2,FALSE),"")</f>
        <v/>
      </c>
      <c r="F453" s="49" t="str">
        <f>IFERROR(VLOOKUP(E453,'Condensed Specialty Crosswalk'!$A$2:$C$182,2,FALSE),"")</f>
        <v/>
      </c>
      <c r="G453" s="49" t="str">
        <f>IFERROR(VLOOKUP(E453,'Condensed Specialty Crosswalk'!$A$2:$C$182,3,FALSE),"")</f>
        <v/>
      </c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</row>
    <row r="454" spans="1:30" ht="17">
      <c r="A454" s="49"/>
      <c r="B454" s="49" t="str">
        <f>CONCATENATE(Reports!E453," ",Reports!F453," ",Reports!G453)</f>
        <v xml:space="preserve">  </v>
      </c>
      <c r="C454" s="101"/>
      <c r="D454" s="101"/>
      <c r="E454" s="49" t="str">
        <f>IFERROR(VLOOKUP(D454,'taxonomy map'!$A$1:$B$171,2,FALSE),"")</f>
        <v/>
      </c>
      <c r="F454" s="49" t="str">
        <f>IFERROR(VLOOKUP(E454,'Condensed Specialty Crosswalk'!$A$2:$C$182,2,FALSE),"")</f>
        <v/>
      </c>
      <c r="G454" s="49" t="str">
        <f>IFERROR(VLOOKUP(E454,'Condensed Specialty Crosswalk'!$A$2:$C$182,3,FALSE),"")</f>
        <v/>
      </c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</row>
    <row r="455" spans="1:30" ht="17">
      <c r="A455" s="49"/>
      <c r="B455" s="49" t="str">
        <f>CONCATENATE(Reports!E454," ",Reports!F454," ",Reports!G454)</f>
        <v xml:space="preserve">  </v>
      </c>
      <c r="C455" s="101"/>
      <c r="D455" s="101"/>
      <c r="E455" s="49" t="str">
        <f>IFERROR(VLOOKUP(D455,'taxonomy map'!$A$1:$B$171,2,FALSE),"")</f>
        <v/>
      </c>
      <c r="F455" s="49" t="str">
        <f>IFERROR(VLOOKUP(E455,'Condensed Specialty Crosswalk'!$A$2:$C$182,2,FALSE),"")</f>
        <v/>
      </c>
      <c r="G455" s="49" t="str">
        <f>IFERROR(VLOOKUP(E455,'Condensed Specialty Crosswalk'!$A$2:$C$182,3,FALSE),"")</f>
        <v/>
      </c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</row>
    <row r="456" spans="1:30" ht="17">
      <c r="A456" s="49"/>
      <c r="B456" s="49" t="str">
        <f>CONCATENATE(Reports!E455," ",Reports!F455," ",Reports!G455)</f>
        <v xml:space="preserve">  </v>
      </c>
      <c r="C456" s="101"/>
      <c r="D456" s="101"/>
      <c r="E456" s="49" t="str">
        <f>IFERROR(VLOOKUP(D456,'taxonomy map'!$A$1:$B$171,2,FALSE),"")</f>
        <v/>
      </c>
      <c r="F456" s="49" t="str">
        <f>IFERROR(VLOOKUP(E456,'Condensed Specialty Crosswalk'!$A$2:$C$182,2,FALSE),"")</f>
        <v/>
      </c>
      <c r="G456" s="49" t="str">
        <f>IFERROR(VLOOKUP(E456,'Condensed Specialty Crosswalk'!$A$2:$C$182,3,FALSE),"")</f>
        <v/>
      </c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</row>
    <row r="457" spans="1:30" ht="17">
      <c r="A457" s="49"/>
      <c r="B457" s="49" t="str">
        <f>CONCATENATE(Reports!E456," ",Reports!F456," ",Reports!G456)</f>
        <v xml:space="preserve">  </v>
      </c>
      <c r="C457" s="101"/>
      <c r="D457" s="101"/>
      <c r="E457" s="49" t="str">
        <f>IFERROR(VLOOKUP(D457,'taxonomy map'!$A$1:$B$171,2,FALSE),"")</f>
        <v/>
      </c>
      <c r="F457" s="49" t="str">
        <f>IFERROR(VLOOKUP(E457,'Condensed Specialty Crosswalk'!$A$2:$C$182,2,FALSE),"")</f>
        <v/>
      </c>
      <c r="G457" s="49" t="str">
        <f>IFERROR(VLOOKUP(E457,'Condensed Specialty Crosswalk'!$A$2:$C$182,3,FALSE),"")</f>
        <v/>
      </c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</row>
    <row r="458" spans="1:30" ht="17">
      <c r="A458" s="49"/>
      <c r="B458" s="49" t="str">
        <f>CONCATENATE(Reports!E457," ",Reports!F457," ",Reports!G457)</f>
        <v xml:space="preserve">  </v>
      </c>
      <c r="C458" s="101"/>
      <c r="D458" s="101"/>
      <c r="E458" s="49" t="str">
        <f>IFERROR(VLOOKUP(D458,'taxonomy map'!$A$1:$B$171,2,FALSE),"")</f>
        <v/>
      </c>
      <c r="F458" s="49" t="str">
        <f>IFERROR(VLOOKUP(E458,'Condensed Specialty Crosswalk'!$A$2:$C$182,2,FALSE),"")</f>
        <v/>
      </c>
      <c r="G458" s="49" t="str">
        <f>IFERROR(VLOOKUP(E458,'Condensed Specialty Crosswalk'!$A$2:$C$182,3,FALSE),"")</f>
        <v/>
      </c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</row>
    <row r="459" spans="1:30" ht="17">
      <c r="A459" s="49"/>
      <c r="B459" s="49" t="str">
        <f>CONCATENATE(Reports!E458," ",Reports!F458," ",Reports!G458)</f>
        <v xml:space="preserve">  </v>
      </c>
      <c r="C459" s="101"/>
      <c r="D459" s="101"/>
      <c r="E459" s="49" t="str">
        <f>IFERROR(VLOOKUP(D459,'taxonomy map'!$A$1:$B$171,2,FALSE),"")</f>
        <v/>
      </c>
      <c r="F459" s="49" t="str">
        <f>IFERROR(VLOOKUP(E459,'Condensed Specialty Crosswalk'!$A$2:$C$182,2,FALSE),"")</f>
        <v/>
      </c>
      <c r="G459" s="49" t="str">
        <f>IFERROR(VLOOKUP(E459,'Condensed Specialty Crosswalk'!$A$2:$C$182,3,FALSE),"")</f>
        <v/>
      </c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</row>
    <row r="460" spans="1:30" ht="17">
      <c r="A460" s="49"/>
      <c r="B460" s="49" t="str">
        <f>CONCATENATE(Reports!E459," ",Reports!F459," ",Reports!G459)</f>
        <v xml:space="preserve">  </v>
      </c>
      <c r="C460" s="101"/>
      <c r="D460" s="101"/>
      <c r="E460" s="49" t="str">
        <f>IFERROR(VLOOKUP(D460,'taxonomy map'!$A$1:$B$171,2,FALSE),"")</f>
        <v/>
      </c>
      <c r="F460" s="49" t="str">
        <f>IFERROR(VLOOKUP(E460,'Condensed Specialty Crosswalk'!$A$2:$C$182,2,FALSE),"")</f>
        <v/>
      </c>
      <c r="G460" s="49" t="str">
        <f>IFERROR(VLOOKUP(E460,'Condensed Specialty Crosswalk'!$A$2:$C$182,3,FALSE),"")</f>
        <v/>
      </c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</row>
    <row r="461" spans="1:30" ht="17">
      <c r="A461" s="49"/>
      <c r="B461" s="49" t="str">
        <f>CONCATENATE(Reports!E460," ",Reports!F460," ",Reports!G460)</f>
        <v xml:space="preserve">  </v>
      </c>
      <c r="C461" s="101"/>
      <c r="D461" s="101"/>
      <c r="E461" s="49" t="str">
        <f>IFERROR(VLOOKUP(D461,'taxonomy map'!$A$1:$B$171,2,FALSE),"")</f>
        <v/>
      </c>
      <c r="F461" s="49" t="str">
        <f>IFERROR(VLOOKUP(E461,'Condensed Specialty Crosswalk'!$A$2:$C$182,2,FALSE),"")</f>
        <v/>
      </c>
      <c r="G461" s="49" t="str">
        <f>IFERROR(VLOOKUP(E461,'Condensed Specialty Crosswalk'!$A$2:$C$182,3,FALSE),"")</f>
        <v/>
      </c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</row>
    <row r="462" spans="1:30" ht="17">
      <c r="A462" s="49"/>
      <c r="B462" s="49" t="str">
        <f>CONCATENATE(Reports!E461," ",Reports!F461," ",Reports!G461)</f>
        <v xml:space="preserve">  </v>
      </c>
      <c r="C462" s="101"/>
      <c r="D462" s="101"/>
      <c r="E462" s="49" t="str">
        <f>IFERROR(VLOOKUP(D462,'taxonomy map'!$A$1:$B$171,2,FALSE),"")</f>
        <v/>
      </c>
      <c r="F462" s="49" t="str">
        <f>IFERROR(VLOOKUP(E462,'Condensed Specialty Crosswalk'!$A$2:$C$182,2,FALSE),"")</f>
        <v/>
      </c>
      <c r="G462" s="49" t="str">
        <f>IFERROR(VLOOKUP(E462,'Condensed Specialty Crosswalk'!$A$2:$C$182,3,FALSE),"")</f>
        <v/>
      </c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</row>
    <row r="463" spans="1:30" ht="17">
      <c r="A463" s="49"/>
      <c r="B463" s="49" t="str">
        <f>CONCATENATE(Reports!E462," ",Reports!F462," ",Reports!G462)</f>
        <v xml:space="preserve">  </v>
      </c>
      <c r="C463" s="101"/>
      <c r="D463" s="101"/>
      <c r="E463" s="49" t="str">
        <f>IFERROR(VLOOKUP(D463,'taxonomy map'!$A$1:$B$171,2,FALSE),"")</f>
        <v/>
      </c>
      <c r="F463" s="49" t="str">
        <f>IFERROR(VLOOKUP(E463,'Condensed Specialty Crosswalk'!$A$2:$C$182,2,FALSE),"")</f>
        <v/>
      </c>
      <c r="G463" s="49" t="str">
        <f>IFERROR(VLOOKUP(E463,'Condensed Specialty Crosswalk'!$A$2:$C$182,3,FALSE),"")</f>
        <v/>
      </c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</row>
    <row r="464" spans="1:30" ht="17">
      <c r="A464" s="49"/>
      <c r="B464" s="49" t="str">
        <f>CONCATENATE(Reports!E463," ",Reports!F463," ",Reports!G463)</f>
        <v xml:space="preserve">  </v>
      </c>
      <c r="C464" s="101"/>
      <c r="D464" s="101"/>
      <c r="E464" s="49" t="str">
        <f>IFERROR(VLOOKUP(D464,'taxonomy map'!$A$1:$B$171,2,FALSE),"")</f>
        <v/>
      </c>
      <c r="F464" s="49" t="str">
        <f>IFERROR(VLOOKUP(E464,'Condensed Specialty Crosswalk'!$A$2:$C$182,2,FALSE),"")</f>
        <v/>
      </c>
      <c r="G464" s="49" t="str">
        <f>IFERROR(VLOOKUP(E464,'Condensed Specialty Crosswalk'!$A$2:$C$182,3,FALSE),"")</f>
        <v/>
      </c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</row>
    <row r="465" spans="1:30" ht="17">
      <c r="A465" s="49"/>
      <c r="B465" s="49" t="str">
        <f>CONCATENATE(Reports!E464," ",Reports!F464," ",Reports!G464)</f>
        <v xml:space="preserve">  </v>
      </c>
      <c r="C465" s="101"/>
      <c r="D465" s="101"/>
      <c r="E465" s="49" t="str">
        <f>IFERROR(VLOOKUP(D465,'taxonomy map'!$A$1:$B$171,2,FALSE),"")</f>
        <v/>
      </c>
      <c r="F465" s="49" t="str">
        <f>IFERROR(VLOOKUP(E465,'Condensed Specialty Crosswalk'!$A$2:$C$182,2,FALSE),"")</f>
        <v/>
      </c>
      <c r="G465" s="49" t="str">
        <f>IFERROR(VLOOKUP(E465,'Condensed Specialty Crosswalk'!$A$2:$C$182,3,FALSE),"")</f>
        <v/>
      </c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</row>
    <row r="466" spans="1:30" ht="17">
      <c r="A466" s="49"/>
      <c r="B466" s="49" t="str">
        <f>CONCATENATE(Reports!E465," ",Reports!F465," ",Reports!G465)</f>
        <v xml:space="preserve">  </v>
      </c>
      <c r="C466" s="101"/>
      <c r="D466" s="101"/>
      <c r="E466" s="49" t="str">
        <f>IFERROR(VLOOKUP(D466,'taxonomy map'!$A$1:$B$171,2,FALSE),"")</f>
        <v/>
      </c>
      <c r="F466" s="49" t="str">
        <f>IFERROR(VLOOKUP(E466,'Condensed Specialty Crosswalk'!$A$2:$C$182,2,FALSE),"")</f>
        <v/>
      </c>
      <c r="G466" s="49" t="str">
        <f>IFERROR(VLOOKUP(E466,'Condensed Specialty Crosswalk'!$A$2:$C$182,3,FALSE),"")</f>
        <v/>
      </c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</row>
    <row r="467" spans="1:30" ht="17">
      <c r="A467" s="49"/>
      <c r="B467" s="49" t="str">
        <f>CONCATENATE(Reports!E466," ",Reports!F466," ",Reports!G466)</f>
        <v xml:space="preserve">  </v>
      </c>
      <c r="C467" s="101"/>
      <c r="D467" s="101"/>
      <c r="E467" s="49" t="str">
        <f>IFERROR(VLOOKUP(D467,'taxonomy map'!$A$1:$B$171,2,FALSE),"")</f>
        <v/>
      </c>
      <c r="F467" s="49" t="str">
        <f>IFERROR(VLOOKUP(E467,'Condensed Specialty Crosswalk'!$A$2:$C$182,2,FALSE),"")</f>
        <v/>
      </c>
      <c r="G467" s="49" t="str">
        <f>IFERROR(VLOOKUP(E467,'Condensed Specialty Crosswalk'!$A$2:$C$182,3,FALSE),"")</f>
        <v/>
      </c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</row>
    <row r="468" spans="1:30" ht="17">
      <c r="A468" s="49"/>
      <c r="B468" s="49" t="str">
        <f>CONCATENATE(Reports!E467," ",Reports!F467," ",Reports!G467)</f>
        <v xml:space="preserve">  </v>
      </c>
      <c r="C468" s="101"/>
      <c r="D468" s="101"/>
      <c r="E468" s="49" t="str">
        <f>IFERROR(VLOOKUP(D468,'taxonomy map'!$A$1:$B$171,2,FALSE),"")</f>
        <v/>
      </c>
      <c r="F468" s="49" t="str">
        <f>IFERROR(VLOOKUP(E468,'Condensed Specialty Crosswalk'!$A$2:$C$182,2,FALSE),"")</f>
        <v/>
      </c>
      <c r="G468" s="49" t="str">
        <f>IFERROR(VLOOKUP(E468,'Condensed Specialty Crosswalk'!$A$2:$C$182,3,FALSE),"")</f>
        <v/>
      </c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</row>
    <row r="469" spans="1:30" ht="17">
      <c r="A469" s="49"/>
      <c r="B469" s="49" t="str">
        <f>CONCATENATE(Reports!E468," ",Reports!F468," ",Reports!G468)</f>
        <v xml:space="preserve">  </v>
      </c>
      <c r="C469" s="101"/>
      <c r="D469" s="101"/>
      <c r="E469" s="49" t="str">
        <f>IFERROR(VLOOKUP(D469,'taxonomy map'!$A$1:$B$171,2,FALSE),"")</f>
        <v/>
      </c>
      <c r="F469" s="49" t="str">
        <f>IFERROR(VLOOKUP(E469,'Condensed Specialty Crosswalk'!$A$2:$C$182,2,FALSE),"")</f>
        <v/>
      </c>
      <c r="G469" s="49" t="str">
        <f>IFERROR(VLOOKUP(E469,'Condensed Specialty Crosswalk'!$A$2:$C$182,3,FALSE),"")</f>
        <v/>
      </c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</row>
    <row r="470" spans="1:30" ht="17">
      <c r="A470" s="49"/>
      <c r="B470" s="49" t="str">
        <f>CONCATENATE(Reports!E469," ",Reports!F469," ",Reports!G469)</f>
        <v xml:space="preserve">  </v>
      </c>
      <c r="C470" s="101"/>
      <c r="D470" s="101"/>
      <c r="E470" s="49" t="str">
        <f>IFERROR(VLOOKUP(D470,'taxonomy map'!$A$1:$B$171,2,FALSE),"")</f>
        <v/>
      </c>
      <c r="F470" s="49" t="str">
        <f>IFERROR(VLOOKUP(E470,'Condensed Specialty Crosswalk'!$A$2:$C$182,2,FALSE),"")</f>
        <v/>
      </c>
      <c r="G470" s="49" t="str">
        <f>IFERROR(VLOOKUP(E470,'Condensed Specialty Crosswalk'!$A$2:$C$182,3,FALSE),"")</f>
        <v/>
      </c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</row>
    <row r="471" spans="1:30" ht="17">
      <c r="A471" s="49"/>
      <c r="B471" s="49" t="str">
        <f>CONCATENATE(Reports!E470," ",Reports!F470," ",Reports!G470)</f>
        <v xml:space="preserve">  </v>
      </c>
      <c r="C471" s="101"/>
      <c r="D471" s="101"/>
      <c r="E471" s="49" t="str">
        <f>IFERROR(VLOOKUP(D471,'taxonomy map'!$A$1:$B$171,2,FALSE),"")</f>
        <v/>
      </c>
      <c r="F471" s="49" t="str">
        <f>IFERROR(VLOOKUP(E471,'Condensed Specialty Crosswalk'!$A$2:$C$182,2,FALSE),"")</f>
        <v/>
      </c>
      <c r="G471" s="49" t="str">
        <f>IFERROR(VLOOKUP(E471,'Condensed Specialty Crosswalk'!$A$2:$C$182,3,FALSE),"")</f>
        <v/>
      </c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</row>
    <row r="472" spans="1:30" ht="17">
      <c r="A472" s="49"/>
      <c r="B472" s="49" t="str">
        <f>CONCATENATE(Reports!E471," ",Reports!F471," ",Reports!G471)</f>
        <v xml:space="preserve">  </v>
      </c>
      <c r="C472" s="101"/>
      <c r="D472" s="101"/>
      <c r="E472" s="49" t="str">
        <f>IFERROR(VLOOKUP(D472,'taxonomy map'!$A$1:$B$171,2,FALSE),"")</f>
        <v/>
      </c>
      <c r="F472" s="49" t="str">
        <f>IFERROR(VLOOKUP(E472,'Condensed Specialty Crosswalk'!$A$2:$C$182,2,FALSE),"")</f>
        <v/>
      </c>
      <c r="G472" s="49" t="str">
        <f>IFERROR(VLOOKUP(E472,'Condensed Specialty Crosswalk'!$A$2:$C$182,3,FALSE),"")</f>
        <v/>
      </c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</row>
    <row r="473" spans="1:30" ht="17">
      <c r="A473" s="49"/>
      <c r="B473" s="49" t="str">
        <f>CONCATENATE(Reports!E472," ",Reports!F472," ",Reports!G472)</f>
        <v xml:space="preserve">  </v>
      </c>
      <c r="C473" s="101"/>
      <c r="D473" s="101"/>
      <c r="E473" s="49" t="str">
        <f>IFERROR(VLOOKUP(D473,'taxonomy map'!$A$1:$B$171,2,FALSE),"")</f>
        <v/>
      </c>
      <c r="F473" s="49" t="str">
        <f>IFERROR(VLOOKUP(E473,'Condensed Specialty Crosswalk'!$A$2:$C$182,2,FALSE),"")</f>
        <v/>
      </c>
      <c r="G473" s="49" t="str">
        <f>IFERROR(VLOOKUP(E473,'Condensed Specialty Crosswalk'!$A$2:$C$182,3,FALSE),"")</f>
        <v/>
      </c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</row>
    <row r="474" spans="1:30" ht="17">
      <c r="A474" s="49"/>
      <c r="B474" s="49" t="str">
        <f>CONCATENATE(Reports!E473," ",Reports!F473," ",Reports!G473)</f>
        <v xml:space="preserve">  </v>
      </c>
      <c r="C474" s="101"/>
      <c r="D474" s="101"/>
      <c r="E474" s="49" t="str">
        <f>IFERROR(VLOOKUP(D474,'taxonomy map'!$A$1:$B$171,2,FALSE),"")</f>
        <v/>
      </c>
      <c r="F474" s="49" t="str">
        <f>IFERROR(VLOOKUP(E474,'Condensed Specialty Crosswalk'!$A$2:$C$182,2,FALSE),"")</f>
        <v/>
      </c>
      <c r="G474" s="49" t="str">
        <f>IFERROR(VLOOKUP(E474,'Condensed Specialty Crosswalk'!$A$2:$C$182,3,FALSE),"")</f>
        <v/>
      </c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</row>
    <row r="475" spans="1:30" ht="17">
      <c r="A475" s="49"/>
      <c r="B475" s="49" t="str">
        <f>CONCATENATE(Reports!E474," ",Reports!F474," ",Reports!G474)</f>
        <v xml:space="preserve">  </v>
      </c>
      <c r="C475" s="101"/>
      <c r="D475" s="101"/>
      <c r="E475" s="49" t="str">
        <f>IFERROR(VLOOKUP(D475,'taxonomy map'!$A$1:$B$171,2,FALSE),"")</f>
        <v/>
      </c>
      <c r="F475" s="49" t="str">
        <f>IFERROR(VLOOKUP(E475,'Condensed Specialty Crosswalk'!$A$2:$C$182,2,FALSE),"")</f>
        <v/>
      </c>
      <c r="G475" s="49" t="str">
        <f>IFERROR(VLOOKUP(E475,'Condensed Specialty Crosswalk'!$A$2:$C$182,3,FALSE),"")</f>
        <v/>
      </c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</row>
    <row r="476" spans="1:30" ht="17">
      <c r="A476" s="49"/>
      <c r="B476" s="49" t="str">
        <f>CONCATENATE(Reports!E475," ",Reports!F475," ",Reports!G475)</f>
        <v xml:space="preserve">  </v>
      </c>
      <c r="C476" s="101"/>
      <c r="D476" s="101"/>
      <c r="E476" s="49" t="str">
        <f>IFERROR(VLOOKUP(D476,'taxonomy map'!$A$1:$B$171,2,FALSE),"")</f>
        <v/>
      </c>
      <c r="F476" s="49" t="str">
        <f>IFERROR(VLOOKUP(E476,'Condensed Specialty Crosswalk'!$A$2:$C$182,2,FALSE),"")</f>
        <v/>
      </c>
      <c r="G476" s="49" t="str">
        <f>IFERROR(VLOOKUP(E476,'Condensed Specialty Crosswalk'!$A$2:$C$182,3,FALSE),"")</f>
        <v/>
      </c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</row>
    <row r="477" spans="1:30" ht="17">
      <c r="A477" s="49"/>
      <c r="B477" s="49" t="str">
        <f>CONCATENATE(Reports!E476," ",Reports!F476," ",Reports!G476)</f>
        <v xml:space="preserve">  </v>
      </c>
      <c r="C477" s="101"/>
      <c r="D477" s="101"/>
      <c r="E477" s="49" t="str">
        <f>IFERROR(VLOOKUP(D477,'taxonomy map'!$A$1:$B$171,2,FALSE),"")</f>
        <v/>
      </c>
      <c r="F477" s="49" t="str">
        <f>IFERROR(VLOOKUP(E477,'Condensed Specialty Crosswalk'!$A$2:$C$182,2,FALSE),"")</f>
        <v/>
      </c>
      <c r="G477" s="49" t="str">
        <f>IFERROR(VLOOKUP(E477,'Condensed Specialty Crosswalk'!$A$2:$C$182,3,FALSE),"")</f>
        <v/>
      </c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</row>
    <row r="478" spans="1:30" ht="17">
      <c r="A478" s="49"/>
      <c r="B478" s="49" t="str">
        <f>CONCATENATE(Reports!E477," ",Reports!F477," ",Reports!G477)</f>
        <v xml:space="preserve">  </v>
      </c>
      <c r="C478" s="101"/>
      <c r="D478" s="101"/>
      <c r="E478" s="49" t="str">
        <f>IFERROR(VLOOKUP(D478,'taxonomy map'!$A$1:$B$171,2,FALSE),"")</f>
        <v/>
      </c>
      <c r="F478" s="49" t="str">
        <f>IFERROR(VLOOKUP(E478,'Condensed Specialty Crosswalk'!$A$2:$C$182,2,FALSE),"")</f>
        <v/>
      </c>
      <c r="G478" s="49" t="str">
        <f>IFERROR(VLOOKUP(E478,'Condensed Specialty Crosswalk'!$A$2:$C$182,3,FALSE),"")</f>
        <v/>
      </c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</row>
    <row r="479" spans="1:30" ht="17">
      <c r="A479" s="49"/>
      <c r="B479" s="49" t="str">
        <f>CONCATENATE(Reports!E478," ",Reports!F478," ",Reports!G478)</f>
        <v xml:space="preserve">  </v>
      </c>
      <c r="C479" s="101"/>
      <c r="D479" s="101"/>
      <c r="E479" s="49" t="str">
        <f>IFERROR(VLOOKUP(D479,'taxonomy map'!$A$1:$B$171,2,FALSE),"")</f>
        <v/>
      </c>
      <c r="F479" s="49" t="str">
        <f>IFERROR(VLOOKUP(E479,'Condensed Specialty Crosswalk'!$A$2:$C$182,2,FALSE),"")</f>
        <v/>
      </c>
      <c r="G479" s="49" t="str">
        <f>IFERROR(VLOOKUP(E479,'Condensed Specialty Crosswalk'!$A$2:$C$182,3,FALSE),"")</f>
        <v/>
      </c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</row>
    <row r="480" spans="1:30" ht="17">
      <c r="A480" s="49"/>
      <c r="B480" s="49" t="str">
        <f>CONCATENATE(Reports!E479," ",Reports!F479," ",Reports!G479)</f>
        <v xml:space="preserve">  </v>
      </c>
      <c r="C480" s="101"/>
      <c r="D480" s="101"/>
      <c r="E480" s="49" t="str">
        <f>IFERROR(VLOOKUP(D480,'taxonomy map'!$A$1:$B$171,2,FALSE),"")</f>
        <v/>
      </c>
      <c r="F480" s="49" t="str">
        <f>IFERROR(VLOOKUP(E480,'Condensed Specialty Crosswalk'!$A$2:$C$182,2,FALSE),"")</f>
        <v/>
      </c>
      <c r="G480" s="49" t="str">
        <f>IFERROR(VLOOKUP(E480,'Condensed Specialty Crosswalk'!$A$2:$C$182,3,FALSE),"")</f>
        <v/>
      </c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</row>
    <row r="481" spans="1:30" ht="17">
      <c r="A481" s="49"/>
      <c r="B481" s="49" t="str">
        <f>CONCATENATE(Reports!E480," ",Reports!F480," ",Reports!G480)</f>
        <v xml:space="preserve">  </v>
      </c>
      <c r="C481" s="101"/>
      <c r="D481" s="101"/>
      <c r="E481" s="49" t="str">
        <f>IFERROR(VLOOKUP(D481,'taxonomy map'!$A$1:$B$171,2,FALSE),"")</f>
        <v/>
      </c>
      <c r="F481" s="49" t="str">
        <f>IFERROR(VLOOKUP(E481,'Condensed Specialty Crosswalk'!$A$2:$C$182,2,FALSE),"")</f>
        <v/>
      </c>
      <c r="G481" s="49" t="str">
        <f>IFERROR(VLOOKUP(E481,'Condensed Specialty Crosswalk'!$A$2:$C$182,3,FALSE),"")</f>
        <v/>
      </c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</row>
    <row r="482" spans="1:30" ht="17">
      <c r="A482" s="49"/>
      <c r="B482" s="49" t="str">
        <f>CONCATENATE(Reports!E481," ",Reports!F481," ",Reports!G481)</f>
        <v xml:space="preserve">  </v>
      </c>
      <c r="C482" s="101"/>
      <c r="D482" s="101"/>
      <c r="E482" s="49" t="str">
        <f>IFERROR(VLOOKUP(D482,'taxonomy map'!$A$1:$B$171,2,FALSE),"")</f>
        <v/>
      </c>
      <c r="F482" s="49" t="str">
        <f>IFERROR(VLOOKUP(E482,'Condensed Specialty Crosswalk'!$A$2:$C$182,2,FALSE),"")</f>
        <v/>
      </c>
      <c r="G482" s="49" t="str">
        <f>IFERROR(VLOOKUP(E482,'Condensed Specialty Crosswalk'!$A$2:$C$182,3,FALSE),"")</f>
        <v/>
      </c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</row>
    <row r="483" spans="1:30" ht="17">
      <c r="A483" s="49"/>
      <c r="B483" s="49" t="str">
        <f>CONCATENATE(Reports!E482," ",Reports!F482," ",Reports!G482)</f>
        <v xml:space="preserve">  </v>
      </c>
      <c r="C483" s="101"/>
      <c r="D483" s="101"/>
      <c r="E483" s="49" t="str">
        <f>IFERROR(VLOOKUP(D483,'taxonomy map'!$A$1:$B$171,2,FALSE),"")</f>
        <v/>
      </c>
      <c r="F483" s="49" t="str">
        <f>IFERROR(VLOOKUP(E483,'Condensed Specialty Crosswalk'!$A$2:$C$182,2,FALSE),"")</f>
        <v/>
      </c>
      <c r="G483" s="49" t="str">
        <f>IFERROR(VLOOKUP(E483,'Condensed Specialty Crosswalk'!$A$2:$C$182,3,FALSE),"")</f>
        <v/>
      </c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</row>
    <row r="484" spans="1:30" ht="17">
      <c r="A484" s="49"/>
      <c r="B484" s="49" t="str">
        <f>CONCATENATE(Reports!E483," ",Reports!F483," ",Reports!G483)</f>
        <v xml:space="preserve">  </v>
      </c>
      <c r="C484" s="101"/>
      <c r="D484" s="101"/>
      <c r="E484" s="49" t="str">
        <f>IFERROR(VLOOKUP(D484,'taxonomy map'!$A$1:$B$171,2,FALSE),"")</f>
        <v/>
      </c>
      <c r="F484" s="49" t="str">
        <f>IFERROR(VLOOKUP(E484,'Condensed Specialty Crosswalk'!$A$2:$C$182,2,FALSE),"")</f>
        <v/>
      </c>
      <c r="G484" s="49" t="str">
        <f>IFERROR(VLOOKUP(E484,'Condensed Specialty Crosswalk'!$A$2:$C$182,3,FALSE),"")</f>
        <v/>
      </c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</row>
    <row r="485" spans="1:30" ht="17">
      <c r="A485" s="49"/>
      <c r="B485" s="49" t="str">
        <f>CONCATENATE(Reports!E484," ",Reports!F484," ",Reports!G484)</f>
        <v xml:space="preserve">  </v>
      </c>
      <c r="C485" s="101"/>
      <c r="D485" s="101"/>
      <c r="E485" s="49" t="str">
        <f>IFERROR(VLOOKUP(D485,'taxonomy map'!$A$1:$B$171,2,FALSE),"")</f>
        <v/>
      </c>
      <c r="F485" s="49" t="str">
        <f>IFERROR(VLOOKUP(E485,'Condensed Specialty Crosswalk'!$A$2:$C$182,2,FALSE),"")</f>
        <v/>
      </c>
      <c r="G485" s="49" t="str">
        <f>IFERROR(VLOOKUP(E485,'Condensed Specialty Crosswalk'!$A$2:$C$182,3,FALSE),"")</f>
        <v/>
      </c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</row>
    <row r="486" spans="1:30" ht="17">
      <c r="A486" s="49"/>
      <c r="B486" s="49" t="str">
        <f>CONCATENATE(Reports!E485," ",Reports!F485," ",Reports!G485)</f>
        <v xml:space="preserve">  </v>
      </c>
      <c r="C486" s="101"/>
      <c r="D486" s="101"/>
      <c r="E486" s="49" t="str">
        <f>IFERROR(VLOOKUP(D486,'taxonomy map'!$A$1:$B$171,2,FALSE),"")</f>
        <v/>
      </c>
      <c r="F486" s="49" t="str">
        <f>IFERROR(VLOOKUP(E486,'Condensed Specialty Crosswalk'!$A$2:$C$182,2,FALSE),"")</f>
        <v/>
      </c>
      <c r="G486" s="49" t="str">
        <f>IFERROR(VLOOKUP(E486,'Condensed Specialty Crosswalk'!$A$2:$C$182,3,FALSE),"")</f>
        <v/>
      </c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</row>
    <row r="487" spans="1:30" ht="17">
      <c r="A487" s="49"/>
      <c r="B487" s="49" t="str">
        <f>CONCATENATE(Reports!E486," ",Reports!F486," ",Reports!G486)</f>
        <v xml:space="preserve">  </v>
      </c>
      <c r="C487" s="101"/>
      <c r="D487" s="101"/>
      <c r="E487" s="49" t="str">
        <f>IFERROR(VLOOKUP(D487,'taxonomy map'!$A$1:$B$171,2,FALSE),"")</f>
        <v/>
      </c>
      <c r="F487" s="49" t="str">
        <f>IFERROR(VLOOKUP(E487,'Condensed Specialty Crosswalk'!$A$2:$C$182,2,FALSE),"")</f>
        <v/>
      </c>
      <c r="G487" s="49" t="str">
        <f>IFERROR(VLOOKUP(E487,'Condensed Specialty Crosswalk'!$A$2:$C$182,3,FALSE),"")</f>
        <v/>
      </c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</row>
    <row r="488" spans="1:30" ht="17">
      <c r="A488" s="49"/>
      <c r="B488" s="49" t="str">
        <f>CONCATENATE(Reports!E487," ",Reports!F487," ",Reports!G487)</f>
        <v xml:space="preserve">  </v>
      </c>
      <c r="C488" s="101"/>
      <c r="D488" s="101"/>
      <c r="E488" s="49" t="str">
        <f>IFERROR(VLOOKUP(D488,'taxonomy map'!$A$1:$B$171,2,FALSE),"")</f>
        <v/>
      </c>
      <c r="F488" s="49" t="str">
        <f>IFERROR(VLOOKUP(E488,'Condensed Specialty Crosswalk'!$A$2:$C$182,2,FALSE),"")</f>
        <v/>
      </c>
      <c r="G488" s="49" t="str">
        <f>IFERROR(VLOOKUP(E488,'Condensed Specialty Crosswalk'!$A$2:$C$182,3,FALSE),"")</f>
        <v/>
      </c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</row>
    <row r="489" spans="1:30" ht="17">
      <c r="A489" s="49"/>
      <c r="B489" s="49" t="str">
        <f>CONCATENATE(Reports!E488," ",Reports!F488," ",Reports!G488)</f>
        <v xml:space="preserve">  </v>
      </c>
      <c r="C489" s="101"/>
      <c r="D489" s="101"/>
      <c r="E489" s="49" t="str">
        <f>IFERROR(VLOOKUP(D489,'taxonomy map'!$A$1:$B$171,2,FALSE),"")</f>
        <v/>
      </c>
      <c r="F489" s="49" t="str">
        <f>IFERROR(VLOOKUP(E489,'Condensed Specialty Crosswalk'!$A$2:$C$182,2,FALSE),"")</f>
        <v/>
      </c>
      <c r="G489" s="49" t="str">
        <f>IFERROR(VLOOKUP(E489,'Condensed Specialty Crosswalk'!$A$2:$C$182,3,FALSE),"")</f>
        <v/>
      </c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</row>
    <row r="490" spans="1:30" ht="17">
      <c r="A490" s="49"/>
      <c r="B490" s="49" t="str">
        <f>CONCATENATE(Reports!E489," ",Reports!F489," ",Reports!G489)</f>
        <v xml:space="preserve">  </v>
      </c>
      <c r="C490" s="101"/>
      <c r="D490" s="101"/>
      <c r="E490" s="49" t="str">
        <f>IFERROR(VLOOKUP(D490,'taxonomy map'!$A$1:$B$171,2,FALSE),"")</f>
        <v/>
      </c>
      <c r="F490" s="49" t="str">
        <f>IFERROR(VLOOKUP(E490,'Condensed Specialty Crosswalk'!$A$2:$C$182,2,FALSE),"")</f>
        <v/>
      </c>
      <c r="G490" s="49" t="str">
        <f>IFERROR(VLOOKUP(E490,'Condensed Specialty Crosswalk'!$A$2:$C$182,3,FALSE),"")</f>
        <v/>
      </c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</row>
    <row r="491" spans="1:30" ht="17">
      <c r="A491" s="49"/>
      <c r="B491" s="49" t="str">
        <f>CONCATENATE(Reports!E490," ",Reports!F490," ",Reports!G490)</f>
        <v xml:space="preserve">  </v>
      </c>
      <c r="C491" s="101"/>
      <c r="D491" s="101"/>
      <c r="E491" s="49" t="str">
        <f>IFERROR(VLOOKUP(D491,'taxonomy map'!$A$1:$B$171,2,FALSE),"")</f>
        <v/>
      </c>
      <c r="F491" s="49" t="str">
        <f>IFERROR(VLOOKUP(E491,'Condensed Specialty Crosswalk'!$A$2:$C$182,2,FALSE),"")</f>
        <v/>
      </c>
      <c r="G491" s="49" t="str">
        <f>IFERROR(VLOOKUP(E491,'Condensed Specialty Crosswalk'!$A$2:$C$182,3,FALSE),"")</f>
        <v/>
      </c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</row>
    <row r="492" spans="1:30" ht="17">
      <c r="A492" s="49"/>
      <c r="B492" s="49" t="str">
        <f>CONCATENATE(Reports!E491," ",Reports!F491," ",Reports!G491)</f>
        <v xml:space="preserve">  </v>
      </c>
      <c r="C492" s="101"/>
      <c r="D492" s="101"/>
      <c r="E492" s="49" t="str">
        <f>IFERROR(VLOOKUP(D492,'taxonomy map'!$A$1:$B$171,2,FALSE),"")</f>
        <v/>
      </c>
      <c r="F492" s="49" t="str">
        <f>IFERROR(VLOOKUP(E492,'Condensed Specialty Crosswalk'!$A$2:$C$182,2,FALSE),"")</f>
        <v/>
      </c>
      <c r="G492" s="49" t="str">
        <f>IFERROR(VLOOKUP(E492,'Condensed Specialty Crosswalk'!$A$2:$C$182,3,FALSE),"")</f>
        <v/>
      </c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</row>
    <row r="493" spans="1:30" ht="17">
      <c r="A493" s="49"/>
      <c r="B493" s="49" t="str">
        <f>CONCATENATE(Reports!E492," ",Reports!F492," ",Reports!G492)</f>
        <v xml:space="preserve">  </v>
      </c>
      <c r="C493" s="101"/>
      <c r="D493" s="101"/>
      <c r="E493" s="49" t="str">
        <f>IFERROR(VLOOKUP(D493,'taxonomy map'!$A$1:$B$171,2,FALSE),"")</f>
        <v/>
      </c>
      <c r="F493" s="49" t="str">
        <f>IFERROR(VLOOKUP(E493,'Condensed Specialty Crosswalk'!$A$2:$C$182,2,FALSE),"")</f>
        <v/>
      </c>
      <c r="G493" s="49" t="str">
        <f>IFERROR(VLOOKUP(E493,'Condensed Specialty Crosswalk'!$A$2:$C$182,3,FALSE),"")</f>
        <v/>
      </c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</row>
    <row r="494" spans="1:30" ht="17">
      <c r="A494" s="49"/>
      <c r="B494" s="49" t="str">
        <f>CONCATENATE(Reports!E493," ",Reports!F493," ",Reports!G493)</f>
        <v xml:space="preserve">  </v>
      </c>
      <c r="C494" s="101"/>
      <c r="D494" s="101"/>
      <c r="E494" s="49" t="str">
        <f>IFERROR(VLOOKUP(D494,'taxonomy map'!$A$1:$B$171,2,FALSE),"")</f>
        <v/>
      </c>
      <c r="F494" s="49" t="str">
        <f>IFERROR(VLOOKUP(E494,'Condensed Specialty Crosswalk'!$A$2:$C$182,2,FALSE),"")</f>
        <v/>
      </c>
      <c r="G494" s="49" t="str">
        <f>IFERROR(VLOOKUP(E494,'Condensed Specialty Crosswalk'!$A$2:$C$182,3,FALSE),"")</f>
        <v/>
      </c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</row>
    <row r="495" spans="1:30" ht="17">
      <c r="A495" s="49"/>
      <c r="B495" s="49" t="str">
        <f>CONCATENATE(Reports!E494," ",Reports!F494," ",Reports!G494)</f>
        <v xml:space="preserve">  </v>
      </c>
      <c r="C495" s="101"/>
      <c r="D495" s="101"/>
      <c r="E495" s="49" t="str">
        <f>IFERROR(VLOOKUP(D495,'taxonomy map'!$A$1:$B$171,2,FALSE),"")</f>
        <v/>
      </c>
      <c r="F495" s="49" t="str">
        <f>IFERROR(VLOOKUP(E495,'Condensed Specialty Crosswalk'!$A$2:$C$182,2,FALSE),"")</f>
        <v/>
      </c>
      <c r="G495" s="49" t="str">
        <f>IFERROR(VLOOKUP(E495,'Condensed Specialty Crosswalk'!$A$2:$C$182,3,FALSE),"")</f>
        <v/>
      </c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</row>
    <row r="496" spans="1:30" ht="17">
      <c r="A496" s="49"/>
      <c r="B496" s="49" t="str">
        <f>CONCATENATE(Reports!E495," ",Reports!F495," ",Reports!G495)</f>
        <v xml:space="preserve">  </v>
      </c>
      <c r="C496" s="101"/>
      <c r="D496" s="101"/>
      <c r="E496" s="49" t="str">
        <f>IFERROR(VLOOKUP(D496,'taxonomy map'!$A$1:$B$171,2,FALSE),"")</f>
        <v/>
      </c>
      <c r="F496" s="49" t="str">
        <f>IFERROR(VLOOKUP(E496,'Condensed Specialty Crosswalk'!$A$2:$C$182,2,FALSE),"")</f>
        <v/>
      </c>
      <c r="G496" s="49" t="str">
        <f>IFERROR(VLOOKUP(E496,'Condensed Specialty Crosswalk'!$A$2:$C$182,3,FALSE),"")</f>
        <v/>
      </c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</row>
    <row r="497" spans="1:30" ht="17">
      <c r="A497" s="49"/>
      <c r="B497" s="49" t="str">
        <f>CONCATENATE(Reports!E496," ",Reports!F496," ",Reports!G496)</f>
        <v xml:space="preserve">  </v>
      </c>
      <c r="C497" s="101"/>
      <c r="D497" s="101"/>
      <c r="E497" s="49" t="str">
        <f>IFERROR(VLOOKUP(D497,'taxonomy map'!$A$1:$B$171,2,FALSE),"")</f>
        <v/>
      </c>
      <c r="F497" s="49" t="str">
        <f>IFERROR(VLOOKUP(E497,'Condensed Specialty Crosswalk'!$A$2:$C$182,2,FALSE),"")</f>
        <v/>
      </c>
      <c r="G497" s="49" t="str">
        <f>IFERROR(VLOOKUP(E497,'Condensed Specialty Crosswalk'!$A$2:$C$182,3,FALSE),"")</f>
        <v/>
      </c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</row>
    <row r="498" spans="1:30" ht="17">
      <c r="A498" s="49"/>
      <c r="B498" s="49" t="str">
        <f>CONCATENATE(Reports!E497," ",Reports!F497," ",Reports!G497)</f>
        <v xml:space="preserve">  </v>
      </c>
      <c r="C498" s="101"/>
      <c r="D498" s="101"/>
      <c r="E498" s="49" t="str">
        <f>IFERROR(VLOOKUP(D498,'taxonomy map'!$A$1:$B$171,2,FALSE),"")</f>
        <v/>
      </c>
      <c r="F498" s="49" t="str">
        <f>IFERROR(VLOOKUP(E498,'Condensed Specialty Crosswalk'!$A$2:$C$182,2,FALSE),"")</f>
        <v/>
      </c>
      <c r="G498" s="49" t="str">
        <f>IFERROR(VLOOKUP(E498,'Condensed Specialty Crosswalk'!$A$2:$C$182,3,FALSE),"")</f>
        <v/>
      </c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</row>
    <row r="499" spans="1:30" ht="17">
      <c r="A499" s="49"/>
      <c r="B499" s="49" t="str">
        <f>CONCATENATE(Reports!E498," ",Reports!F498," ",Reports!G498)</f>
        <v xml:space="preserve">  </v>
      </c>
      <c r="C499" s="101"/>
      <c r="D499" s="101"/>
      <c r="E499" s="49" t="str">
        <f>IFERROR(VLOOKUP(D499,'taxonomy map'!$A$1:$B$171,2,FALSE),"")</f>
        <v/>
      </c>
      <c r="F499" s="49" t="str">
        <f>IFERROR(VLOOKUP(E499,'Condensed Specialty Crosswalk'!$A$2:$C$182,2,FALSE),"")</f>
        <v/>
      </c>
      <c r="G499" s="49" t="str">
        <f>IFERROR(VLOOKUP(E499,'Condensed Specialty Crosswalk'!$A$2:$C$182,3,FALSE),"")</f>
        <v/>
      </c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</row>
    <row r="500" spans="1:30" ht="17">
      <c r="A500" s="49"/>
      <c r="B500" s="49" t="str">
        <f>CONCATENATE(Reports!E499," ",Reports!F499," ",Reports!G499)</f>
        <v xml:space="preserve">  </v>
      </c>
      <c r="C500" s="101"/>
      <c r="D500" s="101"/>
      <c r="E500" s="49" t="str">
        <f>IFERROR(VLOOKUP(D500,'taxonomy map'!$A$1:$B$171,2,FALSE),"")</f>
        <v/>
      </c>
      <c r="F500" s="49" t="str">
        <f>IFERROR(VLOOKUP(E500,'Condensed Specialty Crosswalk'!$A$2:$C$182,2,FALSE),"")</f>
        <v/>
      </c>
      <c r="G500" s="49" t="str">
        <f>IFERROR(VLOOKUP(E500,'Condensed Specialty Crosswalk'!$A$2:$C$182,3,FALSE),"")</f>
        <v/>
      </c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</row>
    <row r="501" spans="1:30" ht="17">
      <c r="A501" s="49"/>
      <c r="B501" s="49" t="str">
        <f>CONCATENATE(Reports!E500," ",Reports!F500," ",Reports!G500)</f>
        <v xml:space="preserve">  </v>
      </c>
      <c r="C501" s="101"/>
      <c r="D501" s="101"/>
      <c r="E501" s="49" t="str">
        <f>IFERROR(VLOOKUP(D501,'taxonomy map'!$A$1:$B$171,2,FALSE),"")</f>
        <v/>
      </c>
      <c r="F501" s="49" t="str">
        <f>IFERROR(VLOOKUP(E501,'Condensed Specialty Crosswalk'!$A$2:$C$182,2,FALSE),"")</f>
        <v/>
      </c>
      <c r="G501" s="49" t="str">
        <f>IFERROR(VLOOKUP(E501,'Condensed Specialty Crosswalk'!$A$2:$C$182,3,FALSE),"")</f>
        <v/>
      </c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</row>
    <row r="502" spans="1:30" ht="17">
      <c r="A502" s="49"/>
      <c r="B502" s="49" t="str">
        <f>CONCATENATE(Reports!E501," ",Reports!F501," ",Reports!G501)</f>
        <v xml:space="preserve">  </v>
      </c>
      <c r="C502" s="101"/>
      <c r="D502" s="101"/>
      <c r="E502" s="49" t="str">
        <f>IFERROR(VLOOKUP(D502,'taxonomy map'!$A$1:$B$171,2,FALSE),"")</f>
        <v/>
      </c>
      <c r="F502" s="49" t="str">
        <f>IFERROR(VLOOKUP(E502,'Condensed Specialty Crosswalk'!$A$2:$C$182,2,FALSE),"")</f>
        <v/>
      </c>
      <c r="G502" s="49" t="str">
        <f>IFERROR(VLOOKUP(E502,'Condensed Specialty Crosswalk'!$A$2:$C$182,3,FALSE),"")</f>
        <v/>
      </c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</row>
    <row r="503" spans="1:30" ht="17">
      <c r="A503" s="49"/>
      <c r="B503" s="49" t="str">
        <f>CONCATENATE(Reports!E502," ",Reports!F502," ",Reports!G502)</f>
        <v xml:space="preserve">  </v>
      </c>
      <c r="C503" s="101"/>
      <c r="D503" s="101"/>
      <c r="E503" s="49" t="str">
        <f>IFERROR(VLOOKUP(D503,'taxonomy map'!$A$1:$B$171,2,FALSE),"")</f>
        <v/>
      </c>
      <c r="F503" s="49" t="str">
        <f>IFERROR(VLOOKUP(E503,'Condensed Specialty Crosswalk'!$A$2:$C$182,2,FALSE),"")</f>
        <v/>
      </c>
      <c r="G503" s="49" t="str">
        <f>IFERROR(VLOOKUP(E503,'Condensed Specialty Crosswalk'!$A$2:$C$182,3,FALSE),"")</f>
        <v/>
      </c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</row>
    <row r="504" spans="1:30" ht="17">
      <c r="A504" s="49"/>
      <c r="B504" s="49" t="str">
        <f>CONCATENATE(Reports!E503," ",Reports!F503," ",Reports!G503)</f>
        <v xml:space="preserve">  </v>
      </c>
      <c r="C504" s="101"/>
      <c r="D504" s="101"/>
      <c r="E504" s="49" t="str">
        <f>IFERROR(VLOOKUP(D504,'taxonomy map'!$A$1:$B$171,2,FALSE),"")</f>
        <v/>
      </c>
      <c r="F504" s="49" t="str">
        <f>IFERROR(VLOOKUP(E504,'Condensed Specialty Crosswalk'!$A$2:$C$182,2,FALSE),"")</f>
        <v/>
      </c>
      <c r="G504" s="49" t="str">
        <f>IFERROR(VLOOKUP(E504,'Condensed Specialty Crosswalk'!$A$2:$C$182,3,FALSE),"")</f>
        <v/>
      </c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</row>
    <row r="505" spans="1:30" ht="17">
      <c r="A505" s="49"/>
      <c r="B505" s="49" t="str">
        <f>CONCATENATE(Reports!E504," ",Reports!F504," ",Reports!G504)</f>
        <v xml:space="preserve">  </v>
      </c>
      <c r="C505" s="101"/>
      <c r="D505" s="101"/>
      <c r="E505" s="49" t="str">
        <f>IFERROR(VLOOKUP(D505,'taxonomy map'!$A$1:$B$171,2,FALSE),"")</f>
        <v/>
      </c>
      <c r="F505" s="49" t="str">
        <f>IFERROR(VLOOKUP(E505,'Condensed Specialty Crosswalk'!$A$2:$C$182,2,FALSE),"")</f>
        <v/>
      </c>
      <c r="G505" s="49" t="str">
        <f>IFERROR(VLOOKUP(E505,'Condensed Specialty Crosswalk'!$A$2:$C$182,3,FALSE),"")</f>
        <v/>
      </c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</row>
    <row r="506" spans="1:30" ht="17">
      <c r="A506" s="49"/>
      <c r="B506" s="49" t="str">
        <f>CONCATENATE(Reports!E505," ",Reports!F505," ",Reports!G505)</f>
        <v xml:space="preserve">  </v>
      </c>
      <c r="C506" s="101"/>
      <c r="D506" s="101"/>
      <c r="E506" s="49" t="str">
        <f>IFERROR(VLOOKUP(D506,'taxonomy map'!$A$1:$B$171,2,FALSE),"")</f>
        <v/>
      </c>
      <c r="F506" s="49" t="str">
        <f>IFERROR(VLOOKUP(E506,'Condensed Specialty Crosswalk'!$A$2:$C$182,2,FALSE),"")</f>
        <v/>
      </c>
      <c r="G506" s="49" t="str">
        <f>IFERROR(VLOOKUP(E506,'Condensed Specialty Crosswalk'!$A$2:$C$182,3,FALSE),"")</f>
        <v/>
      </c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</row>
    <row r="507" spans="1:30" ht="17">
      <c r="A507" s="49"/>
      <c r="B507" s="49" t="str">
        <f>CONCATENATE(Reports!E506," ",Reports!F506," ",Reports!G506)</f>
        <v xml:space="preserve">  </v>
      </c>
      <c r="C507" s="101"/>
      <c r="D507" s="101"/>
      <c r="E507" s="49" t="str">
        <f>IFERROR(VLOOKUP(D507,'taxonomy map'!$A$1:$B$171,2,FALSE),"")</f>
        <v/>
      </c>
      <c r="F507" s="49" t="str">
        <f>IFERROR(VLOOKUP(E507,'Condensed Specialty Crosswalk'!$A$2:$C$182,2,FALSE),"")</f>
        <v/>
      </c>
      <c r="G507" s="49" t="str">
        <f>IFERROR(VLOOKUP(E507,'Condensed Specialty Crosswalk'!$A$2:$C$182,3,FALSE),"")</f>
        <v/>
      </c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</row>
    <row r="508" spans="1:30" ht="17">
      <c r="A508" s="49"/>
      <c r="B508" s="49" t="str">
        <f>CONCATENATE(Reports!E507," ",Reports!F507," ",Reports!G507)</f>
        <v xml:space="preserve">  </v>
      </c>
      <c r="C508" s="101"/>
      <c r="D508" s="101"/>
      <c r="E508" s="49" t="str">
        <f>IFERROR(VLOOKUP(D508,'taxonomy map'!$A$1:$B$171,2,FALSE),"")</f>
        <v/>
      </c>
      <c r="F508" s="49" t="str">
        <f>IFERROR(VLOOKUP(E508,'Condensed Specialty Crosswalk'!$A$2:$C$182,2,FALSE),"")</f>
        <v/>
      </c>
      <c r="G508" s="49" t="str">
        <f>IFERROR(VLOOKUP(E508,'Condensed Specialty Crosswalk'!$A$2:$C$182,3,FALSE),"")</f>
        <v/>
      </c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</row>
    <row r="509" spans="1:30" ht="17">
      <c r="A509" s="49"/>
      <c r="B509" s="49" t="str">
        <f>CONCATENATE(Reports!E508," ",Reports!F508," ",Reports!G508)</f>
        <v xml:space="preserve">  </v>
      </c>
      <c r="C509" s="101"/>
      <c r="D509" s="101"/>
      <c r="E509" s="49" t="str">
        <f>IFERROR(VLOOKUP(D509,'taxonomy map'!$A$1:$B$171,2,FALSE),"")</f>
        <v/>
      </c>
      <c r="F509" s="49" t="str">
        <f>IFERROR(VLOOKUP(E509,'Condensed Specialty Crosswalk'!$A$2:$C$182,2,FALSE),"")</f>
        <v/>
      </c>
      <c r="G509" s="49" t="str">
        <f>IFERROR(VLOOKUP(E509,'Condensed Specialty Crosswalk'!$A$2:$C$182,3,FALSE),"")</f>
        <v/>
      </c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</row>
    <row r="510" spans="1:30" ht="17">
      <c r="A510" s="49"/>
      <c r="B510" s="49" t="str">
        <f>CONCATENATE(Reports!E509," ",Reports!F509," ",Reports!G509)</f>
        <v xml:space="preserve">  </v>
      </c>
      <c r="C510" s="101"/>
      <c r="D510" s="101"/>
      <c r="E510" s="49" t="str">
        <f>IFERROR(VLOOKUP(D510,'taxonomy map'!$A$1:$B$171,2,FALSE),"")</f>
        <v/>
      </c>
      <c r="F510" s="49" t="str">
        <f>IFERROR(VLOOKUP(E510,'Condensed Specialty Crosswalk'!$A$2:$C$182,2,FALSE),"")</f>
        <v/>
      </c>
      <c r="G510" s="49" t="str">
        <f>IFERROR(VLOOKUP(E510,'Condensed Specialty Crosswalk'!$A$2:$C$182,3,FALSE),"")</f>
        <v/>
      </c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</row>
    <row r="511" spans="1:30" ht="17">
      <c r="A511" s="49"/>
      <c r="B511" s="49" t="str">
        <f>CONCATENATE(Reports!E510," ",Reports!F510," ",Reports!G510)</f>
        <v xml:space="preserve">  </v>
      </c>
      <c r="C511" s="101"/>
      <c r="D511" s="101"/>
      <c r="E511" s="49" t="str">
        <f>IFERROR(VLOOKUP(D511,'taxonomy map'!$A$1:$B$171,2,FALSE),"")</f>
        <v/>
      </c>
      <c r="F511" s="49" t="str">
        <f>IFERROR(VLOOKUP(E511,'Condensed Specialty Crosswalk'!$A$2:$C$182,2,FALSE),"")</f>
        <v/>
      </c>
      <c r="G511" s="49" t="str">
        <f>IFERROR(VLOOKUP(E511,'Condensed Specialty Crosswalk'!$A$2:$C$182,3,FALSE),"")</f>
        <v/>
      </c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</row>
    <row r="512" spans="1:30" ht="17">
      <c r="A512" s="49"/>
      <c r="B512" s="49" t="str">
        <f>CONCATENATE(Reports!E511," ",Reports!F511," ",Reports!G511)</f>
        <v xml:space="preserve">  </v>
      </c>
      <c r="C512" s="101"/>
      <c r="D512" s="101"/>
      <c r="E512" s="49" t="str">
        <f>IFERROR(VLOOKUP(D512,'taxonomy map'!$A$1:$B$171,2,FALSE),"")</f>
        <v/>
      </c>
      <c r="F512" s="49" t="str">
        <f>IFERROR(VLOOKUP(E512,'Condensed Specialty Crosswalk'!$A$2:$C$182,2,FALSE),"")</f>
        <v/>
      </c>
      <c r="G512" s="49" t="str">
        <f>IFERROR(VLOOKUP(E512,'Condensed Specialty Crosswalk'!$A$2:$C$182,3,FALSE),"")</f>
        <v/>
      </c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</row>
    <row r="513" spans="1:30" ht="17">
      <c r="A513" s="49"/>
      <c r="B513" s="49" t="str">
        <f>CONCATENATE(Reports!E512," ",Reports!F512," ",Reports!G512)</f>
        <v xml:space="preserve">  </v>
      </c>
      <c r="C513" s="101"/>
      <c r="D513" s="101"/>
      <c r="E513" s="49" t="str">
        <f>IFERROR(VLOOKUP(D513,'taxonomy map'!$A$1:$B$171,2,FALSE),"")</f>
        <v/>
      </c>
      <c r="F513" s="49" t="str">
        <f>IFERROR(VLOOKUP(E513,'Condensed Specialty Crosswalk'!$A$2:$C$182,2,FALSE),"")</f>
        <v/>
      </c>
      <c r="G513" s="49" t="str">
        <f>IFERROR(VLOOKUP(E513,'Condensed Specialty Crosswalk'!$A$2:$C$182,3,FALSE),"")</f>
        <v/>
      </c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</row>
    <row r="514" spans="1:30" ht="17">
      <c r="A514" s="49"/>
      <c r="B514" s="49" t="str">
        <f>CONCATENATE(Reports!E513," ",Reports!F513," ",Reports!G513)</f>
        <v xml:space="preserve">  </v>
      </c>
      <c r="C514" s="101"/>
      <c r="D514" s="101"/>
      <c r="E514" s="49" t="str">
        <f>IFERROR(VLOOKUP(D514,'taxonomy map'!$A$1:$B$171,2,FALSE),"")</f>
        <v/>
      </c>
      <c r="F514" s="49" t="str">
        <f>IFERROR(VLOOKUP(E514,'Condensed Specialty Crosswalk'!$A$2:$C$182,2,FALSE),"")</f>
        <v/>
      </c>
      <c r="G514" s="49" t="str">
        <f>IFERROR(VLOOKUP(E514,'Condensed Specialty Crosswalk'!$A$2:$C$182,3,FALSE),"")</f>
        <v/>
      </c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</row>
    <row r="515" spans="1:30" ht="17">
      <c r="A515" s="49"/>
      <c r="B515" s="49" t="str">
        <f>CONCATENATE(Reports!E514," ",Reports!F514," ",Reports!G514)</f>
        <v xml:space="preserve">  </v>
      </c>
      <c r="C515" s="101"/>
      <c r="D515" s="101"/>
      <c r="E515" s="49" t="str">
        <f>IFERROR(VLOOKUP(D515,'taxonomy map'!$A$1:$B$171,2,FALSE),"")</f>
        <v/>
      </c>
      <c r="F515" s="49" t="str">
        <f>IFERROR(VLOOKUP(E515,'Condensed Specialty Crosswalk'!$A$2:$C$182,2,FALSE),"")</f>
        <v/>
      </c>
      <c r="G515" s="49" t="str">
        <f>IFERROR(VLOOKUP(E515,'Condensed Specialty Crosswalk'!$A$2:$C$182,3,FALSE),"")</f>
        <v/>
      </c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</row>
    <row r="516" spans="1:30" ht="17">
      <c r="A516" s="49"/>
      <c r="B516" s="49" t="str">
        <f>CONCATENATE(Reports!E515," ",Reports!F515," ",Reports!G515)</f>
        <v xml:space="preserve">  </v>
      </c>
      <c r="C516" s="101"/>
      <c r="D516" s="101"/>
      <c r="E516" s="49" t="str">
        <f>IFERROR(VLOOKUP(D516,'taxonomy map'!$A$1:$B$171,2,FALSE),"")</f>
        <v/>
      </c>
      <c r="F516" s="49" t="str">
        <f>IFERROR(VLOOKUP(E516,'Condensed Specialty Crosswalk'!$A$2:$C$182,2,FALSE),"")</f>
        <v/>
      </c>
      <c r="G516" s="49" t="str">
        <f>IFERROR(VLOOKUP(E516,'Condensed Specialty Crosswalk'!$A$2:$C$182,3,FALSE),"")</f>
        <v/>
      </c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</row>
    <row r="517" spans="1:30" ht="17">
      <c r="A517" s="49"/>
      <c r="B517" s="49" t="str">
        <f>CONCATENATE(Reports!E516," ",Reports!F516," ",Reports!G516)</f>
        <v xml:space="preserve">  </v>
      </c>
      <c r="C517" s="101"/>
      <c r="D517" s="101"/>
      <c r="E517" s="49" t="str">
        <f>IFERROR(VLOOKUP(D517,'taxonomy map'!$A$1:$B$171,2,FALSE),"")</f>
        <v/>
      </c>
      <c r="F517" s="49" t="str">
        <f>IFERROR(VLOOKUP(E517,'Condensed Specialty Crosswalk'!$A$2:$C$182,2,FALSE),"")</f>
        <v/>
      </c>
      <c r="G517" s="49" t="str">
        <f>IFERROR(VLOOKUP(E517,'Condensed Specialty Crosswalk'!$A$2:$C$182,3,FALSE),"")</f>
        <v/>
      </c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</row>
    <row r="518" spans="1:30" ht="17">
      <c r="A518" s="49"/>
      <c r="B518" s="49" t="str">
        <f>CONCATENATE(Reports!E517," ",Reports!F517," ",Reports!G517)</f>
        <v xml:space="preserve">  </v>
      </c>
      <c r="C518" s="101"/>
      <c r="D518" s="101"/>
      <c r="E518" s="49" t="str">
        <f>IFERROR(VLOOKUP(D518,'taxonomy map'!$A$1:$B$171,2,FALSE),"")</f>
        <v/>
      </c>
      <c r="F518" s="49" t="str">
        <f>IFERROR(VLOOKUP(E518,'Condensed Specialty Crosswalk'!$A$2:$C$182,2,FALSE),"")</f>
        <v/>
      </c>
      <c r="G518" s="49" t="str">
        <f>IFERROR(VLOOKUP(E518,'Condensed Specialty Crosswalk'!$A$2:$C$182,3,FALSE),"")</f>
        <v/>
      </c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</row>
    <row r="519" spans="1:30" ht="17">
      <c r="A519" s="49"/>
      <c r="B519" s="49" t="str">
        <f>CONCATENATE(Reports!E518," ",Reports!F518," ",Reports!G518)</f>
        <v xml:space="preserve">  </v>
      </c>
      <c r="C519" s="101"/>
      <c r="D519" s="101"/>
      <c r="E519" s="49" t="str">
        <f>IFERROR(VLOOKUP(D519,'taxonomy map'!$A$1:$B$171,2,FALSE),"")</f>
        <v/>
      </c>
      <c r="F519" s="49" t="str">
        <f>IFERROR(VLOOKUP(E519,'Condensed Specialty Crosswalk'!$A$2:$C$182,2,FALSE),"")</f>
        <v/>
      </c>
      <c r="G519" s="49" t="str">
        <f>IFERROR(VLOOKUP(E519,'Condensed Specialty Crosswalk'!$A$2:$C$182,3,FALSE),"")</f>
        <v/>
      </c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</row>
    <row r="520" spans="1:30" ht="17">
      <c r="A520" s="49"/>
      <c r="B520" s="49" t="str">
        <f>CONCATENATE(Reports!E519," ",Reports!F519," ",Reports!G519)</f>
        <v xml:space="preserve">  </v>
      </c>
      <c r="C520" s="101"/>
      <c r="D520" s="101"/>
      <c r="E520" s="49" t="str">
        <f>IFERROR(VLOOKUP(D520,'taxonomy map'!$A$1:$B$171,2,FALSE),"")</f>
        <v/>
      </c>
      <c r="F520" s="49" t="str">
        <f>IFERROR(VLOOKUP(E520,'Condensed Specialty Crosswalk'!$A$2:$C$182,2,FALSE),"")</f>
        <v/>
      </c>
      <c r="G520" s="49" t="str">
        <f>IFERROR(VLOOKUP(E520,'Condensed Specialty Crosswalk'!$A$2:$C$182,3,FALSE),"")</f>
        <v/>
      </c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</row>
    <row r="521" spans="1:30" ht="17">
      <c r="A521" s="49"/>
      <c r="B521" s="49" t="str">
        <f>CONCATENATE(Reports!E520," ",Reports!F520," ",Reports!G520)</f>
        <v xml:space="preserve">  </v>
      </c>
      <c r="C521" s="101"/>
      <c r="D521" s="101"/>
      <c r="E521" s="49" t="str">
        <f>IFERROR(VLOOKUP(D521,'taxonomy map'!$A$1:$B$171,2,FALSE),"")</f>
        <v/>
      </c>
      <c r="F521" s="49" t="str">
        <f>IFERROR(VLOOKUP(E521,'Condensed Specialty Crosswalk'!$A$2:$C$182,2,FALSE),"")</f>
        <v/>
      </c>
      <c r="G521" s="49" t="str">
        <f>IFERROR(VLOOKUP(E521,'Condensed Specialty Crosswalk'!$A$2:$C$182,3,FALSE),"")</f>
        <v/>
      </c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</row>
    <row r="522" spans="1:30" ht="17">
      <c r="A522" s="49"/>
      <c r="B522" s="49" t="str">
        <f>CONCATENATE(Reports!E521," ",Reports!F521," ",Reports!G521)</f>
        <v xml:space="preserve">  </v>
      </c>
      <c r="C522" s="101"/>
      <c r="D522" s="101"/>
      <c r="E522" s="49" t="str">
        <f>IFERROR(VLOOKUP(D522,'taxonomy map'!$A$1:$B$171,2,FALSE),"")</f>
        <v/>
      </c>
      <c r="F522" s="49" t="str">
        <f>IFERROR(VLOOKUP(E522,'Condensed Specialty Crosswalk'!$A$2:$C$182,2,FALSE),"")</f>
        <v/>
      </c>
      <c r="G522" s="49" t="str">
        <f>IFERROR(VLOOKUP(E522,'Condensed Specialty Crosswalk'!$A$2:$C$182,3,FALSE),"")</f>
        <v/>
      </c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</row>
    <row r="523" spans="1:30" ht="17">
      <c r="A523" s="49"/>
      <c r="B523" s="49" t="str">
        <f>CONCATENATE(Reports!E522," ",Reports!F522," ",Reports!G522)</f>
        <v xml:space="preserve">  </v>
      </c>
      <c r="C523" s="101"/>
      <c r="D523" s="101"/>
      <c r="E523" s="49" t="str">
        <f>IFERROR(VLOOKUP(D523,'taxonomy map'!$A$1:$B$171,2,FALSE),"")</f>
        <v/>
      </c>
      <c r="F523" s="49" t="str">
        <f>IFERROR(VLOOKUP(E523,'Condensed Specialty Crosswalk'!$A$2:$C$182,2,FALSE),"")</f>
        <v/>
      </c>
      <c r="G523" s="49" t="str">
        <f>IFERROR(VLOOKUP(E523,'Condensed Specialty Crosswalk'!$A$2:$C$182,3,FALSE),"")</f>
        <v/>
      </c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</row>
    <row r="524" spans="1:30" ht="17">
      <c r="A524" s="49"/>
      <c r="B524" s="49" t="str">
        <f>CONCATENATE(Reports!E523," ",Reports!F523," ",Reports!G523)</f>
        <v xml:space="preserve">  </v>
      </c>
      <c r="C524" s="101"/>
      <c r="D524" s="101"/>
      <c r="E524" s="49" t="str">
        <f>IFERROR(VLOOKUP(D524,'taxonomy map'!$A$1:$B$171,2,FALSE),"")</f>
        <v/>
      </c>
      <c r="F524" s="49" t="str">
        <f>IFERROR(VLOOKUP(E524,'Condensed Specialty Crosswalk'!$A$2:$C$182,2,FALSE),"")</f>
        <v/>
      </c>
      <c r="G524" s="49" t="str">
        <f>IFERROR(VLOOKUP(E524,'Condensed Specialty Crosswalk'!$A$2:$C$182,3,FALSE),"")</f>
        <v/>
      </c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</row>
    <row r="525" spans="1:30" ht="17">
      <c r="A525" s="49"/>
      <c r="B525" s="49" t="str">
        <f>CONCATENATE(Reports!E524," ",Reports!F524," ",Reports!G524)</f>
        <v xml:space="preserve">  </v>
      </c>
      <c r="C525" s="101"/>
      <c r="D525" s="101"/>
      <c r="E525" s="49" t="str">
        <f>IFERROR(VLOOKUP(D525,'taxonomy map'!$A$1:$B$171,2,FALSE),"")</f>
        <v/>
      </c>
      <c r="F525" s="49" t="str">
        <f>IFERROR(VLOOKUP(E525,'Condensed Specialty Crosswalk'!$A$2:$C$182,2,FALSE),"")</f>
        <v/>
      </c>
      <c r="G525" s="49" t="str">
        <f>IFERROR(VLOOKUP(E525,'Condensed Specialty Crosswalk'!$A$2:$C$182,3,FALSE),"")</f>
        <v/>
      </c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</row>
    <row r="526" spans="1:30" ht="17">
      <c r="A526" s="49"/>
      <c r="B526" s="49" t="str">
        <f>CONCATENATE(Reports!E525," ",Reports!F525," ",Reports!G525)</f>
        <v xml:space="preserve">  </v>
      </c>
      <c r="C526" s="101"/>
      <c r="D526" s="101"/>
      <c r="E526" s="49" t="str">
        <f>IFERROR(VLOOKUP(D526,'taxonomy map'!$A$1:$B$171,2,FALSE),"")</f>
        <v/>
      </c>
      <c r="F526" s="49" t="str">
        <f>IFERROR(VLOOKUP(E526,'Condensed Specialty Crosswalk'!$A$2:$C$182,2,FALSE),"")</f>
        <v/>
      </c>
      <c r="G526" s="49" t="str">
        <f>IFERROR(VLOOKUP(E526,'Condensed Specialty Crosswalk'!$A$2:$C$182,3,FALSE),"")</f>
        <v/>
      </c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</row>
    <row r="527" spans="1:30" ht="17">
      <c r="A527" s="49"/>
      <c r="B527" s="49" t="str">
        <f>CONCATENATE(Reports!E526," ",Reports!F526," ",Reports!G526)</f>
        <v xml:space="preserve">  </v>
      </c>
      <c r="C527" s="101"/>
      <c r="D527" s="101"/>
      <c r="E527" s="49" t="str">
        <f>IFERROR(VLOOKUP(D527,'taxonomy map'!$A$1:$B$171,2,FALSE),"")</f>
        <v/>
      </c>
      <c r="F527" s="49" t="str">
        <f>IFERROR(VLOOKUP(E527,'Condensed Specialty Crosswalk'!$A$2:$C$182,2,FALSE),"")</f>
        <v/>
      </c>
      <c r="G527" s="49" t="str">
        <f>IFERROR(VLOOKUP(E527,'Condensed Specialty Crosswalk'!$A$2:$C$182,3,FALSE),"")</f>
        <v/>
      </c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</row>
    <row r="528" spans="1:30" ht="17">
      <c r="A528" s="49"/>
      <c r="B528" s="49" t="str">
        <f>CONCATENATE(Reports!E527," ",Reports!F527," ",Reports!G527)</f>
        <v xml:space="preserve">  </v>
      </c>
      <c r="C528" s="101"/>
      <c r="D528" s="101"/>
      <c r="E528" s="49" t="str">
        <f>IFERROR(VLOOKUP(D528,'taxonomy map'!$A$1:$B$171,2,FALSE),"")</f>
        <v/>
      </c>
      <c r="F528" s="49" t="str">
        <f>IFERROR(VLOOKUP(E528,'Condensed Specialty Crosswalk'!$A$2:$C$182,2,FALSE),"")</f>
        <v/>
      </c>
      <c r="G528" s="49" t="str">
        <f>IFERROR(VLOOKUP(E528,'Condensed Specialty Crosswalk'!$A$2:$C$182,3,FALSE),"")</f>
        <v/>
      </c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</row>
    <row r="529" spans="1:30" ht="17">
      <c r="A529" s="49"/>
      <c r="B529" s="49" t="str">
        <f>CONCATENATE(Reports!E528," ",Reports!F528," ",Reports!G528)</f>
        <v xml:space="preserve">  </v>
      </c>
      <c r="C529" s="101"/>
      <c r="D529" s="101"/>
      <c r="E529" s="49" t="str">
        <f>IFERROR(VLOOKUP(D529,'taxonomy map'!$A$1:$B$171,2,FALSE),"")</f>
        <v/>
      </c>
      <c r="F529" s="49" t="str">
        <f>IFERROR(VLOOKUP(E529,'Condensed Specialty Crosswalk'!$A$2:$C$182,2,FALSE),"")</f>
        <v/>
      </c>
      <c r="G529" s="49" t="str">
        <f>IFERROR(VLOOKUP(E529,'Condensed Specialty Crosswalk'!$A$2:$C$182,3,FALSE),"")</f>
        <v/>
      </c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</row>
    <row r="530" spans="1:30" ht="17">
      <c r="A530" s="49"/>
      <c r="B530" s="49" t="str">
        <f>CONCATENATE(Reports!E529," ",Reports!F529," ",Reports!G529)</f>
        <v xml:space="preserve">  </v>
      </c>
      <c r="C530" s="101"/>
      <c r="D530" s="101"/>
      <c r="E530" s="49" t="str">
        <f>IFERROR(VLOOKUP(D530,'taxonomy map'!$A$1:$B$171,2,FALSE),"")</f>
        <v/>
      </c>
      <c r="F530" s="49" t="str">
        <f>IFERROR(VLOOKUP(E530,'Condensed Specialty Crosswalk'!$A$2:$C$182,2,FALSE),"")</f>
        <v/>
      </c>
      <c r="G530" s="49" t="str">
        <f>IFERROR(VLOOKUP(E530,'Condensed Specialty Crosswalk'!$A$2:$C$182,3,FALSE),"")</f>
        <v/>
      </c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</row>
    <row r="531" spans="1:30" ht="17">
      <c r="A531" s="49"/>
      <c r="B531" s="49" t="str">
        <f>CONCATENATE(Reports!E530," ",Reports!F530," ",Reports!G530)</f>
        <v xml:space="preserve">  </v>
      </c>
      <c r="C531" s="101"/>
      <c r="D531" s="101"/>
      <c r="E531" s="49" t="str">
        <f>IFERROR(VLOOKUP(D531,'taxonomy map'!$A$1:$B$171,2,FALSE),"")</f>
        <v/>
      </c>
      <c r="F531" s="49" t="str">
        <f>IFERROR(VLOOKUP(E531,'Condensed Specialty Crosswalk'!$A$2:$C$182,2,FALSE),"")</f>
        <v/>
      </c>
      <c r="G531" s="49" t="str">
        <f>IFERROR(VLOOKUP(E531,'Condensed Specialty Crosswalk'!$A$2:$C$182,3,FALSE),"")</f>
        <v/>
      </c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</row>
    <row r="532" spans="1:30" ht="17">
      <c r="A532" s="49"/>
      <c r="B532" s="49" t="str">
        <f>CONCATENATE(Reports!E531," ",Reports!F531," ",Reports!G531)</f>
        <v xml:space="preserve">  </v>
      </c>
      <c r="C532" s="101"/>
      <c r="D532" s="101"/>
      <c r="E532" s="49" t="str">
        <f>IFERROR(VLOOKUP(D532,'taxonomy map'!$A$1:$B$171,2,FALSE),"")</f>
        <v/>
      </c>
      <c r="F532" s="49" t="str">
        <f>IFERROR(VLOOKUP(E532,'Condensed Specialty Crosswalk'!$A$2:$C$182,2,FALSE),"")</f>
        <v/>
      </c>
      <c r="G532" s="49" t="str">
        <f>IFERROR(VLOOKUP(E532,'Condensed Specialty Crosswalk'!$A$2:$C$182,3,FALSE),"")</f>
        <v/>
      </c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</row>
    <row r="533" spans="1:30" ht="17">
      <c r="A533" s="49"/>
      <c r="B533" s="49" t="str">
        <f>CONCATENATE(Reports!E532," ",Reports!F532," ",Reports!G532)</f>
        <v xml:space="preserve">  </v>
      </c>
      <c r="C533" s="101"/>
      <c r="D533" s="101"/>
      <c r="E533" s="49" t="str">
        <f>IFERROR(VLOOKUP(D533,'taxonomy map'!$A$1:$B$171,2,FALSE),"")</f>
        <v/>
      </c>
      <c r="F533" s="49" t="str">
        <f>IFERROR(VLOOKUP(E533,'Condensed Specialty Crosswalk'!$A$2:$C$182,2,FALSE),"")</f>
        <v/>
      </c>
      <c r="G533" s="49" t="str">
        <f>IFERROR(VLOOKUP(E533,'Condensed Specialty Crosswalk'!$A$2:$C$182,3,FALSE),"")</f>
        <v/>
      </c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</row>
    <row r="534" spans="1:30" ht="17">
      <c r="A534" s="49"/>
      <c r="B534" s="49" t="str">
        <f>CONCATENATE(Reports!E533," ",Reports!F533," ",Reports!G533)</f>
        <v xml:space="preserve">  </v>
      </c>
      <c r="C534" s="101"/>
      <c r="D534" s="101"/>
      <c r="E534" s="49" t="str">
        <f>IFERROR(VLOOKUP(D534,'taxonomy map'!$A$1:$B$171,2,FALSE),"")</f>
        <v/>
      </c>
      <c r="F534" s="49" t="str">
        <f>IFERROR(VLOOKUP(E534,'Condensed Specialty Crosswalk'!$A$2:$C$182,2,FALSE),"")</f>
        <v/>
      </c>
      <c r="G534" s="49" t="str">
        <f>IFERROR(VLOOKUP(E534,'Condensed Specialty Crosswalk'!$A$2:$C$182,3,FALSE),"")</f>
        <v/>
      </c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</row>
    <row r="535" spans="1:30" ht="17">
      <c r="A535" s="49"/>
      <c r="B535" s="49" t="str">
        <f>CONCATENATE(Reports!E534," ",Reports!F534," ",Reports!G534)</f>
        <v xml:space="preserve">  </v>
      </c>
      <c r="C535" s="101"/>
      <c r="D535" s="101"/>
      <c r="E535" s="49" t="str">
        <f>IFERROR(VLOOKUP(D535,'taxonomy map'!$A$1:$B$171,2,FALSE),"")</f>
        <v/>
      </c>
      <c r="F535" s="49" t="str">
        <f>IFERROR(VLOOKUP(E535,'Condensed Specialty Crosswalk'!$A$2:$C$182,2,FALSE),"")</f>
        <v/>
      </c>
      <c r="G535" s="49" t="str">
        <f>IFERROR(VLOOKUP(E535,'Condensed Specialty Crosswalk'!$A$2:$C$182,3,FALSE),"")</f>
        <v/>
      </c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</row>
    <row r="536" spans="1:30" ht="17">
      <c r="A536" s="49"/>
      <c r="B536" s="49" t="str">
        <f>CONCATENATE(Reports!E535," ",Reports!F535," ",Reports!G535)</f>
        <v xml:space="preserve">  </v>
      </c>
      <c r="C536" s="101"/>
      <c r="D536" s="101"/>
      <c r="E536" s="49" t="str">
        <f>IFERROR(VLOOKUP(D536,'taxonomy map'!$A$1:$B$171,2,FALSE),"")</f>
        <v/>
      </c>
      <c r="F536" s="49" t="str">
        <f>IFERROR(VLOOKUP(E536,'Condensed Specialty Crosswalk'!$A$2:$C$182,2,FALSE),"")</f>
        <v/>
      </c>
      <c r="G536" s="49" t="str">
        <f>IFERROR(VLOOKUP(E536,'Condensed Specialty Crosswalk'!$A$2:$C$182,3,FALSE),"")</f>
        <v/>
      </c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</row>
    <row r="537" spans="1:30" ht="17">
      <c r="A537" s="49"/>
      <c r="B537" s="49" t="str">
        <f>CONCATENATE(Reports!E536," ",Reports!F536," ",Reports!G536)</f>
        <v xml:space="preserve">  </v>
      </c>
      <c r="C537" s="101"/>
      <c r="D537" s="101"/>
      <c r="E537" s="49" t="str">
        <f>IFERROR(VLOOKUP(D537,'taxonomy map'!$A$1:$B$171,2,FALSE),"")</f>
        <v/>
      </c>
      <c r="F537" s="49" t="str">
        <f>IFERROR(VLOOKUP(E537,'Condensed Specialty Crosswalk'!$A$2:$C$182,2,FALSE),"")</f>
        <v/>
      </c>
      <c r="G537" s="49" t="str">
        <f>IFERROR(VLOOKUP(E537,'Condensed Specialty Crosswalk'!$A$2:$C$182,3,FALSE),"")</f>
        <v/>
      </c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</row>
    <row r="538" spans="1:30" ht="17">
      <c r="A538" s="49"/>
      <c r="B538" s="49" t="str">
        <f>CONCATENATE(Reports!E537," ",Reports!F537," ",Reports!G537)</f>
        <v xml:space="preserve">  </v>
      </c>
      <c r="C538" s="101"/>
      <c r="D538" s="101"/>
      <c r="E538" s="49" t="str">
        <f>IFERROR(VLOOKUP(D538,'taxonomy map'!$A$1:$B$171,2,FALSE),"")</f>
        <v/>
      </c>
      <c r="F538" s="49" t="str">
        <f>IFERROR(VLOOKUP(E538,'Condensed Specialty Crosswalk'!$A$2:$C$182,2,FALSE),"")</f>
        <v/>
      </c>
      <c r="G538" s="49" t="str">
        <f>IFERROR(VLOOKUP(E538,'Condensed Specialty Crosswalk'!$A$2:$C$182,3,FALSE),"")</f>
        <v/>
      </c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</row>
    <row r="539" spans="1:30" ht="17">
      <c r="A539" s="49"/>
      <c r="B539" s="49" t="str">
        <f>CONCATENATE(Reports!E538," ",Reports!F538," ",Reports!G538)</f>
        <v xml:space="preserve">  </v>
      </c>
      <c r="C539" s="101"/>
      <c r="D539" s="101"/>
      <c r="E539" s="49" t="str">
        <f>IFERROR(VLOOKUP(D539,'taxonomy map'!$A$1:$B$171,2,FALSE),"")</f>
        <v/>
      </c>
      <c r="F539" s="49" t="str">
        <f>IFERROR(VLOOKUP(E539,'Condensed Specialty Crosswalk'!$A$2:$C$182,2,FALSE),"")</f>
        <v/>
      </c>
      <c r="G539" s="49" t="str">
        <f>IFERROR(VLOOKUP(E539,'Condensed Specialty Crosswalk'!$A$2:$C$182,3,FALSE),"")</f>
        <v/>
      </c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</row>
    <row r="540" spans="1:30" ht="17">
      <c r="A540" s="49"/>
      <c r="B540" s="49" t="str">
        <f>CONCATENATE(Reports!E539," ",Reports!F539," ",Reports!G539)</f>
        <v xml:space="preserve">  </v>
      </c>
      <c r="C540" s="101"/>
      <c r="D540" s="101"/>
      <c r="E540" s="49" t="str">
        <f>IFERROR(VLOOKUP(D540,'taxonomy map'!$A$1:$B$171,2,FALSE),"")</f>
        <v/>
      </c>
      <c r="F540" s="49" t="str">
        <f>IFERROR(VLOOKUP(E540,'Condensed Specialty Crosswalk'!$A$2:$C$182,2,FALSE),"")</f>
        <v/>
      </c>
      <c r="G540" s="49" t="str">
        <f>IFERROR(VLOOKUP(E540,'Condensed Specialty Crosswalk'!$A$2:$C$182,3,FALSE),"")</f>
        <v/>
      </c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</row>
    <row r="541" spans="1:30" ht="17">
      <c r="A541" s="49"/>
      <c r="B541" s="49" t="str">
        <f>CONCATENATE(Reports!E540," ",Reports!F540," ",Reports!G540)</f>
        <v xml:space="preserve">  </v>
      </c>
      <c r="C541" s="101"/>
      <c r="D541" s="101"/>
      <c r="E541" s="49" t="str">
        <f>IFERROR(VLOOKUP(D541,'taxonomy map'!$A$1:$B$171,2,FALSE),"")</f>
        <v/>
      </c>
      <c r="F541" s="49" t="str">
        <f>IFERROR(VLOOKUP(E541,'Condensed Specialty Crosswalk'!$A$2:$C$182,2,FALSE),"")</f>
        <v/>
      </c>
      <c r="G541" s="49" t="str">
        <f>IFERROR(VLOOKUP(E541,'Condensed Specialty Crosswalk'!$A$2:$C$182,3,FALSE),"")</f>
        <v/>
      </c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</row>
    <row r="542" spans="1:30" ht="17">
      <c r="A542" s="49"/>
      <c r="B542" s="49" t="str">
        <f>CONCATENATE(Reports!E541," ",Reports!F541," ",Reports!G541)</f>
        <v xml:space="preserve">  </v>
      </c>
      <c r="C542" s="101"/>
      <c r="D542" s="101"/>
      <c r="E542" s="49" t="str">
        <f>IFERROR(VLOOKUP(D542,'taxonomy map'!$A$1:$B$171,2,FALSE),"")</f>
        <v/>
      </c>
      <c r="F542" s="49" t="str">
        <f>IFERROR(VLOOKUP(E542,'Condensed Specialty Crosswalk'!$A$2:$C$182,2,FALSE),"")</f>
        <v/>
      </c>
      <c r="G542" s="49" t="str">
        <f>IFERROR(VLOOKUP(E542,'Condensed Specialty Crosswalk'!$A$2:$C$182,3,FALSE),"")</f>
        <v/>
      </c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</row>
    <row r="543" spans="1:30" ht="17">
      <c r="A543" s="49"/>
      <c r="B543" s="49" t="str">
        <f>CONCATENATE(Reports!E542," ",Reports!F542," ",Reports!G542)</f>
        <v xml:space="preserve">  </v>
      </c>
      <c r="C543" s="101"/>
      <c r="D543" s="101"/>
      <c r="E543" s="49" t="str">
        <f>IFERROR(VLOOKUP(D543,'taxonomy map'!$A$1:$B$171,2,FALSE),"")</f>
        <v/>
      </c>
      <c r="F543" s="49" t="str">
        <f>IFERROR(VLOOKUP(E543,'Condensed Specialty Crosswalk'!$A$2:$C$182,2,FALSE),"")</f>
        <v/>
      </c>
      <c r="G543" s="49" t="str">
        <f>IFERROR(VLOOKUP(E543,'Condensed Specialty Crosswalk'!$A$2:$C$182,3,FALSE),"")</f>
        <v/>
      </c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</row>
    <row r="544" spans="1:30" ht="17">
      <c r="A544" s="49"/>
      <c r="B544" s="49" t="str">
        <f>CONCATENATE(Reports!E543," ",Reports!F543," ",Reports!G543)</f>
        <v xml:space="preserve">  </v>
      </c>
      <c r="C544" s="101"/>
      <c r="D544" s="101"/>
      <c r="E544" s="49" t="str">
        <f>IFERROR(VLOOKUP(D544,'taxonomy map'!$A$1:$B$171,2,FALSE),"")</f>
        <v/>
      </c>
      <c r="F544" s="49" t="str">
        <f>IFERROR(VLOOKUP(E544,'Condensed Specialty Crosswalk'!$A$2:$C$182,2,FALSE),"")</f>
        <v/>
      </c>
      <c r="G544" s="49" t="str">
        <f>IFERROR(VLOOKUP(E544,'Condensed Specialty Crosswalk'!$A$2:$C$182,3,FALSE),"")</f>
        <v/>
      </c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</row>
    <row r="545" spans="1:30" ht="17">
      <c r="A545" s="49"/>
      <c r="B545" s="49" t="str">
        <f>CONCATENATE(Reports!E544," ",Reports!F544," ",Reports!G544)</f>
        <v xml:space="preserve">  </v>
      </c>
      <c r="C545" s="101"/>
      <c r="D545" s="101"/>
      <c r="E545" s="49" t="str">
        <f>IFERROR(VLOOKUP(D545,'taxonomy map'!$A$1:$B$171,2,FALSE),"")</f>
        <v/>
      </c>
      <c r="F545" s="49" t="str">
        <f>IFERROR(VLOOKUP(E545,'Condensed Specialty Crosswalk'!$A$2:$C$182,2,FALSE),"")</f>
        <v/>
      </c>
      <c r="G545" s="49" t="str">
        <f>IFERROR(VLOOKUP(E545,'Condensed Specialty Crosswalk'!$A$2:$C$182,3,FALSE),"")</f>
        <v/>
      </c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</row>
    <row r="546" spans="1:30" ht="17">
      <c r="A546" s="49"/>
      <c r="B546" s="49" t="str">
        <f>CONCATENATE(Reports!E545," ",Reports!F545," ",Reports!G545)</f>
        <v xml:space="preserve">  </v>
      </c>
      <c r="C546" s="101"/>
      <c r="D546" s="101"/>
      <c r="E546" s="49" t="str">
        <f>IFERROR(VLOOKUP(D546,'taxonomy map'!$A$1:$B$171,2,FALSE),"")</f>
        <v/>
      </c>
      <c r="F546" s="49" t="str">
        <f>IFERROR(VLOOKUP(E546,'Condensed Specialty Crosswalk'!$A$2:$C$182,2,FALSE),"")</f>
        <v/>
      </c>
      <c r="G546" s="49" t="str">
        <f>IFERROR(VLOOKUP(E546,'Condensed Specialty Crosswalk'!$A$2:$C$182,3,FALSE),"")</f>
        <v/>
      </c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</row>
    <row r="547" spans="1:30" ht="17">
      <c r="A547" s="49"/>
      <c r="B547" s="49" t="str">
        <f>CONCATENATE(Reports!E546," ",Reports!F546," ",Reports!G546)</f>
        <v xml:space="preserve">  </v>
      </c>
      <c r="C547" s="101"/>
      <c r="D547" s="101"/>
      <c r="E547" s="49" t="str">
        <f>IFERROR(VLOOKUP(D547,'taxonomy map'!$A$1:$B$171,2,FALSE),"")</f>
        <v/>
      </c>
      <c r="F547" s="49" t="str">
        <f>IFERROR(VLOOKUP(E547,'Condensed Specialty Crosswalk'!$A$2:$C$182,2,FALSE),"")</f>
        <v/>
      </c>
      <c r="G547" s="49" t="str">
        <f>IFERROR(VLOOKUP(E547,'Condensed Specialty Crosswalk'!$A$2:$C$182,3,FALSE),"")</f>
        <v/>
      </c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</row>
    <row r="548" spans="1:30" ht="17">
      <c r="A548" s="49"/>
      <c r="B548" s="49" t="str">
        <f>CONCATENATE(Reports!E547," ",Reports!F547," ",Reports!G547)</f>
        <v xml:space="preserve">  </v>
      </c>
      <c r="C548" s="101"/>
      <c r="D548" s="101"/>
      <c r="E548" s="49" t="str">
        <f>IFERROR(VLOOKUP(D548,'taxonomy map'!$A$1:$B$171,2,FALSE),"")</f>
        <v/>
      </c>
      <c r="F548" s="49" t="str">
        <f>IFERROR(VLOOKUP(E548,'Condensed Specialty Crosswalk'!$A$2:$C$182,2,FALSE),"")</f>
        <v/>
      </c>
      <c r="G548" s="49" t="str">
        <f>IFERROR(VLOOKUP(E548,'Condensed Specialty Crosswalk'!$A$2:$C$182,3,FALSE),"")</f>
        <v/>
      </c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</row>
    <row r="549" spans="1:30" ht="17">
      <c r="A549" s="49"/>
      <c r="B549" s="49" t="str">
        <f>CONCATENATE(Reports!E548," ",Reports!F548," ",Reports!G548)</f>
        <v xml:space="preserve">  </v>
      </c>
      <c r="C549" s="101"/>
      <c r="D549" s="101"/>
      <c r="E549" s="49" t="str">
        <f>IFERROR(VLOOKUP(D549,'taxonomy map'!$A$1:$B$171,2,FALSE),"")</f>
        <v/>
      </c>
      <c r="F549" s="49" t="str">
        <f>IFERROR(VLOOKUP(E549,'Condensed Specialty Crosswalk'!$A$2:$C$182,2,FALSE),"")</f>
        <v/>
      </c>
      <c r="G549" s="49" t="str">
        <f>IFERROR(VLOOKUP(E549,'Condensed Specialty Crosswalk'!$A$2:$C$182,3,FALSE),"")</f>
        <v/>
      </c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</row>
    <row r="550" spans="1:30" ht="17">
      <c r="A550" s="49"/>
      <c r="B550" s="49" t="str">
        <f>CONCATENATE(Reports!E549," ",Reports!F549," ",Reports!G549)</f>
        <v xml:space="preserve">  </v>
      </c>
      <c r="C550" s="101"/>
      <c r="D550" s="101"/>
      <c r="E550" s="49" t="str">
        <f>IFERROR(VLOOKUP(D550,'taxonomy map'!$A$1:$B$171,2,FALSE),"")</f>
        <v/>
      </c>
      <c r="F550" s="49" t="str">
        <f>IFERROR(VLOOKUP(E550,'Condensed Specialty Crosswalk'!$A$2:$C$182,2,FALSE),"")</f>
        <v/>
      </c>
      <c r="G550" s="49" t="str">
        <f>IFERROR(VLOOKUP(E550,'Condensed Specialty Crosswalk'!$A$2:$C$182,3,FALSE),"")</f>
        <v/>
      </c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</row>
    <row r="551" spans="1:30" ht="17">
      <c r="A551" s="49"/>
      <c r="B551" s="49" t="str">
        <f>CONCATENATE(Reports!E550," ",Reports!F550," ",Reports!G550)</f>
        <v xml:space="preserve">  </v>
      </c>
      <c r="C551" s="101"/>
      <c r="D551" s="101"/>
      <c r="E551" s="49" t="str">
        <f>IFERROR(VLOOKUP(D551,'taxonomy map'!$A$1:$B$171,2,FALSE),"")</f>
        <v/>
      </c>
      <c r="F551" s="49" t="str">
        <f>IFERROR(VLOOKUP(E551,'Condensed Specialty Crosswalk'!$A$2:$C$182,2,FALSE),"")</f>
        <v/>
      </c>
      <c r="G551" s="49" t="str">
        <f>IFERROR(VLOOKUP(E551,'Condensed Specialty Crosswalk'!$A$2:$C$182,3,FALSE),"")</f>
        <v/>
      </c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</row>
    <row r="552" spans="1:30" ht="17">
      <c r="A552" s="49"/>
      <c r="B552" s="49" t="str">
        <f>CONCATENATE(Reports!E551," ",Reports!F551," ",Reports!G551)</f>
        <v xml:space="preserve">  </v>
      </c>
      <c r="C552" s="101"/>
      <c r="D552" s="101"/>
      <c r="E552" s="49" t="str">
        <f>IFERROR(VLOOKUP(D552,'taxonomy map'!$A$1:$B$171,2,FALSE),"")</f>
        <v/>
      </c>
      <c r="F552" s="49" t="str">
        <f>IFERROR(VLOOKUP(E552,'Condensed Specialty Crosswalk'!$A$2:$C$182,2,FALSE),"")</f>
        <v/>
      </c>
      <c r="G552" s="49" t="str">
        <f>IFERROR(VLOOKUP(E552,'Condensed Specialty Crosswalk'!$A$2:$C$182,3,FALSE),"")</f>
        <v/>
      </c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</row>
    <row r="553" spans="1:30" ht="17">
      <c r="A553" s="49"/>
      <c r="B553" s="49" t="str">
        <f>CONCATENATE(Reports!E552," ",Reports!F552," ",Reports!G552)</f>
        <v xml:space="preserve">  </v>
      </c>
      <c r="C553" s="101"/>
      <c r="D553" s="101"/>
      <c r="E553" s="49" t="str">
        <f>IFERROR(VLOOKUP(D553,'taxonomy map'!$A$1:$B$171,2,FALSE),"")</f>
        <v/>
      </c>
      <c r="F553" s="49" t="str">
        <f>IFERROR(VLOOKUP(E553,'Condensed Specialty Crosswalk'!$A$2:$C$182,2,FALSE),"")</f>
        <v/>
      </c>
      <c r="G553" s="49" t="str">
        <f>IFERROR(VLOOKUP(E553,'Condensed Specialty Crosswalk'!$A$2:$C$182,3,FALSE),"")</f>
        <v/>
      </c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</row>
    <row r="554" spans="1:30" ht="17">
      <c r="A554" s="49"/>
      <c r="B554" s="49" t="str">
        <f>CONCATENATE(Reports!E553," ",Reports!F553," ",Reports!G553)</f>
        <v xml:space="preserve">  </v>
      </c>
      <c r="C554" s="101"/>
      <c r="D554" s="101"/>
      <c r="E554" s="49" t="str">
        <f>IFERROR(VLOOKUP(D554,'taxonomy map'!$A$1:$B$171,2,FALSE),"")</f>
        <v/>
      </c>
      <c r="F554" s="49" t="str">
        <f>IFERROR(VLOOKUP(E554,'Condensed Specialty Crosswalk'!$A$2:$C$182,2,FALSE),"")</f>
        <v/>
      </c>
      <c r="G554" s="49" t="str">
        <f>IFERROR(VLOOKUP(E554,'Condensed Specialty Crosswalk'!$A$2:$C$182,3,FALSE),"")</f>
        <v/>
      </c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</row>
    <row r="555" spans="1:30" ht="17">
      <c r="A555" s="49"/>
      <c r="B555" s="49" t="str">
        <f>CONCATENATE(Reports!E554," ",Reports!F554," ",Reports!G554)</f>
        <v xml:space="preserve">  </v>
      </c>
      <c r="C555" s="101"/>
      <c r="D555" s="101"/>
      <c r="E555" s="49" t="str">
        <f>IFERROR(VLOOKUP(D555,'taxonomy map'!$A$1:$B$171,2,FALSE),"")</f>
        <v/>
      </c>
      <c r="F555" s="49" t="str">
        <f>IFERROR(VLOOKUP(E555,'Condensed Specialty Crosswalk'!$A$2:$C$182,2,FALSE),"")</f>
        <v/>
      </c>
      <c r="G555" s="49" t="str">
        <f>IFERROR(VLOOKUP(E555,'Condensed Specialty Crosswalk'!$A$2:$C$182,3,FALSE),"")</f>
        <v/>
      </c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</row>
    <row r="556" spans="1:30" ht="17">
      <c r="A556" s="49"/>
      <c r="B556" s="49" t="str">
        <f>CONCATENATE(Reports!E555," ",Reports!F555," ",Reports!G555)</f>
        <v xml:space="preserve">  </v>
      </c>
      <c r="C556" s="101"/>
      <c r="D556" s="101"/>
      <c r="E556" s="49" t="str">
        <f>IFERROR(VLOOKUP(D556,'taxonomy map'!$A$1:$B$171,2,FALSE),"")</f>
        <v/>
      </c>
      <c r="F556" s="49" t="str">
        <f>IFERROR(VLOOKUP(E556,'Condensed Specialty Crosswalk'!$A$2:$C$182,2,FALSE),"")</f>
        <v/>
      </c>
      <c r="G556" s="49" t="str">
        <f>IFERROR(VLOOKUP(E556,'Condensed Specialty Crosswalk'!$A$2:$C$182,3,FALSE),"")</f>
        <v/>
      </c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</row>
    <row r="557" spans="1:30" ht="17">
      <c r="A557" s="49"/>
      <c r="B557" s="49" t="str">
        <f>CONCATENATE(Reports!E556," ",Reports!F556," ",Reports!G556)</f>
        <v xml:space="preserve">  </v>
      </c>
      <c r="C557" s="101"/>
      <c r="D557" s="101"/>
      <c r="E557" s="49" t="str">
        <f>IFERROR(VLOOKUP(D557,'taxonomy map'!$A$1:$B$171,2,FALSE),"")</f>
        <v/>
      </c>
      <c r="F557" s="49" t="str">
        <f>IFERROR(VLOOKUP(E557,'Condensed Specialty Crosswalk'!$A$2:$C$182,2,FALSE),"")</f>
        <v/>
      </c>
      <c r="G557" s="49" t="str">
        <f>IFERROR(VLOOKUP(E557,'Condensed Specialty Crosswalk'!$A$2:$C$182,3,FALSE),"")</f>
        <v/>
      </c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</row>
    <row r="558" spans="1:30" ht="17">
      <c r="A558" s="49"/>
      <c r="B558" s="49" t="str">
        <f>CONCATENATE(Reports!E557," ",Reports!F557," ",Reports!G557)</f>
        <v xml:space="preserve">  </v>
      </c>
      <c r="C558" s="101"/>
      <c r="D558" s="101"/>
      <c r="E558" s="49" t="str">
        <f>IFERROR(VLOOKUP(D558,'taxonomy map'!$A$1:$B$171,2,FALSE),"")</f>
        <v/>
      </c>
      <c r="F558" s="49" t="str">
        <f>IFERROR(VLOOKUP(E558,'Condensed Specialty Crosswalk'!$A$2:$C$182,2,FALSE),"")</f>
        <v/>
      </c>
      <c r="G558" s="49" t="str">
        <f>IFERROR(VLOOKUP(E558,'Condensed Specialty Crosswalk'!$A$2:$C$182,3,FALSE),"")</f>
        <v/>
      </c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</row>
    <row r="559" spans="1:30" ht="17">
      <c r="A559" s="49"/>
      <c r="B559" s="49" t="str">
        <f>CONCATENATE(Reports!E558," ",Reports!F558," ",Reports!G558)</f>
        <v xml:space="preserve">  </v>
      </c>
      <c r="C559" s="101"/>
      <c r="D559" s="101"/>
      <c r="E559" s="49" t="str">
        <f>IFERROR(VLOOKUP(D559,'taxonomy map'!$A$1:$B$171,2,FALSE),"")</f>
        <v/>
      </c>
      <c r="F559" s="49" t="str">
        <f>IFERROR(VLOOKUP(E559,'Condensed Specialty Crosswalk'!$A$2:$C$182,2,FALSE),"")</f>
        <v/>
      </c>
      <c r="G559" s="49" t="str">
        <f>IFERROR(VLOOKUP(E559,'Condensed Specialty Crosswalk'!$A$2:$C$182,3,FALSE),"")</f>
        <v/>
      </c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</row>
    <row r="560" spans="1:30" ht="17">
      <c r="A560" s="49"/>
      <c r="B560" s="49" t="str">
        <f>CONCATENATE(Reports!E559," ",Reports!F559," ",Reports!G559)</f>
        <v xml:space="preserve">  </v>
      </c>
      <c r="C560" s="101"/>
      <c r="D560" s="101"/>
      <c r="E560" s="49" t="str">
        <f>IFERROR(VLOOKUP(D560,'taxonomy map'!$A$1:$B$171,2,FALSE),"")</f>
        <v/>
      </c>
      <c r="F560" s="49" t="str">
        <f>IFERROR(VLOOKUP(E560,'Condensed Specialty Crosswalk'!$A$2:$C$182,2,FALSE),"")</f>
        <v/>
      </c>
      <c r="G560" s="49" t="str">
        <f>IFERROR(VLOOKUP(E560,'Condensed Specialty Crosswalk'!$A$2:$C$182,3,FALSE),"")</f>
        <v/>
      </c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</row>
    <row r="561" spans="1:30" ht="17">
      <c r="A561" s="49"/>
      <c r="B561" s="49" t="str">
        <f>CONCATENATE(Reports!E560," ",Reports!F560," ",Reports!G560)</f>
        <v xml:space="preserve">  </v>
      </c>
      <c r="C561" s="101"/>
      <c r="D561" s="101"/>
      <c r="E561" s="49" t="str">
        <f>IFERROR(VLOOKUP(D561,'taxonomy map'!$A$1:$B$171,2,FALSE),"")</f>
        <v/>
      </c>
      <c r="F561" s="49" t="str">
        <f>IFERROR(VLOOKUP(E561,'Condensed Specialty Crosswalk'!$A$2:$C$182,2,FALSE),"")</f>
        <v/>
      </c>
      <c r="G561" s="49" t="str">
        <f>IFERROR(VLOOKUP(E561,'Condensed Specialty Crosswalk'!$A$2:$C$182,3,FALSE),"")</f>
        <v/>
      </c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</row>
    <row r="562" spans="1:30" ht="17">
      <c r="A562" s="49"/>
      <c r="B562" s="49" t="str">
        <f>CONCATENATE(Reports!E561," ",Reports!F561," ",Reports!G561)</f>
        <v xml:space="preserve">  </v>
      </c>
      <c r="C562" s="101"/>
      <c r="D562" s="101"/>
      <c r="E562" s="49" t="str">
        <f>IFERROR(VLOOKUP(D562,'taxonomy map'!$A$1:$B$171,2,FALSE),"")</f>
        <v/>
      </c>
      <c r="F562" s="49" t="str">
        <f>IFERROR(VLOOKUP(E562,'Condensed Specialty Crosswalk'!$A$2:$C$182,2,FALSE),"")</f>
        <v/>
      </c>
      <c r="G562" s="49" t="str">
        <f>IFERROR(VLOOKUP(E562,'Condensed Specialty Crosswalk'!$A$2:$C$182,3,FALSE),"")</f>
        <v/>
      </c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</row>
    <row r="563" spans="1:30" ht="17">
      <c r="A563" s="49"/>
      <c r="B563" s="49" t="str">
        <f>CONCATENATE(Reports!E562," ",Reports!F562," ",Reports!G562)</f>
        <v xml:space="preserve">  </v>
      </c>
      <c r="C563" s="101"/>
      <c r="D563" s="101"/>
      <c r="E563" s="49" t="str">
        <f>IFERROR(VLOOKUP(D563,'taxonomy map'!$A$1:$B$171,2,FALSE),"")</f>
        <v/>
      </c>
      <c r="F563" s="49" t="str">
        <f>IFERROR(VLOOKUP(E563,'Condensed Specialty Crosswalk'!$A$2:$C$182,2,FALSE),"")</f>
        <v/>
      </c>
      <c r="G563" s="49" t="str">
        <f>IFERROR(VLOOKUP(E563,'Condensed Specialty Crosswalk'!$A$2:$C$182,3,FALSE),"")</f>
        <v/>
      </c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</row>
    <row r="564" spans="1:30" ht="17">
      <c r="A564" s="49"/>
      <c r="B564" s="49" t="str">
        <f>CONCATENATE(Reports!E563," ",Reports!F563," ",Reports!G563)</f>
        <v xml:space="preserve">  </v>
      </c>
      <c r="C564" s="101"/>
      <c r="D564" s="101"/>
      <c r="E564" s="49" t="str">
        <f>IFERROR(VLOOKUP(D564,'taxonomy map'!$A$1:$B$171,2,FALSE),"")</f>
        <v/>
      </c>
      <c r="F564" s="49" t="str">
        <f>IFERROR(VLOOKUP(E564,'Condensed Specialty Crosswalk'!$A$2:$C$182,2,FALSE),"")</f>
        <v/>
      </c>
      <c r="G564" s="49" t="str">
        <f>IFERROR(VLOOKUP(E564,'Condensed Specialty Crosswalk'!$A$2:$C$182,3,FALSE),"")</f>
        <v/>
      </c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</row>
    <row r="565" spans="1:30" ht="17">
      <c r="A565" s="49"/>
      <c r="B565" s="49" t="str">
        <f>CONCATENATE(Reports!E564," ",Reports!F564," ",Reports!G564)</f>
        <v xml:space="preserve">  </v>
      </c>
      <c r="C565" s="101"/>
      <c r="D565" s="101"/>
      <c r="E565" s="49" t="str">
        <f>IFERROR(VLOOKUP(D565,'taxonomy map'!$A$1:$B$171,2,FALSE),"")</f>
        <v/>
      </c>
      <c r="F565" s="49" t="str">
        <f>IFERROR(VLOOKUP(E565,'Condensed Specialty Crosswalk'!$A$2:$C$182,2,FALSE),"")</f>
        <v/>
      </c>
      <c r="G565" s="49" t="str">
        <f>IFERROR(VLOOKUP(E565,'Condensed Specialty Crosswalk'!$A$2:$C$182,3,FALSE),"")</f>
        <v/>
      </c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</row>
    <row r="566" spans="1:30" ht="17">
      <c r="A566" s="49"/>
      <c r="B566" s="49" t="str">
        <f>CONCATENATE(Reports!E565," ",Reports!F565," ",Reports!G565)</f>
        <v xml:space="preserve">  </v>
      </c>
      <c r="C566" s="101"/>
      <c r="D566" s="101"/>
      <c r="E566" s="49" t="str">
        <f>IFERROR(VLOOKUP(D566,'taxonomy map'!$A$1:$B$171,2,FALSE),"")</f>
        <v/>
      </c>
      <c r="F566" s="49" t="str">
        <f>IFERROR(VLOOKUP(E566,'Condensed Specialty Crosswalk'!$A$2:$C$182,2,FALSE),"")</f>
        <v/>
      </c>
      <c r="G566" s="49" t="str">
        <f>IFERROR(VLOOKUP(E566,'Condensed Specialty Crosswalk'!$A$2:$C$182,3,FALSE),"")</f>
        <v/>
      </c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</row>
    <row r="567" spans="1:30" ht="17">
      <c r="A567" s="49"/>
      <c r="B567" s="49" t="str">
        <f>CONCATENATE(Reports!E566," ",Reports!F566," ",Reports!G566)</f>
        <v xml:space="preserve">  </v>
      </c>
      <c r="C567" s="101"/>
      <c r="D567" s="101"/>
      <c r="E567" s="49" t="str">
        <f>IFERROR(VLOOKUP(D567,'taxonomy map'!$A$1:$B$171,2,FALSE),"")</f>
        <v/>
      </c>
      <c r="F567" s="49" t="str">
        <f>IFERROR(VLOOKUP(E567,'Condensed Specialty Crosswalk'!$A$2:$C$182,2,FALSE),"")</f>
        <v/>
      </c>
      <c r="G567" s="49" t="str">
        <f>IFERROR(VLOOKUP(E567,'Condensed Specialty Crosswalk'!$A$2:$C$182,3,FALSE),"")</f>
        <v/>
      </c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</row>
    <row r="568" spans="1:30" ht="17">
      <c r="A568" s="49"/>
      <c r="B568" s="49" t="str">
        <f>CONCATENATE(Reports!E567," ",Reports!F567," ",Reports!G567)</f>
        <v xml:space="preserve">  </v>
      </c>
      <c r="C568" s="101"/>
      <c r="D568" s="101"/>
      <c r="E568" s="49" t="str">
        <f>IFERROR(VLOOKUP(D568,'taxonomy map'!$A$1:$B$171,2,FALSE),"")</f>
        <v/>
      </c>
      <c r="F568" s="49" t="str">
        <f>IFERROR(VLOOKUP(E568,'Condensed Specialty Crosswalk'!$A$2:$C$182,2,FALSE),"")</f>
        <v/>
      </c>
      <c r="G568" s="49" t="str">
        <f>IFERROR(VLOOKUP(E568,'Condensed Specialty Crosswalk'!$A$2:$C$182,3,FALSE),"")</f>
        <v/>
      </c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</row>
    <row r="569" spans="1:30" ht="17">
      <c r="A569" s="49"/>
      <c r="B569" s="49" t="str">
        <f>CONCATENATE(Reports!E568," ",Reports!F568," ",Reports!G568)</f>
        <v xml:space="preserve">  </v>
      </c>
      <c r="C569" s="101"/>
      <c r="D569" s="101"/>
      <c r="E569" s="49" t="str">
        <f>IFERROR(VLOOKUP(D569,'taxonomy map'!$A$1:$B$171,2,FALSE),"")</f>
        <v/>
      </c>
      <c r="F569" s="49" t="str">
        <f>IFERROR(VLOOKUP(E569,'Condensed Specialty Crosswalk'!$A$2:$C$182,2,FALSE),"")</f>
        <v/>
      </c>
      <c r="G569" s="49" t="str">
        <f>IFERROR(VLOOKUP(E569,'Condensed Specialty Crosswalk'!$A$2:$C$182,3,FALSE),"")</f>
        <v/>
      </c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</row>
    <row r="570" spans="1:30" ht="17">
      <c r="A570" s="49"/>
      <c r="B570" s="49" t="str">
        <f>CONCATENATE(Reports!E569," ",Reports!F569," ",Reports!G569)</f>
        <v xml:space="preserve">  </v>
      </c>
      <c r="C570" s="101"/>
      <c r="D570" s="101"/>
      <c r="E570" s="49" t="str">
        <f>IFERROR(VLOOKUP(D570,'taxonomy map'!$A$1:$B$171,2,FALSE),"")</f>
        <v/>
      </c>
      <c r="F570" s="49" t="str">
        <f>IFERROR(VLOOKUP(E570,'Condensed Specialty Crosswalk'!$A$2:$C$182,2,FALSE),"")</f>
        <v/>
      </c>
      <c r="G570" s="49" t="str">
        <f>IFERROR(VLOOKUP(E570,'Condensed Specialty Crosswalk'!$A$2:$C$182,3,FALSE),"")</f>
        <v/>
      </c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</row>
    <row r="571" spans="1:30" ht="17">
      <c r="A571" s="49"/>
      <c r="B571" s="49" t="str">
        <f>CONCATENATE(Reports!E570," ",Reports!F570," ",Reports!G570)</f>
        <v xml:space="preserve">  </v>
      </c>
      <c r="C571" s="101"/>
      <c r="D571" s="101"/>
      <c r="E571" s="49" t="str">
        <f>IFERROR(VLOOKUP(D571,'taxonomy map'!$A$1:$B$171,2,FALSE),"")</f>
        <v/>
      </c>
      <c r="F571" s="49" t="str">
        <f>IFERROR(VLOOKUP(E571,'Condensed Specialty Crosswalk'!$A$2:$C$182,2,FALSE),"")</f>
        <v/>
      </c>
      <c r="G571" s="49" t="str">
        <f>IFERROR(VLOOKUP(E571,'Condensed Specialty Crosswalk'!$A$2:$C$182,3,FALSE),"")</f>
        <v/>
      </c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</row>
    <row r="572" spans="1:30" ht="17">
      <c r="A572" s="49"/>
      <c r="B572" s="49" t="str">
        <f>CONCATENATE(Reports!E571," ",Reports!F571," ",Reports!G571)</f>
        <v xml:space="preserve">  </v>
      </c>
      <c r="C572" s="101"/>
      <c r="D572" s="101"/>
      <c r="E572" s="49" t="str">
        <f>IFERROR(VLOOKUP(D572,'taxonomy map'!$A$1:$B$171,2,FALSE),"")</f>
        <v/>
      </c>
      <c r="F572" s="49" t="str">
        <f>IFERROR(VLOOKUP(E572,'Condensed Specialty Crosswalk'!$A$2:$C$182,2,FALSE),"")</f>
        <v/>
      </c>
      <c r="G572" s="49" t="str">
        <f>IFERROR(VLOOKUP(E572,'Condensed Specialty Crosswalk'!$A$2:$C$182,3,FALSE),"")</f>
        <v/>
      </c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</row>
    <row r="573" spans="1:30" ht="17">
      <c r="A573" s="49"/>
      <c r="B573" s="49" t="str">
        <f>CONCATENATE(Reports!E572," ",Reports!F572," ",Reports!G572)</f>
        <v xml:space="preserve">  </v>
      </c>
      <c r="C573" s="101"/>
      <c r="D573" s="101"/>
      <c r="E573" s="49" t="str">
        <f>IFERROR(VLOOKUP(D573,'taxonomy map'!$A$1:$B$171,2,FALSE),"")</f>
        <v/>
      </c>
      <c r="F573" s="49" t="str">
        <f>IFERROR(VLOOKUP(E573,'Condensed Specialty Crosswalk'!$A$2:$C$182,2,FALSE),"")</f>
        <v/>
      </c>
      <c r="G573" s="49" t="str">
        <f>IFERROR(VLOOKUP(E573,'Condensed Specialty Crosswalk'!$A$2:$C$182,3,FALSE),"")</f>
        <v/>
      </c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</row>
    <row r="574" spans="1:30" ht="17">
      <c r="A574" s="49"/>
      <c r="B574" s="49" t="str">
        <f>CONCATENATE(Reports!E573," ",Reports!F573," ",Reports!G573)</f>
        <v xml:space="preserve">  </v>
      </c>
      <c r="C574" s="101"/>
      <c r="D574" s="101"/>
      <c r="E574" s="49" t="str">
        <f>IFERROR(VLOOKUP(D574,'taxonomy map'!$A$1:$B$171,2,FALSE),"")</f>
        <v/>
      </c>
      <c r="F574" s="49" t="str">
        <f>IFERROR(VLOOKUP(E574,'Condensed Specialty Crosswalk'!$A$2:$C$182,2,FALSE),"")</f>
        <v/>
      </c>
      <c r="G574" s="49" t="str">
        <f>IFERROR(VLOOKUP(E574,'Condensed Specialty Crosswalk'!$A$2:$C$182,3,FALSE),"")</f>
        <v/>
      </c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</row>
    <row r="575" spans="1:30" ht="17">
      <c r="A575" s="49"/>
      <c r="B575" s="49" t="str">
        <f>CONCATENATE(Reports!E574," ",Reports!F574," ",Reports!G574)</f>
        <v xml:space="preserve">  </v>
      </c>
      <c r="C575" s="101"/>
      <c r="D575" s="101"/>
      <c r="E575" s="49" t="str">
        <f>IFERROR(VLOOKUP(D575,'taxonomy map'!$A$1:$B$171,2,FALSE),"")</f>
        <v/>
      </c>
      <c r="F575" s="49" t="str">
        <f>IFERROR(VLOOKUP(E575,'Condensed Specialty Crosswalk'!$A$2:$C$182,2,FALSE),"")</f>
        <v/>
      </c>
      <c r="G575" s="49" t="str">
        <f>IFERROR(VLOOKUP(E575,'Condensed Specialty Crosswalk'!$A$2:$C$182,3,FALSE),"")</f>
        <v/>
      </c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</row>
    <row r="576" spans="1:30" ht="17">
      <c r="A576" s="49"/>
      <c r="B576" s="49" t="str">
        <f>CONCATENATE(Reports!E575," ",Reports!F575," ",Reports!G575)</f>
        <v xml:space="preserve">  </v>
      </c>
      <c r="C576" s="101"/>
      <c r="D576" s="101"/>
      <c r="E576" s="49" t="str">
        <f>IFERROR(VLOOKUP(D576,'taxonomy map'!$A$1:$B$171,2,FALSE),"")</f>
        <v/>
      </c>
      <c r="F576" s="49" t="str">
        <f>IFERROR(VLOOKUP(E576,'Condensed Specialty Crosswalk'!$A$2:$C$182,2,FALSE),"")</f>
        <v/>
      </c>
      <c r="G576" s="49" t="str">
        <f>IFERROR(VLOOKUP(E576,'Condensed Specialty Crosswalk'!$A$2:$C$182,3,FALSE),"")</f>
        <v/>
      </c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</row>
    <row r="577" spans="1:30" ht="17">
      <c r="A577" s="49"/>
      <c r="B577" s="49" t="str">
        <f>CONCATENATE(Reports!E576," ",Reports!F576," ",Reports!G576)</f>
        <v xml:space="preserve">  </v>
      </c>
      <c r="C577" s="101"/>
      <c r="D577" s="101"/>
      <c r="E577" s="49" t="str">
        <f>IFERROR(VLOOKUP(D577,'taxonomy map'!$A$1:$B$171,2,FALSE),"")</f>
        <v/>
      </c>
      <c r="F577" s="49" t="str">
        <f>IFERROR(VLOOKUP(E577,'Condensed Specialty Crosswalk'!$A$2:$C$182,2,FALSE),"")</f>
        <v/>
      </c>
      <c r="G577" s="49" t="str">
        <f>IFERROR(VLOOKUP(E577,'Condensed Specialty Crosswalk'!$A$2:$C$182,3,FALSE),"")</f>
        <v/>
      </c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</row>
    <row r="578" spans="1:30" ht="17">
      <c r="A578" s="49"/>
      <c r="B578" s="49" t="str">
        <f>CONCATENATE(Reports!E577," ",Reports!F577," ",Reports!G577)</f>
        <v xml:space="preserve">  </v>
      </c>
      <c r="C578" s="101"/>
      <c r="D578" s="101"/>
      <c r="E578" s="49" t="str">
        <f>IFERROR(VLOOKUP(D578,'taxonomy map'!$A$1:$B$171,2,FALSE),"")</f>
        <v/>
      </c>
      <c r="F578" s="49" t="str">
        <f>IFERROR(VLOOKUP(E578,'Condensed Specialty Crosswalk'!$A$2:$C$182,2,FALSE),"")</f>
        <v/>
      </c>
      <c r="G578" s="49" t="str">
        <f>IFERROR(VLOOKUP(E578,'Condensed Specialty Crosswalk'!$A$2:$C$182,3,FALSE),"")</f>
        <v/>
      </c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</row>
    <row r="579" spans="1:30" ht="17">
      <c r="A579" s="49"/>
      <c r="B579" s="49" t="str">
        <f>CONCATENATE(Reports!E578," ",Reports!F578," ",Reports!G578)</f>
        <v xml:space="preserve">  </v>
      </c>
      <c r="C579" s="101"/>
      <c r="D579" s="101"/>
      <c r="E579" s="49" t="str">
        <f>IFERROR(VLOOKUP(D579,'taxonomy map'!$A$1:$B$171,2,FALSE),"")</f>
        <v/>
      </c>
      <c r="F579" s="49" t="str">
        <f>IFERROR(VLOOKUP(E579,'Condensed Specialty Crosswalk'!$A$2:$C$182,2,FALSE),"")</f>
        <v/>
      </c>
      <c r="G579" s="49" t="str">
        <f>IFERROR(VLOOKUP(E579,'Condensed Specialty Crosswalk'!$A$2:$C$182,3,FALSE),"")</f>
        <v/>
      </c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</row>
    <row r="580" spans="1:30" ht="17">
      <c r="A580" s="49"/>
      <c r="B580" s="49" t="str">
        <f>CONCATENATE(Reports!E579," ",Reports!F579," ",Reports!G579)</f>
        <v xml:space="preserve">  </v>
      </c>
      <c r="C580" s="101"/>
      <c r="D580" s="101"/>
      <c r="E580" s="49" t="str">
        <f>IFERROR(VLOOKUP(D580,'taxonomy map'!$A$1:$B$171,2,FALSE),"")</f>
        <v/>
      </c>
      <c r="F580" s="49" t="str">
        <f>IFERROR(VLOOKUP(E580,'Condensed Specialty Crosswalk'!$A$2:$C$182,2,FALSE),"")</f>
        <v/>
      </c>
      <c r="G580" s="49" t="str">
        <f>IFERROR(VLOOKUP(E580,'Condensed Specialty Crosswalk'!$A$2:$C$182,3,FALSE),"")</f>
        <v/>
      </c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</row>
    <row r="581" spans="1:30" ht="17">
      <c r="A581" s="49"/>
      <c r="B581" s="49" t="str">
        <f>CONCATENATE(Reports!E580," ",Reports!F580," ",Reports!G580)</f>
        <v xml:space="preserve">  </v>
      </c>
      <c r="C581" s="101"/>
      <c r="D581" s="101"/>
      <c r="E581" s="49" t="str">
        <f>IFERROR(VLOOKUP(D581,'taxonomy map'!$A$1:$B$171,2,FALSE),"")</f>
        <v/>
      </c>
      <c r="F581" s="49" t="str">
        <f>IFERROR(VLOOKUP(E581,'Condensed Specialty Crosswalk'!$A$2:$C$182,2,FALSE),"")</f>
        <v/>
      </c>
      <c r="G581" s="49" t="str">
        <f>IFERROR(VLOOKUP(E581,'Condensed Specialty Crosswalk'!$A$2:$C$182,3,FALSE),"")</f>
        <v/>
      </c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</row>
    <row r="582" spans="1:30" ht="17">
      <c r="A582" s="49"/>
      <c r="B582" s="49" t="str">
        <f>CONCATENATE(Reports!E581," ",Reports!F581," ",Reports!G581)</f>
        <v xml:space="preserve">  </v>
      </c>
      <c r="C582" s="101"/>
      <c r="D582" s="101"/>
      <c r="E582" s="49" t="str">
        <f>IFERROR(VLOOKUP(D582,'taxonomy map'!$A$1:$B$171,2,FALSE),"")</f>
        <v/>
      </c>
      <c r="F582" s="49" t="str">
        <f>IFERROR(VLOOKUP(E582,'Condensed Specialty Crosswalk'!$A$2:$C$182,2,FALSE),"")</f>
        <v/>
      </c>
      <c r="G582" s="49" t="str">
        <f>IFERROR(VLOOKUP(E582,'Condensed Specialty Crosswalk'!$A$2:$C$182,3,FALSE),"")</f>
        <v/>
      </c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</row>
    <row r="583" spans="1:30" ht="17">
      <c r="A583" s="49"/>
      <c r="B583" s="49" t="str">
        <f>CONCATENATE(Reports!E582," ",Reports!F582," ",Reports!G582)</f>
        <v xml:space="preserve">  </v>
      </c>
      <c r="C583" s="101"/>
      <c r="D583" s="101"/>
      <c r="E583" s="49" t="str">
        <f>IFERROR(VLOOKUP(D583,'taxonomy map'!$A$1:$B$171,2,FALSE),"")</f>
        <v/>
      </c>
      <c r="F583" s="49" t="str">
        <f>IFERROR(VLOOKUP(E583,'Condensed Specialty Crosswalk'!$A$2:$C$182,2,FALSE),"")</f>
        <v/>
      </c>
      <c r="G583" s="49" t="str">
        <f>IFERROR(VLOOKUP(E583,'Condensed Specialty Crosswalk'!$A$2:$C$182,3,FALSE),"")</f>
        <v/>
      </c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</row>
    <row r="584" spans="1:30" ht="17">
      <c r="A584" s="49"/>
      <c r="B584" s="49" t="str">
        <f>CONCATENATE(Reports!E583," ",Reports!F583," ",Reports!G583)</f>
        <v xml:space="preserve">  </v>
      </c>
      <c r="C584" s="101"/>
      <c r="D584" s="101"/>
      <c r="E584" s="49" t="str">
        <f>IFERROR(VLOOKUP(D584,'taxonomy map'!$A$1:$B$171,2,FALSE),"")</f>
        <v/>
      </c>
      <c r="F584" s="49" t="str">
        <f>IFERROR(VLOOKUP(E584,'Condensed Specialty Crosswalk'!$A$2:$C$182,2,FALSE),"")</f>
        <v/>
      </c>
      <c r="G584" s="49" t="str">
        <f>IFERROR(VLOOKUP(E584,'Condensed Specialty Crosswalk'!$A$2:$C$182,3,FALSE),"")</f>
        <v/>
      </c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</row>
    <row r="585" spans="1:30" ht="17">
      <c r="A585" s="49"/>
      <c r="B585" s="49" t="str">
        <f>CONCATENATE(Reports!E584," ",Reports!F584," ",Reports!G584)</f>
        <v xml:space="preserve">  </v>
      </c>
      <c r="C585" s="101"/>
      <c r="D585" s="101"/>
      <c r="E585" s="49" t="str">
        <f>IFERROR(VLOOKUP(D585,'taxonomy map'!$A$1:$B$171,2,FALSE),"")</f>
        <v/>
      </c>
      <c r="F585" s="49" t="str">
        <f>IFERROR(VLOOKUP(E585,'Condensed Specialty Crosswalk'!$A$2:$C$182,2,FALSE),"")</f>
        <v/>
      </c>
      <c r="G585" s="49" t="str">
        <f>IFERROR(VLOOKUP(E585,'Condensed Specialty Crosswalk'!$A$2:$C$182,3,FALSE),"")</f>
        <v/>
      </c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</row>
    <row r="586" spans="1:30" ht="17">
      <c r="A586" s="49"/>
      <c r="B586" s="49" t="str">
        <f>CONCATENATE(Reports!E585," ",Reports!F585," ",Reports!G585)</f>
        <v xml:space="preserve">  </v>
      </c>
      <c r="C586" s="101"/>
      <c r="D586" s="101"/>
      <c r="E586" s="49" t="str">
        <f>IFERROR(VLOOKUP(D586,'taxonomy map'!$A$1:$B$171,2,FALSE),"")</f>
        <v/>
      </c>
      <c r="F586" s="49" t="str">
        <f>IFERROR(VLOOKUP(E586,'Condensed Specialty Crosswalk'!$A$2:$C$182,2,FALSE),"")</f>
        <v/>
      </c>
      <c r="G586" s="49" t="str">
        <f>IFERROR(VLOOKUP(E586,'Condensed Specialty Crosswalk'!$A$2:$C$182,3,FALSE),"")</f>
        <v/>
      </c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</row>
    <row r="587" spans="1:30" ht="17">
      <c r="A587" s="49"/>
      <c r="B587" s="49" t="str">
        <f>CONCATENATE(Reports!E586," ",Reports!F586," ",Reports!G586)</f>
        <v xml:space="preserve">  </v>
      </c>
      <c r="C587" s="101"/>
      <c r="D587" s="101"/>
      <c r="E587" s="49" t="str">
        <f>IFERROR(VLOOKUP(D587,'taxonomy map'!$A$1:$B$171,2,FALSE),"")</f>
        <v/>
      </c>
      <c r="F587" s="49" t="str">
        <f>IFERROR(VLOOKUP(E587,'Condensed Specialty Crosswalk'!$A$2:$C$182,2,FALSE),"")</f>
        <v/>
      </c>
      <c r="G587" s="49" t="str">
        <f>IFERROR(VLOOKUP(E587,'Condensed Specialty Crosswalk'!$A$2:$C$182,3,FALSE),"")</f>
        <v/>
      </c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</row>
    <row r="588" spans="1:30" ht="17">
      <c r="A588" s="49"/>
      <c r="B588" s="49" t="str">
        <f>CONCATENATE(Reports!E587," ",Reports!F587," ",Reports!G587)</f>
        <v xml:space="preserve">  </v>
      </c>
      <c r="C588" s="101"/>
      <c r="D588" s="101"/>
      <c r="E588" s="49" t="str">
        <f>IFERROR(VLOOKUP(D588,'taxonomy map'!$A$1:$B$171,2,FALSE),"")</f>
        <v/>
      </c>
      <c r="F588" s="49" t="str">
        <f>IFERROR(VLOOKUP(E588,'Condensed Specialty Crosswalk'!$A$2:$C$182,2,FALSE),"")</f>
        <v/>
      </c>
      <c r="G588" s="49" t="str">
        <f>IFERROR(VLOOKUP(E588,'Condensed Specialty Crosswalk'!$A$2:$C$182,3,FALSE),"")</f>
        <v/>
      </c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</row>
    <row r="589" spans="1:30" ht="17">
      <c r="A589" s="49"/>
      <c r="B589" s="49" t="str">
        <f>CONCATENATE(Reports!E588," ",Reports!F588," ",Reports!G588)</f>
        <v xml:space="preserve">  </v>
      </c>
      <c r="C589" s="101"/>
      <c r="D589" s="101"/>
      <c r="E589" s="49" t="str">
        <f>IFERROR(VLOOKUP(D589,'taxonomy map'!$A$1:$B$171,2,FALSE),"")</f>
        <v/>
      </c>
      <c r="F589" s="49" t="str">
        <f>IFERROR(VLOOKUP(E589,'Condensed Specialty Crosswalk'!$A$2:$C$182,2,FALSE),"")</f>
        <v/>
      </c>
      <c r="G589" s="49" t="str">
        <f>IFERROR(VLOOKUP(E589,'Condensed Specialty Crosswalk'!$A$2:$C$182,3,FALSE),"")</f>
        <v/>
      </c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</row>
    <row r="590" spans="1:30" ht="17">
      <c r="A590" s="49"/>
      <c r="B590" s="49" t="str">
        <f>CONCATENATE(Reports!E589," ",Reports!F589," ",Reports!G589)</f>
        <v xml:space="preserve">  </v>
      </c>
      <c r="C590" s="101"/>
      <c r="D590" s="101"/>
      <c r="E590" s="49" t="str">
        <f>IFERROR(VLOOKUP(D590,'taxonomy map'!$A$1:$B$171,2,FALSE),"")</f>
        <v/>
      </c>
      <c r="F590" s="49" t="str">
        <f>IFERROR(VLOOKUP(E590,'Condensed Specialty Crosswalk'!$A$2:$C$182,2,FALSE),"")</f>
        <v/>
      </c>
      <c r="G590" s="49" t="str">
        <f>IFERROR(VLOOKUP(E590,'Condensed Specialty Crosswalk'!$A$2:$C$182,3,FALSE),"")</f>
        <v/>
      </c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</row>
    <row r="591" spans="1:30" ht="17">
      <c r="A591" s="49"/>
      <c r="B591" s="49" t="str">
        <f>CONCATENATE(Reports!E590," ",Reports!F590," ",Reports!G590)</f>
        <v xml:space="preserve">  </v>
      </c>
      <c r="C591" s="101"/>
      <c r="D591" s="101"/>
      <c r="E591" s="49" t="str">
        <f>IFERROR(VLOOKUP(D591,'taxonomy map'!$A$1:$B$171,2,FALSE),"")</f>
        <v/>
      </c>
      <c r="F591" s="49" t="str">
        <f>IFERROR(VLOOKUP(E591,'Condensed Specialty Crosswalk'!$A$2:$C$182,2,FALSE),"")</f>
        <v/>
      </c>
      <c r="G591" s="49" t="str">
        <f>IFERROR(VLOOKUP(E591,'Condensed Specialty Crosswalk'!$A$2:$C$182,3,FALSE),"")</f>
        <v/>
      </c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</row>
    <row r="592" spans="1:30" ht="17">
      <c r="A592" s="49"/>
      <c r="B592" s="49" t="str">
        <f>CONCATENATE(Reports!E591," ",Reports!F591," ",Reports!G591)</f>
        <v xml:space="preserve">  </v>
      </c>
      <c r="C592" s="101"/>
      <c r="D592" s="101"/>
      <c r="E592" s="49" t="str">
        <f>IFERROR(VLOOKUP(D592,'taxonomy map'!$A$1:$B$171,2,FALSE),"")</f>
        <v/>
      </c>
      <c r="F592" s="49" t="str">
        <f>IFERROR(VLOOKUP(E592,'Condensed Specialty Crosswalk'!$A$2:$C$182,2,FALSE),"")</f>
        <v/>
      </c>
      <c r="G592" s="49" t="str">
        <f>IFERROR(VLOOKUP(E592,'Condensed Specialty Crosswalk'!$A$2:$C$182,3,FALSE),"")</f>
        <v/>
      </c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</row>
    <row r="593" spans="1:30" ht="17">
      <c r="A593" s="49"/>
      <c r="B593" s="49" t="str">
        <f>CONCATENATE(Reports!E592," ",Reports!F592," ",Reports!G592)</f>
        <v xml:space="preserve">  </v>
      </c>
      <c r="C593" s="101"/>
      <c r="D593" s="101"/>
      <c r="E593" s="49" t="str">
        <f>IFERROR(VLOOKUP(D593,'taxonomy map'!$A$1:$B$171,2,FALSE),"")</f>
        <v/>
      </c>
      <c r="F593" s="49" t="str">
        <f>IFERROR(VLOOKUP(E593,'Condensed Specialty Crosswalk'!$A$2:$C$182,2,FALSE),"")</f>
        <v/>
      </c>
      <c r="G593" s="49" t="str">
        <f>IFERROR(VLOOKUP(E593,'Condensed Specialty Crosswalk'!$A$2:$C$182,3,FALSE),"")</f>
        <v/>
      </c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</row>
    <row r="594" spans="1:30" ht="17">
      <c r="A594" s="49"/>
      <c r="B594" s="49" t="str">
        <f>CONCATENATE(Reports!E593," ",Reports!F593," ",Reports!G593)</f>
        <v xml:space="preserve">  </v>
      </c>
      <c r="C594" s="101"/>
      <c r="D594" s="101"/>
      <c r="E594" s="49" t="str">
        <f>IFERROR(VLOOKUP(D594,'taxonomy map'!$A$1:$B$171,2,FALSE),"")</f>
        <v/>
      </c>
      <c r="F594" s="49" t="str">
        <f>IFERROR(VLOOKUP(E594,'Condensed Specialty Crosswalk'!$A$2:$C$182,2,FALSE),"")</f>
        <v/>
      </c>
      <c r="G594" s="49" t="str">
        <f>IFERROR(VLOOKUP(E594,'Condensed Specialty Crosswalk'!$A$2:$C$182,3,FALSE),"")</f>
        <v/>
      </c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</row>
    <row r="595" spans="1:30" ht="17">
      <c r="A595" s="49"/>
      <c r="B595" s="49" t="str">
        <f>CONCATENATE(Reports!E594," ",Reports!F594," ",Reports!G594)</f>
        <v xml:space="preserve">  </v>
      </c>
      <c r="C595" s="101"/>
      <c r="D595" s="101"/>
      <c r="E595" s="49" t="str">
        <f>IFERROR(VLOOKUP(D595,'taxonomy map'!$A$1:$B$171,2,FALSE),"")</f>
        <v/>
      </c>
      <c r="F595" s="49" t="str">
        <f>IFERROR(VLOOKUP(E595,'Condensed Specialty Crosswalk'!$A$2:$C$182,2,FALSE),"")</f>
        <v/>
      </c>
      <c r="G595" s="49" t="str">
        <f>IFERROR(VLOOKUP(E595,'Condensed Specialty Crosswalk'!$A$2:$C$182,3,FALSE),"")</f>
        <v/>
      </c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</row>
    <row r="596" spans="1:30" ht="17">
      <c r="A596" s="49"/>
      <c r="B596" s="49" t="str">
        <f>CONCATENATE(Reports!E595," ",Reports!F595," ",Reports!G595)</f>
        <v xml:space="preserve">  </v>
      </c>
      <c r="C596" s="101"/>
      <c r="D596" s="101"/>
      <c r="E596" s="49" t="str">
        <f>IFERROR(VLOOKUP(D596,'taxonomy map'!$A$1:$B$171,2,FALSE),"")</f>
        <v/>
      </c>
      <c r="F596" s="49" t="str">
        <f>IFERROR(VLOOKUP(E596,'Condensed Specialty Crosswalk'!$A$2:$C$182,2,FALSE),"")</f>
        <v/>
      </c>
      <c r="G596" s="49" t="str">
        <f>IFERROR(VLOOKUP(E596,'Condensed Specialty Crosswalk'!$A$2:$C$182,3,FALSE),"")</f>
        <v/>
      </c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</row>
    <row r="597" spans="1:30" ht="17">
      <c r="A597" s="49"/>
      <c r="B597" s="49" t="str">
        <f>CONCATENATE(Reports!E596," ",Reports!F596," ",Reports!G596)</f>
        <v xml:space="preserve">  </v>
      </c>
      <c r="C597" s="101"/>
      <c r="D597" s="101"/>
      <c r="E597" s="49" t="str">
        <f>IFERROR(VLOOKUP(D597,'taxonomy map'!$A$1:$B$171,2,FALSE),"")</f>
        <v/>
      </c>
      <c r="F597" s="49" t="str">
        <f>IFERROR(VLOOKUP(E597,'Condensed Specialty Crosswalk'!$A$2:$C$182,2,FALSE),"")</f>
        <v/>
      </c>
      <c r="G597" s="49" t="str">
        <f>IFERROR(VLOOKUP(E597,'Condensed Specialty Crosswalk'!$A$2:$C$182,3,FALSE),"")</f>
        <v/>
      </c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</row>
    <row r="598" spans="1:30" ht="17">
      <c r="A598" s="49"/>
      <c r="B598" s="49" t="str">
        <f>CONCATENATE(Reports!E597," ",Reports!F597," ",Reports!G597)</f>
        <v xml:space="preserve">  </v>
      </c>
      <c r="C598" s="101"/>
      <c r="D598" s="101"/>
      <c r="E598" s="49" t="str">
        <f>IFERROR(VLOOKUP(D598,'taxonomy map'!$A$1:$B$171,2,FALSE),"")</f>
        <v/>
      </c>
      <c r="F598" s="49" t="str">
        <f>IFERROR(VLOOKUP(E598,'Condensed Specialty Crosswalk'!$A$2:$C$182,2,FALSE),"")</f>
        <v/>
      </c>
      <c r="G598" s="49" t="str">
        <f>IFERROR(VLOOKUP(E598,'Condensed Specialty Crosswalk'!$A$2:$C$182,3,FALSE),"")</f>
        <v/>
      </c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</row>
    <row r="599" spans="1:30" ht="17">
      <c r="A599" s="49"/>
      <c r="B599" s="49" t="str">
        <f>CONCATENATE(Reports!E598," ",Reports!F598," ",Reports!G598)</f>
        <v xml:space="preserve">  </v>
      </c>
      <c r="C599" s="101"/>
      <c r="D599" s="101"/>
      <c r="E599" s="49" t="str">
        <f>IFERROR(VLOOKUP(D599,'taxonomy map'!$A$1:$B$171,2,FALSE),"")</f>
        <v/>
      </c>
      <c r="F599" s="49" t="str">
        <f>IFERROR(VLOOKUP(E599,'Condensed Specialty Crosswalk'!$A$2:$C$182,2,FALSE),"")</f>
        <v/>
      </c>
      <c r="G599" s="49" t="str">
        <f>IFERROR(VLOOKUP(E599,'Condensed Specialty Crosswalk'!$A$2:$C$182,3,FALSE),"")</f>
        <v/>
      </c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</row>
    <row r="600" spans="1:30" ht="17">
      <c r="A600" s="49"/>
      <c r="B600" s="49" t="str">
        <f>CONCATENATE(Reports!E599," ",Reports!F599," ",Reports!G599)</f>
        <v xml:space="preserve">  </v>
      </c>
      <c r="C600" s="101"/>
      <c r="D600" s="101"/>
      <c r="E600" s="49" t="str">
        <f>IFERROR(VLOOKUP(D600,'taxonomy map'!$A$1:$B$171,2,FALSE),"")</f>
        <v/>
      </c>
      <c r="F600" s="49" t="str">
        <f>IFERROR(VLOOKUP(E600,'Condensed Specialty Crosswalk'!$A$2:$C$182,2,FALSE),"")</f>
        <v/>
      </c>
      <c r="G600" s="49" t="str">
        <f>IFERROR(VLOOKUP(E600,'Condensed Specialty Crosswalk'!$A$2:$C$182,3,FALSE),"")</f>
        <v/>
      </c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</row>
    <row r="601" spans="1:30" ht="17">
      <c r="A601" s="49"/>
      <c r="B601" s="49" t="str">
        <f>CONCATENATE(Reports!E600," ",Reports!F600," ",Reports!G600)</f>
        <v xml:space="preserve">  </v>
      </c>
      <c r="C601" s="101"/>
      <c r="D601" s="101"/>
      <c r="E601" s="49" t="str">
        <f>IFERROR(VLOOKUP(D601,'taxonomy map'!$A$1:$B$171,2,FALSE),"")</f>
        <v/>
      </c>
      <c r="F601" s="49" t="str">
        <f>IFERROR(VLOOKUP(E601,'Condensed Specialty Crosswalk'!$A$2:$C$182,2,FALSE),"")</f>
        <v/>
      </c>
      <c r="G601" s="49" t="str">
        <f>IFERROR(VLOOKUP(E601,'Condensed Specialty Crosswalk'!$A$2:$C$182,3,FALSE),"")</f>
        <v/>
      </c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</row>
    <row r="602" spans="1:30" ht="17">
      <c r="A602" s="49"/>
      <c r="B602" s="49" t="str">
        <f>CONCATENATE(Reports!E601," ",Reports!F601," ",Reports!G601)</f>
        <v xml:space="preserve">  </v>
      </c>
      <c r="C602" s="101"/>
      <c r="D602" s="101"/>
      <c r="E602" s="49" t="str">
        <f>IFERROR(VLOOKUP(D602,'taxonomy map'!$A$1:$B$171,2,FALSE),"")</f>
        <v/>
      </c>
      <c r="F602" s="49" t="str">
        <f>IFERROR(VLOOKUP(E602,'Condensed Specialty Crosswalk'!$A$2:$C$182,2,FALSE),"")</f>
        <v/>
      </c>
      <c r="G602" s="49" t="str">
        <f>IFERROR(VLOOKUP(E602,'Condensed Specialty Crosswalk'!$A$2:$C$182,3,FALSE),"")</f>
        <v/>
      </c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</row>
    <row r="603" spans="1:30" ht="17">
      <c r="A603" s="49"/>
      <c r="B603" s="49" t="str">
        <f>CONCATENATE(Reports!E602," ",Reports!F602," ",Reports!G602)</f>
        <v xml:space="preserve">  </v>
      </c>
      <c r="C603" s="101"/>
      <c r="D603" s="101"/>
      <c r="E603" s="49" t="str">
        <f>IFERROR(VLOOKUP(D603,'taxonomy map'!$A$1:$B$171,2,FALSE),"")</f>
        <v/>
      </c>
      <c r="F603" s="49" t="str">
        <f>IFERROR(VLOOKUP(E603,'Condensed Specialty Crosswalk'!$A$2:$C$182,2,FALSE),"")</f>
        <v/>
      </c>
      <c r="G603" s="49" t="str">
        <f>IFERROR(VLOOKUP(E603,'Condensed Specialty Crosswalk'!$A$2:$C$182,3,FALSE),"")</f>
        <v/>
      </c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</row>
    <row r="604" spans="1:30" ht="17">
      <c r="A604" s="49"/>
      <c r="B604" s="49" t="str">
        <f>CONCATENATE(Reports!E603," ",Reports!F603," ",Reports!G603)</f>
        <v xml:space="preserve">  </v>
      </c>
      <c r="C604" s="101"/>
      <c r="D604" s="101"/>
      <c r="E604" s="49" t="str">
        <f>IFERROR(VLOOKUP(D604,'taxonomy map'!$A$1:$B$171,2,FALSE),"")</f>
        <v/>
      </c>
      <c r="F604" s="49" t="str">
        <f>IFERROR(VLOOKUP(E604,'Condensed Specialty Crosswalk'!$A$2:$C$182,2,FALSE),"")</f>
        <v/>
      </c>
      <c r="G604" s="49" t="str">
        <f>IFERROR(VLOOKUP(E604,'Condensed Specialty Crosswalk'!$A$2:$C$182,3,FALSE),"")</f>
        <v/>
      </c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</row>
    <row r="605" spans="1:30" ht="17">
      <c r="A605" s="49"/>
      <c r="B605" s="49" t="str">
        <f>CONCATENATE(Reports!E604," ",Reports!F604," ",Reports!G604)</f>
        <v xml:space="preserve">  </v>
      </c>
      <c r="C605" s="101"/>
      <c r="D605" s="101"/>
      <c r="E605" s="49" t="str">
        <f>IFERROR(VLOOKUP(D605,'taxonomy map'!$A$1:$B$171,2,FALSE),"")</f>
        <v/>
      </c>
      <c r="F605" s="49" t="str">
        <f>IFERROR(VLOOKUP(E605,'Condensed Specialty Crosswalk'!$A$2:$C$182,2,FALSE),"")</f>
        <v/>
      </c>
      <c r="G605" s="49" t="str">
        <f>IFERROR(VLOOKUP(E605,'Condensed Specialty Crosswalk'!$A$2:$C$182,3,FALSE),"")</f>
        <v/>
      </c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</row>
    <row r="606" spans="1:30" ht="17">
      <c r="A606" s="49"/>
      <c r="B606" s="49" t="str">
        <f>CONCATENATE(Reports!E605," ",Reports!F605," ",Reports!G605)</f>
        <v xml:space="preserve">  </v>
      </c>
      <c r="C606" s="101"/>
      <c r="D606" s="101"/>
      <c r="E606" s="49" t="str">
        <f>IFERROR(VLOOKUP(D606,'taxonomy map'!$A$1:$B$171,2,FALSE),"")</f>
        <v/>
      </c>
      <c r="F606" s="49" t="str">
        <f>IFERROR(VLOOKUP(E606,'Condensed Specialty Crosswalk'!$A$2:$C$182,2,FALSE),"")</f>
        <v/>
      </c>
      <c r="G606" s="49" t="str">
        <f>IFERROR(VLOOKUP(E606,'Condensed Specialty Crosswalk'!$A$2:$C$182,3,FALSE),"")</f>
        <v/>
      </c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</row>
    <row r="607" spans="1:30" ht="17">
      <c r="A607" s="49"/>
      <c r="B607" s="49" t="str">
        <f>CONCATENATE(Reports!E606," ",Reports!F606," ",Reports!G606)</f>
        <v xml:space="preserve">  </v>
      </c>
      <c r="C607" s="101"/>
      <c r="D607" s="101"/>
      <c r="E607" s="49" t="str">
        <f>IFERROR(VLOOKUP(D607,'taxonomy map'!$A$1:$B$171,2,FALSE),"")</f>
        <v/>
      </c>
      <c r="F607" s="49" t="str">
        <f>IFERROR(VLOOKUP(E607,'Condensed Specialty Crosswalk'!$A$2:$C$182,2,FALSE),"")</f>
        <v/>
      </c>
      <c r="G607" s="49" t="str">
        <f>IFERROR(VLOOKUP(E607,'Condensed Specialty Crosswalk'!$A$2:$C$182,3,FALSE),"")</f>
        <v/>
      </c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</row>
    <row r="608" spans="1:30" ht="17">
      <c r="A608" s="49"/>
      <c r="B608" s="49" t="str">
        <f>CONCATENATE(Reports!E607," ",Reports!F607," ",Reports!G607)</f>
        <v xml:space="preserve">  </v>
      </c>
      <c r="C608" s="101"/>
      <c r="D608" s="101"/>
      <c r="E608" s="49" t="str">
        <f>IFERROR(VLOOKUP(D608,'taxonomy map'!$A$1:$B$171,2,FALSE),"")</f>
        <v/>
      </c>
      <c r="F608" s="49" t="str">
        <f>IFERROR(VLOOKUP(E608,'Condensed Specialty Crosswalk'!$A$2:$C$182,2,FALSE),"")</f>
        <v/>
      </c>
      <c r="G608" s="49" t="str">
        <f>IFERROR(VLOOKUP(E608,'Condensed Specialty Crosswalk'!$A$2:$C$182,3,FALSE),"")</f>
        <v/>
      </c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</row>
    <row r="609" spans="1:30" ht="17">
      <c r="A609" s="49"/>
      <c r="B609" s="49" t="str">
        <f>CONCATENATE(Reports!E608," ",Reports!F608," ",Reports!G608)</f>
        <v xml:space="preserve">  </v>
      </c>
      <c r="C609" s="101"/>
      <c r="D609" s="101"/>
      <c r="E609" s="49" t="str">
        <f>IFERROR(VLOOKUP(D609,'taxonomy map'!$A$1:$B$171,2,FALSE),"")</f>
        <v/>
      </c>
      <c r="F609" s="49" t="str">
        <f>IFERROR(VLOOKUP(E609,'Condensed Specialty Crosswalk'!$A$2:$C$182,2,FALSE),"")</f>
        <v/>
      </c>
      <c r="G609" s="49" t="str">
        <f>IFERROR(VLOOKUP(E609,'Condensed Specialty Crosswalk'!$A$2:$C$182,3,FALSE),"")</f>
        <v/>
      </c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</row>
    <row r="610" spans="1:30" ht="17">
      <c r="A610" s="49"/>
      <c r="B610" s="49" t="str">
        <f>CONCATENATE(Reports!E609," ",Reports!F609," ",Reports!G609)</f>
        <v xml:space="preserve">  </v>
      </c>
      <c r="C610" s="101"/>
      <c r="D610" s="101"/>
      <c r="E610" s="49" t="str">
        <f>IFERROR(VLOOKUP(D610,'taxonomy map'!$A$1:$B$171,2,FALSE),"")</f>
        <v/>
      </c>
      <c r="F610" s="49" t="str">
        <f>IFERROR(VLOOKUP(E610,'Condensed Specialty Crosswalk'!$A$2:$C$182,2,FALSE),"")</f>
        <v/>
      </c>
      <c r="G610" s="49" t="str">
        <f>IFERROR(VLOOKUP(E610,'Condensed Specialty Crosswalk'!$A$2:$C$182,3,FALSE),"")</f>
        <v/>
      </c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</row>
    <row r="611" spans="1:30" ht="17">
      <c r="A611" s="49"/>
      <c r="B611" s="49" t="str">
        <f>CONCATENATE(Reports!E610," ",Reports!F610," ",Reports!G610)</f>
        <v xml:space="preserve">  </v>
      </c>
      <c r="C611" s="101"/>
      <c r="D611" s="101"/>
      <c r="E611" s="49" t="str">
        <f>IFERROR(VLOOKUP(D611,'taxonomy map'!$A$1:$B$171,2,FALSE),"")</f>
        <v/>
      </c>
      <c r="F611" s="49" t="str">
        <f>IFERROR(VLOOKUP(E611,'Condensed Specialty Crosswalk'!$A$2:$C$182,2,FALSE),"")</f>
        <v/>
      </c>
      <c r="G611" s="49" t="str">
        <f>IFERROR(VLOOKUP(E611,'Condensed Specialty Crosswalk'!$A$2:$C$182,3,FALSE),"")</f>
        <v/>
      </c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</row>
    <row r="612" spans="1:30" ht="17">
      <c r="A612" s="49"/>
      <c r="B612" s="49" t="str">
        <f>CONCATENATE(Reports!E611," ",Reports!F611," ",Reports!G611)</f>
        <v xml:space="preserve">  </v>
      </c>
      <c r="C612" s="101"/>
      <c r="D612" s="101"/>
      <c r="E612" s="49" t="str">
        <f>IFERROR(VLOOKUP(D612,'taxonomy map'!$A$1:$B$171,2,FALSE),"")</f>
        <v/>
      </c>
      <c r="F612" s="49" t="str">
        <f>IFERROR(VLOOKUP(E612,'Condensed Specialty Crosswalk'!$A$2:$C$182,2,FALSE),"")</f>
        <v/>
      </c>
      <c r="G612" s="49" t="str">
        <f>IFERROR(VLOOKUP(E612,'Condensed Specialty Crosswalk'!$A$2:$C$182,3,FALSE),"")</f>
        <v/>
      </c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</row>
    <row r="613" spans="1:30" ht="17">
      <c r="A613" s="49"/>
      <c r="B613" s="49" t="str">
        <f>CONCATENATE(Reports!E612," ",Reports!F612," ",Reports!G612)</f>
        <v xml:space="preserve">  </v>
      </c>
      <c r="C613" s="101"/>
      <c r="D613" s="101"/>
      <c r="E613" s="49" t="str">
        <f>IFERROR(VLOOKUP(D613,'taxonomy map'!$A$1:$B$171,2,FALSE),"")</f>
        <v/>
      </c>
      <c r="F613" s="49" t="str">
        <f>IFERROR(VLOOKUP(E613,'Condensed Specialty Crosswalk'!$A$2:$C$182,2,FALSE),"")</f>
        <v/>
      </c>
      <c r="G613" s="49" t="str">
        <f>IFERROR(VLOOKUP(E613,'Condensed Specialty Crosswalk'!$A$2:$C$182,3,FALSE),"")</f>
        <v/>
      </c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</row>
    <row r="614" spans="1:30" ht="17">
      <c r="A614" s="49"/>
      <c r="B614" s="49" t="str">
        <f>CONCATENATE(Reports!E613," ",Reports!F613," ",Reports!G613)</f>
        <v xml:space="preserve">  </v>
      </c>
      <c r="C614" s="101"/>
      <c r="D614" s="101"/>
      <c r="E614" s="49" t="str">
        <f>IFERROR(VLOOKUP(D614,'taxonomy map'!$A$1:$B$171,2,FALSE),"")</f>
        <v/>
      </c>
      <c r="F614" s="49" t="str">
        <f>IFERROR(VLOOKUP(E614,'Condensed Specialty Crosswalk'!$A$2:$C$182,2,FALSE),"")</f>
        <v/>
      </c>
      <c r="G614" s="49" t="str">
        <f>IFERROR(VLOOKUP(E614,'Condensed Specialty Crosswalk'!$A$2:$C$182,3,FALSE),"")</f>
        <v/>
      </c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</row>
    <row r="615" spans="1:30" ht="17">
      <c r="A615" s="49"/>
      <c r="B615" s="49" t="str">
        <f>CONCATENATE(Reports!E614," ",Reports!F614," ",Reports!G614)</f>
        <v xml:space="preserve">  </v>
      </c>
      <c r="C615" s="101"/>
      <c r="D615" s="101"/>
      <c r="E615" s="49" t="str">
        <f>IFERROR(VLOOKUP(D615,'taxonomy map'!$A$1:$B$171,2,FALSE),"")</f>
        <v/>
      </c>
      <c r="F615" s="49" t="str">
        <f>IFERROR(VLOOKUP(E615,'Condensed Specialty Crosswalk'!$A$2:$C$182,2,FALSE),"")</f>
        <v/>
      </c>
      <c r="G615" s="49" t="str">
        <f>IFERROR(VLOOKUP(E615,'Condensed Specialty Crosswalk'!$A$2:$C$182,3,FALSE),"")</f>
        <v/>
      </c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</row>
    <row r="616" spans="1:30" ht="17">
      <c r="A616" s="49"/>
      <c r="B616" s="49" t="str">
        <f>CONCATENATE(Reports!E615," ",Reports!F615," ",Reports!G615)</f>
        <v xml:space="preserve">  </v>
      </c>
      <c r="C616" s="101"/>
      <c r="D616" s="101"/>
      <c r="E616" s="49" t="str">
        <f>IFERROR(VLOOKUP(D616,'taxonomy map'!$A$1:$B$171,2,FALSE),"")</f>
        <v/>
      </c>
      <c r="F616" s="49" t="str">
        <f>IFERROR(VLOOKUP(E616,'Condensed Specialty Crosswalk'!$A$2:$C$182,2,FALSE),"")</f>
        <v/>
      </c>
      <c r="G616" s="49" t="str">
        <f>IFERROR(VLOOKUP(E616,'Condensed Specialty Crosswalk'!$A$2:$C$182,3,FALSE),"")</f>
        <v/>
      </c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</row>
    <row r="617" spans="1:30" ht="17">
      <c r="A617" s="49"/>
      <c r="B617" s="49" t="str">
        <f>CONCATENATE(Reports!E616," ",Reports!F616," ",Reports!G616)</f>
        <v xml:space="preserve">  </v>
      </c>
      <c r="C617" s="101"/>
      <c r="D617" s="101"/>
      <c r="E617" s="49" t="str">
        <f>IFERROR(VLOOKUP(D617,'taxonomy map'!$A$1:$B$171,2,FALSE),"")</f>
        <v/>
      </c>
      <c r="F617" s="49" t="str">
        <f>IFERROR(VLOOKUP(E617,'Condensed Specialty Crosswalk'!$A$2:$C$182,2,FALSE),"")</f>
        <v/>
      </c>
      <c r="G617" s="49" t="str">
        <f>IFERROR(VLOOKUP(E617,'Condensed Specialty Crosswalk'!$A$2:$C$182,3,FALSE),"")</f>
        <v/>
      </c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</row>
    <row r="618" spans="1:30" ht="17">
      <c r="A618" s="49"/>
      <c r="B618" s="49" t="str">
        <f>CONCATENATE(Reports!E617," ",Reports!F617," ",Reports!G617)</f>
        <v xml:space="preserve">  </v>
      </c>
      <c r="C618" s="101"/>
      <c r="D618" s="101"/>
      <c r="E618" s="49" t="str">
        <f>IFERROR(VLOOKUP(D618,'taxonomy map'!$A$1:$B$171,2,FALSE),"")</f>
        <v/>
      </c>
      <c r="F618" s="49" t="str">
        <f>IFERROR(VLOOKUP(E618,'Condensed Specialty Crosswalk'!$A$2:$C$182,2,FALSE),"")</f>
        <v/>
      </c>
      <c r="G618" s="49" t="str">
        <f>IFERROR(VLOOKUP(E618,'Condensed Specialty Crosswalk'!$A$2:$C$182,3,FALSE),"")</f>
        <v/>
      </c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</row>
    <row r="619" spans="1:30" ht="17">
      <c r="A619" s="49"/>
      <c r="B619" s="49" t="str">
        <f>CONCATENATE(Reports!E618," ",Reports!F618," ",Reports!G618)</f>
        <v xml:space="preserve">  </v>
      </c>
      <c r="C619" s="101"/>
      <c r="D619" s="101"/>
      <c r="E619" s="49" t="str">
        <f>IFERROR(VLOOKUP(D619,'taxonomy map'!$A$1:$B$171,2,FALSE),"")</f>
        <v/>
      </c>
      <c r="F619" s="49" t="str">
        <f>IFERROR(VLOOKUP(E619,'Condensed Specialty Crosswalk'!$A$2:$C$182,2,FALSE),"")</f>
        <v/>
      </c>
      <c r="G619" s="49" t="str">
        <f>IFERROR(VLOOKUP(E619,'Condensed Specialty Crosswalk'!$A$2:$C$182,3,FALSE),"")</f>
        <v/>
      </c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</row>
    <row r="620" spans="1:30" ht="17">
      <c r="A620" s="49"/>
      <c r="B620" s="49" t="str">
        <f>CONCATENATE(Reports!E619," ",Reports!F619," ",Reports!G619)</f>
        <v xml:space="preserve">  </v>
      </c>
      <c r="C620" s="101"/>
      <c r="D620" s="101"/>
      <c r="E620" s="49" t="str">
        <f>IFERROR(VLOOKUP(D620,'taxonomy map'!$A$1:$B$171,2,FALSE),"")</f>
        <v/>
      </c>
      <c r="F620" s="49" t="str">
        <f>IFERROR(VLOOKUP(E620,'Condensed Specialty Crosswalk'!$A$2:$C$182,2,FALSE),"")</f>
        <v/>
      </c>
      <c r="G620" s="49" t="str">
        <f>IFERROR(VLOOKUP(E620,'Condensed Specialty Crosswalk'!$A$2:$C$182,3,FALSE),"")</f>
        <v/>
      </c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</row>
    <row r="621" spans="1:30" ht="17">
      <c r="A621" s="49"/>
      <c r="B621" s="49" t="str">
        <f>CONCATENATE(Reports!E620," ",Reports!F620," ",Reports!G620)</f>
        <v xml:space="preserve">  </v>
      </c>
      <c r="C621" s="101"/>
      <c r="D621" s="101"/>
      <c r="E621" s="49" t="str">
        <f>IFERROR(VLOOKUP(D621,'taxonomy map'!$A$1:$B$171,2,FALSE),"")</f>
        <v/>
      </c>
      <c r="F621" s="49" t="str">
        <f>IFERROR(VLOOKUP(E621,'Condensed Specialty Crosswalk'!$A$2:$C$182,2,FALSE),"")</f>
        <v/>
      </c>
      <c r="G621" s="49" t="str">
        <f>IFERROR(VLOOKUP(E621,'Condensed Specialty Crosswalk'!$A$2:$C$182,3,FALSE),"")</f>
        <v/>
      </c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</row>
    <row r="622" spans="1:30" ht="17">
      <c r="A622" s="49"/>
      <c r="B622" s="49" t="str">
        <f>CONCATENATE(Reports!E621," ",Reports!F621," ",Reports!G621)</f>
        <v xml:space="preserve">  </v>
      </c>
      <c r="C622" s="101"/>
      <c r="D622" s="101"/>
      <c r="E622" s="49" t="str">
        <f>IFERROR(VLOOKUP(D622,'taxonomy map'!$A$1:$B$171,2,FALSE),"")</f>
        <v/>
      </c>
      <c r="F622" s="49" t="str">
        <f>IFERROR(VLOOKUP(E622,'Condensed Specialty Crosswalk'!$A$2:$C$182,2,FALSE),"")</f>
        <v/>
      </c>
      <c r="G622" s="49" t="str">
        <f>IFERROR(VLOOKUP(E622,'Condensed Specialty Crosswalk'!$A$2:$C$182,3,FALSE),"")</f>
        <v/>
      </c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</row>
    <row r="623" spans="1:30" ht="17">
      <c r="A623" s="49"/>
      <c r="B623" s="49" t="str">
        <f>CONCATENATE(Reports!E622," ",Reports!F622," ",Reports!G622)</f>
        <v xml:space="preserve">  </v>
      </c>
      <c r="C623" s="101"/>
      <c r="D623" s="101"/>
      <c r="E623" s="49" t="str">
        <f>IFERROR(VLOOKUP(D623,'taxonomy map'!$A$1:$B$171,2,FALSE),"")</f>
        <v/>
      </c>
      <c r="F623" s="49" t="str">
        <f>IFERROR(VLOOKUP(E623,'Condensed Specialty Crosswalk'!$A$2:$C$182,2,FALSE),"")</f>
        <v/>
      </c>
      <c r="G623" s="49" t="str">
        <f>IFERROR(VLOOKUP(E623,'Condensed Specialty Crosswalk'!$A$2:$C$182,3,FALSE),"")</f>
        <v/>
      </c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</row>
    <row r="624" spans="1:30" ht="17">
      <c r="A624" s="49"/>
      <c r="B624" s="49" t="str">
        <f>CONCATENATE(Reports!E623," ",Reports!F623," ",Reports!G623)</f>
        <v xml:space="preserve">  </v>
      </c>
      <c r="C624" s="101"/>
      <c r="D624" s="101"/>
      <c r="E624" s="49" t="str">
        <f>IFERROR(VLOOKUP(D624,'taxonomy map'!$A$1:$B$171,2,FALSE),"")</f>
        <v/>
      </c>
      <c r="F624" s="49" t="str">
        <f>IFERROR(VLOOKUP(E624,'Condensed Specialty Crosswalk'!$A$2:$C$182,2,FALSE),"")</f>
        <v/>
      </c>
      <c r="G624" s="49" t="str">
        <f>IFERROR(VLOOKUP(E624,'Condensed Specialty Crosswalk'!$A$2:$C$182,3,FALSE),"")</f>
        <v/>
      </c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</row>
    <row r="625" spans="1:30" ht="17">
      <c r="A625" s="49"/>
      <c r="B625" s="49" t="str">
        <f>CONCATENATE(Reports!E624," ",Reports!F624," ",Reports!G624)</f>
        <v xml:space="preserve">  </v>
      </c>
      <c r="C625" s="101"/>
      <c r="D625" s="101"/>
      <c r="E625" s="49" t="str">
        <f>IFERROR(VLOOKUP(D625,'taxonomy map'!$A$1:$B$171,2,FALSE),"")</f>
        <v/>
      </c>
      <c r="F625" s="49" t="str">
        <f>IFERROR(VLOOKUP(E625,'Condensed Specialty Crosswalk'!$A$2:$C$182,2,FALSE),"")</f>
        <v/>
      </c>
      <c r="G625" s="49" t="str">
        <f>IFERROR(VLOOKUP(E625,'Condensed Specialty Crosswalk'!$A$2:$C$182,3,FALSE),"")</f>
        <v/>
      </c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</row>
    <row r="626" spans="1:30" ht="17">
      <c r="A626" s="49"/>
      <c r="B626" s="49" t="str">
        <f>CONCATENATE(Reports!E625," ",Reports!F625," ",Reports!G625)</f>
        <v xml:space="preserve">  </v>
      </c>
      <c r="C626" s="101"/>
      <c r="D626" s="101"/>
      <c r="E626" s="49" t="str">
        <f>IFERROR(VLOOKUP(D626,'taxonomy map'!$A$1:$B$171,2,FALSE),"")</f>
        <v/>
      </c>
      <c r="F626" s="49" t="str">
        <f>IFERROR(VLOOKUP(E626,'Condensed Specialty Crosswalk'!$A$2:$C$182,2,FALSE),"")</f>
        <v/>
      </c>
      <c r="G626" s="49" t="str">
        <f>IFERROR(VLOOKUP(E626,'Condensed Specialty Crosswalk'!$A$2:$C$182,3,FALSE),"")</f>
        <v/>
      </c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</row>
    <row r="627" spans="1:30" ht="17">
      <c r="A627" s="49"/>
      <c r="B627" s="49" t="str">
        <f>CONCATENATE(Reports!E626," ",Reports!F626," ",Reports!G626)</f>
        <v xml:space="preserve">  </v>
      </c>
      <c r="C627" s="101"/>
      <c r="D627" s="101"/>
      <c r="E627" s="49" t="str">
        <f>IFERROR(VLOOKUP(D627,'taxonomy map'!$A$1:$B$171,2,FALSE),"")</f>
        <v/>
      </c>
      <c r="F627" s="49" t="str">
        <f>IFERROR(VLOOKUP(E627,'Condensed Specialty Crosswalk'!$A$2:$C$182,2,FALSE),"")</f>
        <v/>
      </c>
      <c r="G627" s="49" t="str">
        <f>IFERROR(VLOOKUP(E627,'Condensed Specialty Crosswalk'!$A$2:$C$182,3,FALSE),"")</f>
        <v/>
      </c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</row>
    <row r="628" spans="1:30" ht="17">
      <c r="A628" s="49"/>
      <c r="B628" s="49" t="str">
        <f>CONCATENATE(Reports!E627," ",Reports!F627," ",Reports!G627)</f>
        <v xml:space="preserve">  </v>
      </c>
      <c r="C628" s="101"/>
      <c r="D628" s="101"/>
      <c r="E628" s="49" t="str">
        <f>IFERROR(VLOOKUP(D628,'taxonomy map'!$A$1:$B$171,2,FALSE),"")</f>
        <v/>
      </c>
      <c r="F628" s="49" t="str">
        <f>IFERROR(VLOOKUP(E628,'Condensed Specialty Crosswalk'!$A$2:$C$182,2,FALSE),"")</f>
        <v/>
      </c>
      <c r="G628" s="49" t="str">
        <f>IFERROR(VLOOKUP(E628,'Condensed Specialty Crosswalk'!$A$2:$C$182,3,FALSE),"")</f>
        <v/>
      </c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</row>
    <row r="629" spans="1:30" ht="17">
      <c r="A629" s="49"/>
      <c r="B629" s="49" t="str">
        <f>CONCATENATE(Reports!E628," ",Reports!F628," ",Reports!G628)</f>
        <v xml:space="preserve">  </v>
      </c>
      <c r="C629" s="101"/>
      <c r="D629" s="101"/>
      <c r="E629" s="49" t="str">
        <f>IFERROR(VLOOKUP(D629,'taxonomy map'!$A$1:$B$171,2,FALSE),"")</f>
        <v/>
      </c>
      <c r="F629" s="49" t="str">
        <f>IFERROR(VLOOKUP(E629,'Condensed Specialty Crosswalk'!$A$2:$C$182,2,FALSE),"")</f>
        <v/>
      </c>
      <c r="G629" s="49" t="str">
        <f>IFERROR(VLOOKUP(E629,'Condensed Specialty Crosswalk'!$A$2:$C$182,3,FALSE),"")</f>
        <v/>
      </c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</row>
    <row r="630" spans="1:30" ht="17">
      <c r="A630" s="49"/>
      <c r="B630" s="49" t="str">
        <f>CONCATENATE(Reports!E629," ",Reports!F629," ",Reports!G629)</f>
        <v xml:space="preserve">  </v>
      </c>
      <c r="C630" s="101"/>
      <c r="D630" s="101"/>
      <c r="E630" s="49" t="str">
        <f>IFERROR(VLOOKUP(D630,'taxonomy map'!$A$1:$B$171,2,FALSE),"")</f>
        <v/>
      </c>
      <c r="F630" s="49" t="str">
        <f>IFERROR(VLOOKUP(E630,'Condensed Specialty Crosswalk'!$A$2:$C$182,2,FALSE),"")</f>
        <v/>
      </c>
      <c r="G630" s="49" t="str">
        <f>IFERROR(VLOOKUP(E630,'Condensed Specialty Crosswalk'!$A$2:$C$182,3,FALSE),"")</f>
        <v/>
      </c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</row>
    <row r="631" spans="1:30" ht="17">
      <c r="A631" s="49"/>
      <c r="B631" s="49" t="str">
        <f>CONCATENATE(Reports!E630," ",Reports!F630," ",Reports!G630)</f>
        <v xml:space="preserve">  </v>
      </c>
      <c r="C631" s="101"/>
      <c r="D631" s="101"/>
      <c r="E631" s="49" t="str">
        <f>IFERROR(VLOOKUP(D631,'taxonomy map'!$A$1:$B$171,2,FALSE),"")</f>
        <v/>
      </c>
      <c r="F631" s="49" t="str">
        <f>IFERROR(VLOOKUP(E631,'Condensed Specialty Crosswalk'!$A$2:$C$182,2,FALSE),"")</f>
        <v/>
      </c>
      <c r="G631" s="49" t="str">
        <f>IFERROR(VLOOKUP(E631,'Condensed Specialty Crosswalk'!$A$2:$C$182,3,FALSE),"")</f>
        <v/>
      </c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</row>
    <row r="632" spans="1:30" ht="17">
      <c r="A632" s="49"/>
      <c r="B632" s="49" t="str">
        <f>CONCATENATE(Reports!E631," ",Reports!F631," ",Reports!G631)</f>
        <v xml:space="preserve">  </v>
      </c>
      <c r="C632" s="101"/>
      <c r="D632" s="101"/>
      <c r="E632" s="49" t="str">
        <f>IFERROR(VLOOKUP(D632,'taxonomy map'!$A$1:$B$171,2,FALSE),"")</f>
        <v/>
      </c>
      <c r="F632" s="49" t="str">
        <f>IFERROR(VLOOKUP(E632,'Condensed Specialty Crosswalk'!$A$2:$C$182,2,FALSE),"")</f>
        <v/>
      </c>
      <c r="G632" s="49" t="str">
        <f>IFERROR(VLOOKUP(E632,'Condensed Specialty Crosswalk'!$A$2:$C$182,3,FALSE),"")</f>
        <v/>
      </c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</row>
    <row r="633" spans="1:30" ht="17">
      <c r="A633" s="49"/>
      <c r="B633" s="49" t="str">
        <f>CONCATENATE(Reports!E632," ",Reports!F632," ",Reports!G632)</f>
        <v xml:space="preserve">  </v>
      </c>
      <c r="C633" s="101"/>
      <c r="D633" s="101"/>
      <c r="E633" s="49" t="str">
        <f>IFERROR(VLOOKUP(D633,'taxonomy map'!$A$1:$B$171,2,FALSE),"")</f>
        <v/>
      </c>
      <c r="F633" s="49" t="str">
        <f>IFERROR(VLOOKUP(E633,'Condensed Specialty Crosswalk'!$A$2:$C$182,2,FALSE),"")</f>
        <v/>
      </c>
      <c r="G633" s="49" t="str">
        <f>IFERROR(VLOOKUP(E633,'Condensed Specialty Crosswalk'!$A$2:$C$182,3,FALSE),"")</f>
        <v/>
      </c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</row>
    <row r="634" spans="1:30" ht="17">
      <c r="A634" s="49"/>
      <c r="B634" s="49" t="str">
        <f>CONCATENATE(Reports!E633," ",Reports!F633," ",Reports!G633)</f>
        <v xml:space="preserve">  </v>
      </c>
      <c r="C634" s="101"/>
      <c r="D634" s="101"/>
      <c r="E634" s="49" t="str">
        <f>IFERROR(VLOOKUP(D634,'taxonomy map'!$A$1:$B$171,2,FALSE),"")</f>
        <v/>
      </c>
      <c r="F634" s="49" t="str">
        <f>IFERROR(VLOOKUP(E634,'Condensed Specialty Crosswalk'!$A$2:$C$182,2,FALSE),"")</f>
        <v/>
      </c>
      <c r="G634" s="49" t="str">
        <f>IFERROR(VLOOKUP(E634,'Condensed Specialty Crosswalk'!$A$2:$C$182,3,FALSE),"")</f>
        <v/>
      </c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</row>
    <row r="635" spans="1:30" ht="17">
      <c r="A635" s="49"/>
      <c r="B635" s="49" t="str">
        <f>CONCATENATE(Reports!E634," ",Reports!F634," ",Reports!G634)</f>
        <v xml:space="preserve">  </v>
      </c>
      <c r="C635" s="101"/>
      <c r="D635" s="101"/>
      <c r="E635" s="49" t="str">
        <f>IFERROR(VLOOKUP(D635,'taxonomy map'!$A$1:$B$171,2,FALSE),"")</f>
        <v/>
      </c>
      <c r="F635" s="49" t="str">
        <f>IFERROR(VLOOKUP(E635,'Condensed Specialty Crosswalk'!$A$2:$C$182,2,FALSE),"")</f>
        <v/>
      </c>
      <c r="G635" s="49" t="str">
        <f>IFERROR(VLOOKUP(E635,'Condensed Specialty Crosswalk'!$A$2:$C$182,3,FALSE),"")</f>
        <v/>
      </c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</row>
    <row r="636" spans="1:30" ht="17">
      <c r="A636" s="49"/>
      <c r="B636" s="49" t="str">
        <f>CONCATENATE(Reports!E635," ",Reports!F635," ",Reports!G635)</f>
        <v xml:space="preserve">  </v>
      </c>
      <c r="C636" s="101"/>
      <c r="D636" s="101"/>
      <c r="E636" s="49" t="str">
        <f>IFERROR(VLOOKUP(D636,'taxonomy map'!$A$1:$B$171,2,FALSE),"")</f>
        <v/>
      </c>
      <c r="F636" s="49" t="str">
        <f>IFERROR(VLOOKUP(E636,'Condensed Specialty Crosswalk'!$A$2:$C$182,2,FALSE),"")</f>
        <v/>
      </c>
      <c r="G636" s="49" t="str">
        <f>IFERROR(VLOOKUP(E636,'Condensed Specialty Crosswalk'!$A$2:$C$182,3,FALSE),"")</f>
        <v/>
      </c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</row>
    <row r="637" spans="1:30" ht="17">
      <c r="A637" s="49"/>
      <c r="B637" s="49" t="str">
        <f>CONCATENATE(Reports!E636," ",Reports!F636," ",Reports!G636)</f>
        <v xml:space="preserve">  </v>
      </c>
      <c r="C637" s="101"/>
      <c r="D637" s="101"/>
      <c r="E637" s="49" t="str">
        <f>IFERROR(VLOOKUP(D637,'taxonomy map'!$A$1:$B$171,2,FALSE),"")</f>
        <v/>
      </c>
      <c r="F637" s="49" t="str">
        <f>IFERROR(VLOOKUP(E637,'Condensed Specialty Crosswalk'!$A$2:$C$182,2,FALSE),"")</f>
        <v/>
      </c>
      <c r="G637" s="49" t="str">
        <f>IFERROR(VLOOKUP(E637,'Condensed Specialty Crosswalk'!$A$2:$C$182,3,FALSE),"")</f>
        <v/>
      </c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</row>
    <row r="638" spans="1:30" ht="17">
      <c r="A638" s="49"/>
      <c r="B638" s="49" t="str">
        <f>CONCATENATE(Reports!E637," ",Reports!F637," ",Reports!G637)</f>
        <v xml:space="preserve">  </v>
      </c>
      <c r="C638" s="101"/>
      <c r="D638" s="101"/>
      <c r="E638" s="49" t="str">
        <f>IFERROR(VLOOKUP(D638,'taxonomy map'!$A$1:$B$171,2,FALSE),"")</f>
        <v/>
      </c>
      <c r="F638" s="49" t="str">
        <f>IFERROR(VLOOKUP(E638,'Condensed Specialty Crosswalk'!$A$2:$C$182,2,FALSE),"")</f>
        <v/>
      </c>
      <c r="G638" s="49" t="str">
        <f>IFERROR(VLOOKUP(E638,'Condensed Specialty Crosswalk'!$A$2:$C$182,3,FALSE),"")</f>
        <v/>
      </c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</row>
    <row r="639" spans="1:30" ht="17">
      <c r="A639" s="49"/>
      <c r="B639" s="49" t="str">
        <f>CONCATENATE(Reports!E638," ",Reports!F638," ",Reports!G638)</f>
        <v xml:space="preserve">  </v>
      </c>
      <c r="C639" s="101"/>
      <c r="D639" s="101"/>
      <c r="E639" s="49" t="str">
        <f>IFERROR(VLOOKUP(D639,'taxonomy map'!$A$1:$B$171,2,FALSE),"")</f>
        <v/>
      </c>
      <c r="F639" s="49" t="str">
        <f>IFERROR(VLOOKUP(E639,'Condensed Specialty Crosswalk'!$A$2:$C$182,2,FALSE),"")</f>
        <v/>
      </c>
      <c r="G639" s="49" t="str">
        <f>IFERROR(VLOOKUP(E639,'Condensed Specialty Crosswalk'!$A$2:$C$182,3,FALSE),"")</f>
        <v/>
      </c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</row>
    <row r="640" spans="1:30" ht="17">
      <c r="A640" s="49"/>
      <c r="B640" s="49" t="str">
        <f>CONCATENATE(Reports!E639," ",Reports!F639," ",Reports!G639)</f>
        <v xml:space="preserve">  </v>
      </c>
      <c r="C640" s="101"/>
      <c r="D640" s="101"/>
      <c r="E640" s="49" t="str">
        <f>IFERROR(VLOOKUP(D640,'taxonomy map'!$A$1:$B$171,2,FALSE),"")</f>
        <v/>
      </c>
      <c r="F640" s="49" t="str">
        <f>IFERROR(VLOOKUP(E640,'Condensed Specialty Crosswalk'!$A$2:$C$182,2,FALSE),"")</f>
        <v/>
      </c>
      <c r="G640" s="49" t="str">
        <f>IFERROR(VLOOKUP(E640,'Condensed Specialty Crosswalk'!$A$2:$C$182,3,FALSE),"")</f>
        <v/>
      </c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</row>
    <row r="641" spans="1:30" ht="17">
      <c r="A641" s="49"/>
      <c r="B641" s="49" t="str">
        <f>CONCATENATE(Reports!E640," ",Reports!F640," ",Reports!G640)</f>
        <v xml:space="preserve">  </v>
      </c>
      <c r="C641" s="101"/>
      <c r="D641" s="101"/>
      <c r="E641" s="49" t="str">
        <f>IFERROR(VLOOKUP(D641,'taxonomy map'!$A$1:$B$171,2,FALSE),"")</f>
        <v/>
      </c>
      <c r="F641" s="49" t="str">
        <f>IFERROR(VLOOKUP(E641,'Condensed Specialty Crosswalk'!$A$2:$C$182,2,FALSE),"")</f>
        <v/>
      </c>
      <c r="G641" s="49" t="str">
        <f>IFERROR(VLOOKUP(E641,'Condensed Specialty Crosswalk'!$A$2:$C$182,3,FALSE),"")</f>
        <v/>
      </c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</row>
    <row r="642" spans="1:30" ht="17">
      <c r="A642" s="49"/>
      <c r="B642" s="49" t="str">
        <f>CONCATENATE(Reports!E641," ",Reports!F641," ",Reports!G641)</f>
        <v xml:space="preserve">  </v>
      </c>
      <c r="C642" s="101"/>
      <c r="D642" s="101"/>
      <c r="E642" s="49" t="str">
        <f>IFERROR(VLOOKUP(D642,'taxonomy map'!$A$1:$B$171,2,FALSE),"")</f>
        <v/>
      </c>
      <c r="F642" s="49" t="str">
        <f>IFERROR(VLOOKUP(E642,'Condensed Specialty Crosswalk'!$A$2:$C$182,2,FALSE),"")</f>
        <v/>
      </c>
      <c r="G642" s="49" t="str">
        <f>IFERROR(VLOOKUP(E642,'Condensed Specialty Crosswalk'!$A$2:$C$182,3,FALSE),"")</f>
        <v/>
      </c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</row>
    <row r="643" spans="1:30" ht="17">
      <c r="A643" s="49"/>
      <c r="B643" s="49" t="str">
        <f>CONCATENATE(Reports!E642," ",Reports!F642," ",Reports!G642)</f>
        <v xml:space="preserve">  </v>
      </c>
      <c r="C643" s="101"/>
      <c r="D643" s="101"/>
      <c r="E643" s="49" t="str">
        <f>IFERROR(VLOOKUP(D643,'taxonomy map'!$A$1:$B$171,2,FALSE),"")</f>
        <v/>
      </c>
      <c r="F643" s="49" t="str">
        <f>IFERROR(VLOOKUP(E643,'Condensed Specialty Crosswalk'!$A$2:$C$182,2,FALSE),"")</f>
        <v/>
      </c>
      <c r="G643" s="49" t="str">
        <f>IFERROR(VLOOKUP(E643,'Condensed Specialty Crosswalk'!$A$2:$C$182,3,FALSE),"")</f>
        <v/>
      </c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</row>
    <row r="644" spans="1:30" ht="17">
      <c r="A644" s="49"/>
      <c r="B644" s="49" t="str">
        <f>CONCATENATE(Reports!E643," ",Reports!F643," ",Reports!G643)</f>
        <v xml:space="preserve">  </v>
      </c>
      <c r="C644" s="101"/>
      <c r="D644" s="101"/>
      <c r="E644" s="49" t="str">
        <f>IFERROR(VLOOKUP(D644,'taxonomy map'!$A$1:$B$171,2,FALSE),"")</f>
        <v/>
      </c>
      <c r="F644" s="49" t="str">
        <f>IFERROR(VLOOKUP(E644,'Condensed Specialty Crosswalk'!$A$2:$C$182,2,FALSE),"")</f>
        <v/>
      </c>
      <c r="G644" s="49" t="str">
        <f>IFERROR(VLOOKUP(E644,'Condensed Specialty Crosswalk'!$A$2:$C$182,3,FALSE),"")</f>
        <v/>
      </c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</row>
    <row r="645" spans="1:30" ht="17">
      <c r="A645" s="49"/>
      <c r="B645" s="49" t="str">
        <f>CONCATENATE(Reports!E644," ",Reports!F644," ",Reports!G644)</f>
        <v xml:space="preserve">  </v>
      </c>
      <c r="C645" s="101"/>
      <c r="D645" s="101"/>
      <c r="E645" s="49" t="str">
        <f>IFERROR(VLOOKUP(D645,'taxonomy map'!$A$1:$B$171,2,FALSE),"")</f>
        <v/>
      </c>
      <c r="F645" s="49" t="str">
        <f>IFERROR(VLOOKUP(E645,'Condensed Specialty Crosswalk'!$A$2:$C$182,2,FALSE),"")</f>
        <v/>
      </c>
      <c r="G645" s="49" t="str">
        <f>IFERROR(VLOOKUP(E645,'Condensed Specialty Crosswalk'!$A$2:$C$182,3,FALSE),"")</f>
        <v/>
      </c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</row>
    <row r="646" spans="1:30" ht="17">
      <c r="A646" s="49"/>
      <c r="B646" s="49" t="str">
        <f>CONCATENATE(Reports!E645," ",Reports!F645," ",Reports!G645)</f>
        <v xml:space="preserve">  </v>
      </c>
      <c r="C646" s="101"/>
      <c r="D646" s="101"/>
      <c r="E646" s="49" t="str">
        <f>IFERROR(VLOOKUP(D646,'taxonomy map'!$A$1:$B$171,2,FALSE),"")</f>
        <v/>
      </c>
      <c r="F646" s="49" t="str">
        <f>IFERROR(VLOOKUP(E646,'Condensed Specialty Crosswalk'!$A$2:$C$182,2,FALSE),"")</f>
        <v/>
      </c>
      <c r="G646" s="49" t="str">
        <f>IFERROR(VLOOKUP(E646,'Condensed Specialty Crosswalk'!$A$2:$C$182,3,FALSE),"")</f>
        <v/>
      </c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</row>
    <row r="647" spans="1:30" ht="17">
      <c r="A647" s="49"/>
      <c r="B647" s="49" t="str">
        <f>CONCATENATE(Reports!E646," ",Reports!F646," ",Reports!G646)</f>
        <v xml:space="preserve">  </v>
      </c>
      <c r="C647" s="101"/>
      <c r="D647" s="101"/>
      <c r="E647" s="49" t="str">
        <f>IFERROR(VLOOKUP(D647,'taxonomy map'!$A$1:$B$171,2,FALSE),"")</f>
        <v/>
      </c>
      <c r="F647" s="49" t="str">
        <f>IFERROR(VLOOKUP(E647,'Condensed Specialty Crosswalk'!$A$2:$C$182,2,FALSE),"")</f>
        <v/>
      </c>
      <c r="G647" s="49" t="str">
        <f>IFERROR(VLOOKUP(E647,'Condensed Specialty Crosswalk'!$A$2:$C$182,3,FALSE),"")</f>
        <v/>
      </c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</row>
    <row r="648" spans="1:30" ht="17">
      <c r="A648" s="49"/>
      <c r="B648" s="49" t="str">
        <f>CONCATENATE(Reports!E647," ",Reports!F647," ",Reports!G647)</f>
        <v xml:space="preserve">  </v>
      </c>
      <c r="C648" s="101"/>
      <c r="D648" s="101"/>
      <c r="E648" s="49" t="str">
        <f>IFERROR(VLOOKUP(D648,'taxonomy map'!$A$1:$B$171,2,FALSE),"")</f>
        <v/>
      </c>
      <c r="F648" s="49" t="str">
        <f>IFERROR(VLOOKUP(E648,'Condensed Specialty Crosswalk'!$A$2:$C$182,2,FALSE),"")</f>
        <v/>
      </c>
      <c r="G648" s="49" t="str">
        <f>IFERROR(VLOOKUP(E648,'Condensed Specialty Crosswalk'!$A$2:$C$182,3,FALSE),"")</f>
        <v/>
      </c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</row>
    <row r="649" spans="1:30" ht="17">
      <c r="A649" s="49"/>
      <c r="B649" s="49" t="str">
        <f>CONCATENATE(Reports!E648," ",Reports!F648," ",Reports!G648)</f>
        <v xml:space="preserve">  </v>
      </c>
      <c r="C649" s="101"/>
      <c r="D649" s="101"/>
      <c r="E649" s="49" t="str">
        <f>IFERROR(VLOOKUP(D649,'taxonomy map'!$A$1:$B$171,2,FALSE),"")</f>
        <v/>
      </c>
      <c r="F649" s="49" t="str">
        <f>IFERROR(VLOOKUP(E649,'Condensed Specialty Crosswalk'!$A$2:$C$182,2,FALSE),"")</f>
        <v/>
      </c>
      <c r="G649" s="49" t="str">
        <f>IFERROR(VLOOKUP(E649,'Condensed Specialty Crosswalk'!$A$2:$C$182,3,FALSE),"")</f>
        <v/>
      </c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</row>
    <row r="650" spans="1:30" ht="17">
      <c r="A650" s="49"/>
      <c r="B650" s="49" t="str">
        <f>CONCATENATE(Reports!E649," ",Reports!F649," ",Reports!G649)</f>
        <v xml:space="preserve">  </v>
      </c>
      <c r="C650" s="101"/>
      <c r="D650" s="101"/>
      <c r="E650" s="49" t="str">
        <f>IFERROR(VLOOKUP(D650,'taxonomy map'!$A$1:$B$171,2,FALSE),"")</f>
        <v/>
      </c>
      <c r="F650" s="49" t="str">
        <f>IFERROR(VLOOKUP(E650,'Condensed Specialty Crosswalk'!$A$2:$C$182,2,FALSE),"")</f>
        <v/>
      </c>
      <c r="G650" s="49" t="str">
        <f>IFERROR(VLOOKUP(E650,'Condensed Specialty Crosswalk'!$A$2:$C$182,3,FALSE),"")</f>
        <v/>
      </c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</row>
    <row r="651" spans="1:30" ht="17">
      <c r="A651" s="49"/>
      <c r="B651" s="49" t="str">
        <f>CONCATENATE(Reports!E650," ",Reports!F650," ",Reports!G650)</f>
        <v xml:space="preserve">  </v>
      </c>
      <c r="C651" s="101"/>
      <c r="D651" s="101"/>
      <c r="E651" s="49" t="str">
        <f>IFERROR(VLOOKUP(D651,'taxonomy map'!$A$1:$B$171,2,FALSE),"")</f>
        <v/>
      </c>
      <c r="F651" s="49" t="str">
        <f>IFERROR(VLOOKUP(E651,'Condensed Specialty Crosswalk'!$A$2:$C$182,2,FALSE),"")</f>
        <v/>
      </c>
      <c r="G651" s="49" t="str">
        <f>IFERROR(VLOOKUP(E651,'Condensed Specialty Crosswalk'!$A$2:$C$182,3,FALSE),"")</f>
        <v/>
      </c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</row>
    <row r="652" spans="1:30" ht="17">
      <c r="A652" s="49"/>
      <c r="B652" s="49" t="str">
        <f>CONCATENATE(Reports!E651," ",Reports!F651," ",Reports!G651)</f>
        <v xml:space="preserve">  </v>
      </c>
      <c r="C652" s="101"/>
      <c r="D652" s="101"/>
      <c r="E652" s="49" t="str">
        <f>IFERROR(VLOOKUP(D652,'taxonomy map'!$A$1:$B$171,2,FALSE),"")</f>
        <v/>
      </c>
      <c r="F652" s="49" t="str">
        <f>IFERROR(VLOOKUP(E652,'Condensed Specialty Crosswalk'!$A$2:$C$182,2,FALSE),"")</f>
        <v/>
      </c>
      <c r="G652" s="49" t="str">
        <f>IFERROR(VLOOKUP(E652,'Condensed Specialty Crosswalk'!$A$2:$C$182,3,FALSE),"")</f>
        <v/>
      </c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</row>
    <row r="653" spans="1:30" ht="17">
      <c r="A653" s="49"/>
      <c r="B653" s="49" t="str">
        <f>CONCATENATE(Reports!E652," ",Reports!F652," ",Reports!G652)</f>
        <v xml:space="preserve">  </v>
      </c>
      <c r="C653" s="101"/>
      <c r="D653" s="101"/>
      <c r="E653" s="49" t="str">
        <f>IFERROR(VLOOKUP(D653,'taxonomy map'!$A$1:$B$171,2,FALSE),"")</f>
        <v/>
      </c>
      <c r="F653" s="49" t="str">
        <f>IFERROR(VLOOKUP(E653,'Condensed Specialty Crosswalk'!$A$2:$C$182,2,FALSE),"")</f>
        <v/>
      </c>
      <c r="G653" s="49" t="str">
        <f>IFERROR(VLOOKUP(E653,'Condensed Specialty Crosswalk'!$A$2:$C$182,3,FALSE),"")</f>
        <v/>
      </c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</row>
    <row r="654" spans="1:30" ht="17">
      <c r="A654" s="49"/>
      <c r="B654" s="49" t="str">
        <f>CONCATENATE(Reports!E653," ",Reports!F653," ",Reports!G653)</f>
        <v xml:space="preserve">  </v>
      </c>
      <c r="C654" s="101"/>
      <c r="D654" s="101"/>
      <c r="E654" s="49" t="str">
        <f>IFERROR(VLOOKUP(D654,'taxonomy map'!$A$1:$B$171,2,FALSE),"")</f>
        <v/>
      </c>
      <c r="F654" s="49" t="str">
        <f>IFERROR(VLOOKUP(E654,'Condensed Specialty Crosswalk'!$A$2:$C$182,2,FALSE),"")</f>
        <v/>
      </c>
      <c r="G654" s="49" t="str">
        <f>IFERROR(VLOOKUP(E654,'Condensed Specialty Crosswalk'!$A$2:$C$182,3,FALSE),"")</f>
        <v/>
      </c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</row>
    <row r="655" spans="1:30" ht="17">
      <c r="A655" s="49"/>
      <c r="B655" s="49" t="str">
        <f>CONCATENATE(Reports!E654," ",Reports!F654," ",Reports!G654)</f>
        <v xml:space="preserve">  </v>
      </c>
      <c r="C655" s="101"/>
      <c r="D655" s="101"/>
      <c r="E655" s="49" t="str">
        <f>IFERROR(VLOOKUP(D655,'taxonomy map'!$A$1:$B$171,2,FALSE),"")</f>
        <v/>
      </c>
      <c r="F655" s="49" t="str">
        <f>IFERROR(VLOOKUP(E655,'Condensed Specialty Crosswalk'!$A$2:$C$182,2,FALSE),"")</f>
        <v/>
      </c>
      <c r="G655" s="49" t="str">
        <f>IFERROR(VLOOKUP(E655,'Condensed Specialty Crosswalk'!$A$2:$C$182,3,FALSE),"")</f>
        <v/>
      </c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</row>
    <row r="656" spans="1:30" ht="17">
      <c r="A656" s="49"/>
      <c r="B656" s="49" t="str">
        <f>CONCATENATE(Reports!E655," ",Reports!F655," ",Reports!G655)</f>
        <v xml:space="preserve">  </v>
      </c>
      <c r="C656" s="101"/>
      <c r="D656" s="101"/>
      <c r="E656" s="49" t="str">
        <f>IFERROR(VLOOKUP(D656,'taxonomy map'!$A$1:$B$171,2,FALSE),"")</f>
        <v/>
      </c>
      <c r="F656" s="49" t="str">
        <f>IFERROR(VLOOKUP(E656,'Condensed Specialty Crosswalk'!$A$2:$C$182,2,FALSE),"")</f>
        <v/>
      </c>
      <c r="G656" s="49" t="str">
        <f>IFERROR(VLOOKUP(E656,'Condensed Specialty Crosswalk'!$A$2:$C$182,3,FALSE),"")</f>
        <v/>
      </c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</row>
    <row r="657" spans="1:30" ht="17">
      <c r="A657" s="49"/>
      <c r="B657" s="49" t="str">
        <f>CONCATENATE(Reports!E656," ",Reports!F656," ",Reports!G656)</f>
        <v xml:space="preserve">  </v>
      </c>
      <c r="C657" s="101"/>
      <c r="D657" s="101"/>
      <c r="E657" s="49" t="str">
        <f>IFERROR(VLOOKUP(D657,'taxonomy map'!$A$1:$B$171,2,FALSE),"")</f>
        <v/>
      </c>
      <c r="F657" s="49" t="str">
        <f>IFERROR(VLOOKUP(E657,'Condensed Specialty Crosswalk'!$A$2:$C$182,2,FALSE),"")</f>
        <v/>
      </c>
      <c r="G657" s="49" t="str">
        <f>IFERROR(VLOOKUP(E657,'Condensed Specialty Crosswalk'!$A$2:$C$182,3,FALSE),"")</f>
        <v/>
      </c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</row>
    <row r="658" spans="1:30" ht="17">
      <c r="A658" s="49"/>
      <c r="B658" s="49" t="str">
        <f>CONCATENATE(Reports!E657," ",Reports!F657," ",Reports!G657)</f>
        <v xml:space="preserve">  </v>
      </c>
      <c r="C658" s="101"/>
      <c r="D658" s="101"/>
      <c r="E658" s="49" t="str">
        <f>IFERROR(VLOOKUP(D658,'taxonomy map'!$A$1:$B$171,2,FALSE),"")</f>
        <v/>
      </c>
      <c r="F658" s="49" t="str">
        <f>IFERROR(VLOOKUP(E658,'Condensed Specialty Crosswalk'!$A$2:$C$182,2,FALSE),"")</f>
        <v/>
      </c>
      <c r="G658" s="49" t="str">
        <f>IFERROR(VLOOKUP(E658,'Condensed Specialty Crosswalk'!$A$2:$C$182,3,FALSE),"")</f>
        <v/>
      </c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</row>
    <row r="659" spans="1:30" ht="17">
      <c r="A659" s="49"/>
      <c r="B659" s="49" t="str">
        <f>CONCATENATE(Reports!E658," ",Reports!F658," ",Reports!G658)</f>
        <v xml:space="preserve">  </v>
      </c>
      <c r="C659" s="101"/>
      <c r="D659" s="101"/>
      <c r="E659" s="49" t="str">
        <f>IFERROR(VLOOKUP(D659,'taxonomy map'!$A$1:$B$171,2,FALSE),"")</f>
        <v/>
      </c>
      <c r="F659" s="49" t="str">
        <f>IFERROR(VLOOKUP(E659,'Condensed Specialty Crosswalk'!$A$2:$C$182,2,FALSE),"")</f>
        <v/>
      </c>
      <c r="G659" s="49" t="str">
        <f>IFERROR(VLOOKUP(E659,'Condensed Specialty Crosswalk'!$A$2:$C$182,3,FALSE),"")</f>
        <v/>
      </c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</row>
    <row r="660" spans="1:30" ht="17">
      <c r="A660" s="49"/>
      <c r="B660" s="49" t="str">
        <f>CONCATENATE(Reports!E659," ",Reports!F659," ",Reports!G659)</f>
        <v xml:space="preserve">  </v>
      </c>
      <c r="C660" s="101"/>
      <c r="D660" s="101"/>
      <c r="E660" s="49" t="str">
        <f>IFERROR(VLOOKUP(D660,'taxonomy map'!$A$1:$B$171,2,FALSE),"")</f>
        <v/>
      </c>
      <c r="F660" s="49" t="str">
        <f>IFERROR(VLOOKUP(E660,'Condensed Specialty Crosswalk'!$A$2:$C$182,2,FALSE),"")</f>
        <v/>
      </c>
      <c r="G660" s="49" t="str">
        <f>IFERROR(VLOOKUP(E660,'Condensed Specialty Crosswalk'!$A$2:$C$182,3,FALSE),"")</f>
        <v/>
      </c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</row>
    <row r="661" spans="1:30" ht="17">
      <c r="A661" s="49"/>
      <c r="B661" s="49" t="str">
        <f>CONCATENATE(Reports!E660," ",Reports!F660," ",Reports!G660)</f>
        <v xml:space="preserve">  </v>
      </c>
      <c r="C661" s="101"/>
      <c r="D661" s="101"/>
      <c r="E661" s="49" t="str">
        <f>IFERROR(VLOOKUP(D661,'taxonomy map'!$A$1:$B$171,2,FALSE),"")</f>
        <v/>
      </c>
      <c r="F661" s="49" t="str">
        <f>IFERROR(VLOOKUP(E661,'Condensed Specialty Crosswalk'!$A$2:$C$182,2,FALSE),"")</f>
        <v/>
      </c>
      <c r="G661" s="49" t="str">
        <f>IFERROR(VLOOKUP(E661,'Condensed Specialty Crosswalk'!$A$2:$C$182,3,FALSE),"")</f>
        <v/>
      </c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</row>
    <row r="662" spans="1:30" ht="17">
      <c r="A662" s="49"/>
      <c r="B662" s="49" t="str">
        <f>CONCATENATE(Reports!E661," ",Reports!F661," ",Reports!G661)</f>
        <v xml:space="preserve">  </v>
      </c>
      <c r="C662" s="101"/>
      <c r="D662" s="101"/>
      <c r="E662" s="49" t="str">
        <f>IFERROR(VLOOKUP(D662,'taxonomy map'!$A$1:$B$171,2,FALSE),"")</f>
        <v/>
      </c>
      <c r="F662" s="49" t="str">
        <f>IFERROR(VLOOKUP(E662,'Condensed Specialty Crosswalk'!$A$2:$C$182,2,FALSE),"")</f>
        <v/>
      </c>
      <c r="G662" s="49" t="str">
        <f>IFERROR(VLOOKUP(E662,'Condensed Specialty Crosswalk'!$A$2:$C$182,3,FALSE),"")</f>
        <v/>
      </c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</row>
    <row r="663" spans="1:30" ht="17">
      <c r="A663" s="49"/>
      <c r="B663" s="49" t="str">
        <f>CONCATENATE(Reports!E662," ",Reports!F662," ",Reports!G662)</f>
        <v xml:space="preserve">  </v>
      </c>
      <c r="C663" s="101"/>
      <c r="D663" s="101"/>
      <c r="E663" s="49" t="str">
        <f>IFERROR(VLOOKUP(D663,'taxonomy map'!$A$1:$B$171,2,FALSE),"")</f>
        <v/>
      </c>
      <c r="F663" s="49" t="str">
        <f>IFERROR(VLOOKUP(E663,'Condensed Specialty Crosswalk'!$A$2:$C$182,2,FALSE),"")</f>
        <v/>
      </c>
      <c r="G663" s="49" t="str">
        <f>IFERROR(VLOOKUP(E663,'Condensed Specialty Crosswalk'!$A$2:$C$182,3,FALSE),"")</f>
        <v/>
      </c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</row>
    <row r="664" spans="1:30" ht="17">
      <c r="A664" s="49"/>
      <c r="B664" s="49" t="str">
        <f>CONCATENATE(Reports!E663," ",Reports!F663," ",Reports!G663)</f>
        <v xml:space="preserve">  </v>
      </c>
      <c r="C664" s="101"/>
      <c r="D664" s="101"/>
      <c r="E664" s="49" t="str">
        <f>IFERROR(VLOOKUP(D664,'taxonomy map'!$A$1:$B$171,2,FALSE),"")</f>
        <v/>
      </c>
      <c r="F664" s="49" t="str">
        <f>IFERROR(VLOOKUP(E664,'Condensed Specialty Crosswalk'!$A$2:$C$182,2,FALSE),"")</f>
        <v/>
      </c>
      <c r="G664" s="49" t="str">
        <f>IFERROR(VLOOKUP(E664,'Condensed Specialty Crosswalk'!$A$2:$C$182,3,FALSE),"")</f>
        <v/>
      </c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</row>
    <row r="665" spans="1:30" ht="17">
      <c r="A665" s="49"/>
      <c r="B665" s="49" t="str">
        <f>CONCATENATE(Reports!E664," ",Reports!F664," ",Reports!G664)</f>
        <v xml:space="preserve">  </v>
      </c>
      <c r="C665" s="101"/>
      <c r="D665" s="101"/>
      <c r="E665" s="49" t="str">
        <f>IFERROR(VLOOKUP(D665,'taxonomy map'!$A$1:$B$171,2,FALSE),"")</f>
        <v/>
      </c>
      <c r="F665" s="49" t="str">
        <f>IFERROR(VLOOKUP(E665,'Condensed Specialty Crosswalk'!$A$2:$C$182,2,FALSE),"")</f>
        <v/>
      </c>
      <c r="G665" s="49" t="str">
        <f>IFERROR(VLOOKUP(E665,'Condensed Specialty Crosswalk'!$A$2:$C$182,3,FALSE),"")</f>
        <v/>
      </c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</row>
    <row r="666" spans="1:30" ht="17">
      <c r="A666" s="49"/>
      <c r="B666" s="49" t="str">
        <f>CONCATENATE(Reports!E665," ",Reports!F665," ",Reports!G665)</f>
        <v xml:space="preserve">  </v>
      </c>
      <c r="C666" s="101"/>
      <c r="D666" s="101"/>
      <c r="E666" s="49" t="str">
        <f>IFERROR(VLOOKUP(D666,'taxonomy map'!$A$1:$B$171,2,FALSE),"")</f>
        <v/>
      </c>
      <c r="F666" s="49" t="str">
        <f>IFERROR(VLOOKUP(E666,'Condensed Specialty Crosswalk'!$A$2:$C$182,2,FALSE),"")</f>
        <v/>
      </c>
      <c r="G666" s="49" t="str">
        <f>IFERROR(VLOOKUP(E666,'Condensed Specialty Crosswalk'!$A$2:$C$182,3,FALSE),"")</f>
        <v/>
      </c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</row>
    <row r="667" spans="1:30" ht="17">
      <c r="A667" s="49"/>
      <c r="B667" s="49" t="str">
        <f>CONCATENATE(Reports!E666," ",Reports!F666," ",Reports!G666)</f>
        <v xml:space="preserve">  </v>
      </c>
      <c r="C667" s="101"/>
      <c r="D667" s="101"/>
      <c r="E667" s="49" t="str">
        <f>IFERROR(VLOOKUP(D667,'taxonomy map'!$A$1:$B$171,2,FALSE),"")</f>
        <v/>
      </c>
      <c r="F667" s="49" t="str">
        <f>IFERROR(VLOOKUP(E667,'Condensed Specialty Crosswalk'!$A$2:$C$182,2,FALSE),"")</f>
        <v/>
      </c>
      <c r="G667" s="49" t="str">
        <f>IFERROR(VLOOKUP(E667,'Condensed Specialty Crosswalk'!$A$2:$C$182,3,FALSE),"")</f>
        <v/>
      </c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</row>
    <row r="668" spans="1:30" ht="17">
      <c r="A668" s="49"/>
      <c r="B668" s="49" t="str">
        <f>CONCATENATE(Reports!E667," ",Reports!F667," ",Reports!G667)</f>
        <v xml:space="preserve">  </v>
      </c>
      <c r="C668" s="101"/>
      <c r="D668" s="101"/>
      <c r="E668" s="49" t="str">
        <f>IFERROR(VLOOKUP(D668,'taxonomy map'!$A$1:$B$171,2,FALSE),"")</f>
        <v/>
      </c>
      <c r="F668" s="49" t="str">
        <f>IFERROR(VLOOKUP(E668,'Condensed Specialty Crosswalk'!$A$2:$C$182,2,FALSE),"")</f>
        <v/>
      </c>
      <c r="G668" s="49" t="str">
        <f>IFERROR(VLOOKUP(E668,'Condensed Specialty Crosswalk'!$A$2:$C$182,3,FALSE),"")</f>
        <v/>
      </c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</row>
    <row r="669" spans="1:30" ht="17">
      <c r="A669" s="49"/>
      <c r="B669" s="49" t="str">
        <f>CONCATENATE(Reports!E668," ",Reports!F668," ",Reports!G668)</f>
        <v xml:space="preserve">  </v>
      </c>
      <c r="C669" s="101"/>
      <c r="D669" s="101"/>
      <c r="E669" s="49" t="str">
        <f>IFERROR(VLOOKUP(D669,'taxonomy map'!$A$1:$B$171,2,FALSE),"")</f>
        <v/>
      </c>
      <c r="F669" s="49" t="str">
        <f>IFERROR(VLOOKUP(E669,'Condensed Specialty Crosswalk'!$A$2:$C$182,2,FALSE),"")</f>
        <v/>
      </c>
      <c r="G669" s="49" t="str">
        <f>IFERROR(VLOOKUP(E669,'Condensed Specialty Crosswalk'!$A$2:$C$182,3,FALSE),"")</f>
        <v/>
      </c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</row>
    <row r="670" spans="1:30" ht="17">
      <c r="A670" s="49"/>
      <c r="B670" s="49" t="str">
        <f>CONCATENATE(Reports!E669," ",Reports!F669," ",Reports!G669)</f>
        <v xml:space="preserve">  </v>
      </c>
      <c r="C670" s="101"/>
      <c r="D670" s="101"/>
      <c r="E670" s="49" t="str">
        <f>IFERROR(VLOOKUP(D670,'taxonomy map'!$A$1:$B$171,2,FALSE),"")</f>
        <v/>
      </c>
      <c r="F670" s="49" t="str">
        <f>IFERROR(VLOOKUP(E670,'Condensed Specialty Crosswalk'!$A$2:$C$182,2,FALSE),"")</f>
        <v/>
      </c>
      <c r="G670" s="49" t="str">
        <f>IFERROR(VLOOKUP(E670,'Condensed Specialty Crosswalk'!$A$2:$C$182,3,FALSE),"")</f>
        <v/>
      </c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</row>
    <row r="671" spans="1:30" ht="17">
      <c r="A671" s="49"/>
      <c r="B671" s="49" t="str">
        <f>CONCATENATE(Reports!E670," ",Reports!F670," ",Reports!G670)</f>
        <v xml:space="preserve">  </v>
      </c>
      <c r="C671" s="101"/>
      <c r="D671" s="101"/>
      <c r="E671" s="49" t="str">
        <f>IFERROR(VLOOKUP(D671,'taxonomy map'!$A$1:$B$171,2,FALSE),"")</f>
        <v/>
      </c>
      <c r="F671" s="49" t="str">
        <f>IFERROR(VLOOKUP(E671,'Condensed Specialty Crosswalk'!$A$2:$C$182,2,FALSE),"")</f>
        <v/>
      </c>
      <c r="G671" s="49" t="str">
        <f>IFERROR(VLOOKUP(E671,'Condensed Specialty Crosswalk'!$A$2:$C$182,3,FALSE),"")</f>
        <v/>
      </c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</row>
    <row r="672" spans="1:30" ht="17">
      <c r="A672" s="49"/>
      <c r="B672" s="49" t="str">
        <f>CONCATENATE(Reports!E671," ",Reports!F671," ",Reports!G671)</f>
        <v xml:space="preserve">  </v>
      </c>
      <c r="C672" s="101"/>
      <c r="D672" s="101"/>
      <c r="E672" s="49" t="str">
        <f>IFERROR(VLOOKUP(D672,'taxonomy map'!$A$1:$B$171,2,FALSE),"")</f>
        <v/>
      </c>
      <c r="F672" s="49" t="str">
        <f>IFERROR(VLOOKUP(E672,'Condensed Specialty Crosswalk'!$A$2:$C$182,2,FALSE),"")</f>
        <v/>
      </c>
      <c r="G672" s="49" t="str">
        <f>IFERROR(VLOOKUP(E672,'Condensed Specialty Crosswalk'!$A$2:$C$182,3,FALSE),"")</f>
        <v/>
      </c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</row>
    <row r="673" spans="1:30" ht="17">
      <c r="A673" s="49"/>
      <c r="B673" s="49" t="str">
        <f>CONCATENATE(Reports!E672," ",Reports!F672," ",Reports!G672)</f>
        <v xml:space="preserve">  </v>
      </c>
      <c r="C673" s="101"/>
      <c r="D673" s="101"/>
      <c r="E673" s="49" t="str">
        <f>IFERROR(VLOOKUP(D673,'taxonomy map'!$A$1:$B$171,2,FALSE),"")</f>
        <v/>
      </c>
      <c r="F673" s="49" t="str">
        <f>IFERROR(VLOOKUP(E673,'Condensed Specialty Crosswalk'!$A$2:$C$182,2,FALSE),"")</f>
        <v/>
      </c>
      <c r="G673" s="49" t="str">
        <f>IFERROR(VLOOKUP(E673,'Condensed Specialty Crosswalk'!$A$2:$C$182,3,FALSE),"")</f>
        <v/>
      </c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</row>
    <row r="674" spans="1:30" ht="17">
      <c r="A674" s="49"/>
      <c r="B674" s="49" t="str">
        <f>CONCATENATE(Reports!E673," ",Reports!F673," ",Reports!G673)</f>
        <v xml:space="preserve">  </v>
      </c>
      <c r="C674" s="101"/>
      <c r="D674" s="101"/>
      <c r="E674" s="49" t="str">
        <f>IFERROR(VLOOKUP(D674,'taxonomy map'!$A$1:$B$171,2,FALSE),"")</f>
        <v/>
      </c>
      <c r="F674" s="49" t="str">
        <f>IFERROR(VLOOKUP(E674,'Condensed Specialty Crosswalk'!$A$2:$C$182,2,FALSE),"")</f>
        <v/>
      </c>
      <c r="G674" s="49" t="str">
        <f>IFERROR(VLOOKUP(E674,'Condensed Specialty Crosswalk'!$A$2:$C$182,3,FALSE),"")</f>
        <v/>
      </c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</row>
    <row r="675" spans="1:30" ht="17">
      <c r="A675" s="49"/>
      <c r="B675" s="49" t="str">
        <f>CONCATENATE(Reports!E674," ",Reports!F674," ",Reports!G674)</f>
        <v xml:space="preserve">  </v>
      </c>
      <c r="C675" s="101"/>
      <c r="D675" s="101"/>
      <c r="E675" s="49" t="str">
        <f>IFERROR(VLOOKUP(D675,'taxonomy map'!$A$1:$B$171,2,FALSE),"")</f>
        <v/>
      </c>
      <c r="F675" s="49" t="str">
        <f>IFERROR(VLOOKUP(E675,'Condensed Specialty Crosswalk'!$A$2:$C$182,2,FALSE),"")</f>
        <v/>
      </c>
      <c r="G675" s="49" t="str">
        <f>IFERROR(VLOOKUP(E675,'Condensed Specialty Crosswalk'!$A$2:$C$182,3,FALSE),"")</f>
        <v/>
      </c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</row>
    <row r="676" spans="1:30" ht="17">
      <c r="A676" s="49"/>
      <c r="B676" s="49" t="str">
        <f>CONCATENATE(Reports!E675," ",Reports!F675," ",Reports!G675)</f>
        <v xml:space="preserve">  </v>
      </c>
      <c r="C676" s="101"/>
      <c r="D676" s="101"/>
      <c r="E676" s="49" t="str">
        <f>IFERROR(VLOOKUP(D676,'taxonomy map'!$A$1:$B$171,2,FALSE),"")</f>
        <v/>
      </c>
      <c r="F676" s="49" t="str">
        <f>IFERROR(VLOOKUP(E676,'Condensed Specialty Crosswalk'!$A$2:$C$182,2,FALSE),"")</f>
        <v/>
      </c>
      <c r="G676" s="49" t="str">
        <f>IFERROR(VLOOKUP(E676,'Condensed Specialty Crosswalk'!$A$2:$C$182,3,FALSE),"")</f>
        <v/>
      </c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</row>
    <row r="677" spans="1:30" ht="17">
      <c r="A677" s="49"/>
      <c r="B677" s="49" t="str">
        <f>CONCATENATE(Reports!E676," ",Reports!F676," ",Reports!G676)</f>
        <v xml:space="preserve">  </v>
      </c>
      <c r="C677" s="101"/>
      <c r="D677" s="101"/>
      <c r="E677" s="49" t="str">
        <f>IFERROR(VLOOKUP(D677,'taxonomy map'!$A$1:$B$171,2,FALSE),"")</f>
        <v/>
      </c>
      <c r="F677" s="49" t="str">
        <f>IFERROR(VLOOKUP(E677,'Condensed Specialty Crosswalk'!$A$2:$C$182,2,FALSE),"")</f>
        <v/>
      </c>
      <c r="G677" s="49" t="str">
        <f>IFERROR(VLOOKUP(E677,'Condensed Specialty Crosswalk'!$A$2:$C$182,3,FALSE),"")</f>
        <v/>
      </c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</row>
    <row r="678" spans="1:30" ht="17">
      <c r="A678" s="49"/>
      <c r="B678" s="49" t="str">
        <f>CONCATENATE(Reports!E677," ",Reports!F677," ",Reports!G677)</f>
        <v xml:space="preserve">  </v>
      </c>
      <c r="C678" s="101"/>
      <c r="D678" s="101"/>
      <c r="E678" s="49" t="str">
        <f>IFERROR(VLOOKUP(D678,'taxonomy map'!$A$1:$B$171,2,FALSE),"")</f>
        <v/>
      </c>
      <c r="F678" s="49" t="str">
        <f>IFERROR(VLOOKUP(E678,'Condensed Specialty Crosswalk'!$A$2:$C$182,2,FALSE),"")</f>
        <v/>
      </c>
      <c r="G678" s="49" t="str">
        <f>IFERROR(VLOOKUP(E678,'Condensed Specialty Crosswalk'!$A$2:$C$182,3,FALSE),"")</f>
        <v/>
      </c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</row>
    <row r="679" spans="1:30" ht="17">
      <c r="A679" s="49"/>
      <c r="B679" s="49" t="str">
        <f>CONCATENATE(Reports!E678," ",Reports!F678," ",Reports!G678)</f>
        <v xml:space="preserve">  </v>
      </c>
      <c r="C679" s="101"/>
      <c r="D679" s="101"/>
      <c r="E679" s="49" t="str">
        <f>IFERROR(VLOOKUP(D679,'taxonomy map'!$A$1:$B$171,2,FALSE),"")</f>
        <v/>
      </c>
      <c r="F679" s="49" t="str">
        <f>IFERROR(VLOOKUP(E679,'Condensed Specialty Crosswalk'!$A$2:$C$182,2,FALSE),"")</f>
        <v/>
      </c>
      <c r="G679" s="49" t="str">
        <f>IFERROR(VLOOKUP(E679,'Condensed Specialty Crosswalk'!$A$2:$C$182,3,FALSE),"")</f>
        <v/>
      </c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</row>
    <row r="680" spans="1:30" ht="17">
      <c r="A680" s="49"/>
      <c r="B680" s="49" t="str">
        <f>CONCATENATE(Reports!E679," ",Reports!F679," ",Reports!G679)</f>
        <v xml:space="preserve">  </v>
      </c>
      <c r="C680" s="101"/>
      <c r="D680" s="101"/>
      <c r="E680" s="49" t="str">
        <f>IFERROR(VLOOKUP(D680,'taxonomy map'!$A$1:$B$171,2,FALSE),"")</f>
        <v/>
      </c>
      <c r="F680" s="49" t="str">
        <f>IFERROR(VLOOKUP(E680,'Condensed Specialty Crosswalk'!$A$2:$C$182,2,FALSE),"")</f>
        <v/>
      </c>
      <c r="G680" s="49" t="str">
        <f>IFERROR(VLOOKUP(E680,'Condensed Specialty Crosswalk'!$A$2:$C$182,3,FALSE),"")</f>
        <v/>
      </c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</row>
    <row r="681" spans="1:30" ht="17">
      <c r="A681" s="49"/>
      <c r="B681" s="49" t="str">
        <f>CONCATENATE(Reports!E680," ",Reports!F680," ",Reports!G680)</f>
        <v xml:space="preserve">  </v>
      </c>
      <c r="C681" s="101"/>
      <c r="D681" s="101"/>
      <c r="E681" s="49" t="str">
        <f>IFERROR(VLOOKUP(D681,'taxonomy map'!$A$1:$B$171,2,FALSE),"")</f>
        <v/>
      </c>
      <c r="F681" s="49" t="str">
        <f>IFERROR(VLOOKUP(E681,'Condensed Specialty Crosswalk'!$A$2:$C$182,2,FALSE),"")</f>
        <v/>
      </c>
      <c r="G681" s="49" t="str">
        <f>IFERROR(VLOOKUP(E681,'Condensed Specialty Crosswalk'!$A$2:$C$182,3,FALSE),"")</f>
        <v/>
      </c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</row>
    <row r="682" spans="1:30" ht="17">
      <c r="A682" s="49"/>
      <c r="B682" s="49" t="str">
        <f>CONCATENATE(Reports!E681," ",Reports!F681," ",Reports!G681)</f>
        <v xml:space="preserve">  </v>
      </c>
      <c r="C682" s="101"/>
      <c r="D682" s="101"/>
      <c r="E682" s="49" t="str">
        <f>IFERROR(VLOOKUP(D682,'taxonomy map'!$A$1:$B$171,2,FALSE),"")</f>
        <v/>
      </c>
      <c r="F682" s="49" t="str">
        <f>IFERROR(VLOOKUP(E682,'Condensed Specialty Crosswalk'!$A$2:$C$182,2,FALSE),"")</f>
        <v/>
      </c>
      <c r="G682" s="49" t="str">
        <f>IFERROR(VLOOKUP(E682,'Condensed Specialty Crosswalk'!$A$2:$C$182,3,FALSE),"")</f>
        <v/>
      </c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</row>
    <row r="683" spans="1:30" ht="17">
      <c r="A683" s="49"/>
      <c r="B683" s="49" t="str">
        <f>CONCATENATE(Reports!E682," ",Reports!F682," ",Reports!G682)</f>
        <v xml:space="preserve">  </v>
      </c>
      <c r="C683" s="101"/>
      <c r="D683" s="101"/>
      <c r="E683" s="49" t="str">
        <f>IFERROR(VLOOKUP(D683,'taxonomy map'!$A$1:$B$171,2,FALSE),"")</f>
        <v/>
      </c>
      <c r="F683" s="49" t="str">
        <f>IFERROR(VLOOKUP(E683,'Condensed Specialty Crosswalk'!$A$2:$C$182,2,FALSE),"")</f>
        <v/>
      </c>
      <c r="G683" s="49" t="str">
        <f>IFERROR(VLOOKUP(E683,'Condensed Specialty Crosswalk'!$A$2:$C$182,3,FALSE),"")</f>
        <v/>
      </c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</row>
    <row r="684" spans="1:30" ht="17">
      <c r="A684" s="49"/>
      <c r="B684" s="49" t="str">
        <f>CONCATENATE(Reports!E683," ",Reports!F683," ",Reports!G683)</f>
        <v xml:space="preserve">  </v>
      </c>
      <c r="C684" s="101"/>
      <c r="D684" s="101"/>
      <c r="E684" s="49" t="str">
        <f>IFERROR(VLOOKUP(D684,'taxonomy map'!$A$1:$B$171,2,FALSE),"")</f>
        <v/>
      </c>
      <c r="F684" s="49" t="str">
        <f>IFERROR(VLOOKUP(E684,'Condensed Specialty Crosswalk'!$A$2:$C$182,2,FALSE),"")</f>
        <v/>
      </c>
      <c r="G684" s="49" t="str">
        <f>IFERROR(VLOOKUP(E684,'Condensed Specialty Crosswalk'!$A$2:$C$182,3,FALSE),"")</f>
        <v/>
      </c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</row>
    <row r="685" spans="1:30" ht="17">
      <c r="A685" s="49"/>
      <c r="B685" s="49" t="str">
        <f>CONCATENATE(Reports!E684," ",Reports!F684," ",Reports!G684)</f>
        <v xml:space="preserve">  </v>
      </c>
      <c r="C685" s="101"/>
      <c r="D685" s="101"/>
      <c r="E685" s="49" t="str">
        <f>IFERROR(VLOOKUP(D685,'taxonomy map'!$A$1:$B$171,2,FALSE),"")</f>
        <v/>
      </c>
      <c r="F685" s="49" t="str">
        <f>IFERROR(VLOOKUP(E685,'Condensed Specialty Crosswalk'!$A$2:$C$182,2,FALSE),"")</f>
        <v/>
      </c>
      <c r="G685" s="49" t="str">
        <f>IFERROR(VLOOKUP(E685,'Condensed Specialty Crosswalk'!$A$2:$C$182,3,FALSE),"")</f>
        <v/>
      </c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</row>
    <row r="686" spans="1:30" ht="17">
      <c r="A686" s="49"/>
      <c r="B686" s="49" t="str">
        <f>CONCATENATE(Reports!E685," ",Reports!F685," ",Reports!G685)</f>
        <v xml:space="preserve">  </v>
      </c>
      <c r="C686" s="101"/>
      <c r="D686" s="101"/>
      <c r="E686" s="49" t="str">
        <f>IFERROR(VLOOKUP(D686,'taxonomy map'!$A$1:$B$171,2,FALSE),"")</f>
        <v/>
      </c>
      <c r="F686" s="49" t="str">
        <f>IFERROR(VLOOKUP(E686,'Condensed Specialty Crosswalk'!$A$2:$C$182,2,FALSE),"")</f>
        <v/>
      </c>
      <c r="G686" s="49" t="str">
        <f>IFERROR(VLOOKUP(E686,'Condensed Specialty Crosswalk'!$A$2:$C$182,3,FALSE),"")</f>
        <v/>
      </c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</row>
    <row r="687" spans="1:30" ht="17">
      <c r="A687" s="49"/>
      <c r="B687" s="49" t="str">
        <f>CONCATENATE(Reports!E686," ",Reports!F686," ",Reports!G686)</f>
        <v xml:space="preserve">  </v>
      </c>
      <c r="C687" s="101"/>
      <c r="D687" s="101"/>
      <c r="E687" s="49" t="str">
        <f>IFERROR(VLOOKUP(D687,'taxonomy map'!$A$1:$B$171,2,FALSE),"")</f>
        <v/>
      </c>
      <c r="F687" s="49" t="str">
        <f>IFERROR(VLOOKUP(E687,'Condensed Specialty Crosswalk'!$A$2:$C$182,2,FALSE),"")</f>
        <v/>
      </c>
      <c r="G687" s="49" t="str">
        <f>IFERROR(VLOOKUP(E687,'Condensed Specialty Crosswalk'!$A$2:$C$182,3,FALSE),"")</f>
        <v/>
      </c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</row>
    <row r="688" spans="1:30" ht="17">
      <c r="A688" s="49"/>
      <c r="B688" s="49" t="str">
        <f>CONCATENATE(Reports!E687," ",Reports!F687," ",Reports!G687)</f>
        <v xml:space="preserve">  </v>
      </c>
      <c r="C688" s="101"/>
      <c r="D688" s="101"/>
      <c r="E688" s="49" t="str">
        <f>IFERROR(VLOOKUP(D688,'taxonomy map'!$A$1:$B$171,2,FALSE),"")</f>
        <v/>
      </c>
      <c r="F688" s="49" t="str">
        <f>IFERROR(VLOOKUP(E688,'Condensed Specialty Crosswalk'!$A$2:$C$182,2,FALSE),"")</f>
        <v/>
      </c>
      <c r="G688" s="49" t="str">
        <f>IFERROR(VLOOKUP(E688,'Condensed Specialty Crosswalk'!$A$2:$C$182,3,FALSE),"")</f>
        <v/>
      </c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</row>
    <row r="689" spans="1:30" ht="17">
      <c r="A689" s="49"/>
      <c r="B689" s="49" t="str">
        <f>CONCATENATE(Reports!E688," ",Reports!F688," ",Reports!G688)</f>
        <v xml:space="preserve">  </v>
      </c>
      <c r="C689" s="101"/>
      <c r="D689" s="101"/>
      <c r="E689" s="49" t="str">
        <f>IFERROR(VLOOKUP(D689,'taxonomy map'!$A$1:$B$171,2,FALSE),"")</f>
        <v/>
      </c>
      <c r="F689" s="49" t="str">
        <f>IFERROR(VLOOKUP(E689,'Condensed Specialty Crosswalk'!$A$2:$C$182,2,FALSE),"")</f>
        <v/>
      </c>
      <c r="G689" s="49" t="str">
        <f>IFERROR(VLOOKUP(E689,'Condensed Specialty Crosswalk'!$A$2:$C$182,3,FALSE),"")</f>
        <v/>
      </c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</row>
    <row r="690" spans="1:30" ht="17">
      <c r="A690" s="49"/>
      <c r="B690" s="49" t="str">
        <f>CONCATENATE(Reports!E689," ",Reports!F689," ",Reports!G689)</f>
        <v xml:space="preserve">  </v>
      </c>
      <c r="C690" s="101"/>
      <c r="D690" s="101"/>
      <c r="E690" s="49" t="str">
        <f>IFERROR(VLOOKUP(D690,'taxonomy map'!$A$1:$B$171,2,FALSE),"")</f>
        <v/>
      </c>
      <c r="F690" s="49" t="str">
        <f>IFERROR(VLOOKUP(E690,'Condensed Specialty Crosswalk'!$A$2:$C$182,2,FALSE),"")</f>
        <v/>
      </c>
      <c r="G690" s="49" t="str">
        <f>IFERROR(VLOOKUP(E690,'Condensed Specialty Crosswalk'!$A$2:$C$182,3,FALSE),"")</f>
        <v/>
      </c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</row>
    <row r="691" spans="1:30" ht="17">
      <c r="A691" s="49"/>
      <c r="B691" s="49" t="str">
        <f>CONCATENATE(Reports!E690," ",Reports!F690," ",Reports!G690)</f>
        <v xml:space="preserve">  </v>
      </c>
      <c r="C691" s="101"/>
      <c r="D691" s="101"/>
      <c r="E691" s="49" t="str">
        <f>IFERROR(VLOOKUP(D691,'taxonomy map'!$A$1:$B$171,2,FALSE),"")</f>
        <v/>
      </c>
      <c r="F691" s="49" t="str">
        <f>IFERROR(VLOOKUP(E691,'Condensed Specialty Crosswalk'!$A$2:$C$182,2,FALSE),"")</f>
        <v/>
      </c>
      <c r="G691" s="49" t="str">
        <f>IFERROR(VLOOKUP(E691,'Condensed Specialty Crosswalk'!$A$2:$C$182,3,FALSE),"")</f>
        <v/>
      </c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</row>
    <row r="692" spans="1:30" ht="17">
      <c r="A692" s="49"/>
      <c r="B692" s="49" t="str">
        <f>CONCATENATE(Reports!E691," ",Reports!F691," ",Reports!G691)</f>
        <v xml:space="preserve">  </v>
      </c>
      <c r="C692" s="101"/>
      <c r="D692" s="101"/>
      <c r="E692" s="49" t="str">
        <f>IFERROR(VLOOKUP(D692,'taxonomy map'!$A$1:$B$171,2,FALSE),"")</f>
        <v/>
      </c>
      <c r="F692" s="49" t="str">
        <f>IFERROR(VLOOKUP(E692,'Condensed Specialty Crosswalk'!$A$2:$C$182,2,FALSE),"")</f>
        <v/>
      </c>
      <c r="G692" s="49" t="str">
        <f>IFERROR(VLOOKUP(E692,'Condensed Specialty Crosswalk'!$A$2:$C$182,3,FALSE),"")</f>
        <v/>
      </c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</row>
    <row r="693" spans="1:30" ht="17">
      <c r="A693" s="49"/>
      <c r="B693" s="49" t="str">
        <f>CONCATENATE(Reports!E692," ",Reports!F692," ",Reports!G692)</f>
        <v xml:space="preserve">  </v>
      </c>
      <c r="C693" s="101"/>
      <c r="D693" s="101"/>
      <c r="E693" s="49" t="str">
        <f>IFERROR(VLOOKUP(D693,'taxonomy map'!$A$1:$B$171,2,FALSE),"")</f>
        <v/>
      </c>
      <c r="F693" s="49" t="str">
        <f>IFERROR(VLOOKUP(E693,'Condensed Specialty Crosswalk'!$A$2:$C$182,2,FALSE),"")</f>
        <v/>
      </c>
      <c r="G693" s="49" t="str">
        <f>IFERROR(VLOOKUP(E693,'Condensed Specialty Crosswalk'!$A$2:$C$182,3,FALSE),"")</f>
        <v/>
      </c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</row>
    <row r="694" spans="1:30" ht="17">
      <c r="A694" s="49"/>
      <c r="B694" s="49" t="str">
        <f>CONCATENATE(Reports!E693," ",Reports!F693," ",Reports!G693)</f>
        <v xml:space="preserve">  </v>
      </c>
      <c r="C694" s="101"/>
      <c r="D694" s="101"/>
      <c r="E694" s="49" t="str">
        <f>IFERROR(VLOOKUP(D694,'taxonomy map'!$A$1:$B$171,2,FALSE),"")</f>
        <v/>
      </c>
      <c r="F694" s="49" t="str">
        <f>IFERROR(VLOOKUP(E694,'Condensed Specialty Crosswalk'!$A$2:$C$182,2,FALSE),"")</f>
        <v/>
      </c>
      <c r="G694" s="49" t="str">
        <f>IFERROR(VLOOKUP(E694,'Condensed Specialty Crosswalk'!$A$2:$C$182,3,FALSE),"")</f>
        <v/>
      </c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</row>
    <row r="695" spans="1:30" ht="17">
      <c r="A695" s="49"/>
      <c r="B695" s="49" t="str">
        <f>CONCATENATE(Reports!E694," ",Reports!F694," ",Reports!G694)</f>
        <v xml:space="preserve">  </v>
      </c>
      <c r="C695" s="101"/>
      <c r="D695" s="101"/>
      <c r="E695" s="49" t="str">
        <f>IFERROR(VLOOKUP(D695,'taxonomy map'!$A$1:$B$171,2,FALSE),"")</f>
        <v/>
      </c>
      <c r="F695" s="49" t="str">
        <f>IFERROR(VLOOKUP(E695,'Condensed Specialty Crosswalk'!$A$2:$C$182,2,FALSE),"")</f>
        <v/>
      </c>
      <c r="G695" s="49" t="str">
        <f>IFERROR(VLOOKUP(E695,'Condensed Specialty Crosswalk'!$A$2:$C$182,3,FALSE),"")</f>
        <v/>
      </c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</row>
    <row r="696" spans="1:30" ht="17">
      <c r="A696" s="49"/>
      <c r="B696" s="49" t="str">
        <f>CONCATENATE(Reports!E695," ",Reports!F695," ",Reports!G695)</f>
        <v xml:space="preserve">  </v>
      </c>
      <c r="C696" s="101"/>
      <c r="D696" s="101"/>
      <c r="E696" s="49" t="str">
        <f>IFERROR(VLOOKUP(D696,'taxonomy map'!$A$1:$B$171,2,FALSE),"")</f>
        <v/>
      </c>
      <c r="F696" s="49" t="str">
        <f>IFERROR(VLOOKUP(E696,'Condensed Specialty Crosswalk'!$A$2:$C$182,2,FALSE),"")</f>
        <v/>
      </c>
      <c r="G696" s="49" t="str">
        <f>IFERROR(VLOOKUP(E696,'Condensed Specialty Crosswalk'!$A$2:$C$182,3,FALSE),"")</f>
        <v/>
      </c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</row>
    <row r="697" spans="1:30" ht="17">
      <c r="A697" s="49"/>
      <c r="B697" s="49" t="str">
        <f>CONCATENATE(Reports!E696," ",Reports!F696," ",Reports!G696)</f>
        <v xml:space="preserve">  </v>
      </c>
      <c r="C697" s="101"/>
      <c r="D697" s="101"/>
      <c r="E697" s="49" t="str">
        <f>IFERROR(VLOOKUP(D697,'taxonomy map'!$A$1:$B$171,2,FALSE),"")</f>
        <v/>
      </c>
      <c r="F697" s="49" t="str">
        <f>IFERROR(VLOOKUP(E697,'Condensed Specialty Crosswalk'!$A$2:$C$182,2,FALSE),"")</f>
        <v/>
      </c>
      <c r="G697" s="49" t="str">
        <f>IFERROR(VLOOKUP(E697,'Condensed Specialty Crosswalk'!$A$2:$C$182,3,FALSE),"")</f>
        <v/>
      </c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</row>
    <row r="698" spans="1:30" ht="17">
      <c r="A698" s="49"/>
      <c r="B698" s="49" t="str">
        <f>CONCATENATE(Reports!E697," ",Reports!F697," ",Reports!G697)</f>
        <v xml:space="preserve">  </v>
      </c>
      <c r="C698" s="101"/>
      <c r="D698" s="101"/>
      <c r="E698" s="49" t="str">
        <f>IFERROR(VLOOKUP(D698,'taxonomy map'!$A$1:$B$171,2,FALSE),"")</f>
        <v/>
      </c>
      <c r="F698" s="49" t="str">
        <f>IFERROR(VLOOKUP(E698,'Condensed Specialty Crosswalk'!$A$2:$C$182,2,FALSE),"")</f>
        <v/>
      </c>
      <c r="G698" s="49" t="str">
        <f>IFERROR(VLOOKUP(E698,'Condensed Specialty Crosswalk'!$A$2:$C$182,3,FALSE),"")</f>
        <v/>
      </c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</row>
    <row r="699" spans="1:30" ht="17">
      <c r="A699" s="49"/>
      <c r="B699" s="49" t="str">
        <f>CONCATENATE(Reports!E698," ",Reports!F698," ",Reports!G698)</f>
        <v xml:space="preserve">  </v>
      </c>
      <c r="C699" s="101"/>
      <c r="D699" s="101"/>
      <c r="E699" s="49" t="str">
        <f>IFERROR(VLOOKUP(D699,'taxonomy map'!$A$1:$B$171,2,FALSE),"")</f>
        <v/>
      </c>
      <c r="F699" s="49" t="str">
        <f>IFERROR(VLOOKUP(E699,'Condensed Specialty Crosswalk'!$A$2:$C$182,2,FALSE),"")</f>
        <v/>
      </c>
      <c r="G699" s="49" t="str">
        <f>IFERROR(VLOOKUP(E699,'Condensed Specialty Crosswalk'!$A$2:$C$182,3,FALSE),"")</f>
        <v/>
      </c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</row>
    <row r="700" spans="1:30" ht="17">
      <c r="A700" s="49"/>
      <c r="B700" s="49" t="str">
        <f>CONCATENATE(Reports!E699," ",Reports!F699," ",Reports!G699)</f>
        <v xml:space="preserve">  </v>
      </c>
      <c r="C700" s="101"/>
      <c r="D700" s="101"/>
      <c r="E700" s="49" t="str">
        <f>IFERROR(VLOOKUP(D700,'taxonomy map'!$A$1:$B$171,2,FALSE),"")</f>
        <v/>
      </c>
      <c r="F700" s="49" t="str">
        <f>IFERROR(VLOOKUP(E700,'Condensed Specialty Crosswalk'!$A$2:$C$182,2,FALSE),"")</f>
        <v/>
      </c>
      <c r="G700" s="49" t="str">
        <f>IFERROR(VLOOKUP(E700,'Condensed Specialty Crosswalk'!$A$2:$C$182,3,FALSE),"")</f>
        <v/>
      </c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</row>
    <row r="701" spans="1:30" ht="17">
      <c r="A701" s="49"/>
      <c r="B701" s="49" t="str">
        <f>CONCATENATE(Reports!E700," ",Reports!F700," ",Reports!G700)</f>
        <v xml:space="preserve">  </v>
      </c>
      <c r="C701" s="101"/>
      <c r="D701" s="101"/>
      <c r="E701" s="49" t="str">
        <f>IFERROR(VLOOKUP(D701,'taxonomy map'!$A$1:$B$171,2,FALSE),"")</f>
        <v/>
      </c>
      <c r="F701" s="49" t="str">
        <f>IFERROR(VLOOKUP(E701,'Condensed Specialty Crosswalk'!$A$2:$C$182,2,FALSE),"")</f>
        <v/>
      </c>
      <c r="G701" s="49" t="str">
        <f>IFERROR(VLOOKUP(E701,'Condensed Specialty Crosswalk'!$A$2:$C$182,3,FALSE),"")</f>
        <v/>
      </c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</row>
    <row r="702" spans="1:30" ht="17">
      <c r="A702" s="49"/>
      <c r="B702" s="49" t="str">
        <f>CONCATENATE(Reports!E701," ",Reports!F701," ",Reports!G701)</f>
        <v xml:space="preserve">  </v>
      </c>
      <c r="C702" s="101"/>
      <c r="D702" s="101"/>
      <c r="E702" s="49" t="str">
        <f>IFERROR(VLOOKUP(D702,'taxonomy map'!$A$1:$B$171,2,FALSE),"")</f>
        <v/>
      </c>
      <c r="F702" s="49" t="str">
        <f>IFERROR(VLOOKUP(E702,'Condensed Specialty Crosswalk'!$A$2:$C$182,2,FALSE),"")</f>
        <v/>
      </c>
      <c r="G702" s="49" t="str">
        <f>IFERROR(VLOOKUP(E702,'Condensed Specialty Crosswalk'!$A$2:$C$182,3,FALSE),"")</f>
        <v/>
      </c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</row>
    <row r="703" spans="1:30" ht="17">
      <c r="A703" s="49"/>
      <c r="B703" s="49" t="str">
        <f>CONCATENATE(Reports!E702," ",Reports!F702," ",Reports!G702)</f>
        <v xml:space="preserve">  </v>
      </c>
      <c r="C703" s="101"/>
      <c r="D703" s="101"/>
      <c r="E703" s="49" t="str">
        <f>IFERROR(VLOOKUP(D703,'taxonomy map'!$A$1:$B$171,2,FALSE),"")</f>
        <v/>
      </c>
      <c r="F703" s="49" t="str">
        <f>IFERROR(VLOOKUP(E703,'Condensed Specialty Crosswalk'!$A$2:$C$182,2,FALSE),"")</f>
        <v/>
      </c>
      <c r="G703" s="49" t="str">
        <f>IFERROR(VLOOKUP(E703,'Condensed Specialty Crosswalk'!$A$2:$C$182,3,FALSE),"")</f>
        <v/>
      </c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</row>
    <row r="704" spans="1:30" ht="17">
      <c r="A704" s="49"/>
      <c r="B704" s="49" t="str">
        <f>CONCATENATE(Reports!E703," ",Reports!F703," ",Reports!G703)</f>
        <v xml:space="preserve">  </v>
      </c>
      <c r="C704" s="101"/>
      <c r="D704" s="101"/>
      <c r="E704" s="49" t="str">
        <f>IFERROR(VLOOKUP(D704,'taxonomy map'!$A$1:$B$171,2,FALSE),"")</f>
        <v/>
      </c>
      <c r="F704" s="49" t="str">
        <f>IFERROR(VLOOKUP(E704,'Condensed Specialty Crosswalk'!$A$2:$C$182,2,FALSE),"")</f>
        <v/>
      </c>
      <c r="G704" s="49" t="str">
        <f>IFERROR(VLOOKUP(E704,'Condensed Specialty Crosswalk'!$A$2:$C$182,3,FALSE),"")</f>
        <v/>
      </c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</row>
    <row r="705" spans="1:30" ht="17">
      <c r="A705" s="49"/>
      <c r="B705" s="49" t="str">
        <f>CONCATENATE(Reports!E704," ",Reports!F704," ",Reports!G704)</f>
        <v xml:space="preserve">  </v>
      </c>
      <c r="C705" s="101"/>
      <c r="D705" s="101"/>
      <c r="E705" s="49" t="str">
        <f>IFERROR(VLOOKUP(D705,'taxonomy map'!$A$1:$B$171,2,FALSE),"")</f>
        <v/>
      </c>
      <c r="F705" s="49" t="str">
        <f>IFERROR(VLOOKUP(E705,'Condensed Specialty Crosswalk'!$A$2:$C$182,2,FALSE),"")</f>
        <v/>
      </c>
      <c r="G705" s="49" t="str">
        <f>IFERROR(VLOOKUP(E705,'Condensed Specialty Crosswalk'!$A$2:$C$182,3,FALSE),"")</f>
        <v/>
      </c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</row>
    <row r="706" spans="1:30" ht="17">
      <c r="A706" s="49"/>
      <c r="B706" s="49" t="str">
        <f>CONCATENATE(Reports!E705," ",Reports!F705," ",Reports!G705)</f>
        <v xml:space="preserve">  </v>
      </c>
      <c r="C706" s="101"/>
      <c r="D706" s="101"/>
      <c r="E706" s="49" t="str">
        <f>IFERROR(VLOOKUP(D706,'taxonomy map'!$A$1:$B$171,2,FALSE),"")</f>
        <v/>
      </c>
      <c r="F706" s="49" t="str">
        <f>IFERROR(VLOOKUP(E706,'Condensed Specialty Crosswalk'!$A$2:$C$182,2,FALSE),"")</f>
        <v/>
      </c>
      <c r="G706" s="49" t="str">
        <f>IFERROR(VLOOKUP(E706,'Condensed Specialty Crosswalk'!$A$2:$C$182,3,FALSE),"")</f>
        <v/>
      </c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</row>
    <row r="707" spans="1:30" ht="17">
      <c r="A707" s="49"/>
      <c r="B707" s="49" t="str">
        <f>CONCATENATE(Reports!E706," ",Reports!F706," ",Reports!G706)</f>
        <v xml:space="preserve">  </v>
      </c>
      <c r="C707" s="101"/>
      <c r="D707" s="101"/>
      <c r="E707" s="49" t="str">
        <f>IFERROR(VLOOKUP(D707,'taxonomy map'!$A$1:$B$171,2,FALSE),"")</f>
        <v/>
      </c>
      <c r="F707" s="49" t="str">
        <f>IFERROR(VLOOKUP(E707,'Condensed Specialty Crosswalk'!$A$2:$C$182,2,FALSE),"")</f>
        <v/>
      </c>
      <c r="G707" s="49" t="str">
        <f>IFERROR(VLOOKUP(E707,'Condensed Specialty Crosswalk'!$A$2:$C$182,3,FALSE),"")</f>
        <v/>
      </c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</row>
    <row r="708" spans="1:30" ht="17">
      <c r="A708" s="49"/>
      <c r="B708" s="49" t="str">
        <f>CONCATENATE(Reports!E707," ",Reports!F707," ",Reports!G707)</f>
        <v xml:space="preserve">  </v>
      </c>
      <c r="C708" s="101"/>
      <c r="D708" s="101"/>
      <c r="E708" s="49" t="str">
        <f>IFERROR(VLOOKUP(D708,'taxonomy map'!$A$1:$B$171,2,FALSE),"")</f>
        <v/>
      </c>
      <c r="F708" s="49" t="str">
        <f>IFERROR(VLOOKUP(E708,'Condensed Specialty Crosswalk'!$A$2:$C$182,2,FALSE),"")</f>
        <v/>
      </c>
      <c r="G708" s="49" t="str">
        <f>IFERROR(VLOOKUP(E708,'Condensed Specialty Crosswalk'!$A$2:$C$182,3,FALSE),"")</f>
        <v/>
      </c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</row>
    <row r="709" spans="1:30" ht="17">
      <c r="A709" s="49"/>
      <c r="B709" s="49" t="str">
        <f>CONCATENATE(Reports!E708," ",Reports!F708," ",Reports!G708)</f>
        <v xml:space="preserve">  </v>
      </c>
      <c r="C709" s="101"/>
      <c r="D709" s="101"/>
      <c r="E709" s="49" t="str">
        <f>IFERROR(VLOOKUP(D709,'taxonomy map'!$A$1:$B$171,2,FALSE),"")</f>
        <v/>
      </c>
      <c r="F709" s="49" t="str">
        <f>IFERROR(VLOOKUP(E709,'Condensed Specialty Crosswalk'!$A$2:$C$182,2,FALSE),"")</f>
        <v/>
      </c>
      <c r="G709" s="49" t="str">
        <f>IFERROR(VLOOKUP(E709,'Condensed Specialty Crosswalk'!$A$2:$C$182,3,FALSE),"")</f>
        <v/>
      </c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</row>
    <row r="710" spans="1:30" ht="17">
      <c r="A710" s="49"/>
      <c r="B710" s="49" t="str">
        <f>CONCATENATE(Reports!E709," ",Reports!F709," ",Reports!G709)</f>
        <v xml:space="preserve">  </v>
      </c>
      <c r="C710" s="101"/>
      <c r="D710" s="101"/>
      <c r="E710" s="49" t="str">
        <f>IFERROR(VLOOKUP(D710,'taxonomy map'!$A$1:$B$171,2,FALSE),"")</f>
        <v/>
      </c>
      <c r="F710" s="49" t="str">
        <f>IFERROR(VLOOKUP(E710,'Condensed Specialty Crosswalk'!$A$2:$C$182,2,FALSE),"")</f>
        <v/>
      </c>
      <c r="G710" s="49" t="str">
        <f>IFERROR(VLOOKUP(E710,'Condensed Specialty Crosswalk'!$A$2:$C$182,3,FALSE),"")</f>
        <v/>
      </c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</row>
    <row r="711" spans="1:30" ht="17">
      <c r="A711" s="49"/>
      <c r="B711" s="49" t="str">
        <f>CONCATENATE(Reports!E710," ",Reports!F710," ",Reports!G710)</f>
        <v xml:space="preserve">  </v>
      </c>
      <c r="C711" s="101"/>
      <c r="D711" s="101"/>
      <c r="E711" s="49" t="str">
        <f>IFERROR(VLOOKUP(D711,'taxonomy map'!$A$1:$B$171,2,FALSE),"")</f>
        <v/>
      </c>
      <c r="F711" s="49" t="str">
        <f>IFERROR(VLOOKUP(E711,'Condensed Specialty Crosswalk'!$A$2:$C$182,2,FALSE),"")</f>
        <v/>
      </c>
      <c r="G711" s="49" t="str">
        <f>IFERROR(VLOOKUP(E711,'Condensed Specialty Crosswalk'!$A$2:$C$182,3,FALSE),"")</f>
        <v/>
      </c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</row>
    <row r="712" spans="1:30" ht="17">
      <c r="A712" s="49"/>
      <c r="B712" s="49" t="str">
        <f>CONCATENATE(Reports!E711," ",Reports!F711," ",Reports!G711)</f>
        <v xml:space="preserve">  </v>
      </c>
      <c r="C712" s="101"/>
      <c r="D712" s="101"/>
      <c r="E712" s="49" t="str">
        <f>IFERROR(VLOOKUP(D712,'taxonomy map'!$A$1:$B$171,2,FALSE),"")</f>
        <v/>
      </c>
      <c r="F712" s="49" t="str">
        <f>IFERROR(VLOOKUP(E712,'Condensed Specialty Crosswalk'!$A$2:$C$182,2,FALSE),"")</f>
        <v/>
      </c>
      <c r="G712" s="49" t="str">
        <f>IFERROR(VLOOKUP(E712,'Condensed Specialty Crosswalk'!$A$2:$C$182,3,FALSE),"")</f>
        <v/>
      </c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</row>
    <row r="713" spans="1:30" ht="17">
      <c r="A713" s="49"/>
      <c r="B713" s="49" t="str">
        <f>CONCATENATE(Reports!E712," ",Reports!F712," ",Reports!G712)</f>
        <v xml:space="preserve">  </v>
      </c>
      <c r="C713" s="101"/>
      <c r="D713" s="101"/>
      <c r="E713" s="49" t="str">
        <f>IFERROR(VLOOKUP(D713,'taxonomy map'!$A$1:$B$171,2,FALSE),"")</f>
        <v/>
      </c>
      <c r="F713" s="49" t="str">
        <f>IFERROR(VLOOKUP(E713,'Condensed Specialty Crosswalk'!$A$2:$C$182,2,FALSE),"")</f>
        <v/>
      </c>
      <c r="G713" s="49" t="str">
        <f>IFERROR(VLOOKUP(E713,'Condensed Specialty Crosswalk'!$A$2:$C$182,3,FALSE),"")</f>
        <v/>
      </c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</row>
    <row r="714" spans="1:30" ht="17">
      <c r="A714" s="49"/>
      <c r="B714" s="49" t="str">
        <f>CONCATENATE(Reports!E713," ",Reports!F713," ",Reports!G713)</f>
        <v xml:space="preserve">  </v>
      </c>
      <c r="C714" s="101"/>
      <c r="D714" s="101"/>
      <c r="E714" s="49" t="str">
        <f>IFERROR(VLOOKUP(D714,'taxonomy map'!$A$1:$B$171,2,FALSE),"")</f>
        <v/>
      </c>
      <c r="F714" s="49" t="str">
        <f>IFERROR(VLOOKUP(E714,'Condensed Specialty Crosswalk'!$A$2:$C$182,2,FALSE),"")</f>
        <v/>
      </c>
      <c r="G714" s="49" t="str">
        <f>IFERROR(VLOOKUP(E714,'Condensed Specialty Crosswalk'!$A$2:$C$182,3,FALSE),"")</f>
        <v/>
      </c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</row>
    <row r="715" spans="1:30" ht="17">
      <c r="A715" s="49"/>
      <c r="B715" s="49" t="str">
        <f>CONCATENATE(Reports!E714," ",Reports!F714," ",Reports!G714)</f>
        <v xml:space="preserve">  </v>
      </c>
      <c r="C715" s="101"/>
      <c r="D715" s="101"/>
      <c r="E715" s="49" t="str">
        <f>IFERROR(VLOOKUP(D715,'taxonomy map'!$A$1:$B$171,2,FALSE),"")</f>
        <v/>
      </c>
      <c r="F715" s="49" t="str">
        <f>IFERROR(VLOOKUP(E715,'Condensed Specialty Crosswalk'!$A$2:$C$182,2,FALSE),"")</f>
        <v/>
      </c>
      <c r="G715" s="49" t="str">
        <f>IFERROR(VLOOKUP(E715,'Condensed Specialty Crosswalk'!$A$2:$C$182,3,FALSE),"")</f>
        <v/>
      </c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</row>
    <row r="716" spans="1:30" ht="17">
      <c r="A716" s="49"/>
      <c r="B716" s="49" t="str">
        <f>CONCATENATE(Reports!E715," ",Reports!F715," ",Reports!G715)</f>
        <v xml:space="preserve">  </v>
      </c>
      <c r="C716" s="101"/>
      <c r="D716" s="101"/>
      <c r="E716" s="49" t="str">
        <f>IFERROR(VLOOKUP(D716,'taxonomy map'!$A$1:$B$171,2,FALSE),"")</f>
        <v/>
      </c>
      <c r="F716" s="49" t="str">
        <f>IFERROR(VLOOKUP(E716,'Condensed Specialty Crosswalk'!$A$2:$C$182,2,FALSE),"")</f>
        <v/>
      </c>
      <c r="G716" s="49" t="str">
        <f>IFERROR(VLOOKUP(E716,'Condensed Specialty Crosswalk'!$A$2:$C$182,3,FALSE),"")</f>
        <v/>
      </c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</row>
    <row r="717" spans="1:30" ht="17">
      <c r="A717" s="49"/>
      <c r="B717" s="49" t="str">
        <f>CONCATENATE(Reports!E716," ",Reports!F716," ",Reports!G716)</f>
        <v xml:space="preserve">  </v>
      </c>
      <c r="C717" s="101"/>
      <c r="D717" s="101"/>
      <c r="E717" s="49" t="str">
        <f>IFERROR(VLOOKUP(D717,'taxonomy map'!$A$1:$B$171,2,FALSE),"")</f>
        <v/>
      </c>
      <c r="F717" s="49" t="str">
        <f>IFERROR(VLOOKUP(E717,'Condensed Specialty Crosswalk'!$A$2:$C$182,2,FALSE),"")</f>
        <v/>
      </c>
      <c r="G717" s="49" t="str">
        <f>IFERROR(VLOOKUP(E717,'Condensed Specialty Crosswalk'!$A$2:$C$182,3,FALSE),"")</f>
        <v/>
      </c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</row>
    <row r="718" spans="1:30" ht="17">
      <c r="A718" s="49"/>
      <c r="B718" s="49" t="str">
        <f>CONCATENATE(Reports!E717," ",Reports!F717," ",Reports!G717)</f>
        <v xml:space="preserve">  </v>
      </c>
      <c r="C718" s="101"/>
      <c r="D718" s="101"/>
      <c r="E718" s="49" t="str">
        <f>IFERROR(VLOOKUP(D718,'taxonomy map'!$A$1:$B$171,2,FALSE),"")</f>
        <v/>
      </c>
      <c r="F718" s="49" t="str">
        <f>IFERROR(VLOOKUP(E718,'Condensed Specialty Crosswalk'!$A$2:$C$182,2,FALSE),"")</f>
        <v/>
      </c>
      <c r="G718" s="49" t="str">
        <f>IFERROR(VLOOKUP(E718,'Condensed Specialty Crosswalk'!$A$2:$C$182,3,FALSE),"")</f>
        <v/>
      </c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</row>
    <row r="719" spans="1:30" ht="17">
      <c r="A719" s="49"/>
      <c r="B719" s="49" t="str">
        <f>CONCATENATE(Reports!E718," ",Reports!F718," ",Reports!G718)</f>
        <v xml:space="preserve">  </v>
      </c>
      <c r="C719" s="101"/>
      <c r="D719" s="101"/>
      <c r="E719" s="49" t="str">
        <f>IFERROR(VLOOKUP(D719,'taxonomy map'!$A$1:$B$171,2,FALSE),"")</f>
        <v/>
      </c>
      <c r="F719" s="49" t="str">
        <f>IFERROR(VLOOKUP(E719,'Condensed Specialty Crosswalk'!$A$2:$C$182,2,FALSE),"")</f>
        <v/>
      </c>
      <c r="G719" s="49" t="str">
        <f>IFERROR(VLOOKUP(E719,'Condensed Specialty Crosswalk'!$A$2:$C$182,3,FALSE),"")</f>
        <v/>
      </c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</row>
    <row r="720" spans="1:30" ht="17">
      <c r="A720" s="49"/>
      <c r="B720" s="49" t="str">
        <f>CONCATENATE(Reports!E719," ",Reports!F719," ",Reports!G719)</f>
        <v xml:space="preserve">  </v>
      </c>
      <c r="C720" s="101"/>
      <c r="D720" s="101"/>
      <c r="E720" s="49" t="str">
        <f>IFERROR(VLOOKUP(D720,'taxonomy map'!$A$1:$B$171,2,FALSE),"")</f>
        <v/>
      </c>
      <c r="F720" s="49" t="str">
        <f>IFERROR(VLOOKUP(E720,'Condensed Specialty Crosswalk'!$A$2:$C$182,2,FALSE),"")</f>
        <v/>
      </c>
      <c r="G720" s="49" t="str">
        <f>IFERROR(VLOOKUP(E720,'Condensed Specialty Crosswalk'!$A$2:$C$182,3,FALSE),"")</f>
        <v/>
      </c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</row>
    <row r="721" spans="1:30" ht="17">
      <c r="A721" s="49"/>
      <c r="B721" s="49" t="str">
        <f>CONCATENATE(Reports!E720," ",Reports!F720," ",Reports!G720)</f>
        <v xml:space="preserve">  </v>
      </c>
      <c r="C721" s="101"/>
      <c r="D721" s="101"/>
      <c r="E721" s="49" t="str">
        <f>IFERROR(VLOOKUP(D721,'taxonomy map'!$A$1:$B$171,2,FALSE),"")</f>
        <v/>
      </c>
      <c r="F721" s="49" t="str">
        <f>IFERROR(VLOOKUP(E721,'Condensed Specialty Crosswalk'!$A$2:$C$182,2,FALSE),"")</f>
        <v/>
      </c>
      <c r="G721" s="49" t="str">
        <f>IFERROR(VLOOKUP(E721,'Condensed Specialty Crosswalk'!$A$2:$C$182,3,FALSE),"")</f>
        <v/>
      </c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</row>
    <row r="722" spans="1:30" ht="17">
      <c r="A722" s="49"/>
      <c r="B722" s="49" t="str">
        <f>CONCATENATE(Reports!E721," ",Reports!F721," ",Reports!G721)</f>
        <v xml:space="preserve">  </v>
      </c>
      <c r="C722" s="101"/>
      <c r="D722" s="101"/>
      <c r="E722" s="49" t="str">
        <f>IFERROR(VLOOKUP(D722,'taxonomy map'!$A$1:$B$171,2,FALSE),"")</f>
        <v/>
      </c>
      <c r="F722" s="49" t="str">
        <f>IFERROR(VLOOKUP(E722,'Condensed Specialty Crosswalk'!$A$2:$C$182,2,FALSE),"")</f>
        <v/>
      </c>
      <c r="G722" s="49" t="str">
        <f>IFERROR(VLOOKUP(E722,'Condensed Specialty Crosswalk'!$A$2:$C$182,3,FALSE),"")</f>
        <v/>
      </c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</row>
    <row r="723" spans="1:30" ht="17">
      <c r="A723" s="49"/>
      <c r="B723" s="49" t="str">
        <f>CONCATENATE(Reports!E722," ",Reports!F722," ",Reports!G722)</f>
        <v xml:space="preserve">  </v>
      </c>
      <c r="C723" s="101"/>
      <c r="D723" s="101"/>
      <c r="E723" s="49" t="str">
        <f>IFERROR(VLOOKUP(D723,'taxonomy map'!$A$1:$B$171,2,FALSE),"")</f>
        <v/>
      </c>
      <c r="F723" s="49" t="str">
        <f>IFERROR(VLOOKUP(E723,'Condensed Specialty Crosswalk'!$A$2:$C$182,2,FALSE),"")</f>
        <v/>
      </c>
      <c r="G723" s="49" t="str">
        <f>IFERROR(VLOOKUP(E723,'Condensed Specialty Crosswalk'!$A$2:$C$182,3,FALSE),"")</f>
        <v/>
      </c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</row>
    <row r="724" spans="1:30" ht="17">
      <c r="A724" s="49"/>
      <c r="B724" s="49" t="str">
        <f>CONCATENATE(Reports!E723," ",Reports!F723," ",Reports!G723)</f>
        <v xml:space="preserve">  </v>
      </c>
      <c r="C724" s="101"/>
      <c r="D724" s="101"/>
      <c r="E724" s="49" t="str">
        <f>IFERROR(VLOOKUP(D724,'taxonomy map'!$A$1:$B$171,2,FALSE),"")</f>
        <v/>
      </c>
      <c r="F724" s="49" t="str">
        <f>IFERROR(VLOOKUP(E724,'Condensed Specialty Crosswalk'!$A$2:$C$182,2,FALSE),"")</f>
        <v/>
      </c>
      <c r="G724" s="49" t="str">
        <f>IFERROR(VLOOKUP(E724,'Condensed Specialty Crosswalk'!$A$2:$C$182,3,FALSE),"")</f>
        <v/>
      </c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</row>
    <row r="725" spans="1:30" ht="17">
      <c r="A725" s="49"/>
      <c r="B725" s="49" t="str">
        <f>CONCATENATE(Reports!E724," ",Reports!F724," ",Reports!G724)</f>
        <v xml:space="preserve">  </v>
      </c>
      <c r="C725" s="101"/>
      <c r="D725" s="101"/>
      <c r="E725" s="49" t="str">
        <f>IFERROR(VLOOKUP(D725,'taxonomy map'!$A$1:$B$171,2,FALSE),"")</f>
        <v/>
      </c>
      <c r="F725" s="49" t="str">
        <f>IFERROR(VLOOKUP(E725,'Condensed Specialty Crosswalk'!$A$2:$C$182,2,FALSE),"")</f>
        <v/>
      </c>
      <c r="G725" s="49" t="str">
        <f>IFERROR(VLOOKUP(E725,'Condensed Specialty Crosswalk'!$A$2:$C$182,3,FALSE),"")</f>
        <v/>
      </c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</row>
    <row r="726" spans="1:30" ht="17">
      <c r="A726" s="49"/>
      <c r="B726" s="49" t="str">
        <f>CONCATENATE(Reports!E725," ",Reports!F725," ",Reports!G725)</f>
        <v xml:space="preserve">  </v>
      </c>
      <c r="C726" s="101"/>
      <c r="D726" s="101"/>
      <c r="E726" s="49" t="str">
        <f>IFERROR(VLOOKUP(D726,'taxonomy map'!$A$1:$B$171,2,FALSE),"")</f>
        <v/>
      </c>
      <c r="F726" s="49" t="str">
        <f>IFERROR(VLOOKUP(E726,'Condensed Specialty Crosswalk'!$A$2:$C$182,2,FALSE),"")</f>
        <v/>
      </c>
      <c r="G726" s="49" t="str">
        <f>IFERROR(VLOOKUP(E726,'Condensed Specialty Crosswalk'!$A$2:$C$182,3,FALSE),"")</f>
        <v/>
      </c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</row>
    <row r="727" spans="1:30" ht="17">
      <c r="A727" s="49"/>
      <c r="B727" s="49" t="str">
        <f>CONCATENATE(Reports!E726," ",Reports!F726," ",Reports!G726)</f>
        <v xml:space="preserve">  </v>
      </c>
      <c r="C727" s="101"/>
      <c r="D727" s="101"/>
      <c r="E727" s="49" t="str">
        <f>IFERROR(VLOOKUP(D727,'taxonomy map'!$A$1:$B$171,2,FALSE),"")</f>
        <v/>
      </c>
      <c r="F727" s="49" t="str">
        <f>IFERROR(VLOOKUP(E727,'Condensed Specialty Crosswalk'!$A$2:$C$182,2,FALSE),"")</f>
        <v/>
      </c>
      <c r="G727" s="49" t="str">
        <f>IFERROR(VLOOKUP(E727,'Condensed Specialty Crosswalk'!$A$2:$C$182,3,FALSE),"")</f>
        <v/>
      </c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</row>
    <row r="728" spans="1:30" ht="17">
      <c r="A728" s="49"/>
      <c r="B728" s="49" t="str">
        <f>CONCATENATE(Reports!E727," ",Reports!F727," ",Reports!G727)</f>
        <v xml:space="preserve">  </v>
      </c>
      <c r="C728" s="101"/>
      <c r="D728" s="101"/>
      <c r="E728" s="49" t="str">
        <f>IFERROR(VLOOKUP(D728,'taxonomy map'!$A$1:$B$171,2,FALSE),"")</f>
        <v/>
      </c>
      <c r="F728" s="49" t="str">
        <f>IFERROR(VLOOKUP(E728,'Condensed Specialty Crosswalk'!$A$2:$C$182,2,FALSE),"")</f>
        <v/>
      </c>
      <c r="G728" s="49" t="str">
        <f>IFERROR(VLOOKUP(E728,'Condensed Specialty Crosswalk'!$A$2:$C$182,3,FALSE),"")</f>
        <v/>
      </c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</row>
    <row r="729" spans="1:30" ht="17">
      <c r="A729" s="49"/>
      <c r="B729" s="49" t="str">
        <f>CONCATENATE(Reports!E728," ",Reports!F728," ",Reports!G728)</f>
        <v xml:space="preserve">  </v>
      </c>
      <c r="C729" s="101"/>
      <c r="D729" s="101"/>
      <c r="E729" s="49" t="str">
        <f>IFERROR(VLOOKUP(D729,'taxonomy map'!$A$1:$B$171,2,FALSE),"")</f>
        <v/>
      </c>
      <c r="F729" s="49" t="str">
        <f>IFERROR(VLOOKUP(E729,'Condensed Specialty Crosswalk'!$A$2:$C$182,2,FALSE),"")</f>
        <v/>
      </c>
      <c r="G729" s="49" t="str">
        <f>IFERROR(VLOOKUP(E729,'Condensed Specialty Crosswalk'!$A$2:$C$182,3,FALSE),"")</f>
        <v/>
      </c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</row>
    <row r="730" spans="1:30" ht="17">
      <c r="A730" s="49"/>
      <c r="B730" s="49" t="str">
        <f>CONCATENATE(Reports!E729," ",Reports!F729," ",Reports!G729)</f>
        <v xml:space="preserve">  </v>
      </c>
      <c r="C730" s="101"/>
      <c r="D730" s="101"/>
      <c r="E730" s="49" t="str">
        <f>IFERROR(VLOOKUP(D730,'taxonomy map'!$A$1:$B$171,2,FALSE),"")</f>
        <v/>
      </c>
      <c r="F730" s="49" t="str">
        <f>IFERROR(VLOOKUP(E730,'Condensed Specialty Crosswalk'!$A$2:$C$182,2,FALSE),"")</f>
        <v/>
      </c>
      <c r="G730" s="49" t="str">
        <f>IFERROR(VLOOKUP(E730,'Condensed Specialty Crosswalk'!$A$2:$C$182,3,FALSE),"")</f>
        <v/>
      </c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</row>
    <row r="731" spans="1:30" ht="17">
      <c r="A731" s="49"/>
      <c r="B731" s="49" t="str">
        <f>CONCATENATE(Reports!E730," ",Reports!F730," ",Reports!G730)</f>
        <v xml:space="preserve">  </v>
      </c>
      <c r="C731" s="101"/>
      <c r="D731" s="101"/>
      <c r="E731" s="49" t="str">
        <f>IFERROR(VLOOKUP(D731,'taxonomy map'!$A$1:$B$171,2,FALSE),"")</f>
        <v/>
      </c>
      <c r="F731" s="49" t="str">
        <f>IFERROR(VLOOKUP(E731,'Condensed Specialty Crosswalk'!$A$2:$C$182,2,FALSE),"")</f>
        <v/>
      </c>
      <c r="G731" s="49" t="str">
        <f>IFERROR(VLOOKUP(E731,'Condensed Specialty Crosswalk'!$A$2:$C$182,3,FALSE),"")</f>
        <v/>
      </c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</row>
    <row r="732" spans="1:30" ht="17">
      <c r="A732" s="49"/>
      <c r="B732" s="49" t="str">
        <f>CONCATENATE(Reports!E731," ",Reports!F731," ",Reports!G731)</f>
        <v xml:space="preserve">  </v>
      </c>
      <c r="C732" s="101"/>
      <c r="D732" s="101"/>
      <c r="E732" s="49" t="str">
        <f>IFERROR(VLOOKUP(D732,'taxonomy map'!$A$1:$B$171,2,FALSE),"")</f>
        <v/>
      </c>
      <c r="F732" s="49" t="str">
        <f>IFERROR(VLOOKUP(E732,'Condensed Specialty Crosswalk'!$A$2:$C$182,2,FALSE),"")</f>
        <v/>
      </c>
      <c r="G732" s="49" t="str">
        <f>IFERROR(VLOOKUP(E732,'Condensed Specialty Crosswalk'!$A$2:$C$182,3,FALSE),"")</f>
        <v/>
      </c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</row>
    <row r="733" spans="1:30" ht="17">
      <c r="A733" s="49"/>
      <c r="B733" s="49" t="str">
        <f>CONCATENATE(Reports!E732," ",Reports!F732," ",Reports!G732)</f>
        <v xml:space="preserve">  </v>
      </c>
      <c r="C733" s="101"/>
      <c r="D733" s="101"/>
      <c r="E733" s="49" t="str">
        <f>IFERROR(VLOOKUP(D733,'taxonomy map'!$A$1:$B$171,2,FALSE),"")</f>
        <v/>
      </c>
      <c r="F733" s="49" t="str">
        <f>IFERROR(VLOOKUP(E733,'Condensed Specialty Crosswalk'!$A$2:$C$182,2,FALSE),"")</f>
        <v/>
      </c>
      <c r="G733" s="49" t="str">
        <f>IFERROR(VLOOKUP(E733,'Condensed Specialty Crosswalk'!$A$2:$C$182,3,FALSE),"")</f>
        <v/>
      </c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</row>
    <row r="734" spans="1:30" ht="17">
      <c r="A734" s="49"/>
      <c r="B734" s="49" t="str">
        <f>CONCATENATE(Reports!E733," ",Reports!F733," ",Reports!G733)</f>
        <v xml:space="preserve">  </v>
      </c>
      <c r="C734" s="101"/>
      <c r="D734" s="101"/>
      <c r="E734" s="49" t="str">
        <f>IFERROR(VLOOKUP(D734,'taxonomy map'!$A$1:$B$171,2,FALSE),"")</f>
        <v/>
      </c>
      <c r="F734" s="49" t="str">
        <f>IFERROR(VLOOKUP(E734,'Condensed Specialty Crosswalk'!$A$2:$C$182,2,FALSE),"")</f>
        <v/>
      </c>
      <c r="G734" s="49" t="str">
        <f>IFERROR(VLOOKUP(E734,'Condensed Specialty Crosswalk'!$A$2:$C$182,3,FALSE),"")</f>
        <v/>
      </c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</row>
    <row r="735" spans="1:30" ht="17">
      <c r="A735" s="49"/>
      <c r="B735" s="49" t="str">
        <f>CONCATENATE(Reports!E734," ",Reports!F734," ",Reports!G734)</f>
        <v xml:space="preserve">  </v>
      </c>
      <c r="C735" s="101"/>
      <c r="D735" s="101"/>
      <c r="E735" s="49" t="str">
        <f>IFERROR(VLOOKUP(D735,'taxonomy map'!$A$1:$B$171,2,FALSE),"")</f>
        <v/>
      </c>
      <c r="F735" s="49" t="str">
        <f>IFERROR(VLOOKUP(E735,'Condensed Specialty Crosswalk'!$A$2:$C$182,2,FALSE),"")</f>
        <v/>
      </c>
      <c r="G735" s="49" t="str">
        <f>IFERROR(VLOOKUP(E735,'Condensed Specialty Crosswalk'!$A$2:$C$182,3,FALSE),"")</f>
        <v/>
      </c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</row>
    <row r="736" spans="1:30" ht="17">
      <c r="A736" s="49"/>
      <c r="B736" s="49" t="str">
        <f>CONCATENATE(Reports!E735," ",Reports!F735," ",Reports!G735)</f>
        <v xml:space="preserve">  </v>
      </c>
      <c r="C736" s="101"/>
      <c r="D736" s="101"/>
      <c r="E736" s="49" t="str">
        <f>IFERROR(VLOOKUP(D736,'taxonomy map'!$A$1:$B$171,2,FALSE),"")</f>
        <v/>
      </c>
      <c r="F736" s="49" t="str">
        <f>IFERROR(VLOOKUP(E736,'Condensed Specialty Crosswalk'!$A$2:$C$182,2,FALSE),"")</f>
        <v/>
      </c>
      <c r="G736" s="49" t="str">
        <f>IFERROR(VLOOKUP(E736,'Condensed Specialty Crosswalk'!$A$2:$C$182,3,FALSE),"")</f>
        <v/>
      </c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</row>
    <row r="737" spans="1:30" ht="17">
      <c r="A737" s="49"/>
      <c r="B737" s="49" t="str">
        <f>CONCATENATE(Reports!E736," ",Reports!F736," ",Reports!G736)</f>
        <v xml:space="preserve">  </v>
      </c>
      <c r="C737" s="101"/>
      <c r="D737" s="101"/>
      <c r="E737" s="49" t="str">
        <f>IFERROR(VLOOKUP(D737,'taxonomy map'!$A$1:$B$171,2,FALSE),"")</f>
        <v/>
      </c>
      <c r="F737" s="49" t="str">
        <f>IFERROR(VLOOKUP(E737,'Condensed Specialty Crosswalk'!$A$2:$C$182,2,FALSE),"")</f>
        <v/>
      </c>
      <c r="G737" s="49" t="str">
        <f>IFERROR(VLOOKUP(E737,'Condensed Specialty Crosswalk'!$A$2:$C$182,3,FALSE),"")</f>
        <v/>
      </c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</row>
    <row r="738" spans="1:30" ht="17">
      <c r="A738" s="49"/>
      <c r="B738" s="49" t="str">
        <f>CONCATENATE(Reports!E737," ",Reports!F737," ",Reports!G737)</f>
        <v xml:space="preserve">  </v>
      </c>
      <c r="C738" s="101"/>
      <c r="D738" s="101"/>
      <c r="E738" s="49" t="str">
        <f>IFERROR(VLOOKUP(D738,'taxonomy map'!$A$1:$B$171,2,FALSE),"")</f>
        <v/>
      </c>
      <c r="F738" s="49" t="str">
        <f>IFERROR(VLOOKUP(E738,'Condensed Specialty Crosswalk'!$A$2:$C$182,2,FALSE),"")</f>
        <v/>
      </c>
      <c r="G738" s="49" t="str">
        <f>IFERROR(VLOOKUP(E738,'Condensed Specialty Crosswalk'!$A$2:$C$182,3,FALSE),"")</f>
        <v/>
      </c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</row>
    <row r="739" spans="1:30" ht="17">
      <c r="A739" s="49"/>
      <c r="B739" s="49" t="str">
        <f>CONCATENATE(Reports!E738," ",Reports!F738," ",Reports!G738)</f>
        <v xml:space="preserve">  </v>
      </c>
      <c r="C739" s="101"/>
      <c r="D739" s="101"/>
      <c r="E739" s="49" t="str">
        <f>IFERROR(VLOOKUP(D739,'taxonomy map'!$A$1:$B$171,2,FALSE),"")</f>
        <v/>
      </c>
      <c r="F739" s="49" t="str">
        <f>IFERROR(VLOOKUP(E739,'Condensed Specialty Crosswalk'!$A$2:$C$182,2,FALSE),"")</f>
        <v/>
      </c>
      <c r="G739" s="49" t="str">
        <f>IFERROR(VLOOKUP(E739,'Condensed Specialty Crosswalk'!$A$2:$C$182,3,FALSE),"")</f>
        <v/>
      </c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</row>
    <row r="740" spans="1:30" ht="17">
      <c r="A740" s="49"/>
      <c r="B740" s="49" t="str">
        <f>CONCATENATE(Reports!E739," ",Reports!F739," ",Reports!G739)</f>
        <v xml:space="preserve">  </v>
      </c>
      <c r="C740" s="101"/>
      <c r="D740" s="101"/>
      <c r="E740" s="49" t="str">
        <f>IFERROR(VLOOKUP(D740,'taxonomy map'!$A$1:$B$171,2,FALSE),"")</f>
        <v/>
      </c>
      <c r="F740" s="49" t="str">
        <f>IFERROR(VLOOKUP(E740,'Condensed Specialty Crosswalk'!$A$2:$C$182,2,FALSE),"")</f>
        <v/>
      </c>
      <c r="G740" s="49" t="str">
        <f>IFERROR(VLOOKUP(E740,'Condensed Specialty Crosswalk'!$A$2:$C$182,3,FALSE),"")</f>
        <v/>
      </c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</row>
    <row r="741" spans="1:30" ht="17">
      <c r="A741" s="49"/>
      <c r="B741" s="49" t="str">
        <f>CONCATENATE(Reports!E740," ",Reports!F740," ",Reports!G740)</f>
        <v xml:space="preserve">  </v>
      </c>
      <c r="C741" s="101"/>
      <c r="D741" s="101"/>
      <c r="E741" s="49" t="str">
        <f>IFERROR(VLOOKUP(D741,'taxonomy map'!$A$1:$B$171,2,FALSE),"")</f>
        <v/>
      </c>
      <c r="F741" s="49" t="str">
        <f>IFERROR(VLOOKUP(E741,'Condensed Specialty Crosswalk'!$A$2:$C$182,2,FALSE),"")</f>
        <v/>
      </c>
      <c r="G741" s="49" t="str">
        <f>IFERROR(VLOOKUP(E741,'Condensed Specialty Crosswalk'!$A$2:$C$182,3,FALSE),"")</f>
        <v/>
      </c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</row>
    <row r="742" spans="1:30" ht="17">
      <c r="A742" s="49"/>
      <c r="B742" s="49" t="str">
        <f>CONCATENATE(Reports!E741," ",Reports!F741," ",Reports!G741)</f>
        <v xml:space="preserve">  </v>
      </c>
      <c r="C742" s="101"/>
      <c r="D742" s="101"/>
      <c r="E742" s="49" t="str">
        <f>IFERROR(VLOOKUP(D742,'taxonomy map'!$A$1:$B$171,2,FALSE),"")</f>
        <v/>
      </c>
      <c r="F742" s="49" t="str">
        <f>IFERROR(VLOOKUP(E742,'Condensed Specialty Crosswalk'!$A$2:$C$182,2,FALSE),"")</f>
        <v/>
      </c>
      <c r="G742" s="49" t="str">
        <f>IFERROR(VLOOKUP(E742,'Condensed Specialty Crosswalk'!$A$2:$C$182,3,FALSE),"")</f>
        <v/>
      </c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</row>
    <row r="743" spans="1:30" ht="17">
      <c r="A743" s="49"/>
      <c r="B743" s="49" t="str">
        <f>CONCATENATE(Reports!E742," ",Reports!F742," ",Reports!G742)</f>
        <v xml:space="preserve">  </v>
      </c>
      <c r="C743" s="101"/>
      <c r="D743" s="101"/>
      <c r="E743" s="49" t="str">
        <f>IFERROR(VLOOKUP(D743,'taxonomy map'!$A$1:$B$171,2,FALSE),"")</f>
        <v/>
      </c>
      <c r="F743" s="49" t="str">
        <f>IFERROR(VLOOKUP(E743,'Condensed Specialty Crosswalk'!$A$2:$C$182,2,FALSE),"")</f>
        <v/>
      </c>
      <c r="G743" s="49" t="str">
        <f>IFERROR(VLOOKUP(E743,'Condensed Specialty Crosswalk'!$A$2:$C$182,3,FALSE),"")</f>
        <v/>
      </c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</row>
    <row r="744" spans="1:30" ht="17">
      <c r="A744" s="49"/>
      <c r="B744" s="49" t="str">
        <f>CONCATENATE(Reports!E743," ",Reports!F743," ",Reports!G743)</f>
        <v xml:space="preserve">  </v>
      </c>
      <c r="C744" s="101"/>
      <c r="D744" s="101"/>
      <c r="E744" s="49" t="str">
        <f>IFERROR(VLOOKUP(D744,'taxonomy map'!$A$1:$B$171,2,FALSE),"")</f>
        <v/>
      </c>
      <c r="F744" s="49" t="str">
        <f>IFERROR(VLOOKUP(E744,'Condensed Specialty Crosswalk'!$A$2:$C$182,2,FALSE),"")</f>
        <v/>
      </c>
      <c r="G744" s="49" t="str">
        <f>IFERROR(VLOOKUP(E744,'Condensed Specialty Crosswalk'!$A$2:$C$182,3,FALSE),"")</f>
        <v/>
      </c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</row>
    <row r="745" spans="1:30" ht="17">
      <c r="A745" s="49"/>
      <c r="B745" s="49" t="str">
        <f>CONCATENATE(Reports!E744," ",Reports!F744," ",Reports!G744)</f>
        <v xml:space="preserve">  </v>
      </c>
      <c r="C745" s="101"/>
      <c r="D745" s="101"/>
      <c r="E745" s="49" t="str">
        <f>IFERROR(VLOOKUP(D745,'taxonomy map'!$A$1:$B$171,2,FALSE),"")</f>
        <v/>
      </c>
      <c r="F745" s="49" t="str">
        <f>IFERROR(VLOOKUP(E745,'Condensed Specialty Crosswalk'!$A$2:$C$182,2,FALSE),"")</f>
        <v/>
      </c>
      <c r="G745" s="49" t="str">
        <f>IFERROR(VLOOKUP(E745,'Condensed Specialty Crosswalk'!$A$2:$C$182,3,FALSE),"")</f>
        <v/>
      </c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</row>
    <row r="746" spans="1:30" ht="17">
      <c r="A746" s="49"/>
      <c r="B746" s="49" t="str">
        <f>CONCATENATE(Reports!E745," ",Reports!F745," ",Reports!G745)</f>
        <v xml:space="preserve">  </v>
      </c>
      <c r="C746" s="101"/>
      <c r="D746" s="101"/>
      <c r="E746" s="49" t="str">
        <f>IFERROR(VLOOKUP(D746,'taxonomy map'!$A$1:$B$171,2,FALSE),"")</f>
        <v/>
      </c>
      <c r="F746" s="49" t="str">
        <f>IFERROR(VLOOKUP(E746,'Condensed Specialty Crosswalk'!$A$2:$C$182,2,FALSE),"")</f>
        <v/>
      </c>
      <c r="G746" s="49" t="str">
        <f>IFERROR(VLOOKUP(E746,'Condensed Specialty Crosswalk'!$A$2:$C$182,3,FALSE),"")</f>
        <v/>
      </c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</row>
    <row r="747" spans="1:30" ht="17">
      <c r="A747" s="49"/>
      <c r="B747" s="49" t="str">
        <f>CONCATENATE(Reports!E746," ",Reports!F746," ",Reports!G746)</f>
        <v xml:space="preserve">  </v>
      </c>
      <c r="C747" s="101"/>
      <c r="D747" s="101"/>
      <c r="E747" s="49" t="str">
        <f>IFERROR(VLOOKUP(D747,'taxonomy map'!$A$1:$B$171,2,FALSE),"")</f>
        <v/>
      </c>
      <c r="F747" s="49" t="str">
        <f>IFERROR(VLOOKUP(E747,'Condensed Specialty Crosswalk'!$A$2:$C$182,2,FALSE),"")</f>
        <v/>
      </c>
      <c r="G747" s="49" t="str">
        <f>IFERROR(VLOOKUP(E747,'Condensed Specialty Crosswalk'!$A$2:$C$182,3,FALSE),"")</f>
        <v/>
      </c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</row>
    <row r="748" spans="1:30" ht="17">
      <c r="A748" s="49"/>
      <c r="B748" s="49" t="str">
        <f>CONCATENATE(Reports!E747," ",Reports!F747," ",Reports!G747)</f>
        <v xml:space="preserve">  </v>
      </c>
      <c r="C748" s="101"/>
      <c r="D748" s="101"/>
      <c r="E748" s="49" t="str">
        <f>IFERROR(VLOOKUP(D748,'taxonomy map'!$A$1:$B$171,2,FALSE),"")</f>
        <v/>
      </c>
      <c r="F748" s="49" t="str">
        <f>IFERROR(VLOOKUP(E748,'Condensed Specialty Crosswalk'!$A$2:$C$182,2,FALSE),"")</f>
        <v/>
      </c>
      <c r="G748" s="49" t="str">
        <f>IFERROR(VLOOKUP(E748,'Condensed Specialty Crosswalk'!$A$2:$C$182,3,FALSE),"")</f>
        <v/>
      </c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</row>
    <row r="749" spans="1:30" ht="17">
      <c r="A749" s="49"/>
      <c r="B749" s="49" t="str">
        <f>CONCATENATE(Reports!E748," ",Reports!F748," ",Reports!G748)</f>
        <v xml:space="preserve">  </v>
      </c>
      <c r="C749" s="101"/>
      <c r="D749" s="101"/>
      <c r="E749" s="49" t="str">
        <f>IFERROR(VLOOKUP(D749,'taxonomy map'!$A$1:$B$171,2,FALSE),"")</f>
        <v/>
      </c>
      <c r="F749" s="49" t="str">
        <f>IFERROR(VLOOKUP(E749,'Condensed Specialty Crosswalk'!$A$2:$C$182,2,FALSE),"")</f>
        <v/>
      </c>
      <c r="G749" s="49" t="str">
        <f>IFERROR(VLOOKUP(E749,'Condensed Specialty Crosswalk'!$A$2:$C$182,3,FALSE),"")</f>
        <v/>
      </c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</row>
    <row r="750" spans="1:30" ht="17">
      <c r="A750" s="49"/>
      <c r="B750" s="49" t="str">
        <f>CONCATENATE(Reports!E749," ",Reports!F749," ",Reports!G749)</f>
        <v xml:space="preserve">  </v>
      </c>
      <c r="C750" s="101"/>
      <c r="D750" s="101"/>
      <c r="E750" s="49" t="str">
        <f>IFERROR(VLOOKUP(D750,'taxonomy map'!$A$1:$B$171,2,FALSE),"")</f>
        <v/>
      </c>
      <c r="F750" s="49" t="str">
        <f>IFERROR(VLOOKUP(E750,'Condensed Specialty Crosswalk'!$A$2:$C$182,2,FALSE),"")</f>
        <v/>
      </c>
      <c r="G750" s="49" t="str">
        <f>IFERROR(VLOOKUP(E750,'Condensed Specialty Crosswalk'!$A$2:$C$182,3,FALSE),"")</f>
        <v/>
      </c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</row>
    <row r="751" spans="1:30" ht="17">
      <c r="A751" s="49"/>
      <c r="B751" s="49" t="str">
        <f>CONCATENATE(Reports!E750," ",Reports!F750," ",Reports!G750)</f>
        <v xml:space="preserve">  </v>
      </c>
      <c r="C751" s="101"/>
      <c r="D751" s="101"/>
      <c r="E751" s="49" t="str">
        <f>IFERROR(VLOOKUP(D751,'taxonomy map'!$A$1:$B$171,2,FALSE),"")</f>
        <v/>
      </c>
      <c r="F751" s="49" t="str">
        <f>IFERROR(VLOOKUP(E751,'Condensed Specialty Crosswalk'!$A$2:$C$182,2,FALSE),"")</f>
        <v/>
      </c>
      <c r="G751" s="49" t="str">
        <f>IFERROR(VLOOKUP(E751,'Condensed Specialty Crosswalk'!$A$2:$C$182,3,FALSE),"")</f>
        <v/>
      </c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</row>
    <row r="752" spans="1:30" ht="17">
      <c r="A752" s="49"/>
      <c r="B752" s="49" t="str">
        <f>CONCATENATE(Reports!E751," ",Reports!F751," ",Reports!G751)</f>
        <v xml:space="preserve">  </v>
      </c>
      <c r="C752" s="101"/>
      <c r="D752" s="101"/>
      <c r="E752" s="49" t="str">
        <f>IFERROR(VLOOKUP(D752,'taxonomy map'!$A$1:$B$171,2,FALSE),"")</f>
        <v/>
      </c>
      <c r="F752" s="49" t="str">
        <f>IFERROR(VLOOKUP(E752,'Condensed Specialty Crosswalk'!$A$2:$C$182,2,FALSE),"")</f>
        <v/>
      </c>
      <c r="G752" s="49" t="str">
        <f>IFERROR(VLOOKUP(E752,'Condensed Specialty Crosswalk'!$A$2:$C$182,3,FALSE),"")</f>
        <v/>
      </c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</row>
    <row r="753" spans="1:30" ht="17">
      <c r="A753" s="49"/>
      <c r="B753" s="49" t="str">
        <f>CONCATENATE(Reports!E752," ",Reports!F752," ",Reports!G752)</f>
        <v xml:space="preserve">  </v>
      </c>
      <c r="C753" s="101"/>
      <c r="D753" s="101"/>
      <c r="E753" s="49" t="str">
        <f>IFERROR(VLOOKUP(D753,'taxonomy map'!$A$1:$B$171,2,FALSE),"")</f>
        <v/>
      </c>
      <c r="F753" s="49" t="str">
        <f>IFERROR(VLOOKUP(E753,'Condensed Specialty Crosswalk'!$A$2:$C$182,2,FALSE),"")</f>
        <v/>
      </c>
      <c r="G753" s="49" t="str">
        <f>IFERROR(VLOOKUP(E753,'Condensed Specialty Crosswalk'!$A$2:$C$182,3,FALSE),"")</f>
        <v/>
      </c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</row>
    <row r="754" spans="1:30" ht="17">
      <c r="A754" s="49"/>
      <c r="B754" s="49" t="str">
        <f>CONCATENATE(Reports!E753," ",Reports!F753," ",Reports!G753)</f>
        <v xml:space="preserve">  </v>
      </c>
      <c r="C754" s="101"/>
      <c r="D754" s="101"/>
      <c r="E754" s="49" t="str">
        <f>IFERROR(VLOOKUP(D754,'taxonomy map'!$A$1:$B$171,2,FALSE),"")</f>
        <v/>
      </c>
      <c r="F754" s="49" t="str">
        <f>IFERROR(VLOOKUP(E754,'Condensed Specialty Crosswalk'!$A$2:$C$182,2,FALSE),"")</f>
        <v/>
      </c>
      <c r="G754" s="49" t="str">
        <f>IFERROR(VLOOKUP(E754,'Condensed Specialty Crosswalk'!$A$2:$C$182,3,FALSE),"")</f>
        <v/>
      </c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</row>
    <row r="755" spans="1:30" ht="17">
      <c r="A755" s="49"/>
      <c r="B755" s="49" t="str">
        <f>CONCATENATE(Reports!E754," ",Reports!F754," ",Reports!G754)</f>
        <v xml:space="preserve">  </v>
      </c>
      <c r="C755" s="101"/>
      <c r="D755" s="101"/>
      <c r="E755" s="49" t="str">
        <f>IFERROR(VLOOKUP(D755,'taxonomy map'!$A$1:$B$171,2,FALSE),"")</f>
        <v/>
      </c>
      <c r="F755" s="49" t="str">
        <f>IFERROR(VLOOKUP(E755,'Condensed Specialty Crosswalk'!$A$2:$C$182,2,FALSE),"")</f>
        <v/>
      </c>
      <c r="G755" s="49" t="str">
        <f>IFERROR(VLOOKUP(E755,'Condensed Specialty Crosswalk'!$A$2:$C$182,3,FALSE),"")</f>
        <v/>
      </c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</row>
    <row r="756" spans="1:30" ht="17">
      <c r="A756" s="49"/>
      <c r="B756" s="49" t="str">
        <f>CONCATENATE(Reports!E755," ",Reports!F755," ",Reports!G755)</f>
        <v xml:space="preserve">  </v>
      </c>
      <c r="C756" s="101"/>
      <c r="D756" s="101"/>
      <c r="E756" s="49" t="str">
        <f>IFERROR(VLOOKUP(D756,'taxonomy map'!$A$1:$B$171,2,FALSE),"")</f>
        <v/>
      </c>
      <c r="F756" s="49" t="str">
        <f>IFERROR(VLOOKUP(E756,'Condensed Specialty Crosswalk'!$A$2:$C$182,2,FALSE),"")</f>
        <v/>
      </c>
      <c r="G756" s="49" t="str">
        <f>IFERROR(VLOOKUP(E756,'Condensed Specialty Crosswalk'!$A$2:$C$182,3,FALSE),"")</f>
        <v/>
      </c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</row>
    <row r="757" spans="1:30" ht="17">
      <c r="A757" s="49"/>
      <c r="B757" s="49" t="str">
        <f>CONCATENATE(Reports!E756," ",Reports!F756," ",Reports!G756)</f>
        <v xml:space="preserve">  </v>
      </c>
      <c r="C757" s="101"/>
      <c r="D757" s="101"/>
      <c r="E757" s="49" t="str">
        <f>IFERROR(VLOOKUP(D757,'taxonomy map'!$A$1:$B$171,2,FALSE),"")</f>
        <v/>
      </c>
      <c r="F757" s="49" t="str">
        <f>IFERROR(VLOOKUP(E757,'Condensed Specialty Crosswalk'!$A$2:$C$182,2,FALSE),"")</f>
        <v/>
      </c>
      <c r="G757" s="49" t="str">
        <f>IFERROR(VLOOKUP(E757,'Condensed Specialty Crosswalk'!$A$2:$C$182,3,FALSE),"")</f>
        <v/>
      </c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</row>
    <row r="758" spans="1:30" ht="17">
      <c r="A758" s="49"/>
      <c r="B758" s="49" t="str">
        <f>CONCATENATE(Reports!E757," ",Reports!F757," ",Reports!G757)</f>
        <v xml:space="preserve">  </v>
      </c>
      <c r="C758" s="101"/>
      <c r="D758" s="101"/>
      <c r="E758" s="49" t="str">
        <f>IFERROR(VLOOKUP(D758,'taxonomy map'!$A$1:$B$171,2,FALSE),"")</f>
        <v/>
      </c>
      <c r="F758" s="49" t="str">
        <f>IFERROR(VLOOKUP(E758,'Condensed Specialty Crosswalk'!$A$2:$C$182,2,FALSE),"")</f>
        <v/>
      </c>
      <c r="G758" s="49" t="str">
        <f>IFERROR(VLOOKUP(E758,'Condensed Specialty Crosswalk'!$A$2:$C$182,3,FALSE),"")</f>
        <v/>
      </c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</row>
    <row r="759" spans="1:30" ht="17">
      <c r="A759" s="49"/>
      <c r="B759" s="49" t="str">
        <f>CONCATENATE(Reports!E758," ",Reports!F758," ",Reports!G758)</f>
        <v xml:space="preserve">  </v>
      </c>
      <c r="C759" s="101"/>
      <c r="D759" s="101"/>
      <c r="E759" s="49" t="str">
        <f>IFERROR(VLOOKUP(D759,'taxonomy map'!$A$1:$B$171,2,FALSE),"")</f>
        <v/>
      </c>
      <c r="F759" s="49" t="str">
        <f>IFERROR(VLOOKUP(E759,'Condensed Specialty Crosswalk'!$A$2:$C$182,2,FALSE),"")</f>
        <v/>
      </c>
      <c r="G759" s="49" t="str">
        <f>IFERROR(VLOOKUP(E759,'Condensed Specialty Crosswalk'!$A$2:$C$182,3,FALSE),"")</f>
        <v/>
      </c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</row>
    <row r="760" spans="1:30" ht="17">
      <c r="A760" s="49"/>
      <c r="B760" s="49" t="str">
        <f>CONCATENATE(Reports!E759," ",Reports!F759," ",Reports!G759)</f>
        <v xml:space="preserve">  </v>
      </c>
      <c r="C760" s="101"/>
      <c r="D760" s="101"/>
      <c r="E760" s="49" t="str">
        <f>IFERROR(VLOOKUP(D760,'taxonomy map'!$A$1:$B$171,2,FALSE),"")</f>
        <v/>
      </c>
      <c r="F760" s="49" t="str">
        <f>IFERROR(VLOOKUP(E760,'Condensed Specialty Crosswalk'!$A$2:$C$182,2,FALSE),"")</f>
        <v/>
      </c>
      <c r="G760" s="49" t="str">
        <f>IFERROR(VLOOKUP(E760,'Condensed Specialty Crosswalk'!$A$2:$C$182,3,FALSE),"")</f>
        <v/>
      </c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</row>
    <row r="761" spans="1:30" ht="17">
      <c r="A761" s="49"/>
      <c r="B761" s="49" t="str">
        <f>CONCATENATE(Reports!E760," ",Reports!F760," ",Reports!G760)</f>
        <v xml:space="preserve">  </v>
      </c>
      <c r="C761" s="101"/>
      <c r="D761" s="101"/>
      <c r="E761" s="49" t="str">
        <f>IFERROR(VLOOKUP(D761,'taxonomy map'!$A$1:$B$171,2,FALSE),"")</f>
        <v/>
      </c>
      <c r="F761" s="49" t="str">
        <f>IFERROR(VLOOKUP(E761,'Condensed Specialty Crosswalk'!$A$2:$C$182,2,FALSE),"")</f>
        <v/>
      </c>
      <c r="G761" s="49" t="str">
        <f>IFERROR(VLOOKUP(E761,'Condensed Specialty Crosswalk'!$A$2:$C$182,3,FALSE),"")</f>
        <v/>
      </c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</row>
    <row r="762" spans="1:30" ht="17">
      <c r="A762" s="49"/>
      <c r="B762" s="49" t="str">
        <f>CONCATENATE(Reports!E761," ",Reports!F761," ",Reports!G761)</f>
        <v xml:space="preserve">  </v>
      </c>
      <c r="C762" s="101"/>
      <c r="D762" s="101"/>
      <c r="E762" s="49" t="str">
        <f>IFERROR(VLOOKUP(D762,'taxonomy map'!$A$1:$B$171,2,FALSE),"")</f>
        <v/>
      </c>
      <c r="F762" s="49" t="str">
        <f>IFERROR(VLOOKUP(E762,'Condensed Specialty Crosswalk'!$A$2:$C$182,2,FALSE),"")</f>
        <v/>
      </c>
      <c r="G762" s="49" t="str">
        <f>IFERROR(VLOOKUP(E762,'Condensed Specialty Crosswalk'!$A$2:$C$182,3,FALSE),"")</f>
        <v/>
      </c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</row>
    <row r="763" spans="1:30" ht="17">
      <c r="A763" s="49"/>
      <c r="B763" s="49" t="str">
        <f>CONCATENATE(Reports!E762," ",Reports!F762," ",Reports!G762)</f>
        <v xml:space="preserve">  </v>
      </c>
      <c r="C763" s="101"/>
      <c r="D763" s="101"/>
      <c r="E763" s="49" t="str">
        <f>IFERROR(VLOOKUP(D763,'taxonomy map'!$A$1:$B$171,2,FALSE),"")</f>
        <v/>
      </c>
      <c r="F763" s="49" t="str">
        <f>IFERROR(VLOOKUP(E763,'Condensed Specialty Crosswalk'!$A$2:$C$182,2,FALSE),"")</f>
        <v/>
      </c>
      <c r="G763" s="49" t="str">
        <f>IFERROR(VLOOKUP(E763,'Condensed Specialty Crosswalk'!$A$2:$C$182,3,FALSE),"")</f>
        <v/>
      </c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</row>
    <row r="764" spans="1:30" ht="17">
      <c r="A764" s="49"/>
      <c r="B764" s="49" t="str">
        <f>CONCATENATE(Reports!E763," ",Reports!F763," ",Reports!G763)</f>
        <v xml:space="preserve">  </v>
      </c>
      <c r="C764" s="101"/>
      <c r="D764" s="101"/>
      <c r="E764" s="49" t="str">
        <f>IFERROR(VLOOKUP(D764,'taxonomy map'!$A$1:$B$171,2,FALSE),"")</f>
        <v/>
      </c>
      <c r="F764" s="49" t="str">
        <f>IFERROR(VLOOKUP(E764,'Condensed Specialty Crosswalk'!$A$2:$C$182,2,FALSE),"")</f>
        <v/>
      </c>
      <c r="G764" s="49" t="str">
        <f>IFERROR(VLOOKUP(E764,'Condensed Specialty Crosswalk'!$A$2:$C$182,3,FALSE),"")</f>
        <v/>
      </c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</row>
    <row r="765" spans="1:30" ht="17">
      <c r="A765" s="49"/>
      <c r="B765" s="49" t="str">
        <f>CONCATENATE(Reports!E764," ",Reports!F764," ",Reports!G764)</f>
        <v xml:space="preserve">  </v>
      </c>
      <c r="C765" s="101"/>
      <c r="D765" s="101"/>
      <c r="E765" s="49" t="str">
        <f>IFERROR(VLOOKUP(D765,'taxonomy map'!$A$1:$B$171,2,FALSE),"")</f>
        <v/>
      </c>
      <c r="F765" s="49" t="str">
        <f>IFERROR(VLOOKUP(E765,'Condensed Specialty Crosswalk'!$A$2:$C$182,2,FALSE),"")</f>
        <v/>
      </c>
      <c r="G765" s="49" t="str">
        <f>IFERROR(VLOOKUP(E765,'Condensed Specialty Crosswalk'!$A$2:$C$182,3,FALSE),"")</f>
        <v/>
      </c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</row>
    <row r="766" spans="1:30" ht="17">
      <c r="A766" s="49"/>
      <c r="B766" s="49" t="str">
        <f>CONCATENATE(Reports!E765," ",Reports!F765," ",Reports!G765)</f>
        <v xml:space="preserve">  </v>
      </c>
      <c r="C766" s="101"/>
      <c r="D766" s="101"/>
      <c r="E766" s="49" t="str">
        <f>IFERROR(VLOOKUP(D766,'taxonomy map'!$A$1:$B$171,2,FALSE),"")</f>
        <v/>
      </c>
      <c r="F766" s="49" t="str">
        <f>IFERROR(VLOOKUP(E766,'Condensed Specialty Crosswalk'!$A$2:$C$182,2,FALSE),"")</f>
        <v/>
      </c>
      <c r="G766" s="49" t="str">
        <f>IFERROR(VLOOKUP(E766,'Condensed Specialty Crosswalk'!$A$2:$C$182,3,FALSE),"")</f>
        <v/>
      </c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</row>
    <row r="767" spans="1:30" ht="17">
      <c r="A767" s="49"/>
      <c r="B767" s="49" t="str">
        <f>CONCATENATE(Reports!E766," ",Reports!F766," ",Reports!G766)</f>
        <v xml:space="preserve">  </v>
      </c>
      <c r="C767" s="101"/>
      <c r="D767" s="101"/>
      <c r="E767" s="49" t="str">
        <f>IFERROR(VLOOKUP(D767,'taxonomy map'!$A$1:$B$171,2,FALSE),"")</f>
        <v/>
      </c>
      <c r="F767" s="49" t="str">
        <f>IFERROR(VLOOKUP(E767,'Condensed Specialty Crosswalk'!$A$2:$C$182,2,FALSE),"")</f>
        <v/>
      </c>
      <c r="G767" s="49" t="str">
        <f>IFERROR(VLOOKUP(E767,'Condensed Specialty Crosswalk'!$A$2:$C$182,3,FALSE),"")</f>
        <v/>
      </c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</row>
    <row r="768" spans="1:30" ht="17">
      <c r="A768" s="49"/>
      <c r="B768" s="49" t="str">
        <f>CONCATENATE(Reports!E767," ",Reports!F767," ",Reports!G767)</f>
        <v xml:space="preserve">  </v>
      </c>
      <c r="C768" s="101"/>
      <c r="D768" s="101"/>
      <c r="E768" s="49" t="str">
        <f>IFERROR(VLOOKUP(D768,'taxonomy map'!$A$1:$B$171,2,FALSE),"")</f>
        <v/>
      </c>
      <c r="F768" s="49" t="str">
        <f>IFERROR(VLOOKUP(E768,'Condensed Specialty Crosswalk'!$A$2:$C$182,2,FALSE),"")</f>
        <v/>
      </c>
      <c r="G768" s="49" t="str">
        <f>IFERROR(VLOOKUP(E768,'Condensed Specialty Crosswalk'!$A$2:$C$182,3,FALSE),"")</f>
        <v/>
      </c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</row>
    <row r="769" spans="1:30" ht="17">
      <c r="A769" s="49"/>
      <c r="B769" s="49" t="str">
        <f>CONCATENATE(Reports!E768," ",Reports!F768," ",Reports!G768)</f>
        <v xml:space="preserve">  </v>
      </c>
      <c r="C769" s="101"/>
      <c r="D769" s="101"/>
      <c r="E769" s="49" t="str">
        <f>IFERROR(VLOOKUP(D769,'taxonomy map'!$A$1:$B$171,2,FALSE),"")</f>
        <v/>
      </c>
      <c r="F769" s="49" t="str">
        <f>IFERROR(VLOOKUP(E769,'Condensed Specialty Crosswalk'!$A$2:$C$182,2,FALSE),"")</f>
        <v/>
      </c>
      <c r="G769" s="49" t="str">
        <f>IFERROR(VLOOKUP(E769,'Condensed Specialty Crosswalk'!$A$2:$C$182,3,FALSE),"")</f>
        <v/>
      </c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</row>
    <row r="770" spans="1:30" ht="17">
      <c r="A770" s="49"/>
      <c r="B770" s="49" t="str">
        <f>CONCATENATE(Reports!E769," ",Reports!F769," ",Reports!G769)</f>
        <v xml:space="preserve">  </v>
      </c>
      <c r="C770" s="101"/>
      <c r="D770" s="101"/>
      <c r="E770" s="49" t="str">
        <f>IFERROR(VLOOKUP(D770,'taxonomy map'!$A$1:$B$171,2,FALSE),"")</f>
        <v/>
      </c>
      <c r="F770" s="49" t="str">
        <f>IFERROR(VLOOKUP(E770,'Condensed Specialty Crosswalk'!$A$2:$C$182,2,FALSE),"")</f>
        <v/>
      </c>
      <c r="G770" s="49" t="str">
        <f>IFERROR(VLOOKUP(E770,'Condensed Specialty Crosswalk'!$A$2:$C$182,3,FALSE),"")</f>
        <v/>
      </c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</row>
    <row r="771" spans="1:30" ht="17">
      <c r="A771" s="49"/>
      <c r="B771" s="49" t="str">
        <f>CONCATENATE(Reports!E770," ",Reports!F770," ",Reports!G770)</f>
        <v xml:space="preserve">  </v>
      </c>
      <c r="C771" s="101"/>
      <c r="D771" s="101"/>
      <c r="E771" s="49" t="str">
        <f>IFERROR(VLOOKUP(D771,'taxonomy map'!$A$1:$B$171,2,FALSE),"")</f>
        <v/>
      </c>
      <c r="F771" s="49" t="str">
        <f>IFERROR(VLOOKUP(E771,'Condensed Specialty Crosswalk'!$A$2:$C$182,2,FALSE),"")</f>
        <v/>
      </c>
      <c r="G771" s="49" t="str">
        <f>IFERROR(VLOOKUP(E771,'Condensed Specialty Crosswalk'!$A$2:$C$182,3,FALSE),"")</f>
        <v/>
      </c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</row>
    <row r="772" spans="1:30" ht="17">
      <c r="A772" s="49"/>
      <c r="B772" s="49" t="str">
        <f>CONCATENATE(Reports!E771," ",Reports!F771," ",Reports!G771)</f>
        <v xml:space="preserve">  </v>
      </c>
      <c r="C772" s="101"/>
      <c r="D772" s="101"/>
      <c r="E772" s="49" t="str">
        <f>IFERROR(VLOOKUP(D772,'taxonomy map'!$A$1:$B$171,2,FALSE),"")</f>
        <v/>
      </c>
      <c r="F772" s="49" t="str">
        <f>IFERROR(VLOOKUP(E772,'Condensed Specialty Crosswalk'!$A$2:$C$182,2,FALSE),"")</f>
        <v/>
      </c>
      <c r="G772" s="49" t="str">
        <f>IFERROR(VLOOKUP(E772,'Condensed Specialty Crosswalk'!$A$2:$C$182,3,FALSE),"")</f>
        <v/>
      </c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</row>
    <row r="773" spans="1:30" ht="17">
      <c r="A773" s="49"/>
      <c r="B773" s="49" t="str">
        <f>CONCATENATE(Reports!E772," ",Reports!F772," ",Reports!G772)</f>
        <v xml:space="preserve">  </v>
      </c>
      <c r="C773" s="101"/>
      <c r="D773" s="101"/>
      <c r="E773" s="49" t="str">
        <f>IFERROR(VLOOKUP(D773,'taxonomy map'!$A$1:$B$171,2,FALSE),"")</f>
        <v/>
      </c>
      <c r="F773" s="49" t="str">
        <f>IFERROR(VLOOKUP(E773,'Condensed Specialty Crosswalk'!$A$2:$C$182,2,FALSE),"")</f>
        <v/>
      </c>
      <c r="G773" s="49" t="str">
        <f>IFERROR(VLOOKUP(E773,'Condensed Specialty Crosswalk'!$A$2:$C$182,3,FALSE),"")</f>
        <v/>
      </c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</row>
    <row r="774" spans="1:30" ht="17">
      <c r="A774" s="49"/>
      <c r="B774" s="49" t="str">
        <f>CONCATENATE(Reports!E773," ",Reports!F773," ",Reports!G773)</f>
        <v xml:space="preserve">  </v>
      </c>
      <c r="C774" s="101"/>
      <c r="D774" s="101"/>
      <c r="E774" s="49" t="str">
        <f>IFERROR(VLOOKUP(D774,'taxonomy map'!$A$1:$B$171,2,FALSE),"")</f>
        <v/>
      </c>
      <c r="F774" s="49" t="str">
        <f>IFERROR(VLOOKUP(E774,'Condensed Specialty Crosswalk'!$A$2:$C$182,2,FALSE),"")</f>
        <v/>
      </c>
      <c r="G774" s="49" t="str">
        <f>IFERROR(VLOOKUP(E774,'Condensed Specialty Crosswalk'!$A$2:$C$182,3,FALSE),"")</f>
        <v/>
      </c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</row>
    <row r="775" spans="1:30" ht="17">
      <c r="A775" s="49"/>
      <c r="B775" s="49" t="str">
        <f>CONCATENATE(Reports!E774," ",Reports!F774," ",Reports!G774)</f>
        <v xml:space="preserve">  </v>
      </c>
      <c r="C775" s="101"/>
      <c r="D775" s="101"/>
      <c r="E775" s="49" t="str">
        <f>IFERROR(VLOOKUP(D775,'taxonomy map'!$A$1:$B$171,2,FALSE),"")</f>
        <v/>
      </c>
      <c r="F775" s="49" t="str">
        <f>IFERROR(VLOOKUP(E775,'Condensed Specialty Crosswalk'!$A$2:$C$182,2,FALSE),"")</f>
        <v/>
      </c>
      <c r="G775" s="49" t="str">
        <f>IFERROR(VLOOKUP(E775,'Condensed Specialty Crosswalk'!$A$2:$C$182,3,FALSE),"")</f>
        <v/>
      </c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</row>
    <row r="776" spans="1:30" ht="17">
      <c r="A776" s="49"/>
      <c r="B776" s="49" t="str">
        <f>CONCATENATE(Reports!E775," ",Reports!F775," ",Reports!G775)</f>
        <v xml:space="preserve">  </v>
      </c>
      <c r="C776" s="101"/>
      <c r="D776" s="101"/>
      <c r="E776" s="49" t="str">
        <f>IFERROR(VLOOKUP(D776,'taxonomy map'!$A$1:$B$171,2,FALSE),"")</f>
        <v/>
      </c>
      <c r="F776" s="49" t="str">
        <f>IFERROR(VLOOKUP(E776,'Condensed Specialty Crosswalk'!$A$2:$C$182,2,FALSE),"")</f>
        <v/>
      </c>
      <c r="G776" s="49" t="str">
        <f>IFERROR(VLOOKUP(E776,'Condensed Specialty Crosswalk'!$A$2:$C$182,3,FALSE),"")</f>
        <v/>
      </c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</row>
    <row r="777" spans="1:30" ht="17">
      <c r="A777" s="49"/>
      <c r="B777" s="49" t="str">
        <f>CONCATENATE(Reports!E776," ",Reports!F776," ",Reports!G776)</f>
        <v xml:space="preserve">  </v>
      </c>
      <c r="C777" s="101"/>
      <c r="D777" s="101"/>
      <c r="E777" s="49" t="str">
        <f>IFERROR(VLOOKUP(D777,'taxonomy map'!$A$1:$B$171,2,FALSE),"")</f>
        <v/>
      </c>
      <c r="F777" s="49" t="str">
        <f>IFERROR(VLOOKUP(E777,'Condensed Specialty Crosswalk'!$A$2:$C$182,2,FALSE),"")</f>
        <v/>
      </c>
      <c r="G777" s="49" t="str">
        <f>IFERROR(VLOOKUP(E777,'Condensed Specialty Crosswalk'!$A$2:$C$182,3,FALSE),"")</f>
        <v/>
      </c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</row>
    <row r="778" spans="1:30" ht="17">
      <c r="A778" s="49"/>
      <c r="B778" s="49" t="str">
        <f>CONCATENATE(Reports!E777," ",Reports!F777," ",Reports!G777)</f>
        <v xml:space="preserve">  </v>
      </c>
      <c r="C778" s="101"/>
      <c r="D778" s="101"/>
      <c r="E778" s="49" t="str">
        <f>IFERROR(VLOOKUP(D778,'taxonomy map'!$A$1:$B$171,2,FALSE),"")</f>
        <v/>
      </c>
      <c r="F778" s="49" t="str">
        <f>IFERROR(VLOOKUP(E778,'Condensed Specialty Crosswalk'!$A$2:$C$182,2,FALSE),"")</f>
        <v/>
      </c>
      <c r="G778" s="49" t="str">
        <f>IFERROR(VLOOKUP(E778,'Condensed Specialty Crosswalk'!$A$2:$C$182,3,FALSE),"")</f>
        <v/>
      </c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</row>
    <row r="779" spans="1:30" ht="17">
      <c r="A779" s="49"/>
      <c r="B779" s="49" t="str">
        <f>CONCATENATE(Reports!E778," ",Reports!F778," ",Reports!G778)</f>
        <v xml:space="preserve">  </v>
      </c>
      <c r="C779" s="101"/>
      <c r="D779" s="101"/>
      <c r="E779" s="49" t="str">
        <f>IFERROR(VLOOKUP(D779,'taxonomy map'!$A$1:$B$171,2,FALSE),"")</f>
        <v/>
      </c>
      <c r="F779" s="49" t="str">
        <f>IFERROR(VLOOKUP(E779,'Condensed Specialty Crosswalk'!$A$2:$C$182,2,FALSE),"")</f>
        <v/>
      </c>
      <c r="G779" s="49" t="str">
        <f>IFERROR(VLOOKUP(E779,'Condensed Specialty Crosswalk'!$A$2:$C$182,3,FALSE),"")</f>
        <v/>
      </c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</row>
    <row r="780" spans="1:30" ht="17">
      <c r="A780" s="49"/>
      <c r="B780" s="49" t="str">
        <f>CONCATENATE(Reports!E779," ",Reports!F779," ",Reports!G779)</f>
        <v xml:space="preserve">  </v>
      </c>
      <c r="C780" s="101"/>
      <c r="D780" s="101"/>
      <c r="E780" s="49" t="str">
        <f>IFERROR(VLOOKUP(D780,'taxonomy map'!$A$1:$B$171,2,FALSE),"")</f>
        <v/>
      </c>
      <c r="F780" s="49" t="str">
        <f>IFERROR(VLOOKUP(E780,'Condensed Specialty Crosswalk'!$A$2:$C$182,2,FALSE),"")</f>
        <v/>
      </c>
      <c r="G780" s="49" t="str">
        <f>IFERROR(VLOOKUP(E780,'Condensed Specialty Crosswalk'!$A$2:$C$182,3,FALSE),"")</f>
        <v/>
      </c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</row>
    <row r="781" spans="1:30" ht="17">
      <c r="A781" s="49"/>
      <c r="B781" s="49" t="str">
        <f>CONCATENATE(Reports!E780," ",Reports!F780," ",Reports!G780)</f>
        <v xml:space="preserve">  </v>
      </c>
      <c r="C781" s="101"/>
      <c r="D781" s="101"/>
      <c r="E781" s="49" t="str">
        <f>IFERROR(VLOOKUP(D781,'taxonomy map'!$A$1:$B$171,2,FALSE),"")</f>
        <v/>
      </c>
      <c r="F781" s="49" t="str">
        <f>IFERROR(VLOOKUP(E781,'Condensed Specialty Crosswalk'!$A$2:$C$182,2,FALSE),"")</f>
        <v/>
      </c>
      <c r="G781" s="49" t="str">
        <f>IFERROR(VLOOKUP(E781,'Condensed Specialty Crosswalk'!$A$2:$C$182,3,FALSE),"")</f>
        <v/>
      </c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</row>
    <row r="782" spans="1:30" ht="17">
      <c r="A782" s="49"/>
      <c r="B782" s="49" t="str">
        <f>CONCATENATE(Reports!E781," ",Reports!F781," ",Reports!G781)</f>
        <v xml:space="preserve">  </v>
      </c>
      <c r="C782" s="101"/>
      <c r="D782" s="101"/>
      <c r="E782" s="49" t="str">
        <f>IFERROR(VLOOKUP(D782,'taxonomy map'!$A$1:$B$171,2,FALSE),"")</f>
        <v/>
      </c>
      <c r="F782" s="49" t="str">
        <f>IFERROR(VLOOKUP(E782,'Condensed Specialty Crosswalk'!$A$2:$C$182,2,FALSE),"")</f>
        <v/>
      </c>
      <c r="G782" s="49" t="str">
        <f>IFERROR(VLOOKUP(E782,'Condensed Specialty Crosswalk'!$A$2:$C$182,3,FALSE),"")</f>
        <v/>
      </c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</row>
    <row r="783" spans="1:30" ht="17">
      <c r="A783" s="49"/>
      <c r="B783" s="49" t="str">
        <f>CONCATENATE(Reports!E782," ",Reports!F782," ",Reports!G782)</f>
        <v xml:space="preserve">  </v>
      </c>
      <c r="C783" s="101"/>
      <c r="D783" s="101"/>
      <c r="E783" s="49" t="str">
        <f>IFERROR(VLOOKUP(D783,'taxonomy map'!$A$1:$B$171,2,FALSE),"")</f>
        <v/>
      </c>
      <c r="F783" s="49" t="str">
        <f>IFERROR(VLOOKUP(E783,'Condensed Specialty Crosswalk'!$A$2:$C$182,2,FALSE),"")</f>
        <v/>
      </c>
      <c r="G783" s="49" t="str">
        <f>IFERROR(VLOOKUP(E783,'Condensed Specialty Crosswalk'!$A$2:$C$182,3,FALSE),"")</f>
        <v/>
      </c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</row>
    <row r="784" spans="1:30" ht="17">
      <c r="A784" s="49"/>
      <c r="B784" s="49" t="str">
        <f>CONCATENATE(Reports!E783," ",Reports!F783," ",Reports!G783)</f>
        <v xml:space="preserve">  </v>
      </c>
      <c r="C784" s="101"/>
      <c r="D784" s="101"/>
      <c r="E784" s="49" t="str">
        <f>IFERROR(VLOOKUP(D784,'taxonomy map'!$A$1:$B$171,2,FALSE),"")</f>
        <v/>
      </c>
      <c r="F784" s="49" t="str">
        <f>IFERROR(VLOOKUP(E784,'Condensed Specialty Crosswalk'!$A$2:$C$182,2,FALSE),"")</f>
        <v/>
      </c>
      <c r="G784" s="49" t="str">
        <f>IFERROR(VLOOKUP(E784,'Condensed Specialty Crosswalk'!$A$2:$C$182,3,FALSE),"")</f>
        <v/>
      </c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</row>
    <row r="785" spans="1:30" ht="17">
      <c r="A785" s="49"/>
      <c r="B785" s="49" t="str">
        <f>CONCATENATE(Reports!E784," ",Reports!F784," ",Reports!G784)</f>
        <v xml:space="preserve">  </v>
      </c>
      <c r="C785" s="101"/>
      <c r="D785" s="101"/>
      <c r="E785" s="49" t="str">
        <f>IFERROR(VLOOKUP(D785,'taxonomy map'!$A$1:$B$171,2,FALSE),"")</f>
        <v/>
      </c>
      <c r="F785" s="49" t="str">
        <f>IFERROR(VLOOKUP(E785,'Condensed Specialty Crosswalk'!$A$2:$C$182,2,FALSE),"")</f>
        <v/>
      </c>
      <c r="G785" s="49" t="str">
        <f>IFERROR(VLOOKUP(E785,'Condensed Specialty Crosswalk'!$A$2:$C$182,3,FALSE),"")</f>
        <v/>
      </c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</row>
    <row r="786" spans="1:30" ht="17">
      <c r="A786" s="49"/>
      <c r="B786" s="49" t="str">
        <f>CONCATENATE(Reports!E785," ",Reports!F785," ",Reports!G785)</f>
        <v xml:space="preserve">  </v>
      </c>
      <c r="C786" s="101"/>
      <c r="D786" s="101"/>
      <c r="E786" s="49" t="str">
        <f>IFERROR(VLOOKUP(D786,'taxonomy map'!$A$1:$B$171,2,FALSE),"")</f>
        <v/>
      </c>
      <c r="F786" s="49" t="str">
        <f>IFERROR(VLOOKUP(E786,'Condensed Specialty Crosswalk'!$A$2:$C$182,2,FALSE),"")</f>
        <v/>
      </c>
      <c r="G786" s="49" t="str">
        <f>IFERROR(VLOOKUP(E786,'Condensed Specialty Crosswalk'!$A$2:$C$182,3,FALSE),"")</f>
        <v/>
      </c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</row>
    <row r="787" spans="1:30" ht="17">
      <c r="A787" s="49"/>
      <c r="B787" s="49" t="str">
        <f>CONCATENATE(Reports!E786," ",Reports!F786," ",Reports!G786)</f>
        <v xml:space="preserve">  </v>
      </c>
      <c r="C787" s="101"/>
      <c r="D787" s="101"/>
      <c r="E787" s="49" t="str">
        <f>IFERROR(VLOOKUP(D787,'taxonomy map'!$A$1:$B$171,2,FALSE),"")</f>
        <v/>
      </c>
      <c r="F787" s="49" t="str">
        <f>IFERROR(VLOOKUP(E787,'Condensed Specialty Crosswalk'!$A$2:$C$182,2,FALSE),"")</f>
        <v/>
      </c>
      <c r="G787" s="49" t="str">
        <f>IFERROR(VLOOKUP(E787,'Condensed Specialty Crosswalk'!$A$2:$C$182,3,FALSE),"")</f>
        <v/>
      </c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</row>
    <row r="788" spans="1:30" ht="17">
      <c r="A788" s="49"/>
      <c r="B788" s="49" t="str">
        <f>CONCATENATE(Reports!E787," ",Reports!F787," ",Reports!G787)</f>
        <v xml:space="preserve">  </v>
      </c>
      <c r="C788" s="101"/>
      <c r="D788" s="101"/>
      <c r="E788" s="49" t="str">
        <f>IFERROR(VLOOKUP(D788,'taxonomy map'!$A$1:$B$171,2,FALSE),"")</f>
        <v/>
      </c>
      <c r="F788" s="49" t="str">
        <f>IFERROR(VLOOKUP(E788,'Condensed Specialty Crosswalk'!$A$2:$C$182,2,FALSE),"")</f>
        <v/>
      </c>
      <c r="G788" s="49" t="str">
        <f>IFERROR(VLOOKUP(E788,'Condensed Specialty Crosswalk'!$A$2:$C$182,3,FALSE),"")</f>
        <v/>
      </c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</row>
    <row r="789" spans="1:30" ht="17">
      <c r="A789" s="49"/>
      <c r="B789" s="49" t="str">
        <f>CONCATENATE(Reports!E788," ",Reports!F788," ",Reports!G788)</f>
        <v xml:space="preserve">  </v>
      </c>
      <c r="C789" s="101"/>
      <c r="D789" s="101"/>
      <c r="E789" s="49" t="str">
        <f>IFERROR(VLOOKUP(D789,'taxonomy map'!$A$1:$B$171,2,FALSE),"")</f>
        <v/>
      </c>
      <c r="F789" s="49" t="str">
        <f>IFERROR(VLOOKUP(E789,'Condensed Specialty Crosswalk'!$A$2:$C$182,2,FALSE),"")</f>
        <v/>
      </c>
      <c r="G789" s="49" t="str">
        <f>IFERROR(VLOOKUP(E789,'Condensed Specialty Crosswalk'!$A$2:$C$182,3,FALSE),"")</f>
        <v/>
      </c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</row>
    <row r="790" spans="1:30" ht="17">
      <c r="A790" s="49"/>
      <c r="B790" s="49" t="str">
        <f>CONCATENATE(Reports!E789," ",Reports!F789," ",Reports!G789)</f>
        <v xml:space="preserve">  </v>
      </c>
      <c r="C790" s="101"/>
      <c r="D790" s="101"/>
      <c r="E790" s="49" t="str">
        <f>IFERROR(VLOOKUP(D790,'taxonomy map'!$A$1:$B$171,2,FALSE),"")</f>
        <v/>
      </c>
      <c r="F790" s="49" t="str">
        <f>IFERROR(VLOOKUP(E790,'Condensed Specialty Crosswalk'!$A$2:$C$182,2,FALSE),"")</f>
        <v/>
      </c>
      <c r="G790" s="49" t="str">
        <f>IFERROR(VLOOKUP(E790,'Condensed Specialty Crosswalk'!$A$2:$C$182,3,FALSE),"")</f>
        <v/>
      </c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</row>
    <row r="791" spans="1:30" ht="17">
      <c r="A791" s="49"/>
      <c r="B791" s="49" t="str">
        <f>CONCATENATE(Reports!E790," ",Reports!F790," ",Reports!G790)</f>
        <v xml:space="preserve">  </v>
      </c>
      <c r="C791" s="101"/>
      <c r="D791" s="101"/>
      <c r="E791" s="49" t="str">
        <f>IFERROR(VLOOKUP(D791,'taxonomy map'!$A$1:$B$171,2,FALSE),"")</f>
        <v/>
      </c>
      <c r="F791" s="49" t="str">
        <f>IFERROR(VLOOKUP(E791,'Condensed Specialty Crosswalk'!$A$2:$C$182,2,FALSE),"")</f>
        <v/>
      </c>
      <c r="G791" s="49" t="str">
        <f>IFERROR(VLOOKUP(E791,'Condensed Specialty Crosswalk'!$A$2:$C$182,3,FALSE),"")</f>
        <v/>
      </c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</row>
    <row r="792" spans="1:30" ht="17">
      <c r="A792" s="49"/>
      <c r="B792" s="49" t="str">
        <f>CONCATENATE(Reports!E791," ",Reports!F791," ",Reports!G791)</f>
        <v xml:space="preserve">  </v>
      </c>
      <c r="C792" s="101"/>
      <c r="D792" s="101"/>
      <c r="E792" s="49" t="str">
        <f>IFERROR(VLOOKUP(D792,'taxonomy map'!$A$1:$B$171,2,FALSE),"")</f>
        <v/>
      </c>
      <c r="F792" s="49" t="str">
        <f>IFERROR(VLOOKUP(E792,'Condensed Specialty Crosswalk'!$A$2:$C$182,2,FALSE),"")</f>
        <v/>
      </c>
      <c r="G792" s="49" t="str">
        <f>IFERROR(VLOOKUP(E792,'Condensed Specialty Crosswalk'!$A$2:$C$182,3,FALSE),"")</f>
        <v/>
      </c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</row>
    <row r="793" spans="1:30" ht="17">
      <c r="A793" s="49"/>
      <c r="B793" s="49" t="str">
        <f>CONCATENATE(Reports!E792," ",Reports!F792," ",Reports!G792)</f>
        <v xml:space="preserve">  </v>
      </c>
      <c r="C793" s="101"/>
      <c r="D793" s="101"/>
      <c r="E793" s="49" t="str">
        <f>IFERROR(VLOOKUP(D793,'taxonomy map'!$A$1:$B$171,2,FALSE),"")</f>
        <v/>
      </c>
      <c r="F793" s="49" t="str">
        <f>IFERROR(VLOOKUP(E793,'Condensed Specialty Crosswalk'!$A$2:$C$182,2,FALSE),"")</f>
        <v/>
      </c>
      <c r="G793" s="49" t="str">
        <f>IFERROR(VLOOKUP(E793,'Condensed Specialty Crosswalk'!$A$2:$C$182,3,FALSE),"")</f>
        <v/>
      </c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</row>
    <row r="794" spans="1:30" ht="17">
      <c r="A794" s="49"/>
      <c r="B794" s="49" t="str">
        <f>CONCATENATE(Reports!E793," ",Reports!F793," ",Reports!G793)</f>
        <v xml:space="preserve">  </v>
      </c>
      <c r="C794" s="101"/>
      <c r="D794" s="101"/>
      <c r="E794" s="49" t="str">
        <f>IFERROR(VLOOKUP(D794,'taxonomy map'!$A$1:$B$171,2,FALSE),"")</f>
        <v/>
      </c>
      <c r="F794" s="49" t="str">
        <f>IFERROR(VLOOKUP(E794,'Condensed Specialty Crosswalk'!$A$2:$C$182,2,FALSE),"")</f>
        <v/>
      </c>
      <c r="G794" s="49" t="str">
        <f>IFERROR(VLOOKUP(E794,'Condensed Specialty Crosswalk'!$A$2:$C$182,3,FALSE),"")</f>
        <v/>
      </c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</row>
    <row r="795" spans="1:30" ht="17">
      <c r="A795" s="49"/>
      <c r="B795" s="49" t="str">
        <f>CONCATENATE(Reports!E794," ",Reports!F794," ",Reports!G794)</f>
        <v xml:space="preserve">  </v>
      </c>
      <c r="C795" s="101"/>
      <c r="D795" s="101"/>
      <c r="E795" s="49" t="str">
        <f>IFERROR(VLOOKUP(D795,'taxonomy map'!$A$1:$B$171,2,FALSE),"")</f>
        <v/>
      </c>
      <c r="F795" s="49" t="str">
        <f>IFERROR(VLOOKUP(E795,'Condensed Specialty Crosswalk'!$A$2:$C$182,2,FALSE),"")</f>
        <v/>
      </c>
      <c r="G795" s="49" t="str">
        <f>IFERROR(VLOOKUP(E795,'Condensed Specialty Crosswalk'!$A$2:$C$182,3,FALSE),"")</f>
        <v/>
      </c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</row>
    <row r="796" spans="1:30" ht="17">
      <c r="A796" s="49"/>
      <c r="B796" s="49" t="str">
        <f>CONCATENATE(Reports!E795," ",Reports!F795," ",Reports!G795)</f>
        <v xml:space="preserve">  </v>
      </c>
      <c r="C796" s="101"/>
      <c r="D796" s="101"/>
      <c r="E796" s="49" t="str">
        <f>IFERROR(VLOOKUP(D796,'taxonomy map'!$A$1:$B$171,2,FALSE),"")</f>
        <v/>
      </c>
      <c r="F796" s="49" t="str">
        <f>IFERROR(VLOOKUP(E796,'Condensed Specialty Crosswalk'!$A$2:$C$182,2,FALSE),"")</f>
        <v/>
      </c>
      <c r="G796" s="49" t="str">
        <f>IFERROR(VLOOKUP(E796,'Condensed Specialty Crosswalk'!$A$2:$C$182,3,FALSE),"")</f>
        <v/>
      </c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</row>
    <row r="797" spans="1:30" ht="17">
      <c r="A797" s="49"/>
      <c r="B797" s="49" t="str">
        <f>CONCATENATE(Reports!E796," ",Reports!F796," ",Reports!G796)</f>
        <v xml:space="preserve">  </v>
      </c>
      <c r="C797" s="101"/>
      <c r="D797" s="101"/>
      <c r="E797" s="49" t="str">
        <f>IFERROR(VLOOKUP(D797,'taxonomy map'!$A$1:$B$171,2,FALSE),"")</f>
        <v/>
      </c>
      <c r="F797" s="49" t="str">
        <f>IFERROR(VLOOKUP(E797,'Condensed Specialty Crosswalk'!$A$2:$C$182,2,FALSE),"")</f>
        <v/>
      </c>
      <c r="G797" s="49" t="str">
        <f>IFERROR(VLOOKUP(E797,'Condensed Specialty Crosswalk'!$A$2:$C$182,3,FALSE),"")</f>
        <v/>
      </c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</row>
    <row r="798" spans="1:30" ht="17">
      <c r="A798" s="49"/>
      <c r="B798" s="49" t="str">
        <f>CONCATENATE(Reports!E797," ",Reports!F797," ",Reports!G797)</f>
        <v xml:space="preserve">  </v>
      </c>
      <c r="C798" s="101"/>
      <c r="D798" s="101"/>
      <c r="E798" s="49" t="str">
        <f>IFERROR(VLOOKUP(D798,'taxonomy map'!$A$1:$B$171,2,FALSE),"")</f>
        <v/>
      </c>
      <c r="F798" s="49" t="str">
        <f>IFERROR(VLOOKUP(E798,'Condensed Specialty Crosswalk'!$A$2:$C$182,2,FALSE),"")</f>
        <v/>
      </c>
      <c r="G798" s="49" t="str">
        <f>IFERROR(VLOOKUP(E798,'Condensed Specialty Crosswalk'!$A$2:$C$182,3,FALSE),"")</f>
        <v/>
      </c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</row>
    <row r="799" spans="1:30" ht="17">
      <c r="A799" s="49"/>
      <c r="B799" s="49" t="str">
        <f>CONCATENATE(Reports!E798," ",Reports!F798," ",Reports!G798)</f>
        <v xml:space="preserve">  </v>
      </c>
      <c r="C799" s="101"/>
      <c r="D799" s="101"/>
      <c r="E799" s="49" t="str">
        <f>IFERROR(VLOOKUP(D799,'taxonomy map'!$A$1:$B$171,2,FALSE),"")</f>
        <v/>
      </c>
      <c r="F799" s="49" t="str">
        <f>IFERROR(VLOOKUP(E799,'Condensed Specialty Crosswalk'!$A$2:$C$182,2,FALSE),"")</f>
        <v/>
      </c>
      <c r="G799" s="49" t="str">
        <f>IFERROR(VLOOKUP(E799,'Condensed Specialty Crosswalk'!$A$2:$C$182,3,FALSE),"")</f>
        <v/>
      </c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</row>
    <row r="800" spans="1:30" ht="17">
      <c r="A800" s="49"/>
      <c r="B800" s="49" t="str">
        <f>CONCATENATE(Reports!E799," ",Reports!F799," ",Reports!G799)</f>
        <v xml:space="preserve">  </v>
      </c>
      <c r="C800" s="101"/>
      <c r="D800" s="101"/>
      <c r="E800" s="49" t="str">
        <f>IFERROR(VLOOKUP(D800,'taxonomy map'!$A$1:$B$171,2,FALSE),"")</f>
        <v/>
      </c>
      <c r="F800" s="49" t="str">
        <f>IFERROR(VLOOKUP(E800,'Condensed Specialty Crosswalk'!$A$2:$C$182,2,FALSE),"")</f>
        <v/>
      </c>
      <c r="G800" s="49" t="str">
        <f>IFERROR(VLOOKUP(E800,'Condensed Specialty Crosswalk'!$A$2:$C$182,3,FALSE),"")</f>
        <v/>
      </c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</row>
    <row r="801" spans="1:30" ht="17">
      <c r="A801" s="49"/>
      <c r="B801" s="49" t="str">
        <f>CONCATENATE(Reports!E800," ",Reports!F800," ",Reports!G800)</f>
        <v xml:space="preserve">  </v>
      </c>
      <c r="C801" s="101"/>
      <c r="D801" s="101"/>
      <c r="E801" s="49" t="str">
        <f>IFERROR(VLOOKUP(D801,'taxonomy map'!$A$1:$B$171,2,FALSE),"")</f>
        <v/>
      </c>
      <c r="F801" s="49" t="str">
        <f>IFERROR(VLOOKUP(E801,'Condensed Specialty Crosswalk'!$A$2:$C$182,2,FALSE),"")</f>
        <v/>
      </c>
      <c r="G801" s="49" t="str">
        <f>IFERROR(VLOOKUP(E801,'Condensed Specialty Crosswalk'!$A$2:$C$182,3,FALSE),"")</f>
        <v/>
      </c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</row>
    <row r="802" spans="1:30" ht="17">
      <c r="A802" s="49"/>
      <c r="B802" s="49" t="str">
        <f>CONCATENATE(Reports!E801," ",Reports!F801," ",Reports!G801)</f>
        <v xml:space="preserve">  </v>
      </c>
      <c r="C802" s="101"/>
      <c r="D802" s="101"/>
      <c r="E802" s="49" t="str">
        <f>IFERROR(VLOOKUP(D802,'taxonomy map'!$A$1:$B$171,2,FALSE),"")</f>
        <v/>
      </c>
      <c r="F802" s="49" t="str">
        <f>IFERROR(VLOOKUP(E802,'Condensed Specialty Crosswalk'!$A$2:$C$182,2,FALSE),"")</f>
        <v/>
      </c>
      <c r="G802" s="49" t="str">
        <f>IFERROR(VLOOKUP(E802,'Condensed Specialty Crosswalk'!$A$2:$C$182,3,FALSE),"")</f>
        <v/>
      </c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</row>
    <row r="803" spans="1:30" ht="17">
      <c r="A803" s="49"/>
      <c r="B803" s="49" t="str">
        <f>CONCATENATE(Reports!E802," ",Reports!F802," ",Reports!G802)</f>
        <v xml:space="preserve">  </v>
      </c>
      <c r="C803" s="101"/>
      <c r="D803" s="101"/>
      <c r="E803" s="49" t="str">
        <f>IFERROR(VLOOKUP(D803,'taxonomy map'!$A$1:$B$171,2,FALSE),"")</f>
        <v/>
      </c>
      <c r="F803" s="49" t="str">
        <f>IFERROR(VLOOKUP(E803,'Condensed Specialty Crosswalk'!$A$2:$C$182,2,FALSE),"")</f>
        <v/>
      </c>
      <c r="G803" s="49" t="str">
        <f>IFERROR(VLOOKUP(E803,'Condensed Specialty Crosswalk'!$A$2:$C$182,3,FALSE),"")</f>
        <v/>
      </c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</row>
    <row r="804" spans="1:30" ht="17">
      <c r="A804" s="49"/>
      <c r="B804" s="49" t="str">
        <f>CONCATENATE(Reports!E803," ",Reports!F803," ",Reports!G803)</f>
        <v xml:space="preserve">  </v>
      </c>
      <c r="C804" s="101"/>
      <c r="D804" s="101"/>
      <c r="E804" s="49" t="str">
        <f>IFERROR(VLOOKUP(D804,'taxonomy map'!$A$1:$B$171,2,FALSE),"")</f>
        <v/>
      </c>
      <c r="F804" s="49" t="str">
        <f>IFERROR(VLOOKUP(E804,'Condensed Specialty Crosswalk'!$A$2:$C$182,2,FALSE),"")</f>
        <v/>
      </c>
      <c r="G804" s="49" t="str">
        <f>IFERROR(VLOOKUP(E804,'Condensed Specialty Crosswalk'!$A$2:$C$182,3,FALSE),"")</f>
        <v/>
      </c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</row>
    <row r="805" spans="1:30" ht="17">
      <c r="A805" s="49"/>
      <c r="B805" s="49" t="str">
        <f>CONCATENATE(Reports!E804," ",Reports!F804," ",Reports!G804)</f>
        <v xml:space="preserve">  </v>
      </c>
      <c r="C805" s="101"/>
      <c r="D805" s="101"/>
      <c r="E805" s="49" t="str">
        <f>IFERROR(VLOOKUP(D805,'taxonomy map'!$A$1:$B$171,2,FALSE),"")</f>
        <v/>
      </c>
      <c r="F805" s="49" t="str">
        <f>IFERROR(VLOOKUP(E805,'Condensed Specialty Crosswalk'!$A$2:$C$182,2,FALSE),"")</f>
        <v/>
      </c>
      <c r="G805" s="49" t="str">
        <f>IFERROR(VLOOKUP(E805,'Condensed Specialty Crosswalk'!$A$2:$C$182,3,FALSE),"")</f>
        <v/>
      </c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</row>
    <row r="806" spans="1:30" ht="17">
      <c r="A806" s="49"/>
      <c r="B806" s="49" t="str">
        <f>CONCATENATE(Reports!E805," ",Reports!F805," ",Reports!G805)</f>
        <v xml:space="preserve">  </v>
      </c>
      <c r="C806" s="101"/>
      <c r="D806" s="101"/>
      <c r="E806" s="49" t="str">
        <f>IFERROR(VLOOKUP(D806,'taxonomy map'!$A$1:$B$171,2,FALSE),"")</f>
        <v/>
      </c>
      <c r="F806" s="49" t="str">
        <f>IFERROR(VLOOKUP(E806,'Condensed Specialty Crosswalk'!$A$2:$C$182,2,FALSE),"")</f>
        <v/>
      </c>
      <c r="G806" s="49" t="str">
        <f>IFERROR(VLOOKUP(E806,'Condensed Specialty Crosswalk'!$A$2:$C$182,3,FALSE),"")</f>
        <v/>
      </c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</row>
    <row r="807" spans="1:30" ht="17">
      <c r="A807" s="49"/>
      <c r="B807" s="49" t="str">
        <f>CONCATENATE(Reports!E806," ",Reports!F806," ",Reports!G806)</f>
        <v xml:space="preserve">  </v>
      </c>
      <c r="C807" s="101"/>
      <c r="D807" s="101"/>
      <c r="E807" s="49" t="str">
        <f>IFERROR(VLOOKUP(D807,'taxonomy map'!$A$1:$B$171,2,FALSE),"")</f>
        <v/>
      </c>
      <c r="F807" s="49" t="str">
        <f>IFERROR(VLOOKUP(E807,'Condensed Specialty Crosswalk'!$A$2:$C$182,2,FALSE),"")</f>
        <v/>
      </c>
      <c r="G807" s="49" t="str">
        <f>IFERROR(VLOOKUP(E807,'Condensed Specialty Crosswalk'!$A$2:$C$182,3,FALSE),"")</f>
        <v/>
      </c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</row>
    <row r="808" spans="1:30" ht="17">
      <c r="A808" s="49"/>
      <c r="B808" s="49" t="str">
        <f>CONCATENATE(Reports!E807," ",Reports!F807," ",Reports!G807)</f>
        <v xml:space="preserve">  </v>
      </c>
      <c r="C808" s="101"/>
      <c r="D808" s="101"/>
      <c r="E808" s="49" t="str">
        <f>IFERROR(VLOOKUP(D808,'taxonomy map'!$A$1:$B$171,2,FALSE),"")</f>
        <v/>
      </c>
      <c r="F808" s="49" t="str">
        <f>IFERROR(VLOOKUP(E808,'Condensed Specialty Crosswalk'!$A$2:$C$182,2,FALSE),"")</f>
        <v/>
      </c>
      <c r="G808" s="49" t="str">
        <f>IFERROR(VLOOKUP(E808,'Condensed Specialty Crosswalk'!$A$2:$C$182,3,FALSE),"")</f>
        <v/>
      </c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</row>
    <row r="809" spans="1:30" ht="17">
      <c r="A809" s="49"/>
      <c r="B809" s="49" t="str">
        <f>CONCATENATE(Reports!E808," ",Reports!F808," ",Reports!G808)</f>
        <v xml:space="preserve">  </v>
      </c>
      <c r="C809" s="101"/>
      <c r="D809" s="101"/>
      <c r="E809" s="49" t="str">
        <f>IFERROR(VLOOKUP(D809,'taxonomy map'!$A$1:$B$171,2,FALSE),"")</f>
        <v/>
      </c>
      <c r="F809" s="49" t="str">
        <f>IFERROR(VLOOKUP(E809,'Condensed Specialty Crosswalk'!$A$2:$C$182,2,FALSE),"")</f>
        <v/>
      </c>
      <c r="G809" s="49" t="str">
        <f>IFERROR(VLOOKUP(E809,'Condensed Specialty Crosswalk'!$A$2:$C$182,3,FALSE),"")</f>
        <v/>
      </c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</row>
    <row r="810" spans="1:30" ht="17">
      <c r="A810" s="49"/>
      <c r="B810" s="49" t="str">
        <f>CONCATENATE(Reports!E809," ",Reports!F809," ",Reports!G809)</f>
        <v xml:space="preserve">  </v>
      </c>
      <c r="C810" s="101"/>
      <c r="D810" s="101"/>
      <c r="E810" s="49" t="str">
        <f>IFERROR(VLOOKUP(D810,'taxonomy map'!$A$1:$B$171,2,FALSE),"")</f>
        <v/>
      </c>
      <c r="F810" s="49" t="str">
        <f>IFERROR(VLOOKUP(E810,'Condensed Specialty Crosswalk'!$A$2:$C$182,2,FALSE),"")</f>
        <v/>
      </c>
      <c r="G810" s="49" t="str">
        <f>IFERROR(VLOOKUP(E810,'Condensed Specialty Crosswalk'!$A$2:$C$182,3,FALSE),"")</f>
        <v/>
      </c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</row>
    <row r="811" spans="1:30" ht="17">
      <c r="A811" s="49"/>
      <c r="B811" s="49" t="str">
        <f>CONCATENATE(Reports!E810," ",Reports!F810," ",Reports!G810)</f>
        <v xml:space="preserve">  </v>
      </c>
      <c r="C811" s="101"/>
      <c r="D811" s="101"/>
      <c r="E811" s="49" t="str">
        <f>IFERROR(VLOOKUP(D811,'taxonomy map'!$A$1:$B$171,2,FALSE),"")</f>
        <v/>
      </c>
      <c r="F811" s="49" t="str">
        <f>IFERROR(VLOOKUP(E811,'Condensed Specialty Crosswalk'!$A$2:$C$182,2,FALSE),"")</f>
        <v/>
      </c>
      <c r="G811" s="49" t="str">
        <f>IFERROR(VLOOKUP(E811,'Condensed Specialty Crosswalk'!$A$2:$C$182,3,FALSE),"")</f>
        <v/>
      </c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</row>
    <row r="812" spans="1:30" ht="17">
      <c r="A812" s="49"/>
      <c r="B812" s="49" t="str">
        <f>CONCATENATE(Reports!E811," ",Reports!F811," ",Reports!G811)</f>
        <v xml:space="preserve">  </v>
      </c>
      <c r="C812" s="101"/>
      <c r="D812" s="101"/>
      <c r="E812" s="49" t="str">
        <f>IFERROR(VLOOKUP(D812,'taxonomy map'!$A$1:$B$171,2,FALSE),"")</f>
        <v/>
      </c>
      <c r="F812" s="49" t="str">
        <f>IFERROR(VLOOKUP(E812,'Condensed Specialty Crosswalk'!$A$2:$C$182,2,FALSE),"")</f>
        <v/>
      </c>
      <c r="G812" s="49" t="str">
        <f>IFERROR(VLOOKUP(E812,'Condensed Specialty Crosswalk'!$A$2:$C$182,3,FALSE),"")</f>
        <v/>
      </c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</row>
    <row r="813" spans="1:30" ht="17">
      <c r="A813" s="49"/>
      <c r="B813" s="49" t="str">
        <f>CONCATENATE(Reports!E812," ",Reports!F812," ",Reports!G812)</f>
        <v xml:space="preserve">  </v>
      </c>
      <c r="C813" s="101"/>
      <c r="D813" s="101"/>
      <c r="E813" s="49" t="str">
        <f>IFERROR(VLOOKUP(D813,'taxonomy map'!$A$1:$B$171,2,FALSE),"")</f>
        <v/>
      </c>
      <c r="F813" s="49" t="str">
        <f>IFERROR(VLOOKUP(E813,'Condensed Specialty Crosswalk'!$A$2:$C$182,2,FALSE),"")</f>
        <v/>
      </c>
      <c r="G813" s="49" t="str">
        <f>IFERROR(VLOOKUP(E813,'Condensed Specialty Crosswalk'!$A$2:$C$182,3,FALSE),"")</f>
        <v/>
      </c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</row>
    <row r="814" spans="1:30" ht="17">
      <c r="A814" s="49"/>
      <c r="B814" s="49" t="str">
        <f>CONCATENATE(Reports!E813," ",Reports!F813," ",Reports!G813)</f>
        <v xml:space="preserve">  </v>
      </c>
      <c r="C814" s="101"/>
      <c r="D814" s="101"/>
      <c r="E814" s="49" t="str">
        <f>IFERROR(VLOOKUP(D814,'taxonomy map'!$A$1:$B$171,2,FALSE),"")</f>
        <v/>
      </c>
      <c r="F814" s="49" t="str">
        <f>IFERROR(VLOOKUP(E814,'Condensed Specialty Crosswalk'!$A$2:$C$182,2,FALSE),"")</f>
        <v/>
      </c>
      <c r="G814" s="49" t="str">
        <f>IFERROR(VLOOKUP(E814,'Condensed Specialty Crosswalk'!$A$2:$C$182,3,FALSE),"")</f>
        <v/>
      </c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</row>
    <row r="815" spans="1:30" ht="17">
      <c r="A815" s="49"/>
      <c r="B815" s="49" t="str">
        <f>CONCATENATE(Reports!E814," ",Reports!F814," ",Reports!G814)</f>
        <v xml:space="preserve">  </v>
      </c>
      <c r="C815" s="101"/>
      <c r="D815" s="101"/>
      <c r="E815" s="49" t="str">
        <f>IFERROR(VLOOKUP(D815,'taxonomy map'!$A$1:$B$171,2,FALSE),"")</f>
        <v/>
      </c>
      <c r="F815" s="49" t="str">
        <f>IFERROR(VLOOKUP(E815,'Condensed Specialty Crosswalk'!$A$2:$C$182,2,FALSE),"")</f>
        <v/>
      </c>
      <c r="G815" s="49" t="str">
        <f>IFERROR(VLOOKUP(E815,'Condensed Specialty Crosswalk'!$A$2:$C$182,3,FALSE),"")</f>
        <v/>
      </c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</row>
    <row r="816" spans="1:30" ht="17">
      <c r="A816" s="49"/>
      <c r="B816" s="49" t="str">
        <f>CONCATENATE(Reports!E815," ",Reports!F815," ",Reports!G815)</f>
        <v xml:space="preserve">  </v>
      </c>
      <c r="C816" s="101"/>
      <c r="D816" s="101"/>
      <c r="E816" s="49" t="str">
        <f>IFERROR(VLOOKUP(D816,'taxonomy map'!$A$1:$B$171,2,FALSE),"")</f>
        <v/>
      </c>
      <c r="F816" s="49" t="str">
        <f>IFERROR(VLOOKUP(E816,'Condensed Specialty Crosswalk'!$A$2:$C$182,2,FALSE),"")</f>
        <v/>
      </c>
      <c r="G816" s="49" t="str">
        <f>IFERROR(VLOOKUP(E816,'Condensed Specialty Crosswalk'!$A$2:$C$182,3,FALSE),"")</f>
        <v/>
      </c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</row>
    <row r="817" spans="1:30" ht="17">
      <c r="A817" s="49"/>
      <c r="B817" s="49" t="str">
        <f>CONCATENATE(Reports!E816," ",Reports!F816," ",Reports!G816)</f>
        <v xml:space="preserve">  </v>
      </c>
      <c r="C817" s="101"/>
      <c r="D817" s="101"/>
      <c r="E817" s="49" t="str">
        <f>IFERROR(VLOOKUP(D817,'taxonomy map'!$A$1:$B$171,2,FALSE),"")</f>
        <v/>
      </c>
      <c r="F817" s="49" t="str">
        <f>IFERROR(VLOOKUP(E817,'Condensed Specialty Crosswalk'!$A$2:$C$182,2,FALSE),"")</f>
        <v/>
      </c>
      <c r="G817" s="49" t="str">
        <f>IFERROR(VLOOKUP(E817,'Condensed Specialty Crosswalk'!$A$2:$C$182,3,FALSE),"")</f>
        <v/>
      </c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</row>
    <row r="818" spans="1:30" ht="17">
      <c r="A818" s="49"/>
      <c r="B818" s="49" t="str">
        <f>CONCATENATE(Reports!E817," ",Reports!F817," ",Reports!G817)</f>
        <v xml:space="preserve">  </v>
      </c>
      <c r="C818" s="101"/>
      <c r="D818" s="101"/>
      <c r="E818" s="49" t="str">
        <f>IFERROR(VLOOKUP(D818,'taxonomy map'!$A$1:$B$171,2,FALSE),"")</f>
        <v/>
      </c>
      <c r="F818" s="49" t="str">
        <f>IFERROR(VLOOKUP(E818,'Condensed Specialty Crosswalk'!$A$2:$C$182,2,FALSE),"")</f>
        <v/>
      </c>
      <c r="G818" s="49" t="str">
        <f>IFERROR(VLOOKUP(E818,'Condensed Specialty Crosswalk'!$A$2:$C$182,3,FALSE),"")</f>
        <v/>
      </c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</row>
    <row r="819" spans="1:30" ht="17">
      <c r="A819" s="49"/>
      <c r="B819" s="49" t="str">
        <f>CONCATENATE(Reports!E818," ",Reports!F818," ",Reports!G818)</f>
        <v xml:space="preserve">  </v>
      </c>
      <c r="C819" s="101"/>
      <c r="D819" s="101"/>
      <c r="E819" s="49" t="str">
        <f>IFERROR(VLOOKUP(D819,'taxonomy map'!$A$1:$B$171,2,FALSE),"")</f>
        <v/>
      </c>
      <c r="F819" s="49" t="str">
        <f>IFERROR(VLOOKUP(E819,'Condensed Specialty Crosswalk'!$A$2:$C$182,2,FALSE),"")</f>
        <v/>
      </c>
      <c r="G819" s="49" t="str">
        <f>IFERROR(VLOOKUP(E819,'Condensed Specialty Crosswalk'!$A$2:$C$182,3,FALSE),"")</f>
        <v/>
      </c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</row>
    <row r="820" spans="1:30" ht="17">
      <c r="A820" s="49"/>
      <c r="B820" s="49" t="str">
        <f>CONCATENATE(Reports!E819," ",Reports!F819," ",Reports!G819)</f>
        <v xml:space="preserve">  </v>
      </c>
      <c r="C820" s="101"/>
      <c r="D820" s="101"/>
      <c r="E820" s="49" t="str">
        <f>IFERROR(VLOOKUP(D820,'taxonomy map'!$A$1:$B$171,2,FALSE),"")</f>
        <v/>
      </c>
      <c r="F820" s="49" t="str">
        <f>IFERROR(VLOOKUP(E820,'Condensed Specialty Crosswalk'!$A$2:$C$182,2,FALSE),"")</f>
        <v/>
      </c>
      <c r="G820" s="49" t="str">
        <f>IFERROR(VLOOKUP(E820,'Condensed Specialty Crosswalk'!$A$2:$C$182,3,FALSE),"")</f>
        <v/>
      </c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</row>
    <row r="821" spans="1:30" ht="17">
      <c r="A821" s="49"/>
      <c r="B821" s="49" t="str">
        <f>CONCATENATE(Reports!E820," ",Reports!F820," ",Reports!G820)</f>
        <v xml:space="preserve">  </v>
      </c>
      <c r="C821" s="101"/>
      <c r="D821" s="101"/>
      <c r="E821" s="49" t="str">
        <f>IFERROR(VLOOKUP(D821,'taxonomy map'!$A$1:$B$171,2,FALSE),"")</f>
        <v/>
      </c>
      <c r="F821" s="49" t="str">
        <f>IFERROR(VLOOKUP(E821,'Condensed Specialty Crosswalk'!$A$2:$C$182,2,FALSE),"")</f>
        <v/>
      </c>
      <c r="G821" s="49" t="str">
        <f>IFERROR(VLOOKUP(E821,'Condensed Specialty Crosswalk'!$A$2:$C$182,3,FALSE),"")</f>
        <v/>
      </c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</row>
    <row r="822" spans="1:30" ht="17">
      <c r="A822" s="49"/>
      <c r="B822" s="49" t="str">
        <f>CONCATENATE(Reports!E821," ",Reports!F821," ",Reports!G821)</f>
        <v xml:space="preserve">  </v>
      </c>
      <c r="C822" s="101"/>
      <c r="D822" s="101"/>
      <c r="E822" s="49" t="str">
        <f>IFERROR(VLOOKUP(D822,'taxonomy map'!$A$1:$B$171,2,FALSE),"")</f>
        <v/>
      </c>
      <c r="F822" s="49" t="str">
        <f>IFERROR(VLOOKUP(E822,'Condensed Specialty Crosswalk'!$A$2:$C$182,2,FALSE),"")</f>
        <v/>
      </c>
      <c r="G822" s="49" t="str">
        <f>IFERROR(VLOOKUP(E822,'Condensed Specialty Crosswalk'!$A$2:$C$182,3,FALSE),"")</f>
        <v/>
      </c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</row>
    <row r="823" spans="1:30" ht="17">
      <c r="A823" s="49"/>
      <c r="B823" s="49" t="str">
        <f>CONCATENATE(Reports!E822," ",Reports!F822," ",Reports!G822)</f>
        <v xml:space="preserve">  </v>
      </c>
      <c r="C823" s="101"/>
      <c r="D823" s="101"/>
      <c r="E823" s="49" t="str">
        <f>IFERROR(VLOOKUP(D823,'taxonomy map'!$A$1:$B$171,2,FALSE),"")</f>
        <v/>
      </c>
      <c r="F823" s="49" t="str">
        <f>IFERROR(VLOOKUP(E823,'Condensed Specialty Crosswalk'!$A$2:$C$182,2,FALSE),"")</f>
        <v/>
      </c>
      <c r="G823" s="49" t="str">
        <f>IFERROR(VLOOKUP(E823,'Condensed Specialty Crosswalk'!$A$2:$C$182,3,FALSE),"")</f>
        <v/>
      </c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</row>
    <row r="824" spans="1:30" ht="17">
      <c r="A824" s="49"/>
      <c r="B824" s="49" t="str">
        <f>CONCATENATE(Reports!E823," ",Reports!F823," ",Reports!G823)</f>
        <v xml:space="preserve">  </v>
      </c>
      <c r="C824" s="101"/>
      <c r="D824" s="101"/>
      <c r="E824" s="49" t="str">
        <f>IFERROR(VLOOKUP(D824,'taxonomy map'!$A$1:$B$171,2,FALSE),"")</f>
        <v/>
      </c>
      <c r="F824" s="49" t="str">
        <f>IFERROR(VLOOKUP(E824,'Condensed Specialty Crosswalk'!$A$2:$C$182,2,FALSE),"")</f>
        <v/>
      </c>
      <c r="G824" s="49" t="str">
        <f>IFERROR(VLOOKUP(E824,'Condensed Specialty Crosswalk'!$A$2:$C$182,3,FALSE),"")</f>
        <v/>
      </c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</row>
    <row r="825" spans="1:30" ht="17">
      <c r="A825" s="49"/>
      <c r="B825" s="49" t="str">
        <f>CONCATENATE(Reports!E824," ",Reports!F824," ",Reports!G824)</f>
        <v xml:space="preserve">  </v>
      </c>
      <c r="C825" s="101"/>
      <c r="D825" s="101"/>
      <c r="E825" s="49" t="str">
        <f>IFERROR(VLOOKUP(D825,'taxonomy map'!$A$1:$B$171,2,FALSE),"")</f>
        <v/>
      </c>
      <c r="F825" s="49" t="str">
        <f>IFERROR(VLOOKUP(E825,'Condensed Specialty Crosswalk'!$A$2:$C$182,2,FALSE),"")</f>
        <v/>
      </c>
      <c r="G825" s="49" t="str">
        <f>IFERROR(VLOOKUP(E825,'Condensed Specialty Crosswalk'!$A$2:$C$182,3,FALSE),"")</f>
        <v/>
      </c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</row>
    <row r="826" spans="1:30" ht="17">
      <c r="A826" s="49"/>
      <c r="B826" s="49" t="str">
        <f>CONCATENATE(Reports!E825," ",Reports!F825," ",Reports!G825)</f>
        <v xml:space="preserve">  </v>
      </c>
      <c r="C826" s="101"/>
      <c r="D826" s="101"/>
      <c r="E826" s="49" t="str">
        <f>IFERROR(VLOOKUP(D826,'taxonomy map'!$A$1:$B$171,2,FALSE),"")</f>
        <v/>
      </c>
      <c r="F826" s="49" t="str">
        <f>IFERROR(VLOOKUP(E826,'Condensed Specialty Crosswalk'!$A$2:$C$182,2,FALSE),"")</f>
        <v/>
      </c>
      <c r="G826" s="49" t="str">
        <f>IFERROR(VLOOKUP(E826,'Condensed Specialty Crosswalk'!$A$2:$C$182,3,FALSE),"")</f>
        <v/>
      </c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</row>
    <row r="827" spans="1:30" ht="17">
      <c r="A827" s="49"/>
      <c r="B827" s="49" t="str">
        <f>CONCATENATE(Reports!E826," ",Reports!F826," ",Reports!G826)</f>
        <v xml:space="preserve">  </v>
      </c>
      <c r="C827" s="101"/>
      <c r="D827" s="101"/>
      <c r="E827" s="49" t="str">
        <f>IFERROR(VLOOKUP(D827,'taxonomy map'!$A$1:$B$171,2,FALSE),"")</f>
        <v/>
      </c>
      <c r="F827" s="49" t="str">
        <f>IFERROR(VLOOKUP(E827,'Condensed Specialty Crosswalk'!$A$2:$C$182,2,FALSE),"")</f>
        <v/>
      </c>
      <c r="G827" s="49" t="str">
        <f>IFERROR(VLOOKUP(E827,'Condensed Specialty Crosswalk'!$A$2:$C$182,3,FALSE),"")</f>
        <v/>
      </c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</row>
    <row r="828" spans="1:30" ht="17">
      <c r="A828" s="49"/>
      <c r="B828" s="49" t="str">
        <f>CONCATENATE(Reports!E827," ",Reports!F827," ",Reports!G827)</f>
        <v xml:space="preserve">  </v>
      </c>
      <c r="C828" s="101"/>
      <c r="D828" s="101"/>
      <c r="E828" s="49" t="str">
        <f>IFERROR(VLOOKUP(D828,'taxonomy map'!$A$1:$B$171,2,FALSE),"")</f>
        <v/>
      </c>
      <c r="F828" s="49" t="str">
        <f>IFERROR(VLOOKUP(E828,'Condensed Specialty Crosswalk'!$A$2:$C$182,2,FALSE),"")</f>
        <v/>
      </c>
      <c r="G828" s="49" t="str">
        <f>IFERROR(VLOOKUP(E828,'Condensed Specialty Crosswalk'!$A$2:$C$182,3,FALSE),"")</f>
        <v/>
      </c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</row>
    <row r="829" spans="1:30" ht="17">
      <c r="A829" s="49"/>
      <c r="B829" s="49" t="str">
        <f>CONCATENATE(Reports!E828," ",Reports!F828," ",Reports!G828)</f>
        <v xml:space="preserve">  </v>
      </c>
      <c r="C829" s="101"/>
      <c r="D829" s="101"/>
      <c r="E829" s="49" t="str">
        <f>IFERROR(VLOOKUP(D829,'taxonomy map'!$A$1:$B$171,2,FALSE),"")</f>
        <v/>
      </c>
      <c r="F829" s="49" t="str">
        <f>IFERROR(VLOOKUP(E829,'Condensed Specialty Crosswalk'!$A$2:$C$182,2,FALSE),"")</f>
        <v/>
      </c>
      <c r="G829" s="49" t="str">
        <f>IFERROR(VLOOKUP(E829,'Condensed Specialty Crosswalk'!$A$2:$C$182,3,FALSE),"")</f>
        <v/>
      </c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</row>
    <row r="830" spans="1:30" ht="17">
      <c r="A830" s="49"/>
      <c r="B830" s="49" t="str">
        <f>CONCATENATE(Reports!E829," ",Reports!F829," ",Reports!G829)</f>
        <v xml:space="preserve">  </v>
      </c>
      <c r="C830" s="101"/>
      <c r="D830" s="101"/>
      <c r="E830" s="49" t="str">
        <f>IFERROR(VLOOKUP(D830,'taxonomy map'!$A$1:$B$171,2,FALSE),"")</f>
        <v/>
      </c>
      <c r="F830" s="49" t="str">
        <f>IFERROR(VLOOKUP(E830,'Condensed Specialty Crosswalk'!$A$2:$C$182,2,FALSE),"")</f>
        <v/>
      </c>
      <c r="G830" s="49" t="str">
        <f>IFERROR(VLOOKUP(E830,'Condensed Specialty Crosswalk'!$A$2:$C$182,3,FALSE),"")</f>
        <v/>
      </c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</row>
    <row r="831" spans="1:30" ht="17">
      <c r="A831" s="49"/>
      <c r="B831" s="49" t="str">
        <f>CONCATENATE(Reports!E830," ",Reports!F830," ",Reports!G830)</f>
        <v xml:space="preserve">  </v>
      </c>
      <c r="C831" s="101"/>
      <c r="D831" s="101"/>
      <c r="E831" s="49" t="str">
        <f>IFERROR(VLOOKUP(D831,'taxonomy map'!$A$1:$B$171,2,FALSE),"")</f>
        <v/>
      </c>
      <c r="F831" s="49" t="str">
        <f>IFERROR(VLOOKUP(E831,'Condensed Specialty Crosswalk'!$A$2:$C$182,2,FALSE),"")</f>
        <v/>
      </c>
      <c r="G831" s="49" t="str">
        <f>IFERROR(VLOOKUP(E831,'Condensed Specialty Crosswalk'!$A$2:$C$182,3,FALSE),"")</f>
        <v/>
      </c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</row>
    <row r="832" spans="1:30" ht="17">
      <c r="A832" s="49"/>
      <c r="B832" s="49" t="str">
        <f>CONCATENATE(Reports!E831," ",Reports!F831," ",Reports!G831)</f>
        <v xml:space="preserve">  </v>
      </c>
      <c r="C832" s="101"/>
      <c r="D832" s="101"/>
      <c r="E832" s="49" t="str">
        <f>IFERROR(VLOOKUP(D832,'taxonomy map'!$A$1:$B$171,2,FALSE),"")</f>
        <v/>
      </c>
      <c r="F832" s="49" t="str">
        <f>IFERROR(VLOOKUP(E832,'Condensed Specialty Crosswalk'!$A$2:$C$182,2,FALSE),"")</f>
        <v/>
      </c>
      <c r="G832" s="49" t="str">
        <f>IFERROR(VLOOKUP(E832,'Condensed Specialty Crosswalk'!$A$2:$C$182,3,FALSE),"")</f>
        <v/>
      </c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</row>
    <row r="833" spans="1:30" ht="17">
      <c r="A833" s="49"/>
      <c r="B833" s="49" t="str">
        <f>CONCATENATE(Reports!E832," ",Reports!F832," ",Reports!G832)</f>
        <v xml:space="preserve">  </v>
      </c>
      <c r="C833" s="101"/>
      <c r="D833" s="101"/>
      <c r="E833" s="49" t="str">
        <f>IFERROR(VLOOKUP(D833,'taxonomy map'!$A$1:$B$171,2,FALSE),"")</f>
        <v/>
      </c>
      <c r="F833" s="49" t="str">
        <f>IFERROR(VLOOKUP(E833,'Condensed Specialty Crosswalk'!$A$2:$C$182,2,FALSE),"")</f>
        <v/>
      </c>
      <c r="G833" s="49" t="str">
        <f>IFERROR(VLOOKUP(E833,'Condensed Specialty Crosswalk'!$A$2:$C$182,3,FALSE),"")</f>
        <v/>
      </c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</row>
    <row r="834" spans="1:30" ht="17">
      <c r="A834" s="49"/>
      <c r="B834" s="49" t="str">
        <f>CONCATENATE(Reports!E833," ",Reports!F833," ",Reports!G833)</f>
        <v xml:space="preserve">  </v>
      </c>
      <c r="C834" s="101"/>
      <c r="D834" s="101"/>
      <c r="E834" s="49" t="str">
        <f>IFERROR(VLOOKUP(D834,'taxonomy map'!$A$1:$B$171,2,FALSE),"")</f>
        <v/>
      </c>
      <c r="F834" s="49" t="str">
        <f>IFERROR(VLOOKUP(E834,'Condensed Specialty Crosswalk'!$A$2:$C$182,2,FALSE),"")</f>
        <v/>
      </c>
      <c r="G834" s="49" t="str">
        <f>IFERROR(VLOOKUP(E834,'Condensed Specialty Crosswalk'!$A$2:$C$182,3,FALSE),"")</f>
        <v/>
      </c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</row>
    <row r="835" spans="1:30" ht="17">
      <c r="A835" s="49"/>
      <c r="B835" s="49" t="str">
        <f>CONCATENATE(Reports!E834," ",Reports!F834," ",Reports!G834)</f>
        <v xml:space="preserve">  </v>
      </c>
      <c r="C835" s="101"/>
      <c r="D835" s="101"/>
      <c r="E835" s="49" t="str">
        <f>IFERROR(VLOOKUP(D835,'taxonomy map'!$A$1:$B$171,2,FALSE),"")</f>
        <v/>
      </c>
      <c r="F835" s="49" t="str">
        <f>IFERROR(VLOOKUP(E835,'Condensed Specialty Crosswalk'!$A$2:$C$182,2,FALSE),"")</f>
        <v/>
      </c>
      <c r="G835" s="49" t="str">
        <f>IFERROR(VLOOKUP(E835,'Condensed Specialty Crosswalk'!$A$2:$C$182,3,FALSE),"")</f>
        <v/>
      </c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</row>
    <row r="836" spans="1:30" ht="17">
      <c r="A836" s="49"/>
      <c r="B836" s="49" t="str">
        <f>CONCATENATE(Reports!E835," ",Reports!F835," ",Reports!G835)</f>
        <v xml:space="preserve">  </v>
      </c>
      <c r="C836" s="101"/>
      <c r="D836" s="101"/>
      <c r="E836" s="49" t="str">
        <f>IFERROR(VLOOKUP(D836,'taxonomy map'!$A$1:$B$171,2,FALSE),"")</f>
        <v/>
      </c>
      <c r="F836" s="49" t="str">
        <f>IFERROR(VLOOKUP(E836,'Condensed Specialty Crosswalk'!$A$2:$C$182,2,FALSE),"")</f>
        <v/>
      </c>
      <c r="G836" s="49" t="str">
        <f>IFERROR(VLOOKUP(E836,'Condensed Specialty Crosswalk'!$A$2:$C$182,3,FALSE),"")</f>
        <v/>
      </c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</row>
    <row r="837" spans="1:30" ht="17">
      <c r="A837" s="49"/>
      <c r="B837" s="49" t="str">
        <f>CONCATENATE(Reports!E836," ",Reports!F836," ",Reports!G836)</f>
        <v xml:space="preserve">  </v>
      </c>
      <c r="C837" s="101"/>
      <c r="D837" s="101"/>
      <c r="E837" s="49" t="str">
        <f>IFERROR(VLOOKUP(D837,'taxonomy map'!$A$1:$B$171,2,FALSE),"")</f>
        <v/>
      </c>
      <c r="F837" s="49" t="str">
        <f>IFERROR(VLOOKUP(E837,'Condensed Specialty Crosswalk'!$A$2:$C$182,2,FALSE),"")</f>
        <v/>
      </c>
      <c r="G837" s="49" t="str">
        <f>IFERROR(VLOOKUP(E837,'Condensed Specialty Crosswalk'!$A$2:$C$182,3,FALSE),"")</f>
        <v/>
      </c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</row>
    <row r="838" spans="1:30" ht="17">
      <c r="A838" s="49"/>
      <c r="B838" s="49" t="str">
        <f>CONCATENATE(Reports!E837," ",Reports!F837," ",Reports!G837)</f>
        <v xml:space="preserve">  </v>
      </c>
      <c r="C838" s="101"/>
      <c r="D838" s="101"/>
      <c r="E838" s="49" t="str">
        <f>IFERROR(VLOOKUP(D838,'taxonomy map'!$A$1:$B$171,2,FALSE),"")</f>
        <v/>
      </c>
      <c r="F838" s="49" t="str">
        <f>IFERROR(VLOOKUP(E838,'Condensed Specialty Crosswalk'!$A$2:$C$182,2,FALSE),"")</f>
        <v/>
      </c>
      <c r="G838" s="49" t="str">
        <f>IFERROR(VLOOKUP(E838,'Condensed Specialty Crosswalk'!$A$2:$C$182,3,FALSE),"")</f>
        <v/>
      </c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</row>
    <row r="839" spans="1:30" ht="17">
      <c r="A839" s="49"/>
      <c r="B839" s="49" t="str">
        <f>CONCATENATE(Reports!E838," ",Reports!F838," ",Reports!G838)</f>
        <v xml:space="preserve">  </v>
      </c>
      <c r="C839" s="101"/>
      <c r="D839" s="101"/>
      <c r="E839" s="49" t="str">
        <f>IFERROR(VLOOKUP(D839,'taxonomy map'!$A$1:$B$171,2,FALSE),"")</f>
        <v/>
      </c>
      <c r="F839" s="49" t="str">
        <f>IFERROR(VLOOKUP(E839,'Condensed Specialty Crosswalk'!$A$2:$C$182,2,FALSE),"")</f>
        <v/>
      </c>
      <c r="G839" s="49" t="str">
        <f>IFERROR(VLOOKUP(E839,'Condensed Specialty Crosswalk'!$A$2:$C$182,3,FALSE),"")</f>
        <v/>
      </c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</row>
    <row r="840" spans="1:30" ht="17">
      <c r="A840" s="49"/>
      <c r="B840" s="49" t="str">
        <f>CONCATENATE(Reports!E839," ",Reports!F839," ",Reports!G839)</f>
        <v xml:space="preserve">  </v>
      </c>
      <c r="C840" s="101"/>
      <c r="D840" s="101"/>
      <c r="E840" s="49" t="str">
        <f>IFERROR(VLOOKUP(D840,'taxonomy map'!$A$1:$B$171,2,FALSE),"")</f>
        <v/>
      </c>
      <c r="F840" s="49" t="str">
        <f>IFERROR(VLOOKUP(E840,'Condensed Specialty Crosswalk'!$A$2:$C$182,2,FALSE),"")</f>
        <v/>
      </c>
      <c r="G840" s="49" t="str">
        <f>IFERROR(VLOOKUP(E840,'Condensed Specialty Crosswalk'!$A$2:$C$182,3,FALSE),"")</f>
        <v/>
      </c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</row>
    <row r="841" spans="1:30" ht="17">
      <c r="A841" s="49"/>
      <c r="B841" s="49" t="str">
        <f>CONCATENATE(Reports!E840," ",Reports!F840," ",Reports!G840)</f>
        <v xml:space="preserve">  </v>
      </c>
      <c r="C841" s="101"/>
      <c r="D841" s="101"/>
      <c r="E841" s="49" t="str">
        <f>IFERROR(VLOOKUP(D841,'taxonomy map'!$A$1:$B$171,2,FALSE),"")</f>
        <v/>
      </c>
      <c r="F841" s="49" t="str">
        <f>IFERROR(VLOOKUP(E841,'Condensed Specialty Crosswalk'!$A$2:$C$182,2,FALSE),"")</f>
        <v/>
      </c>
      <c r="G841" s="49" t="str">
        <f>IFERROR(VLOOKUP(E841,'Condensed Specialty Crosswalk'!$A$2:$C$182,3,FALSE),"")</f>
        <v/>
      </c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</row>
    <row r="842" spans="1:30" ht="17">
      <c r="A842" s="49"/>
      <c r="B842" s="49" t="str">
        <f>CONCATENATE(Reports!E841," ",Reports!F841," ",Reports!G841)</f>
        <v xml:space="preserve">  </v>
      </c>
      <c r="C842" s="101"/>
      <c r="D842" s="101"/>
      <c r="E842" s="49" t="str">
        <f>IFERROR(VLOOKUP(D842,'taxonomy map'!$A$1:$B$171,2,FALSE),"")</f>
        <v/>
      </c>
      <c r="F842" s="49" t="str">
        <f>IFERROR(VLOOKUP(E842,'Condensed Specialty Crosswalk'!$A$2:$C$182,2,FALSE),"")</f>
        <v/>
      </c>
      <c r="G842" s="49" t="str">
        <f>IFERROR(VLOOKUP(E842,'Condensed Specialty Crosswalk'!$A$2:$C$182,3,FALSE),"")</f>
        <v/>
      </c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</row>
    <row r="843" spans="1:30" ht="17">
      <c r="A843" s="49"/>
      <c r="B843" s="49" t="str">
        <f>CONCATENATE(Reports!E842," ",Reports!F842," ",Reports!G842)</f>
        <v xml:space="preserve">  </v>
      </c>
      <c r="C843" s="101"/>
      <c r="D843" s="101"/>
      <c r="E843" s="49" t="str">
        <f>IFERROR(VLOOKUP(D843,'taxonomy map'!$A$1:$B$171,2,FALSE),"")</f>
        <v/>
      </c>
      <c r="F843" s="49" t="str">
        <f>IFERROR(VLOOKUP(E843,'Condensed Specialty Crosswalk'!$A$2:$C$182,2,FALSE),"")</f>
        <v/>
      </c>
      <c r="G843" s="49" t="str">
        <f>IFERROR(VLOOKUP(E843,'Condensed Specialty Crosswalk'!$A$2:$C$182,3,FALSE),"")</f>
        <v/>
      </c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</row>
    <row r="844" spans="1:30" ht="17">
      <c r="A844" s="49"/>
      <c r="B844" s="49" t="str">
        <f>CONCATENATE(Reports!E843," ",Reports!F843," ",Reports!G843)</f>
        <v xml:space="preserve">  </v>
      </c>
      <c r="C844" s="101"/>
      <c r="D844" s="101"/>
      <c r="E844" s="49" t="str">
        <f>IFERROR(VLOOKUP(D844,'taxonomy map'!$A$1:$B$171,2,FALSE),"")</f>
        <v/>
      </c>
      <c r="F844" s="49" t="str">
        <f>IFERROR(VLOOKUP(E844,'Condensed Specialty Crosswalk'!$A$2:$C$182,2,FALSE),"")</f>
        <v/>
      </c>
      <c r="G844" s="49" t="str">
        <f>IFERROR(VLOOKUP(E844,'Condensed Specialty Crosswalk'!$A$2:$C$182,3,FALSE),"")</f>
        <v/>
      </c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</row>
    <row r="845" spans="1:30" ht="17">
      <c r="A845" s="49"/>
      <c r="B845" s="49" t="str">
        <f>CONCATENATE(Reports!E844," ",Reports!F844," ",Reports!G844)</f>
        <v xml:space="preserve">  </v>
      </c>
      <c r="C845" s="101"/>
      <c r="D845" s="101"/>
      <c r="E845" s="49" t="str">
        <f>IFERROR(VLOOKUP(D845,'taxonomy map'!$A$1:$B$171,2,FALSE),"")</f>
        <v/>
      </c>
      <c r="F845" s="49" t="str">
        <f>IFERROR(VLOOKUP(E845,'Condensed Specialty Crosswalk'!$A$2:$C$182,2,FALSE),"")</f>
        <v/>
      </c>
      <c r="G845" s="49" t="str">
        <f>IFERROR(VLOOKUP(E845,'Condensed Specialty Crosswalk'!$A$2:$C$182,3,FALSE),"")</f>
        <v/>
      </c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</row>
    <row r="846" spans="1:30" ht="17">
      <c r="A846" s="49"/>
      <c r="B846" s="49" t="str">
        <f>CONCATENATE(Reports!E845," ",Reports!F845," ",Reports!G845)</f>
        <v xml:space="preserve">  </v>
      </c>
      <c r="C846" s="101"/>
      <c r="D846" s="101"/>
      <c r="E846" s="49" t="str">
        <f>IFERROR(VLOOKUP(D846,'taxonomy map'!$A$1:$B$171,2,FALSE),"")</f>
        <v/>
      </c>
      <c r="F846" s="49" t="str">
        <f>IFERROR(VLOOKUP(E846,'Condensed Specialty Crosswalk'!$A$2:$C$182,2,FALSE),"")</f>
        <v/>
      </c>
      <c r="G846" s="49" t="str">
        <f>IFERROR(VLOOKUP(E846,'Condensed Specialty Crosswalk'!$A$2:$C$182,3,FALSE),"")</f>
        <v/>
      </c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</row>
    <row r="847" spans="1:30" ht="17">
      <c r="A847" s="49"/>
      <c r="B847" s="49" t="str">
        <f>CONCATENATE(Reports!E846," ",Reports!F846," ",Reports!G846)</f>
        <v xml:space="preserve">  </v>
      </c>
      <c r="C847" s="101"/>
      <c r="D847" s="101"/>
      <c r="E847" s="49" t="str">
        <f>IFERROR(VLOOKUP(D847,'taxonomy map'!$A$1:$B$171,2,FALSE),"")</f>
        <v/>
      </c>
      <c r="F847" s="49" t="str">
        <f>IFERROR(VLOOKUP(E847,'Condensed Specialty Crosswalk'!$A$2:$C$182,2,FALSE),"")</f>
        <v/>
      </c>
      <c r="G847" s="49" t="str">
        <f>IFERROR(VLOOKUP(E847,'Condensed Specialty Crosswalk'!$A$2:$C$182,3,FALSE),"")</f>
        <v/>
      </c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</row>
    <row r="848" spans="1:30" ht="17">
      <c r="A848" s="49"/>
      <c r="B848" s="49" t="str">
        <f>CONCATENATE(Reports!E847," ",Reports!F847," ",Reports!G847)</f>
        <v xml:space="preserve">  </v>
      </c>
      <c r="C848" s="101"/>
      <c r="D848" s="101"/>
      <c r="E848" s="49" t="str">
        <f>IFERROR(VLOOKUP(D848,'taxonomy map'!$A$1:$B$171,2,FALSE),"")</f>
        <v/>
      </c>
      <c r="F848" s="49" t="str">
        <f>IFERROR(VLOOKUP(E848,'Condensed Specialty Crosswalk'!$A$2:$C$182,2,FALSE),"")</f>
        <v/>
      </c>
      <c r="G848" s="49" t="str">
        <f>IFERROR(VLOOKUP(E848,'Condensed Specialty Crosswalk'!$A$2:$C$182,3,FALSE),"")</f>
        <v/>
      </c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</row>
    <row r="849" spans="1:30" ht="17">
      <c r="A849" s="49"/>
      <c r="B849" s="49" t="str">
        <f>CONCATENATE(Reports!E848," ",Reports!F848," ",Reports!G848)</f>
        <v xml:space="preserve">  </v>
      </c>
      <c r="C849" s="101"/>
      <c r="D849" s="101"/>
      <c r="E849" s="49" t="str">
        <f>IFERROR(VLOOKUP(D849,'taxonomy map'!$A$1:$B$171,2,FALSE),"")</f>
        <v/>
      </c>
      <c r="F849" s="49" t="str">
        <f>IFERROR(VLOOKUP(E849,'Condensed Specialty Crosswalk'!$A$2:$C$182,2,FALSE),"")</f>
        <v/>
      </c>
      <c r="G849" s="49" t="str">
        <f>IFERROR(VLOOKUP(E849,'Condensed Specialty Crosswalk'!$A$2:$C$182,3,FALSE),"")</f>
        <v/>
      </c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</row>
    <row r="850" spans="1:30" ht="17">
      <c r="A850" s="49"/>
      <c r="B850" s="49" t="str">
        <f>CONCATENATE(Reports!E849," ",Reports!F849," ",Reports!G849)</f>
        <v xml:space="preserve">  </v>
      </c>
      <c r="C850" s="101"/>
      <c r="D850" s="101"/>
      <c r="E850" s="49" t="str">
        <f>IFERROR(VLOOKUP(D850,'taxonomy map'!$A$1:$B$171,2,FALSE),"")</f>
        <v/>
      </c>
      <c r="F850" s="49" t="str">
        <f>IFERROR(VLOOKUP(E850,'Condensed Specialty Crosswalk'!$A$2:$C$182,2,FALSE),"")</f>
        <v/>
      </c>
      <c r="G850" s="49" t="str">
        <f>IFERROR(VLOOKUP(E850,'Condensed Specialty Crosswalk'!$A$2:$C$182,3,FALSE),"")</f>
        <v/>
      </c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</row>
    <row r="851" spans="1:30" ht="17">
      <c r="A851" s="49"/>
      <c r="B851" s="49" t="str">
        <f>CONCATENATE(Reports!E850," ",Reports!F850," ",Reports!G850)</f>
        <v xml:space="preserve">  </v>
      </c>
      <c r="C851" s="101"/>
      <c r="D851" s="101"/>
      <c r="E851" s="49" t="str">
        <f>IFERROR(VLOOKUP(D851,'taxonomy map'!$A$1:$B$171,2,FALSE),"")</f>
        <v/>
      </c>
      <c r="F851" s="49" t="str">
        <f>IFERROR(VLOOKUP(E851,'Condensed Specialty Crosswalk'!$A$2:$C$182,2,FALSE),"")</f>
        <v/>
      </c>
      <c r="G851" s="49" t="str">
        <f>IFERROR(VLOOKUP(E851,'Condensed Specialty Crosswalk'!$A$2:$C$182,3,FALSE),"")</f>
        <v/>
      </c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</row>
    <row r="852" spans="1:30" ht="17">
      <c r="A852" s="49"/>
      <c r="B852" s="49" t="str">
        <f>CONCATENATE(Reports!E851," ",Reports!F851," ",Reports!G851)</f>
        <v xml:space="preserve">  </v>
      </c>
      <c r="C852" s="101"/>
      <c r="D852" s="101"/>
      <c r="E852" s="49" t="str">
        <f>IFERROR(VLOOKUP(D852,'taxonomy map'!$A$1:$B$171,2,FALSE),"")</f>
        <v/>
      </c>
      <c r="F852" s="49" t="str">
        <f>IFERROR(VLOOKUP(E852,'Condensed Specialty Crosswalk'!$A$2:$C$182,2,FALSE),"")</f>
        <v/>
      </c>
      <c r="G852" s="49" t="str">
        <f>IFERROR(VLOOKUP(E852,'Condensed Specialty Crosswalk'!$A$2:$C$182,3,FALSE),"")</f>
        <v/>
      </c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</row>
    <row r="853" spans="1:30" ht="17">
      <c r="A853" s="49"/>
      <c r="B853" s="49" t="str">
        <f>CONCATENATE(Reports!E852," ",Reports!F852," ",Reports!G852)</f>
        <v xml:space="preserve">  </v>
      </c>
      <c r="C853" s="101"/>
      <c r="D853" s="101"/>
      <c r="E853" s="49" t="str">
        <f>IFERROR(VLOOKUP(D853,'taxonomy map'!$A$1:$B$171,2,FALSE),"")</f>
        <v/>
      </c>
      <c r="F853" s="49" t="str">
        <f>IFERROR(VLOOKUP(E853,'Condensed Specialty Crosswalk'!$A$2:$C$182,2,FALSE),"")</f>
        <v/>
      </c>
      <c r="G853" s="49" t="str">
        <f>IFERROR(VLOOKUP(E853,'Condensed Specialty Crosswalk'!$A$2:$C$182,3,FALSE),"")</f>
        <v/>
      </c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</row>
    <row r="854" spans="1:30" ht="17">
      <c r="A854" s="49"/>
      <c r="B854" s="49" t="str">
        <f>CONCATENATE(Reports!E853," ",Reports!F853," ",Reports!G853)</f>
        <v xml:space="preserve">  </v>
      </c>
      <c r="C854" s="101"/>
      <c r="D854" s="101"/>
      <c r="E854" s="49" t="str">
        <f>IFERROR(VLOOKUP(D854,'taxonomy map'!$A$1:$B$171,2,FALSE),"")</f>
        <v/>
      </c>
      <c r="F854" s="49" t="str">
        <f>IFERROR(VLOOKUP(E854,'Condensed Specialty Crosswalk'!$A$2:$C$182,2,FALSE),"")</f>
        <v/>
      </c>
      <c r="G854" s="49" t="str">
        <f>IFERROR(VLOOKUP(E854,'Condensed Specialty Crosswalk'!$A$2:$C$182,3,FALSE),"")</f>
        <v/>
      </c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</row>
    <row r="855" spans="1:30" ht="17">
      <c r="A855" s="49"/>
      <c r="B855" s="49" t="str">
        <f>CONCATENATE(Reports!E854," ",Reports!F854," ",Reports!G854)</f>
        <v xml:space="preserve">  </v>
      </c>
      <c r="C855" s="101"/>
      <c r="D855" s="101"/>
      <c r="E855" s="49" t="str">
        <f>IFERROR(VLOOKUP(D855,'taxonomy map'!$A$1:$B$171,2,FALSE),"")</f>
        <v/>
      </c>
      <c r="F855" s="49" t="str">
        <f>IFERROR(VLOOKUP(E855,'Condensed Specialty Crosswalk'!$A$2:$C$182,2,FALSE),"")</f>
        <v/>
      </c>
      <c r="G855" s="49" t="str">
        <f>IFERROR(VLOOKUP(E855,'Condensed Specialty Crosswalk'!$A$2:$C$182,3,FALSE),"")</f>
        <v/>
      </c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</row>
    <row r="856" spans="1:30" ht="17">
      <c r="A856" s="49"/>
      <c r="B856" s="49" t="str">
        <f>CONCATENATE(Reports!E855," ",Reports!F855," ",Reports!G855)</f>
        <v xml:space="preserve">  </v>
      </c>
      <c r="C856" s="101"/>
      <c r="D856" s="101"/>
      <c r="E856" s="49" t="str">
        <f>IFERROR(VLOOKUP(D856,'taxonomy map'!$A$1:$B$171,2,FALSE),"")</f>
        <v/>
      </c>
      <c r="F856" s="49" t="str">
        <f>IFERROR(VLOOKUP(E856,'Condensed Specialty Crosswalk'!$A$2:$C$182,2,FALSE),"")</f>
        <v/>
      </c>
      <c r="G856" s="49" t="str">
        <f>IFERROR(VLOOKUP(E856,'Condensed Specialty Crosswalk'!$A$2:$C$182,3,FALSE),"")</f>
        <v/>
      </c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</row>
    <row r="857" spans="1:30" ht="17">
      <c r="A857" s="49"/>
      <c r="B857" s="49" t="str">
        <f>CONCATENATE(Reports!E856," ",Reports!F856," ",Reports!G856)</f>
        <v xml:space="preserve">  </v>
      </c>
      <c r="C857" s="101"/>
      <c r="D857" s="101"/>
      <c r="E857" s="49" t="str">
        <f>IFERROR(VLOOKUP(D857,'taxonomy map'!$A$1:$B$171,2,FALSE),"")</f>
        <v/>
      </c>
      <c r="F857" s="49" t="str">
        <f>IFERROR(VLOOKUP(E857,'Condensed Specialty Crosswalk'!$A$2:$C$182,2,FALSE),"")</f>
        <v/>
      </c>
      <c r="G857" s="49" t="str">
        <f>IFERROR(VLOOKUP(E857,'Condensed Specialty Crosswalk'!$A$2:$C$182,3,FALSE),"")</f>
        <v/>
      </c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</row>
    <row r="858" spans="1:30" ht="17">
      <c r="A858" s="49"/>
      <c r="B858" s="49" t="str">
        <f>CONCATENATE(Reports!E857," ",Reports!F857," ",Reports!G857)</f>
        <v xml:space="preserve">  </v>
      </c>
      <c r="C858" s="101"/>
      <c r="D858" s="101"/>
      <c r="E858" s="49" t="str">
        <f>IFERROR(VLOOKUP(D858,'taxonomy map'!$A$1:$B$171,2,FALSE),"")</f>
        <v/>
      </c>
      <c r="F858" s="49" t="str">
        <f>IFERROR(VLOOKUP(E858,'Condensed Specialty Crosswalk'!$A$2:$C$182,2,FALSE),"")</f>
        <v/>
      </c>
      <c r="G858" s="49" t="str">
        <f>IFERROR(VLOOKUP(E858,'Condensed Specialty Crosswalk'!$A$2:$C$182,3,FALSE),"")</f>
        <v/>
      </c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</row>
    <row r="859" spans="1:30" ht="17">
      <c r="A859" s="49"/>
      <c r="B859" s="49" t="str">
        <f>CONCATENATE(Reports!E858," ",Reports!F858," ",Reports!G858)</f>
        <v xml:space="preserve">  </v>
      </c>
      <c r="C859" s="101"/>
      <c r="D859" s="101"/>
      <c r="E859" s="49" t="str">
        <f>IFERROR(VLOOKUP(D859,'taxonomy map'!$A$1:$B$171,2,FALSE),"")</f>
        <v/>
      </c>
      <c r="F859" s="49" t="str">
        <f>IFERROR(VLOOKUP(E859,'Condensed Specialty Crosswalk'!$A$2:$C$182,2,FALSE),"")</f>
        <v/>
      </c>
      <c r="G859" s="49" t="str">
        <f>IFERROR(VLOOKUP(E859,'Condensed Specialty Crosswalk'!$A$2:$C$182,3,FALSE),"")</f>
        <v/>
      </c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</row>
    <row r="860" spans="1:30" ht="17">
      <c r="A860" s="49"/>
      <c r="B860" s="49" t="str">
        <f>CONCATENATE(Reports!E859," ",Reports!F859," ",Reports!G859)</f>
        <v xml:space="preserve">  </v>
      </c>
      <c r="C860" s="101"/>
      <c r="D860" s="101"/>
      <c r="E860" s="49" t="str">
        <f>IFERROR(VLOOKUP(D860,'taxonomy map'!$A$1:$B$171,2,FALSE),"")</f>
        <v/>
      </c>
      <c r="F860" s="49" t="str">
        <f>IFERROR(VLOOKUP(E860,'Condensed Specialty Crosswalk'!$A$2:$C$182,2,FALSE),"")</f>
        <v/>
      </c>
      <c r="G860" s="49" t="str">
        <f>IFERROR(VLOOKUP(E860,'Condensed Specialty Crosswalk'!$A$2:$C$182,3,FALSE),"")</f>
        <v/>
      </c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</row>
    <row r="861" spans="1:30" ht="17">
      <c r="A861" s="49"/>
      <c r="B861" s="49" t="str">
        <f>CONCATENATE(Reports!E860," ",Reports!F860," ",Reports!G860)</f>
        <v xml:space="preserve">  </v>
      </c>
      <c r="C861" s="101"/>
      <c r="D861" s="101"/>
      <c r="E861" s="49" t="str">
        <f>IFERROR(VLOOKUP(D861,'taxonomy map'!$A$1:$B$171,2,FALSE),"")</f>
        <v/>
      </c>
      <c r="F861" s="49" t="str">
        <f>IFERROR(VLOOKUP(E861,'Condensed Specialty Crosswalk'!$A$2:$C$182,2,FALSE),"")</f>
        <v/>
      </c>
      <c r="G861" s="49" t="str">
        <f>IFERROR(VLOOKUP(E861,'Condensed Specialty Crosswalk'!$A$2:$C$182,3,FALSE),"")</f>
        <v/>
      </c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</row>
    <row r="862" spans="1:30" ht="17">
      <c r="A862" s="49"/>
      <c r="B862" s="49" t="str">
        <f>CONCATENATE(Reports!E861," ",Reports!F861," ",Reports!G861)</f>
        <v xml:space="preserve">  </v>
      </c>
      <c r="C862" s="101"/>
      <c r="D862" s="101"/>
      <c r="E862" s="49" t="str">
        <f>IFERROR(VLOOKUP(D862,'taxonomy map'!$A$1:$B$171,2,FALSE),"")</f>
        <v/>
      </c>
      <c r="F862" s="49" t="str">
        <f>IFERROR(VLOOKUP(E862,'Condensed Specialty Crosswalk'!$A$2:$C$182,2,FALSE),"")</f>
        <v/>
      </c>
      <c r="G862" s="49" t="str">
        <f>IFERROR(VLOOKUP(E862,'Condensed Specialty Crosswalk'!$A$2:$C$182,3,FALSE),"")</f>
        <v/>
      </c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</row>
    <row r="863" spans="1:30" ht="17">
      <c r="A863" s="49"/>
      <c r="B863" s="49" t="str">
        <f>CONCATENATE(Reports!E862," ",Reports!F862," ",Reports!G862)</f>
        <v xml:space="preserve">  </v>
      </c>
      <c r="C863" s="101"/>
      <c r="D863" s="101"/>
      <c r="E863" s="49" t="str">
        <f>IFERROR(VLOOKUP(D863,'taxonomy map'!$A$1:$B$171,2,FALSE),"")</f>
        <v/>
      </c>
      <c r="F863" s="49" t="str">
        <f>IFERROR(VLOOKUP(E863,'Condensed Specialty Crosswalk'!$A$2:$C$182,2,FALSE),"")</f>
        <v/>
      </c>
      <c r="G863" s="49" t="str">
        <f>IFERROR(VLOOKUP(E863,'Condensed Specialty Crosswalk'!$A$2:$C$182,3,FALSE),"")</f>
        <v/>
      </c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</row>
    <row r="864" spans="1:30" ht="17">
      <c r="A864" s="49"/>
      <c r="B864" s="49" t="str">
        <f>CONCATENATE(Reports!E863," ",Reports!F863," ",Reports!G863)</f>
        <v xml:space="preserve">  </v>
      </c>
      <c r="C864" s="101"/>
      <c r="D864" s="101"/>
      <c r="E864" s="49" t="str">
        <f>IFERROR(VLOOKUP(D864,'taxonomy map'!$A$1:$B$171,2,FALSE),"")</f>
        <v/>
      </c>
      <c r="F864" s="49" t="str">
        <f>IFERROR(VLOOKUP(E864,'Condensed Specialty Crosswalk'!$A$2:$C$182,2,FALSE),"")</f>
        <v/>
      </c>
      <c r="G864" s="49" t="str">
        <f>IFERROR(VLOOKUP(E864,'Condensed Specialty Crosswalk'!$A$2:$C$182,3,FALSE),"")</f>
        <v/>
      </c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</row>
    <row r="865" spans="1:30" ht="17">
      <c r="A865" s="49"/>
      <c r="B865" s="49" t="str">
        <f>CONCATENATE(Reports!E864," ",Reports!F864," ",Reports!G864)</f>
        <v xml:space="preserve">  </v>
      </c>
      <c r="C865" s="101"/>
      <c r="D865" s="101"/>
      <c r="E865" s="49" t="str">
        <f>IFERROR(VLOOKUP(D865,'taxonomy map'!$A$1:$B$171,2,FALSE),"")</f>
        <v/>
      </c>
      <c r="F865" s="49" t="str">
        <f>IFERROR(VLOOKUP(E865,'Condensed Specialty Crosswalk'!$A$2:$C$182,2,FALSE),"")</f>
        <v/>
      </c>
      <c r="G865" s="49" t="str">
        <f>IFERROR(VLOOKUP(E865,'Condensed Specialty Crosswalk'!$A$2:$C$182,3,FALSE),"")</f>
        <v/>
      </c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</row>
    <row r="866" spans="1:30" ht="17">
      <c r="A866" s="49"/>
      <c r="B866" s="49" t="str">
        <f>CONCATENATE(Reports!E865," ",Reports!F865," ",Reports!G865)</f>
        <v xml:space="preserve">  </v>
      </c>
      <c r="C866" s="101"/>
      <c r="D866" s="101"/>
      <c r="E866" s="49" t="str">
        <f>IFERROR(VLOOKUP(D866,'taxonomy map'!$A$1:$B$171,2,FALSE),"")</f>
        <v/>
      </c>
      <c r="F866" s="49" t="str">
        <f>IFERROR(VLOOKUP(E866,'Condensed Specialty Crosswalk'!$A$2:$C$182,2,FALSE),"")</f>
        <v/>
      </c>
      <c r="G866" s="49" t="str">
        <f>IFERROR(VLOOKUP(E866,'Condensed Specialty Crosswalk'!$A$2:$C$182,3,FALSE),"")</f>
        <v/>
      </c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</row>
    <row r="867" spans="1:30" ht="17">
      <c r="A867" s="49"/>
      <c r="B867" s="49" t="str">
        <f>CONCATENATE(Reports!E866," ",Reports!F866," ",Reports!G866)</f>
        <v xml:space="preserve">  </v>
      </c>
      <c r="C867" s="101"/>
      <c r="D867" s="101"/>
      <c r="E867" s="49" t="str">
        <f>IFERROR(VLOOKUP(D867,'taxonomy map'!$A$1:$B$171,2,FALSE),"")</f>
        <v/>
      </c>
      <c r="F867" s="49" t="str">
        <f>IFERROR(VLOOKUP(E867,'Condensed Specialty Crosswalk'!$A$2:$C$182,2,FALSE),"")</f>
        <v/>
      </c>
      <c r="G867" s="49" t="str">
        <f>IFERROR(VLOOKUP(E867,'Condensed Specialty Crosswalk'!$A$2:$C$182,3,FALSE),"")</f>
        <v/>
      </c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</row>
    <row r="868" spans="1:30" ht="17">
      <c r="A868" s="49"/>
      <c r="B868" s="49" t="str">
        <f>CONCATENATE(Reports!E867," ",Reports!F867," ",Reports!G867)</f>
        <v xml:space="preserve">  </v>
      </c>
      <c r="C868" s="101"/>
      <c r="D868" s="101"/>
      <c r="E868" s="49" t="str">
        <f>IFERROR(VLOOKUP(D868,'taxonomy map'!$A$1:$B$171,2,FALSE),"")</f>
        <v/>
      </c>
      <c r="F868" s="49" t="str">
        <f>IFERROR(VLOOKUP(E868,'Condensed Specialty Crosswalk'!$A$2:$C$182,2,FALSE),"")</f>
        <v/>
      </c>
      <c r="G868" s="49" t="str">
        <f>IFERROR(VLOOKUP(E868,'Condensed Specialty Crosswalk'!$A$2:$C$182,3,FALSE),"")</f>
        <v/>
      </c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</row>
    <row r="869" spans="1:30" ht="17">
      <c r="A869" s="49"/>
      <c r="B869" s="49" t="str">
        <f>CONCATENATE(Reports!E868," ",Reports!F868," ",Reports!G868)</f>
        <v xml:space="preserve">  </v>
      </c>
      <c r="C869" s="101"/>
      <c r="D869" s="101"/>
      <c r="E869" s="49" t="str">
        <f>IFERROR(VLOOKUP(D869,'taxonomy map'!$A$1:$B$171,2,FALSE),"")</f>
        <v/>
      </c>
      <c r="F869" s="49" t="str">
        <f>IFERROR(VLOOKUP(E869,'Condensed Specialty Crosswalk'!$A$2:$C$182,2,FALSE),"")</f>
        <v/>
      </c>
      <c r="G869" s="49" t="str">
        <f>IFERROR(VLOOKUP(E869,'Condensed Specialty Crosswalk'!$A$2:$C$182,3,FALSE),"")</f>
        <v/>
      </c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</row>
    <row r="870" spans="1:30" ht="17">
      <c r="A870" s="49"/>
      <c r="B870" s="49" t="str">
        <f>CONCATENATE(Reports!E869," ",Reports!F869," ",Reports!G869)</f>
        <v xml:space="preserve">  </v>
      </c>
      <c r="C870" s="101"/>
      <c r="D870" s="101"/>
      <c r="E870" s="49" t="str">
        <f>IFERROR(VLOOKUP(D870,'taxonomy map'!$A$1:$B$171,2,FALSE),"")</f>
        <v/>
      </c>
      <c r="F870" s="49" t="str">
        <f>IFERROR(VLOOKUP(E870,'Condensed Specialty Crosswalk'!$A$2:$C$182,2,FALSE),"")</f>
        <v/>
      </c>
      <c r="G870" s="49" t="str">
        <f>IFERROR(VLOOKUP(E870,'Condensed Specialty Crosswalk'!$A$2:$C$182,3,FALSE),"")</f>
        <v/>
      </c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</row>
    <row r="871" spans="1:30" ht="17">
      <c r="A871" s="49"/>
      <c r="B871" s="49" t="str">
        <f>CONCATENATE(Reports!E870," ",Reports!F870," ",Reports!G870)</f>
        <v xml:space="preserve">  </v>
      </c>
      <c r="C871" s="101"/>
      <c r="D871" s="101"/>
      <c r="E871" s="49" t="str">
        <f>IFERROR(VLOOKUP(D871,'taxonomy map'!$A$1:$B$171,2,FALSE),"")</f>
        <v/>
      </c>
      <c r="F871" s="49" t="str">
        <f>IFERROR(VLOOKUP(E871,'Condensed Specialty Crosswalk'!$A$2:$C$182,2,FALSE),"")</f>
        <v/>
      </c>
      <c r="G871" s="49" t="str">
        <f>IFERROR(VLOOKUP(E871,'Condensed Specialty Crosswalk'!$A$2:$C$182,3,FALSE),"")</f>
        <v/>
      </c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</row>
    <row r="872" spans="1:30" ht="17">
      <c r="A872" s="49"/>
      <c r="B872" s="49" t="str">
        <f>CONCATENATE(Reports!E871," ",Reports!F871," ",Reports!G871)</f>
        <v xml:space="preserve">  </v>
      </c>
      <c r="C872" s="101"/>
      <c r="D872" s="101"/>
      <c r="E872" s="49" t="str">
        <f>IFERROR(VLOOKUP(D872,'taxonomy map'!$A$1:$B$171,2,FALSE),"")</f>
        <v/>
      </c>
      <c r="F872" s="49" t="str">
        <f>IFERROR(VLOOKUP(E872,'Condensed Specialty Crosswalk'!$A$2:$C$182,2,FALSE),"")</f>
        <v/>
      </c>
      <c r="G872" s="49" t="str">
        <f>IFERROR(VLOOKUP(E872,'Condensed Specialty Crosswalk'!$A$2:$C$182,3,FALSE),"")</f>
        <v/>
      </c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</row>
    <row r="873" spans="1:30" ht="17">
      <c r="A873" s="49"/>
      <c r="B873" s="49" t="str">
        <f>CONCATENATE(Reports!E872," ",Reports!F872," ",Reports!G872)</f>
        <v xml:space="preserve">  </v>
      </c>
      <c r="C873" s="101"/>
      <c r="D873" s="101"/>
      <c r="E873" s="49" t="str">
        <f>IFERROR(VLOOKUP(D873,'taxonomy map'!$A$1:$B$171,2,FALSE),"")</f>
        <v/>
      </c>
      <c r="F873" s="49" t="str">
        <f>IFERROR(VLOOKUP(E873,'Condensed Specialty Crosswalk'!$A$2:$C$182,2,FALSE),"")</f>
        <v/>
      </c>
      <c r="G873" s="49" t="str">
        <f>IFERROR(VLOOKUP(E873,'Condensed Specialty Crosswalk'!$A$2:$C$182,3,FALSE),"")</f>
        <v/>
      </c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</row>
    <row r="874" spans="1:30" ht="17">
      <c r="A874" s="49"/>
      <c r="B874" s="49" t="str">
        <f>CONCATENATE(Reports!E873," ",Reports!F873," ",Reports!G873)</f>
        <v xml:space="preserve">  </v>
      </c>
      <c r="C874" s="101"/>
      <c r="D874" s="101"/>
      <c r="E874" s="49" t="str">
        <f>IFERROR(VLOOKUP(D874,'taxonomy map'!$A$1:$B$171,2,FALSE),"")</f>
        <v/>
      </c>
      <c r="F874" s="49" t="str">
        <f>IFERROR(VLOOKUP(E874,'Condensed Specialty Crosswalk'!$A$2:$C$182,2,FALSE),"")</f>
        <v/>
      </c>
      <c r="G874" s="49" t="str">
        <f>IFERROR(VLOOKUP(E874,'Condensed Specialty Crosswalk'!$A$2:$C$182,3,FALSE),"")</f>
        <v/>
      </c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</row>
    <row r="875" spans="1:30" ht="17">
      <c r="A875" s="49"/>
      <c r="B875" s="49" t="str">
        <f>CONCATENATE(Reports!E874," ",Reports!F874," ",Reports!G874)</f>
        <v xml:space="preserve">  </v>
      </c>
      <c r="C875" s="101"/>
      <c r="D875" s="101"/>
      <c r="E875" s="49" t="str">
        <f>IFERROR(VLOOKUP(D875,'taxonomy map'!$A$1:$B$171,2,FALSE),"")</f>
        <v/>
      </c>
      <c r="F875" s="49" t="str">
        <f>IFERROR(VLOOKUP(E875,'Condensed Specialty Crosswalk'!$A$2:$C$182,2,FALSE),"")</f>
        <v/>
      </c>
      <c r="G875" s="49" t="str">
        <f>IFERROR(VLOOKUP(E875,'Condensed Specialty Crosswalk'!$A$2:$C$182,3,FALSE),"")</f>
        <v/>
      </c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</row>
    <row r="876" spans="1:30" ht="17">
      <c r="A876" s="49"/>
      <c r="B876" s="49" t="str">
        <f>CONCATENATE(Reports!E875," ",Reports!F875," ",Reports!G875)</f>
        <v xml:space="preserve">  </v>
      </c>
      <c r="C876" s="101"/>
      <c r="D876" s="101"/>
      <c r="E876" s="49" t="str">
        <f>IFERROR(VLOOKUP(D876,'taxonomy map'!$A$1:$B$171,2,FALSE),"")</f>
        <v/>
      </c>
      <c r="F876" s="49" t="str">
        <f>IFERROR(VLOOKUP(E876,'Condensed Specialty Crosswalk'!$A$2:$C$182,2,FALSE),"")</f>
        <v/>
      </c>
      <c r="G876" s="49" t="str">
        <f>IFERROR(VLOOKUP(E876,'Condensed Specialty Crosswalk'!$A$2:$C$182,3,FALSE),"")</f>
        <v/>
      </c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</row>
    <row r="877" spans="1:30" ht="17">
      <c r="A877" s="49"/>
      <c r="B877" s="49" t="str">
        <f>CONCATENATE(Reports!E876," ",Reports!F876," ",Reports!G876)</f>
        <v xml:space="preserve">  </v>
      </c>
      <c r="C877" s="101"/>
      <c r="D877" s="101"/>
      <c r="E877" s="49" t="str">
        <f>IFERROR(VLOOKUP(D877,'taxonomy map'!$A$1:$B$171,2,FALSE),"")</f>
        <v/>
      </c>
      <c r="F877" s="49" t="str">
        <f>IFERROR(VLOOKUP(E877,'Condensed Specialty Crosswalk'!$A$2:$C$182,2,FALSE),"")</f>
        <v/>
      </c>
      <c r="G877" s="49" t="str">
        <f>IFERROR(VLOOKUP(E877,'Condensed Specialty Crosswalk'!$A$2:$C$182,3,FALSE),"")</f>
        <v/>
      </c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</row>
    <row r="878" spans="1:30" ht="17">
      <c r="A878" s="49"/>
      <c r="B878" s="49" t="str">
        <f>CONCATENATE(Reports!E877," ",Reports!F877," ",Reports!G877)</f>
        <v xml:space="preserve">  </v>
      </c>
      <c r="C878" s="101"/>
      <c r="D878" s="101"/>
      <c r="E878" s="49" t="str">
        <f>IFERROR(VLOOKUP(D878,'taxonomy map'!$A$1:$B$171,2,FALSE),"")</f>
        <v/>
      </c>
      <c r="F878" s="49" t="str">
        <f>IFERROR(VLOOKUP(E878,'Condensed Specialty Crosswalk'!$A$2:$C$182,2,FALSE),"")</f>
        <v/>
      </c>
      <c r="G878" s="49" t="str">
        <f>IFERROR(VLOOKUP(E878,'Condensed Specialty Crosswalk'!$A$2:$C$182,3,FALSE),"")</f>
        <v/>
      </c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</row>
    <row r="879" spans="1:30" ht="17">
      <c r="A879" s="49"/>
      <c r="B879" s="49" t="str">
        <f>CONCATENATE(Reports!E878," ",Reports!F878," ",Reports!G878)</f>
        <v xml:space="preserve">  </v>
      </c>
      <c r="C879" s="101"/>
      <c r="D879" s="101"/>
      <c r="E879" s="49" t="str">
        <f>IFERROR(VLOOKUP(D879,'taxonomy map'!$A$1:$B$171,2,FALSE),"")</f>
        <v/>
      </c>
      <c r="F879" s="49" t="str">
        <f>IFERROR(VLOOKUP(E879,'Condensed Specialty Crosswalk'!$A$2:$C$182,2,FALSE),"")</f>
        <v/>
      </c>
      <c r="G879" s="49" t="str">
        <f>IFERROR(VLOOKUP(E879,'Condensed Specialty Crosswalk'!$A$2:$C$182,3,FALSE),"")</f>
        <v/>
      </c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</row>
    <row r="880" spans="1:30" ht="17">
      <c r="A880" s="49"/>
      <c r="B880" s="49" t="str">
        <f>CONCATENATE(Reports!E879," ",Reports!F879," ",Reports!G879)</f>
        <v xml:space="preserve">  </v>
      </c>
      <c r="C880" s="101"/>
      <c r="D880" s="101"/>
      <c r="E880" s="49" t="str">
        <f>IFERROR(VLOOKUP(D880,'taxonomy map'!$A$1:$B$171,2,FALSE),"")</f>
        <v/>
      </c>
      <c r="F880" s="49" t="str">
        <f>IFERROR(VLOOKUP(E880,'Condensed Specialty Crosswalk'!$A$2:$C$182,2,FALSE),"")</f>
        <v/>
      </c>
      <c r="G880" s="49" t="str">
        <f>IFERROR(VLOOKUP(E880,'Condensed Specialty Crosswalk'!$A$2:$C$182,3,FALSE),"")</f>
        <v/>
      </c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</row>
    <row r="881" spans="1:30" ht="17">
      <c r="A881" s="49"/>
      <c r="B881" s="49" t="str">
        <f>CONCATENATE(Reports!E880," ",Reports!F880," ",Reports!G880)</f>
        <v xml:space="preserve">  </v>
      </c>
      <c r="C881" s="101"/>
      <c r="D881" s="101"/>
      <c r="E881" s="49" t="str">
        <f>IFERROR(VLOOKUP(D881,'taxonomy map'!$A$1:$B$171,2,FALSE),"")</f>
        <v/>
      </c>
      <c r="F881" s="49" t="str">
        <f>IFERROR(VLOOKUP(E881,'Condensed Specialty Crosswalk'!$A$2:$C$182,2,FALSE),"")</f>
        <v/>
      </c>
      <c r="G881" s="49" t="str">
        <f>IFERROR(VLOOKUP(E881,'Condensed Specialty Crosswalk'!$A$2:$C$182,3,FALSE),"")</f>
        <v/>
      </c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</row>
    <row r="882" spans="1:30" ht="17">
      <c r="A882" s="49"/>
      <c r="B882" s="49" t="str">
        <f>CONCATENATE(Reports!E881," ",Reports!F881," ",Reports!G881)</f>
        <v xml:space="preserve">  </v>
      </c>
      <c r="C882" s="101"/>
      <c r="D882" s="101"/>
      <c r="E882" s="49" t="str">
        <f>IFERROR(VLOOKUP(D882,'taxonomy map'!$A$1:$B$171,2,FALSE),"")</f>
        <v/>
      </c>
      <c r="F882" s="49" t="str">
        <f>IFERROR(VLOOKUP(E882,'Condensed Specialty Crosswalk'!$A$2:$C$182,2,FALSE),"")</f>
        <v/>
      </c>
      <c r="G882" s="49" t="str">
        <f>IFERROR(VLOOKUP(E882,'Condensed Specialty Crosswalk'!$A$2:$C$182,3,FALSE),"")</f>
        <v/>
      </c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</row>
    <row r="883" spans="1:30" ht="17">
      <c r="A883" s="49"/>
      <c r="B883" s="49" t="str">
        <f>CONCATENATE(Reports!E882," ",Reports!F882," ",Reports!G882)</f>
        <v xml:space="preserve">  </v>
      </c>
      <c r="C883" s="101"/>
      <c r="D883" s="101"/>
      <c r="E883" s="49" t="str">
        <f>IFERROR(VLOOKUP(D883,'taxonomy map'!$A$1:$B$171,2,FALSE),"")</f>
        <v/>
      </c>
      <c r="F883" s="49" t="str">
        <f>IFERROR(VLOOKUP(E883,'Condensed Specialty Crosswalk'!$A$2:$C$182,2,FALSE),"")</f>
        <v/>
      </c>
      <c r="G883" s="49" t="str">
        <f>IFERROR(VLOOKUP(E883,'Condensed Specialty Crosswalk'!$A$2:$C$182,3,FALSE),"")</f>
        <v/>
      </c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</row>
    <row r="884" spans="1:30" ht="17">
      <c r="A884" s="49"/>
      <c r="B884" s="49" t="str">
        <f>CONCATENATE(Reports!E883," ",Reports!F883," ",Reports!G883)</f>
        <v xml:space="preserve">  </v>
      </c>
      <c r="C884" s="101"/>
      <c r="D884" s="101"/>
      <c r="E884" s="49" t="str">
        <f>IFERROR(VLOOKUP(D884,'taxonomy map'!$A$1:$B$171,2,FALSE),"")</f>
        <v/>
      </c>
      <c r="F884" s="49" t="str">
        <f>IFERROR(VLOOKUP(E884,'Condensed Specialty Crosswalk'!$A$2:$C$182,2,FALSE),"")</f>
        <v/>
      </c>
      <c r="G884" s="49" t="str">
        <f>IFERROR(VLOOKUP(E884,'Condensed Specialty Crosswalk'!$A$2:$C$182,3,FALSE),"")</f>
        <v/>
      </c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</row>
    <row r="885" spans="1:30" ht="17">
      <c r="A885" s="49"/>
      <c r="B885" s="49" t="str">
        <f>CONCATENATE(Reports!E884," ",Reports!F884," ",Reports!G884)</f>
        <v xml:space="preserve">  </v>
      </c>
      <c r="C885" s="101"/>
      <c r="D885" s="101"/>
      <c r="E885" s="49" t="str">
        <f>IFERROR(VLOOKUP(D885,'taxonomy map'!$A$1:$B$171,2,FALSE),"")</f>
        <v/>
      </c>
      <c r="F885" s="49" t="str">
        <f>IFERROR(VLOOKUP(E885,'Condensed Specialty Crosswalk'!$A$2:$C$182,2,FALSE),"")</f>
        <v/>
      </c>
      <c r="G885" s="49" t="str">
        <f>IFERROR(VLOOKUP(E885,'Condensed Specialty Crosswalk'!$A$2:$C$182,3,FALSE),"")</f>
        <v/>
      </c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</row>
    <row r="886" spans="1:30" ht="17">
      <c r="A886" s="49"/>
      <c r="B886" s="49" t="str">
        <f>CONCATENATE(Reports!E885," ",Reports!F885," ",Reports!G885)</f>
        <v xml:space="preserve">  </v>
      </c>
      <c r="C886" s="101"/>
      <c r="D886" s="101"/>
      <c r="E886" s="49" t="str">
        <f>IFERROR(VLOOKUP(D886,'taxonomy map'!$A$1:$B$171,2,FALSE),"")</f>
        <v/>
      </c>
      <c r="F886" s="49" t="str">
        <f>IFERROR(VLOOKUP(E886,'Condensed Specialty Crosswalk'!$A$2:$C$182,2,FALSE),"")</f>
        <v/>
      </c>
      <c r="G886" s="49" t="str">
        <f>IFERROR(VLOOKUP(E886,'Condensed Specialty Crosswalk'!$A$2:$C$182,3,FALSE),"")</f>
        <v/>
      </c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</row>
    <row r="887" spans="1:30" ht="17">
      <c r="A887" s="49"/>
      <c r="B887" s="49" t="str">
        <f>CONCATENATE(Reports!E886," ",Reports!F886," ",Reports!G886)</f>
        <v xml:space="preserve">  </v>
      </c>
      <c r="C887" s="101"/>
      <c r="D887" s="101"/>
      <c r="E887" s="49" t="str">
        <f>IFERROR(VLOOKUP(D887,'taxonomy map'!$A$1:$B$171,2,FALSE),"")</f>
        <v/>
      </c>
      <c r="F887" s="49" t="str">
        <f>IFERROR(VLOOKUP(E887,'Condensed Specialty Crosswalk'!$A$2:$C$182,2,FALSE),"")</f>
        <v/>
      </c>
      <c r="G887" s="49" t="str">
        <f>IFERROR(VLOOKUP(E887,'Condensed Specialty Crosswalk'!$A$2:$C$182,3,FALSE),"")</f>
        <v/>
      </c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</row>
    <row r="888" spans="1:30" ht="17">
      <c r="A888" s="49"/>
      <c r="B888" s="49" t="str">
        <f>CONCATENATE(Reports!E887," ",Reports!F887," ",Reports!G887)</f>
        <v xml:space="preserve">  </v>
      </c>
      <c r="C888" s="101"/>
      <c r="D888" s="101"/>
      <c r="E888" s="49" t="str">
        <f>IFERROR(VLOOKUP(D888,'taxonomy map'!$A$1:$B$171,2,FALSE),"")</f>
        <v/>
      </c>
      <c r="F888" s="49" t="str">
        <f>IFERROR(VLOOKUP(E888,'Condensed Specialty Crosswalk'!$A$2:$C$182,2,FALSE),"")</f>
        <v/>
      </c>
      <c r="G888" s="49" t="str">
        <f>IFERROR(VLOOKUP(E888,'Condensed Specialty Crosswalk'!$A$2:$C$182,3,FALSE),"")</f>
        <v/>
      </c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</row>
    <row r="889" spans="1:30" ht="17">
      <c r="A889" s="49"/>
      <c r="B889" s="49" t="str">
        <f>CONCATENATE(Reports!E888," ",Reports!F888," ",Reports!G888)</f>
        <v xml:space="preserve">  </v>
      </c>
      <c r="C889" s="101"/>
      <c r="D889" s="101"/>
      <c r="E889" s="49" t="str">
        <f>IFERROR(VLOOKUP(D889,'taxonomy map'!$A$1:$B$171,2,FALSE),"")</f>
        <v/>
      </c>
      <c r="F889" s="49" t="str">
        <f>IFERROR(VLOOKUP(E889,'Condensed Specialty Crosswalk'!$A$2:$C$182,2,FALSE),"")</f>
        <v/>
      </c>
      <c r="G889" s="49" t="str">
        <f>IFERROR(VLOOKUP(E889,'Condensed Specialty Crosswalk'!$A$2:$C$182,3,FALSE),"")</f>
        <v/>
      </c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</row>
    <row r="890" spans="1:30" ht="17">
      <c r="A890" s="49"/>
      <c r="B890" s="49" t="str">
        <f>CONCATENATE(Reports!E889," ",Reports!F889," ",Reports!G889)</f>
        <v xml:space="preserve">  </v>
      </c>
      <c r="C890" s="101"/>
      <c r="D890" s="101"/>
      <c r="E890" s="49" t="str">
        <f>IFERROR(VLOOKUP(D890,'taxonomy map'!$A$1:$B$171,2,FALSE),"")</f>
        <v/>
      </c>
      <c r="F890" s="49" t="str">
        <f>IFERROR(VLOOKUP(E890,'Condensed Specialty Crosswalk'!$A$2:$C$182,2,FALSE),"")</f>
        <v/>
      </c>
      <c r="G890" s="49" t="str">
        <f>IFERROR(VLOOKUP(E890,'Condensed Specialty Crosswalk'!$A$2:$C$182,3,FALSE),"")</f>
        <v/>
      </c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</row>
    <row r="891" spans="1:30" ht="17">
      <c r="A891" s="49"/>
      <c r="B891" s="49" t="str">
        <f>CONCATENATE(Reports!E890," ",Reports!F890," ",Reports!G890)</f>
        <v xml:space="preserve">  </v>
      </c>
      <c r="C891" s="101"/>
      <c r="D891" s="101"/>
      <c r="E891" s="49" t="str">
        <f>IFERROR(VLOOKUP(D891,'taxonomy map'!$A$1:$B$171,2,FALSE),"")</f>
        <v/>
      </c>
      <c r="F891" s="49" t="str">
        <f>IFERROR(VLOOKUP(E891,'Condensed Specialty Crosswalk'!$A$2:$C$182,2,FALSE),"")</f>
        <v/>
      </c>
      <c r="G891" s="49" t="str">
        <f>IFERROR(VLOOKUP(E891,'Condensed Specialty Crosswalk'!$A$2:$C$182,3,FALSE),"")</f>
        <v/>
      </c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</row>
    <row r="892" spans="1:30" ht="17">
      <c r="A892" s="49"/>
      <c r="B892" s="49" t="str">
        <f>CONCATENATE(Reports!E891," ",Reports!F891," ",Reports!G891)</f>
        <v xml:space="preserve">  </v>
      </c>
      <c r="C892" s="101"/>
      <c r="D892" s="101"/>
      <c r="E892" s="49" t="str">
        <f>IFERROR(VLOOKUP(D892,'taxonomy map'!$A$1:$B$171,2,FALSE),"")</f>
        <v/>
      </c>
      <c r="F892" s="49" t="str">
        <f>IFERROR(VLOOKUP(E892,'Condensed Specialty Crosswalk'!$A$2:$C$182,2,FALSE),"")</f>
        <v/>
      </c>
      <c r="G892" s="49" t="str">
        <f>IFERROR(VLOOKUP(E892,'Condensed Specialty Crosswalk'!$A$2:$C$182,3,FALSE),"")</f>
        <v/>
      </c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</row>
    <row r="893" spans="1:30" ht="17">
      <c r="A893" s="49"/>
      <c r="B893" s="49" t="str">
        <f>CONCATENATE(Reports!E892," ",Reports!F892," ",Reports!G892)</f>
        <v xml:space="preserve">  </v>
      </c>
      <c r="C893" s="101"/>
      <c r="D893" s="101"/>
      <c r="E893" s="49" t="str">
        <f>IFERROR(VLOOKUP(D893,'taxonomy map'!$A$1:$B$171,2,FALSE),"")</f>
        <v/>
      </c>
      <c r="F893" s="49" t="str">
        <f>IFERROR(VLOOKUP(E893,'Condensed Specialty Crosswalk'!$A$2:$C$182,2,FALSE),"")</f>
        <v/>
      </c>
      <c r="G893" s="49" t="str">
        <f>IFERROR(VLOOKUP(E893,'Condensed Specialty Crosswalk'!$A$2:$C$182,3,FALSE),"")</f>
        <v/>
      </c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</row>
    <row r="894" spans="1:30" ht="17">
      <c r="A894" s="49"/>
      <c r="B894" s="49" t="str">
        <f>CONCATENATE(Reports!E893," ",Reports!F893," ",Reports!G893)</f>
        <v xml:space="preserve">  </v>
      </c>
      <c r="C894" s="101"/>
      <c r="D894" s="101"/>
      <c r="E894" s="49" t="str">
        <f>IFERROR(VLOOKUP(D894,'taxonomy map'!$A$1:$B$171,2,FALSE),"")</f>
        <v/>
      </c>
      <c r="F894" s="49" t="str">
        <f>IFERROR(VLOOKUP(E894,'Condensed Specialty Crosswalk'!$A$2:$C$182,2,FALSE),"")</f>
        <v/>
      </c>
      <c r="G894" s="49" t="str">
        <f>IFERROR(VLOOKUP(E894,'Condensed Specialty Crosswalk'!$A$2:$C$182,3,FALSE),"")</f>
        <v/>
      </c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</row>
    <row r="895" spans="1:30" ht="17">
      <c r="A895" s="49"/>
      <c r="B895" s="49" t="str">
        <f>CONCATENATE(Reports!E894," ",Reports!F894," ",Reports!G894)</f>
        <v xml:space="preserve">  </v>
      </c>
      <c r="C895" s="101"/>
      <c r="D895" s="101"/>
      <c r="E895" s="49" t="str">
        <f>IFERROR(VLOOKUP(D895,'taxonomy map'!$A$1:$B$171,2,FALSE),"")</f>
        <v/>
      </c>
      <c r="F895" s="49" t="str">
        <f>IFERROR(VLOOKUP(E895,'Condensed Specialty Crosswalk'!$A$2:$C$182,2,FALSE),"")</f>
        <v/>
      </c>
      <c r="G895" s="49" t="str">
        <f>IFERROR(VLOOKUP(E895,'Condensed Specialty Crosswalk'!$A$2:$C$182,3,FALSE),"")</f>
        <v/>
      </c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</row>
    <row r="896" spans="1:30" ht="17">
      <c r="A896" s="49"/>
      <c r="B896" s="49" t="str">
        <f>CONCATENATE(Reports!E895," ",Reports!F895," ",Reports!G895)</f>
        <v xml:space="preserve">  </v>
      </c>
      <c r="C896" s="101"/>
      <c r="D896" s="101"/>
      <c r="E896" s="49" t="str">
        <f>IFERROR(VLOOKUP(D896,'taxonomy map'!$A$1:$B$171,2,FALSE),"")</f>
        <v/>
      </c>
      <c r="F896" s="49" t="str">
        <f>IFERROR(VLOOKUP(E896,'Condensed Specialty Crosswalk'!$A$2:$C$182,2,FALSE),"")</f>
        <v/>
      </c>
      <c r="G896" s="49" t="str">
        <f>IFERROR(VLOOKUP(E896,'Condensed Specialty Crosswalk'!$A$2:$C$182,3,FALSE),"")</f>
        <v/>
      </c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</row>
    <row r="897" spans="1:30" ht="17">
      <c r="A897" s="49"/>
      <c r="B897" s="49" t="str">
        <f>CONCATENATE(Reports!E896," ",Reports!F896," ",Reports!G896)</f>
        <v xml:space="preserve">  </v>
      </c>
      <c r="C897" s="101"/>
      <c r="D897" s="101"/>
      <c r="E897" s="49" t="str">
        <f>IFERROR(VLOOKUP(D897,'taxonomy map'!$A$1:$B$171,2,FALSE),"")</f>
        <v/>
      </c>
      <c r="F897" s="49" t="str">
        <f>IFERROR(VLOOKUP(E897,'Condensed Specialty Crosswalk'!$A$2:$C$182,2,FALSE),"")</f>
        <v/>
      </c>
      <c r="G897" s="49" t="str">
        <f>IFERROR(VLOOKUP(E897,'Condensed Specialty Crosswalk'!$A$2:$C$182,3,FALSE),"")</f>
        <v/>
      </c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</row>
    <row r="898" spans="1:30" ht="17">
      <c r="A898" s="49"/>
      <c r="B898" s="49" t="str">
        <f>CONCATENATE(Reports!E897," ",Reports!F897," ",Reports!G897)</f>
        <v xml:space="preserve">  </v>
      </c>
      <c r="C898" s="101"/>
      <c r="D898" s="101"/>
      <c r="E898" s="49" t="str">
        <f>IFERROR(VLOOKUP(D898,'taxonomy map'!$A$1:$B$171,2,FALSE),"")</f>
        <v/>
      </c>
      <c r="F898" s="49" t="str">
        <f>IFERROR(VLOOKUP(E898,'Condensed Specialty Crosswalk'!$A$2:$C$182,2,FALSE),"")</f>
        <v/>
      </c>
      <c r="G898" s="49" t="str">
        <f>IFERROR(VLOOKUP(E898,'Condensed Specialty Crosswalk'!$A$2:$C$182,3,FALSE),"")</f>
        <v/>
      </c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</row>
    <row r="899" spans="1:30" ht="17">
      <c r="A899" s="49"/>
      <c r="B899" s="49" t="str">
        <f>CONCATENATE(Reports!E898," ",Reports!F898," ",Reports!G898)</f>
        <v xml:space="preserve">  </v>
      </c>
      <c r="C899" s="101"/>
      <c r="D899" s="101"/>
      <c r="E899" s="49" t="str">
        <f>IFERROR(VLOOKUP(D899,'taxonomy map'!$A$1:$B$171,2,FALSE),"")</f>
        <v/>
      </c>
      <c r="F899" s="49" t="str">
        <f>IFERROR(VLOOKUP(E899,'Condensed Specialty Crosswalk'!$A$2:$C$182,2,FALSE),"")</f>
        <v/>
      </c>
      <c r="G899" s="49" t="str">
        <f>IFERROR(VLOOKUP(E899,'Condensed Specialty Crosswalk'!$A$2:$C$182,3,FALSE),"")</f>
        <v/>
      </c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</row>
    <row r="900" spans="1:30" ht="17">
      <c r="A900" s="49"/>
      <c r="B900" s="49" t="str">
        <f>CONCATENATE(Reports!E899," ",Reports!F899," ",Reports!G899)</f>
        <v xml:space="preserve">  </v>
      </c>
      <c r="C900" s="101"/>
      <c r="D900" s="101"/>
      <c r="E900" s="49" t="str">
        <f>IFERROR(VLOOKUP(D900,'taxonomy map'!$A$1:$B$171,2,FALSE),"")</f>
        <v/>
      </c>
      <c r="F900" s="49" t="str">
        <f>IFERROR(VLOOKUP(E900,'Condensed Specialty Crosswalk'!$A$2:$C$182,2,FALSE),"")</f>
        <v/>
      </c>
      <c r="G900" s="49" t="str">
        <f>IFERROR(VLOOKUP(E900,'Condensed Specialty Crosswalk'!$A$2:$C$182,3,FALSE),"")</f>
        <v/>
      </c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</row>
    <row r="901" spans="1:30" ht="17">
      <c r="A901" s="49"/>
      <c r="B901" s="49" t="str">
        <f>CONCATENATE(Reports!E900," ",Reports!F900," ",Reports!G900)</f>
        <v xml:space="preserve">  </v>
      </c>
      <c r="C901" s="101"/>
      <c r="D901" s="101"/>
      <c r="E901" s="49" t="str">
        <f>IFERROR(VLOOKUP(D901,'taxonomy map'!$A$1:$B$171,2,FALSE),"")</f>
        <v/>
      </c>
      <c r="F901" s="49" t="str">
        <f>IFERROR(VLOOKUP(E901,'Condensed Specialty Crosswalk'!$A$2:$C$182,2,FALSE),"")</f>
        <v/>
      </c>
      <c r="G901" s="49" t="str">
        <f>IFERROR(VLOOKUP(E901,'Condensed Specialty Crosswalk'!$A$2:$C$182,3,FALSE),"")</f>
        <v/>
      </c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</row>
    <row r="902" spans="1:30" ht="17">
      <c r="A902" s="49"/>
      <c r="B902" s="49" t="str">
        <f>CONCATENATE(Reports!E901," ",Reports!F901," ",Reports!G901)</f>
        <v xml:space="preserve">  </v>
      </c>
      <c r="C902" s="101"/>
      <c r="D902" s="101"/>
      <c r="E902" s="49" t="str">
        <f>IFERROR(VLOOKUP(D902,'taxonomy map'!$A$1:$B$171,2,FALSE),"")</f>
        <v/>
      </c>
      <c r="F902" s="49" t="str">
        <f>IFERROR(VLOOKUP(E902,'Condensed Specialty Crosswalk'!$A$2:$C$182,2,FALSE),"")</f>
        <v/>
      </c>
      <c r="G902" s="49" t="str">
        <f>IFERROR(VLOOKUP(E902,'Condensed Specialty Crosswalk'!$A$2:$C$182,3,FALSE),"")</f>
        <v/>
      </c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</row>
    <row r="903" spans="1:30" ht="17">
      <c r="A903" s="49"/>
      <c r="B903" s="49" t="str">
        <f>CONCATENATE(Reports!E902," ",Reports!F902," ",Reports!G902)</f>
        <v xml:space="preserve">  </v>
      </c>
      <c r="C903" s="101"/>
      <c r="D903" s="101"/>
      <c r="E903" s="49" t="str">
        <f>IFERROR(VLOOKUP(D903,'taxonomy map'!$A$1:$B$171,2,FALSE),"")</f>
        <v/>
      </c>
      <c r="F903" s="49" t="str">
        <f>IFERROR(VLOOKUP(E903,'Condensed Specialty Crosswalk'!$A$2:$C$182,2,FALSE),"")</f>
        <v/>
      </c>
      <c r="G903" s="49" t="str">
        <f>IFERROR(VLOOKUP(E903,'Condensed Specialty Crosswalk'!$A$2:$C$182,3,FALSE),"")</f>
        <v/>
      </c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</row>
    <row r="904" spans="1:30" ht="17">
      <c r="A904" s="49"/>
      <c r="B904" s="49" t="str">
        <f>CONCATENATE(Reports!E903," ",Reports!F903," ",Reports!G903)</f>
        <v xml:space="preserve">  </v>
      </c>
      <c r="C904" s="101"/>
      <c r="D904" s="101"/>
      <c r="E904" s="49" t="str">
        <f>IFERROR(VLOOKUP(D904,'taxonomy map'!$A$1:$B$171,2,FALSE),"")</f>
        <v/>
      </c>
      <c r="F904" s="49" t="str">
        <f>IFERROR(VLOOKUP(E904,'Condensed Specialty Crosswalk'!$A$2:$C$182,2,FALSE),"")</f>
        <v/>
      </c>
      <c r="G904" s="49" t="str">
        <f>IFERROR(VLOOKUP(E904,'Condensed Specialty Crosswalk'!$A$2:$C$182,3,FALSE),"")</f>
        <v/>
      </c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</row>
    <row r="905" spans="1:30" ht="17">
      <c r="A905" s="49"/>
      <c r="B905" s="49" t="str">
        <f>CONCATENATE(Reports!E904," ",Reports!F904," ",Reports!G904)</f>
        <v xml:space="preserve">  </v>
      </c>
      <c r="C905" s="101"/>
      <c r="D905" s="101"/>
      <c r="E905" s="49" t="str">
        <f>IFERROR(VLOOKUP(D905,'taxonomy map'!$A$1:$B$171,2,FALSE),"")</f>
        <v/>
      </c>
      <c r="F905" s="49" t="str">
        <f>IFERROR(VLOOKUP(E905,'Condensed Specialty Crosswalk'!$A$2:$C$182,2,FALSE),"")</f>
        <v/>
      </c>
      <c r="G905" s="49" t="str">
        <f>IFERROR(VLOOKUP(E905,'Condensed Specialty Crosswalk'!$A$2:$C$182,3,FALSE),"")</f>
        <v/>
      </c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</row>
    <row r="906" spans="1:30" ht="17">
      <c r="A906" s="49"/>
      <c r="B906" s="49" t="str">
        <f>CONCATENATE(Reports!E905," ",Reports!F905," ",Reports!G905)</f>
        <v xml:space="preserve">  </v>
      </c>
      <c r="C906" s="101"/>
      <c r="D906" s="101"/>
      <c r="E906" s="49" t="str">
        <f>IFERROR(VLOOKUP(D906,'taxonomy map'!$A$1:$B$171,2,FALSE),"")</f>
        <v/>
      </c>
      <c r="F906" s="49" t="str">
        <f>IFERROR(VLOOKUP(E906,'Condensed Specialty Crosswalk'!$A$2:$C$182,2,FALSE),"")</f>
        <v/>
      </c>
      <c r="G906" s="49" t="str">
        <f>IFERROR(VLOOKUP(E906,'Condensed Specialty Crosswalk'!$A$2:$C$182,3,FALSE),"")</f>
        <v/>
      </c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</row>
    <row r="907" spans="1:30" ht="17">
      <c r="A907" s="49"/>
      <c r="B907" s="49" t="str">
        <f>CONCATENATE(Reports!E906," ",Reports!F906," ",Reports!G906)</f>
        <v xml:space="preserve">  </v>
      </c>
      <c r="C907" s="101"/>
      <c r="D907" s="101"/>
      <c r="E907" s="49" t="str">
        <f>IFERROR(VLOOKUP(D907,'taxonomy map'!$A$1:$B$171,2,FALSE),"")</f>
        <v/>
      </c>
      <c r="F907" s="49" t="str">
        <f>IFERROR(VLOOKUP(E907,'Condensed Specialty Crosswalk'!$A$2:$C$182,2,FALSE),"")</f>
        <v/>
      </c>
      <c r="G907" s="49" t="str">
        <f>IFERROR(VLOOKUP(E907,'Condensed Specialty Crosswalk'!$A$2:$C$182,3,FALSE),"")</f>
        <v/>
      </c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</row>
    <row r="908" spans="1:30" ht="17">
      <c r="A908" s="49"/>
      <c r="B908" s="49" t="str">
        <f>CONCATENATE(Reports!E907," ",Reports!F907," ",Reports!G907)</f>
        <v xml:space="preserve">  </v>
      </c>
      <c r="C908" s="101"/>
      <c r="D908" s="101"/>
      <c r="E908" s="49" t="str">
        <f>IFERROR(VLOOKUP(D908,'taxonomy map'!$A$1:$B$171,2,FALSE),"")</f>
        <v/>
      </c>
      <c r="F908" s="49" t="str">
        <f>IFERROR(VLOOKUP(E908,'Condensed Specialty Crosswalk'!$A$2:$C$182,2,FALSE),"")</f>
        <v/>
      </c>
      <c r="G908" s="49" t="str">
        <f>IFERROR(VLOOKUP(E908,'Condensed Specialty Crosswalk'!$A$2:$C$182,3,FALSE),"")</f>
        <v/>
      </c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</row>
    <row r="909" spans="1:30" ht="17">
      <c r="A909" s="49"/>
      <c r="B909" s="49" t="str">
        <f>CONCATENATE(Reports!E908," ",Reports!F908," ",Reports!G908)</f>
        <v xml:space="preserve">  </v>
      </c>
      <c r="C909" s="101"/>
      <c r="D909" s="101"/>
      <c r="E909" s="49" t="str">
        <f>IFERROR(VLOOKUP(D909,'taxonomy map'!$A$1:$B$171,2,FALSE),"")</f>
        <v/>
      </c>
      <c r="F909" s="49" t="str">
        <f>IFERROR(VLOOKUP(E909,'Condensed Specialty Crosswalk'!$A$2:$C$182,2,FALSE),"")</f>
        <v/>
      </c>
      <c r="G909" s="49" t="str">
        <f>IFERROR(VLOOKUP(E909,'Condensed Specialty Crosswalk'!$A$2:$C$182,3,FALSE),"")</f>
        <v/>
      </c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</row>
    <row r="910" spans="1:30" ht="17">
      <c r="A910" s="49"/>
      <c r="B910" s="49" t="str">
        <f>CONCATENATE(Reports!E909," ",Reports!F909," ",Reports!G909)</f>
        <v xml:space="preserve">  </v>
      </c>
      <c r="C910" s="101"/>
      <c r="D910" s="101"/>
      <c r="E910" s="49" t="str">
        <f>IFERROR(VLOOKUP(D910,'taxonomy map'!$A$1:$B$171,2,FALSE),"")</f>
        <v/>
      </c>
      <c r="F910" s="49" t="str">
        <f>IFERROR(VLOOKUP(E910,'Condensed Specialty Crosswalk'!$A$2:$C$182,2,FALSE),"")</f>
        <v/>
      </c>
      <c r="G910" s="49" t="str">
        <f>IFERROR(VLOOKUP(E910,'Condensed Specialty Crosswalk'!$A$2:$C$182,3,FALSE),"")</f>
        <v/>
      </c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</row>
    <row r="911" spans="1:30" ht="17">
      <c r="A911" s="49"/>
      <c r="B911" s="49" t="str">
        <f>CONCATENATE(Reports!E910," ",Reports!F910," ",Reports!G910)</f>
        <v xml:space="preserve">  </v>
      </c>
      <c r="C911" s="101"/>
      <c r="D911" s="101"/>
      <c r="E911" s="49" t="str">
        <f>IFERROR(VLOOKUP(D911,'taxonomy map'!$A$1:$B$171,2,FALSE),"")</f>
        <v/>
      </c>
      <c r="F911" s="49" t="str">
        <f>IFERROR(VLOOKUP(E911,'Condensed Specialty Crosswalk'!$A$2:$C$182,2,FALSE),"")</f>
        <v/>
      </c>
      <c r="G911" s="49" t="str">
        <f>IFERROR(VLOOKUP(E911,'Condensed Specialty Crosswalk'!$A$2:$C$182,3,FALSE),"")</f>
        <v/>
      </c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</row>
    <row r="912" spans="1:30" ht="17">
      <c r="A912" s="49"/>
      <c r="B912" s="49" t="str">
        <f>CONCATENATE(Reports!E911," ",Reports!F911," ",Reports!G911)</f>
        <v xml:space="preserve">  </v>
      </c>
      <c r="C912" s="101"/>
      <c r="D912" s="101"/>
      <c r="E912" s="49" t="str">
        <f>IFERROR(VLOOKUP(D912,'taxonomy map'!$A$1:$B$171,2,FALSE),"")</f>
        <v/>
      </c>
      <c r="F912" s="49" t="str">
        <f>IFERROR(VLOOKUP(E912,'Condensed Specialty Crosswalk'!$A$2:$C$182,2,FALSE),"")</f>
        <v/>
      </c>
      <c r="G912" s="49" t="str">
        <f>IFERROR(VLOOKUP(E912,'Condensed Specialty Crosswalk'!$A$2:$C$182,3,FALSE),"")</f>
        <v/>
      </c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</row>
    <row r="913" spans="1:30" ht="17">
      <c r="A913" s="49"/>
      <c r="B913" s="49" t="str">
        <f>CONCATENATE(Reports!E912," ",Reports!F912," ",Reports!G912)</f>
        <v xml:space="preserve">  </v>
      </c>
      <c r="C913" s="101"/>
      <c r="D913" s="101"/>
      <c r="E913" s="49" t="str">
        <f>IFERROR(VLOOKUP(D913,'taxonomy map'!$A$1:$B$171,2,FALSE),"")</f>
        <v/>
      </c>
      <c r="F913" s="49" t="str">
        <f>IFERROR(VLOOKUP(E913,'Condensed Specialty Crosswalk'!$A$2:$C$182,2,FALSE),"")</f>
        <v/>
      </c>
      <c r="G913" s="49" t="str">
        <f>IFERROR(VLOOKUP(E913,'Condensed Specialty Crosswalk'!$A$2:$C$182,3,FALSE),"")</f>
        <v/>
      </c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</row>
    <row r="914" spans="1:30" ht="17">
      <c r="A914" s="49"/>
      <c r="B914" s="49" t="str">
        <f>CONCATENATE(Reports!E913," ",Reports!F913," ",Reports!G913)</f>
        <v xml:space="preserve">  </v>
      </c>
      <c r="C914" s="101"/>
      <c r="D914" s="101"/>
      <c r="E914" s="49" t="str">
        <f>IFERROR(VLOOKUP(D914,'taxonomy map'!$A$1:$B$171,2,FALSE),"")</f>
        <v/>
      </c>
      <c r="F914" s="49" t="str">
        <f>IFERROR(VLOOKUP(E914,'Condensed Specialty Crosswalk'!$A$2:$C$182,2,FALSE),"")</f>
        <v/>
      </c>
      <c r="G914" s="49" t="str">
        <f>IFERROR(VLOOKUP(E914,'Condensed Specialty Crosswalk'!$A$2:$C$182,3,FALSE),"")</f>
        <v/>
      </c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</row>
    <row r="915" spans="1:30" ht="17">
      <c r="A915" s="49"/>
      <c r="B915" s="49" t="str">
        <f>CONCATENATE(Reports!E914," ",Reports!F914," ",Reports!G914)</f>
        <v xml:space="preserve">  </v>
      </c>
      <c r="C915" s="101"/>
      <c r="D915" s="101"/>
      <c r="E915" s="49" t="str">
        <f>IFERROR(VLOOKUP(D915,'taxonomy map'!$A$1:$B$171,2,FALSE),"")</f>
        <v/>
      </c>
      <c r="F915" s="49" t="str">
        <f>IFERROR(VLOOKUP(E915,'Condensed Specialty Crosswalk'!$A$2:$C$182,2,FALSE),"")</f>
        <v/>
      </c>
      <c r="G915" s="49" t="str">
        <f>IFERROR(VLOOKUP(E915,'Condensed Specialty Crosswalk'!$A$2:$C$182,3,FALSE),"")</f>
        <v/>
      </c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</row>
    <row r="916" spans="1:30" ht="17">
      <c r="A916" s="49"/>
      <c r="B916" s="49" t="str">
        <f>CONCATENATE(Reports!E915," ",Reports!F915," ",Reports!G915)</f>
        <v xml:space="preserve">  </v>
      </c>
      <c r="C916" s="101"/>
      <c r="D916" s="101"/>
      <c r="E916" s="49" t="str">
        <f>IFERROR(VLOOKUP(D916,'taxonomy map'!$A$1:$B$171,2,FALSE),"")</f>
        <v/>
      </c>
      <c r="F916" s="49" t="str">
        <f>IFERROR(VLOOKUP(E916,'Condensed Specialty Crosswalk'!$A$2:$C$182,2,FALSE),"")</f>
        <v/>
      </c>
      <c r="G916" s="49" t="str">
        <f>IFERROR(VLOOKUP(E916,'Condensed Specialty Crosswalk'!$A$2:$C$182,3,FALSE),"")</f>
        <v/>
      </c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</row>
    <row r="917" spans="1:30" ht="17">
      <c r="A917" s="49"/>
      <c r="B917" s="49" t="str">
        <f>CONCATENATE(Reports!E916," ",Reports!F916," ",Reports!G916)</f>
        <v xml:space="preserve">  </v>
      </c>
      <c r="C917" s="101"/>
      <c r="D917" s="101"/>
      <c r="E917" s="49" t="str">
        <f>IFERROR(VLOOKUP(D917,'taxonomy map'!$A$1:$B$171,2,FALSE),"")</f>
        <v/>
      </c>
      <c r="F917" s="49" t="str">
        <f>IFERROR(VLOOKUP(E917,'Condensed Specialty Crosswalk'!$A$2:$C$182,2,FALSE),"")</f>
        <v/>
      </c>
      <c r="G917" s="49" t="str">
        <f>IFERROR(VLOOKUP(E917,'Condensed Specialty Crosswalk'!$A$2:$C$182,3,FALSE),"")</f>
        <v/>
      </c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</row>
    <row r="918" spans="1:30" ht="17">
      <c r="A918" s="49"/>
      <c r="B918" s="49" t="str">
        <f>CONCATENATE(Reports!E917," ",Reports!F917," ",Reports!G917)</f>
        <v xml:space="preserve">  </v>
      </c>
      <c r="C918" s="101"/>
      <c r="D918" s="101"/>
      <c r="E918" s="49" t="str">
        <f>IFERROR(VLOOKUP(D918,'taxonomy map'!$A$1:$B$171,2,FALSE),"")</f>
        <v/>
      </c>
      <c r="F918" s="49" t="str">
        <f>IFERROR(VLOOKUP(E918,'Condensed Specialty Crosswalk'!$A$2:$C$182,2,FALSE),"")</f>
        <v/>
      </c>
      <c r="G918" s="49" t="str">
        <f>IFERROR(VLOOKUP(E918,'Condensed Specialty Crosswalk'!$A$2:$C$182,3,FALSE),"")</f>
        <v/>
      </c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</row>
    <row r="919" spans="1:30" ht="17">
      <c r="A919" s="49"/>
      <c r="B919" s="49" t="str">
        <f>CONCATENATE(Reports!E918," ",Reports!F918," ",Reports!G918)</f>
        <v xml:space="preserve">  </v>
      </c>
      <c r="C919" s="101"/>
      <c r="D919" s="101"/>
      <c r="E919" s="49" t="str">
        <f>IFERROR(VLOOKUP(D919,'taxonomy map'!$A$1:$B$171,2,FALSE),"")</f>
        <v/>
      </c>
      <c r="F919" s="49" t="str">
        <f>IFERROR(VLOOKUP(E919,'Condensed Specialty Crosswalk'!$A$2:$C$182,2,FALSE),"")</f>
        <v/>
      </c>
      <c r="G919" s="49" t="str">
        <f>IFERROR(VLOOKUP(E919,'Condensed Specialty Crosswalk'!$A$2:$C$182,3,FALSE),"")</f>
        <v/>
      </c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</row>
    <row r="920" spans="1:30" ht="17">
      <c r="A920" s="49"/>
      <c r="B920" s="49" t="str">
        <f>CONCATENATE(Reports!E919," ",Reports!F919," ",Reports!G919)</f>
        <v xml:space="preserve">  </v>
      </c>
      <c r="C920" s="101"/>
      <c r="D920" s="101"/>
      <c r="E920" s="49" t="str">
        <f>IFERROR(VLOOKUP(D920,'taxonomy map'!$A$1:$B$171,2,FALSE),"")</f>
        <v/>
      </c>
      <c r="F920" s="49" t="str">
        <f>IFERROR(VLOOKUP(E920,'Condensed Specialty Crosswalk'!$A$2:$C$182,2,FALSE),"")</f>
        <v/>
      </c>
      <c r="G920" s="49" t="str">
        <f>IFERROR(VLOOKUP(E920,'Condensed Specialty Crosswalk'!$A$2:$C$182,3,FALSE),"")</f>
        <v/>
      </c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</row>
    <row r="921" spans="1:30" ht="17">
      <c r="A921" s="49"/>
      <c r="B921" s="49" t="str">
        <f>CONCATENATE(Reports!E920," ",Reports!F920," ",Reports!G920)</f>
        <v xml:space="preserve">  </v>
      </c>
      <c r="C921" s="101"/>
      <c r="D921" s="101"/>
      <c r="E921" s="49" t="str">
        <f>IFERROR(VLOOKUP(D921,'taxonomy map'!$A$1:$B$171,2,FALSE),"")</f>
        <v/>
      </c>
      <c r="F921" s="49" t="str">
        <f>IFERROR(VLOOKUP(E921,'Condensed Specialty Crosswalk'!$A$2:$C$182,2,FALSE),"")</f>
        <v/>
      </c>
      <c r="G921" s="49" t="str">
        <f>IFERROR(VLOOKUP(E921,'Condensed Specialty Crosswalk'!$A$2:$C$182,3,FALSE),"")</f>
        <v/>
      </c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</row>
    <row r="922" spans="1:30" ht="17">
      <c r="A922" s="49"/>
      <c r="B922" s="49" t="str">
        <f>CONCATENATE(Reports!E921," ",Reports!F921," ",Reports!G921)</f>
        <v xml:space="preserve">  </v>
      </c>
      <c r="C922" s="101"/>
      <c r="D922" s="101"/>
      <c r="E922" s="49" t="str">
        <f>IFERROR(VLOOKUP(D922,'taxonomy map'!$A$1:$B$171,2,FALSE),"")</f>
        <v/>
      </c>
      <c r="F922" s="49" t="str">
        <f>IFERROR(VLOOKUP(E922,'Condensed Specialty Crosswalk'!$A$2:$C$182,2,FALSE),"")</f>
        <v/>
      </c>
      <c r="G922" s="49" t="str">
        <f>IFERROR(VLOOKUP(E922,'Condensed Specialty Crosswalk'!$A$2:$C$182,3,FALSE),"")</f>
        <v/>
      </c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</row>
    <row r="923" spans="1:30" ht="17">
      <c r="A923" s="49"/>
      <c r="B923" s="49" t="str">
        <f>CONCATENATE(Reports!E922," ",Reports!F922," ",Reports!G922)</f>
        <v xml:space="preserve">  </v>
      </c>
      <c r="C923" s="101"/>
      <c r="D923" s="101"/>
      <c r="E923" s="49" t="str">
        <f>IFERROR(VLOOKUP(D923,'taxonomy map'!$A$1:$B$171,2,FALSE),"")</f>
        <v/>
      </c>
      <c r="F923" s="49" t="str">
        <f>IFERROR(VLOOKUP(E923,'Condensed Specialty Crosswalk'!$A$2:$C$182,2,FALSE),"")</f>
        <v/>
      </c>
      <c r="G923" s="49" t="str">
        <f>IFERROR(VLOOKUP(E923,'Condensed Specialty Crosswalk'!$A$2:$C$182,3,FALSE),"")</f>
        <v/>
      </c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</row>
    <row r="924" spans="1:30" ht="17">
      <c r="A924" s="49"/>
      <c r="B924" s="49" t="str">
        <f>CONCATENATE(Reports!E923," ",Reports!F923," ",Reports!G923)</f>
        <v xml:space="preserve">  </v>
      </c>
      <c r="C924" s="101"/>
      <c r="D924" s="101"/>
      <c r="E924" s="49" t="str">
        <f>IFERROR(VLOOKUP(D924,'taxonomy map'!$A$1:$B$171,2,FALSE),"")</f>
        <v/>
      </c>
      <c r="F924" s="49" t="str">
        <f>IFERROR(VLOOKUP(E924,'Condensed Specialty Crosswalk'!$A$2:$C$182,2,FALSE),"")</f>
        <v/>
      </c>
      <c r="G924" s="49" t="str">
        <f>IFERROR(VLOOKUP(E924,'Condensed Specialty Crosswalk'!$A$2:$C$182,3,FALSE),"")</f>
        <v/>
      </c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</row>
    <row r="925" spans="1:30" ht="17">
      <c r="A925" s="49"/>
      <c r="B925" s="49" t="str">
        <f>CONCATENATE(Reports!E924," ",Reports!F924," ",Reports!G924)</f>
        <v xml:space="preserve">  </v>
      </c>
      <c r="C925" s="101"/>
      <c r="D925" s="101"/>
      <c r="E925" s="49" t="str">
        <f>IFERROR(VLOOKUP(D925,'taxonomy map'!$A$1:$B$171,2,FALSE),"")</f>
        <v/>
      </c>
      <c r="F925" s="49" t="str">
        <f>IFERROR(VLOOKUP(E925,'Condensed Specialty Crosswalk'!$A$2:$C$182,2,FALSE),"")</f>
        <v/>
      </c>
      <c r="G925" s="49" t="str">
        <f>IFERROR(VLOOKUP(E925,'Condensed Specialty Crosswalk'!$A$2:$C$182,3,FALSE),"")</f>
        <v/>
      </c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</row>
    <row r="926" spans="1:30" ht="17">
      <c r="A926" s="49"/>
      <c r="B926" s="49" t="str">
        <f>CONCATENATE(Reports!E925," ",Reports!F925," ",Reports!G925)</f>
        <v xml:space="preserve">  </v>
      </c>
      <c r="C926" s="101"/>
      <c r="D926" s="101"/>
      <c r="E926" s="49" t="str">
        <f>IFERROR(VLOOKUP(D926,'taxonomy map'!$A$1:$B$171,2,FALSE),"")</f>
        <v/>
      </c>
      <c r="F926" s="49" t="str">
        <f>IFERROR(VLOOKUP(E926,'Condensed Specialty Crosswalk'!$A$2:$C$182,2,FALSE),"")</f>
        <v/>
      </c>
      <c r="G926" s="49" t="str">
        <f>IFERROR(VLOOKUP(E926,'Condensed Specialty Crosswalk'!$A$2:$C$182,3,FALSE),"")</f>
        <v/>
      </c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</row>
    <row r="927" spans="1:30" ht="17">
      <c r="A927" s="49"/>
      <c r="B927" s="49" t="str">
        <f>CONCATENATE(Reports!E926," ",Reports!F926," ",Reports!G926)</f>
        <v xml:space="preserve">  </v>
      </c>
      <c r="C927" s="101"/>
      <c r="D927" s="101"/>
      <c r="E927" s="49" t="str">
        <f>IFERROR(VLOOKUP(D927,'taxonomy map'!$A$1:$B$171,2,FALSE),"")</f>
        <v/>
      </c>
      <c r="F927" s="49" t="str">
        <f>IFERROR(VLOOKUP(E927,'Condensed Specialty Crosswalk'!$A$2:$C$182,2,FALSE),"")</f>
        <v/>
      </c>
      <c r="G927" s="49" t="str">
        <f>IFERROR(VLOOKUP(E927,'Condensed Specialty Crosswalk'!$A$2:$C$182,3,FALSE),"")</f>
        <v/>
      </c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</row>
    <row r="928" spans="1:30" ht="17">
      <c r="A928" s="49"/>
      <c r="B928" s="49" t="str">
        <f>CONCATENATE(Reports!E927," ",Reports!F927," ",Reports!G927)</f>
        <v xml:space="preserve">  </v>
      </c>
      <c r="C928" s="101"/>
      <c r="D928" s="101"/>
      <c r="E928" s="49" t="str">
        <f>IFERROR(VLOOKUP(D928,'taxonomy map'!$A$1:$B$171,2,FALSE),"")</f>
        <v/>
      </c>
      <c r="F928" s="49" t="str">
        <f>IFERROR(VLOOKUP(E928,'Condensed Specialty Crosswalk'!$A$2:$C$182,2,FALSE),"")</f>
        <v/>
      </c>
      <c r="G928" s="49" t="str">
        <f>IFERROR(VLOOKUP(E928,'Condensed Specialty Crosswalk'!$A$2:$C$182,3,FALSE),"")</f>
        <v/>
      </c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</row>
    <row r="929" spans="1:30" ht="17">
      <c r="A929" s="49"/>
      <c r="B929" s="49" t="str">
        <f>CONCATENATE(Reports!E928," ",Reports!F928," ",Reports!G928)</f>
        <v xml:space="preserve">  </v>
      </c>
      <c r="C929" s="101"/>
      <c r="D929" s="101"/>
      <c r="E929" s="49" t="str">
        <f>IFERROR(VLOOKUP(D929,'taxonomy map'!$A$1:$B$171,2,FALSE),"")</f>
        <v/>
      </c>
      <c r="F929" s="49" t="str">
        <f>IFERROR(VLOOKUP(E929,'Condensed Specialty Crosswalk'!$A$2:$C$182,2,FALSE),"")</f>
        <v/>
      </c>
      <c r="G929" s="49" t="str">
        <f>IFERROR(VLOOKUP(E929,'Condensed Specialty Crosswalk'!$A$2:$C$182,3,FALSE),"")</f>
        <v/>
      </c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</row>
    <row r="930" spans="1:30" ht="17">
      <c r="A930" s="49"/>
      <c r="B930" s="49" t="str">
        <f>CONCATENATE(Reports!E929," ",Reports!F929," ",Reports!G929)</f>
        <v xml:space="preserve">  </v>
      </c>
      <c r="C930" s="101"/>
      <c r="D930" s="101"/>
      <c r="E930" s="49" t="str">
        <f>IFERROR(VLOOKUP(D930,'taxonomy map'!$A$1:$B$171,2,FALSE),"")</f>
        <v/>
      </c>
      <c r="F930" s="49" t="str">
        <f>IFERROR(VLOOKUP(E930,'Condensed Specialty Crosswalk'!$A$2:$C$182,2,FALSE),"")</f>
        <v/>
      </c>
      <c r="G930" s="49" t="str">
        <f>IFERROR(VLOOKUP(E930,'Condensed Specialty Crosswalk'!$A$2:$C$182,3,FALSE),"")</f>
        <v/>
      </c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</row>
    <row r="931" spans="1:30" ht="17">
      <c r="A931" s="49"/>
      <c r="B931" s="49" t="str">
        <f>CONCATENATE(Reports!E930," ",Reports!F930," ",Reports!G930)</f>
        <v xml:space="preserve">  </v>
      </c>
      <c r="C931" s="101"/>
      <c r="D931" s="101"/>
      <c r="E931" s="49" t="str">
        <f>IFERROR(VLOOKUP(D931,'taxonomy map'!$A$1:$B$171,2,FALSE),"")</f>
        <v/>
      </c>
      <c r="F931" s="49" t="str">
        <f>IFERROR(VLOOKUP(E931,'Condensed Specialty Crosswalk'!$A$2:$C$182,2,FALSE),"")</f>
        <v/>
      </c>
      <c r="G931" s="49" t="str">
        <f>IFERROR(VLOOKUP(E931,'Condensed Specialty Crosswalk'!$A$2:$C$182,3,FALSE),"")</f>
        <v/>
      </c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</row>
    <row r="932" spans="1:30" ht="17">
      <c r="A932" s="49"/>
      <c r="B932" s="49" t="str">
        <f>CONCATENATE(Reports!E931," ",Reports!F931," ",Reports!G931)</f>
        <v xml:space="preserve">  </v>
      </c>
      <c r="C932" s="101"/>
      <c r="D932" s="101"/>
      <c r="E932" s="49" t="str">
        <f>IFERROR(VLOOKUP(D932,'taxonomy map'!$A$1:$B$171,2,FALSE),"")</f>
        <v/>
      </c>
      <c r="F932" s="49" t="str">
        <f>IFERROR(VLOOKUP(E932,'Condensed Specialty Crosswalk'!$A$2:$C$182,2,FALSE),"")</f>
        <v/>
      </c>
      <c r="G932" s="49" t="str">
        <f>IFERROR(VLOOKUP(E932,'Condensed Specialty Crosswalk'!$A$2:$C$182,3,FALSE),"")</f>
        <v/>
      </c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</row>
    <row r="933" spans="1:30" ht="17">
      <c r="A933" s="49"/>
      <c r="B933" s="49" t="str">
        <f>CONCATENATE(Reports!E932," ",Reports!F932," ",Reports!G932)</f>
        <v xml:space="preserve">  </v>
      </c>
      <c r="C933" s="101"/>
      <c r="D933" s="101"/>
      <c r="E933" s="49" t="str">
        <f>IFERROR(VLOOKUP(D933,'taxonomy map'!$A$1:$B$171,2,FALSE),"")</f>
        <v/>
      </c>
      <c r="F933" s="49" t="str">
        <f>IFERROR(VLOOKUP(E933,'Condensed Specialty Crosswalk'!$A$2:$C$182,2,FALSE),"")</f>
        <v/>
      </c>
      <c r="G933" s="49" t="str">
        <f>IFERROR(VLOOKUP(E933,'Condensed Specialty Crosswalk'!$A$2:$C$182,3,FALSE),"")</f>
        <v/>
      </c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</row>
    <row r="934" spans="1:30" ht="17">
      <c r="A934" s="49"/>
      <c r="B934" s="49" t="str">
        <f>CONCATENATE(Reports!E933," ",Reports!F933," ",Reports!G933)</f>
        <v xml:space="preserve">  </v>
      </c>
      <c r="C934" s="101"/>
      <c r="D934" s="101"/>
      <c r="E934" s="49" t="str">
        <f>IFERROR(VLOOKUP(D934,'taxonomy map'!$A$1:$B$171,2,FALSE),"")</f>
        <v/>
      </c>
      <c r="F934" s="49" t="str">
        <f>IFERROR(VLOOKUP(E934,'Condensed Specialty Crosswalk'!$A$2:$C$182,2,FALSE),"")</f>
        <v/>
      </c>
      <c r="G934" s="49" t="str">
        <f>IFERROR(VLOOKUP(E934,'Condensed Specialty Crosswalk'!$A$2:$C$182,3,FALSE),"")</f>
        <v/>
      </c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</row>
    <row r="935" spans="1:30" ht="17">
      <c r="A935" s="49"/>
      <c r="B935" s="49" t="str">
        <f>CONCATENATE(Reports!E934," ",Reports!F934," ",Reports!G934)</f>
        <v xml:space="preserve">  </v>
      </c>
      <c r="C935" s="101"/>
      <c r="D935" s="101"/>
      <c r="E935" s="49" t="str">
        <f>IFERROR(VLOOKUP(D935,'taxonomy map'!$A$1:$B$171,2,FALSE),"")</f>
        <v/>
      </c>
      <c r="F935" s="49" t="str">
        <f>IFERROR(VLOOKUP(E935,'Condensed Specialty Crosswalk'!$A$2:$C$182,2,FALSE),"")</f>
        <v/>
      </c>
      <c r="G935" s="49" t="str">
        <f>IFERROR(VLOOKUP(E935,'Condensed Specialty Crosswalk'!$A$2:$C$182,3,FALSE),"")</f>
        <v/>
      </c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</row>
    <row r="936" spans="1:30" ht="17">
      <c r="A936" s="49"/>
      <c r="B936" s="49" t="str">
        <f>CONCATENATE(Reports!E935," ",Reports!F935," ",Reports!G935)</f>
        <v xml:space="preserve">  </v>
      </c>
      <c r="C936" s="101"/>
      <c r="D936" s="101"/>
      <c r="E936" s="49" t="str">
        <f>IFERROR(VLOOKUP(D936,'taxonomy map'!$A$1:$B$171,2,FALSE),"")</f>
        <v/>
      </c>
      <c r="F936" s="49" t="str">
        <f>IFERROR(VLOOKUP(E936,'Condensed Specialty Crosswalk'!$A$2:$C$182,2,FALSE),"")</f>
        <v/>
      </c>
      <c r="G936" s="49" t="str">
        <f>IFERROR(VLOOKUP(E936,'Condensed Specialty Crosswalk'!$A$2:$C$182,3,FALSE),"")</f>
        <v/>
      </c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</row>
    <row r="937" spans="1:30" ht="17">
      <c r="A937" s="49"/>
      <c r="B937" s="49" t="str">
        <f>CONCATENATE(Reports!E936," ",Reports!F936," ",Reports!G936)</f>
        <v xml:space="preserve">  </v>
      </c>
      <c r="C937" s="101"/>
      <c r="D937" s="101"/>
      <c r="E937" s="49" t="str">
        <f>IFERROR(VLOOKUP(D937,'taxonomy map'!$A$1:$B$171,2,FALSE),"")</f>
        <v/>
      </c>
      <c r="F937" s="49" t="str">
        <f>IFERROR(VLOOKUP(E937,'Condensed Specialty Crosswalk'!$A$2:$C$182,2,FALSE),"")</f>
        <v/>
      </c>
      <c r="G937" s="49" t="str">
        <f>IFERROR(VLOOKUP(E937,'Condensed Specialty Crosswalk'!$A$2:$C$182,3,FALSE),"")</f>
        <v/>
      </c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</row>
    <row r="938" spans="1:30" ht="17">
      <c r="A938" s="49"/>
      <c r="B938" s="49" t="str">
        <f>CONCATENATE(Reports!E937," ",Reports!F937," ",Reports!G937)</f>
        <v xml:space="preserve">  </v>
      </c>
      <c r="C938" s="101"/>
      <c r="D938" s="101"/>
      <c r="E938" s="49" t="str">
        <f>IFERROR(VLOOKUP(D938,'taxonomy map'!$A$1:$B$171,2,FALSE),"")</f>
        <v/>
      </c>
      <c r="F938" s="49" t="str">
        <f>IFERROR(VLOOKUP(E938,'Condensed Specialty Crosswalk'!$A$2:$C$182,2,FALSE),"")</f>
        <v/>
      </c>
      <c r="G938" s="49" t="str">
        <f>IFERROR(VLOOKUP(E938,'Condensed Specialty Crosswalk'!$A$2:$C$182,3,FALSE),"")</f>
        <v/>
      </c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</row>
    <row r="939" spans="1:30" ht="17">
      <c r="A939" s="49"/>
      <c r="B939" s="49" t="str">
        <f>CONCATENATE(Reports!E938," ",Reports!F938," ",Reports!G938)</f>
        <v xml:space="preserve">  </v>
      </c>
      <c r="C939" s="101"/>
      <c r="D939" s="101"/>
      <c r="E939" s="49" t="str">
        <f>IFERROR(VLOOKUP(D939,'taxonomy map'!$A$1:$B$171,2,FALSE),"")</f>
        <v/>
      </c>
      <c r="F939" s="49" t="str">
        <f>IFERROR(VLOOKUP(E939,'Condensed Specialty Crosswalk'!$A$2:$C$182,2,FALSE),"")</f>
        <v/>
      </c>
      <c r="G939" s="49" t="str">
        <f>IFERROR(VLOOKUP(E939,'Condensed Specialty Crosswalk'!$A$2:$C$182,3,FALSE),"")</f>
        <v/>
      </c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</row>
    <row r="940" spans="1:30" ht="17">
      <c r="A940" s="49"/>
      <c r="B940" s="49" t="str">
        <f>CONCATENATE(Reports!E939," ",Reports!F939," ",Reports!G939)</f>
        <v xml:space="preserve">  </v>
      </c>
      <c r="C940" s="101"/>
      <c r="D940" s="101"/>
      <c r="E940" s="49" t="str">
        <f>IFERROR(VLOOKUP(D940,'taxonomy map'!$A$1:$B$171,2,FALSE),"")</f>
        <v/>
      </c>
      <c r="F940" s="49" t="str">
        <f>IFERROR(VLOOKUP(E940,'Condensed Specialty Crosswalk'!$A$2:$C$182,2,FALSE),"")</f>
        <v/>
      </c>
      <c r="G940" s="49" t="str">
        <f>IFERROR(VLOOKUP(E940,'Condensed Specialty Crosswalk'!$A$2:$C$182,3,FALSE),"")</f>
        <v/>
      </c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</row>
    <row r="941" spans="1:30" ht="17">
      <c r="A941" s="49"/>
      <c r="B941" s="49" t="str">
        <f>CONCATENATE(Reports!E940," ",Reports!F940," ",Reports!G940)</f>
        <v xml:space="preserve">  </v>
      </c>
      <c r="C941" s="101"/>
      <c r="D941" s="101"/>
      <c r="E941" s="49" t="str">
        <f>IFERROR(VLOOKUP(D941,'taxonomy map'!$A$1:$B$171,2,FALSE),"")</f>
        <v/>
      </c>
      <c r="F941" s="49" t="str">
        <f>IFERROR(VLOOKUP(E941,'Condensed Specialty Crosswalk'!$A$2:$C$182,2,FALSE),"")</f>
        <v/>
      </c>
      <c r="G941" s="49" t="str">
        <f>IFERROR(VLOOKUP(E941,'Condensed Specialty Crosswalk'!$A$2:$C$182,3,FALSE),"")</f>
        <v/>
      </c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</row>
    <row r="942" spans="1:30" ht="17">
      <c r="A942" s="49"/>
      <c r="B942" s="49" t="str">
        <f>CONCATENATE(Reports!E941," ",Reports!F941," ",Reports!G941)</f>
        <v xml:space="preserve">  </v>
      </c>
      <c r="C942" s="101"/>
      <c r="D942" s="101"/>
      <c r="E942" s="49" t="str">
        <f>IFERROR(VLOOKUP(D942,'taxonomy map'!$A$1:$B$171,2,FALSE),"")</f>
        <v/>
      </c>
      <c r="F942" s="49" t="str">
        <f>IFERROR(VLOOKUP(E942,'Condensed Specialty Crosswalk'!$A$2:$C$182,2,FALSE),"")</f>
        <v/>
      </c>
      <c r="G942" s="49" t="str">
        <f>IFERROR(VLOOKUP(E942,'Condensed Specialty Crosswalk'!$A$2:$C$182,3,FALSE),"")</f>
        <v/>
      </c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</row>
    <row r="943" spans="1:30" ht="17">
      <c r="A943" s="49"/>
      <c r="B943" s="49" t="str">
        <f>CONCATENATE(Reports!E942," ",Reports!F942," ",Reports!G942)</f>
        <v xml:space="preserve">  </v>
      </c>
      <c r="C943" s="101"/>
      <c r="D943" s="101"/>
      <c r="E943" s="49" t="str">
        <f>IFERROR(VLOOKUP(D943,'taxonomy map'!$A$1:$B$171,2,FALSE),"")</f>
        <v/>
      </c>
      <c r="F943" s="49" t="str">
        <f>IFERROR(VLOOKUP(E943,'Condensed Specialty Crosswalk'!$A$2:$C$182,2,FALSE),"")</f>
        <v/>
      </c>
      <c r="G943" s="49" t="str">
        <f>IFERROR(VLOOKUP(E943,'Condensed Specialty Crosswalk'!$A$2:$C$182,3,FALSE),"")</f>
        <v/>
      </c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</row>
    <row r="944" spans="1:30" ht="17">
      <c r="A944" s="49"/>
      <c r="B944" s="49" t="str">
        <f>CONCATENATE(Reports!E943," ",Reports!F943," ",Reports!G943)</f>
        <v xml:space="preserve">  </v>
      </c>
      <c r="C944" s="101"/>
      <c r="D944" s="101"/>
      <c r="E944" s="49" t="str">
        <f>IFERROR(VLOOKUP(D944,'taxonomy map'!$A$1:$B$171,2,FALSE),"")</f>
        <v/>
      </c>
      <c r="F944" s="49" t="str">
        <f>IFERROR(VLOOKUP(E944,'Condensed Specialty Crosswalk'!$A$2:$C$182,2,FALSE),"")</f>
        <v/>
      </c>
      <c r="G944" s="49" t="str">
        <f>IFERROR(VLOOKUP(E944,'Condensed Specialty Crosswalk'!$A$2:$C$182,3,FALSE),"")</f>
        <v/>
      </c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</row>
    <row r="945" spans="1:30" ht="17">
      <c r="A945" s="49"/>
      <c r="B945" s="49" t="str">
        <f>CONCATENATE(Reports!E944," ",Reports!F944," ",Reports!G944)</f>
        <v xml:space="preserve">  </v>
      </c>
      <c r="C945" s="101"/>
      <c r="D945" s="101"/>
      <c r="E945" s="49" t="str">
        <f>IFERROR(VLOOKUP(D945,'taxonomy map'!$A$1:$B$171,2,FALSE),"")</f>
        <v/>
      </c>
      <c r="F945" s="49" t="str">
        <f>IFERROR(VLOOKUP(E945,'Condensed Specialty Crosswalk'!$A$2:$C$182,2,FALSE),"")</f>
        <v/>
      </c>
      <c r="G945" s="49" t="str">
        <f>IFERROR(VLOOKUP(E945,'Condensed Specialty Crosswalk'!$A$2:$C$182,3,FALSE),"")</f>
        <v/>
      </c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</row>
    <row r="946" spans="1:30" ht="17">
      <c r="A946" s="49"/>
      <c r="B946" s="49" t="str">
        <f>CONCATENATE(Reports!E945," ",Reports!F945," ",Reports!G945)</f>
        <v xml:space="preserve">  </v>
      </c>
      <c r="C946" s="101"/>
      <c r="D946" s="101"/>
      <c r="E946" s="49" t="str">
        <f>IFERROR(VLOOKUP(D946,'taxonomy map'!$A$1:$B$171,2,FALSE),"")</f>
        <v/>
      </c>
      <c r="F946" s="49" t="str">
        <f>IFERROR(VLOOKUP(E946,'Condensed Specialty Crosswalk'!$A$2:$C$182,2,FALSE),"")</f>
        <v/>
      </c>
      <c r="G946" s="49" t="str">
        <f>IFERROR(VLOOKUP(E946,'Condensed Specialty Crosswalk'!$A$2:$C$182,3,FALSE),"")</f>
        <v/>
      </c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</row>
    <row r="947" spans="1:30" ht="17">
      <c r="A947" s="49"/>
      <c r="B947" s="49" t="str">
        <f>CONCATENATE(Reports!E946," ",Reports!F946," ",Reports!G946)</f>
        <v xml:space="preserve">  </v>
      </c>
      <c r="C947" s="101"/>
      <c r="D947" s="101"/>
      <c r="E947" s="49" t="str">
        <f>IFERROR(VLOOKUP(D947,'taxonomy map'!$A$1:$B$171,2,FALSE),"")</f>
        <v/>
      </c>
      <c r="F947" s="49" t="str">
        <f>IFERROR(VLOOKUP(E947,'Condensed Specialty Crosswalk'!$A$2:$C$182,2,FALSE),"")</f>
        <v/>
      </c>
      <c r="G947" s="49" t="str">
        <f>IFERROR(VLOOKUP(E947,'Condensed Specialty Crosswalk'!$A$2:$C$182,3,FALSE),"")</f>
        <v/>
      </c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</row>
    <row r="948" spans="1:30" ht="17">
      <c r="A948" s="49"/>
      <c r="B948" s="49" t="str">
        <f>CONCATENATE(Reports!E947," ",Reports!F947," ",Reports!G947)</f>
        <v xml:space="preserve">  </v>
      </c>
      <c r="C948" s="101"/>
      <c r="D948" s="101"/>
      <c r="E948" s="49" t="str">
        <f>IFERROR(VLOOKUP(D948,'taxonomy map'!$A$1:$B$171,2,FALSE),"")</f>
        <v/>
      </c>
      <c r="F948" s="49" t="str">
        <f>IFERROR(VLOOKUP(E948,'Condensed Specialty Crosswalk'!$A$2:$C$182,2,FALSE),"")</f>
        <v/>
      </c>
      <c r="G948" s="49" t="str">
        <f>IFERROR(VLOOKUP(E948,'Condensed Specialty Crosswalk'!$A$2:$C$182,3,FALSE),"")</f>
        <v/>
      </c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</row>
    <row r="949" spans="1:30" ht="17">
      <c r="A949" s="49"/>
      <c r="B949" s="49" t="str">
        <f>CONCATENATE(Reports!E948," ",Reports!F948," ",Reports!G948)</f>
        <v xml:space="preserve">  </v>
      </c>
      <c r="C949" s="101"/>
      <c r="D949" s="101"/>
      <c r="E949" s="49" t="str">
        <f>IFERROR(VLOOKUP(D949,'taxonomy map'!$A$1:$B$171,2,FALSE),"")</f>
        <v/>
      </c>
      <c r="F949" s="49" t="str">
        <f>IFERROR(VLOOKUP(E949,'Condensed Specialty Crosswalk'!$A$2:$C$182,2,FALSE),"")</f>
        <v/>
      </c>
      <c r="G949" s="49" t="str">
        <f>IFERROR(VLOOKUP(E949,'Condensed Specialty Crosswalk'!$A$2:$C$182,3,FALSE),"")</f>
        <v/>
      </c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</row>
    <row r="950" spans="1:30" ht="17">
      <c r="A950" s="49"/>
      <c r="B950" s="49" t="str">
        <f>CONCATENATE(Reports!E949," ",Reports!F949," ",Reports!G949)</f>
        <v xml:space="preserve">  </v>
      </c>
      <c r="C950" s="101"/>
      <c r="D950" s="101"/>
      <c r="E950" s="49" t="str">
        <f>IFERROR(VLOOKUP(D950,'taxonomy map'!$A$1:$B$171,2,FALSE),"")</f>
        <v/>
      </c>
      <c r="F950" s="49" t="str">
        <f>IFERROR(VLOOKUP(E950,'Condensed Specialty Crosswalk'!$A$2:$C$182,2,FALSE),"")</f>
        <v/>
      </c>
      <c r="G950" s="49" t="str">
        <f>IFERROR(VLOOKUP(E950,'Condensed Specialty Crosswalk'!$A$2:$C$182,3,FALSE),"")</f>
        <v/>
      </c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</row>
    <row r="951" spans="1:30" ht="17">
      <c r="A951" s="49"/>
      <c r="B951" s="49" t="str">
        <f>CONCATENATE(Reports!E950," ",Reports!F950," ",Reports!G950)</f>
        <v xml:space="preserve">  </v>
      </c>
      <c r="C951" s="101"/>
      <c r="D951" s="101"/>
      <c r="E951" s="49" t="str">
        <f>IFERROR(VLOOKUP(D951,'taxonomy map'!$A$1:$B$171,2,FALSE),"")</f>
        <v/>
      </c>
      <c r="F951" s="49" t="str">
        <f>IFERROR(VLOOKUP(E951,'Condensed Specialty Crosswalk'!$A$2:$C$182,2,FALSE),"")</f>
        <v/>
      </c>
      <c r="G951" s="49" t="str">
        <f>IFERROR(VLOOKUP(E951,'Condensed Specialty Crosswalk'!$A$2:$C$182,3,FALSE),"")</f>
        <v/>
      </c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</row>
    <row r="952" spans="1:30" ht="17">
      <c r="A952" s="49"/>
      <c r="B952" s="49" t="str">
        <f>CONCATENATE(Reports!E951," ",Reports!F951," ",Reports!G951)</f>
        <v xml:space="preserve">  </v>
      </c>
      <c r="C952" s="101"/>
      <c r="D952" s="101"/>
      <c r="E952" s="49" t="str">
        <f>IFERROR(VLOOKUP(D952,'taxonomy map'!$A$1:$B$171,2,FALSE),"")</f>
        <v/>
      </c>
      <c r="F952" s="49" t="str">
        <f>IFERROR(VLOOKUP(E952,'Condensed Specialty Crosswalk'!$A$2:$C$182,2,FALSE),"")</f>
        <v/>
      </c>
      <c r="G952" s="49" t="str">
        <f>IFERROR(VLOOKUP(E952,'Condensed Specialty Crosswalk'!$A$2:$C$182,3,FALSE),"")</f>
        <v/>
      </c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</row>
    <row r="953" spans="1:30" ht="17">
      <c r="A953" s="49"/>
      <c r="B953" s="49" t="str">
        <f>CONCATENATE(Reports!E952," ",Reports!F952," ",Reports!G952)</f>
        <v xml:space="preserve">  </v>
      </c>
      <c r="C953" s="101"/>
      <c r="D953" s="101"/>
      <c r="E953" s="49" t="str">
        <f>IFERROR(VLOOKUP(D953,'taxonomy map'!$A$1:$B$171,2,FALSE),"")</f>
        <v/>
      </c>
      <c r="F953" s="49" t="str">
        <f>IFERROR(VLOOKUP(E953,'Condensed Specialty Crosswalk'!$A$2:$C$182,2,FALSE),"")</f>
        <v/>
      </c>
      <c r="G953" s="49" t="str">
        <f>IFERROR(VLOOKUP(E953,'Condensed Specialty Crosswalk'!$A$2:$C$182,3,FALSE),"")</f>
        <v/>
      </c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</row>
    <row r="954" spans="1:30" ht="17">
      <c r="A954" s="49"/>
      <c r="B954" s="49" t="str">
        <f>CONCATENATE(Reports!E953," ",Reports!F953," ",Reports!G953)</f>
        <v xml:space="preserve">  </v>
      </c>
      <c r="C954" s="101"/>
      <c r="D954" s="101"/>
      <c r="E954" s="49" t="str">
        <f>IFERROR(VLOOKUP(D954,'taxonomy map'!$A$1:$B$171,2,FALSE),"")</f>
        <v/>
      </c>
      <c r="F954" s="49" t="str">
        <f>IFERROR(VLOOKUP(E954,'Condensed Specialty Crosswalk'!$A$2:$C$182,2,FALSE),"")</f>
        <v/>
      </c>
      <c r="G954" s="49" t="str">
        <f>IFERROR(VLOOKUP(E954,'Condensed Specialty Crosswalk'!$A$2:$C$182,3,FALSE),"")</f>
        <v/>
      </c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</row>
    <row r="955" spans="1:30" ht="17">
      <c r="A955" s="49"/>
      <c r="B955" s="49" t="str">
        <f>CONCATENATE(Reports!E954," ",Reports!F954," ",Reports!G954)</f>
        <v xml:space="preserve">  </v>
      </c>
      <c r="C955" s="101"/>
      <c r="D955" s="101"/>
      <c r="E955" s="49" t="str">
        <f>IFERROR(VLOOKUP(D955,'taxonomy map'!$A$1:$B$171,2,FALSE),"")</f>
        <v/>
      </c>
      <c r="F955" s="49" t="str">
        <f>IFERROR(VLOOKUP(E955,'Condensed Specialty Crosswalk'!$A$2:$C$182,2,FALSE),"")</f>
        <v/>
      </c>
      <c r="G955" s="49" t="str">
        <f>IFERROR(VLOOKUP(E955,'Condensed Specialty Crosswalk'!$A$2:$C$182,3,FALSE),"")</f>
        <v/>
      </c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</row>
    <row r="956" spans="1:30" ht="17">
      <c r="A956" s="49"/>
      <c r="B956" s="49" t="str">
        <f>CONCATENATE(Reports!E955," ",Reports!F955," ",Reports!G955)</f>
        <v xml:space="preserve">  </v>
      </c>
      <c r="C956" s="101"/>
      <c r="D956" s="101"/>
      <c r="E956" s="49" t="str">
        <f>IFERROR(VLOOKUP(D956,'taxonomy map'!$A$1:$B$171,2,FALSE),"")</f>
        <v/>
      </c>
      <c r="F956" s="49" t="str">
        <f>IFERROR(VLOOKUP(E956,'Condensed Specialty Crosswalk'!$A$2:$C$182,2,FALSE),"")</f>
        <v/>
      </c>
      <c r="G956" s="49" t="str">
        <f>IFERROR(VLOOKUP(E956,'Condensed Specialty Crosswalk'!$A$2:$C$182,3,FALSE),"")</f>
        <v/>
      </c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</row>
    <row r="957" spans="1:30" ht="17">
      <c r="A957" s="49"/>
      <c r="B957" s="49" t="str">
        <f>CONCATENATE(Reports!E956," ",Reports!F956," ",Reports!G956)</f>
        <v xml:space="preserve">  </v>
      </c>
      <c r="C957" s="101"/>
      <c r="D957" s="101"/>
      <c r="E957" s="49" t="str">
        <f>IFERROR(VLOOKUP(D957,'taxonomy map'!$A$1:$B$171,2,FALSE),"")</f>
        <v/>
      </c>
      <c r="F957" s="49" t="str">
        <f>IFERROR(VLOOKUP(E957,'Condensed Specialty Crosswalk'!$A$2:$C$182,2,FALSE),"")</f>
        <v/>
      </c>
      <c r="G957" s="49" t="str">
        <f>IFERROR(VLOOKUP(E957,'Condensed Specialty Crosswalk'!$A$2:$C$182,3,FALSE),"")</f>
        <v/>
      </c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</row>
    <row r="958" spans="1:30" ht="17">
      <c r="A958" s="49"/>
      <c r="B958" s="49" t="str">
        <f>CONCATENATE(Reports!E957," ",Reports!F957," ",Reports!G957)</f>
        <v xml:space="preserve">  </v>
      </c>
      <c r="C958" s="101"/>
      <c r="D958" s="101"/>
      <c r="E958" s="49" t="str">
        <f>IFERROR(VLOOKUP(D958,'taxonomy map'!$A$1:$B$171,2,FALSE),"")</f>
        <v/>
      </c>
      <c r="F958" s="49" t="str">
        <f>IFERROR(VLOOKUP(E958,'Condensed Specialty Crosswalk'!$A$2:$C$182,2,FALSE),"")</f>
        <v/>
      </c>
      <c r="G958" s="49" t="str">
        <f>IFERROR(VLOOKUP(E958,'Condensed Specialty Crosswalk'!$A$2:$C$182,3,FALSE),"")</f>
        <v/>
      </c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</row>
    <row r="959" spans="1:30" ht="17">
      <c r="A959" s="49"/>
      <c r="B959" s="49" t="str">
        <f>CONCATENATE(Reports!E958," ",Reports!F958," ",Reports!G958)</f>
        <v xml:space="preserve">  </v>
      </c>
      <c r="C959" s="101"/>
      <c r="D959" s="101"/>
      <c r="E959" s="49" t="str">
        <f>IFERROR(VLOOKUP(D959,'taxonomy map'!$A$1:$B$171,2,FALSE),"")</f>
        <v/>
      </c>
      <c r="F959" s="49" t="str">
        <f>IFERROR(VLOOKUP(E959,'Condensed Specialty Crosswalk'!$A$2:$C$182,2,FALSE),"")</f>
        <v/>
      </c>
      <c r="G959" s="49" t="str">
        <f>IFERROR(VLOOKUP(E959,'Condensed Specialty Crosswalk'!$A$2:$C$182,3,FALSE),"")</f>
        <v/>
      </c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</row>
    <row r="960" spans="1:30" ht="17">
      <c r="A960" s="49"/>
      <c r="B960" s="49" t="str">
        <f>CONCATENATE(Reports!E959," ",Reports!F959," ",Reports!G959)</f>
        <v xml:space="preserve">  </v>
      </c>
      <c r="C960" s="101"/>
      <c r="D960" s="101"/>
      <c r="E960" s="49" t="str">
        <f>IFERROR(VLOOKUP(D960,'taxonomy map'!$A$1:$B$171,2,FALSE),"")</f>
        <v/>
      </c>
      <c r="F960" s="49" t="str">
        <f>IFERROR(VLOOKUP(E960,'Condensed Specialty Crosswalk'!$A$2:$C$182,2,FALSE),"")</f>
        <v/>
      </c>
      <c r="G960" s="49" t="str">
        <f>IFERROR(VLOOKUP(E960,'Condensed Specialty Crosswalk'!$A$2:$C$182,3,FALSE),"")</f>
        <v/>
      </c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</row>
    <row r="961" spans="1:30" ht="17">
      <c r="A961" s="49"/>
      <c r="B961" s="49" t="str">
        <f>CONCATENATE(Reports!E960," ",Reports!F960," ",Reports!G960)</f>
        <v xml:space="preserve">  </v>
      </c>
      <c r="C961" s="101"/>
      <c r="D961" s="101"/>
      <c r="E961" s="49" t="str">
        <f>IFERROR(VLOOKUP(D961,'taxonomy map'!$A$1:$B$171,2,FALSE),"")</f>
        <v/>
      </c>
      <c r="F961" s="49" t="str">
        <f>IFERROR(VLOOKUP(E961,'Condensed Specialty Crosswalk'!$A$2:$C$182,2,FALSE),"")</f>
        <v/>
      </c>
      <c r="G961" s="49" t="str">
        <f>IFERROR(VLOOKUP(E961,'Condensed Specialty Crosswalk'!$A$2:$C$182,3,FALSE),"")</f>
        <v/>
      </c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</row>
    <row r="962" spans="1:30" ht="17">
      <c r="A962" s="49"/>
      <c r="B962" s="49" t="str">
        <f>CONCATENATE(Reports!E961," ",Reports!F961," ",Reports!G961)</f>
        <v xml:space="preserve">  </v>
      </c>
      <c r="C962" s="101"/>
      <c r="D962" s="101"/>
      <c r="E962" s="49" t="str">
        <f>IFERROR(VLOOKUP(D962,'taxonomy map'!$A$1:$B$171,2,FALSE),"")</f>
        <v/>
      </c>
      <c r="F962" s="49" t="str">
        <f>IFERROR(VLOOKUP(E962,'Condensed Specialty Crosswalk'!$A$2:$C$182,2,FALSE),"")</f>
        <v/>
      </c>
      <c r="G962" s="49" t="str">
        <f>IFERROR(VLOOKUP(E962,'Condensed Specialty Crosswalk'!$A$2:$C$182,3,FALSE),"")</f>
        <v/>
      </c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</row>
    <row r="963" spans="1:30" ht="17">
      <c r="A963" s="49"/>
      <c r="B963" s="49" t="str">
        <f>CONCATENATE(Reports!E962," ",Reports!F962," ",Reports!G962)</f>
        <v xml:space="preserve">  </v>
      </c>
      <c r="C963" s="101"/>
      <c r="D963" s="101"/>
      <c r="E963" s="49" t="str">
        <f>IFERROR(VLOOKUP(D963,'taxonomy map'!$A$1:$B$171,2,FALSE),"")</f>
        <v/>
      </c>
      <c r="F963" s="49" t="str">
        <f>IFERROR(VLOOKUP(E963,'Condensed Specialty Crosswalk'!$A$2:$C$182,2,FALSE),"")</f>
        <v/>
      </c>
      <c r="G963" s="49" t="str">
        <f>IFERROR(VLOOKUP(E963,'Condensed Specialty Crosswalk'!$A$2:$C$182,3,FALSE),"")</f>
        <v/>
      </c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</row>
    <row r="964" spans="1:30" ht="17">
      <c r="A964" s="49"/>
      <c r="B964" s="49" t="str">
        <f>CONCATENATE(Reports!E963," ",Reports!F963," ",Reports!G963)</f>
        <v xml:space="preserve">  </v>
      </c>
      <c r="C964" s="101"/>
      <c r="D964" s="101"/>
      <c r="E964" s="49" t="str">
        <f>IFERROR(VLOOKUP(D964,'taxonomy map'!$A$1:$B$171,2,FALSE),"")</f>
        <v/>
      </c>
      <c r="F964" s="49" t="str">
        <f>IFERROR(VLOOKUP(E964,'Condensed Specialty Crosswalk'!$A$2:$C$182,2,FALSE),"")</f>
        <v/>
      </c>
      <c r="G964" s="49" t="str">
        <f>IFERROR(VLOOKUP(E964,'Condensed Specialty Crosswalk'!$A$2:$C$182,3,FALSE),"")</f>
        <v/>
      </c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</row>
    <row r="965" spans="1:30" ht="17">
      <c r="A965" s="49"/>
      <c r="B965" s="49" t="str">
        <f>CONCATENATE(Reports!E964," ",Reports!F964," ",Reports!G964)</f>
        <v xml:space="preserve">  </v>
      </c>
      <c r="C965" s="101"/>
      <c r="D965" s="101"/>
      <c r="E965" s="49" t="str">
        <f>IFERROR(VLOOKUP(D965,'taxonomy map'!$A$1:$B$171,2,FALSE),"")</f>
        <v/>
      </c>
      <c r="F965" s="49" t="str">
        <f>IFERROR(VLOOKUP(E965,'Condensed Specialty Crosswalk'!$A$2:$C$182,2,FALSE),"")</f>
        <v/>
      </c>
      <c r="G965" s="49" t="str">
        <f>IFERROR(VLOOKUP(E965,'Condensed Specialty Crosswalk'!$A$2:$C$182,3,FALSE),"")</f>
        <v/>
      </c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</row>
    <row r="966" spans="1:30" ht="17">
      <c r="A966" s="49"/>
      <c r="B966" s="49" t="str">
        <f>CONCATENATE(Reports!E965," ",Reports!F965," ",Reports!G965)</f>
        <v xml:space="preserve">  </v>
      </c>
      <c r="C966" s="101"/>
      <c r="D966" s="101"/>
      <c r="E966" s="49" t="str">
        <f>IFERROR(VLOOKUP(D966,'taxonomy map'!$A$1:$B$171,2,FALSE),"")</f>
        <v/>
      </c>
      <c r="F966" s="49" t="str">
        <f>IFERROR(VLOOKUP(E966,'Condensed Specialty Crosswalk'!$A$2:$C$182,2,FALSE),"")</f>
        <v/>
      </c>
      <c r="G966" s="49" t="str">
        <f>IFERROR(VLOOKUP(E966,'Condensed Specialty Crosswalk'!$A$2:$C$182,3,FALSE),"")</f>
        <v/>
      </c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</row>
    <row r="967" spans="1:30" ht="17">
      <c r="A967" s="49"/>
      <c r="B967" s="49" t="str">
        <f>CONCATENATE(Reports!E966," ",Reports!F966," ",Reports!G966)</f>
        <v xml:space="preserve">  </v>
      </c>
      <c r="C967" s="101"/>
      <c r="D967" s="101"/>
      <c r="E967" s="49" t="str">
        <f>IFERROR(VLOOKUP(D967,'taxonomy map'!$A$1:$B$171,2,FALSE),"")</f>
        <v/>
      </c>
      <c r="F967" s="49" t="str">
        <f>IFERROR(VLOOKUP(E967,'Condensed Specialty Crosswalk'!$A$2:$C$182,2,FALSE),"")</f>
        <v/>
      </c>
      <c r="G967" s="49" t="str">
        <f>IFERROR(VLOOKUP(E967,'Condensed Specialty Crosswalk'!$A$2:$C$182,3,FALSE),"")</f>
        <v/>
      </c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</row>
    <row r="968" spans="1:30" ht="17">
      <c r="A968" s="49"/>
      <c r="B968" s="49" t="str">
        <f>CONCATENATE(Reports!E967," ",Reports!F967," ",Reports!G967)</f>
        <v xml:space="preserve">  </v>
      </c>
      <c r="C968" s="101"/>
      <c r="D968" s="101"/>
      <c r="E968" s="49" t="str">
        <f>IFERROR(VLOOKUP(D968,'taxonomy map'!$A$1:$B$171,2,FALSE),"")</f>
        <v/>
      </c>
      <c r="F968" s="49" t="str">
        <f>IFERROR(VLOOKUP(E968,'Condensed Specialty Crosswalk'!$A$2:$C$182,2,FALSE),"")</f>
        <v/>
      </c>
      <c r="G968" s="49" t="str">
        <f>IFERROR(VLOOKUP(E968,'Condensed Specialty Crosswalk'!$A$2:$C$182,3,FALSE),"")</f>
        <v/>
      </c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</row>
    <row r="969" spans="1:30" ht="17">
      <c r="A969" s="49"/>
      <c r="B969" s="49" t="str">
        <f>CONCATENATE(Reports!E968," ",Reports!F968," ",Reports!G968)</f>
        <v xml:space="preserve">  </v>
      </c>
      <c r="C969" s="101"/>
      <c r="D969" s="101"/>
      <c r="E969" s="49" t="str">
        <f>IFERROR(VLOOKUP(D969,'taxonomy map'!$A$1:$B$171,2,FALSE),"")</f>
        <v/>
      </c>
      <c r="F969" s="49" t="str">
        <f>IFERROR(VLOOKUP(E969,'Condensed Specialty Crosswalk'!$A$2:$C$182,2,FALSE),"")</f>
        <v/>
      </c>
      <c r="G969" s="49" t="str">
        <f>IFERROR(VLOOKUP(E969,'Condensed Specialty Crosswalk'!$A$2:$C$182,3,FALSE),"")</f>
        <v/>
      </c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</row>
    <row r="970" spans="1:30" ht="17">
      <c r="A970" s="49"/>
      <c r="B970" s="49" t="str">
        <f>CONCATENATE(Reports!E969," ",Reports!F969," ",Reports!G969)</f>
        <v xml:space="preserve">  </v>
      </c>
      <c r="C970" s="101"/>
      <c r="D970" s="101"/>
      <c r="E970" s="49" t="str">
        <f>IFERROR(VLOOKUP(D970,'taxonomy map'!$A$1:$B$171,2,FALSE),"")</f>
        <v/>
      </c>
      <c r="F970" s="49" t="str">
        <f>IFERROR(VLOOKUP(E970,'Condensed Specialty Crosswalk'!$A$2:$C$182,2,FALSE),"")</f>
        <v/>
      </c>
      <c r="G970" s="49" t="str">
        <f>IFERROR(VLOOKUP(E970,'Condensed Specialty Crosswalk'!$A$2:$C$182,3,FALSE),"")</f>
        <v/>
      </c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</row>
    <row r="971" spans="1:30" ht="17">
      <c r="A971" s="49"/>
      <c r="B971" s="49" t="str">
        <f>CONCATENATE(Reports!E970," ",Reports!F970," ",Reports!G970)</f>
        <v xml:space="preserve">  </v>
      </c>
      <c r="C971" s="101"/>
      <c r="D971" s="101"/>
      <c r="E971" s="49" t="str">
        <f>IFERROR(VLOOKUP(D971,'taxonomy map'!$A$1:$B$171,2,FALSE),"")</f>
        <v/>
      </c>
      <c r="F971" s="49" t="str">
        <f>IFERROR(VLOOKUP(E971,'Condensed Specialty Crosswalk'!$A$2:$C$182,2,FALSE),"")</f>
        <v/>
      </c>
      <c r="G971" s="49" t="str">
        <f>IFERROR(VLOOKUP(E971,'Condensed Specialty Crosswalk'!$A$2:$C$182,3,FALSE),"")</f>
        <v/>
      </c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</row>
    <row r="972" spans="1:30" ht="17">
      <c r="A972" s="49"/>
      <c r="B972" s="49" t="str">
        <f>CONCATENATE(Reports!E971," ",Reports!F971," ",Reports!G971)</f>
        <v xml:space="preserve">  </v>
      </c>
      <c r="C972" s="101"/>
      <c r="D972" s="101"/>
      <c r="E972" s="49" t="str">
        <f>IFERROR(VLOOKUP(D972,'taxonomy map'!$A$1:$B$171,2,FALSE),"")</f>
        <v/>
      </c>
      <c r="F972" s="49" t="str">
        <f>IFERROR(VLOOKUP(E972,'Condensed Specialty Crosswalk'!$A$2:$C$182,2,FALSE),"")</f>
        <v/>
      </c>
      <c r="G972" s="49" t="str">
        <f>IFERROR(VLOOKUP(E972,'Condensed Specialty Crosswalk'!$A$2:$C$182,3,FALSE),"")</f>
        <v/>
      </c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</row>
    <row r="973" spans="1:30" ht="17">
      <c r="A973" s="49"/>
      <c r="B973" s="49" t="str">
        <f>CONCATENATE(Reports!E972," ",Reports!F972," ",Reports!G972)</f>
        <v xml:space="preserve">  </v>
      </c>
      <c r="C973" s="101"/>
      <c r="D973" s="101"/>
      <c r="E973" s="49" t="str">
        <f>IFERROR(VLOOKUP(D973,'taxonomy map'!$A$1:$B$171,2,FALSE),"")</f>
        <v/>
      </c>
      <c r="F973" s="49" t="str">
        <f>IFERROR(VLOOKUP(E973,'Condensed Specialty Crosswalk'!$A$2:$C$182,2,FALSE),"")</f>
        <v/>
      </c>
      <c r="G973" s="49" t="str">
        <f>IFERROR(VLOOKUP(E973,'Condensed Specialty Crosswalk'!$A$2:$C$182,3,FALSE),"")</f>
        <v/>
      </c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</row>
    <row r="974" spans="1:30" ht="17">
      <c r="A974" s="49"/>
      <c r="B974" s="49" t="str">
        <f>CONCATENATE(Reports!E973," ",Reports!F973," ",Reports!G973)</f>
        <v xml:space="preserve">  </v>
      </c>
      <c r="C974" s="101"/>
      <c r="D974" s="101"/>
      <c r="E974" s="49" t="str">
        <f>IFERROR(VLOOKUP(D974,'taxonomy map'!$A$1:$B$171,2,FALSE),"")</f>
        <v/>
      </c>
      <c r="F974" s="49" t="str">
        <f>IFERROR(VLOOKUP(E974,'Condensed Specialty Crosswalk'!$A$2:$C$182,2,FALSE),"")</f>
        <v/>
      </c>
      <c r="G974" s="49" t="str">
        <f>IFERROR(VLOOKUP(E974,'Condensed Specialty Crosswalk'!$A$2:$C$182,3,FALSE),"")</f>
        <v/>
      </c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</row>
    <row r="975" spans="1:30" ht="17">
      <c r="A975" s="49"/>
      <c r="B975" s="49" t="str">
        <f>CONCATENATE(Reports!E974," ",Reports!F974," ",Reports!G974)</f>
        <v xml:space="preserve">  </v>
      </c>
      <c r="C975" s="101"/>
      <c r="D975" s="101"/>
      <c r="E975" s="49" t="str">
        <f>IFERROR(VLOOKUP(D975,'taxonomy map'!$A$1:$B$171,2,FALSE),"")</f>
        <v/>
      </c>
      <c r="F975" s="49" t="str">
        <f>IFERROR(VLOOKUP(E975,'Condensed Specialty Crosswalk'!$A$2:$C$182,2,FALSE),"")</f>
        <v/>
      </c>
      <c r="G975" s="49" t="str">
        <f>IFERROR(VLOOKUP(E975,'Condensed Specialty Crosswalk'!$A$2:$C$182,3,FALSE),"")</f>
        <v/>
      </c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</row>
    <row r="976" spans="1:30" ht="17">
      <c r="A976" s="49"/>
      <c r="B976" s="49" t="str">
        <f>CONCATENATE(Reports!E975," ",Reports!F975," ",Reports!G975)</f>
        <v xml:space="preserve">  </v>
      </c>
      <c r="C976" s="101"/>
      <c r="D976" s="101"/>
      <c r="E976" s="49" t="str">
        <f>IFERROR(VLOOKUP(D976,'taxonomy map'!$A$1:$B$171,2,FALSE),"")</f>
        <v/>
      </c>
      <c r="F976" s="49" t="str">
        <f>IFERROR(VLOOKUP(E976,'Condensed Specialty Crosswalk'!$A$2:$C$182,2,FALSE),"")</f>
        <v/>
      </c>
      <c r="G976" s="49" t="str">
        <f>IFERROR(VLOOKUP(E976,'Condensed Specialty Crosswalk'!$A$2:$C$182,3,FALSE),"")</f>
        <v/>
      </c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</row>
    <row r="977" spans="1:30" ht="17">
      <c r="A977" s="49"/>
      <c r="B977" s="49" t="str">
        <f>CONCATENATE(Reports!E976," ",Reports!F976," ",Reports!G976)</f>
        <v xml:space="preserve">  </v>
      </c>
      <c r="C977" s="101"/>
      <c r="D977" s="101"/>
      <c r="E977" s="49" t="str">
        <f>IFERROR(VLOOKUP(D977,'taxonomy map'!$A$1:$B$171,2,FALSE),"")</f>
        <v/>
      </c>
      <c r="F977" s="49" t="str">
        <f>IFERROR(VLOOKUP(E977,'Condensed Specialty Crosswalk'!$A$2:$C$182,2,FALSE),"")</f>
        <v/>
      </c>
      <c r="G977" s="49" t="str">
        <f>IFERROR(VLOOKUP(E977,'Condensed Specialty Crosswalk'!$A$2:$C$182,3,FALSE),"")</f>
        <v/>
      </c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</row>
    <row r="978" spans="1:30" ht="17">
      <c r="A978" s="49"/>
      <c r="B978" s="49" t="str">
        <f>CONCATENATE(Reports!E977," ",Reports!F977," ",Reports!G977)</f>
        <v xml:space="preserve">  </v>
      </c>
      <c r="C978" s="101"/>
      <c r="D978" s="101"/>
      <c r="E978" s="49" t="str">
        <f>IFERROR(VLOOKUP(D978,'taxonomy map'!$A$1:$B$171,2,FALSE),"")</f>
        <v/>
      </c>
      <c r="F978" s="49" t="str">
        <f>IFERROR(VLOOKUP(E978,'Condensed Specialty Crosswalk'!$A$2:$C$182,2,FALSE),"")</f>
        <v/>
      </c>
      <c r="G978" s="49" t="str">
        <f>IFERROR(VLOOKUP(E978,'Condensed Specialty Crosswalk'!$A$2:$C$182,3,FALSE),"")</f>
        <v/>
      </c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</row>
    <row r="979" spans="1:30" ht="17">
      <c r="A979" s="49"/>
      <c r="B979" s="49" t="str">
        <f>CONCATENATE(Reports!E978," ",Reports!F978," ",Reports!G978)</f>
        <v xml:space="preserve">  </v>
      </c>
      <c r="C979" s="101"/>
      <c r="D979" s="101"/>
      <c r="E979" s="49" t="str">
        <f>IFERROR(VLOOKUP(D979,'taxonomy map'!$A$1:$B$171,2,FALSE),"")</f>
        <v/>
      </c>
      <c r="F979" s="49" t="str">
        <f>IFERROR(VLOOKUP(E979,'Condensed Specialty Crosswalk'!$A$2:$C$182,2,FALSE),"")</f>
        <v/>
      </c>
      <c r="G979" s="49" t="str">
        <f>IFERROR(VLOOKUP(E979,'Condensed Specialty Crosswalk'!$A$2:$C$182,3,FALSE),"")</f>
        <v/>
      </c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</row>
    <row r="980" spans="1:30" ht="17">
      <c r="A980" s="49"/>
      <c r="B980" s="49" t="str">
        <f>CONCATENATE(Reports!E979," ",Reports!F979," ",Reports!G979)</f>
        <v xml:space="preserve">  </v>
      </c>
      <c r="C980" s="101"/>
      <c r="D980" s="101"/>
      <c r="E980" s="49" t="str">
        <f>IFERROR(VLOOKUP(D980,'taxonomy map'!$A$1:$B$171,2,FALSE),"")</f>
        <v/>
      </c>
      <c r="F980" s="49" t="str">
        <f>IFERROR(VLOOKUP(E980,'Condensed Specialty Crosswalk'!$A$2:$C$182,2,FALSE),"")</f>
        <v/>
      </c>
      <c r="G980" s="49" t="str">
        <f>IFERROR(VLOOKUP(E980,'Condensed Specialty Crosswalk'!$A$2:$C$182,3,FALSE),"")</f>
        <v/>
      </c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</row>
    <row r="981" spans="1:30" ht="17">
      <c r="A981" s="49"/>
      <c r="B981" s="49" t="str">
        <f>CONCATENATE(Reports!E980," ",Reports!F980," ",Reports!G980)</f>
        <v xml:space="preserve">  </v>
      </c>
      <c r="C981" s="101"/>
      <c r="D981" s="101"/>
      <c r="E981" s="49" t="str">
        <f>IFERROR(VLOOKUP(D981,'taxonomy map'!$A$1:$B$171,2,FALSE),"")</f>
        <v/>
      </c>
      <c r="F981" s="49" t="str">
        <f>IFERROR(VLOOKUP(E981,'Condensed Specialty Crosswalk'!$A$2:$C$182,2,FALSE),"")</f>
        <v/>
      </c>
      <c r="G981" s="49" t="str">
        <f>IFERROR(VLOOKUP(E981,'Condensed Specialty Crosswalk'!$A$2:$C$182,3,FALSE),"")</f>
        <v/>
      </c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</row>
    <row r="982" spans="1:30" ht="17">
      <c r="A982" s="49"/>
      <c r="B982" s="49" t="str">
        <f>CONCATENATE(Reports!E981," ",Reports!F981," ",Reports!G981)</f>
        <v xml:space="preserve">  </v>
      </c>
      <c r="C982" s="101"/>
      <c r="D982" s="101"/>
      <c r="E982" s="49" t="str">
        <f>IFERROR(VLOOKUP(D982,'taxonomy map'!$A$1:$B$171,2,FALSE),"")</f>
        <v/>
      </c>
      <c r="F982" s="49" t="str">
        <f>IFERROR(VLOOKUP(E982,'Condensed Specialty Crosswalk'!$A$2:$C$182,2,FALSE),"")</f>
        <v/>
      </c>
      <c r="G982" s="49" t="str">
        <f>IFERROR(VLOOKUP(E982,'Condensed Specialty Crosswalk'!$A$2:$C$182,3,FALSE),"")</f>
        <v/>
      </c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</row>
    <row r="983" spans="1:30" ht="17">
      <c r="A983" s="49"/>
      <c r="B983" s="49" t="str">
        <f>CONCATENATE(Reports!E982," ",Reports!F982," ",Reports!G982)</f>
        <v xml:space="preserve">  </v>
      </c>
      <c r="C983" s="101"/>
      <c r="D983" s="101"/>
      <c r="E983" s="49" t="str">
        <f>IFERROR(VLOOKUP(D983,'taxonomy map'!$A$1:$B$171,2,FALSE),"")</f>
        <v/>
      </c>
      <c r="F983" s="49" t="str">
        <f>IFERROR(VLOOKUP(E983,'Condensed Specialty Crosswalk'!$A$2:$C$182,2,FALSE),"")</f>
        <v/>
      </c>
      <c r="G983" s="49" t="str">
        <f>IFERROR(VLOOKUP(E983,'Condensed Specialty Crosswalk'!$A$2:$C$182,3,FALSE),"")</f>
        <v/>
      </c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</row>
    <row r="984" spans="1:30" ht="17">
      <c r="A984" s="49"/>
      <c r="B984" s="49" t="str">
        <f>CONCATENATE(Reports!E983," ",Reports!F983," ",Reports!G983)</f>
        <v xml:space="preserve">  </v>
      </c>
      <c r="C984" s="101"/>
      <c r="D984" s="101"/>
      <c r="E984" s="49" t="str">
        <f>IFERROR(VLOOKUP(D984,'taxonomy map'!$A$1:$B$171,2,FALSE),"")</f>
        <v/>
      </c>
      <c r="F984" s="49" t="str">
        <f>IFERROR(VLOOKUP(E984,'Condensed Specialty Crosswalk'!$A$2:$C$182,2,FALSE),"")</f>
        <v/>
      </c>
      <c r="G984" s="49" t="str">
        <f>IFERROR(VLOOKUP(E984,'Condensed Specialty Crosswalk'!$A$2:$C$182,3,FALSE),"")</f>
        <v/>
      </c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</row>
    <row r="985" spans="1:30" ht="17">
      <c r="A985" s="49"/>
      <c r="B985" s="49" t="str">
        <f>CONCATENATE(Reports!E984," ",Reports!F984," ",Reports!G984)</f>
        <v xml:space="preserve">  </v>
      </c>
      <c r="C985" s="101"/>
      <c r="D985" s="101"/>
      <c r="E985" s="49" t="str">
        <f>IFERROR(VLOOKUP(D985,'taxonomy map'!$A$1:$B$171,2,FALSE),"")</f>
        <v/>
      </c>
      <c r="F985" s="49" t="str">
        <f>IFERROR(VLOOKUP(E985,'Condensed Specialty Crosswalk'!$A$2:$C$182,2,FALSE),"")</f>
        <v/>
      </c>
      <c r="G985" s="49" t="str">
        <f>IFERROR(VLOOKUP(E985,'Condensed Specialty Crosswalk'!$A$2:$C$182,3,FALSE),"")</f>
        <v/>
      </c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</row>
    <row r="986" spans="1:30" ht="17">
      <c r="A986" s="49"/>
      <c r="B986" s="49" t="str">
        <f>CONCATENATE(Reports!E985," ",Reports!F985," ",Reports!G985)</f>
        <v xml:space="preserve">  </v>
      </c>
      <c r="C986" s="101"/>
      <c r="D986" s="101"/>
      <c r="E986" s="49" t="str">
        <f>IFERROR(VLOOKUP(D986,'taxonomy map'!$A$1:$B$171,2,FALSE),"")</f>
        <v/>
      </c>
      <c r="F986" s="49" t="str">
        <f>IFERROR(VLOOKUP(E986,'Condensed Specialty Crosswalk'!$A$2:$C$182,2,FALSE),"")</f>
        <v/>
      </c>
      <c r="G986" s="49" t="str">
        <f>IFERROR(VLOOKUP(E986,'Condensed Specialty Crosswalk'!$A$2:$C$182,3,FALSE),"")</f>
        <v/>
      </c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</row>
    <row r="987" spans="1:30" ht="17">
      <c r="A987" s="49"/>
      <c r="B987" s="49" t="str">
        <f>CONCATENATE(Reports!E986," ",Reports!F986," ",Reports!G986)</f>
        <v xml:space="preserve">  </v>
      </c>
      <c r="C987" s="101"/>
      <c r="D987" s="101"/>
      <c r="E987" s="49" t="str">
        <f>IFERROR(VLOOKUP(D987,'taxonomy map'!$A$1:$B$171,2,FALSE),"")</f>
        <v/>
      </c>
      <c r="F987" s="49" t="str">
        <f>IFERROR(VLOOKUP(E987,'Condensed Specialty Crosswalk'!$A$2:$C$182,2,FALSE),"")</f>
        <v/>
      </c>
      <c r="G987" s="49" t="str">
        <f>IFERROR(VLOOKUP(E987,'Condensed Specialty Crosswalk'!$A$2:$C$182,3,FALSE),"")</f>
        <v/>
      </c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</row>
    <row r="988" spans="1:30" ht="17">
      <c r="A988" s="49"/>
      <c r="B988" s="49" t="str">
        <f>CONCATENATE(Reports!E987," ",Reports!F987," ",Reports!G987)</f>
        <v xml:space="preserve">  </v>
      </c>
      <c r="C988" s="101"/>
      <c r="D988" s="101"/>
      <c r="E988" s="49" t="str">
        <f>IFERROR(VLOOKUP(D988,'taxonomy map'!$A$1:$B$171,2,FALSE),"")</f>
        <v/>
      </c>
      <c r="F988" s="49" t="str">
        <f>IFERROR(VLOOKUP(E988,'Condensed Specialty Crosswalk'!$A$2:$C$182,2,FALSE),"")</f>
        <v/>
      </c>
      <c r="G988" s="49" t="str">
        <f>IFERROR(VLOOKUP(E988,'Condensed Specialty Crosswalk'!$A$2:$C$182,3,FALSE),"")</f>
        <v/>
      </c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</row>
    <row r="989" spans="1:30" ht="17">
      <c r="A989" s="49"/>
      <c r="B989" s="49" t="str">
        <f>CONCATENATE(Reports!E988," ",Reports!F988," ",Reports!G988)</f>
        <v xml:space="preserve">  </v>
      </c>
      <c r="C989" s="101"/>
      <c r="D989" s="101"/>
      <c r="E989" s="49" t="str">
        <f>IFERROR(VLOOKUP(D989,'taxonomy map'!$A$1:$B$171,2,FALSE),"")</f>
        <v/>
      </c>
      <c r="F989" s="49" t="str">
        <f>IFERROR(VLOOKUP(E989,'Condensed Specialty Crosswalk'!$A$2:$C$182,2,FALSE),"")</f>
        <v/>
      </c>
      <c r="G989" s="49" t="str">
        <f>IFERROR(VLOOKUP(E989,'Condensed Specialty Crosswalk'!$A$2:$C$182,3,FALSE),"")</f>
        <v/>
      </c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</row>
    <row r="990" spans="1:30" ht="17">
      <c r="A990" s="49"/>
      <c r="B990" s="49" t="str">
        <f>CONCATENATE(Reports!E989," ",Reports!F989," ",Reports!G989)</f>
        <v xml:space="preserve">  </v>
      </c>
      <c r="C990" s="101"/>
      <c r="D990" s="101"/>
      <c r="E990" s="49" t="str">
        <f>IFERROR(VLOOKUP(D990,'taxonomy map'!$A$1:$B$171,2,FALSE),"")</f>
        <v/>
      </c>
      <c r="F990" s="49" t="str">
        <f>IFERROR(VLOOKUP(E990,'Condensed Specialty Crosswalk'!$A$2:$C$182,2,FALSE),"")</f>
        <v/>
      </c>
      <c r="G990" s="49" t="str">
        <f>IFERROR(VLOOKUP(E990,'Condensed Specialty Crosswalk'!$A$2:$C$182,3,FALSE),"")</f>
        <v/>
      </c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</row>
    <row r="991" spans="1:30" ht="17">
      <c r="A991" s="49"/>
      <c r="B991" s="49" t="str">
        <f>CONCATENATE(Reports!E990," ",Reports!F990," ",Reports!G990)</f>
        <v xml:space="preserve">  </v>
      </c>
      <c r="C991" s="101"/>
      <c r="D991" s="101"/>
      <c r="E991" s="49" t="str">
        <f>IFERROR(VLOOKUP(D991,'taxonomy map'!$A$1:$B$171,2,FALSE),"")</f>
        <v/>
      </c>
      <c r="F991" s="49" t="str">
        <f>IFERROR(VLOOKUP(E991,'Condensed Specialty Crosswalk'!$A$2:$C$182,2,FALSE),"")</f>
        <v/>
      </c>
      <c r="G991" s="49" t="str">
        <f>IFERROR(VLOOKUP(E991,'Condensed Specialty Crosswalk'!$A$2:$C$182,3,FALSE),"")</f>
        <v/>
      </c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</row>
    <row r="992" spans="1:30" ht="17">
      <c r="A992" s="49"/>
      <c r="B992" s="49" t="str">
        <f>CONCATENATE(Reports!E991," ",Reports!F991," ",Reports!G991)</f>
        <v xml:space="preserve">  </v>
      </c>
      <c r="C992" s="101"/>
      <c r="D992" s="101"/>
      <c r="E992" s="49" t="str">
        <f>IFERROR(VLOOKUP(D992,'taxonomy map'!$A$1:$B$171,2,FALSE),"")</f>
        <v/>
      </c>
      <c r="F992" s="49" t="str">
        <f>IFERROR(VLOOKUP(E992,'Condensed Specialty Crosswalk'!$A$2:$C$182,2,FALSE),"")</f>
        <v/>
      </c>
      <c r="G992" s="49" t="str">
        <f>IFERROR(VLOOKUP(E992,'Condensed Specialty Crosswalk'!$A$2:$C$182,3,FALSE),"")</f>
        <v/>
      </c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</row>
    <row r="993" spans="1:30" ht="17">
      <c r="A993" s="49"/>
      <c r="B993" s="49" t="str">
        <f>CONCATENATE(Reports!E992," ",Reports!F992," ",Reports!G992)</f>
        <v xml:space="preserve">  </v>
      </c>
      <c r="C993" s="101"/>
      <c r="D993" s="101"/>
      <c r="E993" s="49" t="str">
        <f>IFERROR(VLOOKUP(D993,'taxonomy map'!$A$1:$B$171,2,FALSE),"")</f>
        <v/>
      </c>
      <c r="F993" s="49" t="str">
        <f>IFERROR(VLOOKUP(E993,'Condensed Specialty Crosswalk'!$A$2:$C$182,2,FALSE),"")</f>
        <v/>
      </c>
      <c r="G993" s="49" t="str">
        <f>IFERROR(VLOOKUP(E993,'Condensed Specialty Crosswalk'!$A$2:$C$182,3,FALSE),"")</f>
        <v/>
      </c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</row>
    <row r="994" spans="1:30" ht="17">
      <c r="A994" s="49"/>
      <c r="B994" s="49" t="str">
        <f>CONCATENATE(Reports!E993," ",Reports!F993," ",Reports!G993)</f>
        <v xml:space="preserve">  </v>
      </c>
      <c r="C994" s="101"/>
      <c r="D994" s="101"/>
      <c r="E994" s="49" t="str">
        <f>IFERROR(VLOOKUP(D994,'taxonomy map'!$A$1:$B$171,2,FALSE),"")</f>
        <v/>
      </c>
      <c r="F994" s="49" t="str">
        <f>IFERROR(VLOOKUP(E994,'Condensed Specialty Crosswalk'!$A$2:$C$182,2,FALSE),"")</f>
        <v/>
      </c>
      <c r="G994" s="49" t="str">
        <f>IFERROR(VLOOKUP(E994,'Condensed Specialty Crosswalk'!$A$2:$C$182,3,FALSE),"")</f>
        <v/>
      </c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</row>
    <row r="995" spans="1:30" ht="17">
      <c r="A995" s="49"/>
      <c r="B995" s="49" t="str">
        <f>CONCATENATE(Reports!E994," ",Reports!F994," ",Reports!G994)</f>
        <v xml:space="preserve">  </v>
      </c>
      <c r="C995" s="101"/>
      <c r="D995" s="101"/>
      <c r="E995" s="49" t="str">
        <f>IFERROR(VLOOKUP(D995,'taxonomy map'!$A$1:$B$171,2,FALSE),"")</f>
        <v/>
      </c>
      <c r="F995" s="49" t="str">
        <f>IFERROR(VLOOKUP(E995,'Condensed Specialty Crosswalk'!$A$2:$C$182,2,FALSE),"")</f>
        <v/>
      </c>
      <c r="G995" s="49" t="str">
        <f>IFERROR(VLOOKUP(E995,'Condensed Specialty Crosswalk'!$A$2:$C$182,3,FALSE),"")</f>
        <v/>
      </c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</row>
    <row r="996" spans="1:30" ht="17">
      <c r="A996" s="49"/>
      <c r="B996" s="49" t="str">
        <f>CONCATENATE(Reports!E995," ",Reports!F995," ",Reports!G995)</f>
        <v xml:space="preserve">  </v>
      </c>
      <c r="C996" s="101"/>
      <c r="D996" s="101"/>
      <c r="E996" s="49" t="str">
        <f>IFERROR(VLOOKUP(D996,'taxonomy map'!$A$1:$B$171,2,FALSE),"")</f>
        <v/>
      </c>
      <c r="F996" s="49" t="str">
        <f>IFERROR(VLOOKUP(E996,'Condensed Specialty Crosswalk'!$A$2:$C$182,2,FALSE),"")</f>
        <v/>
      </c>
      <c r="G996" s="49" t="str">
        <f>IFERROR(VLOOKUP(E996,'Condensed Specialty Crosswalk'!$A$2:$C$182,3,FALSE),"")</f>
        <v/>
      </c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</row>
    <row r="997" spans="1:30" ht="17">
      <c r="A997" s="49"/>
      <c r="B997" s="49" t="str">
        <f>CONCATENATE(Reports!E996," ",Reports!F996," ",Reports!G996)</f>
        <v xml:space="preserve">  </v>
      </c>
      <c r="C997" s="101"/>
      <c r="D997" s="101"/>
      <c r="E997" s="49" t="str">
        <f>IFERROR(VLOOKUP(D997,'taxonomy map'!$A$1:$B$171,2,FALSE),"")</f>
        <v/>
      </c>
      <c r="F997" s="49" t="str">
        <f>IFERROR(VLOOKUP(E997,'Condensed Specialty Crosswalk'!$A$2:$C$182,2,FALSE),"")</f>
        <v/>
      </c>
      <c r="G997" s="49" t="str">
        <f>IFERROR(VLOOKUP(E997,'Condensed Specialty Crosswalk'!$A$2:$C$182,3,FALSE),"")</f>
        <v/>
      </c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</row>
    <row r="998" spans="1:30" ht="17">
      <c r="A998" s="49"/>
      <c r="B998" s="49" t="str">
        <f>CONCATENATE(Reports!E997," ",Reports!F997," ",Reports!G997)</f>
        <v xml:space="preserve">  </v>
      </c>
      <c r="C998" s="101"/>
      <c r="D998" s="101"/>
      <c r="E998" s="49" t="str">
        <f>IFERROR(VLOOKUP(D998,'taxonomy map'!$A$1:$B$171,2,FALSE),"")</f>
        <v/>
      </c>
      <c r="F998" s="49" t="str">
        <f>IFERROR(VLOOKUP(E998,'Condensed Specialty Crosswalk'!$A$2:$C$182,2,FALSE),"")</f>
        <v/>
      </c>
      <c r="G998" s="49" t="str">
        <f>IFERROR(VLOOKUP(E998,'Condensed Specialty Crosswalk'!$A$2:$C$182,3,FALSE),"")</f>
        <v/>
      </c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</row>
    <row r="999" spans="1:30" ht="17">
      <c r="A999" s="49"/>
      <c r="B999" s="49" t="str">
        <f>CONCATENATE(Reports!E998," ",Reports!F998," ",Reports!G998)</f>
        <v xml:space="preserve">  </v>
      </c>
      <c r="C999" s="101"/>
      <c r="D999" s="101"/>
      <c r="E999" s="49" t="str">
        <f>IFERROR(VLOOKUP(D999,'taxonomy map'!$A$1:$B$171,2,FALSE),"")</f>
        <v/>
      </c>
      <c r="F999" s="49" t="str">
        <f>IFERROR(VLOOKUP(E999,'Condensed Specialty Crosswalk'!$A$2:$C$182,2,FALSE),"")</f>
        <v/>
      </c>
      <c r="G999" s="49" t="str">
        <f>IFERROR(VLOOKUP(E999,'Condensed Specialty Crosswalk'!$A$2:$C$182,3,FALSE),"")</f>
        <v/>
      </c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</row>
    <row r="1000" spans="1:30" ht="17">
      <c r="A1000" s="49"/>
      <c r="B1000" s="49" t="str">
        <f>CONCATENATE(Reports!E999," ",Reports!F999," ",Reports!G999)</f>
        <v xml:space="preserve">  </v>
      </c>
      <c r="C1000" s="101"/>
      <c r="D1000" s="101"/>
      <c r="E1000" s="49" t="str">
        <f>IFERROR(VLOOKUP(D1000,'taxonomy map'!$A$1:$B$171,2,FALSE),"")</f>
        <v/>
      </c>
      <c r="F1000" s="49" t="str">
        <f>IFERROR(VLOOKUP(E1000,'Condensed Specialty Crosswalk'!$A$2:$C$182,2,FALSE),"")</f>
        <v/>
      </c>
      <c r="G1000" s="49" t="str">
        <f>IFERROR(VLOOKUP(E1000,'Condensed Specialty Crosswalk'!$A$2:$C$182,3,FALSE),"")</f>
        <v/>
      </c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</row>
    <row r="1001" spans="1:30" ht="17">
      <c r="A1001" s="49"/>
      <c r="B1001" s="49" t="str">
        <f>CONCATENATE(Reports!E1000," ",Reports!F1000," ",Reports!G1000)</f>
        <v xml:space="preserve">  </v>
      </c>
      <c r="C1001" s="101"/>
      <c r="D1001" s="101"/>
      <c r="E1001" s="49" t="str">
        <f>IFERROR(VLOOKUP(D1001,'taxonomy map'!$A$1:$B$171,2,FALSE),"")</f>
        <v/>
      </c>
      <c r="F1001" s="49" t="str">
        <f>IFERROR(VLOOKUP(E1001,'Condensed Specialty Crosswalk'!$A$2:$C$182,2,FALSE),"")</f>
        <v/>
      </c>
      <c r="G1001" s="49" t="str">
        <f>IFERROR(VLOOKUP(E1001,'Condensed Specialty Crosswalk'!$A$2:$C$182,3,FALSE),"")</f>
        <v/>
      </c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52"/>
    </row>
    <row r="1002" spans="1:30" ht="17">
      <c r="A1002" s="49"/>
      <c r="B1002" s="49" t="str">
        <f>CONCATENATE(Reports!E1001," ",Reports!F1001," ",Reports!G1001)</f>
        <v xml:space="preserve">  </v>
      </c>
      <c r="C1002" s="101"/>
      <c r="D1002" s="101"/>
      <c r="E1002" s="49" t="str">
        <f>IFERROR(VLOOKUP(D1002,'taxonomy map'!$A$1:$B$171,2,FALSE),"")</f>
        <v/>
      </c>
      <c r="F1002" s="49" t="str">
        <f>IFERROR(VLOOKUP(E1002,'Condensed Specialty Crosswalk'!$A$2:$C$182,2,FALSE),"")</f>
        <v/>
      </c>
      <c r="G1002" s="49" t="str">
        <f>IFERROR(VLOOKUP(E1002,'Condensed Specialty Crosswalk'!$A$2:$C$182,3,FALSE),"")</f>
        <v/>
      </c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52"/>
    </row>
    <row r="1003" spans="1:30" ht="17">
      <c r="A1003" s="49"/>
      <c r="B1003" s="49" t="str">
        <f>CONCATENATE(Reports!E1002," ",Reports!F1002," ",Reports!G1002)</f>
        <v xml:space="preserve">  </v>
      </c>
      <c r="C1003" s="101"/>
      <c r="D1003" s="101"/>
      <c r="E1003" s="49" t="str">
        <f>IFERROR(VLOOKUP(D1003,'taxonomy map'!$A$1:$B$171,2,FALSE),"")</f>
        <v/>
      </c>
      <c r="F1003" s="49" t="str">
        <f>IFERROR(VLOOKUP(E1003,'Condensed Specialty Crosswalk'!$A$2:$C$182,2,FALSE),"")</f>
        <v/>
      </c>
      <c r="G1003" s="49" t="str">
        <f>IFERROR(VLOOKUP(E1003,'Condensed Specialty Crosswalk'!$A$2:$C$182,3,FALSE),"")</f>
        <v/>
      </c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52"/>
    </row>
    <row r="1004" spans="1:30" ht="17">
      <c r="A1004" s="49"/>
      <c r="B1004" s="49" t="str">
        <f>CONCATENATE(Reports!E1003," ",Reports!F1003," ",Reports!G1003)</f>
        <v xml:space="preserve">  </v>
      </c>
      <c r="C1004" s="101"/>
      <c r="D1004" s="101"/>
      <c r="E1004" s="49" t="str">
        <f>IFERROR(VLOOKUP(D1004,'taxonomy map'!$A$1:$B$171,2,FALSE),"")</f>
        <v/>
      </c>
      <c r="F1004" s="49" t="str">
        <f>IFERROR(VLOOKUP(E1004,'Condensed Specialty Crosswalk'!$A$2:$C$182,2,FALSE),"")</f>
        <v/>
      </c>
      <c r="G1004" s="49" t="str">
        <f>IFERROR(VLOOKUP(E1004,'Condensed Specialty Crosswalk'!$A$2:$C$182,3,FALSE),"")</f>
        <v/>
      </c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52"/>
    </row>
    <row r="1005" spans="1:30" ht="17">
      <c r="A1005" s="49"/>
      <c r="B1005" s="49" t="str">
        <f>CONCATENATE(Reports!E1004," ",Reports!F1004," ",Reports!G1004)</f>
        <v xml:space="preserve">  </v>
      </c>
      <c r="C1005" s="101"/>
      <c r="D1005" s="101"/>
      <c r="E1005" s="49" t="str">
        <f>IFERROR(VLOOKUP(D1005,'taxonomy map'!$A$1:$B$171,2,FALSE),"")</f>
        <v/>
      </c>
      <c r="F1005" s="49" t="str">
        <f>IFERROR(VLOOKUP(E1005,'Condensed Specialty Crosswalk'!$A$2:$C$182,2,FALSE),"")</f>
        <v/>
      </c>
      <c r="G1005" s="49" t="str">
        <f>IFERROR(VLOOKUP(E1005,'Condensed Specialty Crosswalk'!$A$2:$C$182,3,FALSE),"")</f>
        <v/>
      </c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52"/>
    </row>
    <row r="1006" spans="1:30" ht="17">
      <c r="A1006" s="49"/>
      <c r="B1006" s="49" t="str">
        <f>CONCATENATE(Reports!E1005," ",Reports!F1005," ",Reports!G1005)</f>
        <v xml:space="preserve">  </v>
      </c>
      <c r="C1006" s="101"/>
      <c r="D1006" s="101"/>
      <c r="E1006" s="49" t="str">
        <f>IFERROR(VLOOKUP(D1006,'taxonomy map'!$A$1:$B$171,2,FALSE),"")</f>
        <v/>
      </c>
      <c r="F1006" s="49" t="str">
        <f>IFERROR(VLOOKUP(E1006,'Condensed Specialty Crosswalk'!$A$2:$C$182,2,FALSE),"")</f>
        <v/>
      </c>
      <c r="G1006" s="49" t="str">
        <f>IFERROR(VLOOKUP(E1006,'Condensed Specialty Crosswalk'!$A$2:$C$182,3,FALSE),"")</f>
        <v/>
      </c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</row>
    <row r="1007" spans="1:30" ht="17">
      <c r="A1007" s="49"/>
      <c r="B1007" s="49" t="str">
        <f>CONCATENATE(Reports!E1006," ",Reports!F1006," ",Reports!G1006)</f>
        <v xml:space="preserve">  </v>
      </c>
      <c r="C1007" s="101"/>
      <c r="D1007" s="101"/>
      <c r="E1007" s="49" t="str">
        <f>IFERROR(VLOOKUP(D1007,'taxonomy map'!$A$1:$B$171,2,FALSE),"")</f>
        <v/>
      </c>
      <c r="F1007" s="49" t="str">
        <f>IFERROR(VLOOKUP(E1007,'Condensed Specialty Crosswalk'!$A$2:$C$182,2,FALSE),"")</f>
        <v/>
      </c>
      <c r="G1007" s="49" t="str">
        <f>IFERROR(VLOOKUP(E1007,'Condensed Specialty Crosswalk'!$A$2:$C$182,3,FALSE),"")</f>
        <v/>
      </c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52"/>
    </row>
    <row r="1008" spans="1:30" ht="17">
      <c r="A1008" s="49"/>
      <c r="B1008" s="49" t="str">
        <f>CONCATENATE(Reports!E1007," ",Reports!F1007," ",Reports!G1007)</f>
        <v xml:space="preserve">  </v>
      </c>
      <c r="C1008" s="101"/>
      <c r="D1008" s="101"/>
      <c r="E1008" s="49" t="str">
        <f>IFERROR(VLOOKUP(D1008,'taxonomy map'!$A$1:$B$171,2,FALSE),"")</f>
        <v/>
      </c>
      <c r="F1008" s="49" t="str">
        <f>IFERROR(VLOOKUP(E1008,'Condensed Specialty Crosswalk'!$A$2:$C$182,2,FALSE),"")</f>
        <v/>
      </c>
      <c r="G1008" s="49" t="str">
        <f>IFERROR(VLOOKUP(E1008,'Condensed Specialty Crosswalk'!$A$2:$C$182,3,FALSE),"")</f>
        <v/>
      </c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52"/>
    </row>
    <row r="1009" spans="1:30" ht="17">
      <c r="A1009" s="49"/>
      <c r="B1009" s="49" t="str">
        <f>CONCATENATE(Reports!E1008," ",Reports!F1008," ",Reports!G1008)</f>
        <v xml:space="preserve">  </v>
      </c>
      <c r="C1009" s="101"/>
      <c r="D1009" s="101"/>
      <c r="E1009" s="49" t="str">
        <f>IFERROR(VLOOKUP(D1009,'taxonomy map'!$A$1:$B$171,2,FALSE),"")</f>
        <v/>
      </c>
      <c r="F1009" s="49" t="str">
        <f>IFERROR(VLOOKUP(E1009,'Condensed Specialty Crosswalk'!$A$2:$C$182,2,FALSE),"")</f>
        <v/>
      </c>
      <c r="G1009" s="49" t="str">
        <f>IFERROR(VLOOKUP(E1009,'Condensed Specialty Crosswalk'!$A$2:$C$182,3,FALSE),"")</f>
        <v/>
      </c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52"/>
    </row>
    <row r="1010" spans="1:30" ht="17">
      <c r="A1010" s="49"/>
      <c r="B1010" s="49" t="str">
        <f>CONCATENATE(Reports!E1009," ",Reports!F1009," ",Reports!G1009)</f>
        <v xml:space="preserve">  </v>
      </c>
      <c r="C1010" s="101"/>
      <c r="D1010" s="101"/>
      <c r="E1010" s="49" t="str">
        <f>IFERROR(VLOOKUP(D1010,'taxonomy map'!$A$1:$B$171,2,FALSE),"")</f>
        <v/>
      </c>
      <c r="F1010" s="49" t="str">
        <f>IFERROR(VLOOKUP(E1010,'Condensed Specialty Crosswalk'!$A$2:$C$182,2,FALSE),"")</f>
        <v/>
      </c>
      <c r="G1010" s="49" t="str">
        <f>IFERROR(VLOOKUP(E1010,'Condensed Specialty Crosswalk'!$A$2:$C$182,3,FALSE),"")</f>
        <v/>
      </c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52"/>
    </row>
    <row r="1011" spans="1:30" ht="17">
      <c r="A1011" s="49"/>
      <c r="B1011" s="49" t="str">
        <f>CONCATENATE(Reports!E1010," ",Reports!F1010," ",Reports!G1010)</f>
        <v xml:space="preserve">  </v>
      </c>
      <c r="C1011" s="101"/>
      <c r="D1011" s="101"/>
      <c r="E1011" s="49" t="str">
        <f>IFERROR(VLOOKUP(D1011,'taxonomy map'!$A$1:$B$171,2,FALSE),"")</f>
        <v/>
      </c>
      <c r="F1011" s="49" t="str">
        <f>IFERROR(VLOOKUP(E1011,'Condensed Specialty Crosswalk'!$A$2:$C$182,2,FALSE),"")</f>
        <v/>
      </c>
      <c r="G1011" s="49" t="str">
        <f>IFERROR(VLOOKUP(E1011,'Condensed Specialty Crosswalk'!$A$2:$C$182,3,FALSE),"")</f>
        <v/>
      </c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52"/>
    </row>
    <row r="1012" spans="1:30" ht="17">
      <c r="A1012" s="49"/>
      <c r="B1012" s="49" t="str">
        <f>CONCATENATE(Reports!E1011," ",Reports!F1011," ",Reports!G1011)</f>
        <v xml:space="preserve">  </v>
      </c>
      <c r="C1012" s="101"/>
      <c r="D1012" s="101"/>
      <c r="E1012" s="49" t="str">
        <f>IFERROR(VLOOKUP(D1012,'taxonomy map'!$A$1:$B$171,2,FALSE),"")</f>
        <v/>
      </c>
      <c r="F1012" s="49" t="str">
        <f>IFERROR(VLOOKUP(E1012,'Condensed Specialty Crosswalk'!$A$2:$C$182,2,FALSE),"")</f>
        <v/>
      </c>
      <c r="G1012" s="49" t="str">
        <f>IFERROR(VLOOKUP(E1012,'Condensed Specialty Crosswalk'!$A$2:$C$182,3,FALSE),"")</f>
        <v/>
      </c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52"/>
    </row>
    <row r="1013" spans="1:30" ht="17">
      <c r="A1013" s="49"/>
      <c r="B1013" s="49" t="str">
        <f>CONCATENATE(Reports!E1012," ",Reports!F1012," ",Reports!G1012)</f>
        <v xml:space="preserve">  </v>
      </c>
      <c r="C1013" s="101"/>
      <c r="D1013" s="101"/>
      <c r="E1013" s="49" t="str">
        <f>IFERROR(VLOOKUP(D1013,'taxonomy map'!$A$1:$B$171,2,FALSE),"")</f>
        <v/>
      </c>
      <c r="F1013" s="49" t="str">
        <f>IFERROR(VLOOKUP(E1013,'Condensed Specialty Crosswalk'!$A$2:$C$182,2,FALSE),"")</f>
        <v/>
      </c>
      <c r="G1013" s="49" t="str">
        <f>IFERROR(VLOOKUP(E1013,'Condensed Specialty Crosswalk'!$A$2:$C$182,3,FALSE),"")</f>
        <v/>
      </c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52"/>
    </row>
    <row r="1014" spans="1:30" ht="17">
      <c r="A1014" s="49"/>
      <c r="B1014" s="49" t="str">
        <f>CONCATENATE(Reports!E1013," ",Reports!F1013," ",Reports!G1013)</f>
        <v xml:space="preserve">  </v>
      </c>
      <c r="C1014" s="101"/>
      <c r="D1014" s="101"/>
      <c r="E1014" s="49" t="str">
        <f>IFERROR(VLOOKUP(D1014,'taxonomy map'!$A$1:$B$171,2,FALSE),"")</f>
        <v/>
      </c>
      <c r="F1014" s="49" t="str">
        <f>IFERROR(VLOOKUP(E1014,'Condensed Specialty Crosswalk'!$A$2:$C$182,2,FALSE),"")</f>
        <v/>
      </c>
      <c r="G1014" s="49" t="str">
        <f>IFERROR(VLOOKUP(E1014,'Condensed Specialty Crosswalk'!$A$2:$C$182,3,FALSE),"")</f>
        <v/>
      </c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52"/>
    </row>
    <row r="1015" spans="1:30" ht="17">
      <c r="A1015" s="49"/>
      <c r="B1015" s="49" t="str">
        <f>CONCATENATE(Reports!E1014," ",Reports!F1014," ",Reports!G1014)</f>
        <v xml:space="preserve">  </v>
      </c>
      <c r="C1015" s="101"/>
      <c r="D1015" s="101"/>
      <c r="E1015" s="49" t="str">
        <f>IFERROR(VLOOKUP(D1015,'taxonomy map'!$A$1:$B$171,2,FALSE),"")</f>
        <v/>
      </c>
      <c r="F1015" s="49" t="str">
        <f>IFERROR(VLOOKUP(E1015,'Condensed Specialty Crosswalk'!$A$2:$C$182,2,FALSE),"")</f>
        <v/>
      </c>
      <c r="G1015" s="49" t="str">
        <f>IFERROR(VLOOKUP(E1015,'Condensed Specialty Crosswalk'!$A$2:$C$182,3,FALSE),"")</f>
        <v/>
      </c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52"/>
    </row>
    <row r="1016" spans="1:30" ht="17">
      <c r="A1016" s="49"/>
      <c r="B1016" s="49" t="str">
        <f>CONCATENATE(Reports!E1015," ",Reports!F1015," ",Reports!G1015)</f>
        <v xml:space="preserve">  </v>
      </c>
      <c r="C1016" s="101"/>
      <c r="D1016" s="101"/>
      <c r="E1016" s="49" t="str">
        <f>IFERROR(VLOOKUP(D1016,'taxonomy map'!$A$1:$B$171,2,FALSE),"")</f>
        <v/>
      </c>
      <c r="F1016" s="49" t="str">
        <f>IFERROR(VLOOKUP(E1016,'Condensed Specialty Crosswalk'!$A$2:$C$182,2,FALSE),"")</f>
        <v/>
      </c>
      <c r="G1016" s="49" t="str">
        <f>IFERROR(VLOOKUP(E1016,'Condensed Specialty Crosswalk'!$A$2:$C$182,3,FALSE),"")</f>
        <v/>
      </c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52"/>
    </row>
    <row r="1017" spans="1:30" ht="17">
      <c r="A1017" s="49"/>
      <c r="B1017" s="49" t="str">
        <f>CONCATENATE(Reports!E1016," ",Reports!F1016," ",Reports!G1016)</f>
        <v xml:space="preserve">  </v>
      </c>
      <c r="C1017" s="101"/>
      <c r="D1017" s="101"/>
      <c r="E1017" s="49" t="str">
        <f>IFERROR(VLOOKUP(D1017,'taxonomy map'!$A$1:$B$171,2,FALSE),"")</f>
        <v/>
      </c>
      <c r="F1017" s="49" t="str">
        <f>IFERROR(VLOOKUP(E1017,'Condensed Specialty Crosswalk'!$A$2:$C$182,2,FALSE),"")</f>
        <v/>
      </c>
      <c r="G1017" s="49" t="str">
        <f>IFERROR(VLOOKUP(E1017,'Condensed Specialty Crosswalk'!$A$2:$C$182,3,FALSE),"")</f>
        <v/>
      </c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52"/>
    </row>
    <row r="1018" spans="1:30" ht="17">
      <c r="A1018" s="49"/>
      <c r="B1018" s="49" t="str">
        <f>CONCATENATE(Reports!E1017," ",Reports!F1017," ",Reports!G1017)</f>
        <v xml:space="preserve">  </v>
      </c>
      <c r="C1018" s="101"/>
      <c r="D1018" s="101"/>
      <c r="E1018" s="49" t="str">
        <f>IFERROR(VLOOKUP(D1018,'taxonomy map'!$A$1:$B$171,2,FALSE),"")</f>
        <v/>
      </c>
      <c r="F1018" s="49" t="str">
        <f>IFERROR(VLOOKUP(E1018,'Condensed Specialty Crosswalk'!$A$2:$C$182,2,FALSE),"")</f>
        <v/>
      </c>
      <c r="G1018" s="49" t="str">
        <f>IFERROR(VLOOKUP(E1018,'Condensed Specialty Crosswalk'!$A$2:$C$182,3,FALSE),"")</f>
        <v/>
      </c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52"/>
    </row>
    <row r="1019" spans="1:30" ht="17">
      <c r="A1019" s="49"/>
      <c r="B1019" s="49" t="str">
        <f>CONCATENATE(Reports!E1018," ",Reports!F1018," ",Reports!G1018)</f>
        <v xml:space="preserve">  </v>
      </c>
      <c r="C1019" s="101"/>
      <c r="D1019" s="101"/>
      <c r="E1019" s="49" t="str">
        <f>IFERROR(VLOOKUP(D1019,'taxonomy map'!$A$1:$B$171,2,FALSE),"")</f>
        <v/>
      </c>
      <c r="F1019" s="49" t="str">
        <f>IFERROR(VLOOKUP(E1019,'Condensed Specialty Crosswalk'!$A$2:$C$182,2,FALSE),"")</f>
        <v/>
      </c>
      <c r="G1019" s="49" t="str">
        <f>IFERROR(VLOOKUP(E1019,'Condensed Specialty Crosswalk'!$A$2:$C$182,3,FALSE),"")</f>
        <v/>
      </c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52"/>
    </row>
    <row r="1020" spans="1:30" ht="17">
      <c r="A1020" s="49"/>
      <c r="B1020" s="49" t="str">
        <f>CONCATENATE(Reports!E1019," ",Reports!F1019," ",Reports!G1019)</f>
        <v xml:space="preserve">  </v>
      </c>
      <c r="C1020" s="101"/>
      <c r="D1020" s="101"/>
      <c r="E1020" s="49" t="str">
        <f>IFERROR(VLOOKUP(D1020,'taxonomy map'!$A$1:$B$171,2,FALSE),"")</f>
        <v/>
      </c>
      <c r="F1020" s="49" t="str">
        <f>IFERROR(VLOOKUP(E1020,'Condensed Specialty Crosswalk'!$A$2:$C$182,2,FALSE),"")</f>
        <v/>
      </c>
      <c r="G1020" s="49" t="str">
        <f>IFERROR(VLOOKUP(E1020,'Condensed Specialty Crosswalk'!$A$2:$C$182,3,FALSE),"")</f>
        <v/>
      </c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52"/>
    </row>
    <row r="1021" spans="1:30" ht="17">
      <c r="A1021" s="49"/>
      <c r="B1021" s="49" t="str">
        <f>CONCATENATE(Reports!E1020," ",Reports!F1020," ",Reports!G1020)</f>
        <v xml:space="preserve">  </v>
      </c>
      <c r="C1021" s="101"/>
      <c r="D1021" s="101"/>
      <c r="E1021" s="49" t="str">
        <f>IFERROR(VLOOKUP(D1021,'taxonomy map'!$A$1:$B$171,2,FALSE),"")</f>
        <v/>
      </c>
      <c r="F1021" s="49" t="str">
        <f>IFERROR(VLOOKUP(E1021,'Condensed Specialty Crosswalk'!$A$2:$C$182,2,FALSE),"")</f>
        <v/>
      </c>
      <c r="G1021" s="49" t="str">
        <f>IFERROR(VLOOKUP(E1021,'Condensed Specialty Crosswalk'!$A$2:$C$182,3,FALSE),"")</f>
        <v/>
      </c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52"/>
    </row>
    <row r="1022" spans="1:30" ht="17">
      <c r="A1022" s="49"/>
      <c r="B1022" s="49" t="str">
        <f>CONCATENATE(Reports!E1021," ",Reports!F1021," ",Reports!G1021)</f>
        <v xml:space="preserve">  </v>
      </c>
      <c r="C1022" s="101"/>
      <c r="D1022" s="101"/>
      <c r="E1022" s="49" t="str">
        <f>IFERROR(VLOOKUP(D1022,'taxonomy map'!$A$1:$B$171,2,FALSE),"")</f>
        <v/>
      </c>
      <c r="F1022" s="49" t="str">
        <f>IFERROR(VLOOKUP(E1022,'Condensed Specialty Crosswalk'!$A$2:$C$182,2,FALSE),"")</f>
        <v/>
      </c>
      <c r="G1022" s="49" t="str">
        <f>IFERROR(VLOOKUP(E1022,'Condensed Specialty Crosswalk'!$A$2:$C$182,3,FALSE),"")</f>
        <v/>
      </c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52"/>
    </row>
    <row r="1023" spans="1:30" ht="17">
      <c r="A1023" s="49"/>
      <c r="B1023" s="49" t="str">
        <f>CONCATENATE(Reports!E1022," ",Reports!F1022," ",Reports!G1022)</f>
        <v xml:space="preserve">  </v>
      </c>
      <c r="C1023" s="50"/>
      <c r="D1023" s="51"/>
      <c r="E1023" s="49" t="str">
        <f>IFERROR(VLOOKUP(D1023,'taxonomy map'!$A$1:$B$171,2,FALSE),"")</f>
        <v/>
      </c>
      <c r="F1023" s="49" t="str">
        <f>IFERROR(VLOOKUP(E1023,'Condensed Specialty Crosswalk'!$A$2:$C$182,2,FALSE),"")</f>
        <v/>
      </c>
      <c r="G1023" s="49" t="str">
        <f>IFERROR(VLOOKUP(E1023,'Condensed Specialty Crosswalk'!$A$2:$C$182,3,FALSE),"")</f>
        <v/>
      </c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  <c r="S1023" s="52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52"/>
    </row>
    <row r="1024" spans="1:30" ht="15" customHeight="1">
      <c r="A1024" s="49"/>
      <c r="B1024" s="49" t="str">
        <f>CONCATENATE(Reports!E1023," ",Reports!F1023," ",Reports!G1023)</f>
        <v xml:space="preserve">  </v>
      </c>
      <c r="C1024" s="50"/>
      <c r="D1024" s="51"/>
      <c r="E1024" s="49" t="str">
        <f>IFERROR(VLOOKUP(D1024,'taxonomy map'!$A$1:$B$171,2,FALSE),"")</f>
        <v/>
      </c>
      <c r="F1024" s="49" t="str">
        <f>IFERROR(VLOOKUP(E1024,'Condensed Specialty Crosswalk'!$A$2:$C$182,2,FALSE),"")</f>
        <v/>
      </c>
      <c r="G1024" s="49" t="str">
        <f>IFERROR(VLOOKUP(E1024,'Condensed Specialty Crosswalk'!$A$2:$C$182,3,FALSE),"")</f>
        <v/>
      </c>
    </row>
    <row r="1025" spans="1:7" ht="15" customHeight="1">
      <c r="A1025" s="49"/>
      <c r="B1025" s="49" t="str">
        <f>CONCATENATE(Reports!E1024," ",Reports!F1024," ",Reports!G1024)</f>
        <v xml:space="preserve">  </v>
      </c>
      <c r="C1025" s="50"/>
      <c r="D1025" s="51"/>
      <c r="E1025" s="49" t="str">
        <f>IFERROR(VLOOKUP(D1025,'taxonomy map'!$A$1:$B$171,2,FALSE),"")</f>
        <v/>
      </c>
      <c r="F1025" s="49" t="str">
        <f>IFERROR(VLOOKUP(E1025,'Condensed Specialty Crosswalk'!$A$2:$C$182,2,FALSE),"")</f>
        <v/>
      </c>
      <c r="G1025" s="49" t="str">
        <f>IFERROR(VLOOKUP(E1025,'Condensed Specialty Crosswalk'!$A$2:$C$182,3,FALSE),"")</f>
        <v/>
      </c>
    </row>
    <row r="1026" spans="1:7" ht="15" customHeight="1">
      <c r="A1026" s="49"/>
      <c r="B1026" s="49" t="str">
        <f>CONCATENATE(Reports!E1025," ",Reports!F1025," ",Reports!G1025)</f>
        <v xml:space="preserve">  </v>
      </c>
      <c r="C1026" s="50"/>
      <c r="D1026" s="51"/>
      <c r="E1026" s="49" t="str">
        <f>IFERROR(VLOOKUP(D1026,'taxonomy map'!$A$1:$B$171,2,FALSE),"")</f>
        <v/>
      </c>
      <c r="F1026" s="49" t="str">
        <f>IFERROR(VLOOKUP(E1026,'Condensed Specialty Crosswalk'!$A$2:$C$182,2,FALSE),"")</f>
        <v/>
      </c>
      <c r="G1026" s="49" t="str">
        <f>IFERROR(VLOOKUP(E1026,'Condensed Specialty Crosswalk'!$A$2:$C$182,3,FALSE),"")</f>
        <v/>
      </c>
    </row>
    <row r="1027" spans="1:7" ht="15" customHeight="1">
      <c r="A1027" s="49"/>
      <c r="B1027" s="49" t="str">
        <f>CONCATENATE(Reports!E1026," ",Reports!F1026," ",Reports!G1026)</f>
        <v xml:space="preserve">  </v>
      </c>
      <c r="C1027" s="50"/>
      <c r="D1027" s="51"/>
      <c r="E1027" s="49" t="str">
        <f>IFERROR(VLOOKUP(D1027,'taxonomy map'!$A$1:$B$171,2,FALSE),"")</f>
        <v/>
      </c>
      <c r="F1027" s="49" t="str">
        <f>IFERROR(VLOOKUP(E1027,'Condensed Specialty Crosswalk'!$A$2:$C$182,2,FALSE),"")</f>
        <v/>
      </c>
      <c r="G1027" s="49" t="str">
        <f>IFERROR(VLOOKUP(E1027,'Condensed Specialty Crosswalk'!$A$2:$C$182,3,FALSE),"")</f>
        <v/>
      </c>
    </row>
    <row r="1028" spans="1:7" ht="15" customHeight="1">
      <c r="A1028" s="49"/>
      <c r="B1028" s="49" t="str">
        <f>CONCATENATE(Reports!E1027," ",Reports!F1027," ",Reports!G1027)</f>
        <v xml:space="preserve">  </v>
      </c>
      <c r="C1028" s="50"/>
      <c r="D1028" s="51"/>
      <c r="E1028" s="49" t="str">
        <f>IFERROR(VLOOKUP(D1028,'taxonomy map'!$A$1:$B$171,2,FALSE),"")</f>
        <v/>
      </c>
      <c r="F1028" s="49" t="str">
        <f>IFERROR(VLOOKUP(E1028,'Condensed Specialty Crosswalk'!$A$2:$C$182,2,FALSE),"")</f>
        <v/>
      </c>
      <c r="G1028" s="49" t="str">
        <f>IFERROR(VLOOKUP(E1028,'Condensed Specialty Crosswalk'!$A$2:$C$182,3,FALSE),"")</f>
        <v/>
      </c>
    </row>
    <row r="1029" spans="1:7" ht="15" customHeight="1">
      <c r="A1029" s="49"/>
      <c r="B1029" s="49" t="str">
        <f>CONCATENATE(Reports!E1028," ",Reports!F1028," ",Reports!G1028)</f>
        <v xml:space="preserve">  </v>
      </c>
      <c r="C1029" s="50"/>
      <c r="D1029" s="51"/>
      <c r="E1029" s="49" t="str">
        <f>IFERROR(VLOOKUP(D1029,'taxonomy map'!$A$1:$B$171,2,FALSE),"")</f>
        <v/>
      </c>
      <c r="F1029" s="49" t="str">
        <f>IFERROR(VLOOKUP(E1029,'Condensed Specialty Crosswalk'!$A$2:$C$182,2,FALSE),"")</f>
        <v/>
      </c>
      <c r="G1029" s="49" t="str">
        <f>IFERROR(VLOOKUP(E1029,'Condensed Specialty Crosswalk'!$A$2:$C$182,3,FALSE),"")</f>
        <v/>
      </c>
    </row>
    <row r="1030" spans="1:7" ht="15" customHeight="1">
      <c r="A1030" s="49"/>
      <c r="B1030" s="49" t="str">
        <f>CONCATENATE(Reports!E1029," ",Reports!F1029," ",Reports!G1029)</f>
        <v xml:space="preserve">  </v>
      </c>
      <c r="C1030" s="50"/>
      <c r="D1030" s="51"/>
      <c r="E1030" s="49" t="str">
        <f>IFERROR(VLOOKUP(D1030,'taxonomy map'!$A$1:$B$171,2,FALSE),"")</f>
        <v/>
      </c>
      <c r="F1030" s="49" t="str">
        <f>IFERROR(VLOOKUP(E1030,'Condensed Specialty Crosswalk'!$A$2:$C$182,2,FALSE),"")</f>
        <v/>
      </c>
      <c r="G1030" s="49" t="str">
        <f>IFERROR(VLOOKUP(E1030,'Condensed Specialty Crosswalk'!$A$2:$C$182,3,FALSE),"")</f>
        <v/>
      </c>
    </row>
    <row r="1031" spans="1:7" ht="15" customHeight="1">
      <c r="A1031" s="49"/>
      <c r="B1031" s="49" t="str">
        <f>CONCATENATE(Reports!E1030," ",Reports!F1030," ",Reports!G1030)</f>
        <v xml:space="preserve">  </v>
      </c>
      <c r="C1031" s="50"/>
      <c r="D1031" s="51"/>
      <c r="E1031" s="49" t="str">
        <f>IFERROR(VLOOKUP(D1031,'taxonomy map'!$A$1:$B$171,2,FALSE),"")</f>
        <v/>
      </c>
      <c r="F1031" s="49" t="str">
        <f>IFERROR(VLOOKUP(E1031,'Condensed Specialty Crosswalk'!$A$2:$C$182,2,FALSE),"")</f>
        <v/>
      </c>
      <c r="G1031" s="49" t="str">
        <f>IFERROR(VLOOKUP(E1031,'Condensed Specialty Crosswalk'!$A$2:$C$182,3,FALSE),"")</f>
        <v/>
      </c>
    </row>
    <row r="1032" spans="1:7" ht="15" customHeight="1">
      <c r="A1032" s="49"/>
      <c r="B1032" s="49" t="str">
        <f>CONCATENATE(Reports!E1031," ",Reports!F1031," ",Reports!G1031)</f>
        <v xml:space="preserve">  </v>
      </c>
      <c r="C1032" s="50"/>
      <c r="D1032" s="51"/>
      <c r="E1032" s="49" t="str">
        <f>IFERROR(VLOOKUP(D1032,'taxonomy map'!$A$1:$B$171,2,FALSE),"")</f>
        <v/>
      </c>
      <c r="F1032" s="49" t="str">
        <f>IFERROR(VLOOKUP(E1032,'Condensed Specialty Crosswalk'!$A$2:$C$182,2,FALSE),"")</f>
        <v/>
      </c>
      <c r="G1032" s="49" t="str">
        <f>IFERROR(VLOOKUP(E1032,'Condensed Specialty Crosswalk'!$A$2:$C$182,3,FALSE),"")</f>
        <v/>
      </c>
    </row>
    <row r="1033" spans="1:7" ht="15" customHeight="1">
      <c r="A1033" s="49"/>
      <c r="B1033" s="49" t="str">
        <f>CONCATENATE(Reports!E1032," ",Reports!F1032," ",Reports!G1032)</f>
        <v xml:space="preserve">  </v>
      </c>
      <c r="C1033" s="50"/>
      <c r="D1033" s="51"/>
      <c r="E1033" s="49" t="str">
        <f>IFERROR(VLOOKUP(D1033,'taxonomy map'!$A$1:$B$171,2,FALSE),"")</f>
        <v/>
      </c>
      <c r="F1033" s="49" t="str">
        <f>IFERROR(VLOOKUP(E1033,'Condensed Specialty Crosswalk'!$A$2:$C$182,2,FALSE),"")</f>
        <v/>
      </c>
      <c r="G1033" s="49" t="str">
        <f>IFERROR(VLOOKUP(E1033,'Condensed Specialty Crosswalk'!$A$2:$C$182,3,FALSE),"")</f>
        <v/>
      </c>
    </row>
    <row r="1034" spans="1:7" ht="15" customHeight="1">
      <c r="A1034" s="49"/>
      <c r="B1034" s="49" t="str">
        <f>CONCATENATE(Reports!E1033," ",Reports!F1033," ",Reports!G1033)</f>
        <v xml:space="preserve">  </v>
      </c>
      <c r="C1034" s="50"/>
      <c r="D1034" s="51"/>
      <c r="E1034" s="49" t="str">
        <f>IFERROR(VLOOKUP(D1034,'taxonomy map'!$A$1:$B$171,2,FALSE),"")</f>
        <v/>
      </c>
      <c r="F1034" s="49" t="str">
        <f>IFERROR(VLOOKUP(E1034,'Condensed Specialty Crosswalk'!$A$2:$C$182,2,FALSE),"")</f>
        <v/>
      </c>
      <c r="G1034" s="49" t="str">
        <f>IFERROR(VLOOKUP(E1034,'Condensed Specialty Crosswalk'!$A$2:$C$182,3,FALSE),"")</f>
        <v/>
      </c>
    </row>
    <row r="1035" spans="1:7" ht="15" customHeight="1">
      <c r="A1035" s="49"/>
      <c r="B1035" s="49" t="str">
        <f>CONCATENATE(Reports!E1034," ",Reports!F1034," ",Reports!G1034)</f>
        <v xml:space="preserve">  </v>
      </c>
      <c r="C1035" s="50"/>
      <c r="D1035" s="51"/>
      <c r="E1035" s="49" t="str">
        <f>IFERROR(VLOOKUP(D1035,'taxonomy map'!$A$1:$B$171,2,FALSE),"")</f>
        <v/>
      </c>
      <c r="F1035" s="49" t="str">
        <f>IFERROR(VLOOKUP(E1035,'Condensed Specialty Crosswalk'!$A$2:$C$182,2,FALSE),"")</f>
        <v/>
      </c>
      <c r="G1035" s="49" t="str">
        <f>IFERROR(VLOOKUP(E1035,'Condensed Specialty Crosswalk'!$A$2:$C$182,3,FALSE),"")</f>
        <v/>
      </c>
    </row>
    <row r="1036" spans="1:7" ht="15" customHeight="1">
      <c r="A1036" s="49"/>
      <c r="B1036" s="49" t="str">
        <f>CONCATENATE(Reports!E1035," ",Reports!F1035," ",Reports!G1035)</f>
        <v xml:space="preserve">  </v>
      </c>
      <c r="C1036" s="50"/>
      <c r="D1036" s="51"/>
      <c r="E1036" s="49" t="str">
        <f>IFERROR(VLOOKUP(D1036,'taxonomy map'!$A$1:$B$171,2,FALSE),"")</f>
        <v/>
      </c>
      <c r="F1036" s="49" t="str">
        <f>IFERROR(VLOOKUP(E1036,'Condensed Specialty Crosswalk'!$A$2:$C$182,2,FALSE),"")</f>
        <v/>
      </c>
      <c r="G1036" s="49" t="str">
        <f>IFERROR(VLOOKUP(E1036,'Condensed Specialty Crosswalk'!$A$2:$C$182,3,FALSE),"")</f>
        <v/>
      </c>
    </row>
    <row r="1037" spans="1:7" ht="15" customHeight="1">
      <c r="A1037" s="49"/>
      <c r="B1037" s="49" t="str">
        <f>CONCATENATE(Reports!E1036," ",Reports!F1036," ",Reports!G1036)</f>
        <v xml:space="preserve">  </v>
      </c>
      <c r="C1037" s="50"/>
      <c r="D1037" s="51"/>
      <c r="E1037" s="49" t="str">
        <f>IFERROR(VLOOKUP(D1037,'taxonomy map'!$A$1:$B$171,2,FALSE),"")</f>
        <v/>
      </c>
      <c r="F1037" s="49" t="str">
        <f>IFERROR(VLOOKUP(E1037,'Condensed Specialty Crosswalk'!$A$2:$C$182,2,FALSE),"")</f>
        <v/>
      </c>
      <c r="G1037" s="49" t="str">
        <f>IFERROR(VLOOKUP(E1037,'Condensed Specialty Crosswalk'!$A$2:$C$182,3,FALSE),"")</f>
        <v/>
      </c>
    </row>
    <row r="1038" spans="1:7" ht="15" customHeight="1">
      <c r="A1038" s="49"/>
      <c r="B1038" s="49" t="str">
        <f>CONCATENATE(Reports!E1037," ",Reports!F1037," ",Reports!G1037)</f>
        <v xml:space="preserve">  </v>
      </c>
      <c r="C1038" s="50"/>
      <c r="D1038" s="51"/>
      <c r="E1038" s="49" t="str">
        <f>IFERROR(VLOOKUP(D1038,'taxonomy map'!$A$1:$B$171,2,FALSE),"")</f>
        <v/>
      </c>
      <c r="F1038" s="49" t="str">
        <f>IFERROR(VLOOKUP(E1038,'Condensed Specialty Crosswalk'!$A$2:$C$182,2,FALSE),"")</f>
        <v/>
      </c>
      <c r="G1038" s="49" t="str">
        <f>IFERROR(VLOOKUP(E1038,'Condensed Specialty Crosswalk'!$A$2:$C$182,3,FALSE),"")</f>
        <v/>
      </c>
    </row>
    <row r="1039" spans="1:7" ht="15" customHeight="1">
      <c r="A1039" s="49"/>
      <c r="B1039" s="49" t="str">
        <f>CONCATENATE(Reports!E1038," ",Reports!F1038," ",Reports!G1038)</f>
        <v xml:space="preserve">  </v>
      </c>
      <c r="C1039" s="50"/>
      <c r="D1039" s="51"/>
      <c r="E1039" s="49" t="str">
        <f>IFERROR(VLOOKUP(D1039,'taxonomy map'!$A$1:$B$171,2,FALSE),"")</f>
        <v/>
      </c>
      <c r="F1039" s="49" t="str">
        <f>IFERROR(VLOOKUP(E1039,'Condensed Specialty Crosswalk'!$A$2:$C$182,2,FALSE),"")</f>
        <v/>
      </c>
      <c r="G1039" s="49" t="str">
        <f>IFERROR(VLOOKUP(E1039,'Condensed Specialty Crosswalk'!$A$2:$C$182,3,FALSE),"")</f>
        <v/>
      </c>
    </row>
    <row r="1040" spans="1:7" ht="15" customHeight="1">
      <c r="A1040" s="49"/>
      <c r="B1040" s="49" t="str">
        <f>CONCATENATE(Reports!E1039," ",Reports!F1039," ",Reports!G1039)</f>
        <v xml:space="preserve">  </v>
      </c>
      <c r="C1040" s="50"/>
      <c r="D1040" s="51"/>
      <c r="E1040" s="49" t="str">
        <f>IFERROR(VLOOKUP(D1040,'taxonomy map'!$A$1:$B$171,2,FALSE),"")</f>
        <v/>
      </c>
      <c r="F1040" s="49" t="str">
        <f>IFERROR(VLOOKUP(E1040,'Condensed Specialty Crosswalk'!$A$2:$C$182,2,FALSE),"")</f>
        <v/>
      </c>
      <c r="G1040" s="49" t="str">
        <f>IFERROR(VLOOKUP(E1040,'Condensed Specialty Crosswalk'!$A$2:$C$182,3,FALSE),"")</f>
        <v/>
      </c>
    </row>
    <row r="1041" spans="1:7" ht="15" customHeight="1">
      <c r="A1041" s="49"/>
      <c r="B1041" s="49" t="str">
        <f>CONCATENATE(Reports!E1040," ",Reports!F1040," ",Reports!G1040)</f>
        <v xml:space="preserve">  </v>
      </c>
      <c r="C1041" s="50"/>
      <c r="D1041" s="51"/>
      <c r="E1041" s="49" t="str">
        <f>IFERROR(VLOOKUP(D1041,'taxonomy map'!$A$1:$B$171,2,FALSE),"")</f>
        <v/>
      </c>
      <c r="F1041" s="49" t="str">
        <f>IFERROR(VLOOKUP(E1041,'Condensed Specialty Crosswalk'!$A$2:$C$182,2,FALSE),"")</f>
        <v/>
      </c>
      <c r="G1041" s="49" t="str">
        <f>IFERROR(VLOOKUP(E1041,'Condensed Specialty Crosswalk'!$A$2:$C$182,3,FALSE),"")</f>
        <v/>
      </c>
    </row>
    <row r="1042" spans="1:7" ht="15" customHeight="1">
      <c r="A1042" s="49"/>
      <c r="B1042" s="49" t="str">
        <f>CONCATENATE(Reports!E1041," ",Reports!F1041," ",Reports!G1041)</f>
        <v xml:space="preserve">  </v>
      </c>
      <c r="C1042" s="50"/>
      <c r="D1042" s="51"/>
      <c r="E1042" s="49" t="str">
        <f>IFERROR(VLOOKUP(D1042,'taxonomy map'!$A$1:$B$171,2,FALSE),"")</f>
        <v/>
      </c>
      <c r="F1042" s="49" t="str">
        <f>IFERROR(VLOOKUP(E1042,'Condensed Specialty Crosswalk'!$A$2:$C$182,2,FALSE),"")</f>
        <v/>
      </c>
      <c r="G1042" s="49" t="str">
        <f>IFERROR(VLOOKUP(E1042,'Condensed Specialty Crosswalk'!$A$2:$C$182,3,FALSE),"")</f>
        <v/>
      </c>
    </row>
    <row r="1043" spans="1:7" ht="15" customHeight="1">
      <c r="A1043" s="49"/>
      <c r="B1043" s="49" t="str">
        <f>CONCATENATE(Reports!E1042," ",Reports!F1042," ",Reports!G1042)</f>
        <v xml:space="preserve">  </v>
      </c>
      <c r="C1043" s="50"/>
      <c r="D1043" s="51"/>
      <c r="E1043" s="49" t="str">
        <f>IFERROR(VLOOKUP(D1043,'taxonomy map'!$A$1:$B$171,2,FALSE),"")</f>
        <v/>
      </c>
      <c r="F1043" s="49" t="str">
        <f>IFERROR(VLOOKUP(E1043,'Condensed Specialty Crosswalk'!$A$2:$C$182,2,FALSE),"")</f>
        <v/>
      </c>
      <c r="G1043" s="49" t="str">
        <f>IFERROR(VLOOKUP(E1043,'Condensed Specialty Crosswalk'!$A$2:$C$182,3,FALSE),"")</f>
        <v/>
      </c>
    </row>
    <row r="1044" spans="1:7" ht="15" customHeight="1">
      <c r="A1044" s="49"/>
      <c r="B1044" s="49" t="str">
        <f>CONCATENATE(Reports!E1043," ",Reports!F1043," ",Reports!G1043)</f>
        <v xml:space="preserve">  </v>
      </c>
      <c r="C1044" s="50"/>
      <c r="D1044" s="51"/>
      <c r="E1044" s="49" t="str">
        <f>IFERROR(VLOOKUP(D1044,'taxonomy map'!$A$1:$B$171,2,FALSE),"")</f>
        <v/>
      </c>
      <c r="F1044" s="49" t="str">
        <f>IFERROR(VLOOKUP(E1044,'Condensed Specialty Crosswalk'!$A$2:$C$182,2,FALSE),"")</f>
        <v/>
      </c>
      <c r="G1044" s="49" t="str">
        <f>IFERROR(VLOOKUP(E1044,'Condensed Specialty Crosswalk'!$A$2:$C$182,3,FALSE),"")</f>
        <v/>
      </c>
    </row>
    <row r="1045" spans="1:7" ht="15" customHeight="1">
      <c r="A1045" s="49"/>
      <c r="B1045" s="49" t="str">
        <f>CONCATENATE(Reports!E1044," ",Reports!F1044," ",Reports!G1044)</f>
        <v xml:space="preserve">  </v>
      </c>
      <c r="C1045" s="50"/>
      <c r="D1045" s="51"/>
      <c r="E1045" s="49" t="str">
        <f>IFERROR(VLOOKUP(D1045,'taxonomy map'!$A$1:$B$171,2,FALSE),"")</f>
        <v/>
      </c>
      <c r="F1045" s="49" t="str">
        <f>IFERROR(VLOOKUP(E1045,'Condensed Specialty Crosswalk'!$A$2:$C$182,2,FALSE),"")</f>
        <v/>
      </c>
      <c r="G1045" s="49" t="str">
        <f>IFERROR(VLOOKUP(E1045,'Condensed Specialty Crosswalk'!$A$2:$C$182,3,FALSE),"")</f>
        <v/>
      </c>
    </row>
    <row r="1046" spans="1:7" ht="15" customHeight="1">
      <c r="A1046" s="49"/>
      <c r="B1046" s="49" t="str">
        <f>CONCATENATE(Reports!E1045," ",Reports!F1045," ",Reports!G1045)</f>
        <v xml:space="preserve">  </v>
      </c>
      <c r="C1046" s="50"/>
      <c r="D1046" s="51"/>
      <c r="E1046" s="49" t="str">
        <f>IFERROR(VLOOKUP(D1046,'taxonomy map'!$A$1:$B$171,2,FALSE),"")</f>
        <v/>
      </c>
      <c r="F1046" s="49" t="str">
        <f>IFERROR(VLOOKUP(E1046,'Condensed Specialty Crosswalk'!$A$2:$C$182,2,FALSE),"")</f>
        <v/>
      </c>
      <c r="G1046" s="49" t="str">
        <f>IFERROR(VLOOKUP(E1046,'Condensed Specialty Crosswalk'!$A$2:$C$182,3,FALSE),"")</f>
        <v/>
      </c>
    </row>
    <row r="1047" spans="1:7" ht="15" customHeight="1">
      <c r="A1047" s="49"/>
      <c r="B1047" s="49" t="str">
        <f>CONCATENATE(Reports!E1046," ",Reports!F1046," ",Reports!G1046)</f>
        <v xml:space="preserve">  </v>
      </c>
      <c r="C1047" s="50"/>
      <c r="D1047" s="51"/>
      <c r="E1047" s="49" t="str">
        <f>IFERROR(VLOOKUP(D1047,'taxonomy map'!$A$1:$B$171,2,FALSE),"")</f>
        <v/>
      </c>
      <c r="F1047" s="49" t="str">
        <f>IFERROR(VLOOKUP(E1047,'Condensed Specialty Crosswalk'!$A$2:$C$182,2,FALSE),"")</f>
        <v/>
      </c>
      <c r="G1047" s="49" t="str">
        <f>IFERROR(VLOOKUP(E1047,'Condensed Specialty Crosswalk'!$A$2:$C$182,3,FALSE),"")</f>
        <v/>
      </c>
    </row>
    <row r="1048" spans="1:7" ht="15" customHeight="1">
      <c r="A1048" s="49"/>
      <c r="B1048" s="49" t="str">
        <f>CONCATENATE(Reports!E1047," ",Reports!F1047," ",Reports!G1047)</f>
        <v xml:space="preserve">  </v>
      </c>
      <c r="C1048" s="50"/>
      <c r="D1048" s="51"/>
      <c r="E1048" s="49" t="str">
        <f>IFERROR(VLOOKUP(D1048,'taxonomy map'!$A$1:$B$171,2,FALSE),"")</f>
        <v/>
      </c>
      <c r="F1048" s="49" t="str">
        <f>IFERROR(VLOOKUP(E1048,'Condensed Specialty Crosswalk'!$A$2:$C$182,2,FALSE),"")</f>
        <v/>
      </c>
      <c r="G1048" s="49" t="str">
        <f>IFERROR(VLOOKUP(E1048,'Condensed Specialty Crosswalk'!$A$2:$C$182,3,FALSE),"")</f>
        <v/>
      </c>
    </row>
    <row r="1049" spans="1:7" ht="15" customHeight="1">
      <c r="A1049" s="49"/>
      <c r="B1049" s="49" t="str">
        <f>CONCATENATE(Reports!E1048," ",Reports!F1048," ",Reports!G1048)</f>
        <v xml:space="preserve">  </v>
      </c>
      <c r="C1049" s="50"/>
      <c r="D1049" s="51"/>
      <c r="E1049" s="49" t="str">
        <f>IFERROR(VLOOKUP(D1049,'taxonomy map'!$A$1:$B$171,2,FALSE),"")</f>
        <v/>
      </c>
      <c r="F1049" s="49" t="str">
        <f>IFERROR(VLOOKUP(E1049,'Condensed Specialty Crosswalk'!$A$2:$C$182,2,FALSE),"")</f>
        <v/>
      </c>
      <c r="G1049" s="49" t="str">
        <f>IFERROR(VLOOKUP(E1049,'Condensed Specialty Crosswalk'!$A$2:$C$182,3,FALSE),"")</f>
        <v/>
      </c>
    </row>
    <row r="1050" spans="1:7" ht="15" customHeight="1">
      <c r="A1050" s="49"/>
      <c r="B1050" s="49" t="str">
        <f>CONCATENATE(Reports!E1049," ",Reports!F1049," ",Reports!G1049)</f>
        <v xml:space="preserve">  </v>
      </c>
      <c r="C1050" s="50"/>
      <c r="D1050" s="51"/>
      <c r="E1050" s="49" t="str">
        <f>IFERROR(VLOOKUP(D1050,'taxonomy map'!$A$1:$B$171,2,FALSE),"")</f>
        <v/>
      </c>
      <c r="F1050" s="49" t="str">
        <f>IFERROR(VLOOKUP(E1050,'Condensed Specialty Crosswalk'!$A$2:$C$182,2,FALSE),"")</f>
        <v/>
      </c>
      <c r="G1050" s="49" t="str">
        <f>IFERROR(VLOOKUP(E1050,'Condensed Specialty Crosswalk'!$A$2:$C$182,3,FALSE),"")</f>
        <v/>
      </c>
    </row>
    <row r="1051" spans="1:7" ht="15" customHeight="1">
      <c r="A1051" s="49"/>
      <c r="B1051" s="49" t="str">
        <f>CONCATENATE(Reports!E1050," ",Reports!F1050," ",Reports!G1050)</f>
        <v xml:space="preserve">  </v>
      </c>
      <c r="C1051" s="50"/>
      <c r="D1051" s="51"/>
      <c r="E1051" s="49" t="str">
        <f>IFERROR(VLOOKUP(D1051,'taxonomy map'!$A$1:$B$171,2,FALSE),"")</f>
        <v/>
      </c>
      <c r="F1051" s="49" t="str">
        <f>IFERROR(VLOOKUP(E1051,'Condensed Specialty Crosswalk'!$A$2:$C$182,2,FALSE),"")</f>
        <v/>
      </c>
      <c r="G1051" s="49" t="str">
        <f>IFERROR(VLOOKUP(E1051,'Condensed Specialty Crosswalk'!$A$2:$C$182,3,FALSE),"")</f>
        <v/>
      </c>
    </row>
    <row r="1052" spans="1:7" ht="15" customHeight="1">
      <c r="A1052" s="49"/>
      <c r="B1052" s="49" t="str">
        <f>CONCATENATE(Reports!E1051," ",Reports!F1051," ",Reports!G1051)</f>
        <v xml:space="preserve">  </v>
      </c>
      <c r="C1052" s="50"/>
      <c r="D1052" s="51"/>
      <c r="E1052" s="49" t="str">
        <f>IFERROR(VLOOKUP(D1052,'taxonomy map'!$A$1:$B$171,2,FALSE),"")</f>
        <v/>
      </c>
      <c r="F1052" s="49" t="str">
        <f>IFERROR(VLOOKUP(E1052,'Condensed Specialty Crosswalk'!$A$2:$C$182,2,FALSE),"")</f>
        <v/>
      </c>
      <c r="G1052" s="49" t="str">
        <f>IFERROR(VLOOKUP(E1052,'Condensed Specialty Crosswalk'!$A$2:$C$182,3,FALSE),"")</f>
        <v/>
      </c>
    </row>
    <row r="1053" spans="1:7" ht="15" customHeight="1">
      <c r="A1053" s="49"/>
      <c r="B1053" s="49" t="str">
        <f>CONCATENATE(Reports!E1052," ",Reports!F1052," ",Reports!G1052)</f>
        <v xml:space="preserve">  </v>
      </c>
      <c r="C1053" s="50"/>
      <c r="D1053" s="51"/>
      <c r="E1053" s="49" t="str">
        <f>IFERROR(VLOOKUP(D1053,'taxonomy map'!$A$1:$B$171,2,FALSE),"")</f>
        <v/>
      </c>
      <c r="F1053" s="49" t="str">
        <f>IFERROR(VLOOKUP(E1053,'Condensed Specialty Crosswalk'!$A$2:$C$182,2,FALSE),"")</f>
        <v/>
      </c>
      <c r="G1053" s="49" t="str">
        <f>IFERROR(VLOOKUP(E1053,'Condensed Specialty Crosswalk'!$A$2:$C$182,3,FALSE),"")</f>
        <v/>
      </c>
    </row>
    <row r="1054" spans="1:7" ht="15" customHeight="1">
      <c r="A1054" s="49"/>
      <c r="B1054" s="49" t="str">
        <f>CONCATENATE(Reports!E1053," ",Reports!F1053," ",Reports!G1053)</f>
        <v xml:space="preserve">  </v>
      </c>
      <c r="C1054" s="50"/>
      <c r="D1054" s="51"/>
      <c r="E1054" s="49" t="str">
        <f>IFERROR(VLOOKUP(D1054,'taxonomy map'!$A$1:$B$171,2,FALSE),"")</f>
        <v/>
      </c>
      <c r="F1054" s="49" t="str">
        <f>IFERROR(VLOOKUP(E1054,'Condensed Specialty Crosswalk'!$A$2:$C$182,2,FALSE),"")</f>
        <v/>
      </c>
      <c r="G1054" s="49" t="str">
        <f>IFERROR(VLOOKUP(E1054,'Condensed Specialty Crosswalk'!$A$2:$C$182,3,FALSE),"")</f>
        <v/>
      </c>
    </row>
    <row r="1055" spans="1:7" ht="15" customHeight="1">
      <c r="A1055" s="49"/>
      <c r="B1055" s="49" t="str">
        <f>CONCATENATE(Reports!E1054," ",Reports!F1054," ",Reports!G1054)</f>
        <v xml:space="preserve">  </v>
      </c>
      <c r="C1055" s="50"/>
      <c r="D1055" s="51"/>
      <c r="E1055" s="49" t="str">
        <f>IFERROR(VLOOKUP(D1055,'taxonomy map'!$A$1:$B$171,2,FALSE),"")</f>
        <v/>
      </c>
      <c r="F1055" s="49" t="str">
        <f>IFERROR(VLOOKUP(E1055,'Condensed Specialty Crosswalk'!$A$2:$C$182,2,FALSE),"")</f>
        <v/>
      </c>
      <c r="G1055" s="49" t="str">
        <f>IFERROR(VLOOKUP(E1055,'Condensed Specialty Crosswalk'!$A$2:$C$182,3,FALSE),"")</f>
        <v/>
      </c>
    </row>
    <row r="1056" spans="1:7" ht="15" customHeight="1">
      <c r="A1056" s="49"/>
      <c r="B1056" s="49" t="str">
        <f>CONCATENATE(Reports!E1055," ",Reports!F1055," ",Reports!G1055)</f>
        <v xml:space="preserve">  </v>
      </c>
      <c r="C1056" s="50"/>
      <c r="D1056" s="51"/>
      <c r="E1056" s="49" t="str">
        <f>IFERROR(VLOOKUP(D1056,'taxonomy map'!$A$1:$B$171,2,FALSE),"")</f>
        <v/>
      </c>
      <c r="F1056" s="49" t="str">
        <f>IFERROR(VLOOKUP(E1056,'Condensed Specialty Crosswalk'!$A$2:$C$182,2,FALSE),"")</f>
        <v/>
      </c>
      <c r="G1056" s="49" t="str">
        <f>IFERROR(VLOOKUP(E1056,'Condensed Specialty Crosswalk'!$A$2:$C$182,3,FALSE),"")</f>
        <v/>
      </c>
    </row>
    <row r="1057" spans="1:7" ht="15" customHeight="1">
      <c r="A1057" s="49"/>
      <c r="B1057" s="49" t="str">
        <f>CONCATENATE(Reports!E1056," ",Reports!F1056," ",Reports!G1056)</f>
        <v xml:space="preserve">  </v>
      </c>
      <c r="C1057" s="50"/>
      <c r="D1057" s="51"/>
      <c r="E1057" s="49" t="str">
        <f>IFERROR(VLOOKUP(D1057,'taxonomy map'!$A$1:$B$171,2,FALSE),"")</f>
        <v/>
      </c>
      <c r="F1057" s="49" t="str">
        <f>IFERROR(VLOOKUP(E1057,'Condensed Specialty Crosswalk'!$A$2:$C$182,2,FALSE),"")</f>
        <v/>
      </c>
      <c r="G1057" s="49" t="str">
        <f>IFERROR(VLOOKUP(E1057,'Condensed Specialty Crosswalk'!$A$2:$C$182,3,FALSE),"")</f>
        <v/>
      </c>
    </row>
    <row r="1058" spans="1:7" ht="15" customHeight="1">
      <c r="A1058" s="49"/>
      <c r="B1058" s="49" t="str">
        <f>CONCATENATE(Reports!E1057," ",Reports!F1057," ",Reports!G1057)</f>
        <v xml:space="preserve">  </v>
      </c>
      <c r="C1058" s="50"/>
      <c r="D1058" s="51"/>
      <c r="E1058" s="49" t="str">
        <f>IFERROR(VLOOKUP(D1058,'taxonomy map'!$A$1:$B$171,2,FALSE),"")</f>
        <v/>
      </c>
      <c r="F1058" s="49" t="str">
        <f>IFERROR(VLOOKUP(E1058,'Condensed Specialty Crosswalk'!$A$2:$C$182,2,FALSE),"")</f>
        <v/>
      </c>
      <c r="G1058" s="49" t="str">
        <f>IFERROR(VLOOKUP(E1058,'Condensed Specialty Crosswalk'!$A$2:$C$182,3,FALSE),"")</f>
        <v/>
      </c>
    </row>
    <row r="1059" spans="1:7" ht="15" customHeight="1">
      <c r="A1059" s="49"/>
      <c r="B1059" s="49" t="str">
        <f>CONCATENATE(Reports!E1058," ",Reports!F1058," ",Reports!G1058)</f>
        <v xml:space="preserve">  </v>
      </c>
      <c r="C1059" s="50"/>
      <c r="D1059" s="51"/>
      <c r="E1059" s="49" t="str">
        <f>IFERROR(VLOOKUP(D1059,'taxonomy map'!$A$1:$B$171,2,FALSE),"")</f>
        <v/>
      </c>
      <c r="F1059" s="49" t="str">
        <f>IFERROR(VLOOKUP(E1059,'Condensed Specialty Crosswalk'!$A$2:$C$182,2,FALSE),"")</f>
        <v/>
      </c>
      <c r="G1059" s="49" t="str">
        <f>IFERROR(VLOOKUP(E1059,'Condensed Specialty Crosswalk'!$A$2:$C$182,3,FALSE),"")</f>
        <v/>
      </c>
    </row>
    <row r="1060" spans="1:7" ht="15" customHeight="1">
      <c r="A1060" s="49"/>
      <c r="B1060" s="49" t="str">
        <f>CONCATENATE(Reports!E1059," ",Reports!F1059," ",Reports!G1059)</f>
        <v xml:space="preserve">  </v>
      </c>
      <c r="C1060" s="50"/>
      <c r="D1060" s="51"/>
      <c r="E1060" s="49" t="str">
        <f>IFERROR(VLOOKUP(D1060,'taxonomy map'!$A$1:$B$171,2,FALSE),"")</f>
        <v/>
      </c>
      <c r="F1060" s="49" t="str">
        <f>IFERROR(VLOOKUP(E1060,'Condensed Specialty Crosswalk'!$A$2:$C$182,2,FALSE),"")</f>
        <v/>
      </c>
      <c r="G1060" s="49" t="str">
        <f>IFERROR(VLOOKUP(E1060,'Condensed Specialty Crosswalk'!$A$2:$C$182,3,FALSE),"")</f>
        <v/>
      </c>
    </row>
    <row r="1061" spans="1:7" ht="15" customHeight="1">
      <c r="A1061" s="49"/>
      <c r="B1061" s="49" t="str">
        <f>CONCATENATE(Reports!E1060," ",Reports!F1060," ",Reports!G1060)</f>
        <v xml:space="preserve">  </v>
      </c>
      <c r="C1061" s="50"/>
      <c r="D1061" s="51"/>
      <c r="E1061" s="49" t="str">
        <f>IFERROR(VLOOKUP(D1061,'taxonomy map'!$A$1:$B$171,2,FALSE),"")</f>
        <v/>
      </c>
      <c r="F1061" s="49" t="str">
        <f>IFERROR(VLOOKUP(E1061,'Condensed Specialty Crosswalk'!$A$2:$C$182,2,FALSE),"")</f>
        <v/>
      </c>
      <c r="G1061" s="49" t="str">
        <f>IFERROR(VLOOKUP(E1061,'Condensed Specialty Crosswalk'!$A$2:$C$182,3,FALSE),"")</f>
        <v/>
      </c>
    </row>
    <row r="1062" spans="1:7" ht="15" customHeight="1">
      <c r="A1062" s="49"/>
      <c r="B1062" s="49" t="str">
        <f>CONCATENATE(Reports!E1061," ",Reports!F1061," ",Reports!G1061)</f>
        <v xml:space="preserve">  </v>
      </c>
      <c r="C1062" s="50"/>
      <c r="D1062" s="51"/>
      <c r="E1062" s="49" t="str">
        <f>IFERROR(VLOOKUP(D1062,'taxonomy map'!$A$1:$B$171,2,FALSE),"")</f>
        <v/>
      </c>
      <c r="F1062" s="49" t="str">
        <f>IFERROR(VLOOKUP(E1062,'Condensed Specialty Crosswalk'!$A$2:$C$182,2,FALSE),"")</f>
        <v/>
      </c>
      <c r="G1062" s="49" t="str">
        <f>IFERROR(VLOOKUP(E1062,'Condensed Specialty Crosswalk'!$A$2:$C$182,3,FALSE),"")</f>
        <v/>
      </c>
    </row>
    <row r="1063" spans="1:7" ht="15" customHeight="1">
      <c r="A1063" s="49"/>
      <c r="B1063" s="49" t="str">
        <f>CONCATENATE(Reports!E1062," ",Reports!F1062," ",Reports!G1062)</f>
        <v xml:space="preserve">  </v>
      </c>
      <c r="C1063" s="50"/>
      <c r="D1063" s="51"/>
      <c r="E1063" s="49" t="str">
        <f>IFERROR(VLOOKUP(D1063,'taxonomy map'!$A$1:$B$171,2,FALSE),"")</f>
        <v/>
      </c>
      <c r="F1063" s="49" t="str">
        <f>IFERROR(VLOOKUP(E1063,'Condensed Specialty Crosswalk'!$A$2:$C$182,2,FALSE),"")</f>
        <v/>
      </c>
      <c r="G1063" s="49" t="str">
        <f>IFERROR(VLOOKUP(E1063,'Condensed Specialty Crosswalk'!$A$2:$C$182,3,FALSE),"")</f>
        <v/>
      </c>
    </row>
    <row r="1064" spans="1:7" ht="15" customHeight="1">
      <c r="A1064" s="49"/>
      <c r="B1064" s="49" t="str">
        <f>CONCATENATE(Reports!E1063," ",Reports!F1063," ",Reports!G1063)</f>
        <v xml:space="preserve">  </v>
      </c>
      <c r="C1064" s="50"/>
      <c r="D1064" s="51"/>
      <c r="E1064" s="49" t="str">
        <f>IFERROR(VLOOKUP(D1064,'taxonomy map'!$A$1:$B$171,2,FALSE),"")</f>
        <v/>
      </c>
      <c r="F1064" s="49" t="str">
        <f>IFERROR(VLOOKUP(E1064,'Condensed Specialty Crosswalk'!$A$2:$C$182,2,FALSE),"")</f>
        <v/>
      </c>
      <c r="G1064" s="49" t="str">
        <f>IFERROR(VLOOKUP(E1064,'Condensed Specialty Crosswalk'!$A$2:$C$182,3,FALSE),"")</f>
        <v/>
      </c>
    </row>
    <row r="1065" spans="1:7" ht="15" customHeight="1">
      <c r="A1065" s="49"/>
      <c r="B1065" s="49" t="str">
        <f>CONCATENATE(Reports!E1064," ",Reports!F1064," ",Reports!G1064)</f>
        <v xml:space="preserve">  </v>
      </c>
      <c r="C1065" s="50"/>
      <c r="D1065" s="51"/>
      <c r="E1065" s="49" t="str">
        <f>IFERROR(VLOOKUP(D1065,'taxonomy map'!$A$1:$B$171,2,FALSE),"")</f>
        <v/>
      </c>
      <c r="F1065" s="49" t="str">
        <f>IFERROR(VLOOKUP(E1065,'Condensed Specialty Crosswalk'!$A$2:$C$182,2,FALSE),"")</f>
        <v/>
      </c>
      <c r="G1065" s="49" t="str">
        <f>IFERROR(VLOOKUP(E1065,'Condensed Specialty Crosswalk'!$A$2:$C$182,3,FALSE),"")</f>
        <v/>
      </c>
    </row>
    <row r="1066" spans="1:7" ht="15" customHeight="1">
      <c r="A1066" s="49"/>
      <c r="B1066" s="49" t="str">
        <f>CONCATENATE(Reports!E1065," ",Reports!F1065," ",Reports!G1065)</f>
        <v xml:space="preserve">  </v>
      </c>
      <c r="C1066" s="50"/>
      <c r="D1066" s="51"/>
      <c r="E1066" s="49" t="str">
        <f>IFERROR(VLOOKUP(D1066,'taxonomy map'!$A$1:$B$171,2,FALSE),"")</f>
        <v/>
      </c>
      <c r="F1066" s="49" t="str">
        <f>IFERROR(VLOOKUP(E1066,'Condensed Specialty Crosswalk'!$A$2:$C$182,2,FALSE),"")</f>
        <v/>
      </c>
      <c r="G1066" s="49" t="str">
        <f>IFERROR(VLOOKUP(E1066,'Condensed Specialty Crosswalk'!$A$2:$C$182,3,FALSE),"")</f>
        <v/>
      </c>
    </row>
    <row r="1067" spans="1:7" ht="15" customHeight="1">
      <c r="A1067" s="49"/>
      <c r="B1067" s="49" t="str">
        <f>CONCATENATE(Reports!E1066," ",Reports!F1066," ",Reports!G1066)</f>
        <v xml:space="preserve">  </v>
      </c>
      <c r="C1067" s="50"/>
      <c r="D1067" s="51"/>
      <c r="E1067" s="49" t="str">
        <f>IFERROR(VLOOKUP(D1067,'taxonomy map'!$A$1:$B$171,2,FALSE),"")</f>
        <v/>
      </c>
      <c r="F1067" s="49" t="str">
        <f>IFERROR(VLOOKUP(E1067,'Condensed Specialty Crosswalk'!$A$2:$C$182,2,FALSE),"")</f>
        <v/>
      </c>
      <c r="G1067" s="49" t="str">
        <f>IFERROR(VLOOKUP(E1067,'Condensed Specialty Crosswalk'!$A$2:$C$182,3,FALSE),"")</f>
        <v/>
      </c>
    </row>
    <row r="1068" spans="1:7" ht="15" customHeight="1">
      <c r="A1068" s="49"/>
      <c r="B1068" s="49" t="str">
        <f>CONCATENATE(Reports!E1067," ",Reports!F1067," ",Reports!G1067)</f>
        <v xml:space="preserve">  </v>
      </c>
      <c r="C1068" s="50"/>
      <c r="D1068" s="51"/>
      <c r="E1068" s="49" t="str">
        <f>IFERROR(VLOOKUP(D1068,'taxonomy map'!$A$1:$B$171,2,FALSE),"")</f>
        <v/>
      </c>
      <c r="F1068" s="49" t="str">
        <f>IFERROR(VLOOKUP(E1068,'Condensed Specialty Crosswalk'!$A$2:$C$182,2,FALSE),"")</f>
        <v/>
      </c>
      <c r="G1068" s="49" t="str">
        <f>IFERROR(VLOOKUP(E1068,'Condensed Specialty Crosswalk'!$A$2:$C$182,3,FALSE),"")</f>
        <v/>
      </c>
    </row>
    <row r="1069" spans="1:7" ht="15" customHeight="1">
      <c r="A1069" s="49"/>
      <c r="B1069" s="49" t="str">
        <f>CONCATENATE(Reports!E1068," ",Reports!F1068," ",Reports!G1068)</f>
        <v xml:space="preserve">  </v>
      </c>
      <c r="C1069" s="50"/>
      <c r="D1069" s="51"/>
      <c r="E1069" s="49" t="str">
        <f>IFERROR(VLOOKUP(D1069,'taxonomy map'!$A$1:$B$171,2,FALSE),"")</f>
        <v/>
      </c>
      <c r="F1069" s="49" t="str">
        <f>IFERROR(VLOOKUP(E1069,'Condensed Specialty Crosswalk'!$A$2:$C$182,2,FALSE),"")</f>
        <v/>
      </c>
      <c r="G1069" s="49" t="str">
        <f>IFERROR(VLOOKUP(E1069,'Condensed Specialty Crosswalk'!$A$2:$C$182,3,FALSE),"")</f>
        <v/>
      </c>
    </row>
    <row r="1070" spans="1:7" ht="15" customHeight="1">
      <c r="A1070" s="49"/>
      <c r="B1070" s="49" t="str">
        <f>CONCATENATE(Reports!E1069," ",Reports!F1069," ",Reports!G1069)</f>
        <v xml:space="preserve">  </v>
      </c>
      <c r="C1070" s="50"/>
      <c r="D1070" s="51"/>
      <c r="E1070" s="49" t="str">
        <f>IFERROR(VLOOKUP(D1070,'taxonomy map'!$A$1:$B$171,2,FALSE),"")</f>
        <v/>
      </c>
      <c r="F1070" s="49" t="str">
        <f>IFERROR(VLOOKUP(E1070,'Condensed Specialty Crosswalk'!$A$2:$C$182,2,FALSE),"")</f>
        <v/>
      </c>
      <c r="G1070" s="49" t="str">
        <f>IFERROR(VLOOKUP(E1070,'Condensed Specialty Crosswalk'!$A$2:$C$182,3,FALSE),"")</f>
        <v/>
      </c>
    </row>
    <row r="1071" spans="1:7" ht="15" customHeight="1">
      <c r="A1071" s="49"/>
      <c r="B1071" s="49" t="str">
        <f>CONCATENATE(Reports!E1070," ",Reports!F1070," ",Reports!G1070)</f>
        <v xml:space="preserve">  </v>
      </c>
      <c r="C1071" s="50"/>
      <c r="D1071" s="51"/>
      <c r="E1071" s="49" t="str">
        <f>IFERROR(VLOOKUP(D1071,'taxonomy map'!$A$1:$B$171,2,FALSE),"")</f>
        <v/>
      </c>
      <c r="F1071" s="49" t="str">
        <f>IFERROR(VLOOKUP(E1071,'Condensed Specialty Crosswalk'!$A$2:$C$182,2,FALSE),"")</f>
        <v/>
      </c>
      <c r="G1071" s="49" t="str">
        <f>IFERROR(VLOOKUP(E1071,'Condensed Specialty Crosswalk'!$A$2:$C$182,3,FALSE),"")</f>
        <v/>
      </c>
    </row>
    <row r="1072" spans="1:7" ht="15" customHeight="1">
      <c r="A1072" s="49"/>
      <c r="B1072" s="49" t="str">
        <f>CONCATENATE(Reports!E1071," ",Reports!F1071," ",Reports!G1071)</f>
        <v xml:space="preserve">  </v>
      </c>
      <c r="C1072" s="50"/>
      <c r="D1072" s="51"/>
      <c r="E1072" s="49" t="str">
        <f>IFERROR(VLOOKUP(D1072,'taxonomy map'!$A$1:$B$171,2,FALSE),"")</f>
        <v/>
      </c>
      <c r="F1072" s="49" t="str">
        <f>IFERROR(VLOOKUP(E1072,'Condensed Specialty Crosswalk'!$A$2:$C$182,2,FALSE),"")</f>
        <v/>
      </c>
      <c r="G1072" s="49" t="str">
        <f>IFERROR(VLOOKUP(E1072,'Condensed Specialty Crosswalk'!$A$2:$C$182,3,FALSE),"")</f>
        <v/>
      </c>
    </row>
    <row r="1073" spans="1:7" ht="15" customHeight="1">
      <c r="A1073" s="49"/>
      <c r="B1073" s="49" t="str">
        <f>CONCATENATE(Reports!E1072," ",Reports!F1072," ",Reports!G1072)</f>
        <v xml:space="preserve">  </v>
      </c>
      <c r="C1073" s="50"/>
      <c r="D1073" s="51"/>
      <c r="E1073" s="49" t="str">
        <f>IFERROR(VLOOKUP(D1073,'taxonomy map'!$A$1:$B$171,2,FALSE),"")</f>
        <v/>
      </c>
      <c r="F1073" s="49" t="str">
        <f>IFERROR(VLOOKUP(E1073,'Condensed Specialty Crosswalk'!$A$2:$C$182,2,FALSE),"")</f>
        <v/>
      </c>
      <c r="G1073" s="49" t="str">
        <f>IFERROR(VLOOKUP(E1073,'Condensed Specialty Crosswalk'!$A$2:$C$182,3,FALSE),"")</f>
        <v/>
      </c>
    </row>
    <row r="1074" spans="1:7" ht="15" customHeight="1">
      <c r="A1074" s="49"/>
      <c r="B1074" s="49" t="str">
        <f>CONCATENATE(Reports!E1073," ",Reports!F1073," ",Reports!G1073)</f>
        <v xml:space="preserve">  </v>
      </c>
      <c r="C1074" s="50"/>
      <c r="D1074" s="51"/>
      <c r="E1074" s="49" t="str">
        <f>IFERROR(VLOOKUP(D1074,'taxonomy map'!$A$1:$B$171,2,FALSE),"")</f>
        <v/>
      </c>
      <c r="F1074" s="49" t="str">
        <f>IFERROR(VLOOKUP(E1074,'Condensed Specialty Crosswalk'!$A$2:$C$182,2,FALSE),"")</f>
        <v/>
      </c>
      <c r="G1074" s="49" t="str">
        <f>IFERROR(VLOOKUP(E1074,'Condensed Specialty Crosswalk'!$A$2:$C$182,3,FALSE),"")</f>
        <v/>
      </c>
    </row>
    <row r="1075" spans="1:7" ht="15" customHeight="1">
      <c r="A1075" s="49"/>
      <c r="B1075" s="49" t="str">
        <f>CONCATENATE(Reports!E1074," ",Reports!F1074," ",Reports!G1074)</f>
        <v xml:space="preserve">  </v>
      </c>
      <c r="C1075" s="50"/>
      <c r="D1075" s="51"/>
      <c r="E1075" s="49" t="str">
        <f>IFERROR(VLOOKUP(D1075,'taxonomy map'!$A$1:$B$171,2,FALSE),"")</f>
        <v/>
      </c>
      <c r="F1075" s="49" t="str">
        <f>IFERROR(VLOOKUP(E1075,'Condensed Specialty Crosswalk'!$A$2:$C$182,2,FALSE),"")</f>
        <v/>
      </c>
      <c r="G1075" s="49" t="str">
        <f>IFERROR(VLOOKUP(E1075,'Condensed Specialty Crosswalk'!$A$2:$C$182,3,FALSE),"")</f>
        <v/>
      </c>
    </row>
    <row r="1076" spans="1:7" ht="15" customHeight="1">
      <c r="A1076" s="49"/>
      <c r="B1076" s="49" t="str">
        <f>CONCATENATE(Reports!E1075," ",Reports!F1075," ",Reports!G1075)</f>
        <v xml:space="preserve">  </v>
      </c>
      <c r="C1076" s="50"/>
      <c r="D1076" s="51"/>
      <c r="E1076" s="49" t="str">
        <f>IFERROR(VLOOKUP(D1076,'taxonomy map'!$A$1:$B$171,2,FALSE),"")</f>
        <v/>
      </c>
      <c r="F1076" s="49" t="str">
        <f>IFERROR(VLOOKUP(E1076,'Condensed Specialty Crosswalk'!$A$2:$C$182,2,FALSE),"")</f>
        <v/>
      </c>
      <c r="G1076" s="49" t="str">
        <f>IFERROR(VLOOKUP(E1076,'Condensed Specialty Crosswalk'!$A$2:$C$182,3,FALSE),"")</f>
        <v/>
      </c>
    </row>
    <row r="1077" spans="1:7" ht="15" customHeight="1">
      <c r="A1077" s="49"/>
      <c r="B1077" s="49" t="str">
        <f>CONCATENATE(Reports!E1076," ",Reports!F1076," ",Reports!G1076)</f>
        <v xml:space="preserve">  </v>
      </c>
      <c r="C1077" s="50"/>
      <c r="D1077" s="51"/>
      <c r="E1077" s="49" t="str">
        <f>IFERROR(VLOOKUP(D1077,'taxonomy map'!$A$1:$B$171,2,FALSE),"")</f>
        <v/>
      </c>
      <c r="F1077" s="49" t="str">
        <f>IFERROR(VLOOKUP(E1077,'Condensed Specialty Crosswalk'!$A$2:$C$182,2,FALSE),"")</f>
        <v/>
      </c>
      <c r="G1077" s="49" t="str">
        <f>IFERROR(VLOOKUP(E1077,'Condensed Specialty Crosswalk'!$A$2:$C$182,3,FALSE),"")</f>
        <v/>
      </c>
    </row>
    <row r="1078" spans="1:7" ht="15" customHeight="1">
      <c r="A1078" s="49"/>
      <c r="B1078" s="49" t="str">
        <f>CONCATENATE(Reports!E1077," ",Reports!F1077," ",Reports!G1077)</f>
        <v xml:space="preserve">  </v>
      </c>
      <c r="C1078" s="50"/>
      <c r="D1078" s="51"/>
      <c r="E1078" s="49" t="str">
        <f>IFERROR(VLOOKUP(D1078,'taxonomy map'!$A$1:$B$171,2,FALSE),"")</f>
        <v/>
      </c>
      <c r="F1078" s="49" t="str">
        <f>IFERROR(VLOOKUP(E1078,'Condensed Specialty Crosswalk'!$A$2:$C$182,2,FALSE),"")</f>
        <v/>
      </c>
      <c r="G1078" s="49" t="str">
        <f>IFERROR(VLOOKUP(E1078,'Condensed Specialty Crosswalk'!$A$2:$C$182,3,FALSE),"")</f>
        <v/>
      </c>
    </row>
    <row r="1079" spans="1:7" ht="15" customHeight="1">
      <c r="A1079" s="49"/>
      <c r="B1079" s="49" t="str">
        <f>CONCATENATE(Reports!E1078," ",Reports!F1078," ",Reports!G1078)</f>
        <v xml:space="preserve">  </v>
      </c>
      <c r="C1079" s="50"/>
      <c r="D1079" s="51"/>
      <c r="E1079" s="49" t="str">
        <f>IFERROR(VLOOKUP(D1079,'taxonomy map'!$A$1:$B$171,2,FALSE),"")</f>
        <v/>
      </c>
      <c r="F1079" s="49" t="str">
        <f>IFERROR(VLOOKUP(E1079,'Condensed Specialty Crosswalk'!$A$2:$C$182,2,FALSE),"")</f>
        <v/>
      </c>
      <c r="G1079" s="49" t="str">
        <f>IFERROR(VLOOKUP(E1079,'Condensed Specialty Crosswalk'!$A$2:$C$182,3,FALSE),"")</f>
        <v/>
      </c>
    </row>
    <row r="1080" spans="1:7" ht="15" customHeight="1">
      <c r="A1080" s="49"/>
      <c r="B1080" s="49" t="str">
        <f>CONCATENATE(Reports!E1079," ",Reports!F1079," ",Reports!G1079)</f>
        <v xml:space="preserve">  </v>
      </c>
      <c r="C1080" s="50"/>
      <c r="D1080" s="51"/>
      <c r="E1080" s="49" t="str">
        <f>IFERROR(VLOOKUP(D1080,'taxonomy map'!$A$1:$B$171,2,FALSE),"")</f>
        <v/>
      </c>
      <c r="F1080" s="49" t="str">
        <f>IFERROR(VLOOKUP(E1080,'Condensed Specialty Crosswalk'!$A$2:$C$182,2,FALSE),"")</f>
        <v/>
      </c>
      <c r="G1080" s="49" t="str">
        <f>IFERROR(VLOOKUP(E1080,'Condensed Specialty Crosswalk'!$A$2:$C$182,3,FALSE),"")</f>
        <v/>
      </c>
    </row>
    <row r="1081" spans="1:7" ht="15" customHeight="1">
      <c r="A1081" s="49"/>
      <c r="B1081" s="49" t="str">
        <f>CONCATENATE(Reports!E1080," ",Reports!F1080," ",Reports!G1080)</f>
        <v xml:space="preserve">  </v>
      </c>
      <c r="C1081" s="50"/>
      <c r="D1081" s="51"/>
      <c r="E1081" s="49" t="str">
        <f>IFERROR(VLOOKUP(D1081,'taxonomy map'!$A$1:$B$171,2,FALSE),"")</f>
        <v/>
      </c>
      <c r="F1081" s="49" t="str">
        <f>IFERROR(VLOOKUP(E1081,'Condensed Specialty Crosswalk'!$A$2:$C$182,2,FALSE),"")</f>
        <v/>
      </c>
      <c r="G1081" s="49" t="str">
        <f>IFERROR(VLOOKUP(E1081,'Condensed Specialty Crosswalk'!$A$2:$C$182,3,FALSE),"")</f>
        <v/>
      </c>
    </row>
    <row r="1082" spans="1:7" ht="15" customHeight="1">
      <c r="A1082" s="49"/>
      <c r="B1082" s="49" t="str">
        <f>CONCATENATE(Reports!E1081," ",Reports!F1081," ",Reports!G1081)</f>
        <v xml:space="preserve">  </v>
      </c>
      <c r="C1082" s="50"/>
      <c r="D1082" s="51"/>
      <c r="E1082" s="49" t="str">
        <f>IFERROR(VLOOKUP(D1082,'taxonomy map'!$A$1:$B$171,2,FALSE),"")</f>
        <v/>
      </c>
      <c r="F1082" s="49" t="str">
        <f>IFERROR(VLOOKUP(E1082,'Condensed Specialty Crosswalk'!$A$2:$C$182,2,FALSE),"")</f>
        <v/>
      </c>
      <c r="G1082" s="49" t="str">
        <f>IFERROR(VLOOKUP(E1082,'Condensed Specialty Crosswalk'!$A$2:$C$182,3,FALSE),"")</f>
        <v/>
      </c>
    </row>
    <row r="1083" spans="1:7" ht="15" customHeight="1">
      <c r="A1083" s="49"/>
      <c r="B1083" s="49" t="str">
        <f>CONCATENATE(Reports!E1082," ",Reports!F1082," ",Reports!G1082)</f>
        <v xml:space="preserve">  </v>
      </c>
      <c r="C1083" s="50"/>
      <c r="D1083" s="51"/>
      <c r="E1083" s="49" t="str">
        <f>IFERROR(VLOOKUP(D1083,'taxonomy map'!$A$1:$B$171,2,FALSE),"")</f>
        <v/>
      </c>
      <c r="F1083" s="49" t="str">
        <f>IFERROR(VLOOKUP(E1083,'Condensed Specialty Crosswalk'!$A$2:$C$182,2,FALSE),"")</f>
        <v/>
      </c>
      <c r="G1083" s="49" t="str">
        <f>IFERROR(VLOOKUP(E1083,'Condensed Specialty Crosswalk'!$A$2:$C$182,3,FALSE),"")</f>
        <v/>
      </c>
    </row>
    <row r="1084" spans="1:7" ht="15" customHeight="1">
      <c r="A1084" s="49"/>
      <c r="B1084" s="49" t="str">
        <f>CONCATENATE(Reports!E1083," ",Reports!F1083," ",Reports!G1083)</f>
        <v xml:space="preserve">  </v>
      </c>
      <c r="C1084" s="50"/>
      <c r="D1084" s="51"/>
      <c r="E1084" s="49" t="str">
        <f>IFERROR(VLOOKUP(D1084,'taxonomy map'!$A$1:$B$171,2,FALSE),"")</f>
        <v/>
      </c>
      <c r="F1084" s="49" t="str">
        <f>IFERROR(VLOOKUP(E1084,'Condensed Specialty Crosswalk'!$A$2:$C$182,2,FALSE),"")</f>
        <v/>
      </c>
      <c r="G1084" s="49" t="str">
        <f>IFERROR(VLOOKUP(E1084,'Condensed Specialty Crosswalk'!$A$2:$C$182,3,FALSE),"")</f>
        <v/>
      </c>
    </row>
    <row r="1085" spans="1:7" ht="15" customHeight="1">
      <c r="A1085" s="49"/>
      <c r="B1085" s="49" t="str">
        <f>CONCATENATE(Reports!E1084," ",Reports!F1084," ",Reports!G1084)</f>
        <v xml:space="preserve">  </v>
      </c>
      <c r="C1085" s="50"/>
      <c r="D1085" s="51"/>
      <c r="E1085" s="49" t="str">
        <f>IFERROR(VLOOKUP(D1085,'taxonomy map'!$A$1:$B$171,2,FALSE),"")</f>
        <v/>
      </c>
      <c r="F1085" s="49" t="str">
        <f>IFERROR(VLOOKUP(E1085,'Condensed Specialty Crosswalk'!$A$2:$C$182,2,FALSE),"")</f>
        <v/>
      </c>
      <c r="G1085" s="49" t="str">
        <f>IFERROR(VLOOKUP(E1085,'Condensed Specialty Crosswalk'!$A$2:$C$182,3,FALSE),"")</f>
        <v/>
      </c>
    </row>
    <row r="1086" spans="1:7" ht="15" customHeight="1">
      <c r="A1086" s="49"/>
      <c r="B1086" s="49" t="str">
        <f>CONCATENATE(Reports!E1085," ",Reports!F1085," ",Reports!G1085)</f>
        <v xml:space="preserve">  </v>
      </c>
      <c r="C1086" s="50"/>
      <c r="D1086" s="51"/>
      <c r="E1086" s="49" t="str">
        <f>IFERROR(VLOOKUP(D1086,'taxonomy map'!$A$1:$B$171,2,FALSE),"")</f>
        <v/>
      </c>
      <c r="F1086" s="49" t="str">
        <f>IFERROR(VLOOKUP(E1086,'Condensed Specialty Crosswalk'!$A$2:$C$182,2,FALSE),"")</f>
        <v/>
      </c>
      <c r="G1086" s="49" t="str">
        <f>IFERROR(VLOOKUP(E1086,'Condensed Specialty Crosswalk'!$A$2:$C$182,3,FALSE),"")</f>
        <v/>
      </c>
    </row>
    <row r="1087" spans="1:7" ht="15" customHeight="1">
      <c r="A1087" s="49"/>
      <c r="B1087" s="49" t="str">
        <f>CONCATENATE(Reports!E1086," ",Reports!F1086," ",Reports!G1086)</f>
        <v xml:space="preserve">  </v>
      </c>
      <c r="C1087" s="50"/>
      <c r="D1087" s="51"/>
      <c r="E1087" s="49" t="str">
        <f>IFERROR(VLOOKUP(D1087,'taxonomy map'!$A$1:$B$171,2,FALSE),"")</f>
        <v/>
      </c>
      <c r="F1087" s="49" t="str">
        <f>IFERROR(VLOOKUP(E1087,'Condensed Specialty Crosswalk'!$A$2:$C$182,2,FALSE),"")</f>
        <v/>
      </c>
      <c r="G1087" s="49" t="str">
        <f>IFERROR(VLOOKUP(E1087,'Condensed Specialty Crosswalk'!$A$2:$C$182,3,FALSE),"")</f>
        <v/>
      </c>
    </row>
    <row r="1088" spans="1:7" ht="15" customHeight="1">
      <c r="A1088" s="49"/>
      <c r="B1088" s="49" t="str">
        <f>CONCATENATE(Reports!E1087," ",Reports!F1087," ",Reports!G1087)</f>
        <v xml:space="preserve">  </v>
      </c>
      <c r="C1088" s="50"/>
      <c r="D1088" s="51"/>
      <c r="E1088" s="49" t="str">
        <f>IFERROR(VLOOKUP(D1088,'taxonomy map'!$A$1:$B$171,2,FALSE),"")</f>
        <v/>
      </c>
      <c r="F1088" s="49" t="str">
        <f>IFERROR(VLOOKUP(E1088,'Condensed Specialty Crosswalk'!$A$2:$C$182,2,FALSE),"")</f>
        <v/>
      </c>
      <c r="G1088" s="49" t="str">
        <f>IFERROR(VLOOKUP(E1088,'Condensed Specialty Crosswalk'!$A$2:$C$182,3,FALSE),"")</f>
        <v/>
      </c>
    </row>
    <row r="1089" spans="1:7" ht="15" customHeight="1">
      <c r="A1089" s="49"/>
      <c r="B1089" s="49" t="str">
        <f>CONCATENATE(Reports!E1088," ",Reports!F1088," ",Reports!G1088)</f>
        <v xml:space="preserve">  </v>
      </c>
      <c r="C1089" s="50"/>
      <c r="D1089" s="51"/>
      <c r="E1089" s="49" t="str">
        <f>IFERROR(VLOOKUP(D1089,'taxonomy map'!$A$1:$B$171,2,FALSE),"")</f>
        <v/>
      </c>
      <c r="F1089" s="49" t="str">
        <f>IFERROR(VLOOKUP(E1089,'Condensed Specialty Crosswalk'!$A$2:$C$182,2,FALSE),"")</f>
        <v/>
      </c>
      <c r="G1089" s="49" t="str">
        <f>IFERROR(VLOOKUP(E1089,'Condensed Specialty Crosswalk'!$A$2:$C$182,3,FALSE),"")</f>
        <v/>
      </c>
    </row>
    <row r="1090" spans="1:7" ht="15" customHeight="1">
      <c r="A1090" s="49"/>
      <c r="B1090" s="49" t="str">
        <f>CONCATENATE(Reports!E1089," ",Reports!F1089," ",Reports!G1089)</f>
        <v xml:space="preserve">  </v>
      </c>
      <c r="C1090" s="50"/>
      <c r="D1090" s="51"/>
      <c r="E1090" s="49" t="str">
        <f>IFERROR(VLOOKUP(D1090,'taxonomy map'!$A$1:$B$171,2,FALSE),"")</f>
        <v/>
      </c>
      <c r="F1090" s="49" t="str">
        <f>IFERROR(VLOOKUP(E1090,'Condensed Specialty Crosswalk'!$A$2:$C$182,2,FALSE),"")</f>
        <v/>
      </c>
      <c r="G1090" s="49" t="str">
        <f>IFERROR(VLOOKUP(E1090,'Condensed Specialty Crosswalk'!$A$2:$C$182,3,FALSE),"")</f>
        <v/>
      </c>
    </row>
    <row r="1091" spans="1:7" ht="15" customHeight="1">
      <c r="A1091" s="49"/>
      <c r="B1091" s="49" t="str">
        <f>CONCATENATE(Reports!E1090," ",Reports!F1090," ",Reports!G1090)</f>
        <v xml:space="preserve">  </v>
      </c>
      <c r="C1091" s="50"/>
      <c r="D1091" s="51"/>
      <c r="E1091" s="49" t="str">
        <f>IFERROR(VLOOKUP(D1091,'taxonomy map'!$A$1:$B$171,2,FALSE),"")</f>
        <v/>
      </c>
      <c r="F1091" s="49" t="str">
        <f>IFERROR(VLOOKUP(E1091,'Condensed Specialty Crosswalk'!$A$2:$C$182,2,FALSE),"")</f>
        <v/>
      </c>
      <c r="G1091" s="49" t="str">
        <f>IFERROR(VLOOKUP(E1091,'Condensed Specialty Crosswalk'!$A$2:$C$182,3,FALSE),"")</f>
        <v/>
      </c>
    </row>
    <row r="1092" spans="1:7" ht="15" customHeight="1">
      <c r="A1092" s="49"/>
      <c r="B1092" s="49" t="str">
        <f>CONCATENATE(Reports!E1091," ",Reports!F1091," ",Reports!G1091)</f>
        <v xml:space="preserve">  </v>
      </c>
      <c r="C1092" s="50"/>
      <c r="D1092" s="51"/>
      <c r="E1092" s="49" t="str">
        <f>IFERROR(VLOOKUP(D1092,'taxonomy map'!$A$1:$B$171,2,FALSE),"")</f>
        <v/>
      </c>
      <c r="F1092" s="49" t="str">
        <f>IFERROR(VLOOKUP(E1092,'Condensed Specialty Crosswalk'!$A$2:$C$182,2,FALSE),"")</f>
        <v/>
      </c>
      <c r="G1092" s="49" t="str">
        <f>IFERROR(VLOOKUP(E1092,'Condensed Specialty Crosswalk'!$A$2:$C$182,3,FALSE),"")</f>
        <v/>
      </c>
    </row>
    <row r="1093" spans="1:7" ht="15" customHeight="1">
      <c r="A1093" s="49"/>
      <c r="B1093" s="49" t="str">
        <f>CONCATENATE(Reports!E1092," ",Reports!F1092," ",Reports!G1092)</f>
        <v xml:space="preserve">  </v>
      </c>
      <c r="C1093" s="50"/>
      <c r="D1093" s="51"/>
      <c r="E1093" s="49" t="str">
        <f>IFERROR(VLOOKUP(D1093,'taxonomy map'!$A$1:$B$171,2,FALSE),"")</f>
        <v/>
      </c>
      <c r="F1093" s="49" t="str">
        <f>IFERROR(VLOOKUP(E1093,'Condensed Specialty Crosswalk'!$A$2:$C$182,2,FALSE),"")</f>
        <v/>
      </c>
      <c r="G1093" s="49" t="str">
        <f>IFERROR(VLOOKUP(E1093,'Condensed Specialty Crosswalk'!$A$2:$C$182,3,FALSE),"")</f>
        <v/>
      </c>
    </row>
    <row r="1094" spans="1:7" ht="15" customHeight="1">
      <c r="A1094" s="49"/>
      <c r="B1094" s="49" t="str">
        <f>CONCATENATE(Reports!E1093," ",Reports!F1093," ",Reports!G1093)</f>
        <v xml:space="preserve">  </v>
      </c>
      <c r="C1094" s="50"/>
      <c r="D1094" s="51"/>
      <c r="E1094" s="49" t="str">
        <f>IFERROR(VLOOKUP(D1094,'taxonomy map'!$A$1:$B$171,2,FALSE),"")</f>
        <v/>
      </c>
      <c r="F1094" s="49" t="str">
        <f>IFERROR(VLOOKUP(E1094,'Condensed Specialty Crosswalk'!$A$2:$C$182,2,FALSE),"")</f>
        <v/>
      </c>
      <c r="G1094" s="49" t="str">
        <f>IFERROR(VLOOKUP(E1094,'Condensed Specialty Crosswalk'!$A$2:$C$182,3,FALSE),"")</f>
        <v/>
      </c>
    </row>
    <row r="1095" spans="1:7" ht="15" customHeight="1">
      <c r="A1095" s="49"/>
      <c r="B1095" s="49" t="str">
        <f>CONCATENATE(Reports!E1094," ",Reports!F1094," ",Reports!G1094)</f>
        <v xml:space="preserve">  </v>
      </c>
      <c r="C1095" s="50"/>
      <c r="D1095" s="51"/>
      <c r="E1095" s="49" t="str">
        <f>IFERROR(VLOOKUP(D1095,'taxonomy map'!$A$1:$B$171,2,FALSE),"")</f>
        <v/>
      </c>
      <c r="F1095" s="49" t="str">
        <f>IFERROR(VLOOKUP(E1095,'Condensed Specialty Crosswalk'!$A$2:$C$182,2,FALSE),"")</f>
        <v/>
      </c>
      <c r="G1095" s="49" t="str">
        <f>IFERROR(VLOOKUP(E1095,'Condensed Specialty Crosswalk'!$A$2:$C$182,3,FALSE),"")</f>
        <v/>
      </c>
    </row>
    <row r="1096" spans="1:7" ht="15" customHeight="1">
      <c r="A1096" s="49"/>
      <c r="B1096" s="49" t="str">
        <f>CONCATENATE(Reports!E1095," ",Reports!F1095," ",Reports!G1095)</f>
        <v xml:space="preserve">  </v>
      </c>
      <c r="C1096" s="50"/>
      <c r="D1096" s="51"/>
      <c r="E1096" s="49" t="str">
        <f>IFERROR(VLOOKUP(D1096,'taxonomy map'!$A$1:$B$171,2,FALSE),"")</f>
        <v/>
      </c>
      <c r="F1096" s="49" t="str">
        <f>IFERROR(VLOOKUP(E1096,'Condensed Specialty Crosswalk'!$A$2:$C$182,2,FALSE),"")</f>
        <v/>
      </c>
      <c r="G1096" s="49" t="str">
        <f>IFERROR(VLOOKUP(E1096,'Condensed Specialty Crosswalk'!$A$2:$C$182,3,FALSE),"")</f>
        <v/>
      </c>
    </row>
    <row r="1097" spans="1:7" ht="15" customHeight="1">
      <c r="A1097" s="49"/>
      <c r="B1097" s="49" t="str">
        <f>CONCATENATE(Reports!E1096," ",Reports!F1096," ",Reports!G1096)</f>
        <v xml:space="preserve">  </v>
      </c>
      <c r="C1097" s="50"/>
      <c r="D1097" s="51"/>
      <c r="E1097" s="49" t="str">
        <f>IFERROR(VLOOKUP(D1097,'taxonomy map'!$A$1:$B$171,2,FALSE),"")</f>
        <v/>
      </c>
      <c r="F1097" s="49" t="str">
        <f>IFERROR(VLOOKUP(E1097,'Condensed Specialty Crosswalk'!$A$2:$C$182,2,FALSE),"")</f>
        <v/>
      </c>
      <c r="G1097" s="49" t="str">
        <f>IFERROR(VLOOKUP(E1097,'Condensed Specialty Crosswalk'!$A$2:$C$182,3,FALSE),"")</f>
        <v/>
      </c>
    </row>
    <row r="1098" spans="1:7" ht="15" customHeight="1">
      <c r="A1098" s="49"/>
      <c r="B1098" s="49" t="str">
        <f>CONCATENATE(Reports!E1097," ",Reports!F1097," ",Reports!G1097)</f>
        <v xml:space="preserve">  </v>
      </c>
      <c r="C1098" s="50"/>
      <c r="D1098" s="51"/>
      <c r="E1098" s="49" t="str">
        <f>IFERROR(VLOOKUP(D1098,'taxonomy map'!$A$1:$B$171,2,FALSE),"")</f>
        <v/>
      </c>
      <c r="F1098" s="49" t="str">
        <f>IFERROR(VLOOKUP(E1098,'Condensed Specialty Crosswalk'!$A$2:$C$182,2,FALSE),"")</f>
        <v/>
      </c>
      <c r="G1098" s="49" t="str">
        <f>IFERROR(VLOOKUP(E1098,'Condensed Specialty Crosswalk'!$A$2:$C$182,3,FALSE),"")</f>
        <v/>
      </c>
    </row>
    <row r="1099" spans="1:7" ht="15" customHeight="1">
      <c r="A1099" s="49"/>
      <c r="B1099" s="49" t="str">
        <f>CONCATENATE(Reports!E1098," ",Reports!F1098," ",Reports!G1098)</f>
        <v xml:space="preserve">  </v>
      </c>
      <c r="C1099" s="50"/>
      <c r="D1099" s="51"/>
      <c r="E1099" s="49" t="str">
        <f>IFERROR(VLOOKUP(D1099,'taxonomy map'!$A$1:$B$171,2,FALSE),"")</f>
        <v/>
      </c>
      <c r="F1099" s="49" t="str">
        <f>IFERROR(VLOOKUP(E1099,'Condensed Specialty Crosswalk'!$A$2:$C$182,2,FALSE),"")</f>
        <v/>
      </c>
      <c r="G1099" s="49" t="str">
        <f>IFERROR(VLOOKUP(E1099,'Condensed Specialty Crosswalk'!$A$2:$C$182,3,FALSE),"")</f>
        <v/>
      </c>
    </row>
    <row r="1100" spans="1:7" ht="15" customHeight="1">
      <c r="A1100" s="49"/>
      <c r="B1100" s="49" t="str">
        <f>CONCATENATE(Reports!E1099," ",Reports!F1099," ",Reports!G1099)</f>
        <v xml:space="preserve">  </v>
      </c>
      <c r="C1100" s="50"/>
      <c r="D1100" s="51"/>
      <c r="E1100" s="49" t="str">
        <f>IFERROR(VLOOKUP(D1100,'taxonomy map'!$A$1:$B$171,2,FALSE),"")</f>
        <v/>
      </c>
      <c r="F1100" s="49" t="str">
        <f>IFERROR(VLOOKUP(E1100,'Condensed Specialty Crosswalk'!$A$2:$C$182,2,FALSE),"")</f>
        <v/>
      </c>
      <c r="G1100" s="49" t="str">
        <f>IFERROR(VLOOKUP(E1100,'Condensed Specialty Crosswalk'!$A$2:$C$182,3,FALSE),"")</f>
        <v/>
      </c>
    </row>
    <row r="1101" spans="1:7" ht="15" customHeight="1">
      <c r="A1101" s="49"/>
      <c r="B1101" s="49" t="str">
        <f>CONCATENATE(Reports!E1100," ",Reports!F1100," ",Reports!G1100)</f>
        <v xml:space="preserve">  </v>
      </c>
      <c r="C1101" s="50"/>
      <c r="D1101" s="51"/>
      <c r="E1101" s="49" t="str">
        <f>IFERROR(VLOOKUP(D1101,'taxonomy map'!$A$1:$B$171,2,FALSE),"")</f>
        <v/>
      </c>
      <c r="F1101" s="49" t="str">
        <f>IFERROR(VLOOKUP(E1101,'Condensed Specialty Crosswalk'!$A$2:$C$182,2,FALSE),"")</f>
        <v/>
      </c>
      <c r="G1101" s="49" t="str">
        <f>IFERROR(VLOOKUP(E1101,'Condensed Specialty Crosswalk'!$A$2:$C$182,3,FALSE),"")</f>
        <v/>
      </c>
    </row>
    <row r="1102" spans="1:7" ht="15" customHeight="1">
      <c r="A1102" s="49"/>
      <c r="B1102" s="49" t="str">
        <f>CONCATENATE(Reports!E1101," ",Reports!F1101," ",Reports!G1101)</f>
        <v xml:space="preserve">  </v>
      </c>
      <c r="C1102" s="50"/>
      <c r="D1102" s="51"/>
      <c r="E1102" s="49" t="str">
        <f>IFERROR(VLOOKUP(D1102,'taxonomy map'!$A$1:$B$171,2,FALSE),"")</f>
        <v/>
      </c>
      <c r="F1102" s="49" t="str">
        <f>IFERROR(VLOOKUP(E1102,'Condensed Specialty Crosswalk'!$A$2:$C$182,2,FALSE),"")</f>
        <v/>
      </c>
      <c r="G1102" s="49" t="str">
        <f>IFERROR(VLOOKUP(E1102,'Condensed Specialty Crosswalk'!$A$2:$C$182,3,FALSE),"")</f>
        <v/>
      </c>
    </row>
    <row r="1103" spans="1:7" ht="15" customHeight="1">
      <c r="A1103" s="49"/>
      <c r="B1103" s="49" t="str">
        <f>CONCATENATE(Reports!E1102," ",Reports!F1102," ",Reports!G1102)</f>
        <v xml:space="preserve">  </v>
      </c>
      <c r="C1103" s="50"/>
      <c r="D1103" s="51"/>
      <c r="E1103" s="49" t="str">
        <f>IFERROR(VLOOKUP(D1103,'taxonomy map'!$A$1:$B$171,2,FALSE),"")</f>
        <v/>
      </c>
      <c r="F1103" s="49" t="str">
        <f>IFERROR(VLOOKUP(E1103,'Condensed Specialty Crosswalk'!$A$2:$C$182,2,FALSE),"")</f>
        <v/>
      </c>
      <c r="G1103" s="49" t="str">
        <f>IFERROR(VLOOKUP(E1103,'Condensed Specialty Crosswalk'!$A$2:$C$182,3,FALSE),"")</f>
        <v/>
      </c>
    </row>
    <row r="1104" spans="1:7" ht="15" customHeight="1">
      <c r="A1104" s="49"/>
      <c r="B1104" s="49" t="str">
        <f>CONCATENATE(Reports!E1103," ",Reports!F1103," ",Reports!G1103)</f>
        <v xml:space="preserve">  </v>
      </c>
      <c r="C1104" s="50"/>
      <c r="D1104" s="51"/>
      <c r="E1104" s="49" t="str">
        <f>IFERROR(VLOOKUP(D1104,'taxonomy map'!$A$1:$B$171,2,FALSE),"")</f>
        <v/>
      </c>
      <c r="F1104" s="49" t="str">
        <f>IFERROR(VLOOKUP(E1104,'Condensed Specialty Crosswalk'!$A$2:$C$182,2,FALSE),"")</f>
        <v/>
      </c>
      <c r="G1104" s="49" t="str">
        <f>IFERROR(VLOOKUP(E1104,'Condensed Specialty Crosswalk'!$A$2:$C$182,3,FALSE),"")</f>
        <v/>
      </c>
    </row>
    <row r="1105" spans="1:7" ht="15" customHeight="1">
      <c r="A1105" s="49"/>
      <c r="B1105" s="49" t="str">
        <f>CONCATENATE(Reports!E1104," ",Reports!F1104," ",Reports!G1104)</f>
        <v xml:space="preserve">  </v>
      </c>
      <c r="C1105" s="50"/>
      <c r="D1105" s="51"/>
      <c r="E1105" s="49" t="str">
        <f>IFERROR(VLOOKUP(D1105,'taxonomy map'!$A$1:$B$171,2,FALSE),"")</f>
        <v/>
      </c>
      <c r="F1105" s="49" t="str">
        <f>IFERROR(VLOOKUP(E1105,'Condensed Specialty Crosswalk'!$A$2:$C$182,2,FALSE),"")</f>
        <v/>
      </c>
      <c r="G1105" s="49" t="str">
        <f>IFERROR(VLOOKUP(E1105,'Condensed Specialty Crosswalk'!$A$2:$C$182,3,FALSE),"")</f>
        <v/>
      </c>
    </row>
    <row r="1106" spans="1:7" ht="15" customHeight="1">
      <c r="A1106" s="49"/>
      <c r="B1106" s="49" t="str">
        <f>CONCATENATE(Reports!E1105," ",Reports!F1105," ",Reports!G1105)</f>
        <v xml:space="preserve">  </v>
      </c>
      <c r="C1106" s="50"/>
      <c r="D1106" s="51"/>
      <c r="E1106" s="49" t="str">
        <f>IFERROR(VLOOKUP(D1106,'taxonomy map'!$A$1:$B$171,2,FALSE),"")</f>
        <v/>
      </c>
      <c r="F1106" s="49" t="str">
        <f>IFERROR(VLOOKUP(E1106,'Condensed Specialty Crosswalk'!$A$2:$C$182,2,FALSE),"")</f>
        <v/>
      </c>
      <c r="G1106" s="49" t="str">
        <f>IFERROR(VLOOKUP(E1106,'Condensed Specialty Crosswalk'!$A$2:$C$182,3,FALSE),"")</f>
        <v/>
      </c>
    </row>
    <row r="1107" spans="1:7" ht="15" customHeight="1">
      <c r="A1107" s="49"/>
      <c r="B1107" s="49" t="str">
        <f>CONCATENATE(Reports!E1106," ",Reports!F1106," ",Reports!G1106)</f>
        <v xml:space="preserve">  </v>
      </c>
      <c r="C1107" s="50"/>
      <c r="D1107" s="51"/>
      <c r="E1107" s="49" t="str">
        <f>IFERROR(VLOOKUP(D1107,'taxonomy map'!$A$1:$B$171,2,FALSE),"")</f>
        <v/>
      </c>
      <c r="F1107" s="49" t="str">
        <f>IFERROR(VLOOKUP(E1107,'Condensed Specialty Crosswalk'!$A$2:$C$182,2,FALSE),"")</f>
        <v/>
      </c>
      <c r="G1107" s="49" t="str">
        <f>IFERROR(VLOOKUP(E1107,'Condensed Specialty Crosswalk'!$A$2:$C$182,3,FALSE),"")</f>
        <v/>
      </c>
    </row>
    <row r="1108" spans="1:7" ht="15" customHeight="1">
      <c r="A1108" s="49"/>
      <c r="B1108" s="49" t="str">
        <f>CONCATENATE(Reports!E1107," ",Reports!F1107," ",Reports!G1107)</f>
        <v xml:space="preserve">  </v>
      </c>
      <c r="C1108" s="50"/>
      <c r="D1108" s="51"/>
      <c r="E1108" s="49" t="str">
        <f>IFERROR(VLOOKUP(D1108,'taxonomy map'!$A$1:$B$171,2,FALSE),"")</f>
        <v/>
      </c>
      <c r="F1108" s="49" t="str">
        <f>IFERROR(VLOOKUP(E1108,'Condensed Specialty Crosswalk'!$A$2:$C$182,2,FALSE),"")</f>
        <v/>
      </c>
      <c r="G1108" s="49" t="str">
        <f>IFERROR(VLOOKUP(E1108,'Condensed Specialty Crosswalk'!$A$2:$C$182,3,FALSE),"")</f>
        <v/>
      </c>
    </row>
    <row r="1109" spans="1:7" ht="15" customHeight="1">
      <c r="A1109" s="49"/>
      <c r="B1109" s="49" t="str">
        <f>CONCATENATE(Reports!E1108," ",Reports!F1108," ",Reports!G1108)</f>
        <v xml:space="preserve">  </v>
      </c>
      <c r="C1109" s="50"/>
      <c r="D1109" s="51"/>
      <c r="E1109" s="49" t="str">
        <f>IFERROR(VLOOKUP(D1109,'taxonomy map'!$A$1:$B$171,2,FALSE),"")</f>
        <v/>
      </c>
      <c r="F1109" s="49" t="str">
        <f>IFERROR(VLOOKUP(E1109,'Condensed Specialty Crosswalk'!$A$2:$C$182,2,FALSE),"")</f>
        <v/>
      </c>
      <c r="G1109" s="49" t="str">
        <f>IFERROR(VLOOKUP(E1109,'Condensed Specialty Crosswalk'!$A$2:$C$182,3,FALSE),"")</f>
        <v/>
      </c>
    </row>
    <row r="1110" spans="1:7" ht="15" customHeight="1">
      <c r="A1110" s="49"/>
      <c r="B1110" s="49" t="str">
        <f>CONCATENATE(Reports!E1109," ",Reports!F1109," ",Reports!G1109)</f>
        <v xml:space="preserve">  </v>
      </c>
      <c r="C1110" s="50"/>
      <c r="D1110" s="51"/>
      <c r="E1110" s="49" t="str">
        <f>IFERROR(VLOOKUP(D1110,'taxonomy map'!$A$1:$B$171,2,FALSE),"")</f>
        <v/>
      </c>
      <c r="F1110" s="49" t="str">
        <f>IFERROR(VLOOKUP(E1110,'Condensed Specialty Crosswalk'!$A$2:$C$182,2,FALSE),"")</f>
        <v/>
      </c>
      <c r="G1110" s="49" t="str">
        <f>IFERROR(VLOOKUP(E1110,'Condensed Specialty Crosswalk'!$A$2:$C$182,3,FALSE),"")</f>
        <v/>
      </c>
    </row>
    <row r="1111" spans="1:7" ht="15" customHeight="1">
      <c r="A1111" s="49"/>
      <c r="B1111" s="49" t="str">
        <f>CONCATENATE(Reports!E1110," ",Reports!F1110," ",Reports!G1110)</f>
        <v xml:space="preserve">  </v>
      </c>
      <c r="C1111" s="50"/>
      <c r="D1111" s="51"/>
      <c r="E1111" s="49" t="str">
        <f>IFERROR(VLOOKUP(D1111,'taxonomy map'!$A$1:$B$171,2,FALSE),"")</f>
        <v/>
      </c>
      <c r="F1111" s="49" t="str">
        <f>IFERROR(VLOOKUP(E1111,'Condensed Specialty Crosswalk'!$A$2:$C$182,2,FALSE),"")</f>
        <v/>
      </c>
      <c r="G1111" s="49" t="str">
        <f>IFERROR(VLOOKUP(E1111,'Condensed Specialty Crosswalk'!$A$2:$C$182,3,FALSE),"")</f>
        <v/>
      </c>
    </row>
    <row r="1112" spans="1:7" ht="15" customHeight="1">
      <c r="A1112" s="49"/>
      <c r="B1112" s="49" t="str">
        <f>CONCATENATE(Reports!E1111," ",Reports!F1111," ",Reports!G1111)</f>
        <v xml:space="preserve">  </v>
      </c>
      <c r="C1112" s="50"/>
      <c r="D1112" s="51"/>
      <c r="E1112" s="49" t="str">
        <f>IFERROR(VLOOKUP(D1112,'taxonomy map'!$A$1:$B$171,2,FALSE),"")</f>
        <v/>
      </c>
      <c r="F1112" s="49" t="str">
        <f>IFERROR(VLOOKUP(E1112,'Condensed Specialty Crosswalk'!$A$2:$C$182,2,FALSE),"")</f>
        <v/>
      </c>
      <c r="G1112" s="49" t="str">
        <f>IFERROR(VLOOKUP(E1112,'Condensed Specialty Crosswalk'!$A$2:$C$182,3,FALSE),"")</f>
        <v/>
      </c>
    </row>
    <row r="1113" spans="1:7" ht="15" customHeight="1">
      <c r="A1113" s="49"/>
      <c r="B1113" s="49" t="str">
        <f>CONCATENATE(Reports!E1112," ",Reports!F1112," ",Reports!G1112)</f>
        <v xml:space="preserve">  </v>
      </c>
      <c r="C1113" s="50"/>
      <c r="D1113" s="51"/>
      <c r="E1113" s="49" t="str">
        <f>IFERROR(VLOOKUP(D1113,'taxonomy map'!$A$1:$B$171,2,FALSE),"")</f>
        <v/>
      </c>
      <c r="F1113" s="49" t="str">
        <f>IFERROR(VLOOKUP(E1113,'Condensed Specialty Crosswalk'!$A$2:$C$182,2,FALSE),"")</f>
        <v/>
      </c>
      <c r="G1113" s="49" t="str">
        <f>IFERROR(VLOOKUP(E1113,'Condensed Specialty Crosswalk'!$A$2:$C$182,3,FALSE),"")</f>
        <v/>
      </c>
    </row>
    <row r="1114" spans="1:7" ht="15" customHeight="1">
      <c r="A1114" s="49"/>
      <c r="B1114" s="49" t="str">
        <f>CONCATENATE(Reports!E1113," ",Reports!F1113," ",Reports!G1113)</f>
        <v xml:space="preserve">  </v>
      </c>
      <c r="C1114" s="50"/>
      <c r="D1114" s="51"/>
      <c r="E1114" s="49" t="str">
        <f>IFERROR(VLOOKUP(D1114,'taxonomy map'!$A$1:$B$171,2,FALSE),"")</f>
        <v/>
      </c>
      <c r="F1114" s="49" t="str">
        <f>IFERROR(VLOOKUP(E1114,'Condensed Specialty Crosswalk'!$A$2:$C$182,2,FALSE),"")</f>
        <v/>
      </c>
      <c r="G1114" s="49" t="str">
        <f>IFERROR(VLOOKUP(E1114,'Condensed Specialty Crosswalk'!$A$2:$C$182,3,FALSE),"")</f>
        <v/>
      </c>
    </row>
    <row r="1115" spans="1:7" ht="15" customHeight="1">
      <c r="A1115" s="49"/>
      <c r="B1115" s="49" t="str">
        <f>CONCATENATE(Reports!E1114," ",Reports!F1114," ",Reports!G1114)</f>
        <v xml:space="preserve">  </v>
      </c>
      <c r="C1115" s="50"/>
      <c r="D1115" s="51"/>
      <c r="E1115" s="49" t="str">
        <f>IFERROR(VLOOKUP(D1115,'taxonomy map'!$A$1:$B$171,2,FALSE),"")</f>
        <v/>
      </c>
      <c r="F1115" s="49" t="str">
        <f>IFERROR(VLOOKUP(E1115,'Condensed Specialty Crosswalk'!$A$2:$C$182,2,FALSE),"")</f>
        <v/>
      </c>
      <c r="G1115" s="49" t="str">
        <f>IFERROR(VLOOKUP(E1115,'Condensed Specialty Crosswalk'!$A$2:$C$182,3,FALSE),"")</f>
        <v/>
      </c>
    </row>
    <row r="1116" spans="1:7" ht="15" customHeight="1">
      <c r="A1116" s="49"/>
      <c r="B1116" s="49" t="str">
        <f>CONCATENATE(Reports!E1115," ",Reports!F1115," ",Reports!G1115)</f>
        <v xml:space="preserve">  </v>
      </c>
      <c r="C1116" s="50"/>
      <c r="D1116" s="51"/>
      <c r="E1116" s="49" t="str">
        <f>IFERROR(VLOOKUP(D1116,'taxonomy map'!$A$1:$B$171,2,FALSE),"")</f>
        <v/>
      </c>
      <c r="F1116" s="49" t="str">
        <f>IFERROR(VLOOKUP(E1116,'Condensed Specialty Crosswalk'!$A$2:$C$182,2,FALSE),"")</f>
        <v/>
      </c>
      <c r="G1116" s="49" t="str">
        <f>IFERROR(VLOOKUP(E1116,'Condensed Specialty Crosswalk'!$A$2:$C$182,3,FALSE),"")</f>
        <v/>
      </c>
    </row>
    <row r="1117" spans="1:7" ht="15" customHeight="1">
      <c r="A1117" s="49"/>
      <c r="B1117" s="49" t="str">
        <f>CONCATENATE(Reports!E1116," ",Reports!F1116," ",Reports!G1116)</f>
        <v xml:space="preserve">  </v>
      </c>
      <c r="C1117" s="50"/>
      <c r="D1117" s="51"/>
      <c r="E1117" s="49" t="str">
        <f>IFERROR(VLOOKUP(D1117,'taxonomy map'!$A$1:$B$171,2,FALSE),"")</f>
        <v/>
      </c>
      <c r="F1117" s="49" t="str">
        <f>IFERROR(VLOOKUP(E1117,'Condensed Specialty Crosswalk'!$A$2:$C$182,2,FALSE),"")</f>
        <v/>
      </c>
      <c r="G1117" s="49" t="str">
        <f>IFERROR(VLOOKUP(E1117,'Condensed Specialty Crosswalk'!$A$2:$C$182,3,FALSE),"")</f>
        <v/>
      </c>
    </row>
    <row r="1118" spans="1:7" ht="15" customHeight="1">
      <c r="A1118" s="49"/>
      <c r="B1118" s="49" t="str">
        <f>CONCATENATE(Reports!E1117," ",Reports!F1117," ",Reports!G1117)</f>
        <v xml:space="preserve">  </v>
      </c>
      <c r="C1118" s="50"/>
      <c r="D1118" s="51"/>
      <c r="E1118" s="49" t="str">
        <f>IFERROR(VLOOKUP(D1118,'taxonomy map'!$A$1:$B$171,2,FALSE),"")</f>
        <v/>
      </c>
      <c r="F1118" s="49" t="str">
        <f>IFERROR(VLOOKUP(E1118,'Condensed Specialty Crosswalk'!$A$2:$C$182,2,FALSE),"")</f>
        <v/>
      </c>
      <c r="G1118" s="49" t="str">
        <f>IFERROR(VLOOKUP(E1118,'Condensed Specialty Crosswalk'!$A$2:$C$182,3,FALSE),"")</f>
        <v/>
      </c>
    </row>
    <row r="1119" spans="1:7" ht="15" customHeight="1">
      <c r="A1119" s="49"/>
      <c r="B1119" s="49" t="str">
        <f>CONCATENATE(Reports!E1118," ",Reports!F1118," ",Reports!G1118)</f>
        <v xml:space="preserve">  </v>
      </c>
      <c r="C1119" s="50"/>
      <c r="D1119" s="51"/>
      <c r="E1119" s="49" t="str">
        <f>IFERROR(VLOOKUP(D1119,'taxonomy map'!$A$1:$B$171,2,FALSE),"")</f>
        <v/>
      </c>
      <c r="F1119" s="49" t="str">
        <f>IFERROR(VLOOKUP(E1119,'Condensed Specialty Crosswalk'!$A$2:$C$182,2,FALSE),"")</f>
        <v/>
      </c>
      <c r="G1119" s="49" t="str">
        <f>IFERROR(VLOOKUP(E1119,'Condensed Specialty Crosswalk'!$A$2:$C$182,3,FALSE),"")</f>
        <v/>
      </c>
    </row>
    <row r="1120" spans="1:7" ht="15" customHeight="1">
      <c r="A1120" s="49"/>
      <c r="B1120" s="49" t="str">
        <f>CONCATENATE(Reports!E1119," ",Reports!F1119," ",Reports!G1119)</f>
        <v xml:space="preserve">  </v>
      </c>
      <c r="C1120" s="50"/>
      <c r="D1120" s="51"/>
      <c r="E1120" s="49" t="str">
        <f>IFERROR(VLOOKUP(D1120,'taxonomy map'!$A$1:$B$171,2,FALSE),"")</f>
        <v/>
      </c>
      <c r="F1120" s="49" t="str">
        <f>IFERROR(VLOOKUP(E1120,'Condensed Specialty Crosswalk'!$A$2:$C$182,2,FALSE),"")</f>
        <v/>
      </c>
      <c r="G1120" s="49" t="str">
        <f>IFERROR(VLOOKUP(E1120,'Condensed Specialty Crosswalk'!$A$2:$C$182,3,FALSE),"")</f>
        <v/>
      </c>
    </row>
    <row r="1121" spans="1:7" ht="15" customHeight="1">
      <c r="A1121" s="49"/>
      <c r="B1121" s="49" t="str">
        <f>CONCATENATE(Reports!E1120," ",Reports!F1120," ",Reports!G1120)</f>
        <v xml:space="preserve">  </v>
      </c>
      <c r="C1121" s="50"/>
      <c r="D1121" s="51"/>
      <c r="E1121" s="49" t="str">
        <f>IFERROR(VLOOKUP(D1121,'taxonomy map'!$A$1:$B$171,2,FALSE),"")</f>
        <v/>
      </c>
      <c r="F1121" s="49" t="str">
        <f>IFERROR(VLOOKUP(E1121,'Condensed Specialty Crosswalk'!$A$2:$C$182,2,FALSE),"")</f>
        <v/>
      </c>
      <c r="G1121" s="49" t="str">
        <f>IFERROR(VLOOKUP(E1121,'Condensed Specialty Crosswalk'!$A$2:$C$182,3,FALSE),"")</f>
        <v/>
      </c>
    </row>
    <row r="1122" spans="1:7" ht="15" customHeight="1">
      <c r="A1122" s="49"/>
      <c r="B1122" s="49" t="str">
        <f>CONCATENATE(Reports!E1121," ",Reports!F1121," ",Reports!G1121)</f>
        <v xml:space="preserve">  </v>
      </c>
      <c r="C1122" s="50"/>
      <c r="D1122" s="51"/>
      <c r="E1122" s="49" t="str">
        <f>IFERROR(VLOOKUP(D1122,'taxonomy map'!$A$1:$B$171,2,FALSE),"")</f>
        <v/>
      </c>
      <c r="F1122" s="49" t="str">
        <f>IFERROR(VLOOKUP(E1122,'Condensed Specialty Crosswalk'!$A$2:$C$182,2,FALSE),"")</f>
        <v/>
      </c>
      <c r="G1122" s="49" t="str">
        <f>IFERROR(VLOOKUP(E1122,'Condensed Specialty Crosswalk'!$A$2:$C$182,3,FALSE),"")</f>
        <v/>
      </c>
    </row>
    <row r="1123" spans="1:7" ht="15" customHeight="1">
      <c r="A1123" s="49"/>
      <c r="B1123" s="49" t="str">
        <f>CONCATENATE(Reports!E1122," ",Reports!F1122," ",Reports!G1122)</f>
        <v xml:space="preserve">  </v>
      </c>
      <c r="C1123" s="50"/>
      <c r="D1123" s="51"/>
      <c r="E1123" s="49" t="str">
        <f>IFERROR(VLOOKUP(D1123,'taxonomy map'!$A$1:$B$171,2,FALSE),"")</f>
        <v/>
      </c>
      <c r="F1123" s="49" t="str">
        <f>IFERROR(VLOOKUP(E1123,'Condensed Specialty Crosswalk'!$A$2:$C$182,2,FALSE),"")</f>
        <v/>
      </c>
      <c r="G1123" s="49" t="str">
        <f>IFERROR(VLOOKUP(E1123,'Condensed Specialty Crosswalk'!$A$2:$C$182,3,FALSE),"")</f>
        <v/>
      </c>
    </row>
    <row r="1124" spans="1:7" ht="15" customHeight="1">
      <c r="A1124" s="49"/>
      <c r="B1124" s="49" t="str">
        <f>CONCATENATE(Reports!E1123," ",Reports!F1123," ",Reports!G1123)</f>
        <v xml:space="preserve">  </v>
      </c>
      <c r="C1124" s="50"/>
      <c r="D1124" s="51"/>
      <c r="E1124" s="49" t="str">
        <f>IFERROR(VLOOKUP(D1124,'taxonomy map'!$A$1:$B$171,2,FALSE),"")</f>
        <v/>
      </c>
      <c r="F1124" s="49" t="str">
        <f>IFERROR(VLOOKUP(E1124,'Condensed Specialty Crosswalk'!$A$2:$C$182,2,FALSE),"")</f>
        <v/>
      </c>
      <c r="G1124" s="49" t="str">
        <f>IFERROR(VLOOKUP(E1124,'Condensed Specialty Crosswalk'!$A$2:$C$182,3,FALSE),"")</f>
        <v/>
      </c>
    </row>
    <row r="1125" spans="1:7" ht="15" customHeight="1">
      <c r="A1125" s="49"/>
      <c r="B1125" s="49" t="str">
        <f>CONCATENATE(Reports!E1124," ",Reports!F1124," ",Reports!G1124)</f>
        <v xml:space="preserve">  </v>
      </c>
      <c r="C1125" s="50"/>
      <c r="D1125" s="51"/>
      <c r="E1125" s="49" t="str">
        <f>IFERROR(VLOOKUP(D1125,'taxonomy map'!$A$1:$B$171,2,FALSE),"")</f>
        <v/>
      </c>
      <c r="F1125" s="49" t="str">
        <f>IFERROR(VLOOKUP(E1125,'Condensed Specialty Crosswalk'!$A$2:$C$182,2,FALSE),"")</f>
        <v/>
      </c>
      <c r="G1125" s="49" t="str">
        <f>IFERROR(VLOOKUP(E1125,'Condensed Specialty Crosswalk'!$A$2:$C$182,3,FALSE),"")</f>
        <v/>
      </c>
    </row>
    <row r="1126" spans="1:7" ht="15" customHeight="1">
      <c r="A1126" s="49"/>
      <c r="B1126" s="49" t="str">
        <f>CONCATENATE(Reports!E1125," ",Reports!F1125," ",Reports!G1125)</f>
        <v xml:space="preserve">  </v>
      </c>
      <c r="C1126" s="50"/>
      <c r="D1126" s="51"/>
      <c r="E1126" s="49" t="str">
        <f>IFERROR(VLOOKUP(D1126,'taxonomy map'!$A$1:$B$171,2,FALSE),"")</f>
        <v/>
      </c>
      <c r="F1126" s="49" t="str">
        <f>IFERROR(VLOOKUP(E1126,'Condensed Specialty Crosswalk'!$A$2:$C$182,2,FALSE),"")</f>
        <v/>
      </c>
      <c r="G1126" s="49" t="str">
        <f>IFERROR(VLOOKUP(E1126,'Condensed Specialty Crosswalk'!$A$2:$C$182,3,FALSE),"")</f>
        <v/>
      </c>
    </row>
    <row r="1127" spans="1:7" ht="15" customHeight="1">
      <c r="A1127" s="49"/>
      <c r="B1127" s="49" t="str">
        <f>CONCATENATE(Reports!E1126," ",Reports!F1126," ",Reports!G1126)</f>
        <v xml:space="preserve">  </v>
      </c>
      <c r="C1127" s="50"/>
      <c r="D1127" s="51"/>
      <c r="E1127" s="49" t="str">
        <f>IFERROR(VLOOKUP(D1127,'taxonomy map'!$A$1:$B$171,2,FALSE),"")</f>
        <v/>
      </c>
      <c r="F1127" s="49" t="str">
        <f>IFERROR(VLOOKUP(E1127,'Condensed Specialty Crosswalk'!$A$2:$C$182,2,FALSE),"")</f>
        <v/>
      </c>
      <c r="G1127" s="49" t="str">
        <f>IFERROR(VLOOKUP(E1127,'Condensed Specialty Crosswalk'!$A$2:$C$182,3,FALSE),"")</f>
        <v/>
      </c>
    </row>
    <row r="1128" spans="1:7" ht="15" customHeight="1">
      <c r="A1128" s="49"/>
      <c r="B1128" s="49" t="str">
        <f>CONCATENATE(Reports!E1127," ",Reports!F1127," ",Reports!G1127)</f>
        <v xml:space="preserve">  </v>
      </c>
      <c r="C1128" s="50"/>
      <c r="D1128" s="51"/>
      <c r="E1128" s="49" t="str">
        <f>IFERROR(VLOOKUP(D1128,'taxonomy map'!$A$1:$B$171,2,FALSE),"")</f>
        <v/>
      </c>
      <c r="F1128" s="49" t="str">
        <f>IFERROR(VLOOKUP(E1128,'Condensed Specialty Crosswalk'!$A$2:$C$182,2,FALSE),"")</f>
        <v/>
      </c>
      <c r="G1128" s="49" t="str">
        <f>IFERROR(VLOOKUP(E1128,'Condensed Specialty Crosswalk'!$A$2:$C$182,3,FALSE),"")</f>
        <v/>
      </c>
    </row>
    <row r="1129" spans="1:7" ht="15" customHeight="1">
      <c r="A1129" s="49"/>
      <c r="B1129" s="49" t="str">
        <f>CONCATENATE(Reports!E1128," ",Reports!F1128," ",Reports!G1128)</f>
        <v xml:space="preserve">  </v>
      </c>
      <c r="C1129" s="50"/>
      <c r="D1129" s="51"/>
      <c r="E1129" s="49" t="str">
        <f>IFERROR(VLOOKUP(D1129,'taxonomy map'!$A$1:$B$171,2,FALSE),"")</f>
        <v/>
      </c>
      <c r="F1129" s="49" t="str">
        <f>IFERROR(VLOOKUP(E1129,'Condensed Specialty Crosswalk'!$A$2:$C$182,2,FALSE),"")</f>
        <v/>
      </c>
      <c r="G1129" s="49" t="str">
        <f>IFERROR(VLOOKUP(E1129,'Condensed Specialty Crosswalk'!$A$2:$C$182,3,FALSE),"")</f>
        <v/>
      </c>
    </row>
    <row r="1130" spans="1:7" ht="15" customHeight="1">
      <c r="A1130" s="49"/>
      <c r="B1130" s="49" t="str">
        <f>CONCATENATE(Reports!E1129," ",Reports!F1129," ",Reports!G1129)</f>
        <v xml:space="preserve">  </v>
      </c>
      <c r="C1130" s="50"/>
      <c r="D1130" s="51"/>
      <c r="E1130" s="49" t="str">
        <f>IFERROR(VLOOKUP(D1130,'taxonomy map'!$A$1:$B$171,2,FALSE),"")</f>
        <v/>
      </c>
      <c r="F1130" s="49" t="str">
        <f>IFERROR(VLOOKUP(E1130,'Condensed Specialty Crosswalk'!$A$2:$C$182,2,FALSE),"")</f>
        <v/>
      </c>
      <c r="G1130" s="49" t="str">
        <f>IFERROR(VLOOKUP(E1130,'Condensed Specialty Crosswalk'!$A$2:$C$182,3,FALSE),"")</f>
        <v/>
      </c>
    </row>
    <row r="1131" spans="1:7" ht="15" customHeight="1">
      <c r="A1131" s="49"/>
      <c r="B1131" s="49" t="str">
        <f>CONCATENATE(Reports!E1130," ",Reports!F1130," ",Reports!G1130)</f>
        <v xml:space="preserve">  </v>
      </c>
      <c r="C1131" s="50"/>
      <c r="D1131" s="51"/>
      <c r="E1131" s="49" t="str">
        <f>IFERROR(VLOOKUP(D1131,'taxonomy map'!$A$1:$B$171,2,FALSE),"")</f>
        <v/>
      </c>
      <c r="F1131" s="49" t="str">
        <f>IFERROR(VLOOKUP(E1131,'Condensed Specialty Crosswalk'!$A$2:$C$182,2,FALSE),"")</f>
        <v/>
      </c>
      <c r="G1131" s="49" t="str">
        <f>IFERROR(VLOOKUP(E1131,'Condensed Specialty Crosswalk'!$A$2:$C$182,3,FALSE),"")</f>
        <v/>
      </c>
    </row>
    <row r="1132" spans="1:7" ht="15" customHeight="1">
      <c r="A1132" s="49"/>
      <c r="B1132" s="49" t="str">
        <f>CONCATENATE(Reports!E1131," ",Reports!F1131," ",Reports!G1131)</f>
        <v xml:space="preserve">  </v>
      </c>
      <c r="C1132" s="50"/>
      <c r="D1132" s="51"/>
      <c r="E1132" s="49" t="str">
        <f>IFERROR(VLOOKUP(D1132,'taxonomy map'!$A$1:$B$171,2,FALSE),"")</f>
        <v/>
      </c>
      <c r="F1132" s="49" t="str">
        <f>IFERROR(VLOOKUP(E1132,'Condensed Specialty Crosswalk'!$A$2:$C$182,2,FALSE),"")</f>
        <v/>
      </c>
      <c r="G1132" s="49" t="str">
        <f>IFERROR(VLOOKUP(E1132,'Condensed Specialty Crosswalk'!$A$2:$C$182,3,FALSE),"")</f>
        <v/>
      </c>
    </row>
    <row r="1133" spans="1:7" ht="15" customHeight="1">
      <c r="A1133" s="49"/>
      <c r="B1133" s="49" t="str">
        <f>CONCATENATE(Reports!E1132," ",Reports!F1132," ",Reports!G1132)</f>
        <v xml:space="preserve">  </v>
      </c>
      <c r="C1133" s="50"/>
      <c r="D1133" s="51"/>
      <c r="E1133" s="49" t="str">
        <f>IFERROR(VLOOKUP(D1133,'taxonomy map'!$A$1:$B$171,2,FALSE),"")</f>
        <v/>
      </c>
      <c r="F1133" s="49" t="str">
        <f>IFERROR(VLOOKUP(E1133,'Condensed Specialty Crosswalk'!$A$2:$C$182,2,FALSE),"")</f>
        <v/>
      </c>
      <c r="G1133" s="49" t="str">
        <f>IFERROR(VLOOKUP(E1133,'Condensed Specialty Crosswalk'!$A$2:$C$182,3,FALSE),"")</f>
        <v/>
      </c>
    </row>
    <row r="1134" spans="1:7" ht="15" customHeight="1">
      <c r="A1134" s="49"/>
      <c r="B1134" s="49" t="str">
        <f>CONCATENATE(Reports!E1133," ",Reports!F1133," ",Reports!G1133)</f>
        <v xml:space="preserve">  </v>
      </c>
      <c r="C1134" s="50"/>
      <c r="D1134" s="51"/>
      <c r="E1134" s="49" t="str">
        <f>IFERROR(VLOOKUP(D1134,'taxonomy map'!$A$1:$B$171,2,FALSE),"")</f>
        <v/>
      </c>
      <c r="F1134" s="49" t="str">
        <f>IFERROR(VLOOKUP(E1134,'Condensed Specialty Crosswalk'!$A$2:$C$182,2,FALSE),"")</f>
        <v/>
      </c>
      <c r="G1134" s="49" t="str">
        <f>IFERROR(VLOOKUP(E1134,'Condensed Specialty Crosswalk'!$A$2:$C$182,3,FALSE),"")</f>
        <v/>
      </c>
    </row>
    <row r="1135" spans="1:7" ht="15" customHeight="1">
      <c r="A1135" s="49"/>
      <c r="B1135" s="49" t="str">
        <f>CONCATENATE(Reports!E1134," ",Reports!F1134," ",Reports!G1134)</f>
        <v xml:space="preserve">  </v>
      </c>
      <c r="C1135" s="50"/>
      <c r="D1135" s="51"/>
      <c r="E1135" s="49" t="str">
        <f>IFERROR(VLOOKUP(D1135,'taxonomy map'!$A$1:$B$171,2,FALSE),"")</f>
        <v/>
      </c>
      <c r="F1135" s="49" t="str">
        <f>IFERROR(VLOOKUP(E1135,'Condensed Specialty Crosswalk'!$A$2:$C$182,2,FALSE),"")</f>
        <v/>
      </c>
      <c r="G1135" s="49" t="str">
        <f>IFERROR(VLOOKUP(E1135,'Condensed Specialty Crosswalk'!$A$2:$C$182,3,FALSE),"")</f>
        <v/>
      </c>
    </row>
    <row r="1136" spans="1:7" ht="15" customHeight="1">
      <c r="A1136" s="49"/>
      <c r="B1136" s="49" t="str">
        <f>CONCATENATE(Reports!E1135," ",Reports!F1135," ",Reports!G1135)</f>
        <v xml:space="preserve">  </v>
      </c>
      <c r="C1136" s="50"/>
      <c r="D1136" s="51"/>
      <c r="E1136" s="49" t="str">
        <f>IFERROR(VLOOKUP(D1136,'taxonomy map'!$A$1:$B$171,2,FALSE),"")</f>
        <v/>
      </c>
      <c r="F1136" s="49" t="str">
        <f>IFERROR(VLOOKUP(E1136,'Condensed Specialty Crosswalk'!$A$2:$C$182,2,FALSE),"")</f>
        <v/>
      </c>
      <c r="G1136" s="49" t="str">
        <f>IFERROR(VLOOKUP(E1136,'Condensed Specialty Crosswalk'!$A$2:$C$182,3,FALSE),"")</f>
        <v/>
      </c>
    </row>
    <row r="1137" spans="1:7" ht="15" customHeight="1">
      <c r="A1137" s="49"/>
      <c r="B1137" s="49" t="str">
        <f>CONCATENATE(Reports!E1136," ",Reports!F1136," ",Reports!G1136)</f>
        <v xml:space="preserve">  </v>
      </c>
      <c r="C1137" s="50"/>
      <c r="D1137" s="51"/>
      <c r="E1137" s="49" t="str">
        <f>IFERROR(VLOOKUP(D1137,'taxonomy map'!$A$1:$B$171,2,FALSE),"")</f>
        <v/>
      </c>
      <c r="F1137" s="49" t="str">
        <f>IFERROR(VLOOKUP(E1137,'Condensed Specialty Crosswalk'!$A$2:$C$182,2,FALSE),"")</f>
        <v/>
      </c>
      <c r="G1137" s="49" t="str">
        <f>IFERROR(VLOOKUP(E1137,'Condensed Specialty Crosswalk'!$A$2:$C$182,3,FALSE),"")</f>
        <v/>
      </c>
    </row>
    <row r="1138" spans="1:7" ht="15" customHeight="1">
      <c r="A1138" s="49"/>
      <c r="B1138" s="49" t="str">
        <f>CONCATENATE(Reports!E1137," ",Reports!F1137," ",Reports!G1137)</f>
        <v xml:space="preserve">  </v>
      </c>
      <c r="C1138" s="50"/>
      <c r="D1138" s="51"/>
      <c r="E1138" s="49" t="str">
        <f>IFERROR(VLOOKUP(D1138,'taxonomy map'!$A$1:$B$171,2,FALSE),"")</f>
        <v/>
      </c>
      <c r="F1138" s="49" t="str">
        <f>IFERROR(VLOOKUP(E1138,'Condensed Specialty Crosswalk'!$A$2:$C$182,2,FALSE),"")</f>
        <v/>
      </c>
      <c r="G1138" s="49" t="str">
        <f>IFERROR(VLOOKUP(E1138,'Condensed Specialty Crosswalk'!$A$2:$C$182,3,FALSE),"")</f>
        <v/>
      </c>
    </row>
    <row r="1139" spans="1:7" ht="15" customHeight="1">
      <c r="A1139" s="49"/>
      <c r="B1139" s="49" t="str">
        <f>CONCATENATE(Reports!E1138," ",Reports!F1138," ",Reports!G1138)</f>
        <v xml:space="preserve">  </v>
      </c>
      <c r="C1139" s="50"/>
      <c r="D1139" s="51"/>
      <c r="E1139" s="49" t="str">
        <f>IFERROR(VLOOKUP(D1139,'taxonomy map'!$A$1:$B$171,2,FALSE),"")</f>
        <v/>
      </c>
      <c r="F1139" s="49" t="str">
        <f>IFERROR(VLOOKUP(E1139,'Condensed Specialty Crosswalk'!$A$2:$C$182,2,FALSE),"")</f>
        <v/>
      </c>
      <c r="G1139" s="49" t="str">
        <f>IFERROR(VLOOKUP(E1139,'Condensed Specialty Crosswalk'!$A$2:$C$182,3,FALSE),"")</f>
        <v/>
      </c>
    </row>
    <row r="1140" spans="1:7" ht="15" customHeight="1">
      <c r="A1140" s="49"/>
      <c r="B1140" s="49" t="str">
        <f>CONCATENATE(Reports!E1139," ",Reports!F1139," ",Reports!G1139)</f>
        <v xml:space="preserve">  </v>
      </c>
      <c r="C1140" s="50"/>
      <c r="D1140" s="51"/>
      <c r="E1140" s="49" t="str">
        <f>IFERROR(VLOOKUP(D1140,'taxonomy map'!$A$1:$B$171,2,FALSE),"")</f>
        <v/>
      </c>
      <c r="F1140" s="49" t="str">
        <f>IFERROR(VLOOKUP(E1140,'Condensed Specialty Crosswalk'!$A$2:$C$182,2,FALSE),"")</f>
        <v/>
      </c>
      <c r="G1140" s="49" t="str">
        <f>IFERROR(VLOOKUP(E1140,'Condensed Specialty Crosswalk'!$A$2:$C$182,3,FALSE),"")</f>
        <v/>
      </c>
    </row>
    <row r="1141" spans="1:7" ht="15" customHeight="1">
      <c r="A1141" s="49"/>
      <c r="B1141" s="49" t="str">
        <f>CONCATENATE(Reports!E1140," ",Reports!F1140," ",Reports!G1140)</f>
        <v xml:space="preserve">  </v>
      </c>
      <c r="C1141" s="50"/>
      <c r="D1141" s="51"/>
      <c r="E1141" s="49" t="str">
        <f>IFERROR(VLOOKUP(D1141,'taxonomy map'!$A$1:$B$171,2,FALSE),"")</f>
        <v/>
      </c>
      <c r="F1141" s="49" t="str">
        <f>IFERROR(VLOOKUP(E1141,'Condensed Specialty Crosswalk'!$A$2:$C$182,2,FALSE),"")</f>
        <v/>
      </c>
      <c r="G1141" s="49" t="str">
        <f>IFERROR(VLOOKUP(E1141,'Condensed Specialty Crosswalk'!$A$2:$C$182,3,FALSE),"")</f>
        <v/>
      </c>
    </row>
    <row r="1142" spans="1:7" ht="15" customHeight="1">
      <c r="A1142" s="49"/>
      <c r="B1142" s="49" t="str">
        <f>CONCATENATE(Reports!E1141," ",Reports!F1141," ",Reports!G1141)</f>
        <v xml:space="preserve">  </v>
      </c>
      <c r="C1142" s="50"/>
      <c r="D1142" s="51"/>
      <c r="E1142" s="49" t="str">
        <f>IFERROR(VLOOKUP(D1142,'taxonomy map'!$A$1:$B$171,2,FALSE),"")</f>
        <v/>
      </c>
      <c r="F1142" s="49" t="str">
        <f>IFERROR(VLOOKUP(E1142,'Condensed Specialty Crosswalk'!$A$2:$C$182,2,FALSE),"")</f>
        <v/>
      </c>
      <c r="G1142" s="49" t="str">
        <f>IFERROR(VLOOKUP(E1142,'Condensed Specialty Crosswalk'!$A$2:$C$182,3,FALSE),"")</f>
        <v/>
      </c>
    </row>
    <row r="1143" spans="1:7" ht="15" customHeight="1">
      <c r="A1143" s="49"/>
      <c r="B1143" s="49" t="str">
        <f>CONCATENATE(Reports!E1142," ",Reports!F1142," ",Reports!G1142)</f>
        <v xml:space="preserve">  </v>
      </c>
      <c r="C1143" s="50"/>
      <c r="D1143" s="51"/>
      <c r="E1143" s="49" t="str">
        <f>IFERROR(VLOOKUP(D1143,'taxonomy map'!$A$1:$B$171,2,FALSE),"")</f>
        <v/>
      </c>
      <c r="F1143" s="49" t="str">
        <f>IFERROR(VLOOKUP(E1143,'Condensed Specialty Crosswalk'!$A$2:$C$182,2,FALSE),"")</f>
        <v/>
      </c>
      <c r="G1143" s="49" t="str">
        <f>IFERROR(VLOOKUP(E1143,'Condensed Specialty Crosswalk'!$A$2:$C$182,3,FALSE),"")</f>
        <v/>
      </c>
    </row>
    <row r="1144" spans="1:7" ht="15" customHeight="1">
      <c r="A1144" s="49"/>
      <c r="B1144" s="49" t="str">
        <f>CONCATENATE(Reports!E1143," ",Reports!F1143," ",Reports!G1143)</f>
        <v xml:space="preserve">  </v>
      </c>
      <c r="C1144" s="50"/>
      <c r="D1144" s="51"/>
      <c r="E1144" s="49" t="str">
        <f>IFERROR(VLOOKUP(D1144,'taxonomy map'!$A$1:$B$171,2,FALSE),"")</f>
        <v/>
      </c>
      <c r="F1144" s="49" t="str">
        <f>IFERROR(VLOOKUP(E1144,'Condensed Specialty Crosswalk'!$A$2:$C$182,2,FALSE),"")</f>
        <v/>
      </c>
      <c r="G1144" s="49" t="str">
        <f>IFERROR(VLOOKUP(E1144,'Condensed Specialty Crosswalk'!$A$2:$C$182,3,FALSE),"")</f>
        <v/>
      </c>
    </row>
    <row r="1145" spans="1:7" ht="15" customHeight="1">
      <c r="A1145" s="49"/>
      <c r="B1145" s="49" t="str">
        <f>CONCATENATE(Reports!E1144," ",Reports!F1144," ",Reports!G1144)</f>
        <v xml:space="preserve">  </v>
      </c>
      <c r="C1145" s="50"/>
      <c r="D1145" s="51"/>
      <c r="E1145" s="49" t="str">
        <f>IFERROR(VLOOKUP(D1145,'taxonomy map'!$A$1:$B$171,2,FALSE),"")</f>
        <v/>
      </c>
      <c r="F1145" s="49" t="str">
        <f>IFERROR(VLOOKUP(E1145,'Condensed Specialty Crosswalk'!$A$2:$C$182,2,FALSE),"")</f>
        <v/>
      </c>
      <c r="G1145" s="49" t="str">
        <f>IFERROR(VLOOKUP(E1145,'Condensed Specialty Crosswalk'!$A$2:$C$182,3,FALSE),"")</f>
        <v/>
      </c>
    </row>
    <row r="1146" spans="1:7" ht="15" customHeight="1">
      <c r="A1146" s="49"/>
      <c r="B1146" s="49" t="str">
        <f>CONCATENATE(Reports!E1145," ",Reports!F1145," ",Reports!G1145)</f>
        <v xml:space="preserve">  </v>
      </c>
      <c r="C1146" s="50"/>
      <c r="D1146" s="51"/>
      <c r="E1146" s="49" t="str">
        <f>IFERROR(VLOOKUP(D1146,'taxonomy map'!$A$1:$B$171,2,FALSE),"")</f>
        <v/>
      </c>
      <c r="F1146" s="49" t="str">
        <f>IFERROR(VLOOKUP(E1146,'Condensed Specialty Crosswalk'!$A$2:$C$182,2,FALSE),"")</f>
        <v/>
      </c>
      <c r="G1146" s="49" t="str">
        <f>IFERROR(VLOOKUP(E1146,'Condensed Specialty Crosswalk'!$A$2:$C$182,3,FALSE),"")</f>
        <v/>
      </c>
    </row>
    <row r="1147" spans="1:7" ht="15" customHeight="1">
      <c r="A1147" s="49"/>
      <c r="B1147" s="49" t="str">
        <f>CONCATENATE(Reports!E1146," ",Reports!F1146," ",Reports!G1146)</f>
        <v xml:space="preserve">  </v>
      </c>
      <c r="C1147" s="50"/>
      <c r="D1147" s="51"/>
      <c r="E1147" s="49" t="str">
        <f>IFERROR(VLOOKUP(D1147,'taxonomy map'!$A$1:$B$171,2,FALSE),"")</f>
        <v/>
      </c>
      <c r="F1147" s="49" t="str">
        <f>IFERROR(VLOOKUP(E1147,'Condensed Specialty Crosswalk'!$A$2:$C$182,2,FALSE),"")</f>
        <v/>
      </c>
      <c r="G1147" s="49" t="str">
        <f>IFERROR(VLOOKUP(E1147,'Condensed Specialty Crosswalk'!$A$2:$C$182,3,FALSE),"")</f>
        <v/>
      </c>
    </row>
    <row r="1148" spans="1:7" ht="15" customHeight="1">
      <c r="A1148" s="49"/>
      <c r="B1148" s="49" t="str">
        <f>CONCATENATE(Reports!E1147," ",Reports!F1147," ",Reports!G1147)</f>
        <v xml:space="preserve">  </v>
      </c>
      <c r="C1148" s="50"/>
      <c r="D1148" s="51"/>
      <c r="E1148" s="49" t="str">
        <f>IFERROR(VLOOKUP(D1148,'taxonomy map'!$A$1:$B$171,2,FALSE),"")</f>
        <v/>
      </c>
      <c r="F1148" s="49" t="str">
        <f>IFERROR(VLOOKUP(E1148,'Condensed Specialty Crosswalk'!$A$2:$C$182,2,FALSE),"")</f>
        <v/>
      </c>
      <c r="G1148" s="49" t="str">
        <f>IFERROR(VLOOKUP(E1148,'Condensed Specialty Crosswalk'!$A$2:$C$182,3,FALSE),"")</f>
        <v/>
      </c>
    </row>
    <row r="1149" spans="1:7" ht="15" customHeight="1">
      <c r="A1149" s="49"/>
      <c r="B1149" s="49" t="str">
        <f>CONCATENATE(Reports!E1148," ",Reports!F1148," ",Reports!G1148)</f>
        <v xml:space="preserve">  </v>
      </c>
      <c r="C1149" s="50"/>
      <c r="D1149" s="51"/>
      <c r="E1149" s="49" t="str">
        <f>IFERROR(VLOOKUP(D1149,'taxonomy map'!$A$1:$B$171,2,FALSE),"")</f>
        <v/>
      </c>
      <c r="F1149" s="49" t="str">
        <f>IFERROR(VLOOKUP(E1149,'Condensed Specialty Crosswalk'!$A$2:$C$182,2,FALSE),"")</f>
        <v/>
      </c>
      <c r="G1149" s="49" t="str">
        <f>IFERROR(VLOOKUP(E1149,'Condensed Specialty Crosswalk'!$A$2:$C$182,3,FALSE),"")</f>
        <v/>
      </c>
    </row>
    <row r="1150" spans="1:7" ht="15" customHeight="1">
      <c r="A1150" s="49"/>
      <c r="B1150" s="49" t="str">
        <f>CONCATENATE(Reports!E1149," ",Reports!F1149," ",Reports!G1149)</f>
        <v xml:space="preserve">  </v>
      </c>
      <c r="C1150" s="50"/>
      <c r="D1150" s="51"/>
      <c r="E1150" s="49" t="str">
        <f>IFERROR(VLOOKUP(D1150,'taxonomy map'!$A$1:$B$171,2,FALSE),"")</f>
        <v/>
      </c>
      <c r="F1150" s="49" t="str">
        <f>IFERROR(VLOOKUP(E1150,'Condensed Specialty Crosswalk'!$A$2:$C$182,2,FALSE),"")</f>
        <v/>
      </c>
      <c r="G1150" s="49" t="str">
        <f>IFERROR(VLOOKUP(E1150,'Condensed Specialty Crosswalk'!$A$2:$C$182,3,FALSE),"")</f>
        <v/>
      </c>
    </row>
    <row r="1151" spans="1:7" ht="15" customHeight="1">
      <c r="A1151" s="49"/>
      <c r="B1151" s="49" t="str">
        <f>CONCATENATE(Reports!E1150," ",Reports!F1150," ",Reports!G1150)</f>
        <v xml:space="preserve">  </v>
      </c>
      <c r="C1151" s="50"/>
      <c r="D1151" s="51"/>
      <c r="E1151" s="49" t="str">
        <f>IFERROR(VLOOKUP(D1151,'taxonomy map'!$A$1:$B$171,2,FALSE),"")</f>
        <v/>
      </c>
      <c r="F1151" s="49" t="str">
        <f>IFERROR(VLOOKUP(E1151,'Condensed Specialty Crosswalk'!$A$2:$C$182,2,FALSE),"")</f>
        <v/>
      </c>
      <c r="G1151" s="49" t="str">
        <f>IFERROR(VLOOKUP(E1151,'Condensed Specialty Crosswalk'!$A$2:$C$182,3,FALSE),"")</f>
        <v/>
      </c>
    </row>
    <row r="1152" spans="1:7" ht="15" customHeight="1">
      <c r="A1152" s="49"/>
      <c r="B1152" s="49" t="str">
        <f>CONCATENATE(Reports!E1151," ",Reports!F1151," ",Reports!G1151)</f>
        <v xml:space="preserve">  </v>
      </c>
      <c r="C1152" s="50"/>
      <c r="D1152" s="51"/>
      <c r="E1152" s="49" t="str">
        <f>IFERROR(VLOOKUP(D1152,'taxonomy map'!$A$1:$B$171,2,FALSE),"")</f>
        <v/>
      </c>
      <c r="F1152" s="49" t="str">
        <f>IFERROR(VLOOKUP(E1152,'Condensed Specialty Crosswalk'!$A$2:$C$182,2,FALSE),"")</f>
        <v/>
      </c>
      <c r="G1152" s="49" t="str">
        <f>IFERROR(VLOOKUP(E1152,'Condensed Specialty Crosswalk'!$A$2:$C$182,3,FALSE),"")</f>
        <v/>
      </c>
    </row>
    <row r="1153" spans="1:7" ht="15" customHeight="1">
      <c r="A1153" s="49"/>
      <c r="B1153" s="49" t="str">
        <f>CONCATENATE(Reports!E1152," ",Reports!F1152," ",Reports!G1152)</f>
        <v xml:space="preserve">  </v>
      </c>
      <c r="C1153" s="50"/>
      <c r="D1153" s="51"/>
      <c r="E1153" s="49" t="str">
        <f>IFERROR(VLOOKUP(D1153,'taxonomy map'!$A$1:$B$171,2,FALSE),"")</f>
        <v/>
      </c>
      <c r="F1153" s="49" t="str">
        <f>IFERROR(VLOOKUP(E1153,'Condensed Specialty Crosswalk'!$A$2:$C$182,2,FALSE),"")</f>
        <v/>
      </c>
      <c r="G1153" s="49" t="str">
        <f>IFERROR(VLOOKUP(E1153,'Condensed Specialty Crosswalk'!$A$2:$C$182,3,FALSE),"")</f>
        <v/>
      </c>
    </row>
    <row r="1154" spans="1:7" ht="15" customHeight="1">
      <c r="A1154" s="49"/>
      <c r="B1154" s="49" t="str">
        <f>CONCATENATE(Reports!E1153," ",Reports!F1153," ",Reports!G1153)</f>
        <v xml:space="preserve">  </v>
      </c>
      <c r="C1154" s="50"/>
      <c r="D1154" s="51"/>
      <c r="E1154" s="49" t="str">
        <f>IFERROR(VLOOKUP(D1154,'taxonomy map'!$A$1:$B$171,2,FALSE),"")</f>
        <v/>
      </c>
      <c r="F1154" s="49" t="str">
        <f>IFERROR(VLOOKUP(E1154,'Condensed Specialty Crosswalk'!$A$2:$C$182,2,FALSE),"")</f>
        <v/>
      </c>
      <c r="G1154" s="49" t="str">
        <f>IFERROR(VLOOKUP(E1154,'Condensed Specialty Crosswalk'!$A$2:$C$182,3,FALSE),"")</f>
        <v/>
      </c>
    </row>
    <row r="1155" spans="1:7" ht="15" customHeight="1">
      <c r="A1155" s="49"/>
      <c r="B1155" s="49" t="str">
        <f>CONCATENATE(Reports!E1154," ",Reports!F1154," ",Reports!G1154)</f>
        <v xml:space="preserve">  </v>
      </c>
      <c r="C1155" s="50"/>
      <c r="D1155" s="51"/>
      <c r="E1155" s="49" t="str">
        <f>IFERROR(VLOOKUP(D1155,'taxonomy map'!$A$1:$B$171,2,FALSE),"")</f>
        <v/>
      </c>
      <c r="F1155" s="49" t="str">
        <f>IFERROR(VLOOKUP(E1155,'Condensed Specialty Crosswalk'!$A$2:$C$182,2,FALSE),"")</f>
        <v/>
      </c>
      <c r="G1155" s="49" t="str">
        <f>IFERROR(VLOOKUP(E1155,'Condensed Specialty Crosswalk'!$A$2:$C$182,3,FALSE),"")</f>
        <v/>
      </c>
    </row>
    <row r="1156" spans="1:7" ht="15" customHeight="1">
      <c r="A1156" s="49"/>
      <c r="B1156" s="49" t="str">
        <f>CONCATENATE(Reports!E1155," ",Reports!F1155," ",Reports!G1155)</f>
        <v xml:space="preserve">  </v>
      </c>
      <c r="C1156" s="50"/>
      <c r="D1156" s="51"/>
      <c r="E1156" s="49" t="str">
        <f>IFERROR(VLOOKUP(D1156,'taxonomy map'!$A$1:$B$171,2,FALSE),"")</f>
        <v/>
      </c>
      <c r="F1156" s="49" t="str">
        <f>IFERROR(VLOOKUP(E1156,'Condensed Specialty Crosswalk'!$A$2:$C$182,2,FALSE),"")</f>
        <v/>
      </c>
      <c r="G1156" s="49" t="str">
        <f>IFERROR(VLOOKUP(E1156,'Condensed Specialty Crosswalk'!$A$2:$C$182,3,FALSE),"")</f>
        <v/>
      </c>
    </row>
    <row r="1157" spans="1:7" ht="15" customHeight="1">
      <c r="A1157" s="49"/>
      <c r="B1157" s="49" t="str">
        <f>CONCATENATE(Reports!E1156," ",Reports!F1156," ",Reports!G1156)</f>
        <v xml:space="preserve">  </v>
      </c>
      <c r="C1157" s="50"/>
      <c r="D1157" s="51"/>
      <c r="E1157" s="49" t="str">
        <f>IFERROR(VLOOKUP(D1157,'taxonomy map'!$A$1:$B$171,2,FALSE),"")</f>
        <v/>
      </c>
      <c r="F1157" s="49" t="str">
        <f>IFERROR(VLOOKUP(E1157,'Condensed Specialty Crosswalk'!$A$2:$C$182,2,FALSE),"")</f>
        <v/>
      </c>
      <c r="G1157" s="49" t="str">
        <f>IFERROR(VLOOKUP(E1157,'Condensed Specialty Crosswalk'!$A$2:$C$182,3,FALSE),"")</f>
        <v/>
      </c>
    </row>
    <row r="1158" spans="1:7" ht="15" customHeight="1">
      <c r="A1158" s="49"/>
      <c r="B1158" s="49" t="str">
        <f>CONCATENATE(Reports!E1157," ",Reports!F1157," ",Reports!G1157)</f>
        <v xml:space="preserve">  </v>
      </c>
      <c r="C1158" s="50"/>
      <c r="D1158" s="51"/>
      <c r="E1158" s="49" t="str">
        <f>IFERROR(VLOOKUP(D1158,'taxonomy map'!$A$1:$B$171,2,FALSE),"")</f>
        <v/>
      </c>
      <c r="F1158" s="49" t="str">
        <f>IFERROR(VLOOKUP(E1158,'Condensed Specialty Crosswalk'!$A$2:$C$182,2,FALSE),"")</f>
        <v/>
      </c>
      <c r="G1158" s="49" t="str">
        <f>IFERROR(VLOOKUP(E1158,'Condensed Specialty Crosswalk'!$A$2:$C$182,3,FALSE),"")</f>
        <v/>
      </c>
    </row>
    <row r="1159" spans="1:7" ht="15" customHeight="1">
      <c r="A1159" s="49"/>
      <c r="B1159" s="49" t="str">
        <f>CONCATENATE(Reports!E1158," ",Reports!F1158," ",Reports!G1158)</f>
        <v xml:space="preserve">  </v>
      </c>
      <c r="C1159" s="50"/>
      <c r="D1159" s="51"/>
      <c r="E1159" s="49" t="str">
        <f>IFERROR(VLOOKUP(D1159,'taxonomy map'!$A$1:$B$171,2,FALSE),"")</f>
        <v/>
      </c>
      <c r="F1159" s="49" t="str">
        <f>IFERROR(VLOOKUP(E1159,'Condensed Specialty Crosswalk'!$A$2:$C$182,2,FALSE),"")</f>
        <v/>
      </c>
      <c r="G1159" s="49" t="str">
        <f>IFERROR(VLOOKUP(E1159,'Condensed Specialty Crosswalk'!$A$2:$C$182,3,FALSE),"")</f>
        <v/>
      </c>
    </row>
    <row r="1160" spans="1:7" ht="15" customHeight="1">
      <c r="A1160" s="49"/>
      <c r="B1160" s="49" t="str">
        <f>CONCATENATE(Reports!E1159," ",Reports!F1159," ",Reports!G1159)</f>
        <v xml:space="preserve">  </v>
      </c>
      <c r="C1160" s="50"/>
      <c r="D1160" s="51"/>
      <c r="E1160" s="49" t="str">
        <f>IFERROR(VLOOKUP(D1160,'taxonomy map'!$A$1:$B$171,2,FALSE),"")</f>
        <v/>
      </c>
      <c r="F1160" s="49" t="str">
        <f>IFERROR(VLOOKUP(E1160,'Condensed Specialty Crosswalk'!$A$2:$C$182,2,FALSE),"")</f>
        <v/>
      </c>
      <c r="G1160" s="49" t="str">
        <f>IFERROR(VLOOKUP(E1160,'Condensed Specialty Crosswalk'!$A$2:$C$182,3,FALSE),"")</f>
        <v/>
      </c>
    </row>
    <row r="1161" spans="1:7" ht="15" customHeight="1">
      <c r="A1161" s="49"/>
      <c r="B1161" s="49" t="str">
        <f>CONCATENATE(Reports!E1160," ",Reports!F1160," ",Reports!G1160)</f>
        <v xml:space="preserve">  </v>
      </c>
      <c r="C1161" s="50"/>
      <c r="D1161" s="51"/>
      <c r="E1161" s="49" t="str">
        <f>IFERROR(VLOOKUP(D1161,'taxonomy map'!$A$1:$B$171,2,FALSE),"")</f>
        <v/>
      </c>
      <c r="F1161" s="49" t="str">
        <f>IFERROR(VLOOKUP(E1161,'Condensed Specialty Crosswalk'!$A$2:$C$182,2,FALSE),"")</f>
        <v/>
      </c>
      <c r="G1161" s="49" t="str">
        <f>IFERROR(VLOOKUP(E1161,'Condensed Specialty Crosswalk'!$A$2:$C$182,3,FALSE),"")</f>
        <v/>
      </c>
    </row>
    <row r="1162" spans="1:7" ht="15" customHeight="1">
      <c r="A1162" s="49"/>
      <c r="B1162" s="49" t="str">
        <f>CONCATENATE(Reports!E1161," ",Reports!F1161," ",Reports!G1161)</f>
        <v xml:space="preserve">  </v>
      </c>
      <c r="C1162" s="50"/>
      <c r="D1162" s="51"/>
      <c r="E1162" s="49" t="str">
        <f>IFERROR(VLOOKUP(D1162,'taxonomy map'!$A$1:$B$171,2,FALSE),"")</f>
        <v/>
      </c>
      <c r="F1162" s="49" t="str">
        <f>IFERROR(VLOOKUP(E1162,'Condensed Specialty Crosswalk'!$A$2:$C$182,2,FALSE),"")</f>
        <v/>
      </c>
      <c r="G1162" s="49" t="str">
        <f>IFERROR(VLOOKUP(E1162,'Condensed Specialty Crosswalk'!$A$2:$C$182,3,FALSE),"")</f>
        <v/>
      </c>
    </row>
    <row r="1163" spans="1:7" ht="15" customHeight="1">
      <c r="A1163" s="49"/>
      <c r="B1163" s="49" t="str">
        <f>CONCATENATE(Reports!E1162," ",Reports!F1162," ",Reports!G1162)</f>
        <v xml:space="preserve">  </v>
      </c>
      <c r="C1163" s="50"/>
      <c r="D1163" s="51"/>
      <c r="E1163" s="49" t="str">
        <f>IFERROR(VLOOKUP(D1163,'taxonomy map'!$A$1:$B$171,2,FALSE),"")</f>
        <v/>
      </c>
      <c r="F1163" s="49" t="str">
        <f>IFERROR(VLOOKUP(E1163,'Condensed Specialty Crosswalk'!$A$2:$C$182,2,FALSE),"")</f>
        <v/>
      </c>
      <c r="G1163" s="49" t="str">
        <f>IFERROR(VLOOKUP(E1163,'Condensed Specialty Crosswalk'!$A$2:$C$182,3,FALSE),"")</f>
        <v/>
      </c>
    </row>
    <row r="1164" spans="1:7" ht="15" customHeight="1">
      <c r="A1164" s="49"/>
      <c r="B1164" s="49" t="str">
        <f>CONCATENATE(Reports!E1163," ",Reports!F1163," ",Reports!G1163)</f>
        <v xml:space="preserve">  </v>
      </c>
      <c r="C1164" s="50"/>
      <c r="D1164" s="51"/>
      <c r="E1164" s="49" t="str">
        <f>IFERROR(VLOOKUP(D1164,'taxonomy map'!$A$1:$B$171,2,FALSE),"")</f>
        <v/>
      </c>
      <c r="F1164" s="49" t="str">
        <f>IFERROR(VLOOKUP(E1164,'Condensed Specialty Crosswalk'!$A$2:$C$182,2,FALSE),"")</f>
        <v/>
      </c>
      <c r="G1164" s="49" t="str">
        <f>IFERROR(VLOOKUP(E1164,'Condensed Specialty Crosswalk'!$A$2:$C$182,3,FALSE),"")</f>
        <v/>
      </c>
    </row>
    <row r="1165" spans="1:7" ht="15" customHeight="1">
      <c r="A1165" s="49"/>
      <c r="B1165" s="49" t="str">
        <f>CONCATENATE(Reports!E1164," ",Reports!F1164," ",Reports!G1164)</f>
        <v xml:space="preserve">  </v>
      </c>
      <c r="C1165" s="50"/>
      <c r="D1165" s="51"/>
      <c r="E1165" s="49" t="str">
        <f>IFERROR(VLOOKUP(D1165,'taxonomy map'!$A$1:$B$171,2,FALSE),"")</f>
        <v/>
      </c>
      <c r="F1165" s="49" t="str">
        <f>IFERROR(VLOOKUP(E1165,'Condensed Specialty Crosswalk'!$A$2:$C$182,2,FALSE),"")</f>
        <v/>
      </c>
      <c r="G1165" s="49" t="str">
        <f>IFERROR(VLOOKUP(E1165,'Condensed Specialty Crosswalk'!$A$2:$C$182,3,FALSE),"")</f>
        <v/>
      </c>
    </row>
    <row r="1166" spans="1:7" ht="15" customHeight="1">
      <c r="A1166" s="49"/>
      <c r="B1166" s="49" t="str">
        <f>CONCATENATE(Reports!E1165," ",Reports!F1165," ",Reports!G1165)</f>
        <v xml:space="preserve">  </v>
      </c>
      <c r="C1166" s="50"/>
      <c r="D1166" s="51"/>
      <c r="E1166" s="49" t="str">
        <f>IFERROR(VLOOKUP(D1166,'taxonomy map'!$A$1:$B$171,2,FALSE),"")</f>
        <v/>
      </c>
      <c r="F1166" s="49" t="str">
        <f>IFERROR(VLOOKUP(E1166,'Condensed Specialty Crosswalk'!$A$2:$C$182,2,FALSE),"")</f>
        <v/>
      </c>
      <c r="G1166" s="49" t="str">
        <f>IFERROR(VLOOKUP(E1166,'Condensed Specialty Crosswalk'!$A$2:$C$182,3,FALSE),"")</f>
        <v/>
      </c>
    </row>
    <row r="1167" spans="1:7" ht="15" customHeight="1">
      <c r="A1167" s="49"/>
      <c r="B1167" s="49" t="str">
        <f>CONCATENATE(Reports!E1166," ",Reports!F1166," ",Reports!G1166)</f>
        <v xml:space="preserve">  </v>
      </c>
      <c r="C1167" s="50"/>
      <c r="D1167" s="51"/>
      <c r="E1167" s="49" t="str">
        <f>IFERROR(VLOOKUP(D1167,'taxonomy map'!$A$1:$B$171,2,FALSE),"")</f>
        <v/>
      </c>
      <c r="F1167" s="49" t="str">
        <f>IFERROR(VLOOKUP(E1167,'Condensed Specialty Crosswalk'!$A$2:$C$182,2,FALSE),"")</f>
        <v/>
      </c>
      <c r="G1167" s="49" t="str">
        <f>IFERROR(VLOOKUP(E1167,'Condensed Specialty Crosswalk'!$A$2:$C$182,3,FALSE),"")</f>
        <v/>
      </c>
    </row>
    <row r="1168" spans="1:7" ht="15" customHeight="1">
      <c r="A1168" s="49"/>
      <c r="B1168" s="49" t="str">
        <f>CONCATENATE(Reports!E1167," ",Reports!F1167," ",Reports!G1167)</f>
        <v xml:space="preserve">  </v>
      </c>
      <c r="C1168" s="50"/>
      <c r="D1168" s="51"/>
      <c r="E1168" s="49" t="str">
        <f>IFERROR(VLOOKUP(D1168,'taxonomy map'!$A$1:$B$171,2,FALSE),"")</f>
        <v/>
      </c>
      <c r="F1168" s="49" t="str">
        <f>IFERROR(VLOOKUP(E1168,'Condensed Specialty Crosswalk'!$A$2:$C$182,2,FALSE),"")</f>
        <v/>
      </c>
      <c r="G1168" s="49" t="str">
        <f>IFERROR(VLOOKUP(E1168,'Condensed Specialty Crosswalk'!$A$2:$C$182,3,FALSE),"")</f>
        <v/>
      </c>
    </row>
    <row r="1169" spans="1:7" ht="15" customHeight="1">
      <c r="A1169" s="49"/>
      <c r="B1169" s="49" t="str">
        <f>CONCATENATE(Reports!E1168," ",Reports!F1168," ",Reports!G1168)</f>
        <v xml:space="preserve">  </v>
      </c>
      <c r="C1169" s="50"/>
      <c r="D1169" s="51"/>
      <c r="E1169" s="49" t="str">
        <f>IFERROR(VLOOKUP(D1169,'taxonomy map'!$A$1:$B$171,2,FALSE),"")</f>
        <v/>
      </c>
      <c r="F1169" s="49" t="str">
        <f>IFERROR(VLOOKUP(E1169,'Condensed Specialty Crosswalk'!$A$2:$C$182,2,FALSE),"")</f>
        <v/>
      </c>
      <c r="G1169" s="49" t="str">
        <f>IFERROR(VLOOKUP(E1169,'Condensed Specialty Crosswalk'!$A$2:$C$182,3,FALSE),"")</f>
        <v/>
      </c>
    </row>
    <row r="1170" spans="1:7" ht="15" customHeight="1">
      <c r="A1170" s="49"/>
      <c r="B1170" s="49" t="str">
        <f>CONCATENATE(Reports!E1169," ",Reports!F1169," ",Reports!G1169)</f>
        <v xml:space="preserve">  </v>
      </c>
      <c r="C1170" s="50"/>
      <c r="D1170" s="51"/>
      <c r="E1170" s="49" t="str">
        <f>IFERROR(VLOOKUP(D1170,'taxonomy map'!$A$1:$B$171,2,FALSE),"")</f>
        <v/>
      </c>
      <c r="F1170" s="49" t="str">
        <f>IFERROR(VLOOKUP(E1170,'Condensed Specialty Crosswalk'!$A$2:$C$182,2,FALSE),"")</f>
        <v/>
      </c>
      <c r="G1170" s="49" t="str">
        <f>IFERROR(VLOOKUP(E1170,'Condensed Specialty Crosswalk'!$A$2:$C$182,3,FALSE),"")</f>
        <v/>
      </c>
    </row>
    <row r="1171" spans="1:7" ht="15" customHeight="1">
      <c r="A1171" s="49"/>
      <c r="B1171" s="49" t="str">
        <f>CONCATENATE(Reports!E1170," ",Reports!F1170," ",Reports!G1170)</f>
        <v xml:space="preserve">  </v>
      </c>
      <c r="C1171" s="50"/>
      <c r="D1171" s="51"/>
      <c r="E1171" s="49" t="str">
        <f>IFERROR(VLOOKUP(D1171,'taxonomy map'!$A$1:$B$171,2,FALSE),"")</f>
        <v/>
      </c>
      <c r="F1171" s="49" t="str">
        <f>IFERROR(VLOOKUP(E1171,'Condensed Specialty Crosswalk'!$A$2:$C$182,2,FALSE),"")</f>
        <v/>
      </c>
      <c r="G1171" s="49" t="str">
        <f>IFERROR(VLOOKUP(E1171,'Condensed Specialty Crosswalk'!$A$2:$C$182,3,FALSE),"")</f>
        <v/>
      </c>
    </row>
    <row r="1172" spans="1:7" ht="15" customHeight="1">
      <c r="A1172" s="49"/>
      <c r="B1172" s="49" t="str">
        <f>CONCATENATE(Reports!E1171," ",Reports!F1171," ",Reports!G1171)</f>
        <v xml:space="preserve">  </v>
      </c>
      <c r="C1172" s="50"/>
      <c r="D1172" s="51"/>
      <c r="E1172" s="49" t="str">
        <f>IFERROR(VLOOKUP(D1172,'taxonomy map'!$A$1:$B$171,2,FALSE),"")</f>
        <v/>
      </c>
      <c r="F1172" s="49" t="str">
        <f>IFERROR(VLOOKUP(E1172,'Condensed Specialty Crosswalk'!$A$2:$C$182,2,FALSE),"")</f>
        <v/>
      </c>
      <c r="G1172" s="49" t="str">
        <f>IFERROR(VLOOKUP(E1172,'Condensed Specialty Crosswalk'!$A$2:$C$182,3,FALSE),"")</f>
        <v/>
      </c>
    </row>
    <row r="1173" spans="1:7" ht="15" customHeight="1">
      <c r="A1173" s="49"/>
      <c r="B1173" s="49" t="str">
        <f>CONCATENATE(Reports!E1172," ",Reports!F1172," ",Reports!G1172)</f>
        <v xml:space="preserve">  </v>
      </c>
      <c r="C1173" s="50"/>
      <c r="D1173" s="51"/>
      <c r="E1173" s="49" t="str">
        <f>IFERROR(VLOOKUP(D1173,'taxonomy map'!$A$1:$B$171,2,FALSE),"")</f>
        <v/>
      </c>
      <c r="F1173" s="49" t="str">
        <f>IFERROR(VLOOKUP(E1173,'Condensed Specialty Crosswalk'!$A$2:$C$182,2,FALSE),"")</f>
        <v/>
      </c>
      <c r="G1173" s="49" t="str">
        <f>IFERROR(VLOOKUP(E1173,'Condensed Specialty Crosswalk'!$A$2:$C$182,3,FALSE),"")</f>
        <v/>
      </c>
    </row>
    <row r="1174" spans="1:7" ht="15" customHeight="1">
      <c r="A1174" s="49"/>
      <c r="B1174" s="49" t="str">
        <f>CONCATENATE(Reports!E1173," ",Reports!F1173," ",Reports!G1173)</f>
        <v xml:space="preserve">  </v>
      </c>
      <c r="C1174" s="50"/>
      <c r="D1174" s="51"/>
      <c r="E1174" s="49" t="str">
        <f>IFERROR(VLOOKUP(D1174,'taxonomy map'!$A$1:$B$171,2,FALSE),"")</f>
        <v/>
      </c>
      <c r="F1174" s="49" t="str">
        <f>IFERROR(VLOOKUP(E1174,'Condensed Specialty Crosswalk'!$A$2:$C$182,2,FALSE),"")</f>
        <v/>
      </c>
      <c r="G1174" s="49" t="str">
        <f>IFERROR(VLOOKUP(E1174,'Condensed Specialty Crosswalk'!$A$2:$C$182,3,FALSE),"")</f>
        <v/>
      </c>
    </row>
    <row r="1175" spans="1:7" ht="15" customHeight="1">
      <c r="A1175" s="49"/>
      <c r="B1175" s="49" t="str">
        <f>CONCATENATE(Reports!E1174," ",Reports!F1174," ",Reports!G1174)</f>
        <v xml:space="preserve">  </v>
      </c>
      <c r="C1175" s="50"/>
      <c r="D1175" s="51"/>
      <c r="E1175" s="49" t="str">
        <f>IFERROR(VLOOKUP(D1175,'taxonomy map'!$A$1:$B$171,2,FALSE),"")</f>
        <v/>
      </c>
      <c r="F1175" s="49" t="str">
        <f>IFERROR(VLOOKUP(E1175,'Condensed Specialty Crosswalk'!$A$2:$C$182,2,FALSE),"")</f>
        <v/>
      </c>
      <c r="G1175" s="49" t="str">
        <f>IFERROR(VLOOKUP(E1175,'Condensed Specialty Crosswalk'!$A$2:$C$182,3,FALSE),"")</f>
        <v/>
      </c>
    </row>
    <row r="1176" spans="1:7" ht="15" customHeight="1">
      <c r="A1176" s="49"/>
      <c r="B1176" s="49" t="str">
        <f>CONCATENATE(Reports!E1175," ",Reports!F1175," ",Reports!G1175)</f>
        <v xml:space="preserve">  </v>
      </c>
      <c r="C1176" s="50"/>
      <c r="D1176" s="51"/>
      <c r="E1176" s="49" t="str">
        <f>IFERROR(VLOOKUP(D1176,'taxonomy map'!$A$1:$B$171,2,FALSE),"")</f>
        <v/>
      </c>
      <c r="F1176" s="49" t="str">
        <f>IFERROR(VLOOKUP(E1176,'Condensed Specialty Crosswalk'!$A$2:$C$182,2,FALSE),"")</f>
        <v/>
      </c>
      <c r="G1176" s="49" t="str">
        <f>IFERROR(VLOOKUP(E1176,'Condensed Specialty Crosswalk'!$A$2:$C$182,3,FALSE),"")</f>
        <v/>
      </c>
    </row>
    <row r="1177" spans="1:7" ht="15" customHeight="1">
      <c r="A1177" s="49"/>
      <c r="B1177" s="49" t="str">
        <f>CONCATENATE(Reports!E1176," ",Reports!F1176," ",Reports!G1176)</f>
        <v xml:space="preserve">  </v>
      </c>
      <c r="C1177" s="50"/>
      <c r="D1177" s="51"/>
      <c r="E1177" s="49" t="str">
        <f>IFERROR(VLOOKUP(D1177,'taxonomy map'!$A$1:$B$171,2,FALSE),"")</f>
        <v/>
      </c>
      <c r="F1177" s="49" t="str">
        <f>IFERROR(VLOOKUP(E1177,'Condensed Specialty Crosswalk'!$A$2:$C$182,2,FALSE),"")</f>
        <v/>
      </c>
      <c r="G1177" s="49" t="str">
        <f>IFERROR(VLOOKUP(E1177,'Condensed Specialty Crosswalk'!$A$2:$C$182,3,FALSE),"")</f>
        <v/>
      </c>
    </row>
    <row r="1178" spans="1:7" ht="15" customHeight="1">
      <c r="A1178" s="49"/>
      <c r="B1178" s="49" t="str">
        <f>CONCATENATE(Reports!E1177," ",Reports!F1177," ",Reports!G1177)</f>
        <v xml:space="preserve">  </v>
      </c>
      <c r="C1178" s="50"/>
      <c r="D1178" s="51"/>
      <c r="E1178" s="49" t="str">
        <f>IFERROR(VLOOKUP(D1178,'taxonomy map'!$A$1:$B$171,2,FALSE),"")</f>
        <v/>
      </c>
      <c r="F1178" s="49" t="str">
        <f>IFERROR(VLOOKUP(E1178,'Condensed Specialty Crosswalk'!$A$2:$C$182,2,FALSE),"")</f>
        <v/>
      </c>
      <c r="G1178" s="49" t="str">
        <f>IFERROR(VLOOKUP(E1178,'Condensed Specialty Crosswalk'!$A$2:$C$182,3,FALSE),"")</f>
        <v/>
      </c>
    </row>
    <row r="1179" spans="1:7" ht="15" customHeight="1">
      <c r="A1179" s="49"/>
      <c r="B1179" s="49" t="str">
        <f>CONCATENATE(Reports!E1178," ",Reports!F1178," ",Reports!G1178)</f>
        <v xml:space="preserve">  </v>
      </c>
      <c r="C1179" s="50"/>
      <c r="D1179" s="51"/>
      <c r="E1179" s="49" t="str">
        <f>IFERROR(VLOOKUP(D1179,'taxonomy map'!$A$1:$B$171,2,FALSE),"")</f>
        <v/>
      </c>
      <c r="F1179" s="49" t="str">
        <f>IFERROR(VLOOKUP(E1179,'Condensed Specialty Crosswalk'!$A$2:$C$182,2,FALSE),"")</f>
        <v/>
      </c>
      <c r="G1179" s="49" t="str">
        <f>IFERROR(VLOOKUP(E1179,'Condensed Specialty Crosswalk'!$A$2:$C$182,3,FALSE),"")</f>
        <v/>
      </c>
    </row>
    <row r="1180" spans="1:7" ht="15" customHeight="1">
      <c r="A1180" s="49"/>
      <c r="B1180" s="49" t="str">
        <f>CONCATENATE(Reports!E1179," ",Reports!F1179," ",Reports!G1179)</f>
        <v xml:space="preserve">  </v>
      </c>
      <c r="C1180" s="50"/>
      <c r="D1180" s="51"/>
      <c r="E1180" s="49" t="str">
        <f>IFERROR(VLOOKUP(D1180,'taxonomy map'!$A$1:$B$171,2,FALSE),"")</f>
        <v/>
      </c>
      <c r="F1180" s="49" t="str">
        <f>IFERROR(VLOOKUP(E1180,'Condensed Specialty Crosswalk'!$A$2:$C$182,2,FALSE),"")</f>
        <v/>
      </c>
      <c r="G1180" s="49" t="str">
        <f>IFERROR(VLOOKUP(E1180,'Condensed Specialty Crosswalk'!$A$2:$C$182,3,FALSE),"")</f>
        <v/>
      </c>
    </row>
    <row r="1181" spans="1:7" ht="15" customHeight="1">
      <c r="A1181" s="49"/>
      <c r="B1181" s="49" t="str">
        <f>CONCATENATE(Reports!E1180," ",Reports!F1180," ",Reports!G1180)</f>
        <v xml:space="preserve">  </v>
      </c>
      <c r="C1181" s="50"/>
      <c r="D1181" s="51"/>
      <c r="E1181" s="49" t="str">
        <f>IFERROR(VLOOKUP(D1181,'taxonomy map'!$A$1:$B$171,2,FALSE),"")</f>
        <v/>
      </c>
      <c r="F1181" s="49" t="str">
        <f>IFERROR(VLOOKUP(E1181,'Condensed Specialty Crosswalk'!$A$2:$C$182,2,FALSE),"")</f>
        <v/>
      </c>
      <c r="G1181" s="49" t="str">
        <f>IFERROR(VLOOKUP(E1181,'Condensed Specialty Crosswalk'!$A$2:$C$182,3,FALSE),"")</f>
        <v/>
      </c>
    </row>
    <row r="1182" spans="1:7" ht="15" customHeight="1">
      <c r="A1182" s="49"/>
      <c r="B1182" s="49" t="str">
        <f>CONCATENATE(Reports!E1181," ",Reports!F1181," ",Reports!G1181)</f>
        <v xml:space="preserve">  </v>
      </c>
      <c r="C1182" s="50"/>
      <c r="D1182" s="51"/>
      <c r="E1182" s="49" t="str">
        <f>IFERROR(VLOOKUP(D1182,'taxonomy map'!$A$1:$B$171,2,FALSE),"")</f>
        <v/>
      </c>
      <c r="F1182" s="49" t="str">
        <f>IFERROR(VLOOKUP(E1182,'Condensed Specialty Crosswalk'!$A$2:$C$182,2,FALSE),"")</f>
        <v/>
      </c>
      <c r="G1182" s="49" t="str">
        <f>IFERROR(VLOOKUP(E1182,'Condensed Specialty Crosswalk'!$A$2:$C$182,3,FALSE),"")</f>
        <v/>
      </c>
    </row>
    <row r="1183" spans="1:7" ht="15" customHeight="1">
      <c r="A1183" s="49"/>
      <c r="B1183" s="49" t="str">
        <f>CONCATENATE(Reports!E1182," ",Reports!F1182," ",Reports!G1182)</f>
        <v xml:space="preserve">  </v>
      </c>
      <c r="C1183" s="50"/>
      <c r="D1183" s="51"/>
      <c r="E1183" s="49" t="str">
        <f>IFERROR(VLOOKUP(D1183,'taxonomy map'!$A$1:$B$171,2,FALSE),"")</f>
        <v/>
      </c>
      <c r="F1183" s="49" t="str">
        <f>IFERROR(VLOOKUP(E1183,'Condensed Specialty Crosswalk'!$A$2:$C$182,2,FALSE),"")</f>
        <v/>
      </c>
      <c r="G1183" s="49" t="str">
        <f>IFERROR(VLOOKUP(E1183,'Condensed Specialty Crosswalk'!$A$2:$C$182,3,FALSE),"")</f>
        <v/>
      </c>
    </row>
    <row r="1184" spans="1:7" ht="15" customHeight="1">
      <c r="A1184" s="49"/>
      <c r="B1184" s="49" t="str">
        <f>CONCATENATE(Reports!E1183," ",Reports!F1183," ",Reports!G1183)</f>
        <v xml:space="preserve">  </v>
      </c>
      <c r="C1184" s="50"/>
      <c r="D1184" s="51"/>
      <c r="E1184" s="49" t="str">
        <f>IFERROR(VLOOKUP(D1184,'taxonomy map'!$A$1:$B$171,2,FALSE),"")</f>
        <v/>
      </c>
      <c r="F1184" s="49" t="str">
        <f>IFERROR(VLOOKUP(E1184,'Condensed Specialty Crosswalk'!$A$2:$C$182,2,FALSE),"")</f>
        <v/>
      </c>
      <c r="G1184" s="49" t="str">
        <f>IFERROR(VLOOKUP(E1184,'Condensed Specialty Crosswalk'!$A$2:$C$182,3,FALSE),"")</f>
        <v/>
      </c>
    </row>
    <row r="1185" spans="1:7" ht="15" customHeight="1">
      <c r="A1185" s="49"/>
      <c r="B1185" s="49" t="str">
        <f>CONCATENATE(Reports!E1184," ",Reports!F1184," ",Reports!G1184)</f>
        <v xml:space="preserve">  </v>
      </c>
      <c r="C1185" s="50"/>
      <c r="D1185" s="51"/>
      <c r="E1185" s="49" t="str">
        <f>IFERROR(VLOOKUP(D1185,'taxonomy map'!$A$1:$B$171,2,FALSE),"")</f>
        <v/>
      </c>
      <c r="F1185" s="49" t="str">
        <f>IFERROR(VLOOKUP(E1185,'Condensed Specialty Crosswalk'!$A$2:$C$182,2,FALSE),"")</f>
        <v/>
      </c>
      <c r="G1185" s="49" t="str">
        <f>IFERROR(VLOOKUP(E1185,'Condensed Specialty Crosswalk'!$A$2:$C$182,3,FALSE),"")</f>
        <v/>
      </c>
    </row>
    <row r="1186" spans="1:7" ht="15" customHeight="1">
      <c r="A1186" s="49"/>
      <c r="B1186" s="49" t="str">
        <f>CONCATENATE(Reports!E1185," ",Reports!F1185," ",Reports!G1185)</f>
        <v xml:space="preserve">  </v>
      </c>
      <c r="C1186" s="50"/>
      <c r="D1186" s="51"/>
      <c r="E1186" s="49" t="str">
        <f>IFERROR(VLOOKUP(D1186,'taxonomy map'!$A$1:$B$171,2,FALSE),"")</f>
        <v/>
      </c>
      <c r="F1186" s="49" t="str">
        <f>IFERROR(VLOOKUP(E1186,'Condensed Specialty Crosswalk'!$A$2:$C$182,2,FALSE),"")</f>
        <v/>
      </c>
      <c r="G1186" s="49" t="str">
        <f>IFERROR(VLOOKUP(E1186,'Condensed Specialty Crosswalk'!$A$2:$C$182,3,FALSE),"")</f>
        <v/>
      </c>
    </row>
    <row r="1187" spans="1:7" ht="15" customHeight="1">
      <c r="A1187" s="49"/>
      <c r="B1187" s="49" t="str">
        <f>CONCATENATE(Reports!E1186," ",Reports!F1186," ",Reports!G1186)</f>
        <v xml:space="preserve">  </v>
      </c>
      <c r="C1187" s="50"/>
      <c r="D1187" s="51"/>
      <c r="E1187" s="49" t="str">
        <f>IFERROR(VLOOKUP(D1187,'taxonomy map'!$A$1:$B$171,2,FALSE),"")</f>
        <v/>
      </c>
      <c r="F1187" s="49" t="str">
        <f>IFERROR(VLOOKUP(E1187,'Condensed Specialty Crosswalk'!$A$2:$C$182,2,FALSE),"")</f>
        <v/>
      </c>
      <c r="G1187" s="49" t="str">
        <f>IFERROR(VLOOKUP(E1187,'Condensed Specialty Crosswalk'!$A$2:$C$182,3,FALSE),"")</f>
        <v/>
      </c>
    </row>
    <row r="1188" spans="1:7" ht="15" customHeight="1">
      <c r="A1188" s="49"/>
      <c r="B1188" s="49" t="str">
        <f>CONCATENATE(Reports!E1187," ",Reports!F1187," ",Reports!G1187)</f>
        <v xml:space="preserve">  </v>
      </c>
      <c r="C1188" s="50"/>
      <c r="D1188" s="51"/>
      <c r="E1188" s="49" t="str">
        <f>IFERROR(VLOOKUP(D1188,'taxonomy map'!$A$1:$B$171,2,FALSE),"")</f>
        <v/>
      </c>
      <c r="F1188" s="49" t="str">
        <f>IFERROR(VLOOKUP(E1188,'Condensed Specialty Crosswalk'!$A$2:$C$182,2,FALSE),"")</f>
        <v/>
      </c>
      <c r="G1188" s="49" t="str">
        <f>IFERROR(VLOOKUP(E1188,'Condensed Specialty Crosswalk'!$A$2:$C$182,3,FALSE),"")</f>
        <v/>
      </c>
    </row>
    <row r="1189" spans="1:7" ht="15" customHeight="1">
      <c r="A1189" s="49"/>
      <c r="B1189" s="49" t="str">
        <f>CONCATENATE(Reports!E1188," ",Reports!F1188," ",Reports!G1188)</f>
        <v xml:space="preserve">  </v>
      </c>
      <c r="C1189" s="50"/>
      <c r="D1189" s="51"/>
      <c r="E1189" s="49" t="str">
        <f>IFERROR(VLOOKUP(D1189,'taxonomy map'!$A$1:$B$171,2,FALSE),"")</f>
        <v/>
      </c>
      <c r="F1189" s="49" t="str">
        <f>IFERROR(VLOOKUP(E1189,'Condensed Specialty Crosswalk'!$A$2:$C$182,2,FALSE),"")</f>
        <v/>
      </c>
      <c r="G1189" s="49" t="str">
        <f>IFERROR(VLOOKUP(E1189,'Condensed Specialty Crosswalk'!$A$2:$C$182,3,FALSE),"")</f>
        <v/>
      </c>
    </row>
    <row r="1190" spans="1:7" ht="15" customHeight="1">
      <c r="A1190" s="49"/>
      <c r="B1190" s="49" t="str">
        <f>CONCATENATE(Reports!E1189," ",Reports!F1189," ",Reports!G1189)</f>
        <v xml:space="preserve">  </v>
      </c>
      <c r="C1190" s="50"/>
      <c r="D1190" s="51"/>
      <c r="E1190" s="49" t="str">
        <f>IFERROR(VLOOKUP(D1190,'taxonomy map'!$A$1:$B$171,2,FALSE),"")</f>
        <v/>
      </c>
      <c r="F1190" s="49" t="str">
        <f>IFERROR(VLOOKUP(E1190,'Condensed Specialty Crosswalk'!$A$2:$C$182,2,FALSE),"")</f>
        <v/>
      </c>
      <c r="G1190" s="49" t="str">
        <f>IFERROR(VLOOKUP(E1190,'Condensed Specialty Crosswalk'!$A$2:$C$182,3,FALSE),"")</f>
        <v/>
      </c>
    </row>
    <row r="1191" spans="1:7" ht="15" customHeight="1">
      <c r="A1191" s="49"/>
      <c r="B1191" s="49" t="str">
        <f>CONCATENATE(Reports!E1190," ",Reports!F1190," ",Reports!G1190)</f>
        <v xml:space="preserve">  </v>
      </c>
      <c r="C1191" s="50"/>
      <c r="D1191" s="51"/>
      <c r="E1191" s="49" t="str">
        <f>IFERROR(VLOOKUP(D1191,'taxonomy map'!$A$1:$B$171,2,FALSE),"")</f>
        <v/>
      </c>
      <c r="F1191" s="49" t="str">
        <f>IFERROR(VLOOKUP(E1191,'Condensed Specialty Crosswalk'!$A$2:$C$182,2,FALSE),"")</f>
        <v/>
      </c>
      <c r="G1191" s="49" t="str">
        <f>IFERROR(VLOOKUP(E1191,'Condensed Specialty Crosswalk'!$A$2:$C$182,3,FALSE),"")</f>
        <v/>
      </c>
    </row>
    <row r="1192" spans="1:7" ht="15" customHeight="1">
      <c r="A1192" s="49"/>
      <c r="B1192" s="49" t="str">
        <f>CONCATENATE(Reports!E1191," ",Reports!F1191," ",Reports!G1191)</f>
        <v xml:space="preserve">  </v>
      </c>
      <c r="C1192" s="50"/>
      <c r="D1192" s="51"/>
      <c r="E1192" s="49" t="str">
        <f>IFERROR(VLOOKUP(D1192,'taxonomy map'!$A$1:$B$171,2,FALSE),"")</f>
        <v/>
      </c>
      <c r="F1192" s="49" t="str">
        <f>IFERROR(VLOOKUP(E1192,'Condensed Specialty Crosswalk'!$A$2:$C$182,2,FALSE),"")</f>
        <v/>
      </c>
      <c r="G1192" s="49" t="str">
        <f>IFERROR(VLOOKUP(E1192,'Condensed Specialty Crosswalk'!$A$2:$C$182,3,FALSE),"")</f>
        <v/>
      </c>
    </row>
    <row r="1193" spans="1:7" ht="15" customHeight="1">
      <c r="A1193" s="49"/>
      <c r="B1193" s="49" t="str">
        <f>CONCATENATE(Reports!E1192," ",Reports!F1192," ",Reports!G1192)</f>
        <v xml:space="preserve">  </v>
      </c>
      <c r="C1193" s="50"/>
      <c r="D1193" s="51"/>
      <c r="E1193" s="49" t="str">
        <f>IFERROR(VLOOKUP(D1193,'taxonomy map'!$A$1:$B$171,2,FALSE),"")</f>
        <v/>
      </c>
      <c r="F1193" s="49" t="str">
        <f>IFERROR(VLOOKUP(E1193,'Condensed Specialty Crosswalk'!$A$2:$C$182,2,FALSE),"")</f>
        <v/>
      </c>
      <c r="G1193" s="49" t="str">
        <f>IFERROR(VLOOKUP(E1193,'Condensed Specialty Crosswalk'!$A$2:$C$182,3,FALSE),"")</f>
        <v/>
      </c>
    </row>
    <row r="1194" spans="1:7" ht="15" customHeight="1">
      <c r="A1194" s="49"/>
      <c r="B1194" s="49" t="str">
        <f>CONCATENATE(Reports!E1193," ",Reports!F1193," ",Reports!G1193)</f>
        <v xml:space="preserve">  </v>
      </c>
      <c r="C1194" s="50"/>
      <c r="D1194" s="51"/>
      <c r="E1194" s="49" t="str">
        <f>IFERROR(VLOOKUP(D1194,'taxonomy map'!$A$1:$B$171,2,FALSE),"")</f>
        <v/>
      </c>
      <c r="F1194" s="49" t="str">
        <f>IFERROR(VLOOKUP(E1194,'Condensed Specialty Crosswalk'!$A$2:$C$182,2,FALSE),"")</f>
        <v/>
      </c>
      <c r="G1194" s="49" t="str">
        <f>IFERROR(VLOOKUP(E1194,'Condensed Specialty Crosswalk'!$A$2:$C$182,3,FALSE),"")</f>
        <v/>
      </c>
    </row>
    <row r="1195" spans="1:7" ht="15" customHeight="1">
      <c r="A1195" s="49"/>
      <c r="B1195" s="49" t="str">
        <f>CONCATENATE(Reports!E1194," ",Reports!F1194," ",Reports!G1194)</f>
        <v xml:space="preserve">  </v>
      </c>
      <c r="C1195" s="50"/>
      <c r="D1195" s="51"/>
      <c r="E1195" s="49" t="str">
        <f>IFERROR(VLOOKUP(D1195,'taxonomy map'!$A$1:$B$171,2,FALSE),"")</f>
        <v/>
      </c>
      <c r="F1195" s="49" t="str">
        <f>IFERROR(VLOOKUP(E1195,'Condensed Specialty Crosswalk'!$A$2:$C$182,2,FALSE),"")</f>
        <v/>
      </c>
      <c r="G1195" s="49" t="str">
        <f>IFERROR(VLOOKUP(E1195,'Condensed Specialty Crosswalk'!$A$2:$C$182,3,FALSE),"")</f>
        <v/>
      </c>
    </row>
    <row r="1196" spans="1:7" ht="15" customHeight="1">
      <c r="A1196" s="49"/>
      <c r="B1196" s="49" t="str">
        <f>CONCATENATE(Reports!E1195," ",Reports!F1195," ",Reports!G1195)</f>
        <v xml:space="preserve">  </v>
      </c>
      <c r="C1196" s="50"/>
      <c r="D1196" s="51"/>
      <c r="E1196" s="49" t="str">
        <f>IFERROR(VLOOKUP(D1196,'taxonomy map'!$A$1:$B$171,2,FALSE),"")</f>
        <v/>
      </c>
      <c r="F1196" s="49" t="str">
        <f>IFERROR(VLOOKUP(E1196,'Condensed Specialty Crosswalk'!$A$2:$C$182,2,FALSE),"")</f>
        <v/>
      </c>
      <c r="G1196" s="49" t="str">
        <f>IFERROR(VLOOKUP(E1196,'Condensed Specialty Crosswalk'!$A$2:$C$182,3,FALSE),"")</f>
        <v/>
      </c>
    </row>
    <row r="1197" spans="1:7" ht="15" customHeight="1">
      <c r="A1197" s="49"/>
      <c r="B1197" s="49" t="str">
        <f>CONCATENATE(Reports!E1196," ",Reports!F1196," ",Reports!G1196)</f>
        <v xml:space="preserve">  </v>
      </c>
      <c r="C1197" s="50"/>
      <c r="D1197" s="51"/>
      <c r="E1197" s="49" t="str">
        <f>IFERROR(VLOOKUP(D1197,'taxonomy map'!$A$1:$B$171,2,FALSE),"")</f>
        <v/>
      </c>
      <c r="F1197" s="49" t="str">
        <f>IFERROR(VLOOKUP(E1197,'Condensed Specialty Crosswalk'!$A$2:$C$182,2,FALSE),"")</f>
        <v/>
      </c>
      <c r="G1197" s="49" t="str">
        <f>IFERROR(VLOOKUP(E1197,'Condensed Specialty Crosswalk'!$A$2:$C$182,3,FALSE),"")</f>
        <v/>
      </c>
    </row>
    <row r="1198" spans="1:7" ht="15" customHeight="1">
      <c r="A1198" s="49"/>
      <c r="B1198" s="49" t="str">
        <f>CONCATENATE(Reports!E1197," ",Reports!F1197," ",Reports!G1197)</f>
        <v xml:space="preserve">  </v>
      </c>
      <c r="C1198" s="50"/>
      <c r="D1198" s="51"/>
      <c r="E1198" s="49" t="str">
        <f>IFERROR(VLOOKUP(D1198,'taxonomy map'!$A$1:$B$171,2,FALSE),"")</f>
        <v/>
      </c>
      <c r="F1198" s="49" t="str">
        <f>IFERROR(VLOOKUP(E1198,'Condensed Specialty Crosswalk'!$A$2:$C$182,2,FALSE),"")</f>
        <v/>
      </c>
      <c r="G1198" s="49" t="str">
        <f>IFERROR(VLOOKUP(E1198,'Condensed Specialty Crosswalk'!$A$2:$C$182,3,FALSE),"")</f>
        <v/>
      </c>
    </row>
    <row r="1199" spans="1:7" ht="15" customHeight="1">
      <c r="A1199" s="49"/>
      <c r="B1199" s="49" t="str">
        <f>CONCATENATE(Reports!E1198," ",Reports!F1198," ",Reports!G1198)</f>
        <v xml:space="preserve">  </v>
      </c>
      <c r="C1199" s="50"/>
      <c r="D1199" s="51"/>
      <c r="E1199" s="49" t="str">
        <f>IFERROR(VLOOKUP(D1199,'taxonomy map'!$A$1:$B$171,2,FALSE),"")</f>
        <v/>
      </c>
      <c r="F1199" s="49" t="str">
        <f>IFERROR(VLOOKUP(E1199,'Condensed Specialty Crosswalk'!$A$2:$C$182,2,FALSE),"")</f>
        <v/>
      </c>
      <c r="G1199" s="49" t="str">
        <f>IFERROR(VLOOKUP(E1199,'Condensed Specialty Crosswalk'!$A$2:$C$182,3,FALSE),"")</f>
        <v/>
      </c>
    </row>
    <row r="1200" spans="1:7" ht="15" customHeight="1">
      <c r="A1200" s="49"/>
      <c r="B1200" s="49" t="str">
        <f>CONCATENATE(Reports!E1199," ",Reports!F1199," ",Reports!G1199)</f>
        <v xml:space="preserve">  </v>
      </c>
      <c r="C1200" s="50"/>
      <c r="D1200" s="51"/>
      <c r="E1200" s="49" t="str">
        <f>IFERROR(VLOOKUP(D1200,'taxonomy map'!$A$1:$B$171,2,FALSE),"")</f>
        <v/>
      </c>
      <c r="F1200" s="49" t="str">
        <f>IFERROR(VLOOKUP(E1200,'Condensed Specialty Crosswalk'!$A$2:$C$182,2,FALSE),"")</f>
        <v/>
      </c>
      <c r="G1200" s="49" t="str">
        <f>IFERROR(VLOOKUP(E1200,'Condensed Specialty Crosswalk'!$A$2:$C$182,3,FALSE),"")</f>
        <v/>
      </c>
    </row>
    <row r="1201" spans="1:7" ht="15" customHeight="1">
      <c r="A1201" s="49"/>
      <c r="B1201" s="49" t="str">
        <f>CONCATENATE(Reports!E1200," ",Reports!F1200," ",Reports!G1200)</f>
        <v xml:space="preserve">  </v>
      </c>
      <c r="C1201" s="50"/>
      <c r="D1201" s="51"/>
      <c r="E1201" s="49" t="str">
        <f>IFERROR(VLOOKUP(D1201,'taxonomy map'!$A$1:$B$171,2,FALSE),"")</f>
        <v/>
      </c>
      <c r="F1201" s="49" t="str">
        <f>IFERROR(VLOOKUP(E1201,'Condensed Specialty Crosswalk'!$A$2:$C$182,2,FALSE),"")</f>
        <v/>
      </c>
      <c r="G1201" s="49" t="str">
        <f>IFERROR(VLOOKUP(E1201,'Condensed Specialty Crosswalk'!$A$2:$C$182,3,FALSE),"")</f>
        <v/>
      </c>
    </row>
    <row r="1202" spans="1:7" ht="15" customHeight="1">
      <c r="A1202" s="49"/>
      <c r="B1202" s="49" t="str">
        <f>CONCATENATE(Reports!E1201," ",Reports!F1201," ",Reports!G1201)</f>
        <v xml:space="preserve">  </v>
      </c>
      <c r="C1202" s="50"/>
      <c r="D1202" s="51"/>
      <c r="E1202" s="49" t="str">
        <f>IFERROR(VLOOKUP(D1202,'taxonomy map'!$A$1:$B$171,2,FALSE),"")</f>
        <v/>
      </c>
      <c r="F1202" s="49" t="str">
        <f>IFERROR(VLOOKUP(E1202,'Condensed Specialty Crosswalk'!$A$2:$C$182,2,FALSE),"")</f>
        <v/>
      </c>
      <c r="G1202" s="49" t="str">
        <f>IFERROR(VLOOKUP(E1202,'Condensed Specialty Crosswalk'!$A$2:$C$182,3,FALSE),"")</f>
        <v/>
      </c>
    </row>
    <row r="1203" spans="1:7" ht="15" customHeight="1">
      <c r="A1203" s="49"/>
      <c r="B1203" s="49" t="str">
        <f>CONCATENATE(Reports!E1202," ",Reports!F1202," ",Reports!G1202)</f>
        <v xml:space="preserve">  </v>
      </c>
      <c r="C1203" s="50"/>
      <c r="D1203" s="51"/>
      <c r="E1203" s="49" t="str">
        <f>IFERROR(VLOOKUP(D1203,'taxonomy map'!$A$1:$B$171,2,FALSE),"")</f>
        <v/>
      </c>
      <c r="F1203" s="49" t="str">
        <f>IFERROR(VLOOKUP(E1203,'Condensed Specialty Crosswalk'!$A$2:$C$182,2,FALSE),"")</f>
        <v/>
      </c>
      <c r="G1203" s="49" t="str">
        <f>IFERROR(VLOOKUP(E1203,'Condensed Specialty Crosswalk'!$A$2:$C$182,3,FALSE),"")</f>
        <v/>
      </c>
    </row>
    <row r="1204" spans="1:7" ht="15" customHeight="1">
      <c r="A1204" s="49"/>
      <c r="B1204" s="49" t="str">
        <f>CONCATENATE(Reports!E1203," ",Reports!F1203," ",Reports!G1203)</f>
        <v xml:space="preserve">  </v>
      </c>
      <c r="C1204" s="50"/>
      <c r="D1204" s="51"/>
      <c r="E1204" s="49" t="str">
        <f>IFERROR(VLOOKUP(D1204,'taxonomy map'!$A$1:$B$171,2,FALSE),"")</f>
        <v/>
      </c>
      <c r="F1204" s="49" t="str">
        <f>IFERROR(VLOOKUP(E1204,'Condensed Specialty Crosswalk'!$A$2:$C$182,2,FALSE),"")</f>
        <v/>
      </c>
      <c r="G1204" s="49" t="str">
        <f>IFERROR(VLOOKUP(E1204,'Condensed Specialty Crosswalk'!$A$2:$C$182,3,FALSE),"")</f>
        <v/>
      </c>
    </row>
    <row r="1205" spans="1:7" ht="15" customHeight="1">
      <c r="A1205" s="49"/>
      <c r="B1205" s="49" t="str">
        <f>CONCATENATE(Reports!E1204," ",Reports!F1204," ",Reports!G1204)</f>
        <v xml:space="preserve">  </v>
      </c>
      <c r="C1205" s="50"/>
      <c r="D1205" s="51"/>
      <c r="E1205" s="49" t="str">
        <f>IFERROR(VLOOKUP(D1205,'taxonomy map'!$A$1:$B$171,2,FALSE),"")</f>
        <v/>
      </c>
      <c r="F1205" s="49" t="str">
        <f>IFERROR(VLOOKUP(E1205,'Condensed Specialty Crosswalk'!$A$2:$C$182,2,FALSE),"")</f>
        <v/>
      </c>
      <c r="G1205" s="49" t="str">
        <f>IFERROR(VLOOKUP(E1205,'Condensed Specialty Crosswalk'!$A$2:$C$182,3,FALSE),"")</f>
        <v/>
      </c>
    </row>
    <row r="1206" spans="1:7" ht="15" customHeight="1">
      <c r="A1206" s="49"/>
      <c r="B1206" s="49" t="str">
        <f>CONCATENATE(Reports!E1205," ",Reports!F1205," ",Reports!G1205)</f>
        <v xml:space="preserve">  </v>
      </c>
      <c r="C1206" s="50"/>
      <c r="D1206" s="51"/>
      <c r="E1206" s="49" t="str">
        <f>IFERROR(VLOOKUP(D1206,'taxonomy map'!$A$1:$B$171,2,FALSE),"")</f>
        <v/>
      </c>
      <c r="F1206" s="49" t="str">
        <f>IFERROR(VLOOKUP(E1206,'Condensed Specialty Crosswalk'!$A$2:$C$182,2,FALSE),"")</f>
        <v/>
      </c>
      <c r="G1206" s="49" t="str">
        <f>IFERROR(VLOOKUP(E1206,'Condensed Specialty Crosswalk'!$A$2:$C$182,3,FALSE),"")</f>
        <v/>
      </c>
    </row>
    <row r="1207" spans="1:7" ht="15" customHeight="1">
      <c r="A1207" s="49"/>
      <c r="B1207" s="49" t="str">
        <f>CONCATENATE(Reports!E1206," ",Reports!F1206," ",Reports!G1206)</f>
        <v xml:space="preserve">  </v>
      </c>
      <c r="C1207" s="50"/>
      <c r="D1207" s="51"/>
      <c r="E1207" s="49" t="str">
        <f>IFERROR(VLOOKUP(D1207,'taxonomy map'!$A$1:$B$171,2,FALSE),"")</f>
        <v/>
      </c>
      <c r="F1207" s="49" t="str">
        <f>IFERROR(VLOOKUP(E1207,'Condensed Specialty Crosswalk'!$A$2:$C$182,2,FALSE),"")</f>
        <v/>
      </c>
      <c r="G1207" s="49" t="str">
        <f>IFERROR(VLOOKUP(E1207,'Condensed Specialty Crosswalk'!$A$2:$C$182,3,FALSE),"")</f>
        <v/>
      </c>
    </row>
    <row r="1208" spans="1:7" ht="15" customHeight="1">
      <c r="A1208" s="49"/>
      <c r="B1208" s="49" t="str">
        <f>CONCATENATE(Reports!E1207," ",Reports!F1207," ",Reports!G1207)</f>
        <v xml:space="preserve">  </v>
      </c>
      <c r="C1208" s="50"/>
      <c r="D1208" s="51"/>
      <c r="E1208" s="49" t="str">
        <f>IFERROR(VLOOKUP(D1208,'taxonomy map'!$A$1:$B$171,2,FALSE),"")</f>
        <v/>
      </c>
      <c r="F1208" s="49" t="str">
        <f>IFERROR(VLOOKUP(E1208,'Condensed Specialty Crosswalk'!$A$2:$C$182,2,FALSE),"")</f>
        <v/>
      </c>
      <c r="G1208" s="49" t="str">
        <f>IFERROR(VLOOKUP(E1208,'Condensed Specialty Crosswalk'!$A$2:$C$182,3,FALSE),"")</f>
        <v/>
      </c>
    </row>
    <row r="1209" spans="1:7" ht="15" customHeight="1">
      <c r="A1209" s="49"/>
      <c r="B1209" s="49" t="str">
        <f>CONCATENATE(Reports!E1208," ",Reports!F1208," ",Reports!G1208)</f>
        <v xml:space="preserve">  </v>
      </c>
      <c r="C1209" s="50"/>
      <c r="D1209" s="51"/>
      <c r="E1209" s="49" t="str">
        <f>IFERROR(VLOOKUP(D1209,'taxonomy map'!$A$1:$B$171,2,FALSE),"")</f>
        <v/>
      </c>
      <c r="F1209" s="49" t="str">
        <f>IFERROR(VLOOKUP(E1209,'Condensed Specialty Crosswalk'!$A$2:$C$182,2,FALSE),"")</f>
        <v/>
      </c>
      <c r="G1209" s="49" t="str">
        <f>IFERROR(VLOOKUP(E1209,'Condensed Specialty Crosswalk'!$A$2:$C$182,3,FALSE),"")</f>
        <v/>
      </c>
    </row>
    <row r="1210" spans="1:7" ht="15" customHeight="1">
      <c r="A1210" s="49"/>
      <c r="B1210" s="49" t="str">
        <f>CONCATENATE(Reports!E1209," ",Reports!F1209," ",Reports!G1209)</f>
        <v xml:space="preserve">  </v>
      </c>
      <c r="C1210" s="50"/>
      <c r="D1210" s="51"/>
      <c r="E1210" s="49" t="str">
        <f>IFERROR(VLOOKUP(D1210,'taxonomy map'!$A$1:$B$171,2,FALSE),"")</f>
        <v/>
      </c>
      <c r="F1210" s="49" t="str">
        <f>IFERROR(VLOOKUP(E1210,'Condensed Specialty Crosswalk'!$A$2:$C$182,2,FALSE),"")</f>
        <v/>
      </c>
      <c r="G1210" s="49" t="str">
        <f>IFERROR(VLOOKUP(E1210,'Condensed Specialty Crosswalk'!$A$2:$C$182,3,FALSE),"")</f>
        <v/>
      </c>
    </row>
    <row r="1211" spans="1:7" ht="15" customHeight="1">
      <c r="A1211" s="49"/>
      <c r="B1211" s="49" t="str">
        <f>CONCATENATE(Reports!E1210," ",Reports!F1210," ",Reports!G1210)</f>
        <v xml:space="preserve">  </v>
      </c>
      <c r="C1211" s="50"/>
      <c r="D1211" s="51"/>
      <c r="E1211" s="49" t="str">
        <f>IFERROR(VLOOKUP(D1211,'taxonomy map'!$A$1:$B$171,2,FALSE),"")</f>
        <v/>
      </c>
      <c r="F1211" s="49" t="str">
        <f>IFERROR(VLOOKUP(E1211,'Condensed Specialty Crosswalk'!$A$2:$C$182,2,FALSE),"")</f>
        <v/>
      </c>
      <c r="G1211" s="49" t="str">
        <f>IFERROR(VLOOKUP(E1211,'Condensed Specialty Crosswalk'!$A$2:$C$182,3,FALSE),"")</f>
        <v/>
      </c>
    </row>
    <row r="1212" spans="1:7" ht="15" customHeight="1">
      <c r="A1212" s="49"/>
      <c r="B1212" s="49" t="str">
        <f>CONCATENATE(Reports!E1211," ",Reports!F1211," ",Reports!G1211)</f>
        <v xml:space="preserve">  </v>
      </c>
      <c r="C1212" s="50"/>
      <c r="D1212" s="51"/>
      <c r="E1212" s="49" t="str">
        <f>IFERROR(VLOOKUP(D1212,'taxonomy map'!$A$1:$B$171,2,FALSE),"")</f>
        <v/>
      </c>
      <c r="F1212" s="49" t="str">
        <f>IFERROR(VLOOKUP(E1212,'Condensed Specialty Crosswalk'!$A$2:$C$182,2,FALSE),"")</f>
        <v/>
      </c>
      <c r="G1212" s="49" t="str">
        <f>IFERROR(VLOOKUP(E1212,'Condensed Specialty Crosswalk'!$A$2:$C$182,3,FALSE),"")</f>
        <v/>
      </c>
    </row>
    <row r="1213" spans="1:7" ht="15" customHeight="1">
      <c r="A1213" s="49"/>
      <c r="B1213" s="49" t="str">
        <f>CONCATENATE(Reports!E1212," ",Reports!F1212," ",Reports!G1212)</f>
        <v xml:space="preserve">  </v>
      </c>
      <c r="C1213" s="50"/>
      <c r="D1213" s="51"/>
      <c r="E1213" s="49" t="str">
        <f>IFERROR(VLOOKUP(D1213,'taxonomy map'!$A$1:$B$171,2,FALSE),"")</f>
        <v/>
      </c>
      <c r="F1213" s="49" t="str">
        <f>IFERROR(VLOOKUP(E1213,'Condensed Specialty Crosswalk'!$A$2:$C$182,2,FALSE),"")</f>
        <v/>
      </c>
      <c r="G1213" s="49" t="str">
        <f>IFERROR(VLOOKUP(E1213,'Condensed Specialty Crosswalk'!$A$2:$C$182,3,FALSE),"")</f>
        <v/>
      </c>
    </row>
    <row r="1214" spans="1:7" ht="15" customHeight="1">
      <c r="A1214" s="49"/>
      <c r="B1214" s="49" t="str">
        <f>CONCATENATE(Reports!E1213," ",Reports!F1213," ",Reports!G1213)</f>
        <v xml:space="preserve">  </v>
      </c>
      <c r="C1214" s="50"/>
      <c r="D1214" s="51"/>
      <c r="E1214" s="49" t="str">
        <f>IFERROR(VLOOKUP(D1214,'taxonomy map'!$A$1:$B$171,2,FALSE),"")</f>
        <v/>
      </c>
      <c r="F1214" s="49" t="str">
        <f>IFERROR(VLOOKUP(E1214,'Condensed Specialty Crosswalk'!$A$2:$C$182,2,FALSE),"")</f>
        <v/>
      </c>
      <c r="G1214" s="49" t="str">
        <f>IFERROR(VLOOKUP(E1214,'Condensed Specialty Crosswalk'!$A$2:$C$182,3,FALSE),"")</f>
        <v/>
      </c>
    </row>
    <row r="1215" spans="1:7" ht="15" customHeight="1">
      <c r="A1215" s="49"/>
      <c r="B1215" s="49" t="str">
        <f>CONCATENATE(Reports!E1214," ",Reports!F1214," ",Reports!G1214)</f>
        <v xml:space="preserve">  </v>
      </c>
      <c r="C1215" s="50"/>
      <c r="D1215" s="51"/>
      <c r="E1215" s="49" t="str">
        <f>IFERROR(VLOOKUP(D1215,'taxonomy map'!$A$1:$B$171,2,FALSE),"")</f>
        <v/>
      </c>
      <c r="F1215" s="49" t="str">
        <f>IFERROR(VLOOKUP(E1215,'Condensed Specialty Crosswalk'!$A$2:$C$182,2,FALSE),"")</f>
        <v/>
      </c>
      <c r="G1215" s="49" t="str">
        <f>IFERROR(VLOOKUP(E1215,'Condensed Specialty Crosswalk'!$A$2:$C$182,3,FALSE),"")</f>
        <v/>
      </c>
    </row>
    <row r="1216" spans="1:7" ht="15" customHeight="1">
      <c r="A1216" s="49"/>
      <c r="B1216" s="49" t="str">
        <f>CONCATENATE(Reports!E1215," ",Reports!F1215," ",Reports!G1215)</f>
        <v xml:space="preserve">  </v>
      </c>
      <c r="C1216" s="50"/>
      <c r="D1216" s="51"/>
      <c r="E1216" s="49" t="str">
        <f>IFERROR(VLOOKUP(D1216,'taxonomy map'!$A$1:$B$171,2,FALSE),"")</f>
        <v/>
      </c>
      <c r="F1216" s="49" t="str">
        <f>IFERROR(VLOOKUP(E1216,'Condensed Specialty Crosswalk'!$A$2:$C$182,2,FALSE),"")</f>
        <v/>
      </c>
      <c r="G1216" s="49" t="str">
        <f>IFERROR(VLOOKUP(E1216,'Condensed Specialty Crosswalk'!$A$2:$C$182,3,FALSE),"")</f>
        <v/>
      </c>
    </row>
    <row r="1217" spans="1:7" ht="15" customHeight="1">
      <c r="A1217" s="49"/>
      <c r="B1217" s="49" t="str">
        <f>CONCATENATE(Reports!E1216," ",Reports!F1216," ",Reports!G1216)</f>
        <v xml:space="preserve">  </v>
      </c>
      <c r="C1217" s="50"/>
      <c r="D1217" s="51"/>
      <c r="E1217" s="49" t="str">
        <f>IFERROR(VLOOKUP(D1217,'taxonomy map'!$A$1:$B$171,2,FALSE),"")</f>
        <v/>
      </c>
      <c r="F1217" s="49" t="str">
        <f>IFERROR(VLOOKUP(E1217,'Condensed Specialty Crosswalk'!$A$2:$C$182,2,FALSE),"")</f>
        <v/>
      </c>
      <c r="G1217" s="49" t="str">
        <f>IFERROR(VLOOKUP(E1217,'Condensed Specialty Crosswalk'!$A$2:$C$182,3,FALSE),"")</f>
        <v/>
      </c>
    </row>
    <row r="1218" spans="1:7" ht="15" customHeight="1">
      <c r="A1218" s="49"/>
      <c r="B1218" s="49" t="str">
        <f>CONCATENATE(Reports!E1217," ",Reports!F1217," ",Reports!G1217)</f>
        <v xml:space="preserve">  </v>
      </c>
      <c r="C1218" s="50"/>
      <c r="D1218" s="51"/>
      <c r="E1218" s="49" t="str">
        <f>IFERROR(VLOOKUP(D1218,'taxonomy map'!$A$1:$B$171,2,FALSE),"")</f>
        <v/>
      </c>
      <c r="F1218" s="49" t="str">
        <f>IFERROR(VLOOKUP(E1218,'Condensed Specialty Crosswalk'!$A$2:$C$182,2,FALSE),"")</f>
        <v/>
      </c>
      <c r="G1218" s="49" t="str">
        <f>IFERROR(VLOOKUP(E1218,'Condensed Specialty Crosswalk'!$A$2:$C$182,3,FALSE),"")</f>
        <v/>
      </c>
    </row>
    <row r="1219" spans="1:7" ht="15" customHeight="1">
      <c r="A1219" s="49"/>
      <c r="B1219" s="49" t="str">
        <f>CONCATENATE(Reports!E1218," ",Reports!F1218," ",Reports!G1218)</f>
        <v xml:space="preserve">  </v>
      </c>
      <c r="C1219" s="50"/>
      <c r="D1219" s="51"/>
      <c r="E1219" s="49" t="str">
        <f>IFERROR(VLOOKUP(D1219,'taxonomy map'!$A$1:$B$171,2,FALSE),"")</f>
        <v/>
      </c>
      <c r="F1219" s="49" t="str">
        <f>IFERROR(VLOOKUP(E1219,'Condensed Specialty Crosswalk'!$A$2:$C$182,2,FALSE),"")</f>
        <v/>
      </c>
      <c r="G1219" s="49" t="str">
        <f>IFERROR(VLOOKUP(E1219,'Condensed Specialty Crosswalk'!$A$2:$C$182,3,FALSE),"")</f>
        <v/>
      </c>
    </row>
    <row r="1220" spans="1:7" ht="15" customHeight="1">
      <c r="A1220" s="49"/>
      <c r="B1220" s="49" t="str">
        <f>CONCATENATE(Reports!E1219," ",Reports!F1219," ",Reports!G1219)</f>
        <v xml:space="preserve">  </v>
      </c>
      <c r="C1220" s="50"/>
      <c r="D1220" s="51"/>
      <c r="E1220" s="49" t="str">
        <f>IFERROR(VLOOKUP(D1220,'taxonomy map'!$A$1:$B$171,2,FALSE),"")</f>
        <v/>
      </c>
      <c r="F1220" s="49" t="str">
        <f>IFERROR(VLOOKUP(E1220,'Condensed Specialty Crosswalk'!$A$2:$C$182,2,FALSE),"")</f>
        <v/>
      </c>
      <c r="G1220" s="49" t="str">
        <f>IFERROR(VLOOKUP(E1220,'Condensed Specialty Crosswalk'!$A$2:$C$182,3,FALSE),"")</f>
        <v/>
      </c>
    </row>
    <row r="1221" spans="1:7" ht="15" customHeight="1">
      <c r="A1221" s="49"/>
      <c r="B1221" s="49" t="str">
        <f>CONCATENATE(Reports!E1220," ",Reports!F1220," ",Reports!G1220)</f>
        <v xml:space="preserve">  </v>
      </c>
      <c r="C1221" s="50"/>
      <c r="D1221" s="51"/>
      <c r="E1221" s="49" t="str">
        <f>IFERROR(VLOOKUP(D1221,'taxonomy map'!$A$1:$B$171,2,FALSE),"")</f>
        <v/>
      </c>
      <c r="F1221" s="49" t="str">
        <f>IFERROR(VLOOKUP(E1221,'Condensed Specialty Crosswalk'!$A$2:$C$182,2,FALSE),"")</f>
        <v/>
      </c>
      <c r="G1221" s="49" t="str">
        <f>IFERROR(VLOOKUP(E1221,'Condensed Specialty Crosswalk'!$A$2:$C$182,3,FALSE),"")</f>
        <v/>
      </c>
    </row>
    <row r="1222" spans="1:7" ht="15" customHeight="1">
      <c r="A1222" s="49"/>
      <c r="B1222" s="49" t="str">
        <f>CONCATENATE(Reports!E1221," ",Reports!F1221," ",Reports!G1221)</f>
        <v xml:space="preserve">  </v>
      </c>
      <c r="C1222" s="50"/>
      <c r="D1222" s="51"/>
      <c r="E1222" s="49" t="str">
        <f>IFERROR(VLOOKUP(D1222,'taxonomy map'!$A$1:$B$171,2,FALSE),"")</f>
        <v/>
      </c>
      <c r="F1222" s="49" t="str">
        <f>IFERROR(VLOOKUP(E1222,'Condensed Specialty Crosswalk'!$A$2:$C$182,2,FALSE),"")</f>
        <v/>
      </c>
      <c r="G1222" s="49" t="str">
        <f>IFERROR(VLOOKUP(E1222,'Condensed Specialty Crosswalk'!$A$2:$C$182,3,FALSE),"")</f>
        <v/>
      </c>
    </row>
    <row r="1223" spans="1:7" ht="15" customHeight="1">
      <c r="A1223" s="49"/>
      <c r="B1223" s="49" t="str">
        <f>CONCATENATE(Reports!E1222," ",Reports!F1222," ",Reports!G1222)</f>
        <v xml:space="preserve">  </v>
      </c>
      <c r="C1223" s="50"/>
      <c r="D1223" s="51"/>
      <c r="E1223" s="49" t="str">
        <f>IFERROR(VLOOKUP(D1223,'taxonomy map'!$A$1:$B$171,2,FALSE),"")</f>
        <v/>
      </c>
      <c r="F1223" s="49" t="str">
        <f>IFERROR(VLOOKUP(E1223,'Condensed Specialty Crosswalk'!$A$2:$C$182,2,FALSE),"")</f>
        <v/>
      </c>
      <c r="G1223" s="49" t="str">
        <f>IFERROR(VLOOKUP(E1223,'Condensed Specialty Crosswalk'!$A$2:$C$182,3,FALSE),"")</f>
        <v/>
      </c>
    </row>
    <row r="1224" spans="1:7" ht="15" customHeight="1">
      <c r="A1224" s="49"/>
      <c r="B1224" s="49" t="str">
        <f>CONCATENATE(Reports!E1223," ",Reports!F1223," ",Reports!G1223)</f>
        <v xml:space="preserve">  </v>
      </c>
      <c r="C1224" s="50"/>
      <c r="D1224" s="51"/>
      <c r="E1224" s="49" t="str">
        <f>IFERROR(VLOOKUP(D1224,'taxonomy map'!$A$1:$B$171,2,FALSE),"")</f>
        <v/>
      </c>
      <c r="F1224" s="49" t="str">
        <f>IFERROR(VLOOKUP(E1224,'Condensed Specialty Crosswalk'!$A$2:$C$182,2,FALSE),"")</f>
        <v/>
      </c>
      <c r="G1224" s="49" t="str">
        <f>IFERROR(VLOOKUP(E1224,'Condensed Specialty Crosswalk'!$A$2:$C$182,3,FALSE),"")</f>
        <v/>
      </c>
    </row>
    <row r="1225" spans="1:7" ht="15" customHeight="1">
      <c r="A1225" s="49"/>
      <c r="B1225" s="49" t="str">
        <f>CONCATENATE(Reports!E1224," ",Reports!F1224," ",Reports!G1224)</f>
        <v xml:space="preserve">  </v>
      </c>
      <c r="C1225" s="50"/>
      <c r="D1225" s="51"/>
      <c r="E1225" s="49" t="str">
        <f>IFERROR(VLOOKUP(D1225,'taxonomy map'!$A$1:$B$171,2,FALSE),"")</f>
        <v/>
      </c>
      <c r="F1225" s="49" t="str">
        <f>IFERROR(VLOOKUP(E1225,'Condensed Specialty Crosswalk'!$A$2:$C$182,2,FALSE),"")</f>
        <v/>
      </c>
      <c r="G1225" s="49" t="str">
        <f>IFERROR(VLOOKUP(E1225,'Condensed Specialty Crosswalk'!$A$2:$C$182,3,FALSE),"")</f>
        <v/>
      </c>
    </row>
    <row r="1226" spans="1:7" ht="15" customHeight="1">
      <c r="A1226" s="49"/>
      <c r="B1226" s="49" t="str">
        <f>CONCATENATE(Reports!E1225," ",Reports!F1225," ",Reports!G1225)</f>
        <v xml:space="preserve">  </v>
      </c>
      <c r="C1226" s="50"/>
      <c r="D1226" s="51"/>
      <c r="E1226" s="49" t="str">
        <f>IFERROR(VLOOKUP(D1226,'taxonomy map'!$A$1:$B$171,2,FALSE),"")</f>
        <v/>
      </c>
      <c r="F1226" s="49" t="str">
        <f>IFERROR(VLOOKUP(E1226,'Condensed Specialty Crosswalk'!$A$2:$C$182,2,FALSE),"")</f>
        <v/>
      </c>
      <c r="G1226" s="49" t="str">
        <f>IFERROR(VLOOKUP(E1226,'Condensed Specialty Crosswalk'!$A$2:$C$182,3,FALSE),"")</f>
        <v/>
      </c>
    </row>
    <row r="1227" spans="1:7" ht="15" customHeight="1">
      <c r="A1227" s="49"/>
      <c r="B1227" s="49" t="str">
        <f>CONCATENATE(Reports!E1226," ",Reports!F1226," ",Reports!G1226)</f>
        <v xml:space="preserve">  </v>
      </c>
      <c r="C1227" s="50"/>
      <c r="D1227" s="51"/>
      <c r="E1227" s="49" t="str">
        <f>IFERROR(VLOOKUP(D1227,'taxonomy map'!$A$1:$B$171,2,FALSE),"")</f>
        <v/>
      </c>
      <c r="F1227" s="49" t="str">
        <f>IFERROR(VLOOKUP(E1227,'Condensed Specialty Crosswalk'!$A$2:$C$182,2,FALSE),"")</f>
        <v/>
      </c>
      <c r="G1227" s="49" t="str">
        <f>IFERROR(VLOOKUP(E1227,'Condensed Specialty Crosswalk'!$A$2:$C$182,3,FALSE),"")</f>
        <v/>
      </c>
    </row>
    <row r="1228" spans="1:7" ht="15" customHeight="1">
      <c r="A1228" s="49"/>
      <c r="B1228" s="49" t="str">
        <f>CONCATENATE(Reports!E1227," ",Reports!F1227," ",Reports!G1227)</f>
        <v xml:space="preserve">  </v>
      </c>
      <c r="C1228" s="50"/>
      <c r="D1228" s="51"/>
      <c r="E1228" s="49" t="str">
        <f>IFERROR(VLOOKUP(D1228,'taxonomy map'!$A$1:$B$171,2,FALSE),"")</f>
        <v/>
      </c>
      <c r="F1228" s="49" t="str">
        <f>IFERROR(VLOOKUP(E1228,'Condensed Specialty Crosswalk'!$A$2:$C$182,2,FALSE),"")</f>
        <v/>
      </c>
      <c r="G1228" s="49" t="str">
        <f>IFERROR(VLOOKUP(E1228,'Condensed Specialty Crosswalk'!$A$2:$C$182,3,FALSE),"")</f>
        <v/>
      </c>
    </row>
    <row r="1229" spans="1:7" ht="15" customHeight="1">
      <c r="A1229" s="49"/>
      <c r="B1229" s="49" t="str">
        <f>CONCATENATE(Reports!E1228," ",Reports!F1228," ",Reports!G1228)</f>
        <v xml:space="preserve">  </v>
      </c>
      <c r="C1229" s="50"/>
      <c r="D1229" s="51"/>
      <c r="E1229" s="49" t="str">
        <f>IFERROR(VLOOKUP(D1229,'taxonomy map'!$A$1:$B$171,2,FALSE),"")</f>
        <v/>
      </c>
      <c r="F1229" s="49" t="str">
        <f>IFERROR(VLOOKUP(E1229,'Condensed Specialty Crosswalk'!$A$2:$C$182,2,FALSE),"")</f>
        <v/>
      </c>
      <c r="G1229" s="49" t="str">
        <f>IFERROR(VLOOKUP(E1229,'Condensed Specialty Crosswalk'!$A$2:$C$182,3,FALSE),"")</f>
        <v/>
      </c>
    </row>
    <row r="1230" spans="1:7" ht="15" customHeight="1">
      <c r="A1230" s="49"/>
      <c r="B1230" s="49" t="str">
        <f>CONCATENATE(Reports!E1229," ",Reports!F1229," ",Reports!G1229)</f>
        <v xml:space="preserve">  </v>
      </c>
      <c r="C1230" s="50"/>
      <c r="D1230" s="51"/>
      <c r="E1230" s="49" t="str">
        <f>IFERROR(VLOOKUP(D1230,'taxonomy map'!$A$1:$B$171,2,FALSE),"")</f>
        <v/>
      </c>
      <c r="F1230" s="49" t="str">
        <f>IFERROR(VLOOKUP(E1230,'Condensed Specialty Crosswalk'!$A$2:$C$182,2,FALSE),"")</f>
        <v/>
      </c>
      <c r="G1230" s="49" t="str">
        <f>IFERROR(VLOOKUP(E1230,'Condensed Specialty Crosswalk'!$A$2:$C$182,3,FALSE),"")</f>
        <v/>
      </c>
    </row>
    <row r="1231" spans="1:7" ht="15" customHeight="1">
      <c r="A1231" s="49"/>
      <c r="B1231" s="49" t="str">
        <f>CONCATENATE(Reports!E1230," ",Reports!F1230," ",Reports!G1230)</f>
        <v xml:space="preserve">  </v>
      </c>
      <c r="C1231" s="50"/>
      <c r="D1231" s="51"/>
      <c r="E1231" s="49" t="str">
        <f>IFERROR(VLOOKUP(D1231,'taxonomy map'!$A$1:$B$171,2,FALSE),"")</f>
        <v/>
      </c>
      <c r="F1231" s="49" t="str">
        <f>IFERROR(VLOOKUP(E1231,'Condensed Specialty Crosswalk'!$A$2:$C$182,2,FALSE),"")</f>
        <v/>
      </c>
      <c r="G1231" s="49" t="str">
        <f>IFERROR(VLOOKUP(E1231,'Condensed Specialty Crosswalk'!$A$2:$C$182,3,FALSE),"")</f>
        <v/>
      </c>
    </row>
    <row r="1232" spans="1:7" ht="15" customHeight="1">
      <c r="A1232" s="49"/>
      <c r="B1232" s="49" t="str">
        <f>CONCATENATE(Reports!E1231," ",Reports!F1231," ",Reports!G1231)</f>
        <v xml:space="preserve">  </v>
      </c>
      <c r="C1232" s="50"/>
      <c r="D1232" s="51"/>
      <c r="E1232" s="49" t="str">
        <f>IFERROR(VLOOKUP(D1232,'taxonomy map'!$A$1:$B$171,2,FALSE),"")</f>
        <v/>
      </c>
      <c r="F1232" s="49" t="str">
        <f>IFERROR(VLOOKUP(E1232,'Condensed Specialty Crosswalk'!$A$2:$C$182,2,FALSE),"")</f>
        <v/>
      </c>
      <c r="G1232" s="49" t="str">
        <f>IFERROR(VLOOKUP(E1232,'Condensed Specialty Crosswalk'!$A$2:$C$182,3,FALSE),"")</f>
        <v/>
      </c>
    </row>
    <row r="1233" spans="1:7" ht="15" customHeight="1">
      <c r="A1233" s="49"/>
      <c r="B1233" s="49" t="str">
        <f>CONCATENATE(Reports!E1232," ",Reports!F1232," ",Reports!G1232)</f>
        <v xml:space="preserve">  </v>
      </c>
      <c r="C1233" s="50"/>
      <c r="D1233" s="51"/>
      <c r="E1233" s="49" t="str">
        <f>IFERROR(VLOOKUP(D1233,'taxonomy map'!$A$1:$B$171,2,FALSE),"")</f>
        <v/>
      </c>
      <c r="F1233" s="49" t="str">
        <f>IFERROR(VLOOKUP(E1233,'Condensed Specialty Crosswalk'!$A$2:$C$182,2,FALSE),"")</f>
        <v/>
      </c>
      <c r="G1233" s="49" t="str">
        <f>IFERROR(VLOOKUP(E1233,'Condensed Specialty Crosswalk'!$A$2:$C$182,3,FALSE),"")</f>
        <v/>
      </c>
    </row>
    <row r="1234" spans="1:7" ht="15" customHeight="1">
      <c r="A1234" s="49"/>
      <c r="B1234" s="49" t="str">
        <f>CONCATENATE(Reports!E1233," ",Reports!F1233," ",Reports!G1233)</f>
        <v xml:space="preserve">  </v>
      </c>
      <c r="C1234" s="50"/>
      <c r="D1234" s="51"/>
      <c r="E1234" s="49" t="str">
        <f>IFERROR(VLOOKUP(D1234,'taxonomy map'!$A$1:$B$171,2,FALSE),"")</f>
        <v/>
      </c>
      <c r="F1234" s="49" t="str">
        <f>IFERROR(VLOOKUP(E1234,'Condensed Specialty Crosswalk'!$A$2:$C$182,2,FALSE),"")</f>
        <v/>
      </c>
      <c r="G1234" s="49" t="str">
        <f>IFERROR(VLOOKUP(E1234,'Condensed Specialty Crosswalk'!$A$2:$C$182,3,FALSE),"")</f>
        <v/>
      </c>
    </row>
    <row r="1235" spans="1:7" ht="15" customHeight="1">
      <c r="A1235" s="49"/>
      <c r="B1235" s="49" t="str">
        <f>CONCATENATE(Reports!E1234," ",Reports!F1234," ",Reports!G1234)</f>
        <v xml:space="preserve">  </v>
      </c>
      <c r="C1235" s="50"/>
      <c r="D1235" s="51"/>
      <c r="E1235" s="49" t="str">
        <f>IFERROR(VLOOKUP(D1235,'taxonomy map'!$A$1:$B$171,2,FALSE),"")</f>
        <v/>
      </c>
      <c r="F1235" s="49" t="str">
        <f>IFERROR(VLOOKUP(E1235,'Condensed Specialty Crosswalk'!$A$2:$C$182,2,FALSE),"")</f>
        <v/>
      </c>
      <c r="G1235" s="49" t="str">
        <f>IFERROR(VLOOKUP(E1235,'Condensed Specialty Crosswalk'!$A$2:$C$182,3,FALSE),"")</f>
        <v/>
      </c>
    </row>
    <row r="1236" spans="1:7" ht="15" customHeight="1">
      <c r="A1236" s="49"/>
      <c r="B1236" s="49" t="str">
        <f>CONCATENATE(Reports!E1235," ",Reports!F1235," ",Reports!G1235)</f>
        <v xml:space="preserve">  </v>
      </c>
      <c r="C1236" s="50"/>
      <c r="D1236" s="51"/>
      <c r="E1236" s="49" t="str">
        <f>IFERROR(VLOOKUP(D1236,'taxonomy map'!$A$1:$B$171,2,FALSE),"")</f>
        <v/>
      </c>
      <c r="F1236" s="49" t="str">
        <f>IFERROR(VLOOKUP(E1236,'Condensed Specialty Crosswalk'!$A$2:$C$182,2,FALSE),"")</f>
        <v/>
      </c>
      <c r="G1236" s="49" t="str">
        <f>IFERROR(VLOOKUP(E1236,'Condensed Specialty Crosswalk'!$A$2:$C$182,3,FALSE),"")</f>
        <v/>
      </c>
    </row>
    <row r="1237" spans="1:7" ht="15" customHeight="1">
      <c r="A1237" s="49"/>
      <c r="B1237" s="49" t="str">
        <f>CONCATENATE(Reports!E1236," ",Reports!F1236," ",Reports!G1236)</f>
        <v xml:space="preserve">  </v>
      </c>
      <c r="C1237" s="50"/>
      <c r="D1237" s="51"/>
      <c r="E1237" s="49" t="str">
        <f>IFERROR(VLOOKUP(D1237,'taxonomy map'!$A$1:$B$171,2,FALSE),"")</f>
        <v/>
      </c>
      <c r="F1237" s="49" t="str">
        <f>IFERROR(VLOOKUP(E1237,'Condensed Specialty Crosswalk'!$A$2:$C$182,2,FALSE),"")</f>
        <v/>
      </c>
      <c r="G1237" s="49" t="str">
        <f>IFERROR(VLOOKUP(E1237,'Condensed Specialty Crosswalk'!$A$2:$C$182,3,FALSE),"")</f>
        <v/>
      </c>
    </row>
    <row r="1238" spans="1:7" ht="15" customHeight="1">
      <c r="A1238" s="49"/>
      <c r="B1238" s="49" t="str">
        <f>CONCATENATE(Reports!E1237," ",Reports!F1237," ",Reports!G1237)</f>
        <v xml:space="preserve">  </v>
      </c>
      <c r="C1238" s="50"/>
      <c r="D1238" s="51"/>
      <c r="E1238" s="49" t="str">
        <f>IFERROR(VLOOKUP(D1238,'taxonomy map'!$A$1:$B$171,2,FALSE),"")</f>
        <v/>
      </c>
      <c r="F1238" s="49" t="str">
        <f>IFERROR(VLOOKUP(E1238,'Condensed Specialty Crosswalk'!$A$2:$C$182,2,FALSE),"")</f>
        <v/>
      </c>
      <c r="G1238" s="49" t="str">
        <f>IFERROR(VLOOKUP(E1238,'Condensed Specialty Crosswalk'!$A$2:$C$182,3,FALSE),"")</f>
        <v/>
      </c>
    </row>
    <row r="1239" spans="1:7" ht="15" customHeight="1">
      <c r="A1239" s="49"/>
      <c r="B1239" s="49" t="str">
        <f>CONCATENATE(Reports!E1238," ",Reports!F1238," ",Reports!G1238)</f>
        <v xml:space="preserve">  </v>
      </c>
      <c r="C1239" s="50"/>
      <c r="D1239" s="51"/>
      <c r="E1239" s="49" t="str">
        <f>IFERROR(VLOOKUP(D1239,'taxonomy map'!$A$1:$B$171,2,FALSE),"")</f>
        <v/>
      </c>
      <c r="F1239" s="49" t="str">
        <f>IFERROR(VLOOKUP(E1239,'Condensed Specialty Crosswalk'!$A$2:$C$182,2,FALSE),"")</f>
        <v/>
      </c>
      <c r="G1239" s="49" t="str">
        <f>IFERROR(VLOOKUP(E1239,'Condensed Specialty Crosswalk'!$A$2:$C$182,3,FALSE),"")</f>
        <v/>
      </c>
    </row>
    <row r="1240" spans="1:7" ht="15" customHeight="1">
      <c r="A1240" s="49"/>
      <c r="B1240" s="49" t="str">
        <f>CONCATENATE(Reports!E1239," ",Reports!F1239," ",Reports!G1239)</f>
        <v xml:space="preserve">  </v>
      </c>
      <c r="C1240" s="50"/>
      <c r="D1240" s="51"/>
      <c r="E1240" s="49" t="str">
        <f>IFERROR(VLOOKUP(D1240,'taxonomy map'!$A$1:$B$171,2,FALSE),"")</f>
        <v/>
      </c>
      <c r="F1240" s="49" t="str">
        <f>IFERROR(VLOOKUP(E1240,'Condensed Specialty Crosswalk'!$A$2:$C$182,2,FALSE),"")</f>
        <v/>
      </c>
      <c r="G1240" s="49" t="str">
        <f>IFERROR(VLOOKUP(E1240,'Condensed Specialty Crosswalk'!$A$2:$C$182,3,FALSE),"")</f>
        <v/>
      </c>
    </row>
    <row r="1241" spans="1:7" ht="15" customHeight="1">
      <c r="A1241" s="49"/>
      <c r="B1241" s="49" t="str">
        <f>CONCATENATE(Reports!E1240," ",Reports!F1240," ",Reports!G1240)</f>
        <v xml:space="preserve">  </v>
      </c>
      <c r="C1241" s="50"/>
      <c r="D1241" s="51"/>
      <c r="E1241" s="49" t="str">
        <f>IFERROR(VLOOKUP(D1241,'taxonomy map'!$A$1:$B$171,2,FALSE),"")</f>
        <v/>
      </c>
      <c r="F1241" s="49" t="str">
        <f>IFERROR(VLOOKUP(E1241,'Condensed Specialty Crosswalk'!$A$2:$C$182,2,FALSE),"")</f>
        <v/>
      </c>
      <c r="G1241" s="49" t="str">
        <f>IFERROR(VLOOKUP(E1241,'Condensed Specialty Crosswalk'!$A$2:$C$182,3,FALSE),"")</f>
        <v/>
      </c>
    </row>
    <row r="1242" spans="1:7" ht="15" customHeight="1">
      <c r="A1242" s="49"/>
      <c r="B1242" s="49" t="str">
        <f>CONCATENATE(Reports!E1241," ",Reports!F1241," ",Reports!G1241)</f>
        <v xml:space="preserve">  </v>
      </c>
      <c r="C1242" s="50"/>
      <c r="D1242" s="51"/>
      <c r="E1242" s="49" t="str">
        <f>IFERROR(VLOOKUP(D1242,'taxonomy map'!$A$1:$B$171,2,FALSE),"")</f>
        <v/>
      </c>
      <c r="F1242" s="49" t="str">
        <f>IFERROR(VLOOKUP(E1242,'Condensed Specialty Crosswalk'!$A$2:$C$182,2,FALSE),"")</f>
        <v/>
      </c>
      <c r="G1242" s="49" t="str">
        <f>IFERROR(VLOOKUP(E1242,'Condensed Specialty Crosswalk'!$A$2:$C$182,3,FALSE),"")</f>
        <v/>
      </c>
    </row>
    <row r="1243" spans="1:7" ht="15" customHeight="1">
      <c r="A1243" s="49"/>
      <c r="B1243" s="49" t="str">
        <f>CONCATENATE(Reports!E1242," ",Reports!F1242," ",Reports!G1242)</f>
        <v xml:space="preserve">  </v>
      </c>
      <c r="C1243" s="50"/>
      <c r="D1243" s="51"/>
      <c r="E1243" s="49" t="str">
        <f>IFERROR(VLOOKUP(D1243,'taxonomy map'!$A$1:$B$171,2,FALSE),"")</f>
        <v/>
      </c>
      <c r="F1243" s="49" t="str">
        <f>IFERROR(VLOOKUP(E1243,'Condensed Specialty Crosswalk'!$A$2:$C$182,2,FALSE),"")</f>
        <v/>
      </c>
      <c r="G1243" s="49" t="str">
        <f>IFERROR(VLOOKUP(E1243,'Condensed Specialty Crosswalk'!$A$2:$C$182,3,FALSE),"")</f>
        <v/>
      </c>
    </row>
    <row r="1244" spans="1:7" ht="15" customHeight="1">
      <c r="A1244" s="49"/>
      <c r="B1244" s="49" t="str">
        <f>CONCATENATE(Reports!E1243," ",Reports!F1243," ",Reports!G1243)</f>
        <v xml:space="preserve">  </v>
      </c>
      <c r="C1244" s="50"/>
      <c r="D1244" s="51"/>
      <c r="E1244" s="49" t="str">
        <f>IFERROR(VLOOKUP(D1244,'taxonomy map'!$A$1:$B$171,2,FALSE),"")</f>
        <v/>
      </c>
      <c r="F1244" s="49" t="str">
        <f>IFERROR(VLOOKUP(E1244,'Condensed Specialty Crosswalk'!$A$2:$C$182,2,FALSE),"")</f>
        <v/>
      </c>
      <c r="G1244" s="49" t="str">
        <f>IFERROR(VLOOKUP(E1244,'Condensed Specialty Crosswalk'!$A$2:$C$182,3,FALSE),"")</f>
        <v/>
      </c>
    </row>
    <row r="1245" spans="1:7" ht="15" customHeight="1">
      <c r="A1245" s="49"/>
      <c r="B1245" s="49" t="str">
        <f>CONCATENATE(Reports!E1244," ",Reports!F1244," ",Reports!G1244)</f>
        <v xml:space="preserve">  </v>
      </c>
      <c r="C1245" s="50"/>
      <c r="D1245" s="51"/>
      <c r="E1245" s="49" t="str">
        <f>IFERROR(VLOOKUP(D1245,'taxonomy map'!$A$1:$B$171,2,FALSE),"")</f>
        <v/>
      </c>
      <c r="F1245" s="49" t="str">
        <f>IFERROR(VLOOKUP(E1245,'Condensed Specialty Crosswalk'!$A$2:$C$182,2,FALSE),"")</f>
        <v/>
      </c>
      <c r="G1245" s="49" t="str">
        <f>IFERROR(VLOOKUP(E1245,'Condensed Specialty Crosswalk'!$A$2:$C$182,3,FALSE),"")</f>
        <v/>
      </c>
    </row>
    <row r="1246" spans="1:7" ht="15" customHeight="1">
      <c r="A1246" s="49"/>
      <c r="B1246" s="49" t="str">
        <f>CONCATENATE(Reports!E1245," ",Reports!F1245," ",Reports!G1245)</f>
        <v xml:space="preserve">  </v>
      </c>
      <c r="C1246" s="50"/>
      <c r="D1246" s="51"/>
      <c r="E1246" s="49" t="str">
        <f>IFERROR(VLOOKUP(D1246,'taxonomy map'!$A$1:$B$171,2,FALSE),"")</f>
        <v/>
      </c>
      <c r="F1246" s="49" t="str">
        <f>IFERROR(VLOOKUP(E1246,'Condensed Specialty Crosswalk'!$A$2:$C$182,2,FALSE),"")</f>
        <v/>
      </c>
      <c r="G1246" s="49" t="str">
        <f>IFERROR(VLOOKUP(E1246,'Condensed Specialty Crosswalk'!$A$2:$C$182,3,FALSE),"")</f>
        <v/>
      </c>
    </row>
    <row r="1247" spans="1:7" ht="15" customHeight="1">
      <c r="A1247" s="49"/>
      <c r="B1247" s="49" t="str">
        <f>CONCATENATE(Reports!E1246," ",Reports!F1246," ",Reports!G1246)</f>
        <v xml:space="preserve">  </v>
      </c>
      <c r="C1247" s="50"/>
      <c r="D1247" s="51"/>
      <c r="E1247" s="49" t="str">
        <f>IFERROR(VLOOKUP(D1247,'taxonomy map'!$A$1:$B$171,2,FALSE),"")</f>
        <v/>
      </c>
      <c r="F1247" s="49" t="str">
        <f>IFERROR(VLOOKUP(E1247,'Condensed Specialty Crosswalk'!$A$2:$C$182,2,FALSE),"")</f>
        <v/>
      </c>
      <c r="G1247" s="49" t="str">
        <f>IFERROR(VLOOKUP(E1247,'Condensed Specialty Crosswalk'!$A$2:$C$182,3,FALSE),"")</f>
        <v/>
      </c>
    </row>
    <row r="1248" spans="1:7" ht="15" customHeight="1">
      <c r="A1248" s="49"/>
      <c r="B1248" s="49" t="str">
        <f>CONCATENATE(Reports!E1247," ",Reports!F1247," ",Reports!G1247)</f>
        <v xml:space="preserve">  </v>
      </c>
      <c r="C1248" s="50"/>
      <c r="D1248" s="51"/>
      <c r="E1248" s="49" t="str">
        <f>IFERROR(VLOOKUP(D1248,'taxonomy map'!$A$1:$B$171,2,FALSE),"")</f>
        <v/>
      </c>
      <c r="F1248" s="49" t="str">
        <f>IFERROR(VLOOKUP(E1248,'Condensed Specialty Crosswalk'!$A$2:$C$182,2,FALSE),"")</f>
        <v/>
      </c>
      <c r="G1248" s="49" t="str">
        <f>IFERROR(VLOOKUP(E1248,'Condensed Specialty Crosswalk'!$A$2:$C$182,3,FALSE),"")</f>
        <v/>
      </c>
    </row>
    <row r="1249" spans="1:7" ht="15" customHeight="1">
      <c r="A1249" s="49"/>
      <c r="B1249" s="49" t="str">
        <f>CONCATENATE(Reports!E1248," ",Reports!F1248," ",Reports!G1248)</f>
        <v xml:space="preserve">  </v>
      </c>
      <c r="C1249" s="50"/>
      <c r="D1249" s="51"/>
      <c r="E1249" s="49" t="str">
        <f>IFERROR(VLOOKUP(D1249,'taxonomy map'!$A$1:$B$171,2,FALSE),"")</f>
        <v/>
      </c>
      <c r="F1249" s="49" t="str">
        <f>IFERROR(VLOOKUP(E1249,'Condensed Specialty Crosswalk'!$A$2:$C$182,2,FALSE),"")</f>
        <v/>
      </c>
      <c r="G1249" s="49" t="str">
        <f>IFERROR(VLOOKUP(E1249,'Condensed Specialty Crosswalk'!$A$2:$C$182,3,FALSE),"")</f>
        <v/>
      </c>
    </row>
    <row r="1250" spans="1:7" ht="15" customHeight="1">
      <c r="A1250" s="49"/>
      <c r="B1250" s="49" t="str">
        <f>CONCATENATE(Reports!E1249," ",Reports!F1249," ",Reports!G1249)</f>
        <v xml:space="preserve">  </v>
      </c>
      <c r="C1250" s="50"/>
      <c r="D1250" s="51"/>
      <c r="E1250" s="49" t="str">
        <f>IFERROR(VLOOKUP(D1250,'taxonomy map'!$A$1:$B$171,2,FALSE),"")</f>
        <v/>
      </c>
      <c r="F1250" s="49" t="str">
        <f>IFERROR(VLOOKUP(E1250,'Condensed Specialty Crosswalk'!$A$2:$C$182,2,FALSE),"")</f>
        <v/>
      </c>
      <c r="G1250" s="49" t="str">
        <f>IFERROR(VLOOKUP(E1250,'Condensed Specialty Crosswalk'!$A$2:$C$182,3,FALSE),"")</f>
        <v/>
      </c>
    </row>
    <row r="1251" spans="1:7" ht="15" customHeight="1">
      <c r="A1251" s="49"/>
      <c r="B1251" s="49" t="str">
        <f>CONCATENATE(Reports!E1250," ",Reports!F1250," ",Reports!G1250)</f>
        <v xml:space="preserve">  </v>
      </c>
      <c r="C1251" s="50"/>
      <c r="D1251" s="51"/>
      <c r="E1251" s="49" t="str">
        <f>IFERROR(VLOOKUP(D1251,'taxonomy map'!$A$1:$B$171,2,FALSE),"")</f>
        <v/>
      </c>
      <c r="F1251" s="49" t="str">
        <f>IFERROR(VLOOKUP(E1251,'Condensed Specialty Crosswalk'!$A$2:$C$182,2,FALSE),"")</f>
        <v/>
      </c>
      <c r="G1251" s="49" t="str">
        <f>IFERROR(VLOOKUP(E1251,'Condensed Specialty Crosswalk'!$A$2:$C$182,3,FALSE),"")</f>
        <v/>
      </c>
    </row>
    <row r="1252" spans="1:7" ht="15" customHeight="1">
      <c r="A1252" s="49"/>
      <c r="B1252" s="49" t="str">
        <f>CONCATENATE(Reports!E1251," ",Reports!F1251," ",Reports!G1251)</f>
        <v xml:space="preserve">  </v>
      </c>
      <c r="C1252" s="50"/>
      <c r="D1252" s="51"/>
      <c r="E1252" s="49" t="str">
        <f>IFERROR(VLOOKUP(D1252,'taxonomy map'!$A$1:$B$171,2,FALSE),"")</f>
        <v/>
      </c>
      <c r="F1252" s="49" t="str">
        <f>IFERROR(VLOOKUP(E1252,'Condensed Specialty Crosswalk'!$A$2:$C$182,2,FALSE),"")</f>
        <v/>
      </c>
      <c r="G1252" s="49" t="str">
        <f>IFERROR(VLOOKUP(E1252,'Condensed Specialty Crosswalk'!$A$2:$C$182,3,FALSE),"")</f>
        <v/>
      </c>
    </row>
    <row r="1253" spans="1:7" ht="15" customHeight="1">
      <c r="A1253" s="49"/>
      <c r="B1253" s="49" t="str">
        <f>CONCATENATE(Reports!E1252," ",Reports!F1252," ",Reports!G1252)</f>
        <v xml:space="preserve">  </v>
      </c>
      <c r="C1253" s="50"/>
      <c r="D1253" s="51"/>
      <c r="E1253" s="49" t="str">
        <f>IFERROR(VLOOKUP(D1253,'taxonomy map'!$A$1:$B$171,2,FALSE),"")</f>
        <v/>
      </c>
      <c r="F1253" s="49" t="str">
        <f>IFERROR(VLOOKUP(E1253,'Condensed Specialty Crosswalk'!$A$2:$C$182,2,FALSE),"")</f>
        <v/>
      </c>
      <c r="G1253" s="49" t="str">
        <f>IFERROR(VLOOKUP(E1253,'Condensed Specialty Crosswalk'!$A$2:$C$182,3,FALSE),"")</f>
        <v/>
      </c>
    </row>
    <row r="1254" spans="1:7" ht="15" customHeight="1">
      <c r="A1254" s="49"/>
      <c r="B1254" s="49" t="str">
        <f>CONCATENATE(Reports!E1253," ",Reports!F1253," ",Reports!G1253)</f>
        <v xml:space="preserve">  </v>
      </c>
      <c r="C1254" s="50"/>
      <c r="D1254" s="51"/>
      <c r="E1254" s="49" t="str">
        <f>IFERROR(VLOOKUP(D1254,'taxonomy map'!$A$1:$B$171,2,FALSE),"")</f>
        <v/>
      </c>
      <c r="F1254" s="49" t="str">
        <f>IFERROR(VLOOKUP(E1254,'Condensed Specialty Crosswalk'!$A$2:$C$182,2,FALSE),"")</f>
        <v/>
      </c>
      <c r="G1254" s="49" t="str">
        <f>IFERROR(VLOOKUP(E1254,'Condensed Specialty Crosswalk'!$A$2:$C$182,3,FALSE),"")</f>
        <v/>
      </c>
    </row>
    <row r="1255" spans="1:7" ht="15" customHeight="1">
      <c r="A1255" s="49"/>
      <c r="B1255" s="49" t="str">
        <f>CONCATENATE(Reports!E1254," ",Reports!F1254," ",Reports!G1254)</f>
        <v xml:space="preserve">  </v>
      </c>
      <c r="C1255" s="50"/>
      <c r="D1255" s="51"/>
      <c r="E1255" s="49" t="str">
        <f>IFERROR(VLOOKUP(D1255,'taxonomy map'!$A$1:$B$171,2,FALSE),"")</f>
        <v/>
      </c>
      <c r="F1255" s="49" t="str">
        <f>IFERROR(VLOOKUP(E1255,'Condensed Specialty Crosswalk'!$A$2:$C$182,2,FALSE),"")</f>
        <v/>
      </c>
      <c r="G1255" s="49" t="str">
        <f>IFERROR(VLOOKUP(E1255,'Condensed Specialty Crosswalk'!$A$2:$C$182,3,FALSE),"")</f>
        <v/>
      </c>
    </row>
    <row r="1256" spans="1:7" ht="15" customHeight="1">
      <c r="A1256" s="49"/>
      <c r="B1256" s="49" t="str">
        <f>CONCATENATE(Reports!E1255," ",Reports!F1255," ",Reports!G1255)</f>
        <v xml:space="preserve">  </v>
      </c>
      <c r="C1256" s="50"/>
      <c r="D1256" s="51"/>
      <c r="E1256" s="49" t="str">
        <f>IFERROR(VLOOKUP(D1256,'taxonomy map'!$A$1:$B$171,2,FALSE),"")</f>
        <v/>
      </c>
      <c r="F1256" s="49" t="str">
        <f>IFERROR(VLOOKUP(E1256,'Condensed Specialty Crosswalk'!$A$2:$C$182,2,FALSE),"")</f>
        <v/>
      </c>
      <c r="G1256" s="49" t="str">
        <f>IFERROR(VLOOKUP(E1256,'Condensed Specialty Crosswalk'!$A$2:$C$182,3,FALSE),"")</f>
        <v/>
      </c>
    </row>
    <row r="1257" spans="1:7" ht="15" customHeight="1">
      <c r="A1257" s="49"/>
      <c r="B1257" s="49" t="str">
        <f>CONCATENATE(Reports!E1256," ",Reports!F1256," ",Reports!G1256)</f>
        <v xml:space="preserve">  </v>
      </c>
      <c r="C1257" s="50"/>
      <c r="D1257" s="51"/>
      <c r="E1257" s="49" t="str">
        <f>IFERROR(VLOOKUP(D1257,'taxonomy map'!$A$1:$B$171,2,FALSE),"")</f>
        <v/>
      </c>
      <c r="F1257" s="49" t="str">
        <f>IFERROR(VLOOKUP(E1257,'Condensed Specialty Crosswalk'!$A$2:$C$182,2,FALSE),"")</f>
        <v/>
      </c>
      <c r="G1257" s="49" t="str">
        <f>IFERROR(VLOOKUP(E1257,'Condensed Specialty Crosswalk'!$A$2:$C$182,3,FALSE),"")</f>
        <v/>
      </c>
    </row>
    <row r="1258" spans="1:7" ht="15" customHeight="1">
      <c r="A1258" s="49"/>
      <c r="B1258" s="49" t="str">
        <f>CONCATENATE(Reports!E1257," ",Reports!F1257," ",Reports!G1257)</f>
        <v xml:space="preserve">  </v>
      </c>
      <c r="C1258" s="50"/>
      <c r="D1258" s="51"/>
      <c r="E1258" s="49" t="str">
        <f>IFERROR(VLOOKUP(D1258,'taxonomy map'!$A$1:$B$171,2,FALSE),"")</f>
        <v/>
      </c>
      <c r="F1258" s="49" t="str">
        <f>IFERROR(VLOOKUP(E1258,'Condensed Specialty Crosswalk'!$A$2:$C$182,2,FALSE),"")</f>
        <v/>
      </c>
      <c r="G1258" s="49" t="str">
        <f>IFERROR(VLOOKUP(E1258,'Condensed Specialty Crosswalk'!$A$2:$C$182,3,FALSE),"")</f>
        <v/>
      </c>
    </row>
    <row r="1259" spans="1:7" ht="15" customHeight="1">
      <c r="A1259" s="49"/>
      <c r="B1259" s="49" t="str">
        <f>CONCATENATE(Reports!E1258," ",Reports!F1258," ",Reports!G1258)</f>
        <v xml:space="preserve">  </v>
      </c>
      <c r="C1259" s="50"/>
      <c r="D1259" s="51"/>
      <c r="E1259" s="49" t="str">
        <f>IFERROR(VLOOKUP(D1259,'taxonomy map'!$A$1:$B$171,2,FALSE),"")</f>
        <v/>
      </c>
      <c r="F1259" s="49" t="str">
        <f>IFERROR(VLOOKUP(E1259,'Condensed Specialty Crosswalk'!$A$2:$C$182,2,FALSE),"")</f>
        <v/>
      </c>
      <c r="G1259" s="49" t="str">
        <f>IFERROR(VLOOKUP(E1259,'Condensed Specialty Crosswalk'!$A$2:$C$182,3,FALSE),"")</f>
        <v/>
      </c>
    </row>
    <row r="1260" spans="1:7" ht="15" customHeight="1">
      <c r="A1260" s="49"/>
      <c r="B1260" s="49" t="str">
        <f>CONCATENATE(Reports!E1259," ",Reports!F1259," ",Reports!G1259)</f>
        <v xml:space="preserve">  </v>
      </c>
      <c r="C1260" s="50"/>
      <c r="D1260" s="51"/>
      <c r="E1260" s="49" t="str">
        <f>IFERROR(VLOOKUP(D1260,'taxonomy map'!$A$1:$B$171,2,FALSE),"")</f>
        <v/>
      </c>
      <c r="F1260" s="49" t="str">
        <f>IFERROR(VLOOKUP(E1260,'Condensed Specialty Crosswalk'!$A$2:$C$182,2,FALSE),"")</f>
        <v/>
      </c>
      <c r="G1260" s="49" t="str">
        <f>IFERROR(VLOOKUP(E1260,'Condensed Specialty Crosswalk'!$A$2:$C$182,3,FALSE),"")</f>
        <v/>
      </c>
    </row>
    <row r="1261" spans="1:7" ht="15" customHeight="1">
      <c r="A1261" s="49"/>
      <c r="B1261" s="49" t="str">
        <f>CONCATENATE(Reports!E1260," ",Reports!F1260," ",Reports!G1260)</f>
        <v xml:space="preserve">  </v>
      </c>
      <c r="C1261" s="50"/>
      <c r="D1261" s="51"/>
      <c r="E1261" s="49" t="str">
        <f>IFERROR(VLOOKUP(D1261,'taxonomy map'!$A$1:$B$171,2,FALSE),"")</f>
        <v/>
      </c>
      <c r="F1261" s="49" t="str">
        <f>IFERROR(VLOOKUP(E1261,'Condensed Specialty Crosswalk'!$A$2:$C$182,2,FALSE),"")</f>
        <v/>
      </c>
      <c r="G1261" s="49" t="str">
        <f>IFERROR(VLOOKUP(E1261,'Condensed Specialty Crosswalk'!$A$2:$C$182,3,FALSE),"")</f>
        <v/>
      </c>
    </row>
    <row r="1262" spans="1:7" ht="15" customHeight="1">
      <c r="A1262" s="49"/>
      <c r="B1262" s="49" t="str">
        <f>CONCATENATE(Reports!E1261," ",Reports!F1261," ",Reports!G1261)</f>
        <v xml:space="preserve">  </v>
      </c>
      <c r="C1262" s="50"/>
      <c r="D1262" s="51"/>
      <c r="E1262" s="49" t="str">
        <f>IFERROR(VLOOKUP(D1262,'taxonomy map'!$A$1:$B$171,2,FALSE),"")</f>
        <v/>
      </c>
      <c r="F1262" s="49" t="str">
        <f>IFERROR(VLOOKUP(E1262,'Condensed Specialty Crosswalk'!$A$2:$C$182,2,FALSE),"")</f>
        <v/>
      </c>
      <c r="G1262" s="49" t="str">
        <f>IFERROR(VLOOKUP(E1262,'Condensed Specialty Crosswalk'!$A$2:$C$182,3,FALSE),"")</f>
        <v/>
      </c>
    </row>
    <row r="1263" spans="1:7" ht="15" customHeight="1">
      <c r="A1263" s="49"/>
      <c r="B1263" s="49" t="str">
        <f>CONCATENATE(Reports!E1262," ",Reports!F1262," ",Reports!G1262)</f>
        <v xml:space="preserve">  </v>
      </c>
      <c r="C1263" s="50"/>
      <c r="D1263" s="51"/>
      <c r="E1263" s="49" t="str">
        <f>IFERROR(VLOOKUP(D1263,'taxonomy map'!$A$1:$B$171,2,FALSE),"")</f>
        <v/>
      </c>
      <c r="F1263" s="49" t="str">
        <f>IFERROR(VLOOKUP(E1263,'Condensed Specialty Crosswalk'!$A$2:$C$182,2,FALSE),"")</f>
        <v/>
      </c>
      <c r="G1263" s="49" t="str">
        <f>IFERROR(VLOOKUP(E1263,'Condensed Specialty Crosswalk'!$A$2:$C$182,3,FALSE),"")</f>
        <v/>
      </c>
    </row>
    <row r="1264" spans="1:7" ht="15" customHeight="1">
      <c r="A1264" s="49"/>
      <c r="B1264" s="49" t="str">
        <f>CONCATENATE(Reports!E1263," ",Reports!F1263," ",Reports!G1263)</f>
        <v xml:space="preserve">  </v>
      </c>
      <c r="C1264" s="50"/>
      <c r="D1264" s="51"/>
      <c r="E1264" s="49" t="str">
        <f>IFERROR(VLOOKUP(D1264,'taxonomy map'!$A$1:$B$171,2,FALSE),"")</f>
        <v/>
      </c>
      <c r="F1264" s="49" t="str">
        <f>IFERROR(VLOOKUP(E1264,'Condensed Specialty Crosswalk'!$A$2:$C$182,2,FALSE),"")</f>
        <v/>
      </c>
      <c r="G1264" s="49" t="str">
        <f>IFERROR(VLOOKUP(E1264,'Condensed Specialty Crosswalk'!$A$2:$C$182,3,FALSE),"")</f>
        <v/>
      </c>
    </row>
    <row r="1265" spans="1:7" ht="15" customHeight="1">
      <c r="A1265" s="49"/>
      <c r="B1265" s="49" t="str">
        <f>CONCATENATE(Reports!E1264," ",Reports!F1264," ",Reports!G1264)</f>
        <v xml:space="preserve">  </v>
      </c>
      <c r="C1265" s="50"/>
      <c r="D1265" s="51"/>
      <c r="E1265" s="49" t="str">
        <f>IFERROR(VLOOKUP(D1265,'taxonomy map'!$A$1:$B$171,2,FALSE),"")</f>
        <v/>
      </c>
      <c r="F1265" s="49" t="str">
        <f>IFERROR(VLOOKUP(E1265,'Condensed Specialty Crosswalk'!$A$2:$C$182,2,FALSE),"")</f>
        <v/>
      </c>
      <c r="G1265" s="49" t="str">
        <f>IFERROR(VLOOKUP(E1265,'Condensed Specialty Crosswalk'!$A$2:$C$182,3,FALSE),"")</f>
        <v/>
      </c>
    </row>
    <row r="1266" spans="1:7" ht="15" customHeight="1">
      <c r="A1266" s="49"/>
      <c r="B1266" s="49" t="str">
        <f>CONCATENATE(Reports!E1265," ",Reports!F1265," ",Reports!G1265)</f>
        <v xml:space="preserve">  </v>
      </c>
      <c r="C1266" s="50"/>
      <c r="D1266" s="51"/>
      <c r="E1266" s="49" t="str">
        <f>IFERROR(VLOOKUP(D1266,'taxonomy map'!$A$1:$B$171,2,FALSE),"")</f>
        <v/>
      </c>
      <c r="F1266" s="49" t="str">
        <f>IFERROR(VLOOKUP(E1266,'Condensed Specialty Crosswalk'!$A$2:$C$182,2,FALSE),"")</f>
        <v/>
      </c>
      <c r="G1266" s="49" t="str">
        <f>IFERROR(VLOOKUP(E1266,'Condensed Specialty Crosswalk'!$A$2:$C$182,3,FALSE),"")</f>
        <v/>
      </c>
    </row>
    <row r="1267" spans="1:7" ht="15" customHeight="1">
      <c r="A1267" s="49"/>
      <c r="B1267" s="49" t="str">
        <f>CONCATENATE(Reports!E1266," ",Reports!F1266," ",Reports!G1266)</f>
        <v xml:space="preserve">  </v>
      </c>
      <c r="C1267" s="50"/>
      <c r="D1267" s="51"/>
      <c r="E1267" s="49" t="str">
        <f>IFERROR(VLOOKUP(D1267,'taxonomy map'!$A$1:$B$171,2,FALSE),"")</f>
        <v/>
      </c>
      <c r="F1267" s="49" t="str">
        <f>IFERROR(VLOOKUP(E1267,'Condensed Specialty Crosswalk'!$A$2:$C$182,2,FALSE),"")</f>
        <v/>
      </c>
      <c r="G1267" s="49" t="str">
        <f>IFERROR(VLOOKUP(E1267,'Condensed Specialty Crosswalk'!$A$2:$C$182,3,FALSE),"")</f>
        <v/>
      </c>
    </row>
    <row r="1268" spans="1:7" ht="15" customHeight="1">
      <c r="A1268" s="49"/>
      <c r="B1268" s="49" t="str">
        <f>CONCATENATE(Reports!E1267," ",Reports!F1267," ",Reports!G1267)</f>
        <v xml:space="preserve">  </v>
      </c>
      <c r="C1268" s="50"/>
      <c r="D1268" s="51"/>
      <c r="E1268" s="49" t="str">
        <f>IFERROR(VLOOKUP(D1268,'taxonomy map'!$A$1:$B$171,2,FALSE),"")</f>
        <v/>
      </c>
      <c r="F1268" s="49" t="str">
        <f>IFERROR(VLOOKUP(E1268,'Condensed Specialty Crosswalk'!$A$2:$C$182,2,FALSE),"")</f>
        <v/>
      </c>
      <c r="G1268" s="49" t="str">
        <f>IFERROR(VLOOKUP(E1268,'Condensed Specialty Crosswalk'!$A$2:$C$182,3,FALSE),"")</f>
        <v/>
      </c>
    </row>
    <row r="1269" spans="1:7" ht="15" customHeight="1">
      <c r="A1269" s="49"/>
      <c r="B1269" s="49" t="str">
        <f>CONCATENATE(Reports!E1268," ",Reports!F1268," ",Reports!G1268)</f>
        <v xml:space="preserve">  </v>
      </c>
      <c r="C1269" s="50"/>
      <c r="D1269" s="51"/>
      <c r="E1269" s="49" t="str">
        <f>IFERROR(VLOOKUP(D1269,'taxonomy map'!$A$1:$B$171,2,FALSE),"")</f>
        <v/>
      </c>
      <c r="F1269" s="49" t="str">
        <f>IFERROR(VLOOKUP(E1269,'Condensed Specialty Crosswalk'!$A$2:$C$182,2,FALSE),"")</f>
        <v/>
      </c>
      <c r="G1269" s="49" t="str">
        <f>IFERROR(VLOOKUP(E1269,'Condensed Specialty Crosswalk'!$A$2:$C$182,3,FALSE),"")</f>
        <v/>
      </c>
    </row>
    <row r="1270" spans="1:7" ht="15" customHeight="1">
      <c r="A1270" s="49"/>
      <c r="B1270" s="49" t="str">
        <f>CONCATENATE(Reports!E1269," ",Reports!F1269," ",Reports!G1269)</f>
        <v xml:space="preserve">  </v>
      </c>
      <c r="C1270" s="50"/>
      <c r="D1270" s="51"/>
      <c r="E1270" s="49" t="str">
        <f>IFERROR(VLOOKUP(D1270,'taxonomy map'!$A$1:$B$171,2,FALSE),"")</f>
        <v/>
      </c>
      <c r="F1270" s="49" t="str">
        <f>IFERROR(VLOOKUP(E1270,'Condensed Specialty Crosswalk'!$A$2:$C$182,2,FALSE),"")</f>
        <v/>
      </c>
      <c r="G1270" s="49" t="str">
        <f>IFERROR(VLOOKUP(E1270,'Condensed Specialty Crosswalk'!$A$2:$C$182,3,FALSE),"")</f>
        <v/>
      </c>
    </row>
    <row r="1271" spans="1:7" ht="15" customHeight="1">
      <c r="A1271" s="49"/>
      <c r="B1271" s="49" t="str">
        <f>CONCATENATE(Reports!E1270," ",Reports!F1270," ",Reports!G1270)</f>
        <v xml:space="preserve">  </v>
      </c>
      <c r="C1271" s="50"/>
      <c r="D1271" s="51"/>
      <c r="E1271" s="49" t="str">
        <f>IFERROR(VLOOKUP(D1271,'taxonomy map'!$A$1:$B$171,2,FALSE),"")</f>
        <v/>
      </c>
      <c r="F1271" s="49" t="str">
        <f>IFERROR(VLOOKUP(E1271,'Condensed Specialty Crosswalk'!$A$2:$C$182,2,FALSE),"")</f>
        <v/>
      </c>
      <c r="G1271" s="49" t="str">
        <f>IFERROR(VLOOKUP(E1271,'Condensed Specialty Crosswalk'!$A$2:$C$182,3,FALSE),"")</f>
        <v/>
      </c>
    </row>
    <row r="1272" spans="1:7" ht="15" customHeight="1">
      <c r="A1272" s="49"/>
      <c r="B1272" s="49" t="str">
        <f>CONCATENATE(Reports!E1271," ",Reports!F1271," ",Reports!G1271)</f>
        <v xml:space="preserve">  </v>
      </c>
      <c r="C1272" s="50"/>
      <c r="D1272" s="51"/>
      <c r="E1272" s="49" t="str">
        <f>IFERROR(VLOOKUP(D1272,'taxonomy map'!$A$1:$B$171,2,FALSE),"")</f>
        <v/>
      </c>
      <c r="F1272" s="49" t="str">
        <f>IFERROR(VLOOKUP(E1272,'Condensed Specialty Crosswalk'!$A$2:$C$182,2,FALSE),"")</f>
        <v/>
      </c>
      <c r="G1272" s="49" t="str">
        <f>IFERROR(VLOOKUP(E1272,'Condensed Specialty Crosswalk'!$A$2:$C$182,3,FALSE),"")</f>
        <v/>
      </c>
    </row>
    <row r="1273" spans="1:7" ht="15" customHeight="1">
      <c r="A1273" s="49"/>
      <c r="B1273" s="49" t="str">
        <f>CONCATENATE(Reports!E1272," ",Reports!F1272," ",Reports!G1272)</f>
        <v xml:space="preserve">  </v>
      </c>
      <c r="C1273" s="50"/>
      <c r="D1273" s="51"/>
      <c r="E1273" s="49" t="str">
        <f>IFERROR(VLOOKUP(D1273,'taxonomy map'!$A$1:$B$171,2,FALSE),"")</f>
        <v/>
      </c>
      <c r="F1273" s="49" t="str">
        <f>IFERROR(VLOOKUP(E1273,'Condensed Specialty Crosswalk'!$A$2:$C$182,2,FALSE),"")</f>
        <v/>
      </c>
      <c r="G1273" s="49" t="str">
        <f>IFERROR(VLOOKUP(E1273,'Condensed Specialty Crosswalk'!$A$2:$C$182,3,FALSE),"")</f>
        <v/>
      </c>
    </row>
    <row r="1274" spans="1:7" ht="15" customHeight="1">
      <c r="A1274" s="49"/>
      <c r="B1274" s="49" t="str">
        <f>CONCATENATE(Reports!E1273," ",Reports!F1273," ",Reports!G1273)</f>
        <v xml:space="preserve">  </v>
      </c>
      <c r="C1274" s="50"/>
      <c r="D1274" s="51"/>
      <c r="E1274" s="49" t="str">
        <f>IFERROR(VLOOKUP(D1274,'taxonomy map'!$A$1:$B$171,2,FALSE),"")</f>
        <v/>
      </c>
      <c r="F1274" s="49" t="str">
        <f>IFERROR(VLOOKUP(E1274,'Condensed Specialty Crosswalk'!$A$2:$C$182,2,FALSE),"")</f>
        <v/>
      </c>
      <c r="G1274" s="49" t="str">
        <f>IFERROR(VLOOKUP(E1274,'Condensed Specialty Crosswalk'!$A$2:$C$182,3,FALSE),"")</f>
        <v/>
      </c>
    </row>
    <row r="1275" spans="1:7" ht="15" customHeight="1">
      <c r="A1275" s="49"/>
      <c r="B1275" s="49" t="str">
        <f>CONCATENATE(Reports!E1274," ",Reports!F1274," ",Reports!G1274)</f>
        <v xml:space="preserve">  </v>
      </c>
      <c r="C1275" s="50"/>
      <c r="D1275" s="51"/>
      <c r="E1275" s="49" t="str">
        <f>IFERROR(VLOOKUP(D1275,'taxonomy map'!$A$1:$B$171,2,FALSE),"")</f>
        <v/>
      </c>
      <c r="F1275" s="49" t="str">
        <f>IFERROR(VLOOKUP(E1275,'Condensed Specialty Crosswalk'!$A$2:$C$182,2,FALSE),"")</f>
        <v/>
      </c>
      <c r="G1275" s="49" t="str">
        <f>IFERROR(VLOOKUP(E1275,'Condensed Specialty Crosswalk'!$A$2:$C$182,3,FALSE),"")</f>
        <v/>
      </c>
    </row>
    <row r="1276" spans="1:7" ht="15" customHeight="1">
      <c r="A1276" s="49"/>
      <c r="B1276" s="49" t="str">
        <f>CONCATENATE(Reports!E1275," ",Reports!F1275," ",Reports!G1275)</f>
        <v xml:space="preserve">  </v>
      </c>
      <c r="C1276" s="50"/>
      <c r="D1276" s="51"/>
      <c r="E1276" s="49" t="str">
        <f>IFERROR(VLOOKUP(D1276,'taxonomy map'!$A$1:$B$171,2,FALSE),"")</f>
        <v/>
      </c>
      <c r="F1276" s="49" t="str">
        <f>IFERROR(VLOOKUP(E1276,'Condensed Specialty Crosswalk'!$A$2:$C$182,2,FALSE),"")</f>
        <v/>
      </c>
      <c r="G1276" s="49" t="str">
        <f>IFERROR(VLOOKUP(E1276,'Condensed Specialty Crosswalk'!$A$2:$C$182,3,FALSE),"")</f>
        <v/>
      </c>
    </row>
    <row r="1277" spans="1:7" ht="15" customHeight="1">
      <c r="A1277" s="49"/>
      <c r="B1277" s="49" t="str">
        <f>CONCATENATE(Reports!E1276," ",Reports!F1276," ",Reports!G1276)</f>
        <v xml:space="preserve">  </v>
      </c>
      <c r="C1277" s="50"/>
      <c r="D1277" s="51"/>
      <c r="E1277" s="49" t="str">
        <f>IFERROR(VLOOKUP(D1277,'taxonomy map'!$A$1:$B$171,2,FALSE),"")</f>
        <v/>
      </c>
      <c r="F1277" s="49" t="str">
        <f>IFERROR(VLOOKUP(E1277,'Condensed Specialty Crosswalk'!$A$2:$C$182,2,FALSE),"")</f>
        <v/>
      </c>
      <c r="G1277" s="49" t="str">
        <f>IFERROR(VLOOKUP(E1277,'Condensed Specialty Crosswalk'!$A$2:$C$182,3,FALSE),"")</f>
        <v/>
      </c>
    </row>
    <row r="1278" spans="1:7" ht="15" customHeight="1">
      <c r="A1278" s="49"/>
      <c r="B1278" s="49" t="str">
        <f>CONCATENATE(Reports!E1277," ",Reports!F1277," ",Reports!G1277)</f>
        <v xml:space="preserve">  </v>
      </c>
      <c r="C1278" s="50"/>
      <c r="D1278" s="51"/>
      <c r="E1278" s="49" t="str">
        <f>IFERROR(VLOOKUP(D1278,'taxonomy map'!$A$1:$B$171,2,FALSE),"")</f>
        <v/>
      </c>
      <c r="F1278" s="49" t="str">
        <f>IFERROR(VLOOKUP(E1278,'Condensed Specialty Crosswalk'!$A$2:$C$182,2,FALSE),"")</f>
        <v/>
      </c>
      <c r="G1278" s="49" t="str">
        <f>IFERROR(VLOOKUP(E1278,'Condensed Specialty Crosswalk'!$A$2:$C$182,3,FALSE),"")</f>
        <v/>
      </c>
    </row>
    <row r="1279" spans="1:7" ht="15" customHeight="1">
      <c r="A1279" s="49"/>
      <c r="B1279" s="49" t="str">
        <f>CONCATENATE(Reports!E1278," ",Reports!F1278," ",Reports!G1278)</f>
        <v xml:space="preserve">  </v>
      </c>
      <c r="C1279" s="50"/>
      <c r="D1279" s="51"/>
      <c r="E1279" s="49" t="str">
        <f>IFERROR(VLOOKUP(D1279,'taxonomy map'!$A$1:$B$171,2,FALSE),"")</f>
        <v/>
      </c>
      <c r="F1279" s="49" t="str">
        <f>IFERROR(VLOOKUP(E1279,'Condensed Specialty Crosswalk'!$A$2:$C$182,2,FALSE),"")</f>
        <v/>
      </c>
      <c r="G1279" s="49" t="str">
        <f>IFERROR(VLOOKUP(E1279,'Condensed Specialty Crosswalk'!$A$2:$C$182,3,FALSE),"")</f>
        <v/>
      </c>
    </row>
    <row r="1280" spans="1:7" ht="15" customHeight="1">
      <c r="A1280" s="49"/>
      <c r="B1280" s="49" t="str">
        <f>CONCATENATE(Reports!E1279," ",Reports!F1279," ",Reports!G1279)</f>
        <v xml:space="preserve">  </v>
      </c>
      <c r="C1280" s="50"/>
      <c r="D1280" s="51"/>
      <c r="E1280" s="49" t="str">
        <f>IFERROR(VLOOKUP(D1280,'taxonomy map'!$A$1:$B$171,2,FALSE),"")</f>
        <v/>
      </c>
      <c r="F1280" s="49" t="str">
        <f>IFERROR(VLOOKUP(E1280,'Condensed Specialty Crosswalk'!$A$2:$C$182,2,FALSE),"")</f>
        <v/>
      </c>
      <c r="G1280" s="49" t="str">
        <f>IFERROR(VLOOKUP(E1280,'Condensed Specialty Crosswalk'!$A$2:$C$182,3,FALSE),"")</f>
        <v/>
      </c>
    </row>
    <row r="1281" spans="1:7" ht="15" customHeight="1">
      <c r="A1281" s="49"/>
      <c r="B1281" s="49" t="str">
        <f>CONCATENATE(Reports!E1280," ",Reports!F1280," ",Reports!G1280)</f>
        <v xml:space="preserve">  </v>
      </c>
      <c r="C1281" s="50"/>
      <c r="D1281" s="51"/>
      <c r="E1281" s="49" t="str">
        <f>IFERROR(VLOOKUP(D1281,'taxonomy map'!$A$1:$B$171,2,FALSE),"")</f>
        <v/>
      </c>
      <c r="F1281" s="49" t="str">
        <f>IFERROR(VLOOKUP(E1281,'Condensed Specialty Crosswalk'!$A$2:$C$182,2,FALSE),"")</f>
        <v/>
      </c>
      <c r="G1281" s="49" t="str">
        <f>IFERROR(VLOOKUP(E1281,'Condensed Specialty Crosswalk'!$A$2:$C$182,3,FALSE),"")</f>
        <v/>
      </c>
    </row>
    <row r="1282" spans="1:7" ht="15" customHeight="1">
      <c r="A1282" s="49"/>
      <c r="B1282" s="49" t="str">
        <f>CONCATENATE(Reports!E1281," ",Reports!F1281," ",Reports!G1281)</f>
        <v xml:space="preserve">  </v>
      </c>
      <c r="C1282" s="50"/>
      <c r="D1282" s="51"/>
      <c r="E1282" s="49" t="str">
        <f>IFERROR(VLOOKUP(D1282,'taxonomy map'!$A$1:$B$171,2,FALSE),"")</f>
        <v/>
      </c>
      <c r="F1282" s="49" t="str">
        <f>IFERROR(VLOOKUP(E1282,'Condensed Specialty Crosswalk'!$A$2:$C$182,2,FALSE),"")</f>
        <v/>
      </c>
      <c r="G1282" s="49" t="str">
        <f>IFERROR(VLOOKUP(E1282,'Condensed Specialty Crosswalk'!$A$2:$C$182,3,FALSE),"")</f>
        <v/>
      </c>
    </row>
    <row r="1283" spans="1:7" ht="15" customHeight="1">
      <c r="A1283" s="49"/>
      <c r="B1283" s="49" t="str">
        <f>CONCATENATE(Reports!E1282," ",Reports!F1282," ",Reports!G1282)</f>
        <v xml:space="preserve">  </v>
      </c>
      <c r="C1283" s="50"/>
      <c r="D1283" s="51"/>
      <c r="E1283" s="49" t="str">
        <f>IFERROR(VLOOKUP(D1283,'taxonomy map'!$A$1:$B$171,2,FALSE),"")</f>
        <v/>
      </c>
      <c r="F1283" s="49" t="str">
        <f>IFERROR(VLOOKUP(E1283,'Condensed Specialty Crosswalk'!$A$2:$C$182,2,FALSE),"")</f>
        <v/>
      </c>
      <c r="G1283" s="49" t="str">
        <f>IFERROR(VLOOKUP(E1283,'Condensed Specialty Crosswalk'!$A$2:$C$182,3,FALSE),"")</f>
        <v/>
      </c>
    </row>
    <row r="1284" spans="1:7" ht="15" customHeight="1">
      <c r="A1284" s="49"/>
      <c r="B1284" s="49" t="str">
        <f>CONCATENATE(Reports!E1283," ",Reports!F1283," ",Reports!G1283)</f>
        <v xml:space="preserve">  </v>
      </c>
      <c r="C1284" s="50"/>
      <c r="D1284" s="51"/>
      <c r="E1284" s="49" t="str">
        <f>IFERROR(VLOOKUP(D1284,'taxonomy map'!$A$1:$B$171,2,FALSE),"")</f>
        <v/>
      </c>
      <c r="F1284" s="49" t="str">
        <f>IFERROR(VLOOKUP(E1284,'Condensed Specialty Crosswalk'!$A$2:$C$182,2,FALSE),"")</f>
        <v/>
      </c>
      <c r="G1284" s="49" t="str">
        <f>IFERROR(VLOOKUP(E1284,'Condensed Specialty Crosswalk'!$A$2:$C$182,3,FALSE),"")</f>
        <v/>
      </c>
    </row>
    <row r="1285" spans="1:7" ht="15" customHeight="1">
      <c r="A1285" s="49"/>
      <c r="B1285" s="49" t="str">
        <f>CONCATENATE(Reports!E1284," ",Reports!F1284," ",Reports!G1284)</f>
        <v xml:space="preserve">  </v>
      </c>
      <c r="C1285" s="50"/>
      <c r="D1285" s="51"/>
      <c r="E1285" s="49" t="str">
        <f>IFERROR(VLOOKUP(D1285,'taxonomy map'!$A$1:$B$171,2,FALSE),"")</f>
        <v/>
      </c>
      <c r="F1285" s="49" t="str">
        <f>IFERROR(VLOOKUP(E1285,'Condensed Specialty Crosswalk'!$A$2:$C$182,2,FALSE),"")</f>
        <v/>
      </c>
      <c r="G1285" s="49" t="str">
        <f>IFERROR(VLOOKUP(E1285,'Condensed Specialty Crosswalk'!$A$2:$C$182,3,FALSE),"")</f>
        <v/>
      </c>
    </row>
    <row r="1286" spans="1:7" ht="15" customHeight="1">
      <c r="A1286" s="49"/>
      <c r="B1286" s="49" t="str">
        <f>CONCATENATE(Reports!E1285," ",Reports!F1285," ",Reports!G1285)</f>
        <v xml:space="preserve">  </v>
      </c>
      <c r="C1286" s="50"/>
      <c r="D1286" s="51"/>
      <c r="E1286" s="49" t="str">
        <f>IFERROR(VLOOKUP(D1286,'taxonomy map'!$A$1:$B$171,2,FALSE),"")</f>
        <v/>
      </c>
      <c r="F1286" s="49" t="str">
        <f>IFERROR(VLOOKUP(E1286,'Condensed Specialty Crosswalk'!$A$2:$C$182,2,FALSE),"")</f>
        <v/>
      </c>
      <c r="G1286" s="49" t="str">
        <f>IFERROR(VLOOKUP(E1286,'Condensed Specialty Crosswalk'!$A$2:$C$182,3,FALSE),"")</f>
        <v/>
      </c>
    </row>
    <row r="1287" spans="1:7" ht="15" customHeight="1">
      <c r="A1287" s="49"/>
      <c r="B1287" s="49" t="str">
        <f>CONCATENATE(Reports!E1286," ",Reports!F1286," ",Reports!G1286)</f>
        <v xml:space="preserve">  </v>
      </c>
      <c r="C1287" s="50"/>
      <c r="D1287" s="51"/>
      <c r="E1287" s="49" t="str">
        <f>IFERROR(VLOOKUP(D1287,'taxonomy map'!$A$1:$B$171,2,FALSE),"")</f>
        <v/>
      </c>
      <c r="F1287" s="49" t="str">
        <f>IFERROR(VLOOKUP(E1287,'Condensed Specialty Crosswalk'!$A$2:$C$182,2,FALSE),"")</f>
        <v/>
      </c>
      <c r="G1287" s="49" t="str">
        <f>IFERROR(VLOOKUP(E1287,'Condensed Specialty Crosswalk'!$A$2:$C$182,3,FALSE),"")</f>
        <v/>
      </c>
    </row>
    <row r="1288" spans="1:7" ht="15" customHeight="1">
      <c r="A1288" s="49"/>
      <c r="B1288" s="49" t="str">
        <f>CONCATENATE(Reports!E1287," ",Reports!F1287," ",Reports!G1287)</f>
        <v xml:space="preserve">  </v>
      </c>
      <c r="C1288" s="50"/>
      <c r="D1288" s="51"/>
      <c r="E1288" s="49" t="str">
        <f>IFERROR(VLOOKUP(D1288,'taxonomy map'!$A$1:$B$171,2,FALSE),"")</f>
        <v/>
      </c>
      <c r="F1288" s="49" t="str">
        <f>IFERROR(VLOOKUP(E1288,'Condensed Specialty Crosswalk'!$A$2:$C$182,2,FALSE),"")</f>
        <v/>
      </c>
      <c r="G1288" s="49" t="str">
        <f>IFERROR(VLOOKUP(E1288,'Condensed Specialty Crosswalk'!$A$2:$C$182,3,FALSE),"")</f>
        <v/>
      </c>
    </row>
    <row r="1289" spans="1:7" ht="15" customHeight="1">
      <c r="A1289" s="49"/>
      <c r="B1289" s="49" t="str">
        <f>CONCATENATE(Reports!E1288," ",Reports!F1288," ",Reports!G1288)</f>
        <v xml:space="preserve">  </v>
      </c>
      <c r="C1289" s="50"/>
      <c r="D1289" s="51"/>
      <c r="E1289" s="49" t="str">
        <f>IFERROR(VLOOKUP(D1289,'taxonomy map'!$A$1:$B$171,2,FALSE),"")</f>
        <v/>
      </c>
      <c r="F1289" s="49" t="str">
        <f>IFERROR(VLOOKUP(E1289,'Condensed Specialty Crosswalk'!$A$2:$C$182,2,FALSE),"")</f>
        <v/>
      </c>
      <c r="G1289" s="49" t="str">
        <f>IFERROR(VLOOKUP(E1289,'Condensed Specialty Crosswalk'!$A$2:$C$182,3,FALSE),"")</f>
        <v/>
      </c>
    </row>
    <row r="1290" spans="1:7" ht="15" customHeight="1">
      <c r="A1290" s="49"/>
      <c r="B1290" s="49" t="str">
        <f>CONCATENATE(Reports!E1289," ",Reports!F1289," ",Reports!G1289)</f>
        <v xml:space="preserve">  </v>
      </c>
      <c r="C1290" s="50"/>
      <c r="D1290" s="51"/>
      <c r="E1290" s="49" t="str">
        <f>IFERROR(VLOOKUP(D1290,'taxonomy map'!$A$1:$B$171,2,FALSE),"")</f>
        <v/>
      </c>
      <c r="F1290" s="49" t="str">
        <f>IFERROR(VLOOKUP(E1290,'Condensed Specialty Crosswalk'!$A$2:$C$182,2,FALSE),"")</f>
        <v/>
      </c>
      <c r="G1290" s="49" t="str">
        <f>IFERROR(VLOOKUP(E1290,'Condensed Specialty Crosswalk'!$A$2:$C$182,3,FALSE),"")</f>
        <v/>
      </c>
    </row>
    <row r="1291" spans="1:7" ht="15" customHeight="1">
      <c r="A1291" s="49"/>
      <c r="B1291" s="49" t="str">
        <f>CONCATENATE(Reports!E1290," ",Reports!F1290," ",Reports!G1290)</f>
        <v xml:space="preserve">  </v>
      </c>
      <c r="C1291" s="50"/>
      <c r="D1291" s="51"/>
      <c r="E1291" s="49" t="str">
        <f>IFERROR(VLOOKUP(D1291,'taxonomy map'!$A$1:$B$171,2,FALSE),"")</f>
        <v/>
      </c>
      <c r="F1291" s="49" t="str">
        <f>IFERROR(VLOOKUP(E1291,'Condensed Specialty Crosswalk'!$A$2:$C$182,2,FALSE),"")</f>
        <v/>
      </c>
      <c r="G1291" s="49" t="str">
        <f>IFERROR(VLOOKUP(E1291,'Condensed Specialty Crosswalk'!$A$2:$C$182,3,FALSE),"")</f>
        <v/>
      </c>
    </row>
    <row r="1292" spans="1:7" ht="15" customHeight="1">
      <c r="A1292" s="49"/>
      <c r="B1292" s="49" t="str">
        <f>CONCATENATE(Reports!E1291," ",Reports!F1291," ",Reports!G1291)</f>
        <v xml:space="preserve">  </v>
      </c>
      <c r="C1292" s="50"/>
      <c r="D1292" s="51"/>
      <c r="E1292" s="49" t="str">
        <f>IFERROR(VLOOKUP(D1292,'taxonomy map'!$A$1:$B$171,2,FALSE),"")</f>
        <v/>
      </c>
      <c r="F1292" s="49" t="str">
        <f>IFERROR(VLOOKUP(E1292,'Condensed Specialty Crosswalk'!$A$2:$C$182,2,FALSE),"")</f>
        <v/>
      </c>
      <c r="G1292" s="49" t="str">
        <f>IFERROR(VLOOKUP(E1292,'Condensed Specialty Crosswalk'!$A$2:$C$182,3,FALSE),"")</f>
        <v/>
      </c>
    </row>
    <row r="1293" spans="1:7" ht="15" customHeight="1">
      <c r="A1293" s="49"/>
      <c r="B1293" s="49" t="str">
        <f>CONCATENATE(Reports!E1292," ",Reports!F1292," ",Reports!G1292)</f>
        <v xml:space="preserve">  </v>
      </c>
      <c r="C1293" s="50"/>
      <c r="D1293" s="51"/>
      <c r="E1293" s="49" t="str">
        <f>IFERROR(VLOOKUP(D1293,'taxonomy map'!$A$1:$B$171,2,FALSE),"")</f>
        <v/>
      </c>
      <c r="F1293" s="49" t="str">
        <f>IFERROR(VLOOKUP(E1293,'Condensed Specialty Crosswalk'!$A$2:$C$182,2,FALSE),"")</f>
        <v/>
      </c>
      <c r="G1293" s="49" t="str">
        <f>IFERROR(VLOOKUP(E1293,'Condensed Specialty Crosswalk'!$A$2:$C$182,3,FALSE),"")</f>
        <v/>
      </c>
    </row>
    <row r="1294" spans="1:7" ht="15" customHeight="1">
      <c r="A1294" s="49"/>
      <c r="B1294" s="49" t="str">
        <f>CONCATENATE(Reports!E1293," ",Reports!F1293," ",Reports!G1293)</f>
        <v xml:space="preserve">  </v>
      </c>
      <c r="C1294" s="50"/>
      <c r="D1294" s="51"/>
      <c r="E1294" s="49" t="str">
        <f>IFERROR(VLOOKUP(D1294,'taxonomy map'!$A$1:$B$171,2,FALSE),"")</f>
        <v/>
      </c>
      <c r="F1294" s="49" t="str">
        <f>IFERROR(VLOOKUP(E1294,'Condensed Specialty Crosswalk'!$A$2:$C$182,2,FALSE),"")</f>
        <v/>
      </c>
      <c r="G1294" s="49" t="str">
        <f>IFERROR(VLOOKUP(E1294,'Condensed Specialty Crosswalk'!$A$2:$C$182,3,FALSE),"")</f>
        <v/>
      </c>
    </row>
    <row r="1295" spans="1:7" ht="15" customHeight="1">
      <c r="A1295" s="49"/>
      <c r="B1295" s="49" t="str">
        <f>CONCATENATE(Reports!E1294," ",Reports!F1294," ",Reports!G1294)</f>
        <v xml:space="preserve">  </v>
      </c>
      <c r="C1295" s="50"/>
      <c r="D1295" s="51"/>
      <c r="E1295" s="49" t="str">
        <f>IFERROR(VLOOKUP(D1295,'taxonomy map'!$A$1:$B$171,2,FALSE),"")</f>
        <v/>
      </c>
      <c r="F1295" s="49" t="str">
        <f>IFERROR(VLOOKUP(E1295,'Condensed Specialty Crosswalk'!$A$2:$C$182,2,FALSE),"")</f>
        <v/>
      </c>
      <c r="G1295" s="49" t="str">
        <f>IFERROR(VLOOKUP(E1295,'Condensed Specialty Crosswalk'!$A$2:$C$182,3,FALSE),"")</f>
        <v/>
      </c>
    </row>
    <row r="1296" spans="1:7" ht="15" customHeight="1">
      <c r="A1296" s="49"/>
      <c r="B1296" s="49" t="str">
        <f>CONCATENATE(Reports!E1295," ",Reports!F1295," ",Reports!G1295)</f>
        <v xml:space="preserve">  </v>
      </c>
      <c r="C1296" s="50"/>
      <c r="D1296" s="51"/>
      <c r="E1296" s="49" t="str">
        <f>IFERROR(VLOOKUP(D1296,'taxonomy map'!$A$1:$B$171,2,FALSE),"")</f>
        <v/>
      </c>
      <c r="F1296" s="49" t="str">
        <f>IFERROR(VLOOKUP(E1296,'Condensed Specialty Crosswalk'!$A$2:$C$182,2,FALSE),"")</f>
        <v/>
      </c>
      <c r="G1296" s="49" t="str">
        <f>IFERROR(VLOOKUP(E1296,'Condensed Specialty Crosswalk'!$A$2:$C$182,3,FALSE),"")</f>
        <v/>
      </c>
    </row>
    <row r="1297" spans="1:7" ht="15" customHeight="1">
      <c r="A1297" s="49"/>
      <c r="B1297" s="49" t="str">
        <f>CONCATENATE(Reports!E1296," ",Reports!F1296," ",Reports!G1296)</f>
        <v xml:space="preserve">  </v>
      </c>
      <c r="C1297" s="50"/>
      <c r="D1297" s="51"/>
      <c r="E1297" s="49" t="str">
        <f>IFERROR(VLOOKUP(D1297,'taxonomy map'!$A$1:$B$171,2,FALSE),"")</f>
        <v/>
      </c>
      <c r="F1297" s="49" t="str">
        <f>IFERROR(VLOOKUP(E1297,'Condensed Specialty Crosswalk'!$A$2:$C$182,2,FALSE),"")</f>
        <v/>
      </c>
      <c r="G1297" s="49" t="str">
        <f>IFERROR(VLOOKUP(E1297,'Condensed Specialty Crosswalk'!$A$2:$C$182,3,FALSE),"")</f>
        <v/>
      </c>
    </row>
    <row r="1298" spans="1:7" ht="15" customHeight="1">
      <c r="A1298" s="49"/>
      <c r="B1298" s="49" t="str">
        <f>CONCATENATE(Reports!E1297," ",Reports!F1297," ",Reports!G1297)</f>
        <v xml:space="preserve">  </v>
      </c>
      <c r="C1298" s="50"/>
      <c r="D1298" s="51"/>
      <c r="E1298" s="49" t="str">
        <f>IFERROR(VLOOKUP(D1298,'taxonomy map'!$A$1:$B$171,2,FALSE),"")</f>
        <v/>
      </c>
      <c r="F1298" s="49" t="str">
        <f>IFERROR(VLOOKUP(E1298,'Condensed Specialty Crosswalk'!$A$2:$C$182,2,FALSE),"")</f>
        <v/>
      </c>
      <c r="G1298" s="49" t="str">
        <f>IFERROR(VLOOKUP(E1298,'Condensed Specialty Crosswalk'!$A$2:$C$182,3,FALSE),"")</f>
        <v/>
      </c>
    </row>
    <row r="1299" spans="1:7" ht="15" customHeight="1">
      <c r="A1299" s="49"/>
      <c r="B1299" s="49" t="str">
        <f>CONCATENATE(Reports!E1298," ",Reports!F1298," ",Reports!G1298)</f>
        <v xml:space="preserve">  </v>
      </c>
      <c r="C1299" s="50"/>
      <c r="D1299" s="51"/>
      <c r="E1299" s="49" t="str">
        <f>IFERROR(VLOOKUP(D1299,'taxonomy map'!$A$1:$B$171,2,FALSE),"")</f>
        <v/>
      </c>
      <c r="F1299" s="49" t="str">
        <f>IFERROR(VLOOKUP(E1299,'Condensed Specialty Crosswalk'!$A$2:$C$182,2,FALSE),"")</f>
        <v/>
      </c>
      <c r="G1299" s="49" t="str">
        <f>IFERROR(VLOOKUP(E1299,'Condensed Specialty Crosswalk'!$A$2:$C$182,3,FALSE),"")</f>
        <v/>
      </c>
    </row>
    <row r="1300" spans="1:7" ht="15" customHeight="1">
      <c r="A1300" s="49"/>
      <c r="B1300" s="49" t="str">
        <f>CONCATENATE(Reports!E1299," ",Reports!F1299," ",Reports!G1299)</f>
        <v xml:space="preserve">  </v>
      </c>
      <c r="C1300" s="50"/>
      <c r="D1300" s="51"/>
      <c r="E1300" s="49" t="str">
        <f>IFERROR(VLOOKUP(D1300,'taxonomy map'!$A$1:$B$171,2,FALSE),"")</f>
        <v/>
      </c>
      <c r="F1300" s="49" t="str">
        <f>IFERROR(VLOOKUP(E1300,'Condensed Specialty Crosswalk'!$A$2:$C$182,2,FALSE),"")</f>
        <v/>
      </c>
      <c r="G1300" s="49" t="str">
        <f>IFERROR(VLOOKUP(E1300,'Condensed Specialty Crosswalk'!$A$2:$C$182,3,FALSE),"")</f>
        <v/>
      </c>
    </row>
    <row r="1301" spans="1:7" ht="15" customHeight="1">
      <c r="A1301" s="49"/>
      <c r="B1301" s="49" t="str">
        <f>CONCATENATE(Reports!E1300," ",Reports!F1300," ",Reports!G1300)</f>
        <v xml:space="preserve">  </v>
      </c>
      <c r="C1301" s="50"/>
      <c r="D1301" s="51"/>
      <c r="E1301" s="49" t="str">
        <f>IFERROR(VLOOKUP(D1301,'taxonomy map'!$A$1:$B$171,2,FALSE),"")</f>
        <v/>
      </c>
      <c r="F1301" s="49" t="str">
        <f>IFERROR(VLOOKUP(E1301,'Condensed Specialty Crosswalk'!$A$2:$C$182,2,FALSE),"")</f>
        <v/>
      </c>
      <c r="G1301" s="49" t="str">
        <f>IFERROR(VLOOKUP(E1301,'Condensed Specialty Crosswalk'!$A$2:$C$182,3,FALSE),"")</f>
        <v/>
      </c>
    </row>
    <row r="1302" spans="1:7" ht="15" customHeight="1">
      <c r="A1302" s="49"/>
      <c r="B1302" s="49" t="str">
        <f>CONCATENATE(Reports!E1301," ",Reports!F1301," ",Reports!G1301)</f>
        <v xml:space="preserve">  </v>
      </c>
      <c r="C1302" s="50"/>
      <c r="D1302" s="51"/>
      <c r="E1302" s="49" t="str">
        <f>IFERROR(VLOOKUP(D1302,'taxonomy map'!$A$1:$B$171,2,FALSE),"")</f>
        <v/>
      </c>
      <c r="F1302" s="49" t="str">
        <f>IFERROR(VLOOKUP(E1302,'Condensed Specialty Crosswalk'!$A$2:$C$182,2,FALSE),"")</f>
        <v/>
      </c>
      <c r="G1302" s="49" t="str">
        <f>IFERROR(VLOOKUP(E1302,'Condensed Specialty Crosswalk'!$A$2:$C$182,3,FALSE),"")</f>
        <v/>
      </c>
    </row>
    <row r="1303" spans="1:7" ht="15" customHeight="1">
      <c r="A1303" s="49"/>
      <c r="B1303" s="49" t="str">
        <f>CONCATENATE(Reports!E1302," ",Reports!F1302," ",Reports!G1302)</f>
        <v xml:space="preserve">  </v>
      </c>
      <c r="C1303" s="50"/>
      <c r="D1303" s="51"/>
      <c r="E1303" s="49" t="str">
        <f>IFERROR(VLOOKUP(D1303,'taxonomy map'!$A$1:$B$171,2,FALSE),"")</f>
        <v/>
      </c>
      <c r="F1303" s="49" t="str">
        <f>IFERROR(VLOOKUP(E1303,'Condensed Specialty Crosswalk'!$A$2:$C$182,2,FALSE),"")</f>
        <v/>
      </c>
      <c r="G1303" s="49" t="str">
        <f>IFERROR(VLOOKUP(E1303,'Condensed Specialty Crosswalk'!$A$2:$C$182,3,FALSE),"")</f>
        <v/>
      </c>
    </row>
    <row r="1304" spans="1:7" ht="15" customHeight="1">
      <c r="A1304" s="49"/>
      <c r="B1304" s="49" t="str">
        <f>CONCATENATE(Reports!E1303," ",Reports!F1303," ",Reports!G1303)</f>
        <v xml:space="preserve">  </v>
      </c>
      <c r="C1304" s="50"/>
      <c r="D1304" s="51"/>
      <c r="E1304" s="49" t="str">
        <f>IFERROR(VLOOKUP(D1304,'taxonomy map'!$A$1:$B$171,2,FALSE),"")</f>
        <v/>
      </c>
      <c r="F1304" s="49" t="str">
        <f>IFERROR(VLOOKUP(E1304,'Condensed Specialty Crosswalk'!$A$2:$C$182,2,FALSE),"")</f>
        <v/>
      </c>
      <c r="G1304" s="49" t="str">
        <f>IFERROR(VLOOKUP(E1304,'Condensed Specialty Crosswalk'!$A$2:$C$182,3,FALSE),"")</f>
        <v/>
      </c>
    </row>
    <row r="1305" spans="1:7" ht="15" customHeight="1">
      <c r="A1305" s="49"/>
      <c r="B1305" s="49" t="str">
        <f>CONCATENATE(Reports!E1304," ",Reports!F1304," ",Reports!G1304)</f>
        <v xml:space="preserve">  </v>
      </c>
      <c r="C1305" s="50"/>
      <c r="D1305" s="51"/>
      <c r="E1305" s="49" t="str">
        <f>IFERROR(VLOOKUP(D1305,'taxonomy map'!$A$1:$B$171,2,FALSE),"")</f>
        <v/>
      </c>
      <c r="F1305" s="49" t="str">
        <f>IFERROR(VLOOKUP(E1305,'Condensed Specialty Crosswalk'!$A$2:$C$182,2,FALSE),"")</f>
        <v/>
      </c>
      <c r="G1305" s="49" t="str">
        <f>IFERROR(VLOOKUP(E1305,'Condensed Specialty Crosswalk'!$A$2:$C$182,3,FALSE),"")</f>
        <v/>
      </c>
    </row>
    <row r="1306" spans="1:7" ht="15" customHeight="1">
      <c r="A1306" s="49"/>
      <c r="B1306" s="49" t="str">
        <f>CONCATENATE(Reports!E1305," ",Reports!F1305," ",Reports!G1305)</f>
        <v xml:space="preserve">  </v>
      </c>
      <c r="C1306" s="50"/>
      <c r="D1306" s="51"/>
      <c r="E1306" s="49" t="str">
        <f>IFERROR(VLOOKUP(D1306,'taxonomy map'!$A$1:$B$171,2,FALSE),"")</f>
        <v/>
      </c>
      <c r="F1306" s="49" t="str">
        <f>IFERROR(VLOOKUP(E1306,'Condensed Specialty Crosswalk'!$A$2:$C$182,2,FALSE),"")</f>
        <v/>
      </c>
      <c r="G1306" s="49" t="str">
        <f>IFERROR(VLOOKUP(E1306,'Condensed Specialty Crosswalk'!$A$2:$C$182,3,FALSE),"")</f>
        <v/>
      </c>
    </row>
    <row r="1307" spans="1:7" ht="15" customHeight="1">
      <c r="A1307" s="49"/>
      <c r="B1307" s="49" t="str">
        <f>CONCATENATE(Reports!E1306," ",Reports!F1306," ",Reports!G1306)</f>
        <v xml:space="preserve">  </v>
      </c>
      <c r="C1307" s="50"/>
      <c r="D1307" s="51"/>
      <c r="E1307" s="49" t="str">
        <f>IFERROR(VLOOKUP(D1307,'taxonomy map'!$A$1:$B$171,2,FALSE),"")</f>
        <v/>
      </c>
      <c r="F1307" s="49" t="str">
        <f>IFERROR(VLOOKUP(E1307,'Condensed Specialty Crosswalk'!$A$2:$C$182,2,FALSE),"")</f>
        <v/>
      </c>
      <c r="G1307" s="49" t="str">
        <f>IFERROR(VLOOKUP(E1307,'Condensed Specialty Crosswalk'!$A$2:$C$182,3,FALSE),"")</f>
        <v/>
      </c>
    </row>
    <row r="1308" spans="1:7" ht="15" customHeight="1">
      <c r="A1308" s="49"/>
      <c r="B1308" s="49" t="str">
        <f>CONCATENATE(Reports!E1307," ",Reports!F1307," ",Reports!G1307)</f>
        <v xml:space="preserve">  </v>
      </c>
      <c r="C1308" s="50"/>
      <c r="D1308" s="51"/>
      <c r="E1308" s="49" t="str">
        <f>IFERROR(VLOOKUP(D1308,'taxonomy map'!$A$1:$B$171,2,FALSE),"")</f>
        <v/>
      </c>
      <c r="F1308" s="49" t="str">
        <f>IFERROR(VLOOKUP(E1308,'Condensed Specialty Crosswalk'!$A$2:$C$182,2,FALSE),"")</f>
        <v/>
      </c>
      <c r="G1308" s="49" t="str">
        <f>IFERROR(VLOOKUP(E1308,'Condensed Specialty Crosswalk'!$A$2:$C$182,3,FALSE),"")</f>
        <v/>
      </c>
    </row>
    <row r="1309" spans="1:7" ht="15" customHeight="1">
      <c r="A1309" s="49"/>
      <c r="B1309" s="49" t="str">
        <f>CONCATENATE(Reports!E1308," ",Reports!F1308," ",Reports!G1308)</f>
        <v xml:space="preserve">  </v>
      </c>
      <c r="C1309" s="50"/>
      <c r="D1309" s="51"/>
      <c r="E1309" s="49" t="str">
        <f>IFERROR(VLOOKUP(D1309,'taxonomy map'!$A$1:$B$171,2,FALSE),"")</f>
        <v/>
      </c>
      <c r="F1309" s="49" t="str">
        <f>IFERROR(VLOOKUP(E1309,'Condensed Specialty Crosswalk'!$A$2:$C$182,2,FALSE),"")</f>
        <v/>
      </c>
      <c r="G1309" s="49" t="str">
        <f>IFERROR(VLOOKUP(E1309,'Condensed Specialty Crosswalk'!$A$2:$C$182,3,FALSE),"")</f>
        <v/>
      </c>
    </row>
    <row r="1310" spans="1:7" ht="15" customHeight="1">
      <c r="A1310" s="49"/>
      <c r="B1310" s="49" t="str">
        <f>CONCATENATE(Reports!E1309," ",Reports!F1309," ",Reports!G1309)</f>
        <v xml:space="preserve">  </v>
      </c>
      <c r="C1310" s="50"/>
      <c r="D1310" s="51"/>
      <c r="E1310" s="49" t="str">
        <f>IFERROR(VLOOKUP(D1310,'taxonomy map'!$A$1:$B$171,2,FALSE),"")</f>
        <v/>
      </c>
      <c r="F1310" s="49" t="str">
        <f>IFERROR(VLOOKUP(E1310,'Condensed Specialty Crosswalk'!$A$2:$C$182,2,FALSE),"")</f>
        <v/>
      </c>
      <c r="G1310" s="49" t="str">
        <f>IFERROR(VLOOKUP(E1310,'Condensed Specialty Crosswalk'!$A$2:$C$182,3,FALSE),"")</f>
        <v/>
      </c>
    </row>
    <row r="1311" spans="1:7" ht="15" customHeight="1">
      <c r="A1311" s="49"/>
      <c r="B1311" s="49" t="str">
        <f>CONCATENATE(Reports!E1310," ",Reports!F1310," ",Reports!G1310)</f>
        <v xml:space="preserve">  </v>
      </c>
      <c r="C1311" s="50"/>
      <c r="D1311" s="51"/>
      <c r="E1311" s="49" t="str">
        <f>IFERROR(VLOOKUP(D1311,'taxonomy map'!$A$1:$B$171,2,FALSE),"")</f>
        <v/>
      </c>
      <c r="F1311" s="49" t="str">
        <f>IFERROR(VLOOKUP(E1311,'Condensed Specialty Crosswalk'!$A$2:$C$182,2,FALSE),"")</f>
        <v/>
      </c>
      <c r="G1311" s="49" t="str">
        <f>IFERROR(VLOOKUP(E1311,'Condensed Specialty Crosswalk'!$A$2:$C$182,3,FALSE),"")</f>
        <v/>
      </c>
    </row>
    <row r="1312" spans="1:7" ht="15" customHeight="1">
      <c r="A1312" s="49"/>
      <c r="B1312" s="49" t="str">
        <f>CONCATENATE(Reports!E1311," ",Reports!F1311," ",Reports!G1311)</f>
        <v xml:space="preserve">  </v>
      </c>
      <c r="C1312" s="50"/>
      <c r="D1312" s="51"/>
      <c r="E1312" s="49" t="str">
        <f>IFERROR(VLOOKUP(D1312,'taxonomy map'!$A$1:$B$171,2,FALSE),"")</f>
        <v/>
      </c>
      <c r="F1312" s="49" t="str">
        <f>IFERROR(VLOOKUP(E1312,'Condensed Specialty Crosswalk'!$A$2:$C$182,2,FALSE),"")</f>
        <v/>
      </c>
      <c r="G1312" s="49" t="str">
        <f>IFERROR(VLOOKUP(E1312,'Condensed Specialty Crosswalk'!$A$2:$C$182,3,FALSE),"")</f>
        <v/>
      </c>
    </row>
    <row r="1313" spans="1:7" ht="15" customHeight="1">
      <c r="A1313" s="49"/>
      <c r="B1313" s="49" t="str">
        <f>CONCATENATE(Reports!E1312," ",Reports!F1312," ",Reports!G1312)</f>
        <v xml:space="preserve">  </v>
      </c>
      <c r="C1313" s="50"/>
      <c r="D1313" s="51"/>
      <c r="E1313" s="49" t="str">
        <f>IFERROR(VLOOKUP(D1313,'taxonomy map'!$A$1:$B$171,2,FALSE),"")</f>
        <v/>
      </c>
      <c r="F1313" s="49" t="str">
        <f>IFERROR(VLOOKUP(E1313,'Condensed Specialty Crosswalk'!$A$2:$C$182,2,FALSE),"")</f>
        <v/>
      </c>
      <c r="G1313" s="49" t="str">
        <f>IFERROR(VLOOKUP(E1313,'Condensed Specialty Crosswalk'!$A$2:$C$182,3,FALSE),"")</f>
        <v/>
      </c>
    </row>
    <row r="1314" spans="1:7" ht="15" customHeight="1">
      <c r="A1314" s="49"/>
      <c r="B1314" s="49" t="str">
        <f>CONCATENATE(Reports!E1313," ",Reports!F1313," ",Reports!G1313)</f>
        <v xml:space="preserve">  </v>
      </c>
      <c r="C1314" s="50"/>
      <c r="D1314" s="51"/>
      <c r="E1314" s="49" t="str">
        <f>IFERROR(VLOOKUP(D1314,'taxonomy map'!$A$1:$B$171,2,FALSE),"")</f>
        <v/>
      </c>
      <c r="F1314" s="49" t="str">
        <f>IFERROR(VLOOKUP(E1314,'Condensed Specialty Crosswalk'!$A$2:$C$182,2,FALSE),"")</f>
        <v/>
      </c>
      <c r="G1314" s="49" t="str">
        <f>IFERROR(VLOOKUP(E1314,'Condensed Specialty Crosswalk'!$A$2:$C$182,3,FALSE),"")</f>
        <v/>
      </c>
    </row>
    <row r="1315" spans="1:7" ht="15" customHeight="1">
      <c r="A1315" s="49"/>
      <c r="B1315" s="49" t="str">
        <f>CONCATENATE(Reports!E1314," ",Reports!F1314," ",Reports!G1314)</f>
        <v xml:space="preserve">  </v>
      </c>
      <c r="C1315" s="50"/>
      <c r="D1315" s="51"/>
      <c r="E1315" s="49" t="str">
        <f>IFERROR(VLOOKUP(D1315,'taxonomy map'!$A$1:$B$171,2,FALSE),"")</f>
        <v/>
      </c>
      <c r="F1315" s="49" t="str">
        <f>IFERROR(VLOOKUP(E1315,'Condensed Specialty Crosswalk'!$A$2:$C$182,2,FALSE),"")</f>
        <v/>
      </c>
      <c r="G1315" s="49" t="str">
        <f>IFERROR(VLOOKUP(E1315,'Condensed Specialty Crosswalk'!$A$2:$C$182,3,FALSE),"")</f>
        <v/>
      </c>
    </row>
    <row r="1316" spans="1:7" ht="15" customHeight="1">
      <c r="A1316" s="49"/>
      <c r="B1316" s="49" t="str">
        <f>CONCATENATE(Reports!E1315," ",Reports!F1315," ",Reports!G1315)</f>
        <v xml:space="preserve">  </v>
      </c>
      <c r="C1316" s="50"/>
      <c r="D1316" s="51"/>
      <c r="E1316" s="49" t="str">
        <f>IFERROR(VLOOKUP(D1316,'taxonomy map'!$A$1:$B$171,2,FALSE),"")</f>
        <v/>
      </c>
      <c r="F1316" s="49" t="str">
        <f>IFERROR(VLOOKUP(E1316,'Condensed Specialty Crosswalk'!$A$2:$C$182,2,FALSE),"")</f>
        <v/>
      </c>
      <c r="G1316" s="49" t="str">
        <f>IFERROR(VLOOKUP(E1316,'Condensed Specialty Crosswalk'!$A$2:$C$182,3,FALSE),"")</f>
        <v/>
      </c>
    </row>
    <row r="1317" spans="1:7" ht="15" customHeight="1">
      <c r="A1317" s="49"/>
      <c r="B1317" s="49" t="str">
        <f>CONCATENATE(Reports!E1316," ",Reports!F1316," ",Reports!G1316)</f>
        <v xml:space="preserve">  </v>
      </c>
      <c r="C1317" s="50"/>
      <c r="D1317" s="51"/>
      <c r="E1317" s="49" t="str">
        <f>IFERROR(VLOOKUP(D1317,'taxonomy map'!$A$1:$B$171,2,FALSE),"")</f>
        <v/>
      </c>
      <c r="F1317" s="49" t="str">
        <f>IFERROR(VLOOKUP(E1317,'Condensed Specialty Crosswalk'!$A$2:$C$182,2,FALSE),"")</f>
        <v/>
      </c>
      <c r="G1317" s="49" t="str">
        <f>IFERROR(VLOOKUP(E1317,'Condensed Specialty Crosswalk'!$A$2:$C$182,3,FALSE),"")</f>
        <v/>
      </c>
    </row>
    <row r="1318" spans="1:7" ht="15" customHeight="1">
      <c r="A1318" s="49"/>
      <c r="B1318" s="49" t="str">
        <f>CONCATENATE(Reports!E1317," ",Reports!F1317," ",Reports!G1317)</f>
        <v xml:space="preserve">  </v>
      </c>
      <c r="C1318" s="50"/>
      <c r="D1318" s="51"/>
      <c r="E1318" s="49" t="str">
        <f>IFERROR(VLOOKUP(D1318,'taxonomy map'!$A$1:$B$171,2,FALSE),"")</f>
        <v/>
      </c>
      <c r="F1318" s="49" t="str">
        <f>IFERROR(VLOOKUP(E1318,'Condensed Specialty Crosswalk'!$A$2:$C$182,2,FALSE),"")</f>
        <v/>
      </c>
      <c r="G1318" s="49" t="str">
        <f>IFERROR(VLOOKUP(E1318,'Condensed Specialty Crosswalk'!$A$2:$C$182,3,FALSE),"")</f>
        <v/>
      </c>
    </row>
    <row r="1319" spans="1:7" ht="15" customHeight="1">
      <c r="A1319" s="49"/>
      <c r="B1319" s="49" t="str">
        <f>CONCATENATE(Reports!E1318," ",Reports!F1318," ",Reports!G1318)</f>
        <v xml:space="preserve">  </v>
      </c>
      <c r="C1319" s="50"/>
      <c r="D1319" s="51"/>
      <c r="E1319" s="49" t="str">
        <f>IFERROR(VLOOKUP(D1319,'taxonomy map'!$A$1:$B$171,2,FALSE),"")</f>
        <v/>
      </c>
      <c r="F1319" s="49" t="str">
        <f>IFERROR(VLOOKUP(E1319,'Condensed Specialty Crosswalk'!$A$2:$C$182,2,FALSE),"")</f>
        <v/>
      </c>
      <c r="G1319" s="49" t="str">
        <f>IFERROR(VLOOKUP(E1319,'Condensed Specialty Crosswalk'!$A$2:$C$182,3,FALSE),"")</f>
        <v/>
      </c>
    </row>
    <row r="1320" spans="1:7" ht="15" customHeight="1">
      <c r="A1320" s="49"/>
      <c r="B1320" s="49" t="str">
        <f>CONCATENATE(Reports!E1319," ",Reports!F1319," ",Reports!G1319)</f>
        <v xml:space="preserve">  </v>
      </c>
      <c r="C1320" s="50"/>
      <c r="D1320" s="51"/>
      <c r="E1320" s="49" t="str">
        <f>IFERROR(VLOOKUP(D1320,'taxonomy map'!$A$1:$B$171,2,FALSE),"")</f>
        <v/>
      </c>
      <c r="F1320" s="49" t="str">
        <f>IFERROR(VLOOKUP(E1320,'Condensed Specialty Crosswalk'!$A$2:$C$182,2,FALSE),"")</f>
        <v/>
      </c>
      <c r="G1320" s="49" t="str">
        <f>IFERROR(VLOOKUP(E1320,'Condensed Specialty Crosswalk'!$A$2:$C$182,3,FALSE),"")</f>
        <v/>
      </c>
    </row>
    <row r="1321" spans="1:7" ht="15" customHeight="1">
      <c r="A1321" s="49"/>
      <c r="B1321" s="49" t="str">
        <f>CONCATENATE(Reports!E1320," ",Reports!F1320," ",Reports!G1320)</f>
        <v xml:space="preserve">  </v>
      </c>
      <c r="C1321" s="50"/>
      <c r="D1321" s="51"/>
      <c r="E1321" s="49" t="str">
        <f>IFERROR(VLOOKUP(D1321,'taxonomy map'!$A$1:$B$171,2,FALSE),"")</f>
        <v/>
      </c>
      <c r="F1321" s="49" t="str">
        <f>IFERROR(VLOOKUP(E1321,'Condensed Specialty Crosswalk'!$A$2:$C$182,2,FALSE),"")</f>
        <v/>
      </c>
      <c r="G1321" s="49" t="str">
        <f>IFERROR(VLOOKUP(E1321,'Condensed Specialty Crosswalk'!$A$2:$C$182,3,FALSE),"")</f>
        <v/>
      </c>
    </row>
    <row r="1322" spans="1:7" ht="15" customHeight="1">
      <c r="A1322" s="49"/>
      <c r="B1322" s="49" t="str">
        <f>CONCATENATE(Reports!E1321," ",Reports!F1321," ",Reports!G1321)</f>
        <v xml:space="preserve">  </v>
      </c>
      <c r="C1322" s="50"/>
      <c r="D1322" s="51"/>
      <c r="E1322" s="49" t="str">
        <f>IFERROR(VLOOKUP(D1322,'taxonomy map'!$A$1:$B$171,2,FALSE),"")</f>
        <v/>
      </c>
      <c r="F1322" s="49" t="str">
        <f>IFERROR(VLOOKUP(E1322,'Condensed Specialty Crosswalk'!$A$2:$C$182,2,FALSE),"")</f>
        <v/>
      </c>
      <c r="G1322" s="49" t="str">
        <f>IFERROR(VLOOKUP(E1322,'Condensed Specialty Crosswalk'!$A$2:$C$182,3,FALSE),"")</f>
        <v/>
      </c>
    </row>
    <row r="1323" spans="1:7" ht="15" customHeight="1">
      <c r="A1323" s="49"/>
      <c r="B1323" s="49" t="str">
        <f>CONCATENATE(Reports!E1322," ",Reports!F1322," ",Reports!G1322)</f>
        <v xml:space="preserve">  </v>
      </c>
      <c r="C1323" s="50"/>
      <c r="D1323" s="51"/>
      <c r="E1323" s="49" t="str">
        <f>IFERROR(VLOOKUP(D1323,'taxonomy map'!$A$1:$B$171,2,FALSE),"")</f>
        <v/>
      </c>
      <c r="F1323" s="49" t="str">
        <f>IFERROR(VLOOKUP(E1323,'Condensed Specialty Crosswalk'!$A$2:$C$182,2,FALSE),"")</f>
        <v/>
      </c>
      <c r="G1323" s="49" t="str">
        <f>IFERROR(VLOOKUP(E1323,'Condensed Specialty Crosswalk'!$A$2:$C$182,3,FALSE),"")</f>
        <v/>
      </c>
    </row>
    <row r="1324" spans="1:7" ht="15" customHeight="1">
      <c r="A1324" s="49"/>
      <c r="B1324" s="49" t="str">
        <f>CONCATENATE(Reports!E1323," ",Reports!F1323," ",Reports!G1323)</f>
        <v xml:space="preserve">  </v>
      </c>
      <c r="C1324" s="50"/>
      <c r="D1324" s="51"/>
      <c r="E1324" s="49" t="str">
        <f>IFERROR(VLOOKUP(D1324,'taxonomy map'!$A$1:$B$171,2,FALSE),"")</f>
        <v/>
      </c>
      <c r="F1324" s="49" t="str">
        <f>IFERROR(VLOOKUP(E1324,'Condensed Specialty Crosswalk'!$A$2:$C$182,2,FALSE),"")</f>
        <v/>
      </c>
      <c r="G1324" s="49" t="str">
        <f>IFERROR(VLOOKUP(E1324,'Condensed Specialty Crosswalk'!$A$2:$C$182,3,FALSE),"")</f>
        <v/>
      </c>
    </row>
    <row r="1325" spans="1:7" ht="15" customHeight="1">
      <c r="A1325" s="49"/>
      <c r="B1325" s="49" t="str">
        <f>CONCATENATE(Reports!E1324," ",Reports!F1324," ",Reports!G1324)</f>
        <v xml:space="preserve">  </v>
      </c>
      <c r="C1325" s="50"/>
      <c r="D1325" s="51"/>
      <c r="E1325" s="49" t="str">
        <f>IFERROR(VLOOKUP(D1325,'taxonomy map'!$A$1:$B$171,2,FALSE),"")</f>
        <v/>
      </c>
      <c r="F1325" s="49" t="str">
        <f>IFERROR(VLOOKUP(E1325,'Condensed Specialty Crosswalk'!$A$2:$C$182,2,FALSE),"")</f>
        <v/>
      </c>
      <c r="G1325" s="49" t="str">
        <f>IFERROR(VLOOKUP(E1325,'Condensed Specialty Crosswalk'!$A$2:$C$182,3,FALSE),"")</f>
        <v/>
      </c>
    </row>
    <row r="1326" spans="1:7" ht="15" customHeight="1">
      <c r="A1326" s="49"/>
      <c r="B1326" s="49" t="str">
        <f>CONCATENATE(Reports!E1325," ",Reports!F1325," ",Reports!G1325)</f>
        <v xml:space="preserve">  </v>
      </c>
      <c r="C1326" s="50"/>
      <c r="D1326" s="51"/>
      <c r="E1326" s="49" t="str">
        <f>IFERROR(VLOOKUP(D1326,'taxonomy map'!$A$1:$B$171,2,FALSE),"")</f>
        <v/>
      </c>
      <c r="F1326" s="49" t="str">
        <f>IFERROR(VLOOKUP(E1326,'Condensed Specialty Crosswalk'!$A$2:$C$182,2,FALSE),"")</f>
        <v/>
      </c>
      <c r="G1326" s="49" t="str">
        <f>IFERROR(VLOOKUP(E1326,'Condensed Specialty Crosswalk'!$A$2:$C$182,3,FALSE),"")</f>
        <v/>
      </c>
    </row>
    <row r="1327" spans="1:7" ht="15" customHeight="1">
      <c r="A1327" s="49"/>
      <c r="B1327" s="49" t="str">
        <f>CONCATENATE(Reports!E1326," ",Reports!F1326," ",Reports!G1326)</f>
        <v xml:space="preserve">  </v>
      </c>
      <c r="C1327" s="50"/>
      <c r="D1327" s="51"/>
      <c r="E1327" s="49" t="str">
        <f>IFERROR(VLOOKUP(D1327,'taxonomy map'!$A$1:$B$171,2,FALSE),"")</f>
        <v/>
      </c>
      <c r="F1327" s="49" t="str">
        <f>IFERROR(VLOOKUP(E1327,'Condensed Specialty Crosswalk'!$A$2:$C$182,2,FALSE),"")</f>
        <v/>
      </c>
      <c r="G1327" s="49" t="str">
        <f>IFERROR(VLOOKUP(E1327,'Condensed Specialty Crosswalk'!$A$2:$C$182,3,FALSE),"")</f>
        <v/>
      </c>
    </row>
    <row r="1328" spans="1:7" ht="15" customHeight="1">
      <c r="A1328" s="49"/>
      <c r="B1328" s="49" t="str">
        <f>CONCATENATE(Reports!E1327," ",Reports!F1327," ",Reports!G1327)</f>
        <v xml:space="preserve">  </v>
      </c>
      <c r="C1328" s="50"/>
      <c r="D1328" s="51"/>
      <c r="E1328" s="49" t="str">
        <f>IFERROR(VLOOKUP(D1328,'taxonomy map'!$A$1:$B$171,2,FALSE),"")</f>
        <v/>
      </c>
      <c r="F1328" s="49" t="str">
        <f>IFERROR(VLOOKUP(E1328,'Condensed Specialty Crosswalk'!$A$2:$C$182,2,FALSE),"")</f>
        <v/>
      </c>
      <c r="G1328" s="49" t="str">
        <f>IFERROR(VLOOKUP(E1328,'Condensed Specialty Crosswalk'!$A$2:$C$182,3,FALSE),"")</f>
        <v/>
      </c>
    </row>
    <row r="1329" spans="1:7" ht="15" customHeight="1">
      <c r="A1329" s="49"/>
      <c r="B1329" s="49" t="str">
        <f>CONCATENATE(Reports!E1328," ",Reports!F1328," ",Reports!G1328)</f>
        <v xml:space="preserve">  </v>
      </c>
      <c r="C1329" s="50"/>
      <c r="D1329" s="51"/>
      <c r="E1329" s="49" t="str">
        <f>IFERROR(VLOOKUP(D1329,'taxonomy map'!$A$1:$B$171,2,FALSE),"")</f>
        <v/>
      </c>
      <c r="F1329" s="49" t="str">
        <f>IFERROR(VLOOKUP(E1329,'Condensed Specialty Crosswalk'!$A$2:$C$182,2,FALSE),"")</f>
        <v/>
      </c>
      <c r="G1329" s="49" t="str">
        <f>IFERROR(VLOOKUP(E1329,'Condensed Specialty Crosswalk'!$A$2:$C$182,3,FALSE),"")</f>
        <v/>
      </c>
    </row>
    <row r="1330" spans="1:7" ht="15" customHeight="1">
      <c r="A1330" s="49"/>
      <c r="B1330" s="49" t="str">
        <f>CONCATENATE(Reports!E1329," ",Reports!F1329," ",Reports!G1329)</f>
        <v xml:space="preserve">  </v>
      </c>
      <c r="C1330" s="50"/>
      <c r="D1330" s="51"/>
      <c r="E1330" s="49" t="str">
        <f>IFERROR(VLOOKUP(D1330,'taxonomy map'!$A$1:$B$171,2,FALSE),"")</f>
        <v/>
      </c>
      <c r="F1330" s="49" t="str">
        <f>IFERROR(VLOOKUP(E1330,'Condensed Specialty Crosswalk'!$A$2:$C$182,2,FALSE),"")</f>
        <v/>
      </c>
      <c r="G1330" s="49" t="str">
        <f>IFERROR(VLOOKUP(E1330,'Condensed Specialty Crosswalk'!$A$2:$C$182,3,FALSE),"")</f>
        <v/>
      </c>
    </row>
    <row r="1331" spans="1:7" ht="15" customHeight="1">
      <c r="A1331" s="49"/>
      <c r="B1331" s="49" t="str">
        <f>CONCATENATE(Reports!E1330," ",Reports!F1330," ",Reports!G1330)</f>
        <v xml:space="preserve">  </v>
      </c>
      <c r="C1331" s="50"/>
      <c r="D1331" s="51"/>
      <c r="E1331" s="49" t="str">
        <f>IFERROR(VLOOKUP(D1331,'taxonomy map'!$A$1:$B$171,2,FALSE),"")</f>
        <v/>
      </c>
      <c r="F1331" s="49" t="str">
        <f>IFERROR(VLOOKUP(E1331,'Condensed Specialty Crosswalk'!$A$2:$C$182,2,FALSE),"")</f>
        <v/>
      </c>
      <c r="G1331" s="49" t="str">
        <f>IFERROR(VLOOKUP(E1331,'Condensed Specialty Crosswalk'!$A$2:$C$182,3,FALSE),"")</f>
        <v/>
      </c>
    </row>
    <row r="1332" spans="1:7" ht="15" customHeight="1">
      <c r="A1332" s="49"/>
      <c r="B1332" s="49" t="str">
        <f>CONCATENATE(Reports!E1331," ",Reports!F1331," ",Reports!G1331)</f>
        <v xml:space="preserve">  </v>
      </c>
      <c r="C1332" s="50"/>
      <c r="D1332" s="51"/>
      <c r="E1332" s="49" t="str">
        <f>IFERROR(VLOOKUP(D1332,'taxonomy map'!$A$1:$B$171,2,FALSE),"")</f>
        <v/>
      </c>
      <c r="F1332" s="49" t="str">
        <f>IFERROR(VLOOKUP(E1332,'Condensed Specialty Crosswalk'!$A$2:$C$182,2,FALSE),"")</f>
        <v/>
      </c>
      <c r="G1332" s="49" t="str">
        <f>IFERROR(VLOOKUP(E1332,'Condensed Specialty Crosswalk'!$A$2:$C$182,3,FALSE),"")</f>
        <v/>
      </c>
    </row>
    <row r="1333" spans="1:7" ht="15" customHeight="1">
      <c r="A1333" s="49"/>
      <c r="B1333" s="49" t="str">
        <f>CONCATENATE(Reports!E1332," ",Reports!F1332," ",Reports!G1332)</f>
        <v xml:space="preserve">  </v>
      </c>
      <c r="C1333" s="50"/>
      <c r="D1333" s="51"/>
      <c r="E1333" s="49" t="str">
        <f>IFERROR(VLOOKUP(D1333,'taxonomy map'!$A$1:$B$171,2,FALSE),"")</f>
        <v/>
      </c>
      <c r="F1333" s="49" t="str">
        <f>IFERROR(VLOOKUP(E1333,'Condensed Specialty Crosswalk'!$A$2:$C$182,2,FALSE),"")</f>
        <v/>
      </c>
      <c r="G1333" s="49" t="str">
        <f>IFERROR(VLOOKUP(E1333,'Condensed Specialty Crosswalk'!$A$2:$C$182,3,FALSE),"")</f>
        <v/>
      </c>
    </row>
    <row r="1334" spans="1:7" ht="15" customHeight="1">
      <c r="A1334" s="49"/>
      <c r="B1334" s="49" t="str">
        <f>CONCATENATE(Reports!E1333," ",Reports!F1333," ",Reports!G1333)</f>
        <v xml:space="preserve">  </v>
      </c>
      <c r="C1334" s="50"/>
      <c r="D1334" s="51"/>
      <c r="E1334" s="49" t="str">
        <f>IFERROR(VLOOKUP(D1334,'taxonomy map'!$A$1:$B$171,2,FALSE),"")</f>
        <v/>
      </c>
      <c r="F1334" s="49" t="str">
        <f>IFERROR(VLOOKUP(E1334,'Condensed Specialty Crosswalk'!$A$2:$C$182,2,FALSE),"")</f>
        <v/>
      </c>
      <c r="G1334" s="49" t="str">
        <f>IFERROR(VLOOKUP(E1334,'Condensed Specialty Crosswalk'!$A$2:$C$182,3,FALSE),"")</f>
        <v/>
      </c>
    </row>
    <row r="1335" spans="1:7" ht="15" customHeight="1">
      <c r="A1335" s="49"/>
      <c r="B1335" s="49" t="str">
        <f>CONCATENATE(Reports!E1334," ",Reports!F1334," ",Reports!G1334)</f>
        <v xml:space="preserve">  </v>
      </c>
      <c r="C1335" s="50"/>
      <c r="D1335" s="51"/>
      <c r="E1335" s="49" t="str">
        <f>IFERROR(VLOOKUP(D1335,'taxonomy map'!$A$1:$B$171,2,FALSE),"")</f>
        <v/>
      </c>
      <c r="F1335" s="49" t="str">
        <f>IFERROR(VLOOKUP(E1335,'Condensed Specialty Crosswalk'!$A$2:$C$182,2,FALSE),"")</f>
        <v/>
      </c>
      <c r="G1335" s="49" t="str">
        <f>IFERROR(VLOOKUP(E1335,'Condensed Specialty Crosswalk'!$A$2:$C$182,3,FALSE),"")</f>
        <v/>
      </c>
    </row>
    <row r="1336" spans="1:7" ht="15" customHeight="1">
      <c r="A1336" s="49"/>
      <c r="B1336" s="49" t="str">
        <f>CONCATENATE(Reports!E1335," ",Reports!F1335," ",Reports!G1335)</f>
        <v xml:space="preserve">  </v>
      </c>
      <c r="C1336" s="50"/>
      <c r="D1336" s="51"/>
      <c r="E1336" s="49" t="str">
        <f>IFERROR(VLOOKUP(D1336,'taxonomy map'!$A$1:$B$171,2,FALSE),"")</f>
        <v/>
      </c>
      <c r="F1336" s="49" t="str">
        <f>IFERROR(VLOOKUP(E1336,'Condensed Specialty Crosswalk'!$A$2:$C$182,2,FALSE),"")</f>
        <v/>
      </c>
      <c r="G1336" s="49" t="str">
        <f>IFERROR(VLOOKUP(E1336,'Condensed Specialty Crosswalk'!$A$2:$C$182,3,FALSE),"")</f>
        <v/>
      </c>
    </row>
    <row r="1337" spans="1:7" ht="15" customHeight="1">
      <c r="A1337" s="49"/>
      <c r="B1337" s="49" t="str">
        <f>CONCATENATE(Reports!E1336," ",Reports!F1336," ",Reports!G1336)</f>
        <v xml:space="preserve">  </v>
      </c>
      <c r="C1337" s="50"/>
      <c r="D1337" s="51"/>
      <c r="E1337" s="49" t="str">
        <f>IFERROR(VLOOKUP(D1337,'taxonomy map'!$A$1:$B$171,2,FALSE),"")</f>
        <v/>
      </c>
      <c r="F1337" s="49" t="str">
        <f>IFERROR(VLOOKUP(E1337,'Condensed Specialty Crosswalk'!$A$2:$C$182,2,FALSE),"")</f>
        <v/>
      </c>
      <c r="G1337" s="49" t="str">
        <f>IFERROR(VLOOKUP(E1337,'Condensed Specialty Crosswalk'!$A$2:$C$182,3,FALSE),"")</f>
        <v/>
      </c>
    </row>
    <row r="1338" spans="1:7" ht="15" customHeight="1">
      <c r="A1338" s="49"/>
      <c r="B1338" s="49" t="str">
        <f>CONCATENATE(Reports!E1337," ",Reports!F1337," ",Reports!G1337)</f>
        <v xml:space="preserve">  </v>
      </c>
      <c r="C1338" s="50"/>
      <c r="D1338" s="51"/>
      <c r="E1338" s="49" t="str">
        <f>IFERROR(VLOOKUP(D1338,'taxonomy map'!$A$1:$B$171,2,FALSE),"")</f>
        <v/>
      </c>
      <c r="F1338" s="49" t="str">
        <f>IFERROR(VLOOKUP(E1338,'Condensed Specialty Crosswalk'!$A$2:$C$182,2,FALSE),"")</f>
        <v/>
      </c>
      <c r="G1338" s="49" t="str">
        <f>IFERROR(VLOOKUP(E1338,'Condensed Specialty Crosswalk'!$A$2:$C$182,3,FALSE),"")</f>
        <v/>
      </c>
    </row>
    <row r="1339" spans="1:7" ht="15" customHeight="1">
      <c r="A1339" s="49"/>
      <c r="B1339" s="49" t="str">
        <f>CONCATENATE(Reports!E1338," ",Reports!F1338," ",Reports!G1338)</f>
        <v xml:space="preserve">  </v>
      </c>
      <c r="C1339" s="50"/>
      <c r="D1339" s="51"/>
      <c r="E1339" s="49" t="str">
        <f>IFERROR(VLOOKUP(D1339,'taxonomy map'!$A$1:$B$171,2,FALSE),"")</f>
        <v/>
      </c>
      <c r="F1339" s="49" t="str">
        <f>IFERROR(VLOOKUP(E1339,'Condensed Specialty Crosswalk'!$A$2:$C$182,2,FALSE),"")</f>
        <v/>
      </c>
      <c r="G1339" s="49" t="str">
        <f>IFERROR(VLOOKUP(E1339,'Condensed Specialty Crosswalk'!$A$2:$C$182,3,FALSE),"")</f>
        <v/>
      </c>
    </row>
    <row r="1340" spans="1:7" ht="15" customHeight="1">
      <c r="A1340" s="49"/>
      <c r="B1340" s="49" t="str">
        <f>CONCATENATE(Reports!E1339," ",Reports!F1339," ",Reports!G1339)</f>
        <v xml:space="preserve">  </v>
      </c>
      <c r="C1340" s="50"/>
      <c r="D1340" s="51"/>
      <c r="E1340" s="49" t="str">
        <f>IFERROR(VLOOKUP(D1340,'taxonomy map'!$A$1:$B$171,2,FALSE),"")</f>
        <v/>
      </c>
      <c r="F1340" s="49" t="str">
        <f>IFERROR(VLOOKUP(E1340,'Condensed Specialty Crosswalk'!$A$2:$C$182,2,FALSE),"")</f>
        <v/>
      </c>
      <c r="G1340" s="49" t="str">
        <f>IFERROR(VLOOKUP(E1340,'Condensed Specialty Crosswalk'!$A$2:$C$182,3,FALSE),"")</f>
        <v/>
      </c>
    </row>
    <row r="1341" spans="1:7" ht="15" customHeight="1">
      <c r="A1341" s="49"/>
      <c r="B1341" s="49" t="str">
        <f>CONCATENATE(Reports!E1340," ",Reports!F1340," ",Reports!G1340)</f>
        <v xml:space="preserve">  </v>
      </c>
      <c r="C1341" s="50"/>
      <c r="D1341" s="51"/>
      <c r="E1341" s="49" t="str">
        <f>IFERROR(VLOOKUP(D1341,'taxonomy map'!$A$1:$B$171,2,FALSE),"")</f>
        <v/>
      </c>
      <c r="F1341" s="49" t="str">
        <f>IFERROR(VLOOKUP(E1341,'Condensed Specialty Crosswalk'!$A$2:$C$182,2,FALSE),"")</f>
        <v/>
      </c>
      <c r="G1341" s="49" t="str">
        <f>IFERROR(VLOOKUP(E1341,'Condensed Specialty Crosswalk'!$A$2:$C$182,3,FALSE),"")</f>
        <v/>
      </c>
    </row>
    <row r="1342" spans="1:7" ht="15" customHeight="1">
      <c r="A1342" s="49"/>
      <c r="B1342" s="49" t="str">
        <f>CONCATENATE(Reports!E1341," ",Reports!F1341," ",Reports!G1341)</f>
        <v xml:space="preserve">  </v>
      </c>
      <c r="C1342" s="50"/>
      <c r="D1342" s="51"/>
      <c r="E1342" s="49" t="str">
        <f>IFERROR(VLOOKUP(D1342,'taxonomy map'!$A$1:$B$171,2,FALSE),"")</f>
        <v/>
      </c>
      <c r="F1342" s="49" t="str">
        <f>IFERROR(VLOOKUP(E1342,'Condensed Specialty Crosswalk'!$A$2:$C$182,2,FALSE),"")</f>
        <v/>
      </c>
      <c r="G1342" s="49" t="str">
        <f>IFERROR(VLOOKUP(E1342,'Condensed Specialty Crosswalk'!$A$2:$C$182,3,FALSE),"")</f>
        <v/>
      </c>
    </row>
    <row r="1343" spans="1:7" ht="15" customHeight="1">
      <c r="A1343" s="49"/>
      <c r="B1343" s="49" t="str">
        <f>CONCATENATE(Reports!E1342," ",Reports!F1342," ",Reports!G1342)</f>
        <v xml:space="preserve">  </v>
      </c>
      <c r="C1343" s="50"/>
      <c r="D1343" s="51"/>
      <c r="E1343" s="49" t="str">
        <f>IFERROR(VLOOKUP(D1343,'taxonomy map'!$A$1:$B$171,2,FALSE),"")</f>
        <v/>
      </c>
      <c r="F1343" s="49" t="str">
        <f>IFERROR(VLOOKUP(E1343,'Condensed Specialty Crosswalk'!$A$2:$C$182,2,FALSE),"")</f>
        <v/>
      </c>
      <c r="G1343" s="49" t="str">
        <f>IFERROR(VLOOKUP(E1343,'Condensed Specialty Crosswalk'!$A$2:$C$182,3,FALSE),"")</f>
        <v/>
      </c>
    </row>
    <row r="1344" spans="1:7" ht="15" customHeight="1">
      <c r="A1344" s="49"/>
      <c r="B1344" s="49" t="str">
        <f>CONCATENATE(Reports!E1343," ",Reports!F1343," ",Reports!G1343)</f>
        <v xml:space="preserve">  </v>
      </c>
      <c r="C1344" s="50"/>
      <c r="D1344" s="51"/>
      <c r="E1344" s="49" t="str">
        <f>IFERROR(VLOOKUP(D1344,'taxonomy map'!$A$1:$B$171,2,FALSE),"")</f>
        <v/>
      </c>
      <c r="F1344" s="49" t="str">
        <f>IFERROR(VLOOKUP(E1344,'Condensed Specialty Crosswalk'!$A$2:$C$182,2,FALSE),"")</f>
        <v/>
      </c>
      <c r="G1344" s="49" t="str">
        <f>IFERROR(VLOOKUP(E1344,'Condensed Specialty Crosswalk'!$A$2:$C$182,3,FALSE),"")</f>
        <v/>
      </c>
    </row>
    <row r="1345" spans="1:7" ht="15" customHeight="1">
      <c r="A1345" s="49"/>
      <c r="B1345" s="49" t="str">
        <f>CONCATENATE(Reports!E1344," ",Reports!F1344," ",Reports!G1344)</f>
        <v xml:space="preserve">  </v>
      </c>
      <c r="C1345" s="50"/>
      <c r="D1345" s="51"/>
      <c r="E1345" s="49" t="str">
        <f>IFERROR(VLOOKUP(D1345,'taxonomy map'!$A$1:$B$171,2,FALSE),"")</f>
        <v/>
      </c>
      <c r="F1345" s="49" t="str">
        <f>IFERROR(VLOOKUP(E1345,'Condensed Specialty Crosswalk'!$A$2:$C$182,2,FALSE),"")</f>
        <v/>
      </c>
      <c r="G1345" s="49" t="str">
        <f>IFERROR(VLOOKUP(E1345,'Condensed Specialty Crosswalk'!$A$2:$C$182,3,FALSE),"")</f>
        <v/>
      </c>
    </row>
    <row r="1346" spans="1:7" ht="15" customHeight="1">
      <c r="A1346" s="49"/>
      <c r="B1346" s="49" t="str">
        <f>CONCATENATE(Reports!E1345," ",Reports!F1345," ",Reports!G1345)</f>
        <v xml:space="preserve">  </v>
      </c>
      <c r="C1346" s="50"/>
      <c r="D1346" s="51"/>
      <c r="E1346" s="49" t="str">
        <f>IFERROR(VLOOKUP(D1346,'taxonomy map'!$A$1:$B$171,2,FALSE),"")</f>
        <v/>
      </c>
      <c r="F1346" s="49" t="str">
        <f>IFERROR(VLOOKUP(E1346,'Condensed Specialty Crosswalk'!$A$2:$C$182,2,FALSE),"")</f>
        <v/>
      </c>
      <c r="G1346" s="49" t="str">
        <f>IFERROR(VLOOKUP(E1346,'Condensed Specialty Crosswalk'!$A$2:$C$182,3,FALSE),"")</f>
        <v/>
      </c>
    </row>
    <row r="1347" spans="1:7" ht="15" customHeight="1">
      <c r="A1347" s="49"/>
      <c r="B1347" s="49" t="str">
        <f>CONCATENATE(Reports!E1346," ",Reports!F1346," ",Reports!G1346)</f>
        <v xml:space="preserve">  </v>
      </c>
      <c r="C1347" s="50"/>
      <c r="D1347" s="51"/>
      <c r="E1347" s="49" t="str">
        <f>IFERROR(VLOOKUP(D1347,'taxonomy map'!$A$1:$B$171,2,FALSE),"")</f>
        <v/>
      </c>
      <c r="F1347" s="49" t="str">
        <f>IFERROR(VLOOKUP(E1347,'Condensed Specialty Crosswalk'!$A$2:$C$182,2,FALSE),"")</f>
        <v/>
      </c>
      <c r="G1347" s="49" t="str">
        <f>IFERROR(VLOOKUP(E1347,'Condensed Specialty Crosswalk'!$A$2:$C$182,3,FALSE),"")</f>
        <v/>
      </c>
    </row>
    <row r="1348" spans="1:7" ht="15" customHeight="1">
      <c r="A1348" s="49"/>
      <c r="B1348" s="49" t="str">
        <f>CONCATENATE(Reports!E1347," ",Reports!F1347," ",Reports!G1347)</f>
        <v xml:space="preserve">  </v>
      </c>
      <c r="C1348" s="50"/>
      <c r="D1348" s="51"/>
      <c r="E1348" s="49" t="str">
        <f>IFERROR(VLOOKUP(D1348,'taxonomy map'!$A$1:$B$171,2,FALSE),"")</f>
        <v/>
      </c>
      <c r="F1348" s="49" t="str">
        <f>IFERROR(VLOOKUP(E1348,'Condensed Specialty Crosswalk'!$A$2:$C$182,2,FALSE),"")</f>
        <v/>
      </c>
      <c r="G1348" s="49" t="str">
        <f>IFERROR(VLOOKUP(E1348,'Condensed Specialty Crosswalk'!$A$2:$C$182,3,FALSE),"")</f>
        <v/>
      </c>
    </row>
    <row r="1349" spans="1:7" ht="15" customHeight="1">
      <c r="A1349" s="49"/>
      <c r="B1349" s="49" t="str">
        <f>CONCATENATE(Reports!E1348," ",Reports!F1348," ",Reports!G1348)</f>
        <v xml:space="preserve">  </v>
      </c>
      <c r="C1349" s="50"/>
      <c r="D1349" s="51"/>
      <c r="E1349" s="49" t="str">
        <f>IFERROR(VLOOKUP(D1349,'taxonomy map'!$A$1:$B$171,2,FALSE),"")</f>
        <v/>
      </c>
      <c r="F1349" s="49" t="str">
        <f>IFERROR(VLOOKUP(E1349,'Condensed Specialty Crosswalk'!$A$2:$C$182,2,FALSE),"")</f>
        <v/>
      </c>
      <c r="G1349" s="49" t="str">
        <f>IFERROR(VLOOKUP(E1349,'Condensed Specialty Crosswalk'!$A$2:$C$182,3,FALSE),"")</f>
        <v/>
      </c>
    </row>
    <row r="1350" spans="1:7" ht="15" customHeight="1">
      <c r="A1350" s="49"/>
      <c r="B1350" s="49" t="str">
        <f>CONCATENATE(Reports!E1349," ",Reports!F1349," ",Reports!G1349)</f>
        <v xml:space="preserve">  </v>
      </c>
      <c r="C1350" s="50"/>
      <c r="D1350" s="51"/>
      <c r="E1350" s="49" t="str">
        <f>IFERROR(VLOOKUP(D1350,'taxonomy map'!$A$1:$B$171,2,FALSE),"")</f>
        <v/>
      </c>
      <c r="F1350" s="49" t="str">
        <f>IFERROR(VLOOKUP(E1350,'Condensed Specialty Crosswalk'!$A$2:$C$182,2,FALSE),"")</f>
        <v/>
      </c>
      <c r="G1350" s="49" t="str">
        <f>IFERROR(VLOOKUP(E1350,'Condensed Specialty Crosswalk'!$A$2:$C$182,3,FALSE),"")</f>
        <v/>
      </c>
    </row>
    <row r="1351" spans="1:7" ht="15" customHeight="1">
      <c r="A1351" s="49"/>
      <c r="B1351" s="49" t="str">
        <f>CONCATENATE(Reports!E1350," ",Reports!F1350," ",Reports!G1350)</f>
        <v xml:space="preserve">  </v>
      </c>
      <c r="C1351" s="50"/>
      <c r="D1351" s="51"/>
      <c r="E1351" s="49" t="str">
        <f>IFERROR(VLOOKUP(D1351,'taxonomy map'!$A$1:$B$171,2,FALSE),"")</f>
        <v/>
      </c>
      <c r="F1351" s="49" t="str">
        <f>IFERROR(VLOOKUP(E1351,'Condensed Specialty Crosswalk'!$A$2:$C$182,2,FALSE),"")</f>
        <v/>
      </c>
      <c r="G1351" s="49" t="str">
        <f>IFERROR(VLOOKUP(E1351,'Condensed Specialty Crosswalk'!$A$2:$C$182,3,FALSE),"")</f>
        <v/>
      </c>
    </row>
    <row r="1352" spans="1:7" ht="15" customHeight="1">
      <c r="A1352" s="49"/>
      <c r="B1352" s="49" t="str">
        <f>CONCATENATE(Reports!E1351," ",Reports!F1351," ",Reports!G1351)</f>
        <v xml:space="preserve">  </v>
      </c>
      <c r="C1352" s="50"/>
      <c r="D1352" s="51"/>
      <c r="E1352" s="49" t="str">
        <f>IFERROR(VLOOKUP(D1352,'taxonomy map'!$A$1:$B$171,2,FALSE),"")</f>
        <v/>
      </c>
      <c r="F1352" s="49" t="str">
        <f>IFERROR(VLOOKUP(E1352,'Condensed Specialty Crosswalk'!$A$2:$C$182,2,FALSE),"")</f>
        <v/>
      </c>
      <c r="G1352" s="49" t="str">
        <f>IFERROR(VLOOKUP(E1352,'Condensed Specialty Crosswalk'!$A$2:$C$182,3,FALSE),"")</f>
        <v/>
      </c>
    </row>
    <row r="1353" spans="1:7" ht="15" customHeight="1">
      <c r="A1353" s="49"/>
      <c r="B1353" s="49" t="str">
        <f>CONCATENATE(Reports!E1352," ",Reports!F1352," ",Reports!G1352)</f>
        <v xml:space="preserve">  </v>
      </c>
      <c r="C1353" s="50"/>
      <c r="D1353" s="51"/>
      <c r="E1353" s="49" t="str">
        <f>IFERROR(VLOOKUP(D1353,'taxonomy map'!$A$1:$B$171,2,FALSE),"")</f>
        <v/>
      </c>
      <c r="F1353" s="49" t="str">
        <f>IFERROR(VLOOKUP(E1353,'Condensed Specialty Crosswalk'!$A$2:$C$182,2,FALSE),"")</f>
        <v/>
      </c>
      <c r="G1353" s="49" t="str">
        <f>IFERROR(VLOOKUP(E1353,'Condensed Specialty Crosswalk'!$A$2:$C$182,3,FALSE),"")</f>
        <v/>
      </c>
    </row>
    <row r="1354" spans="1:7" ht="15" customHeight="1">
      <c r="A1354" s="49"/>
      <c r="B1354" s="49" t="str">
        <f>CONCATENATE(Reports!E1353," ",Reports!F1353," ",Reports!G1353)</f>
        <v xml:space="preserve">  </v>
      </c>
      <c r="C1354" s="50"/>
      <c r="D1354" s="51"/>
      <c r="E1354" s="49" t="str">
        <f>IFERROR(VLOOKUP(D1354,'taxonomy map'!$A$1:$B$171,2,FALSE),"")</f>
        <v/>
      </c>
      <c r="F1354" s="49" t="str">
        <f>IFERROR(VLOOKUP(E1354,'Condensed Specialty Crosswalk'!$A$2:$C$182,2,FALSE),"")</f>
        <v/>
      </c>
      <c r="G1354" s="49" t="str">
        <f>IFERROR(VLOOKUP(E1354,'Condensed Specialty Crosswalk'!$A$2:$C$182,3,FALSE),"")</f>
        <v/>
      </c>
    </row>
    <row r="1355" spans="1:7" ht="15" customHeight="1">
      <c r="A1355" s="49"/>
      <c r="B1355" s="49" t="str">
        <f>CONCATENATE(Reports!E1354," ",Reports!F1354," ",Reports!G1354)</f>
        <v xml:space="preserve">  </v>
      </c>
      <c r="C1355" s="50"/>
      <c r="D1355" s="51"/>
      <c r="E1355" s="49" t="str">
        <f>IFERROR(VLOOKUP(D1355,'taxonomy map'!$A$1:$B$171,2,FALSE),"")</f>
        <v/>
      </c>
      <c r="F1355" s="49" t="str">
        <f>IFERROR(VLOOKUP(E1355,'Condensed Specialty Crosswalk'!$A$2:$C$182,2,FALSE),"")</f>
        <v/>
      </c>
      <c r="G1355" s="49" t="str">
        <f>IFERROR(VLOOKUP(E1355,'Condensed Specialty Crosswalk'!$A$2:$C$182,3,FALSE),"")</f>
        <v/>
      </c>
    </row>
    <row r="1356" spans="1:7" ht="15" customHeight="1">
      <c r="A1356" s="49"/>
      <c r="B1356" s="49" t="str">
        <f>CONCATENATE(Reports!E1355," ",Reports!F1355," ",Reports!G1355)</f>
        <v xml:space="preserve">  </v>
      </c>
      <c r="C1356" s="50"/>
      <c r="D1356" s="51"/>
      <c r="E1356" s="49" t="str">
        <f>IFERROR(VLOOKUP(D1356,'taxonomy map'!$A$1:$B$171,2,FALSE),"")</f>
        <v/>
      </c>
      <c r="F1356" s="49" t="str">
        <f>IFERROR(VLOOKUP(E1356,'Condensed Specialty Crosswalk'!$A$2:$C$182,2,FALSE),"")</f>
        <v/>
      </c>
      <c r="G1356" s="49" t="str">
        <f>IFERROR(VLOOKUP(E1356,'Condensed Specialty Crosswalk'!$A$2:$C$182,3,FALSE),"")</f>
        <v/>
      </c>
    </row>
    <row r="1357" spans="1:7" ht="15" customHeight="1">
      <c r="A1357" s="49"/>
      <c r="B1357" s="49" t="str">
        <f>CONCATENATE(Reports!E1356," ",Reports!F1356," ",Reports!G1356)</f>
        <v xml:space="preserve">  </v>
      </c>
      <c r="C1357" s="50"/>
      <c r="D1357" s="51"/>
      <c r="E1357" s="49" t="str">
        <f>IFERROR(VLOOKUP(D1357,'taxonomy map'!$A$1:$B$171,2,FALSE),"")</f>
        <v/>
      </c>
      <c r="F1357" s="49" t="str">
        <f>IFERROR(VLOOKUP(E1357,'Condensed Specialty Crosswalk'!$A$2:$C$182,2,FALSE),"")</f>
        <v/>
      </c>
      <c r="G1357" s="49" t="str">
        <f>IFERROR(VLOOKUP(E1357,'Condensed Specialty Crosswalk'!$A$2:$C$182,3,FALSE),"")</f>
        <v/>
      </c>
    </row>
    <row r="1358" spans="1:7" ht="15" customHeight="1">
      <c r="A1358" s="49"/>
      <c r="B1358" s="49" t="str">
        <f>CONCATENATE(Reports!E1357," ",Reports!F1357," ",Reports!G1357)</f>
        <v xml:space="preserve">  </v>
      </c>
      <c r="C1358" s="50"/>
      <c r="D1358" s="51"/>
      <c r="E1358" s="49" t="str">
        <f>IFERROR(VLOOKUP(D1358,'taxonomy map'!$A$1:$B$171,2,FALSE),"")</f>
        <v/>
      </c>
      <c r="F1358" s="49" t="str">
        <f>IFERROR(VLOOKUP(E1358,'Condensed Specialty Crosswalk'!$A$2:$C$182,2,FALSE),"")</f>
        <v/>
      </c>
      <c r="G1358" s="49" t="str">
        <f>IFERROR(VLOOKUP(E1358,'Condensed Specialty Crosswalk'!$A$2:$C$182,3,FALSE),"")</f>
        <v/>
      </c>
    </row>
    <row r="1359" spans="1:7" ht="15" customHeight="1">
      <c r="A1359" s="49"/>
      <c r="B1359" s="49" t="str">
        <f>CONCATENATE(Reports!E1358," ",Reports!F1358," ",Reports!G1358)</f>
        <v xml:space="preserve">  </v>
      </c>
      <c r="C1359" s="50"/>
      <c r="D1359" s="51"/>
      <c r="E1359" s="49" t="str">
        <f>IFERROR(VLOOKUP(D1359,'taxonomy map'!$A$1:$B$171,2,FALSE),"")</f>
        <v/>
      </c>
      <c r="F1359" s="49" t="str">
        <f>IFERROR(VLOOKUP(E1359,'Condensed Specialty Crosswalk'!$A$2:$C$182,2,FALSE),"")</f>
        <v/>
      </c>
      <c r="G1359" s="49" t="str">
        <f>IFERROR(VLOOKUP(E1359,'Condensed Specialty Crosswalk'!$A$2:$C$182,3,FALSE),"")</f>
        <v/>
      </c>
    </row>
    <row r="1360" spans="1:7" ht="15" customHeight="1">
      <c r="A1360" s="49"/>
      <c r="B1360" s="49" t="str">
        <f>CONCATENATE(Reports!E1359," ",Reports!F1359," ",Reports!G1359)</f>
        <v xml:space="preserve">  </v>
      </c>
      <c r="C1360" s="50"/>
      <c r="D1360" s="51"/>
      <c r="E1360" s="49" t="str">
        <f>IFERROR(VLOOKUP(D1360,'taxonomy map'!$A$1:$B$171,2,FALSE),"")</f>
        <v/>
      </c>
      <c r="F1360" s="49" t="str">
        <f>IFERROR(VLOOKUP(E1360,'Condensed Specialty Crosswalk'!$A$2:$C$182,2,FALSE),"")</f>
        <v/>
      </c>
      <c r="G1360" s="49" t="str">
        <f>IFERROR(VLOOKUP(E1360,'Condensed Specialty Crosswalk'!$A$2:$C$182,3,FALSE),"")</f>
        <v/>
      </c>
    </row>
    <row r="1361" spans="1:7" ht="15" customHeight="1">
      <c r="A1361" s="49"/>
      <c r="B1361" s="49" t="str">
        <f>CONCATENATE(Reports!E1360," ",Reports!F1360," ",Reports!G1360)</f>
        <v xml:space="preserve">  </v>
      </c>
      <c r="C1361" s="50"/>
      <c r="D1361" s="51"/>
      <c r="E1361" s="49" t="str">
        <f>IFERROR(VLOOKUP(D1361,'taxonomy map'!$A$1:$B$171,2,FALSE),"")</f>
        <v/>
      </c>
      <c r="F1361" s="49" t="str">
        <f>IFERROR(VLOOKUP(E1361,'Condensed Specialty Crosswalk'!$A$2:$C$182,2,FALSE),"")</f>
        <v/>
      </c>
      <c r="G1361" s="49" t="str">
        <f>IFERROR(VLOOKUP(E1361,'Condensed Specialty Crosswalk'!$A$2:$C$182,3,FALSE),"")</f>
        <v/>
      </c>
    </row>
    <row r="1362" spans="1:7" ht="15" customHeight="1">
      <c r="A1362" s="49"/>
      <c r="B1362" s="49" t="str">
        <f>CONCATENATE(Reports!E1361," ",Reports!F1361," ",Reports!G1361)</f>
        <v xml:space="preserve">  </v>
      </c>
      <c r="C1362" s="50"/>
      <c r="D1362" s="51"/>
      <c r="E1362" s="49" t="str">
        <f>IFERROR(VLOOKUP(D1362,'taxonomy map'!$A$1:$B$171,2,FALSE),"")</f>
        <v/>
      </c>
      <c r="F1362" s="49" t="str">
        <f>IFERROR(VLOOKUP(E1362,'Condensed Specialty Crosswalk'!$A$2:$C$182,2,FALSE),"")</f>
        <v/>
      </c>
      <c r="G1362" s="49" t="str">
        <f>IFERROR(VLOOKUP(E1362,'Condensed Specialty Crosswalk'!$A$2:$C$182,3,FALSE),"")</f>
        <v/>
      </c>
    </row>
    <row r="1363" spans="1:7" ht="15" customHeight="1">
      <c r="A1363" s="49"/>
      <c r="B1363" s="49" t="str">
        <f>CONCATENATE(Reports!E1362," ",Reports!F1362," ",Reports!G1362)</f>
        <v xml:space="preserve">  </v>
      </c>
      <c r="C1363" s="50"/>
      <c r="D1363" s="51"/>
      <c r="E1363" s="49" t="str">
        <f>IFERROR(VLOOKUP(D1363,'taxonomy map'!$A$1:$B$171,2,FALSE),"")</f>
        <v/>
      </c>
      <c r="F1363" s="49" t="str">
        <f>IFERROR(VLOOKUP(E1363,'Condensed Specialty Crosswalk'!$A$2:$C$182,2,FALSE),"")</f>
        <v/>
      </c>
      <c r="G1363" s="49" t="str">
        <f>IFERROR(VLOOKUP(E1363,'Condensed Specialty Crosswalk'!$A$2:$C$182,3,FALSE),"")</f>
        <v/>
      </c>
    </row>
    <row r="1364" spans="1:7" ht="15" customHeight="1">
      <c r="A1364" s="49"/>
      <c r="B1364" s="49" t="str">
        <f>CONCATENATE(Reports!E1363," ",Reports!F1363," ",Reports!G1363)</f>
        <v xml:space="preserve">  </v>
      </c>
      <c r="C1364" s="50"/>
      <c r="D1364" s="51"/>
      <c r="E1364" s="49" t="str">
        <f>IFERROR(VLOOKUP(D1364,'taxonomy map'!$A$1:$B$171,2,FALSE),"")</f>
        <v/>
      </c>
      <c r="F1364" s="49" t="str">
        <f>IFERROR(VLOOKUP(E1364,'Condensed Specialty Crosswalk'!$A$2:$C$182,2,FALSE),"")</f>
        <v/>
      </c>
      <c r="G1364" s="49" t="str">
        <f>IFERROR(VLOOKUP(E1364,'Condensed Specialty Crosswalk'!$A$2:$C$182,3,FALSE),"")</f>
        <v/>
      </c>
    </row>
    <row r="1365" spans="1:7" ht="15" customHeight="1">
      <c r="A1365" s="49"/>
      <c r="B1365" s="49" t="str">
        <f>CONCATENATE(Reports!E1364," ",Reports!F1364," ",Reports!G1364)</f>
        <v xml:space="preserve">  </v>
      </c>
      <c r="C1365" s="50"/>
      <c r="D1365" s="51"/>
      <c r="E1365" s="49" t="str">
        <f>IFERROR(VLOOKUP(D1365,'taxonomy map'!$A$1:$B$171,2,FALSE),"")</f>
        <v/>
      </c>
      <c r="F1365" s="49" t="str">
        <f>IFERROR(VLOOKUP(E1365,'Condensed Specialty Crosswalk'!$A$2:$C$182,2,FALSE),"")</f>
        <v/>
      </c>
      <c r="G1365" s="49" t="str">
        <f>IFERROR(VLOOKUP(E1365,'Condensed Specialty Crosswalk'!$A$2:$C$182,3,FALSE),"")</f>
        <v/>
      </c>
    </row>
    <row r="1366" spans="1:7" ht="15" customHeight="1">
      <c r="A1366" s="49"/>
      <c r="B1366" s="49" t="str">
        <f>CONCATENATE(Reports!E1365," ",Reports!F1365," ",Reports!G1365)</f>
        <v xml:space="preserve">  </v>
      </c>
      <c r="C1366" s="50"/>
      <c r="D1366" s="51"/>
      <c r="E1366" s="49" t="str">
        <f>IFERROR(VLOOKUP(D1366,'taxonomy map'!$A$1:$B$171,2,FALSE),"")</f>
        <v/>
      </c>
      <c r="F1366" s="49" t="str">
        <f>IFERROR(VLOOKUP(E1366,'Condensed Specialty Crosswalk'!$A$2:$C$182,2,FALSE),"")</f>
        <v/>
      </c>
      <c r="G1366" s="49" t="str">
        <f>IFERROR(VLOOKUP(E1366,'Condensed Specialty Crosswalk'!$A$2:$C$182,3,FALSE),"")</f>
        <v/>
      </c>
    </row>
    <row r="1367" spans="1:7" ht="15" customHeight="1">
      <c r="A1367" s="49"/>
      <c r="B1367" s="49" t="str">
        <f>CONCATENATE(Reports!E1366," ",Reports!F1366," ",Reports!G1366)</f>
        <v xml:space="preserve">  </v>
      </c>
      <c r="C1367" s="50"/>
      <c r="D1367" s="51"/>
      <c r="E1367" s="49" t="str">
        <f>IFERROR(VLOOKUP(D1367,'taxonomy map'!$A$1:$B$171,2,FALSE),"")</f>
        <v/>
      </c>
      <c r="F1367" s="49" t="str">
        <f>IFERROR(VLOOKUP(E1367,'Condensed Specialty Crosswalk'!$A$2:$C$182,2,FALSE),"")</f>
        <v/>
      </c>
      <c r="G1367" s="49" t="str">
        <f>IFERROR(VLOOKUP(E1367,'Condensed Specialty Crosswalk'!$A$2:$C$182,3,FALSE),"")</f>
        <v/>
      </c>
    </row>
    <row r="1368" spans="1:7" ht="15" customHeight="1">
      <c r="A1368" s="49"/>
      <c r="B1368" s="49" t="str">
        <f>CONCATENATE(Reports!E1367," ",Reports!F1367," ",Reports!G1367)</f>
        <v xml:space="preserve">  </v>
      </c>
      <c r="C1368" s="50"/>
      <c r="D1368" s="51"/>
      <c r="E1368" s="49" t="str">
        <f>IFERROR(VLOOKUP(D1368,'taxonomy map'!$A$1:$B$171,2,FALSE),"")</f>
        <v/>
      </c>
      <c r="F1368" s="49" t="str">
        <f>IFERROR(VLOOKUP(E1368,'Condensed Specialty Crosswalk'!$A$2:$C$182,2,FALSE),"")</f>
        <v/>
      </c>
      <c r="G1368" s="49" t="str">
        <f>IFERROR(VLOOKUP(E1368,'Condensed Specialty Crosswalk'!$A$2:$C$182,3,FALSE),"")</f>
        <v/>
      </c>
    </row>
    <row r="1369" spans="1:7" ht="15" customHeight="1">
      <c r="A1369" s="49"/>
      <c r="B1369" s="49" t="str">
        <f>CONCATENATE(Reports!E1368," ",Reports!F1368," ",Reports!G1368)</f>
        <v xml:space="preserve">  </v>
      </c>
      <c r="C1369" s="50"/>
      <c r="D1369" s="51"/>
      <c r="E1369" s="49" t="str">
        <f>IFERROR(VLOOKUP(D1369,'taxonomy map'!$A$1:$B$171,2,FALSE),"")</f>
        <v/>
      </c>
      <c r="F1369" s="49" t="str">
        <f>IFERROR(VLOOKUP(E1369,'Condensed Specialty Crosswalk'!$A$2:$C$182,2,FALSE),"")</f>
        <v/>
      </c>
      <c r="G1369" s="49" t="str">
        <f>IFERROR(VLOOKUP(E1369,'Condensed Specialty Crosswalk'!$A$2:$C$182,3,FALSE),"")</f>
        <v/>
      </c>
    </row>
    <row r="1370" spans="1:7" ht="15" customHeight="1">
      <c r="A1370" s="49"/>
      <c r="B1370" s="49" t="str">
        <f>CONCATENATE(Reports!E1369," ",Reports!F1369," ",Reports!G1369)</f>
        <v xml:space="preserve">  </v>
      </c>
      <c r="C1370" s="50"/>
      <c r="D1370" s="51"/>
      <c r="E1370" s="49" t="str">
        <f>IFERROR(VLOOKUP(D1370,'taxonomy map'!$A$1:$B$171,2,FALSE),"")</f>
        <v/>
      </c>
      <c r="F1370" s="49" t="str">
        <f>IFERROR(VLOOKUP(E1370,'Condensed Specialty Crosswalk'!$A$2:$C$182,2,FALSE),"")</f>
        <v/>
      </c>
      <c r="G1370" s="49" t="str">
        <f>IFERROR(VLOOKUP(E1370,'Condensed Specialty Crosswalk'!$A$2:$C$182,3,FALSE),"")</f>
        <v/>
      </c>
    </row>
    <row r="1371" spans="1:7" ht="15" customHeight="1">
      <c r="A1371" s="49"/>
      <c r="B1371" s="49" t="str">
        <f>CONCATENATE(Reports!E1370," ",Reports!F1370," ",Reports!G1370)</f>
        <v xml:space="preserve">  </v>
      </c>
      <c r="C1371" s="50"/>
      <c r="D1371" s="51"/>
      <c r="E1371" s="49" t="str">
        <f>IFERROR(VLOOKUP(D1371,'taxonomy map'!$A$1:$B$171,2,FALSE),"")</f>
        <v/>
      </c>
      <c r="F1371" s="49" t="str">
        <f>IFERROR(VLOOKUP(E1371,'Condensed Specialty Crosswalk'!$A$2:$C$182,2,FALSE),"")</f>
        <v/>
      </c>
      <c r="G1371" s="49" t="str">
        <f>IFERROR(VLOOKUP(E1371,'Condensed Specialty Crosswalk'!$A$2:$C$182,3,FALSE),"")</f>
        <v/>
      </c>
    </row>
    <row r="1372" spans="1:7" ht="15" customHeight="1">
      <c r="A1372" s="49"/>
      <c r="B1372" s="49" t="str">
        <f>CONCATENATE(Reports!E1371," ",Reports!F1371," ",Reports!G1371)</f>
        <v xml:space="preserve">  </v>
      </c>
      <c r="C1372" s="50"/>
      <c r="D1372" s="51"/>
      <c r="E1372" s="49" t="str">
        <f>IFERROR(VLOOKUP(D1372,'taxonomy map'!$A$1:$B$171,2,FALSE),"")</f>
        <v/>
      </c>
      <c r="F1372" s="49" t="str">
        <f>IFERROR(VLOOKUP(E1372,'Condensed Specialty Crosswalk'!$A$2:$C$182,2,FALSE),"")</f>
        <v/>
      </c>
      <c r="G1372" s="49" t="str">
        <f>IFERROR(VLOOKUP(E1372,'Condensed Specialty Crosswalk'!$A$2:$C$182,3,FALSE),"")</f>
        <v/>
      </c>
    </row>
    <row r="1373" spans="1:7" ht="15" customHeight="1">
      <c r="A1373" s="49"/>
      <c r="B1373" s="49" t="str">
        <f>CONCATENATE(Reports!E1372," ",Reports!F1372," ",Reports!G1372)</f>
        <v xml:space="preserve">  </v>
      </c>
      <c r="C1373" s="50"/>
      <c r="D1373" s="51"/>
      <c r="E1373" s="49" t="str">
        <f>IFERROR(VLOOKUP(D1373,'taxonomy map'!$A$1:$B$171,2,FALSE),"")</f>
        <v/>
      </c>
      <c r="F1373" s="49" t="str">
        <f>IFERROR(VLOOKUP(E1373,'Condensed Specialty Crosswalk'!$A$2:$C$182,2,FALSE),"")</f>
        <v/>
      </c>
      <c r="G1373" s="49" t="str">
        <f>IFERROR(VLOOKUP(E1373,'Condensed Specialty Crosswalk'!$A$2:$C$182,3,FALSE),"")</f>
        <v/>
      </c>
    </row>
    <row r="1374" spans="1:7" ht="15" customHeight="1">
      <c r="A1374" s="49"/>
      <c r="B1374" s="49" t="str">
        <f>CONCATENATE(Reports!E1373," ",Reports!F1373," ",Reports!G1373)</f>
        <v xml:space="preserve">  </v>
      </c>
      <c r="C1374" s="50"/>
      <c r="D1374" s="51"/>
      <c r="E1374" s="49" t="str">
        <f>IFERROR(VLOOKUP(D1374,'taxonomy map'!$A$1:$B$171,2,FALSE),"")</f>
        <v/>
      </c>
      <c r="F1374" s="49" t="str">
        <f>IFERROR(VLOOKUP(E1374,'Condensed Specialty Crosswalk'!$A$2:$C$182,2,FALSE),"")</f>
        <v/>
      </c>
      <c r="G1374" s="49" t="str">
        <f>IFERROR(VLOOKUP(E1374,'Condensed Specialty Crosswalk'!$A$2:$C$182,3,FALSE),"")</f>
        <v/>
      </c>
    </row>
    <row r="1375" spans="1:7" ht="15" customHeight="1">
      <c r="A1375" s="49"/>
      <c r="B1375" s="49" t="str">
        <f>CONCATENATE(Reports!E1374," ",Reports!F1374," ",Reports!G1374)</f>
        <v xml:space="preserve">  </v>
      </c>
      <c r="C1375" s="50"/>
      <c r="D1375" s="51"/>
      <c r="E1375" s="49" t="str">
        <f>IFERROR(VLOOKUP(D1375,'taxonomy map'!$A$1:$B$171,2,FALSE),"")</f>
        <v/>
      </c>
      <c r="F1375" s="49" t="str">
        <f>IFERROR(VLOOKUP(E1375,'Condensed Specialty Crosswalk'!$A$2:$C$182,2,FALSE),"")</f>
        <v/>
      </c>
      <c r="G1375" s="49" t="str">
        <f>IFERROR(VLOOKUP(E1375,'Condensed Specialty Crosswalk'!$A$2:$C$182,3,FALSE),"")</f>
        <v/>
      </c>
    </row>
    <row r="1376" spans="1:7" ht="15" customHeight="1">
      <c r="A1376" s="49"/>
      <c r="B1376" s="49" t="str">
        <f>CONCATENATE(Reports!E1375," ",Reports!F1375," ",Reports!G1375)</f>
        <v xml:space="preserve">  </v>
      </c>
      <c r="C1376" s="50"/>
      <c r="D1376" s="51"/>
      <c r="E1376" s="49" t="str">
        <f>IFERROR(VLOOKUP(D1376,'taxonomy map'!$A$1:$B$171,2,FALSE),"")</f>
        <v/>
      </c>
      <c r="F1376" s="49" t="str">
        <f>IFERROR(VLOOKUP(E1376,'Condensed Specialty Crosswalk'!$A$2:$C$182,2,FALSE),"")</f>
        <v/>
      </c>
      <c r="G1376" s="49" t="str">
        <f>IFERROR(VLOOKUP(E1376,'Condensed Specialty Crosswalk'!$A$2:$C$182,3,FALSE),"")</f>
        <v/>
      </c>
    </row>
    <row r="1377" spans="1:7" ht="15" customHeight="1">
      <c r="A1377" s="49"/>
      <c r="B1377" s="49" t="str">
        <f>CONCATENATE(Reports!E1376," ",Reports!F1376," ",Reports!G1376)</f>
        <v xml:space="preserve">  </v>
      </c>
      <c r="C1377" s="50"/>
      <c r="D1377" s="51"/>
      <c r="E1377" s="49" t="str">
        <f>IFERROR(VLOOKUP(D1377,'taxonomy map'!$A$1:$B$171,2,FALSE),"")</f>
        <v/>
      </c>
      <c r="F1377" s="49" t="str">
        <f>IFERROR(VLOOKUP(E1377,'Condensed Specialty Crosswalk'!$A$2:$C$182,2,FALSE),"")</f>
        <v/>
      </c>
      <c r="G1377" s="49" t="str">
        <f>IFERROR(VLOOKUP(E1377,'Condensed Specialty Crosswalk'!$A$2:$C$182,3,FALSE),"")</f>
        <v/>
      </c>
    </row>
    <row r="1378" spans="1:7" ht="15" customHeight="1">
      <c r="A1378" s="49"/>
      <c r="B1378" s="49" t="str">
        <f>CONCATENATE(Reports!E1377," ",Reports!F1377," ",Reports!G1377)</f>
        <v xml:space="preserve">  </v>
      </c>
      <c r="C1378" s="50"/>
      <c r="D1378" s="51"/>
      <c r="E1378" s="49" t="str">
        <f>IFERROR(VLOOKUP(D1378,'taxonomy map'!$A$1:$B$171,2,FALSE),"")</f>
        <v/>
      </c>
      <c r="F1378" s="49" t="str">
        <f>IFERROR(VLOOKUP(E1378,'Condensed Specialty Crosswalk'!$A$2:$C$182,2,FALSE),"")</f>
        <v/>
      </c>
      <c r="G1378" s="49" t="str">
        <f>IFERROR(VLOOKUP(E1378,'Condensed Specialty Crosswalk'!$A$2:$C$182,3,FALSE),"")</f>
        <v/>
      </c>
    </row>
    <row r="1379" spans="1:7" ht="15" customHeight="1">
      <c r="A1379" s="49"/>
      <c r="B1379" s="49" t="str">
        <f>CONCATENATE(Reports!E1378," ",Reports!F1378," ",Reports!G1378)</f>
        <v xml:space="preserve">  </v>
      </c>
      <c r="C1379" s="50"/>
      <c r="D1379" s="51"/>
      <c r="E1379" s="49" t="str">
        <f>IFERROR(VLOOKUP(D1379,'taxonomy map'!$A$1:$B$171,2,FALSE),"")</f>
        <v/>
      </c>
      <c r="F1379" s="49" t="str">
        <f>IFERROR(VLOOKUP(E1379,'Condensed Specialty Crosswalk'!$A$2:$C$182,2,FALSE),"")</f>
        <v/>
      </c>
      <c r="G1379" s="49" t="str">
        <f>IFERROR(VLOOKUP(E1379,'Condensed Specialty Crosswalk'!$A$2:$C$182,3,FALSE),"")</f>
        <v/>
      </c>
    </row>
    <row r="1380" spans="1:7" ht="15" customHeight="1">
      <c r="A1380" s="49"/>
      <c r="B1380" s="49" t="str">
        <f>CONCATENATE(Reports!E1379," ",Reports!F1379," ",Reports!G1379)</f>
        <v xml:space="preserve">  </v>
      </c>
      <c r="C1380" s="50"/>
      <c r="D1380" s="51"/>
      <c r="E1380" s="49" t="str">
        <f>IFERROR(VLOOKUP(D1380,'taxonomy map'!$A$1:$B$171,2,FALSE),"")</f>
        <v/>
      </c>
      <c r="F1380" s="49" t="str">
        <f>IFERROR(VLOOKUP(E1380,'Condensed Specialty Crosswalk'!$A$2:$C$182,2,FALSE),"")</f>
        <v/>
      </c>
      <c r="G1380" s="49" t="str">
        <f>IFERROR(VLOOKUP(E1380,'Condensed Specialty Crosswalk'!$A$2:$C$182,3,FALSE),"")</f>
        <v/>
      </c>
    </row>
    <row r="1381" spans="1:7" ht="15" customHeight="1">
      <c r="A1381" s="49"/>
      <c r="B1381" s="49" t="str">
        <f>CONCATENATE(Reports!E1380," ",Reports!F1380," ",Reports!G1380)</f>
        <v xml:space="preserve">  </v>
      </c>
      <c r="C1381" s="50"/>
      <c r="D1381" s="51"/>
      <c r="E1381" s="49" t="str">
        <f>IFERROR(VLOOKUP(D1381,'taxonomy map'!$A$1:$B$171,2,FALSE),"")</f>
        <v/>
      </c>
      <c r="F1381" s="49" t="str">
        <f>IFERROR(VLOOKUP(E1381,'Condensed Specialty Crosswalk'!$A$2:$C$182,2,FALSE),"")</f>
        <v/>
      </c>
      <c r="G1381" s="49" t="str">
        <f>IFERROR(VLOOKUP(E1381,'Condensed Specialty Crosswalk'!$A$2:$C$182,3,FALSE),"")</f>
        <v/>
      </c>
    </row>
    <row r="1382" spans="1:7" ht="15" customHeight="1">
      <c r="A1382" s="49"/>
      <c r="B1382" s="49" t="str">
        <f>CONCATENATE(Reports!E1381," ",Reports!F1381," ",Reports!G1381)</f>
        <v xml:space="preserve">  </v>
      </c>
      <c r="C1382" s="50"/>
      <c r="D1382" s="51"/>
      <c r="E1382" s="49" t="str">
        <f>IFERROR(VLOOKUP(D1382,'taxonomy map'!$A$1:$B$171,2,FALSE),"")</f>
        <v/>
      </c>
      <c r="F1382" s="49" t="str">
        <f>IFERROR(VLOOKUP(E1382,'Condensed Specialty Crosswalk'!$A$2:$C$182,2,FALSE),"")</f>
        <v/>
      </c>
      <c r="G1382" s="49" t="str">
        <f>IFERROR(VLOOKUP(E1382,'Condensed Specialty Crosswalk'!$A$2:$C$182,3,FALSE),"")</f>
        <v/>
      </c>
    </row>
    <row r="1383" spans="1:7" ht="15" customHeight="1">
      <c r="A1383" s="49"/>
      <c r="B1383" s="49" t="str">
        <f>CONCATENATE(Reports!E1382," ",Reports!F1382," ",Reports!G1382)</f>
        <v xml:space="preserve">  </v>
      </c>
      <c r="C1383" s="50"/>
      <c r="D1383" s="51"/>
      <c r="E1383" s="49" t="str">
        <f>IFERROR(VLOOKUP(D1383,'taxonomy map'!$A$1:$B$171,2,FALSE),"")</f>
        <v/>
      </c>
      <c r="F1383" s="49" t="str">
        <f>IFERROR(VLOOKUP(E1383,'Condensed Specialty Crosswalk'!$A$2:$C$182,2,FALSE),"")</f>
        <v/>
      </c>
      <c r="G1383" s="49" t="str">
        <f>IFERROR(VLOOKUP(E1383,'Condensed Specialty Crosswalk'!$A$2:$C$182,3,FALSE),"")</f>
        <v/>
      </c>
    </row>
    <row r="1384" spans="1:7" ht="15" customHeight="1">
      <c r="A1384" s="49"/>
      <c r="B1384" s="49" t="str">
        <f>CONCATENATE(Reports!E1383," ",Reports!F1383," ",Reports!G1383)</f>
        <v xml:space="preserve">  </v>
      </c>
      <c r="C1384" s="50"/>
      <c r="D1384" s="51"/>
      <c r="E1384" s="49" t="str">
        <f>IFERROR(VLOOKUP(D1384,'taxonomy map'!$A$1:$B$171,2,FALSE),"")</f>
        <v/>
      </c>
      <c r="F1384" s="49" t="str">
        <f>IFERROR(VLOOKUP(E1384,'Condensed Specialty Crosswalk'!$A$2:$C$182,2,FALSE),"")</f>
        <v/>
      </c>
      <c r="G1384" s="49" t="str">
        <f>IFERROR(VLOOKUP(E1384,'Condensed Specialty Crosswalk'!$A$2:$C$182,3,FALSE),"")</f>
        <v/>
      </c>
    </row>
    <row r="1385" spans="1:7" ht="15" customHeight="1">
      <c r="A1385" s="49"/>
      <c r="B1385" s="49" t="str">
        <f>CONCATENATE(Reports!E1384," ",Reports!F1384," ",Reports!G1384)</f>
        <v xml:space="preserve">  </v>
      </c>
      <c r="C1385" s="50"/>
      <c r="D1385" s="51"/>
      <c r="E1385" s="49" t="str">
        <f>IFERROR(VLOOKUP(D1385,'taxonomy map'!$A$1:$B$171,2,FALSE),"")</f>
        <v/>
      </c>
      <c r="F1385" s="49" t="str">
        <f>IFERROR(VLOOKUP(E1385,'Condensed Specialty Crosswalk'!$A$2:$C$182,2,FALSE),"")</f>
        <v/>
      </c>
      <c r="G1385" s="49" t="str">
        <f>IFERROR(VLOOKUP(E1385,'Condensed Specialty Crosswalk'!$A$2:$C$182,3,FALSE),"")</f>
        <v/>
      </c>
    </row>
    <row r="1386" spans="1:7" ht="15" customHeight="1">
      <c r="A1386" s="49"/>
      <c r="B1386" s="49" t="str">
        <f>CONCATENATE(Reports!E1385," ",Reports!F1385," ",Reports!G1385)</f>
        <v xml:space="preserve">  </v>
      </c>
      <c r="C1386" s="50"/>
      <c r="D1386" s="51"/>
      <c r="E1386" s="49" t="str">
        <f>IFERROR(VLOOKUP(D1386,'taxonomy map'!$A$1:$B$171,2,FALSE),"")</f>
        <v/>
      </c>
      <c r="F1386" s="49" t="str">
        <f>IFERROR(VLOOKUP(E1386,'Condensed Specialty Crosswalk'!$A$2:$C$182,2,FALSE),"")</f>
        <v/>
      </c>
      <c r="G1386" s="49" t="str">
        <f>IFERROR(VLOOKUP(E1386,'Condensed Specialty Crosswalk'!$A$2:$C$182,3,FALSE),"")</f>
        <v/>
      </c>
    </row>
    <row r="1387" spans="1:7" ht="15" customHeight="1">
      <c r="A1387" s="49"/>
      <c r="B1387" s="49" t="str">
        <f>CONCATENATE(Reports!E1386," ",Reports!F1386," ",Reports!G1386)</f>
        <v xml:space="preserve">  </v>
      </c>
      <c r="C1387" s="50"/>
      <c r="D1387" s="51"/>
      <c r="E1387" s="49" t="str">
        <f>IFERROR(VLOOKUP(D1387,'taxonomy map'!$A$1:$B$171,2,FALSE),"")</f>
        <v/>
      </c>
      <c r="F1387" s="49" t="str">
        <f>IFERROR(VLOOKUP(E1387,'Condensed Specialty Crosswalk'!$A$2:$C$182,2,FALSE),"")</f>
        <v/>
      </c>
      <c r="G1387" s="49" t="str">
        <f>IFERROR(VLOOKUP(E1387,'Condensed Specialty Crosswalk'!$A$2:$C$182,3,FALSE),"")</f>
        <v/>
      </c>
    </row>
    <row r="1388" spans="1:7" ht="15" customHeight="1">
      <c r="A1388" s="49"/>
      <c r="B1388" s="49" t="str">
        <f>CONCATENATE(Reports!E1387," ",Reports!F1387," ",Reports!G1387)</f>
        <v xml:space="preserve">  </v>
      </c>
      <c r="C1388" s="50"/>
      <c r="D1388" s="51"/>
      <c r="E1388" s="49" t="str">
        <f>IFERROR(VLOOKUP(D1388,'taxonomy map'!$A$1:$B$171,2,FALSE),"")</f>
        <v/>
      </c>
      <c r="F1388" s="49" t="str">
        <f>IFERROR(VLOOKUP(E1388,'Condensed Specialty Crosswalk'!$A$2:$C$182,2,FALSE),"")</f>
        <v/>
      </c>
      <c r="G1388" s="49" t="str">
        <f>IFERROR(VLOOKUP(E1388,'Condensed Specialty Crosswalk'!$A$2:$C$182,3,FALSE),"")</f>
        <v/>
      </c>
    </row>
    <row r="1389" spans="1:7" ht="15" customHeight="1">
      <c r="A1389" s="49"/>
      <c r="B1389" s="49" t="str">
        <f>CONCATENATE(Reports!E1388," ",Reports!F1388," ",Reports!G1388)</f>
        <v xml:space="preserve">  </v>
      </c>
      <c r="C1389" s="50"/>
      <c r="D1389" s="51"/>
      <c r="E1389" s="49" t="str">
        <f>IFERROR(VLOOKUP(D1389,'taxonomy map'!$A$1:$B$171,2,FALSE),"")</f>
        <v/>
      </c>
      <c r="F1389" s="49" t="str">
        <f>IFERROR(VLOOKUP(E1389,'Condensed Specialty Crosswalk'!$A$2:$C$182,2,FALSE),"")</f>
        <v/>
      </c>
      <c r="G1389" s="49" t="str">
        <f>IFERROR(VLOOKUP(E1389,'Condensed Specialty Crosswalk'!$A$2:$C$182,3,FALSE),"")</f>
        <v/>
      </c>
    </row>
    <row r="1390" spans="1:7" ht="15" customHeight="1">
      <c r="A1390" s="49"/>
      <c r="B1390" s="49" t="str">
        <f>CONCATENATE(Reports!E1389," ",Reports!F1389," ",Reports!G1389)</f>
        <v xml:space="preserve">  </v>
      </c>
      <c r="C1390" s="50"/>
      <c r="D1390" s="51"/>
      <c r="E1390" s="49" t="str">
        <f>IFERROR(VLOOKUP(D1390,'taxonomy map'!$A$1:$B$171,2,FALSE),"")</f>
        <v/>
      </c>
      <c r="F1390" s="49" t="str">
        <f>IFERROR(VLOOKUP(E1390,'Condensed Specialty Crosswalk'!$A$2:$C$182,2,FALSE),"")</f>
        <v/>
      </c>
      <c r="G1390" s="49" t="str">
        <f>IFERROR(VLOOKUP(E1390,'Condensed Specialty Crosswalk'!$A$2:$C$182,3,FALSE),"")</f>
        <v/>
      </c>
    </row>
    <row r="1391" spans="1:7" ht="15" customHeight="1">
      <c r="A1391" s="49"/>
      <c r="B1391" s="49" t="str">
        <f>CONCATENATE(Reports!E1390," ",Reports!F1390," ",Reports!G1390)</f>
        <v xml:space="preserve">  </v>
      </c>
      <c r="C1391" s="50"/>
      <c r="D1391" s="51"/>
      <c r="E1391" s="49" t="str">
        <f>IFERROR(VLOOKUP(D1391,'taxonomy map'!$A$1:$B$171,2,FALSE),"")</f>
        <v/>
      </c>
      <c r="F1391" s="49" t="str">
        <f>IFERROR(VLOOKUP(E1391,'Condensed Specialty Crosswalk'!$A$2:$C$182,2,FALSE),"")</f>
        <v/>
      </c>
      <c r="G1391" s="49" t="str">
        <f>IFERROR(VLOOKUP(E1391,'Condensed Specialty Crosswalk'!$A$2:$C$182,3,FALSE),"")</f>
        <v/>
      </c>
    </row>
    <row r="1392" spans="1:7" ht="15" customHeight="1">
      <c r="A1392" s="49"/>
      <c r="B1392" s="49" t="str">
        <f>CONCATENATE(Reports!E1391," ",Reports!F1391," ",Reports!G1391)</f>
        <v xml:space="preserve">  </v>
      </c>
      <c r="C1392" s="50"/>
      <c r="D1392" s="51"/>
      <c r="E1392" s="49" t="str">
        <f>IFERROR(VLOOKUP(D1392,'taxonomy map'!$A$1:$B$171,2,FALSE),"")</f>
        <v/>
      </c>
      <c r="F1392" s="49" t="str">
        <f>IFERROR(VLOOKUP(E1392,'Condensed Specialty Crosswalk'!$A$2:$C$182,2,FALSE),"")</f>
        <v/>
      </c>
      <c r="G1392" s="49" t="str">
        <f>IFERROR(VLOOKUP(E1392,'Condensed Specialty Crosswalk'!$A$2:$C$182,3,FALSE),"")</f>
        <v/>
      </c>
    </row>
    <row r="1393" spans="1:7" ht="15" customHeight="1">
      <c r="A1393" s="49"/>
      <c r="B1393" s="49" t="str">
        <f>CONCATENATE(Reports!E1392," ",Reports!F1392," ",Reports!G1392)</f>
        <v xml:space="preserve">  </v>
      </c>
      <c r="C1393" s="50"/>
      <c r="D1393" s="51"/>
      <c r="E1393" s="49" t="str">
        <f>IFERROR(VLOOKUP(D1393,'taxonomy map'!$A$1:$B$171,2,FALSE),"")</f>
        <v/>
      </c>
      <c r="F1393" s="49" t="str">
        <f>IFERROR(VLOOKUP(E1393,'Condensed Specialty Crosswalk'!$A$2:$C$182,2,FALSE),"")</f>
        <v/>
      </c>
      <c r="G1393" s="49" t="str">
        <f>IFERROR(VLOOKUP(E1393,'Condensed Specialty Crosswalk'!$A$2:$C$182,3,FALSE),"")</f>
        <v/>
      </c>
    </row>
    <row r="1394" spans="1:7" ht="15" customHeight="1">
      <c r="A1394" s="49"/>
      <c r="B1394" s="49" t="str">
        <f>CONCATENATE(Reports!E1393," ",Reports!F1393," ",Reports!G1393)</f>
        <v xml:space="preserve">  </v>
      </c>
      <c r="C1394" s="50"/>
      <c r="D1394" s="51"/>
      <c r="E1394" s="49" t="str">
        <f>IFERROR(VLOOKUP(D1394,'taxonomy map'!$A$1:$B$171,2,FALSE),"")</f>
        <v/>
      </c>
      <c r="F1394" s="49" t="str">
        <f>IFERROR(VLOOKUP(E1394,'Condensed Specialty Crosswalk'!$A$2:$C$182,2,FALSE),"")</f>
        <v/>
      </c>
      <c r="G1394" s="49" t="str">
        <f>IFERROR(VLOOKUP(E1394,'Condensed Specialty Crosswalk'!$A$2:$C$182,3,FALSE),"")</f>
        <v/>
      </c>
    </row>
    <row r="1395" spans="1:7" ht="15" customHeight="1">
      <c r="A1395" s="49"/>
      <c r="B1395" s="49" t="str">
        <f>CONCATENATE(Reports!E1394," ",Reports!F1394," ",Reports!G1394)</f>
        <v xml:space="preserve">  </v>
      </c>
      <c r="C1395" s="50"/>
      <c r="D1395" s="51"/>
      <c r="E1395" s="49" t="str">
        <f>IFERROR(VLOOKUP(D1395,'taxonomy map'!$A$1:$B$171,2,FALSE),"")</f>
        <v/>
      </c>
      <c r="F1395" s="49" t="str">
        <f>IFERROR(VLOOKUP(E1395,'Condensed Specialty Crosswalk'!$A$2:$C$182,2,FALSE),"")</f>
        <v/>
      </c>
      <c r="G1395" s="49" t="str">
        <f>IFERROR(VLOOKUP(E1395,'Condensed Specialty Crosswalk'!$A$2:$C$182,3,FALSE),"")</f>
        <v/>
      </c>
    </row>
    <row r="1396" spans="1:7" ht="15" customHeight="1">
      <c r="A1396" s="49"/>
      <c r="B1396" s="49" t="str">
        <f>CONCATENATE(Reports!E1395," ",Reports!F1395," ",Reports!G1395)</f>
        <v xml:space="preserve">  </v>
      </c>
      <c r="C1396" s="50"/>
      <c r="D1396" s="51"/>
      <c r="E1396" s="49" t="str">
        <f>IFERROR(VLOOKUP(D1396,'taxonomy map'!$A$1:$B$171,2,FALSE),"")</f>
        <v/>
      </c>
      <c r="F1396" s="49" t="str">
        <f>IFERROR(VLOOKUP(E1396,'Condensed Specialty Crosswalk'!$A$2:$C$182,2,FALSE),"")</f>
        <v/>
      </c>
      <c r="G1396" s="49" t="str">
        <f>IFERROR(VLOOKUP(E1396,'Condensed Specialty Crosswalk'!$A$2:$C$182,3,FALSE),"")</f>
        <v/>
      </c>
    </row>
    <row r="1397" spans="1:7" ht="15" customHeight="1">
      <c r="A1397" s="49"/>
      <c r="B1397" s="49" t="str">
        <f>CONCATENATE(Reports!E1396," ",Reports!F1396," ",Reports!G1396)</f>
        <v xml:space="preserve">  </v>
      </c>
      <c r="C1397" s="50"/>
      <c r="D1397" s="51"/>
      <c r="E1397" s="49" t="str">
        <f>IFERROR(VLOOKUP(D1397,'taxonomy map'!$A$1:$B$171,2,FALSE),"")</f>
        <v/>
      </c>
      <c r="F1397" s="49" t="str">
        <f>IFERROR(VLOOKUP(E1397,'Condensed Specialty Crosswalk'!$A$2:$C$182,2,FALSE),"")</f>
        <v/>
      </c>
      <c r="G1397" s="49" t="str">
        <f>IFERROR(VLOOKUP(E1397,'Condensed Specialty Crosswalk'!$A$2:$C$182,3,FALSE),"")</f>
        <v/>
      </c>
    </row>
    <row r="1398" spans="1:7" ht="15" customHeight="1">
      <c r="A1398" s="49"/>
      <c r="B1398" s="49" t="str">
        <f>CONCATENATE(Reports!E1397," ",Reports!F1397," ",Reports!G1397)</f>
        <v xml:space="preserve">  </v>
      </c>
      <c r="C1398" s="50"/>
      <c r="D1398" s="51"/>
      <c r="E1398" s="49" t="str">
        <f>IFERROR(VLOOKUP(D1398,'taxonomy map'!$A$1:$B$171,2,FALSE),"")</f>
        <v/>
      </c>
      <c r="F1398" s="49" t="str">
        <f>IFERROR(VLOOKUP(E1398,'Condensed Specialty Crosswalk'!$A$2:$C$182,2,FALSE),"")</f>
        <v/>
      </c>
      <c r="G1398" s="49" t="str">
        <f>IFERROR(VLOOKUP(E1398,'Condensed Specialty Crosswalk'!$A$2:$C$182,3,FALSE),"")</f>
        <v/>
      </c>
    </row>
    <row r="1399" spans="1:7" ht="15" customHeight="1">
      <c r="A1399" s="49"/>
      <c r="B1399" s="49" t="str">
        <f>CONCATENATE(Reports!E1398," ",Reports!F1398," ",Reports!G1398)</f>
        <v xml:space="preserve">  </v>
      </c>
      <c r="C1399" s="50"/>
      <c r="D1399" s="51"/>
      <c r="E1399" s="49" t="str">
        <f>IFERROR(VLOOKUP(D1399,'taxonomy map'!$A$1:$B$171,2,FALSE),"")</f>
        <v/>
      </c>
      <c r="F1399" s="49" t="str">
        <f>IFERROR(VLOOKUP(E1399,'Condensed Specialty Crosswalk'!$A$2:$C$182,2,FALSE),"")</f>
        <v/>
      </c>
      <c r="G1399" s="49" t="str">
        <f>IFERROR(VLOOKUP(E1399,'Condensed Specialty Crosswalk'!$A$2:$C$182,3,FALSE),"")</f>
        <v/>
      </c>
    </row>
    <row r="1400" spans="1:7" ht="15" customHeight="1">
      <c r="A1400" s="49"/>
      <c r="B1400" s="49" t="str">
        <f>CONCATENATE(Reports!E1399," ",Reports!F1399," ",Reports!G1399)</f>
        <v xml:space="preserve">  </v>
      </c>
      <c r="C1400" s="50"/>
      <c r="D1400" s="51"/>
      <c r="E1400" s="49" t="str">
        <f>IFERROR(VLOOKUP(D1400,'taxonomy map'!$A$1:$B$171,2,FALSE),"")</f>
        <v/>
      </c>
      <c r="F1400" s="49" t="str">
        <f>IFERROR(VLOOKUP(E1400,'Condensed Specialty Crosswalk'!$A$2:$C$182,2,FALSE),"")</f>
        <v/>
      </c>
      <c r="G1400" s="49" t="str">
        <f>IFERROR(VLOOKUP(E1400,'Condensed Specialty Crosswalk'!$A$2:$C$182,3,FALSE),"")</f>
        <v/>
      </c>
    </row>
    <row r="1401" spans="1:7" ht="15" customHeight="1">
      <c r="A1401" s="49"/>
      <c r="B1401" s="49" t="str">
        <f>CONCATENATE(Reports!E1400," ",Reports!F1400," ",Reports!G1400)</f>
        <v xml:space="preserve">  </v>
      </c>
      <c r="C1401" s="50"/>
      <c r="D1401" s="51"/>
      <c r="E1401" s="49" t="str">
        <f>IFERROR(VLOOKUP(D1401,'taxonomy map'!$A$1:$B$171,2,FALSE),"")</f>
        <v/>
      </c>
      <c r="F1401" s="49" t="str">
        <f>IFERROR(VLOOKUP(E1401,'Condensed Specialty Crosswalk'!$A$2:$C$182,2,FALSE),"")</f>
        <v/>
      </c>
      <c r="G1401" s="49" t="str">
        <f>IFERROR(VLOOKUP(E1401,'Condensed Specialty Crosswalk'!$A$2:$C$182,3,FALSE),"")</f>
        <v/>
      </c>
    </row>
    <row r="1402" spans="1:7" ht="15" customHeight="1">
      <c r="A1402" s="49"/>
      <c r="B1402" s="49" t="str">
        <f>CONCATENATE(Reports!E1401," ",Reports!F1401," ",Reports!G1401)</f>
        <v xml:space="preserve">  </v>
      </c>
      <c r="C1402" s="50"/>
      <c r="D1402" s="51"/>
      <c r="E1402" s="49" t="str">
        <f>IFERROR(VLOOKUP(D1402,'taxonomy map'!$A$1:$B$171,2,FALSE),"")</f>
        <v/>
      </c>
      <c r="F1402" s="49" t="str">
        <f>IFERROR(VLOOKUP(E1402,'Condensed Specialty Crosswalk'!$A$2:$C$182,2,FALSE),"")</f>
        <v/>
      </c>
      <c r="G1402" s="49" t="str">
        <f>IFERROR(VLOOKUP(E1402,'Condensed Specialty Crosswalk'!$A$2:$C$182,3,FALSE),"")</f>
        <v/>
      </c>
    </row>
    <row r="1403" spans="1:7" ht="15" customHeight="1">
      <c r="A1403" s="49"/>
      <c r="B1403" s="49" t="str">
        <f>CONCATENATE(Reports!E1402," ",Reports!F1402," ",Reports!G1402)</f>
        <v xml:space="preserve">  </v>
      </c>
      <c r="C1403" s="50"/>
      <c r="D1403" s="51"/>
      <c r="E1403" s="49" t="str">
        <f>IFERROR(VLOOKUP(D1403,'taxonomy map'!$A$1:$B$171,2,FALSE),"")</f>
        <v/>
      </c>
      <c r="F1403" s="49" t="str">
        <f>IFERROR(VLOOKUP(E1403,'Condensed Specialty Crosswalk'!$A$2:$C$182,2,FALSE),"")</f>
        <v/>
      </c>
      <c r="G1403" s="49" t="str">
        <f>IFERROR(VLOOKUP(E1403,'Condensed Specialty Crosswalk'!$A$2:$C$182,3,FALSE),"")</f>
        <v/>
      </c>
    </row>
    <row r="1404" spans="1:7" ht="15" customHeight="1">
      <c r="A1404" s="49"/>
      <c r="B1404" s="49" t="str">
        <f>CONCATENATE(Reports!E1403," ",Reports!F1403," ",Reports!G1403)</f>
        <v xml:space="preserve">  </v>
      </c>
      <c r="C1404" s="50"/>
      <c r="D1404" s="51"/>
      <c r="E1404" s="49" t="str">
        <f>IFERROR(VLOOKUP(D1404,'taxonomy map'!$A$1:$B$171,2,FALSE),"")</f>
        <v/>
      </c>
      <c r="F1404" s="49" t="str">
        <f>IFERROR(VLOOKUP(E1404,'Condensed Specialty Crosswalk'!$A$2:$C$182,2,FALSE),"")</f>
        <v/>
      </c>
      <c r="G1404" s="49" t="str">
        <f>IFERROR(VLOOKUP(E1404,'Condensed Specialty Crosswalk'!$A$2:$C$182,3,FALSE),"")</f>
        <v/>
      </c>
    </row>
    <row r="1405" spans="1:7" ht="15" customHeight="1">
      <c r="A1405" s="49"/>
      <c r="B1405" s="49" t="str">
        <f>CONCATENATE(Reports!E1404," ",Reports!F1404," ",Reports!G1404)</f>
        <v xml:space="preserve">  </v>
      </c>
      <c r="C1405" s="50"/>
      <c r="D1405" s="51"/>
      <c r="E1405" s="49" t="str">
        <f>IFERROR(VLOOKUP(D1405,'taxonomy map'!$A$1:$B$171,2,FALSE),"")</f>
        <v/>
      </c>
      <c r="F1405" s="49" t="str">
        <f>IFERROR(VLOOKUP(E1405,'Condensed Specialty Crosswalk'!$A$2:$C$182,2,FALSE),"")</f>
        <v/>
      </c>
      <c r="G1405" s="49" t="str">
        <f>IFERROR(VLOOKUP(E1405,'Condensed Specialty Crosswalk'!$A$2:$C$182,3,FALSE),"")</f>
        <v/>
      </c>
    </row>
    <row r="1406" spans="1:7" ht="15" customHeight="1">
      <c r="A1406" s="49"/>
      <c r="B1406" s="49" t="str">
        <f>CONCATENATE(Reports!E1405," ",Reports!F1405," ",Reports!G1405)</f>
        <v xml:space="preserve">  </v>
      </c>
      <c r="C1406" s="50"/>
      <c r="D1406" s="51"/>
      <c r="E1406" s="49" t="str">
        <f>IFERROR(VLOOKUP(D1406,'taxonomy map'!$A$1:$B$171,2,FALSE),"")</f>
        <v/>
      </c>
      <c r="F1406" s="49" t="str">
        <f>IFERROR(VLOOKUP(E1406,'Condensed Specialty Crosswalk'!$A$2:$C$182,2,FALSE),"")</f>
        <v/>
      </c>
      <c r="G1406" s="49" t="str">
        <f>IFERROR(VLOOKUP(E1406,'Condensed Specialty Crosswalk'!$A$2:$C$182,3,FALSE),"")</f>
        <v/>
      </c>
    </row>
    <row r="1407" spans="1:7" ht="15" customHeight="1">
      <c r="A1407" s="49"/>
      <c r="B1407" s="49" t="str">
        <f>CONCATENATE(Reports!E1406," ",Reports!F1406," ",Reports!G1406)</f>
        <v xml:space="preserve">  </v>
      </c>
      <c r="C1407" s="50"/>
      <c r="D1407" s="51"/>
      <c r="E1407" s="49" t="str">
        <f>IFERROR(VLOOKUP(D1407,'taxonomy map'!$A$1:$B$171,2,FALSE),"")</f>
        <v/>
      </c>
      <c r="F1407" s="49" t="str">
        <f>IFERROR(VLOOKUP(E1407,'Condensed Specialty Crosswalk'!$A$2:$C$182,2,FALSE),"")</f>
        <v/>
      </c>
      <c r="G1407" s="49" t="str">
        <f>IFERROR(VLOOKUP(E1407,'Condensed Specialty Crosswalk'!$A$2:$C$182,3,FALSE),"")</f>
        <v/>
      </c>
    </row>
    <row r="1408" spans="1:7" ht="15" customHeight="1">
      <c r="A1408" s="49"/>
      <c r="B1408" s="49" t="str">
        <f>CONCATENATE(Reports!E1407," ",Reports!F1407," ",Reports!G1407)</f>
        <v xml:space="preserve">  </v>
      </c>
      <c r="C1408" s="50"/>
      <c r="D1408" s="51"/>
      <c r="E1408" s="49" t="str">
        <f>IFERROR(VLOOKUP(D1408,'taxonomy map'!$A$1:$B$171,2,FALSE),"")</f>
        <v/>
      </c>
      <c r="F1408" s="49" t="str">
        <f>IFERROR(VLOOKUP(E1408,'Condensed Specialty Crosswalk'!$A$2:$C$182,2,FALSE),"")</f>
        <v/>
      </c>
      <c r="G1408" s="49" t="str">
        <f>IFERROR(VLOOKUP(E1408,'Condensed Specialty Crosswalk'!$A$2:$C$182,3,FALSE),"")</f>
        <v/>
      </c>
    </row>
    <row r="1409" spans="1:7" ht="15" customHeight="1">
      <c r="A1409" s="49"/>
      <c r="B1409" s="49" t="str">
        <f>CONCATENATE(Reports!E1408," ",Reports!F1408," ",Reports!G1408)</f>
        <v xml:space="preserve">  </v>
      </c>
      <c r="C1409" s="50"/>
      <c r="D1409" s="51"/>
      <c r="E1409" s="49" t="str">
        <f>IFERROR(VLOOKUP(D1409,'taxonomy map'!$A$1:$B$171,2,FALSE),"")</f>
        <v/>
      </c>
      <c r="F1409" s="49" t="str">
        <f>IFERROR(VLOOKUP(E1409,'Condensed Specialty Crosswalk'!$A$2:$C$182,2,FALSE),"")</f>
        <v/>
      </c>
      <c r="G1409" s="49" t="str">
        <f>IFERROR(VLOOKUP(E1409,'Condensed Specialty Crosswalk'!$A$2:$C$182,3,FALSE),"")</f>
        <v/>
      </c>
    </row>
    <row r="1410" spans="1:7" ht="15" customHeight="1">
      <c r="A1410" s="49"/>
      <c r="B1410" s="49" t="str">
        <f>CONCATENATE(Reports!E1409," ",Reports!F1409," ",Reports!G1409)</f>
        <v xml:space="preserve">  </v>
      </c>
      <c r="C1410" s="50"/>
      <c r="D1410" s="51"/>
      <c r="E1410" s="49" t="str">
        <f>IFERROR(VLOOKUP(D1410,'taxonomy map'!$A$1:$B$171,2,FALSE),"")</f>
        <v/>
      </c>
      <c r="F1410" s="49" t="str">
        <f>IFERROR(VLOOKUP(E1410,'Condensed Specialty Crosswalk'!$A$2:$C$182,2,FALSE),"")</f>
        <v/>
      </c>
      <c r="G1410" s="49" t="str">
        <f>IFERROR(VLOOKUP(E1410,'Condensed Specialty Crosswalk'!$A$2:$C$182,3,FALSE),"")</f>
        <v/>
      </c>
    </row>
    <row r="1411" spans="1:7" ht="15" customHeight="1">
      <c r="A1411" s="49"/>
      <c r="B1411" s="49" t="str">
        <f>CONCATENATE(Reports!E1410," ",Reports!F1410," ",Reports!G1410)</f>
        <v xml:space="preserve">  </v>
      </c>
      <c r="C1411" s="50"/>
      <c r="D1411" s="51"/>
      <c r="E1411" s="49" t="str">
        <f>IFERROR(VLOOKUP(D1411,'taxonomy map'!$A$1:$B$171,2,FALSE),"")</f>
        <v/>
      </c>
      <c r="F1411" s="49" t="str">
        <f>IFERROR(VLOOKUP(E1411,'Condensed Specialty Crosswalk'!$A$2:$C$182,2,FALSE),"")</f>
        <v/>
      </c>
      <c r="G1411" s="49" t="str">
        <f>IFERROR(VLOOKUP(E1411,'Condensed Specialty Crosswalk'!$A$2:$C$182,3,FALSE),"")</f>
        <v/>
      </c>
    </row>
    <row r="1412" spans="1:7" ht="15" customHeight="1">
      <c r="A1412" s="49"/>
      <c r="B1412" s="49" t="str">
        <f>CONCATENATE(Reports!E1411," ",Reports!F1411," ",Reports!G1411)</f>
        <v xml:space="preserve">  </v>
      </c>
      <c r="C1412" s="50"/>
      <c r="D1412" s="51"/>
      <c r="E1412" s="49" t="str">
        <f>IFERROR(VLOOKUP(D1412,'taxonomy map'!$A$1:$B$171,2,FALSE),"")</f>
        <v/>
      </c>
      <c r="F1412" s="49" t="str">
        <f>IFERROR(VLOOKUP(E1412,'Condensed Specialty Crosswalk'!$A$2:$C$182,2,FALSE),"")</f>
        <v/>
      </c>
      <c r="G1412" s="49" t="str">
        <f>IFERROR(VLOOKUP(E1412,'Condensed Specialty Crosswalk'!$A$2:$C$182,3,FALSE),"")</f>
        <v/>
      </c>
    </row>
    <row r="1413" spans="1:7" ht="15" customHeight="1">
      <c r="A1413" s="49"/>
      <c r="B1413" s="49" t="str">
        <f>CONCATENATE(Reports!E1412," ",Reports!F1412," ",Reports!G1412)</f>
        <v xml:space="preserve">  </v>
      </c>
      <c r="C1413" s="50"/>
      <c r="D1413" s="51"/>
      <c r="E1413" s="49" t="str">
        <f>IFERROR(VLOOKUP(D1413,'taxonomy map'!$A$1:$B$171,2,FALSE),"")</f>
        <v/>
      </c>
      <c r="F1413" s="49" t="str">
        <f>IFERROR(VLOOKUP(E1413,'Condensed Specialty Crosswalk'!$A$2:$C$182,2,FALSE),"")</f>
        <v/>
      </c>
      <c r="G1413" s="49" t="str">
        <f>IFERROR(VLOOKUP(E1413,'Condensed Specialty Crosswalk'!$A$2:$C$182,3,FALSE),"")</f>
        <v/>
      </c>
    </row>
    <row r="1414" spans="1:7" ht="15" customHeight="1">
      <c r="A1414" s="49"/>
      <c r="B1414" s="49" t="str">
        <f>CONCATENATE(Reports!E1413," ",Reports!F1413," ",Reports!G1413)</f>
        <v xml:space="preserve">  </v>
      </c>
      <c r="C1414" s="50"/>
      <c r="D1414" s="51"/>
      <c r="E1414" s="49" t="str">
        <f>IFERROR(VLOOKUP(D1414,'taxonomy map'!$A$1:$B$171,2,FALSE),"")</f>
        <v/>
      </c>
      <c r="F1414" s="49" t="str">
        <f>IFERROR(VLOOKUP(E1414,'Condensed Specialty Crosswalk'!$A$2:$C$182,2,FALSE),"")</f>
        <v/>
      </c>
      <c r="G1414" s="49" t="str">
        <f>IFERROR(VLOOKUP(E1414,'Condensed Specialty Crosswalk'!$A$2:$C$182,3,FALSE),"")</f>
        <v/>
      </c>
    </row>
    <row r="1415" spans="1:7" ht="15" customHeight="1">
      <c r="A1415" s="49"/>
      <c r="B1415" s="49" t="str">
        <f>CONCATENATE(Reports!E1414," ",Reports!F1414," ",Reports!G1414)</f>
        <v xml:space="preserve">  </v>
      </c>
      <c r="C1415" s="50"/>
      <c r="D1415" s="51"/>
      <c r="E1415" s="49" t="str">
        <f>IFERROR(VLOOKUP(D1415,'taxonomy map'!$A$1:$B$171,2,FALSE),"")</f>
        <v/>
      </c>
      <c r="F1415" s="49" t="str">
        <f>IFERROR(VLOOKUP(E1415,'Condensed Specialty Crosswalk'!$A$2:$C$182,2,FALSE),"")</f>
        <v/>
      </c>
      <c r="G1415" s="49" t="str">
        <f>IFERROR(VLOOKUP(E1415,'Condensed Specialty Crosswalk'!$A$2:$C$182,3,FALSE),"")</f>
        <v/>
      </c>
    </row>
    <row r="1416" spans="1:7" ht="15" customHeight="1">
      <c r="A1416" s="49"/>
      <c r="B1416" s="49" t="str">
        <f>CONCATENATE(Reports!E1415," ",Reports!F1415," ",Reports!G1415)</f>
        <v xml:space="preserve">  </v>
      </c>
      <c r="C1416" s="50"/>
      <c r="D1416" s="51"/>
      <c r="E1416" s="49" t="str">
        <f>IFERROR(VLOOKUP(D1416,'taxonomy map'!$A$1:$B$171,2,FALSE),"")</f>
        <v/>
      </c>
      <c r="F1416" s="49" t="str">
        <f>IFERROR(VLOOKUP(E1416,'Condensed Specialty Crosswalk'!$A$2:$C$182,2,FALSE),"")</f>
        <v/>
      </c>
      <c r="G1416" s="49" t="str">
        <f>IFERROR(VLOOKUP(E1416,'Condensed Specialty Crosswalk'!$A$2:$C$182,3,FALSE),"")</f>
        <v/>
      </c>
    </row>
    <row r="1417" spans="1:7" ht="15" customHeight="1">
      <c r="A1417" s="49"/>
      <c r="B1417" s="49" t="str">
        <f>CONCATENATE(Reports!E1416," ",Reports!F1416," ",Reports!G1416)</f>
        <v xml:space="preserve">  </v>
      </c>
      <c r="C1417" s="50"/>
      <c r="D1417" s="51"/>
      <c r="E1417" s="49" t="str">
        <f>IFERROR(VLOOKUP(D1417,'taxonomy map'!$A$1:$B$171,2,FALSE),"")</f>
        <v/>
      </c>
      <c r="F1417" s="49" t="str">
        <f>IFERROR(VLOOKUP(E1417,'Condensed Specialty Crosswalk'!$A$2:$C$182,2,FALSE),"")</f>
        <v/>
      </c>
      <c r="G1417" s="49" t="str">
        <f>IFERROR(VLOOKUP(E1417,'Condensed Specialty Crosswalk'!$A$2:$C$182,3,FALSE),"")</f>
        <v/>
      </c>
    </row>
    <row r="1418" spans="1:7" ht="15" customHeight="1">
      <c r="A1418" s="49"/>
      <c r="B1418" s="49" t="str">
        <f>CONCATENATE(Reports!E1417," ",Reports!F1417," ",Reports!G1417)</f>
        <v xml:space="preserve">  </v>
      </c>
      <c r="C1418" s="50"/>
      <c r="D1418" s="51"/>
      <c r="E1418" s="49" t="str">
        <f>IFERROR(VLOOKUP(D1418,'taxonomy map'!$A$1:$B$171,2,FALSE),"")</f>
        <v/>
      </c>
      <c r="F1418" s="49" t="str">
        <f>IFERROR(VLOOKUP(E1418,'Condensed Specialty Crosswalk'!$A$2:$C$182,2,FALSE),"")</f>
        <v/>
      </c>
      <c r="G1418" s="49" t="str">
        <f>IFERROR(VLOOKUP(E1418,'Condensed Specialty Crosswalk'!$A$2:$C$182,3,FALSE),"")</f>
        <v/>
      </c>
    </row>
    <row r="1419" spans="1:7" ht="15" customHeight="1">
      <c r="A1419" s="49"/>
      <c r="B1419" s="49" t="str">
        <f>CONCATENATE(Reports!E1418," ",Reports!F1418," ",Reports!G1418)</f>
        <v xml:space="preserve">  </v>
      </c>
      <c r="C1419" s="50"/>
      <c r="D1419" s="51"/>
      <c r="E1419" s="49" t="str">
        <f>IFERROR(VLOOKUP(D1419,'taxonomy map'!$A$1:$B$171,2,FALSE),"")</f>
        <v/>
      </c>
      <c r="F1419" s="49" t="str">
        <f>IFERROR(VLOOKUP(E1419,'Condensed Specialty Crosswalk'!$A$2:$C$182,2,FALSE),"")</f>
        <v/>
      </c>
      <c r="G1419" s="49" t="str">
        <f>IFERROR(VLOOKUP(E1419,'Condensed Specialty Crosswalk'!$A$2:$C$182,3,FALSE),"")</f>
        <v/>
      </c>
    </row>
    <row r="1420" spans="1:7" ht="15" customHeight="1">
      <c r="A1420" s="49"/>
      <c r="B1420" s="49" t="str">
        <f>CONCATENATE(Reports!E1419," ",Reports!F1419," ",Reports!G1419)</f>
        <v xml:space="preserve">  </v>
      </c>
      <c r="C1420" s="50"/>
      <c r="D1420" s="51"/>
      <c r="E1420" s="49" t="str">
        <f>IFERROR(VLOOKUP(D1420,'taxonomy map'!$A$1:$B$171,2,FALSE),"")</f>
        <v/>
      </c>
      <c r="F1420" s="49" t="str">
        <f>IFERROR(VLOOKUP(E1420,'Condensed Specialty Crosswalk'!$A$2:$C$182,2,FALSE),"")</f>
        <v/>
      </c>
      <c r="G1420" s="49" t="str">
        <f>IFERROR(VLOOKUP(E1420,'Condensed Specialty Crosswalk'!$A$2:$C$182,3,FALSE),"")</f>
        <v/>
      </c>
    </row>
    <row r="1421" spans="1:7" ht="15" customHeight="1">
      <c r="A1421" s="49"/>
      <c r="B1421" s="49" t="str">
        <f>CONCATENATE(Reports!E1420," ",Reports!F1420," ",Reports!G1420)</f>
        <v xml:space="preserve">  </v>
      </c>
      <c r="C1421" s="50"/>
      <c r="D1421" s="51"/>
      <c r="E1421" s="49" t="str">
        <f>IFERROR(VLOOKUP(D1421,'taxonomy map'!$A$1:$B$171,2,FALSE),"")</f>
        <v/>
      </c>
      <c r="F1421" s="49" t="str">
        <f>IFERROR(VLOOKUP(E1421,'Condensed Specialty Crosswalk'!$A$2:$C$182,2,FALSE),"")</f>
        <v/>
      </c>
      <c r="G1421" s="49" t="str">
        <f>IFERROR(VLOOKUP(E1421,'Condensed Specialty Crosswalk'!$A$2:$C$182,3,FALSE),"")</f>
        <v/>
      </c>
    </row>
    <row r="1422" spans="1:7" ht="15" customHeight="1">
      <c r="A1422" s="49"/>
      <c r="B1422" s="49" t="str">
        <f>CONCATENATE(Reports!E1421," ",Reports!F1421," ",Reports!G1421)</f>
        <v xml:space="preserve">  </v>
      </c>
      <c r="C1422" s="50"/>
      <c r="D1422" s="51"/>
      <c r="E1422" s="49" t="str">
        <f>IFERROR(VLOOKUP(D1422,'taxonomy map'!$A$1:$B$171,2,FALSE),"")</f>
        <v/>
      </c>
      <c r="F1422" s="49" t="str">
        <f>IFERROR(VLOOKUP(E1422,'Condensed Specialty Crosswalk'!$A$2:$C$182,2,FALSE),"")</f>
        <v/>
      </c>
      <c r="G1422" s="49" t="str">
        <f>IFERROR(VLOOKUP(E1422,'Condensed Specialty Crosswalk'!$A$2:$C$182,3,FALSE),"")</f>
        <v/>
      </c>
    </row>
    <row r="1423" spans="1:7" ht="15" customHeight="1">
      <c r="A1423" s="49"/>
      <c r="B1423" s="49" t="str">
        <f>CONCATENATE(Reports!E1422," ",Reports!F1422," ",Reports!G1422)</f>
        <v xml:space="preserve">  </v>
      </c>
      <c r="C1423" s="50"/>
      <c r="D1423" s="51"/>
      <c r="E1423" s="49" t="str">
        <f>IFERROR(VLOOKUP(D1423,'taxonomy map'!$A$1:$B$171,2,FALSE),"")</f>
        <v/>
      </c>
      <c r="F1423" s="49" t="str">
        <f>IFERROR(VLOOKUP(E1423,'Condensed Specialty Crosswalk'!$A$2:$C$182,2,FALSE),"")</f>
        <v/>
      </c>
      <c r="G1423" s="49" t="str">
        <f>IFERROR(VLOOKUP(E1423,'Condensed Specialty Crosswalk'!$A$2:$C$182,3,FALSE),"")</f>
        <v/>
      </c>
    </row>
    <row r="1424" spans="1:7" ht="15" customHeight="1">
      <c r="A1424" s="49"/>
      <c r="B1424" s="49" t="str">
        <f>CONCATENATE(Reports!E1423," ",Reports!F1423," ",Reports!G1423)</f>
        <v xml:space="preserve">  </v>
      </c>
      <c r="C1424" s="50"/>
      <c r="D1424" s="51"/>
      <c r="E1424" s="49" t="str">
        <f>IFERROR(VLOOKUP(D1424,'taxonomy map'!$A$1:$B$171,2,FALSE),"")</f>
        <v/>
      </c>
      <c r="F1424" s="49" t="str">
        <f>IFERROR(VLOOKUP(E1424,'Condensed Specialty Crosswalk'!$A$2:$C$182,2,FALSE),"")</f>
        <v/>
      </c>
      <c r="G1424" s="49" t="str">
        <f>IFERROR(VLOOKUP(E1424,'Condensed Specialty Crosswalk'!$A$2:$C$182,3,FALSE),"")</f>
        <v/>
      </c>
    </row>
    <row r="1425" spans="1:7" ht="15" customHeight="1">
      <c r="A1425" s="49"/>
      <c r="B1425" s="49" t="str">
        <f>CONCATENATE(Reports!E1424," ",Reports!F1424," ",Reports!G1424)</f>
        <v xml:space="preserve">  </v>
      </c>
      <c r="C1425" s="50"/>
      <c r="D1425" s="51"/>
      <c r="E1425" s="49" t="str">
        <f>IFERROR(VLOOKUP(D1425,'taxonomy map'!$A$1:$B$171,2,FALSE),"")</f>
        <v/>
      </c>
      <c r="F1425" s="49" t="str">
        <f>IFERROR(VLOOKUP(E1425,'Condensed Specialty Crosswalk'!$A$2:$C$182,2,FALSE),"")</f>
        <v/>
      </c>
      <c r="G1425" s="49" t="str">
        <f>IFERROR(VLOOKUP(E1425,'Condensed Specialty Crosswalk'!$A$2:$C$182,3,FALSE),"")</f>
        <v/>
      </c>
    </row>
    <row r="1426" spans="1:7" ht="15" customHeight="1">
      <c r="A1426" s="49"/>
      <c r="B1426" s="49" t="str">
        <f>CONCATENATE(Reports!E1425," ",Reports!F1425," ",Reports!G1425)</f>
        <v xml:space="preserve">  </v>
      </c>
      <c r="C1426" s="50"/>
      <c r="D1426" s="51"/>
      <c r="E1426" s="49" t="str">
        <f>IFERROR(VLOOKUP(D1426,'taxonomy map'!$A$1:$B$171,2,FALSE),"")</f>
        <v/>
      </c>
      <c r="F1426" s="49" t="str">
        <f>IFERROR(VLOOKUP(E1426,'Condensed Specialty Crosswalk'!$A$2:$C$182,2,FALSE),"")</f>
        <v/>
      </c>
      <c r="G1426" s="49" t="str">
        <f>IFERROR(VLOOKUP(E1426,'Condensed Specialty Crosswalk'!$A$2:$C$182,3,FALSE),"")</f>
        <v/>
      </c>
    </row>
    <row r="1427" spans="1:7" ht="15" customHeight="1">
      <c r="A1427" s="49"/>
      <c r="B1427" s="49" t="str">
        <f>CONCATENATE(Reports!E1426," ",Reports!F1426," ",Reports!G1426)</f>
        <v xml:space="preserve">  </v>
      </c>
      <c r="C1427" s="50"/>
      <c r="D1427" s="51"/>
      <c r="E1427" s="49" t="str">
        <f>IFERROR(VLOOKUP(D1427,'taxonomy map'!$A$1:$B$171,2,FALSE),"")</f>
        <v/>
      </c>
      <c r="F1427" s="49" t="str">
        <f>IFERROR(VLOOKUP(E1427,'Condensed Specialty Crosswalk'!$A$2:$C$182,2,FALSE),"")</f>
        <v/>
      </c>
      <c r="G1427" s="49" t="str">
        <f>IFERROR(VLOOKUP(E1427,'Condensed Specialty Crosswalk'!$A$2:$C$182,3,FALSE),"")</f>
        <v/>
      </c>
    </row>
    <row r="1428" spans="1:7" ht="15" customHeight="1">
      <c r="A1428" s="49"/>
      <c r="B1428" s="49" t="str">
        <f>CONCATENATE(Reports!E1427," ",Reports!F1427," ",Reports!G1427)</f>
        <v xml:space="preserve">  </v>
      </c>
      <c r="C1428" s="50"/>
      <c r="D1428" s="51"/>
      <c r="E1428" s="49" t="str">
        <f>IFERROR(VLOOKUP(D1428,'taxonomy map'!$A$1:$B$171,2,FALSE),"")</f>
        <v/>
      </c>
      <c r="F1428" s="49" t="str">
        <f>IFERROR(VLOOKUP(E1428,'Condensed Specialty Crosswalk'!$A$2:$C$182,2,FALSE),"")</f>
        <v/>
      </c>
      <c r="G1428" s="49" t="str">
        <f>IFERROR(VLOOKUP(E1428,'Condensed Specialty Crosswalk'!$A$2:$C$182,3,FALSE),"")</f>
        <v/>
      </c>
    </row>
    <row r="1429" spans="1:7" ht="15" customHeight="1">
      <c r="A1429" s="49"/>
      <c r="B1429" s="49" t="str">
        <f>CONCATENATE(Reports!E1428," ",Reports!F1428," ",Reports!G1428)</f>
        <v xml:space="preserve">  </v>
      </c>
      <c r="C1429" s="50"/>
      <c r="D1429" s="51"/>
      <c r="E1429" s="49" t="str">
        <f>IFERROR(VLOOKUP(D1429,'taxonomy map'!$A$1:$B$171,2,FALSE),"")</f>
        <v/>
      </c>
      <c r="F1429" s="49" t="str">
        <f>IFERROR(VLOOKUP(E1429,'Condensed Specialty Crosswalk'!$A$2:$C$182,2,FALSE),"")</f>
        <v/>
      </c>
      <c r="G1429" s="49" t="str">
        <f>IFERROR(VLOOKUP(E1429,'Condensed Specialty Crosswalk'!$A$2:$C$182,3,FALSE),"")</f>
        <v/>
      </c>
    </row>
    <row r="1430" spans="1:7" ht="15" customHeight="1">
      <c r="A1430" s="49"/>
      <c r="B1430" s="49" t="str">
        <f>CONCATENATE(Reports!E1429," ",Reports!F1429," ",Reports!G1429)</f>
        <v xml:space="preserve">  </v>
      </c>
      <c r="C1430" s="50"/>
      <c r="D1430" s="51"/>
      <c r="E1430" s="49" t="str">
        <f>IFERROR(VLOOKUP(D1430,'taxonomy map'!$A$1:$B$171,2,FALSE),"")</f>
        <v/>
      </c>
      <c r="F1430" s="49" t="str">
        <f>IFERROR(VLOOKUP(E1430,'Condensed Specialty Crosswalk'!$A$2:$C$182,2,FALSE),"")</f>
        <v/>
      </c>
      <c r="G1430" s="49" t="str">
        <f>IFERROR(VLOOKUP(E1430,'Condensed Specialty Crosswalk'!$A$2:$C$182,3,FALSE),"")</f>
        <v/>
      </c>
    </row>
    <row r="1431" spans="1:7" ht="15" customHeight="1">
      <c r="A1431" s="49"/>
      <c r="B1431" s="49" t="str">
        <f>CONCATENATE(Reports!E1430," ",Reports!F1430," ",Reports!G1430)</f>
        <v xml:space="preserve">  </v>
      </c>
      <c r="C1431" s="50"/>
      <c r="D1431" s="51"/>
      <c r="E1431" s="49" t="str">
        <f>IFERROR(VLOOKUP(D1431,'taxonomy map'!$A$1:$B$171,2,FALSE),"")</f>
        <v/>
      </c>
      <c r="F1431" s="49" t="str">
        <f>IFERROR(VLOOKUP(E1431,'Condensed Specialty Crosswalk'!$A$2:$C$182,2,FALSE),"")</f>
        <v/>
      </c>
      <c r="G1431" s="49" t="str">
        <f>IFERROR(VLOOKUP(E1431,'Condensed Specialty Crosswalk'!$A$2:$C$182,3,FALSE),"")</f>
        <v/>
      </c>
    </row>
    <row r="1432" spans="1:7" ht="15" customHeight="1">
      <c r="A1432" s="49"/>
      <c r="B1432" s="49" t="str">
        <f>CONCATENATE(Reports!E1431," ",Reports!F1431," ",Reports!G1431)</f>
        <v xml:space="preserve">  </v>
      </c>
      <c r="C1432" s="50"/>
      <c r="D1432" s="51"/>
      <c r="E1432" s="49" t="str">
        <f>IFERROR(VLOOKUP(D1432,'taxonomy map'!$A$1:$B$171,2,FALSE),"")</f>
        <v/>
      </c>
      <c r="F1432" s="49" t="str">
        <f>IFERROR(VLOOKUP(E1432,'Condensed Specialty Crosswalk'!$A$2:$C$182,2,FALSE),"")</f>
        <v/>
      </c>
      <c r="G1432" s="49" t="str">
        <f>IFERROR(VLOOKUP(E1432,'Condensed Specialty Crosswalk'!$A$2:$C$182,3,FALSE),"")</f>
        <v/>
      </c>
    </row>
    <row r="1433" spans="1:7" ht="15" customHeight="1">
      <c r="A1433" s="49"/>
      <c r="B1433" s="49" t="str">
        <f>CONCATENATE(Reports!E1432," ",Reports!F1432," ",Reports!G1432)</f>
        <v xml:space="preserve">  </v>
      </c>
      <c r="C1433" s="50"/>
      <c r="D1433" s="51"/>
      <c r="E1433" s="49" t="str">
        <f>IFERROR(VLOOKUP(D1433,'taxonomy map'!$A$1:$B$171,2,FALSE),"")</f>
        <v/>
      </c>
      <c r="F1433" s="49" t="str">
        <f>IFERROR(VLOOKUP(E1433,'Condensed Specialty Crosswalk'!$A$2:$C$182,2,FALSE),"")</f>
        <v/>
      </c>
      <c r="G1433" s="49" t="str">
        <f>IFERROR(VLOOKUP(E1433,'Condensed Specialty Crosswalk'!$A$2:$C$182,3,FALSE),"")</f>
        <v/>
      </c>
    </row>
    <row r="1434" spans="1:7" ht="15" customHeight="1">
      <c r="A1434" s="49"/>
      <c r="B1434" s="49" t="str">
        <f>CONCATENATE(Reports!E1433," ",Reports!F1433," ",Reports!G1433)</f>
        <v xml:space="preserve">  </v>
      </c>
      <c r="C1434" s="50"/>
      <c r="D1434" s="51"/>
      <c r="E1434" s="49" t="str">
        <f>IFERROR(VLOOKUP(D1434,'taxonomy map'!$A$1:$B$171,2,FALSE),"")</f>
        <v/>
      </c>
      <c r="F1434" s="49" t="str">
        <f>IFERROR(VLOOKUP(E1434,'Condensed Specialty Crosswalk'!$A$2:$C$182,2,FALSE),"")</f>
        <v/>
      </c>
      <c r="G1434" s="49" t="str">
        <f>IFERROR(VLOOKUP(E1434,'Condensed Specialty Crosswalk'!$A$2:$C$182,3,FALSE),"")</f>
        <v/>
      </c>
    </row>
    <row r="1435" spans="1:7" ht="15" customHeight="1">
      <c r="A1435" s="49"/>
      <c r="B1435" s="49" t="str">
        <f>CONCATENATE(Reports!E1434," ",Reports!F1434," ",Reports!G1434)</f>
        <v xml:space="preserve">  </v>
      </c>
      <c r="C1435" s="50"/>
      <c r="D1435" s="51"/>
      <c r="E1435" s="49" t="str">
        <f>IFERROR(VLOOKUP(D1435,'taxonomy map'!$A$1:$B$171,2,FALSE),"")</f>
        <v/>
      </c>
      <c r="F1435" s="49" t="str">
        <f>IFERROR(VLOOKUP(E1435,'Condensed Specialty Crosswalk'!$A$2:$C$182,2,FALSE),"")</f>
        <v/>
      </c>
      <c r="G1435" s="49" t="str">
        <f>IFERROR(VLOOKUP(E1435,'Condensed Specialty Crosswalk'!$A$2:$C$182,3,FALSE),"")</f>
        <v/>
      </c>
    </row>
    <row r="1436" spans="1:7" ht="15" customHeight="1">
      <c r="A1436" s="49"/>
      <c r="B1436" s="49" t="str">
        <f>CONCATENATE(Reports!E1435," ",Reports!F1435," ",Reports!G1435)</f>
        <v xml:space="preserve">  </v>
      </c>
      <c r="C1436" s="50"/>
      <c r="D1436" s="51"/>
      <c r="E1436" s="49" t="str">
        <f>IFERROR(VLOOKUP(D1436,'taxonomy map'!$A$1:$B$171,2,FALSE),"")</f>
        <v/>
      </c>
      <c r="F1436" s="49" t="str">
        <f>IFERROR(VLOOKUP(E1436,'Condensed Specialty Crosswalk'!$A$2:$C$182,2,FALSE),"")</f>
        <v/>
      </c>
      <c r="G1436" s="49" t="str">
        <f>IFERROR(VLOOKUP(E1436,'Condensed Specialty Crosswalk'!$A$2:$C$182,3,FALSE),"")</f>
        <v/>
      </c>
    </row>
    <row r="1437" spans="1:7" ht="15" customHeight="1">
      <c r="A1437" s="49"/>
      <c r="B1437" s="49" t="str">
        <f>CONCATENATE(Reports!E1436," ",Reports!F1436," ",Reports!G1436)</f>
        <v xml:space="preserve">  </v>
      </c>
      <c r="C1437" s="50"/>
      <c r="D1437" s="51"/>
      <c r="E1437" s="49" t="str">
        <f>IFERROR(VLOOKUP(D1437,'taxonomy map'!$A$1:$B$171,2,FALSE),"")</f>
        <v/>
      </c>
      <c r="F1437" s="49" t="str">
        <f>IFERROR(VLOOKUP(E1437,'Condensed Specialty Crosswalk'!$A$2:$C$182,2,FALSE),"")</f>
        <v/>
      </c>
      <c r="G1437" s="49" t="str">
        <f>IFERROR(VLOOKUP(E1437,'Condensed Specialty Crosswalk'!$A$2:$C$182,3,FALSE),"")</f>
        <v/>
      </c>
    </row>
    <row r="1438" spans="1:7" ht="15" customHeight="1">
      <c r="A1438" s="49"/>
      <c r="B1438" s="49" t="str">
        <f>CONCATENATE(Reports!E1437," ",Reports!F1437," ",Reports!G1437)</f>
        <v xml:space="preserve">  </v>
      </c>
      <c r="C1438" s="50"/>
      <c r="D1438" s="51"/>
      <c r="E1438" s="49" t="str">
        <f>IFERROR(VLOOKUP(D1438,'taxonomy map'!$A$1:$B$171,2,FALSE),"")</f>
        <v/>
      </c>
      <c r="F1438" s="49" t="str">
        <f>IFERROR(VLOOKUP(E1438,'Condensed Specialty Crosswalk'!$A$2:$C$182,2,FALSE),"")</f>
        <v/>
      </c>
      <c r="G1438" s="49" t="str">
        <f>IFERROR(VLOOKUP(E1438,'Condensed Specialty Crosswalk'!$A$2:$C$182,3,FALSE),"")</f>
        <v/>
      </c>
    </row>
    <row r="1439" spans="1:7" ht="15" customHeight="1">
      <c r="A1439" s="49"/>
      <c r="B1439" s="49" t="str">
        <f>CONCATENATE(Reports!E1438," ",Reports!F1438," ",Reports!G1438)</f>
        <v xml:space="preserve">  </v>
      </c>
      <c r="C1439" s="50"/>
      <c r="D1439" s="51"/>
      <c r="E1439" s="49" t="str">
        <f>IFERROR(VLOOKUP(D1439,'taxonomy map'!$A$1:$B$171,2,FALSE),"")</f>
        <v/>
      </c>
      <c r="F1439" s="49" t="str">
        <f>IFERROR(VLOOKUP(E1439,'Condensed Specialty Crosswalk'!$A$2:$C$182,2,FALSE),"")</f>
        <v/>
      </c>
      <c r="G1439" s="49" t="str">
        <f>IFERROR(VLOOKUP(E1439,'Condensed Specialty Crosswalk'!$A$2:$C$182,3,FALSE),"")</f>
        <v/>
      </c>
    </row>
    <row r="1440" spans="1:7" ht="15" customHeight="1">
      <c r="A1440" s="49"/>
      <c r="B1440" s="49" t="str">
        <f>CONCATENATE(Reports!E1439," ",Reports!F1439," ",Reports!G1439)</f>
        <v xml:space="preserve">  </v>
      </c>
      <c r="C1440" s="50"/>
      <c r="D1440" s="51"/>
      <c r="E1440" s="49" t="str">
        <f>IFERROR(VLOOKUP(D1440,'taxonomy map'!$A$1:$B$171,2,FALSE),"")</f>
        <v/>
      </c>
      <c r="F1440" s="49" t="str">
        <f>IFERROR(VLOOKUP(E1440,'Condensed Specialty Crosswalk'!$A$2:$C$182,2,FALSE),"")</f>
        <v/>
      </c>
      <c r="G1440" s="49" t="str">
        <f>IFERROR(VLOOKUP(E1440,'Condensed Specialty Crosswalk'!$A$2:$C$182,3,FALSE),"")</f>
        <v/>
      </c>
    </row>
    <row r="1441" spans="1:7" ht="15" customHeight="1">
      <c r="A1441" s="49"/>
      <c r="B1441" s="49" t="str">
        <f>CONCATENATE(Reports!E1440," ",Reports!F1440," ",Reports!G1440)</f>
        <v xml:space="preserve">  </v>
      </c>
      <c r="C1441" s="50"/>
      <c r="D1441" s="51"/>
      <c r="E1441" s="49" t="str">
        <f>IFERROR(VLOOKUP(D1441,'taxonomy map'!$A$1:$B$171,2,FALSE),"")</f>
        <v/>
      </c>
      <c r="F1441" s="49" t="str">
        <f>IFERROR(VLOOKUP(E1441,'Condensed Specialty Crosswalk'!$A$2:$C$182,2,FALSE),"")</f>
        <v/>
      </c>
      <c r="G1441" s="49" t="str">
        <f>IFERROR(VLOOKUP(E1441,'Condensed Specialty Crosswalk'!$A$2:$C$182,3,FALSE),"")</f>
        <v/>
      </c>
    </row>
    <row r="1442" spans="1:7" ht="15" customHeight="1">
      <c r="A1442" s="49"/>
      <c r="B1442" s="49" t="str">
        <f>CONCATENATE(Reports!E1441," ",Reports!F1441," ",Reports!G1441)</f>
        <v xml:space="preserve">  </v>
      </c>
      <c r="C1442" s="50"/>
      <c r="D1442" s="51"/>
      <c r="E1442" s="49" t="str">
        <f>IFERROR(VLOOKUP(D1442,'taxonomy map'!$A$1:$B$171,2,FALSE),"")</f>
        <v/>
      </c>
      <c r="F1442" s="49" t="str">
        <f>IFERROR(VLOOKUP(E1442,'Condensed Specialty Crosswalk'!$A$2:$C$182,2,FALSE),"")</f>
        <v/>
      </c>
      <c r="G1442" s="49" t="str">
        <f>IFERROR(VLOOKUP(E1442,'Condensed Specialty Crosswalk'!$A$2:$C$182,3,FALSE),"")</f>
        <v/>
      </c>
    </row>
    <row r="1443" spans="1:7" ht="15" customHeight="1">
      <c r="A1443" s="49"/>
      <c r="B1443" s="49" t="str">
        <f>CONCATENATE(Reports!E1442," ",Reports!F1442," ",Reports!G1442)</f>
        <v xml:space="preserve">  </v>
      </c>
      <c r="C1443" s="50"/>
      <c r="D1443" s="51"/>
      <c r="E1443" s="49" t="str">
        <f>IFERROR(VLOOKUP(D1443,'taxonomy map'!$A$1:$B$171,2,FALSE),"")</f>
        <v/>
      </c>
      <c r="F1443" s="49" t="str">
        <f>IFERROR(VLOOKUP(E1443,'Condensed Specialty Crosswalk'!$A$2:$C$182,2,FALSE),"")</f>
        <v/>
      </c>
      <c r="G1443" s="49" t="str">
        <f>IFERROR(VLOOKUP(E1443,'Condensed Specialty Crosswalk'!$A$2:$C$182,3,FALSE),"")</f>
        <v/>
      </c>
    </row>
    <row r="1444" spans="1:7" ht="15" customHeight="1">
      <c r="A1444" s="49"/>
      <c r="B1444" s="49" t="str">
        <f>CONCATENATE(Reports!E1443," ",Reports!F1443," ",Reports!G1443)</f>
        <v xml:space="preserve">  </v>
      </c>
      <c r="C1444" s="50"/>
      <c r="D1444" s="51"/>
      <c r="E1444" s="49" t="str">
        <f>IFERROR(VLOOKUP(D1444,'taxonomy map'!$A$1:$B$171,2,FALSE),"")</f>
        <v/>
      </c>
      <c r="F1444" s="49" t="str">
        <f>IFERROR(VLOOKUP(E1444,'Condensed Specialty Crosswalk'!$A$2:$C$182,2,FALSE),"")</f>
        <v/>
      </c>
      <c r="G1444" s="49" t="str">
        <f>IFERROR(VLOOKUP(E1444,'Condensed Specialty Crosswalk'!$A$2:$C$182,3,FALSE),"")</f>
        <v/>
      </c>
    </row>
    <row r="1445" spans="1:7" ht="15" customHeight="1">
      <c r="A1445" s="49"/>
      <c r="B1445" s="49" t="str">
        <f>CONCATENATE(Reports!E1444," ",Reports!F1444," ",Reports!G1444)</f>
        <v xml:space="preserve">  </v>
      </c>
      <c r="C1445" s="50"/>
      <c r="D1445" s="51"/>
      <c r="E1445" s="49" t="str">
        <f>IFERROR(VLOOKUP(D1445,'taxonomy map'!$A$1:$B$171,2,FALSE),"")</f>
        <v/>
      </c>
      <c r="F1445" s="49" t="str">
        <f>IFERROR(VLOOKUP(E1445,'Condensed Specialty Crosswalk'!$A$2:$C$182,2,FALSE),"")</f>
        <v/>
      </c>
      <c r="G1445" s="49" t="str">
        <f>IFERROR(VLOOKUP(E1445,'Condensed Specialty Crosswalk'!$A$2:$C$182,3,FALSE),"")</f>
        <v/>
      </c>
    </row>
    <row r="1446" spans="1:7" ht="15" customHeight="1">
      <c r="A1446" s="49"/>
      <c r="B1446" s="49" t="str">
        <f>CONCATENATE(Reports!E1445," ",Reports!F1445," ",Reports!G1445)</f>
        <v xml:space="preserve">  </v>
      </c>
      <c r="C1446" s="50"/>
      <c r="D1446" s="51"/>
      <c r="E1446" s="49" t="str">
        <f>IFERROR(VLOOKUP(D1446,'taxonomy map'!$A$1:$B$171,2,FALSE),"")</f>
        <v/>
      </c>
      <c r="F1446" s="49" t="str">
        <f>IFERROR(VLOOKUP(E1446,'Condensed Specialty Crosswalk'!$A$2:$C$182,2,FALSE),"")</f>
        <v/>
      </c>
      <c r="G1446" s="49" t="str">
        <f>IFERROR(VLOOKUP(E1446,'Condensed Specialty Crosswalk'!$A$2:$C$182,3,FALSE),"")</f>
        <v/>
      </c>
    </row>
    <row r="1447" spans="1:7" ht="15" customHeight="1">
      <c r="A1447" s="49"/>
      <c r="B1447" s="49" t="str">
        <f>CONCATENATE(Reports!E1446," ",Reports!F1446," ",Reports!G1446)</f>
        <v xml:space="preserve">  </v>
      </c>
      <c r="C1447" s="50"/>
      <c r="D1447" s="51"/>
      <c r="E1447" s="49" t="str">
        <f>IFERROR(VLOOKUP(D1447,'taxonomy map'!$A$1:$B$171,2,FALSE),"")</f>
        <v/>
      </c>
      <c r="F1447" s="49" t="str">
        <f>IFERROR(VLOOKUP(E1447,'Condensed Specialty Crosswalk'!$A$2:$C$182,2,FALSE),"")</f>
        <v/>
      </c>
      <c r="G1447" s="49" t="str">
        <f>IFERROR(VLOOKUP(E1447,'Condensed Specialty Crosswalk'!$A$2:$C$182,3,FALSE),"")</f>
        <v/>
      </c>
    </row>
    <row r="1448" spans="1:7" ht="15" customHeight="1">
      <c r="A1448" s="49"/>
      <c r="B1448" s="49" t="str">
        <f>CONCATENATE(Reports!E1447," ",Reports!F1447," ",Reports!G1447)</f>
        <v xml:space="preserve">  </v>
      </c>
      <c r="C1448" s="50"/>
      <c r="D1448" s="51"/>
      <c r="E1448" s="49" t="str">
        <f>IFERROR(VLOOKUP(D1448,'taxonomy map'!$A$1:$B$171,2,FALSE),"")</f>
        <v/>
      </c>
      <c r="F1448" s="49" t="str">
        <f>IFERROR(VLOOKUP(E1448,'Condensed Specialty Crosswalk'!$A$2:$C$182,2,FALSE),"")</f>
        <v/>
      </c>
      <c r="G1448" s="49" t="str">
        <f>IFERROR(VLOOKUP(E1448,'Condensed Specialty Crosswalk'!$A$2:$C$182,3,FALSE),"")</f>
        <v/>
      </c>
    </row>
    <row r="1449" spans="1:7" ht="15" customHeight="1">
      <c r="A1449" s="49"/>
      <c r="B1449" s="49" t="str">
        <f>CONCATENATE(Reports!E1448," ",Reports!F1448," ",Reports!G1448)</f>
        <v xml:space="preserve">  </v>
      </c>
      <c r="C1449" s="50"/>
      <c r="D1449" s="51"/>
      <c r="E1449" s="49" t="str">
        <f>IFERROR(VLOOKUP(D1449,'taxonomy map'!$A$1:$B$171,2,FALSE),"")</f>
        <v/>
      </c>
      <c r="F1449" s="49" t="str">
        <f>IFERROR(VLOOKUP(E1449,'Condensed Specialty Crosswalk'!$A$2:$C$182,2,FALSE),"")</f>
        <v/>
      </c>
      <c r="G1449" s="49" t="str">
        <f>IFERROR(VLOOKUP(E1449,'Condensed Specialty Crosswalk'!$A$2:$C$182,3,FALSE),"")</f>
        <v/>
      </c>
    </row>
    <row r="1450" spans="1:7" ht="15" customHeight="1">
      <c r="A1450" s="49"/>
      <c r="B1450" s="49" t="str">
        <f>CONCATENATE(Reports!E1449," ",Reports!F1449," ",Reports!G1449)</f>
        <v xml:space="preserve">  </v>
      </c>
      <c r="C1450" s="50"/>
      <c r="D1450" s="51"/>
      <c r="E1450" s="49" t="str">
        <f>IFERROR(VLOOKUP(D1450,'taxonomy map'!$A$1:$B$171,2,FALSE),"")</f>
        <v/>
      </c>
      <c r="F1450" s="49" t="str">
        <f>IFERROR(VLOOKUP(E1450,'Condensed Specialty Crosswalk'!$A$2:$C$182,2,FALSE),"")</f>
        <v/>
      </c>
      <c r="G1450" s="49" t="str">
        <f>IFERROR(VLOOKUP(E1450,'Condensed Specialty Crosswalk'!$A$2:$C$182,3,FALSE),"")</f>
        <v/>
      </c>
    </row>
    <row r="1451" spans="1:7" ht="15" customHeight="1">
      <c r="A1451" s="49"/>
      <c r="B1451" s="49" t="str">
        <f>CONCATENATE(Reports!E1450," ",Reports!F1450," ",Reports!G1450)</f>
        <v xml:space="preserve">  </v>
      </c>
      <c r="C1451" s="50"/>
      <c r="D1451" s="51"/>
      <c r="E1451" s="49" t="str">
        <f>IFERROR(VLOOKUP(D1451,'taxonomy map'!$A$1:$B$171,2,FALSE),"")</f>
        <v/>
      </c>
      <c r="F1451" s="49" t="str">
        <f>IFERROR(VLOOKUP(E1451,'Condensed Specialty Crosswalk'!$A$2:$C$182,2,FALSE),"")</f>
        <v/>
      </c>
      <c r="G1451" s="49" t="str">
        <f>IFERROR(VLOOKUP(E1451,'Condensed Specialty Crosswalk'!$A$2:$C$182,3,FALSE),"")</f>
        <v/>
      </c>
    </row>
    <row r="1452" spans="1:7" ht="15" customHeight="1">
      <c r="A1452" s="49"/>
      <c r="B1452" s="49" t="str">
        <f>CONCATENATE(Reports!E1451," ",Reports!F1451," ",Reports!G1451)</f>
        <v xml:space="preserve">  </v>
      </c>
      <c r="C1452" s="50"/>
      <c r="D1452" s="51"/>
      <c r="E1452" s="49" t="str">
        <f>IFERROR(VLOOKUP(D1452,'taxonomy map'!$A$1:$B$171,2,FALSE),"")</f>
        <v/>
      </c>
      <c r="F1452" s="49" t="str">
        <f>IFERROR(VLOOKUP(E1452,'Condensed Specialty Crosswalk'!$A$2:$C$182,2,FALSE),"")</f>
        <v/>
      </c>
      <c r="G1452" s="49" t="str">
        <f>IFERROR(VLOOKUP(E1452,'Condensed Specialty Crosswalk'!$A$2:$C$182,3,FALSE),"")</f>
        <v/>
      </c>
    </row>
    <row r="1453" spans="1:7" ht="15" customHeight="1">
      <c r="A1453" s="49"/>
      <c r="B1453" s="49" t="str">
        <f>CONCATENATE(Reports!E1452," ",Reports!F1452," ",Reports!G1452)</f>
        <v xml:space="preserve">  </v>
      </c>
      <c r="C1453" s="50"/>
      <c r="D1453" s="51"/>
      <c r="E1453" s="49" t="str">
        <f>IFERROR(VLOOKUP(D1453,'taxonomy map'!$A$1:$B$171,2,FALSE),"")</f>
        <v/>
      </c>
      <c r="F1453" s="49" t="str">
        <f>IFERROR(VLOOKUP(E1453,'Condensed Specialty Crosswalk'!$A$2:$C$182,2,FALSE),"")</f>
        <v/>
      </c>
      <c r="G1453" s="49" t="str">
        <f>IFERROR(VLOOKUP(E1453,'Condensed Specialty Crosswalk'!$A$2:$C$182,3,FALSE),"")</f>
        <v/>
      </c>
    </row>
    <row r="1454" spans="1:7" ht="15" customHeight="1">
      <c r="A1454" s="49"/>
      <c r="B1454" s="49" t="str">
        <f>CONCATENATE(Reports!E1453," ",Reports!F1453," ",Reports!G1453)</f>
        <v xml:space="preserve">  </v>
      </c>
      <c r="C1454" s="50"/>
      <c r="D1454" s="51"/>
      <c r="E1454" s="49" t="str">
        <f>IFERROR(VLOOKUP(D1454,'taxonomy map'!$A$1:$B$171,2,FALSE),"")</f>
        <v/>
      </c>
      <c r="F1454" s="49" t="str">
        <f>IFERROR(VLOOKUP(E1454,'Condensed Specialty Crosswalk'!$A$2:$C$182,2,FALSE),"")</f>
        <v/>
      </c>
      <c r="G1454" s="49" t="str">
        <f>IFERROR(VLOOKUP(E1454,'Condensed Specialty Crosswalk'!$A$2:$C$182,3,FALSE),"")</f>
        <v/>
      </c>
    </row>
    <row r="1455" spans="1:7" ht="15" customHeight="1">
      <c r="A1455" s="49"/>
      <c r="B1455" s="49" t="str">
        <f>CONCATENATE(Reports!E1454," ",Reports!F1454," ",Reports!G1454)</f>
        <v xml:space="preserve">  </v>
      </c>
      <c r="C1455" s="50"/>
      <c r="D1455" s="51"/>
      <c r="E1455" s="49" t="str">
        <f>IFERROR(VLOOKUP(D1455,'taxonomy map'!$A$1:$B$171,2,FALSE),"")</f>
        <v/>
      </c>
      <c r="F1455" s="49" t="str">
        <f>IFERROR(VLOOKUP(E1455,'Condensed Specialty Crosswalk'!$A$2:$C$182,2,FALSE),"")</f>
        <v/>
      </c>
      <c r="G1455" s="49" t="str">
        <f>IFERROR(VLOOKUP(E1455,'Condensed Specialty Crosswalk'!$A$2:$C$182,3,FALSE),"")</f>
        <v/>
      </c>
    </row>
    <row r="1456" spans="1:7" ht="15" customHeight="1">
      <c r="A1456" s="49"/>
      <c r="B1456" s="49" t="str">
        <f>CONCATENATE(Reports!E1455," ",Reports!F1455," ",Reports!G1455)</f>
        <v xml:space="preserve">  </v>
      </c>
      <c r="C1456" s="50"/>
      <c r="D1456" s="51"/>
      <c r="E1456" s="49" t="str">
        <f>IFERROR(VLOOKUP(D1456,'taxonomy map'!$A$1:$B$171,2,FALSE),"")</f>
        <v/>
      </c>
      <c r="F1456" s="49" t="str">
        <f>IFERROR(VLOOKUP(E1456,'Condensed Specialty Crosswalk'!$A$2:$C$182,2,FALSE),"")</f>
        <v/>
      </c>
      <c r="G1456" s="49" t="str">
        <f>IFERROR(VLOOKUP(E1456,'Condensed Specialty Crosswalk'!$A$2:$C$182,3,FALSE),"")</f>
        <v/>
      </c>
    </row>
    <row r="1457" spans="1:7" ht="15" customHeight="1">
      <c r="A1457" s="49"/>
      <c r="B1457" s="49" t="str">
        <f>CONCATENATE(Reports!E1456," ",Reports!F1456," ",Reports!G1456)</f>
        <v xml:space="preserve">  </v>
      </c>
      <c r="C1457" s="50"/>
      <c r="D1457" s="51"/>
      <c r="E1457" s="49" t="str">
        <f>IFERROR(VLOOKUP(D1457,'taxonomy map'!$A$1:$B$171,2,FALSE),"")</f>
        <v/>
      </c>
      <c r="F1457" s="49" t="str">
        <f>IFERROR(VLOOKUP(E1457,'Condensed Specialty Crosswalk'!$A$2:$C$182,2,FALSE),"")</f>
        <v/>
      </c>
      <c r="G1457" s="49" t="str">
        <f>IFERROR(VLOOKUP(E1457,'Condensed Specialty Crosswalk'!$A$2:$C$182,3,FALSE),"")</f>
        <v/>
      </c>
    </row>
    <row r="1458" spans="1:7" ht="15" customHeight="1">
      <c r="A1458" s="49"/>
      <c r="B1458" s="49" t="str">
        <f>CONCATENATE(Reports!E1457," ",Reports!F1457," ",Reports!G1457)</f>
        <v xml:space="preserve">  </v>
      </c>
      <c r="C1458" s="50"/>
      <c r="D1458" s="51"/>
      <c r="E1458" s="49" t="str">
        <f>IFERROR(VLOOKUP(D1458,'taxonomy map'!$A$1:$B$171,2,FALSE),"")</f>
        <v/>
      </c>
      <c r="F1458" s="49" t="str">
        <f>IFERROR(VLOOKUP(E1458,'Condensed Specialty Crosswalk'!$A$2:$C$182,2,FALSE),"")</f>
        <v/>
      </c>
      <c r="G1458" s="49" t="str">
        <f>IFERROR(VLOOKUP(E1458,'Condensed Specialty Crosswalk'!$A$2:$C$182,3,FALSE),"")</f>
        <v/>
      </c>
    </row>
    <row r="1459" spans="1:7" ht="15" customHeight="1">
      <c r="A1459" s="49"/>
      <c r="B1459" s="49" t="str">
        <f>CONCATENATE(Reports!E1458," ",Reports!F1458," ",Reports!G1458)</f>
        <v xml:space="preserve">  </v>
      </c>
      <c r="C1459" s="50"/>
      <c r="D1459" s="51"/>
      <c r="E1459" s="49" t="str">
        <f>IFERROR(VLOOKUP(D1459,'taxonomy map'!$A$1:$B$171,2,FALSE),"")</f>
        <v/>
      </c>
      <c r="F1459" s="49" t="str">
        <f>IFERROR(VLOOKUP(E1459,'Condensed Specialty Crosswalk'!$A$2:$C$182,2,FALSE),"")</f>
        <v/>
      </c>
      <c r="G1459" s="49" t="str">
        <f>IFERROR(VLOOKUP(E1459,'Condensed Specialty Crosswalk'!$A$2:$C$182,3,FALSE),"")</f>
        <v/>
      </c>
    </row>
    <row r="1460" spans="1:7" ht="15" customHeight="1">
      <c r="A1460" s="49"/>
      <c r="B1460" s="49" t="str">
        <f>CONCATENATE(Reports!E1459," ",Reports!F1459," ",Reports!G1459)</f>
        <v xml:space="preserve">  </v>
      </c>
      <c r="C1460" s="50"/>
      <c r="D1460" s="51"/>
      <c r="E1460" s="49" t="str">
        <f>IFERROR(VLOOKUP(D1460,'taxonomy map'!$A$1:$B$171,2,FALSE),"")</f>
        <v/>
      </c>
      <c r="F1460" s="49" t="str">
        <f>IFERROR(VLOOKUP(E1460,'Condensed Specialty Crosswalk'!$A$2:$C$182,2,FALSE),"")</f>
        <v/>
      </c>
      <c r="G1460" s="49" t="str">
        <f>IFERROR(VLOOKUP(E1460,'Condensed Specialty Crosswalk'!$A$2:$C$182,3,FALSE),"")</f>
        <v/>
      </c>
    </row>
    <row r="1461" spans="1:7" ht="15" customHeight="1">
      <c r="A1461" s="49"/>
      <c r="B1461" s="49" t="str">
        <f>CONCATENATE(Reports!E1460," ",Reports!F1460," ",Reports!G1460)</f>
        <v xml:space="preserve">  </v>
      </c>
      <c r="C1461" s="50"/>
      <c r="D1461" s="51"/>
      <c r="E1461" s="49" t="str">
        <f>IFERROR(VLOOKUP(D1461,'taxonomy map'!$A$1:$B$171,2,FALSE),"")</f>
        <v/>
      </c>
      <c r="F1461" s="49" t="str">
        <f>IFERROR(VLOOKUP(E1461,'Condensed Specialty Crosswalk'!$A$2:$C$182,2,FALSE),"")</f>
        <v/>
      </c>
      <c r="G1461" s="49" t="str">
        <f>IFERROR(VLOOKUP(E1461,'Condensed Specialty Crosswalk'!$A$2:$C$182,3,FALSE),"")</f>
        <v/>
      </c>
    </row>
    <row r="1462" spans="1:7" ht="15" customHeight="1">
      <c r="A1462" s="49"/>
      <c r="B1462" s="49" t="str">
        <f>CONCATENATE(Reports!E1461," ",Reports!F1461," ",Reports!G1461)</f>
        <v xml:space="preserve">  </v>
      </c>
      <c r="C1462" s="50"/>
      <c r="D1462" s="51"/>
      <c r="E1462" s="49" t="str">
        <f>IFERROR(VLOOKUP(D1462,'taxonomy map'!$A$1:$B$171,2,FALSE),"")</f>
        <v/>
      </c>
      <c r="F1462" s="49" t="str">
        <f>IFERROR(VLOOKUP(E1462,'Condensed Specialty Crosswalk'!$A$2:$C$182,2,FALSE),"")</f>
        <v/>
      </c>
      <c r="G1462" s="49" t="str">
        <f>IFERROR(VLOOKUP(E1462,'Condensed Specialty Crosswalk'!$A$2:$C$182,3,FALSE),"")</f>
        <v/>
      </c>
    </row>
    <row r="1463" spans="1:7" ht="15" customHeight="1">
      <c r="A1463" s="49"/>
      <c r="B1463" s="49" t="str">
        <f>CONCATENATE(Reports!E1462," ",Reports!F1462," ",Reports!G1462)</f>
        <v xml:space="preserve">  </v>
      </c>
      <c r="C1463" s="50"/>
      <c r="D1463" s="51"/>
      <c r="E1463" s="49" t="str">
        <f>IFERROR(VLOOKUP(D1463,'taxonomy map'!$A$1:$B$171,2,FALSE),"")</f>
        <v/>
      </c>
      <c r="F1463" s="49" t="str">
        <f>IFERROR(VLOOKUP(E1463,'Condensed Specialty Crosswalk'!$A$2:$C$182,2,FALSE),"")</f>
        <v/>
      </c>
      <c r="G1463" s="49" t="str">
        <f>IFERROR(VLOOKUP(E1463,'Condensed Specialty Crosswalk'!$A$2:$C$182,3,FALSE),"")</f>
        <v/>
      </c>
    </row>
    <row r="1464" spans="1:7" ht="15" customHeight="1">
      <c r="A1464" s="49"/>
      <c r="B1464" s="49" t="str">
        <f>CONCATENATE(Reports!E1463," ",Reports!F1463," ",Reports!G1463)</f>
        <v xml:space="preserve">  </v>
      </c>
      <c r="C1464" s="50"/>
      <c r="D1464" s="51"/>
      <c r="E1464" s="49" t="str">
        <f>IFERROR(VLOOKUP(D1464,'taxonomy map'!$A$1:$B$171,2,FALSE),"")</f>
        <v/>
      </c>
      <c r="F1464" s="49" t="str">
        <f>IFERROR(VLOOKUP(E1464,'Condensed Specialty Crosswalk'!$A$2:$C$182,2,FALSE),"")</f>
        <v/>
      </c>
      <c r="G1464" s="49" t="str">
        <f>IFERROR(VLOOKUP(E1464,'Condensed Specialty Crosswalk'!$A$2:$C$182,3,FALSE),"")</f>
        <v/>
      </c>
    </row>
    <row r="1465" spans="1:7" ht="15" customHeight="1">
      <c r="A1465" s="49"/>
      <c r="B1465" s="49" t="str">
        <f>CONCATENATE(Reports!E1464," ",Reports!F1464," ",Reports!G1464)</f>
        <v xml:space="preserve">  </v>
      </c>
      <c r="C1465" s="50"/>
      <c r="D1465" s="51"/>
      <c r="E1465" s="49" t="str">
        <f>IFERROR(VLOOKUP(D1465,'taxonomy map'!$A$1:$B$171,2,FALSE),"")</f>
        <v/>
      </c>
      <c r="F1465" s="49" t="str">
        <f>IFERROR(VLOOKUP(E1465,'Condensed Specialty Crosswalk'!$A$2:$C$182,2,FALSE),"")</f>
        <v/>
      </c>
      <c r="G1465" s="49" t="str">
        <f>IFERROR(VLOOKUP(E1465,'Condensed Specialty Crosswalk'!$A$2:$C$182,3,FALSE),"")</f>
        <v/>
      </c>
    </row>
    <row r="1466" spans="1:7" ht="15" customHeight="1">
      <c r="A1466" s="49"/>
      <c r="B1466" s="49" t="str">
        <f>CONCATENATE(Reports!E1465," ",Reports!F1465," ",Reports!G1465)</f>
        <v xml:space="preserve">  </v>
      </c>
      <c r="C1466" s="50"/>
      <c r="D1466" s="51"/>
      <c r="E1466" s="49" t="str">
        <f>IFERROR(VLOOKUP(D1466,'taxonomy map'!$A$1:$B$171,2,FALSE),"")</f>
        <v/>
      </c>
      <c r="F1466" s="49" t="str">
        <f>IFERROR(VLOOKUP(E1466,'Condensed Specialty Crosswalk'!$A$2:$C$182,2,FALSE),"")</f>
        <v/>
      </c>
      <c r="G1466" s="49" t="str">
        <f>IFERROR(VLOOKUP(E1466,'Condensed Specialty Crosswalk'!$A$2:$C$182,3,FALSE),"")</f>
        <v/>
      </c>
    </row>
    <row r="1467" spans="1:7" ht="15" customHeight="1">
      <c r="A1467" s="49"/>
      <c r="B1467" s="49" t="str">
        <f>CONCATENATE(Reports!E1466," ",Reports!F1466," ",Reports!G1466)</f>
        <v xml:space="preserve">  </v>
      </c>
      <c r="C1467" s="50"/>
      <c r="D1467" s="51"/>
      <c r="E1467" s="49" t="str">
        <f>IFERROR(VLOOKUP(D1467,'taxonomy map'!$A$1:$B$171,2,FALSE),"")</f>
        <v/>
      </c>
      <c r="F1467" s="49" t="str">
        <f>IFERROR(VLOOKUP(E1467,'Condensed Specialty Crosswalk'!$A$2:$C$182,2,FALSE),"")</f>
        <v/>
      </c>
      <c r="G1467" s="49" t="str">
        <f>IFERROR(VLOOKUP(E1467,'Condensed Specialty Crosswalk'!$A$2:$C$182,3,FALSE),"")</f>
        <v/>
      </c>
    </row>
    <row r="1468" spans="1:7" ht="15" customHeight="1">
      <c r="A1468" s="49"/>
      <c r="B1468" s="49" t="str">
        <f>CONCATENATE(Reports!E1467," ",Reports!F1467," ",Reports!G1467)</f>
        <v xml:space="preserve">  </v>
      </c>
      <c r="C1468" s="50"/>
      <c r="D1468" s="51"/>
      <c r="E1468" s="49" t="str">
        <f>IFERROR(VLOOKUP(D1468,'taxonomy map'!$A$1:$B$171,2,FALSE),"")</f>
        <v/>
      </c>
      <c r="F1468" s="49" t="str">
        <f>IFERROR(VLOOKUP(E1468,'Condensed Specialty Crosswalk'!$A$2:$C$182,2,FALSE),"")</f>
        <v/>
      </c>
      <c r="G1468" s="49" t="str">
        <f>IFERROR(VLOOKUP(E1468,'Condensed Specialty Crosswalk'!$A$2:$C$182,3,FALSE),"")</f>
        <v/>
      </c>
    </row>
    <row r="1469" spans="1:7" ht="15" customHeight="1">
      <c r="A1469" s="49"/>
      <c r="B1469" s="49" t="str">
        <f>CONCATENATE(Reports!E1468," ",Reports!F1468," ",Reports!G1468)</f>
        <v xml:space="preserve">  </v>
      </c>
      <c r="C1469" s="50"/>
      <c r="D1469" s="51"/>
      <c r="E1469" s="49" t="str">
        <f>IFERROR(VLOOKUP(D1469,'taxonomy map'!$A$1:$B$171,2,FALSE),"")</f>
        <v/>
      </c>
      <c r="F1469" s="49" t="str">
        <f>IFERROR(VLOOKUP(E1469,'Condensed Specialty Crosswalk'!$A$2:$C$182,2,FALSE),"")</f>
        <v/>
      </c>
      <c r="G1469" s="49" t="str">
        <f>IFERROR(VLOOKUP(E1469,'Condensed Specialty Crosswalk'!$A$2:$C$182,3,FALSE),"")</f>
        <v/>
      </c>
    </row>
    <row r="1470" spans="1:7" ht="15" customHeight="1">
      <c r="A1470" s="49"/>
      <c r="B1470" s="49" t="str">
        <f>CONCATENATE(Reports!E1469," ",Reports!F1469," ",Reports!G1469)</f>
        <v xml:space="preserve">  </v>
      </c>
      <c r="C1470" s="50"/>
      <c r="D1470" s="51"/>
      <c r="E1470" s="49" t="str">
        <f>IFERROR(VLOOKUP(D1470,'taxonomy map'!$A$1:$B$171,2,FALSE),"")</f>
        <v/>
      </c>
      <c r="F1470" s="49" t="str">
        <f>IFERROR(VLOOKUP(E1470,'Condensed Specialty Crosswalk'!$A$2:$C$182,2,FALSE),"")</f>
        <v/>
      </c>
      <c r="G1470" s="49" t="str">
        <f>IFERROR(VLOOKUP(E1470,'Condensed Specialty Crosswalk'!$A$2:$C$182,3,FALSE),"")</f>
        <v/>
      </c>
    </row>
    <row r="1471" spans="1:7" ht="15" customHeight="1">
      <c r="A1471" s="49"/>
      <c r="B1471" s="49" t="str">
        <f>CONCATENATE(Reports!E1470," ",Reports!F1470," ",Reports!G1470)</f>
        <v xml:space="preserve">  </v>
      </c>
      <c r="C1471" s="50"/>
      <c r="D1471" s="51"/>
      <c r="E1471" s="49" t="str">
        <f>IFERROR(VLOOKUP(D1471,'taxonomy map'!$A$1:$B$171,2,FALSE),"")</f>
        <v/>
      </c>
      <c r="F1471" s="49" t="str">
        <f>IFERROR(VLOOKUP(E1471,'Condensed Specialty Crosswalk'!$A$2:$C$182,2,FALSE),"")</f>
        <v/>
      </c>
      <c r="G1471" s="49" t="str">
        <f>IFERROR(VLOOKUP(E1471,'Condensed Specialty Crosswalk'!$A$2:$C$182,3,FALSE),"")</f>
        <v/>
      </c>
    </row>
    <row r="1472" spans="1:7" ht="15" customHeight="1">
      <c r="A1472" s="49"/>
      <c r="B1472" s="49" t="str">
        <f>CONCATENATE(Reports!E1471," ",Reports!F1471," ",Reports!G1471)</f>
        <v xml:space="preserve">  </v>
      </c>
      <c r="C1472" s="50"/>
      <c r="D1472" s="51"/>
      <c r="E1472" s="49" t="str">
        <f>IFERROR(VLOOKUP(D1472,'taxonomy map'!$A$1:$B$171,2,FALSE),"")</f>
        <v/>
      </c>
      <c r="F1472" s="49" t="str">
        <f>IFERROR(VLOOKUP(E1472,'Condensed Specialty Crosswalk'!$A$2:$C$182,2,FALSE),"")</f>
        <v/>
      </c>
      <c r="G1472" s="49" t="str">
        <f>IFERROR(VLOOKUP(E1472,'Condensed Specialty Crosswalk'!$A$2:$C$182,3,FALSE),"")</f>
        <v/>
      </c>
    </row>
    <row r="1473" spans="1:7" ht="15" customHeight="1">
      <c r="A1473" s="49"/>
      <c r="B1473" s="49" t="str">
        <f>CONCATENATE(Reports!E1472," ",Reports!F1472," ",Reports!G1472)</f>
        <v xml:space="preserve">  </v>
      </c>
      <c r="C1473" s="50"/>
      <c r="D1473" s="51"/>
      <c r="E1473" s="49" t="str">
        <f>IFERROR(VLOOKUP(D1473,'taxonomy map'!$A$1:$B$171,2,FALSE),"")</f>
        <v/>
      </c>
      <c r="F1473" s="49" t="str">
        <f>IFERROR(VLOOKUP(E1473,'Condensed Specialty Crosswalk'!$A$2:$C$182,2,FALSE),"")</f>
        <v/>
      </c>
      <c r="G1473" s="49" t="str">
        <f>IFERROR(VLOOKUP(E1473,'Condensed Specialty Crosswalk'!$A$2:$C$182,3,FALSE),"")</f>
        <v/>
      </c>
    </row>
    <row r="1474" spans="1:7" ht="15" customHeight="1">
      <c r="A1474" s="49"/>
      <c r="B1474" s="49" t="str">
        <f>CONCATENATE(Reports!E1473," ",Reports!F1473," ",Reports!G1473)</f>
        <v xml:space="preserve">  </v>
      </c>
      <c r="C1474" s="50"/>
      <c r="D1474" s="51"/>
      <c r="E1474" s="49" t="str">
        <f>IFERROR(VLOOKUP(D1474,'taxonomy map'!$A$1:$B$171,2,FALSE),"")</f>
        <v/>
      </c>
      <c r="F1474" s="49" t="str">
        <f>IFERROR(VLOOKUP(E1474,'Condensed Specialty Crosswalk'!$A$2:$C$182,2,FALSE),"")</f>
        <v/>
      </c>
      <c r="G1474" s="49" t="str">
        <f>IFERROR(VLOOKUP(E1474,'Condensed Specialty Crosswalk'!$A$2:$C$182,3,FALSE),"")</f>
        <v/>
      </c>
    </row>
    <row r="1475" spans="1:7" ht="15" customHeight="1">
      <c r="A1475" s="49"/>
      <c r="B1475" s="49" t="str">
        <f>CONCATENATE(Reports!E1474," ",Reports!F1474," ",Reports!G1474)</f>
        <v xml:space="preserve">  </v>
      </c>
      <c r="C1475" s="50"/>
      <c r="D1475" s="51"/>
      <c r="E1475" s="49" t="str">
        <f>IFERROR(VLOOKUP(D1475,'taxonomy map'!$A$1:$B$171,2,FALSE),"")</f>
        <v/>
      </c>
      <c r="F1475" s="49" t="str">
        <f>IFERROR(VLOOKUP(E1475,'Condensed Specialty Crosswalk'!$A$2:$C$182,2,FALSE),"")</f>
        <v/>
      </c>
      <c r="G1475" s="49" t="str">
        <f>IFERROR(VLOOKUP(E1475,'Condensed Specialty Crosswalk'!$A$2:$C$182,3,FALSE),"")</f>
        <v/>
      </c>
    </row>
    <row r="1476" spans="1:7" ht="15" customHeight="1">
      <c r="A1476" s="49"/>
      <c r="B1476" s="49" t="str">
        <f>CONCATENATE(Reports!E1475," ",Reports!F1475," ",Reports!G1475)</f>
        <v xml:space="preserve">  </v>
      </c>
      <c r="C1476" s="50"/>
      <c r="D1476" s="51"/>
      <c r="E1476" s="49" t="str">
        <f>IFERROR(VLOOKUP(D1476,'taxonomy map'!$A$1:$B$171,2,FALSE),"")</f>
        <v/>
      </c>
      <c r="F1476" s="49" t="str">
        <f>IFERROR(VLOOKUP(E1476,'Condensed Specialty Crosswalk'!$A$2:$C$182,2,FALSE),"")</f>
        <v/>
      </c>
      <c r="G1476" s="49" t="str">
        <f>IFERROR(VLOOKUP(E1476,'Condensed Specialty Crosswalk'!$A$2:$C$182,3,FALSE),"")</f>
        <v/>
      </c>
    </row>
    <row r="1477" spans="1:7" ht="15" customHeight="1">
      <c r="A1477" s="49"/>
      <c r="B1477" s="49" t="str">
        <f>CONCATENATE(Reports!E1476," ",Reports!F1476," ",Reports!G1476)</f>
        <v xml:space="preserve">  </v>
      </c>
      <c r="C1477" s="50"/>
      <c r="D1477" s="51"/>
      <c r="E1477" s="49" t="str">
        <f>IFERROR(VLOOKUP(D1477,'taxonomy map'!$A$1:$B$171,2,FALSE),"")</f>
        <v/>
      </c>
      <c r="F1477" s="49" t="str">
        <f>IFERROR(VLOOKUP(E1477,'Condensed Specialty Crosswalk'!$A$2:$C$182,2,FALSE),"")</f>
        <v/>
      </c>
      <c r="G1477" s="49" t="str">
        <f>IFERROR(VLOOKUP(E1477,'Condensed Specialty Crosswalk'!$A$2:$C$182,3,FALSE),"")</f>
        <v/>
      </c>
    </row>
    <row r="1478" spans="1:7" ht="15" customHeight="1">
      <c r="A1478" s="49"/>
      <c r="B1478" s="49" t="str">
        <f>CONCATENATE(Reports!E1477," ",Reports!F1477," ",Reports!G1477)</f>
        <v xml:space="preserve">  </v>
      </c>
      <c r="C1478" s="50"/>
      <c r="D1478" s="51"/>
      <c r="E1478" s="49" t="str">
        <f>IFERROR(VLOOKUP(D1478,'taxonomy map'!$A$1:$B$171,2,FALSE),"")</f>
        <v/>
      </c>
      <c r="F1478" s="49" t="str">
        <f>IFERROR(VLOOKUP(E1478,'Condensed Specialty Crosswalk'!$A$2:$C$182,2,FALSE),"")</f>
        <v/>
      </c>
      <c r="G1478" s="49" t="str">
        <f>IFERROR(VLOOKUP(E1478,'Condensed Specialty Crosswalk'!$A$2:$C$182,3,FALSE),"")</f>
        <v/>
      </c>
    </row>
    <row r="1479" spans="1:7" ht="15" customHeight="1">
      <c r="A1479" s="49"/>
      <c r="B1479" s="49" t="str">
        <f>CONCATENATE(Reports!E1478," ",Reports!F1478," ",Reports!G1478)</f>
        <v xml:space="preserve">  </v>
      </c>
      <c r="C1479" s="50"/>
      <c r="D1479" s="51"/>
      <c r="E1479" s="49" t="str">
        <f>IFERROR(VLOOKUP(D1479,'taxonomy map'!$A$1:$B$171,2,FALSE),"")</f>
        <v/>
      </c>
      <c r="F1479" s="49" t="str">
        <f>IFERROR(VLOOKUP(E1479,'Condensed Specialty Crosswalk'!$A$2:$C$182,2,FALSE),"")</f>
        <v/>
      </c>
      <c r="G1479" s="49" t="str">
        <f>IFERROR(VLOOKUP(E1479,'Condensed Specialty Crosswalk'!$A$2:$C$182,3,FALSE),"")</f>
        <v/>
      </c>
    </row>
    <row r="1480" spans="1:7" ht="15" customHeight="1">
      <c r="A1480" s="49"/>
      <c r="B1480" s="49" t="str">
        <f>CONCATENATE(Reports!E1479," ",Reports!F1479," ",Reports!G1479)</f>
        <v xml:space="preserve">  </v>
      </c>
      <c r="C1480" s="50"/>
      <c r="D1480" s="51"/>
      <c r="E1480" s="49" t="str">
        <f>IFERROR(VLOOKUP(D1480,'taxonomy map'!$A$1:$B$171,2,FALSE),"")</f>
        <v/>
      </c>
      <c r="F1480" s="49" t="str">
        <f>IFERROR(VLOOKUP(E1480,'Condensed Specialty Crosswalk'!$A$2:$C$182,2,FALSE),"")</f>
        <v/>
      </c>
      <c r="G1480" s="49" t="str">
        <f>IFERROR(VLOOKUP(E1480,'Condensed Specialty Crosswalk'!$A$2:$C$182,3,FALSE),"")</f>
        <v/>
      </c>
    </row>
    <row r="1481" spans="1:7" ht="15" customHeight="1">
      <c r="A1481" s="49"/>
      <c r="B1481" s="49" t="str">
        <f>CONCATENATE(Reports!E1480," ",Reports!F1480," ",Reports!G1480)</f>
        <v xml:space="preserve">  </v>
      </c>
      <c r="C1481" s="50"/>
      <c r="D1481" s="51"/>
      <c r="E1481" s="49" t="str">
        <f>IFERROR(VLOOKUP(D1481,'taxonomy map'!$A$1:$B$171,2,FALSE),"")</f>
        <v/>
      </c>
      <c r="F1481" s="49" t="str">
        <f>IFERROR(VLOOKUP(E1481,'Condensed Specialty Crosswalk'!$A$2:$C$182,2,FALSE),"")</f>
        <v/>
      </c>
      <c r="G1481" s="49" t="str">
        <f>IFERROR(VLOOKUP(E1481,'Condensed Specialty Crosswalk'!$A$2:$C$182,3,FALSE),"")</f>
        <v/>
      </c>
    </row>
    <row r="1482" spans="1:7" ht="15" customHeight="1">
      <c r="A1482" s="49"/>
      <c r="B1482" s="49" t="str">
        <f>CONCATENATE(Reports!E1481," ",Reports!F1481," ",Reports!G1481)</f>
        <v xml:space="preserve">  </v>
      </c>
      <c r="C1482" s="50"/>
      <c r="D1482" s="51"/>
      <c r="E1482" s="49" t="str">
        <f>IFERROR(VLOOKUP(D1482,'taxonomy map'!$A$1:$B$171,2,FALSE),"")</f>
        <v/>
      </c>
      <c r="F1482" s="49" t="str">
        <f>IFERROR(VLOOKUP(E1482,'Condensed Specialty Crosswalk'!$A$2:$C$182,2,FALSE),"")</f>
        <v/>
      </c>
      <c r="G1482" s="49" t="str">
        <f>IFERROR(VLOOKUP(E1482,'Condensed Specialty Crosswalk'!$A$2:$C$182,3,FALSE),"")</f>
        <v/>
      </c>
    </row>
    <row r="1483" spans="1:7" ht="15" customHeight="1">
      <c r="A1483" s="49"/>
      <c r="B1483" s="49" t="str">
        <f>CONCATENATE(Reports!E1482," ",Reports!F1482," ",Reports!G1482)</f>
        <v xml:space="preserve">  </v>
      </c>
      <c r="C1483" s="50"/>
      <c r="D1483" s="51"/>
      <c r="E1483" s="49" t="str">
        <f>IFERROR(VLOOKUP(D1483,'taxonomy map'!$A$1:$B$171,2,FALSE),"")</f>
        <v/>
      </c>
      <c r="F1483" s="49" t="str">
        <f>IFERROR(VLOOKUP(E1483,'Condensed Specialty Crosswalk'!$A$2:$C$182,2,FALSE),"")</f>
        <v/>
      </c>
      <c r="G1483" s="49" t="str">
        <f>IFERROR(VLOOKUP(E1483,'Condensed Specialty Crosswalk'!$A$2:$C$182,3,FALSE),"")</f>
        <v/>
      </c>
    </row>
    <row r="1484" spans="1:7" ht="15" customHeight="1">
      <c r="A1484" s="49"/>
      <c r="B1484" s="49" t="str">
        <f>CONCATENATE(Reports!E1483," ",Reports!F1483," ",Reports!G1483)</f>
        <v xml:space="preserve">  </v>
      </c>
      <c r="C1484" s="50"/>
      <c r="D1484" s="51"/>
      <c r="E1484" s="49" t="str">
        <f>IFERROR(VLOOKUP(D1484,'taxonomy map'!$A$1:$B$171,2,FALSE),"")</f>
        <v/>
      </c>
      <c r="F1484" s="49" t="str">
        <f>IFERROR(VLOOKUP(E1484,'Condensed Specialty Crosswalk'!$A$2:$C$182,2,FALSE),"")</f>
        <v/>
      </c>
      <c r="G1484" s="49" t="str">
        <f>IFERROR(VLOOKUP(E1484,'Condensed Specialty Crosswalk'!$A$2:$C$182,3,FALSE),"")</f>
        <v/>
      </c>
    </row>
    <row r="1485" spans="1:7" ht="15" customHeight="1">
      <c r="A1485" s="49"/>
      <c r="B1485" s="49" t="str">
        <f>CONCATENATE(Reports!E1484," ",Reports!F1484," ",Reports!G1484)</f>
        <v xml:space="preserve">  </v>
      </c>
      <c r="C1485" s="50"/>
      <c r="D1485" s="51"/>
      <c r="E1485" s="49" t="str">
        <f>IFERROR(VLOOKUP(D1485,'taxonomy map'!$A$1:$B$171,2,FALSE),"")</f>
        <v/>
      </c>
      <c r="F1485" s="49" t="str">
        <f>IFERROR(VLOOKUP(E1485,'Condensed Specialty Crosswalk'!$A$2:$C$182,2,FALSE),"")</f>
        <v/>
      </c>
      <c r="G1485" s="49" t="str">
        <f>IFERROR(VLOOKUP(E1485,'Condensed Specialty Crosswalk'!$A$2:$C$182,3,FALSE),"")</f>
        <v/>
      </c>
    </row>
    <row r="1486" spans="1:7" ht="15" customHeight="1">
      <c r="A1486" s="49"/>
      <c r="B1486" s="49" t="str">
        <f>CONCATENATE(Reports!E1485," ",Reports!F1485," ",Reports!G1485)</f>
        <v xml:space="preserve">  </v>
      </c>
      <c r="C1486" s="50"/>
      <c r="D1486" s="51"/>
      <c r="E1486" s="49" t="str">
        <f>IFERROR(VLOOKUP(D1486,'taxonomy map'!$A$1:$B$171,2,FALSE),"")</f>
        <v/>
      </c>
      <c r="F1486" s="49" t="str">
        <f>IFERROR(VLOOKUP(E1486,'Condensed Specialty Crosswalk'!$A$2:$C$182,2,FALSE),"")</f>
        <v/>
      </c>
      <c r="G1486" s="49" t="str">
        <f>IFERROR(VLOOKUP(E1486,'Condensed Specialty Crosswalk'!$A$2:$C$182,3,FALSE),"")</f>
        <v/>
      </c>
    </row>
    <row r="1487" spans="1:7" ht="15" customHeight="1">
      <c r="A1487" s="49"/>
      <c r="B1487" s="49" t="str">
        <f>CONCATENATE(Reports!E1486," ",Reports!F1486," ",Reports!G1486)</f>
        <v xml:space="preserve">  </v>
      </c>
      <c r="C1487" s="50"/>
      <c r="D1487" s="51"/>
      <c r="E1487" s="49" t="str">
        <f>IFERROR(VLOOKUP(D1487,'taxonomy map'!$A$1:$B$171,2,FALSE),"")</f>
        <v/>
      </c>
      <c r="F1487" s="49" t="str">
        <f>IFERROR(VLOOKUP(E1487,'Condensed Specialty Crosswalk'!$A$2:$C$182,2,FALSE),"")</f>
        <v/>
      </c>
      <c r="G1487" s="49" t="str">
        <f>IFERROR(VLOOKUP(E1487,'Condensed Specialty Crosswalk'!$A$2:$C$182,3,FALSE),"")</f>
        <v/>
      </c>
    </row>
    <row r="1488" spans="1:7" ht="15" customHeight="1">
      <c r="A1488" s="49"/>
      <c r="B1488" s="49" t="str">
        <f>CONCATENATE(Reports!E1487," ",Reports!F1487," ",Reports!G1487)</f>
        <v xml:space="preserve">  </v>
      </c>
      <c r="C1488" s="50"/>
      <c r="D1488" s="51"/>
      <c r="E1488" s="49" t="str">
        <f>IFERROR(VLOOKUP(D1488,'taxonomy map'!$A$1:$B$171,2,FALSE),"")</f>
        <v/>
      </c>
      <c r="F1488" s="49" t="str">
        <f>IFERROR(VLOOKUP(E1488,'Condensed Specialty Crosswalk'!$A$2:$C$182,2,FALSE),"")</f>
        <v/>
      </c>
      <c r="G1488" s="49" t="str">
        <f>IFERROR(VLOOKUP(E1488,'Condensed Specialty Crosswalk'!$A$2:$C$182,3,FALSE),"")</f>
        <v/>
      </c>
    </row>
    <row r="1489" spans="1:7" ht="15" customHeight="1">
      <c r="A1489" s="49"/>
      <c r="B1489" s="49" t="str">
        <f>CONCATENATE(Reports!E1488," ",Reports!F1488," ",Reports!G1488)</f>
        <v xml:space="preserve">  </v>
      </c>
      <c r="C1489" s="50"/>
      <c r="D1489" s="51"/>
      <c r="E1489" s="49" t="str">
        <f>IFERROR(VLOOKUP(D1489,'taxonomy map'!$A$1:$B$171,2,FALSE),"")</f>
        <v/>
      </c>
      <c r="F1489" s="49" t="str">
        <f>IFERROR(VLOOKUP(E1489,'Condensed Specialty Crosswalk'!$A$2:$C$182,2,FALSE),"")</f>
        <v/>
      </c>
      <c r="G1489" s="49" t="str">
        <f>IFERROR(VLOOKUP(E1489,'Condensed Specialty Crosswalk'!$A$2:$C$182,3,FALSE),"")</f>
        <v/>
      </c>
    </row>
    <row r="1490" spans="1:7" ht="15" customHeight="1">
      <c r="A1490" s="49"/>
      <c r="B1490" s="49" t="str">
        <f>CONCATENATE(Reports!E1489," ",Reports!F1489," ",Reports!G1489)</f>
        <v xml:space="preserve">  </v>
      </c>
      <c r="C1490" s="50"/>
      <c r="D1490" s="51"/>
      <c r="E1490" s="49" t="str">
        <f>IFERROR(VLOOKUP(D1490,'taxonomy map'!$A$1:$B$171,2,FALSE),"")</f>
        <v/>
      </c>
      <c r="F1490" s="49" t="str">
        <f>IFERROR(VLOOKUP(E1490,'Condensed Specialty Crosswalk'!$A$2:$C$182,2,FALSE),"")</f>
        <v/>
      </c>
      <c r="G1490" s="49" t="str">
        <f>IFERROR(VLOOKUP(E1490,'Condensed Specialty Crosswalk'!$A$2:$C$182,3,FALSE),"")</f>
        <v/>
      </c>
    </row>
    <row r="1491" spans="1:7" ht="15" customHeight="1">
      <c r="A1491" s="49"/>
      <c r="B1491" s="49" t="str">
        <f>CONCATENATE(Reports!E1490," ",Reports!F1490," ",Reports!G1490)</f>
        <v xml:space="preserve">  </v>
      </c>
      <c r="C1491" s="50"/>
      <c r="D1491" s="51"/>
      <c r="E1491" s="49" t="str">
        <f>IFERROR(VLOOKUP(D1491,'taxonomy map'!$A$1:$B$171,2,FALSE),"")</f>
        <v/>
      </c>
      <c r="F1491" s="49" t="str">
        <f>IFERROR(VLOOKUP(E1491,'Condensed Specialty Crosswalk'!$A$2:$C$182,2,FALSE),"")</f>
        <v/>
      </c>
      <c r="G1491" s="49" t="str">
        <f>IFERROR(VLOOKUP(E1491,'Condensed Specialty Crosswalk'!$A$2:$C$182,3,FALSE),"")</f>
        <v/>
      </c>
    </row>
    <row r="1492" spans="1:7" ht="15" customHeight="1">
      <c r="A1492" s="49"/>
      <c r="B1492" s="49" t="str">
        <f>CONCATENATE(Reports!E1491," ",Reports!F1491," ",Reports!G1491)</f>
        <v xml:space="preserve">  </v>
      </c>
      <c r="C1492" s="50"/>
      <c r="D1492" s="51"/>
      <c r="E1492" s="49" t="str">
        <f>IFERROR(VLOOKUP(D1492,'taxonomy map'!$A$1:$B$171,2,FALSE),"")</f>
        <v/>
      </c>
      <c r="F1492" s="49" t="str">
        <f>IFERROR(VLOOKUP(E1492,'Condensed Specialty Crosswalk'!$A$2:$C$182,2,FALSE),"")</f>
        <v/>
      </c>
      <c r="G1492" s="49" t="str">
        <f>IFERROR(VLOOKUP(E1492,'Condensed Specialty Crosswalk'!$A$2:$C$182,3,FALSE),"")</f>
        <v/>
      </c>
    </row>
    <row r="1493" spans="1:7" ht="15" customHeight="1">
      <c r="A1493" s="49"/>
      <c r="B1493" s="49" t="str">
        <f>CONCATENATE(Reports!E1492," ",Reports!F1492," ",Reports!G1492)</f>
        <v xml:space="preserve">  </v>
      </c>
      <c r="C1493" s="50"/>
      <c r="D1493" s="51"/>
      <c r="E1493" s="49" t="str">
        <f>IFERROR(VLOOKUP(D1493,'taxonomy map'!$A$1:$B$171,2,FALSE),"")</f>
        <v/>
      </c>
      <c r="F1493" s="49" t="str">
        <f>IFERROR(VLOOKUP(E1493,'Condensed Specialty Crosswalk'!$A$2:$C$182,2,FALSE),"")</f>
        <v/>
      </c>
      <c r="G1493" s="49" t="str">
        <f>IFERROR(VLOOKUP(E1493,'Condensed Specialty Crosswalk'!$A$2:$C$182,3,FALSE),"")</f>
        <v/>
      </c>
    </row>
    <row r="1494" spans="1:7" ht="15" customHeight="1">
      <c r="A1494" s="49"/>
      <c r="B1494" s="49" t="str">
        <f>CONCATENATE(Reports!E1493," ",Reports!F1493," ",Reports!G1493)</f>
        <v xml:space="preserve">  </v>
      </c>
      <c r="C1494" s="50"/>
      <c r="D1494" s="51"/>
      <c r="E1494" s="49" t="str">
        <f>IFERROR(VLOOKUP(D1494,'taxonomy map'!$A$1:$B$171,2,FALSE),"")</f>
        <v/>
      </c>
      <c r="F1494" s="49" t="str">
        <f>IFERROR(VLOOKUP(E1494,'Condensed Specialty Crosswalk'!$A$2:$C$182,2,FALSE),"")</f>
        <v/>
      </c>
      <c r="G1494" s="49" t="str">
        <f>IFERROR(VLOOKUP(E1494,'Condensed Specialty Crosswalk'!$A$2:$C$182,3,FALSE),"")</f>
        <v/>
      </c>
    </row>
    <row r="1495" spans="1:7" ht="15" customHeight="1">
      <c r="A1495" s="49"/>
      <c r="B1495" s="49" t="str">
        <f>CONCATENATE(Reports!E1494," ",Reports!F1494," ",Reports!G1494)</f>
        <v xml:space="preserve">  </v>
      </c>
      <c r="C1495" s="50"/>
      <c r="D1495" s="51"/>
      <c r="E1495" s="49" t="str">
        <f>IFERROR(VLOOKUP(D1495,'taxonomy map'!$A$1:$B$171,2,FALSE),"")</f>
        <v/>
      </c>
      <c r="F1495" s="49" t="str">
        <f>IFERROR(VLOOKUP(E1495,'Condensed Specialty Crosswalk'!$A$2:$C$182,2,FALSE),"")</f>
        <v/>
      </c>
      <c r="G1495" s="49" t="str">
        <f>IFERROR(VLOOKUP(E1495,'Condensed Specialty Crosswalk'!$A$2:$C$182,3,FALSE),"")</f>
        <v/>
      </c>
    </row>
    <row r="1496" spans="1:7" ht="15" customHeight="1">
      <c r="A1496" s="49"/>
      <c r="B1496" s="49" t="str">
        <f>CONCATENATE(Reports!E1495," ",Reports!F1495," ",Reports!G1495)</f>
        <v xml:space="preserve">  </v>
      </c>
      <c r="C1496" s="50"/>
      <c r="D1496" s="51"/>
      <c r="E1496" s="49" t="str">
        <f>IFERROR(VLOOKUP(D1496,'taxonomy map'!$A$1:$B$171,2,FALSE),"")</f>
        <v/>
      </c>
      <c r="F1496" s="49" t="str">
        <f>IFERROR(VLOOKUP(E1496,'Condensed Specialty Crosswalk'!$A$2:$C$182,2,FALSE),"")</f>
        <v/>
      </c>
      <c r="G1496" s="49" t="str">
        <f>IFERROR(VLOOKUP(E1496,'Condensed Specialty Crosswalk'!$A$2:$C$182,3,FALSE),"")</f>
        <v/>
      </c>
    </row>
    <row r="1497" spans="1:7" ht="15" customHeight="1">
      <c r="A1497" s="49"/>
      <c r="B1497" s="49" t="str">
        <f>CONCATENATE(Reports!E1496," ",Reports!F1496," ",Reports!G1496)</f>
        <v xml:space="preserve">  </v>
      </c>
      <c r="C1497" s="50"/>
      <c r="D1497" s="51"/>
      <c r="E1497" s="49" t="str">
        <f>IFERROR(VLOOKUP(D1497,'taxonomy map'!$A$1:$B$171,2,FALSE),"")</f>
        <v/>
      </c>
      <c r="F1497" s="49" t="str">
        <f>IFERROR(VLOOKUP(E1497,'Condensed Specialty Crosswalk'!$A$2:$C$182,2,FALSE),"")</f>
        <v/>
      </c>
      <c r="G1497" s="49" t="str">
        <f>IFERROR(VLOOKUP(E1497,'Condensed Specialty Crosswalk'!$A$2:$C$182,3,FALSE),"")</f>
        <v/>
      </c>
    </row>
    <row r="1498" spans="1:7" ht="15" customHeight="1">
      <c r="A1498" s="49"/>
      <c r="B1498" s="49" t="str">
        <f>CONCATENATE(Reports!E1497," ",Reports!F1497," ",Reports!G1497)</f>
        <v xml:space="preserve">  </v>
      </c>
      <c r="C1498" s="50"/>
      <c r="D1498" s="51"/>
      <c r="E1498" s="49" t="str">
        <f>IFERROR(VLOOKUP(D1498,'taxonomy map'!$A$1:$B$171,2,FALSE),"")</f>
        <v/>
      </c>
      <c r="F1498" s="49" t="str">
        <f>IFERROR(VLOOKUP(E1498,'Condensed Specialty Crosswalk'!$A$2:$C$182,2,FALSE),"")</f>
        <v/>
      </c>
      <c r="G1498" s="49" t="str">
        <f>IFERROR(VLOOKUP(E1498,'Condensed Specialty Crosswalk'!$A$2:$C$182,3,FALSE),"")</f>
        <v/>
      </c>
    </row>
    <row r="1499" spans="1:7" ht="15" customHeight="1">
      <c r="A1499" s="49"/>
      <c r="B1499" s="49" t="str">
        <f>CONCATENATE(Reports!E1498," ",Reports!F1498," ",Reports!G1498)</f>
        <v xml:space="preserve">  </v>
      </c>
      <c r="C1499" s="50"/>
      <c r="D1499" s="51"/>
      <c r="E1499" s="49" t="str">
        <f>IFERROR(VLOOKUP(D1499,'taxonomy map'!$A$1:$B$171,2,FALSE),"")</f>
        <v/>
      </c>
      <c r="F1499" s="49" t="str">
        <f>IFERROR(VLOOKUP(E1499,'Condensed Specialty Crosswalk'!$A$2:$C$182,2,FALSE),"")</f>
        <v/>
      </c>
      <c r="G1499" s="49" t="str">
        <f>IFERROR(VLOOKUP(E1499,'Condensed Specialty Crosswalk'!$A$2:$C$182,3,FALSE),"")</f>
        <v/>
      </c>
    </row>
    <row r="1500" spans="1:7" ht="15" customHeight="1">
      <c r="A1500" s="49"/>
      <c r="B1500" s="49" t="str">
        <f>CONCATENATE(Reports!E1499," ",Reports!F1499," ",Reports!G1499)</f>
        <v xml:space="preserve">  </v>
      </c>
      <c r="C1500" s="50"/>
      <c r="D1500" s="51"/>
      <c r="E1500" s="49" t="str">
        <f>IFERROR(VLOOKUP(D1500,'taxonomy map'!$A$1:$B$171,2,FALSE),"")</f>
        <v/>
      </c>
      <c r="F1500" s="49" t="str">
        <f>IFERROR(VLOOKUP(E1500,'Condensed Specialty Crosswalk'!$A$2:$C$182,2,FALSE),"")</f>
        <v/>
      </c>
      <c r="G1500" s="49" t="str">
        <f>IFERROR(VLOOKUP(E1500,'Condensed Specialty Crosswalk'!$A$2:$C$182,3,FALSE),"")</f>
        <v/>
      </c>
    </row>
    <row r="1501" spans="1:7" ht="15" customHeight="1">
      <c r="A1501" s="49"/>
      <c r="B1501" s="49" t="str">
        <f>CONCATENATE(Reports!E1500," ",Reports!F1500," ",Reports!G1500)</f>
        <v xml:space="preserve">  </v>
      </c>
      <c r="C1501" s="50"/>
      <c r="D1501" s="51"/>
      <c r="E1501" s="49" t="str">
        <f>IFERROR(VLOOKUP(D1501,'taxonomy map'!$A$1:$B$171,2,FALSE),"")</f>
        <v/>
      </c>
      <c r="F1501" s="49" t="str">
        <f>IFERROR(VLOOKUP(E1501,'Condensed Specialty Crosswalk'!$A$2:$C$182,2,FALSE),"")</f>
        <v/>
      </c>
      <c r="G1501" s="49" t="str">
        <f>IFERROR(VLOOKUP(E1501,'Condensed Specialty Crosswalk'!$A$2:$C$182,3,FALSE),"")</f>
        <v/>
      </c>
    </row>
    <row r="1502" spans="1:7" ht="15" customHeight="1">
      <c r="A1502" s="49"/>
      <c r="B1502" s="49" t="str">
        <f>CONCATENATE(Reports!E1501," ",Reports!F1501," ",Reports!G1501)</f>
        <v xml:space="preserve">  </v>
      </c>
      <c r="C1502" s="50"/>
      <c r="D1502" s="51"/>
      <c r="E1502" s="49" t="str">
        <f>IFERROR(VLOOKUP(D1502,'taxonomy map'!$A$1:$B$171,2,FALSE),"")</f>
        <v/>
      </c>
      <c r="F1502" s="49" t="str">
        <f>IFERROR(VLOOKUP(E1502,'Condensed Specialty Crosswalk'!$A$2:$C$182,2,FALSE),"")</f>
        <v/>
      </c>
      <c r="G1502" s="49" t="str">
        <f>IFERROR(VLOOKUP(E1502,'Condensed Specialty Crosswalk'!$A$2:$C$182,3,FALSE),"")</f>
        <v/>
      </c>
    </row>
    <row r="1503" spans="1:7" ht="15" customHeight="1">
      <c r="A1503" s="49"/>
      <c r="B1503" s="49" t="str">
        <f>CONCATENATE(Reports!E1502," ",Reports!F1502," ",Reports!G1502)</f>
        <v xml:space="preserve">  </v>
      </c>
      <c r="C1503" s="50"/>
      <c r="D1503" s="51"/>
      <c r="E1503" s="49" t="str">
        <f>IFERROR(VLOOKUP(D1503,'taxonomy map'!$A$1:$B$171,2,FALSE),"")</f>
        <v/>
      </c>
      <c r="F1503" s="49" t="str">
        <f>IFERROR(VLOOKUP(E1503,'Condensed Specialty Crosswalk'!$A$2:$C$182,2,FALSE),"")</f>
        <v/>
      </c>
      <c r="G1503" s="49" t="str">
        <f>IFERROR(VLOOKUP(E1503,'Condensed Specialty Crosswalk'!$A$2:$C$182,3,FALSE),"")</f>
        <v/>
      </c>
    </row>
    <row r="1504" spans="1:7" ht="15" customHeight="1">
      <c r="A1504" s="49"/>
      <c r="B1504" s="49" t="str">
        <f>CONCATENATE(Reports!E1503," ",Reports!F1503," ",Reports!G1503)</f>
        <v xml:space="preserve">  </v>
      </c>
      <c r="C1504" s="50"/>
      <c r="D1504" s="51"/>
      <c r="E1504" s="49" t="str">
        <f>IFERROR(VLOOKUP(D1504,'taxonomy map'!$A$1:$B$171,2,FALSE),"")</f>
        <v/>
      </c>
      <c r="F1504" s="49" t="str">
        <f>IFERROR(VLOOKUP(E1504,'Condensed Specialty Crosswalk'!$A$2:$C$182,2,FALSE),"")</f>
        <v/>
      </c>
      <c r="G1504" s="49" t="str">
        <f>IFERROR(VLOOKUP(E1504,'Condensed Specialty Crosswalk'!$A$2:$C$182,3,FALSE),"")</f>
        <v/>
      </c>
    </row>
    <row r="1505" spans="1:7" ht="15" customHeight="1">
      <c r="A1505" s="49"/>
      <c r="B1505" s="49" t="str">
        <f>CONCATENATE(Reports!E1504," ",Reports!F1504," ",Reports!G1504)</f>
        <v xml:space="preserve">  </v>
      </c>
      <c r="C1505" s="50"/>
      <c r="D1505" s="51"/>
      <c r="E1505" s="49" t="str">
        <f>IFERROR(VLOOKUP(D1505,'taxonomy map'!$A$1:$B$171,2,FALSE),"")</f>
        <v/>
      </c>
      <c r="F1505" s="49" t="str">
        <f>IFERROR(VLOOKUP(E1505,'Condensed Specialty Crosswalk'!$A$2:$C$182,2,FALSE),"")</f>
        <v/>
      </c>
      <c r="G1505" s="49" t="str">
        <f>IFERROR(VLOOKUP(E1505,'Condensed Specialty Crosswalk'!$A$2:$C$182,3,FALSE),"")</f>
        <v/>
      </c>
    </row>
    <row r="1506" spans="1:7" ht="15" customHeight="1">
      <c r="A1506" s="49"/>
      <c r="B1506" s="49" t="str">
        <f>CONCATENATE(Reports!E1505," ",Reports!F1505," ",Reports!G1505)</f>
        <v xml:space="preserve">  </v>
      </c>
      <c r="C1506" s="50"/>
      <c r="D1506" s="51"/>
      <c r="E1506" s="49" t="str">
        <f>IFERROR(VLOOKUP(D1506,'taxonomy map'!$A$1:$B$171,2,FALSE),"")</f>
        <v/>
      </c>
      <c r="F1506" s="49" t="str">
        <f>IFERROR(VLOOKUP(E1506,'Condensed Specialty Crosswalk'!$A$2:$C$182,2,FALSE),"")</f>
        <v/>
      </c>
      <c r="G1506" s="49" t="str">
        <f>IFERROR(VLOOKUP(E1506,'Condensed Specialty Crosswalk'!$A$2:$C$182,3,FALSE),"")</f>
        <v/>
      </c>
    </row>
    <row r="1507" spans="1:7" ht="15" customHeight="1">
      <c r="A1507" s="49"/>
      <c r="B1507" s="49" t="str">
        <f>CONCATENATE(Reports!E1506," ",Reports!F1506," ",Reports!G1506)</f>
        <v xml:space="preserve">  </v>
      </c>
      <c r="C1507" s="50"/>
      <c r="D1507" s="51"/>
      <c r="E1507" s="49" t="str">
        <f>IFERROR(VLOOKUP(D1507,'taxonomy map'!$A$1:$B$171,2,FALSE),"")</f>
        <v/>
      </c>
      <c r="F1507" s="49" t="str">
        <f>IFERROR(VLOOKUP(E1507,'Condensed Specialty Crosswalk'!$A$2:$C$182,2,FALSE),"")</f>
        <v/>
      </c>
      <c r="G1507" s="49" t="str">
        <f>IFERROR(VLOOKUP(E1507,'Condensed Specialty Crosswalk'!$A$2:$C$182,3,FALSE),"")</f>
        <v/>
      </c>
    </row>
    <row r="1508" spans="1:7" ht="15" customHeight="1">
      <c r="A1508" s="49"/>
      <c r="B1508" s="49" t="str">
        <f>CONCATENATE(Reports!E1507," ",Reports!F1507," ",Reports!G1507)</f>
        <v xml:space="preserve">  </v>
      </c>
      <c r="C1508" s="50"/>
      <c r="D1508" s="51"/>
      <c r="E1508" s="49" t="str">
        <f>IFERROR(VLOOKUP(D1508,'taxonomy map'!$A$1:$B$171,2,FALSE),"")</f>
        <v/>
      </c>
      <c r="F1508" s="49" t="str">
        <f>IFERROR(VLOOKUP(E1508,'Condensed Specialty Crosswalk'!$A$2:$C$182,2,FALSE),"")</f>
        <v/>
      </c>
      <c r="G1508" s="49" t="str">
        <f>IFERROR(VLOOKUP(E1508,'Condensed Specialty Crosswalk'!$A$2:$C$182,3,FALSE),"")</f>
        <v/>
      </c>
    </row>
    <row r="1509" spans="1:7" ht="15" customHeight="1">
      <c r="A1509" s="49"/>
      <c r="B1509" s="49" t="str">
        <f>CONCATENATE(Reports!E1508," ",Reports!F1508," ",Reports!G1508)</f>
        <v xml:space="preserve">  </v>
      </c>
      <c r="C1509" s="50"/>
      <c r="D1509" s="51"/>
      <c r="E1509" s="49" t="str">
        <f>IFERROR(VLOOKUP(D1509,'taxonomy map'!$A$1:$B$171,2,FALSE),"")</f>
        <v/>
      </c>
      <c r="F1509" s="49" t="str">
        <f>IFERROR(VLOOKUP(E1509,'Condensed Specialty Crosswalk'!$A$2:$C$182,2,FALSE),"")</f>
        <v/>
      </c>
      <c r="G1509" s="49" t="str">
        <f>IFERROR(VLOOKUP(E1509,'Condensed Specialty Crosswalk'!$A$2:$C$182,3,FALSE),"")</f>
        <v/>
      </c>
    </row>
    <row r="1510" spans="1:7" ht="15" customHeight="1">
      <c r="A1510" s="49"/>
      <c r="B1510" s="49" t="str">
        <f>CONCATENATE(Reports!E1509," ",Reports!F1509," ",Reports!G1509)</f>
        <v xml:space="preserve">  </v>
      </c>
      <c r="C1510" s="50"/>
      <c r="D1510" s="51"/>
      <c r="E1510" s="49" t="str">
        <f>IFERROR(VLOOKUP(D1510,'taxonomy map'!$A$1:$B$171,2,FALSE),"")</f>
        <v/>
      </c>
      <c r="F1510" s="49" t="str">
        <f>IFERROR(VLOOKUP(E1510,'Condensed Specialty Crosswalk'!$A$2:$C$182,2,FALSE),"")</f>
        <v/>
      </c>
      <c r="G1510" s="49" t="str">
        <f>IFERROR(VLOOKUP(E1510,'Condensed Specialty Crosswalk'!$A$2:$C$182,3,FALSE),"")</f>
        <v/>
      </c>
    </row>
    <row r="1511" spans="1:7" ht="15" customHeight="1">
      <c r="A1511" s="49"/>
      <c r="B1511" s="49" t="str">
        <f>CONCATENATE(Reports!E1510," ",Reports!F1510," ",Reports!G1510)</f>
        <v xml:space="preserve">  </v>
      </c>
      <c r="C1511" s="50"/>
      <c r="D1511" s="51"/>
      <c r="E1511" s="49" t="str">
        <f>IFERROR(VLOOKUP(D1511,'taxonomy map'!$A$1:$B$171,2,FALSE),"")</f>
        <v/>
      </c>
      <c r="F1511" s="49" t="str">
        <f>IFERROR(VLOOKUP(E1511,'Condensed Specialty Crosswalk'!$A$2:$C$182,2,FALSE),"")</f>
        <v/>
      </c>
      <c r="G1511" s="49" t="str">
        <f>IFERROR(VLOOKUP(E1511,'Condensed Specialty Crosswalk'!$A$2:$C$182,3,FALSE),"")</f>
        <v/>
      </c>
    </row>
    <row r="1512" spans="1:7" ht="15" customHeight="1">
      <c r="A1512" s="49"/>
      <c r="B1512" s="49" t="str">
        <f>CONCATENATE(Reports!E1511," ",Reports!F1511," ",Reports!G1511)</f>
        <v xml:space="preserve">  </v>
      </c>
      <c r="C1512" s="50"/>
      <c r="D1512" s="51"/>
      <c r="E1512" s="49" t="str">
        <f>IFERROR(VLOOKUP(D1512,'taxonomy map'!$A$1:$B$171,2,FALSE),"")</f>
        <v/>
      </c>
      <c r="F1512" s="49" t="str">
        <f>IFERROR(VLOOKUP(E1512,'Condensed Specialty Crosswalk'!$A$2:$C$182,2,FALSE),"")</f>
        <v/>
      </c>
      <c r="G1512" s="49" t="str">
        <f>IFERROR(VLOOKUP(E1512,'Condensed Specialty Crosswalk'!$A$2:$C$182,3,FALSE),"")</f>
        <v/>
      </c>
    </row>
    <row r="1513" spans="1:7" ht="15" customHeight="1">
      <c r="A1513" s="49"/>
      <c r="B1513" s="49" t="str">
        <f>CONCATENATE(Reports!E1512," ",Reports!F1512," ",Reports!G1512)</f>
        <v xml:space="preserve">  </v>
      </c>
      <c r="C1513" s="50"/>
      <c r="D1513" s="51"/>
      <c r="E1513" s="49" t="str">
        <f>IFERROR(VLOOKUP(D1513,'taxonomy map'!$A$1:$B$171,2,FALSE),"")</f>
        <v/>
      </c>
      <c r="F1513" s="49" t="str">
        <f>IFERROR(VLOOKUP(E1513,'Condensed Specialty Crosswalk'!$A$2:$C$182,2,FALSE),"")</f>
        <v/>
      </c>
      <c r="G1513" s="49" t="str">
        <f>IFERROR(VLOOKUP(E1513,'Condensed Specialty Crosswalk'!$A$2:$C$182,3,FALSE),"")</f>
        <v/>
      </c>
    </row>
    <row r="1514" spans="1:7" ht="15" customHeight="1">
      <c r="A1514" s="49"/>
      <c r="B1514" s="49" t="str">
        <f>CONCATENATE(Reports!E1513," ",Reports!F1513," ",Reports!G1513)</f>
        <v xml:space="preserve">  </v>
      </c>
      <c r="C1514" s="50"/>
      <c r="D1514" s="51"/>
      <c r="E1514" s="49" t="str">
        <f>IFERROR(VLOOKUP(D1514,'taxonomy map'!$A$1:$B$171,2,FALSE),"")</f>
        <v/>
      </c>
      <c r="F1514" s="49" t="str">
        <f>IFERROR(VLOOKUP(E1514,'Condensed Specialty Crosswalk'!$A$2:$C$182,2,FALSE),"")</f>
        <v/>
      </c>
      <c r="G1514" s="49" t="str">
        <f>IFERROR(VLOOKUP(E1514,'Condensed Specialty Crosswalk'!$A$2:$C$182,3,FALSE),"")</f>
        <v/>
      </c>
    </row>
    <row r="1515" spans="1:7" ht="15" customHeight="1">
      <c r="A1515" s="49"/>
      <c r="B1515" s="49" t="str">
        <f>CONCATENATE(Reports!E1514," ",Reports!F1514," ",Reports!G1514)</f>
        <v xml:space="preserve">  </v>
      </c>
      <c r="C1515" s="50"/>
      <c r="D1515" s="51"/>
      <c r="E1515" s="49" t="str">
        <f>IFERROR(VLOOKUP(D1515,'taxonomy map'!$A$1:$B$171,2,FALSE),"")</f>
        <v/>
      </c>
      <c r="F1515" s="49" t="str">
        <f>IFERROR(VLOOKUP(E1515,'Condensed Specialty Crosswalk'!$A$2:$C$182,2,FALSE),"")</f>
        <v/>
      </c>
      <c r="G1515" s="49" t="str">
        <f>IFERROR(VLOOKUP(E1515,'Condensed Specialty Crosswalk'!$A$2:$C$182,3,FALSE),"")</f>
        <v/>
      </c>
    </row>
    <row r="1516" spans="1:7" ht="15" customHeight="1">
      <c r="A1516" s="49"/>
      <c r="B1516" s="49" t="str">
        <f>CONCATENATE(Reports!E1515," ",Reports!F1515," ",Reports!G1515)</f>
        <v xml:space="preserve">  </v>
      </c>
      <c r="C1516" s="50"/>
      <c r="D1516" s="51"/>
      <c r="E1516" s="49" t="str">
        <f>IFERROR(VLOOKUP(D1516,'taxonomy map'!$A$1:$B$171,2,FALSE),"")</f>
        <v/>
      </c>
      <c r="F1516" s="49" t="str">
        <f>IFERROR(VLOOKUP(E1516,'Condensed Specialty Crosswalk'!$A$2:$C$182,2,FALSE),"")</f>
        <v/>
      </c>
      <c r="G1516" s="49" t="str">
        <f>IFERROR(VLOOKUP(E1516,'Condensed Specialty Crosswalk'!$A$2:$C$182,3,FALSE),"")</f>
        <v/>
      </c>
    </row>
    <row r="1517" spans="1:7" ht="15" customHeight="1">
      <c r="A1517" s="49"/>
      <c r="B1517" s="49" t="str">
        <f>CONCATENATE(Reports!E1516," ",Reports!F1516," ",Reports!G1516)</f>
        <v xml:space="preserve">  </v>
      </c>
      <c r="C1517" s="50"/>
      <c r="D1517" s="51"/>
      <c r="E1517" s="49" t="str">
        <f>IFERROR(VLOOKUP(D1517,'taxonomy map'!$A$1:$B$171,2,FALSE),"")</f>
        <v/>
      </c>
      <c r="F1517" s="49" t="str">
        <f>IFERROR(VLOOKUP(E1517,'Condensed Specialty Crosswalk'!$A$2:$C$182,2,FALSE),"")</f>
        <v/>
      </c>
      <c r="G1517" s="49" t="str">
        <f>IFERROR(VLOOKUP(E1517,'Condensed Specialty Crosswalk'!$A$2:$C$182,3,FALSE),"")</f>
        <v/>
      </c>
    </row>
    <row r="1518" spans="1:7" ht="15" customHeight="1">
      <c r="A1518" s="49"/>
      <c r="B1518" s="49" t="str">
        <f>CONCATENATE(Reports!E1517," ",Reports!F1517," ",Reports!G1517)</f>
        <v xml:space="preserve">  </v>
      </c>
      <c r="C1518" s="50"/>
      <c r="D1518" s="51"/>
      <c r="E1518" s="49" t="str">
        <f>IFERROR(VLOOKUP(D1518,'taxonomy map'!$A$1:$B$171,2,FALSE),"")</f>
        <v/>
      </c>
      <c r="F1518" s="49" t="str">
        <f>IFERROR(VLOOKUP(E1518,'Condensed Specialty Crosswalk'!$A$2:$C$182,2,FALSE),"")</f>
        <v/>
      </c>
      <c r="G1518" s="49" t="str">
        <f>IFERROR(VLOOKUP(E1518,'Condensed Specialty Crosswalk'!$A$2:$C$182,3,FALSE),"")</f>
        <v/>
      </c>
    </row>
    <row r="1519" spans="1:7" ht="15" customHeight="1">
      <c r="A1519" s="49"/>
      <c r="B1519" s="49" t="str">
        <f>CONCATENATE(Reports!E1518," ",Reports!F1518," ",Reports!G1518)</f>
        <v xml:space="preserve">  </v>
      </c>
      <c r="C1519" s="50"/>
      <c r="D1519" s="51"/>
      <c r="E1519" s="49" t="str">
        <f>IFERROR(VLOOKUP(D1519,'taxonomy map'!$A$1:$B$171,2,FALSE),"")</f>
        <v/>
      </c>
      <c r="F1519" s="49" t="str">
        <f>IFERROR(VLOOKUP(E1519,'Condensed Specialty Crosswalk'!$A$2:$C$182,2,FALSE),"")</f>
        <v/>
      </c>
      <c r="G1519" s="49" t="str">
        <f>IFERROR(VLOOKUP(E1519,'Condensed Specialty Crosswalk'!$A$2:$C$182,3,FALSE),"")</f>
        <v/>
      </c>
    </row>
    <row r="1520" spans="1:7" ht="15" customHeight="1">
      <c r="A1520" s="49"/>
      <c r="B1520" s="49" t="str">
        <f>CONCATENATE(Reports!E1519," ",Reports!F1519," ",Reports!G1519)</f>
        <v xml:space="preserve">  </v>
      </c>
      <c r="C1520" s="50"/>
      <c r="D1520" s="51"/>
      <c r="E1520" s="49" t="str">
        <f>IFERROR(VLOOKUP(D1520,'taxonomy map'!$A$1:$B$171,2,FALSE),"")</f>
        <v/>
      </c>
      <c r="F1520" s="49" t="str">
        <f>IFERROR(VLOOKUP(E1520,'Condensed Specialty Crosswalk'!$A$2:$C$182,2,FALSE),"")</f>
        <v/>
      </c>
      <c r="G1520" s="49" t="str">
        <f>IFERROR(VLOOKUP(E1520,'Condensed Specialty Crosswalk'!$A$2:$C$182,3,FALSE),"")</f>
        <v/>
      </c>
    </row>
    <row r="1521" spans="1:7" ht="15" customHeight="1">
      <c r="A1521" s="49"/>
      <c r="B1521" s="49" t="str">
        <f>CONCATENATE(Reports!E1520," ",Reports!F1520," ",Reports!G1520)</f>
        <v xml:space="preserve">  </v>
      </c>
      <c r="C1521" s="50"/>
      <c r="D1521" s="51"/>
      <c r="E1521" s="49" t="str">
        <f>IFERROR(VLOOKUP(D1521,'taxonomy map'!$A$1:$B$171,2,FALSE),"")</f>
        <v/>
      </c>
      <c r="F1521" s="49" t="str">
        <f>IFERROR(VLOOKUP(E1521,'Condensed Specialty Crosswalk'!$A$2:$C$182,2,FALSE),"")</f>
        <v/>
      </c>
      <c r="G1521" s="49" t="str">
        <f>IFERROR(VLOOKUP(E1521,'Condensed Specialty Crosswalk'!$A$2:$C$182,3,FALSE),"")</f>
        <v/>
      </c>
    </row>
    <row r="1522" spans="1:7" ht="15" customHeight="1">
      <c r="A1522" s="49"/>
      <c r="B1522" s="49" t="str">
        <f>CONCATENATE(Reports!E1521," ",Reports!F1521," ",Reports!G1521)</f>
        <v xml:space="preserve">  </v>
      </c>
      <c r="C1522" s="50"/>
      <c r="D1522" s="51"/>
      <c r="E1522" s="49" t="str">
        <f>IFERROR(VLOOKUP(D1522,'taxonomy map'!$A$1:$B$171,2,FALSE),"")</f>
        <v/>
      </c>
      <c r="F1522" s="49" t="str">
        <f>IFERROR(VLOOKUP(E1522,'Condensed Specialty Crosswalk'!$A$2:$C$182,2,FALSE),"")</f>
        <v/>
      </c>
      <c r="G1522" s="49" t="str">
        <f>IFERROR(VLOOKUP(E1522,'Condensed Specialty Crosswalk'!$A$2:$C$182,3,FALSE),"")</f>
        <v/>
      </c>
    </row>
    <row r="1523" spans="1:7" ht="15" customHeight="1">
      <c r="A1523" s="49"/>
      <c r="B1523" s="49" t="str">
        <f>CONCATENATE(Reports!E1522," ",Reports!F1522," ",Reports!G1522)</f>
        <v xml:space="preserve">  </v>
      </c>
      <c r="C1523" s="50"/>
      <c r="D1523" s="51"/>
      <c r="E1523" s="49" t="str">
        <f>IFERROR(VLOOKUP(D1523,'taxonomy map'!$A$1:$B$171,2,FALSE),"")</f>
        <v/>
      </c>
      <c r="F1523" s="49" t="str">
        <f>IFERROR(VLOOKUP(E1523,'Condensed Specialty Crosswalk'!$A$2:$C$182,2,FALSE),"")</f>
        <v/>
      </c>
      <c r="G1523" s="49" t="str">
        <f>IFERROR(VLOOKUP(E1523,'Condensed Specialty Crosswalk'!$A$2:$C$182,3,FALSE),"")</f>
        <v/>
      </c>
    </row>
    <row r="1524" spans="1:7" ht="15" customHeight="1">
      <c r="A1524" s="49"/>
      <c r="B1524" s="49" t="str">
        <f>CONCATENATE(Reports!E1523," ",Reports!F1523," ",Reports!G1523)</f>
        <v xml:space="preserve">  </v>
      </c>
      <c r="C1524" s="50"/>
      <c r="D1524" s="51"/>
      <c r="E1524" s="49" t="str">
        <f>IFERROR(VLOOKUP(D1524,'taxonomy map'!$A$1:$B$171,2,FALSE),"")</f>
        <v/>
      </c>
      <c r="F1524" s="49" t="str">
        <f>IFERROR(VLOOKUP(E1524,'Condensed Specialty Crosswalk'!$A$2:$C$182,2,FALSE),"")</f>
        <v/>
      </c>
      <c r="G1524" s="49" t="str">
        <f>IFERROR(VLOOKUP(E1524,'Condensed Specialty Crosswalk'!$A$2:$C$182,3,FALSE),"")</f>
        <v/>
      </c>
    </row>
    <row r="1525" spans="1:7" ht="15" customHeight="1">
      <c r="A1525" s="49"/>
      <c r="B1525" s="49" t="str">
        <f>CONCATENATE(Reports!E1524," ",Reports!F1524," ",Reports!G1524)</f>
        <v xml:space="preserve">  </v>
      </c>
      <c r="C1525" s="50"/>
      <c r="D1525" s="51"/>
      <c r="E1525" s="49" t="str">
        <f>IFERROR(VLOOKUP(D1525,'taxonomy map'!$A$1:$B$171,2,FALSE),"")</f>
        <v/>
      </c>
      <c r="F1525" s="49" t="str">
        <f>IFERROR(VLOOKUP(E1525,'Condensed Specialty Crosswalk'!$A$2:$C$182,2,FALSE),"")</f>
        <v/>
      </c>
      <c r="G1525" s="49" t="str">
        <f>IFERROR(VLOOKUP(E1525,'Condensed Specialty Crosswalk'!$A$2:$C$182,3,FALSE),"")</f>
        <v/>
      </c>
    </row>
    <row r="1526" spans="1:7" ht="15" customHeight="1">
      <c r="A1526" s="49"/>
      <c r="B1526" s="49" t="str">
        <f>CONCATENATE(Reports!E1525," ",Reports!F1525," ",Reports!G1525)</f>
        <v xml:space="preserve">  </v>
      </c>
      <c r="C1526" s="50"/>
      <c r="D1526" s="51"/>
      <c r="E1526" s="49" t="str">
        <f>IFERROR(VLOOKUP(D1526,'taxonomy map'!$A$1:$B$171,2,FALSE),"")</f>
        <v/>
      </c>
      <c r="F1526" s="49" t="str">
        <f>IFERROR(VLOOKUP(E1526,'Condensed Specialty Crosswalk'!$A$2:$C$182,2,FALSE),"")</f>
        <v/>
      </c>
      <c r="G1526" s="49" t="str">
        <f>IFERROR(VLOOKUP(E1526,'Condensed Specialty Crosswalk'!$A$2:$C$182,3,FALSE),"")</f>
        <v/>
      </c>
    </row>
    <row r="1527" spans="1:7" ht="15" customHeight="1">
      <c r="A1527" s="49"/>
      <c r="B1527" s="49" t="str">
        <f>CONCATENATE(Reports!E1526," ",Reports!F1526," ",Reports!G1526)</f>
        <v xml:space="preserve">  </v>
      </c>
      <c r="C1527" s="50"/>
      <c r="D1527" s="51"/>
      <c r="E1527" s="49" t="str">
        <f>IFERROR(VLOOKUP(D1527,'taxonomy map'!$A$1:$B$171,2,FALSE),"")</f>
        <v/>
      </c>
      <c r="F1527" s="49" t="str">
        <f>IFERROR(VLOOKUP(E1527,'Condensed Specialty Crosswalk'!$A$2:$C$182,2,FALSE),"")</f>
        <v/>
      </c>
      <c r="G1527" s="49" t="str">
        <f>IFERROR(VLOOKUP(E1527,'Condensed Specialty Crosswalk'!$A$2:$C$182,3,FALSE),"")</f>
        <v/>
      </c>
    </row>
    <row r="1528" spans="1:7" ht="15" customHeight="1">
      <c r="A1528" s="49"/>
      <c r="B1528" s="49" t="str">
        <f>CONCATENATE(Reports!E1527," ",Reports!F1527," ",Reports!G1527)</f>
        <v xml:space="preserve">  </v>
      </c>
      <c r="C1528" s="50"/>
      <c r="D1528" s="51"/>
      <c r="E1528" s="49" t="str">
        <f>IFERROR(VLOOKUP(D1528,'taxonomy map'!$A$1:$B$171,2,FALSE),"")</f>
        <v/>
      </c>
      <c r="F1528" s="49" t="str">
        <f>IFERROR(VLOOKUP(E1528,'Condensed Specialty Crosswalk'!$A$2:$C$182,2,FALSE),"")</f>
        <v/>
      </c>
      <c r="G1528" s="49" t="str">
        <f>IFERROR(VLOOKUP(E1528,'Condensed Specialty Crosswalk'!$A$2:$C$182,3,FALSE),"")</f>
        <v/>
      </c>
    </row>
    <row r="1529" spans="1:7" ht="15" customHeight="1">
      <c r="A1529" s="49"/>
      <c r="B1529" s="49" t="str">
        <f>CONCATENATE(Reports!E1528," ",Reports!F1528," ",Reports!G1528)</f>
        <v xml:space="preserve">  </v>
      </c>
      <c r="C1529" s="50"/>
      <c r="D1529" s="51"/>
      <c r="E1529" s="49" t="str">
        <f>IFERROR(VLOOKUP(D1529,'taxonomy map'!$A$1:$B$171,2,FALSE),"")</f>
        <v/>
      </c>
      <c r="F1529" s="49" t="str">
        <f>IFERROR(VLOOKUP(E1529,'Condensed Specialty Crosswalk'!$A$2:$C$182,2,FALSE),"")</f>
        <v/>
      </c>
      <c r="G1529" s="49" t="str">
        <f>IFERROR(VLOOKUP(E1529,'Condensed Specialty Crosswalk'!$A$2:$C$182,3,FALSE),"")</f>
        <v/>
      </c>
    </row>
    <row r="1530" spans="1:7" ht="15" customHeight="1">
      <c r="A1530" s="49"/>
      <c r="B1530" s="49" t="str">
        <f>CONCATENATE(Reports!E1529," ",Reports!F1529," ",Reports!G1529)</f>
        <v xml:space="preserve">  </v>
      </c>
      <c r="C1530" s="50"/>
      <c r="D1530" s="51"/>
      <c r="E1530" s="49" t="str">
        <f>IFERROR(VLOOKUP(D1530,'taxonomy map'!$A$1:$B$171,2,FALSE),"")</f>
        <v/>
      </c>
      <c r="F1530" s="49" t="str">
        <f>IFERROR(VLOOKUP(E1530,'Condensed Specialty Crosswalk'!$A$2:$C$182,2,FALSE),"")</f>
        <v/>
      </c>
      <c r="G1530" s="49" t="str">
        <f>IFERROR(VLOOKUP(E1530,'Condensed Specialty Crosswalk'!$A$2:$C$182,3,FALSE),"")</f>
        <v/>
      </c>
    </row>
    <row r="1531" spans="1:7" ht="15" customHeight="1">
      <c r="A1531" s="49"/>
      <c r="B1531" s="49" t="str">
        <f>CONCATENATE(Reports!E1530," ",Reports!F1530," ",Reports!G1530)</f>
        <v xml:space="preserve">  </v>
      </c>
      <c r="C1531" s="50"/>
      <c r="D1531" s="51"/>
      <c r="E1531" s="49" t="str">
        <f>IFERROR(VLOOKUP(D1531,'taxonomy map'!$A$1:$B$171,2,FALSE),"")</f>
        <v/>
      </c>
      <c r="F1531" s="49" t="str">
        <f>IFERROR(VLOOKUP(E1531,'Condensed Specialty Crosswalk'!$A$2:$C$182,2,FALSE),"")</f>
        <v/>
      </c>
      <c r="G1531" s="49" t="str">
        <f>IFERROR(VLOOKUP(E1531,'Condensed Specialty Crosswalk'!$A$2:$C$182,3,FALSE),"")</f>
        <v/>
      </c>
    </row>
    <row r="1532" spans="1:7" ht="15" customHeight="1">
      <c r="A1532" s="49"/>
      <c r="B1532" s="49" t="str">
        <f>CONCATENATE(Reports!E1531," ",Reports!F1531," ",Reports!G1531)</f>
        <v xml:space="preserve">  </v>
      </c>
      <c r="C1532" s="50"/>
      <c r="D1532" s="51"/>
      <c r="E1532" s="49" t="str">
        <f>IFERROR(VLOOKUP(D1532,'taxonomy map'!$A$1:$B$171,2,FALSE),"")</f>
        <v/>
      </c>
      <c r="F1532" s="49" t="str">
        <f>IFERROR(VLOOKUP(E1532,'Condensed Specialty Crosswalk'!$A$2:$C$182,2,FALSE),"")</f>
        <v/>
      </c>
      <c r="G1532" s="49" t="str">
        <f>IFERROR(VLOOKUP(E1532,'Condensed Specialty Crosswalk'!$A$2:$C$182,3,FALSE),"")</f>
        <v/>
      </c>
    </row>
    <row r="1533" spans="1:7" ht="15" customHeight="1">
      <c r="A1533" s="49"/>
      <c r="B1533" s="49" t="str">
        <f>CONCATENATE(Reports!E1532," ",Reports!F1532," ",Reports!G1532)</f>
        <v xml:space="preserve">  </v>
      </c>
      <c r="C1533" s="50"/>
      <c r="D1533" s="51"/>
      <c r="E1533" s="49" t="str">
        <f>IFERROR(VLOOKUP(D1533,'taxonomy map'!$A$1:$B$171,2,FALSE),"")</f>
        <v/>
      </c>
      <c r="F1533" s="49" t="str">
        <f>IFERROR(VLOOKUP(E1533,'Condensed Specialty Crosswalk'!$A$2:$C$182,2,FALSE),"")</f>
        <v/>
      </c>
      <c r="G1533" s="49" t="str">
        <f>IFERROR(VLOOKUP(E1533,'Condensed Specialty Crosswalk'!$A$2:$C$182,3,FALSE),"")</f>
        <v/>
      </c>
    </row>
    <row r="1534" spans="1:7" ht="15" customHeight="1">
      <c r="A1534" s="49"/>
      <c r="B1534" s="49" t="str">
        <f>CONCATENATE(Reports!E1533," ",Reports!F1533," ",Reports!G1533)</f>
        <v xml:space="preserve">  </v>
      </c>
      <c r="C1534" s="50"/>
      <c r="D1534" s="51"/>
      <c r="E1534" s="49" t="str">
        <f>IFERROR(VLOOKUP(D1534,'taxonomy map'!$A$1:$B$171,2,FALSE),"")</f>
        <v/>
      </c>
      <c r="F1534" s="49" t="str">
        <f>IFERROR(VLOOKUP(E1534,'Condensed Specialty Crosswalk'!$A$2:$C$182,2,FALSE),"")</f>
        <v/>
      </c>
      <c r="G1534" s="49" t="str">
        <f>IFERROR(VLOOKUP(E1534,'Condensed Specialty Crosswalk'!$A$2:$C$182,3,FALSE),"")</f>
        <v/>
      </c>
    </row>
    <row r="1535" spans="1:7" ht="15" customHeight="1">
      <c r="A1535" s="49"/>
      <c r="B1535" s="49" t="str">
        <f>CONCATENATE(Reports!E1534," ",Reports!F1534," ",Reports!G1534)</f>
        <v xml:space="preserve">  </v>
      </c>
      <c r="C1535" s="50"/>
      <c r="D1535" s="51"/>
      <c r="E1535" s="49" t="str">
        <f>IFERROR(VLOOKUP(D1535,'taxonomy map'!$A$1:$B$171,2,FALSE),"")</f>
        <v/>
      </c>
      <c r="F1535" s="49" t="str">
        <f>IFERROR(VLOOKUP(E1535,'Condensed Specialty Crosswalk'!$A$2:$C$182,2,FALSE),"")</f>
        <v/>
      </c>
      <c r="G1535" s="49" t="str">
        <f>IFERROR(VLOOKUP(E1535,'Condensed Specialty Crosswalk'!$A$2:$C$182,3,FALSE),"")</f>
        <v/>
      </c>
    </row>
    <row r="1536" spans="1:7" ht="15" customHeight="1">
      <c r="A1536" s="49"/>
      <c r="B1536" s="49" t="str">
        <f>CONCATENATE(Reports!E1535," ",Reports!F1535," ",Reports!G1535)</f>
        <v xml:space="preserve">  </v>
      </c>
      <c r="C1536" s="50"/>
      <c r="D1536" s="51"/>
      <c r="E1536" s="49" t="str">
        <f>IFERROR(VLOOKUP(D1536,'taxonomy map'!$A$1:$B$171,2,FALSE),"")</f>
        <v/>
      </c>
      <c r="F1536" s="49" t="str">
        <f>IFERROR(VLOOKUP(E1536,'Condensed Specialty Crosswalk'!$A$2:$C$182,2,FALSE),"")</f>
        <v/>
      </c>
      <c r="G1536" s="49" t="str">
        <f>IFERROR(VLOOKUP(E1536,'Condensed Specialty Crosswalk'!$A$2:$C$182,3,FALSE),"")</f>
        <v/>
      </c>
    </row>
    <row r="1537" spans="1:7" ht="15" customHeight="1">
      <c r="A1537" s="49"/>
      <c r="B1537" s="49" t="str">
        <f>CONCATENATE(Reports!E1536," ",Reports!F1536," ",Reports!G1536)</f>
        <v xml:space="preserve">  </v>
      </c>
      <c r="C1537" s="50"/>
      <c r="D1537" s="51"/>
      <c r="E1537" s="49" t="str">
        <f>IFERROR(VLOOKUP(D1537,'taxonomy map'!$A$1:$B$171,2,FALSE),"")</f>
        <v/>
      </c>
      <c r="F1537" s="49" t="str">
        <f>IFERROR(VLOOKUP(E1537,'Condensed Specialty Crosswalk'!$A$2:$C$182,2,FALSE),"")</f>
        <v/>
      </c>
      <c r="G1537" s="49" t="str">
        <f>IFERROR(VLOOKUP(E1537,'Condensed Specialty Crosswalk'!$A$2:$C$182,3,FALSE),"")</f>
        <v/>
      </c>
    </row>
    <row r="1538" spans="1:7" ht="15" customHeight="1">
      <c r="A1538" s="49"/>
      <c r="B1538" s="49" t="str">
        <f>CONCATENATE(Reports!E1537," ",Reports!F1537," ",Reports!G1537)</f>
        <v xml:space="preserve">  </v>
      </c>
      <c r="C1538" s="50"/>
      <c r="D1538" s="51"/>
      <c r="E1538" s="49" t="str">
        <f>IFERROR(VLOOKUP(D1538,'taxonomy map'!$A$1:$B$171,2,FALSE),"")</f>
        <v/>
      </c>
      <c r="F1538" s="49" t="str">
        <f>IFERROR(VLOOKUP(E1538,'Condensed Specialty Crosswalk'!$A$2:$C$182,2,FALSE),"")</f>
        <v/>
      </c>
      <c r="G1538" s="49" t="str">
        <f>IFERROR(VLOOKUP(E1538,'Condensed Specialty Crosswalk'!$A$2:$C$182,3,FALSE),"")</f>
        <v/>
      </c>
    </row>
    <row r="1539" spans="1:7" ht="15" customHeight="1">
      <c r="A1539" s="49"/>
      <c r="B1539" s="49" t="str">
        <f>CONCATENATE(Reports!E1538," ",Reports!F1538," ",Reports!G1538)</f>
        <v xml:space="preserve">  </v>
      </c>
      <c r="C1539" s="50"/>
      <c r="D1539" s="51"/>
      <c r="E1539" s="49" t="str">
        <f>IFERROR(VLOOKUP(D1539,'taxonomy map'!$A$1:$B$171,2,FALSE),"")</f>
        <v/>
      </c>
      <c r="F1539" s="49" t="str">
        <f>IFERROR(VLOOKUP(E1539,'Condensed Specialty Crosswalk'!$A$2:$C$182,2,FALSE),"")</f>
        <v/>
      </c>
      <c r="G1539" s="49" t="str">
        <f>IFERROR(VLOOKUP(E1539,'Condensed Specialty Crosswalk'!$A$2:$C$182,3,FALSE),"")</f>
        <v/>
      </c>
    </row>
    <row r="1540" spans="1:7" ht="15" customHeight="1">
      <c r="A1540" s="49"/>
      <c r="B1540" s="49" t="str">
        <f>CONCATENATE(Reports!E1539," ",Reports!F1539," ",Reports!G1539)</f>
        <v xml:space="preserve">  </v>
      </c>
      <c r="C1540" s="50"/>
      <c r="D1540" s="51"/>
      <c r="E1540" s="49" t="str">
        <f>IFERROR(VLOOKUP(D1540,'taxonomy map'!$A$1:$B$171,2,FALSE),"")</f>
        <v/>
      </c>
      <c r="F1540" s="49" t="str">
        <f>IFERROR(VLOOKUP(E1540,'Condensed Specialty Crosswalk'!$A$2:$C$182,2,FALSE),"")</f>
        <v/>
      </c>
      <c r="G1540" s="49" t="str">
        <f>IFERROR(VLOOKUP(E1540,'Condensed Specialty Crosswalk'!$A$2:$C$182,3,FALSE),"")</f>
        <v/>
      </c>
    </row>
    <row r="1541" spans="1:7" ht="15" customHeight="1">
      <c r="A1541" s="49"/>
      <c r="B1541" s="49" t="str">
        <f>CONCATENATE(Reports!E1540," ",Reports!F1540," ",Reports!G1540)</f>
        <v xml:space="preserve">  </v>
      </c>
      <c r="C1541" s="50"/>
      <c r="D1541" s="51"/>
      <c r="E1541" s="49" t="str">
        <f>IFERROR(VLOOKUP(D1541,'taxonomy map'!$A$1:$B$171,2,FALSE),"")</f>
        <v/>
      </c>
      <c r="F1541" s="49" t="str">
        <f>IFERROR(VLOOKUP(E1541,'Condensed Specialty Crosswalk'!$A$2:$C$182,2,FALSE),"")</f>
        <v/>
      </c>
      <c r="G1541" s="49" t="str">
        <f>IFERROR(VLOOKUP(E1541,'Condensed Specialty Crosswalk'!$A$2:$C$182,3,FALSE),"")</f>
        <v/>
      </c>
    </row>
    <row r="1542" spans="1:7" ht="15" customHeight="1">
      <c r="A1542" s="49"/>
      <c r="B1542" s="49" t="str">
        <f>CONCATENATE(Reports!E1541," ",Reports!F1541," ",Reports!G1541)</f>
        <v xml:space="preserve">  </v>
      </c>
      <c r="C1542" s="50"/>
      <c r="D1542" s="51"/>
      <c r="E1542" s="49" t="str">
        <f>IFERROR(VLOOKUP(D1542,'taxonomy map'!$A$1:$B$171,2,FALSE),"")</f>
        <v/>
      </c>
      <c r="F1542" s="49" t="str">
        <f>IFERROR(VLOOKUP(E1542,'Condensed Specialty Crosswalk'!$A$2:$C$182,2,FALSE),"")</f>
        <v/>
      </c>
      <c r="G1542" s="49" t="str">
        <f>IFERROR(VLOOKUP(E1542,'Condensed Specialty Crosswalk'!$A$2:$C$182,3,FALSE),"")</f>
        <v/>
      </c>
    </row>
    <row r="1543" spans="1:7" ht="15" customHeight="1">
      <c r="A1543" s="49"/>
      <c r="B1543" s="49" t="str">
        <f>CONCATENATE(Reports!E1542," ",Reports!F1542," ",Reports!G1542)</f>
        <v xml:space="preserve">  </v>
      </c>
      <c r="C1543" s="50"/>
      <c r="D1543" s="51"/>
      <c r="E1543" s="49" t="str">
        <f>IFERROR(VLOOKUP(D1543,'taxonomy map'!$A$1:$B$171,2,FALSE),"")</f>
        <v/>
      </c>
      <c r="F1543" s="49" t="str">
        <f>IFERROR(VLOOKUP(E1543,'Condensed Specialty Crosswalk'!$A$2:$C$182,2,FALSE),"")</f>
        <v/>
      </c>
      <c r="G1543" s="49" t="str">
        <f>IFERROR(VLOOKUP(E1543,'Condensed Specialty Crosswalk'!$A$2:$C$182,3,FALSE),"")</f>
        <v/>
      </c>
    </row>
    <row r="1544" spans="1:7" ht="15" customHeight="1">
      <c r="A1544" s="49"/>
      <c r="B1544" s="49" t="str">
        <f>CONCATENATE(Reports!E1543," ",Reports!F1543," ",Reports!G1543)</f>
        <v xml:space="preserve">  </v>
      </c>
      <c r="C1544" s="50"/>
      <c r="D1544" s="51"/>
      <c r="E1544" s="49" t="str">
        <f>IFERROR(VLOOKUP(D1544,'taxonomy map'!$A$1:$B$171,2,FALSE),"")</f>
        <v/>
      </c>
      <c r="F1544" s="49" t="str">
        <f>IFERROR(VLOOKUP(E1544,'Condensed Specialty Crosswalk'!$A$2:$C$182,2,FALSE),"")</f>
        <v/>
      </c>
      <c r="G1544" s="49" t="str">
        <f>IFERROR(VLOOKUP(E1544,'Condensed Specialty Crosswalk'!$A$2:$C$182,3,FALSE),"")</f>
        <v/>
      </c>
    </row>
    <row r="1545" spans="1:7" ht="15" customHeight="1">
      <c r="A1545" s="49"/>
      <c r="B1545" s="49" t="str">
        <f>CONCATENATE(Reports!E1544," ",Reports!F1544," ",Reports!G1544)</f>
        <v xml:space="preserve">  </v>
      </c>
      <c r="C1545" s="50"/>
      <c r="D1545" s="51"/>
      <c r="E1545" s="49" t="str">
        <f>IFERROR(VLOOKUP(D1545,'taxonomy map'!$A$1:$B$171,2,FALSE),"")</f>
        <v/>
      </c>
      <c r="F1545" s="49" t="str">
        <f>IFERROR(VLOOKUP(E1545,'Condensed Specialty Crosswalk'!$A$2:$C$182,2,FALSE),"")</f>
        <v/>
      </c>
      <c r="G1545" s="49" t="str">
        <f>IFERROR(VLOOKUP(E1545,'Condensed Specialty Crosswalk'!$A$2:$C$182,3,FALSE),"")</f>
        <v/>
      </c>
    </row>
    <row r="1546" spans="1:7" ht="15" customHeight="1">
      <c r="A1546" s="49"/>
      <c r="B1546" s="49" t="str">
        <f>CONCATENATE(Reports!E1545," ",Reports!F1545," ",Reports!G1545)</f>
        <v xml:space="preserve">  </v>
      </c>
      <c r="C1546" s="50"/>
      <c r="D1546" s="51"/>
      <c r="E1546" s="49" t="str">
        <f>IFERROR(VLOOKUP(D1546,'taxonomy map'!$A$1:$B$171,2,FALSE),"")</f>
        <v/>
      </c>
      <c r="F1546" s="49" t="str">
        <f>IFERROR(VLOOKUP(E1546,'Condensed Specialty Crosswalk'!$A$2:$C$182,2,FALSE),"")</f>
        <v/>
      </c>
      <c r="G1546" s="49" t="str">
        <f>IFERROR(VLOOKUP(E1546,'Condensed Specialty Crosswalk'!$A$2:$C$182,3,FALSE),"")</f>
        <v/>
      </c>
    </row>
    <row r="1547" spans="1:7" ht="15" customHeight="1">
      <c r="A1547" s="49"/>
      <c r="B1547" s="49" t="str">
        <f>CONCATENATE(Reports!E1546," ",Reports!F1546," ",Reports!G1546)</f>
        <v xml:space="preserve">  </v>
      </c>
      <c r="C1547" s="50"/>
      <c r="D1547" s="51"/>
      <c r="E1547" s="49" t="str">
        <f>IFERROR(VLOOKUP(D1547,'taxonomy map'!$A$1:$B$171,2,FALSE),"")</f>
        <v/>
      </c>
      <c r="F1547" s="49" t="str">
        <f>IFERROR(VLOOKUP(E1547,'Condensed Specialty Crosswalk'!$A$2:$C$182,2,FALSE),"")</f>
        <v/>
      </c>
      <c r="G1547" s="49" t="str">
        <f>IFERROR(VLOOKUP(E1547,'Condensed Specialty Crosswalk'!$A$2:$C$182,3,FALSE),"")</f>
        <v/>
      </c>
    </row>
    <row r="1548" spans="1:7" ht="15" customHeight="1">
      <c r="A1548" s="49"/>
      <c r="B1548" s="49" t="str">
        <f>CONCATENATE(Reports!E1547," ",Reports!F1547," ",Reports!G1547)</f>
        <v xml:space="preserve">  </v>
      </c>
      <c r="C1548" s="50"/>
      <c r="D1548" s="51"/>
      <c r="E1548" s="49" t="str">
        <f>IFERROR(VLOOKUP(D1548,'taxonomy map'!$A$1:$B$171,2,FALSE),"")</f>
        <v/>
      </c>
      <c r="F1548" s="49" t="str">
        <f>IFERROR(VLOOKUP(E1548,'Condensed Specialty Crosswalk'!$A$2:$C$182,2,FALSE),"")</f>
        <v/>
      </c>
      <c r="G1548" s="49" t="str">
        <f>IFERROR(VLOOKUP(E1548,'Condensed Specialty Crosswalk'!$A$2:$C$182,3,FALSE),"")</f>
        <v/>
      </c>
    </row>
    <row r="1549" spans="1:7" ht="15" customHeight="1">
      <c r="A1549" s="49"/>
      <c r="B1549" s="49" t="str">
        <f>CONCATENATE(Reports!E1548," ",Reports!F1548," ",Reports!G1548)</f>
        <v xml:space="preserve">  </v>
      </c>
      <c r="C1549" s="50"/>
      <c r="D1549" s="51"/>
      <c r="E1549" s="49" t="str">
        <f>IFERROR(VLOOKUP(D1549,'taxonomy map'!$A$1:$B$171,2,FALSE),"")</f>
        <v/>
      </c>
      <c r="F1549" s="49" t="str">
        <f>IFERROR(VLOOKUP(E1549,'Condensed Specialty Crosswalk'!$A$2:$C$182,2,FALSE),"")</f>
        <v/>
      </c>
      <c r="G1549" s="49" t="str">
        <f>IFERROR(VLOOKUP(E1549,'Condensed Specialty Crosswalk'!$A$2:$C$182,3,FALSE),"")</f>
        <v/>
      </c>
    </row>
    <row r="1550" spans="1:7" ht="15" customHeight="1">
      <c r="A1550" s="49"/>
      <c r="B1550" s="49" t="str">
        <f>CONCATENATE(Reports!E1549," ",Reports!F1549," ",Reports!G1549)</f>
        <v xml:space="preserve">  </v>
      </c>
      <c r="C1550" s="50"/>
      <c r="D1550" s="51"/>
      <c r="E1550" s="49" t="str">
        <f>IFERROR(VLOOKUP(D1550,'taxonomy map'!$A$1:$B$171,2,FALSE),"")</f>
        <v/>
      </c>
      <c r="F1550" s="49" t="str">
        <f>IFERROR(VLOOKUP(E1550,'Condensed Specialty Crosswalk'!$A$2:$C$182,2,FALSE),"")</f>
        <v/>
      </c>
      <c r="G1550" s="49" t="str">
        <f>IFERROR(VLOOKUP(E1550,'Condensed Specialty Crosswalk'!$A$2:$C$182,3,FALSE),"")</f>
        <v/>
      </c>
    </row>
    <row r="1551" spans="1:7" ht="15" customHeight="1">
      <c r="A1551" s="49"/>
      <c r="B1551" s="49" t="str">
        <f>CONCATENATE(Reports!E1550," ",Reports!F1550," ",Reports!G1550)</f>
        <v xml:space="preserve">  </v>
      </c>
      <c r="C1551" s="50"/>
      <c r="D1551" s="51"/>
      <c r="E1551" s="49" t="str">
        <f>IFERROR(VLOOKUP(D1551,'taxonomy map'!$A$1:$B$171,2,FALSE),"")</f>
        <v/>
      </c>
      <c r="F1551" s="49" t="str">
        <f>IFERROR(VLOOKUP(E1551,'Condensed Specialty Crosswalk'!$A$2:$C$182,2,FALSE),"")</f>
        <v/>
      </c>
      <c r="G1551" s="49" t="str">
        <f>IFERROR(VLOOKUP(E1551,'Condensed Specialty Crosswalk'!$A$2:$C$182,3,FALSE),"")</f>
        <v/>
      </c>
    </row>
    <row r="1552" spans="1:7" ht="15" customHeight="1">
      <c r="A1552" s="49"/>
      <c r="B1552" s="49" t="str">
        <f>CONCATENATE(Reports!E1551," ",Reports!F1551," ",Reports!G1551)</f>
        <v xml:space="preserve">  </v>
      </c>
      <c r="C1552" s="50"/>
      <c r="D1552" s="51"/>
      <c r="E1552" s="49" t="str">
        <f>IFERROR(VLOOKUP(D1552,'taxonomy map'!$A$1:$B$171,2,FALSE),"")</f>
        <v/>
      </c>
      <c r="F1552" s="49" t="str">
        <f>IFERROR(VLOOKUP(E1552,'Condensed Specialty Crosswalk'!$A$2:$C$182,2,FALSE),"")</f>
        <v/>
      </c>
      <c r="G1552" s="49" t="str">
        <f>IFERROR(VLOOKUP(E1552,'Condensed Specialty Crosswalk'!$A$2:$C$182,3,FALSE),"")</f>
        <v/>
      </c>
    </row>
    <row r="1553" spans="1:7" ht="15" customHeight="1">
      <c r="A1553" s="49"/>
      <c r="B1553" s="49" t="str">
        <f>CONCATENATE(Reports!E1552," ",Reports!F1552," ",Reports!G1552)</f>
        <v xml:space="preserve">  </v>
      </c>
      <c r="C1553" s="50"/>
      <c r="D1553" s="51"/>
      <c r="E1553" s="49" t="str">
        <f>IFERROR(VLOOKUP(D1553,'taxonomy map'!$A$1:$B$171,2,FALSE),"")</f>
        <v/>
      </c>
      <c r="F1553" s="49" t="str">
        <f>IFERROR(VLOOKUP(E1553,'Condensed Specialty Crosswalk'!$A$2:$C$182,2,FALSE),"")</f>
        <v/>
      </c>
      <c r="G1553" s="49" t="str">
        <f>IFERROR(VLOOKUP(E1553,'Condensed Specialty Crosswalk'!$A$2:$C$182,3,FALSE),"")</f>
        <v/>
      </c>
    </row>
    <row r="1554" spans="1:7" ht="15" customHeight="1">
      <c r="A1554" s="49"/>
      <c r="B1554" s="49" t="str">
        <f>CONCATENATE(Reports!E1553," ",Reports!F1553," ",Reports!G1553)</f>
        <v xml:space="preserve">  </v>
      </c>
      <c r="C1554" s="50"/>
      <c r="D1554" s="51"/>
      <c r="E1554" s="49" t="str">
        <f>IFERROR(VLOOKUP(D1554,'taxonomy map'!$A$1:$B$171,2,FALSE),"")</f>
        <v/>
      </c>
      <c r="F1554" s="49" t="str">
        <f>IFERROR(VLOOKUP(E1554,'Condensed Specialty Crosswalk'!$A$2:$C$182,2,FALSE),"")</f>
        <v/>
      </c>
      <c r="G1554" s="49" t="str">
        <f>IFERROR(VLOOKUP(E1554,'Condensed Specialty Crosswalk'!$A$2:$C$182,3,FALSE),"")</f>
        <v/>
      </c>
    </row>
    <row r="1555" spans="1:7" ht="15" customHeight="1">
      <c r="A1555" s="49"/>
      <c r="B1555" s="49" t="str">
        <f>CONCATENATE(Reports!E1554," ",Reports!F1554," ",Reports!G1554)</f>
        <v xml:space="preserve">  </v>
      </c>
      <c r="C1555" s="50"/>
      <c r="D1555" s="51"/>
      <c r="E1555" s="49" t="str">
        <f>IFERROR(VLOOKUP(D1555,'taxonomy map'!$A$1:$B$171,2,FALSE),"")</f>
        <v/>
      </c>
      <c r="F1555" s="49" t="str">
        <f>IFERROR(VLOOKUP(E1555,'Condensed Specialty Crosswalk'!$A$2:$C$182,2,FALSE),"")</f>
        <v/>
      </c>
      <c r="G1555" s="49" t="str">
        <f>IFERROR(VLOOKUP(E1555,'Condensed Specialty Crosswalk'!$A$2:$C$182,3,FALSE),"")</f>
        <v/>
      </c>
    </row>
    <row r="1556" spans="1:7" ht="15" customHeight="1">
      <c r="A1556" s="49"/>
      <c r="B1556" s="49" t="str">
        <f>CONCATENATE(Reports!E1555," ",Reports!F1555," ",Reports!G1555)</f>
        <v xml:space="preserve">  </v>
      </c>
      <c r="C1556" s="50"/>
      <c r="D1556" s="51"/>
      <c r="E1556" s="49" t="str">
        <f>IFERROR(VLOOKUP(D1556,'taxonomy map'!$A$1:$B$171,2,FALSE),"")</f>
        <v/>
      </c>
      <c r="F1556" s="49" t="str">
        <f>IFERROR(VLOOKUP(E1556,'Condensed Specialty Crosswalk'!$A$2:$C$182,2,FALSE),"")</f>
        <v/>
      </c>
      <c r="G1556" s="49" t="str">
        <f>IFERROR(VLOOKUP(E1556,'Condensed Specialty Crosswalk'!$A$2:$C$182,3,FALSE),"")</f>
        <v/>
      </c>
    </row>
    <row r="1557" spans="1:7" ht="15" customHeight="1">
      <c r="A1557" s="49"/>
      <c r="B1557" s="49" t="str">
        <f>CONCATENATE(Reports!E1556," ",Reports!F1556," ",Reports!G1556)</f>
        <v xml:space="preserve">  </v>
      </c>
      <c r="C1557" s="50"/>
      <c r="D1557" s="51"/>
      <c r="E1557" s="49" t="str">
        <f>IFERROR(VLOOKUP(D1557,'taxonomy map'!$A$1:$B$171,2,FALSE),"")</f>
        <v/>
      </c>
      <c r="F1557" s="49" t="str">
        <f>IFERROR(VLOOKUP(E1557,'Condensed Specialty Crosswalk'!$A$2:$C$182,2,FALSE),"")</f>
        <v/>
      </c>
      <c r="G1557" s="49" t="str">
        <f>IFERROR(VLOOKUP(E1557,'Condensed Specialty Crosswalk'!$A$2:$C$182,3,FALSE),"")</f>
        <v/>
      </c>
    </row>
    <row r="1558" spans="1:7" ht="15" customHeight="1">
      <c r="A1558" s="49"/>
      <c r="B1558" s="49" t="str">
        <f>CONCATENATE(Reports!E1557," ",Reports!F1557," ",Reports!G1557)</f>
        <v xml:space="preserve">  </v>
      </c>
      <c r="C1558" s="50"/>
      <c r="D1558" s="51"/>
      <c r="E1558" s="49" t="str">
        <f>IFERROR(VLOOKUP(D1558,'taxonomy map'!$A$1:$B$171,2,FALSE),"")</f>
        <v/>
      </c>
      <c r="F1558" s="49" t="str">
        <f>IFERROR(VLOOKUP(E1558,'Condensed Specialty Crosswalk'!$A$2:$C$182,2,FALSE),"")</f>
        <v/>
      </c>
      <c r="G1558" s="49" t="str">
        <f>IFERROR(VLOOKUP(E1558,'Condensed Specialty Crosswalk'!$A$2:$C$182,3,FALSE),"")</f>
        <v/>
      </c>
    </row>
    <row r="1559" spans="1:7" ht="15" customHeight="1">
      <c r="A1559" s="49"/>
      <c r="B1559" s="49" t="str">
        <f>CONCATENATE(Reports!E1558," ",Reports!F1558," ",Reports!G1558)</f>
        <v xml:space="preserve">  </v>
      </c>
      <c r="C1559" s="50"/>
      <c r="D1559" s="51"/>
      <c r="E1559" s="49" t="str">
        <f>IFERROR(VLOOKUP(D1559,'taxonomy map'!$A$1:$B$171,2,FALSE),"")</f>
        <v/>
      </c>
      <c r="F1559" s="49" t="str">
        <f>IFERROR(VLOOKUP(E1559,'Condensed Specialty Crosswalk'!$A$2:$C$182,2,FALSE),"")</f>
        <v/>
      </c>
      <c r="G1559" s="49" t="str">
        <f>IFERROR(VLOOKUP(E1559,'Condensed Specialty Crosswalk'!$A$2:$C$182,3,FALSE),"")</f>
        <v/>
      </c>
    </row>
    <row r="1560" spans="1:7" ht="15" customHeight="1">
      <c r="A1560" s="49"/>
      <c r="B1560" s="49" t="str">
        <f>CONCATENATE(Reports!E1559," ",Reports!F1559," ",Reports!G1559)</f>
        <v xml:space="preserve">  </v>
      </c>
      <c r="C1560" s="50"/>
      <c r="D1560" s="51"/>
      <c r="E1560" s="49" t="str">
        <f>IFERROR(VLOOKUP(D1560,'taxonomy map'!$A$1:$B$171,2,FALSE),"")</f>
        <v/>
      </c>
      <c r="F1560" s="49" t="str">
        <f>IFERROR(VLOOKUP(E1560,'Condensed Specialty Crosswalk'!$A$2:$C$182,2,FALSE),"")</f>
        <v/>
      </c>
      <c r="G1560" s="49" t="str">
        <f>IFERROR(VLOOKUP(E1560,'Condensed Specialty Crosswalk'!$A$2:$C$182,3,FALSE),"")</f>
        <v/>
      </c>
    </row>
    <row r="1561" spans="1:7" ht="15" customHeight="1">
      <c r="A1561" s="49"/>
      <c r="B1561" s="49" t="str">
        <f>CONCATENATE(Reports!E1560," ",Reports!F1560," ",Reports!G1560)</f>
        <v xml:space="preserve">  </v>
      </c>
      <c r="C1561" s="50"/>
      <c r="D1561" s="51"/>
      <c r="E1561" s="49" t="str">
        <f>IFERROR(VLOOKUP(D1561,'taxonomy map'!$A$1:$B$171,2,FALSE),"")</f>
        <v/>
      </c>
      <c r="F1561" s="49" t="str">
        <f>IFERROR(VLOOKUP(E1561,'Condensed Specialty Crosswalk'!$A$2:$C$182,2,FALSE),"")</f>
        <v/>
      </c>
      <c r="G1561" s="49" t="str">
        <f>IFERROR(VLOOKUP(E1561,'Condensed Specialty Crosswalk'!$A$2:$C$182,3,FALSE),"")</f>
        <v/>
      </c>
    </row>
    <row r="1562" spans="1:7" ht="15" customHeight="1">
      <c r="A1562" s="49"/>
      <c r="B1562" s="49" t="str">
        <f>CONCATENATE(Reports!E1561," ",Reports!F1561," ",Reports!G1561)</f>
        <v xml:space="preserve">  </v>
      </c>
      <c r="C1562" s="50"/>
      <c r="D1562" s="51"/>
      <c r="E1562" s="49" t="str">
        <f>IFERROR(VLOOKUP(D1562,'taxonomy map'!$A$1:$B$171,2,FALSE),"")</f>
        <v/>
      </c>
      <c r="F1562" s="49" t="str">
        <f>IFERROR(VLOOKUP(E1562,'Condensed Specialty Crosswalk'!$A$2:$C$182,2,FALSE),"")</f>
        <v/>
      </c>
      <c r="G1562" s="49" t="str">
        <f>IFERROR(VLOOKUP(E1562,'Condensed Specialty Crosswalk'!$A$2:$C$182,3,FALSE),"")</f>
        <v/>
      </c>
    </row>
    <row r="1563" spans="1:7" ht="15" customHeight="1">
      <c r="A1563" s="49"/>
      <c r="B1563" s="49" t="str">
        <f>CONCATENATE(Reports!E1562," ",Reports!F1562," ",Reports!G1562)</f>
        <v xml:space="preserve">  </v>
      </c>
      <c r="C1563" s="50"/>
      <c r="D1563" s="51"/>
      <c r="E1563" s="49" t="str">
        <f>IFERROR(VLOOKUP(D1563,'taxonomy map'!$A$1:$B$171,2,FALSE),"")</f>
        <v/>
      </c>
      <c r="F1563" s="49" t="str">
        <f>IFERROR(VLOOKUP(E1563,'Condensed Specialty Crosswalk'!$A$2:$C$182,2,FALSE),"")</f>
        <v/>
      </c>
      <c r="G1563" s="49" t="str">
        <f>IFERROR(VLOOKUP(E1563,'Condensed Specialty Crosswalk'!$A$2:$C$182,3,FALSE),"")</f>
        <v/>
      </c>
    </row>
    <row r="1564" spans="1:7" ht="15" customHeight="1">
      <c r="A1564" s="49"/>
      <c r="B1564" s="49" t="str">
        <f>CONCATENATE(Reports!E1563," ",Reports!F1563," ",Reports!G1563)</f>
        <v xml:space="preserve">  </v>
      </c>
      <c r="C1564" s="50"/>
      <c r="D1564" s="51"/>
      <c r="E1564" s="49" t="str">
        <f>IFERROR(VLOOKUP(D1564,'taxonomy map'!$A$1:$B$171,2,FALSE),"")</f>
        <v/>
      </c>
      <c r="F1564" s="49" t="str">
        <f>IFERROR(VLOOKUP(E1564,'Condensed Specialty Crosswalk'!$A$2:$C$182,2,FALSE),"")</f>
        <v/>
      </c>
      <c r="G1564" s="49" t="str">
        <f>IFERROR(VLOOKUP(E1564,'Condensed Specialty Crosswalk'!$A$2:$C$182,3,FALSE),"")</f>
        <v/>
      </c>
    </row>
    <row r="1565" spans="1:7" ht="15" customHeight="1">
      <c r="A1565" s="49"/>
      <c r="B1565" s="49" t="str">
        <f>CONCATENATE(Reports!E1564," ",Reports!F1564," ",Reports!G1564)</f>
        <v xml:space="preserve">  </v>
      </c>
      <c r="C1565" s="50"/>
      <c r="D1565" s="51"/>
      <c r="E1565" s="49" t="str">
        <f>IFERROR(VLOOKUP(D1565,'taxonomy map'!$A$1:$B$171,2,FALSE),"")</f>
        <v/>
      </c>
      <c r="F1565" s="49" t="str">
        <f>IFERROR(VLOOKUP(E1565,'Condensed Specialty Crosswalk'!$A$2:$C$182,2,FALSE),"")</f>
        <v/>
      </c>
      <c r="G1565" s="49" t="str">
        <f>IFERROR(VLOOKUP(E1565,'Condensed Specialty Crosswalk'!$A$2:$C$182,3,FALSE),"")</f>
        <v/>
      </c>
    </row>
    <row r="1566" spans="1:7" ht="15" customHeight="1">
      <c r="A1566" s="49"/>
      <c r="B1566" s="49" t="str">
        <f>CONCATENATE(Reports!E1565," ",Reports!F1565," ",Reports!G1565)</f>
        <v xml:space="preserve">  </v>
      </c>
      <c r="C1566" s="50"/>
      <c r="D1566" s="51"/>
      <c r="E1566" s="49" t="str">
        <f>IFERROR(VLOOKUP(D1566,'taxonomy map'!$A$1:$B$171,2,FALSE),"")</f>
        <v/>
      </c>
      <c r="F1566" s="49" t="str">
        <f>IFERROR(VLOOKUP(E1566,'Condensed Specialty Crosswalk'!$A$2:$C$182,2,FALSE),"")</f>
        <v/>
      </c>
      <c r="G1566" s="49" t="str">
        <f>IFERROR(VLOOKUP(E1566,'Condensed Specialty Crosswalk'!$A$2:$C$182,3,FALSE),"")</f>
        <v/>
      </c>
    </row>
    <row r="1567" spans="1:7" ht="15" customHeight="1">
      <c r="A1567" s="49"/>
      <c r="B1567" s="49" t="str">
        <f>CONCATENATE(Reports!E1566," ",Reports!F1566," ",Reports!G1566)</f>
        <v xml:space="preserve">  </v>
      </c>
      <c r="C1567" s="50"/>
      <c r="D1567" s="51"/>
      <c r="E1567" s="49" t="str">
        <f>IFERROR(VLOOKUP(D1567,'taxonomy map'!$A$1:$B$171,2,FALSE),"")</f>
        <v/>
      </c>
      <c r="F1567" s="49" t="str">
        <f>IFERROR(VLOOKUP(E1567,'Condensed Specialty Crosswalk'!$A$2:$C$182,2,FALSE),"")</f>
        <v/>
      </c>
      <c r="G1567" s="49" t="str">
        <f>IFERROR(VLOOKUP(E1567,'Condensed Specialty Crosswalk'!$A$2:$C$182,3,FALSE),"")</f>
        <v/>
      </c>
    </row>
    <row r="1568" spans="1:7" ht="15" customHeight="1">
      <c r="A1568" s="49"/>
      <c r="B1568" s="49" t="str">
        <f>CONCATENATE(Reports!E1567," ",Reports!F1567," ",Reports!G1567)</f>
        <v xml:space="preserve">  </v>
      </c>
      <c r="C1568" s="50"/>
      <c r="D1568" s="51"/>
      <c r="E1568" s="49" t="str">
        <f>IFERROR(VLOOKUP(D1568,'taxonomy map'!$A$1:$B$171,2,FALSE),"")</f>
        <v/>
      </c>
      <c r="F1568" s="49" t="str">
        <f>IFERROR(VLOOKUP(E1568,'Condensed Specialty Crosswalk'!$A$2:$C$182,2,FALSE),"")</f>
        <v/>
      </c>
      <c r="G1568" s="49" t="str">
        <f>IFERROR(VLOOKUP(E1568,'Condensed Specialty Crosswalk'!$A$2:$C$182,3,FALSE),"")</f>
        <v/>
      </c>
    </row>
    <row r="1569" spans="1:7" ht="15" customHeight="1">
      <c r="A1569" s="49"/>
      <c r="B1569" s="49" t="str">
        <f>CONCATENATE(Reports!E1568," ",Reports!F1568," ",Reports!G1568)</f>
        <v xml:space="preserve">  </v>
      </c>
      <c r="C1569" s="50"/>
      <c r="D1569" s="51"/>
      <c r="E1569" s="49" t="str">
        <f>IFERROR(VLOOKUP(D1569,'taxonomy map'!$A$1:$B$171,2,FALSE),"")</f>
        <v/>
      </c>
      <c r="F1569" s="49" t="str">
        <f>IFERROR(VLOOKUP(E1569,'Condensed Specialty Crosswalk'!$A$2:$C$182,2,FALSE),"")</f>
        <v/>
      </c>
      <c r="G1569" s="49" t="str">
        <f>IFERROR(VLOOKUP(E1569,'Condensed Specialty Crosswalk'!$A$2:$C$182,3,FALSE),"")</f>
        <v/>
      </c>
    </row>
    <row r="1570" spans="1:7" ht="15" customHeight="1">
      <c r="A1570" s="49"/>
      <c r="B1570" s="49" t="str">
        <f>CONCATENATE(Reports!E1569," ",Reports!F1569," ",Reports!G1569)</f>
        <v xml:space="preserve">  </v>
      </c>
      <c r="C1570" s="50"/>
      <c r="D1570" s="51"/>
      <c r="E1570" s="49" t="str">
        <f>IFERROR(VLOOKUP(D1570,'taxonomy map'!$A$1:$B$171,2,FALSE),"")</f>
        <v/>
      </c>
      <c r="F1570" s="49" t="str">
        <f>IFERROR(VLOOKUP(E1570,'Condensed Specialty Crosswalk'!$A$2:$C$182,2,FALSE),"")</f>
        <v/>
      </c>
      <c r="G1570" s="49" t="str">
        <f>IFERROR(VLOOKUP(E1570,'Condensed Specialty Crosswalk'!$A$2:$C$182,3,FALSE),"")</f>
        <v/>
      </c>
    </row>
    <row r="1571" spans="1:7" ht="15" customHeight="1">
      <c r="A1571" s="49"/>
      <c r="B1571" s="49" t="str">
        <f>CONCATENATE(Reports!E1570," ",Reports!F1570," ",Reports!G1570)</f>
        <v xml:space="preserve">  </v>
      </c>
      <c r="C1571" s="50"/>
      <c r="D1571" s="51"/>
      <c r="E1571" s="49" t="str">
        <f>IFERROR(VLOOKUP(D1571,'taxonomy map'!$A$1:$B$171,2,FALSE),"")</f>
        <v/>
      </c>
      <c r="F1571" s="49" t="str">
        <f>IFERROR(VLOOKUP(E1571,'Condensed Specialty Crosswalk'!$A$2:$C$182,2,FALSE),"")</f>
        <v/>
      </c>
      <c r="G1571" s="49" t="str">
        <f>IFERROR(VLOOKUP(E1571,'Condensed Specialty Crosswalk'!$A$2:$C$182,3,FALSE),"")</f>
        <v/>
      </c>
    </row>
    <row r="1572" spans="1:7" ht="15" customHeight="1">
      <c r="A1572" s="49"/>
      <c r="B1572" s="49" t="str">
        <f>CONCATENATE(Reports!E1571," ",Reports!F1571," ",Reports!G1571)</f>
        <v xml:space="preserve">  </v>
      </c>
      <c r="C1572" s="50"/>
      <c r="D1572" s="51"/>
      <c r="E1572" s="49" t="str">
        <f>IFERROR(VLOOKUP(D1572,'taxonomy map'!$A$1:$B$171,2,FALSE),"")</f>
        <v/>
      </c>
      <c r="F1572" s="49" t="str">
        <f>IFERROR(VLOOKUP(E1572,'Condensed Specialty Crosswalk'!$A$2:$C$182,2,FALSE),"")</f>
        <v/>
      </c>
      <c r="G1572" s="49" t="str">
        <f>IFERROR(VLOOKUP(E1572,'Condensed Specialty Crosswalk'!$A$2:$C$182,3,FALSE),"")</f>
        <v/>
      </c>
    </row>
    <row r="1573" spans="1:7" ht="15" customHeight="1">
      <c r="A1573" s="49"/>
      <c r="B1573" s="49" t="str">
        <f>CONCATENATE(Reports!E1572," ",Reports!F1572," ",Reports!G1572)</f>
        <v xml:space="preserve">  </v>
      </c>
      <c r="C1573" s="50"/>
      <c r="D1573" s="51"/>
      <c r="E1573" s="49" t="str">
        <f>IFERROR(VLOOKUP(D1573,'taxonomy map'!$A$1:$B$171,2,FALSE),"")</f>
        <v/>
      </c>
      <c r="F1573" s="49" t="str">
        <f>IFERROR(VLOOKUP(E1573,'Condensed Specialty Crosswalk'!$A$2:$C$182,2,FALSE),"")</f>
        <v/>
      </c>
      <c r="G1573" s="49" t="str">
        <f>IFERROR(VLOOKUP(E1573,'Condensed Specialty Crosswalk'!$A$2:$C$182,3,FALSE),"")</f>
        <v/>
      </c>
    </row>
    <row r="1574" spans="1:7" ht="15" customHeight="1">
      <c r="A1574" s="49"/>
      <c r="B1574" s="49" t="str">
        <f>CONCATENATE(Reports!E1573," ",Reports!F1573," ",Reports!G1573)</f>
        <v xml:space="preserve">  </v>
      </c>
      <c r="C1574" s="50"/>
      <c r="D1574" s="51"/>
      <c r="E1574" s="49" t="str">
        <f>IFERROR(VLOOKUP(D1574,'taxonomy map'!$A$1:$B$171,2,FALSE),"")</f>
        <v/>
      </c>
      <c r="F1574" s="49" t="str">
        <f>IFERROR(VLOOKUP(E1574,'Condensed Specialty Crosswalk'!$A$2:$C$182,2,FALSE),"")</f>
        <v/>
      </c>
      <c r="G1574" s="49" t="str">
        <f>IFERROR(VLOOKUP(E1574,'Condensed Specialty Crosswalk'!$A$2:$C$182,3,FALSE),"")</f>
        <v/>
      </c>
    </row>
    <row r="1575" spans="1:7" ht="15" customHeight="1">
      <c r="A1575" s="49"/>
      <c r="B1575" s="49" t="str">
        <f>CONCATENATE(Reports!E1574," ",Reports!F1574," ",Reports!G1574)</f>
        <v xml:space="preserve">  </v>
      </c>
      <c r="C1575" s="50"/>
      <c r="D1575" s="51"/>
      <c r="E1575" s="49" t="str">
        <f>IFERROR(VLOOKUP(D1575,'taxonomy map'!$A$1:$B$171,2,FALSE),"")</f>
        <v/>
      </c>
      <c r="F1575" s="49" t="str">
        <f>IFERROR(VLOOKUP(E1575,'Condensed Specialty Crosswalk'!$A$2:$C$182,2,FALSE),"")</f>
        <v/>
      </c>
      <c r="G1575" s="49" t="str">
        <f>IFERROR(VLOOKUP(E1575,'Condensed Specialty Crosswalk'!$A$2:$C$182,3,FALSE),"")</f>
        <v/>
      </c>
    </row>
    <row r="1576" spans="1:7" ht="15" customHeight="1">
      <c r="A1576" s="49"/>
      <c r="B1576" s="49" t="str">
        <f>CONCATENATE(Reports!E1575," ",Reports!F1575," ",Reports!G1575)</f>
        <v xml:space="preserve">  </v>
      </c>
      <c r="C1576" s="50"/>
      <c r="D1576" s="51"/>
      <c r="E1576" s="49" t="str">
        <f>IFERROR(VLOOKUP(D1576,'taxonomy map'!$A$1:$B$171,2,FALSE),"")</f>
        <v/>
      </c>
      <c r="F1576" s="49" t="str">
        <f>IFERROR(VLOOKUP(E1576,'Condensed Specialty Crosswalk'!$A$2:$C$182,2,FALSE),"")</f>
        <v/>
      </c>
      <c r="G1576" s="49" t="str">
        <f>IFERROR(VLOOKUP(E1576,'Condensed Specialty Crosswalk'!$A$2:$C$182,3,FALSE),"")</f>
        <v/>
      </c>
    </row>
    <row r="1577" spans="1:7" ht="15" customHeight="1">
      <c r="A1577" s="49"/>
      <c r="B1577" s="49" t="str">
        <f>CONCATENATE(Reports!E1576," ",Reports!F1576," ",Reports!G1576)</f>
        <v xml:space="preserve">  </v>
      </c>
      <c r="C1577" s="50"/>
      <c r="D1577" s="51"/>
      <c r="E1577" s="49" t="str">
        <f>IFERROR(VLOOKUP(D1577,'taxonomy map'!$A$1:$B$171,2,FALSE),"")</f>
        <v/>
      </c>
      <c r="F1577" s="49" t="str">
        <f>IFERROR(VLOOKUP(E1577,'Condensed Specialty Crosswalk'!$A$2:$C$182,2,FALSE),"")</f>
        <v/>
      </c>
      <c r="G1577" s="49" t="str">
        <f>IFERROR(VLOOKUP(E1577,'Condensed Specialty Crosswalk'!$A$2:$C$182,3,FALSE),"")</f>
        <v/>
      </c>
    </row>
    <row r="1578" spans="1:7" ht="15" customHeight="1">
      <c r="A1578" s="49"/>
      <c r="B1578" s="49" t="str">
        <f>CONCATENATE(Reports!E1577," ",Reports!F1577," ",Reports!G1577)</f>
        <v xml:space="preserve">  </v>
      </c>
      <c r="C1578" s="50"/>
      <c r="D1578" s="51"/>
      <c r="E1578" s="49" t="str">
        <f>IFERROR(VLOOKUP(D1578,'taxonomy map'!$A$1:$B$171,2,FALSE),"")</f>
        <v/>
      </c>
      <c r="F1578" s="49" t="str">
        <f>IFERROR(VLOOKUP(E1578,'Condensed Specialty Crosswalk'!$A$2:$C$182,2,FALSE),"")</f>
        <v/>
      </c>
      <c r="G1578" s="49" t="str">
        <f>IFERROR(VLOOKUP(E1578,'Condensed Specialty Crosswalk'!$A$2:$C$182,3,FALSE),"")</f>
        <v/>
      </c>
    </row>
    <row r="1579" spans="1:7" ht="15" customHeight="1">
      <c r="A1579" s="49"/>
      <c r="B1579" s="49" t="str">
        <f>CONCATENATE(Reports!E1578," ",Reports!F1578," ",Reports!G1578)</f>
        <v xml:space="preserve">  </v>
      </c>
      <c r="C1579" s="50"/>
      <c r="D1579" s="51"/>
      <c r="E1579" s="49" t="str">
        <f>IFERROR(VLOOKUP(D1579,'taxonomy map'!$A$1:$B$171,2,FALSE),"")</f>
        <v/>
      </c>
      <c r="F1579" s="49" t="str">
        <f>IFERROR(VLOOKUP(E1579,'Condensed Specialty Crosswalk'!$A$2:$C$182,2,FALSE),"")</f>
        <v/>
      </c>
      <c r="G1579" s="49" t="str">
        <f>IFERROR(VLOOKUP(E1579,'Condensed Specialty Crosswalk'!$A$2:$C$182,3,FALSE),"")</f>
        <v/>
      </c>
    </row>
    <row r="1580" spans="1:7" ht="15" customHeight="1">
      <c r="A1580" s="49"/>
      <c r="B1580" s="49" t="str">
        <f>CONCATENATE(Reports!E1579," ",Reports!F1579," ",Reports!G1579)</f>
        <v xml:space="preserve">  </v>
      </c>
      <c r="C1580" s="50"/>
      <c r="D1580" s="51"/>
      <c r="E1580" s="49" t="str">
        <f>IFERROR(VLOOKUP(D1580,'taxonomy map'!$A$1:$B$171,2,FALSE),"")</f>
        <v/>
      </c>
      <c r="F1580" s="49" t="str">
        <f>IFERROR(VLOOKUP(E1580,'Condensed Specialty Crosswalk'!$A$2:$C$182,2,FALSE),"")</f>
        <v/>
      </c>
      <c r="G1580" s="49" t="str">
        <f>IFERROR(VLOOKUP(E1580,'Condensed Specialty Crosswalk'!$A$2:$C$182,3,FALSE),"")</f>
        <v/>
      </c>
    </row>
    <row r="1581" spans="1:7" ht="15" customHeight="1">
      <c r="A1581" s="49"/>
      <c r="B1581" s="49" t="str">
        <f>CONCATENATE(Reports!E1580," ",Reports!F1580," ",Reports!G1580)</f>
        <v xml:space="preserve">  </v>
      </c>
      <c r="C1581" s="50"/>
      <c r="D1581" s="51"/>
      <c r="E1581" s="49" t="str">
        <f>IFERROR(VLOOKUP(D1581,'taxonomy map'!$A$1:$B$171,2,FALSE),"")</f>
        <v/>
      </c>
      <c r="F1581" s="49" t="str">
        <f>IFERROR(VLOOKUP(E1581,'Condensed Specialty Crosswalk'!$A$2:$C$182,2,FALSE),"")</f>
        <v/>
      </c>
      <c r="G1581" s="49" t="str">
        <f>IFERROR(VLOOKUP(E1581,'Condensed Specialty Crosswalk'!$A$2:$C$182,3,FALSE),"")</f>
        <v/>
      </c>
    </row>
    <row r="1582" spans="1:7" ht="15" customHeight="1">
      <c r="A1582" s="49"/>
      <c r="B1582" s="49" t="str">
        <f>CONCATENATE(Reports!E1581," ",Reports!F1581," ",Reports!G1581)</f>
        <v xml:space="preserve">  </v>
      </c>
      <c r="C1582" s="50"/>
      <c r="D1582" s="51"/>
      <c r="E1582" s="49" t="str">
        <f>IFERROR(VLOOKUP(D1582,'taxonomy map'!$A$1:$B$171,2,FALSE),"")</f>
        <v/>
      </c>
      <c r="F1582" s="49" t="str">
        <f>IFERROR(VLOOKUP(E1582,'Condensed Specialty Crosswalk'!$A$2:$C$182,2,FALSE),"")</f>
        <v/>
      </c>
      <c r="G1582" s="49" t="str">
        <f>IFERROR(VLOOKUP(E1582,'Condensed Specialty Crosswalk'!$A$2:$C$182,3,FALSE),"")</f>
        <v/>
      </c>
    </row>
    <row r="1583" spans="1:7" ht="15" customHeight="1">
      <c r="A1583" s="49"/>
      <c r="B1583" s="49" t="str">
        <f>CONCATENATE(Reports!E1582," ",Reports!F1582," ",Reports!G1582)</f>
        <v xml:space="preserve">  </v>
      </c>
      <c r="C1583" s="50"/>
      <c r="D1583" s="51"/>
      <c r="E1583" s="49" t="str">
        <f>IFERROR(VLOOKUP(D1583,'taxonomy map'!$A$1:$B$171,2,FALSE),"")</f>
        <v/>
      </c>
      <c r="F1583" s="49" t="str">
        <f>IFERROR(VLOOKUP(E1583,'Condensed Specialty Crosswalk'!$A$2:$C$182,2,FALSE),"")</f>
        <v/>
      </c>
      <c r="G1583" s="49" t="str">
        <f>IFERROR(VLOOKUP(E1583,'Condensed Specialty Crosswalk'!$A$2:$C$182,3,FALSE),"")</f>
        <v/>
      </c>
    </row>
    <row r="1584" spans="1:7" ht="15" customHeight="1">
      <c r="A1584" s="49"/>
      <c r="B1584" s="49" t="str">
        <f>CONCATENATE(Reports!E1583," ",Reports!F1583," ",Reports!G1583)</f>
        <v xml:space="preserve">  </v>
      </c>
      <c r="C1584" s="50"/>
      <c r="D1584" s="51"/>
      <c r="E1584" s="49" t="str">
        <f>IFERROR(VLOOKUP(D1584,'taxonomy map'!$A$1:$B$171,2,FALSE),"")</f>
        <v/>
      </c>
      <c r="F1584" s="49" t="str">
        <f>IFERROR(VLOOKUP(E1584,'Condensed Specialty Crosswalk'!$A$2:$C$182,2,FALSE),"")</f>
        <v/>
      </c>
      <c r="G1584" s="49" t="str">
        <f>IFERROR(VLOOKUP(E1584,'Condensed Specialty Crosswalk'!$A$2:$C$182,3,FALSE),"")</f>
        <v/>
      </c>
    </row>
    <row r="1585" spans="1:7" ht="15" customHeight="1">
      <c r="A1585" s="49"/>
      <c r="B1585" s="49" t="str">
        <f>CONCATENATE(Reports!E1584," ",Reports!F1584," ",Reports!G1584)</f>
        <v xml:space="preserve">  </v>
      </c>
      <c r="C1585" s="50"/>
      <c r="D1585" s="51"/>
      <c r="E1585" s="49" t="str">
        <f>IFERROR(VLOOKUP(D1585,'taxonomy map'!$A$1:$B$171,2,FALSE),"")</f>
        <v/>
      </c>
      <c r="F1585" s="49" t="str">
        <f>IFERROR(VLOOKUP(E1585,'Condensed Specialty Crosswalk'!$A$2:$C$182,2,FALSE),"")</f>
        <v/>
      </c>
      <c r="G1585" s="49" t="str">
        <f>IFERROR(VLOOKUP(E1585,'Condensed Specialty Crosswalk'!$A$2:$C$182,3,FALSE),"")</f>
        <v/>
      </c>
    </row>
    <row r="1586" spans="1:7" ht="15" customHeight="1">
      <c r="A1586" s="49"/>
      <c r="B1586" s="49" t="str">
        <f>CONCATENATE(Reports!E1585," ",Reports!F1585," ",Reports!G1585)</f>
        <v xml:space="preserve">  </v>
      </c>
      <c r="C1586" s="50"/>
      <c r="D1586" s="51"/>
      <c r="E1586" s="49" t="str">
        <f>IFERROR(VLOOKUP(D1586,'taxonomy map'!$A$1:$B$171,2,FALSE),"")</f>
        <v/>
      </c>
      <c r="F1586" s="49" t="str">
        <f>IFERROR(VLOOKUP(E1586,'Condensed Specialty Crosswalk'!$A$2:$C$182,2,FALSE),"")</f>
        <v/>
      </c>
      <c r="G1586" s="49" t="str">
        <f>IFERROR(VLOOKUP(E1586,'Condensed Specialty Crosswalk'!$A$2:$C$182,3,FALSE),"")</f>
        <v/>
      </c>
    </row>
    <row r="1587" spans="1:7" ht="15" customHeight="1">
      <c r="A1587" s="49"/>
      <c r="B1587" s="49" t="str">
        <f>CONCATENATE(Reports!E1586," ",Reports!F1586," ",Reports!G1586)</f>
        <v xml:space="preserve">  </v>
      </c>
      <c r="C1587" s="50"/>
      <c r="D1587" s="51"/>
      <c r="E1587" s="49" t="str">
        <f>IFERROR(VLOOKUP(D1587,'taxonomy map'!$A$1:$B$171,2,FALSE),"")</f>
        <v/>
      </c>
      <c r="F1587" s="49" t="str">
        <f>IFERROR(VLOOKUP(E1587,'Condensed Specialty Crosswalk'!$A$2:$C$182,2,FALSE),"")</f>
        <v/>
      </c>
      <c r="G1587" s="49" t="str">
        <f>IFERROR(VLOOKUP(E1587,'Condensed Specialty Crosswalk'!$A$2:$C$182,3,FALSE),"")</f>
        <v/>
      </c>
    </row>
    <row r="1588" spans="1:7" ht="15" customHeight="1">
      <c r="A1588" s="49"/>
      <c r="B1588" s="49" t="str">
        <f>CONCATENATE(Reports!E1587," ",Reports!F1587," ",Reports!G1587)</f>
        <v xml:space="preserve">  </v>
      </c>
      <c r="C1588" s="50"/>
      <c r="D1588" s="51"/>
      <c r="E1588" s="49" t="str">
        <f>IFERROR(VLOOKUP(D1588,'taxonomy map'!$A$1:$B$171,2,FALSE),"")</f>
        <v/>
      </c>
      <c r="F1588" s="49" t="str">
        <f>IFERROR(VLOOKUP(E1588,'Condensed Specialty Crosswalk'!$A$2:$C$182,2,FALSE),"")</f>
        <v/>
      </c>
      <c r="G1588" s="49" t="str">
        <f>IFERROR(VLOOKUP(E1588,'Condensed Specialty Crosswalk'!$A$2:$C$182,3,FALSE),"")</f>
        <v/>
      </c>
    </row>
    <row r="1589" spans="1:7" ht="15" customHeight="1">
      <c r="A1589" s="49"/>
      <c r="B1589" s="49" t="str">
        <f>CONCATENATE(Reports!E1588," ",Reports!F1588," ",Reports!G1588)</f>
        <v xml:space="preserve">  </v>
      </c>
      <c r="C1589" s="50"/>
      <c r="D1589" s="51"/>
      <c r="E1589" s="49" t="str">
        <f>IFERROR(VLOOKUP(D1589,'taxonomy map'!$A$1:$B$171,2,FALSE),"")</f>
        <v/>
      </c>
      <c r="F1589" s="49" t="str">
        <f>IFERROR(VLOOKUP(E1589,'Condensed Specialty Crosswalk'!$A$2:$C$182,2,FALSE),"")</f>
        <v/>
      </c>
      <c r="G1589" s="49" t="str">
        <f>IFERROR(VLOOKUP(E1589,'Condensed Specialty Crosswalk'!$A$2:$C$182,3,FALSE),"")</f>
        <v/>
      </c>
    </row>
    <row r="1590" spans="1:7" ht="15" customHeight="1">
      <c r="A1590" s="49"/>
      <c r="B1590" s="49" t="str">
        <f>CONCATENATE(Reports!E1589," ",Reports!F1589," ",Reports!G1589)</f>
        <v xml:space="preserve">  </v>
      </c>
      <c r="C1590" s="50"/>
      <c r="D1590" s="51"/>
      <c r="E1590" s="49" t="str">
        <f>IFERROR(VLOOKUP(D1590,'taxonomy map'!$A$1:$B$171,2,FALSE),"")</f>
        <v/>
      </c>
      <c r="F1590" s="49" t="str">
        <f>IFERROR(VLOOKUP(E1590,'Condensed Specialty Crosswalk'!$A$2:$C$182,2,FALSE),"")</f>
        <v/>
      </c>
      <c r="G1590" s="49" t="str">
        <f>IFERROR(VLOOKUP(E1590,'Condensed Specialty Crosswalk'!$A$2:$C$182,3,FALSE),"")</f>
        <v/>
      </c>
    </row>
    <row r="1591" spans="1:7" ht="15" customHeight="1">
      <c r="A1591" s="49"/>
      <c r="B1591" s="49" t="str">
        <f>CONCATENATE(Reports!E1590," ",Reports!F1590," ",Reports!G1590)</f>
        <v xml:space="preserve">  </v>
      </c>
      <c r="C1591" s="50"/>
      <c r="D1591" s="51"/>
      <c r="E1591" s="49" t="str">
        <f>IFERROR(VLOOKUP(D1591,'taxonomy map'!$A$1:$B$171,2,FALSE),"")</f>
        <v/>
      </c>
      <c r="F1591" s="49" t="str">
        <f>IFERROR(VLOOKUP(E1591,'Condensed Specialty Crosswalk'!$A$2:$C$182,2,FALSE),"")</f>
        <v/>
      </c>
      <c r="G1591" s="49" t="str">
        <f>IFERROR(VLOOKUP(E1591,'Condensed Specialty Crosswalk'!$A$2:$C$182,3,FALSE),"")</f>
        <v/>
      </c>
    </row>
    <row r="1592" spans="1:7" ht="15" customHeight="1">
      <c r="A1592" s="49"/>
      <c r="B1592" s="49" t="str">
        <f>CONCATENATE(Reports!E1591," ",Reports!F1591," ",Reports!G1591)</f>
        <v xml:space="preserve">  </v>
      </c>
      <c r="C1592" s="50"/>
      <c r="D1592" s="51"/>
      <c r="E1592" s="49" t="str">
        <f>IFERROR(VLOOKUP(D1592,'taxonomy map'!$A$1:$B$171,2,FALSE),"")</f>
        <v/>
      </c>
      <c r="F1592" s="49" t="str">
        <f>IFERROR(VLOOKUP(E1592,'Condensed Specialty Crosswalk'!$A$2:$C$182,2,FALSE),"")</f>
        <v/>
      </c>
      <c r="G1592" s="49" t="str">
        <f>IFERROR(VLOOKUP(E1592,'Condensed Specialty Crosswalk'!$A$2:$C$182,3,FALSE),"")</f>
        <v/>
      </c>
    </row>
    <row r="1593" spans="1:7" ht="15" customHeight="1">
      <c r="A1593" s="49"/>
      <c r="B1593" s="49" t="str">
        <f>CONCATENATE(Reports!E1592," ",Reports!F1592," ",Reports!G1592)</f>
        <v xml:space="preserve">  </v>
      </c>
      <c r="C1593" s="50"/>
      <c r="D1593" s="51"/>
      <c r="E1593" s="49" t="str">
        <f>IFERROR(VLOOKUP(D1593,'taxonomy map'!$A$1:$B$171,2,FALSE),"")</f>
        <v/>
      </c>
      <c r="F1593" s="49" t="str">
        <f>IFERROR(VLOOKUP(E1593,'Condensed Specialty Crosswalk'!$A$2:$C$182,2,FALSE),"")</f>
        <v/>
      </c>
      <c r="G1593" s="49" t="str">
        <f>IFERROR(VLOOKUP(E1593,'Condensed Specialty Crosswalk'!$A$2:$C$182,3,FALSE),"")</f>
        <v/>
      </c>
    </row>
    <row r="1594" spans="1:7" ht="15" customHeight="1">
      <c r="A1594" s="49"/>
      <c r="B1594" s="49" t="str">
        <f>CONCATENATE(Reports!E1593," ",Reports!F1593," ",Reports!G1593)</f>
        <v xml:space="preserve">  </v>
      </c>
      <c r="C1594" s="50"/>
      <c r="D1594" s="51"/>
      <c r="E1594" s="49" t="str">
        <f>IFERROR(VLOOKUP(D1594,'taxonomy map'!$A$1:$B$171,2,FALSE),"")</f>
        <v/>
      </c>
      <c r="F1594" s="49" t="str">
        <f>IFERROR(VLOOKUP(E1594,'Condensed Specialty Crosswalk'!$A$2:$C$182,2,FALSE),"")</f>
        <v/>
      </c>
      <c r="G1594" s="49" t="str">
        <f>IFERROR(VLOOKUP(E1594,'Condensed Specialty Crosswalk'!$A$2:$C$182,3,FALSE),"")</f>
        <v/>
      </c>
    </row>
    <row r="1595" spans="1:7" ht="15" customHeight="1">
      <c r="A1595" s="49"/>
      <c r="B1595" s="49" t="str">
        <f>CONCATENATE(Reports!E1594," ",Reports!F1594," ",Reports!G1594)</f>
        <v xml:space="preserve">  </v>
      </c>
      <c r="C1595" s="50"/>
      <c r="D1595" s="51"/>
      <c r="E1595" s="49" t="str">
        <f>IFERROR(VLOOKUP(D1595,'taxonomy map'!$A$1:$B$171,2,FALSE),"")</f>
        <v/>
      </c>
      <c r="F1595" s="49" t="str">
        <f>IFERROR(VLOOKUP(E1595,'Condensed Specialty Crosswalk'!$A$2:$C$182,2,FALSE),"")</f>
        <v/>
      </c>
      <c r="G1595" s="49" t="str">
        <f>IFERROR(VLOOKUP(E1595,'Condensed Specialty Crosswalk'!$A$2:$C$182,3,FALSE),"")</f>
        <v/>
      </c>
    </row>
    <row r="1596" spans="1:7" ht="15" customHeight="1">
      <c r="A1596" s="49"/>
      <c r="B1596" s="49" t="str">
        <f>CONCATENATE(Reports!E1595," ",Reports!F1595," ",Reports!G1595)</f>
        <v xml:space="preserve">  </v>
      </c>
      <c r="C1596" s="50"/>
      <c r="D1596" s="51"/>
      <c r="E1596" s="49" t="str">
        <f>IFERROR(VLOOKUP(D1596,'taxonomy map'!$A$1:$B$171,2,FALSE),"")</f>
        <v/>
      </c>
      <c r="F1596" s="49" t="str">
        <f>IFERROR(VLOOKUP(E1596,'Condensed Specialty Crosswalk'!$A$2:$C$182,2,FALSE),"")</f>
        <v/>
      </c>
      <c r="G1596" s="49" t="str">
        <f>IFERROR(VLOOKUP(E1596,'Condensed Specialty Crosswalk'!$A$2:$C$182,3,FALSE),"")</f>
        <v/>
      </c>
    </row>
    <row r="1597" spans="1:7" ht="15" customHeight="1">
      <c r="A1597" s="49"/>
      <c r="B1597" s="49" t="str">
        <f>CONCATENATE(Reports!E1596," ",Reports!F1596," ",Reports!G1596)</f>
        <v xml:space="preserve">  </v>
      </c>
      <c r="C1597" s="50"/>
      <c r="D1597" s="51"/>
      <c r="E1597" s="49" t="str">
        <f>IFERROR(VLOOKUP(D1597,'taxonomy map'!$A$1:$B$171,2,FALSE),"")</f>
        <v/>
      </c>
      <c r="F1597" s="49" t="str">
        <f>IFERROR(VLOOKUP(E1597,'Condensed Specialty Crosswalk'!$A$2:$C$182,2,FALSE),"")</f>
        <v/>
      </c>
      <c r="G1597" s="49" t="str">
        <f>IFERROR(VLOOKUP(E1597,'Condensed Specialty Crosswalk'!$A$2:$C$182,3,FALSE),"")</f>
        <v/>
      </c>
    </row>
    <row r="1598" spans="1:7" ht="15" customHeight="1">
      <c r="A1598" s="49"/>
      <c r="B1598" s="49" t="str">
        <f>CONCATENATE(Reports!E1597," ",Reports!F1597," ",Reports!G1597)</f>
        <v xml:space="preserve">  </v>
      </c>
      <c r="C1598" s="50"/>
      <c r="D1598" s="51"/>
      <c r="E1598" s="49" t="str">
        <f>IFERROR(VLOOKUP(D1598,'taxonomy map'!$A$1:$B$171,2,FALSE),"")</f>
        <v/>
      </c>
      <c r="F1598" s="49" t="str">
        <f>IFERROR(VLOOKUP(E1598,'Condensed Specialty Crosswalk'!$A$2:$C$182,2,FALSE),"")</f>
        <v/>
      </c>
      <c r="G1598" s="49" t="str">
        <f>IFERROR(VLOOKUP(E1598,'Condensed Specialty Crosswalk'!$A$2:$C$182,3,FALSE),"")</f>
        <v/>
      </c>
    </row>
    <row r="1599" spans="1:7" ht="15" customHeight="1">
      <c r="A1599" s="49"/>
      <c r="B1599" s="49" t="str">
        <f>CONCATENATE(Reports!E1598," ",Reports!F1598," ",Reports!G1598)</f>
        <v xml:space="preserve">  </v>
      </c>
      <c r="C1599" s="50"/>
      <c r="D1599" s="51"/>
      <c r="E1599" s="49" t="str">
        <f>IFERROR(VLOOKUP(D1599,'taxonomy map'!$A$1:$B$171,2,FALSE),"")</f>
        <v/>
      </c>
      <c r="F1599" s="49" t="str">
        <f>IFERROR(VLOOKUP(E1599,'Condensed Specialty Crosswalk'!$A$2:$C$182,2,FALSE),"")</f>
        <v/>
      </c>
      <c r="G1599" s="49" t="str">
        <f>IFERROR(VLOOKUP(E1599,'Condensed Specialty Crosswalk'!$A$2:$C$182,3,FALSE),"")</f>
        <v/>
      </c>
    </row>
    <row r="1600" spans="1:7" ht="15" customHeight="1">
      <c r="A1600" s="49"/>
      <c r="B1600" s="49" t="str">
        <f>CONCATENATE(Reports!E1599," ",Reports!F1599," ",Reports!G1599)</f>
        <v xml:space="preserve">  </v>
      </c>
      <c r="C1600" s="50"/>
      <c r="D1600" s="51"/>
      <c r="E1600" s="49" t="str">
        <f>IFERROR(VLOOKUP(D1600,'taxonomy map'!$A$1:$B$171,2,FALSE),"")</f>
        <v/>
      </c>
      <c r="F1600" s="49" t="str">
        <f>IFERROR(VLOOKUP(E1600,'Condensed Specialty Crosswalk'!$A$2:$C$182,2,FALSE),"")</f>
        <v/>
      </c>
      <c r="G1600" s="49" t="str">
        <f>IFERROR(VLOOKUP(E1600,'Condensed Specialty Crosswalk'!$A$2:$C$182,3,FALSE),"")</f>
        <v/>
      </c>
    </row>
    <row r="1601" spans="1:7" ht="15" customHeight="1">
      <c r="A1601" s="49"/>
      <c r="B1601" s="49" t="str">
        <f>CONCATENATE(Reports!E1600," ",Reports!F1600," ",Reports!G1600)</f>
        <v xml:space="preserve">  </v>
      </c>
      <c r="C1601" s="50"/>
      <c r="D1601" s="51"/>
      <c r="E1601" s="49" t="str">
        <f>IFERROR(VLOOKUP(D1601,'taxonomy map'!$A$1:$B$171,2,FALSE),"")</f>
        <v/>
      </c>
      <c r="F1601" s="49" t="str">
        <f>IFERROR(VLOOKUP(E1601,'Condensed Specialty Crosswalk'!$A$2:$C$182,2,FALSE),"")</f>
        <v/>
      </c>
      <c r="G1601" s="49" t="str">
        <f>IFERROR(VLOOKUP(E1601,'Condensed Specialty Crosswalk'!$A$2:$C$182,3,FALSE),"")</f>
        <v/>
      </c>
    </row>
    <row r="1602" spans="1:7" ht="15" customHeight="1">
      <c r="A1602" s="49"/>
      <c r="B1602" s="49" t="str">
        <f>CONCATENATE(Reports!E1601," ",Reports!F1601," ",Reports!G1601)</f>
        <v xml:space="preserve">  </v>
      </c>
      <c r="C1602" s="50"/>
      <c r="D1602" s="51"/>
      <c r="E1602" s="49" t="str">
        <f>IFERROR(VLOOKUP(D1602,'taxonomy map'!$A$1:$B$171,2,FALSE),"")</f>
        <v/>
      </c>
      <c r="F1602" s="49" t="str">
        <f>IFERROR(VLOOKUP(E1602,'Condensed Specialty Crosswalk'!$A$2:$C$182,2,FALSE),"")</f>
        <v/>
      </c>
      <c r="G1602" s="49" t="str">
        <f>IFERROR(VLOOKUP(E1602,'Condensed Specialty Crosswalk'!$A$2:$C$182,3,FALSE),"")</f>
        <v/>
      </c>
    </row>
    <row r="1603" spans="1:7" ht="15" customHeight="1">
      <c r="A1603" s="49"/>
      <c r="B1603" s="49" t="str">
        <f>CONCATENATE(Reports!E1602," ",Reports!F1602," ",Reports!G1602)</f>
        <v xml:space="preserve">  </v>
      </c>
      <c r="C1603" s="50"/>
      <c r="D1603" s="51"/>
      <c r="E1603" s="49" t="str">
        <f>IFERROR(VLOOKUP(D1603,'taxonomy map'!$A$1:$B$171,2,FALSE),"")</f>
        <v/>
      </c>
      <c r="F1603" s="49" t="str">
        <f>IFERROR(VLOOKUP(E1603,'Condensed Specialty Crosswalk'!$A$2:$C$182,2,FALSE),"")</f>
        <v/>
      </c>
      <c r="G1603" s="49" t="str">
        <f>IFERROR(VLOOKUP(E1603,'Condensed Specialty Crosswalk'!$A$2:$C$182,3,FALSE),"")</f>
        <v/>
      </c>
    </row>
    <row r="1604" spans="1:7" ht="15" customHeight="1">
      <c r="A1604" s="49"/>
      <c r="B1604" s="49" t="str">
        <f>CONCATENATE(Reports!E1603," ",Reports!F1603," ",Reports!G1603)</f>
        <v xml:space="preserve">  </v>
      </c>
      <c r="C1604" s="50"/>
      <c r="D1604" s="51"/>
      <c r="E1604" s="49" t="str">
        <f>IFERROR(VLOOKUP(D1604,'taxonomy map'!$A$1:$B$171,2,FALSE),"")</f>
        <v/>
      </c>
      <c r="F1604" s="49" t="str">
        <f>IFERROR(VLOOKUP(E1604,'Condensed Specialty Crosswalk'!$A$2:$C$182,2,FALSE),"")</f>
        <v/>
      </c>
      <c r="G1604" s="49" t="str">
        <f>IFERROR(VLOOKUP(E1604,'Condensed Specialty Crosswalk'!$A$2:$C$182,3,FALSE),"")</f>
        <v/>
      </c>
    </row>
    <row r="1605" spans="1:7" ht="15" customHeight="1">
      <c r="A1605" s="49"/>
      <c r="B1605" s="49" t="str">
        <f>CONCATENATE(Reports!E1604," ",Reports!F1604," ",Reports!G1604)</f>
        <v xml:space="preserve">  </v>
      </c>
      <c r="C1605" s="50"/>
      <c r="D1605" s="51"/>
      <c r="E1605" s="49" t="str">
        <f>IFERROR(VLOOKUP(D1605,'taxonomy map'!$A$1:$B$171,2,FALSE),"")</f>
        <v/>
      </c>
      <c r="F1605" s="49" t="str">
        <f>IFERROR(VLOOKUP(E1605,'Condensed Specialty Crosswalk'!$A$2:$C$182,2,FALSE),"")</f>
        <v/>
      </c>
      <c r="G1605" s="49" t="str">
        <f>IFERROR(VLOOKUP(E1605,'Condensed Specialty Crosswalk'!$A$2:$C$182,3,FALSE),"")</f>
        <v/>
      </c>
    </row>
    <row r="1606" spans="1:7" ht="15" customHeight="1">
      <c r="A1606" s="49"/>
      <c r="B1606" s="49" t="str">
        <f>CONCATENATE(Reports!E1605," ",Reports!F1605," ",Reports!G1605)</f>
        <v xml:space="preserve">  </v>
      </c>
      <c r="C1606" s="50"/>
      <c r="D1606" s="51"/>
      <c r="E1606" s="49" t="str">
        <f>IFERROR(VLOOKUP(D1606,'taxonomy map'!$A$1:$B$171,2,FALSE),"")</f>
        <v/>
      </c>
      <c r="F1606" s="49" t="str">
        <f>IFERROR(VLOOKUP(E1606,'Condensed Specialty Crosswalk'!$A$2:$C$182,2,FALSE),"")</f>
        <v/>
      </c>
      <c r="G1606" s="49" t="str">
        <f>IFERROR(VLOOKUP(E1606,'Condensed Specialty Crosswalk'!$A$2:$C$182,3,FALSE),"")</f>
        <v/>
      </c>
    </row>
    <row r="1607" spans="1:7" ht="15" customHeight="1">
      <c r="A1607" s="49"/>
      <c r="B1607" s="49" t="str">
        <f>CONCATENATE(Reports!E1606," ",Reports!F1606," ",Reports!G1606)</f>
        <v xml:space="preserve">  </v>
      </c>
      <c r="C1607" s="50"/>
      <c r="D1607" s="51"/>
      <c r="E1607" s="49" t="str">
        <f>IFERROR(VLOOKUP(D1607,'taxonomy map'!$A$1:$B$171,2,FALSE),"")</f>
        <v/>
      </c>
      <c r="F1607" s="49" t="str">
        <f>IFERROR(VLOOKUP(E1607,'Condensed Specialty Crosswalk'!$A$2:$C$182,2,FALSE),"")</f>
        <v/>
      </c>
      <c r="G1607" s="49" t="str">
        <f>IFERROR(VLOOKUP(E1607,'Condensed Specialty Crosswalk'!$A$2:$C$182,3,FALSE),"")</f>
        <v/>
      </c>
    </row>
    <row r="1608" spans="1:7" ht="15" customHeight="1">
      <c r="A1608" s="49"/>
      <c r="B1608" s="49" t="str">
        <f>CONCATENATE(Reports!E1607," ",Reports!F1607," ",Reports!G1607)</f>
        <v xml:space="preserve">  </v>
      </c>
      <c r="C1608" s="50"/>
      <c r="D1608" s="51"/>
      <c r="E1608" s="49" t="str">
        <f>IFERROR(VLOOKUP(D1608,'taxonomy map'!$A$1:$B$171,2,FALSE),"")</f>
        <v/>
      </c>
      <c r="F1608" s="49" t="str">
        <f>IFERROR(VLOOKUP(E1608,'Condensed Specialty Crosswalk'!$A$2:$C$182,2,FALSE),"")</f>
        <v/>
      </c>
      <c r="G1608" s="49" t="str">
        <f>IFERROR(VLOOKUP(E1608,'Condensed Specialty Crosswalk'!$A$2:$C$182,3,FALSE),"")</f>
        <v/>
      </c>
    </row>
    <row r="1609" spans="1:7" ht="15" customHeight="1">
      <c r="A1609" s="49"/>
      <c r="B1609" s="49" t="str">
        <f>CONCATENATE(Reports!E1608," ",Reports!F1608," ",Reports!G1608)</f>
        <v xml:space="preserve">  </v>
      </c>
      <c r="C1609" s="50"/>
      <c r="D1609" s="51"/>
      <c r="E1609" s="49" t="str">
        <f>IFERROR(VLOOKUP(D1609,'taxonomy map'!$A$1:$B$171,2,FALSE),"")</f>
        <v/>
      </c>
      <c r="F1609" s="49" t="str">
        <f>IFERROR(VLOOKUP(E1609,'Condensed Specialty Crosswalk'!$A$2:$C$182,2,FALSE),"")</f>
        <v/>
      </c>
      <c r="G1609" s="49" t="str">
        <f>IFERROR(VLOOKUP(E1609,'Condensed Specialty Crosswalk'!$A$2:$C$182,3,FALSE),"")</f>
        <v/>
      </c>
    </row>
    <row r="1610" spans="1:7" ht="15" customHeight="1">
      <c r="A1610" s="49"/>
      <c r="B1610" s="49" t="str">
        <f>CONCATENATE(Reports!E1609," ",Reports!F1609," ",Reports!G1609)</f>
        <v xml:space="preserve">  </v>
      </c>
      <c r="C1610" s="50"/>
      <c r="D1610" s="51"/>
      <c r="E1610" s="49" t="str">
        <f>IFERROR(VLOOKUP(D1610,'taxonomy map'!$A$1:$B$171,2,FALSE),"")</f>
        <v/>
      </c>
      <c r="F1610" s="49" t="str">
        <f>IFERROR(VLOOKUP(E1610,'Condensed Specialty Crosswalk'!$A$2:$C$182,2,FALSE),"")</f>
        <v/>
      </c>
      <c r="G1610" s="49" t="str">
        <f>IFERROR(VLOOKUP(E1610,'Condensed Specialty Crosswalk'!$A$2:$C$182,3,FALSE),"")</f>
        <v/>
      </c>
    </row>
    <row r="1611" spans="1:7" ht="15" customHeight="1">
      <c r="A1611" s="49"/>
      <c r="B1611" s="49" t="str">
        <f>CONCATENATE(Reports!E1610," ",Reports!F1610," ",Reports!G1610)</f>
        <v xml:space="preserve">  </v>
      </c>
      <c r="C1611" s="50"/>
      <c r="D1611" s="51"/>
      <c r="E1611" s="49" t="str">
        <f>IFERROR(VLOOKUP(D1611,'taxonomy map'!$A$1:$B$171,2,FALSE),"")</f>
        <v/>
      </c>
      <c r="F1611" s="49" t="str">
        <f>IFERROR(VLOOKUP(E1611,'Condensed Specialty Crosswalk'!$A$2:$C$182,2,FALSE),"")</f>
        <v/>
      </c>
      <c r="G1611" s="49" t="str">
        <f>IFERROR(VLOOKUP(E1611,'Condensed Specialty Crosswalk'!$A$2:$C$182,3,FALSE),"")</f>
        <v/>
      </c>
    </row>
    <row r="1612" spans="1:7" ht="15" customHeight="1">
      <c r="A1612" s="49"/>
      <c r="B1612" s="49" t="str">
        <f>CONCATENATE(Reports!E1611," ",Reports!F1611," ",Reports!G1611)</f>
        <v xml:space="preserve">  </v>
      </c>
      <c r="C1612" s="50"/>
      <c r="D1612" s="51"/>
      <c r="E1612" s="49" t="str">
        <f>IFERROR(VLOOKUP(D1612,'taxonomy map'!$A$1:$B$171,2,FALSE),"")</f>
        <v/>
      </c>
      <c r="F1612" s="49" t="str">
        <f>IFERROR(VLOOKUP(E1612,'Condensed Specialty Crosswalk'!$A$2:$C$182,2,FALSE),"")</f>
        <v/>
      </c>
      <c r="G1612" s="49" t="str">
        <f>IFERROR(VLOOKUP(E1612,'Condensed Specialty Crosswalk'!$A$2:$C$182,3,FALSE),"")</f>
        <v/>
      </c>
    </row>
    <row r="1613" spans="1:7" ht="15" customHeight="1">
      <c r="A1613" s="49"/>
      <c r="B1613" s="49" t="str">
        <f>CONCATENATE(Reports!E1612," ",Reports!F1612," ",Reports!G1612)</f>
        <v xml:space="preserve">  </v>
      </c>
      <c r="C1613" s="50"/>
      <c r="D1613" s="51"/>
      <c r="E1613" s="49" t="str">
        <f>IFERROR(VLOOKUP(D1613,'taxonomy map'!$A$1:$B$171,2,FALSE),"")</f>
        <v/>
      </c>
      <c r="F1613" s="49" t="str">
        <f>IFERROR(VLOOKUP(E1613,'Condensed Specialty Crosswalk'!$A$2:$C$182,2,FALSE),"")</f>
        <v/>
      </c>
      <c r="G1613" s="49" t="str">
        <f>IFERROR(VLOOKUP(E1613,'Condensed Specialty Crosswalk'!$A$2:$C$182,3,FALSE),"")</f>
        <v/>
      </c>
    </row>
    <row r="1614" spans="1:7" ht="15" customHeight="1">
      <c r="A1614" s="49"/>
      <c r="B1614" s="49" t="str">
        <f>CONCATENATE(Reports!E1613," ",Reports!F1613," ",Reports!G1613)</f>
        <v xml:space="preserve">  </v>
      </c>
      <c r="C1614" s="50"/>
      <c r="D1614" s="51"/>
      <c r="E1614" s="49" t="str">
        <f>IFERROR(VLOOKUP(D1614,'taxonomy map'!$A$1:$B$171,2,FALSE),"")</f>
        <v/>
      </c>
      <c r="F1614" s="49" t="str">
        <f>IFERROR(VLOOKUP(E1614,'Condensed Specialty Crosswalk'!$A$2:$C$182,2,FALSE),"")</f>
        <v/>
      </c>
      <c r="G1614" s="49" t="str">
        <f>IFERROR(VLOOKUP(E1614,'Condensed Specialty Crosswalk'!$A$2:$C$182,3,FALSE),"")</f>
        <v/>
      </c>
    </row>
    <row r="1615" spans="1:7" ht="15" customHeight="1">
      <c r="A1615" s="49"/>
      <c r="B1615" s="49" t="str">
        <f>CONCATENATE(Reports!E1614," ",Reports!F1614," ",Reports!G1614)</f>
        <v xml:space="preserve">  </v>
      </c>
      <c r="C1615" s="50"/>
      <c r="D1615" s="51"/>
      <c r="E1615" s="49" t="str">
        <f>IFERROR(VLOOKUP(D1615,'taxonomy map'!$A$1:$B$171,2,FALSE),"")</f>
        <v/>
      </c>
      <c r="F1615" s="49" t="str">
        <f>IFERROR(VLOOKUP(E1615,'Condensed Specialty Crosswalk'!$A$2:$C$182,2,FALSE),"")</f>
        <v/>
      </c>
      <c r="G1615" s="49" t="str">
        <f>IFERROR(VLOOKUP(E1615,'Condensed Specialty Crosswalk'!$A$2:$C$182,3,FALSE),"")</f>
        <v/>
      </c>
    </row>
    <row r="1616" spans="1:7" ht="15" customHeight="1">
      <c r="A1616" s="49"/>
      <c r="B1616" s="49" t="str">
        <f>CONCATENATE(Reports!E1615," ",Reports!F1615," ",Reports!G1615)</f>
        <v xml:space="preserve">  </v>
      </c>
      <c r="C1616" s="50"/>
      <c r="D1616" s="51"/>
      <c r="E1616" s="49" t="str">
        <f>IFERROR(VLOOKUP(D1616,'taxonomy map'!$A$1:$B$171,2,FALSE),"")</f>
        <v/>
      </c>
      <c r="F1616" s="49" t="str">
        <f>IFERROR(VLOOKUP(E1616,'Condensed Specialty Crosswalk'!$A$2:$C$182,2,FALSE),"")</f>
        <v/>
      </c>
      <c r="G1616" s="49" t="str">
        <f>IFERROR(VLOOKUP(E1616,'Condensed Specialty Crosswalk'!$A$2:$C$182,3,FALSE),"")</f>
        <v/>
      </c>
    </row>
    <row r="1617" spans="1:7" ht="15" customHeight="1">
      <c r="A1617" s="49"/>
      <c r="B1617" s="49" t="str">
        <f>CONCATENATE(Reports!E1616," ",Reports!F1616," ",Reports!G1616)</f>
        <v xml:space="preserve">  </v>
      </c>
      <c r="C1617" s="50"/>
      <c r="D1617" s="51"/>
      <c r="E1617" s="49" t="str">
        <f>IFERROR(VLOOKUP(D1617,'taxonomy map'!$A$1:$B$171,2,FALSE),"")</f>
        <v/>
      </c>
      <c r="F1617" s="49" t="str">
        <f>IFERROR(VLOOKUP(E1617,'Condensed Specialty Crosswalk'!$A$2:$C$182,2,FALSE),"")</f>
        <v/>
      </c>
      <c r="G1617" s="49" t="str">
        <f>IFERROR(VLOOKUP(E1617,'Condensed Specialty Crosswalk'!$A$2:$C$182,3,FALSE),"")</f>
        <v/>
      </c>
    </row>
    <row r="1618" spans="1:7" ht="15" customHeight="1">
      <c r="A1618" s="49"/>
      <c r="B1618" s="49" t="str">
        <f>CONCATENATE(Reports!E1617," ",Reports!F1617," ",Reports!G1617)</f>
        <v xml:space="preserve">  </v>
      </c>
      <c r="C1618" s="50"/>
      <c r="D1618" s="51"/>
      <c r="E1618" s="49" t="str">
        <f>IFERROR(VLOOKUP(D1618,'taxonomy map'!$A$1:$B$171,2,FALSE),"")</f>
        <v/>
      </c>
      <c r="F1618" s="49" t="str">
        <f>IFERROR(VLOOKUP(E1618,'Condensed Specialty Crosswalk'!$A$2:$C$182,2,FALSE),"")</f>
        <v/>
      </c>
      <c r="G1618" s="49" t="str">
        <f>IFERROR(VLOOKUP(E1618,'Condensed Specialty Crosswalk'!$A$2:$C$182,3,FALSE),"")</f>
        <v/>
      </c>
    </row>
    <row r="1619" spans="1:7" ht="15" customHeight="1">
      <c r="A1619" s="49"/>
      <c r="B1619" s="49" t="str">
        <f>CONCATENATE(Reports!E1618," ",Reports!F1618," ",Reports!G1618)</f>
        <v xml:space="preserve">  </v>
      </c>
      <c r="C1619" s="50"/>
      <c r="D1619" s="51"/>
      <c r="E1619" s="49" t="str">
        <f>IFERROR(VLOOKUP(D1619,'taxonomy map'!$A$1:$B$171,2,FALSE),"")</f>
        <v/>
      </c>
      <c r="F1619" s="49" t="str">
        <f>IFERROR(VLOOKUP(E1619,'Condensed Specialty Crosswalk'!$A$2:$C$182,2,FALSE),"")</f>
        <v/>
      </c>
      <c r="G1619" s="49" t="str">
        <f>IFERROR(VLOOKUP(E1619,'Condensed Specialty Crosswalk'!$A$2:$C$182,3,FALSE),"")</f>
        <v/>
      </c>
    </row>
    <row r="1620" spans="1:7" ht="15" customHeight="1">
      <c r="A1620" s="49"/>
      <c r="B1620" s="49" t="str">
        <f>CONCATENATE(Reports!E1619," ",Reports!F1619," ",Reports!G1619)</f>
        <v xml:space="preserve">  </v>
      </c>
      <c r="C1620" s="50"/>
      <c r="D1620" s="51"/>
      <c r="E1620" s="49" t="str">
        <f>IFERROR(VLOOKUP(D1620,'taxonomy map'!$A$1:$B$171,2,FALSE),"")</f>
        <v/>
      </c>
      <c r="F1620" s="49" t="str">
        <f>IFERROR(VLOOKUP(E1620,'Condensed Specialty Crosswalk'!$A$2:$C$182,2,FALSE),"")</f>
        <v/>
      </c>
      <c r="G1620" s="49" t="str">
        <f>IFERROR(VLOOKUP(E1620,'Condensed Specialty Crosswalk'!$A$2:$C$182,3,FALSE),"")</f>
        <v/>
      </c>
    </row>
    <row r="1621" spans="1:7" ht="15" customHeight="1">
      <c r="A1621" s="49"/>
      <c r="B1621" s="49" t="str">
        <f>CONCATENATE(Reports!E1620," ",Reports!F1620," ",Reports!G1620)</f>
        <v xml:space="preserve">  </v>
      </c>
      <c r="C1621" s="50"/>
      <c r="D1621" s="51"/>
      <c r="E1621" s="49" t="str">
        <f>IFERROR(VLOOKUP(D1621,'taxonomy map'!$A$1:$B$171,2,FALSE),"")</f>
        <v/>
      </c>
      <c r="F1621" s="49" t="str">
        <f>IFERROR(VLOOKUP(E1621,'Condensed Specialty Crosswalk'!$A$2:$C$182,2,FALSE),"")</f>
        <v/>
      </c>
      <c r="G1621" s="49" t="str">
        <f>IFERROR(VLOOKUP(E1621,'Condensed Specialty Crosswalk'!$A$2:$C$182,3,FALSE),"")</f>
        <v/>
      </c>
    </row>
    <row r="1622" spans="1:7" ht="15" customHeight="1">
      <c r="A1622" s="49"/>
      <c r="B1622" s="49" t="str">
        <f>CONCATENATE(Reports!E1621," ",Reports!F1621," ",Reports!G1621)</f>
        <v xml:space="preserve">  </v>
      </c>
      <c r="C1622" s="50"/>
      <c r="D1622" s="51"/>
      <c r="E1622" s="49" t="str">
        <f>IFERROR(VLOOKUP(D1622,'taxonomy map'!$A$1:$B$171,2,FALSE),"")</f>
        <v/>
      </c>
      <c r="F1622" s="49" t="str">
        <f>IFERROR(VLOOKUP(E1622,'Condensed Specialty Crosswalk'!$A$2:$C$182,2,FALSE),"")</f>
        <v/>
      </c>
      <c r="G1622" s="49" t="str">
        <f>IFERROR(VLOOKUP(E1622,'Condensed Specialty Crosswalk'!$A$2:$C$182,3,FALSE),"")</f>
        <v/>
      </c>
    </row>
    <row r="1623" spans="1:7" ht="15" customHeight="1">
      <c r="A1623" s="49"/>
      <c r="B1623" s="49" t="str">
        <f>CONCATENATE(Reports!E1622," ",Reports!F1622," ",Reports!G1622)</f>
        <v xml:space="preserve">  </v>
      </c>
      <c r="C1623" s="50"/>
      <c r="D1623" s="51"/>
      <c r="E1623" s="49" t="str">
        <f>IFERROR(VLOOKUP(D1623,'taxonomy map'!$A$1:$B$171,2,FALSE),"")</f>
        <v/>
      </c>
      <c r="F1623" s="49" t="str">
        <f>IFERROR(VLOOKUP(E1623,'Condensed Specialty Crosswalk'!$A$2:$C$182,2,FALSE),"")</f>
        <v/>
      </c>
      <c r="G1623" s="49" t="str">
        <f>IFERROR(VLOOKUP(E1623,'Condensed Specialty Crosswalk'!$A$2:$C$182,3,FALSE),"")</f>
        <v/>
      </c>
    </row>
    <row r="1624" spans="1:7" ht="15" customHeight="1">
      <c r="A1624" s="49"/>
      <c r="B1624" s="49" t="str">
        <f>CONCATENATE(Reports!E1623," ",Reports!F1623," ",Reports!G1623)</f>
        <v xml:space="preserve">  </v>
      </c>
      <c r="C1624" s="50"/>
      <c r="D1624" s="51"/>
      <c r="E1624" s="49" t="str">
        <f>IFERROR(VLOOKUP(D1624,'taxonomy map'!$A$1:$B$171,2,FALSE),"")</f>
        <v/>
      </c>
      <c r="F1624" s="49" t="str">
        <f>IFERROR(VLOOKUP(E1624,'Condensed Specialty Crosswalk'!$A$2:$C$182,2,FALSE),"")</f>
        <v/>
      </c>
      <c r="G1624" s="49" t="str">
        <f>IFERROR(VLOOKUP(E1624,'Condensed Specialty Crosswalk'!$A$2:$C$182,3,FALSE),"")</f>
        <v/>
      </c>
    </row>
    <row r="1625" spans="1:7" ht="15" customHeight="1">
      <c r="A1625" s="49"/>
      <c r="B1625" s="49" t="str">
        <f>CONCATENATE(Reports!E1624," ",Reports!F1624," ",Reports!G1624)</f>
        <v xml:space="preserve">  </v>
      </c>
      <c r="C1625" s="50"/>
      <c r="D1625" s="51"/>
      <c r="E1625" s="49" t="str">
        <f>IFERROR(VLOOKUP(D1625,'taxonomy map'!$A$1:$B$171,2,FALSE),"")</f>
        <v/>
      </c>
      <c r="F1625" s="49" t="str">
        <f>IFERROR(VLOOKUP(E1625,'Condensed Specialty Crosswalk'!$A$2:$C$182,2,FALSE),"")</f>
        <v/>
      </c>
      <c r="G1625" s="49" t="str">
        <f>IFERROR(VLOOKUP(E1625,'Condensed Specialty Crosswalk'!$A$2:$C$182,3,FALSE),"")</f>
        <v/>
      </c>
    </row>
    <row r="1626" spans="1:7" ht="15" customHeight="1">
      <c r="A1626" s="49"/>
      <c r="B1626" s="49" t="str">
        <f>CONCATENATE(Reports!E1625," ",Reports!F1625," ",Reports!G1625)</f>
        <v xml:space="preserve">  </v>
      </c>
      <c r="C1626" s="50"/>
      <c r="D1626" s="51"/>
      <c r="E1626" s="49" t="str">
        <f>IFERROR(VLOOKUP(D1626,'taxonomy map'!$A$1:$B$171,2,FALSE),"")</f>
        <v/>
      </c>
      <c r="F1626" s="49" t="str">
        <f>IFERROR(VLOOKUP(E1626,'Condensed Specialty Crosswalk'!$A$2:$C$182,2,FALSE),"")</f>
        <v/>
      </c>
      <c r="G1626" s="49" t="str">
        <f>IFERROR(VLOOKUP(E1626,'Condensed Specialty Crosswalk'!$A$2:$C$182,3,FALSE),"")</f>
        <v/>
      </c>
    </row>
    <row r="1627" spans="1:7" ht="15" customHeight="1">
      <c r="A1627" s="49"/>
      <c r="B1627" s="49" t="str">
        <f>CONCATENATE(Reports!E1626," ",Reports!F1626," ",Reports!G1626)</f>
        <v xml:space="preserve">  </v>
      </c>
      <c r="C1627" s="50"/>
      <c r="D1627" s="51"/>
      <c r="E1627" s="49" t="str">
        <f>IFERROR(VLOOKUP(D1627,'taxonomy map'!$A$1:$B$171,2,FALSE),"")</f>
        <v/>
      </c>
      <c r="F1627" s="49" t="str">
        <f>IFERROR(VLOOKUP(E1627,'Condensed Specialty Crosswalk'!$A$2:$C$182,2,FALSE),"")</f>
        <v/>
      </c>
      <c r="G1627" s="49" t="str">
        <f>IFERROR(VLOOKUP(E1627,'Condensed Specialty Crosswalk'!$A$2:$C$182,3,FALSE),"")</f>
        <v/>
      </c>
    </row>
    <row r="1628" spans="1:7" ht="15" customHeight="1">
      <c r="A1628" s="49"/>
      <c r="B1628" s="49" t="str">
        <f>CONCATENATE(Reports!E1627," ",Reports!F1627," ",Reports!G1627)</f>
        <v xml:space="preserve">  </v>
      </c>
      <c r="C1628" s="50"/>
      <c r="D1628" s="51"/>
      <c r="E1628" s="49" t="str">
        <f>IFERROR(VLOOKUP(D1628,'taxonomy map'!$A$1:$B$171,2,FALSE),"")</f>
        <v/>
      </c>
      <c r="F1628" s="49" t="str">
        <f>IFERROR(VLOOKUP(E1628,'Condensed Specialty Crosswalk'!$A$2:$C$182,2,FALSE),"")</f>
        <v/>
      </c>
      <c r="G1628" s="49" t="str">
        <f>IFERROR(VLOOKUP(E1628,'Condensed Specialty Crosswalk'!$A$2:$C$182,3,FALSE),"")</f>
        <v/>
      </c>
    </row>
    <row r="1629" spans="1:7" ht="15" customHeight="1">
      <c r="A1629" s="49"/>
      <c r="B1629" s="49" t="str">
        <f>CONCATENATE(Reports!E1628," ",Reports!F1628," ",Reports!G1628)</f>
        <v xml:space="preserve">  </v>
      </c>
      <c r="C1629" s="50"/>
      <c r="D1629" s="51"/>
      <c r="E1629" s="49" t="str">
        <f>IFERROR(VLOOKUP(D1629,'taxonomy map'!$A$1:$B$171,2,FALSE),"")</f>
        <v/>
      </c>
      <c r="F1629" s="49" t="str">
        <f>IFERROR(VLOOKUP(E1629,'Condensed Specialty Crosswalk'!$A$2:$C$182,2,FALSE),"")</f>
        <v/>
      </c>
      <c r="G1629" s="49" t="str">
        <f>IFERROR(VLOOKUP(E1629,'Condensed Specialty Crosswalk'!$A$2:$C$182,3,FALSE),"")</f>
        <v/>
      </c>
    </row>
    <row r="1630" spans="1:7" ht="15" customHeight="1">
      <c r="A1630" s="49"/>
      <c r="B1630" s="49" t="str">
        <f>CONCATENATE(Reports!E1629," ",Reports!F1629," ",Reports!G1629)</f>
        <v xml:space="preserve">  </v>
      </c>
      <c r="C1630" s="50"/>
      <c r="D1630" s="51"/>
      <c r="E1630" s="49" t="str">
        <f>IFERROR(VLOOKUP(D1630,'taxonomy map'!$A$1:$B$171,2,FALSE),"")</f>
        <v/>
      </c>
      <c r="F1630" s="49" t="str">
        <f>IFERROR(VLOOKUP(E1630,'Condensed Specialty Crosswalk'!$A$2:$C$182,2,FALSE),"")</f>
        <v/>
      </c>
      <c r="G1630" s="49" t="str">
        <f>IFERROR(VLOOKUP(E1630,'Condensed Specialty Crosswalk'!$A$2:$C$182,3,FALSE),"")</f>
        <v/>
      </c>
    </row>
    <row r="1631" spans="1:7" ht="15" customHeight="1">
      <c r="A1631" s="49"/>
      <c r="B1631" s="49" t="str">
        <f>CONCATENATE(Reports!E1630," ",Reports!F1630," ",Reports!G1630)</f>
        <v xml:space="preserve">  </v>
      </c>
      <c r="C1631" s="50"/>
      <c r="D1631" s="51"/>
      <c r="E1631" s="49" t="str">
        <f>IFERROR(VLOOKUP(D1631,'taxonomy map'!$A$1:$B$171,2,FALSE),"")</f>
        <v/>
      </c>
      <c r="F1631" s="49" t="str">
        <f>IFERROR(VLOOKUP(E1631,'Condensed Specialty Crosswalk'!$A$2:$C$182,2,FALSE),"")</f>
        <v/>
      </c>
      <c r="G1631" s="49" t="str">
        <f>IFERROR(VLOOKUP(E1631,'Condensed Specialty Crosswalk'!$A$2:$C$182,3,FALSE),"")</f>
        <v/>
      </c>
    </row>
    <row r="1632" spans="1:7" ht="15" customHeight="1">
      <c r="A1632" s="49"/>
      <c r="B1632" s="49" t="str">
        <f>CONCATENATE(Reports!E1631," ",Reports!F1631," ",Reports!G1631)</f>
        <v xml:space="preserve">  </v>
      </c>
      <c r="C1632" s="50"/>
      <c r="D1632" s="51"/>
      <c r="E1632" s="49" t="str">
        <f>IFERROR(VLOOKUP(D1632,'taxonomy map'!$A$1:$B$171,2,FALSE),"")</f>
        <v/>
      </c>
      <c r="F1632" s="49" t="str">
        <f>IFERROR(VLOOKUP(E1632,'Condensed Specialty Crosswalk'!$A$2:$C$182,2,FALSE),"")</f>
        <v/>
      </c>
      <c r="G1632" s="49" t="str">
        <f>IFERROR(VLOOKUP(E1632,'Condensed Specialty Crosswalk'!$A$2:$C$182,3,FALSE),"")</f>
        <v/>
      </c>
    </row>
    <row r="1633" spans="1:7" ht="15" customHeight="1">
      <c r="A1633" s="49"/>
      <c r="B1633" s="49" t="str">
        <f>CONCATENATE(Reports!E1632," ",Reports!F1632," ",Reports!G1632)</f>
        <v xml:space="preserve">  </v>
      </c>
      <c r="C1633" s="50"/>
      <c r="D1633" s="51"/>
      <c r="E1633" s="49" t="str">
        <f>IFERROR(VLOOKUP(D1633,'taxonomy map'!$A$1:$B$171,2,FALSE),"")</f>
        <v/>
      </c>
      <c r="F1633" s="49" t="str">
        <f>IFERROR(VLOOKUP(E1633,'Condensed Specialty Crosswalk'!$A$2:$C$182,2,FALSE),"")</f>
        <v/>
      </c>
      <c r="G1633" s="49" t="str">
        <f>IFERROR(VLOOKUP(E1633,'Condensed Specialty Crosswalk'!$A$2:$C$182,3,FALSE),"")</f>
        <v/>
      </c>
    </row>
    <row r="1634" spans="1:7" ht="15" customHeight="1">
      <c r="A1634" s="49"/>
      <c r="B1634" s="49" t="str">
        <f>CONCATENATE(Reports!E1633," ",Reports!F1633," ",Reports!G1633)</f>
        <v xml:space="preserve">  </v>
      </c>
      <c r="C1634" s="50"/>
      <c r="D1634" s="51"/>
      <c r="E1634" s="49" t="str">
        <f>IFERROR(VLOOKUP(D1634,'taxonomy map'!$A$1:$B$171,2,FALSE),"")</f>
        <v/>
      </c>
      <c r="F1634" s="49" t="str">
        <f>IFERROR(VLOOKUP(E1634,'Condensed Specialty Crosswalk'!$A$2:$C$182,2,FALSE),"")</f>
        <v/>
      </c>
      <c r="G1634" s="49" t="str">
        <f>IFERROR(VLOOKUP(E1634,'Condensed Specialty Crosswalk'!$A$2:$C$182,3,FALSE),"")</f>
        <v/>
      </c>
    </row>
    <row r="1635" spans="1:7" ht="15" customHeight="1">
      <c r="A1635" s="49"/>
      <c r="B1635" s="49" t="str">
        <f>CONCATENATE(Reports!E1634," ",Reports!F1634," ",Reports!G1634)</f>
        <v xml:space="preserve">  </v>
      </c>
      <c r="C1635" s="50"/>
      <c r="D1635" s="51"/>
      <c r="E1635" s="49" t="str">
        <f>IFERROR(VLOOKUP(D1635,'taxonomy map'!$A$1:$B$171,2,FALSE),"")</f>
        <v/>
      </c>
      <c r="F1635" s="49" t="str">
        <f>IFERROR(VLOOKUP(E1635,'Condensed Specialty Crosswalk'!$A$2:$C$182,2,FALSE),"")</f>
        <v/>
      </c>
      <c r="G1635" s="49" t="str">
        <f>IFERROR(VLOOKUP(E1635,'Condensed Specialty Crosswalk'!$A$2:$C$182,3,FALSE),"")</f>
        <v/>
      </c>
    </row>
    <row r="1636" spans="1:7" ht="15" customHeight="1">
      <c r="A1636" s="49"/>
      <c r="B1636" s="49" t="str">
        <f>CONCATENATE(Reports!E1635," ",Reports!F1635," ",Reports!G1635)</f>
        <v xml:space="preserve">  </v>
      </c>
      <c r="C1636" s="50"/>
      <c r="D1636" s="51"/>
      <c r="E1636" s="49" t="str">
        <f>IFERROR(VLOOKUP(D1636,'taxonomy map'!$A$1:$B$171,2,FALSE),"")</f>
        <v/>
      </c>
      <c r="F1636" s="49" t="str">
        <f>IFERROR(VLOOKUP(E1636,'Condensed Specialty Crosswalk'!$A$2:$C$182,2,FALSE),"")</f>
        <v/>
      </c>
      <c r="G1636" s="49" t="str">
        <f>IFERROR(VLOOKUP(E1636,'Condensed Specialty Crosswalk'!$A$2:$C$182,3,FALSE),"")</f>
        <v/>
      </c>
    </row>
    <row r="1637" spans="1:7" ht="15" customHeight="1">
      <c r="A1637" s="49"/>
      <c r="B1637" s="49" t="str">
        <f>CONCATENATE(Reports!E1636," ",Reports!F1636," ",Reports!G1636)</f>
        <v xml:space="preserve">  </v>
      </c>
      <c r="C1637" s="50"/>
      <c r="D1637" s="51"/>
      <c r="E1637" s="49" t="str">
        <f>IFERROR(VLOOKUP(D1637,'taxonomy map'!$A$1:$B$171,2,FALSE),"")</f>
        <v/>
      </c>
      <c r="F1637" s="49" t="str">
        <f>IFERROR(VLOOKUP(E1637,'Condensed Specialty Crosswalk'!$A$2:$C$182,2,FALSE),"")</f>
        <v/>
      </c>
      <c r="G1637" s="49" t="str">
        <f>IFERROR(VLOOKUP(E1637,'Condensed Specialty Crosswalk'!$A$2:$C$182,3,FALSE),"")</f>
        <v/>
      </c>
    </row>
    <row r="1638" spans="1:7" ht="15" customHeight="1">
      <c r="A1638" s="49"/>
      <c r="B1638" s="49" t="str">
        <f>CONCATENATE(Reports!E1637," ",Reports!F1637," ",Reports!G1637)</f>
        <v xml:space="preserve">  </v>
      </c>
      <c r="C1638" s="50"/>
      <c r="D1638" s="51"/>
      <c r="E1638" s="49" t="str">
        <f>IFERROR(VLOOKUP(D1638,'taxonomy map'!$A$1:$B$171,2,FALSE),"")</f>
        <v/>
      </c>
      <c r="F1638" s="49" t="str">
        <f>IFERROR(VLOOKUP(E1638,'Condensed Specialty Crosswalk'!$A$2:$C$182,2,FALSE),"")</f>
        <v/>
      </c>
      <c r="G1638" s="49" t="str">
        <f>IFERROR(VLOOKUP(E1638,'Condensed Specialty Crosswalk'!$A$2:$C$182,3,FALSE),"")</f>
        <v/>
      </c>
    </row>
    <row r="1639" spans="1:7" ht="15" customHeight="1">
      <c r="A1639" s="49"/>
      <c r="B1639" s="49" t="str">
        <f>CONCATENATE(Reports!E1638," ",Reports!F1638," ",Reports!G1638)</f>
        <v xml:space="preserve">  </v>
      </c>
      <c r="C1639" s="50"/>
      <c r="D1639" s="51"/>
      <c r="E1639" s="49" t="str">
        <f>IFERROR(VLOOKUP(D1639,'taxonomy map'!$A$1:$B$171,2,FALSE),"")</f>
        <v/>
      </c>
      <c r="F1639" s="49" t="str">
        <f>IFERROR(VLOOKUP(E1639,'Condensed Specialty Crosswalk'!$A$2:$C$182,2,FALSE),"")</f>
        <v/>
      </c>
      <c r="G1639" s="49" t="str">
        <f>IFERROR(VLOOKUP(E1639,'Condensed Specialty Crosswalk'!$A$2:$C$182,3,FALSE),"")</f>
        <v/>
      </c>
    </row>
    <row r="1640" spans="1:7" ht="15" customHeight="1">
      <c r="A1640" s="49"/>
      <c r="B1640" s="49" t="str">
        <f>CONCATENATE(Reports!E1639," ",Reports!F1639," ",Reports!G1639)</f>
        <v xml:space="preserve">  </v>
      </c>
      <c r="C1640" s="50"/>
      <c r="D1640" s="51"/>
      <c r="E1640" s="49" t="str">
        <f>IFERROR(VLOOKUP(D1640,'taxonomy map'!$A$1:$B$171,2,FALSE),"")</f>
        <v/>
      </c>
      <c r="F1640" s="49" t="str">
        <f>IFERROR(VLOOKUP(E1640,'Condensed Specialty Crosswalk'!$A$2:$C$182,2,FALSE),"")</f>
        <v/>
      </c>
      <c r="G1640" s="49" t="str">
        <f>IFERROR(VLOOKUP(E1640,'Condensed Specialty Crosswalk'!$A$2:$C$182,3,FALSE),"")</f>
        <v/>
      </c>
    </row>
    <row r="1641" spans="1:7" ht="15" customHeight="1">
      <c r="A1641" s="49"/>
      <c r="B1641" s="49" t="str">
        <f>CONCATENATE(Reports!E1640," ",Reports!F1640," ",Reports!G1640)</f>
        <v xml:space="preserve">  </v>
      </c>
      <c r="C1641" s="50"/>
      <c r="D1641" s="51"/>
      <c r="E1641" s="49" t="str">
        <f>IFERROR(VLOOKUP(D1641,'taxonomy map'!$A$1:$B$171,2,FALSE),"")</f>
        <v/>
      </c>
      <c r="F1641" s="49" t="str">
        <f>IFERROR(VLOOKUP(E1641,'Condensed Specialty Crosswalk'!$A$2:$C$182,2,FALSE),"")</f>
        <v/>
      </c>
      <c r="G1641" s="49" t="str">
        <f>IFERROR(VLOOKUP(E1641,'Condensed Specialty Crosswalk'!$A$2:$C$182,3,FALSE),"")</f>
        <v/>
      </c>
    </row>
    <row r="1642" spans="1:7" ht="15" customHeight="1">
      <c r="A1642" s="49"/>
      <c r="B1642" s="49" t="str">
        <f>CONCATENATE(Reports!E1641," ",Reports!F1641," ",Reports!G1641)</f>
        <v xml:space="preserve">  </v>
      </c>
      <c r="C1642" s="50"/>
      <c r="D1642" s="51"/>
      <c r="E1642" s="49" t="str">
        <f>IFERROR(VLOOKUP(D1642,'taxonomy map'!$A$1:$B$171,2,FALSE),"")</f>
        <v/>
      </c>
      <c r="F1642" s="49" t="str">
        <f>IFERROR(VLOOKUP(E1642,'Condensed Specialty Crosswalk'!$A$2:$C$182,2,FALSE),"")</f>
        <v/>
      </c>
      <c r="G1642" s="49" t="str">
        <f>IFERROR(VLOOKUP(E1642,'Condensed Specialty Crosswalk'!$A$2:$C$182,3,FALSE),"")</f>
        <v/>
      </c>
    </row>
    <row r="1643" spans="1:7" ht="15" customHeight="1">
      <c r="A1643" s="49"/>
      <c r="B1643" s="49" t="str">
        <f>CONCATENATE(Reports!E1642," ",Reports!F1642," ",Reports!G1642)</f>
        <v xml:space="preserve">  </v>
      </c>
      <c r="C1643" s="50"/>
      <c r="D1643" s="51"/>
      <c r="E1643" s="49" t="str">
        <f>IFERROR(VLOOKUP(D1643,'taxonomy map'!$A$1:$B$171,2,FALSE),"")</f>
        <v/>
      </c>
      <c r="F1643" s="49" t="str">
        <f>IFERROR(VLOOKUP(E1643,'Condensed Specialty Crosswalk'!$A$2:$C$182,2,FALSE),"")</f>
        <v/>
      </c>
      <c r="G1643" s="49" t="str">
        <f>IFERROR(VLOOKUP(E1643,'Condensed Specialty Crosswalk'!$A$2:$C$182,3,FALSE),"")</f>
        <v/>
      </c>
    </row>
    <row r="1644" spans="1:7" ht="15" customHeight="1">
      <c r="A1644" s="49"/>
      <c r="B1644" s="49" t="str">
        <f>CONCATENATE(Reports!E1643," ",Reports!F1643," ",Reports!G1643)</f>
        <v xml:space="preserve">  </v>
      </c>
      <c r="C1644" s="50"/>
      <c r="D1644" s="51"/>
      <c r="E1644" s="49" t="str">
        <f>IFERROR(VLOOKUP(D1644,'taxonomy map'!$A$1:$B$171,2,FALSE),"")</f>
        <v/>
      </c>
      <c r="F1644" s="49" t="str">
        <f>IFERROR(VLOOKUP(E1644,'Condensed Specialty Crosswalk'!$A$2:$C$182,2,FALSE),"")</f>
        <v/>
      </c>
      <c r="G1644" s="49" t="str">
        <f>IFERROR(VLOOKUP(E1644,'Condensed Specialty Crosswalk'!$A$2:$C$182,3,FALSE),"")</f>
        <v/>
      </c>
    </row>
    <row r="1645" spans="1:7" ht="15" customHeight="1">
      <c r="A1645" s="49"/>
      <c r="B1645" s="49" t="str">
        <f>CONCATENATE(Reports!E1644," ",Reports!F1644," ",Reports!G1644)</f>
        <v xml:space="preserve">  </v>
      </c>
      <c r="C1645" s="50"/>
      <c r="D1645" s="51"/>
      <c r="E1645" s="49" t="str">
        <f>IFERROR(VLOOKUP(D1645,'taxonomy map'!$A$1:$B$171,2,FALSE),"")</f>
        <v/>
      </c>
      <c r="F1645" s="49" t="str">
        <f>IFERROR(VLOOKUP(E1645,'Condensed Specialty Crosswalk'!$A$2:$C$182,2,FALSE),"")</f>
        <v/>
      </c>
      <c r="G1645" s="49" t="str">
        <f>IFERROR(VLOOKUP(E1645,'Condensed Specialty Crosswalk'!$A$2:$C$182,3,FALSE),"")</f>
        <v/>
      </c>
    </row>
    <row r="1646" spans="1:7" ht="15" customHeight="1">
      <c r="A1646" s="49"/>
      <c r="B1646" s="49" t="str">
        <f>CONCATENATE(Reports!E1645," ",Reports!F1645," ",Reports!G1645)</f>
        <v xml:space="preserve">  </v>
      </c>
      <c r="C1646" s="50"/>
      <c r="D1646" s="51"/>
      <c r="E1646" s="49" t="str">
        <f>IFERROR(VLOOKUP(D1646,'taxonomy map'!$A$1:$B$171,2,FALSE),"")</f>
        <v/>
      </c>
      <c r="F1646" s="49" t="str">
        <f>IFERROR(VLOOKUP(E1646,'Condensed Specialty Crosswalk'!$A$2:$C$182,2,FALSE),"")</f>
        <v/>
      </c>
      <c r="G1646" s="49" t="str">
        <f>IFERROR(VLOOKUP(E1646,'Condensed Specialty Crosswalk'!$A$2:$C$182,3,FALSE),"")</f>
        <v/>
      </c>
    </row>
    <row r="1647" spans="1:7" ht="15" customHeight="1">
      <c r="A1647" s="49"/>
      <c r="B1647" s="49" t="str">
        <f>CONCATENATE(Reports!E1646," ",Reports!F1646," ",Reports!G1646)</f>
        <v xml:space="preserve">  </v>
      </c>
      <c r="C1647" s="50"/>
      <c r="D1647" s="51"/>
      <c r="E1647" s="49" t="str">
        <f>IFERROR(VLOOKUP(D1647,'taxonomy map'!$A$1:$B$171,2,FALSE),"")</f>
        <v/>
      </c>
      <c r="F1647" s="49" t="str">
        <f>IFERROR(VLOOKUP(E1647,'Condensed Specialty Crosswalk'!$A$2:$C$182,2,FALSE),"")</f>
        <v/>
      </c>
      <c r="G1647" s="49" t="str">
        <f>IFERROR(VLOOKUP(E1647,'Condensed Specialty Crosswalk'!$A$2:$C$182,3,FALSE),"")</f>
        <v/>
      </c>
    </row>
    <row r="1648" spans="1:7" ht="15" customHeight="1">
      <c r="A1648" s="49"/>
      <c r="B1648" s="49" t="str">
        <f>CONCATENATE(Reports!E1647," ",Reports!F1647," ",Reports!G1647)</f>
        <v xml:space="preserve">  </v>
      </c>
      <c r="C1648" s="50"/>
      <c r="D1648" s="51"/>
      <c r="E1648" s="49" t="str">
        <f>IFERROR(VLOOKUP(D1648,'taxonomy map'!$A$1:$B$171,2,FALSE),"")</f>
        <v/>
      </c>
      <c r="F1648" s="49" t="str">
        <f>IFERROR(VLOOKUP(E1648,'Condensed Specialty Crosswalk'!$A$2:$C$182,2,FALSE),"")</f>
        <v/>
      </c>
      <c r="G1648" s="49" t="str">
        <f>IFERROR(VLOOKUP(E1648,'Condensed Specialty Crosswalk'!$A$2:$C$182,3,FALSE),"")</f>
        <v/>
      </c>
    </row>
    <row r="1649" spans="1:7" ht="15" customHeight="1">
      <c r="A1649" s="49"/>
      <c r="B1649" s="49" t="str">
        <f>CONCATENATE(Reports!E1648," ",Reports!F1648," ",Reports!G1648)</f>
        <v xml:space="preserve">  </v>
      </c>
      <c r="C1649" s="50"/>
      <c r="D1649" s="51"/>
      <c r="E1649" s="49" t="str">
        <f>IFERROR(VLOOKUP(D1649,'taxonomy map'!$A$1:$B$171,2,FALSE),"")</f>
        <v/>
      </c>
      <c r="F1649" s="49" t="str">
        <f>IFERROR(VLOOKUP(E1649,'Condensed Specialty Crosswalk'!$A$2:$C$182,2,FALSE),"")</f>
        <v/>
      </c>
      <c r="G1649" s="49" t="str">
        <f>IFERROR(VLOOKUP(E1649,'Condensed Specialty Crosswalk'!$A$2:$C$182,3,FALSE),"")</f>
        <v/>
      </c>
    </row>
    <row r="1650" spans="1:7" ht="15" customHeight="1">
      <c r="A1650" s="49"/>
      <c r="B1650" s="49" t="str">
        <f>CONCATENATE(Reports!E1649," ",Reports!F1649," ",Reports!G1649)</f>
        <v xml:space="preserve">  </v>
      </c>
      <c r="C1650" s="50"/>
      <c r="D1650" s="51"/>
      <c r="E1650" s="49" t="str">
        <f>IFERROR(VLOOKUP(D1650,'taxonomy map'!$A$1:$B$171,2,FALSE),"")</f>
        <v/>
      </c>
      <c r="F1650" s="49" t="str">
        <f>IFERROR(VLOOKUP(E1650,'Condensed Specialty Crosswalk'!$A$2:$C$182,2,FALSE),"")</f>
        <v/>
      </c>
      <c r="G1650" s="49" t="str">
        <f>IFERROR(VLOOKUP(E1650,'Condensed Specialty Crosswalk'!$A$2:$C$182,3,FALSE),"")</f>
        <v/>
      </c>
    </row>
    <row r="1651" spans="1:7" ht="15" customHeight="1">
      <c r="A1651" s="49"/>
      <c r="B1651" s="49" t="str">
        <f>CONCATENATE(Reports!E1650," ",Reports!F1650," ",Reports!G1650)</f>
        <v xml:space="preserve">  </v>
      </c>
      <c r="C1651" s="50"/>
      <c r="D1651" s="51"/>
      <c r="E1651" s="49" t="str">
        <f>IFERROR(VLOOKUP(D1651,'taxonomy map'!$A$1:$B$171,2,FALSE),"")</f>
        <v/>
      </c>
      <c r="F1651" s="49" t="str">
        <f>IFERROR(VLOOKUP(E1651,'Condensed Specialty Crosswalk'!$A$2:$C$182,2,FALSE),"")</f>
        <v/>
      </c>
      <c r="G1651" s="49" t="str">
        <f>IFERROR(VLOOKUP(E1651,'Condensed Specialty Crosswalk'!$A$2:$C$182,3,FALSE),"")</f>
        <v/>
      </c>
    </row>
    <row r="1652" spans="1:7" ht="15" customHeight="1">
      <c r="A1652" s="49"/>
      <c r="B1652" s="49" t="str">
        <f>CONCATENATE(Reports!E1651," ",Reports!F1651," ",Reports!G1651)</f>
        <v xml:space="preserve">  </v>
      </c>
      <c r="C1652" s="50"/>
      <c r="D1652" s="51"/>
      <c r="E1652" s="49" t="str">
        <f>IFERROR(VLOOKUP(D1652,'taxonomy map'!$A$1:$B$171,2,FALSE),"")</f>
        <v/>
      </c>
      <c r="F1652" s="49" t="str">
        <f>IFERROR(VLOOKUP(E1652,'Condensed Specialty Crosswalk'!$A$2:$C$182,2,FALSE),"")</f>
        <v/>
      </c>
      <c r="G1652" s="49" t="str">
        <f>IFERROR(VLOOKUP(E1652,'Condensed Specialty Crosswalk'!$A$2:$C$182,3,FALSE),"")</f>
        <v/>
      </c>
    </row>
    <row r="1653" spans="1:7" ht="15" customHeight="1">
      <c r="A1653" s="49"/>
      <c r="B1653" s="49" t="str">
        <f>CONCATENATE(Reports!E1652," ",Reports!F1652," ",Reports!G1652)</f>
        <v xml:space="preserve">  </v>
      </c>
      <c r="C1653" s="50"/>
      <c r="D1653" s="51"/>
      <c r="E1653" s="49" t="str">
        <f>IFERROR(VLOOKUP(D1653,'taxonomy map'!$A$1:$B$171,2,FALSE),"")</f>
        <v/>
      </c>
      <c r="F1653" s="49" t="str">
        <f>IFERROR(VLOOKUP(E1653,'Condensed Specialty Crosswalk'!$A$2:$C$182,2,FALSE),"")</f>
        <v/>
      </c>
      <c r="G1653" s="49" t="str">
        <f>IFERROR(VLOOKUP(E1653,'Condensed Specialty Crosswalk'!$A$2:$C$182,3,FALSE),"")</f>
        <v/>
      </c>
    </row>
    <row r="1654" spans="1:7" ht="15" customHeight="1">
      <c r="A1654" s="49"/>
      <c r="B1654" s="49" t="str">
        <f>CONCATENATE(Reports!E1653," ",Reports!F1653," ",Reports!G1653)</f>
        <v xml:space="preserve">  </v>
      </c>
      <c r="C1654" s="50"/>
      <c r="D1654" s="51"/>
      <c r="E1654" s="49" t="str">
        <f>IFERROR(VLOOKUP(D1654,'taxonomy map'!$A$1:$B$171,2,FALSE),"")</f>
        <v/>
      </c>
      <c r="F1654" s="49" t="str">
        <f>IFERROR(VLOOKUP(E1654,'Condensed Specialty Crosswalk'!$A$2:$C$182,2,FALSE),"")</f>
        <v/>
      </c>
      <c r="G1654" s="49" t="str">
        <f>IFERROR(VLOOKUP(E1654,'Condensed Specialty Crosswalk'!$A$2:$C$182,3,FALSE),"")</f>
        <v/>
      </c>
    </row>
    <row r="1655" spans="1:7" ht="15" customHeight="1">
      <c r="A1655" s="49"/>
      <c r="B1655" s="49" t="str">
        <f>CONCATENATE(Reports!E1654," ",Reports!F1654," ",Reports!G1654)</f>
        <v xml:space="preserve">  </v>
      </c>
      <c r="C1655" s="50"/>
      <c r="D1655" s="51"/>
      <c r="E1655" s="49" t="str">
        <f>IFERROR(VLOOKUP(D1655,'taxonomy map'!$A$1:$B$171,2,FALSE),"")</f>
        <v/>
      </c>
      <c r="F1655" s="49" t="str">
        <f>IFERROR(VLOOKUP(E1655,'Condensed Specialty Crosswalk'!$A$2:$C$182,2,FALSE),"")</f>
        <v/>
      </c>
      <c r="G1655" s="49" t="str">
        <f>IFERROR(VLOOKUP(E1655,'Condensed Specialty Crosswalk'!$A$2:$C$182,3,FALSE),"")</f>
        <v/>
      </c>
    </row>
    <row r="1656" spans="1:7" ht="15" customHeight="1">
      <c r="A1656" s="49"/>
      <c r="B1656" s="49" t="str">
        <f>CONCATENATE(Reports!E1655," ",Reports!F1655," ",Reports!G1655)</f>
        <v xml:space="preserve">  </v>
      </c>
      <c r="C1656" s="50"/>
      <c r="D1656" s="51"/>
      <c r="E1656" s="49" t="str">
        <f>IFERROR(VLOOKUP(D1656,'taxonomy map'!$A$1:$B$171,2,FALSE),"")</f>
        <v/>
      </c>
      <c r="F1656" s="49" t="str">
        <f>IFERROR(VLOOKUP(E1656,'Condensed Specialty Crosswalk'!$A$2:$C$182,2,FALSE),"")</f>
        <v/>
      </c>
      <c r="G1656" s="49" t="str">
        <f>IFERROR(VLOOKUP(E1656,'Condensed Specialty Crosswalk'!$A$2:$C$182,3,FALSE),"")</f>
        <v/>
      </c>
    </row>
    <row r="1657" spans="1:7" ht="15" customHeight="1">
      <c r="A1657" s="49"/>
      <c r="B1657" s="49" t="str">
        <f>CONCATENATE(Reports!E1656," ",Reports!F1656," ",Reports!G1656)</f>
        <v xml:space="preserve">  </v>
      </c>
      <c r="C1657" s="50"/>
      <c r="D1657" s="51"/>
      <c r="E1657" s="49" t="str">
        <f>IFERROR(VLOOKUP(D1657,'taxonomy map'!$A$1:$B$171,2,FALSE),"")</f>
        <v/>
      </c>
      <c r="F1657" s="49" t="str">
        <f>IFERROR(VLOOKUP(E1657,'Condensed Specialty Crosswalk'!$A$2:$C$182,2,FALSE),"")</f>
        <v/>
      </c>
      <c r="G1657" s="49" t="str">
        <f>IFERROR(VLOOKUP(E1657,'Condensed Specialty Crosswalk'!$A$2:$C$182,3,FALSE),"")</f>
        <v/>
      </c>
    </row>
    <row r="1658" spans="1:7" ht="15" customHeight="1">
      <c r="A1658" s="49"/>
      <c r="B1658" s="49" t="str">
        <f>CONCATENATE(Reports!E1657," ",Reports!F1657," ",Reports!G1657)</f>
        <v xml:space="preserve">  </v>
      </c>
      <c r="C1658" s="50"/>
      <c r="D1658" s="51"/>
      <c r="E1658" s="49" t="str">
        <f>IFERROR(VLOOKUP(D1658,'taxonomy map'!$A$1:$B$171,2,FALSE),"")</f>
        <v/>
      </c>
      <c r="F1658" s="49" t="str">
        <f>IFERROR(VLOOKUP(E1658,'Condensed Specialty Crosswalk'!$A$2:$C$182,2,FALSE),"")</f>
        <v/>
      </c>
      <c r="G1658" s="49" t="str">
        <f>IFERROR(VLOOKUP(E1658,'Condensed Specialty Crosswalk'!$A$2:$C$182,3,FALSE),"")</f>
        <v/>
      </c>
    </row>
    <row r="1659" spans="1:7" ht="15" customHeight="1">
      <c r="A1659" s="49"/>
      <c r="B1659" s="49" t="str">
        <f>CONCATENATE(Reports!E1658," ",Reports!F1658," ",Reports!G1658)</f>
        <v xml:space="preserve">  </v>
      </c>
      <c r="C1659" s="50"/>
      <c r="D1659" s="51"/>
      <c r="E1659" s="49" t="str">
        <f>IFERROR(VLOOKUP(D1659,'taxonomy map'!$A$1:$B$171,2,FALSE),"")</f>
        <v/>
      </c>
      <c r="F1659" s="49" t="str">
        <f>IFERROR(VLOOKUP(E1659,'Condensed Specialty Crosswalk'!$A$2:$C$182,2,FALSE),"")</f>
        <v/>
      </c>
      <c r="G1659" s="49" t="str">
        <f>IFERROR(VLOOKUP(E1659,'Condensed Specialty Crosswalk'!$A$2:$C$182,3,FALSE),"")</f>
        <v/>
      </c>
    </row>
    <row r="1660" spans="1:7" ht="15" customHeight="1">
      <c r="A1660" s="49"/>
      <c r="B1660" s="49" t="str">
        <f>CONCATENATE(Reports!E1659," ",Reports!F1659," ",Reports!G1659)</f>
        <v xml:space="preserve">  </v>
      </c>
      <c r="C1660" s="50"/>
      <c r="D1660" s="51"/>
      <c r="E1660" s="49" t="str">
        <f>IFERROR(VLOOKUP(D1660,'taxonomy map'!$A$1:$B$171,2,FALSE),"")</f>
        <v/>
      </c>
      <c r="F1660" s="49" t="str">
        <f>IFERROR(VLOOKUP(E1660,'Condensed Specialty Crosswalk'!$A$2:$C$182,2,FALSE),"")</f>
        <v/>
      </c>
      <c r="G1660" s="49" t="str">
        <f>IFERROR(VLOOKUP(E1660,'Condensed Specialty Crosswalk'!$A$2:$C$182,3,FALSE),"")</f>
        <v/>
      </c>
    </row>
    <row r="1661" spans="1:7" ht="15" customHeight="1">
      <c r="A1661" s="49"/>
      <c r="B1661" s="49" t="str">
        <f>CONCATENATE(Reports!E1660," ",Reports!F1660," ",Reports!G1660)</f>
        <v xml:space="preserve">  </v>
      </c>
      <c r="C1661" s="50"/>
      <c r="D1661" s="51"/>
      <c r="E1661" s="49" t="str">
        <f>IFERROR(VLOOKUP(D1661,'taxonomy map'!$A$1:$B$171,2,FALSE),"")</f>
        <v/>
      </c>
      <c r="F1661" s="49" t="str">
        <f>IFERROR(VLOOKUP(E1661,'Condensed Specialty Crosswalk'!$A$2:$C$182,2,FALSE),"")</f>
        <v/>
      </c>
      <c r="G1661" s="49" t="str">
        <f>IFERROR(VLOOKUP(E1661,'Condensed Specialty Crosswalk'!$A$2:$C$182,3,FALSE),"")</f>
        <v/>
      </c>
    </row>
    <row r="1662" spans="1:7" ht="15" customHeight="1">
      <c r="A1662" s="49"/>
      <c r="B1662" s="49" t="str">
        <f>CONCATENATE(Reports!E1661," ",Reports!F1661," ",Reports!G1661)</f>
        <v xml:space="preserve">  </v>
      </c>
      <c r="C1662" s="50"/>
      <c r="D1662" s="51"/>
      <c r="E1662" s="49" t="str">
        <f>IFERROR(VLOOKUP(D1662,'taxonomy map'!$A$1:$B$171,2,FALSE),"")</f>
        <v/>
      </c>
      <c r="F1662" s="49" t="str">
        <f>IFERROR(VLOOKUP(E1662,'Condensed Specialty Crosswalk'!$A$2:$C$182,2,FALSE),"")</f>
        <v/>
      </c>
      <c r="G1662" s="49" t="str">
        <f>IFERROR(VLOOKUP(E1662,'Condensed Specialty Crosswalk'!$A$2:$C$182,3,FALSE),"")</f>
        <v/>
      </c>
    </row>
    <row r="1663" spans="1:7" ht="15" customHeight="1">
      <c r="A1663" s="49"/>
      <c r="B1663" s="49" t="str">
        <f>CONCATENATE(Reports!E1662," ",Reports!F1662," ",Reports!G1662)</f>
        <v xml:space="preserve">  </v>
      </c>
      <c r="C1663" s="50"/>
      <c r="D1663" s="51"/>
      <c r="E1663" s="49" t="str">
        <f>IFERROR(VLOOKUP(D1663,'taxonomy map'!$A$1:$B$171,2,FALSE),"")</f>
        <v/>
      </c>
      <c r="F1663" s="49" t="str">
        <f>IFERROR(VLOOKUP(E1663,'Condensed Specialty Crosswalk'!$A$2:$C$182,2,FALSE),"")</f>
        <v/>
      </c>
      <c r="G1663" s="49" t="str">
        <f>IFERROR(VLOOKUP(E1663,'Condensed Specialty Crosswalk'!$A$2:$C$182,3,FALSE),"")</f>
        <v/>
      </c>
    </row>
    <row r="1664" spans="1:7" ht="15" customHeight="1">
      <c r="A1664" s="49"/>
      <c r="B1664" s="49" t="str">
        <f>CONCATENATE(Reports!E1663," ",Reports!F1663," ",Reports!G1663)</f>
        <v xml:space="preserve">  </v>
      </c>
      <c r="C1664" s="50"/>
      <c r="D1664" s="51"/>
      <c r="E1664" s="49" t="str">
        <f>IFERROR(VLOOKUP(D1664,'taxonomy map'!$A$1:$B$171,2,FALSE),"")</f>
        <v/>
      </c>
      <c r="F1664" s="49" t="str">
        <f>IFERROR(VLOOKUP(E1664,'Condensed Specialty Crosswalk'!$A$2:$C$182,2,FALSE),"")</f>
        <v/>
      </c>
      <c r="G1664" s="49" t="str">
        <f>IFERROR(VLOOKUP(E1664,'Condensed Specialty Crosswalk'!$A$2:$C$182,3,FALSE),"")</f>
        <v/>
      </c>
    </row>
    <row r="1665" spans="1:7" ht="15" customHeight="1">
      <c r="A1665" s="49"/>
      <c r="B1665" s="49" t="str">
        <f>CONCATENATE(Reports!E1664," ",Reports!F1664," ",Reports!G1664)</f>
        <v xml:space="preserve">  </v>
      </c>
      <c r="C1665" s="50"/>
      <c r="D1665" s="51"/>
      <c r="E1665" s="49" t="str">
        <f>IFERROR(VLOOKUP(D1665,'taxonomy map'!$A$1:$B$171,2,FALSE),"")</f>
        <v/>
      </c>
      <c r="F1665" s="49" t="str">
        <f>IFERROR(VLOOKUP(E1665,'Condensed Specialty Crosswalk'!$A$2:$C$182,2,FALSE),"")</f>
        <v/>
      </c>
      <c r="G1665" s="49" t="str">
        <f>IFERROR(VLOOKUP(E1665,'Condensed Specialty Crosswalk'!$A$2:$C$182,3,FALSE),"")</f>
        <v/>
      </c>
    </row>
    <row r="1666" spans="1:7" ht="15" customHeight="1">
      <c r="A1666" s="49"/>
      <c r="B1666" s="49" t="str">
        <f>CONCATENATE(Reports!E1665," ",Reports!F1665," ",Reports!G1665)</f>
        <v xml:space="preserve">  </v>
      </c>
      <c r="C1666" s="50"/>
      <c r="D1666" s="51"/>
      <c r="E1666" s="49" t="str">
        <f>IFERROR(VLOOKUP(D1666,'taxonomy map'!$A$1:$B$171,2,FALSE),"")</f>
        <v/>
      </c>
      <c r="F1666" s="49" t="str">
        <f>IFERROR(VLOOKUP(E1666,'Condensed Specialty Crosswalk'!$A$2:$C$182,2,FALSE),"")</f>
        <v/>
      </c>
      <c r="G1666" s="49" t="str">
        <f>IFERROR(VLOOKUP(E1666,'Condensed Specialty Crosswalk'!$A$2:$C$182,3,FALSE),"")</f>
        <v/>
      </c>
    </row>
    <row r="1667" spans="1:7" ht="15" customHeight="1">
      <c r="A1667" s="49"/>
      <c r="B1667" s="49" t="str">
        <f>CONCATENATE(Reports!E1666," ",Reports!F1666," ",Reports!G1666)</f>
        <v xml:space="preserve">  </v>
      </c>
      <c r="C1667" s="50"/>
      <c r="D1667" s="51"/>
      <c r="E1667" s="49" t="str">
        <f>IFERROR(VLOOKUP(D1667,'taxonomy map'!$A$1:$B$171,2,FALSE),"")</f>
        <v/>
      </c>
      <c r="F1667" s="49" t="str">
        <f>IFERROR(VLOOKUP(E1667,'Condensed Specialty Crosswalk'!$A$2:$C$182,2,FALSE),"")</f>
        <v/>
      </c>
      <c r="G1667" s="49" t="str">
        <f>IFERROR(VLOOKUP(E1667,'Condensed Specialty Crosswalk'!$A$2:$C$182,3,FALSE),"")</f>
        <v/>
      </c>
    </row>
    <row r="1668" spans="1:7" ht="15" customHeight="1">
      <c r="A1668" s="49"/>
      <c r="B1668" s="49" t="str">
        <f>CONCATENATE(Reports!E1667," ",Reports!F1667," ",Reports!G1667)</f>
        <v xml:space="preserve">  </v>
      </c>
      <c r="C1668" s="50"/>
      <c r="D1668" s="51"/>
      <c r="E1668" s="49" t="str">
        <f>IFERROR(VLOOKUP(D1668,'taxonomy map'!$A$1:$B$171,2,FALSE),"")</f>
        <v/>
      </c>
      <c r="F1668" s="49" t="str">
        <f>IFERROR(VLOOKUP(E1668,'Condensed Specialty Crosswalk'!$A$2:$C$182,2,FALSE),"")</f>
        <v/>
      </c>
      <c r="G1668" s="49" t="str">
        <f>IFERROR(VLOOKUP(E1668,'Condensed Specialty Crosswalk'!$A$2:$C$182,3,FALSE),"")</f>
        <v/>
      </c>
    </row>
    <row r="1669" spans="1:7" ht="15" customHeight="1">
      <c r="A1669" s="49"/>
      <c r="B1669" s="49" t="str">
        <f>CONCATENATE(Reports!E1668," ",Reports!F1668," ",Reports!G1668)</f>
        <v xml:space="preserve">  </v>
      </c>
      <c r="C1669" s="50"/>
      <c r="D1669" s="51"/>
      <c r="E1669" s="49" t="str">
        <f>IFERROR(VLOOKUP(D1669,'taxonomy map'!$A$1:$B$171,2,FALSE),"")</f>
        <v/>
      </c>
      <c r="F1669" s="49" t="str">
        <f>IFERROR(VLOOKUP(E1669,'Condensed Specialty Crosswalk'!$A$2:$C$182,2,FALSE),"")</f>
        <v/>
      </c>
      <c r="G1669" s="49" t="str">
        <f>IFERROR(VLOOKUP(E1669,'Condensed Specialty Crosswalk'!$A$2:$C$182,3,FALSE),"")</f>
        <v/>
      </c>
    </row>
    <row r="1670" spans="1:7" ht="15" customHeight="1">
      <c r="A1670" s="49"/>
      <c r="B1670" s="49" t="str">
        <f>CONCATENATE(Reports!E1669," ",Reports!F1669," ",Reports!G1669)</f>
        <v xml:space="preserve">  </v>
      </c>
      <c r="C1670" s="50"/>
      <c r="D1670" s="51"/>
      <c r="E1670" s="49" t="str">
        <f>IFERROR(VLOOKUP(D1670,'taxonomy map'!$A$1:$B$171,2,FALSE),"")</f>
        <v/>
      </c>
      <c r="F1670" s="49" t="str">
        <f>IFERROR(VLOOKUP(E1670,'Condensed Specialty Crosswalk'!$A$2:$C$182,2,FALSE),"")</f>
        <v/>
      </c>
      <c r="G1670" s="49" t="str">
        <f>IFERROR(VLOOKUP(E1670,'Condensed Specialty Crosswalk'!$A$2:$C$182,3,FALSE),"")</f>
        <v/>
      </c>
    </row>
    <row r="1671" spans="1:7" ht="15" customHeight="1">
      <c r="A1671" s="49"/>
      <c r="B1671" s="49" t="str">
        <f>CONCATENATE(Reports!E1670," ",Reports!F1670," ",Reports!G1670)</f>
        <v xml:space="preserve">  </v>
      </c>
      <c r="C1671" s="50"/>
      <c r="D1671" s="51"/>
      <c r="E1671" s="49" t="str">
        <f>IFERROR(VLOOKUP(D1671,'taxonomy map'!$A$1:$B$171,2,FALSE),"")</f>
        <v/>
      </c>
      <c r="F1671" s="49" t="str">
        <f>IFERROR(VLOOKUP(E1671,'Condensed Specialty Crosswalk'!$A$2:$C$182,2,FALSE),"")</f>
        <v/>
      </c>
      <c r="G1671" s="49" t="str">
        <f>IFERROR(VLOOKUP(E1671,'Condensed Specialty Crosswalk'!$A$2:$C$182,3,FALSE),"")</f>
        <v/>
      </c>
    </row>
    <row r="1672" spans="1:7" ht="15" customHeight="1">
      <c r="A1672" s="49"/>
      <c r="B1672" s="49" t="str">
        <f>CONCATENATE(Reports!E1671," ",Reports!F1671," ",Reports!G1671)</f>
        <v xml:space="preserve">  </v>
      </c>
      <c r="C1672" s="50"/>
      <c r="D1672" s="51"/>
      <c r="E1672" s="49" t="str">
        <f>IFERROR(VLOOKUP(D1672,'taxonomy map'!$A$1:$B$171,2,FALSE),"")</f>
        <v/>
      </c>
      <c r="F1672" s="49" t="str">
        <f>IFERROR(VLOOKUP(E1672,'Condensed Specialty Crosswalk'!$A$2:$C$182,2,FALSE),"")</f>
        <v/>
      </c>
      <c r="G1672" s="49" t="str">
        <f>IFERROR(VLOOKUP(E1672,'Condensed Specialty Crosswalk'!$A$2:$C$182,3,FALSE),"")</f>
        <v/>
      </c>
    </row>
    <row r="1673" spans="1:7" ht="15" customHeight="1">
      <c r="A1673" s="49"/>
      <c r="B1673" s="49" t="str">
        <f>CONCATENATE(Reports!E1672," ",Reports!F1672," ",Reports!G1672)</f>
        <v xml:space="preserve">  </v>
      </c>
      <c r="C1673" s="50"/>
      <c r="D1673" s="51"/>
      <c r="E1673" s="49" t="str">
        <f>IFERROR(VLOOKUP(D1673,'taxonomy map'!$A$1:$B$171,2,FALSE),"")</f>
        <v/>
      </c>
      <c r="F1673" s="49" t="str">
        <f>IFERROR(VLOOKUP(E1673,'Condensed Specialty Crosswalk'!$A$2:$C$182,2,FALSE),"")</f>
        <v/>
      </c>
      <c r="G1673" s="49" t="str">
        <f>IFERROR(VLOOKUP(E1673,'Condensed Specialty Crosswalk'!$A$2:$C$182,3,FALSE),"")</f>
        <v/>
      </c>
    </row>
    <row r="1674" spans="1:7" ht="15" customHeight="1">
      <c r="A1674" s="49"/>
      <c r="B1674" s="49" t="str">
        <f>CONCATENATE(Reports!E1673," ",Reports!F1673," ",Reports!G1673)</f>
        <v xml:space="preserve">  </v>
      </c>
      <c r="C1674" s="50"/>
      <c r="D1674" s="51"/>
      <c r="E1674" s="49" t="str">
        <f>IFERROR(VLOOKUP(D1674,'taxonomy map'!$A$1:$B$171,2,FALSE),"")</f>
        <v/>
      </c>
      <c r="F1674" s="49" t="str">
        <f>IFERROR(VLOOKUP(E1674,'Condensed Specialty Crosswalk'!$A$2:$C$182,2,FALSE),"")</f>
        <v/>
      </c>
      <c r="G1674" s="49" t="str">
        <f>IFERROR(VLOOKUP(E1674,'Condensed Specialty Crosswalk'!$A$2:$C$182,3,FALSE),"")</f>
        <v/>
      </c>
    </row>
    <row r="1675" spans="1:7" ht="15" customHeight="1">
      <c r="A1675" s="49"/>
      <c r="B1675" s="49" t="str">
        <f>CONCATENATE(Reports!E1674," ",Reports!F1674," ",Reports!G1674)</f>
        <v xml:space="preserve">  </v>
      </c>
      <c r="C1675" s="50"/>
      <c r="D1675" s="51"/>
      <c r="E1675" s="49" t="str">
        <f>IFERROR(VLOOKUP(D1675,'taxonomy map'!$A$1:$B$171,2,FALSE),"")</f>
        <v/>
      </c>
      <c r="F1675" s="49" t="str">
        <f>IFERROR(VLOOKUP(E1675,'Condensed Specialty Crosswalk'!$A$2:$C$182,2,FALSE),"")</f>
        <v/>
      </c>
      <c r="G1675" s="49" t="str">
        <f>IFERROR(VLOOKUP(E1675,'Condensed Specialty Crosswalk'!$A$2:$C$182,3,FALSE),"")</f>
        <v/>
      </c>
    </row>
    <row r="1676" spans="1:7" ht="15" customHeight="1">
      <c r="A1676" s="49"/>
      <c r="B1676" s="49" t="str">
        <f>CONCATENATE(Reports!E1675," ",Reports!F1675," ",Reports!G1675)</f>
        <v xml:space="preserve">  </v>
      </c>
      <c r="C1676" s="50"/>
      <c r="D1676" s="51"/>
      <c r="E1676" s="49" t="str">
        <f>IFERROR(VLOOKUP(D1676,'taxonomy map'!$A$1:$B$171,2,FALSE),"")</f>
        <v/>
      </c>
      <c r="F1676" s="49" t="str">
        <f>IFERROR(VLOOKUP(E1676,'Condensed Specialty Crosswalk'!$A$2:$C$182,2,FALSE),"")</f>
        <v/>
      </c>
      <c r="G1676" s="49" t="str">
        <f>IFERROR(VLOOKUP(E1676,'Condensed Specialty Crosswalk'!$A$2:$C$182,3,FALSE),"")</f>
        <v/>
      </c>
    </row>
    <row r="1677" spans="1:7" ht="15" customHeight="1">
      <c r="A1677" s="49"/>
      <c r="B1677" s="49" t="str">
        <f>CONCATENATE(Reports!E1676," ",Reports!F1676," ",Reports!G1676)</f>
        <v xml:space="preserve">  </v>
      </c>
      <c r="C1677" s="50"/>
      <c r="D1677" s="51"/>
      <c r="E1677" s="49" t="str">
        <f>IFERROR(VLOOKUP(D1677,'taxonomy map'!$A$1:$B$171,2,FALSE),"")</f>
        <v/>
      </c>
      <c r="F1677" s="49" t="str">
        <f>IFERROR(VLOOKUP(E1677,'Condensed Specialty Crosswalk'!$A$2:$C$182,2,FALSE),"")</f>
        <v/>
      </c>
      <c r="G1677" s="49" t="str">
        <f>IFERROR(VLOOKUP(E1677,'Condensed Specialty Crosswalk'!$A$2:$C$182,3,FALSE),"")</f>
        <v/>
      </c>
    </row>
    <row r="1678" spans="1:7" ht="15" customHeight="1">
      <c r="A1678" s="49"/>
      <c r="B1678" s="49" t="str">
        <f>CONCATENATE(Reports!E1677," ",Reports!F1677," ",Reports!G1677)</f>
        <v xml:space="preserve">  </v>
      </c>
      <c r="C1678" s="50"/>
      <c r="D1678" s="51"/>
      <c r="E1678" s="49" t="str">
        <f>IFERROR(VLOOKUP(D1678,'taxonomy map'!$A$1:$B$171,2,FALSE),"")</f>
        <v/>
      </c>
      <c r="F1678" s="49" t="str">
        <f>IFERROR(VLOOKUP(E1678,'Condensed Specialty Crosswalk'!$A$2:$C$182,2,FALSE),"")</f>
        <v/>
      </c>
      <c r="G1678" s="49" t="str">
        <f>IFERROR(VLOOKUP(E1678,'Condensed Specialty Crosswalk'!$A$2:$C$182,3,FALSE),"")</f>
        <v/>
      </c>
    </row>
    <row r="1679" spans="1:7" ht="15" customHeight="1">
      <c r="A1679" s="49"/>
      <c r="B1679" s="49" t="str">
        <f>CONCATENATE(Reports!E1678," ",Reports!F1678," ",Reports!G1678)</f>
        <v xml:space="preserve">  </v>
      </c>
      <c r="C1679" s="50"/>
      <c r="D1679" s="51"/>
      <c r="E1679" s="49" t="str">
        <f>IFERROR(VLOOKUP(D1679,'taxonomy map'!$A$1:$B$171,2,FALSE),"")</f>
        <v/>
      </c>
      <c r="F1679" s="49" t="str">
        <f>IFERROR(VLOOKUP(E1679,'Condensed Specialty Crosswalk'!$A$2:$C$182,2,FALSE),"")</f>
        <v/>
      </c>
      <c r="G1679" s="49" t="str">
        <f>IFERROR(VLOOKUP(E1679,'Condensed Specialty Crosswalk'!$A$2:$C$182,3,FALSE),"")</f>
        <v/>
      </c>
    </row>
    <row r="1680" spans="1:7" ht="15" customHeight="1">
      <c r="A1680" s="49"/>
      <c r="B1680" s="49" t="str">
        <f>CONCATENATE(Reports!E1679," ",Reports!F1679," ",Reports!G1679)</f>
        <v xml:space="preserve">  </v>
      </c>
      <c r="C1680" s="50"/>
      <c r="D1680" s="51"/>
      <c r="E1680" s="49" t="str">
        <f>IFERROR(VLOOKUP(D1680,'taxonomy map'!$A$1:$B$171,2,FALSE),"")</f>
        <v/>
      </c>
      <c r="F1680" s="49" t="str">
        <f>IFERROR(VLOOKUP(E1680,'Condensed Specialty Crosswalk'!$A$2:$C$182,2,FALSE),"")</f>
        <v/>
      </c>
      <c r="G1680" s="49" t="str">
        <f>IFERROR(VLOOKUP(E1680,'Condensed Specialty Crosswalk'!$A$2:$C$182,3,FALSE),"")</f>
        <v/>
      </c>
    </row>
    <row r="1681" spans="1:7" ht="15" customHeight="1">
      <c r="A1681" s="49"/>
      <c r="B1681" s="49" t="str">
        <f>CONCATENATE(Reports!E1680," ",Reports!F1680," ",Reports!G1680)</f>
        <v xml:space="preserve">  </v>
      </c>
      <c r="C1681" s="50"/>
      <c r="D1681" s="51"/>
      <c r="E1681" s="49" t="str">
        <f>IFERROR(VLOOKUP(D1681,'taxonomy map'!$A$1:$B$171,2,FALSE),"")</f>
        <v/>
      </c>
      <c r="F1681" s="49" t="str">
        <f>IFERROR(VLOOKUP(E1681,'Condensed Specialty Crosswalk'!$A$2:$C$182,2,FALSE),"")</f>
        <v/>
      </c>
      <c r="G1681" s="49" t="str">
        <f>IFERROR(VLOOKUP(E1681,'Condensed Specialty Crosswalk'!$A$2:$C$182,3,FALSE),"")</f>
        <v/>
      </c>
    </row>
    <row r="1682" spans="1:7" ht="15" customHeight="1">
      <c r="A1682" s="49"/>
      <c r="B1682" s="49" t="str">
        <f>CONCATENATE(Reports!E1681," ",Reports!F1681," ",Reports!G1681)</f>
        <v xml:space="preserve">  </v>
      </c>
      <c r="C1682" s="50"/>
      <c r="D1682" s="51"/>
      <c r="E1682" s="49" t="str">
        <f>IFERROR(VLOOKUP(D1682,'taxonomy map'!$A$1:$B$171,2,FALSE),"")</f>
        <v/>
      </c>
      <c r="F1682" s="49" t="str">
        <f>IFERROR(VLOOKUP(E1682,'Condensed Specialty Crosswalk'!$A$2:$C$182,2,FALSE),"")</f>
        <v/>
      </c>
      <c r="G1682" s="49" t="str">
        <f>IFERROR(VLOOKUP(E1682,'Condensed Specialty Crosswalk'!$A$2:$C$182,3,FALSE),"")</f>
        <v/>
      </c>
    </row>
    <row r="1683" spans="1:7" ht="15" customHeight="1">
      <c r="A1683" s="49"/>
      <c r="B1683" s="49" t="str">
        <f>CONCATENATE(Reports!E1682," ",Reports!F1682," ",Reports!G1682)</f>
        <v xml:space="preserve">  </v>
      </c>
      <c r="C1683" s="50"/>
      <c r="D1683" s="51"/>
      <c r="E1683" s="49" t="str">
        <f>IFERROR(VLOOKUP(D1683,'taxonomy map'!$A$1:$B$171,2,FALSE),"")</f>
        <v/>
      </c>
      <c r="F1683" s="49" t="str">
        <f>IFERROR(VLOOKUP(E1683,'Condensed Specialty Crosswalk'!$A$2:$C$182,2,FALSE),"")</f>
        <v/>
      </c>
      <c r="G1683" s="49" t="str">
        <f>IFERROR(VLOOKUP(E1683,'Condensed Specialty Crosswalk'!$A$2:$C$182,3,FALSE),"")</f>
        <v/>
      </c>
    </row>
    <row r="1684" spans="1:7" ht="15" customHeight="1">
      <c r="A1684" s="49"/>
      <c r="B1684" s="49" t="str">
        <f>CONCATENATE(Reports!E1683," ",Reports!F1683," ",Reports!G1683)</f>
        <v xml:space="preserve">  </v>
      </c>
      <c r="C1684" s="50"/>
      <c r="D1684" s="51"/>
      <c r="E1684" s="49" t="str">
        <f>IFERROR(VLOOKUP(D1684,'taxonomy map'!$A$1:$B$171,2,FALSE),"")</f>
        <v/>
      </c>
      <c r="F1684" s="49" t="str">
        <f>IFERROR(VLOOKUP(E1684,'Condensed Specialty Crosswalk'!$A$2:$C$182,2,FALSE),"")</f>
        <v/>
      </c>
      <c r="G1684" s="49" t="str">
        <f>IFERROR(VLOOKUP(E1684,'Condensed Specialty Crosswalk'!$A$2:$C$182,3,FALSE),"")</f>
        <v/>
      </c>
    </row>
    <row r="1685" spans="1:7" ht="15" customHeight="1">
      <c r="A1685" s="49"/>
      <c r="B1685" s="49" t="str">
        <f>CONCATENATE(Reports!E1684," ",Reports!F1684," ",Reports!G1684)</f>
        <v xml:space="preserve">  </v>
      </c>
      <c r="C1685" s="50"/>
      <c r="D1685" s="51"/>
      <c r="E1685" s="49" t="str">
        <f>IFERROR(VLOOKUP(D1685,'taxonomy map'!$A$1:$B$171,2,FALSE),"")</f>
        <v/>
      </c>
      <c r="F1685" s="49" t="str">
        <f>IFERROR(VLOOKUP(E1685,'Condensed Specialty Crosswalk'!$A$2:$C$182,2,FALSE),"")</f>
        <v/>
      </c>
      <c r="G1685" s="49" t="str">
        <f>IFERROR(VLOOKUP(E1685,'Condensed Specialty Crosswalk'!$A$2:$C$182,3,FALSE),"")</f>
        <v/>
      </c>
    </row>
    <row r="1686" spans="1:7" ht="15" customHeight="1">
      <c r="A1686" s="49"/>
      <c r="B1686" s="49" t="str">
        <f>CONCATENATE(Reports!E1685," ",Reports!F1685," ",Reports!G1685)</f>
        <v xml:space="preserve">  </v>
      </c>
      <c r="C1686" s="50"/>
      <c r="D1686" s="51"/>
      <c r="E1686" s="49" t="str">
        <f>IFERROR(VLOOKUP(D1686,'taxonomy map'!$A$1:$B$171,2,FALSE),"")</f>
        <v/>
      </c>
      <c r="F1686" s="49" t="str">
        <f>IFERROR(VLOOKUP(E1686,'Condensed Specialty Crosswalk'!$A$2:$C$182,2,FALSE),"")</f>
        <v/>
      </c>
      <c r="G1686" s="49" t="str">
        <f>IFERROR(VLOOKUP(E1686,'Condensed Specialty Crosswalk'!$A$2:$C$182,3,FALSE),"")</f>
        <v/>
      </c>
    </row>
    <row r="1687" spans="1:7" ht="15" customHeight="1">
      <c r="A1687" s="49"/>
      <c r="B1687" s="49" t="str">
        <f>CONCATENATE(Reports!E1686," ",Reports!F1686," ",Reports!G1686)</f>
        <v xml:space="preserve">  </v>
      </c>
      <c r="C1687" s="50"/>
      <c r="D1687" s="51"/>
      <c r="E1687" s="49" t="str">
        <f>IFERROR(VLOOKUP(D1687,'taxonomy map'!$A$1:$B$171,2,FALSE),"")</f>
        <v/>
      </c>
      <c r="F1687" s="49" t="str">
        <f>IFERROR(VLOOKUP(E1687,'Condensed Specialty Crosswalk'!$A$2:$C$182,2,FALSE),"")</f>
        <v/>
      </c>
      <c r="G1687" s="49" t="str">
        <f>IFERROR(VLOOKUP(E1687,'Condensed Specialty Crosswalk'!$A$2:$C$182,3,FALSE),"")</f>
        <v/>
      </c>
    </row>
    <row r="1688" spans="1:7" ht="15" customHeight="1">
      <c r="A1688" s="49"/>
      <c r="B1688" s="49" t="str">
        <f>CONCATENATE(Reports!E1687," ",Reports!F1687," ",Reports!G1687)</f>
        <v xml:space="preserve">  </v>
      </c>
      <c r="C1688" s="50"/>
      <c r="D1688" s="51"/>
      <c r="E1688" s="49" t="str">
        <f>IFERROR(VLOOKUP(D1688,'taxonomy map'!$A$1:$B$171,2,FALSE),"")</f>
        <v/>
      </c>
      <c r="F1688" s="49" t="str">
        <f>IFERROR(VLOOKUP(E1688,'Condensed Specialty Crosswalk'!$A$2:$C$182,2,FALSE),"")</f>
        <v/>
      </c>
      <c r="G1688" s="49" t="str">
        <f>IFERROR(VLOOKUP(E1688,'Condensed Specialty Crosswalk'!$A$2:$C$182,3,FALSE),"")</f>
        <v/>
      </c>
    </row>
    <row r="1689" spans="1:7" ht="15" customHeight="1">
      <c r="A1689" s="49"/>
      <c r="B1689" s="49" t="str">
        <f>CONCATENATE(Reports!E1688," ",Reports!F1688," ",Reports!G1688)</f>
        <v xml:space="preserve">  </v>
      </c>
      <c r="C1689" s="50"/>
      <c r="D1689" s="51"/>
      <c r="E1689" s="49" t="str">
        <f>IFERROR(VLOOKUP(D1689,'taxonomy map'!$A$1:$B$171,2,FALSE),"")</f>
        <v/>
      </c>
      <c r="F1689" s="49" t="str">
        <f>IFERROR(VLOOKUP(E1689,'Condensed Specialty Crosswalk'!$A$2:$C$182,2,FALSE),"")</f>
        <v/>
      </c>
      <c r="G1689" s="49" t="str">
        <f>IFERROR(VLOOKUP(E1689,'Condensed Specialty Crosswalk'!$A$2:$C$182,3,FALSE),"")</f>
        <v/>
      </c>
    </row>
    <row r="1690" spans="1:7" ht="15" customHeight="1">
      <c r="A1690" s="49"/>
      <c r="B1690" s="49" t="str">
        <f>CONCATENATE(Reports!E1689," ",Reports!F1689," ",Reports!G1689)</f>
        <v xml:space="preserve">  </v>
      </c>
      <c r="C1690" s="50"/>
      <c r="D1690" s="51"/>
      <c r="E1690" s="49" t="str">
        <f>IFERROR(VLOOKUP(D1690,'taxonomy map'!$A$1:$B$171,2,FALSE),"")</f>
        <v/>
      </c>
      <c r="F1690" s="49" t="str">
        <f>IFERROR(VLOOKUP(E1690,'Condensed Specialty Crosswalk'!$A$2:$C$182,2,FALSE),"")</f>
        <v/>
      </c>
      <c r="G1690" s="49" t="str">
        <f>IFERROR(VLOOKUP(E1690,'Condensed Specialty Crosswalk'!$A$2:$C$182,3,FALSE),"")</f>
        <v/>
      </c>
    </row>
    <row r="1691" spans="1:7" ht="15" customHeight="1">
      <c r="A1691" s="49"/>
      <c r="B1691" s="49" t="str">
        <f>CONCATENATE(Reports!E1690," ",Reports!F1690," ",Reports!G1690)</f>
        <v xml:space="preserve">  </v>
      </c>
      <c r="C1691" s="50"/>
      <c r="D1691" s="51"/>
      <c r="E1691" s="49" t="str">
        <f>IFERROR(VLOOKUP(D1691,'taxonomy map'!$A$1:$B$171,2,FALSE),"")</f>
        <v/>
      </c>
      <c r="F1691" s="49" t="str">
        <f>IFERROR(VLOOKUP(E1691,'Condensed Specialty Crosswalk'!$A$2:$C$182,2,FALSE),"")</f>
        <v/>
      </c>
      <c r="G1691" s="49" t="str">
        <f>IFERROR(VLOOKUP(E1691,'Condensed Specialty Crosswalk'!$A$2:$C$182,3,FALSE),"")</f>
        <v/>
      </c>
    </row>
    <row r="1692" spans="1:7" ht="15" customHeight="1">
      <c r="A1692" s="49"/>
      <c r="B1692" s="49" t="str">
        <f>CONCATENATE(Reports!E1691," ",Reports!F1691," ",Reports!G1691)</f>
        <v xml:space="preserve">  </v>
      </c>
      <c r="C1692" s="50"/>
      <c r="D1692" s="51"/>
      <c r="E1692" s="49" t="str">
        <f>IFERROR(VLOOKUP(D1692,'taxonomy map'!$A$1:$B$171,2,FALSE),"")</f>
        <v/>
      </c>
      <c r="F1692" s="49" t="str">
        <f>IFERROR(VLOOKUP(E1692,'Condensed Specialty Crosswalk'!$A$2:$C$182,2,FALSE),"")</f>
        <v/>
      </c>
      <c r="G1692" s="49" t="str">
        <f>IFERROR(VLOOKUP(E1692,'Condensed Specialty Crosswalk'!$A$2:$C$182,3,FALSE),"")</f>
        <v/>
      </c>
    </row>
    <row r="1693" spans="1:7" ht="15" customHeight="1">
      <c r="A1693" s="49"/>
      <c r="B1693" s="49" t="str">
        <f>CONCATENATE(Reports!E1692," ",Reports!F1692," ",Reports!G1692)</f>
        <v xml:space="preserve">  </v>
      </c>
      <c r="C1693" s="50"/>
      <c r="D1693" s="51"/>
      <c r="E1693" s="49" t="str">
        <f>IFERROR(VLOOKUP(D1693,'taxonomy map'!$A$1:$B$171,2,FALSE),"")</f>
        <v/>
      </c>
      <c r="F1693" s="49" t="str">
        <f>IFERROR(VLOOKUP(E1693,'Condensed Specialty Crosswalk'!$A$2:$C$182,2,FALSE),"")</f>
        <v/>
      </c>
      <c r="G1693" s="49" t="str">
        <f>IFERROR(VLOOKUP(E1693,'Condensed Specialty Crosswalk'!$A$2:$C$182,3,FALSE),"")</f>
        <v/>
      </c>
    </row>
    <row r="1694" spans="1:7" ht="15" customHeight="1">
      <c r="A1694" s="49"/>
      <c r="B1694" s="49" t="str">
        <f>CONCATENATE(Reports!E1693," ",Reports!F1693," ",Reports!G1693)</f>
        <v xml:space="preserve">  </v>
      </c>
      <c r="C1694" s="50"/>
      <c r="D1694" s="51"/>
      <c r="E1694" s="49" t="str">
        <f>IFERROR(VLOOKUP(D1694,'taxonomy map'!$A$1:$B$171,2,FALSE),"")</f>
        <v/>
      </c>
      <c r="F1694" s="49" t="str">
        <f>IFERROR(VLOOKUP(E1694,'Condensed Specialty Crosswalk'!$A$2:$C$182,2,FALSE),"")</f>
        <v/>
      </c>
      <c r="G1694" s="49" t="str">
        <f>IFERROR(VLOOKUP(E1694,'Condensed Specialty Crosswalk'!$A$2:$C$182,3,FALSE),"")</f>
        <v/>
      </c>
    </row>
    <row r="1695" spans="1:7" ht="15" customHeight="1">
      <c r="A1695" s="49"/>
      <c r="B1695" s="49" t="str">
        <f>CONCATENATE(Reports!E1694," ",Reports!F1694," ",Reports!G1694)</f>
        <v xml:space="preserve">  </v>
      </c>
      <c r="C1695" s="50"/>
      <c r="D1695" s="51"/>
      <c r="E1695" s="49" t="str">
        <f>IFERROR(VLOOKUP(D1695,'taxonomy map'!$A$1:$B$171,2,FALSE),"")</f>
        <v/>
      </c>
      <c r="F1695" s="49" t="str">
        <f>IFERROR(VLOOKUP(E1695,'Condensed Specialty Crosswalk'!$A$2:$C$182,2,FALSE),"")</f>
        <v/>
      </c>
      <c r="G1695" s="49" t="str">
        <f>IFERROR(VLOOKUP(E1695,'Condensed Specialty Crosswalk'!$A$2:$C$182,3,FALSE),"")</f>
        <v/>
      </c>
    </row>
    <row r="1696" spans="1:7" ht="15" customHeight="1">
      <c r="A1696" s="49"/>
      <c r="B1696" s="49" t="str">
        <f>CONCATENATE(Reports!E1695," ",Reports!F1695," ",Reports!G1695)</f>
        <v xml:space="preserve">  </v>
      </c>
      <c r="C1696" s="50"/>
      <c r="D1696" s="51"/>
      <c r="E1696" s="49" t="str">
        <f>IFERROR(VLOOKUP(D1696,'taxonomy map'!$A$1:$B$171,2,FALSE),"")</f>
        <v/>
      </c>
      <c r="F1696" s="49" t="str">
        <f>IFERROR(VLOOKUP(E1696,'Condensed Specialty Crosswalk'!$A$2:$C$182,2,FALSE),"")</f>
        <v/>
      </c>
      <c r="G1696" s="49" t="str">
        <f>IFERROR(VLOOKUP(E1696,'Condensed Specialty Crosswalk'!$A$2:$C$182,3,FALSE),"")</f>
        <v/>
      </c>
    </row>
    <row r="1697" spans="1:7" ht="15" customHeight="1">
      <c r="A1697" s="49"/>
      <c r="B1697" s="49" t="str">
        <f>CONCATENATE(Reports!E1696," ",Reports!F1696," ",Reports!G1696)</f>
        <v xml:space="preserve">  </v>
      </c>
      <c r="C1697" s="50"/>
      <c r="D1697" s="51"/>
      <c r="E1697" s="49" t="str">
        <f>IFERROR(VLOOKUP(D1697,'taxonomy map'!$A$1:$B$171,2,FALSE),"")</f>
        <v/>
      </c>
      <c r="F1697" s="49" t="str">
        <f>IFERROR(VLOOKUP(E1697,'Condensed Specialty Crosswalk'!$A$2:$C$182,2,FALSE),"")</f>
        <v/>
      </c>
      <c r="G1697" s="49" t="str">
        <f>IFERROR(VLOOKUP(E1697,'Condensed Specialty Crosswalk'!$A$2:$C$182,3,FALSE),"")</f>
        <v/>
      </c>
    </row>
    <row r="1698" spans="1:7" ht="15" customHeight="1">
      <c r="A1698" s="49"/>
      <c r="B1698" s="49" t="str">
        <f>CONCATENATE(Reports!E1697," ",Reports!F1697," ",Reports!G1697)</f>
        <v xml:space="preserve">  </v>
      </c>
      <c r="C1698" s="50"/>
      <c r="D1698" s="51"/>
      <c r="E1698" s="49" t="str">
        <f>IFERROR(VLOOKUP(D1698,'taxonomy map'!$A$1:$B$171,2,FALSE),"")</f>
        <v/>
      </c>
      <c r="F1698" s="49" t="str">
        <f>IFERROR(VLOOKUP(E1698,'Condensed Specialty Crosswalk'!$A$2:$C$182,2,FALSE),"")</f>
        <v/>
      </c>
      <c r="G1698" s="49" t="str">
        <f>IFERROR(VLOOKUP(E1698,'Condensed Specialty Crosswalk'!$A$2:$C$182,3,FALSE),"")</f>
        <v/>
      </c>
    </row>
    <row r="1699" spans="1:7" ht="15" customHeight="1">
      <c r="A1699" s="49"/>
      <c r="B1699" s="49" t="str">
        <f>CONCATENATE(Reports!E1698," ",Reports!F1698," ",Reports!G1698)</f>
        <v xml:space="preserve">  </v>
      </c>
      <c r="C1699" s="50"/>
      <c r="D1699" s="51"/>
      <c r="E1699" s="49" t="str">
        <f>IFERROR(VLOOKUP(D1699,'taxonomy map'!$A$1:$B$171,2,FALSE),"")</f>
        <v/>
      </c>
      <c r="F1699" s="49" t="str">
        <f>IFERROR(VLOOKUP(E1699,'Condensed Specialty Crosswalk'!$A$2:$C$182,2,FALSE),"")</f>
        <v/>
      </c>
      <c r="G1699" s="49" t="str">
        <f>IFERROR(VLOOKUP(E1699,'Condensed Specialty Crosswalk'!$A$2:$C$182,3,FALSE),"")</f>
        <v/>
      </c>
    </row>
    <row r="1700" spans="1:7" ht="15" customHeight="1">
      <c r="A1700" s="49"/>
      <c r="B1700" s="49" t="str">
        <f>CONCATENATE(Reports!E1699," ",Reports!F1699," ",Reports!G1699)</f>
        <v xml:space="preserve">  </v>
      </c>
      <c r="C1700" s="50"/>
      <c r="D1700" s="51"/>
      <c r="E1700" s="49" t="str">
        <f>IFERROR(VLOOKUP(D1700,'taxonomy map'!$A$1:$B$171,2,FALSE),"")</f>
        <v/>
      </c>
      <c r="F1700" s="49" t="str">
        <f>IFERROR(VLOOKUP(E1700,'Condensed Specialty Crosswalk'!$A$2:$C$182,2,FALSE),"")</f>
        <v/>
      </c>
      <c r="G1700" s="49" t="str">
        <f>IFERROR(VLOOKUP(E1700,'Condensed Specialty Crosswalk'!$A$2:$C$182,3,FALSE),"")</f>
        <v/>
      </c>
    </row>
    <row r="1701" spans="1:7" ht="15" customHeight="1">
      <c r="A1701" s="49"/>
      <c r="B1701" s="49" t="str">
        <f>CONCATENATE(Reports!E1700," ",Reports!F1700," ",Reports!G1700)</f>
        <v xml:space="preserve">  </v>
      </c>
      <c r="C1701" s="50"/>
      <c r="D1701" s="51"/>
      <c r="E1701" s="49" t="str">
        <f>IFERROR(VLOOKUP(D1701,'taxonomy map'!$A$1:$B$171,2,FALSE),"")</f>
        <v/>
      </c>
      <c r="F1701" s="49" t="str">
        <f>IFERROR(VLOOKUP(E1701,'Condensed Specialty Crosswalk'!$A$2:$C$182,2,FALSE),"")</f>
        <v/>
      </c>
      <c r="G1701" s="49" t="str">
        <f>IFERROR(VLOOKUP(E1701,'Condensed Specialty Crosswalk'!$A$2:$C$182,3,FALSE),"")</f>
        <v/>
      </c>
    </row>
    <row r="1702" spans="1:7" ht="15" customHeight="1">
      <c r="A1702" s="49"/>
      <c r="B1702" s="49" t="str">
        <f>CONCATENATE(Reports!E1701," ",Reports!F1701," ",Reports!G1701)</f>
        <v xml:space="preserve">  </v>
      </c>
      <c r="C1702" s="50"/>
      <c r="D1702" s="51"/>
      <c r="E1702" s="49" t="str">
        <f>IFERROR(VLOOKUP(D1702,'taxonomy map'!$A$1:$B$171,2,FALSE),"")</f>
        <v/>
      </c>
      <c r="F1702" s="49" t="str">
        <f>IFERROR(VLOOKUP(E1702,'Condensed Specialty Crosswalk'!$A$2:$C$182,2,FALSE),"")</f>
        <v/>
      </c>
      <c r="G1702" s="49" t="str">
        <f>IFERROR(VLOOKUP(E1702,'Condensed Specialty Crosswalk'!$A$2:$C$182,3,FALSE),"")</f>
        <v/>
      </c>
    </row>
    <row r="1703" spans="1:7" ht="15" customHeight="1">
      <c r="A1703" s="49"/>
      <c r="B1703" s="49" t="str">
        <f>CONCATENATE(Reports!E1702," ",Reports!F1702," ",Reports!G1702)</f>
        <v xml:space="preserve">  </v>
      </c>
      <c r="C1703" s="50"/>
      <c r="D1703" s="51"/>
      <c r="E1703" s="49" t="str">
        <f>IFERROR(VLOOKUP(D1703,'taxonomy map'!$A$1:$B$171,2,FALSE),"")</f>
        <v/>
      </c>
      <c r="F1703" s="49" t="str">
        <f>IFERROR(VLOOKUP(E1703,'Condensed Specialty Crosswalk'!$A$2:$C$182,2,FALSE),"")</f>
        <v/>
      </c>
      <c r="G1703" s="49" t="str">
        <f>IFERROR(VLOOKUP(E1703,'Condensed Specialty Crosswalk'!$A$2:$C$182,3,FALSE),"")</f>
        <v/>
      </c>
    </row>
    <row r="1704" spans="1:7" ht="15" customHeight="1">
      <c r="A1704" s="49"/>
      <c r="B1704" s="49" t="str">
        <f>CONCATENATE(Reports!E1703," ",Reports!F1703," ",Reports!G1703)</f>
        <v xml:space="preserve">  </v>
      </c>
      <c r="C1704" s="50"/>
      <c r="D1704" s="51"/>
      <c r="E1704" s="49" t="str">
        <f>IFERROR(VLOOKUP(D1704,'taxonomy map'!$A$1:$B$171,2,FALSE),"")</f>
        <v/>
      </c>
      <c r="F1704" s="49" t="str">
        <f>IFERROR(VLOOKUP(E1704,'Condensed Specialty Crosswalk'!$A$2:$C$182,2,FALSE),"")</f>
        <v/>
      </c>
      <c r="G1704" s="49" t="str">
        <f>IFERROR(VLOOKUP(E1704,'Condensed Specialty Crosswalk'!$A$2:$C$182,3,FALSE),"")</f>
        <v/>
      </c>
    </row>
    <row r="1705" spans="1:7" ht="15" customHeight="1">
      <c r="A1705" s="49"/>
      <c r="B1705" s="49" t="str">
        <f>CONCATENATE(Reports!E1704," ",Reports!F1704," ",Reports!G1704)</f>
        <v xml:space="preserve">  </v>
      </c>
      <c r="C1705" s="50"/>
      <c r="D1705" s="51"/>
      <c r="E1705" s="49" t="str">
        <f>IFERROR(VLOOKUP(D1705,'taxonomy map'!$A$1:$B$171,2,FALSE),"")</f>
        <v/>
      </c>
      <c r="F1705" s="49" t="str">
        <f>IFERROR(VLOOKUP(E1705,'Condensed Specialty Crosswalk'!$A$2:$C$182,2,FALSE),"")</f>
        <v/>
      </c>
      <c r="G1705" s="49" t="str">
        <f>IFERROR(VLOOKUP(E1705,'Condensed Specialty Crosswalk'!$A$2:$C$182,3,FALSE),"")</f>
        <v/>
      </c>
    </row>
    <row r="1706" spans="1:7" ht="15" customHeight="1">
      <c r="A1706" s="49"/>
      <c r="B1706" s="49" t="str">
        <f>CONCATENATE(Reports!E1705," ",Reports!F1705," ",Reports!G1705)</f>
        <v xml:space="preserve">  </v>
      </c>
      <c r="C1706" s="50"/>
      <c r="D1706" s="51"/>
      <c r="E1706" s="49" t="str">
        <f>IFERROR(VLOOKUP(D1706,'taxonomy map'!$A$1:$B$171,2,FALSE),"")</f>
        <v/>
      </c>
      <c r="F1706" s="49" t="str">
        <f>IFERROR(VLOOKUP(E1706,'Condensed Specialty Crosswalk'!$A$2:$C$182,2,FALSE),"")</f>
        <v/>
      </c>
      <c r="G1706" s="49" t="str">
        <f>IFERROR(VLOOKUP(E1706,'Condensed Specialty Crosswalk'!$A$2:$C$182,3,FALSE),"")</f>
        <v/>
      </c>
    </row>
    <row r="1707" spans="1:7" ht="15" customHeight="1">
      <c r="A1707" s="49"/>
      <c r="B1707" s="49" t="str">
        <f>CONCATENATE(Reports!E1706," ",Reports!F1706," ",Reports!G1706)</f>
        <v xml:space="preserve">  </v>
      </c>
      <c r="C1707" s="50"/>
      <c r="D1707" s="51"/>
      <c r="E1707" s="49" t="str">
        <f>IFERROR(VLOOKUP(D1707,'taxonomy map'!$A$1:$B$171,2,FALSE),"")</f>
        <v/>
      </c>
      <c r="F1707" s="49" t="str">
        <f>IFERROR(VLOOKUP(E1707,'Condensed Specialty Crosswalk'!$A$2:$C$182,2,FALSE),"")</f>
        <v/>
      </c>
      <c r="G1707" s="49" t="str">
        <f>IFERROR(VLOOKUP(E1707,'Condensed Specialty Crosswalk'!$A$2:$C$182,3,FALSE),"")</f>
        <v/>
      </c>
    </row>
    <row r="1708" spans="1:7" ht="15" customHeight="1">
      <c r="A1708" s="49"/>
      <c r="B1708" s="49" t="str">
        <f>CONCATENATE(Reports!E1707," ",Reports!F1707," ",Reports!G1707)</f>
        <v xml:space="preserve">  </v>
      </c>
      <c r="C1708" s="50"/>
      <c r="D1708" s="51"/>
      <c r="E1708" s="49" t="str">
        <f>IFERROR(VLOOKUP(D1708,'taxonomy map'!$A$1:$B$171,2,FALSE),"")</f>
        <v/>
      </c>
      <c r="F1708" s="49" t="str">
        <f>IFERROR(VLOOKUP(E1708,'Condensed Specialty Crosswalk'!$A$2:$C$182,2,FALSE),"")</f>
        <v/>
      </c>
      <c r="G1708" s="49" t="str">
        <f>IFERROR(VLOOKUP(E1708,'Condensed Specialty Crosswalk'!$A$2:$C$182,3,FALSE),"")</f>
        <v/>
      </c>
    </row>
    <row r="1709" spans="1:7" ht="15" customHeight="1">
      <c r="A1709" s="49"/>
      <c r="B1709" s="49" t="str">
        <f>CONCATENATE(Reports!E1708," ",Reports!F1708," ",Reports!G1708)</f>
        <v xml:space="preserve">  </v>
      </c>
      <c r="C1709" s="50"/>
      <c r="D1709" s="51"/>
      <c r="E1709" s="49" t="str">
        <f>IFERROR(VLOOKUP(D1709,'taxonomy map'!$A$1:$B$171,2,FALSE),"")</f>
        <v/>
      </c>
      <c r="F1709" s="49" t="str">
        <f>IFERROR(VLOOKUP(E1709,'Condensed Specialty Crosswalk'!$A$2:$C$182,2,FALSE),"")</f>
        <v/>
      </c>
      <c r="G1709" s="49" t="str">
        <f>IFERROR(VLOOKUP(E1709,'Condensed Specialty Crosswalk'!$A$2:$C$182,3,FALSE),"")</f>
        <v/>
      </c>
    </row>
    <row r="1710" spans="1:7" ht="15" customHeight="1">
      <c r="A1710" s="49"/>
      <c r="B1710" s="49" t="str">
        <f>CONCATENATE(Reports!E1709," ",Reports!F1709," ",Reports!G1709)</f>
        <v xml:space="preserve">  </v>
      </c>
      <c r="C1710" s="50"/>
      <c r="D1710" s="51"/>
      <c r="E1710" s="49" t="str">
        <f>IFERROR(VLOOKUP(D1710,'taxonomy map'!$A$1:$B$171,2,FALSE),"")</f>
        <v/>
      </c>
      <c r="F1710" s="49" t="str">
        <f>IFERROR(VLOOKUP(E1710,'Condensed Specialty Crosswalk'!$A$2:$C$182,2,FALSE),"")</f>
        <v/>
      </c>
      <c r="G1710" s="49" t="str">
        <f>IFERROR(VLOOKUP(E1710,'Condensed Specialty Crosswalk'!$A$2:$C$182,3,FALSE),"")</f>
        <v/>
      </c>
    </row>
    <row r="1711" spans="1:7" ht="15" customHeight="1">
      <c r="A1711" s="49"/>
      <c r="B1711" s="49" t="str">
        <f>CONCATENATE(Reports!E1710," ",Reports!F1710," ",Reports!G1710)</f>
        <v xml:space="preserve">  </v>
      </c>
      <c r="C1711" s="50"/>
      <c r="D1711" s="51"/>
      <c r="E1711" s="49" t="str">
        <f>IFERROR(VLOOKUP(D1711,'taxonomy map'!$A$1:$B$171,2,FALSE),"")</f>
        <v/>
      </c>
      <c r="F1711" s="49" t="str">
        <f>IFERROR(VLOOKUP(E1711,'Condensed Specialty Crosswalk'!$A$2:$C$182,2,FALSE),"")</f>
        <v/>
      </c>
      <c r="G1711" s="49" t="str">
        <f>IFERROR(VLOOKUP(E1711,'Condensed Specialty Crosswalk'!$A$2:$C$182,3,FALSE),"")</f>
        <v/>
      </c>
    </row>
    <row r="1712" spans="1:7" ht="15" customHeight="1">
      <c r="A1712" s="49"/>
      <c r="B1712" s="49" t="str">
        <f>CONCATENATE(Reports!E1711," ",Reports!F1711," ",Reports!G1711)</f>
        <v xml:space="preserve">  </v>
      </c>
      <c r="C1712" s="50"/>
      <c r="D1712" s="51"/>
      <c r="E1712" s="49" t="str">
        <f>IFERROR(VLOOKUP(D1712,'taxonomy map'!$A$1:$B$171,2,FALSE),"")</f>
        <v/>
      </c>
      <c r="F1712" s="49" t="str">
        <f>IFERROR(VLOOKUP(E1712,'Condensed Specialty Crosswalk'!$A$2:$C$182,2,FALSE),"")</f>
        <v/>
      </c>
      <c r="G1712" s="49" t="str">
        <f>IFERROR(VLOOKUP(E1712,'Condensed Specialty Crosswalk'!$A$2:$C$182,3,FALSE),"")</f>
        <v/>
      </c>
    </row>
    <row r="1713" spans="1:7" ht="15" customHeight="1">
      <c r="A1713" s="49"/>
      <c r="B1713" s="49" t="str">
        <f>CONCATENATE(Reports!E1712," ",Reports!F1712," ",Reports!G1712)</f>
        <v xml:space="preserve">  </v>
      </c>
      <c r="C1713" s="50"/>
      <c r="D1713" s="51"/>
      <c r="E1713" s="49" t="str">
        <f>IFERROR(VLOOKUP(D1713,'taxonomy map'!$A$1:$B$171,2,FALSE),"")</f>
        <v/>
      </c>
      <c r="F1713" s="49" t="str">
        <f>IFERROR(VLOOKUP(E1713,'Condensed Specialty Crosswalk'!$A$2:$C$182,2,FALSE),"")</f>
        <v/>
      </c>
      <c r="G1713" s="49" t="str">
        <f>IFERROR(VLOOKUP(E1713,'Condensed Specialty Crosswalk'!$A$2:$C$182,3,FALSE),"")</f>
        <v/>
      </c>
    </row>
    <row r="1714" spans="1:7" ht="15" customHeight="1">
      <c r="A1714" s="49"/>
      <c r="B1714" s="49" t="str">
        <f>CONCATENATE(Reports!E1713," ",Reports!F1713," ",Reports!G1713)</f>
        <v xml:space="preserve">  </v>
      </c>
      <c r="C1714" s="50"/>
      <c r="D1714" s="51"/>
      <c r="E1714" s="49" t="str">
        <f>IFERROR(VLOOKUP(D1714,'taxonomy map'!$A$1:$B$171,2,FALSE),"")</f>
        <v/>
      </c>
      <c r="F1714" s="49" t="str">
        <f>IFERROR(VLOOKUP(E1714,'Condensed Specialty Crosswalk'!$A$2:$C$182,2,FALSE),"")</f>
        <v/>
      </c>
      <c r="G1714" s="49" t="str">
        <f>IFERROR(VLOOKUP(E1714,'Condensed Specialty Crosswalk'!$A$2:$C$182,3,FALSE),"")</f>
        <v/>
      </c>
    </row>
    <row r="1715" spans="1:7" ht="15" customHeight="1">
      <c r="A1715" s="49"/>
      <c r="B1715" s="49" t="str">
        <f>CONCATENATE(Reports!E1714," ",Reports!F1714," ",Reports!G1714)</f>
        <v xml:space="preserve">  </v>
      </c>
      <c r="C1715" s="50"/>
      <c r="D1715" s="51"/>
      <c r="E1715" s="49" t="str">
        <f>IFERROR(VLOOKUP(D1715,'taxonomy map'!$A$1:$B$171,2,FALSE),"")</f>
        <v/>
      </c>
      <c r="F1715" s="49" t="str">
        <f>IFERROR(VLOOKUP(E1715,'Condensed Specialty Crosswalk'!$A$2:$C$182,2,FALSE),"")</f>
        <v/>
      </c>
      <c r="G1715" s="49" t="str">
        <f>IFERROR(VLOOKUP(E1715,'Condensed Specialty Crosswalk'!$A$2:$C$182,3,FALSE),"")</f>
        <v/>
      </c>
    </row>
    <row r="1716" spans="1:7" ht="15" customHeight="1">
      <c r="A1716" s="49"/>
      <c r="B1716" s="49" t="str">
        <f>CONCATENATE(Reports!E1715," ",Reports!F1715," ",Reports!G1715)</f>
        <v xml:space="preserve">  </v>
      </c>
      <c r="C1716" s="50"/>
      <c r="D1716" s="51"/>
      <c r="E1716" s="49" t="str">
        <f>IFERROR(VLOOKUP(D1716,'taxonomy map'!$A$1:$B$171,2,FALSE),"")</f>
        <v/>
      </c>
      <c r="F1716" s="49" t="str">
        <f>IFERROR(VLOOKUP(E1716,'Condensed Specialty Crosswalk'!$A$2:$C$182,2,FALSE),"")</f>
        <v/>
      </c>
      <c r="G1716" s="49" t="str">
        <f>IFERROR(VLOOKUP(E1716,'Condensed Specialty Crosswalk'!$A$2:$C$182,3,FALSE),"")</f>
        <v/>
      </c>
    </row>
    <row r="1717" spans="1:7" ht="15" customHeight="1">
      <c r="A1717" s="49"/>
      <c r="B1717" s="49" t="str">
        <f>CONCATENATE(Reports!E1716," ",Reports!F1716," ",Reports!G1716)</f>
        <v xml:space="preserve">  </v>
      </c>
      <c r="C1717" s="50"/>
      <c r="D1717" s="51"/>
      <c r="E1717" s="49" t="str">
        <f>IFERROR(VLOOKUP(D1717,'taxonomy map'!$A$1:$B$171,2,FALSE),"")</f>
        <v/>
      </c>
      <c r="F1717" s="49" t="str">
        <f>IFERROR(VLOOKUP(E1717,'Condensed Specialty Crosswalk'!$A$2:$C$182,2,FALSE),"")</f>
        <v/>
      </c>
      <c r="G1717" s="49" t="str">
        <f>IFERROR(VLOOKUP(E1717,'Condensed Specialty Crosswalk'!$A$2:$C$182,3,FALSE),"")</f>
        <v/>
      </c>
    </row>
    <row r="1718" spans="1:7" ht="15" customHeight="1">
      <c r="A1718" s="49"/>
      <c r="B1718" s="49" t="str">
        <f>CONCATENATE(Reports!E1717," ",Reports!F1717," ",Reports!G1717)</f>
        <v xml:space="preserve">  </v>
      </c>
      <c r="C1718" s="50"/>
      <c r="D1718" s="51"/>
      <c r="E1718" s="49" t="str">
        <f>IFERROR(VLOOKUP(D1718,'taxonomy map'!$A$1:$B$171,2,FALSE),"")</f>
        <v/>
      </c>
      <c r="F1718" s="49" t="str">
        <f>IFERROR(VLOOKUP(E1718,'Condensed Specialty Crosswalk'!$A$2:$C$182,2,FALSE),"")</f>
        <v/>
      </c>
      <c r="G1718" s="49" t="str">
        <f>IFERROR(VLOOKUP(E1718,'Condensed Specialty Crosswalk'!$A$2:$C$182,3,FALSE),"")</f>
        <v/>
      </c>
    </row>
    <row r="1719" spans="1:7" ht="15" customHeight="1">
      <c r="A1719" s="49"/>
      <c r="B1719" s="49" t="str">
        <f>CONCATENATE(Reports!E1718," ",Reports!F1718," ",Reports!G1718)</f>
        <v xml:space="preserve">  </v>
      </c>
      <c r="C1719" s="50"/>
      <c r="D1719" s="51"/>
      <c r="E1719" s="49" t="str">
        <f>IFERROR(VLOOKUP(D1719,'taxonomy map'!$A$1:$B$171,2,FALSE),"")</f>
        <v/>
      </c>
      <c r="F1719" s="49" t="str">
        <f>IFERROR(VLOOKUP(E1719,'Condensed Specialty Crosswalk'!$A$2:$C$182,2,FALSE),"")</f>
        <v/>
      </c>
      <c r="G1719" s="49" t="str">
        <f>IFERROR(VLOOKUP(E1719,'Condensed Specialty Crosswalk'!$A$2:$C$182,3,FALSE),"")</f>
        <v/>
      </c>
    </row>
    <row r="1720" spans="1:7" ht="15" customHeight="1">
      <c r="A1720" s="49"/>
      <c r="B1720" s="49" t="str">
        <f>CONCATENATE(Reports!E1719," ",Reports!F1719," ",Reports!G1719)</f>
        <v xml:space="preserve">  </v>
      </c>
      <c r="C1720" s="50"/>
      <c r="D1720" s="51"/>
      <c r="E1720" s="49" t="str">
        <f>IFERROR(VLOOKUP(D1720,'taxonomy map'!$A$1:$B$171,2,FALSE),"")</f>
        <v/>
      </c>
      <c r="F1720" s="49" t="str">
        <f>IFERROR(VLOOKUP(E1720,'Condensed Specialty Crosswalk'!$A$2:$C$182,2,FALSE),"")</f>
        <v/>
      </c>
      <c r="G1720" s="49" t="str">
        <f>IFERROR(VLOOKUP(E1720,'Condensed Specialty Crosswalk'!$A$2:$C$182,3,FALSE),"")</f>
        <v/>
      </c>
    </row>
    <row r="1721" spans="1:7" ht="15" customHeight="1">
      <c r="A1721" s="49"/>
      <c r="B1721" s="49" t="str">
        <f>CONCATENATE(Reports!E1720," ",Reports!F1720," ",Reports!G1720)</f>
        <v xml:space="preserve">  </v>
      </c>
      <c r="C1721" s="50"/>
      <c r="D1721" s="51"/>
      <c r="E1721" s="49" t="str">
        <f>IFERROR(VLOOKUP(D1721,'taxonomy map'!$A$1:$B$171,2,FALSE),"")</f>
        <v/>
      </c>
      <c r="F1721" s="49" t="str">
        <f>IFERROR(VLOOKUP(E1721,'Condensed Specialty Crosswalk'!$A$2:$C$182,2,FALSE),"")</f>
        <v/>
      </c>
      <c r="G1721" s="49" t="str">
        <f>IFERROR(VLOOKUP(E1721,'Condensed Specialty Crosswalk'!$A$2:$C$182,3,FALSE),"")</f>
        <v/>
      </c>
    </row>
    <row r="1722" spans="1:7" ht="15" customHeight="1">
      <c r="A1722" s="49"/>
      <c r="B1722" s="49" t="str">
        <f>CONCATENATE(Reports!E1721," ",Reports!F1721," ",Reports!G1721)</f>
        <v xml:space="preserve">  </v>
      </c>
      <c r="C1722" s="50"/>
      <c r="D1722" s="51"/>
      <c r="E1722" s="49" t="str">
        <f>IFERROR(VLOOKUP(D1722,'taxonomy map'!$A$1:$B$171,2,FALSE),"")</f>
        <v/>
      </c>
      <c r="F1722" s="49" t="str">
        <f>IFERROR(VLOOKUP(E1722,'Condensed Specialty Crosswalk'!$A$2:$C$182,2,FALSE),"")</f>
        <v/>
      </c>
      <c r="G1722" s="49" t="str">
        <f>IFERROR(VLOOKUP(E1722,'Condensed Specialty Crosswalk'!$A$2:$C$182,3,FALSE),"")</f>
        <v/>
      </c>
    </row>
    <row r="1723" spans="1:7" ht="15" customHeight="1">
      <c r="A1723" s="49"/>
      <c r="B1723" s="49" t="str">
        <f>CONCATENATE(Reports!E1722," ",Reports!F1722," ",Reports!G1722)</f>
        <v xml:space="preserve">  </v>
      </c>
      <c r="C1723" s="50"/>
      <c r="D1723" s="51"/>
      <c r="E1723" s="49" t="str">
        <f>IFERROR(VLOOKUP(D1723,'taxonomy map'!$A$1:$B$171,2,FALSE),"")</f>
        <v/>
      </c>
      <c r="F1723" s="49" t="str">
        <f>IFERROR(VLOOKUP(E1723,'Condensed Specialty Crosswalk'!$A$2:$C$182,2,FALSE),"")</f>
        <v/>
      </c>
      <c r="G1723" s="49" t="str">
        <f>IFERROR(VLOOKUP(E1723,'Condensed Specialty Crosswalk'!$A$2:$C$182,3,FALSE),"")</f>
        <v/>
      </c>
    </row>
    <row r="1724" spans="1:7" ht="15" customHeight="1">
      <c r="A1724" s="49"/>
      <c r="B1724" s="49" t="str">
        <f>CONCATENATE(Reports!E1723," ",Reports!F1723," ",Reports!G1723)</f>
        <v xml:space="preserve">  </v>
      </c>
      <c r="C1724" s="50"/>
      <c r="D1724" s="51"/>
      <c r="E1724" s="49" t="str">
        <f>IFERROR(VLOOKUP(D1724,'taxonomy map'!$A$1:$B$171,2,FALSE),"")</f>
        <v/>
      </c>
      <c r="F1724" s="49" t="str">
        <f>IFERROR(VLOOKUP(E1724,'Condensed Specialty Crosswalk'!$A$2:$C$182,2,FALSE),"")</f>
        <v/>
      </c>
      <c r="G1724" s="49" t="str">
        <f>IFERROR(VLOOKUP(E1724,'Condensed Specialty Crosswalk'!$A$2:$C$182,3,FALSE),"")</f>
        <v/>
      </c>
    </row>
    <row r="1725" spans="1:7" ht="15" customHeight="1">
      <c r="A1725" s="49"/>
      <c r="B1725" s="49" t="str">
        <f>CONCATENATE(Reports!E1724," ",Reports!F1724," ",Reports!G1724)</f>
        <v xml:space="preserve">  </v>
      </c>
      <c r="C1725" s="50"/>
      <c r="D1725" s="51"/>
      <c r="E1725" s="49" t="str">
        <f>IFERROR(VLOOKUP(D1725,'taxonomy map'!$A$1:$B$171,2,FALSE),"")</f>
        <v/>
      </c>
      <c r="F1725" s="49" t="str">
        <f>IFERROR(VLOOKUP(E1725,'Condensed Specialty Crosswalk'!$A$2:$C$182,2,FALSE),"")</f>
        <v/>
      </c>
      <c r="G1725" s="49" t="str">
        <f>IFERROR(VLOOKUP(E1725,'Condensed Specialty Crosswalk'!$A$2:$C$182,3,FALSE),"")</f>
        <v/>
      </c>
    </row>
    <row r="1726" spans="1:7" ht="15" customHeight="1">
      <c r="A1726" s="49"/>
      <c r="B1726" s="49" t="str">
        <f>CONCATENATE(Reports!E1725," ",Reports!F1725," ",Reports!G1725)</f>
        <v xml:space="preserve">  </v>
      </c>
      <c r="C1726" s="50"/>
      <c r="D1726" s="51"/>
      <c r="E1726" s="49" t="str">
        <f>IFERROR(VLOOKUP(D1726,'taxonomy map'!$A$1:$B$171,2,FALSE),"")</f>
        <v/>
      </c>
      <c r="F1726" s="49" t="str">
        <f>IFERROR(VLOOKUP(E1726,'Condensed Specialty Crosswalk'!$A$2:$C$182,2,FALSE),"")</f>
        <v/>
      </c>
      <c r="G1726" s="49" t="str">
        <f>IFERROR(VLOOKUP(E1726,'Condensed Specialty Crosswalk'!$A$2:$C$182,3,FALSE),"")</f>
        <v/>
      </c>
    </row>
    <row r="1727" spans="1:7" ht="15" customHeight="1">
      <c r="A1727" s="49"/>
      <c r="B1727" s="49" t="str">
        <f>CONCATENATE(Reports!E1726," ",Reports!F1726," ",Reports!G1726)</f>
        <v xml:space="preserve">  </v>
      </c>
      <c r="C1727" s="50"/>
      <c r="D1727" s="51"/>
      <c r="E1727" s="49" t="str">
        <f>IFERROR(VLOOKUP(D1727,'taxonomy map'!$A$1:$B$171,2,FALSE),"")</f>
        <v/>
      </c>
      <c r="F1727" s="49" t="str">
        <f>IFERROR(VLOOKUP(E1727,'Condensed Specialty Crosswalk'!$A$2:$C$182,2,FALSE),"")</f>
        <v/>
      </c>
      <c r="G1727" s="49" t="str">
        <f>IFERROR(VLOOKUP(E1727,'Condensed Specialty Crosswalk'!$A$2:$C$182,3,FALSE),"")</f>
        <v/>
      </c>
    </row>
    <row r="1728" spans="1:7" ht="15" customHeight="1">
      <c r="A1728" s="49"/>
      <c r="B1728" s="49" t="str">
        <f>CONCATENATE(Reports!E1727," ",Reports!F1727," ",Reports!G1727)</f>
        <v xml:space="preserve">  </v>
      </c>
      <c r="C1728" s="50"/>
      <c r="D1728" s="51"/>
      <c r="E1728" s="49" t="str">
        <f>IFERROR(VLOOKUP(D1728,'taxonomy map'!$A$1:$B$171,2,FALSE),"")</f>
        <v/>
      </c>
      <c r="F1728" s="49" t="str">
        <f>IFERROR(VLOOKUP(E1728,'Condensed Specialty Crosswalk'!$A$2:$C$182,2,FALSE),"")</f>
        <v/>
      </c>
      <c r="G1728" s="49" t="str">
        <f>IFERROR(VLOOKUP(E1728,'Condensed Specialty Crosswalk'!$A$2:$C$182,3,FALSE),"")</f>
        <v/>
      </c>
    </row>
    <row r="1729" spans="1:7" ht="15" customHeight="1">
      <c r="A1729" s="49"/>
      <c r="B1729" s="49" t="str">
        <f>CONCATENATE(Reports!E1728," ",Reports!F1728," ",Reports!G1728)</f>
        <v xml:space="preserve">  </v>
      </c>
      <c r="C1729" s="50"/>
      <c r="D1729" s="51"/>
      <c r="E1729" s="49" t="str">
        <f>IFERROR(VLOOKUP(D1729,'taxonomy map'!$A$1:$B$171,2,FALSE),"")</f>
        <v/>
      </c>
      <c r="F1729" s="49" t="str">
        <f>IFERROR(VLOOKUP(E1729,'Condensed Specialty Crosswalk'!$A$2:$C$182,2,FALSE),"")</f>
        <v/>
      </c>
      <c r="G1729" s="49" t="str">
        <f>IFERROR(VLOOKUP(E1729,'Condensed Specialty Crosswalk'!$A$2:$C$182,3,FALSE),"")</f>
        <v/>
      </c>
    </row>
    <row r="1730" spans="1:7" ht="15" customHeight="1">
      <c r="A1730" s="49"/>
      <c r="B1730" s="49" t="str">
        <f>CONCATENATE(Reports!E1729," ",Reports!F1729," ",Reports!G1729)</f>
        <v xml:space="preserve">  </v>
      </c>
      <c r="C1730" s="50"/>
      <c r="D1730" s="51"/>
      <c r="E1730" s="49" t="str">
        <f>IFERROR(VLOOKUP(D1730,'taxonomy map'!$A$1:$B$171,2,FALSE),"")</f>
        <v/>
      </c>
      <c r="F1730" s="49" t="str">
        <f>IFERROR(VLOOKUP(E1730,'Condensed Specialty Crosswalk'!$A$2:$C$182,2,FALSE),"")</f>
        <v/>
      </c>
      <c r="G1730" s="49" t="str">
        <f>IFERROR(VLOOKUP(E1730,'Condensed Specialty Crosswalk'!$A$2:$C$182,3,FALSE),"")</f>
        <v/>
      </c>
    </row>
    <row r="1731" spans="1:7" ht="15" customHeight="1">
      <c r="A1731" s="49"/>
      <c r="B1731" s="49" t="str">
        <f>CONCATENATE(Reports!E1730," ",Reports!F1730," ",Reports!G1730)</f>
        <v xml:space="preserve">  </v>
      </c>
      <c r="C1731" s="50"/>
      <c r="D1731" s="51"/>
      <c r="E1731" s="49" t="str">
        <f>IFERROR(VLOOKUP(D1731,'taxonomy map'!$A$1:$B$171,2,FALSE),"")</f>
        <v/>
      </c>
      <c r="F1731" s="49" t="str">
        <f>IFERROR(VLOOKUP(E1731,'Condensed Specialty Crosswalk'!$A$2:$C$182,2,FALSE),"")</f>
        <v/>
      </c>
      <c r="G1731" s="49" t="str">
        <f>IFERROR(VLOOKUP(E1731,'Condensed Specialty Crosswalk'!$A$2:$C$182,3,FALSE),"")</f>
        <v/>
      </c>
    </row>
    <row r="1732" spans="1:7" ht="15" customHeight="1">
      <c r="A1732" s="49"/>
      <c r="B1732" s="49" t="str">
        <f>CONCATENATE(Reports!E1731," ",Reports!F1731," ",Reports!G1731)</f>
        <v xml:space="preserve">  </v>
      </c>
      <c r="C1732" s="50"/>
      <c r="D1732" s="51"/>
      <c r="E1732" s="49" t="str">
        <f>IFERROR(VLOOKUP(D1732,'taxonomy map'!$A$1:$B$171,2,FALSE),"")</f>
        <v/>
      </c>
      <c r="F1732" s="49" t="str">
        <f>IFERROR(VLOOKUP(E1732,'Condensed Specialty Crosswalk'!$A$2:$C$182,2,FALSE),"")</f>
        <v/>
      </c>
      <c r="G1732" s="49" t="str">
        <f>IFERROR(VLOOKUP(E1732,'Condensed Specialty Crosswalk'!$A$2:$C$182,3,FALSE),"")</f>
        <v/>
      </c>
    </row>
    <row r="1733" spans="1:7" ht="15" customHeight="1">
      <c r="A1733" s="49"/>
      <c r="B1733" s="49" t="str">
        <f>CONCATENATE(Reports!E1732," ",Reports!F1732," ",Reports!G1732)</f>
        <v xml:space="preserve">  </v>
      </c>
      <c r="C1733" s="50"/>
      <c r="D1733" s="51"/>
      <c r="E1733" s="49" t="str">
        <f>IFERROR(VLOOKUP(D1733,'taxonomy map'!$A$1:$B$171,2,FALSE),"")</f>
        <v/>
      </c>
      <c r="F1733" s="49" t="str">
        <f>IFERROR(VLOOKUP(E1733,'Condensed Specialty Crosswalk'!$A$2:$C$182,2,FALSE),"")</f>
        <v/>
      </c>
      <c r="G1733" s="49" t="str">
        <f>IFERROR(VLOOKUP(E1733,'Condensed Specialty Crosswalk'!$A$2:$C$182,3,FALSE),"")</f>
        <v/>
      </c>
    </row>
    <row r="1734" spans="1:7" ht="15" customHeight="1">
      <c r="A1734" s="49"/>
      <c r="B1734" s="49" t="str">
        <f>CONCATENATE(Reports!E1733," ",Reports!F1733," ",Reports!G1733)</f>
        <v xml:space="preserve">  </v>
      </c>
      <c r="C1734" s="50"/>
      <c r="D1734" s="51"/>
      <c r="E1734" s="49" t="str">
        <f>IFERROR(VLOOKUP(D1734,'taxonomy map'!$A$1:$B$171,2,FALSE),"")</f>
        <v/>
      </c>
      <c r="F1734" s="49" t="str">
        <f>IFERROR(VLOOKUP(E1734,'Condensed Specialty Crosswalk'!$A$2:$C$182,2,FALSE),"")</f>
        <v/>
      </c>
      <c r="G1734" s="49" t="str">
        <f>IFERROR(VLOOKUP(E1734,'Condensed Specialty Crosswalk'!$A$2:$C$182,3,FALSE),"")</f>
        <v/>
      </c>
    </row>
    <row r="1735" spans="1:7" ht="15" customHeight="1">
      <c r="A1735" s="49"/>
      <c r="B1735" s="49" t="str">
        <f>CONCATENATE(Reports!E1734," ",Reports!F1734," ",Reports!G1734)</f>
        <v xml:space="preserve">  </v>
      </c>
      <c r="C1735" s="50"/>
      <c r="D1735" s="51"/>
      <c r="E1735" s="49" t="str">
        <f>IFERROR(VLOOKUP(D1735,'taxonomy map'!$A$1:$B$171,2,FALSE),"")</f>
        <v/>
      </c>
      <c r="F1735" s="49" t="str">
        <f>IFERROR(VLOOKUP(E1735,'Condensed Specialty Crosswalk'!$A$2:$C$182,2,FALSE),"")</f>
        <v/>
      </c>
      <c r="G1735" s="49" t="str">
        <f>IFERROR(VLOOKUP(E1735,'Condensed Specialty Crosswalk'!$A$2:$C$182,3,FALSE),"")</f>
        <v/>
      </c>
    </row>
    <row r="1736" spans="1:7" ht="15" customHeight="1">
      <c r="A1736" s="49"/>
      <c r="B1736" s="49" t="str">
        <f>CONCATENATE(Reports!E1735," ",Reports!F1735," ",Reports!G1735)</f>
        <v xml:space="preserve">  </v>
      </c>
      <c r="C1736" s="50"/>
      <c r="D1736" s="51"/>
      <c r="E1736" s="49" t="str">
        <f>IFERROR(VLOOKUP(D1736,'taxonomy map'!$A$1:$B$171,2,FALSE),"")</f>
        <v/>
      </c>
      <c r="F1736" s="49" t="str">
        <f>IFERROR(VLOOKUP(E1736,'Condensed Specialty Crosswalk'!$A$2:$C$182,2,FALSE),"")</f>
        <v/>
      </c>
      <c r="G1736" s="49" t="str">
        <f>IFERROR(VLOOKUP(E1736,'Condensed Specialty Crosswalk'!$A$2:$C$182,3,FALSE),"")</f>
        <v/>
      </c>
    </row>
    <row r="1737" spans="1:7" ht="15" customHeight="1">
      <c r="A1737" s="49"/>
      <c r="B1737" s="49" t="str">
        <f>CONCATENATE(Reports!E1736," ",Reports!F1736," ",Reports!G1736)</f>
        <v xml:space="preserve">  </v>
      </c>
      <c r="C1737" s="50"/>
      <c r="D1737" s="51"/>
      <c r="E1737" s="49" t="str">
        <f>IFERROR(VLOOKUP(D1737,'taxonomy map'!$A$1:$B$171,2,FALSE),"")</f>
        <v/>
      </c>
      <c r="F1737" s="49" t="str">
        <f>IFERROR(VLOOKUP(E1737,'Condensed Specialty Crosswalk'!$A$2:$C$182,2,FALSE),"")</f>
        <v/>
      </c>
      <c r="G1737" s="49" t="str">
        <f>IFERROR(VLOOKUP(E1737,'Condensed Specialty Crosswalk'!$A$2:$C$182,3,FALSE),"")</f>
        <v/>
      </c>
    </row>
    <row r="1738" spans="1:7" ht="15" customHeight="1">
      <c r="A1738" s="49"/>
      <c r="B1738" s="49" t="str">
        <f>CONCATENATE(Reports!E1737," ",Reports!F1737," ",Reports!G1737)</f>
        <v xml:space="preserve">  </v>
      </c>
      <c r="C1738" s="50"/>
      <c r="D1738" s="51"/>
      <c r="E1738" s="49" t="str">
        <f>IFERROR(VLOOKUP(D1738,'taxonomy map'!$A$1:$B$171,2,FALSE),"")</f>
        <v/>
      </c>
      <c r="F1738" s="49" t="str">
        <f>IFERROR(VLOOKUP(E1738,'Condensed Specialty Crosswalk'!$A$2:$C$182,2,FALSE),"")</f>
        <v/>
      </c>
      <c r="G1738" s="49" t="str">
        <f>IFERROR(VLOOKUP(E1738,'Condensed Specialty Crosswalk'!$A$2:$C$182,3,FALSE),"")</f>
        <v/>
      </c>
    </row>
    <row r="1739" spans="1:7" ht="15" customHeight="1">
      <c r="A1739" s="49"/>
      <c r="B1739" s="49" t="str">
        <f>CONCATENATE(Reports!E1738," ",Reports!F1738," ",Reports!G1738)</f>
        <v xml:space="preserve">  </v>
      </c>
      <c r="C1739" s="50"/>
      <c r="D1739" s="51"/>
      <c r="E1739" s="49" t="str">
        <f>IFERROR(VLOOKUP(D1739,'taxonomy map'!$A$1:$B$171,2,FALSE),"")</f>
        <v/>
      </c>
      <c r="F1739" s="49" t="str">
        <f>IFERROR(VLOOKUP(E1739,'Condensed Specialty Crosswalk'!$A$2:$C$182,2,FALSE),"")</f>
        <v/>
      </c>
      <c r="G1739" s="49" t="str">
        <f>IFERROR(VLOOKUP(E1739,'Condensed Specialty Crosswalk'!$A$2:$C$182,3,FALSE),"")</f>
        <v/>
      </c>
    </row>
    <row r="1740" spans="1:7" ht="15" customHeight="1">
      <c r="A1740" s="49"/>
      <c r="B1740" s="49" t="str">
        <f>CONCATENATE(Reports!E1739," ",Reports!F1739," ",Reports!G1739)</f>
        <v xml:space="preserve">  </v>
      </c>
      <c r="C1740" s="50"/>
      <c r="D1740" s="51"/>
      <c r="E1740" s="49" t="str">
        <f>IFERROR(VLOOKUP(D1740,'taxonomy map'!$A$1:$B$171,2,FALSE),"")</f>
        <v/>
      </c>
      <c r="F1740" s="49" t="str">
        <f>IFERROR(VLOOKUP(E1740,'Condensed Specialty Crosswalk'!$A$2:$C$182,2,FALSE),"")</f>
        <v/>
      </c>
      <c r="G1740" s="49" t="str">
        <f>IFERROR(VLOOKUP(E1740,'Condensed Specialty Crosswalk'!$A$2:$C$182,3,FALSE),"")</f>
        <v/>
      </c>
    </row>
    <row r="1741" spans="1:7" ht="15" customHeight="1">
      <c r="A1741" s="49"/>
      <c r="B1741" s="49" t="str">
        <f>CONCATENATE(Reports!E1740," ",Reports!F1740," ",Reports!G1740)</f>
        <v xml:space="preserve">  </v>
      </c>
      <c r="C1741" s="50"/>
      <c r="D1741" s="51"/>
      <c r="E1741" s="49" t="str">
        <f>IFERROR(VLOOKUP(D1741,'taxonomy map'!$A$1:$B$171,2,FALSE),"")</f>
        <v/>
      </c>
      <c r="F1741" s="49" t="str">
        <f>IFERROR(VLOOKUP(E1741,'Condensed Specialty Crosswalk'!$A$2:$C$182,2,FALSE),"")</f>
        <v/>
      </c>
      <c r="G1741" s="49" t="str">
        <f>IFERROR(VLOOKUP(E1741,'Condensed Specialty Crosswalk'!$A$2:$C$182,3,FALSE),"")</f>
        <v/>
      </c>
    </row>
    <row r="1742" spans="1:7" ht="15" customHeight="1">
      <c r="A1742" s="49"/>
      <c r="B1742" s="49" t="str">
        <f>CONCATENATE(Reports!E1741," ",Reports!F1741," ",Reports!G1741)</f>
        <v xml:space="preserve">  </v>
      </c>
      <c r="C1742" s="50"/>
      <c r="D1742" s="51"/>
      <c r="E1742" s="49" t="str">
        <f>IFERROR(VLOOKUP(D1742,'taxonomy map'!$A$1:$B$171,2,FALSE),"")</f>
        <v/>
      </c>
      <c r="F1742" s="49" t="str">
        <f>IFERROR(VLOOKUP(E1742,'Condensed Specialty Crosswalk'!$A$2:$C$182,2,FALSE),"")</f>
        <v/>
      </c>
      <c r="G1742" s="49" t="str">
        <f>IFERROR(VLOOKUP(E1742,'Condensed Specialty Crosswalk'!$A$2:$C$182,3,FALSE),"")</f>
        <v/>
      </c>
    </row>
    <row r="1743" spans="1:7" ht="15" customHeight="1">
      <c r="A1743" s="49"/>
      <c r="B1743" s="49" t="str">
        <f>CONCATENATE(Reports!E1742," ",Reports!F1742," ",Reports!G1742)</f>
        <v xml:space="preserve">  </v>
      </c>
      <c r="C1743" s="50"/>
      <c r="D1743" s="51"/>
      <c r="E1743" s="49" t="str">
        <f>IFERROR(VLOOKUP(D1743,'taxonomy map'!$A$1:$B$171,2,FALSE),"")</f>
        <v/>
      </c>
      <c r="F1743" s="49" t="str">
        <f>IFERROR(VLOOKUP(E1743,'Condensed Specialty Crosswalk'!$A$2:$C$182,2,FALSE),"")</f>
        <v/>
      </c>
      <c r="G1743" s="49" t="str">
        <f>IFERROR(VLOOKUP(E1743,'Condensed Specialty Crosswalk'!$A$2:$C$182,3,FALSE),"")</f>
        <v/>
      </c>
    </row>
    <row r="1744" spans="1:7" ht="15" customHeight="1">
      <c r="A1744" s="49"/>
      <c r="B1744" s="49" t="str">
        <f>CONCATENATE(Reports!E1743," ",Reports!F1743," ",Reports!G1743)</f>
        <v xml:space="preserve">  </v>
      </c>
      <c r="C1744" s="50"/>
      <c r="D1744" s="51"/>
      <c r="E1744" s="49" t="str">
        <f>IFERROR(VLOOKUP(D1744,'taxonomy map'!$A$1:$B$171,2,FALSE),"")</f>
        <v/>
      </c>
      <c r="F1744" s="49" t="str">
        <f>IFERROR(VLOOKUP(E1744,'Condensed Specialty Crosswalk'!$A$2:$C$182,2,FALSE),"")</f>
        <v/>
      </c>
      <c r="G1744" s="49" t="str">
        <f>IFERROR(VLOOKUP(E1744,'Condensed Specialty Crosswalk'!$A$2:$C$182,3,FALSE),"")</f>
        <v/>
      </c>
    </row>
    <row r="1745" spans="1:7" ht="15" customHeight="1">
      <c r="A1745" s="49"/>
      <c r="B1745" s="49" t="str">
        <f>CONCATENATE(Reports!E1744," ",Reports!F1744," ",Reports!G1744)</f>
        <v xml:space="preserve">  </v>
      </c>
      <c r="C1745" s="50"/>
      <c r="D1745" s="51"/>
      <c r="E1745" s="49" t="str">
        <f>IFERROR(VLOOKUP(D1745,'taxonomy map'!$A$1:$B$171,2,FALSE),"")</f>
        <v/>
      </c>
      <c r="F1745" s="49" t="str">
        <f>IFERROR(VLOOKUP(E1745,'Condensed Specialty Crosswalk'!$A$2:$C$182,2,FALSE),"")</f>
        <v/>
      </c>
      <c r="G1745" s="49" t="str">
        <f>IFERROR(VLOOKUP(E1745,'Condensed Specialty Crosswalk'!$A$2:$C$182,3,FALSE),"")</f>
        <v/>
      </c>
    </row>
    <row r="1746" spans="1:7" ht="15" customHeight="1">
      <c r="A1746" s="49"/>
      <c r="B1746" s="49" t="str">
        <f>CONCATENATE(Reports!E1745," ",Reports!F1745," ",Reports!G1745)</f>
        <v xml:space="preserve">  </v>
      </c>
      <c r="C1746" s="50"/>
      <c r="D1746" s="51"/>
      <c r="E1746" s="49" t="str">
        <f>IFERROR(VLOOKUP(D1746,'taxonomy map'!$A$1:$B$171,2,FALSE),"")</f>
        <v/>
      </c>
      <c r="F1746" s="49" t="str">
        <f>IFERROR(VLOOKUP(E1746,'Condensed Specialty Crosswalk'!$A$2:$C$182,2,FALSE),"")</f>
        <v/>
      </c>
      <c r="G1746" s="49" t="str">
        <f>IFERROR(VLOOKUP(E1746,'Condensed Specialty Crosswalk'!$A$2:$C$182,3,FALSE),"")</f>
        <v/>
      </c>
    </row>
    <row r="1747" spans="1:7" ht="15" customHeight="1">
      <c r="A1747" s="49"/>
      <c r="B1747" s="49" t="str">
        <f>CONCATENATE(Reports!E1746," ",Reports!F1746," ",Reports!G1746)</f>
        <v xml:space="preserve">  </v>
      </c>
      <c r="C1747" s="50"/>
      <c r="D1747" s="51"/>
      <c r="E1747" s="49" t="str">
        <f>IFERROR(VLOOKUP(D1747,'taxonomy map'!$A$1:$B$171,2,FALSE),"")</f>
        <v/>
      </c>
      <c r="F1747" s="49" t="str">
        <f>IFERROR(VLOOKUP(E1747,'Condensed Specialty Crosswalk'!$A$2:$C$182,2,FALSE),"")</f>
        <v/>
      </c>
      <c r="G1747" s="49" t="str">
        <f>IFERROR(VLOOKUP(E1747,'Condensed Specialty Crosswalk'!$A$2:$C$182,3,FALSE),"")</f>
        <v/>
      </c>
    </row>
    <row r="1748" spans="1:7" ht="15" customHeight="1">
      <c r="A1748" s="49"/>
      <c r="B1748" s="49" t="str">
        <f>CONCATENATE(Reports!E1747," ",Reports!F1747," ",Reports!G1747)</f>
        <v xml:space="preserve">  </v>
      </c>
      <c r="C1748" s="50"/>
      <c r="D1748" s="51"/>
      <c r="E1748" s="49" t="str">
        <f>IFERROR(VLOOKUP(D1748,'taxonomy map'!$A$1:$B$171,2,FALSE),"")</f>
        <v/>
      </c>
      <c r="F1748" s="49" t="str">
        <f>IFERROR(VLOOKUP(E1748,'Condensed Specialty Crosswalk'!$A$2:$C$182,2,FALSE),"")</f>
        <v/>
      </c>
      <c r="G1748" s="49" t="str">
        <f>IFERROR(VLOOKUP(E1748,'Condensed Specialty Crosswalk'!$A$2:$C$182,3,FALSE),"")</f>
        <v/>
      </c>
    </row>
    <row r="1749" spans="1:7" ht="15" customHeight="1">
      <c r="A1749" s="49"/>
      <c r="B1749" s="49" t="str">
        <f>CONCATENATE(Reports!E1748," ",Reports!F1748," ",Reports!G1748)</f>
        <v xml:space="preserve">  </v>
      </c>
      <c r="C1749" s="50"/>
      <c r="D1749" s="51"/>
      <c r="E1749" s="49" t="str">
        <f>IFERROR(VLOOKUP(D1749,'taxonomy map'!$A$1:$B$171,2,FALSE),"")</f>
        <v/>
      </c>
      <c r="F1749" s="49" t="str">
        <f>IFERROR(VLOOKUP(E1749,'Condensed Specialty Crosswalk'!$A$2:$C$182,2,FALSE),"")</f>
        <v/>
      </c>
      <c r="G1749" s="49" t="str">
        <f>IFERROR(VLOOKUP(E1749,'Condensed Specialty Crosswalk'!$A$2:$C$182,3,FALSE),"")</f>
        <v/>
      </c>
    </row>
    <row r="1750" spans="1:7" ht="15" customHeight="1">
      <c r="A1750" s="49"/>
      <c r="B1750" s="49" t="str">
        <f>CONCATENATE(Reports!E1749," ",Reports!F1749," ",Reports!G1749)</f>
        <v xml:space="preserve">  </v>
      </c>
      <c r="C1750" s="50"/>
      <c r="D1750" s="51"/>
      <c r="E1750" s="49" t="str">
        <f>IFERROR(VLOOKUP(D1750,'taxonomy map'!$A$1:$B$171,2,FALSE),"")</f>
        <v/>
      </c>
      <c r="F1750" s="49" t="str">
        <f>IFERROR(VLOOKUP(E1750,'Condensed Specialty Crosswalk'!$A$2:$C$182,2,FALSE),"")</f>
        <v/>
      </c>
      <c r="G1750" s="49" t="str">
        <f>IFERROR(VLOOKUP(E1750,'Condensed Specialty Crosswalk'!$A$2:$C$182,3,FALSE),"")</f>
        <v/>
      </c>
    </row>
    <row r="1751" spans="1:7" ht="15" customHeight="1">
      <c r="A1751" s="49"/>
      <c r="B1751" s="49" t="str">
        <f>CONCATENATE(Reports!E1750," ",Reports!F1750," ",Reports!G1750)</f>
        <v xml:space="preserve">  </v>
      </c>
      <c r="C1751" s="50"/>
      <c r="D1751" s="51"/>
      <c r="E1751" s="49" t="str">
        <f>IFERROR(VLOOKUP(D1751,'taxonomy map'!$A$1:$B$171,2,FALSE),"")</f>
        <v/>
      </c>
      <c r="F1751" s="49" t="str">
        <f>IFERROR(VLOOKUP(E1751,'Condensed Specialty Crosswalk'!$A$2:$C$182,2,FALSE),"")</f>
        <v/>
      </c>
      <c r="G1751" s="49" t="str">
        <f>IFERROR(VLOOKUP(E1751,'Condensed Specialty Crosswalk'!$A$2:$C$182,3,FALSE),"")</f>
        <v/>
      </c>
    </row>
    <row r="1752" spans="1:7" ht="15" customHeight="1">
      <c r="A1752" s="49"/>
      <c r="B1752" s="49" t="str">
        <f>CONCATENATE(Reports!E1751," ",Reports!F1751," ",Reports!G1751)</f>
        <v xml:space="preserve">  </v>
      </c>
      <c r="C1752" s="50"/>
      <c r="D1752" s="51"/>
      <c r="E1752" s="49" t="str">
        <f>IFERROR(VLOOKUP(D1752,'taxonomy map'!$A$1:$B$171,2,FALSE),"")</f>
        <v/>
      </c>
      <c r="F1752" s="49" t="str">
        <f>IFERROR(VLOOKUP(E1752,'Condensed Specialty Crosswalk'!$A$2:$C$182,2,FALSE),"")</f>
        <v/>
      </c>
      <c r="G1752" s="49" t="str">
        <f>IFERROR(VLOOKUP(E1752,'Condensed Specialty Crosswalk'!$A$2:$C$182,3,FALSE),"")</f>
        <v/>
      </c>
    </row>
    <row r="1753" spans="1:7" ht="15" customHeight="1">
      <c r="A1753" s="49"/>
      <c r="B1753" s="49" t="str">
        <f>CONCATENATE(Reports!E1752," ",Reports!F1752," ",Reports!G1752)</f>
        <v xml:space="preserve">  </v>
      </c>
      <c r="C1753" s="50"/>
      <c r="D1753" s="51"/>
      <c r="E1753" s="49" t="str">
        <f>IFERROR(VLOOKUP(D1753,'taxonomy map'!$A$1:$B$171,2,FALSE),"")</f>
        <v/>
      </c>
      <c r="F1753" s="49" t="str">
        <f>IFERROR(VLOOKUP(E1753,'Condensed Specialty Crosswalk'!$A$2:$C$182,2,FALSE),"")</f>
        <v/>
      </c>
      <c r="G1753" s="49" t="str">
        <f>IFERROR(VLOOKUP(E1753,'Condensed Specialty Crosswalk'!$A$2:$C$182,3,FALSE),"")</f>
        <v/>
      </c>
    </row>
    <row r="1754" spans="1:7" ht="15" customHeight="1">
      <c r="A1754" s="49"/>
      <c r="B1754" s="49" t="str">
        <f>CONCATENATE(Reports!E1753," ",Reports!F1753," ",Reports!G1753)</f>
        <v xml:space="preserve">  </v>
      </c>
      <c r="C1754" s="50"/>
      <c r="D1754" s="51"/>
      <c r="E1754" s="49" t="str">
        <f>IFERROR(VLOOKUP(D1754,'taxonomy map'!$A$1:$B$171,2,FALSE),"")</f>
        <v/>
      </c>
      <c r="F1754" s="49" t="str">
        <f>IFERROR(VLOOKUP(E1754,'Condensed Specialty Crosswalk'!$A$2:$C$182,2,FALSE),"")</f>
        <v/>
      </c>
      <c r="G1754" s="49" t="str">
        <f>IFERROR(VLOOKUP(E1754,'Condensed Specialty Crosswalk'!$A$2:$C$182,3,FALSE),"")</f>
        <v/>
      </c>
    </row>
    <row r="1755" spans="1:7" ht="15" customHeight="1">
      <c r="A1755" s="49"/>
      <c r="B1755" s="49" t="str">
        <f>CONCATENATE(Reports!E1754," ",Reports!F1754," ",Reports!G1754)</f>
        <v xml:space="preserve">  </v>
      </c>
      <c r="C1755" s="50"/>
      <c r="D1755" s="51"/>
      <c r="E1755" s="49" t="str">
        <f>IFERROR(VLOOKUP(D1755,'taxonomy map'!$A$1:$B$171,2,FALSE),"")</f>
        <v/>
      </c>
      <c r="F1755" s="49" t="str">
        <f>IFERROR(VLOOKUP(E1755,'Condensed Specialty Crosswalk'!$A$2:$C$182,2,FALSE),"")</f>
        <v/>
      </c>
      <c r="G1755" s="49" t="str">
        <f>IFERROR(VLOOKUP(E1755,'Condensed Specialty Crosswalk'!$A$2:$C$182,3,FALSE),"")</f>
        <v/>
      </c>
    </row>
    <row r="1756" spans="1:7" ht="15" customHeight="1">
      <c r="A1756" s="49"/>
      <c r="B1756" s="49" t="str">
        <f>CONCATENATE(Reports!E1755," ",Reports!F1755," ",Reports!G1755)</f>
        <v xml:space="preserve">  </v>
      </c>
      <c r="C1756" s="50"/>
      <c r="D1756" s="51"/>
      <c r="E1756" s="49" t="str">
        <f>IFERROR(VLOOKUP(D1756,'taxonomy map'!$A$1:$B$171,2,FALSE),"")</f>
        <v/>
      </c>
      <c r="F1756" s="49" t="str">
        <f>IFERROR(VLOOKUP(E1756,'Condensed Specialty Crosswalk'!$A$2:$C$182,2,FALSE),"")</f>
        <v/>
      </c>
      <c r="G1756" s="49" t="str">
        <f>IFERROR(VLOOKUP(E1756,'Condensed Specialty Crosswalk'!$A$2:$C$182,3,FALSE),"")</f>
        <v/>
      </c>
    </row>
    <row r="1757" spans="1:7" ht="15" customHeight="1">
      <c r="A1757" s="49"/>
      <c r="B1757" s="49" t="str">
        <f>CONCATENATE(Reports!E1756," ",Reports!F1756," ",Reports!G1756)</f>
        <v xml:space="preserve">  </v>
      </c>
      <c r="C1757" s="50"/>
      <c r="D1757" s="51"/>
      <c r="E1757" s="49" t="str">
        <f>IFERROR(VLOOKUP(D1757,'taxonomy map'!$A$1:$B$171,2,FALSE),"")</f>
        <v/>
      </c>
      <c r="F1757" s="49" t="str">
        <f>IFERROR(VLOOKUP(E1757,'Condensed Specialty Crosswalk'!$A$2:$C$182,2,FALSE),"")</f>
        <v/>
      </c>
      <c r="G1757" s="49" t="str">
        <f>IFERROR(VLOOKUP(E1757,'Condensed Specialty Crosswalk'!$A$2:$C$182,3,FALSE),"")</f>
        <v/>
      </c>
    </row>
    <row r="1758" spans="1:7" ht="15" customHeight="1">
      <c r="A1758" s="49"/>
      <c r="B1758" s="49" t="str">
        <f>CONCATENATE(Reports!E1757," ",Reports!F1757," ",Reports!G1757)</f>
        <v xml:space="preserve">  </v>
      </c>
      <c r="C1758" s="50"/>
      <c r="D1758" s="51"/>
      <c r="E1758" s="49" t="str">
        <f>IFERROR(VLOOKUP(D1758,'taxonomy map'!$A$1:$B$171,2,FALSE),"")</f>
        <v/>
      </c>
      <c r="F1758" s="49" t="str">
        <f>IFERROR(VLOOKUP(E1758,'Condensed Specialty Crosswalk'!$A$2:$C$182,2,FALSE),"")</f>
        <v/>
      </c>
      <c r="G1758" s="49" t="str">
        <f>IFERROR(VLOOKUP(E1758,'Condensed Specialty Crosswalk'!$A$2:$C$182,3,FALSE),"")</f>
        <v/>
      </c>
    </row>
    <row r="1759" spans="1:7" ht="15" customHeight="1">
      <c r="A1759" s="49"/>
      <c r="B1759" s="49" t="str">
        <f>CONCATENATE(Reports!E1758," ",Reports!F1758," ",Reports!G1758)</f>
        <v xml:space="preserve">  </v>
      </c>
      <c r="C1759" s="50"/>
      <c r="D1759" s="51"/>
      <c r="E1759" s="49" t="str">
        <f>IFERROR(VLOOKUP(D1759,'taxonomy map'!$A$1:$B$171,2,FALSE),"")</f>
        <v/>
      </c>
      <c r="F1759" s="49" t="str">
        <f>IFERROR(VLOOKUP(E1759,'Condensed Specialty Crosswalk'!$A$2:$C$182,2,FALSE),"")</f>
        <v/>
      </c>
      <c r="G1759" s="49" t="str">
        <f>IFERROR(VLOOKUP(E1759,'Condensed Specialty Crosswalk'!$A$2:$C$182,3,FALSE),"")</f>
        <v/>
      </c>
    </row>
    <row r="1760" spans="1:7" ht="15" customHeight="1">
      <c r="A1760" s="49"/>
      <c r="B1760" s="49" t="str">
        <f>CONCATENATE(Reports!E1759," ",Reports!F1759," ",Reports!G1759)</f>
        <v xml:space="preserve">  </v>
      </c>
      <c r="C1760" s="50"/>
      <c r="D1760" s="51"/>
      <c r="E1760" s="49" t="str">
        <f>IFERROR(VLOOKUP(D1760,'taxonomy map'!$A$1:$B$171,2,FALSE),"")</f>
        <v/>
      </c>
      <c r="F1760" s="49" t="str">
        <f>IFERROR(VLOOKUP(E1760,'Condensed Specialty Crosswalk'!$A$2:$C$182,2,FALSE),"")</f>
        <v/>
      </c>
      <c r="G1760" s="49" t="str">
        <f>IFERROR(VLOOKUP(E1760,'Condensed Specialty Crosswalk'!$A$2:$C$182,3,FALSE),"")</f>
        <v/>
      </c>
    </row>
    <row r="1761" spans="1:7" ht="15" customHeight="1">
      <c r="A1761" s="49"/>
      <c r="B1761" s="49" t="str">
        <f>CONCATENATE(Reports!E1760," ",Reports!F1760," ",Reports!G1760)</f>
        <v xml:space="preserve">  </v>
      </c>
      <c r="C1761" s="50"/>
      <c r="D1761" s="51"/>
      <c r="E1761" s="49" t="str">
        <f>IFERROR(VLOOKUP(D1761,'taxonomy map'!$A$1:$B$171,2,FALSE),"")</f>
        <v/>
      </c>
      <c r="F1761" s="49" t="str">
        <f>IFERROR(VLOOKUP(E1761,'Condensed Specialty Crosswalk'!$A$2:$C$182,2,FALSE),"")</f>
        <v/>
      </c>
      <c r="G1761" s="49" t="str">
        <f>IFERROR(VLOOKUP(E1761,'Condensed Specialty Crosswalk'!$A$2:$C$182,3,FALSE),"")</f>
        <v/>
      </c>
    </row>
    <row r="1762" spans="1:7" ht="15" customHeight="1">
      <c r="A1762" s="49"/>
      <c r="B1762" s="49" t="str">
        <f>CONCATENATE(Reports!E1761," ",Reports!F1761," ",Reports!G1761)</f>
        <v xml:space="preserve">  </v>
      </c>
      <c r="C1762" s="50"/>
      <c r="D1762" s="51"/>
      <c r="E1762" s="49" t="str">
        <f>IFERROR(VLOOKUP(D1762,'taxonomy map'!$A$1:$B$171,2,FALSE),"")</f>
        <v/>
      </c>
      <c r="F1762" s="49" t="str">
        <f>IFERROR(VLOOKUP(E1762,'Condensed Specialty Crosswalk'!$A$2:$C$182,2,FALSE),"")</f>
        <v/>
      </c>
      <c r="G1762" s="49" t="str">
        <f>IFERROR(VLOOKUP(E1762,'Condensed Specialty Crosswalk'!$A$2:$C$182,3,FALSE),"")</f>
        <v/>
      </c>
    </row>
    <row r="1763" spans="1:7" ht="15" customHeight="1">
      <c r="A1763" s="49"/>
      <c r="B1763" s="49" t="str">
        <f>CONCATENATE(Reports!E1762," ",Reports!F1762," ",Reports!G1762)</f>
        <v xml:space="preserve">  </v>
      </c>
      <c r="C1763" s="50"/>
      <c r="D1763" s="51"/>
      <c r="E1763" s="49" t="str">
        <f>IFERROR(VLOOKUP(D1763,'taxonomy map'!$A$1:$B$171,2,FALSE),"")</f>
        <v/>
      </c>
      <c r="F1763" s="49" t="str">
        <f>IFERROR(VLOOKUP(E1763,'Condensed Specialty Crosswalk'!$A$2:$C$182,2,FALSE),"")</f>
        <v/>
      </c>
      <c r="G1763" s="49" t="str">
        <f>IFERROR(VLOOKUP(E1763,'Condensed Specialty Crosswalk'!$A$2:$C$182,3,FALSE),"")</f>
        <v/>
      </c>
    </row>
    <row r="1764" spans="1:7" ht="15" customHeight="1">
      <c r="A1764" s="49"/>
      <c r="B1764" s="49" t="str">
        <f>CONCATENATE(Reports!E1763," ",Reports!F1763," ",Reports!G1763)</f>
        <v xml:space="preserve">  </v>
      </c>
      <c r="C1764" s="50"/>
      <c r="D1764" s="51"/>
      <c r="E1764" s="49" t="str">
        <f>IFERROR(VLOOKUP(D1764,'taxonomy map'!$A$1:$B$171,2,FALSE),"")</f>
        <v/>
      </c>
      <c r="F1764" s="49" t="str">
        <f>IFERROR(VLOOKUP(E1764,'Condensed Specialty Crosswalk'!$A$2:$C$182,2,FALSE),"")</f>
        <v/>
      </c>
      <c r="G1764" s="49" t="str">
        <f>IFERROR(VLOOKUP(E1764,'Condensed Specialty Crosswalk'!$A$2:$C$182,3,FALSE),"")</f>
        <v/>
      </c>
    </row>
    <row r="1765" spans="1:7" ht="15" customHeight="1">
      <c r="A1765" s="49"/>
      <c r="B1765" s="49" t="str">
        <f>CONCATENATE(Reports!E1764," ",Reports!F1764," ",Reports!G1764)</f>
        <v xml:space="preserve">  </v>
      </c>
      <c r="C1765" s="50"/>
      <c r="D1765" s="51"/>
      <c r="E1765" s="49" t="str">
        <f>IFERROR(VLOOKUP(D1765,'taxonomy map'!$A$1:$B$171,2,FALSE),"")</f>
        <v/>
      </c>
      <c r="F1765" s="49" t="str">
        <f>IFERROR(VLOOKUP(E1765,'Condensed Specialty Crosswalk'!$A$2:$C$182,2,FALSE),"")</f>
        <v/>
      </c>
      <c r="G1765" s="49" t="str">
        <f>IFERROR(VLOOKUP(E1765,'Condensed Specialty Crosswalk'!$A$2:$C$182,3,FALSE),"")</f>
        <v/>
      </c>
    </row>
    <row r="1766" spans="1:7" ht="15" customHeight="1">
      <c r="A1766" s="49"/>
      <c r="B1766" s="49" t="str">
        <f>CONCATENATE(Reports!E1765," ",Reports!F1765," ",Reports!G1765)</f>
        <v xml:space="preserve">  </v>
      </c>
      <c r="C1766" s="50"/>
      <c r="D1766" s="51"/>
      <c r="E1766" s="49" t="str">
        <f>IFERROR(VLOOKUP(D1766,'taxonomy map'!$A$1:$B$171,2,FALSE),"")</f>
        <v/>
      </c>
      <c r="F1766" s="49" t="str">
        <f>IFERROR(VLOOKUP(E1766,'Condensed Specialty Crosswalk'!$A$2:$C$182,2,FALSE),"")</f>
        <v/>
      </c>
      <c r="G1766" s="49" t="str">
        <f>IFERROR(VLOOKUP(E1766,'Condensed Specialty Crosswalk'!$A$2:$C$182,3,FALSE),"")</f>
        <v/>
      </c>
    </row>
    <row r="1767" spans="1:7" ht="15" customHeight="1">
      <c r="A1767" s="49"/>
      <c r="B1767" s="49" t="str">
        <f>CONCATENATE(Reports!E1766," ",Reports!F1766," ",Reports!G1766)</f>
        <v xml:space="preserve">  </v>
      </c>
      <c r="C1767" s="50"/>
      <c r="D1767" s="51"/>
      <c r="E1767" s="49" t="str">
        <f>IFERROR(VLOOKUP(D1767,'taxonomy map'!$A$1:$B$171,2,FALSE),"")</f>
        <v/>
      </c>
      <c r="F1767" s="49" t="str">
        <f>IFERROR(VLOOKUP(E1767,'Condensed Specialty Crosswalk'!$A$2:$C$182,2,FALSE),"")</f>
        <v/>
      </c>
      <c r="G1767" s="49" t="str">
        <f>IFERROR(VLOOKUP(E1767,'Condensed Specialty Crosswalk'!$A$2:$C$182,3,FALSE),"")</f>
        <v/>
      </c>
    </row>
    <row r="1768" spans="1:7" ht="15" customHeight="1">
      <c r="A1768" s="49"/>
      <c r="B1768" s="49" t="str">
        <f>CONCATENATE(Reports!E1767," ",Reports!F1767," ",Reports!G1767)</f>
        <v xml:space="preserve">  </v>
      </c>
      <c r="C1768" s="50"/>
      <c r="D1768" s="51"/>
      <c r="E1768" s="49" t="str">
        <f>IFERROR(VLOOKUP(D1768,'taxonomy map'!$A$1:$B$171,2,FALSE),"")</f>
        <v/>
      </c>
      <c r="F1768" s="49" t="str">
        <f>IFERROR(VLOOKUP(E1768,'Condensed Specialty Crosswalk'!$A$2:$C$182,2,FALSE),"")</f>
        <v/>
      </c>
      <c r="G1768" s="49" t="str">
        <f>IFERROR(VLOOKUP(E1768,'Condensed Specialty Crosswalk'!$A$2:$C$182,3,FALSE),"")</f>
        <v/>
      </c>
    </row>
    <row r="1769" spans="1:7" ht="15" customHeight="1">
      <c r="A1769" s="49"/>
      <c r="B1769" s="49" t="str">
        <f>CONCATENATE(Reports!E1768," ",Reports!F1768," ",Reports!G1768)</f>
        <v xml:space="preserve">  </v>
      </c>
      <c r="C1769" s="50"/>
      <c r="D1769" s="51"/>
      <c r="E1769" s="49" t="str">
        <f>IFERROR(VLOOKUP(D1769,'taxonomy map'!$A$1:$B$171,2,FALSE),"")</f>
        <v/>
      </c>
      <c r="F1769" s="49" t="str">
        <f>IFERROR(VLOOKUP(E1769,'Condensed Specialty Crosswalk'!$A$2:$C$182,2,FALSE),"")</f>
        <v/>
      </c>
      <c r="G1769" s="49" t="str">
        <f>IFERROR(VLOOKUP(E1769,'Condensed Specialty Crosswalk'!$A$2:$C$182,3,FALSE),"")</f>
        <v/>
      </c>
    </row>
    <row r="1770" spans="1:7" ht="15" customHeight="1">
      <c r="A1770" s="49"/>
      <c r="B1770" s="49" t="str">
        <f>CONCATENATE(Reports!E1769," ",Reports!F1769," ",Reports!G1769)</f>
        <v xml:space="preserve">  </v>
      </c>
      <c r="C1770" s="50"/>
      <c r="D1770" s="51"/>
      <c r="E1770" s="49" t="str">
        <f>IFERROR(VLOOKUP(D1770,'taxonomy map'!$A$1:$B$171,2,FALSE),"")</f>
        <v/>
      </c>
      <c r="F1770" s="49" t="str">
        <f>IFERROR(VLOOKUP(E1770,'Condensed Specialty Crosswalk'!$A$2:$C$182,2,FALSE),"")</f>
        <v/>
      </c>
      <c r="G1770" s="49" t="str">
        <f>IFERROR(VLOOKUP(E1770,'Condensed Specialty Crosswalk'!$A$2:$C$182,3,FALSE),"")</f>
        <v/>
      </c>
    </row>
    <row r="1771" spans="1:7" ht="15" customHeight="1">
      <c r="A1771" s="49"/>
      <c r="B1771" s="49" t="str">
        <f>CONCATENATE(Reports!E1770," ",Reports!F1770," ",Reports!G1770)</f>
        <v xml:space="preserve">  </v>
      </c>
      <c r="C1771" s="50"/>
      <c r="D1771" s="51"/>
      <c r="E1771" s="49" t="str">
        <f>IFERROR(VLOOKUP(D1771,'taxonomy map'!$A$1:$B$171,2,FALSE),"")</f>
        <v/>
      </c>
      <c r="F1771" s="49" t="str">
        <f>IFERROR(VLOOKUP(E1771,'Condensed Specialty Crosswalk'!$A$2:$C$182,2,FALSE),"")</f>
        <v/>
      </c>
      <c r="G1771" s="49" t="str">
        <f>IFERROR(VLOOKUP(E1771,'Condensed Specialty Crosswalk'!$A$2:$C$182,3,FALSE),"")</f>
        <v/>
      </c>
    </row>
    <row r="1772" spans="1:7" ht="15" customHeight="1">
      <c r="A1772" s="49"/>
      <c r="B1772" s="49" t="str">
        <f>CONCATENATE(Reports!E1771," ",Reports!F1771," ",Reports!G1771)</f>
        <v xml:space="preserve">  </v>
      </c>
      <c r="C1772" s="50"/>
      <c r="D1772" s="51"/>
      <c r="E1772" s="49" t="str">
        <f>IFERROR(VLOOKUP(D1772,'taxonomy map'!$A$1:$B$171,2,FALSE),"")</f>
        <v/>
      </c>
      <c r="F1772" s="49" t="str">
        <f>IFERROR(VLOOKUP(E1772,'Condensed Specialty Crosswalk'!$A$2:$C$182,2,FALSE),"")</f>
        <v/>
      </c>
      <c r="G1772" s="49" t="str">
        <f>IFERROR(VLOOKUP(E1772,'Condensed Specialty Crosswalk'!$A$2:$C$182,3,FALSE),"")</f>
        <v/>
      </c>
    </row>
    <row r="1773" spans="1:7" ht="15" customHeight="1">
      <c r="A1773" s="49"/>
      <c r="B1773" s="49" t="str">
        <f>CONCATENATE(Reports!E1772," ",Reports!F1772," ",Reports!G1772)</f>
        <v xml:space="preserve">  </v>
      </c>
      <c r="C1773" s="50"/>
      <c r="D1773" s="51"/>
      <c r="E1773" s="49" t="str">
        <f>IFERROR(VLOOKUP(D1773,'taxonomy map'!$A$1:$B$171,2,FALSE),"")</f>
        <v/>
      </c>
      <c r="F1773" s="49" t="str">
        <f>IFERROR(VLOOKUP(E1773,'Condensed Specialty Crosswalk'!$A$2:$C$182,2,FALSE),"")</f>
        <v/>
      </c>
      <c r="G1773" s="49" t="str">
        <f>IFERROR(VLOOKUP(E1773,'Condensed Specialty Crosswalk'!$A$2:$C$182,3,FALSE),"")</f>
        <v/>
      </c>
    </row>
    <row r="1774" spans="1:7" ht="15" customHeight="1">
      <c r="A1774" s="49"/>
      <c r="B1774" s="49" t="str">
        <f>CONCATENATE(Reports!E1773," ",Reports!F1773," ",Reports!G1773)</f>
        <v xml:space="preserve">  </v>
      </c>
      <c r="C1774" s="50"/>
      <c r="D1774" s="51"/>
      <c r="E1774" s="49" t="str">
        <f>IFERROR(VLOOKUP(D1774,'taxonomy map'!$A$1:$B$171,2,FALSE),"")</f>
        <v/>
      </c>
      <c r="F1774" s="49" t="str">
        <f>IFERROR(VLOOKUP(E1774,'Condensed Specialty Crosswalk'!$A$2:$C$182,2,FALSE),"")</f>
        <v/>
      </c>
      <c r="G1774" s="49" t="str">
        <f>IFERROR(VLOOKUP(E1774,'Condensed Specialty Crosswalk'!$A$2:$C$182,3,FALSE),"")</f>
        <v/>
      </c>
    </row>
    <row r="1775" spans="1:7" ht="15" customHeight="1">
      <c r="A1775" s="49"/>
      <c r="B1775" s="49" t="str">
        <f>CONCATENATE(Reports!E1774," ",Reports!F1774," ",Reports!G1774)</f>
        <v xml:space="preserve">  </v>
      </c>
      <c r="C1775" s="50"/>
      <c r="D1775" s="51"/>
      <c r="E1775" s="49" t="str">
        <f>IFERROR(VLOOKUP(D1775,'taxonomy map'!$A$1:$B$171,2,FALSE),"")</f>
        <v/>
      </c>
      <c r="F1775" s="49" t="str">
        <f>IFERROR(VLOOKUP(E1775,'Condensed Specialty Crosswalk'!$A$2:$C$182,2,FALSE),"")</f>
        <v/>
      </c>
      <c r="G1775" s="49" t="str">
        <f>IFERROR(VLOOKUP(E1775,'Condensed Specialty Crosswalk'!$A$2:$C$182,3,FALSE),"")</f>
        <v/>
      </c>
    </row>
    <row r="1776" spans="1:7" ht="15" customHeight="1">
      <c r="A1776" s="49"/>
      <c r="B1776" s="49" t="str">
        <f>CONCATENATE(Reports!E1775," ",Reports!F1775," ",Reports!G1775)</f>
        <v xml:space="preserve">  </v>
      </c>
      <c r="C1776" s="50"/>
      <c r="D1776" s="51"/>
      <c r="E1776" s="49" t="str">
        <f>IFERROR(VLOOKUP(D1776,'taxonomy map'!$A$1:$B$171,2,FALSE),"")</f>
        <v/>
      </c>
      <c r="F1776" s="49" t="str">
        <f>IFERROR(VLOOKUP(E1776,'Condensed Specialty Crosswalk'!$A$2:$C$182,2,FALSE),"")</f>
        <v/>
      </c>
      <c r="G1776" s="49" t="str">
        <f>IFERROR(VLOOKUP(E1776,'Condensed Specialty Crosswalk'!$A$2:$C$182,3,FALSE),"")</f>
        <v/>
      </c>
    </row>
    <row r="1777" spans="1:7" ht="15" customHeight="1">
      <c r="A1777" s="49"/>
      <c r="B1777" s="49" t="str">
        <f>CONCATENATE(Reports!E1776," ",Reports!F1776," ",Reports!G1776)</f>
        <v xml:space="preserve">  </v>
      </c>
      <c r="C1777" s="50"/>
      <c r="D1777" s="51"/>
      <c r="E1777" s="49" t="str">
        <f>IFERROR(VLOOKUP(D1777,'taxonomy map'!$A$1:$B$171,2,FALSE),"")</f>
        <v/>
      </c>
      <c r="F1777" s="49" t="str">
        <f>IFERROR(VLOOKUP(E1777,'Condensed Specialty Crosswalk'!$A$2:$C$182,2,FALSE),"")</f>
        <v/>
      </c>
      <c r="G1777" s="49" t="str">
        <f>IFERROR(VLOOKUP(E1777,'Condensed Specialty Crosswalk'!$A$2:$C$182,3,FALSE),"")</f>
        <v/>
      </c>
    </row>
    <row r="1778" spans="1:7" ht="15" customHeight="1">
      <c r="A1778" s="49"/>
      <c r="B1778" s="49" t="str">
        <f>CONCATENATE(Reports!E1777," ",Reports!F1777," ",Reports!G1777)</f>
        <v xml:space="preserve">  </v>
      </c>
      <c r="C1778" s="50"/>
      <c r="D1778" s="51"/>
      <c r="E1778" s="49" t="str">
        <f>IFERROR(VLOOKUP(D1778,'taxonomy map'!$A$1:$B$171,2,FALSE),"")</f>
        <v/>
      </c>
      <c r="F1778" s="49" t="str">
        <f>IFERROR(VLOOKUP(E1778,'Condensed Specialty Crosswalk'!$A$2:$C$182,2,FALSE),"")</f>
        <v/>
      </c>
      <c r="G1778" s="49" t="str">
        <f>IFERROR(VLOOKUP(E1778,'Condensed Specialty Crosswalk'!$A$2:$C$182,3,FALSE),"")</f>
        <v/>
      </c>
    </row>
    <row r="1779" spans="1:7" ht="15" customHeight="1">
      <c r="A1779" s="49"/>
      <c r="B1779" s="49" t="str">
        <f>CONCATENATE(Reports!E1778," ",Reports!F1778," ",Reports!G1778)</f>
        <v xml:space="preserve">  </v>
      </c>
      <c r="C1779" s="50"/>
      <c r="D1779" s="51"/>
      <c r="E1779" s="49" t="str">
        <f>IFERROR(VLOOKUP(D1779,'taxonomy map'!$A$1:$B$171,2,FALSE),"")</f>
        <v/>
      </c>
      <c r="F1779" s="49" t="str">
        <f>IFERROR(VLOOKUP(E1779,'Condensed Specialty Crosswalk'!$A$2:$C$182,2,FALSE),"")</f>
        <v/>
      </c>
      <c r="G1779" s="49" t="str">
        <f>IFERROR(VLOOKUP(E1779,'Condensed Specialty Crosswalk'!$A$2:$C$182,3,FALSE),"")</f>
        <v/>
      </c>
    </row>
    <row r="1780" spans="1:7" ht="15" customHeight="1">
      <c r="A1780" s="49"/>
      <c r="B1780" s="49" t="str">
        <f>CONCATENATE(Reports!E1779," ",Reports!F1779," ",Reports!G1779)</f>
        <v xml:space="preserve">  </v>
      </c>
      <c r="C1780" s="50"/>
      <c r="D1780" s="51"/>
      <c r="E1780" s="49" t="str">
        <f>IFERROR(VLOOKUP(D1780,'taxonomy map'!$A$1:$B$171,2,FALSE),"")</f>
        <v/>
      </c>
      <c r="F1780" s="49" t="str">
        <f>IFERROR(VLOOKUP(E1780,'Condensed Specialty Crosswalk'!$A$2:$C$182,2,FALSE),"")</f>
        <v/>
      </c>
      <c r="G1780" s="49" t="str">
        <f>IFERROR(VLOOKUP(E1780,'Condensed Specialty Crosswalk'!$A$2:$C$182,3,FALSE),"")</f>
        <v/>
      </c>
    </row>
    <row r="1781" spans="1:7" ht="15" customHeight="1">
      <c r="A1781" s="49"/>
      <c r="B1781" s="49" t="str">
        <f>CONCATENATE(Reports!E1780," ",Reports!F1780," ",Reports!G1780)</f>
        <v xml:space="preserve">  </v>
      </c>
      <c r="C1781" s="50"/>
      <c r="D1781" s="51"/>
      <c r="E1781" s="49" t="str">
        <f>IFERROR(VLOOKUP(D1781,'taxonomy map'!$A$1:$B$171,2,FALSE),"")</f>
        <v/>
      </c>
      <c r="F1781" s="49" t="str">
        <f>IFERROR(VLOOKUP(E1781,'Condensed Specialty Crosswalk'!$A$2:$C$182,2,FALSE),"")</f>
        <v/>
      </c>
      <c r="G1781" s="49" t="str">
        <f>IFERROR(VLOOKUP(E1781,'Condensed Specialty Crosswalk'!$A$2:$C$182,3,FALSE),"")</f>
        <v/>
      </c>
    </row>
    <row r="1782" spans="1:7" ht="15" customHeight="1">
      <c r="A1782" s="49"/>
      <c r="B1782" s="49" t="str">
        <f>CONCATENATE(Reports!E1781," ",Reports!F1781," ",Reports!G1781)</f>
        <v xml:space="preserve">  </v>
      </c>
      <c r="C1782" s="50"/>
      <c r="D1782" s="51"/>
      <c r="E1782" s="49" t="str">
        <f>IFERROR(VLOOKUP(D1782,'taxonomy map'!$A$1:$B$171,2,FALSE),"")</f>
        <v/>
      </c>
      <c r="F1782" s="49" t="str">
        <f>IFERROR(VLOOKUP(E1782,'Condensed Specialty Crosswalk'!$A$2:$C$182,2,FALSE),"")</f>
        <v/>
      </c>
      <c r="G1782" s="49" t="str">
        <f>IFERROR(VLOOKUP(E1782,'Condensed Specialty Crosswalk'!$A$2:$C$182,3,FALSE),"")</f>
        <v/>
      </c>
    </row>
    <row r="1783" spans="1:7" ht="15" customHeight="1">
      <c r="A1783" s="49"/>
      <c r="B1783" s="49" t="str">
        <f>CONCATENATE(Reports!E1782," ",Reports!F1782," ",Reports!G1782)</f>
        <v xml:space="preserve">  </v>
      </c>
      <c r="C1783" s="50"/>
      <c r="D1783" s="51"/>
      <c r="E1783" s="49" t="str">
        <f>IFERROR(VLOOKUP(D1783,'taxonomy map'!$A$1:$B$171,2,FALSE),"")</f>
        <v/>
      </c>
      <c r="F1783" s="49" t="str">
        <f>IFERROR(VLOOKUP(E1783,'Condensed Specialty Crosswalk'!$A$2:$C$182,2,FALSE),"")</f>
        <v/>
      </c>
      <c r="G1783" s="49" t="str">
        <f>IFERROR(VLOOKUP(E1783,'Condensed Specialty Crosswalk'!$A$2:$C$182,3,FALSE),"")</f>
        <v/>
      </c>
    </row>
    <row r="1784" spans="1:7" ht="15" customHeight="1">
      <c r="A1784" s="49"/>
      <c r="B1784" s="49" t="str">
        <f>CONCATENATE(Reports!E1783," ",Reports!F1783," ",Reports!G1783)</f>
        <v xml:space="preserve">  </v>
      </c>
      <c r="C1784" s="50"/>
      <c r="D1784" s="51"/>
      <c r="E1784" s="49" t="str">
        <f>IFERROR(VLOOKUP(D1784,'taxonomy map'!$A$1:$B$171,2,FALSE),"")</f>
        <v/>
      </c>
      <c r="F1784" s="49" t="str">
        <f>IFERROR(VLOOKUP(E1784,'Condensed Specialty Crosswalk'!$A$2:$C$182,2,FALSE),"")</f>
        <v/>
      </c>
      <c r="G1784" s="49" t="str">
        <f>IFERROR(VLOOKUP(E1784,'Condensed Specialty Crosswalk'!$A$2:$C$182,3,FALSE),"")</f>
        <v/>
      </c>
    </row>
    <row r="1785" spans="1:7" ht="15" customHeight="1">
      <c r="A1785" s="49"/>
      <c r="B1785" s="49" t="str">
        <f>CONCATENATE(Reports!E1784," ",Reports!F1784," ",Reports!G1784)</f>
        <v xml:space="preserve">  </v>
      </c>
      <c r="C1785" s="50"/>
      <c r="D1785" s="51"/>
      <c r="E1785" s="49" t="str">
        <f>IFERROR(VLOOKUP(D1785,'taxonomy map'!$A$1:$B$171,2,FALSE),"")</f>
        <v/>
      </c>
      <c r="F1785" s="49" t="str">
        <f>IFERROR(VLOOKUP(E1785,'Condensed Specialty Crosswalk'!$A$2:$C$182,2,FALSE),"")</f>
        <v/>
      </c>
      <c r="G1785" s="49" t="str">
        <f>IFERROR(VLOOKUP(E1785,'Condensed Specialty Crosswalk'!$A$2:$C$182,3,FALSE),"")</f>
        <v/>
      </c>
    </row>
    <row r="1786" spans="1:7" ht="15" customHeight="1">
      <c r="A1786" s="49"/>
      <c r="B1786" s="49" t="str">
        <f>CONCATENATE(Reports!E1785," ",Reports!F1785," ",Reports!G1785)</f>
        <v xml:space="preserve">  </v>
      </c>
      <c r="C1786" s="50"/>
      <c r="D1786" s="51"/>
      <c r="E1786" s="49" t="str">
        <f>IFERROR(VLOOKUP(D1786,'taxonomy map'!$A$1:$B$171,2,FALSE),"")</f>
        <v/>
      </c>
      <c r="F1786" s="49" t="str">
        <f>IFERROR(VLOOKUP(E1786,'Condensed Specialty Crosswalk'!$A$2:$C$182,2,FALSE),"")</f>
        <v/>
      </c>
      <c r="G1786" s="49" t="str">
        <f>IFERROR(VLOOKUP(E1786,'Condensed Specialty Crosswalk'!$A$2:$C$182,3,FALSE),"")</f>
        <v/>
      </c>
    </row>
    <row r="1787" spans="1:7" ht="15" customHeight="1">
      <c r="A1787" s="49"/>
      <c r="B1787" s="49" t="str">
        <f>CONCATENATE(Reports!E1786," ",Reports!F1786," ",Reports!G1786)</f>
        <v xml:space="preserve">  </v>
      </c>
      <c r="C1787" s="50"/>
      <c r="D1787" s="51"/>
      <c r="E1787" s="49" t="str">
        <f>IFERROR(VLOOKUP(D1787,'taxonomy map'!$A$1:$B$171,2,FALSE),"")</f>
        <v/>
      </c>
      <c r="F1787" s="49" t="str">
        <f>IFERROR(VLOOKUP(E1787,'Condensed Specialty Crosswalk'!$A$2:$C$182,2,FALSE),"")</f>
        <v/>
      </c>
      <c r="G1787" s="49" t="str">
        <f>IFERROR(VLOOKUP(E1787,'Condensed Specialty Crosswalk'!$A$2:$C$182,3,FALSE),"")</f>
        <v/>
      </c>
    </row>
    <row r="1788" spans="1:7" ht="15" customHeight="1">
      <c r="A1788" s="49"/>
      <c r="B1788" s="49" t="str">
        <f>CONCATENATE(Reports!E1787," ",Reports!F1787," ",Reports!G1787)</f>
        <v xml:space="preserve">  </v>
      </c>
      <c r="C1788" s="50"/>
      <c r="D1788" s="51"/>
      <c r="E1788" s="49" t="str">
        <f>IFERROR(VLOOKUP(D1788,'taxonomy map'!$A$1:$B$171,2,FALSE),"")</f>
        <v/>
      </c>
      <c r="F1788" s="49" t="str">
        <f>IFERROR(VLOOKUP(E1788,'Condensed Specialty Crosswalk'!$A$2:$C$182,2,FALSE),"")</f>
        <v/>
      </c>
      <c r="G1788" s="49" t="str">
        <f>IFERROR(VLOOKUP(E1788,'Condensed Specialty Crosswalk'!$A$2:$C$182,3,FALSE),"")</f>
        <v/>
      </c>
    </row>
    <row r="1789" spans="1:7" ht="15" customHeight="1">
      <c r="A1789" s="49"/>
      <c r="B1789" s="49" t="str">
        <f>CONCATENATE(Reports!E1788," ",Reports!F1788," ",Reports!G1788)</f>
        <v xml:space="preserve">  </v>
      </c>
      <c r="C1789" s="50"/>
      <c r="D1789" s="51"/>
      <c r="E1789" s="49" t="str">
        <f>IFERROR(VLOOKUP(D1789,'taxonomy map'!$A$1:$B$171,2,FALSE),"")</f>
        <v/>
      </c>
      <c r="F1789" s="49" t="str">
        <f>IFERROR(VLOOKUP(E1789,'Condensed Specialty Crosswalk'!$A$2:$C$182,2,FALSE),"")</f>
        <v/>
      </c>
      <c r="G1789" s="49" t="str">
        <f>IFERROR(VLOOKUP(E1789,'Condensed Specialty Crosswalk'!$A$2:$C$182,3,FALSE),"")</f>
        <v/>
      </c>
    </row>
    <row r="1790" spans="1:7" ht="15" customHeight="1">
      <c r="A1790" s="49"/>
      <c r="B1790" s="49" t="str">
        <f>CONCATENATE(Reports!E1789," ",Reports!F1789," ",Reports!G1789)</f>
        <v xml:space="preserve">  </v>
      </c>
      <c r="C1790" s="50"/>
      <c r="D1790" s="51"/>
      <c r="E1790" s="49" t="str">
        <f>IFERROR(VLOOKUP(D1790,'taxonomy map'!$A$1:$B$171,2,FALSE),"")</f>
        <v/>
      </c>
      <c r="F1790" s="49" t="str">
        <f>IFERROR(VLOOKUP(E1790,'Condensed Specialty Crosswalk'!$A$2:$C$182,2,FALSE),"")</f>
        <v/>
      </c>
      <c r="G1790" s="49" t="str">
        <f>IFERROR(VLOOKUP(E1790,'Condensed Specialty Crosswalk'!$A$2:$C$182,3,FALSE),"")</f>
        <v/>
      </c>
    </row>
    <row r="1791" spans="1:7" ht="15" customHeight="1">
      <c r="A1791" s="49"/>
      <c r="B1791" s="49" t="str">
        <f>CONCATENATE(Reports!E1790," ",Reports!F1790," ",Reports!G1790)</f>
        <v xml:space="preserve">  </v>
      </c>
      <c r="C1791" s="50"/>
      <c r="D1791" s="51"/>
      <c r="E1791" s="49" t="str">
        <f>IFERROR(VLOOKUP(D1791,'taxonomy map'!$A$1:$B$171,2,FALSE),"")</f>
        <v/>
      </c>
      <c r="F1791" s="49" t="str">
        <f>IFERROR(VLOOKUP(E1791,'Condensed Specialty Crosswalk'!$A$2:$C$182,2,FALSE),"")</f>
        <v/>
      </c>
      <c r="G1791" s="49" t="str">
        <f>IFERROR(VLOOKUP(E1791,'Condensed Specialty Crosswalk'!$A$2:$C$182,3,FALSE),"")</f>
        <v/>
      </c>
    </row>
    <row r="1792" spans="1:7" ht="15" customHeight="1">
      <c r="A1792" s="49"/>
      <c r="B1792" s="49" t="str">
        <f>CONCATENATE(Reports!E1791," ",Reports!F1791," ",Reports!G1791)</f>
        <v xml:space="preserve">  </v>
      </c>
      <c r="C1792" s="50"/>
      <c r="D1792" s="51"/>
      <c r="E1792" s="49" t="str">
        <f>IFERROR(VLOOKUP(D1792,'taxonomy map'!$A$1:$B$171,2,FALSE),"")</f>
        <v/>
      </c>
      <c r="F1792" s="49" t="str">
        <f>IFERROR(VLOOKUP(E1792,'Condensed Specialty Crosswalk'!$A$2:$C$182,2,FALSE),"")</f>
        <v/>
      </c>
      <c r="G1792" s="49" t="str">
        <f>IFERROR(VLOOKUP(E1792,'Condensed Specialty Crosswalk'!$A$2:$C$182,3,FALSE),"")</f>
        <v/>
      </c>
    </row>
    <row r="1793" spans="1:7" ht="15" customHeight="1">
      <c r="A1793" s="49"/>
      <c r="B1793" s="49" t="str">
        <f>CONCATENATE(Reports!E1792," ",Reports!F1792," ",Reports!G1792)</f>
        <v xml:space="preserve">  </v>
      </c>
      <c r="C1793" s="50"/>
      <c r="D1793" s="51"/>
      <c r="E1793" s="49" t="str">
        <f>IFERROR(VLOOKUP(D1793,'taxonomy map'!$A$1:$B$171,2,FALSE),"")</f>
        <v/>
      </c>
      <c r="F1793" s="49" t="str">
        <f>IFERROR(VLOOKUP(E1793,'Condensed Specialty Crosswalk'!$A$2:$C$182,2,FALSE),"")</f>
        <v/>
      </c>
      <c r="G1793" s="49" t="str">
        <f>IFERROR(VLOOKUP(E1793,'Condensed Specialty Crosswalk'!$A$2:$C$182,3,FALSE),"")</f>
        <v/>
      </c>
    </row>
    <row r="1794" spans="1:7" ht="15" customHeight="1">
      <c r="A1794" s="49"/>
      <c r="B1794" s="49" t="str">
        <f>CONCATENATE(Reports!E1793," ",Reports!F1793," ",Reports!G1793)</f>
        <v xml:space="preserve">  </v>
      </c>
      <c r="C1794" s="50"/>
      <c r="D1794" s="51"/>
      <c r="E1794" s="49" t="str">
        <f>IFERROR(VLOOKUP(D1794,'taxonomy map'!$A$1:$B$171,2,FALSE),"")</f>
        <v/>
      </c>
      <c r="F1794" s="49" t="str">
        <f>IFERROR(VLOOKUP(E1794,'Condensed Specialty Crosswalk'!$A$2:$C$182,2,FALSE),"")</f>
        <v/>
      </c>
      <c r="G1794" s="49" t="str">
        <f>IFERROR(VLOOKUP(E1794,'Condensed Specialty Crosswalk'!$A$2:$C$182,3,FALSE),"")</f>
        <v/>
      </c>
    </row>
    <row r="1795" spans="1:7" ht="15" customHeight="1">
      <c r="A1795" s="49"/>
      <c r="B1795" s="49" t="str">
        <f>CONCATENATE(Reports!E1794," ",Reports!F1794," ",Reports!G1794)</f>
        <v xml:space="preserve">  </v>
      </c>
      <c r="C1795" s="50"/>
      <c r="D1795" s="51"/>
      <c r="E1795" s="49" t="str">
        <f>IFERROR(VLOOKUP(D1795,'taxonomy map'!$A$1:$B$171,2,FALSE),"")</f>
        <v/>
      </c>
      <c r="F1795" s="49" t="str">
        <f>IFERROR(VLOOKUP(E1795,'Condensed Specialty Crosswalk'!$A$2:$C$182,2,FALSE),"")</f>
        <v/>
      </c>
      <c r="G1795" s="49" t="str">
        <f>IFERROR(VLOOKUP(E1795,'Condensed Specialty Crosswalk'!$A$2:$C$182,3,FALSE),"")</f>
        <v/>
      </c>
    </row>
    <row r="1796" spans="1:7" ht="15" customHeight="1">
      <c r="A1796" s="49"/>
      <c r="B1796" s="49" t="str">
        <f>CONCATENATE(Reports!E1795," ",Reports!F1795," ",Reports!G1795)</f>
        <v xml:space="preserve">  </v>
      </c>
      <c r="C1796" s="50"/>
      <c r="D1796" s="51"/>
      <c r="E1796" s="49" t="str">
        <f>IFERROR(VLOOKUP(D1796,'taxonomy map'!$A$1:$B$171,2,FALSE),"")</f>
        <v/>
      </c>
      <c r="F1796" s="49" t="str">
        <f>IFERROR(VLOOKUP(E1796,'Condensed Specialty Crosswalk'!$A$2:$C$182,2,FALSE),"")</f>
        <v/>
      </c>
      <c r="G1796" s="49" t="str">
        <f>IFERROR(VLOOKUP(E1796,'Condensed Specialty Crosswalk'!$A$2:$C$182,3,FALSE),"")</f>
        <v/>
      </c>
    </row>
    <row r="1797" spans="1:7" ht="15" customHeight="1">
      <c r="A1797" s="49"/>
      <c r="B1797" s="49" t="str">
        <f>CONCATENATE(Reports!E1796," ",Reports!F1796," ",Reports!G1796)</f>
        <v xml:space="preserve">  </v>
      </c>
      <c r="C1797" s="50"/>
      <c r="D1797" s="51"/>
      <c r="E1797" s="49" t="str">
        <f>IFERROR(VLOOKUP(D1797,'taxonomy map'!$A$1:$B$171,2,FALSE),"")</f>
        <v/>
      </c>
      <c r="F1797" s="49" t="str">
        <f>IFERROR(VLOOKUP(E1797,'Condensed Specialty Crosswalk'!$A$2:$C$182,2,FALSE),"")</f>
        <v/>
      </c>
      <c r="G1797" s="49" t="str">
        <f>IFERROR(VLOOKUP(E1797,'Condensed Specialty Crosswalk'!$A$2:$C$182,3,FALSE),"")</f>
        <v/>
      </c>
    </row>
    <row r="1798" spans="1:7" ht="15" customHeight="1">
      <c r="A1798" s="49"/>
      <c r="B1798" s="49" t="str">
        <f>CONCATENATE(Reports!E1797," ",Reports!F1797," ",Reports!G1797)</f>
        <v xml:space="preserve">  </v>
      </c>
      <c r="C1798" s="50"/>
      <c r="D1798" s="51"/>
      <c r="E1798" s="49" t="str">
        <f>IFERROR(VLOOKUP(D1798,'taxonomy map'!$A$1:$B$171,2,FALSE),"")</f>
        <v/>
      </c>
      <c r="F1798" s="49" t="str">
        <f>IFERROR(VLOOKUP(E1798,'Condensed Specialty Crosswalk'!$A$2:$C$182,2,FALSE),"")</f>
        <v/>
      </c>
      <c r="G1798" s="49" t="str">
        <f>IFERROR(VLOOKUP(E1798,'Condensed Specialty Crosswalk'!$A$2:$C$182,3,FALSE),"")</f>
        <v/>
      </c>
    </row>
    <row r="1799" spans="1:7" ht="15" customHeight="1">
      <c r="A1799" s="49"/>
      <c r="B1799" s="49" t="str">
        <f>CONCATENATE(Reports!E1798," ",Reports!F1798," ",Reports!G1798)</f>
        <v xml:space="preserve">  </v>
      </c>
      <c r="C1799" s="50"/>
      <c r="D1799" s="51"/>
      <c r="E1799" s="49" t="str">
        <f>IFERROR(VLOOKUP(D1799,'taxonomy map'!$A$1:$B$171,2,FALSE),"")</f>
        <v/>
      </c>
      <c r="F1799" s="49" t="str">
        <f>IFERROR(VLOOKUP(E1799,'Condensed Specialty Crosswalk'!$A$2:$C$182,2,FALSE),"")</f>
        <v/>
      </c>
      <c r="G1799" s="49" t="str">
        <f>IFERROR(VLOOKUP(E1799,'Condensed Specialty Crosswalk'!$A$2:$C$182,3,FALSE),"")</f>
        <v/>
      </c>
    </row>
    <row r="1800" spans="1:7" ht="15" customHeight="1">
      <c r="A1800" s="49"/>
      <c r="B1800" s="49" t="str">
        <f>CONCATENATE(Reports!E1799," ",Reports!F1799," ",Reports!G1799)</f>
        <v xml:space="preserve">  </v>
      </c>
      <c r="C1800" s="50"/>
      <c r="D1800" s="51"/>
      <c r="E1800" s="49" t="str">
        <f>IFERROR(VLOOKUP(D1800,'taxonomy map'!$A$1:$B$171,2,FALSE),"")</f>
        <v/>
      </c>
      <c r="F1800" s="49" t="str">
        <f>IFERROR(VLOOKUP(E1800,'Condensed Specialty Crosswalk'!$A$2:$C$182,2,FALSE),"")</f>
        <v/>
      </c>
      <c r="G1800" s="49" t="str">
        <f>IFERROR(VLOOKUP(E1800,'Condensed Specialty Crosswalk'!$A$2:$C$182,3,FALSE),"")</f>
        <v/>
      </c>
    </row>
    <row r="1801" spans="1:7" ht="15" customHeight="1">
      <c r="A1801" s="49"/>
      <c r="B1801" s="49" t="str">
        <f>CONCATENATE(Reports!E1800," ",Reports!F1800," ",Reports!G1800)</f>
        <v xml:space="preserve">  </v>
      </c>
      <c r="C1801" s="50"/>
      <c r="D1801" s="51"/>
      <c r="E1801" s="49" t="str">
        <f>IFERROR(VLOOKUP(D1801,'taxonomy map'!$A$1:$B$171,2,FALSE),"")</f>
        <v/>
      </c>
      <c r="F1801" s="49" t="str">
        <f>IFERROR(VLOOKUP(E1801,'Condensed Specialty Crosswalk'!$A$2:$C$182,2,FALSE),"")</f>
        <v/>
      </c>
      <c r="G1801" s="49" t="str">
        <f>IFERROR(VLOOKUP(E1801,'Condensed Specialty Crosswalk'!$A$2:$C$182,3,FALSE),"")</f>
        <v/>
      </c>
    </row>
    <row r="1802" spans="1:7" ht="15" customHeight="1">
      <c r="A1802" s="49"/>
      <c r="B1802" s="49" t="str">
        <f>CONCATENATE(Reports!E1801," ",Reports!F1801," ",Reports!G1801)</f>
        <v xml:space="preserve">  </v>
      </c>
      <c r="C1802" s="50"/>
      <c r="D1802" s="51"/>
      <c r="E1802" s="49" t="str">
        <f>IFERROR(VLOOKUP(D1802,'taxonomy map'!$A$1:$B$171,2,FALSE),"")</f>
        <v/>
      </c>
      <c r="F1802" s="49" t="str">
        <f>IFERROR(VLOOKUP(E1802,'Condensed Specialty Crosswalk'!$A$2:$C$182,2,FALSE),"")</f>
        <v/>
      </c>
      <c r="G1802" s="49" t="str">
        <f>IFERROR(VLOOKUP(E1802,'Condensed Specialty Crosswalk'!$A$2:$C$182,3,FALSE),"")</f>
        <v/>
      </c>
    </row>
    <row r="1803" spans="1:7" ht="15" customHeight="1">
      <c r="A1803" s="49"/>
      <c r="B1803" s="49" t="str">
        <f>CONCATENATE(Reports!E1802," ",Reports!F1802," ",Reports!G1802)</f>
        <v xml:space="preserve">  </v>
      </c>
      <c r="C1803" s="50"/>
      <c r="D1803" s="51"/>
      <c r="E1803" s="49" t="str">
        <f>IFERROR(VLOOKUP(D1803,'taxonomy map'!$A$1:$B$171,2,FALSE),"")</f>
        <v/>
      </c>
      <c r="F1803" s="49" t="str">
        <f>IFERROR(VLOOKUP(E1803,'Condensed Specialty Crosswalk'!$A$2:$C$182,2,FALSE),"")</f>
        <v/>
      </c>
      <c r="G1803" s="49" t="str">
        <f>IFERROR(VLOOKUP(E1803,'Condensed Specialty Crosswalk'!$A$2:$C$182,3,FALSE),"")</f>
        <v/>
      </c>
    </row>
    <row r="1804" spans="1:7" ht="15" customHeight="1">
      <c r="A1804" s="49"/>
      <c r="B1804" s="49" t="str">
        <f>CONCATENATE(Reports!E1803," ",Reports!F1803," ",Reports!G1803)</f>
        <v xml:space="preserve">  </v>
      </c>
      <c r="C1804" s="50"/>
      <c r="D1804" s="51"/>
      <c r="E1804" s="49" t="str">
        <f>IFERROR(VLOOKUP(D1804,'taxonomy map'!$A$1:$B$171,2,FALSE),"")</f>
        <v/>
      </c>
      <c r="F1804" s="49" t="str">
        <f>IFERROR(VLOOKUP(E1804,'Condensed Specialty Crosswalk'!$A$2:$C$182,2,FALSE),"")</f>
        <v/>
      </c>
      <c r="G1804" s="49" t="str">
        <f>IFERROR(VLOOKUP(E1804,'Condensed Specialty Crosswalk'!$A$2:$C$182,3,FALSE),"")</f>
        <v/>
      </c>
    </row>
    <row r="1805" spans="1:7" ht="15" customHeight="1">
      <c r="A1805" s="49"/>
      <c r="B1805" s="49" t="str">
        <f>CONCATENATE(Reports!E1804," ",Reports!F1804," ",Reports!G1804)</f>
        <v xml:space="preserve">  </v>
      </c>
      <c r="C1805" s="50"/>
      <c r="D1805" s="51"/>
      <c r="E1805" s="49" t="str">
        <f>IFERROR(VLOOKUP(D1805,'taxonomy map'!$A$1:$B$171,2,FALSE),"")</f>
        <v/>
      </c>
      <c r="F1805" s="49" t="str">
        <f>IFERROR(VLOOKUP(E1805,'Condensed Specialty Crosswalk'!$A$2:$C$182,2,FALSE),"")</f>
        <v/>
      </c>
      <c r="G1805" s="49" t="str">
        <f>IFERROR(VLOOKUP(E1805,'Condensed Specialty Crosswalk'!$A$2:$C$182,3,FALSE),"")</f>
        <v/>
      </c>
    </row>
    <row r="1806" spans="1:7" ht="15" customHeight="1">
      <c r="A1806" s="49"/>
      <c r="B1806" s="49" t="str">
        <f>CONCATENATE(Reports!E1805," ",Reports!F1805," ",Reports!G1805)</f>
        <v xml:space="preserve">  </v>
      </c>
      <c r="C1806" s="50"/>
      <c r="D1806" s="51"/>
      <c r="E1806" s="49" t="str">
        <f>IFERROR(VLOOKUP(D1806,'taxonomy map'!$A$1:$B$171,2,FALSE),"")</f>
        <v/>
      </c>
      <c r="F1806" s="49" t="str">
        <f>IFERROR(VLOOKUP(E1806,'Condensed Specialty Crosswalk'!$A$2:$C$182,2,FALSE),"")</f>
        <v/>
      </c>
      <c r="G1806" s="49" t="str">
        <f>IFERROR(VLOOKUP(E1806,'Condensed Specialty Crosswalk'!$A$2:$C$182,3,FALSE),"")</f>
        <v/>
      </c>
    </row>
    <row r="1807" spans="1:7" ht="15" customHeight="1">
      <c r="A1807" s="49"/>
      <c r="B1807" s="49" t="str">
        <f>CONCATENATE(Reports!E1806," ",Reports!F1806," ",Reports!G1806)</f>
        <v xml:space="preserve">  </v>
      </c>
      <c r="C1807" s="50"/>
      <c r="D1807" s="51"/>
      <c r="E1807" s="49" t="str">
        <f>IFERROR(VLOOKUP(D1807,'taxonomy map'!$A$1:$B$171,2,FALSE),"")</f>
        <v/>
      </c>
      <c r="F1807" s="49" t="str">
        <f>IFERROR(VLOOKUP(E1807,'Condensed Specialty Crosswalk'!$A$2:$C$182,2,FALSE),"")</f>
        <v/>
      </c>
      <c r="G1807" s="49" t="str">
        <f>IFERROR(VLOOKUP(E1807,'Condensed Specialty Crosswalk'!$A$2:$C$182,3,FALSE),"")</f>
        <v/>
      </c>
    </row>
    <row r="1808" spans="1:7" ht="15" customHeight="1">
      <c r="A1808" s="49"/>
      <c r="B1808" s="49" t="str">
        <f>CONCATENATE(Reports!E1807," ",Reports!F1807," ",Reports!G1807)</f>
        <v xml:space="preserve">  </v>
      </c>
      <c r="C1808" s="50"/>
      <c r="D1808" s="51"/>
      <c r="E1808" s="49" t="str">
        <f>IFERROR(VLOOKUP(D1808,'taxonomy map'!$A$1:$B$171,2,FALSE),"")</f>
        <v/>
      </c>
      <c r="F1808" s="49" t="str">
        <f>IFERROR(VLOOKUP(E1808,'Condensed Specialty Crosswalk'!$A$2:$C$182,2,FALSE),"")</f>
        <v/>
      </c>
      <c r="G1808" s="49" t="str">
        <f>IFERROR(VLOOKUP(E1808,'Condensed Specialty Crosswalk'!$A$2:$C$182,3,FALSE),"")</f>
        <v/>
      </c>
    </row>
    <row r="1809" spans="1:7" ht="15" customHeight="1">
      <c r="A1809" s="49"/>
      <c r="B1809" s="49" t="str">
        <f>CONCATENATE(Reports!E1808," ",Reports!F1808," ",Reports!G1808)</f>
        <v xml:space="preserve">  </v>
      </c>
      <c r="C1809" s="50"/>
      <c r="D1809" s="51"/>
      <c r="E1809" s="49" t="str">
        <f>IFERROR(VLOOKUP(D1809,'taxonomy map'!$A$1:$B$171,2,FALSE),"")</f>
        <v/>
      </c>
      <c r="F1809" s="49" t="str">
        <f>IFERROR(VLOOKUP(E1809,'Condensed Specialty Crosswalk'!$A$2:$C$182,2,FALSE),"")</f>
        <v/>
      </c>
      <c r="G1809" s="49" t="str">
        <f>IFERROR(VLOOKUP(E1809,'Condensed Specialty Crosswalk'!$A$2:$C$182,3,FALSE),"")</f>
        <v/>
      </c>
    </row>
    <row r="1810" spans="1:7" ht="15" customHeight="1">
      <c r="A1810" s="49"/>
      <c r="B1810" s="49" t="str">
        <f>CONCATENATE(Reports!E1809," ",Reports!F1809," ",Reports!G1809)</f>
        <v xml:space="preserve">  </v>
      </c>
      <c r="C1810" s="50"/>
      <c r="D1810" s="51"/>
      <c r="E1810" s="49" t="str">
        <f>IFERROR(VLOOKUP(D1810,'taxonomy map'!$A$1:$B$171,2,FALSE),"")</f>
        <v/>
      </c>
      <c r="F1810" s="49" t="str">
        <f>IFERROR(VLOOKUP(E1810,'Condensed Specialty Crosswalk'!$A$2:$C$182,2,FALSE),"")</f>
        <v/>
      </c>
      <c r="G1810" s="49" t="str">
        <f>IFERROR(VLOOKUP(E1810,'Condensed Specialty Crosswalk'!$A$2:$C$182,3,FALSE),"")</f>
        <v/>
      </c>
    </row>
    <row r="1811" spans="1:7" ht="15" customHeight="1">
      <c r="A1811" s="49"/>
      <c r="B1811" s="49" t="str">
        <f>CONCATENATE(Reports!E1810," ",Reports!F1810," ",Reports!G1810)</f>
        <v xml:space="preserve">  </v>
      </c>
      <c r="C1811" s="50"/>
      <c r="D1811" s="51"/>
      <c r="E1811" s="49" t="str">
        <f>IFERROR(VLOOKUP(D1811,'taxonomy map'!$A$1:$B$171,2,FALSE),"")</f>
        <v/>
      </c>
      <c r="F1811" s="49" t="str">
        <f>IFERROR(VLOOKUP(E1811,'Condensed Specialty Crosswalk'!$A$2:$C$182,2,FALSE),"")</f>
        <v/>
      </c>
      <c r="G1811" s="49" t="str">
        <f>IFERROR(VLOOKUP(E1811,'Condensed Specialty Crosswalk'!$A$2:$C$182,3,FALSE),"")</f>
        <v/>
      </c>
    </row>
    <row r="1812" spans="1:7" ht="15" customHeight="1">
      <c r="A1812" s="49"/>
      <c r="B1812" s="49" t="str">
        <f>CONCATENATE(Reports!E1811," ",Reports!F1811," ",Reports!G1811)</f>
        <v xml:space="preserve">  </v>
      </c>
      <c r="C1812" s="50"/>
      <c r="D1812" s="51"/>
      <c r="E1812" s="49" t="str">
        <f>IFERROR(VLOOKUP(D1812,'taxonomy map'!$A$1:$B$171,2,FALSE),"")</f>
        <v/>
      </c>
      <c r="F1812" s="49" t="str">
        <f>IFERROR(VLOOKUP(E1812,'Condensed Specialty Crosswalk'!$A$2:$C$182,2,FALSE),"")</f>
        <v/>
      </c>
      <c r="G1812" s="49" t="str">
        <f>IFERROR(VLOOKUP(E1812,'Condensed Specialty Crosswalk'!$A$2:$C$182,3,FALSE),"")</f>
        <v/>
      </c>
    </row>
    <row r="1813" spans="1:7" ht="15" customHeight="1">
      <c r="A1813" s="49"/>
      <c r="B1813" s="49" t="str">
        <f>CONCATENATE(Reports!E1812," ",Reports!F1812," ",Reports!G1812)</f>
        <v xml:space="preserve">  </v>
      </c>
      <c r="C1813" s="50"/>
      <c r="D1813" s="51"/>
      <c r="E1813" s="49" t="str">
        <f>IFERROR(VLOOKUP(D1813,'taxonomy map'!$A$1:$B$171,2,FALSE),"")</f>
        <v/>
      </c>
      <c r="F1813" s="49" t="str">
        <f>IFERROR(VLOOKUP(E1813,'Condensed Specialty Crosswalk'!$A$2:$C$182,2,FALSE),"")</f>
        <v/>
      </c>
      <c r="G1813" s="49" t="str">
        <f>IFERROR(VLOOKUP(E1813,'Condensed Specialty Crosswalk'!$A$2:$C$182,3,FALSE),"")</f>
        <v/>
      </c>
    </row>
    <row r="1814" spans="1:7" ht="15" customHeight="1">
      <c r="A1814" s="49"/>
      <c r="B1814" s="49" t="str">
        <f>CONCATENATE(Reports!E1813," ",Reports!F1813," ",Reports!G1813)</f>
        <v xml:space="preserve">  </v>
      </c>
      <c r="C1814" s="50"/>
      <c r="D1814" s="51"/>
      <c r="E1814" s="49" t="str">
        <f>IFERROR(VLOOKUP(D1814,'taxonomy map'!$A$1:$B$171,2,FALSE),"")</f>
        <v/>
      </c>
      <c r="F1814" s="49" t="str">
        <f>IFERROR(VLOOKUP(E1814,'Condensed Specialty Crosswalk'!$A$2:$C$182,2,FALSE),"")</f>
        <v/>
      </c>
      <c r="G1814" s="49" t="str">
        <f>IFERROR(VLOOKUP(E1814,'Condensed Specialty Crosswalk'!$A$2:$C$182,3,FALSE),"")</f>
        <v/>
      </c>
    </row>
    <row r="1815" spans="1:7" ht="15" customHeight="1">
      <c r="A1815" s="49"/>
      <c r="B1815" s="49" t="str">
        <f>CONCATENATE(Reports!E1814," ",Reports!F1814," ",Reports!G1814)</f>
        <v xml:space="preserve">  </v>
      </c>
      <c r="C1815" s="50"/>
      <c r="D1815" s="51"/>
      <c r="E1815" s="49" t="str">
        <f>IFERROR(VLOOKUP(D1815,'taxonomy map'!$A$1:$B$171,2,FALSE),"")</f>
        <v/>
      </c>
      <c r="F1815" s="49" t="str">
        <f>IFERROR(VLOOKUP(E1815,'Condensed Specialty Crosswalk'!$A$2:$C$182,2,FALSE),"")</f>
        <v/>
      </c>
      <c r="G1815" s="49" t="str">
        <f>IFERROR(VLOOKUP(E1815,'Condensed Specialty Crosswalk'!$A$2:$C$182,3,FALSE),"")</f>
        <v/>
      </c>
    </row>
    <row r="1816" spans="1:7" ht="15" customHeight="1">
      <c r="A1816" s="49"/>
      <c r="B1816" s="49" t="str">
        <f>CONCATENATE(Reports!E1815," ",Reports!F1815," ",Reports!G1815)</f>
        <v xml:space="preserve">  </v>
      </c>
      <c r="C1816" s="50"/>
      <c r="D1816" s="51"/>
      <c r="E1816" s="49" t="str">
        <f>IFERROR(VLOOKUP(D1816,'taxonomy map'!$A$1:$B$171,2,FALSE),"")</f>
        <v/>
      </c>
      <c r="F1816" s="49" t="str">
        <f>IFERROR(VLOOKUP(E1816,'Condensed Specialty Crosswalk'!$A$2:$C$182,2,FALSE),"")</f>
        <v/>
      </c>
      <c r="G1816" s="49" t="str">
        <f>IFERROR(VLOOKUP(E1816,'Condensed Specialty Crosswalk'!$A$2:$C$182,3,FALSE),"")</f>
        <v/>
      </c>
    </row>
    <row r="1817" spans="1:7" ht="15" customHeight="1">
      <c r="A1817" s="49"/>
      <c r="B1817" s="49" t="str">
        <f>CONCATENATE(Reports!E1816," ",Reports!F1816," ",Reports!G1816)</f>
        <v xml:space="preserve">  </v>
      </c>
      <c r="C1817" s="50"/>
      <c r="D1817" s="51"/>
      <c r="E1817" s="49" t="str">
        <f>IFERROR(VLOOKUP(D1817,'taxonomy map'!$A$1:$B$171,2,FALSE),"")</f>
        <v/>
      </c>
      <c r="F1817" s="49" t="str">
        <f>IFERROR(VLOOKUP(E1817,'Condensed Specialty Crosswalk'!$A$2:$C$182,2,FALSE),"")</f>
        <v/>
      </c>
      <c r="G1817" s="49" t="str">
        <f>IFERROR(VLOOKUP(E1817,'Condensed Specialty Crosswalk'!$A$2:$C$182,3,FALSE),"")</f>
        <v/>
      </c>
    </row>
    <row r="1818" spans="1:7" ht="15" customHeight="1">
      <c r="A1818" s="49"/>
      <c r="B1818" s="49" t="str">
        <f>CONCATENATE(Reports!E1817," ",Reports!F1817," ",Reports!G1817)</f>
        <v xml:space="preserve">  </v>
      </c>
      <c r="C1818" s="50"/>
      <c r="D1818" s="51"/>
      <c r="E1818" s="49" t="str">
        <f>IFERROR(VLOOKUP(D1818,'taxonomy map'!$A$1:$B$171,2,FALSE),"")</f>
        <v/>
      </c>
      <c r="F1818" s="49" t="str">
        <f>IFERROR(VLOOKUP(E1818,'Condensed Specialty Crosswalk'!$A$2:$C$182,2,FALSE),"")</f>
        <v/>
      </c>
      <c r="G1818" s="49" t="str">
        <f>IFERROR(VLOOKUP(E1818,'Condensed Specialty Crosswalk'!$A$2:$C$182,3,FALSE),"")</f>
        <v/>
      </c>
    </row>
    <row r="1819" spans="1:7" ht="15" customHeight="1">
      <c r="A1819" s="49"/>
      <c r="B1819" s="49" t="str">
        <f>CONCATENATE(Reports!E1818," ",Reports!F1818," ",Reports!G1818)</f>
        <v xml:space="preserve">  </v>
      </c>
      <c r="C1819" s="50"/>
      <c r="D1819" s="51"/>
      <c r="E1819" s="49" t="str">
        <f>IFERROR(VLOOKUP(D1819,'taxonomy map'!$A$1:$B$171,2,FALSE),"")</f>
        <v/>
      </c>
      <c r="F1819" s="49" t="str">
        <f>IFERROR(VLOOKUP(E1819,'Condensed Specialty Crosswalk'!$A$2:$C$182,2,FALSE),"")</f>
        <v/>
      </c>
      <c r="G1819" s="49" t="str">
        <f>IFERROR(VLOOKUP(E1819,'Condensed Specialty Crosswalk'!$A$2:$C$182,3,FALSE),"")</f>
        <v/>
      </c>
    </row>
    <row r="1820" spans="1:7" ht="15" customHeight="1">
      <c r="A1820" s="49"/>
      <c r="B1820" s="49" t="str">
        <f>CONCATENATE(Reports!E1819," ",Reports!F1819," ",Reports!G1819)</f>
        <v xml:space="preserve">  </v>
      </c>
      <c r="C1820" s="50"/>
      <c r="D1820" s="51"/>
      <c r="E1820" s="49" t="str">
        <f>IFERROR(VLOOKUP(D1820,'taxonomy map'!$A$1:$B$171,2,FALSE),"")</f>
        <v/>
      </c>
      <c r="F1820" s="49" t="str">
        <f>IFERROR(VLOOKUP(E1820,'Condensed Specialty Crosswalk'!$A$2:$C$182,2,FALSE),"")</f>
        <v/>
      </c>
      <c r="G1820" s="49" t="str">
        <f>IFERROR(VLOOKUP(E1820,'Condensed Specialty Crosswalk'!$A$2:$C$182,3,FALSE),"")</f>
        <v/>
      </c>
    </row>
    <row r="1821" spans="1:7" ht="15" customHeight="1">
      <c r="A1821" s="49"/>
      <c r="B1821" s="49" t="str">
        <f>CONCATENATE(Reports!E1820," ",Reports!F1820," ",Reports!G1820)</f>
        <v xml:space="preserve">  </v>
      </c>
      <c r="C1821" s="50"/>
      <c r="D1821" s="51"/>
      <c r="E1821" s="49" t="str">
        <f>IFERROR(VLOOKUP(D1821,'taxonomy map'!$A$1:$B$171,2,FALSE),"")</f>
        <v/>
      </c>
      <c r="F1821" s="49" t="str">
        <f>IFERROR(VLOOKUP(E1821,'Condensed Specialty Crosswalk'!$A$2:$C$182,2,FALSE),"")</f>
        <v/>
      </c>
      <c r="G1821" s="49" t="str">
        <f>IFERROR(VLOOKUP(E1821,'Condensed Specialty Crosswalk'!$A$2:$C$182,3,FALSE),"")</f>
        <v/>
      </c>
    </row>
    <row r="1822" spans="1:7" ht="15" customHeight="1">
      <c r="A1822" s="49"/>
      <c r="B1822" s="49" t="str">
        <f>CONCATENATE(Reports!E1821," ",Reports!F1821," ",Reports!G1821)</f>
        <v xml:space="preserve">  </v>
      </c>
      <c r="C1822" s="50"/>
      <c r="D1822" s="51"/>
      <c r="E1822" s="49" t="str">
        <f>IFERROR(VLOOKUP(D1822,'taxonomy map'!$A$1:$B$171,2,FALSE),"")</f>
        <v/>
      </c>
      <c r="F1822" s="49" t="str">
        <f>IFERROR(VLOOKUP(E1822,'Condensed Specialty Crosswalk'!$A$2:$C$182,2,FALSE),"")</f>
        <v/>
      </c>
      <c r="G1822" s="49" t="str">
        <f>IFERROR(VLOOKUP(E1822,'Condensed Specialty Crosswalk'!$A$2:$C$182,3,FALSE),"")</f>
        <v/>
      </c>
    </row>
    <row r="1823" spans="1:7" ht="15" customHeight="1">
      <c r="A1823" s="49"/>
      <c r="B1823" s="49" t="str">
        <f>CONCATENATE(Reports!E1822," ",Reports!F1822," ",Reports!G1822)</f>
        <v xml:space="preserve">  </v>
      </c>
      <c r="C1823" s="50"/>
      <c r="D1823" s="51"/>
      <c r="E1823" s="49" t="str">
        <f>IFERROR(VLOOKUP(D1823,'taxonomy map'!$A$1:$B$171,2,FALSE),"")</f>
        <v/>
      </c>
      <c r="F1823" s="49" t="str">
        <f>IFERROR(VLOOKUP(E1823,'Condensed Specialty Crosswalk'!$A$2:$C$182,2,FALSE),"")</f>
        <v/>
      </c>
      <c r="G1823" s="49" t="str">
        <f>IFERROR(VLOOKUP(E1823,'Condensed Specialty Crosswalk'!$A$2:$C$182,3,FALSE),"")</f>
        <v/>
      </c>
    </row>
    <row r="1824" spans="1:7" ht="15" customHeight="1">
      <c r="A1824" s="49"/>
      <c r="B1824" s="49" t="str">
        <f>CONCATENATE(Reports!E1823," ",Reports!F1823," ",Reports!G1823)</f>
        <v xml:space="preserve">  </v>
      </c>
      <c r="C1824" s="50"/>
      <c r="D1824" s="51"/>
      <c r="E1824" s="49" t="str">
        <f>IFERROR(VLOOKUP(D1824,'taxonomy map'!$A$1:$B$171,2,FALSE),"")</f>
        <v/>
      </c>
      <c r="F1824" s="49" t="str">
        <f>IFERROR(VLOOKUP(E1824,'Condensed Specialty Crosswalk'!$A$2:$C$182,2,FALSE),"")</f>
        <v/>
      </c>
      <c r="G1824" s="49" t="str">
        <f>IFERROR(VLOOKUP(E1824,'Condensed Specialty Crosswalk'!$A$2:$C$182,3,FALSE),"")</f>
        <v/>
      </c>
    </row>
    <row r="1825" spans="1:7" ht="15" customHeight="1">
      <c r="A1825" s="49"/>
      <c r="B1825" s="49" t="str">
        <f>CONCATENATE(Reports!E1824," ",Reports!F1824," ",Reports!G1824)</f>
        <v xml:space="preserve">  </v>
      </c>
      <c r="C1825" s="50"/>
      <c r="D1825" s="51"/>
      <c r="E1825" s="49" t="str">
        <f>IFERROR(VLOOKUP(D1825,'taxonomy map'!$A$1:$B$171,2,FALSE),"")</f>
        <v/>
      </c>
      <c r="F1825" s="49" t="str">
        <f>IFERROR(VLOOKUP(E1825,'Condensed Specialty Crosswalk'!$A$2:$C$182,2,FALSE),"")</f>
        <v/>
      </c>
      <c r="G1825" s="49" t="str">
        <f>IFERROR(VLOOKUP(E1825,'Condensed Specialty Crosswalk'!$A$2:$C$182,3,FALSE),"")</f>
        <v/>
      </c>
    </row>
    <row r="1826" spans="1:7" ht="15" customHeight="1">
      <c r="A1826" s="49"/>
      <c r="B1826" s="49" t="str">
        <f>CONCATENATE(Reports!E1825," ",Reports!F1825," ",Reports!G1825)</f>
        <v xml:space="preserve">  </v>
      </c>
      <c r="C1826" s="50"/>
      <c r="D1826" s="51"/>
      <c r="E1826" s="49" t="str">
        <f>IFERROR(VLOOKUP(D1826,'taxonomy map'!$A$1:$B$171,2,FALSE),"")</f>
        <v/>
      </c>
      <c r="F1826" s="49" t="str">
        <f>IFERROR(VLOOKUP(E1826,'Condensed Specialty Crosswalk'!$A$2:$C$182,2,FALSE),"")</f>
        <v/>
      </c>
      <c r="G1826" s="49" t="str">
        <f>IFERROR(VLOOKUP(E1826,'Condensed Specialty Crosswalk'!$A$2:$C$182,3,FALSE),"")</f>
        <v/>
      </c>
    </row>
    <row r="1827" spans="1:7" ht="15" customHeight="1">
      <c r="A1827" s="49"/>
      <c r="B1827" s="49" t="str">
        <f>CONCATENATE(Reports!E1826," ",Reports!F1826," ",Reports!G1826)</f>
        <v xml:space="preserve">  </v>
      </c>
      <c r="C1827" s="50"/>
      <c r="D1827" s="51"/>
      <c r="E1827" s="49" t="str">
        <f>IFERROR(VLOOKUP(D1827,'taxonomy map'!$A$1:$B$171,2,FALSE),"")</f>
        <v/>
      </c>
      <c r="F1827" s="49" t="str">
        <f>IFERROR(VLOOKUP(E1827,'Condensed Specialty Crosswalk'!$A$2:$C$182,2,FALSE),"")</f>
        <v/>
      </c>
      <c r="G1827" s="49" t="str">
        <f>IFERROR(VLOOKUP(E1827,'Condensed Specialty Crosswalk'!$A$2:$C$182,3,FALSE),"")</f>
        <v/>
      </c>
    </row>
    <row r="1828" spans="1:7" ht="15" customHeight="1">
      <c r="A1828" s="49"/>
      <c r="B1828" s="49" t="str">
        <f>CONCATENATE(Reports!E1827," ",Reports!F1827," ",Reports!G1827)</f>
        <v xml:space="preserve">  </v>
      </c>
      <c r="C1828" s="50"/>
      <c r="D1828" s="51"/>
      <c r="E1828" s="49" t="str">
        <f>IFERROR(VLOOKUP(D1828,'taxonomy map'!$A$1:$B$171,2,FALSE),"")</f>
        <v/>
      </c>
      <c r="F1828" s="49" t="str">
        <f>IFERROR(VLOOKUP(E1828,'Condensed Specialty Crosswalk'!$A$2:$C$182,2,FALSE),"")</f>
        <v/>
      </c>
      <c r="G1828" s="49" t="str">
        <f>IFERROR(VLOOKUP(E1828,'Condensed Specialty Crosswalk'!$A$2:$C$182,3,FALSE),"")</f>
        <v/>
      </c>
    </row>
    <row r="1829" spans="1:7" ht="15" customHeight="1">
      <c r="A1829" s="49"/>
      <c r="B1829" s="49" t="str">
        <f>CONCATENATE(Reports!E1828," ",Reports!F1828," ",Reports!G1828)</f>
        <v xml:space="preserve">  </v>
      </c>
      <c r="C1829" s="50"/>
      <c r="D1829" s="51"/>
      <c r="E1829" s="49" t="str">
        <f>IFERROR(VLOOKUP(D1829,'taxonomy map'!$A$1:$B$171,2,FALSE),"")</f>
        <v/>
      </c>
      <c r="F1829" s="49" t="str">
        <f>IFERROR(VLOOKUP(E1829,'Condensed Specialty Crosswalk'!$A$2:$C$182,2,FALSE),"")</f>
        <v/>
      </c>
      <c r="G1829" s="49" t="str">
        <f>IFERROR(VLOOKUP(E1829,'Condensed Specialty Crosswalk'!$A$2:$C$182,3,FALSE),"")</f>
        <v/>
      </c>
    </row>
    <row r="1830" spans="1:7" ht="15" customHeight="1">
      <c r="A1830" s="49"/>
      <c r="B1830" s="49" t="str">
        <f>CONCATENATE(Reports!E1829," ",Reports!F1829," ",Reports!G1829)</f>
        <v xml:space="preserve">  </v>
      </c>
      <c r="C1830" s="50"/>
      <c r="D1830" s="51"/>
      <c r="E1830" s="49" t="str">
        <f>IFERROR(VLOOKUP(D1830,'taxonomy map'!$A$1:$B$171,2,FALSE),"")</f>
        <v/>
      </c>
      <c r="F1830" s="49" t="str">
        <f>IFERROR(VLOOKUP(E1830,'Condensed Specialty Crosswalk'!$A$2:$C$182,2,FALSE),"")</f>
        <v/>
      </c>
      <c r="G1830" s="49" t="str">
        <f>IFERROR(VLOOKUP(E1830,'Condensed Specialty Crosswalk'!$A$2:$C$182,3,FALSE),"")</f>
        <v/>
      </c>
    </row>
    <row r="1831" spans="1:7" ht="15" customHeight="1">
      <c r="A1831" s="49"/>
      <c r="B1831" s="49" t="str">
        <f>CONCATENATE(Reports!E1830," ",Reports!F1830," ",Reports!G1830)</f>
        <v xml:space="preserve">  </v>
      </c>
      <c r="C1831" s="50"/>
      <c r="D1831" s="51"/>
      <c r="E1831" s="49" t="str">
        <f>IFERROR(VLOOKUP(D1831,'taxonomy map'!$A$1:$B$171,2,FALSE),"")</f>
        <v/>
      </c>
      <c r="F1831" s="49" t="str">
        <f>IFERROR(VLOOKUP(E1831,'Condensed Specialty Crosswalk'!$A$2:$C$182,2,FALSE),"")</f>
        <v/>
      </c>
      <c r="G1831" s="49" t="str">
        <f>IFERROR(VLOOKUP(E1831,'Condensed Specialty Crosswalk'!$A$2:$C$182,3,FALSE),"")</f>
        <v/>
      </c>
    </row>
    <row r="1832" spans="1:7" ht="15" customHeight="1">
      <c r="A1832" s="49"/>
      <c r="B1832" s="49" t="str">
        <f>CONCATENATE(Reports!E1831," ",Reports!F1831," ",Reports!G1831)</f>
        <v xml:space="preserve">  </v>
      </c>
      <c r="C1832" s="50"/>
      <c r="D1832" s="51"/>
      <c r="E1832" s="49" t="str">
        <f>IFERROR(VLOOKUP(D1832,'taxonomy map'!$A$1:$B$171,2,FALSE),"")</f>
        <v/>
      </c>
      <c r="F1832" s="49" t="str">
        <f>IFERROR(VLOOKUP(E1832,'Condensed Specialty Crosswalk'!$A$2:$C$182,2,FALSE),"")</f>
        <v/>
      </c>
      <c r="G1832" s="49" t="str">
        <f>IFERROR(VLOOKUP(E1832,'Condensed Specialty Crosswalk'!$A$2:$C$182,3,FALSE),"")</f>
        <v/>
      </c>
    </row>
    <row r="1833" spans="1:7" ht="15" customHeight="1">
      <c r="A1833" s="49"/>
      <c r="B1833" s="49" t="str">
        <f>CONCATENATE(Reports!E1832," ",Reports!F1832," ",Reports!G1832)</f>
        <v xml:space="preserve">  </v>
      </c>
      <c r="C1833" s="50"/>
      <c r="D1833" s="51"/>
      <c r="E1833" s="49" t="str">
        <f>IFERROR(VLOOKUP(D1833,'taxonomy map'!$A$1:$B$171,2,FALSE),"")</f>
        <v/>
      </c>
      <c r="F1833" s="49" t="str">
        <f>IFERROR(VLOOKUP(E1833,'Condensed Specialty Crosswalk'!$A$2:$C$182,2,FALSE),"")</f>
        <v/>
      </c>
      <c r="G1833" s="49" t="str">
        <f>IFERROR(VLOOKUP(E1833,'Condensed Specialty Crosswalk'!$A$2:$C$182,3,FALSE),"")</f>
        <v/>
      </c>
    </row>
    <row r="1834" spans="1:7" ht="15" customHeight="1">
      <c r="A1834" s="49"/>
      <c r="B1834" s="49" t="str">
        <f>CONCATENATE(Reports!E1833," ",Reports!F1833," ",Reports!G1833)</f>
        <v xml:space="preserve">  </v>
      </c>
      <c r="C1834" s="50"/>
      <c r="D1834" s="51"/>
      <c r="E1834" s="49" t="str">
        <f>IFERROR(VLOOKUP(D1834,'taxonomy map'!$A$1:$B$171,2,FALSE),"")</f>
        <v/>
      </c>
      <c r="F1834" s="49" t="str">
        <f>IFERROR(VLOOKUP(E1834,'Condensed Specialty Crosswalk'!$A$2:$C$182,2,FALSE),"")</f>
        <v/>
      </c>
      <c r="G1834" s="49" t="str">
        <f>IFERROR(VLOOKUP(E1834,'Condensed Specialty Crosswalk'!$A$2:$C$182,3,FALSE),"")</f>
        <v/>
      </c>
    </row>
    <row r="1835" spans="1:7" ht="15" customHeight="1">
      <c r="A1835" s="49"/>
      <c r="B1835" s="49" t="str">
        <f>CONCATENATE(Reports!E1834," ",Reports!F1834," ",Reports!G1834)</f>
        <v xml:space="preserve">  </v>
      </c>
      <c r="C1835" s="50"/>
      <c r="D1835" s="51"/>
      <c r="E1835" s="49" t="str">
        <f>IFERROR(VLOOKUP(D1835,'taxonomy map'!$A$1:$B$171,2,FALSE),"")</f>
        <v/>
      </c>
      <c r="F1835" s="49" t="str">
        <f>IFERROR(VLOOKUP(E1835,'Condensed Specialty Crosswalk'!$A$2:$C$182,2,FALSE),"")</f>
        <v/>
      </c>
      <c r="G1835" s="49" t="str">
        <f>IFERROR(VLOOKUP(E1835,'Condensed Specialty Crosswalk'!$A$2:$C$182,3,FALSE),"")</f>
        <v/>
      </c>
    </row>
    <row r="1836" spans="1:7" ht="15" customHeight="1">
      <c r="A1836" s="49"/>
      <c r="B1836" s="49" t="str">
        <f>CONCATENATE(Reports!E1835," ",Reports!F1835," ",Reports!G1835)</f>
        <v xml:space="preserve">  </v>
      </c>
      <c r="C1836" s="50"/>
      <c r="D1836" s="51"/>
      <c r="E1836" s="49" t="str">
        <f>IFERROR(VLOOKUP(D1836,'taxonomy map'!$A$1:$B$171,2,FALSE),"")</f>
        <v/>
      </c>
      <c r="F1836" s="49" t="str">
        <f>IFERROR(VLOOKUP(E1836,'Condensed Specialty Crosswalk'!$A$2:$C$182,2,FALSE),"")</f>
        <v/>
      </c>
      <c r="G1836" s="49" t="str">
        <f>IFERROR(VLOOKUP(E1836,'Condensed Specialty Crosswalk'!$A$2:$C$182,3,FALSE),"")</f>
        <v/>
      </c>
    </row>
    <row r="1837" spans="1:7" ht="15" customHeight="1">
      <c r="A1837" s="49"/>
      <c r="B1837" s="49" t="str">
        <f>CONCATENATE(Reports!E1836," ",Reports!F1836," ",Reports!G1836)</f>
        <v xml:space="preserve">  </v>
      </c>
      <c r="C1837" s="50"/>
      <c r="D1837" s="51"/>
      <c r="E1837" s="49" t="str">
        <f>IFERROR(VLOOKUP(D1837,'taxonomy map'!$A$1:$B$171,2,FALSE),"")</f>
        <v/>
      </c>
      <c r="F1837" s="49" t="str">
        <f>IFERROR(VLOOKUP(E1837,'Condensed Specialty Crosswalk'!$A$2:$C$182,2,FALSE),"")</f>
        <v/>
      </c>
      <c r="G1837" s="49" t="str">
        <f>IFERROR(VLOOKUP(E1837,'Condensed Specialty Crosswalk'!$A$2:$C$182,3,FALSE),"")</f>
        <v/>
      </c>
    </row>
    <row r="1838" spans="1:7" ht="15" customHeight="1">
      <c r="A1838" s="49"/>
      <c r="B1838" s="49" t="str">
        <f>CONCATENATE(Reports!E1837," ",Reports!F1837," ",Reports!G1837)</f>
        <v xml:space="preserve">  </v>
      </c>
      <c r="C1838" s="50"/>
      <c r="D1838" s="51"/>
      <c r="E1838" s="49" t="str">
        <f>IFERROR(VLOOKUP(D1838,'taxonomy map'!$A$1:$B$171,2,FALSE),"")</f>
        <v/>
      </c>
      <c r="F1838" s="49" t="str">
        <f>IFERROR(VLOOKUP(E1838,'Condensed Specialty Crosswalk'!$A$2:$C$182,2,FALSE),"")</f>
        <v/>
      </c>
      <c r="G1838" s="49" t="str">
        <f>IFERROR(VLOOKUP(E1838,'Condensed Specialty Crosswalk'!$A$2:$C$182,3,FALSE),"")</f>
        <v/>
      </c>
    </row>
    <row r="1839" spans="1:7" ht="15" customHeight="1">
      <c r="A1839" s="49"/>
      <c r="B1839" s="49" t="str">
        <f>CONCATENATE(Reports!E1838," ",Reports!F1838," ",Reports!G1838)</f>
        <v xml:space="preserve">  </v>
      </c>
      <c r="C1839" s="50"/>
      <c r="D1839" s="51"/>
      <c r="E1839" s="49" t="str">
        <f>IFERROR(VLOOKUP(D1839,'taxonomy map'!$A$1:$B$171,2,FALSE),"")</f>
        <v/>
      </c>
      <c r="F1839" s="49" t="str">
        <f>IFERROR(VLOOKUP(E1839,'Condensed Specialty Crosswalk'!$A$2:$C$182,2,FALSE),"")</f>
        <v/>
      </c>
      <c r="G1839" s="49" t="str">
        <f>IFERROR(VLOOKUP(E1839,'Condensed Specialty Crosswalk'!$A$2:$C$182,3,FALSE),"")</f>
        <v/>
      </c>
    </row>
    <row r="1840" spans="1:7" ht="15" customHeight="1">
      <c r="A1840" s="49"/>
      <c r="B1840" s="49" t="str">
        <f>CONCATENATE(Reports!E1839," ",Reports!F1839," ",Reports!G1839)</f>
        <v xml:space="preserve">  </v>
      </c>
      <c r="C1840" s="50"/>
      <c r="D1840" s="51"/>
      <c r="E1840" s="49" t="str">
        <f>IFERROR(VLOOKUP(D1840,'taxonomy map'!$A$1:$B$171,2,FALSE),"")</f>
        <v/>
      </c>
      <c r="F1840" s="49" t="str">
        <f>IFERROR(VLOOKUP(E1840,'Condensed Specialty Crosswalk'!$A$2:$C$182,2,FALSE),"")</f>
        <v/>
      </c>
      <c r="G1840" s="49" t="str">
        <f>IFERROR(VLOOKUP(E1840,'Condensed Specialty Crosswalk'!$A$2:$C$182,3,FALSE),"")</f>
        <v/>
      </c>
    </row>
    <row r="1841" spans="1:7" ht="15" customHeight="1">
      <c r="A1841" s="49"/>
      <c r="B1841" s="49" t="str">
        <f>CONCATENATE(Reports!E1840," ",Reports!F1840," ",Reports!G1840)</f>
        <v xml:space="preserve">  </v>
      </c>
      <c r="C1841" s="50"/>
      <c r="D1841" s="51"/>
      <c r="E1841" s="49" t="str">
        <f>IFERROR(VLOOKUP(D1841,'taxonomy map'!$A$1:$B$171,2,FALSE),"")</f>
        <v/>
      </c>
      <c r="F1841" s="49" t="str">
        <f>IFERROR(VLOOKUP(E1841,'Condensed Specialty Crosswalk'!$A$2:$C$182,2,FALSE),"")</f>
        <v/>
      </c>
      <c r="G1841" s="49" t="str">
        <f>IFERROR(VLOOKUP(E1841,'Condensed Specialty Crosswalk'!$A$2:$C$182,3,FALSE),"")</f>
        <v/>
      </c>
    </row>
    <row r="1842" spans="1:7" ht="15" customHeight="1">
      <c r="A1842" s="49"/>
      <c r="B1842" s="49" t="str">
        <f>CONCATENATE(Reports!E1841," ",Reports!F1841," ",Reports!G1841)</f>
        <v xml:space="preserve">  </v>
      </c>
      <c r="C1842" s="50"/>
      <c r="D1842" s="51"/>
      <c r="E1842" s="49" t="str">
        <f>IFERROR(VLOOKUP(D1842,'taxonomy map'!$A$1:$B$171,2,FALSE),"")</f>
        <v/>
      </c>
      <c r="F1842" s="49" t="str">
        <f>IFERROR(VLOOKUP(E1842,'Condensed Specialty Crosswalk'!$A$2:$C$182,2,FALSE),"")</f>
        <v/>
      </c>
      <c r="G1842" s="49" t="str">
        <f>IFERROR(VLOOKUP(E1842,'Condensed Specialty Crosswalk'!$A$2:$C$182,3,FALSE),"")</f>
        <v/>
      </c>
    </row>
    <row r="1843" spans="1:7" ht="15" customHeight="1">
      <c r="A1843" s="49"/>
      <c r="B1843" s="49" t="str">
        <f>CONCATENATE(Reports!E1842," ",Reports!F1842," ",Reports!G1842)</f>
        <v xml:space="preserve">  </v>
      </c>
      <c r="C1843" s="50"/>
      <c r="D1843" s="51"/>
      <c r="E1843" s="49" t="str">
        <f>IFERROR(VLOOKUP(D1843,'taxonomy map'!$A$1:$B$171,2,FALSE),"")</f>
        <v/>
      </c>
      <c r="F1843" s="49" t="str">
        <f>IFERROR(VLOOKUP(E1843,'Condensed Specialty Crosswalk'!$A$2:$C$182,2,FALSE),"")</f>
        <v/>
      </c>
      <c r="G1843" s="49" t="str">
        <f>IFERROR(VLOOKUP(E1843,'Condensed Specialty Crosswalk'!$A$2:$C$182,3,FALSE),"")</f>
        <v/>
      </c>
    </row>
    <row r="1844" spans="1:7" ht="15" customHeight="1">
      <c r="A1844" s="49"/>
      <c r="B1844" s="49" t="str">
        <f>CONCATENATE(Reports!E1843," ",Reports!F1843," ",Reports!G1843)</f>
        <v xml:space="preserve">  </v>
      </c>
      <c r="C1844" s="50"/>
      <c r="D1844" s="51"/>
      <c r="E1844" s="49" t="str">
        <f>IFERROR(VLOOKUP(D1844,'taxonomy map'!$A$1:$B$171,2,FALSE),"")</f>
        <v/>
      </c>
      <c r="F1844" s="49" t="str">
        <f>IFERROR(VLOOKUP(E1844,'Condensed Specialty Crosswalk'!$A$2:$C$182,2,FALSE),"")</f>
        <v/>
      </c>
      <c r="G1844" s="49" t="str">
        <f>IFERROR(VLOOKUP(E1844,'Condensed Specialty Crosswalk'!$A$2:$C$182,3,FALSE),"")</f>
        <v/>
      </c>
    </row>
    <row r="1845" spans="1:7" ht="15" customHeight="1">
      <c r="A1845" s="49"/>
      <c r="B1845" s="49" t="str">
        <f>CONCATENATE(Reports!E1844," ",Reports!F1844," ",Reports!G1844)</f>
        <v xml:space="preserve">  </v>
      </c>
      <c r="C1845" s="50"/>
      <c r="D1845" s="51"/>
      <c r="E1845" s="49" t="str">
        <f>IFERROR(VLOOKUP(D1845,'taxonomy map'!$A$1:$B$171,2,FALSE),"")</f>
        <v/>
      </c>
      <c r="F1845" s="49" t="str">
        <f>IFERROR(VLOOKUP(E1845,'Condensed Specialty Crosswalk'!$A$2:$C$182,2,FALSE),"")</f>
        <v/>
      </c>
      <c r="G1845" s="49" t="str">
        <f>IFERROR(VLOOKUP(E1845,'Condensed Specialty Crosswalk'!$A$2:$C$182,3,FALSE),"")</f>
        <v/>
      </c>
    </row>
    <row r="1846" spans="1:7" ht="15" customHeight="1">
      <c r="A1846" s="49"/>
      <c r="B1846" s="49" t="str">
        <f>CONCATENATE(Reports!E1845," ",Reports!F1845," ",Reports!G1845)</f>
        <v xml:space="preserve">  </v>
      </c>
      <c r="C1846" s="50"/>
      <c r="D1846" s="51"/>
      <c r="E1846" s="49" t="str">
        <f>IFERROR(VLOOKUP(D1846,'taxonomy map'!$A$1:$B$171,2,FALSE),"")</f>
        <v/>
      </c>
      <c r="F1846" s="49" t="str">
        <f>IFERROR(VLOOKUP(E1846,'Condensed Specialty Crosswalk'!$A$2:$C$182,2,FALSE),"")</f>
        <v/>
      </c>
      <c r="G1846" s="49" t="str">
        <f>IFERROR(VLOOKUP(E1846,'Condensed Specialty Crosswalk'!$A$2:$C$182,3,FALSE),"")</f>
        <v/>
      </c>
    </row>
    <row r="1847" spans="1:7" ht="15" customHeight="1">
      <c r="A1847" s="49"/>
      <c r="B1847" s="49" t="str">
        <f>CONCATENATE(Reports!E1846," ",Reports!F1846," ",Reports!G1846)</f>
        <v xml:space="preserve">  </v>
      </c>
      <c r="C1847" s="50"/>
      <c r="D1847" s="51"/>
      <c r="E1847" s="49" t="str">
        <f>IFERROR(VLOOKUP(D1847,'taxonomy map'!$A$1:$B$171,2,FALSE),"")</f>
        <v/>
      </c>
      <c r="F1847" s="49" t="str">
        <f>IFERROR(VLOOKUP(E1847,'Condensed Specialty Crosswalk'!$A$2:$C$182,2,FALSE),"")</f>
        <v/>
      </c>
      <c r="G1847" s="49" t="str">
        <f>IFERROR(VLOOKUP(E1847,'Condensed Specialty Crosswalk'!$A$2:$C$182,3,FALSE),"")</f>
        <v/>
      </c>
    </row>
    <row r="1848" spans="1:7" ht="15" customHeight="1">
      <c r="A1848" s="49"/>
      <c r="B1848" s="49" t="str">
        <f>CONCATENATE(Reports!E1847," ",Reports!F1847," ",Reports!G1847)</f>
        <v xml:space="preserve">  </v>
      </c>
      <c r="C1848" s="50"/>
      <c r="D1848" s="51"/>
      <c r="E1848" s="49" t="str">
        <f>IFERROR(VLOOKUP(D1848,'taxonomy map'!$A$1:$B$171,2,FALSE),"")</f>
        <v/>
      </c>
      <c r="F1848" s="49" t="str">
        <f>IFERROR(VLOOKUP(E1848,'Condensed Specialty Crosswalk'!$A$2:$C$182,2,FALSE),"")</f>
        <v/>
      </c>
      <c r="G1848" s="49" t="str">
        <f>IFERROR(VLOOKUP(E1848,'Condensed Specialty Crosswalk'!$A$2:$C$182,3,FALSE),"")</f>
        <v/>
      </c>
    </row>
    <row r="1849" spans="1:7" ht="15" customHeight="1">
      <c r="A1849" s="49"/>
      <c r="B1849" s="49" t="str">
        <f>CONCATENATE(Reports!E1848," ",Reports!F1848," ",Reports!G1848)</f>
        <v xml:space="preserve">  </v>
      </c>
      <c r="C1849" s="50"/>
      <c r="D1849" s="51"/>
      <c r="E1849" s="49" t="str">
        <f>IFERROR(VLOOKUP(D1849,'taxonomy map'!$A$1:$B$171,2,FALSE),"")</f>
        <v/>
      </c>
      <c r="F1849" s="49" t="str">
        <f>IFERROR(VLOOKUP(E1849,'Condensed Specialty Crosswalk'!$A$2:$C$182,2,FALSE),"")</f>
        <v/>
      </c>
      <c r="G1849" s="49" t="str">
        <f>IFERROR(VLOOKUP(E1849,'Condensed Specialty Crosswalk'!$A$2:$C$182,3,FALSE),"")</f>
        <v/>
      </c>
    </row>
    <row r="1850" spans="1:7" ht="15" customHeight="1">
      <c r="A1850" s="49"/>
      <c r="B1850" s="49" t="str">
        <f>CONCATENATE(Reports!E1849," ",Reports!F1849," ",Reports!G1849)</f>
        <v xml:space="preserve">  </v>
      </c>
      <c r="C1850" s="50"/>
      <c r="D1850" s="51"/>
      <c r="E1850" s="49" t="str">
        <f>IFERROR(VLOOKUP(D1850,'taxonomy map'!$A$1:$B$171,2,FALSE),"")</f>
        <v/>
      </c>
      <c r="F1850" s="49" t="str">
        <f>IFERROR(VLOOKUP(E1850,'Condensed Specialty Crosswalk'!$A$2:$C$182,2,FALSE),"")</f>
        <v/>
      </c>
      <c r="G1850" s="49" t="str">
        <f>IFERROR(VLOOKUP(E1850,'Condensed Specialty Crosswalk'!$A$2:$C$182,3,FALSE),"")</f>
        <v/>
      </c>
    </row>
    <row r="1851" spans="1:7" ht="15" customHeight="1">
      <c r="A1851" s="49"/>
      <c r="B1851" s="49" t="str">
        <f>CONCATENATE(Reports!E1850," ",Reports!F1850," ",Reports!G1850)</f>
        <v xml:space="preserve">  </v>
      </c>
      <c r="C1851" s="50"/>
      <c r="D1851" s="51"/>
      <c r="E1851" s="49" t="str">
        <f>IFERROR(VLOOKUP(D1851,'taxonomy map'!$A$1:$B$171,2,FALSE),"")</f>
        <v/>
      </c>
      <c r="F1851" s="49" t="str">
        <f>IFERROR(VLOOKUP(E1851,'Condensed Specialty Crosswalk'!$A$2:$C$182,2,FALSE),"")</f>
        <v/>
      </c>
      <c r="G1851" s="49" t="str">
        <f>IFERROR(VLOOKUP(E1851,'Condensed Specialty Crosswalk'!$A$2:$C$182,3,FALSE),"")</f>
        <v/>
      </c>
    </row>
    <row r="1852" spans="1:7" ht="15" customHeight="1">
      <c r="A1852" s="49"/>
      <c r="B1852" s="49" t="str">
        <f>CONCATENATE(Reports!E1851," ",Reports!F1851," ",Reports!G1851)</f>
        <v xml:space="preserve">  </v>
      </c>
      <c r="C1852" s="50"/>
      <c r="D1852" s="51"/>
      <c r="E1852" s="49" t="str">
        <f>IFERROR(VLOOKUP(D1852,'taxonomy map'!$A$1:$B$171,2,FALSE),"")</f>
        <v/>
      </c>
      <c r="F1852" s="49" t="str">
        <f>IFERROR(VLOOKUP(E1852,'Condensed Specialty Crosswalk'!$A$2:$C$182,2,FALSE),"")</f>
        <v/>
      </c>
      <c r="G1852" s="49" t="str">
        <f>IFERROR(VLOOKUP(E1852,'Condensed Specialty Crosswalk'!$A$2:$C$182,3,FALSE),"")</f>
        <v/>
      </c>
    </row>
    <row r="1853" spans="1:7" ht="15" customHeight="1">
      <c r="A1853" s="49"/>
      <c r="B1853" s="49" t="str">
        <f>CONCATENATE(Reports!E1852," ",Reports!F1852," ",Reports!G1852)</f>
        <v xml:space="preserve">  </v>
      </c>
      <c r="C1853" s="50"/>
      <c r="D1853" s="51"/>
      <c r="E1853" s="49" t="str">
        <f>IFERROR(VLOOKUP(D1853,'taxonomy map'!$A$1:$B$171,2,FALSE),"")</f>
        <v/>
      </c>
      <c r="F1853" s="49" t="str">
        <f>IFERROR(VLOOKUP(E1853,'Condensed Specialty Crosswalk'!$A$2:$C$182,2,FALSE),"")</f>
        <v/>
      </c>
      <c r="G1853" s="49" t="str">
        <f>IFERROR(VLOOKUP(E1853,'Condensed Specialty Crosswalk'!$A$2:$C$182,3,FALSE),"")</f>
        <v/>
      </c>
    </row>
    <row r="1854" spans="1:7" ht="15" customHeight="1">
      <c r="A1854" s="49"/>
      <c r="B1854" s="49" t="str">
        <f>CONCATENATE(Reports!E1853," ",Reports!F1853," ",Reports!G1853)</f>
        <v xml:space="preserve">  </v>
      </c>
      <c r="C1854" s="50"/>
      <c r="D1854" s="51"/>
      <c r="E1854" s="49" t="str">
        <f>IFERROR(VLOOKUP(D1854,'taxonomy map'!$A$1:$B$171,2,FALSE),"")</f>
        <v/>
      </c>
      <c r="F1854" s="49" t="str">
        <f>IFERROR(VLOOKUP(E1854,'Condensed Specialty Crosswalk'!$A$2:$C$182,2,FALSE),"")</f>
        <v/>
      </c>
      <c r="G1854" s="49" t="str">
        <f>IFERROR(VLOOKUP(E1854,'Condensed Specialty Crosswalk'!$A$2:$C$182,3,FALSE),"")</f>
        <v/>
      </c>
    </row>
    <row r="1855" spans="1:7" ht="15" customHeight="1">
      <c r="A1855" s="49"/>
      <c r="B1855" s="49" t="str">
        <f>CONCATENATE(Reports!E1854," ",Reports!F1854," ",Reports!G1854)</f>
        <v xml:space="preserve">  </v>
      </c>
      <c r="C1855" s="50"/>
      <c r="D1855" s="51"/>
      <c r="E1855" s="49" t="str">
        <f>IFERROR(VLOOKUP(D1855,'taxonomy map'!$A$1:$B$171,2,FALSE),"")</f>
        <v/>
      </c>
      <c r="F1855" s="49" t="str">
        <f>IFERROR(VLOOKUP(E1855,'Condensed Specialty Crosswalk'!$A$2:$C$182,2,FALSE),"")</f>
        <v/>
      </c>
      <c r="G1855" s="49" t="str">
        <f>IFERROR(VLOOKUP(E1855,'Condensed Specialty Crosswalk'!$A$2:$C$182,3,FALSE),"")</f>
        <v/>
      </c>
    </row>
    <row r="1856" spans="1:7" ht="15" customHeight="1">
      <c r="A1856" s="49"/>
      <c r="B1856" s="49" t="str">
        <f>CONCATENATE(Reports!E1855," ",Reports!F1855," ",Reports!G1855)</f>
        <v xml:space="preserve">  </v>
      </c>
      <c r="C1856" s="50"/>
      <c r="D1856" s="51"/>
      <c r="E1856" s="49" t="str">
        <f>IFERROR(VLOOKUP(D1856,'taxonomy map'!$A$1:$B$171,2,FALSE),"")</f>
        <v/>
      </c>
      <c r="F1856" s="49" t="str">
        <f>IFERROR(VLOOKUP(E1856,'Condensed Specialty Crosswalk'!$A$2:$C$182,2,FALSE),"")</f>
        <v/>
      </c>
      <c r="G1856" s="49" t="str">
        <f>IFERROR(VLOOKUP(E1856,'Condensed Specialty Crosswalk'!$A$2:$C$182,3,FALSE),"")</f>
        <v/>
      </c>
    </row>
    <row r="1857" spans="1:7" ht="15" customHeight="1">
      <c r="A1857" s="49"/>
      <c r="B1857" s="49" t="str">
        <f>CONCATENATE(Reports!E1856," ",Reports!F1856," ",Reports!G1856)</f>
        <v xml:space="preserve">  </v>
      </c>
      <c r="C1857" s="50"/>
      <c r="D1857" s="51"/>
      <c r="E1857" s="49" t="str">
        <f>IFERROR(VLOOKUP(D1857,'taxonomy map'!$A$1:$B$171,2,FALSE),"")</f>
        <v/>
      </c>
      <c r="F1857" s="49" t="str">
        <f>IFERROR(VLOOKUP(E1857,'Condensed Specialty Crosswalk'!$A$2:$C$182,2,FALSE),"")</f>
        <v/>
      </c>
      <c r="G1857" s="49" t="str">
        <f>IFERROR(VLOOKUP(E1857,'Condensed Specialty Crosswalk'!$A$2:$C$182,3,FALSE),"")</f>
        <v/>
      </c>
    </row>
    <row r="1858" spans="1:7" ht="15" customHeight="1">
      <c r="A1858" s="49"/>
      <c r="B1858" s="49" t="str">
        <f>CONCATENATE(Reports!E1857," ",Reports!F1857," ",Reports!G1857)</f>
        <v xml:space="preserve">  </v>
      </c>
      <c r="C1858" s="50"/>
      <c r="D1858" s="51"/>
      <c r="E1858" s="49" t="str">
        <f>IFERROR(VLOOKUP(D1858,'taxonomy map'!$A$1:$B$171,2,FALSE),"")</f>
        <v/>
      </c>
      <c r="F1858" s="49" t="str">
        <f>IFERROR(VLOOKUP(E1858,'Condensed Specialty Crosswalk'!$A$2:$C$182,2,FALSE),"")</f>
        <v/>
      </c>
      <c r="G1858" s="49" t="str">
        <f>IFERROR(VLOOKUP(E1858,'Condensed Specialty Crosswalk'!$A$2:$C$182,3,FALSE),"")</f>
        <v/>
      </c>
    </row>
    <row r="1859" spans="1:7" ht="15" customHeight="1">
      <c r="A1859" s="49"/>
      <c r="B1859" s="49" t="str">
        <f>CONCATENATE(Reports!E1858," ",Reports!F1858," ",Reports!G1858)</f>
        <v xml:space="preserve">  </v>
      </c>
      <c r="C1859" s="50"/>
      <c r="D1859" s="51"/>
      <c r="E1859" s="49" t="str">
        <f>IFERROR(VLOOKUP(D1859,'taxonomy map'!$A$1:$B$171,2,FALSE),"")</f>
        <v/>
      </c>
      <c r="F1859" s="49" t="str">
        <f>IFERROR(VLOOKUP(E1859,'Condensed Specialty Crosswalk'!$A$2:$C$182,2,FALSE),"")</f>
        <v/>
      </c>
      <c r="G1859" s="49" t="str">
        <f>IFERROR(VLOOKUP(E1859,'Condensed Specialty Crosswalk'!$A$2:$C$182,3,FALSE),"")</f>
        <v/>
      </c>
    </row>
    <row r="1860" spans="1:7" ht="15" customHeight="1">
      <c r="A1860" s="49"/>
      <c r="B1860" s="49" t="str">
        <f>CONCATENATE(Reports!E1859," ",Reports!F1859," ",Reports!G1859)</f>
        <v xml:space="preserve">  </v>
      </c>
      <c r="C1860" s="50"/>
      <c r="D1860" s="51"/>
      <c r="E1860" s="49" t="str">
        <f>IFERROR(VLOOKUP(D1860,'taxonomy map'!$A$1:$B$171,2,FALSE),"")</f>
        <v/>
      </c>
      <c r="F1860" s="49" t="str">
        <f>IFERROR(VLOOKUP(E1860,'Condensed Specialty Crosswalk'!$A$2:$C$182,2,FALSE),"")</f>
        <v/>
      </c>
      <c r="G1860" s="49" t="str">
        <f>IFERROR(VLOOKUP(E1860,'Condensed Specialty Crosswalk'!$A$2:$C$182,3,FALSE),"")</f>
        <v/>
      </c>
    </row>
    <row r="1861" spans="1:7" ht="15" customHeight="1">
      <c r="A1861" s="49"/>
      <c r="B1861" s="49" t="str">
        <f>CONCATENATE(Reports!E1860," ",Reports!F1860," ",Reports!G1860)</f>
        <v xml:space="preserve">  </v>
      </c>
      <c r="C1861" s="50"/>
      <c r="D1861" s="51"/>
      <c r="E1861" s="49" t="str">
        <f>IFERROR(VLOOKUP(D1861,'taxonomy map'!$A$1:$B$171,2,FALSE),"")</f>
        <v/>
      </c>
      <c r="F1861" s="49" t="str">
        <f>IFERROR(VLOOKUP(E1861,'Condensed Specialty Crosswalk'!$A$2:$C$182,2,FALSE),"")</f>
        <v/>
      </c>
      <c r="G1861" s="49" t="str">
        <f>IFERROR(VLOOKUP(E1861,'Condensed Specialty Crosswalk'!$A$2:$C$182,3,FALSE),"")</f>
        <v/>
      </c>
    </row>
    <row r="1862" spans="1:7" ht="15" customHeight="1">
      <c r="A1862" s="49"/>
      <c r="B1862" s="49" t="str">
        <f>CONCATENATE(Reports!E1861," ",Reports!F1861," ",Reports!G1861)</f>
        <v xml:space="preserve">  </v>
      </c>
      <c r="C1862" s="50"/>
      <c r="D1862" s="51"/>
      <c r="E1862" s="49" t="str">
        <f>IFERROR(VLOOKUP(D1862,'taxonomy map'!$A$1:$B$171,2,FALSE),"")</f>
        <v/>
      </c>
      <c r="F1862" s="49" t="str">
        <f>IFERROR(VLOOKUP(E1862,'Condensed Specialty Crosswalk'!$A$2:$C$182,2,FALSE),"")</f>
        <v/>
      </c>
      <c r="G1862" s="49" t="str">
        <f>IFERROR(VLOOKUP(E1862,'Condensed Specialty Crosswalk'!$A$2:$C$182,3,FALSE),"")</f>
        <v/>
      </c>
    </row>
    <row r="1863" spans="1:7" ht="15" customHeight="1">
      <c r="A1863" s="49"/>
      <c r="B1863" s="49" t="str">
        <f>CONCATENATE(Reports!E1862," ",Reports!F1862," ",Reports!G1862)</f>
        <v xml:space="preserve">  </v>
      </c>
      <c r="C1863" s="50"/>
      <c r="D1863" s="51"/>
      <c r="E1863" s="49" t="str">
        <f>IFERROR(VLOOKUP(D1863,'taxonomy map'!$A$1:$B$171,2,FALSE),"")</f>
        <v/>
      </c>
      <c r="F1863" s="49" t="str">
        <f>IFERROR(VLOOKUP(E1863,'Condensed Specialty Crosswalk'!$A$2:$C$182,2,FALSE),"")</f>
        <v/>
      </c>
      <c r="G1863" s="49" t="str">
        <f>IFERROR(VLOOKUP(E1863,'Condensed Specialty Crosswalk'!$A$2:$C$182,3,FALSE),"")</f>
        <v/>
      </c>
    </row>
    <row r="1864" spans="1:7" ht="15" customHeight="1">
      <c r="A1864" s="49"/>
      <c r="B1864" s="49" t="str">
        <f>CONCATENATE(Reports!E1863," ",Reports!F1863," ",Reports!G1863)</f>
        <v xml:space="preserve">  </v>
      </c>
      <c r="C1864" s="50"/>
      <c r="D1864" s="51"/>
      <c r="E1864" s="49" t="str">
        <f>IFERROR(VLOOKUP(D1864,'taxonomy map'!$A$1:$B$171,2,FALSE),"")</f>
        <v/>
      </c>
      <c r="F1864" s="49" t="str">
        <f>IFERROR(VLOOKUP(E1864,'Condensed Specialty Crosswalk'!$A$2:$C$182,2,FALSE),"")</f>
        <v/>
      </c>
      <c r="G1864" s="49" t="str">
        <f>IFERROR(VLOOKUP(E1864,'Condensed Specialty Crosswalk'!$A$2:$C$182,3,FALSE),"")</f>
        <v/>
      </c>
    </row>
    <row r="1865" spans="1:7" ht="15" customHeight="1">
      <c r="A1865" s="49"/>
      <c r="B1865" s="49" t="str">
        <f>CONCATENATE(Reports!E1864," ",Reports!F1864," ",Reports!G1864)</f>
        <v xml:space="preserve">  </v>
      </c>
      <c r="C1865" s="50"/>
      <c r="D1865" s="51"/>
      <c r="E1865" s="49" t="str">
        <f>IFERROR(VLOOKUP(D1865,'taxonomy map'!$A$1:$B$171,2,FALSE),"")</f>
        <v/>
      </c>
      <c r="F1865" s="49" t="str">
        <f>IFERROR(VLOOKUP(E1865,'Condensed Specialty Crosswalk'!$A$2:$C$182,2,FALSE),"")</f>
        <v/>
      </c>
      <c r="G1865" s="49" t="str">
        <f>IFERROR(VLOOKUP(E1865,'Condensed Specialty Crosswalk'!$A$2:$C$182,3,FALSE),"")</f>
        <v/>
      </c>
    </row>
    <row r="1866" spans="1:7" ht="15" customHeight="1">
      <c r="A1866" s="49"/>
      <c r="B1866" s="49" t="str">
        <f>CONCATENATE(Reports!E1865," ",Reports!F1865," ",Reports!G1865)</f>
        <v xml:space="preserve">  </v>
      </c>
      <c r="C1866" s="50"/>
      <c r="D1866" s="51"/>
      <c r="E1866" s="49" t="str">
        <f>IFERROR(VLOOKUP(D1866,'taxonomy map'!$A$1:$B$171,2,FALSE),"")</f>
        <v/>
      </c>
      <c r="F1866" s="49" t="str">
        <f>IFERROR(VLOOKUP(E1866,'Condensed Specialty Crosswalk'!$A$2:$C$182,2,FALSE),"")</f>
        <v/>
      </c>
      <c r="G1866" s="49" t="str">
        <f>IFERROR(VLOOKUP(E1866,'Condensed Specialty Crosswalk'!$A$2:$C$182,3,FALSE),"")</f>
        <v/>
      </c>
    </row>
    <row r="1867" spans="1:7" ht="15" customHeight="1">
      <c r="A1867" s="49"/>
      <c r="B1867" s="49" t="str">
        <f>CONCATENATE(Reports!E1866," ",Reports!F1866," ",Reports!G1866)</f>
        <v xml:space="preserve">  </v>
      </c>
      <c r="C1867" s="50"/>
      <c r="D1867" s="51"/>
      <c r="E1867" s="49" t="str">
        <f>IFERROR(VLOOKUP(D1867,'taxonomy map'!$A$1:$B$171,2,FALSE),"")</f>
        <v/>
      </c>
      <c r="F1867" s="49" t="str">
        <f>IFERROR(VLOOKUP(E1867,'Condensed Specialty Crosswalk'!$A$2:$C$182,2,FALSE),"")</f>
        <v/>
      </c>
      <c r="G1867" s="49" t="str">
        <f>IFERROR(VLOOKUP(E1867,'Condensed Specialty Crosswalk'!$A$2:$C$182,3,FALSE),"")</f>
        <v/>
      </c>
    </row>
    <row r="1868" spans="1:7" ht="15" customHeight="1">
      <c r="A1868" s="49"/>
      <c r="B1868" s="49" t="str">
        <f>CONCATENATE(Reports!E1867," ",Reports!F1867," ",Reports!G1867)</f>
        <v xml:space="preserve">  </v>
      </c>
      <c r="C1868" s="50"/>
      <c r="D1868" s="51"/>
      <c r="E1868" s="49" t="str">
        <f>IFERROR(VLOOKUP(D1868,'taxonomy map'!$A$1:$B$171,2,FALSE),"")</f>
        <v/>
      </c>
      <c r="F1868" s="49" t="str">
        <f>IFERROR(VLOOKUP(E1868,'Condensed Specialty Crosswalk'!$A$2:$C$182,2,FALSE),"")</f>
        <v/>
      </c>
      <c r="G1868" s="49" t="str">
        <f>IFERROR(VLOOKUP(E1868,'Condensed Specialty Crosswalk'!$A$2:$C$182,3,FALSE),"")</f>
        <v/>
      </c>
    </row>
    <row r="1869" spans="1:7" ht="15" customHeight="1">
      <c r="A1869" s="49"/>
      <c r="B1869" s="49" t="str">
        <f>CONCATENATE(Reports!E1868," ",Reports!F1868," ",Reports!G1868)</f>
        <v xml:space="preserve">  </v>
      </c>
      <c r="C1869" s="50"/>
      <c r="D1869" s="51"/>
      <c r="E1869" s="49" t="str">
        <f>IFERROR(VLOOKUP(D1869,'taxonomy map'!$A$1:$B$171,2,FALSE),"")</f>
        <v/>
      </c>
      <c r="F1869" s="49" t="str">
        <f>IFERROR(VLOOKUP(E1869,'Condensed Specialty Crosswalk'!$A$2:$C$182,2,FALSE),"")</f>
        <v/>
      </c>
      <c r="G1869" s="49" t="str">
        <f>IFERROR(VLOOKUP(E1869,'Condensed Specialty Crosswalk'!$A$2:$C$182,3,FALSE),"")</f>
        <v/>
      </c>
    </row>
    <row r="1870" spans="1:7" ht="15" customHeight="1">
      <c r="A1870" s="49"/>
      <c r="B1870" s="49" t="str">
        <f>CONCATENATE(Reports!E1869," ",Reports!F1869," ",Reports!G1869)</f>
        <v xml:space="preserve">  </v>
      </c>
      <c r="C1870" s="50"/>
      <c r="D1870" s="51"/>
      <c r="E1870" s="49" t="str">
        <f>IFERROR(VLOOKUP(D1870,'taxonomy map'!$A$1:$B$171,2,FALSE),"")</f>
        <v/>
      </c>
      <c r="F1870" s="49" t="str">
        <f>IFERROR(VLOOKUP(E1870,'Condensed Specialty Crosswalk'!$A$2:$C$182,2,FALSE),"")</f>
        <v/>
      </c>
      <c r="G1870" s="49" t="str">
        <f>IFERROR(VLOOKUP(E1870,'Condensed Specialty Crosswalk'!$A$2:$C$182,3,FALSE),"")</f>
        <v/>
      </c>
    </row>
    <row r="1871" spans="1:7" ht="15" customHeight="1">
      <c r="A1871" s="49"/>
      <c r="B1871" s="49" t="str">
        <f>CONCATENATE(Reports!E1870," ",Reports!F1870," ",Reports!G1870)</f>
        <v xml:space="preserve">  </v>
      </c>
      <c r="C1871" s="50"/>
      <c r="D1871" s="51"/>
      <c r="E1871" s="49" t="str">
        <f>IFERROR(VLOOKUP(D1871,'taxonomy map'!$A$1:$B$171,2,FALSE),"")</f>
        <v/>
      </c>
      <c r="F1871" s="49" t="str">
        <f>IFERROR(VLOOKUP(E1871,'Condensed Specialty Crosswalk'!$A$2:$C$182,2,FALSE),"")</f>
        <v/>
      </c>
      <c r="G1871" s="49" t="str">
        <f>IFERROR(VLOOKUP(E1871,'Condensed Specialty Crosswalk'!$A$2:$C$182,3,FALSE),"")</f>
        <v/>
      </c>
    </row>
    <row r="1872" spans="1:7" ht="15" customHeight="1">
      <c r="A1872" s="49"/>
      <c r="B1872" s="49" t="str">
        <f>CONCATENATE(Reports!E1871," ",Reports!F1871," ",Reports!G1871)</f>
        <v xml:space="preserve">  </v>
      </c>
      <c r="C1872" s="50"/>
      <c r="D1872" s="51"/>
      <c r="E1872" s="49" t="str">
        <f>IFERROR(VLOOKUP(D1872,'taxonomy map'!$A$1:$B$171,2,FALSE),"")</f>
        <v/>
      </c>
      <c r="F1872" s="49" t="str">
        <f>IFERROR(VLOOKUP(E1872,'Condensed Specialty Crosswalk'!$A$2:$C$182,2,FALSE),"")</f>
        <v/>
      </c>
      <c r="G1872" s="49" t="str">
        <f>IFERROR(VLOOKUP(E1872,'Condensed Specialty Crosswalk'!$A$2:$C$182,3,FALSE),"")</f>
        <v/>
      </c>
    </row>
    <row r="1873" spans="1:7" ht="15" customHeight="1">
      <c r="A1873" s="49"/>
      <c r="B1873" s="49" t="str">
        <f>CONCATENATE(Reports!E1872," ",Reports!F1872," ",Reports!G1872)</f>
        <v xml:space="preserve">  </v>
      </c>
      <c r="C1873" s="50"/>
      <c r="D1873" s="51"/>
      <c r="E1873" s="49" t="str">
        <f>IFERROR(VLOOKUP(D1873,'taxonomy map'!$A$1:$B$171,2,FALSE),"")</f>
        <v/>
      </c>
      <c r="F1873" s="49" t="str">
        <f>IFERROR(VLOOKUP(E1873,'Condensed Specialty Crosswalk'!$A$2:$C$182,2,FALSE),"")</f>
        <v/>
      </c>
      <c r="G1873" s="49" t="str">
        <f>IFERROR(VLOOKUP(E1873,'Condensed Specialty Crosswalk'!$A$2:$C$182,3,FALSE),"")</f>
        <v/>
      </c>
    </row>
    <row r="1874" spans="1:7" ht="15" customHeight="1">
      <c r="A1874" s="49"/>
      <c r="B1874" s="49" t="str">
        <f>CONCATENATE(Reports!E1873," ",Reports!F1873," ",Reports!G1873)</f>
        <v xml:space="preserve">  </v>
      </c>
      <c r="C1874" s="50"/>
      <c r="D1874" s="51"/>
      <c r="E1874" s="49" t="str">
        <f>IFERROR(VLOOKUP(D1874,'taxonomy map'!$A$1:$B$171,2,FALSE),"")</f>
        <v/>
      </c>
      <c r="F1874" s="49" t="str">
        <f>IFERROR(VLOOKUP(E1874,'Condensed Specialty Crosswalk'!$A$2:$C$182,2,FALSE),"")</f>
        <v/>
      </c>
      <c r="G1874" s="49" t="str">
        <f>IFERROR(VLOOKUP(E1874,'Condensed Specialty Crosswalk'!$A$2:$C$182,3,FALSE),"")</f>
        <v/>
      </c>
    </row>
    <row r="1875" spans="1:7" ht="15" customHeight="1">
      <c r="A1875" s="49"/>
      <c r="B1875" s="49" t="str">
        <f>CONCATENATE(Reports!E1874," ",Reports!F1874," ",Reports!G1874)</f>
        <v xml:space="preserve">  </v>
      </c>
      <c r="C1875" s="50"/>
      <c r="D1875" s="51"/>
      <c r="E1875" s="49" t="str">
        <f>IFERROR(VLOOKUP(D1875,'taxonomy map'!$A$1:$B$171,2,FALSE),"")</f>
        <v/>
      </c>
      <c r="F1875" s="49" t="str">
        <f>IFERROR(VLOOKUP(E1875,'Condensed Specialty Crosswalk'!$A$2:$C$182,2,FALSE),"")</f>
        <v/>
      </c>
      <c r="G1875" s="49" t="str">
        <f>IFERROR(VLOOKUP(E1875,'Condensed Specialty Crosswalk'!$A$2:$C$182,3,FALSE),"")</f>
        <v/>
      </c>
    </row>
    <row r="1876" spans="1:7" ht="15" customHeight="1">
      <c r="A1876" s="49"/>
      <c r="B1876" s="49" t="str">
        <f>CONCATENATE(Reports!E1875," ",Reports!F1875," ",Reports!G1875)</f>
        <v xml:space="preserve">  </v>
      </c>
      <c r="C1876" s="50"/>
      <c r="D1876" s="51"/>
      <c r="E1876" s="49" t="str">
        <f>IFERROR(VLOOKUP(D1876,'taxonomy map'!$A$1:$B$171,2,FALSE),"")</f>
        <v/>
      </c>
      <c r="F1876" s="49" t="str">
        <f>IFERROR(VLOOKUP(E1876,'Condensed Specialty Crosswalk'!$A$2:$C$182,2,FALSE),"")</f>
        <v/>
      </c>
      <c r="G1876" s="49" t="str">
        <f>IFERROR(VLOOKUP(E1876,'Condensed Specialty Crosswalk'!$A$2:$C$182,3,FALSE),"")</f>
        <v/>
      </c>
    </row>
    <row r="1877" spans="1:7" ht="15" customHeight="1">
      <c r="A1877" s="49"/>
      <c r="B1877" s="49" t="str">
        <f>CONCATENATE(Reports!E1876," ",Reports!F1876," ",Reports!G1876)</f>
        <v xml:space="preserve">  </v>
      </c>
      <c r="C1877" s="50"/>
      <c r="D1877" s="51"/>
      <c r="E1877" s="49" t="str">
        <f>IFERROR(VLOOKUP(D1877,'taxonomy map'!$A$1:$B$171,2,FALSE),"")</f>
        <v/>
      </c>
      <c r="F1877" s="49" t="str">
        <f>IFERROR(VLOOKUP(E1877,'Condensed Specialty Crosswalk'!$A$2:$C$182,2,FALSE),"")</f>
        <v/>
      </c>
      <c r="G1877" s="49" t="str">
        <f>IFERROR(VLOOKUP(E1877,'Condensed Specialty Crosswalk'!$A$2:$C$182,3,FALSE),"")</f>
        <v/>
      </c>
    </row>
    <row r="1878" spans="1:7" ht="15" customHeight="1">
      <c r="A1878" s="49"/>
      <c r="B1878" s="49" t="str">
        <f>CONCATENATE(Reports!E1877," ",Reports!F1877," ",Reports!G1877)</f>
        <v xml:space="preserve">  </v>
      </c>
      <c r="C1878" s="50"/>
      <c r="D1878" s="51"/>
      <c r="E1878" s="49" t="str">
        <f>IFERROR(VLOOKUP(D1878,'taxonomy map'!$A$1:$B$171,2,FALSE),"")</f>
        <v/>
      </c>
      <c r="F1878" s="49" t="str">
        <f>IFERROR(VLOOKUP(E1878,'Condensed Specialty Crosswalk'!$A$2:$C$182,2,FALSE),"")</f>
        <v/>
      </c>
      <c r="G1878" s="49" t="str">
        <f>IFERROR(VLOOKUP(E1878,'Condensed Specialty Crosswalk'!$A$2:$C$182,3,FALSE),"")</f>
        <v/>
      </c>
    </row>
    <row r="1879" spans="1:7" ht="15" customHeight="1">
      <c r="A1879" s="49"/>
      <c r="B1879" s="49" t="str">
        <f>CONCATENATE(Reports!E1878," ",Reports!F1878," ",Reports!G1878)</f>
        <v xml:space="preserve">  </v>
      </c>
      <c r="C1879" s="50"/>
      <c r="D1879" s="51"/>
      <c r="E1879" s="49" t="str">
        <f>IFERROR(VLOOKUP(D1879,'taxonomy map'!$A$1:$B$171,2,FALSE),"")</f>
        <v/>
      </c>
      <c r="F1879" s="49" t="str">
        <f>IFERROR(VLOOKUP(E1879,'Condensed Specialty Crosswalk'!$A$2:$C$182,2,FALSE),"")</f>
        <v/>
      </c>
      <c r="G1879" s="49" t="str">
        <f>IFERROR(VLOOKUP(E1879,'Condensed Specialty Crosswalk'!$A$2:$C$182,3,FALSE),"")</f>
        <v/>
      </c>
    </row>
    <row r="1880" spans="1:7" ht="15" customHeight="1">
      <c r="A1880" s="49"/>
      <c r="B1880" s="49" t="str">
        <f>CONCATENATE(Reports!E1879," ",Reports!F1879," ",Reports!G1879)</f>
        <v xml:space="preserve">  </v>
      </c>
      <c r="C1880" s="50"/>
      <c r="D1880" s="51"/>
      <c r="E1880" s="49" t="str">
        <f>IFERROR(VLOOKUP(D1880,'taxonomy map'!$A$1:$B$171,2,FALSE),"")</f>
        <v/>
      </c>
      <c r="F1880" s="49" t="str">
        <f>IFERROR(VLOOKUP(E1880,'Condensed Specialty Crosswalk'!$A$2:$C$182,2,FALSE),"")</f>
        <v/>
      </c>
      <c r="G1880" s="49" t="str">
        <f>IFERROR(VLOOKUP(E1880,'Condensed Specialty Crosswalk'!$A$2:$C$182,3,FALSE),"")</f>
        <v/>
      </c>
    </row>
    <row r="1881" spans="1:7" ht="15" customHeight="1">
      <c r="A1881" s="49"/>
      <c r="B1881" s="49" t="str">
        <f>CONCATENATE(Reports!E1880," ",Reports!F1880," ",Reports!G1880)</f>
        <v xml:space="preserve">  </v>
      </c>
      <c r="C1881" s="50"/>
      <c r="D1881" s="51"/>
      <c r="E1881" s="49" t="str">
        <f>IFERROR(VLOOKUP(D1881,'taxonomy map'!$A$1:$B$171,2,FALSE),"")</f>
        <v/>
      </c>
      <c r="F1881" s="49" t="str">
        <f>IFERROR(VLOOKUP(E1881,'Condensed Specialty Crosswalk'!$A$2:$C$182,2,FALSE),"")</f>
        <v/>
      </c>
      <c r="G1881" s="49" t="str">
        <f>IFERROR(VLOOKUP(E1881,'Condensed Specialty Crosswalk'!$A$2:$C$182,3,FALSE),"")</f>
        <v/>
      </c>
    </row>
    <row r="1882" spans="1:7" ht="15" customHeight="1">
      <c r="A1882" s="49"/>
      <c r="B1882" s="49" t="str">
        <f>CONCATENATE(Reports!E1881," ",Reports!F1881," ",Reports!G1881)</f>
        <v xml:space="preserve">  </v>
      </c>
      <c r="C1882" s="50"/>
      <c r="D1882" s="51"/>
      <c r="E1882" s="49" t="str">
        <f>IFERROR(VLOOKUP(D1882,'taxonomy map'!$A$1:$B$171,2,FALSE),"")</f>
        <v/>
      </c>
      <c r="F1882" s="49" t="str">
        <f>IFERROR(VLOOKUP(E1882,'Condensed Specialty Crosswalk'!$A$2:$C$182,2,FALSE),"")</f>
        <v/>
      </c>
      <c r="G1882" s="49" t="str">
        <f>IFERROR(VLOOKUP(E1882,'Condensed Specialty Crosswalk'!$A$2:$C$182,3,FALSE),"")</f>
        <v/>
      </c>
    </row>
    <row r="1883" spans="1:7" ht="15" customHeight="1">
      <c r="A1883" s="49"/>
      <c r="B1883" s="49" t="str">
        <f>CONCATENATE(Reports!E1882," ",Reports!F1882," ",Reports!G1882)</f>
        <v xml:space="preserve">  </v>
      </c>
      <c r="C1883" s="50"/>
      <c r="D1883" s="51"/>
      <c r="E1883" s="49" t="str">
        <f>IFERROR(VLOOKUP(D1883,'taxonomy map'!$A$1:$B$171,2,FALSE),"")</f>
        <v/>
      </c>
      <c r="F1883" s="49" t="str">
        <f>IFERROR(VLOOKUP(E1883,'Condensed Specialty Crosswalk'!$A$2:$C$182,2,FALSE),"")</f>
        <v/>
      </c>
      <c r="G1883" s="49" t="str">
        <f>IFERROR(VLOOKUP(E1883,'Condensed Specialty Crosswalk'!$A$2:$C$182,3,FALSE),"")</f>
        <v/>
      </c>
    </row>
    <row r="1884" spans="1:7" ht="15" customHeight="1">
      <c r="A1884" s="49"/>
      <c r="B1884" s="49" t="str">
        <f>CONCATENATE(Reports!E1883," ",Reports!F1883," ",Reports!G1883)</f>
        <v xml:space="preserve">  </v>
      </c>
      <c r="C1884" s="50"/>
      <c r="D1884" s="51"/>
      <c r="E1884" s="49" t="str">
        <f>IFERROR(VLOOKUP(D1884,'taxonomy map'!$A$1:$B$171,2,FALSE),"")</f>
        <v/>
      </c>
      <c r="F1884" s="49" t="str">
        <f>IFERROR(VLOOKUP(E1884,'Condensed Specialty Crosswalk'!$A$2:$C$182,2,FALSE),"")</f>
        <v/>
      </c>
      <c r="G1884" s="49" t="str">
        <f>IFERROR(VLOOKUP(E1884,'Condensed Specialty Crosswalk'!$A$2:$C$182,3,FALSE),"")</f>
        <v/>
      </c>
    </row>
    <row r="1885" spans="1:7" ht="15" customHeight="1">
      <c r="A1885" s="49"/>
      <c r="B1885" s="49" t="str">
        <f>CONCATENATE(Reports!E1884," ",Reports!F1884," ",Reports!G1884)</f>
        <v xml:space="preserve">  </v>
      </c>
      <c r="C1885" s="50"/>
      <c r="D1885" s="51"/>
      <c r="E1885" s="49" t="str">
        <f>IFERROR(VLOOKUP(D1885,'taxonomy map'!$A$1:$B$171,2,FALSE),"")</f>
        <v/>
      </c>
      <c r="F1885" s="49" t="str">
        <f>IFERROR(VLOOKUP(E1885,'Condensed Specialty Crosswalk'!$A$2:$C$182,2,FALSE),"")</f>
        <v/>
      </c>
      <c r="G1885" s="49" t="str">
        <f>IFERROR(VLOOKUP(E1885,'Condensed Specialty Crosswalk'!$A$2:$C$182,3,FALSE),"")</f>
        <v/>
      </c>
    </row>
    <row r="1886" spans="1:7" ht="15" customHeight="1">
      <c r="A1886" s="49"/>
      <c r="B1886" s="49" t="str">
        <f>CONCATENATE(Reports!E1885," ",Reports!F1885," ",Reports!G1885)</f>
        <v xml:space="preserve">  </v>
      </c>
      <c r="C1886" s="50"/>
      <c r="D1886" s="51"/>
      <c r="E1886" s="49" t="str">
        <f>IFERROR(VLOOKUP(D1886,'taxonomy map'!$A$1:$B$171,2,FALSE),"")</f>
        <v/>
      </c>
      <c r="F1886" s="49" t="str">
        <f>IFERROR(VLOOKUP(E1886,'Condensed Specialty Crosswalk'!$A$2:$C$182,2,FALSE),"")</f>
        <v/>
      </c>
      <c r="G1886" s="49" t="str">
        <f>IFERROR(VLOOKUP(E1886,'Condensed Specialty Crosswalk'!$A$2:$C$182,3,FALSE),"")</f>
        <v/>
      </c>
    </row>
    <row r="1887" spans="1:7" ht="15" customHeight="1">
      <c r="A1887" s="49"/>
      <c r="B1887" s="49" t="str">
        <f>CONCATENATE(Reports!E1886," ",Reports!F1886," ",Reports!G1886)</f>
        <v xml:space="preserve">  </v>
      </c>
      <c r="C1887" s="50"/>
      <c r="D1887" s="51"/>
      <c r="E1887" s="49" t="str">
        <f>IFERROR(VLOOKUP(D1887,'taxonomy map'!$A$1:$B$171,2,FALSE),"")</f>
        <v/>
      </c>
      <c r="F1887" s="49" t="str">
        <f>IFERROR(VLOOKUP(E1887,'Condensed Specialty Crosswalk'!$A$2:$C$182,2,FALSE),"")</f>
        <v/>
      </c>
      <c r="G1887" s="49" t="str">
        <f>IFERROR(VLOOKUP(E1887,'Condensed Specialty Crosswalk'!$A$2:$C$182,3,FALSE),"")</f>
        <v/>
      </c>
    </row>
    <row r="1888" spans="1:7" ht="15" customHeight="1">
      <c r="A1888" s="49"/>
      <c r="B1888" s="49" t="str">
        <f>CONCATENATE(Reports!E1887," ",Reports!F1887," ",Reports!G1887)</f>
        <v xml:space="preserve">  </v>
      </c>
      <c r="C1888" s="50"/>
      <c r="D1888" s="51"/>
      <c r="E1888" s="49" t="str">
        <f>IFERROR(VLOOKUP(D1888,'taxonomy map'!$A$1:$B$171,2,FALSE),"")</f>
        <v/>
      </c>
      <c r="F1888" s="49" t="str">
        <f>IFERROR(VLOOKUP(E1888,'Condensed Specialty Crosswalk'!$A$2:$C$182,2,FALSE),"")</f>
        <v/>
      </c>
      <c r="G1888" s="49" t="str">
        <f>IFERROR(VLOOKUP(E1888,'Condensed Specialty Crosswalk'!$A$2:$C$182,3,FALSE),"")</f>
        <v/>
      </c>
    </row>
    <row r="1889" spans="1:7" ht="15" customHeight="1">
      <c r="A1889" s="49"/>
      <c r="B1889" s="49" t="str">
        <f>CONCATENATE(Reports!E1888," ",Reports!F1888," ",Reports!G1888)</f>
        <v xml:space="preserve">  </v>
      </c>
      <c r="C1889" s="50"/>
      <c r="D1889" s="51"/>
      <c r="E1889" s="49" t="str">
        <f>IFERROR(VLOOKUP(D1889,'taxonomy map'!$A$1:$B$171,2,FALSE),"")</f>
        <v/>
      </c>
      <c r="F1889" s="49" t="str">
        <f>IFERROR(VLOOKUP(E1889,'Condensed Specialty Crosswalk'!$A$2:$C$182,2,FALSE),"")</f>
        <v/>
      </c>
      <c r="G1889" s="49" t="str">
        <f>IFERROR(VLOOKUP(E1889,'Condensed Specialty Crosswalk'!$A$2:$C$182,3,FALSE),"")</f>
        <v/>
      </c>
    </row>
    <row r="1890" spans="1:7" ht="15" customHeight="1">
      <c r="A1890" s="49"/>
      <c r="B1890" s="49" t="str">
        <f>CONCATENATE(Reports!E1889," ",Reports!F1889," ",Reports!G1889)</f>
        <v xml:space="preserve">  </v>
      </c>
      <c r="C1890" s="50"/>
      <c r="D1890" s="51"/>
      <c r="E1890" s="49" t="str">
        <f>IFERROR(VLOOKUP(D1890,'taxonomy map'!$A$1:$B$171,2,FALSE),"")</f>
        <v/>
      </c>
      <c r="F1890" s="49" t="str">
        <f>IFERROR(VLOOKUP(E1890,'Condensed Specialty Crosswalk'!$A$2:$C$182,2,FALSE),"")</f>
        <v/>
      </c>
      <c r="G1890" s="49" t="str">
        <f>IFERROR(VLOOKUP(E1890,'Condensed Specialty Crosswalk'!$A$2:$C$182,3,FALSE),"")</f>
        <v/>
      </c>
    </row>
    <row r="1891" spans="1:7" ht="15" customHeight="1">
      <c r="A1891" s="49"/>
      <c r="B1891" s="49" t="str">
        <f>CONCATENATE(Reports!E1890," ",Reports!F1890," ",Reports!G1890)</f>
        <v xml:space="preserve">  </v>
      </c>
      <c r="C1891" s="50"/>
      <c r="D1891" s="51"/>
      <c r="E1891" s="49" t="str">
        <f>IFERROR(VLOOKUP(D1891,'taxonomy map'!$A$1:$B$171,2,FALSE),"")</f>
        <v/>
      </c>
      <c r="F1891" s="49" t="str">
        <f>IFERROR(VLOOKUP(E1891,'Condensed Specialty Crosswalk'!$A$2:$C$182,2,FALSE),"")</f>
        <v/>
      </c>
      <c r="G1891" s="49" t="str">
        <f>IFERROR(VLOOKUP(E1891,'Condensed Specialty Crosswalk'!$A$2:$C$182,3,FALSE),"")</f>
        <v/>
      </c>
    </row>
    <row r="1892" spans="1:7" ht="15" customHeight="1">
      <c r="A1892" s="49"/>
      <c r="B1892" s="49" t="str">
        <f>CONCATENATE(Reports!E1891," ",Reports!F1891," ",Reports!G1891)</f>
        <v xml:space="preserve">  </v>
      </c>
      <c r="C1892" s="50"/>
      <c r="D1892" s="51"/>
      <c r="E1892" s="49" t="str">
        <f>IFERROR(VLOOKUP(D1892,'taxonomy map'!$A$1:$B$171,2,FALSE),"")</f>
        <v/>
      </c>
      <c r="F1892" s="49" t="str">
        <f>IFERROR(VLOOKUP(E1892,'Condensed Specialty Crosswalk'!$A$2:$C$182,2,FALSE),"")</f>
        <v/>
      </c>
      <c r="G1892" s="49" t="str">
        <f>IFERROR(VLOOKUP(E1892,'Condensed Specialty Crosswalk'!$A$2:$C$182,3,FALSE),"")</f>
        <v/>
      </c>
    </row>
    <row r="1893" spans="1:7" ht="15" customHeight="1">
      <c r="A1893" s="49"/>
      <c r="B1893" s="49" t="str">
        <f>CONCATENATE(Reports!E1892," ",Reports!F1892," ",Reports!G1892)</f>
        <v xml:space="preserve">  </v>
      </c>
      <c r="C1893" s="50"/>
      <c r="D1893" s="51"/>
      <c r="E1893" s="49" t="str">
        <f>IFERROR(VLOOKUP(D1893,'taxonomy map'!$A$1:$B$171,2,FALSE),"")</f>
        <v/>
      </c>
      <c r="F1893" s="49" t="str">
        <f>IFERROR(VLOOKUP(E1893,'Condensed Specialty Crosswalk'!$A$2:$C$182,2,FALSE),"")</f>
        <v/>
      </c>
      <c r="G1893" s="49" t="str">
        <f>IFERROR(VLOOKUP(E1893,'Condensed Specialty Crosswalk'!$A$2:$C$182,3,FALSE),"")</f>
        <v/>
      </c>
    </row>
    <row r="1894" spans="1:7" ht="15" customHeight="1">
      <c r="A1894" s="49"/>
      <c r="B1894" s="49" t="str">
        <f>CONCATENATE(Reports!E1893," ",Reports!F1893," ",Reports!G1893)</f>
        <v xml:space="preserve">  </v>
      </c>
      <c r="C1894" s="50"/>
      <c r="D1894" s="51"/>
      <c r="E1894" s="49" t="str">
        <f>IFERROR(VLOOKUP(D1894,'taxonomy map'!$A$1:$B$171,2,FALSE),"")</f>
        <v/>
      </c>
      <c r="F1894" s="49" t="str">
        <f>IFERROR(VLOOKUP(E1894,'Condensed Specialty Crosswalk'!$A$2:$C$182,2,FALSE),"")</f>
        <v/>
      </c>
      <c r="G1894" s="49" t="str">
        <f>IFERROR(VLOOKUP(E1894,'Condensed Specialty Crosswalk'!$A$2:$C$182,3,FALSE),"")</f>
        <v/>
      </c>
    </row>
    <row r="1895" spans="1:7" ht="15" customHeight="1">
      <c r="A1895" s="49"/>
      <c r="B1895" s="49" t="str">
        <f>CONCATENATE(Reports!E1894," ",Reports!F1894," ",Reports!G1894)</f>
        <v xml:space="preserve">  </v>
      </c>
      <c r="C1895" s="50"/>
      <c r="D1895" s="51"/>
      <c r="E1895" s="49" t="str">
        <f>IFERROR(VLOOKUP(D1895,'taxonomy map'!$A$1:$B$171,2,FALSE),"")</f>
        <v/>
      </c>
      <c r="F1895" s="49" t="str">
        <f>IFERROR(VLOOKUP(E1895,'Condensed Specialty Crosswalk'!$A$2:$C$182,2,FALSE),"")</f>
        <v/>
      </c>
      <c r="G1895" s="49" t="str">
        <f>IFERROR(VLOOKUP(E1895,'Condensed Specialty Crosswalk'!$A$2:$C$182,3,FALSE),"")</f>
        <v/>
      </c>
    </row>
    <row r="1896" spans="1:7" ht="15" customHeight="1">
      <c r="A1896" s="49"/>
      <c r="B1896" s="49" t="str">
        <f>CONCATENATE(Reports!E1895," ",Reports!F1895," ",Reports!G1895)</f>
        <v xml:space="preserve">  </v>
      </c>
      <c r="C1896" s="50"/>
      <c r="D1896" s="51"/>
      <c r="E1896" s="49" t="str">
        <f>IFERROR(VLOOKUP(D1896,'taxonomy map'!$A$1:$B$171,2,FALSE),"")</f>
        <v/>
      </c>
      <c r="F1896" s="49" t="str">
        <f>IFERROR(VLOOKUP(E1896,'Condensed Specialty Crosswalk'!$A$2:$C$182,2,FALSE),"")</f>
        <v/>
      </c>
      <c r="G1896" s="49" t="str">
        <f>IFERROR(VLOOKUP(E1896,'Condensed Specialty Crosswalk'!$A$2:$C$182,3,FALSE),"")</f>
        <v/>
      </c>
    </row>
    <row r="1897" spans="1:7" ht="15" customHeight="1">
      <c r="A1897" s="49"/>
      <c r="B1897" s="49" t="str">
        <f>CONCATENATE(Reports!E1896," ",Reports!F1896," ",Reports!G1896)</f>
        <v xml:space="preserve">  </v>
      </c>
      <c r="C1897" s="50"/>
      <c r="D1897" s="51"/>
      <c r="E1897" s="49" t="str">
        <f>IFERROR(VLOOKUP(D1897,'taxonomy map'!$A$1:$B$171,2,FALSE),"")</f>
        <v/>
      </c>
      <c r="F1897" s="49" t="str">
        <f>IFERROR(VLOOKUP(E1897,'Condensed Specialty Crosswalk'!$A$2:$C$182,2,FALSE),"")</f>
        <v/>
      </c>
      <c r="G1897" s="49" t="str">
        <f>IFERROR(VLOOKUP(E1897,'Condensed Specialty Crosswalk'!$A$2:$C$182,3,FALSE),"")</f>
        <v/>
      </c>
    </row>
    <row r="1898" spans="1:7" ht="15" customHeight="1">
      <c r="A1898" s="49"/>
      <c r="B1898" s="49" t="str">
        <f>CONCATENATE(Reports!E1897," ",Reports!F1897," ",Reports!G1897)</f>
        <v xml:space="preserve">  </v>
      </c>
      <c r="C1898" s="50"/>
      <c r="D1898" s="51"/>
      <c r="E1898" s="49" t="str">
        <f>IFERROR(VLOOKUP(D1898,'taxonomy map'!$A$1:$B$171,2,FALSE),"")</f>
        <v/>
      </c>
      <c r="F1898" s="49" t="str">
        <f>IFERROR(VLOOKUP(E1898,'Condensed Specialty Crosswalk'!$A$2:$C$182,2,FALSE),"")</f>
        <v/>
      </c>
      <c r="G1898" s="49" t="str">
        <f>IFERROR(VLOOKUP(E1898,'Condensed Specialty Crosswalk'!$A$2:$C$182,3,FALSE),"")</f>
        <v/>
      </c>
    </row>
    <row r="1899" spans="1:7" ht="15" customHeight="1">
      <c r="A1899" s="49"/>
      <c r="B1899" s="49" t="str">
        <f>CONCATENATE(Reports!E1898," ",Reports!F1898," ",Reports!G1898)</f>
        <v xml:space="preserve">  </v>
      </c>
      <c r="C1899" s="50"/>
      <c r="D1899" s="51"/>
      <c r="E1899" s="49" t="str">
        <f>IFERROR(VLOOKUP(D1899,'taxonomy map'!$A$1:$B$171,2,FALSE),"")</f>
        <v/>
      </c>
      <c r="F1899" s="49" t="str">
        <f>IFERROR(VLOOKUP(E1899,'Condensed Specialty Crosswalk'!$A$2:$C$182,2,FALSE),"")</f>
        <v/>
      </c>
      <c r="G1899" s="49" t="str">
        <f>IFERROR(VLOOKUP(E1899,'Condensed Specialty Crosswalk'!$A$2:$C$182,3,FALSE),"")</f>
        <v/>
      </c>
    </row>
    <row r="1900" spans="1:7" ht="15" customHeight="1">
      <c r="A1900" s="49"/>
      <c r="B1900" s="49" t="str">
        <f>CONCATENATE(Reports!E1899," ",Reports!F1899," ",Reports!G1899)</f>
        <v xml:space="preserve">  </v>
      </c>
      <c r="C1900" s="50"/>
      <c r="D1900" s="51"/>
      <c r="E1900" s="49" t="str">
        <f>IFERROR(VLOOKUP(D1900,'taxonomy map'!$A$1:$B$171,2,FALSE),"")</f>
        <v/>
      </c>
      <c r="F1900" s="49" t="str">
        <f>IFERROR(VLOOKUP(E1900,'Condensed Specialty Crosswalk'!$A$2:$C$182,2,FALSE),"")</f>
        <v/>
      </c>
      <c r="G1900" s="49" t="str">
        <f>IFERROR(VLOOKUP(E1900,'Condensed Specialty Crosswalk'!$A$2:$C$182,3,FALSE),"")</f>
        <v/>
      </c>
    </row>
    <row r="1901" spans="1:7" ht="15" customHeight="1">
      <c r="A1901" s="49"/>
      <c r="B1901" s="49" t="str">
        <f>CONCATENATE(Reports!E1900," ",Reports!F1900," ",Reports!G1900)</f>
        <v xml:space="preserve">  </v>
      </c>
      <c r="C1901" s="50"/>
      <c r="D1901" s="51"/>
      <c r="E1901" s="49" t="str">
        <f>IFERROR(VLOOKUP(D1901,'taxonomy map'!$A$1:$B$171,2,FALSE),"")</f>
        <v/>
      </c>
      <c r="F1901" s="49" t="str">
        <f>IFERROR(VLOOKUP(E1901,'Condensed Specialty Crosswalk'!$A$2:$C$182,2,FALSE),"")</f>
        <v/>
      </c>
      <c r="G1901" s="49" t="str">
        <f>IFERROR(VLOOKUP(E1901,'Condensed Specialty Crosswalk'!$A$2:$C$182,3,FALSE),"")</f>
        <v/>
      </c>
    </row>
    <row r="1902" spans="1:7" ht="15" customHeight="1">
      <c r="A1902" s="49"/>
      <c r="B1902" s="49" t="str">
        <f>CONCATENATE(Reports!E1901," ",Reports!F1901," ",Reports!G1901)</f>
        <v xml:space="preserve">  </v>
      </c>
      <c r="C1902" s="50"/>
      <c r="D1902" s="51"/>
      <c r="E1902" s="49" t="str">
        <f>IFERROR(VLOOKUP(D1902,'taxonomy map'!$A$1:$B$171,2,FALSE),"")</f>
        <v/>
      </c>
      <c r="F1902" s="49" t="str">
        <f>IFERROR(VLOOKUP(E1902,'Condensed Specialty Crosswalk'!$A$2:$C$182,2,FALSE),"")</f>
        <v/>
      </c>
      <c r="G1902" s="49" t="str">
        <f>IFERROR(VLOOKUP(E1902,'Condensed Specialty Crosswalk'!$A$2:$C$182,3,FALSE),"")</f>
        <v/>
      </c>
    </row>
    <row r="1903" spans="1:7" ht="15" customHeight="1">
      <c r="A1903" s="49"/>
      <c r="B1903" s="49" t="str">
        <f>CONCATENATE(Reports!E1902," ",Reports!F1902," ",Reports!G1902)</f>
        <v xml:space="preserve">  </v>
      </c>
      <c r="C1903" s="50"/>
      <c r="D1903" s="51"/>
      <c r="E1903" s="49" t="str">
        <f>IFERROR(VLOOKUP(D1903,'taxonomy map'!$A$1:$B$171,2,FALSE),"")</f>
        <v/>
      </c>
      <c r="F1903" s="49" t="str">
        <f>IFERROR(VLOOKUP(E1903,'Condensed Specialty Crosswalk'!$A$2:$C$182,2,FALSE),"")</f>
        <v/>
      </c>
      <c r="G1903" s="49" t="str">
        <f>IFERROR(VLOOKUP(E1903,'Condensed Specialty Crosswalk'!$A$2:$C$182,3,FALSE),"")</f>
        <v/>
      </c>
    </row>
    <row r="1904" spans="1:7" ht="15" customHeight="1">
      <c r="A1904" s="49"/>
      <c r="B1904" s="49" t="str">
        <f>CONCATENATE(Reports!E1903," ",Reports!F1903," ",Reports!G1903)</f>
        <v xml:space="preserve">  </v>
      </c>
      <c r="C1904" s="50"/>
      <c r="D1904" s="51"/>
      <c r="E1904" s="49" t="str">
        <f>IFERROR(VLOOKUP(D1904,'taxonomy map'!$A$1:$B$171,2,FALSE),"")</f>
        <v/>
      </c>
      <c r="F1904" s="49" t="str">
        <f>IFERROR(VLOOKUP(E1904,'Condensed Specialty Crosswalk'!$A$2:$C$182,2,FALSE),"")</f>
        <v/>
      </c>
      <c r="G1904" s="49" t="str">
        <f>IFERROR(VLOOKUP(E1904,'Condensed Specialty Crosswalk'!$A$2:$C$182,3,FALSE),"")</f>
        <v/>
      </c>
    </row>
    <row r="1905" spans="1:7" ht="15" customHeight="1">
      <c r="A1905" s="49"/>
      <c r="B1905" s="49" t="str">
        <f>CONCATENATE(Reports!E1904," ",Reports!F1904," ",Reports!G1904)</f>
        <v xml:space="preserve">  </v>
      </c>
      <c r="C1905" s="50"/>
      <c r="D1905" s="51"/>
      <c r="E1905" s="49" t="str">
        <f>IFERROR(VLOOKUP(D1905,'taxonomy map'!$A$1:$B$171,2,FALSE),"")</f>
        <v/>
      </c>
      <c r="F1905" s="49" t="str">
        <f>IFERROR(VLOOKUP(E1905,'Condensed Specialty Crosswalk'!$A$2:$C$182,2,FALSE),"")</f>
        <v/>
      </c>
      <c r="G1905" s="49" t="str">
        <f>IFERROR(VLOOKUP(E1905,'Condensed Specialty Crosswalk'!$A$2:$C$182,3,FALSE),"")</f>
        <v/>
      </c>
    </row>
    <row r="1906" spans="1:7" ht="15" customHeight="1">
      <c r="A1906" s="49"/>
      <c r="B1906" s="49" t="str">
        <f>CONCATENATE(Reports!E1905," ",Reports!F1905," ",Reports!G1905)</f>
        <v xml:space="preserve">  </v>
      </c>
      <c r="C1906" s="50"/>
      <c r="D1906" s="51"/>
      <c r="E1906" s="49" t="str">
        <f>IFERROR(VLOOKUP(D1906,'taxonomy map'!$A$1:$B$171,2,FALSE),"")</f>
        <v/>
      </c>
      <c r="F1906" s="49" t="str">
        <f>IFERROR(VLOOKUP(E1906,'Condensed Specialty Crosswalk'!$A$2:$C$182,2,FALSE),"")</f>
        <v/>
      </c>
      <c r="G1906" s="49" t="str">
        <f>IFERROR(VLOOKUP(E1906,'Condensed Specialty Crosswalk'!$A$2:$C$182,3,FALSE),"")</f>
        <v/>
      </c>
    </row>
    <row r="1907" spans="1:7" ht="15" customHeight="1">
      <c r="A1907" s="49"/>
      <c r="B1907" s="49" t="str">
        <f>CONCATENATE(Reports!E1906," ",Reports!F1906," ",Reports!G1906)</f>
        <v xml:space="preserve">  </v>
      </c>
      <c r="C1907" s="50"/>
      <c r="D1907" s="51"/>
      <c r="E1907" s="49" t="str">
        <f>IFERROR(VLOOKUP(D1907,'taxonomy map'!$A$1:$B$171,2,FALSE),"")</f>
        <v/>
      </c>
      <c r="F1907" s="49" t="str">
        <f>IFERROR(VLOOKUP(E1907,'Condensed Specialty Crosswalk'!$A$2:$C$182,2,FALSE),"")</f>
        <v/>
      </c>
      <c r="G1907" s="49" t="str">
        <f>IFERROR(VLOOKUP(E1907,'Condensed Specialty Crosswalk'!$A$2:$C$182,3,FALSE),"")</f>
        <v/>
      </c>
    </row>
    <row r="1908" spans="1:7" ht="15" customHeight="1">
      <c r="A1908" s="49"/>
      <c r="B1908" s="49" t="str">
        <f>CONCATENATE(Reports!E1907," ",Reports!F1907," ",Reports!G1907)</f>
        <v xml:space="preserve">  </v>
      </c>
      <c r="C1908" s="50"/>
      <c r="D1908" s="51"/>
      <c r="E1908" s="49" t="str">
        <f>IFERROR(VLOOKUP(D1908,'taxonomy map'!$A$1:$B$171,2,FALSE),"")</f>
        <v/>
      </c>
      <c r="F1908" s="49" t="str">
        <f>IFERROR(VLOOKUP(E1908,'Condensed Specialty Crosswalk'!$A$2:$C$182,2,FALSE),"")</f>
        <v/>
      </c>
      <c r="G1908" s="49" t="str">
        <f>IFERROR(VLOOKUP(E1908,'Condensed Specialty Crosswalk'!$A$2:$C$182,3,FALSE),"")</f>
        <v/>
      </c>
    </row>
    <row r="1909" spans="1:7" ht="15" customHeight="1">
      <c r="A1909" s="49"/>
      <c r="B1909" s="49" t="str">
        <f>CONCATENATE(Reports!E1908," ",Reports!F1908," ",Reports!G1908)</f>
        <v xml:space="preserve">  </v>
      </c>
      <c r="C1909" s="50"/>
      <c r="D1909" s="51"/>
      <c r="E1909" s="49" t="str">
        <f>IFERROR(VLOOKUP(D1909,'taxonomy map'!$A$1:$B$171,2,FALSE),"")</f>
        <v/>
      </c>
      <c r="F1909" s="49" t="str">
        <f>IFERROR(VLOOKUP(E1909,'Condensed Specialty Crosswalk'!$A$2:$C$182,2,FALSE),"")</f>
        <v/>
      </c>
      <c r="G1909" s="49" t="str">
        <f>IFERROR(VLOOKUP(E1909,'Condensed Specialty Crosswalk'!$A$2:$C$182,3,FALSE),"")</f>
        <v/>
      </c>
    </row>
    <row r="1910" spans="1:7" ht="15" customHeight="1">
      <c r="A1910" s="49"/>
      <c r="B1910" s="49" t="str">
        <f>CONCATENATE(Reports!E1909," ",Reports!F1909," ",Reports!G1909)</f>
        <v xml:space="preserve">  </v>
      </c>
      <c r="C1910" s="50"/>
      <c r="D1910" s="51"/>
      <c r="E1910" s="49" t="str">
        <f>IFERROR(VLOOKUP(D1910,'taxonomy map'!$A$1:$B$171,2,FALSE),"")</f>
        <v/>
      </c>
      <c r="F1910" s="49" t="str">
        <f>IFERROR(VLOOKUP(E1910,'Condensed Specialty Crosswalk'!$A$2:$C$182,2,FALSE),"")</f>
        <v/>
      </c>
      <c r="G1910" s="49" t="str">
        <f>IFERROR(VLOOKUP(E1910,'Condensed Specialty Crosswalk'!$A$2:$C$182,3,FALSE),"")</f>
        <v/>
      </c>
    </row>
    <row r="1911" spans="1:7" ht="15" customHeight="1">
      <c r="A1911" s="49"/>
      <c r="B1911" s="49" t="str">
        <f>CONCATENATE(Reports!E1910," ",Reports!F1910," ",Reports!G1910)</f>
        <v xml:space="preserve">  </v>
      </c>
      <c r="C1911" s="50"/>
      <c r="D1911" s="51"/>
      <c r="E1911" s="49" t="str">
        <f>IFERROR(VLOOKUP(D1911,'taxonomy map'!$A$1:$B$171,2,FALSE),"")</f>
        <v/>
      </c>
      <c r="F1911" s="49" t="str">
        <f>IFERROR(VLOOKUP(E1911,'Condensed Specialty Crosswalk'!$A$2:$C$182,2,FALSE),"")</f>
        <v/>
      </c>
      <c r="G1911" s="49" t="str">
        <f>IFERROR(VLOOKUP(E1911,'Condensed Specialty Crosswalk'!$A$2:$C$182,3,FALSE),"")</f>
        <v/>
      </c>
    </row>
    <row r="1912" spans="1:7" ht="15" customHeight="1">
      <c r="A1912" s="49"/>
      <c r="B1912" s="49" t="str">
        <f>CONCATENATE(Reports!E1911," ",Reports!F1911," ",Reports!G1911)</f>
        <v xml:space="preserve">  </v>
      </c>
      <c r="C1912" s="50"/>
      <c r="D1912" s="51"/>
      <c r="E1912" s="49" t="str">
        <f>IFERROR(VLOOKUP(D1912,'taxonomy map'!$A$1:$B$171,2,FALSE),"")</f>
        <v/>
      </c>
      <c r="F1912" s="49" t="str">
        <f>IFERROR(VLOOKUP(E1912,'Condensed Specialty Crosswalk'!$A$2:$C$182,2,FALSE),"")</f>
        <v/>
      </c>
      <c r="G1912" s="49" t="str">
        <f>IFERROR(VLOOKUP(E1912,'Condensed Specialty Crosswalk'!$A$2:$C$182,3,FALSE),"")</f>
        <v/>
      </c>
    </row>
    <row r="1913" spans="1:7" ht="15" customHeight="1">
      <c r="A1913" s="49"/>
      <c r="B1913" s="49" t="str">
        <f>CONCATENATE(Reports!E1912," ",Reports!F1912," ",Reports!G1912)</f>
        <v xml:space="preserve">  </v>
      </c>
      <c r="C1913" s="50"/>
      <c r="D1913" s="51"/>
      <c r="E1913" s="49" t="str">
        <f>IFERROR(VLOOKUP(D1913,'taxonomy map'!$A$1:$B$171,2,FALSE),"")</f>
        <v/>
      </c>
      <c r="F1913" s="49" t="str">
        <f>IFERROR(VLOOKUP(E1913,'Condensed Specialty Crosswalk'!$A$2:$C$182,2,FALSE),"")</f>
        <v/>
      </c>
      <c r="G1913" s="49" t="str">
        <f>IFERROR(VLOOKUP(E1913,'Condensed Specialty Crosswalk'!$A$2:$C$182,3,FALSE),"")</f>
        <v/>
      </c>
    </row>
    <row r="1914" spans="1:7" ht="15" customHeight="1">
      <c r="A1914" s="49"/>
      <c r="B1914" s="49" t="str">
        <f>CONCATENATE(Reports!E1913," ",Reports!F1913," ",Reports!G1913)</f>
        <v xml:space="preserve">  </v>
      </c>
      <c r="C1914" s="50"/>
      <c r="D1914" s="51"/>
      <c r="E1914" s="49" t="str">
        <f>IFERROR(VLOOKUP(D1914,'taxonomy map'!$A$1:$B$171,2,FALSE),"")</f>
        <v/>
      </c>
      <c r="F1914" s="49" t="str">
        <f>IFERROR(VLOOKUP(E1914,'Condensed Specialty Crosswalk'!$A$2:$C$182,2,FALSE),"")</f>
        <v/>
      </c>
      <c r="G1914" s="49" t="str">
        <f>IFERROR(VLOOKUP(E1914,'Condensed Specialty Crosswalk'!$A$2:$C$182,3,FALSE),"")</f>
        <v/>
      </c>
    </row>
    <row r="1915" spans="1:7" ht="15" customHeight="1">
      <c r="A1915" s="49"/>
      <c r="B1915" s="49" t="str">
        <f>CONCATENATE(Reports!E1914," ",Reports!F1914," ",Reports!G1914)</f>
        <v xml:space="preserve">  </v>
      </c>
      <c r="C1915" s="50"/>
      <c r="D1915" s="51"/>
      <c r="E1915" s="49" t="str">
        <f>IFERROR(VLOOKUP(D1915,'taxonomy map'!$A$1:$B$171,2,FALSE),"")</f>
        <v/>
      </c>
      <c r="F1915" s="49" t="str">
        <f>IFERROR(VLOOKUP(E1915,'Condensed Specialty Crosswalk'!$A$2:$C$182,2,FALSE),"")</f>
        <v/>
      </c>
      <c r="G1915" s="49" t="str">
        <f>IFERROR(VLOOKUP(E1915,'Condensed Specialty Crosswalk'!$A$2:$C$182,3,FALSE),"")</f>
        <v/>
      </c>
    </row>
    <row r="1916" spans="1:7" ht="15" customHeight="1">
      <c r="A1916" s="49"/>
      <c r="B1916" s="49" t="str">
        <f>CONCATENATE(Reports!E1915," ",Reports!F1915," ",Reports!G1915)</f>
        <v xml:space="preserve">  </v>
      </c>
      <c r="C1916" s="50"/>
      <c r="D1916" s="51"/>
      <c r="E1916" s="49" t="str">
        <f>IFERROR(VLOOKUP(D1916,'taxonomy map'!$A$1:$B$171,2,FALSE),"")</f>
        <v/>
      </c>
      <c r="F1916" s="49" t="str">
        <f>IFERROR(VLOOKUP(E1916,'Condensed Specialty Crosswalk'!$A$2:$C$182,2,FALSE),"")</f>
        <v/>
      </c>
      <c r="G1916" s="49" t="str">
        <f>IFERROR(VLOOKUP(E1916,'Condensed Specialty Crosswalk'!$A$2:$C$182,3,FALSE),"")</f>
        <v/>
      </c>
    </row>
    <row r="1917" spans="1:7" ht="15" customHeight="1">
      <c r="A1917" s="49"/>
      <c r="B1917" s="49" t="str">
        <f>CONCATENATE(Reports!E1916," ",Reports!F1916," ",Reports!G1916)</f>
        <v xml:space="preserve">  </v>
      </c>
      <c r="C1917" s="50"/>
      <c r="D1917" s="51"/>
      <c r="E1917" s="49" t="str">
        <f>IFERROR(VLOOKUP(D1917,'taxonomy map'!$A$1:$B$171,2,FALSE),"")</f>
        <v/>
      </c>
      <c r="F1917" s="49" t="str">
        <f>IFERROR(VLOOKUP(E1917,'Condensed Specialty Crosswalk'!$A$2:$C$182,2,FALSE),"")</f>
        <v/>
      </c>
      <c r="G1917" s="49" t="str">
        <f>IFERROR(VLOOKUP(E1917,'Condensed Specialty Crosswalk'!$A$2:$C$182,3,FALSE),"")</f>
        <v/>
      </c>
    </row>
    <row r="1918" spans="1:7" ht="15" customHeight="1">
      <c r="A1918" s="49"/>
      <c r="B1918" s="49" t="str">
        <f>CONCATENATE(Reports!E1917," ",Reports!F1917," ",Reports!G1917)</f>
        <v xml:space="preserve">  </v>
      </c>
      <c r="C1918" s="50"/>
      <c r="D1918" s="51"/>
      <c r="E1918" s="49" t="str">
        <f>IFERROR(VLOOKUP(D1918,'taxonomy map'!$A$1:$B$171,2,FALSE),"")</f>
        <v/>
      </c>
      <c r="F1918" s="49" t="str">
        <f>IFERROR(VLOOKUP(E1918,'Condensed Specialty Crosswalk'!$A$2:$C$182,2,FALSE),"")</f>
        <v/>
      </c>
      <c r="G1918" s="49" t="str">
        <f>IFERROR(VLOOKUP(E1918,'Condensed Specialty Crosswalk'!$A$2:$C$182,3,FALSE),"")</f>
        <v/>
      </c>
    </row>
    <row r="1919" spans="1:7" ht="15" customHeight="1">
      <c r="A1919" s="49"/>
      <c r="B1919" s="49" t="str">
        <f>CONCATENATE(Reports!E1918," ",Reports!F1918," ",Reports!G1918)</f>
        <v xml:space="preserve">  </v>
      </c>
      <c r="C1919" s="50"/>
      <c r="D1919" s="51"/>
      <c r="E1919" s="49" t="str">
        <f>IFERROR(VLOOKUP(D1919,'taxonomy map'!$A$1:$B$171,2,FALSE),"")</f>
        <v/>
      </c>
      <c r="F1919" s="49" t="str">
        <f>IFERROR(VLOOKUP(E1919,'Condensed Specialty Crosswalk'!$A$2:$C$182,2,FALSE),"")</f>
        <v/>
      </c>
      <c r="G1919" s="49" t="str">
        <f>IFERROR(VLOOKUP(E1919,'Condensed Specialty Crosswalk'!$A$2:$C$182,3,FALSE),"")</f>
        <v/>
      </c>
    </row>
    <row r="1920" spans="1:7" ht="15" customHeight="1">
      <c r="A1920" s="49"/>
      <c r="B1920" s="49" t="str">
        <f>CONCATENATE(Reports!E1919," ",Reports!F1919," ",Reports!G1919)</f>
        <v xml:space="preserve">  </v>
      </c>
      <c r="C1920" s="50"/>
      <c r="D1920" s="51"/>
      <c r="E1920" s="49" t="str">
        <f>IFERROR(VLOOKUP(D1920,'taxonomy map'!$A$1:$B$171,2,FALSE),"")</f>
        <v/>
      </c>
      <c r="F1920" s="49" t="str">
        <f>IFERROR(VLOOKUP(E1920,'Condensed Specialty Crosswalk'!$A$2:$C$182,2,FALSE),"")</f>
        <v/>
      </c>
      <c r="G1920" s="49" t="str">
        <f>IFERROR(VLOOKUP(E1920,'Condensed Specialty Crosswalk'!$A$2:$C$182,3,FALSE),"")</f>
        <v/>
      </c>
    </row>
    <row r="1921" spans="1:7" ht="15" customHeight="1">
      <c r="A1921" s="49"/>
      <c r="B1921" s="49" t="str">
        <f>CONCATENATE(Reports!E1920," ",Reports!F1920," ",Reports!G1920)</f>
        <v xml:space="preserve">  </v>
      </c>
      <c r="C1921" s="50"/>
      <c r="D1921" s="51"/>
      <c r="E1921" s="49" t="str">
        <f>IFERROR(VLOOKUP(D1921,'taxonomy map'!$A$1:$B$171,2,FALSE),"")</f>
        <v/>
      </c>
      <c r="F1921" s="49" t="str">
        <f>IFERROR(VLOOKUP(E1921,'Condensed Specialty Crosswalk'!$A$2:$C$182,2,FALSE),"")</f>
        <v/>
      </c>
      <c r="G1921" s="49" t="str">
        <f>IFERROR(VLOOKUP(E1921,'Condensed Specialty Crosswalk'!$A$2:$C$182,3,FALSE),"")</f>
        <v/>
      </c>
    </row>
    <row r="1922" spans="1:7" ht="15" customHeight="1">
      <c r="A1922" s="49"/>
      <c r="B1922" s="49" t="str">
        <f>CONCATENATE(Reports!E1921," ",Reports!F1921," ",Reports!G1921)</f>
        <v xml:space="preserve">  </v>
      </c>
      <c r="C1922" s="50"/>
      <c r="D1922" s="51"/>
      <c r="E1922" s="49" t="str">
        <f>IFERROR(VLOOKUP(D1922,'taxonomy map'!$A$1:$B$171,2,FALSE),"")</f>
        <v/>
      </c>
      <c r="F1922" s="49" t="str">
        <f>IFERROR(VLOOKUP(E1922,'Condensed Specialty Crosswalk'!$A$2:$C$182,2,FALSE),"")</f>
        <v/>
      </c>
      <c r="G1922" s="49" t="str">
        <f>IFERROR(VLOOKUP(E1922,'Condensed Specialty Crosswalk'!$A$2:$C$182,3,FALSE),"")</f>
        <v/>
      </c>
    </row>
    <row r="1923" spans="1:7" ht="15" customHeight="1">
      <c r="A1923" s="49"/>
      <c r="B1923" s="49" t="str">
        <f>CONCATENATE(Reports!E1922," ",Reports!F1922," ",Reports!G1922)</f>
        <v xml:space="preserve">  </v>
      </c>
      <c r="C1923" s="50"/>
      <c r="D1923" s="51"/>
      <c r="E1923" s="49" t="str">
        <f>IFERROR(VLOOKUP(D1923,'taxonomy map'!$A$1:$B$171,2,FALSE),"")</f>
        <v/>
      </c>
      <c r="F1923" s="49" t="str">
        <f>IFERROR(VLOOKUP(E1923,'Condensed Specialty Crosswalk'!$A$2:$C$182,2,FALSE),"")</f>
        <v/>
      </c>
      <c r="G1923" s="49" t="str">
        <f>IFERROR(VLOOKUP(E1923,'Condensed Specialty Crosswalk'!$A$2:$C$182,3,FALSE),"")</f>
        <v/>
      </c>
    </row>
    <row r="1924" spans="1:7" ht="15" customHeight="1">
      <c r="A1924" s="49"/>
      <c r="B1924" s="49" t="str">
        <f>CONCATENATE(Reports!E1923," ",Reports!F1923," ",Reports!G1923)</f>
        <v xml:space="preserve">  </v>
      </c>
      <c r="C1924" s="50"/>
      <c r="D1924" s="51"/>
      <c r="E1924" s="49" t="str">
        <f>IFERROR(VLOOKUP(D1924,'taxonomy map'!$A$1:$B$171,2,FALSE),"")</f>
        <v/>
      </c>
      <c r="F1924" s="49" t="str">
        <f>IFERROR(VLOOKUP(E1924,'Condensed Specialty Crosswalk'!$A$2:$C$182,2,FALSE),"")</f>
        <v/>
      </c>
      <c r="G1924" s="49" t="str">
        <f>IFERROR(VLOOKUP(E1924,'Condensed Specialty Crosswalk'!$A$2:$C$182,3,FALSE),"")</f>
        <v/>
      </c>
    </row>
    <row r="1925" spans="1:7" ht="15" customHeight="1">
      <c r="A1925" s="49"/>
      <c r="B1925" s="49" t="str">
        <f>CONCATENATE(Reports!E1924," ",Reports!F1924," ",Reports!G1924)</f>
        <v xml:space="preserve">  </v>
      </c>
      <c r="C1925" s="50"/>
      <c r="D1925" s="51"/>
      <c r="E1925" s="49" t="str">
        <f>IFERROR(VLOOKUP(D1925,'taxonomy map'!$A$1:$B$171,2,FALSE),"")</f>
        <v/>
      </c>
      <c r="F1925" s="49" t="str">
        <f>IFERROR(VLOOKUP(E1925,'Condensed Specialty Crosswalk'!$A$2:$C$182,2,FALSE),"")</f>
        <v/>
      </c>
      <c r="G1925" s="49" t="str">
        <f>IFERROR(VLOOKUP(E1925,'Condensed Specialty Crosswalk'!$A$2:$C$182,3,FALSE),"")</f>
        <v/>
      </c>
    </row>
    <row r="1926" spans="1:7" ht="15" customHeight="1">
      <c r="A1926" s="49"/>
      <c r="B1926" s="49" t="str">
        <f>CONCATENATE(Reports!E1925," ",Reports!F1925," ",Reports!G1925)</f>
        <v xml:space="preserve">  </v>
      </c>
      <c r="C1926" s="50"/>
      <c r="D1926" s="51"/>
      <c r="E1926" s="49" t="str">
        <f>IFERROR(VLOOKUP(D1926,'taxonomy map'!$A$1:$B$171,2,FALSE),"")</f>
        <v/>
      </c>
      <c r="F1926" s="49" t="str">
        <f>IFERROR(VLOOKUP(E1926,'Condensed Specialty Crosswalk'!$A$2:$C$182,2,FALSE),"")</f>
        <v/>
      </c>
      <c r="G1926" s="49" t="str">
        <f>IFERROR(VLOOKUP(E1926,'Condensed Specialty Crosswalk'!$A$2:$C$182,3,FALSE),"")</f>
        <v/>
      </c>
    </row>
    <row r="1927" spans="1:7" ht="15" customHeight="1">
      <c r="A1927" s="49"/>
      <c r="B1927" s="49" t="str">
        <f>CONCATENATE(Reports!E1926," ",Reports!F1926," ",Reports!G1926)</f>
        <v xml:space="preserve">  </v>
      </c>
      <c r="C1927" s="50"/>
      <c r="D1927" s="51"/>
      <c r="E1927" s="49" t="str">
        <f>IFERROR(VLOOKUP(D1927,'taxonomy map'!$A$1:$B$171,2,FALSE),"")</f>
        <v/>
      </c>
      <c r="F1927" s="49" t="str">
        <f>IFERROR(VLOOKUP(E1927,'Condensed Specialty Crosswalk'!$A$2:$C$182,2,FALSE),"")</f>
        <v/>
      </c>
      <c r="G1927" s="49" t="str">
        <f>IFERROR(VLOOKUP(E1927,'Condensed Specialty Crosswalk'!$A$2:$C$182,3,FALSE),"")</f>
        <v/>
      </c>
    </row>
    <row r="1928" spans="1:7" ht="15" customHeight="1">
      <c r="A1928" s="49"/>
      <c r="B1928" s="49" t="str">
        <f>CONCATENATE(Reports!E1927," ",Reports!F1927," ",Reports!G1927)</f>
        <v xml:space="preserve">  </v>
      </c>
      <c r="C1928" s="50"/>
      <c r="D1928" s="51"/>
      <c r="E1928" s="49" t="str">
        <f>IFERROR(VLOOKUP(D1928,'taxonomy map'!$A$1:$B$171,2,FALSE),"")</f>
        <v/>
      </c>
      <c r="F1928" s="49" t="str">
        <f>IFERROR(VLOOKUP(E1928,'Condensed Specialty Crosswalk'!$A$2:$C$182,2,FALSE),"")</f>
        <v/>
      </c>
      <c r="G1928" s="49" t="str">
        <f>IFERROR(VLOOKUP(E1928,'Condensed Specialty Crosswalk'!$A$2:$C$182,3,FALSE),"")</f>
        <v/>
      </c>
    </row>
    <row r="1929" spans="1:7" ht="15" customHeight="1">
      <c r="A1929" s="49"/>
      <c r="B1929" s="49" t="str">
        <f>CONCATENATE(Reports!E1928," ",Reports!F1928," ",Reports!G1928)</f>
        <v xml:space="preserve">  </v>
      </c>
      <c r="C1929" s="50"/>
      <c r="D1929" s="51"/>
      <c r="E1929" s="49" t="str">
        <f>IFERROR(VLOOKUP(D1929,'taxonomy map'!$A$1:$B$171,2,FALSE),"")</f>
        <v/>
      </c>
      <c r="F1929" s="49" t="str">
        <f>IFERROR(VLOOKUP(E1929,'Condensed Specialty Crosswalk'!$A$2:$C$182,2,FALSE),"")</f>
        <v/>
      </c>
      <c r="G1929" s="49" t="str">
        <f>IFERROR(VLOOKUP(E1929,'Condensed Specialty Crosswalk'!$A$2:$C$182,3,FALSE),"")</f>
        <v/>
      </c>
    </row>
    <row r="1930" spans="1:7" ht="15" customHeight="1">
      <c r="A1930" s="49"/>
      <c r="B1930" s="49" t="str">
        <f>CONCATENATE(Reports!E1929," ",Reports!F1929," ",Reports!G1929)</f>
        <v xml:space="preserve">  </v>
      </c>
      <c r="C1930" s="50"/>
      <c r="D1930" s="51"/>
      <c r="E1930" s="49" t="str">
        <f>IFERROR(VLOOKUP(D1930,'taxonomy map'!$A$1:$B$171,2,FALSE),"")</f>
        <v/>
      </c>
      <c r="F1930" s="49" t="str">
        <f>IFERROR(VLOOKUP(E1930,'Condensed Specialty Crosswalk'!$A$2:$C$182,2,FALSE),"")</f>
        <v/>
      </c>
      <c r="G1930" s="49" t="str">
        <f>IFERROR(VLOOKUP(E1930,'Condensed Specialty Crosswalk'!$A$2:$C$182,3,FALSE),"")</f>
        <v/>
      </c>
    </row>
    <row r="1931" spans="1:7" ht="15" customHeight="1">
      <c r="A1931" s="49"/>
      <c r="B1931" s="49" t="str">
        <f>CONCATENATE(Reports!E1930," ",Reports!F1930," ",Reports!G1930)</f>
        <v xml:space="preserve">  </v>
      </c>
      <c r="C1931" s="50"/>
      <c r="D1931" s="51"/>
      <c r="E1931" s="49" t="str">
        <f>IFERROR(VLOOKUP(D1931,'taxonomy map'!$A$1:$B$171,2,FALSE),"")</f>
        <v/>
      </c>
      <c r="F1931" s="49" t="str">
        <f>IFERROR(VLOOKUP(E1931,'Condensed Specialty Crosswalk'!$A$2:$C$182,2,FALSE),"")</f>
        <v/>
      </c>
      <c r="G1931" s="49" t="str">
        <f>IFERROR(VLOOKUP(E1931,'Condensed Specialty Crosswalk'!$A$2:$C$182,3,FALSE),"")</f>
        <v/>
      </c>
    </row>
    <row r="1932" spans="1:7" ht="15" customHeight="1">
      <c r="A1932" s="49"/>
      <c r="B1932" s="49" t="str">
        <f>CONCATENATE(Reports!E1931," ",Reports!F1931," ",Reports!G1931)</f>
        <v xml:space="preserve">  </v>
      </c>
      <c r="C1932" s="50"/>
      <c r="D1932" s="51"/>
      <c r="E1932" s="49" t="str">
        <f>IFERROR(VLOOKUP(D1932,'taxonomy map'!$A$1:$B$171,2,FALSE),"")</f>
        <v/>
      </c>
      <c r="F1932" s="49" t="str">
        <f>IFERROR(VLOOKUP(E1932,'Condensed Specialty Crosswalk'!$A$2:$C$182,2,FALSE),"")</f>
        <v/>
      </c>
      <c r="G1932" s="49" t="str">
        <f>IFERROR(VLOOKUP(E1932,'Condensed Specialty Crosswalk'!$A$2:$C$182,3,FALSE),"")</f>
        <v/>
      </c>
    </row>
    <row r="1933" spans="1:7" ht="15" customHeight="1">
      <c r="A1933" s="49"/>
      <c r="B1933" s="49" t="str">
        <f>CONCATENATE(Reports!E1932," ",Reports!F1932," ",Reports!G1932)</f>
        <v xml:space="preserve">  </v>
      </c>
      <c r="C1933" s="50"/>
      <c r="D1933" s="51"/>
      <c r="E1933" s="49" t="str">
        <f>IFERROR(VLOOKUP(D1933,'taxonomy map'!$A$1:$B$171,2,FALSE),"")</f>
        <v/>
      </c>
      <c r="F1933" s="49" t="str">
        <f>IFERROR(VLOOKUP(E1933,'Condensed Specialty Crosswalk'!$A$2:$C$182,2,FALSE),"")</f>
        <v/>
      </c>
      <c r="G1933" s="49" t="str">
        <f>IFERROR(VLOOKUP(E1933,'Condensed Specialty Crosswalk'!$A$2:$C$182,3,FALSE),"")</f>
        <v/>
      </c>
    </row>
    <row r="1934" spans="1:7" ht="15" customHeight="1">
      <c r="A1934" s="49"/>
      <c r="B1934" s="49" t="str">
        <f>CONCATENATE(Reports!E1933," ",Reports!F1933," ",Reports!G1933)</f>
        <v xml:space="preserve">  </v>
      </c>
      <c r="C1934" s="50"/>
      <c r="D1934" s="51"/>
      <c r="E1934" s="49" t="str">
        <f>IFERROR(VLOOKUP(D1934,'taxonomy map'!$A$1:$B$171,2,FALSE),"")</f>
        <v/>
      </c>
      <c r="F1934" s="49" t="str">
        <f>IFERROR(VLOOKUP(E1934,'Condensed Specialty Crosswalk'!$A$2:$C$182,2,FALSE),"")</f>
        <v/>
      </c>
      <c r="G1934" s="49" t="str">
        <f>IFERROR(VLOOKUP(E1934,'Condensed Specialty Crosswalk'!$A$2:$C$182,3,FALSE),"")</f>
        <v/>
      </c>
    </row>
    <row r="1935" spans="1:7" ht="15" customHeight="1">
      <c r="A1935" s="49"/>
      <c r="B1935" s="49" t="str">
        <f>CONCATENATE(Reports!E1934," ",Reports!F1934," ",Reports!G1934)</f>
        <v xml:space="preserve">  </v>
      </c>
      <c r="C1935" s="50"/>
      <c r="D1935" s="51"/>
      <c r="E1935" s="49" t="str">
        <f>IFERROR(VLOOKUP(D1935,'taxonomy map'!$A$1:$B$171,2,FALSE),"")</f>
        <v/>
      </c>
      <c r="F1935" s="49" t="str">
        <f>IFERROR(VLOOKUP(E1935,'Condensed Specialty Crosswalk'!$A$2:$C$182,2,FALSE),"")</f>
        <v/>
      </c>
      <c r="G1935" s="49" t="str">
        <f>IFERROR(VLOOKUP(E1935,'Condensed Specialty Crosswalk'!$A$2:$C$182,3,FALSE),"")</f>
        <v/>
      </c>
    </row>
    <row r="1936" spans="1:7" ht="15" customHeight="1">
      <c r="A1936" s="49"/>
      <c r="B1936" s="49" t="str">
        <f>CONCATENATE(Reports!E1935," ",Reports!F1935," ",Reports!G1935)</f>
        <v xml:space="preserve">  </v>
      </c>
      <c r="C1936" s="50"/>
      <c r="D1936" s="51"/>
      <c r="E1936" s="49" t="str">
        <f>IFERROR(VLOOKUP(D1936,'taxonomy map'!$A$1:$B$171,2,FALSE),"")</f>
        <v/>
      </c>
      <c r="F1936" s="49" t="str">
        <f>IFERROR(VLOOKUP(E1936,'Condensed Specialty Crosswalk'!$A$2:$C$182,2,FALSE),"")</f>
        <v/>
      </c>
      <c r="G1936" s="49" t="str">
        <f>IFERROR(VLOOKUP(E1936,'Condensed Specialty Crosswalk'!$A$2:$C$182,3,FALSE),"")</f>
        <v/>
      </c>
    </row>
    <row r="1937" spans="1:7" ht="15" customHeight="1">
      <c r="A1937" s="49"/>
      <c r="B1937" s="49" t="str">
        <f>CONCATENATE(Reports!E1936," ",Reports!F1936," ",Reports!G1936)</f>
        <v xml:space="preserve">  </v>
      </c>
      <c r="C1937" s="50"/>
      <c r="D1937" s="51"/>
      <c r="E1937" s="49" t="str">
        <f>IFERROR(VLOOKUP(D1937,'taxonomy map'!$A$1:$B$171,2,FALSE),"")</f>
        <v/>
      </c>
      <c r="F1937" s="49" t="str">
        <f>IFERROR(VLOOKUP(E1937,'Condensed Specialty Crosswalk'!$A$2:$C$182,2,FALSE),"")</f>
        <v/>
      </c>
      <c r="G1937" s="49" t="str">
        <f>IFERROR(VLOOKUP(E1937,'Condensed Specialty Crosswalk'!$A$2:$C$182,3,FALSE),"")</f>
        <v/>
      </c>
    </row>
    <row r="1938" spans="1:7" ht="15" customHeight="1">
      <c r="A1938" s="49"/>
      <c r="B1938" s="49" t="str">
        <f>CONCATENATE(Reports!E1937," ",Reports!F1937," ",Reports!G1937)</f>
        <v xml:space="preserve">  </v>
      </c>
      <c r="C1938" s="50"/>
      <c r="D1938" s="51"/>
      <c r="E1938" s="49" t="str">
        <f>IFERROR(VLOOKUP(D1938,'taxonomy map'!$A$1:$B$171,2,FALSE),"")</f>
        <v/>
      </c>
      <c r="F1938" s="49" t="str">
        <f>IFERROR(VLOOKUP(E1938,'Condensed Specialty Crosswalk'!$A$2:$C$182,2,FALSE),"")</f>
        <v/>
      </c>
      <c r="G1938" s="49" t="str">
        <f>IFERROR(VLOOKUP(E1938,'Condensed Specialty Crosswalk'!$A$2:$C$182,3,FALSE),"")</f>
        <v/>
      </c>
    </row>
    <row r="1939" spans="1:7" ht="15" customHeight="1">
      <c r="A1939" s="49"/>
      <c r="B1939" s="49" t="str">
        <f>CONCATENATE(Reports!E1938," ",Reports!F1938," ",Reports!G1938)</f>
        <v xml:space="preserve">  </v>
      </c>
      <c r="C1939" s="50"/>
      <c r="D1939" s="51"/>
      <c r="E1939" s="49" t="str">
        <f>IFERROR(VLOOKUP(D1939,'taxonomy map'!$A$1:$B$171,2,FALSE),"")</f>
        <v/>
      </c>
      <c r="F1939" s="49" t="str">
        <f>IFERROR(VLOOKUP(E1939,'Condensed Specialty Crosswalk'!$A$2:$C$182,2,FALSE),"")</f>
        <v/>
      </c>
      <c r="G1939" s="49" t="str">
        <f>IFERROR(VLOOKUP(E1939,'Condensed Specialty Crosswalk'!$A$2:$C$182,3,FALSE),"")</f>
        <v/>
      </c>
    </row>
    <row r="1940" spans="1:7" ht="15" customHeight="1">
      <c r="A1940" s="49"/>
      <c r="B1940" s="49" t="str">
        <f>CONCATENATE(Reports!E1939," ",Reports!F1939," ",Reports!G1939)</f>
        <v xml:space="preserve">  </v>
      </c>
      <c r="C1940" s="50"/>
      <c r="D1940" s="51"/>
      <c r="E1940" s="49" t="str">
        <f>IFERROR(VLOOKUP(D1940,'taxonomy map'!$A$1:$B$171,2,FALSE),"")</f>
        <v/>
      </c>
      <c r="F1940" s="49" t="str">
        <f>IFERROR(VLOOKUP(E1940,'Condensed Specialty Crosswalk'!$A$2:$C$182,2,FALSE),"")</f>
        <v/>
      </c>
      <c r="G1940" s="49" t="str">
        <f>IFERROR(VLOOKUP(E1940,'Condensed Specialty Crosswalk'!$A$2:$C$182,3,FALSE),"")</f>
        <v/>
      </c>
    </row>
    <row r="1941" spans="1:7" ht="15" customHeight="1">
      <c r="A1941" s="49"/>
      <c r="B1941" s="49" t="str">
        <f>CONCATENATE(Reports!E1940," ",Reports!F1940," ",Reports!G1940)</f>
        <v xml:space="preserve">  </v>
      </c>
      <c r="C1941" s="50"/>
      <c r="D1941" s="51"/>
      <c r="E1941" s="49" t="str">
        <f>IFERROR(VLOOKUP(D1941,'taxonomy map'!$A$1:$B$171,2,FALSE),"")</f>
        <v/>
      </c>
      <c r="F1941" s="49" t="str">
        <f>IFERROR(VLOOKUP(E1941,'Condensed Specialty Crosswalk'!$A$2:$C$182,2,FALSE),"")</f>
        <v/>
      </c>
      <c r="G1941" s="49" t="str">
        <f>IFERROR(VLOOKUP(E1941,'Condensed Specialty Crosswalk'!$A$2:$C$182,3,FALSE),"")</f>
        <v/>
      </c>
    </row>
    <row r="1942" spans="1:7" ht="15" customHeight="1">
      <c r="A1942" s="49"/>
      <c r="B1942" s="49" t="str">
        <f>CONCATENATE(Reports!E1941," ",Reports!F1941," ",Reports!G1941)</f>
        <v xml:space="preserve">  </v>
      </c>
      <c r="C1942" s="50"/>
      <c r="D1942" s="51"/>
      <c r="E1942" s="49" t="str">
        <f>IFERROR(VLOOKUP(D1942,'taxonomy map'!$A$1:$B$171,2,FALSE),"")</f>
        <v/>
      </c>
      <c r="F1942" s="49" t="str">
        <f>IFERROR(VLOOKUP(E1942,'Condensed Specialty Crosswalk'!$A$2:$C$182,2,FALSE),"")</f>
        <v/>
      </c>
      <c r="G1942" s="49" t="str">
        <f>IFERROR(VLOOKUP(E1942,'Condensed Specialty Crosswalk'!$A$2:$C$182,3,FALSE),"")</f>
        <v/>
      </c>
    </row>
    <row r="1943" spans="1:7" ht="15" customHeight="1">
      <c r="A1943" s="49"/>
      <c r="B1943" s="49" t="str">
        <f>CONCATENATE(Reports!E1942," ",Reports!F1942," ",Reports!G1942)</f>
        <v xml:space="preserve">  </v>
      </c>
      <c r="C1943" s="50"/>
      <c r="D1943" s="51"/>
      <c r="E1943" s="49" t="str">
        <f>IFERROR(VLOOKUP(D1943,'taxonomy map'!$A$1:$B$171,2,FALSE),"")</f>
        <v/>
      </c>
      <c r="F1943" s="49" t="str">
        <f>IFERROR(VLOOKUP(E1943,'Condensed Specialty Crosswalk'!$A$2:$C$182,2,FALSE),"")</f>
        <v/>
      </c>
      <c r="G1943" s="49" t="str">
        <f>IFERROR(VLOOKUP(E1943,'Condensed Specialty Crosswalk'!$A$2:$C$182,3,FALSE),"")</f>
        <v/>
      </c>
    </row>
    <row r="1944" spans="1:7" ht="15" customHeight="1">
      <c r="A1944" s="49"/>
      <c r="B1944" s="49" t="str">
        <f>CONCATENATE(Reports!E1943," ",Reports!F1943," ",Reports!G1943)</f>
        <v xml:space="preserve">  </v>
      </c>
      <c r="C1944" s="50"/>
      <c r="D1944" s="51"/>
      <c r="E1944" s="49" t="str">
        <f>IFERROR(VLOOKUP(D1944,'taxonomy map'!$A$1:$B$171,2,FALSE),"")</f>
        <v/>
      </c>
      <c r="F1944" s="49" t="str">
        <f>IFERROR(VLOOKUP(E1944,'Condensed Specialty Crosswalk'!$A$2:$C$182,2,FALSE),"")</f>
        <v/>
      </c>
      <c r="G1944" s="49" t="str">
        <f>IFERROR(VLOOKUP(E1944,'Condensed Specialty Crosswalk'!$A$2:$C$182,3,FALSE),"")</f>
        <v/>
      </c>
    </row>
    <row r="1945" spans="1:7" ht="15" customHeight="1">
      <c r="A1945" s="49"/>
      <c r="B1945" s="49" t="str">
        <f>CONCATENATE(Reports!E1944," ",Reports!F1944," ",Reports!G1944)</f>
        <v xml:space="preserve">  </v>
      </c>
      <c r="C1945" s="50"/>
      <c r="D1945" s="51"/>
      <c r="E1945" s="49" t="str">
        <f>IFERROR(VLOOKUP(D1945,'taxonomy map'!$A$1:$B$171,2,FALSE),"")</f>
        <v/>
      </c>
      <c r="F1945" s="49" t="str">
        <f>IFERROR(VLOOKUP(E1945,'Condensed Specialty Crosswalk'!$A$2:$C$182,2,FALSE),"")</f>
        <v/>
      </c>
      <c r="G1945" s="49" t="str">
        <f>IFERROR(VLOOKUP(E1945,'Condensed Specialty Crosswalk'!$A$2:$C$182,3,FALSE),"")</f>
        <v/>
      </c>
    </row>
    <row r="1946" spans="1:7" ht="15" customHeight="1">
      <c r="A1946" s="49"/>
      <c r="B1946" s="49" t="str">
        <f>CONCATENATE(Reports!E1945," ",Reports!F1945," ",Reports!G1945)</f>
        <v xml:space="preserve">  </v>
      </c>
      <c r="C1946" s="50"/>
      <c r="D1946" s="51"/>
      <c r="E1946" s="49" t="str">
        <f>IFERROR(VLOOKUP(D1946,'taxonomy map'!$A$1:$B$171,2,FALSE),"")</f>
        <v/>
      </c>
      <c r="F1946" s="49" t="str">
        <f>IFERROR(VLOOKUP(E1946,'Condensed Specialty Crosswalk'!$A$2:$C$182,2,FALSE),"")</f>
        <v/>
      </c>
      <c r="G1946" s="49" t="str">
        <f>IFERROR(VLOOKUP(E1946,'Condensed Specialty Crosswalk'!$A$2:$C$182,3,FALSE),"")</f>
        <v/>
      </c>
    </row>
    <row r="1947" spans="1:7" ht="15" customHeight="1">
      <c r="A1947" s="49"/>
      <c r="B1947" s="49" t="str">
        <f>CONCATENATE(Reports!E1946," ",Reports!F1946," ",Reports!G1946)</f>
        <v xml:space="preserve">  </v>
      </c>
      <c r="C1947" s="50"/>
      <c r="D1947" s="51"/>
      <c r="E1947" s="49" t="str">
        <f>IFERROR(VLOOKUP(D1947,'taxonomy map'!$A$1:$B$171,2,FALSE),"")</f>
        <v/>
      </c>
      <c r="F1947" s="49" t="str">
        <f>IFERROR(VLOOKUP(E1947,'Condensed Specialty Crosswalk'!$A$2:$C$182,2,FALSE),"")</f>
        <v/>
      </c>
      <c r="G1947" s="49" t="str">
        <f>IFERROR(VLOOKUP(E1947,'Condensed Specialty Crosswalk'!$A$2:$C$182,3,FALSE),"")</f>
        <v/>
      </c>
    </row>
    <row r="1948" spans="1:7" ht="15" customHeight="1">
      <c r="A1948" s="49"/>
      <c r="B1948" s="49" t="str">
        <f>CONCATENATE(Reports!E1947," ",Reports!F1947," ",Reports!G1947)</f>
        <v xml:space="preserve">  </v>
      </c>
      <c r="C1948" s="50"/>
      <c r="D1948" s="51"/>
      <c r="E1948" s="49" t="str">
        <f>IFERROR(VLOOKUP(D1948,'taxonomy map'!$A$1:$B$171,2,FALSE),"")</f>
        <v/>
      </c>
      <c r="F1948" s="49" t="str">
        <f>IFERROR(VLOOKUP(E1948,'Condensed Specialty Crosswalk'!$A$2:$C$182,2,FALSE),"")</f>
        <v/>
      </c>
      <c r="G1948" s="49" t="str">
        <f>IFERROR(VLOOKUP(E1948,'Condensed Specialty Crosswalk'!$A$2:$C$182,3,FALSE),"")</f>
        <v/>
      </c>
    </row>
    <row r="1949" spans="1:7" ht="15" customHeight="1">
      <c r="A1949" s="49"/>
      <c r="B1949" s="49" t="str">
        <f>CONCATENATE(Reports!E1948," ",Reports!F1948," ",Reports!G1948)</f>
        <v xml:space="preserve">  </v>
      </c>
      <c r="C1949" s="50"/>
      <c r="D1949" s="51"/>
      <c r="E1949" s="49" t="str">
        <f>IFERROR(VLOOKUP(D1949,'taxonomy map'!$A$1:$B$171,2,FALSE),"")</f>
        <v/>
      </c>
      <c r="F1949" s="49" t="str">
        <f>IFERROR(VLOOKUP(E1949,'Condensed Specialty Crosswalk'!$A$2:$C$182,2,FALSE),"")</f>
        <v/>
      </c>
      <c r="G1949" s="49" t="str">
        <f>IFERROR(VLOOKUP(E1949,'Condensed Specialty Crosswalk'!$A$2:$C$182,3,FALSE),"")</f>
        <v/>
      </c>
    </row>
    <row r="1950" spans="1:7" ht="15" customHeight="1">
      <c r="A1950" s="49"/>
      <c r="B1950" s="49" t="str">
        <f>CONCATENATE(Reports!E1949," ",Reports!F1949," ",Reports!G1949)</f>
        <v xml:space="preserve">  </v>
      </c>
      <c r="C1950" s="50"/>
      <c r="D1950" s="51"/>
      <c r="E1950" s="49" t="str">
        <f>IFERROR(VLOOKUP(D1950,'taxonomy map'!$A$1:$B$171,2,FALSE),"")</f>
        <v/>
      </c>
      <c r="F1950" s="49" t="str">
        <f>IFERROR(VLOOKUP(E1950,'Condensed Specialty Crosswalk'!$A$2:$C$182,2,FALSE),"")</f>
        <v/>
      </c>
      <c r="G1950" s="49" t="str">
        <f>IFERROR(VLOOKUP(E1950,'Condensed Specialty Crosswalk'!$A$2:$C$182,3,FALSE),"")</f>
        <v/>
      </c>
    </row>
    <row r="1951" spans="1:7" ht="15" customHeight="1">
      <c r="A1951" s="49"/>
      <c r="B1951" s="49" t="str">
        <f>CONCATENATE(Reports!E1950," ",Reports!F1950," ",Reports!G1950)</f>
        <v xml:space="preserve">  </v>
      </c>
      <c r="C1951" s="50"/>
      <c r="D1951" s="51"/>
      <c r="E1951" s="49" t="str">
        <f>IFERROR(VLOOKUP(D1951,'taxonomy map'!$A$1:$B$171,2,FALSE),"")</f>
        <v/>
      </c>
      <c r="F1951" s="49" t="str">
        <f>IFERROR(VLOOKUP(E1951,'Condensed Specialty Crosswalk'!$A$2:$C$182,2,FALSE),"")</f>
        <v/>
      </c>
      <c r="G1951" s="49" t="str">
        <f>IFERROR(VLOOKUP(E1951,'Condensed Specialty Crosswalk'!$A$2:$C$182,3,FALSE),"")</f>
        <v/>
      </c>
    </row>
    <row r="1952" spans="1:7" ht="15" customHeight="1">
      <c r="A1952" s="49"/>
      <c r="B1952" s="49" t="str">
        <f>CONCATENATE(Reports!E1951," ",Reports!F1951," ",Reports!G1951)</f>
        <v xml:space="preserve">  </v>
      </c>
      <c r="C1952" s="50"/>
      <c r="D1952" s="51"/>
      <c r="E1952" s="49" t="str">
        <f>IFERROR(VLOOKUP(D1952,'taxonomy map'!$A$1:$B$171,2,FALSE),"")</f>
        <v/>
      </c>
      <c r="F1952" s="49" t="str">
        <f>IFERROR(VLOOKUP(E1952,'Condensed Specialty Crosswalk'!$A$2:$C$182,2,FALSE),"")</f>
        <v/>
      </c>
      <c r="G1952" s="49" t="str">
        <f>IFERROR(VLOOKUP(E1952,'Condensed Specialty Crosswalk'!$A$2:$C$182,3,FALSE),"")</f>
        <v/>
      </c>
    </row>
    <row r="1953" spans="1:7" ht="15" customHeight="1">
      <c r="A1953" s="49"/>
      <c r="B1953" s="49" t="str">
        <f>CONCATENATE(Reports!E1952," ",Reports!F1952," ",Reports!G1952)</f>
        <v xml:space="preserve">  </v>
      </c>
      <c r="C1953" s="50"/>
      <c r="D1953" s="51"/>
      <c r="E1953" s="49" t="str">
        <f>IFERROR(VLOOKUP(D1953,'taxonomy map'!$A$1:$B$171,2,FALSE),"")</f>
        <v/>
      </c>
      <c r="F1953" s="49" t="str">
        <f>IFERROR(VLOOKUP(E1953,'Condensed Specialty Crosswalk'!$A$2:$C$182,2,FALSE),"")</f>
        <v/>
      </c>
      <c r="G1953" s="49" t="str">
        <f>IFERROR(VLOOKUP(E1953,'Condensed Specialty Crosswalk'!$A$2:$C$182,3,FALSE),"")</f>
        <v/>
      </c>
    </row>
    <row r="1954" spans="1:7" ht="15" customHeight="1">
      <c r="A1954" s="49"/>
      <c r="B1954" s="49" t="str">
        <f>CONCATENATE(Reports!E1953," ",Reports!F1953," ",Reports!G1953)</f>
        <v xml:space="preserve">  </v>
      </c>
      <c r="C1954" s="50"/>
      <c r="D1954" s="51"/>
      <c r="E1954" s="49" t="str">
        <f>IFERROR(VLOOKUP(D1954,'taxonomy map'!$A$1:$B$171,2,FALSE),"")</f>
        <v/>
      </c>
      <c r="F1954" s="49" t="str">
        <f>IFERROR(VLOOKUP(E1954,'Condensed Specialty Crosswalk'!$A$2:$C$182,2,FALSE),"")</f>
        <v/>
      </c>
      <c r="G1954" s="49" t="str">
        <f>IFERROR(VLOOKUP(E1954,'Condensed Specialty Crosswalk'!$A$2:$C$182,3,FALSE),"")</f>
        <v/>
      </c>
    </row>
    <row r="1955" spans="1:7" ht="15" customHeight="1">
      <c r="A1955" s="49"/>
      <c r="B1955" s="49" t="str">
        <f>CONCATENATE(Reports!E1954," ",Reports!F1954," ",Reports!G1954)</f>
        <v xml:space="preserve">  </v>
      </c>
      <c r="C1955" s="50"/>
      <c r="D1955" s="51"/>
      <c r="E1955" s="49" t="str">
        <f>IFERROR(VLOOKUP(D1955,'taxonomy map'!$A$1:$B$171,2,FALSE),"")</f>
        <v/>
      </c>
      <c r="F1955" s="49" t="str">
        <f>IFERROR(VLOOKUP(E1955,'Condensed Specialty Crosswalk'!$A$2:$C$182,2,FALSE),"")</f>
        <v/>
      </c>
      <c r="G1955" s="49" t="str">
        <f>IFERROR(VLOOKUP(E1955,'Condensed Specialty Crosswalk'!$A$2:$C$182,3,FALSE),"")</f>
        <v/>
      </c>
    </row>
    <row r="1956" spans="1:7" ht="15" customHeight="1">
      <c r="A1956" s="49"/>
      <c r="B1956" s="49" t="str">
        <f>CONCATENATE(Reports!E1955," ",Reports!F1955," ",Reports!G1955)</f>
        <v xml:space="preserve">  </v>
      </c>
      <c r="C1956" s="50"/>
      <c r="D1956" s="51"/>
      <c r="E1956" s="49" t="str">
        <f>IFERROR(VLOOKUP(D1956,'taxonomy map'!$A$1:$B$171,2,FALSE),"")</f>
        <v/>
      </c>
      <c r="F1956" s="49" t="str">
        <f>IFERROR(VLOOKUP(E1956,'Condensed Specialty Crosswalk'!$A$2:$C$182,2,FALSE),"")</f>
        <v/>
      </c>
      <c r="G1956" s="49" t="str">
        <f>IFERROR(VLOOKUP(E1956,'Condensed Specialty Crosswalk'!$A$2:$C$182,3,FALSE),"")</f>
        <v/>
      </c>
    </row>
    <row r="1957" spans="1:7" ht="15" customHeight="1">
      <c r="A1957" s="49"/>
      <c r="B1957" s="49" t="str">
        <f>CONCATENATE(Reports!E1956," ",Reports!F1956," ",Reports!G1956)</f>
        <v xml:space="preserve">  </v>
      </c>
      <c r="C1957" s="50"/>
      <c r="D1957" s="51"/>
      <c r="E1957" s="49" t="str">
        <f>IFERROR(VLOOKUP(D1957,'taxonomy map'!$A$1:$B$171,2,FALSE),"")</f>
        <v/>
      </c>
      <c r="F1957" s="49" t="str">
        <f>IFERROR(VLOOKUP(E1957,'Condensed Specialty Crosswalk'!$A$2:$C$182,2,FALSE),"")</f>
        <v/>
      </c>
      <c r="G1957" s="49" t="str">
        <f>IFERROR(VLOOKUP(E1957,'Condensed Specialty Crosswalk'!$A$2:$C$182,3,FALSE),"")</f>
        <v/>
      </c>
    </row>
    <row r="1958" spans="1:7" ht="15" customHeight="1">
      <c r="A1958" s="49"/>
      <c r="B1958" s="49" t="str">
        <f>CONCATENATE(Reports!E1957," ",Reports!F1957," ",Reports!G1957)</f>
        <v xml:space="preserve">  </v>
      </c>
      <c r="C1958" s="50"/>
      <c r="D1958" s="51"/>
      <c r="E1958" s="49" t="str">
        <f>IFERROR(VLOOKUP(D1958,'taxonomy map'!$A$1:$B$171,2,FALSE),"")</f>
        <v/>
      </c>
      <c r="F1958" s="49" t="str">
        <f>IFERROR(VLOOKUP(E1958,'Condensed Specialty Crosswalk'!$A$2:$C$182,2,FALSE),"")</f>
        <v/>
      </c>
      <c r="G1958" s="49" t="str">
        <f>IFERROR(VLOOKUP(E1958,'Condensed Specialty Crosswalk'!$A$2:$C$182,3,FALSE),"")</f>
        <v/>
      </c>
    </row>
    <row r="1959" spans="1:7" ht="15" customHeight="1">
      <c r="A1959" s="49"/>
      <c r="B1959" s="49" t="str">
        <f>CONCATENATE(Reports!E1958," ",Reports!F1958," ",Reports!G1958)</f>
        <v xml:space="preserve">  </v>
      </c>
      <c r="C1959" s="50"/>
      <c r="D1959" s="51"/>
      <c r="E1959" s="49" t="str">
        <f>IFERROR(VLOOKUP(D1959,'taxonomy map'!$A$1:$B$171,2,FALSE),"")</f>
        <v/>
      </c>
      <c r="F1959" s="49" t="str">
        <f>IFERROR(VLOOKUP(E1959,'Condensed Specialty Crosswalk'!$A$2:$C$182,2,FALSE),"")</f>
        <v/>
      </c>
      <c r="G1959" s="49" t="str">
        <f>IFERROR(VLOOKUP(E1959,'Condensed Specialty Crosswalk'!$A$2:$C$182,3,FALSE),"")</f>
        <v/>
      </c>
    </row>
    <row r="1960" spans="1:7" ht="15" customHeight="1">
      <c r="A1960" s="49"/>
      <c r="B1960" s="49" t="str">
        <f>CONCATENATE(Reports!E1959," ",Reports!F1959," ",Reports!G1959)</f>
        <v xml:space="preserve">  </v>
      </c>
      <c r="C1960" s="50"/>
      <c r="D1960" s="51"/>
      <c r="E1960" s="49" t="str">
        <f>IFERROR(VLOOKUP(D1960,'taxonomy map'!$A$1:$B$171,2,FALSE),"")</f>
        <v/>
      </c>
      <c r="F1960" s="49" t="str">
        <f>IFERROR(VLOOKUP(E1960,'Condensed Specialty Crosswalk'!$A$2:$C$182,2,FALSE),"")</f>
        <v/>
      </c>
      <c r="G1960" s="49" t="str">
        <f>IFERROR(VLOOKUP(E1960,'Condensed Specialty Crosswalk'!$A$2:$C$182,3,FALSE),"")</f>
        <v/>
      </c>
    </row>
    <row r="1961" spans="1:7" ht="15" customHeight="1">
      <c r="A1961" s="49"/>
      <c r="B1961" s="49" t="str">
        <f>CONCATENATE(Reports!E1960," ",Reports!F1960," ",Reports!G1960)</f>
        <v xml:space="preserve">  </v>
      </c>
      <c r="C1961" s="50"/>
      <c r="D1961" s="51"/>
      <c r="E1961" s="49" t="str">
        <f>IFERROR(VLOOKUP(D1961,'taxonomy map'!$A$1:$B$171,2,FALSE),"")</f>
        <v/>
      </c>
      <c r="F1961" s="49" t="str">
        <f>IFERROR(VLOOKUP(E1961,'Condensed Specialty Crosswalk'!$A$2:$C$182,2,FALSE),"")</f>
        <v/>
      </c>
      <c r="G1961" s="49" t="str">
        <f>IFERROR(VLOOKUP(E1961,'Condensed Specialty Crosswalk'!$A$2:$C$182,3,FALSE),"")</f>
        <v/>
      </c>
    </row>
    <row r="1962" spans="1:7" ht="15" customHeight="1">
      <c r="A1962" s="49"/>
      <c r="B1962" s="49" t="str">
        <f>CONCATENATE(Reports!E1961," ",Reports!F1961," ",Reports!G1961)</f>
        <v xml:space="preserve">  </v>
      </c>
      <c r="C1962" s="50"/>
      <c r="D1962" s="51"/>
      <c r="E1962" s="49" t="str">
        <f>IFERROR(VLOOKUP(D1962,'taxonomy map'!$A$1:$B$171,2,FALSE),"")</f>
        <v/>
      </c>
      <c r="F1962" s="49" t="str">
        <f>IFERROR(VLOOKUP(E1962,'Condensed Specialty Crosswalk'!$A$2:$C$182,2,FALSE),"")</f>
        <v/>
      </c>
      <c r="G1962" s="49" t="str">
        <f>IFERROR(VLOOKUP(E1962,'Condensed Specialty Crosswalk'!$A$2:$C$182,3,FALSE),"")</f>
        <v/>
      </c>
    </row>
    <row r="1963" spans="1:7" ht="15" customHeight="1">
      <c r="A1963" s="49"/>
      <c r="B1963" s="49" t="str">
        <f>CONCATENATE(Reports!E1962," ",Reports!F1962," ",Reports!G1962)</f>
        <v xml:space="preserve">  </v>
      </c>
      <c r="C1963" s="50"/>
      <c r="D1963" s="51"/>
      <c r="E1963" s="49" t="str">
        <f>IFERROR(VLOOKUP(D1963,'taxonomy map'!$A$1:$B$171,2,FALSE),"")</f>
        <v/>
      </c>
      <c r="F1963" s="49" t="str">
        <f>IFERROR(VLOOKUP(E1963,'Condensed Specialty Crosswalk'!$A$2:$C$182,2,FALSE),"")</f>
        <v/>
      </c>
      <c r="G1963" s="49" t="str">
        <f>IFERROR(VLOOKUP(E1963,'Condensed Specialty Crosswalk'!$A$2:$C$182,3,FALSE),"")</f>
        <v/>
      </c>
    </row>
    <row r="1964" spans="1:7" ht="15" customHeight="1">
      <c r="A1964" s="49"/>
      <c r="B1964" s="49" t="str">
        <f>CONCATENATE(Reports!E1963," ",Reports!F1963," ",Reports!G1963)</f>
        <v xml:space="preserve">  </v>
      </c>
      <c r="C1964" s="50"/>
      <c r="D1964" s="51"/>
      <c r="E1964" s="49" t="str">
        <f>IFERROR(VLOOKUP(D1964,'taxonomy map'!$A$1:$B$171,2,FALSE),"")</f>
        <v/>
      </c>
      <c r="F1964" s="49" t="str">
        <f>IFERROR(VLOOKUP(E1964,'Condensed Specialty Crosswalk'!$A$2:$C$182,2,FALSE),"")</f>
        <v/>
      </c>
      <c r="G1964" s="49" t="str">
        <f>IFERROR(VLOOKUP(E1964,'Condensed Specialty Crosswalk'!$A$2:$C$182,3,FALSE),"")</f>
        <v/>
      </c>
    </row>
    <row r="1965" spans="1:7" ht="15" customHeight="1">
      <c r="A1965" s="49"/>
      <c r="B1965" s="49" t="str">
        <f>CONCATENATE(Reports!E1964," ",Reports!F1964," ",Reports!G1964)</f>
        <v xml:space="preserve">  </v>
      </c>
      <c r="C1965" s="50"/>
      <c r="D1965" s="51"/>
      <c r="E1965" s="49" t="str">
        <f>IFERROR(VLOOKUP(D1965,'taxonomy map'!$A$1:$B$171,2,FALSE),"")</f>
        <v/>
      </c>
      <c r="F1965" s="49" t="str">
        <f>IFERROR(VLOOKUP(E1965,'Condensed Specialty Crosswalk'!$A$2:$C$182,2,FALSE),"")</f>
        <v/>
      </c>
      <c r="G1965" s="49" t="str">
        <f>IFERROR(VLOOKUP(E1965,'Condensed Specialty Crosswalk'!$A$2:$C$182,3,FALSE),"")</f>
        <v/>
      </c>
    </row>
    <row r="1966" spans="1:7" ht="15" customHeight="1">
      <c r="A1966" s="49"/>
      <c r="B1966" s="49" t="str">
        <f>CONCATENATE(Reports!E1965," ",Reports!F1965," ",Reports!G1965)</f>
        <v xml:space="preserve">  </v>
      </c>
      <c r="C1966" s="50"/>
      <c r="D1966" s="51"/>
      <c r="E1966" s="49" t="str">
        <f>IFERROR(VLOOKUP(D1966,'taxonomy map'!$A$1:$B$171,2,FALSE),"")</f>
        <v/>
      </c>
      <c r="F1966" s="49" t="str">
        <f>IFERROR(VLOOKUP(E1966,'Condensed Specialty Crosswalk'!$A$2:$C$182,2,FALSE),"")</f>
        <v/>
      </c>
      <c r="G1966" s="49" t="str">
        <f>IFERROR(VLOOKUP(E1966,'Condensed Specialty Crosswalk'!$A$2:$C$182,3,FALSE),"")</f>
        <v/>
      </c>
    </row>
    <row r="1967" spans="1:7" ht="15" customHeight="1">
      <c r="A1967" s="49"/>
      <c r="B1967" s="49" t="str">
        <f>CONCATENATE(Reports!E1966," ",Reports!F1966," ",Reports!G1966)</f>
        <v xml:space="preserve">  </v>
      </c>
      <c r="C1967" s="50"/>
      <c r="D1967" s="51"/>
      <c r="E1967" s="49" t="str">
        <f>IFERROR(VLOOKUP(D1967,'taxonomy map'!$A$1:$B$171,2,FALSE),"")</f>
        <v/>
      </c>
      <c r="F1967" s="49" t="str">
        <f>IFERROR(VLOOKUP(E1967,'Condensed Specialty Crosswalk'!$A$2:$C$182,2,FALSE),"")</f>
        <v/>
      </c>
      <c r="G1967" s="49" t="str">
        <f>IFERROR(VLOOKUP(E1967,'Condensed Specialty Crosswalk'!$A$2:$C$182,3,FALSE),"")</f>
        <v/>
      </c>
    </row>
    <row r="1968" spans="1:7" ht="15" customHeight="1">
      <c r="A1968" s="49"/>
      <c r="B1968" s="49" t="str">
        <f>CONCATENATE(Reports!E1967," ",Reports!F1967," ",Reports!G1967)</f>
        <v xml:space="preserve">  </v>
      </c>
      <c r="C1968" s="50"/>
      <c r="D1968" s="51"/>
      <c r="E1968" s="49" t="str">
        <f>IFERROR(VLOOKUP(D1968,'taxonomy map'!$A$1:$B$171,2,FALSE),"")</f>
        <v/>
      </c>
      <c r="F1968" s="49" t="str">
        <f>IFERROR(VLOOKUP(E1968,'Condensed Specialty Crosswalk'!$A$2:$C$182,2,FALSE),"")</f>
        <v/>
      </c>
      <c r="G1968" s="49" t="str">
        <f>IFERROR(VLOOKUP(E1968,'Condensed Specialty Crosswalk'!$A$2:$C$182,3,FALSE),"")</f>
        <v/>
      </c>
    </row>
    <row r="1969" spans="1:7" ht="15" customHeight="1">
      <c r="A1969" s="49"/>
      <c r="B1969" s="49" t="str">
        <f>CONCATENATE(Reports!E1968," ",Reports!F1968," ",Reports!G1968)</f>
        <v xml:space="preserve">  </v>
      </c>
      <c r="C1969" s="50"/>
      <c r="D1969" s="51"/>
      <c r="E1969" s="49" t="str">
        <f>IFERROR(VLOOKUP(D1969,'taxonomy map'!$A$1:$B$171,2,FALSE),"")</f>
        <v/>
      </c>
      <c r="F1969" s="49" t="str">
        <f>IFERROR(VLOOKUP(E1969,'Condensed Specialty Crosswalk'!$A$2:$C$182,2,FALSE),"")</f>
        <v/>
      </c>
      <c r="G1969" s="49" t="str">
        <f>IFERROR(VLOOKUP(E1969,'Condensed Specialty Crosswalk'!$A$2:$C$182,3,FALSE),"")</f>
        <v/>
      </c>
    </row>
    <row r="1970" spans="1:7" ht="15" customHeight="1">
      <c r="A1970" s="49"/>
      <c r="B1970" s="49" t="str">
        <f>CONCATENATE(Reports!E1969," ",Reports!F1969," ",Reports!G1969)</f>
        <v xml:space="preserve">  </v>
      </c>
      <c r="C1970" s="50"/>
      <c r="D1970" s="51"/>
      <c r="E1970" s="49" t="str">
        <f>IFERROR(VLOOKUP(D1970,'taxonomy map'!$A$1:$B$171,2,FALSE),"")</f>
        <v/>
      </c>
      <c r="F1970" s="49" t="str">
        <f>IFERROR(VLOOKUP(E1970,'Condensed Specialty Crosswalk'!$A$2:$C$182,2,FALSE),"")</f>
        <v/>
      </c>
      <c r="G1970" s="49" t="str">
        <f>IFERROR(VLOOKUP(E1970,'Condensed Specialty Crosswalk'!$A$2:$C$182,3,FALSE),"")</f>
        <v/>
      </c>
    </row>
    <row r="1971" spans="1:7" ht="15" customHeight="1">
      <c r="A1971" s="49"/>
      <c r="B1971" s="49" t="str">
        <f>CONCATENATE(Reports!E1970," ",Reports!F1970," ",Reports!G1970)</f>
        <v xml:space="preserve">  </v>
      </c>
      <c r="C1971" s="50"/>
      <c r="D1971" s="51"/>
      <c r="E1971" s="49" t="str">
        <f>IFERROR(VLOOKUP(D1971,'taxonomy map'!$A$1:$B$171,2,FALSE),"")</f>
        <v/>
      </c>
      <c r="F1971" s="49" t="str">
        <f>IFERROR(VLOOKUP(E1971,'Condensed Specialty Crosswalk'!$A$2:$C$182,2,FALSE),"")</f>
        <v/>
      </c>
      <c r="G1971" s="49" t="str">
        <f>IFERROR(VLOOKUP(E1971,'Condensed Specialty Crosswalk'!$A$2:$C$182,3,FALSE),"")</f>
        <v/>
      </c>
    </row>
    <row r="1972" spans="1:7" ht="15" customHeight="1">
      <c r="A1972" s="49"/>
      <c r="B1972" s="49" t="str">
        <f>CONCATENATE(Reports!E1971," ",Reports!F1971," ",Reports!G1971)</f>
        <v xml:space="preserve">  </v>
      </c>
      <c r="C1972" s="50"/>
      <c r="D1972" s="51"/>
      <c r="E1972" s="49" t="str">
        <f>IFERROR(VLOOKUP(D1972,'taxonomy map'!$A$1:$B$171,2,FALSE),"")</f>
        <v/>
      </c>
      <c r="F1972" s="49" t="str">
        <f>IFERROR(VLOOKUP(E1972,'Condensed Specialty Crosswalk'!$A$2:$C$182,2,FALSE),"")</f>
        <v/>
      </c>
      <c r="G1972" s="49" t="str">
        <f>IFERROR(VLOOKUP(E1972,'Condensed Specialty Crosswalk'!$A$2:$C$182,3,FALSE),"")</f>
        <v/>
      </c>
    </row>
    <row r="1973" spans="1:7" ht="15" customHeight="1">
      <c r="A1973" s="49"/>
      <c r="B1973" s="49" t="str">
        <f>CONCATENATE(Reports!E1972," ",Reports!F1972," ",Reports!G1972)</f>
        <v xml:space="preserve">  </v>
      </c>
      <c r="C1973" s="50"/>
      <c r="D1973" s="51"/>
      <c r="E1973" s="49" t="str">
        <f>IFERROR(VLOOKUP(D1973,'taxonomy map'!$A$1:$B$171,2,FALSE),"")</f>
        <v/>
      </c>
      <c r="F1973" s="49" t="str">
        <f>IFERROR(VLOOKUP(E1973,'Condensed Specialty Crosswalk'!$A$2:$C$182,2,FALSE),"")</f>
        <v/>
      </c>
      <c r="G1973" s="49" t="str">
        <f>IFERROR(VLOOKUP(E1973,'Condensed Specialty Crosswalk'!$A$2:$C$182,3,FALSE),"")</f>
        <v/>
      </c>
    </row>
    <row r="1974" spans="1:7" ht="15" customHeight="1">
      <c r="A1974" s="49"/>
      <c r="B1974" s="49" t="str">
        <f>CONCATENATE(Reports!E1973," ",Reports!F1973," ",Reports!G1973)</f>
        <v xml:space="preserve">  </v>
      </c>
      <c r="C1974" s="50"/>
      <c r="D1974" s="51"/>
      <c r="E1974" s="49" t="str">
        <f>IFERROR(VLOOKUP(D1974,'taxonomy map'!$A$1:$B$171,2,FALSE),"")</f>
        <v/>
      </c>
      <c r="F1974" s="49" t="str">
        <f>IFERROR(VLOOKUP(E1974,'Condensed Specialty Crosswalk'!$A$2:$C$182,2,FALSE),"")</f>
        <v/>
      </c>
      <c r="G1974" s="49" t="str">
        <f>IFERROR(VLOOKUP(E1974,'Condensed Specialty Crosswalk'!$A$2:$C$182,3,FALSE),"")</f>
        <v/>
      </c>
    </row>
    <row r="1975" spans="1:7" ht="15" customHeight="1">
      <c r="A1975" s="49"/>
      <c r="B1975" s="49" t="str">
        <f>CONCATENATE(Reports!E1974," ",Reports!F1974," ",Reports!G1974)</f>
        <v xml:space="preserve">  </v>
      </c>
      <c r="C1975" s="50"/>
      <c r="D1975" s="51"/>
      <c r="E1975" s="49" t="str">
        <f>IFERROR(VLOOKUP(D1975,'taxonomy map'!$A$1:$B$171,2,FALSE),"")</f>
        <v/>
      </c>
      <c r="F1975" s="49" t="str">
        <f>IFERROR(VLOOKUP(E1975,'Condensed Specialty Crosswalk'!$A$2:$C$182,2,FALSE),"")</f>
        <v/>
      </c>
      <c r="G1975" s="49" t="str">
        <f>IFERROR(VLOOKUP(E1975,'Condensed Specialty Crosswalk'!$A$2:$C$182,3,FALSE),"")</f>
        <v/>
      </c>
    </row>
    <row r="1976" spans="1:7" ht="15" customHeight="1">
      <c r="A1976" s="49"/>
      <c r="B1976" s="49" t="str">
        <f>CONCATENATE(Reports!E1975," ",Reports!F1975," ",Reports!G1975)</f>
        <v xml:space="preserve">  </v>
      </c>
      <c r="C1976" s="50"/>
      <c r="D1976" s="51"/>
      <c r="E1976" s="49" t="str">
        <f>IFERROR(VLOOKUP(D1976,'taxonomy map'!$A$1:$B$171,2,FALSE),"")</f>
        <v/>
      </c>
      <c r="F1976" s="49" t="str">
        <f>IFERROR(VLOOKUP(E1976,'Condensed Specialty Crosswalk'!$A$2:$C$182,2,FALSE),"")</f>
        <v/>
      </c>
      <c r="G1976" s="49" t="str">
        <f>IFERROR(VLOOKUP(E1976,'Condensed Specialty Crosswalk'!$A$2:$C$182,3,FALSE),"")</f>
        <v/>
      </c>
    </row>
    <row r="1977" spans="1:7" ht="15" customHeight="1">
      <c r="A1977" s="49"/>
      <c r="B1977" s="49" t="str">
        <f>CONCATENATE(Reports!E1976," ",Reports!F1976," ",Reports!G1976)</f>
        <v xml:space="preserve">  </v>
      </c>
      <c r="C1977" s="50"/>
      <c r="D1977" s="51"/>
      <c r="E1977" s="49" t="str">
        <f>IFERROR(VLOOKUP(D1977,'taxonomy map'!$A$1:$B$171,2,FALSE),"")</f>
        <v/>
      </c>
      <c r="F1977" s="49" t="str">
        <f>IFERROR(VLOOKUP(E1977,'Condensed Specialty Crosswalk'!$A$2:$C$182,2,FALSE),"")</f>
        <v/>
      </c>
      <c r="G1977" s="49" t="str">
        <f>IFERROR(VLOOKUP(E1977,'Condensed Specialty Crosswalk'!$A$2:$C$182,3,FALSE),"")</f>
        <v/>
      </c>
    </row>
    <row r="1978" spans="1:7" ht="15" customHeight="1">
      <c r="A1978" s="49"/>
      <c r="B1978" s="49" t="str">
        <f>CONCATENATE(Reports!E1977," ",Reports!F1977," ",Reports!G1977)</f>
        <v xml:space="preserve">  </v>
      </c>
      <c r="C1978" s="50"/>
      <c r="D1978" s="51"/>
      <c r="E1978" s="49" t="str">
        <f>IFERROR(VLOOKUP(D1978,'taxonomy map'!$A$1:$B$171,2,FALSE),"")</f>
        <v/>
      </c>
      <c r="F1978" s="49" t="str">
        <f>IFERROR(VLOOKUP(E1978,'Condensed Specialty Crosswalk'!$A$2:$C$182,2,FALSE),"")</f>
        <v/>
      </c>
      <c r="G1978" s="49" t="str">
        <f>IFERROR(VLOOKUP(E1978,'Condensed Specialty Crosswalk'!$A$2:$C$182,3,FALSE),"")</f>
        <v/>
      </c>
    </row>
    <row r="1979" spans="1:7" ht="15" customHeight="1">
      <c r="A1979" s="49"/>
      <c r="B1979" s="49" t="str">
        <f>CONCATENATE(Reports!E1978," ",Reports!F1978," ",Reports!G1978)</f>
        <v xml:space="preserve">  </v>
      </c>
      <c r="C1979" s="50"/>
      <c r="D1979" s="51"/>
      <c r="E1979" s="49" t="str">
        <f>IFERROR(VLOOKUP(D1979,'taxonomy map'!$A$1:$B$171,2,FALSE),"")</f>
        <v/>
      </c>
      <c r="F1979" s="49" t="str">
        <f>IFERROR(VLOOKUP(E1979,'Condensed Specialty Crosswalk'!$A$2:$C$182,2,FALSE),"")</f>
        <v/>
      </c>
      <c r="G1979" s="49" t="str">
        <f>IFERROR(VLOOKUP(E1979,'Condensed Specialty Crosswalk'!$A$2:$C$182,3,FALSE),"")</f>
        <v/>
      </c>
    </row>
    <row r="1980" spans="1:7" ht="15" customHeight="1">
      <c r="A1980" s="49"/>
      <c r="B1980" s="49" t="str">
        <f>CONCATENATE(Reports!E1979," ",Reports!F1979," ",Reports!G1979)</f>
        <v xml:space="preserve">  </v>
      </c>
      <c r="C1980" s="50"/>
      <c r="D1980" s="51"/>
      <c r="E1980" s="49" t="str">
        <f>IFERROR(VLOOKUP(D1980,'taxonomy map'!$A$1:$B$171,2,FALSE),"")</f>
        <v/>
      </c>
      <c r="F1980" s="49" t="str">
        <f>IFERROR(VLOOKUP(E1980,'Condensed Specialty Crosswalk'!$A$2:$C$182,2,FALSE),"")</f>
        <v/>
      </c>
      <c r="G1980" s="49" t="str">
        <f>IFERROR(VLOOKUP(E1980,'Condensed Specialty Crosswalk'!$A$2:$C$182,3,FALSE),"")</f>
        <v/>
      </c>
    </row>
    <row r="1981" spans="1:7" ht="15" customHeight="1">
      <c r="A1981" s="49"/>
      <c r="B1981" s="49" t="str">
        <f>CONCATENATE(Reports!E1980," ",Reports!F1980," ",Reports!G1980)</f>
        <v xml:space="preserve">  </v>
      </c>
      <c r="C1981" s="50"/>
      <c r="D1981" s="51"/>
      <c r="E1981" s="49" t="str">
        <f>IFERROR(VLOOKUP(D1981,'taxonomy map'!$A$1:$B$171,2,FALSE),"")</f>
        <v/>
      </c>
      <c r="F1981" s="49" t="str">
        <f>IFERROR(VLOOKUP(E1981,'Condensed Specialty Crosswalk'!$A$2:$C$182,2,FALSE),"")</f>
        <v/>
      </c>
      <c r="G1981" s="49" t="str">
        <f>IFERROR(VLOOKUP(E1981,'Condensed Specialty Crosswalk'!$A$2:$C$182,3,FALSE),"")</f>
        <v/>
      </c>
    </row>
    <row r="1982" spans="1:7" ht="15" customHeight="1">
      <c r="A1982" s="49"/>
      <c r="B1982" s="49" t="str">
        <f>CONCATENATE(Reports!E1981," ",Reports!F1981," ",Reports!G1981)</f>
        <v xml:space="preserve">  </v>
      </c>
      <c r="C1982" s="50"/>
      <c r="D1982" s="51"/>
      <c r="E1982" s="49" t="str">
        <f>IFERROR(VLOOKUP(D1982,'taxonomy map'!$A$1:$B$171,2,FALSE),"")</f>
        <v/>
      </c>
      <c r="F1982" s="49" t="str">
        <f>IFERROR(VLOOKUP(E1982,'Condensed Specialty Crosswalk'!$A$2:$C$182,2,FALSE),"")</f>
        <v/>
      </c>
      <c r="G1982" s="49" t="str">
        <f>IFERROR(VLOOKUP(E1982,'Condensed Specialty Crosswalk'!$A$2:$C$182,3,FALSE),"")</f>
        <v/>
      </c>
    </row>
    <row r="1983" spans="1:7" ht="15" customHeight="1">
      <c r="A1983" s="49"/>
      <c r="B1983" s="49" t="str">
        <f>CONCATENATE(Reports!E1982," ",Reports!F1982," ",Reports!G1982)</f>
        <v xml:space="preserve">  </v>
      </c>
      <c r="C1983" s="50"/>
      <c r="D1983" s="51"/>
      <c r="E1983" s="49" t="str">
        <f>IFERROR(VLOOKUP(D1983,'taxonomy map'!$A$1:$B$171,2,FALSE),"")</f>
        <v/>
      </c>
      <c r="F1983" s="49" t="str">
        <f>IFERROR(VLOOKUP(E1983,'Condensed Specialty Crosswalk'!$A$2:$C$182,2,FALSE),"")</f>
        <v/>
      </c>
      <c r="G1983" s="49" t="str">
        <f>IFERROR(VLOOKUP(E1983,'Condensed Specialty Crosswalk'!$A$2:$C$182,3,FALSE),"")</f>
        <v/>
      </c>
    </row>
    <row r="1984" spans="1:7" ht="15" customHeight="1">
      <c r="A1984" s="49"/>
      <c r="B1984" s="49" t="str">
        <f>CONCATENATE(Reports!E1983," ",Reports!F1983," ",Reports!G1983)</f>
        <v xml:space="preserve">  </v>
      </c>
      <c r="C1984" s="50"/>
      <c r="D1984" s="51"/>
      <c r="E1984" s="49" t="str">
        <f>IFERROR(VLOOKUP(D1984,'taxonomy map'!$A$1:$B$171,2,FALSE),"")</f>
        <v/>
      </c>
      <c r="F1984" s="49" t="str">
        <f>IFERROR(VLOOKUP(E1984,'Condensed Specialty Crosswalk'!$A$2:$C$182,2,FALSE),"")</f>
        <v/>
      </c>
      <c r="G1984" s="49" t="str">
        <f>IFERROR(VLOOKUP(E1984,'Condensed Specialty Crosswalk'!$A$2:$C$182,3,FALSE),"")</f>
        <v/>
      </c>
    </row>
    <row r="1985" spans="1:7" ht="15" customHeight="1">
      <c r="A1985" s="49"/>
      <c r="B1985" s="49" t="str">
        <f>CONCATENATE(Reports!E1984," ",Reports!F1984," ",Reports!G1984)</f>
        <v xml:space="preserve">  </v>
      </c>
      <c r="C1985" s="50"/>
      <c r="D1985" s="51"/>
      <c r="E1985" s="49" t="str">
        <f>IFERROR(VLOOKUP(D1985,'taxonomy map'!$A$1:$B$171,2,FALSE),"")</f>
        <v/>
      </c>
      <c r="F1985" s="49" t="str">
        <f>IFERROR(VLOOKUP(E1985,'Condensed Specialty Crosswalk'!$A$2:$C$182,2,FALSE),"")</f>
        <v/>
      </c>
      <c r="G1985" s="49" t="str">
        <f>IFERROR(VLOOKUP(E1985,'Condensed Specialty Crosswalk'!$A$2:$C$182,3,FALSE),"")</f>
        <v/>
      </c>
    </row>
    <row r="1986" spans="1:7" ht="15" customHeight="1">
      <c r="A1986" s="49"/>
      <c r="B1986" s="49" t="str">
        <f>CONCATENATE(Reports!E1985," ",Reports!F1985," ",Reports!G1985)</f>
        <v xml:space="preserve">  </v>
      </c>
      <c r="C1986" s="50"/>
      <c r="D1986" s="51"/>
      <c r="E1986" s="49" t="str">
        <f>IFERROR(VLOOKUP(D1986,'taxonomy map'!$A$1:$B$171,2,FALSE),"")</f>
        <v/>
      </c>
      <c r="F1986" s="49" t="str">
        <f>IFERROR(VLOOKUP(E1986,'Condensed Specialty Crosswalk'!$A$2:$C$182,2,FALSE),"")</f>
        <v/>
      </c>
      <c r="G1986" s="49" t="str">
        <f>IFERROR(VLOOKUP(E1986,'Condensed Specialty Crosswalk'!$A$2:$C$182,3,FALSE),"")</f>
        <v/>
      </c>
    </row>
    <row r="1987" spans="1:7" ht="15" customHeight="1">
      <c r="A1987" s="49"/>
      <c r="B1987" s="49" t="str">
        <f>CONCATENATE(Reports!E1986," ",Reports!F1986," ",Reports!G1986)</f>
        <v xml:space="preserve">  </v>
      </c>
      <c r="C1987" s="50"/>
      <c r="D1987" s="51"/>
      <c r="E1987" s="49" t="str">
        <f>IFERROR(VLOOKUP(D1987,'taxonomy map'!$A$1:$B$171,2,FALSE),"")</f>
        <v/>
      </c>
      <c r="F1987" s="49" t="str">
        <f>IFERROR(VLOOKUP(E1987,'Condensed Specialty Crosswalk'!$A$2:$C$182,2,FALSE),"")</f>
        <v/>
      </c>
      <c r="G1987" s="49" t="str">
        <f>IFERROR(VLOOKUP(E1987,'Condensed Specialty Crosswalk'!$A$2:$C$182,3,FALSE),"")</f>
        <v/>
      </c>
    </row>
    <row r="1988" spans="1:7" ht="15" customHeight="1">
      <c r="A1988" s="49"/>
      <c r="B1988" s="49" t="str">
        <f>CONCATENATE(Reports!E1987," ",Reports!F1987," ",Reports!G1987)</f>
        <v xml:space="preserve">  </v>
      </c>
      <c r="C1988" s="50"/>
      <c r="D1988" s="51"/>
      <c r="E1988" s="49" t="str">
        <f>IFERROR(VLOOKUP(D1988,'taxonomy map'!$A$1:$B$171,2,FALSE),"")</f>
        <v/>
      </c>
      <c r="F1988" s="49" t="str">
        <f>IFERROR(VLOOKUP(E1988,'Condensed Specialty Crosswalk'!$A$2:$C$182,2,FALSE),"")</f>
        <v/>
      </c>
      <c r="G1988" s="49" t="str">
        <f>IFERROR(VLOOKUP(E1988,'Condensed Specialty Crosswalk'!$A$2:$C$182,3,FALSE),"")</f>
        <v/>
      </c>
    </row>
    <row r="1989" spans="1:7" ht="15" customHeight="1">
      <c r="A1989" s="49"/>
      <c r="B1989" s="49" t="str">
        <f>CONCATENATE(Reports!E1988," ",Reports!F1988," ",Reports!G1988)</f>
        <v xml:space="preserve">  </v>
      </c>
      <c r="C1989" s="50"/>
      <c r="D1989" s="51"/>
      <c r="E1989" s="49" t="str">
        <f>IFERROR(VLOOKUP(D1989,'taxonomy map'!$A$1:$B$171,2,FALSE),"")</f>
        <v/>
      </c>
      <c r="F1989" s="49" t="str">
        <f>IFERROR(VLOOKUP(E1989,'Condensed Specialty Crosswalk'!$A$2:$C$182,2,FALSE),"")</f>
        <v/>
      </c>
      <c r="G1989" s="49" t="str">
        <f>IFERROR(VLOOKUP(E1989,'Condensed Specialty Crosswalk'!$A$2:$C$182,3,FALSE),"")</f>
        <v/>
      </c>
    </row>
    <row r="1990" spans="1:7" ht="15" customHeight="1">
      <c r="A1990" s="49"/>
      <c r="B1990" s="49" t="str">
        <f>CONCATENATE(Reports!E1989," ",Reports!F1989," ",Reports!G1989)</f>
        <v xml:space="preserve">  </v>
      </c>
      <c r="C1990" s="50"/>
      <c r="D1990" s="51"/>
      <c r="E1990" s="49" t="str">
        <f>IFERROR(VLOOKUP(D1990,'taxonomy map'!$A$1:$B$171,2,FALSE),"")</f>
        <v/>
      </c>
      <c r="F1990" s="49" t="str">
        <f>IFERROR(VLOOKUP(E1990,'Condensed Specialty Crosswalk'!$A$2:$C$182,2,FALSE),"")</f>
        <v/>
      </c>
      <c r="G1990" s="49" t="str">
        <f>IFERROR(VLOOKUP(E1990,'Condensed Specialty Crosswalk'!$A$2:$C$182,3,FALSE),"")</f>
        <v/>
      </c>
    </row>
    <row r="1991" spans="1:7" ht="15" customHeight="1">
      <c r="A1991" s="49"/>
      <c r="B1991" s="49" t="str">
        <f>CONCATENATE(Reports!E1990," ",Reports!F1990," ",Reports!G1990)</f>
        <v xml:space="preserve">  </v>
      </c>
      <c r="C1991" s="50"/>
      <c r="D1991" s="51"/>
      <c r="E1991" s="49" t="str">
        <f>IFERROR(VLOOKUP(D1991,'taxonomy map'!$A$1:$B$171,2,FALSE),"")</f>
        <v/>
      </c>
      <c r="F1991" s="49" t="str">
        <f>IFERROR(VLOOKUP(E1991,'Condensed Specialty Crosswalk'!$A$2:$C$182,2,FALSE),"")</f>
        <v/>
      </c>
      <c r="G1991" s="49" t="str">
        <f>IFERROR(VLOOKUP(E1991,'Condensed Specialty Crosswalk'!$A$2:$C$182,3,FALSE),"")</f>
        <v/>
      </c>
    </row>
    <row r="1992" spans="1:7" ht="15" customHeight="1">
      <c r="A1992" s="49"/>
      <c r="B1992" s="49" t="str">
        <f>CONCATENATE(Reports!E1991," ",Reports!F1991," ",Reports!G1991)</f>
        <v xml:space="preserve">  </v>
      </c>
      <c r="C1992" s="50"/>
      <c r="D1992" s="51"/>
      <c r="E1992" s="49" t="str">
        <f>IFERROR(VLOOKUP(D1992,'taxonomy map'!$A$1:$B$171,2,FALSE),"")</f>
        <v/>
      </c>
      <c r="F1992" s="49" t="str">
        <f>IFERROR(VLOOKUP(E1992,'Condensed Specialty Crosswalk'!$A$2:$C$182,2,FALSE),"")</f>
        <v/>
      </c>
      <c r="G1992" s="49" t="str">
        <f>IFERROR(VLOOKUP(E1992,'Condensed Specialty Crosswalk'!$A$2:$C$182,3,FALSE),"")</f>
        <v/>
      </c>
    </row>
    <row r="1993" spans="1:7" ht="15" customHeight="1">
      <c r="A1993" s="49"/>
      <c r="B1993" s="49" t="str">
        <f>CONCATENATE(Reports!E1992," ",Reports!F1992," ",Reports!G1992)</f>
        <v xml:space="preserve">  </v>
      </c>
      <c r="C1993" s="50"/>
      <c r="D1993" s="51"/>
      <c r="E1993" s="49" t="str">
        <f>IFERROR(VLOOKUP(D1993,'taxonomy map'!$A$1:$B$171,2,FALSE),"")</f>
        <v/>
      </c>
      <c r="F1993" s="49" t="str">
        <f>IFERROR(VLOOKUP(E1993,'Condensed Specialty Crosswalk'!$A$2:$C$182,2,FALSE),"")</f>
        <v/>
      </c>
      <c r="G1993" s="49" t="str">
        <f>IFERROR(VLOOKUP(E1993,'Condensed Specialty Crosswalk'!$A$2:$C$182,3,FALSE),"")</f>
        <v/>
      </c>
    </row>
    <row r="1994" spans="1:7" ht="15" customHeight="1">
      <c r="A1994" s="49"/>
      <c r="B1994" s="49" t="str">
        <f>CONCATENATE(Reports!E1993," ",Reports!F1993," ",Reports!G1993)</f>
        <v xml:space="preserve">  </v>
      </c>
      <c r="C1994" s="50"/>
      <c r="D1994" s="51"/>
      <c r="E1994" s="49" t="str">
        <f>IFERROR(VLOOKUP(D1994,'taxonomy map'!$A$1:$B$171,2,FALSE),"")</f>
        <v/>
      </c>
      <c r="F1994" s="49" t="str">
        <f>IFERROR(VLOOKUP(E1994,'Condensed Specialty Crosswalk'!$A$2:$C$182,2,FALSE),"")</f>
        <v/>
      </c>
      <c r="G1994" s="49" t="str">
        <f>IFERROR(VLOOKUP(E1994,'Condensed Specialty Crosswalk'!$A$2:$C$182,3,FALSE),"")</f>
        <v/>
      </c>
    </row>
    <row r="1995" spans="1:7" ht="15" customHeight="1">
      <c r="A1995" s="49"/>
      <c r="B1995" s="49" t="str">
        <f>CONCATENATE(Reports!E1994," ",Reports!F1994," ",Reports!G1994)</f>
        <v xml:space="preserve">  </v>
      </c>
      <c r="C1995" s="50"/>
      <c r="D1995" s="51"/>
      <c r="E1995" s="49" t="str">
        <f>IFERROR(VLOOKUP(D1995,'taxonomy map'!$A$1:$B$171,2,FALSE),"")</f>
        <v/>
      </c>
      <c r="F1995" s="49" t="str">
        <f>IFERROR(VLOOKUP(E1995,'Condensed Specialty Crosswalk'!$A$2:$C$182,2,FALSE),"")</f>
        <v/>
      </c>
      <c r="G1995" s="49" t="str">
        <f>IFERROR(VLOOKUP(E1995,'Condensed Specialty Crosswalk'!$A$2:$C$182,3,FALSE),"")</f>
        <v/>
      </c>
    </row>
    <row r="1996" spans="1:7" ht="15" customHeight="1">
      <c r="A1996" s="49"/>
      <c r="B1996" s="49" t="str">
        <f>CONCATENATE(Reports!E1995," ",Reports!F1995," ",Reports!G1995)</f>
        <v xml:space="preserve">  </v>
      </c>
      <c r="C1996" s="50"/>
      <c r="D1996" s="51"/>
      <c r="E1996" s="49" t="str">
        <f>IFERROR(VLOOKUP(D1996,'taxonomy map'!$A$1:$B$171,2,FALSE),"")</f>
        <v/>
      </c>
      <c r="F1996" s="49" t="str">
        <f>IFERROR(VLOOKUP(E1996,'Condensed Specialty Crosswalk'!$A$2:$C$182,2,FALSE),"")</f>
        <v/>
      </c>
      <c r="G1996" s="49" t="str">
        <f>IFERROR(VLOOKUP(E1996,'Condensed Specialty Crosswalk'!$A$2:$C$182,3,FALSE),"")</f>
        <v/>
      </c>
    </row>
    <row r="1997" spans="1:7" ht="15" customHeight="1">
      <c r="A1997" s="49"/>
      <c r="B1997" s="49" t="str">
        <f>CONCATENATE(Reports!E1996," ",Reports!F1996," ",Reports!G1996)</f>
        <v xml:space="preserve">  </v>
      </c>
      <c r="C1997" s="50"/>
      <c r="D1997" s="51"/>
      <c r="E1997" s="49" t="str">
        <f>IFERROR(VLOOKUP(D1997,'taxonomy map'!$A$1:$B$171,2,FALSE),"")</f>
        <v/>
      </c>
      <c r="F1997" s="49" t="str">
        <f>IFERROR(VLOOKUP(E1997,'Condensed Specialty Crosswalk'!$A$2:$C$182,2,FALSE),"")</f>
        <v/>
      </c>
      <c r="G1997" s="49" t="str">
        <f>IFERROR(VLOOKUP(E1997,'Condensed Specialty Crosswalk'!$A$2:$C$182,3,FALSE),"")</f>
        <v/>
      </c>
    </row>
    <row r="1998" spans="1:7" ht="15" customHeight="1">
      <c r="A1998" s="49"/>
      <c r="B1998" s="49" t="str">
        <f>CONCATENATE(Reports!E1997," ",Reports!F1997," ",Reports!G1997)</f>
        <v xml:space="preserve">  </v>
      </c>
      <c r="C1998" s="50"/>
      <c r="D1998" s="51"/>
      <c r="E1998" s="49" t="str">
        <f>IFERROR(VLOOKUP(D1998,'taxonomy map'!$A$1:$B$171,2,FALSE),"")</f>
        <v/>
      </c>
      <c r="F1998" s="49" t="str">
        <f>IFERROR(VLOOKUP(E1998,'Condensed Specialty Crosswalk'!$A$2:$C$182,2,FALSE),"")</f>
        <v/>
      </c>
      <c r="G1998" s="49" t="str">
        <f>IFERROR(VLOOKUP(E1998,'Condensed Specialty Crosswalk'!$A$2:$C$182,3,FALSE),"")</f>
        <v/>
      </c>
    </row>
    <row r="1999" spans="1:7" ht="15" customHeight="1">
      <c r="A1999" s="49"/>
      <c r="B1999" s="49" t="str">
        <f>CONCATENATE(Reports!E1998," ",Reports!F1998," ",Reports!G1998)</f>
        <v xml:space="preserve">  </v>
      </c>
      <c r="C1999" s="50"/>
      <c r="D1999" s="51"/>
      <c r="E1999" s="49" t="str">
        <f>IFERROR(VLOOKUP(D1999,'taxonomy map'!$A$1:$B$171,2,FALSE),"")</f>
        <v/>
      </c>
      <c r="F1999" s="49" t="str">
        <f>IFERROR(VLOOKUP(E1999,'Condensed Specialty Crosswalk'!$A$2:$C$182,2,FALSE),"")</f>
        <v/>
      </c>
      <c r="G1999" s="49" t="str">
        <f>IFERROR(VLOOKUP(E1999,'Condensed Specialty Crosswalk'!$A$2:$C$182,3,FALSE),"")</f>
        <v/>
      </c>
    </row>
    <row r="2000" spans="1:7" ht="15" customHeight="1">
      <c r="A2000" s="49"/>
      <c r="B2000" s="49" t="str">
        <f>CONCATENATE(Reports!E1999," ",Reports!F1999," ",Reports!G1999)</f>
        <v xml:space="preserve">  </v>
      </c>
      <c r="C2000" s="50"/>
      <c r="D2000" s="51"/>
      <c r="E2000" s="49" t="str">
        <f>IFERROR(VLOOKUP(D2000,'taxonomy map'!$A$1:$B$171,2,FALSE),"")</f>
        <v/>
      </c>
      <c r="F2000" s="49" t="str">
        <f>IFERROR(VLOOKUP(E2000,'Condensed Specialty Crosswalk'!$A$2:$C$182,2,FALSE),"")</f>
        <v/>
      </c>
      <c r="G2000" s="49" t="str">
        <f>IFERROR(VLOOKUP(E2000,'Condensed Specialty Crosswalk'!$A$2:$C$182,3,FALSE),"")</f>
        <v/>
      </c>
    </row>
    <row r="2001" spans="1:7" ht="15" customHeight="1">
      <c r="A2001" s="49"/>
      <c r="B2001" s="49" t="str">
        <f>CONCATENATE(Reports!E2000," ",Reports!F2000," ",Reports!G2000)</f>
        <v xml:space="preserve">  </v>
      </c>
      <c r="C2001" s="50"/>
      <c r="D2001" s="51"/>
      <c r="E2001" s="49" t="str">
        <f>IFERROR(VLOOKUP(D2001,'taxonomy map'!$A$1:$B$171,2,FALSE),"")</f>
        <v/>
      </c>
      <c r="F2001" s="49" t="str">
        <f>IFERROR(VLOOKUP(E2001,'Condensed Specialty Crosswalk'!$A$2:$C$182,2,FALSE),"")</f>
        <v/>
      </c>
      <c r="G2001" s="49" t="str">
        <f>IFERROR(VLOOKUP(E2001,'Condensed Specialty Crosswalk'!$A$2:$C$182,3,FALSE),"")</f>
        <v/>
      </c>
    </row>
    <row r="2002" spans="1:7" ht="15" customHeight="1">
      <c r="A2002" s="49"/>
      <c r="B2002" s="49" t="str">
        <f>CONCATENATE(Reports!E2001," ",Reports!F2001," ",Reports!G2001)</f>
        <v xml:space="preserve">  </v>
      </c>
      <c r="C2002" s="50"/>
      <c r="D2002" s="51"/>
      <c r="E2002" s="49" t="str">
        <f>IFERROR(VLOOKUP(D2002,'taxonomy map'!$A$1:$B$171,2,FALSE),"")</f>
        <v/>
      </c>
      <c r="F2002" s="49" t="str">
        <f>IFERROR(VLOOKUP(E2002,'Condensed Specialty Crosswalk'!$A$2:$C$182,2,FALSE),"")</f>
        <v/>
      </c>
      <c r="G2002" s="49" t="str">
        <f>IFERROR(VLOOKUP(E2002,'Condensed Specialty Crosswalk'!$A$2:$C$182,3,FALSE),"")</f>
        <v/>
      </c>
    </row>
    <row r="2003" spans="1:7" ht="15" customHeight="1">
      <c r="A2003" s="49"/>
      <c r="B2003" s="49" t="str">
        <f>CONCATENATE(Reports!E2002," ",Reports!F2002," ",Reports!G2002)</f>
        <v xml:space="preserve">  </v>
      </c>
      <c r="C2003" s="50"/>
      <c r="D2003" s="51"/>
      <c r="E2003" s="49" t="str">
        <f>IFERROR(VLOOKUP(D2003,'taxonomy map'!$A$1:$B$171,2,FALSE),"")</f>
        <v/>
      </c>
      <c r="F2003" s="49" t="str">
        <f>IFERROR(VLOOKUP(E2003,'Condensed Specialty Crosswalk'!$A$2:$C$182,2,FALSE),"")</f>
        <v/>
      </c>
      <c r="G2003" s="49" t="str">
        <f>IFERROR(VLOOKUP(E2003,'Condensed Specialty Crosswalk'!$A$2:$C$182,3,FALSE),"")</f>
        <v/>
      </c>
    </row>
    <row r="2004" spans="1:7" ht="15" customHeight="1">
      <c r="A2004" s="49"/>
      <c r="B2004" s="49" t="str">
        <f>CONCATENATE(Reports!E2003," ",Reports!F2003," ",Reports!G2003)</f>
        <v xml:space="preserve">  </v>
      </c>
      <c r="C2004" s="50"/>
      <c r="D2004" s="51"/>
      <c r="E2004" s="49" t="str">
        <f>IFERROR(VLOOKUP(D2004,'taxonomy map'!$A$1:$B$171,2,FALSE),"")</f>
        <v/>
      </c>
      <c r="F2004" s="49" t="str">
        <f>IFERROR(VLOOKUP(E2004,'Condensed Specialty Crosswalk'!$A$2:$C$182,2,FALSE),"")</f>
        <v/>
      </c>
      <c r="G2004" s="49" t="str">
        <f>IFERROR(VLOOKUP(E2004,'Condensed Specialty Crosswalk'!$A$2:$C$182,3,FALSE),"")</f>
        <v/>
      </c>
    </row>
    <row r="2005" spans="1:7" ht="15" customHeight="1">
      <c r="A2005" s="49"/>
      <c r="B2005" s="49" t="str">
        <f>CONCATENATE(Reports!E2004," ",Reports!F2004," ",Reports!G2004)</f>
        <v xml:space="preserve">  </v>
      </c>
      <c r="C2005" s="50"/>
      <c r="D2005" s="51"/>
      <c r="E2005" s="49" t="str">
        <f>IFERROR(VLOOKUP(D2005,'taxonomy map'!$A$1:$B$171,2,FALSE),"")</f>
        <v/>
      </c>
      <c r="F2005" s="49" t="str">
        <f>IFERROR(VLOOKUP(E2005,'Condensed Specialty Crosswalk'!$A$2:$C$182,2,FALSE),"")</f>
        <v/>
      </c>
      <c r="G2005" s="49" t="str">
        <f>IFERROR(VLOOKUP(E2005,'Condensed Specialty Crosswalk'!$A$2:$C$182,3,FALSE),"")</f>
        <v/>
      </c>
    </row>
    <row r="2006" spans="1:7" ht="15" customHeight="1">
      <c r="A2006" s="49"/>
      <c r="B2006" s="49" t="str">
        <f>CONCATENATE(Reports!E2005," ",Reports!F2005," ",Reports!G2005)</f>
        <v xml:space="preserve">  </v>
      </c>
      <c r="C2006" s="50"/>
      <c r="D2006" s="51"/>
      <c r="E2006" s="49" t="str">
        <f>IFERROR(VLOOKUP(D2006,'taxonomy map'!$A$1:$B$171,2,FALSE),"")</f>
        <v/>
      </c>
      <c r="F2006" s="49" t="str">
        <f>IFERROR(VLOOKUP(E2006,'Condensed Specialty Crosswalk'!$A$2:$C$182,2,FALSE),"")</f>
        <v/>
      </c>
      <c r="G2006" s="49" t="str">
        <f>IFERROR(VLOOKUP(E2006,'Condensed Specialty Crosswalk'!$A$2:$C$182,3,FALSE),"")</f>
        <v/>
      </c>
    </row>
    <row r="2007" spans="1:7" ht="15" customHeight="1">
      <c r="A2007" s="49"/>
      <c r="B2007" s="49" t="str">
        <f>CONCATENATE(Reports!E2006," ",Reports!F2006," ",Reports!G2006)</f>
        <v xml:space="preserve">  </v>
      </c>
      <c r="C2007" s="50"/>
      <c r="D2007" s="51"/>
      <c r="E2007" s="49" t="str">
        <f>IFERROR(VLOOKUP(D2007,'taxonomy map'!$A$1:$B$171,2,FALSE),"")</f>
        <v/>
      </c>
      <c r="F2007" s="49" t="str">
        <f>IFERROR(VLOOKUP(E2007,'Condensed Specialty Crosswalk'!$A$2:$C$182,2,FALSE),"")</f>
        <v/>
      </c>
      <c r="G2007" s="49" t="str">
        <f>IFERROR(VLOOKUP(E2007,'Condensed Specialty Crosswalk'!$A$2:$C$182,3,FALSE),"")</f>
        <v/>
      </c>
    </row>
    <row r="2008" spans="1:7" ht="15" customHeight="1">
      <c r="A2008" s="49"/>
      <c r="B2008" s="49" t="str">
        <f>CONCATENATE(Reports!E2007," ",Reports!F2007," ",Reports!G2007)</f>
        <v xml:space="preserve">  </v>
      </c>
      <c r="C2008" s="50"/>
      <c r="D2008" s="51"/>
      <c r="E2008" s="49" t="str">
        <f>IFERROR(VLOOKUP(D2008,'taxonomy map'!$A$1:$B$171,2,FALSE),"")</f>
        <v/>
      </c>
      <c r="F2008" s="49" t="str">
        <f>IFERROR(VLOOKUP(E2008,'Condensed Specialty Crosswalk'!$A$2:$C$182,2,FALSE),"")</f>
        <v/>
      </c>
      <c r="G2008" s="49" t="str">
        <f>IFERROR(VLOOKUP(E2008,'Condensed Specialty Crosswalk'!$A$2:$C$182,3,FALSE),"")</f>
        <v/>
      </c>
    </row>
    <row r="2009" spans="1:7" ht="15" customHeight="1">
      <c r="A2009" s="49"/>
      <c r="B2009" s="49" t="str">
        <f>CONCATENATE(Reports!E2008," ",Reports!F2008," ",Reports!G2008)</f>
        <v xml:space="preserve">  </v>
      </c>
      <c r="C2009" s="50"/>
      <c r="D2009" s="51"/>
      <c r="E2009" s="49" t="str">
        <f>IFERROR(VLOOKUP(D2009,'taxonomy map'!$A$1:$B$171,2,FALSE),"")</f>
        <v/>
      </c>
      <c r="F2009" s="49" t="str">
        <f>IFERROR(VLOOKUP(E2009,'Condensed Specialty Crosswalk'!$A$2:$C$182,2,FALSE),"")</f>
        <v/>
      </c>
      <c r="G2009" s="49" t="str">
        <f>IFERROR(VLOOKUP(E2009,'Condensed Specialty Crosswalk'!$A$2:$C$182,3,FALSE),"")</f>
        <v/>
      </c>
    </row>
    <row r="2010" spans="1:7" ht="15" customHeight="1">
      <c r="A2010" s="49"/>
      <c r="B2010" s="49" t="str">
        <f>CONCATENATE(Reports!E2009," ",Reports!F2009," ",Reports!G2009)</f>
        <v xml:space="preserve">  </v>
      </c>
      <c r="C2010" s="50"/>
      <c r="D2010" s="51"/>
      <c r="E2010" s="49" t="str">
        <f>IFERROR(VLOOKUP(D2010,'taxonomy map'!$A$1:$B$171,2,FALSE),"")</f>
        <v/>
      </c>
      <c r="F2010" s="49" t="str">
        <f>IFERROR(VLOOKUP(E2010,'Condensed Specialty Crosswalk'!$A$2:$C$182,2,FALSE),"")</f>
        <v/>
      </c>
      <c r="G2010" s="49" t="str">
        <f>IFERROR(VLOOKUP(E2010,'Condensed Specialty Crosswalk'!$A$2:$C$182,3,FALSE),"")</f>
        <v/>
      </c>
    </row>
    <row r="2011" spans="1:7" ht="15" customHeight="1">
      <c r="A2011" s="49"/>
      <c r="B2011" s="49" t="str">
        <f>CONCATENATE(Reports!E2010," ",Reports!F2010," ",Reports!G2010)</f>
        <v xml:space="preserve">  </v>
      </c>
      <c r="C2011" s="50"/>
      <c r="D2011" s="51"/>
      <c r="E2011" s="49" t="str">
        <f>IFERROR(VLOOKUP(D2011,'taxonomy map'!$A$1:$B$171,2,FALSE),"")</f>
        <v/>
      </c>
      <c r="F2011" s="49" t="str">
        <f>IFERROR(VLOOKUP(E2011,'Condensed Specialty Crosswalk'!$A$2:$C$182,2,FALSE),"")</f>
        <v/>
      </c>
      <c r="G2011" s="49" t="str">
        <f>IFERROR(VLOOKUP(E2011,'Condensed Specialty Crosswalk'!$A$2:$C$182,3,FALSE),"")</f>
        <v/>
      </c>
    </row>
    <row r="2012" spans="1:7" ht="15" customHeight="1">
      <c r="A2012" s="49"/>
      <c r="B2012" s="49" t="str">
        <f>CONCATENATE(Reports!E2011," ",Reports!F2011," ",Reports!G2011)</f>
        <v xml:space="preserve">  </v>
      </c>
      <c r="C2012" s="50"/>
      <c r="D2012" s="51"/>
      <c r="E2012" s="49" t="str">
        <f>IFERROR(VLOOKUP(D2012,'taxonomy map'!$A$1:$B$171,2,FALSE),"")</f>
        <v/>
      </c>
      <c r="F2012" s="49" t="str">
        <f>IFERROR(VLOOKUP(E2012,'Condensed Specialty Crosswalk'!$A$2:$C$182,2,FALSE),"")</f>
        <v/>
      </c>
      <c r="G2012" s="49" t="str">
        <f>IFERROR(VLOOKUP(E2012,'Condensed Specialty Crosswalk'!$A$2:$C$182,3,FALSE),"")</f>
        <v/>
      </c>
    </row>
    <row r="2013" spans="1:7" ht="15" customHeight="1">
      <c r="A2013" s="49"/>
      <c r="B2013" s="49" t="str">
        <f>CONCATENATE(Reports!E2012," ",Reports!F2012," ",Reports!G2012)</f>
        <v xml:space="preserve">  </v>
      </c>
      <c r="C2013" s="50"/>
      <c r="D2013" s="51"/>
      <c r="E2013" s="49" t="str">
        <f>IFERROR(VLOOKUP(D2013,'taxonomy map'!$A$1:$B$171,2,FALSE),"")</f>
        <v/>
      </c>
      <c r="F2013" s="49" t="str">
        <f>IFERROR(VLOOKUP(E2013,'Condensed Specialty Crosswalk'!$A$2:$C$182,2,FALSE),"")</f>
        <v/>
      </c>
      <c r="G2013" s="49" t="str">
        <f>IFERROR(VLOOKUP(E2013,'Condensed Specialty Crosswalk'!$A$2:$C$182,3,FALSE),"")</f>
        <v/>
      </c>
    </row>
    <row r="2014" spans="1:7" ht="15" customHeight="1">
      <c r="A2014" s="49"/>
      <c r="B2014" s="49" t="str">
        <f>CONCATENATE(Reports!E2013," ",Reports!F2013," ",Reports!G2013)</f>
        <v xml:space="preserve">  </v>
      </c>
      <c r="C2014" s="50"/>
      <c r="D2014" s="51"/>
      <c r="E2014" s="49" t="str">
        <f>IFERROR(VLOOKUP(D2014,'taxonomy map'!$A$1:$B$171,2,FALSE),"")</f>
        <v/>
      </c>
      <c r="F2014" s="49" t="str">
        <f>IFERROR(VLOOKUP(E2014,'Condensed Specialty Crosswalk'!$A$2:$C$182,2,FALSE),"")</f>
        <v/>
      </c>
      <c r="G2014" s="49" t="str">
        <f>IFERROR(VLOOKUP(E2014,'Condensed Specialty Crosswalk'!$A$2:$C$182,3,FALSE),"")</f>
        <v/>
      </c>
    </row>
    <row r="2015" spans="1:7" ht="15" customHeight="1">
      <c r="A2015" s="49"/>
      <c r="B2015" s="49" t="str">
        <f>CONCATENATE(Reports!E2014," ",Reports!F2014," ",Reports!G2014)</f>
        <v xml:space="preserve">  </v>
      </c>
      <c r="C2015" s="50"/>
      <c r="D2015" s="51"/>
      <c r="E2015" s="49" t="str">
        <f>IFERROR(VLOOKUP(D2015,'taxonomy map'!$A$1:$B$171,2,FALSE),"")</f>
        <v/>
      </c>
      <c r="F2015" s="49" t="str">
        <f>IFERROR(VLOOKUP(E2015,'Condensed Specialty Crosswalk'!$A$2:$C$182,2,FALSE),"")</f>
        <v/>
      </c>
      <c r="G2015" s="49" t="str">
        <f>IFERROR(VLOOKUP(E2015,'Condensed Specialty Crosswalk'!$A$2:$C$182,3,FALSE),"")</f>
        <v/>
      </c>
    </row>
    <row r="2016" spans="1:7" ht="15" customHeight="1">
      <c r="A2016" s="49"/>
      <c r="B2016" s="49" t="str">
        <f>CONCATENATE(Reports!E2015," ",Reports!F2015," ",Reports!G2015)</f>
        <v xml:space="preserve">  </v>
      </c>
      <c r="C2016" s="50"/>
      <c r="D2016" s="51"/>
      <c r="E2016" s="49" t="str">
        <f>IFERROR(VLOOKUP(D2016,'taxonomy map'!$A$1:$B$171,2,FALSE),"")</f>
        <v/>
      </c>
      <c r="F2016" s="49" t="str">
        <f>IFERROR(VLOOKUP(E2016,'Condensed Specialty Crosswalk'!$A$2:$C$182,2,FALSE),"")</f>
        <v/>
      </c>
      <c r="G2016" s="49" t="str">
        <f>IFERROR(VLOOKUP(E2016,'Condensed Specialty Crosswalk'!$A$2:$C$182,3,FALSE),"")</f>
        <v/>
      </c>
    </row>
    <row r="2017" spans="1:7" ht="15" customHeight="1">
      <c r="A2017" s="49"/>
      <c r="B2017" s="49" t="str">
        <f>CONCATENATE(Reports!E2016," ",Reports!F2016," ",Reports!G2016)</f>
        <v xml:space="preserve">  </v>
      </c>
      <c r="C2017" s="50"/>
      <c r="D2017" s="51"/>
      <c r="E2017" s="49" t="str">
        <f>IFERROR(VLOOKUP(D2017,'taxonomy map'!$A$1:$B$171,2,FALSE),"")</f>
        <v/>
      </c>
      <c r="F2017" s="49" t="str">
        <f>IFERROR(VLOOKUP(E2017,'Condensed Specialty Crosswalk'!$A$2:$C$182,2,FALSE),"")</f>
        <v/>
      </c>
      <c r="G2017" s="49" t="str">
        <f>IFERROR(VLOOKUP(E2017,'Condensed Specialty Crosswalk'!$A$2:$C$182,3,FALSE),"")</f>
        <v/>
      </c>
    </row>
    <row r="2018" spans="1:7" ht="15" customHeight="1">
      <c r="A2018" s="49"/>
      <c r="B2018" s="49" t="str">
        <f>CONCATENATE(Reports!E2017," ",Reports!F2017," ",Reports!G2017)</f>
        <v xml:space="preserve">  </v>
      </c>
      <c r="C2018" s="50"/>
      <c r="D2018" s="51"/>
      <c r="E2018" s="49" t="str">
        <f>IFERROR(VLOOKUP(D2018,'taxonomy map'!$A$1:$B$171,2,FALSE),"")</f>
        <v/>
      </c>
      <c r="F2018" s="49" t="str">
        <f>IFERROR(VLOOKUP(E2018,'Condensed Specialty Crosswalk'!$A$2:$C$182,2,FALSE),"")</f>
        <v/>
      </c>
      <c r="G2018" s="49" t="str">
        <f>IFERROR(VLOOKUP(E2018,'Condensed Specialty Crosswalk'!$A$2:$C$182,3,FALSE),"")</f>
        <v/>
      </c>
    </row>
    <row r="2019" spans="1:7" ht="15" customHeight="1">
      <c r="A2019" s="49"/>
      <c r="B2019" s="49" t="str">
        <f>CONCATENATE(Reports!E2018," ",Reports!F2018," ",Reports!G2018)</f>
        <v xml:space="preserve">  </v>
      </c>
      <c r="C2019" s="50"/>
      <c r="D2019" s="51"/>
      <c r="E2019" s="49" t="str">
        <f>IFERROR(VLOOKUP(D2019,'taxonomy map'!$A$1:$B$171,2,FALSE),"")</f>
        <v/>
      </c>
      <c r="F2019" s="49" t="str">
        <f>IFERROR(VLOOKUP(E2019,'Condensed Specialty Crosswalk'!$A$2:$C$182,2,FALSE),"")</f>
        <v/>
      </c>
      <c r="G2019" s="49" t="str">
        <f>IFERROR(VLOOKUP(E2019,'Condensed Specialty Crosswalk'!$A$2:$C$182,3,FALSE),"")</f>
        <v/>
      </c>
    </row>
    <row r="2020" spans="1:7" ht="15" customHeight="1">
      <c r="A2020" s="49"/>
      <c r="B2020" s="49" t="str">
        <f>CONCATENATE(Reports!E2019," ",Reports!F2019," ",Reports!G2019)</f>
        <v xml:space="preserve">  </v>
      </c>
      <c r="C2020" s="50"/>
      <c r="D2020" s="51"/>
      <c r="E2020" s="49" t="str">
        <f>IFERROR(VLOOKUP(D2020,'taxonomy map'!$A$1:$B$171,2,FALSE),"")</f>
        <v/>
      </c>
      <c r="F2020" s="49" t="str">
        <f>IFERROR(VLOOKUP(E2020,'Condensed Specialty Crosswalk'!$A$2:$C$182,2,FALSE),"")</f>
        <v/>
      </c>
      <c r="G2020" s="49" t="str">
        <f>IFERROR(VLOOKUP(E2020,'Condensed Specialty Crosswalk'!$A$2:$C$182,3,FALSE),"")</f>
        <v/>
      </c>
    </row>
    <row r="2021" spans="1:7" ht="15" customHeight="1">
      <c r="A2021" s="49"/>
      <c r="B2021" s="49" t="str">
        <f>CONCATENATE(Reports!E2020," ",Reports!F2020," ",Reports!G2020)</f>
        <v xml:space="preserve">  </v>
      </c>
      <c r="C2021" s="50"/>
      <c r="D2021" s="51"/>
      <c r="E2021" s="49" t="str">
        <f>IFERROR(VLOOKUP(D2021,'taxonomy map'!$A$1:$B$171,2,FALSE),"")</f>
        <v/>
      </c>
      <c r="F2021" s="49" t="str">
        <f>IFERROR(VLOOKUP(E2021,'Condensed Specialty Crosswalk'!$A$2:$C$182,2,FALSE),"")</f>
        <v/>
      </c>
      <c r="G2021" s="49" t="str">
        <f>IFERROR(VLOOKUP(E2021,'Condensed Specialty Crosswalk'!$A$2:$C$182,3,FALSE),"")</f>
        <v/>
      </c>
    </row>
    <row r="2022" spans="1:7" ht="15" customHeight="1">
      <c r="A2022" s="49"/>
      <c r="B2022" s="49" t="str">
        <f>CONCATENATE(Reports!E2021," ",Reports!F2021," ",Reports!G2021)</f>
        <v xml:space="preserve">  </v>
      </c>
      <c r="C2022" s="50"/>
      <c r="D2022" s="51"/>
      <c r="E2022" s="49" t="str">
        <f>IFERROR(VLOOKUP(D2022,'taxonomy map'!$A$1:$B$171,2,FALSE),"")</f>
        <v/>
      </c>
      <c r="F2022" s="49" t="str">
        <f>IFERROR(VLOOKUP(E2022,'Condensed Specialty Crosswalk'!$A$2:$C$182,2,FALSE),"")</f>
        <v/>
      </c>
      <c r="G2022" s="49" t="str">
        <f>IFERROR(VLOOKUP(E2022,'Condensed Specialty Crosswalk'!$A$2:$C$182,3,FALSE),"")</f>
        <v/>
      </c>
    </row>
    <row r="2023" spans="1:7" ht="15" customHeight="1">
      <c r="A2023" s="49"/>
      <c r="B2023" s="49" t="str">
        <f>CONCATENATE(Reports!E2022," ",Reports!F2022," ",Reports!G2022)</f>
        <v xml:space="preserve">  </v>
      </c>
      <c r="C2023" s="50"/>
      <c r="D2023" s="51"/>
      <c r="E2023" s="49" t="str">
        <f>IFERROR(VLOOKUP(D2023,'taxonomy map'!$A$1:$B$171,2,FALSE),"")</f>
        <v/>
      </c>
      <c r="F2023" s="49" t="str">
        <f>IFERROR(VLOOKUP(E2023,'Condensed Specialty Crosswalk'!$A$2:$C$182,2,FALSE),"")</f>
        <v/>
      </c>
      <c r="G2023" s="49" t="str">
        <f>IFERROR(VLOOKUP(E2023,'Condensed Specialty Crosswalk'!$A$2:$C$182,3,FALSE),"")</f>
        <v/>
      </c>
    </row>
    <row r="2024" spans="1:7" ht="15" customHeight="1">
      <c r="A2024" s="49"/>
      <c r="B2024" s="49" t="str">
        <f>CONCATENATE(Reports!E2023," ",Reports!F2023," ",Reports!G2023)</f>
        <v xml:space="preserve">  </v>
      </c>
      <c r="C2024" s="50"/>
      <c r="D2024" s="51"/>
      <c r="E2024" s="49" t="str">
        <f>IFERROR(VLOOKUP(D2024,'taxonomy map'!$A$1:$B$171,2,FALSE),"")</f>
        <v/>
      </c>
      <c r="F2024" s="49" t="str">
        <f>IFERROR(VLOOKUP(E2024,'Condensed Specialty Crosswalk'!$A$2:$C$182,2,FALSE),"")</f>
        <v/>
      </c>
      <c r="G2024" s="49" t="str">
        <f>IFERROR(VLOOKUP(E2024,'Condensed Specialty Crosswalk'!$A$2:$C$182,3,FALSE),"")</f>
        <v/>
      </c>
    </row>
    <row r="2025" spans="1:7" ht="15" customHeight="1">
      <c r="A2025" s="49"/>
      <c r="B2025" s="49" t="str">
        <f>CONCATENATE(Reports!E2024," ",Reports!F2024," ",Reports!G2024)</f>
        <v xml:space="preserve">  </v>
      </c>
      <c r="C2025" s="50"/>
      <c r="D2025" s="51"/>
      <c r="E2025" s="49" t="str">
        <f>IFERROR(VLOOKUP(D2025,'taxonomy map'!$A$1:$B$171,2,FALSE),"")</f>
        <v/>
      </c>
      <c r="F2025" s="49" t="str">
        <f>IFERROR(VLOOKUP(E2025,'Condensed Specialty Crosswalk'!$A$2:$C$182,2,FALSE),"")</f>
        <v/>
      </c>
      <c r="G2025" s="49" t="str">
        <f>IFERROR(VLOOKUP(E2025,'Condensed Specialty Crosswalk'!$A$2:$C$182,3,FALSE),"")</f>
        <v/>
      </c>
    </row>
    <row r="2026" spans="1:7" ht="15" customHeight="1">
      <c r="A2026" s="49"/>
      <c r="B2026" s="49" t="str">
        <f>CONCATENATE(Reports!E2025," ",Reports!F2025," ",Reports!G2025)</f>
        <v xml:space="preserve">  </v>
      </c>
      <c r="C2026" s="50"/>
      <c r="D2026" s="51"/>
      <c r="E2026" s="49" t="str">
        <f>IFERROR(VLOOKUP(D2026,'taxonomy map'!$A$1:$B$171,2,FALSE),"")</f>
        <v/>
      </c>
      <c r="F2026" s="49" t="str">
        <f>IFERROR(VLOOKUP(E2026,'Condensed Specialty Crosswalk'!$A$2:$C$182,2,FALSE),"")</f>
        <v/>
      </c>
      <c r="G2026" s="49" t="str">
        <f>IFERROR(VLOOKUP(E2026,'Condensed Specialty Crosswalk'!$A$2:$C$182,3,FALSE),"")</f>
        <v/>
      </c>
    </row>
    <row r="2027" spans="1:7" ht="15" customHeight="1">
      <c r="A2027" s="49"/>
      <c r="B2027" s="49" t="str">
        <f>CONCATENATE(Reports!E2026," ",Reports!F2026," ",Reports!G2026)</f>
        <v xml:space="preserve">  </v>
      </c>
      <c r="C2027" s="50"/>
      <c r="D2027" s="51"/>
      <c r="E2027" s="49" t="str">
        <f>IFERROR(VLOOKUP(D2027,'taxonomy map'!$A$1:$B$171,2,FALSE),"")</f>
        <v/>
      </c>
      <c r="F2027" s="49" t="str">
        <f>IFERROR(VLOOKUP(E2027,'Condensed Specialty Crosswalk'!$A$2:$C$182,2,FALSE),"")</f>
        <v/>
      </c>
      <c r="G2027" s="49" t="str">
        <f>IFERROR(VLOOKUP(E2027,'Condensed Specialty Crosswalk'!$A$2:$C$182,3,FALSE),"")</f>
        <v/>
      </c>
    </row>
    <row r="2028" spans="1:7" ht="15" customHeight="1">
      <c r="A2028" s="49"/>
      <c r="B2028" s="49" t="str">
        <f>CONCATENATE(Reports!E2027," ",Reports!F2027," ",Reports!G2027)</f>
        <v xml:space="preserve">  </v>
      </c>
      <c r="C2028" s="50"/>
      <c r="D2028" s="51"/>
      <c r="E2028" s="49" t="str">
        <f>IFERROR(VLOOKUP(D2028,'taxonomy map'!$A$1:$B$171,2,FALSE),"")</f>
        <v/>
      </c>
      <c r="F2028" s="49" t="str">
        <f>IFERROR(VLOOKUP(E2028,'Condensed Specialty Crosswalk'!$A$2:$C$182,2,FALSE),"")</f>
        <v/>
      </c>
      <c r="G2028" s="49" t="str">
        <f>IFERROR(VLOOKUP(E2028,'Condensed Specialty Crosswalk'!$A$2:$C$182,3,FALSE),"")</f>
        <v/>
      </c>
    </row>
    <row r="2029" spans="1:7" ht="15" customHeight="1">
      <c r="A2029" s="49"/>
      <c r="B2029" s="49" t="str">
        <f>CONCATENATE(Reports!E2028," ",Reports!F2028," ",Reports!G2028)</f>
        <v xml:space="preserve">  </v>
      </c>
      <c r="C2029" s="50"/>
      <c r="D2029" s="51"/>
      <c r="E2029" s="49" t="str">
        <f>IFERROR(VLOOKUP(D2029,'taxonomy map'!$A$1:$B$171,2,FALSE),"")</f>
        <v/>
      </c>
      <c r="F2029" s="49" t="str">
        <f>IFERROR(VLOOKUP(E2029,'Condensed Specialty Crosswalk'!$A$2:$C$182,2,FALSE),"")</f>
        <v/>
      </c>
      <c r="G2029" s="49" t="str">
        <f>IFERROR(VLOOKUP(E2029,'Condensed Specialty Crosswalk'!$A$2:$C$182,3,FALSE),"")</f>
        <v/>
      </c>
    </row>
    <row r="2030" spans="1:7" ht="15" customHeight="1">
      <c r="A2030" s="49"/>
      <c r="B2030" s="49" t="str">
        <f>CONCATENATE(Reports!E2029," ",Reports!F2029," ",Reports!G2029)</f>
        <v xml:space="preserve">  </v>
      </c>
      <c r="C2030" s="50"/>
      <c r="D2030" s="51"/>
      <c r="E2030" s="49" t="str">
        <f>IFERROR(VLOOKUP(D2030,'taxonomy map'!$A$1:$B$171,2,FALSE),"")</f>
        <v/>
      </c>
      <c r="F2030" s="49" t="str">
        <f>IFERROR(VLOOKUP(E2030,'Condensed Specialty Crosswalk'!$A$2:$C$182,2,FALSE),"")</f>
        <v/>
      </c>
      <c r="G2030" s="49" t="str">
        <f>IFERROR(VLOOKUP(E2030,'Condensed Specialty Crosswalk'!$A$2:$C$182,3,FALSE),"")</f>
        <v/>
      </c>
    </row>
    <row r="2031" spans="1:7" ht="15" customHeight="1">
      <c r="A2031" s="49"/>
      <c r="B2031" s="49" t="str">
        <f>CONCATENATE(Reports!E2030," ",Reports!F2030," ",Reports!G2030)</f>
        <v xml:space="preserve">  </v>
      </c>
      <c r="C2031" s="50"/>
      <c r="D2031" s="51"/>
      <c r="E2031" s="49" t="str">
        <f>IFERROR(VLOOKUP(D2031,'taxonomy map'!$A$1:$B$171,2,FALSE),"")</f>
        <v/>
      </c>
      <c r="F2031" s="49" t="str">
        <f>IFERROR(VLOOKUP(E2031,'Condensed Specialty Crosswalk'!$A$2:$C$182,2,FALSE),"")</f>
        <v/>
      </c>
      <c r="G2031" s="49" t="str">
        <f>IFERROR(VLOOKUP(E2031,'Condensed Specialty Crosswalk'!$A$2:$C$182,3,FALSE),"")</f>
        <v/>
      </c>
    </row>
    <row r="2032" spans="1:7" ht="15" customHeight="1">
      <c r="A2032" s="49"/>
      <c r="B2032" s="49" t="str">
        <f>CONCATENATE(Reports!E2031," ",Reports!F2031," ",Reports!G2031)</f>
        <v xml:space="preserve">  </v>
      </c>
      <c r="C2032" s="50"/>
      <c r="D2032" s="51"/>
      <c r="E2032" s="49" t="str">
        <f>IFERROR(VLOOKUP(D2032,'taxonomy map'!$A$1:$B$171,2,FALSE),"")</f>
        <v/>
      </c>
      <c r="F2032" s="49" t="str">
        <f>IFERROR(VLOOKUP(E2032,'Condensed Specialty Crosswalk'!$A$2:$C$182,2,FALSE),"")</f>
        <v/>
      </c>
      <c r="G2032" s="49" t="str">
        <f>IFERROR(VLOOKUP(E2032,'Condensed Specialty Crosswalk'!$A$2:$C$182,3,FALSE),"")</f>
        <v/>
      </c>
    </row>
    <row r="2033" spans="1:7" ht="15" customHeight="1">
      <c r="A2033" s="49"/>
      <c r="B2033" s="49" t="str">
        <f>CONCATENATE(Reports!E2032," ",Reports!F2032," ",Reports!G2032)</f>
        <v xml:space="preserve">  </v>
      </c>
      <c r="C2033" s="50"/>
      <c r="D2033" s="51"/>
      <c r="E2033" s="49" t="str">
        <f>IFERROR(VLOOKUP(D2033,'taxonomy map'!$A$1:$B$171,2,FALSE),"")</f>
        <v/>
      </c>
      <c r="F2033" s="49" t="str">
        <f>IFERROR(VLOOKUP(E2033,'Condensed Specialty Crosswalk'!$A$2:$C$182,2,FALSE),"")</f>
        <v/>
      </c>
      <c r="G2033" s="49" t="str">
        <f>IFERROR(VLOOKUP(E2033,'Condensed Specialty Crosswalk'!$A$2:$C$182,3,FALSE),"")</f>
        <v/>
      </c>
    </row>
    <row r="2034" spans="1:7" ht="15" customHeight="1">
      <c r="A2034" s="49"/>
      <c r="B2034" s="49" t="str">
        <f>CONCATENATE(Reports!E2033," ",Reports!F2033," ",Reports!G2033)</f>
        <v xml:space="preserve">  </v>
      </c>
      <c r="C2034" s="50"/>
      <c r="D2034" s="51"/>
      <c r="E2034" s="49" t="str">
        <f>IFERROR(VLOOKUP(D2034,'taxonomy map'!$A$1:$B$171,2,FALSE),"")</f>
        <v/>
      </c>
      <c r="F2034" s="49" t="str">
        <f>IFERROR(VLOOKUP(E2034,'Condensed Specialty Crosswalk'!$A$2:$C$182,2,FALSE),"")</f>
        <v/>
      </c>
      <c r="G2034" s="49" t="str">
        <f>IFERROR(VLOOKUP(E2034,'Condensed Specialty Crosswalk'!$A$2:$C$182,3,FALSE),"")</f>
        <v/>
      </c>
    </row>
    <row r="2035" spans="1:7" ht="15" customHeight="1">
      <c r="A2035" s="49"/>
      <c r="B2035" s="49" t="str">
        <f>CONCATENATE(Reports!E2034," ",Reports!F2034," ",Reports!G2034)</f>
        <v xml:space="preserve">  </v>
      </c>
      <c r="C2035" s="50"/>
      <c r="D2035" s="51"/>
      <c r="E2035" s="49" t="str">
        <f>IFERROR(VLOOKUP(D2035,'taxonomy map'!$A$1:$B$171,2,FALSE),"")</f>
        <v/>
      </c>
      <c r="F2035" s="49" t="str">
        <f>IFERROR(VLOOKUP(E2035,'Condensed Specialty Crosswalk'!$A$2:$C$182,2,FALSE),"")</f>
        <v/>
      </c>
      <c r="G2035" s="49" t="str">
        <f>IFERROR(VLOOKUP(E2035,'Condensed Specialty Crosswalk'!$A$2:$C$182,3,FALSE),"")</f>
        <v/>
      </c>
    </row>
    <row r="2036" spans="1:7" ht="15" customHeight="1">
      <c r="A2036" s="49"/>
      <c r="B2036" s="49" t="str">
        <f>CONCATENATE(Reports!E2035," ",Reports!F2035," ",Reports!G2035)</f>
        <v xml:space="preserve">  </v>
      </c>
      <c r="C2036" s="50"/>
      <c r="D2036" s="51"/>
      <c r="E2036" s="49" t="str">
        <f>IFERROR(VLOOKUP(D2036,'taxonomy map'!$A$1:$B$171,2,FALSE),"")</f>
        <v/>
      </c>
      <c r="F2036" s="49" t="str">
        <f>IFERROR(VLOOKUP(E2036,'Condensed Specialty Crosswalk'!$A$2:$C$182,2,FALSE),"")</f>
        <v/>
      </c>
      <c r="G2036" s="49" t="str">
        <f>IFERROR(VLOOKUP(E2036,'Condensed Specialty Crosswalk'!$A$2:$C$182,3,FALSE),"")</f>
        <v/>
      </c>
    </row>
    <row r="2037" spans="1:7" ht="15" customHeight="1">
      <c r="A2037" s="49"/>
      <c r="B2037" s="49" t="str">
        <f>CONCATENATE(Reports!E2036," ",Reports!F2036," ",Reports!G2036)</f>
        <v xml:space="preserve">  </v>
      </c>
      <c r="C2037" s="50"/>
      <c r="D2037" s="51"/>
      <c r="E2037" s="49" t="str">
        <f>IFERROR(VLOOKUP(D2037,'taxonomy map'!$A$1:$B$171,2,FALSE),"")</f>
        <v/>
      </c>
      <c r="F2037" s="49" t="str">
        <f>IFERROR(VLOOKUP(E2037,'Condensed Specialty Crosswalk'!$A$2:$C$182,2,FALSE),"")</f>
        <v/>
      </c>
      <c r="G2037" s="49" t="str">
        <f>IFERROR(VLOOKUP(E2037,'Condensed Specialty Crosswalk'!$A$2:$C$182,3,FALSE),"")</f>
        <v/>
      </c>
    </row>
    <row r="2038" spans="1:7" ht="15" customHeight="1">
      <c r="A2038" s="49"/>
      <c r="B2038" s="49" t="str">
        <f>CONCATENATE(Reports!E2037," ",Reports!F2037," ",Reports!G2037)</f>
        <v xml:space="preserve">  </v>
      </c>
      <c r="C2038" s="50"/>
      <c r="D2038" s="51"/>
      <c r="E2038" s="49" t="str">
        <f>IFERROR(VLOOKUP(D2038,'taxonomy map'!$A$1:$B$171,2,FALSE),"")</f>
        <v/>
      </c>
      <c r="F2038" s="49" t="str">
        <f>IFERROR(VLOOKUP(E2038,'Condensed Specialty Crosswalk'!$A$2:$C$182,2,FALSE),"")</f>
        <v/>
      </c>
      <c r="G2038" s="49" t="str">
        <f>IFERROR(VLOOKUP(E2038,'Condensed Specialty Crosswalk'!$A$2:$C$182,3,FALSE),"")</f>
        <v/>
      </c>
    </row>
    <row r="2039" spans="1:7" ht="15" customHeight="1">
      <c r="A2039" s="49"/>
      <c r="B2039" s="49" t="str">
        <f>CONCATENATE(Reports!E2038," ",Reports!F2038," ",Reports!G2038)</f>
        <v xml:space="preserve">  </v>
      </c>
      <c r="C2039" s="50"/>
      <c r="D2039" s="51"/>
      <c r="E2039" s="49" t="str">
        <f>IFERROR(VLOOKUP(D2039,'taxonomy map'!$A$1:$B$171,2,FALSE),"")</f>
        <v/>
      </c>
      <c r="F2039" s="49" t="str">
        <f>IFERROR(VLOOKUP(E2039,'Condensed Specialty Crosswalk'!$A$2:$C$182,2,FALSE),"")</f>
        <v/>
      </c>
      <c r="G2039" s="49" t="str">
        <f>IFERROR(VLOOKUP(E2039,'Condensed Specialty Crosswalk'!$A$2:$C$182,3,FALSE),"")</f>
        <v/>
      </c>
    </row>
    <row r="2040" spans="1:7" ht="15" customHeight="1">
      <c r="A2040" s="49"/>
      <c r="B2040" s="49" t="str">
        <f>CONCATENATE(Reports!E2039," ",Reports!F2039," ",Reports!G2039)</f>
        <v xml:space="preserve">  </v>
      </c>
      <c r="C2040" s="50"/>
      <c r="D2040" s="51"/>
      <c r="E2040" s="49" t="str">
        <f>IFERROR(VLOOKUP(D2040,'taxonomy map'!$A$1:$B$171,2,FALSE),"")</f>
        <v/>
      </c>
      <c r="F2040" s="49" t="str">
        <f>IFERROR(VLOOKUP(E2040,'Condensed Specialty Crosswalk'!$A$2:$C$182,2,FALSE),"")</f>
        <v/>
      </c>
      <c r="G2040" s="49" t="str">
        <f>IFERROR(VLOOKUP(E2040,'Condensed Specialty Crosswalk'!$A$2:$C$182,3,FALSE),"")</f>
        <v/>
      </c>
    </row>
    <row r="2041" spans="1:7" ht="15" customHeight="1">
      <c r="A2041" s="49"/>
      <c r="B2041" s="49" t="str">
        <f>CONCATENATE(Reports!E2040," ",Reports!F2040," ",Reports!G2040)</f>
        <v xml:space="preserve">  </v>
      </c>
      <c r="C2041" s="50"/>
      <c r="D2041" s="51"/>
      <c r="E2041" s="49" t="str">
        <f>IFERROR(VLOOKUP(D2041,'taxonomy map'!$A$1:$B$171,2,FALSE),"")</f>
        <v/>
      </c>
      <c r="F2041" s="49" t="str">
        <f>IFERROR(VLOOKUP(E2041,'Condensed Specialty Crosswalk'!$A$2:$C$182,2,FALSE),"")</f>
        <v/>
      </c>
      <c r="G2041" s="49" t="str">
        <f>IFERROR(VLOOKUP(E2041,'Condensed Specialty Crosswalk'!$A$2:$C$182,3,FALSE),"")</f>
        <v/>
      </c>
    </row>
    <row r="2042" spans="1:7" ht="15" customHeight="1">
      <c r="A2042" s="49"/>
      <c r="B2042" s="49" t="str">
        <f>CONCATENATE(Reports!E2041," ",Reports!F2041," ",Reports!G2041)</f>
        <v xml:space="preserve">  </v>
      </c>
      <c r="C2042" s="50"/>
      <c r="D2042" s="51"/>
      <c r="E2042" s="49" t="str">
        <f>IFERROR(VLOOKUP(D2042,'taxonomy map'!$A$1:$B$171,2,FALSE),"")</f>
        <v/>
      </c>
      <c r="F2042" s="49" t="str">
        <f>IFERROR(VLOOKUP(E2042,'Condensed Specialty Crosswalk'!$A$2:$C$182,2,FALSE),"")</f>
        <v/>
      </c>
      <c r="G2042" s="49" t="str">
        <f>IFERROR(VLOOKUP(E2042,'Condensed Specialty Crosswalk'!$A$2:$C$182,3,FALSE),"")</f>
        <v/>
      </c>
    </row>
    <row r="2043" spans="1:7" ht="15" customHeight="1">
      <c r="A2043" s="49"/>
      <c r="B2043" s="49" t="str">
        <f>CONCATENATE(Reports!E2042," ",Reports!F2042," ",Reports!G2042)</f>
        <v xml:space="preserve">  </v>
      </c>
      <c r="C2043" s="50"/>
      <c r="D2043" s="51"/>
      <c r="E2043" s="49" t="str">
        <f>IFERROR(VLOOKUP(D2043,'taxonomy map'!$A$1:$B$171,2,FALSE),"")</f>
        <v/>
      </c>
      <c r="F2043" s="49" t="str">
        <f>IFERROR(VLOOKUP(E2043,'Condensed Specialty Crosswalk'!$A$2:$C$182,2,FALSE),"")</f>
        <v/>
      </c>
      <c r="G2043" s="49" t="str">
        <f>IFERROR(VLOOKUP(E2043,'Condensed Specialty Crosswalk'!$A$2:$C$182,3,FALSE),"")</f>
        <v/>
      </c>
    </row>
    <row r="2044" spans="1:7" ht="15" customHeight="1">
      <c r="A2044" s="49"/>
      <c r="B2044" s="49" t="str">
        <f>CONCATENATE(Reports!E2043," ",Reports!F2043," ",Reports!G2043)</f>
        <v xml:space="preserve">  </v>
      </c>
      <c r="C2044" s="50"/>
      <c r="D2044" s="51"/>
      <c r="E2044" s="49" t="str">
        <f>IFERROR(VLOOKUP(D2044,'taxonomy map'!$A$1:$B$171,2,FALSE),"")</f>
        <v/>
      </c>
      <c r="F2044" s="49" t="str">
        <f>IFERROR(VLOOKUP(E2044,'Condensed Specialty Crosswalk'!$A$2:$C$182,2,FALSE),"")</f>
        <v/>
      </c>
      <c r="G2044" s="49" t="str">
        <f>IFERROR(VLOOKUP(E2044,'Condensed Specialty Crosswalk'!$A$2:$C$182,3,FALSE),"")</f>
        <v/>
      </c>
    </row>
    <row r="2045" spans="1:7" ht="15" customHeight="1">
      <c r="A2045" s="49"/>
      <c r="B2045" s="49" t="str">
        <f>CONCATENATE(Reports!E2044," ",Reports!F2044," ",Reports!G2044)</f>
        <v xml:space="preserve">  </v>
      </c>
      <c r="C2045" s="50"/>
      <c r="D2045" s="51"/>
      <c r="E2045" s="49" t="str">
        <f>IFERROR(VLOOKUP(D2045,'taxonomy map'!$A$1:$B$171,2,FALSE),"")</f>
        <v/>
      </c>
      <c r="F2045" s="49" t="str">
        <f>IFERROR(VLOOKUP(E2045,'Condensed Specialty Crosswalk'!$A$2:$C$182,2,FALSE),"")</f>
        <v/>
      </c>
      <c r="G2045" s="49" t="str">
        <f>IFERROR(VLOOKUP(E2045,'Condensed Specialty Crosswalk'!$A$2:$C$182,3,FALSE),"")</f>
        <v/>
      </c>
    </row>
    <row r="2046" spans="1:7" ht="15" customHeight="1">
      <c r="A2046" s="49"/>
      <c r="B2046" s="49" t="str">
        <f>CONCATENATE(Reports!E2045," ",Reports!F2045," ",Reports!G2045)</f>
        <v xml:space="preserve">  </v>
      </c>
      <c r="C2046" s="50"/>
      <c r="D2046" s="51"/>
      <c r="E2046" s="49" t="str">
        <f>IFERROR(VLOOKUP(D2046,'taxonomy map'!$A$1:$B$171,2,FALSE),"")</f>
        <v/>
      </c>
      <c r="F2046" s="49" t="str">
        <f>IFERROR(VLOOKUP(E2046,'Condensed Specialty Crosswalk'!$A$2:$C$182,2,FALSE),"")</f>
        <v/>
      </c>
      <c r="G2046" s="49" t="str">
        <f>IFERROR(VLOOKUP(E2046,'Condensed Specialty Crosswalk'!$A$2:$C$182,3,FALSE),"")</f>
        <v/>
      </c>
    </row>
    <row r="2047" spans="1:7" ht="15" customHeight="1">
      <c r="A2047" s="49"/>
      <c r="B2047" s="49" t="str">
        <f>CONCATENATE(Reports!E2046," ",Reports!F2046," ",Reports!G2046)</f>
        <v xml:space="preserve">  </v>
      </c>
      <c r="C2047" s="50"/>
      <c r="D2047" s="51"/>
      <c r="E2047" s="49" t="str">
        <f>IFERROR(VLOOKUP(D2047,'taxonomy map'!$A$1:$B$171,2,FALSE),"")</f>
        <v/>
      </c>
      <c r="F2047" s="49" t="str">
        <f>IFERROR(VLOOKUP(E2047,'Condensed Specialty Crosswalk'!$A$2:$C$182,2,FALSE),"")</f>
        <v/>
      </c>
      <c r="G2047" s="49" t="str">
        <f>IFERROR(VLOOKUP(E2047,'Condensed Specialty Crosswalk'!$A$2:$C$182,3,FALSE),"")</f>
        <v/>
      </c>
    </row>
    <row r="2048" spans="1:7" ht="15" customHeight="1">
      <c r="A2048" s="49"/>
      <c r="B2048" s="49" t="str">
        <f>CONCATENATE(Reports!E2047," ",Reports!F2047," ",Reports!G2047)</f>
        <v xml:space="preserve">  </v>
      </c>
      <c r="C2048" s="50"/>
      <c r="D2048" s="51"/>
      <c r="E2048" s="49" t="str">
        <f>IFERROR(VLOOKUP(D2048,'taxonomy map'!$A$1:$B$171,2,FALSE),"")</f>
        <v/>
      </c>
      <c r="F2048" s="49" t="str">
        <f>IFERROR(VLOOKUP(E2048,'Condensed Specialty Crosswalk'!$A$2:$C$182,2,FALSE),"")</f>
        <v/>
      </c>
      <c r="G2048" s="49" t="str">
        <f>IFERROR(VLOOKUP(E2048,'Condensed Specialty Crosswalk'!$A$2:$C$182,3,FALSE),"")</f>
        <v/>
      </c>
    </row>
    <row r="2049" spans="1:7" ht="15" customHeight="1">
      <c r="A2049" s="49"/>
      <c r="B2049" s="49" t="str">
        <f>CONCATENATE(Reports!E2048," ",Reports!F2048," ",Reports!G2048)</f>
        <v xml:space="preserve">  </v>
      </c>
      <c r="C2049" s="50"/>
      <c r="D2049" s="51"/>
      <c r="E2049" s="49" t="str">
        <f>IFERROR(VLOOKUP(D2049,'taxonomy map'!$A$1:$B$171,2,FALSE),"")</f>
        <v/>
      </c>
      <c r="F2049" s="49" t="str">
        <f>IFERROR(VLOOKUP(E2049,'Condensed Specialty Crosswalk'!$A$2:$C$182,2,FALSE),"")</f>
        <v/>
      </c>
      <c r="G2049" s="49" t="str">
        <f>IFERROR(VLOOKUP(E2049,'Condensed Specialty Crosswalk'!$A$2:$C$182,3,FALSE),"")</f>
        <v/>
      </c>
    </row>
    <row r="2050" spans="1:7" ht="15" customHeight="1">
      <c r="A2050" s="49"/>
      <c r="B2050" s="49" t="str">
        <f>CONCATENATE(Reports!E2049," ",Reports!F2049," ",Reports!G2049)</f>
        <v xml:space="preserve">  </v>
      </c>
      <c r="C2050" s="50"/>
      <c r="D2050" s="51"/>
      <c r="E2050" s="49" t="str">
        <f>IFERROR(VLOOKUP(D2050,'taxonomy map'!$A$1:$B$171,2,FALSE),"")</f>
        <v/>
      </c>
      <c r="F2050" s="49" t="str">
        <f>IFERROR(VLOOKUP(E2050,'Condensed Specialty Crosswalk'!$A$2:$C$182,2,FALSE),"")</f>
        <v/>
      </c>
      <c r="G2050" s="49" t="str">
        <f>IFERROR(VLOOKUP(E2050,'Condensed Specialty Crosswalk'!$A$2:$C$182,3,FALSE),"")</f>
        <v/>
      </c>
    </row>
    <row r="2051" spans="1:7" ht="15" customHeight="1">
      <c r="A2051" s="49"/>
      <c r="B2051" s="49" t="str">
        <f>CONCATENATE(Reports!E2050," ",Reports!F2050," ",Reports!G2050)</f>
        <v xml:space="preserve">  </v>
      </c>
      <c r="C2051" s="50"/>
      <c r="D2051" s="51"/>
      <c r="E2051" s="49" t="str">
        <f>IFERROR(VLOOKUP(D2051,'taxonomy map'!$A$1:$B$171,2,FALSE),"")</f>
        <v/>
      </c>
      <c r="F2051" s="49" t="str">
        <f>IFERROR(VLOOKUP(E2051,'Condensed Specialty Crosswalk'!$A$2:$C$182,2,FALSE),"")</f>
        <v/>
      </c>
      <c r="G2051" s="49" t="str">
        <f>IFERROR(VLOOKUP(E2051,'Condensed Specialty Crosswalk'!$A$2:$C$182,3,FALSE),"")</f>
        <v/>
      </c>
    </row>
    <row r="2052" spans="1:7" ht="15" customHeight="1">
      <c r="A2052" s="49"/>
      <c r="B2052" s="49" t="str">
        <f>CONCATENATE(Reports!E2051," ",Reports!F2051," ",Reports!G2051)</f>
        <v xml:space="preserve">  </v>
      </c>
      <c r="C2052" s="50"/>
      <c r="D2052" s="51"/>
      <c r="E2052" s="49" t="str">
        <f>IFERROR(VLOOKUP(D2052,'taxonomy map'!$A$1:$B$171,2,FALSE),"")</f>
        <v/>
      </c>
      <c r="F2052" s="49" t="str">
        <f>IFERROR(VLOOKUP(E2052,'Condensed Specialty Crosswalk'!$A$2:$C$182,2,FALSE),"")</f>
        <v/>
      </c>
      <c r="G2052" s="49" t="str">
        <f>IFERROR(VLOOKUP(E2052,'Condensed Specialty Crosswalk'!$A$2:$C$182,3,FALSE),"")</f>
        <v/>
      </c>
    </row>
    <row r="2053" spans="1:7" ht="15" customHeight="1">
      <c r="A2053" s="49"/>
      <c r="B2053" s="49" t="str">
        <f>CONCATENATE(Reports!E2052," ",Reports!F2052," ",Reports!G2052)</f>
        <v xml:space="preserve">  </v>
      </c>
      <c r="C2053" s="50"/>
      <c r="D2053" s="51"/>
      <c r="E2053" s="49" t="str">
        <f>IFERROR(VLOOKUP(D2053,'taxonomy map'!$A$1:$B$171,2,FALSE),"")</f>
        <v/>
      </c>
      <c r="F2053" s="49" t="str">
        <f>IFERROR(VLOOKUP(E2053,'Condensed Specialty Crosswalk'!$A$2:$C$182,2,FALSE),"")</f>
        <v/>
      </c>
      <c r="G2053" s="49" t="str">
        <f>IFERROR(VLOOKUP(E2053,'Condensed Specialty Crosswalk'!$A$2:$C$182,3,FALSE),"")</f>
        <v/>
      </c>
    </row>
    <row r="2054" spans="1:7" ht="15" customHeight="1">
      <c r="A2054" s="49"/>
      <c r="B2054" s="49" t="str">
        <f>CONCATENATE(Reports!E2053," ",Reports!F2053," ",Reports!G2053)</f>
        <v xml:space="preserve">  </v>
      </c>
      <c r="C2054" s="50"/>
      <c r="D2054" s="51"/>
      <c r="E2054" s="49" t="str">
        <f>IFERROR(VLOOKUP(D2054,'taxonomy map'!$A$1:$B$171,2,FALSE),"")</f>
        <v/>
      </c>
      <c r="F2054" s="49" t="str">
        <f>IFERROR(VLOOKUP(E2054,'Condensed Specialty Crosswalk'!$A$2:$C$182,2,FALSE),"")</f>
        <v/>
      </c>
      <c r="G2054" s="49" t="str">
        <f>IFERROR(VLOOKUP(E2054,'Condensed Specialty Crosswalk'!$A$2:$C$182,3,FALSE),"")</f>
        <v/>
      </c>
    </row>
    <row r="2055" spans="1:7" ht="15" customHeight="1">
      <c r="A2055" s="49"/>
      <c r="B2055" s="49" t="str">
        <f>CONCATENATE(Reports!E2054," ",Reports!F2054," ",Reports!G2054)</f>
        <v xml:space="preserve">  </v>
      </c>
      <c r="C2055" s="50"/>
      <c r="D2055" s="51"/>
      <c r="E2055" s="49" t="str">
        <f>IFERROR(VLOOKUP(D2055,'taxonomy map'!$A$1:$B$171,2,FALSE),"")</f>
        <v/>
      </c>
      <c r="F2055" s="49" t="str">
        <f>IFERROR(VLOOKUP(E2055,'Condensed Specialty Crosswalk'!$A$2:$C$182,2,FALSE),"")</f>
        <v/>
      </c>
      <c r="G2055" s="49" t="str">
        <f>IFERROR(VLOOKUP(E2055,'Condensed Specialty Crosswalk'!$A$2:$C$182,3,FALSE),"")</f>
        <v/>
      </c>
    </row>
    <row r="2056" spans="1:7" ht="15" customHeight="1">
      <c r="A2056" s="49"/>
      <c r="B2056" s="49" t="str">
        <f>CONCATENATE(Reports!E2055," ",Reports!F2055," ",Reports!G2055)</f>
        <v xml:space="preserve">  </v>
      </c>
      <c r="C2056" s="50"/>
      <c r="D2056" s="51"/>
      <c r="E2056" s="49" t="str">
        <f>IFERROR(VLOOKUP(D2056,'taxonomy map'!$A$1:$B$171,2,FALSE),"")</f>
        <v/>
      </c>
      <c r="F2056" s="49" t="str">
        <f>IFERROR(VLOOKUP(E2056,'Condensed Specialty Crosswalk'!$A$2:$C$182,2,FALSE),"")</f>
        <v/>
      </c>
      <c r="G2056" s="49" t="str">
        <f>IFERROR(VLOOKUP(E2056,'Condensed Specialty Crosswalk'!$A$2:$C$182,3,FALSE),"")</f>
        <v/>
      </c>
    </row>
    <row r="2057" spans="1:7" ht="15" customHeight="1">
      <c r="A2057" s="49"/>
      <c r="B2057" s="49" t="str">
        <f>CONCATENATE(Reports!E2056," ",Reports!F2056," ",Reports!G2056)</f>
        <v xml:space="preserve">  </v>
      </c>
      <c r="C2057" s="50"/>
      <c r="D2057" s="51"/>
      <c r="E2057" s="49" t="str">
        <f>IFERROR(VLOOKUP(D2057,'taxonomy map'!$A$1:$B$171,2,FALSE),"")</f>
        <v/>
      </c>
      <c r="F2057" s="49" t="str">
        <f>IFERROR(VLOOKUP(E2057,'Condensed Specialty Crosswalk'!$A$2:$C$182,2,FALSE),"")</f>
        <v/>
      </c>
      <c r="G2057" s="49" t="str">
        <f>IFERROR(VLOOKUP(E2057,'Condensed Specialty Crosswalk'!$A$2:$C$182,3,FALSE),"")</f>
        <v/>
      </c>
    </row>
    <row r="2058" spans="1:7" ht="15" customHeight="1">
      <c r="A2058" s="49"/>
      <c r="B2058" s="49" t="str">
        <f>CONCATENATE(Reports!E2057," ",Reports!F2057," ",Reports!G2057)</f>
        <v xml:space="preserve">  </v>
      </c>
      <c r="C2058" s="50"/>
      <c r="D2058" s="51"/>
      <c r="E2058" s="49" t="str">
        <f>IFERROR(VLOOKUP(D2058,'taxonomy map'!$A$1:$B$171,2,FALSE),"")</f>
        <v/>
      </c>
      <c r="F2058" s="49" t="str">
        <f>IFERROR(VLOOKUP(E2058,'Condensed Specialty Crosswalk'!$A$2:$C$182,2,FALSE),"")</f>
        <v/>
      </c>
      <c r="G2058" s="49" t="str">
        <f>IFERROR(VLOOKUP(E2058,'Condensed Specialty Crosswalk'!$A$2:$C$182,3,FALSE),"")</f>
        <v/>
      </c>
    </row>
    <row r="2059" spans="1:7" ht="15" customHeight="1">
      <c r="A2059" s="49"/>
      <c r="B2059" s="49" t="str">
        <f>CONCATENATE(Reports!E2058," ",Reports!F2058," ",Reports!G2058)</f>
        <v xml:space="preserve">  </v>
      </c>
      <c r="C2059" s="50"/>
      <c r="D2059" s="51"/>
      <c r="E2059" s="49" t="str">
        <f>IFERROR(VLOOKUP(D2059,'taxonomy map'!$A$1:$B$171,2,FALSE),"")</f>
        <v/>
      </c>
      <c r="F2059" s="49" t="str">
        <f>IFERROR(VLOOKUP(E2059,'Condensed Specialty Crosswalk'!$A$2:$C$182,2,FALSE),"")</f>
        <v/>
      </c>
      <c r="G2059" s="49" t="str">
        <f>IFERROR(VLOOKUP(E2059,'Condensed Specialty Crosswalk'!$A$2:$C$182,3,FALSE),"")</f>
        <v/>
      </c>
    </row>
    <row r="2060" spans="1:7" ht="15" customHeight="1">
      <c r="A2060" s="49"/>
      <c r="B2060" s="49" t="str">
        <f>CONCATENATE(Reports!E2059," ",Reports!F2059," ",Reports!G2059)</f>
        <v xml:space="preserve">  </v>
      </c>
      <c r="C2060" s="50"/>
      <c r="D2060" s="51"/>
      <c r="E2060" s="49" t="str">
        <f>IFERROR(VLOOKUP(D2060,'taxonomy map'!$A$1:$B$171,2,FALSE),"")</f>
        <v/>
      </c>
      <c r="F2060" s="49" t="str">
        <f>IFERROR(VLOOKUP(E2060,'Condensed Specialty Crosswalk'!$A$2:$C$182,2,FALSE),"")</f>
        <v/>
      </c>
      <c r="G2060" s="49" t="str">
        <f>IFERROR(VLOOKUP(E2060,'Condensed Specialty Crosswalk'!$A$2:$C$182,3,FALSE),"")</f>
        <v/>
      </c>
    </row>
    <row r="2061" spans="1:7" ht="15" customHeight="1">
      <c r="A2061" s="49"/>
      <c r="B2061" s="49" t="str">
        <f>CONCATENATE(Reports!E2060," ",Reports!F2060," ",Reports!G2060)</f>
        <v xml:space="preserve">  </v>
      </c>
      <c r="C2061" s="50"/>
      <c r="D2061" s="51"/>
      <c r="E2061" s="49" t="str">
        <f>IFERROR(VLOOKUP(D2061,'taxonomy map'!$A$1:$B$171,2,FALSE),"")</f>
        <v/>
      </c>
      <c r="F2061" s="49" t="str">
        <f>IFERROR(VLOOKUP(E2061,'Condensed Specialty Crosswalk'!$A$2:$C$182,2,FALSE),"")</f>
        <v/>
      </c>
      <c r="G2061" s="49" t="str">
        <f>IFERROR(VLOOKUP(E2061,'Condensed Specialty Crosswalk'!$A$2:$C$182,3,FALSE),"")</f>
        <v/>
      </c>
    </row>
    <row r="2062" spans="1:7" ht="15" customHeight="1">
      <c r="A2062" s="49"/>
      <c r="B2062" s="49" t="str">
        <f>CONCATENATE(Reports!E2061," ",Reports!F2061," ",Reports!G2061)</f>
        <v xml:space="preserve">  </v>
      </c>
      <c r="C2062" s="50"/>
      <c r="D2062" s="51"/>
      <c r="E2062" s="49" t="str">
        <f>IFERROR(VLOOKUP(D2062,'taxonomy map'!$A$1:$B$171,2,FALSE),"")</f>
        <v/>
      </c>
      <c r="F2062" s="49" t="str">
        <f>IFERROR(VLOOKUP(E2062,'Condensed Specialty Crosswalk'!$A$2:$C$182,2,FALSE),"")</f>
        <v/>
      </c>
      <c r="G2062" s="49" t="str">
        <f>IFERROR(VLOOKUP(E2062,'Condensed Specialty Crosswalk'!$A$2:$C$182,3,FALSE),"")</f>
        <v/>
      </c>
    </row>
    <row r="2063" spans="1:7" ht="15" customHeight="1">
      <c r="A2063" s="49"/>
      <c r="B2063" s="49" t="str">
        <f>CONCATENATE(Reports!E2062," ",Reports!F2062," ",Reports!G2062)</f>
        <v xml:space="preserve">  </v>
      </c>
      <c r="C2063" s="50"/>
      <c r="D2063" s="51"/>
      <c r="E2063" s="49" t="str">
        <f>IFERROR(VLOOKUP(D2063,'taxonomy map'!$A$1:$B$171,2,FALSE),"")</f>
        <v/>
      </c>
      <c r="F2063" s="49" t="str">
        <f>IFERROR(VLOOKUP(E2063,'Condensed Specialty Crosswalk'!$A$2:$C$182,2,FALSE),"")</f>
        <v/>
      </c>
      <c r="G2063" s="49" t="str">
        <f>IFERROR(VLOOKUP(E2063,'Condensed Specialty Crosswalk'!$A$2:$C$182,3,FALSE),"")</f>
        <v/>
      </c>
    </row>
    <row r="2064" spans="1:7" ht="15" customHeight="1">
      <c r="A2064" s="49"/>
      <c r="B2064" s="49" t="str">
        <f>CONCATENATE(Reports!E2063," ",Reports!F2063," ",Reports!G2063)</f>
        <v xml:space="preserve">  </v>
      </c>
      <c r="C2064" s="50"/>
      <c r="D2064" s="51"/>
      <c r="E2064" s="49" t="str">
        <f>IFERROR(VLOOKUP(D2064,'taxonomy map'!$A$1:$B$171,2,FALSE),"")</f>
        <v/>
      </c>
      <c r="F2064" s="49" t="str">
        <f>IFERROR(VLOOKUP(E2064,'Condensed Specialty Crosswalk'!$A$2:$C$182,2,FALSE),"")</f>
        <v/>
      </c>
      <c r="G2064" s="49" t="str">
        <f>IFERROR(VLOOKUP(E2064,'Condensed Specialty Crosswalk'!$A$2:$C$182,3,FALSE),"")</f>
        <v/>
      </c>
    </row>
    <row r="2065" spans="1:7" ht="15" customHeight="1">
      <c r="A2065" s="49"/>
      <c r="B2065" s="49" t="str">
        <f>CONCATENATE(Reports!E2064," ",Reports!F2064," ",Reports!G2064)</f>
        <v xml:space="preserve">  </v>
      </c>
      <c r="C2065" s="50"/>
      <c r="D2065" s="51"/>
      <c r="E2065" s="49" t="str">
        <f>IFERROR(VLOOKUP(D2065,'taxonomy map'!$A$1:$B$171,2,FALSE),"")</f>
        <v/>
      </c>
      <c r="F2065" s="49" t="str">
        <f>IFERROR(VLOOKUP(E2065,'Condensed Specialty Crosswalk'!$A$2:$C$182,2,FALSE),"")</f>
        <v/>
      </c>
      <c r="G2065" s="49" t="str">
        <f>IFERROR(VLOOKUP(E2065,'Condensed Specialty Crosswalk'!$A$2:$C$182,3,FALSE),"")</f>
        <v/>
      </c>
    </row>
    <row r="2066" spans="1:7" ht="15" customHeight="1">
      <c r="A2066" s="49"/>
      <c r="B2066" s="49" t="str">
        <f>CONCATENATE(Reports!E2065," ",Reports!F2065," ",Reports!G2065)</f>
        <v xml:space="preserve">  </v>
      </c>
      <c r="C2066" s="50"/>
      <c r="D2066" s="51"/>
      <c r="E2066" s="49" t="str">
        <f>IFERROR(VLOOKUP(D2066,'taxonomy map'!$A$1:$B$171,2,FALSE),"")</f>
        <v/>
      </c>
      <c r="F2066" s="49" t="str">
        <f>IFERROR(VLOOKUP(E2066,'Condensed Specialty Crosswalk'!$A$2:$C$182,2,FALSE),"")</f>
        <v/>
      </c>
      <c r="G2066" s="49" t="str">
        <f>IFERROR(VLOOKUP(E2066,'Condensed Specialty Crosswalk'!$A$2:$C$182,3,FALSE),"")</f>
        <v/>
      </c>
    </row>
    <row r="2067" spans="1:7" ht="15" customHeight="1">
      <c r="A2067" s="49"/>
      <c r="B2067" s="49" t="str">
        <f>CONCATENATE(Reports!E2066," ",Reports!F2066," ",Reports!G2066)</f>
        <v xml:space="preserve">  </v>
      </c>
      <c r="C2067" s="50"/>
      <c r="D2067" s="51"/>
      <c r="E2067" s="49" t="str">
        <f>IFERROR(VLOOKUP(D2067,'taxonomy map'!$A$1:$B$171,2,FALSE),"")</f>
        <v/>
      </c>
      <c r="F2067" s="49" t="str">
        <f>IFERROR(VLOOKUP(E2067,'Condensed Specialty Crosswalk'!$A$2:$C$182,2,FALSE),"")</f>
        <v/>
      </c>
      <c r="G2067" s="49" t="str">
        <f>IFERROR(VLOOKUP(E2067,'Condensed Specialty Crosswalk'!$A$2:$C$182,3,FALSE),"")</f>
        <v/>
      </c>
    </row>
    <row r="2068" spans="1:7" ht="15" customHeight="1">
      <c r="A2068" s="49"/>
      <c r="B2068" s="49" t="str">
        <f>CONCATENATE(Reports!E2067," ",Reports!F2067," ",Reports!G2067)</f>
        <v xml:space="preserve">  </v>
      </c>
      <c r="C2068" s="50"/>
      <c r="D2068" s="51"/>
      <c r="E2068" s="49" t="str">
        <f>IFERROR(VLOOKUP(D2068,'taxonomy map'!$A$1:$B$171,2,FALSE),"")</f>
        <v/>
      </c>
      <c r="F2068" s="49" t="str">
        <f>IFERROR(VLOOKUP(E2068,'Condensed Specialty Crosswalk'!$A$2:$C$182,2,FALSE),"")</f>
        <v/>
      </c>
      <c r="G2068" s="49" t="str">
        <f>IFERROR(VLOOKUP(E2068,'Condensed Specialty Crosswalk'!$A$2:$C$182,3,FALSE),"")</f>
        <v/>
      </c>
    </row>
    <row r="2069" spans="1:7" ht="15" customHeight="1">
      <c r="A2069" s="49"/>
      <c r="B2069" s="49" t="str">
        <f>CONCATENATE(Reports!E2068," ",Reports!F2068," ",Reports!G2068)</f>
        <v xml:space="preserve">  </v>
      </c>
      <c r="C2069" s="50"/>
      <c r="D2069" s="51"/>
      <c r="E2069" s="49" t="str">
        <f>IFERROR(VLOOKUP(D2069,'taxonomy map'!$A$1:$B$171,2,FALSE),"")</f>
        <v/>
      </c>
      <c r="F2069" s="49" t="str">
        <f>IFERROR(VLOOKUP(E2069,'Condensed Specialty Crosswalk'!$A$2:$C$182,2,FALSE),"")</f>
        <v/>
      </c>
      <c r="G2069" s="49" t="str">
        <f>IFERROR(VLOOKUP(E2069,'Condensed Specialty Crosswalk'!$A$2:$C$182,3,FALSE),"")</f>
        <v/>
      </c>
    </row>
    <row r="2070" spans="1:7" ht="15" customHeight="1">
      <c r="A2070" s="49"/>
      <c r="B2070" s="49" t="str">
        <f>CONCATENATE(Reports!E2069," ",Reports!F2069," ",Reports!G2069)</f>
        <v xml:space="preserve">  </v>
      </c>
      <c r="C2070" s="50"/>
      <c r="D2070" s="51"/>
      <c r="E2070" s="49" t="str">
        <f>IFERROR(VLOOKUP(D2070,'taxonomy map'!$A$1:$B$171,2,FALSE),"")</f>
        <v/>
      </c>
      <c r="F2070" s="49" t="str">
        <f>IFERROR(VLOOKUP(E2070,'Condensed Specialty Crosswalk'!$A$2:$C$182,2,FALSE),"")</f>
        <v/>
      </c>
      <c r="G2070" s="49" t="str">
        <f>IFERROR(VLOOKUP(E2070,'Condensed Specialty Crosswalk'!$A$2:$C$182,3,FALSE),"")</f>
        <v/>
      </c>
    </row>
    <row r="2071" spans="1:7" ht="15" customHeight="1">
      <c r="A2071" s="49"/>
      <c r="B2071" s="49" t="str">
        <f>CONCATENATE(Reports!E2070," ",Reports!F2070," ",Reports!G2070)</f>
        <v xml:space="preserve">  </v>
      </c>
      <c r="C2071" s="50"/>
      <c r="D2071" s="51"/>
      <c r="E2071" s="49" t="str">
        <f>IFERROR(VLOOKUP(D2071,'taxonomy map'!$A$1:$B$171,2,FALSE),"")</f>
        <v/>
      </c>
      <c r="F2071" s="49" t="str">
        <f>IFERROR(VLOOKUP(E2071,'Condensed Specialty Crosswalk'!$A$2:$C$182,2,FALSE),"")</f>
        <v/>
      </c>
      <c r="G2071" s="49" t="str">
        <f>IFERROR(VLOOKUP(E2071,'Condensed Specialty Crosswalk'!$A$2:$C$182,3,FALSE),"")</f>
        <v/>
      </c>
    </row>
    <row r="2072" spans="1:7" ht="15" customHeight="1">
      <c r="A2072" s="49"/>
      <c r="B2072" s="49" t="str">
        <f>CONCATENATE(Reports!E2071," ",Reports!F2071," ",Reports!G2071)</f>
        <v xml:space="preserve">  </v>
      </c>
      <c r="C2072" s="50"/>
      <c r="D2072" s="51"/>
      <c r="E2072" s="49" t="str">
        <f>IFERROR(VLOOKUP(D2072,'taxonomy map'!$A$1:$B$171,2,FALSE),"")</f>
        <v/>
      </c>
      <c r="F2072" s="49" t="str">
        <f>IFERROR(VLOOKUP(E2072,'Condensed Specialty Crosswalk'!$A$2:$C$182,2,FALSE),"")</f>
        <v/>
      </c>
      <c r="G2072" s="49" t="str">
        <f>IFERROR(VLOOKUP(E2072,'Condensed Specialty Crosswalk'!$A$2:$C$182,3,FALSE),"")</f>
        <v/>
      </c>
    </row>
    <row r="2073" spans="1:7" ht="15" customHeight="1">
      <c r="A2073" s="49"/>
      <c r="B2073" s="49" t="str">
        <f>CONCATENATE(Reports!E2072," ",Reports!F2072," ",Reports!G2072)</f>
        <v xml:space="preserve">  </v>
      </c>
      <c r="C2073" s="50"/>
      <c r="D2073" s="51"/>
      <c r="E2073" s="49" t="str">
        <f>IFERROR(VLOOKUP(D2073,'taxonomy map'!$A$1:$B$171,2,FALSE),"")</f>
        <v/>
      </c>
      <c r="F2073" s="49" t="str">
        <f>IFERROR(VLOOKUP(E2073,'Condensed Specialty Crosswalk'!$A$2:$C$182,2,FALSE),"")</f>
        <v/>
      </c>
      <c r="G2073" s="49" t="str">
        <f>IFERROR(VLOOKUP(E2073,'Condensed Specialty Crosswalk'!$A$2:$C$182,3,FALSE),"")</f>
        <v/>
      </c>
    </row>
    <row r="2074" spans="1:7" ht="15" customHeight="1">
      <c r="A2074" s="49"/>
      <c r="B2074" s="49" t="str">
        <f>CONCATENATE(Reports!E2073," ",Reports!F2073," ",Reports!G2073)</f>
        <v xml:space="preserve">  </v>
      </c>
      <c r="C2074" s="50"/>
      <c r="D2074" s="51"/>
      <c r="E2074" s="49" t="str">
        <f>IFERROR(VLOOKUP(D2074,'taxonomy map'!$A$1:$B$171,2,FALSE),"")</f>
        <v/>
      </c>
      <c r="F2074" s="49" t="str">
        <f>IFERROR(VLOOKUP(E2074,'Condensed Specialty Crosswalk'!$A$2:$C$182,2,FALSE),"")</f>
        <v/>
      </c>
      <c r="G2074" s="49" t="str">
        <f>IFERROR(VLOOKUP(E2074,'Condensed Specialty Crosswalk'!$A$2:$C$182,3,FALSE),"")</f>
        <v/>
      </c>
    </row>
    <row r="2075" spans="1:7" ht="15" customHeight="1">
      <c r="A2075" s="49"/>
      <c r="B2075" s="49" t="str">
        <f>CONCATENATE(Reports!E2074," ",Reports!F2074," ",Reports!G2074)</f>
        <v xml:space="preserve">  </v>
      </c>
      <c r="C2075" s="50"/>
      <c r="D2075" s="51"/>
      <c r="E2075" s="49" t="str">
        <f>IFERROR(VLOOKUP(D2075,'taxonomy map'!$A$1:$B$171,2,FALSE),"")</f>
        <v/>
      </c>
      <c r="F2075" s="49" t="str">
        <f>IFERROR(VLOOKUP(E2075,'Condensed Specialty Crosswalk'!$A$2:$C$182,2,FALSE),"")</f>
        <v/>
      </c>
      <c r="G2075" s="49" t="str">
        <f>IFERROR(VLOOKUP(E2075,'Condensed Specialty Crosswalk'!$A$2:$C$182,3,FALSE),"")</f>
        <v/>
      </c>
    </row>
    <row r="2076" spans="1:7" ht="15" customHeight="1">
      <c r="A2076" s="49"/>
      <c r="B2076" s="49" t="str">
        <f>CONCATENATE(Reports!E2075," ",Reports!F2075," ",Reports!G2075)</f>
        <v xml:space="preserve">  </v>
      </c>
      <c r="C2076" s="50"/>
      <c r="D2076" s="51"/>
      <c r="E2076" s="49" t="str">
        <f>IFERROR(VLOOKUP(D2076,'taxonomy map'!$A$1:$B$171,2,FALSE),"")</f>
        <v/>
      </c>
      <c r="F2076" s="49" t="str">
        <f>IFERROR(VLOOKUP(E2076,'Condensed Specialty Crosswalk'!$A$2:$C$182,2,FALSE),"")</f>
        <v/>
      </c>
      <c r="G2076" s="49" t="str">
        <f>IFERROR(VLOOKUP(E2076,'Condensed Specialty Crosswalk'!$A$2:$C$182,3,FALSE),"")</f>
        <v/>
      </c>
    </row>
    <row r="2077" spans="1:7" ht="15" customHeight="1">
      <c r="A2077" s="49"/>
      <c r="B2077" s="49" t="str">
        <f>CONCATENATE(Reports!E2076," ",Reports!F2076," ",Reports!G2076)</f>
        <v xml:space="preserve">  </v>
      </c>
      <c r="C2077" s="50"/>
      <c r="D2077" s="51"/>
      <c r="E2077" s="49" t="str">
        <f>IFERROR(VLOOKUP(D2077,'taxonomy map'!$A$1:$B$171,2,FALSE),"")</f>
        <v/>
      </c>
      <c r="F2077" s="49" t="str">
        <f>IFERROR(VLOOKUP(E2077,'Condensed Specialty Crosswalk'!$A$2:$C$182,2,FALSE),"")</f>
        <v/>
      </c>
      <c r="G2077" s="49" t="str">
        <f>IFERROR(VLOOKUP(E2077,'Condensed Specialty Crosswalk'!$A$2:$C$182,3,FALSE),"")</f>
        <v/>
      </c>
    </row>
    <row r="2078" spans="1:7" ht="15" customHeight="1">
      <c r="A2078" s="49"/>
      <c r="B2078" s="49" t="str">
        <f>CONCATENATE(Reports!E2077," ",Reports!F2077," ",Reports!G2077)</f>
        <v xml:space="preserve">  </v>
      </c>
      <c r="C2078" s="50"/>
      <c r="D2078" s="51"/>
      <c r="E2078" s="49" t="str">
        <f>IFERROR(VLOOKUP(D2078,'taxonomy map'!$A$1:$B$171,2,FALSE),"")</f>
        <v/>
      </c>
      <c r="F2078" s="49" t="str">
        <f>IFERROR(VLOOKUP(E2078,'Condensed Specialty Crosswalk'!$A$2:$C$182,2,FALSE),"")</f>
        <v/>
      </c>
      <c r="G2078" s="49" t="str">
        <f>IFERROR(VLOOKUP(E2078,'Condensed Specialty Crosswalk'!$A$2:$C$182,3,FALSE),"")</f>
        <v/>
      </c>
    </row>
    <row r="2079" spans="1:7" ht="15" customHeight="1">
      <c r="A2079" s="49"/>
      <c r="B2079" s="49" t="str">
        <f>CONCATENATE(Reports!E2078," ",Reports!F2078," ",Reports!G2078)</f>
        <v xml:space="preserve">  </v>
      </c>
      <c r="C2079" s="50"/>
      <c r="D2079" s="51"/>
      <c r="E2079" s="49" t="str">
        <f>IFERROR(VLOOKUP(D2079,'taxonomy map'!$A$1:$B$171,2,FALSE),"")</f>
        <v/>
      </c>
      <c r="F2079" s="49" t="str">
        <f>IFERROR(VLOOKUP(E2079,'Condensed Specialty Crosswalk'!$A$2:$C$182,2,FALSE),"")</f>
        <v/>
      </c>
      <c r="G2079" s="49" t="str">
        <f>IFERROR(VLOOKUP(E2079,'Condensed Specialty Crosswalk'!$A$2:$C$182,3,FALSE),"")</f>
        <v/>
      </c>
    </row>
    <row r="2080" spans="1:7" ht="15" customHeight="1">
      <c r="A2080" s="49"/>
      <c r="B2080" s="49" t="str">
        <f>CONCATENATE(Reports!E2079," ",Reports!F2079," ",Reports!G2079)</f>
        <v xml:space="preserve">  </v>
      </c>
      <c r="C2080" s="50"/>
      <c r="D2080" s="51"/>
      <c r="E2080" s="49" t="str">
        <f>IFERROR(VLOOKUP(D2080,'taxonomy map'!$A$1:$B$171,2,FALSE),"")</f>
        <v/>
      </c>
      <c r="F2080" s="49" t="str">
        <f>IFERROR(VLOOKUP(E2080,'Condensed Specialty Crosswalk'!$A$2:$C$182,2,FALSE),"")</f>
        <v/>
      </c>
      <c r="G2080" s="49" t="str">
        <f>IFERROR(VLOOKUP(E2080,'Condensed Specialty Crosswalk'!$A$2:$C$182,3,FALSE),"")</f>
        <v/>
      </c>
    </row>
    <row r="2081" spans="1:7" ht="15" customHeight="1">
      <c r="A2081" s="49"/>
      <c r="B2081" s="49" t="str">
        <f>CONCATENATE(Reports!E2080," ",Reports!F2080," ",Reports!G2080)</f>
        <v xml:space="preserve">  </v>
      </c>
      <c r="C2081" s="50"/>
      <c r="D2081" s="51"/>
      <c r="E2081" s="49" t="str">
        <f>IFERROR(VLOOKUP(D2081,'taxonomy map'!$A$1:$B$171,2,FALSE),"")</f>
        <v/>
      </c>
      <c r="F2081" s="49" t="str">
        <f>IFERROR(VLOOKUP(E2081,'Condensed Specialty Crosswalk'!$A$2:$C$182,2,FALSE),"")</f>
        <v/>
      </c>
      <c r="G2081" s="49" t="str">
        <f>IFERROR(VLOOKUP(E2081,'Condensed Specialty Crosswalk'!$A$2:$C$182,3,FALSE),"")</f>
        <v/>
      </c>
    </row>
    <row r="2082" spans="1:7" ht="15" customHeight="1">
      <c r="A2082" s="49"/>
      <c r="B2082" s="49" t="str">
        <f>CONCATENATE(Reports!E2081," ",Reports!F2081," ",Reports!G2081)</f>
        <v xml:space="preserve">  </v>
      </c>
      <c r="C2082" s="50"/>
      <c r="D2082" s="51"/>
      <c r="E2082" s="49" t="str">
        <f>IFERROR(VLOOKUP(D2082,'taxonomy map'!$A$1:$B$171,2,FALSE),"")</f>
        <v/>
      </c>
      <c r="F2082" s="49" t="str">
        <f>IFERROR(VLOOKUP(E2082,'Condensed Specialty Crosswalk'!$A$2:$C$182,2,FALSE),"")</f>
        <v/>
      </c>
      <c r="G2082" s="49" t="str">
        <f>IFERROR(VLOOKUP(E2082,'Condensed Specialty Crosswalk'!$A$2:$C$182,3,FALSE),"")</f>
        <v/>
      </c>
    </row>
    <row r="2083" spans="1:7" ht="15" customHeight="1">
      <c r="A2083" s="49"/>
      <c r="B2083" s="49" t="str">
        <f>CONCATENATE(Reports!E2082," ",Reports!F2082," ",Reports!G2082)</f>
        <v xml:space="preserve">  </v>
      </c>
      <c r="C2083" s="50"/>
      <c r="D2083" s="51"/>
      <c r="E2083" s="49" t="str">
        <f>IFERROR(VLOOKUP(D2083,'taxonomy map'!$A$1:$B$171,2,FALSE),"")</f>
        <v/>
      </c>
      <c r="F2083" s="49" t="str">
        <f>IFERROR(VLOOKUP(E2083,'Condensed Specialty Crosswalk'!$A$2:$C$182,2,FALSE),"")</f>
        <v/>
      </c>
      <c r="G2083" s="49" t="str">
        <f>IFERROR(VLOOKUP(E2083,'Condensed Specialty Crosswalk'!$A$2:$C$182,3,FALSE),"")</f>
        <v/>
      </c>
    </row>
    <row r="2084" spans="1:7" ht="15" customHeight="1">
      <c r="A2084" s="49"/>
      <c r="B2084" s="49" t="str">
        <f>CONCATENATE(Reports!E2083," ",Reports!F2083," ",Reports!G2083)</f>
        <v xml:space="preserve">  </v>
      </c>
      <c r="C2084" s="50"/>
      <c r="D2084" s="51"/>
      <c r="E2084" s="49" t="str">
        <f>IFERROR(VLOOKUP(D2084,'taxonomy map'!$A$1:$B$171,2,FALSE),"")</f>
        <v/>
      </c>
      <c r="F2084" s="49" t="str">
        <f>IFERROR(VLOOKUP(E2084,'Condensed Specialty Crosswalk'!$A$2:$C$182,2,FALSE),"")</f>
        <v/>
      </c>
      <c r="G2084" s="49" t="str">
        <f>IFERROR(VLOOKUP(E2084,'Condensed Specialty Crosswalk'!$A$2:$C$182,3,FALSE),"")</f>
        <v/>
      </c>
    </row>
    <row r="2085" spans="1:7" ht="15" customHeight="1">
      <c r="A2085" s="49"/>
      <c r="B2085" s="49" t="str">
        <f>CONCATENATE(Reports!E2084," ",Reports!F2084," ",Reports!G2084)</f>
        <v xml:space="preserve">  </v>
      </c>
      <c r="C2085" s="50"/>
      <c r="D2085" s="51"/>
      <c r="E2085" s="49" t="str">
        <f>IFERROR(VLOOKUP(D2085,'taxonomy map'!$A$1:$B$171,2,FALSE),"")</f>
        <v/>
      </c>
      <c r="F2085" s="49" t="str">
        <f>IFERROR(VLOOKUP(E2085,'Condensed Specialty Crosswalk'!$A$2:$C$182,2,FALSE),"")</f>
        <v/>
      </c>
      <c r="G2085" s="49" t="str">
        <f>IFERROR(VLOOKUP(E2085,'Condensed Specialty Crosswalk'!$A$2:$C$182,3,FALSE),"")</f>
        <v/>
      </c>
    </row>
    <row r="2086" spans="1:7" ht="15" customHeight="1">
      <c r="A2086" s="49"/>
      <c r="B2086" s="49" t="str">
        <f>CONCATENATE(Reports!E2085," ",Reports!F2085," ",Reports!G2085)</f>
        <v xml:space="preserve">  </v>
      </c>
      <c r="C2086" s="50"/>
      <c r="D2086" s="51"/>
      <c r="E2086" s="49" t="str">
        <f>IFERROR(VLOOKUP(D2086,'taxonomy map'!$A$1:$B$171,2,FALSE),"")</f>
        <v/>
      </c>
      <c r="F2086" s="49" t="str">
        <f>IFERROR(VLOOKUP(E2086,'Condensed Specialty Crosswalk'!$A$2:$C$182,2,FALSE),"")</f>
        <v/>
      </c>
      <c r="G2086" s="49" t="str">
        <f>IFERROR(VLOOKUP(E2086,'Condensed Specialty Crosswalk'!$A$2:$C$182,3,FALSE),"")</f>
        <v/>
      </c>
    </row>
    <row r="2087" spans="1:7" ht="15" customHeight="1">
      <c r="A2087" s="49"/>
      <c r="B2087" s="49" t="str">
        <f>CONCATENATE(Reports!E2086," ",Reports!F2086," ",Reports!G2086)</f>
        <v xml:space="preserve">  </v>
      </c>
      <c r="C2087" s="50"/>
      <c r="D2087" s="51"/>
      <c r="E2087" s="49" t="str">
        <f>IFERROR(VLOOKUP(D2087,'taxonomy map'!$A$1:$B$171,2,FALSE),"")</f>
        <v/>
      </c>
      <c r="F2087" s="49" t="str">
        <f>IFERROR(VLOOKUP(E2087,'Condensed Specialty Crosswalk'!$A$2:$C$182,2,FALSE),"")</f>
        <v/>
      </c>
      <c r="G2087" s="49" t="str">
        <f>IFERROR(VLOOKUP(E2087,'Condensed Specialty Crosswalk'!$A$2:$C$182,3,FALSE),"")</f>
        <v/>
      </c>
    </row>
    <row r="2088" spans="1:7" ht="15" customHeight="1">
      <c r="A2088" s="49"/>
      <c r="B2088" s="49" t="str">
        <f>CONCATENATE(Reports!E2087," ",Reports!F2087," ",Reports!G2087)</f>
        <v xml:space="preserve">  </v>
      </c>
      <c r="C2088" s="50"/>
      <c r="D2088" s="51"/>
      <c r="E2088" s="49" t="str">
        <f>IFERROR(VLOOKUP(D2088,'taxonomy map'!$A$1:$B$171,2,FALSE),"")</f>
        <v/>
      </c>
      <c r="F2088" s="49" t="str">
        <f>IFERROR(VLOOKUP(E2088,'Condensed Specialty Crosswalk'!$A$2:$C$182,2,FALSE),"")</f>
        <v/>
      </c>
      <c r="G2088" s="49" t="str">
        <f>IFERROR(VLOOKUP(E2088,'Condensed Specialty Crosswalk'!$A$2:$C$182,3,FALSE),"")</f>
        <v/>
      </c>
    </row>
    <row r="2089" spans="1:7" ht="15" customHeight="1">
      <c r="A2089" s="49"/>
      <c r="B2089" s="49" t="str">
        <f>CONCATENATE(Reports!E2088," ",Reports!F2088," ",Reports!G2088)</f>
        <v xml:space="preserve">  </v>
      </c>
      <c r="C2089" s="50"/>
      <c r="D2089" s="51"/>
      <c r="E2089" s="49" t="str">
        <f>IFERROR(VLOOKUP(D2089,'taxonomy map'!$A$1:$B$171,2,FALSE),"")</f>
        <v/>
      </c>
      <c r="F2089" s="49" t="str">
        <f>IFERROR(VLOOKUP(E2089,'Condensed Specialty Crosswalk'!$A$2:$C$182,2,FALSE),"")</f>
        <v/>
      </c>
      <c r="G2089" s="49" t="str">
        <f>IFERROR(VLOOKUP(E2089,'Condensed Specialty Crosswalk'!$A$2:$C$182,3,FALSE),"")</f>
        <v/>
      </c>
    </row>
    <row r="2090" spans="1:7" ht="15" customHeight="1">
      <c r="A2090" s="49"/>
      <c r="B2090" s="49" t="str">
        <f>CONCATENATE(Reports!E2089," ",Reports!F2089," ",Reports!G2089)</f>
        <v xml:space="preserve">  </v>
      </c>
      <c r="C2090" s="50"/>
      <c r="D2090" s="51"/>
      <c r="E2090" s="49" t="str">
        <f>IFERROR(VLOOKUP(D2090,'taxonomy map'!$A$1:$B$171,2,FALSE),"")</f>
        <v/>
      </c>
      <c r="F2090" s="49" t="str">
        <f>IFERROR(VLOOKUP(E2090,'Condensed Specialty Crosswalk'!$A$2:$C$182,2,FALSE),"")</f>
        <v/>
      </c>
      <c r="G2090" s="49" t="str">
        <f>IFERROR(VLOOKUP(E2090,'Condensed Specialty Crosswalk'!$A$2:$C$182,3,FALSE),"")</f>
        <v/>
      </c>
    </row>
    <row r="2091" spans="1:7" ht="15" customHeight="1">
      <c r="A2091" s="49"/>
      <c r="B2091" s="49" t="str">
        <f>CONCATENATE(Reports!E2090," ",Reports!F2090," ",Reports!G2090)</f>
        <v xml:space="preserve">  </v>
      </c>
      <c r="C2091" s="50"/>
      <c r="D2091" s="51"/>
      <c r="E2091" s="49" t="str">
        <f>IFERROR(VLOOKUP(D2091,'taxonomy map'!$A$1:$B$171,2,FALSE),"")</f>
        <v/>
      </c>
      <c r="F2091" s="49" t="str">
        <f>IFERROR(VLOOKUP(E2091,'Condensed Specialty Crosswalk'!$A$2:$C$182,2,FALSE),"")</f>
        <v/>
      </c>
      <c r="G2091" s="49" t="str">
        <f>IFERROR(VLOOKUP(E2091,'Condensed Specialty Crosswalk'!$A$2:$C$182,3,FALSE),"")</f>
        <v/>
      </c>
    </row>
    <row r="2092" spans="1:7" ht="15" customHeight="1">
      <c r="A2092" s="49"/>
      <c r="B2092" s="49" t="str">
        <f>CONCATENATE(Reports!E2091," ",Reports!F2091," ",Reports!G2091)</f>
        <v xml:space="preserve">  </v>
      </c>
      <c r="C2092" s="50"/>
      <c r="D2092" s="51"/>
      <c r="E2092" s="49" t="str">
        <f>IFERROR(VLOOKUP(D2092,'taxonomy map'!$A$1:$B$171,2,FALSE),"")</f>
        <v/>
      </c>
      <c r="F2092" s="49" t="str">
        <f>IFERROR(VLOOKUP(E2092,'Condensed Specialty Crosswalk'!$A$2:$C$182,2,FALSE),"")</f>
        <v/>
      </c>
      <c r="G2092" s="49" t="str">
        <f>IFERROR(VLOOKUP(E2092,'Condensed Specialty Crosswalk'!$A$2:$C$182,3,FALSE),"")</f>
        <v/>
      </c>
    </row>
    <row r="2093" spans="1:7" ht="15" customHeight="1">
      <c r="A2093" s="49"/>
      <c r="B2093" s="49" t="str">
        <f>CONCATENATE(Reports!E2092," ",Reports!F2092," ",Reports!G2092)</f>
        <v xml:space="preserve">  </v>
      </c>
      <c r="C2093" s="50"/>
      <c r="D2093" s="51"/>
      <c r="E2093" s="49" t="str">
        <f>IFERROR(VLOOKUP(D2093,'taxonomy map'!$A$1:$B$171,2,FALSE),"")</f>
        <v/>
      </c>
      <c r="F2093" s="49" t="str">
        <f>IFERROR(VLOOKUP(E2093,'Condensed Specialty Crosswalk'!$A$2:$C$182,2,FALSE),"")</f>
        <v/>
      </c>
      <c r="G2093" s="49" t="str">
        <f>IFERROR(VLOOKUP(E2093,'Condensed Specialty Crosswalk'!$A$2:$C$182,3,FALSE),"")</f>
        <v/>
      </c>
    </row>
    <row r="2094" spans="1:7" ht="15" customHeight="1">
      <c r="A2094" s="49"/>
      <c r="B2094" s="49" t="str">
        <f>CONCATENATE(Reports!E2093," ",Reports!F2093," ",Reports!G2093)</f>
        <v xml:space="preserve">  </v>
      </c>
      <c r="C2094" s="50"/>
      <c r="D2094" s="51"/>
      <c r="E2094" s="49" t="str">
        <f>IFERROR(VLOOKUP(D2094,'taxonomy map'!$A$1:$B$171,2,FALSE),"")</f>
        <v/>
      </c>
      <c r="F2094" s="49" t="str">
        <f>IFERROR(VLOOKUP(E2094,'Condensed Specialty Crosswalk'!$A$2:$C$182,2,FALSE),"")</f>
        <v/>
      </c>
      <c r="G2094" s="49" t="str">
        <f>IFERROR(VLOOKUP(E2094,'Condensed Specialty Crosswalk'!$A$2:$C$182,3,FALSE),"")</f>
        <v/>
      </c>
    </row>
    <row r="2095" spans="1:7" ht="15" customHeight="1">
      <c r="B2095" s="49" t="str">
        <f>CONCATENATE(Reports!E2094," ",Reports!F2094," ",Reports!G2094)</f>
        <v xml:space="preserve">  </v>
      </c>
      <c r="C2095" s="50"/>
      <c r="D2095" s="51"/>
      <c r="E2095" s="49" t="str">
        <f>IFERROR(VLOOKUP(D2095,'taxonomy map'!$A$1:$B$171,2,FALSE),"")</f>
        <v/>
      </c>
      <c r="F2095" s="49" t="str">
        <f>IFERROR(VLOOKUP(E2095,'Condensed Specialty Crosswalk'!$A$2:$C$182,2,FALSE),"")</f>
        <v/>
      </c>
      <c r="G2095" s="49" t="str">
        <f>IFERROR(VLOOKUP(E2095,'Condensed Specialty Crosswalk'!$A$2:$C$182,3,FALSE),"")</f>
        <v/>
      </c>
    </row>
    <row r="2096" spans="1:7" ht="15" customHeight="1">
      <c r="B2096" s="49" t="str">
        <f>CONCATENATE(Reports!E2095," ",Reports!F2095," ",Reports!G2095)</f>
        <v xml:space="preserve">  </v>
      </c>
      <c r="C2096" s="50"/>
      <c r="D2096" s="51"/>
      <c r="E2096" s="49" t="str">
        <f>IFERROR(VLOOKUP(D2096,'taxonomy map'!$A$1:$B$171,2,FALSE),"")</f>
        <v/>
      </c>
      <c r="F2096" s="49" t="str">
        <f>IFERROR(VLOOKUP(E2096,'Condensed Specialty Crosswalk'!$A$2:$C$182,2,FALSE),"")</f>
        <v/>
      </c>
      <c r="G2096" s="49" t="str">
        <f>IFERROR(VLOOKUP(E2096,'Condensed Specialty Crosswalk'!$A$2:$C$182,3,FALSE),"")</f>
        <v/>
      </c>
    </row>
    <row r="2097" spans="2:7" ht="15" customHeight="1">
      <c r="B2097" s="49" t="str">
        <f>CONCATENATE(Reports!E2096," ",Reports!F2096," ",Reports!G2096)</f>
        <v xml:space="preserve">  </v>
      </c>
      <c r="C2097" s="50"/>
      <c r="D2097" s="51"/>
      <c r="E2097" s="49" t="str">
        <f>IFERROR(VLOOKUP(D2097,'taxonomy map'!$A$1:$B$171,2,FALSE),"")</f>
        <v/>
      </c>
      <c r="F2097" s="49" t="str">
        <f>IFERROR(VLOOKUP(E2097,'Condensed Specialty Crosswalk'!$A$2:$C$182,2,FALSE),"")</f>
        <v/>
      </c>
      <c r="G2097" s="49" t="str">
        <f>IFERROR(VLOOKUP(E2097,'Condensed Specialty Crosswalk'!$A$2:$C$182,3,FALSE),"")</f>
        <v/>
      </c>
    </row>
    <row r="2098" spans="2:7" ht="15" customHeight="1">
      <c r="B2098" s="49" t="str">
        <f>CONCATENATE(Reports!E2097," ",Reports!F2097," ",Reports!G2097)</f>
        <v xml:space="preserve">  </v>
      </c>
      <c r="C2098" s="50"/>
      <c r="D2098" s="51"/>
      <c r="E2098" s="49" t="str">
        <f>IFERROR(VLOOKUP(D2098,'taxonomy map'!$A$1:$B$171,2,FALSE),"")</f>
        <v/>
      </c>
      <c r="F2098" s="49" t="str">
        <f>IFERROR(VLOOKUP(E2098,'Condensed Specialty Crosswalk'!$A$2:$C$182,2,FALSE),"")</f>
        <v/>
      </c>
      <c r="G2098" s="49" t="str">
        <f>IFERROR(VLOOKUP(E2098,'Condensed Specialty Crosswalk'!$A$2:$C$182,3,FALSE),"")</f>
        <v/>
      </c>
    </row>
    <row r="2099" spans="2:7" ht="15" customHeight="1">
      <c r="B2099" s="49" t="str">
        <f>CONCATENATE(Reports!E2098," ",Reports!F2098," ",Reports!G2098)</f>
        <v xml:space="preserve">  </v>
      </c>
      <c r="C2099" s="50"/>
      <c r="D2099" s="51"/>
      <c r="E2099" s="49" t="str">
        <f>IFERROR(VLOOKUP(D2099,'taxonomy map'!$A$1:$B$171,2,FALSE),"")</f>
        <v/>
      </c>
      <c r="F2099" s="49" t="str">
        <f>IFERROR(VLOOKUP(E2099,'Condensed Specialty Crosswalk'!$A$2:$C$182,2,FALSE),"")</f>
        <v/>
      </c>
      <c r="G2099" s="49" t="str">
        <f>IFERROR(VLOOKUP(E2099,'Condensed Specialty Crosswalk'!$A$2:$C$182,3,FALSE),"")</f>
        <v/>
      </c>
    </row>
    <row r="2100" spans="2:7" ht="15" customHeight="1">
      <c r="B2100" s="49" t="str">
        <f>CONCATENATE(Reports!E2099," ",Reports!F2099," ",Reports!G2099)</f>
        <v xml:space="preserve">  </v>
      </c>
      <c r="C2100" s="50"/>
      <c r="D2100" s="51"/>
      <c r="E2100" s="49" t="str">
        <f>IFERROR(VLOOKUP(D2100,'taxonomy map'!$A$1:$B$171,2,FALSE),"")</f>
        <v/>
      </c>
      <c r="F2100" s="49" t="str">
        <f>IFERROR(VLOOKUP(E2100,'Condensed Specialty Crosswalk'!$A$2:$C$182,2,FALSE),"")</f>
        <v/>
      </c>
      <c r="G2100" s="49" t="str">
        <f>IFERROR(VLOOKUP(E2100,'Condensed Specialty Crosswalk'!$A$2:$C$182,3,FALSE),"")</f>
        <v/>
      </c>
    </row>
    <row r="2101" spans="2:7" ht="15" customHeight="1">
      <c r="B2101" s="49" t="str">
        <f>CONCATENATE(Reports!E2100," ",Reports!F2100," ",Reports!G2100)</f>
        <v xml:space="preserve">  </v>
      </c>
      <c r="C2101" s="50"/>
      <c r="D2101" s="51"/>
      <c r="E2101" s="49" t="str">
        <f>IFERROR(VLOOKUP(D2101,'taxonomy map'!$A$1:$B$171,2,FALSE),"")</f>
        <v/>
      </c>
      <c r="F2101" s="49" t="str">
        <f>IFERROR(VLOOKUP(E2101,'Condensed Specialty Crosswalk'!$A$2:$C$182,2,FALSE),"")</f>
        <v/>
      </c>
      <c r="G2101" s="49" t="str">
        <f>IFERROR(VLOOKUP(E2101,'Condensed Specialty Crosswalk'!$A$2:$C$182,3,FALSE),"")</f>
        <v/>
      </c>
    </row>
    <row r="2102" spans="2:7" ht="15" customHeight="1">
      <c r="B2102" s="49" t="str">
        <f>CONCATENATE(Reports!E2101," ",Reports!F2101," ",Reports!G2101)</f>
        <v xml:space="preserve">  </v>
      </c>
      <c r="C2102" s="50"/>
      <c r="D2102" s="51"/>
      <c r="E2102" s="49" t="str">
        <f>IFERROR(VLOOKUP(D2102,'taxonomy map'!$A$1:$B$171,2,FALSE),"")</f>
        <v/>
      </c>
      <c r="F2102" s="49" t="str">
        <f>IFERROR(VLOOKUP(E2102,'Condensed Specialty Crosswalk'!$A$2:$C$182,2,FALSE),"")</f>
        <v/>
      </c>
      <c r="G2102" s="49" t="str">
        <f>IFERROR(VLOOKUP(E2102,'Condensed Specialty Crosswalk'!$A$2:$C$182,3,FALSE),"")</f>
        <v/>
      </c>
    </row>
    <row r="2103" spans="2:7" ht="15" customHeight="1">
      <c r="B2103" s="49" t="str">
        <f>CONCATENATE(Reports!E2102," ",Reports!F2102," ",Reports!G2102)</f>
        <v xml:space="preserve">  </v>
      </c>
      <c r="C2103" s="50"/>
      <c r="D2103" s="51"/>
      <c r="E2103" s="49" t="str">
        <f>IFERROR(VLOOKUP(D2103,'taxonomy map'!$A$1:$B$171,2,FALSE),"")</f>
        <v/>
      </c>
      <c r="F2103" s="49" t="str">
        <f>IFERROR(VLOOKUP(E2103,'Condensed Specialty Crosswalk'!$A$2:$C$182,2,FALSE),"")</f>
        <v/>
      </c>
      <c r="G2103" s="49" t="str">
        <f>IFERROR(VLOOKUP(E2103,'Condensed Specialty Crosswalk'!$A$2:$C$182,3,FALSE),"")</f>
        <v/>
      </c>
    </row>
    <row r="2104" spans="2:7" ht="15" customHeight="1">
      <c r="B2104" s="49" t="str">
        <f>CONCATENATE(Reports!E2103," ",Reports!F2103," ",Reports!G2103)</f>
        <v xml:space="preserve">  </v>
      </c>
      <c r="C2104" s="50"/>
      <c r="D2104" s="51"/>
      <c r="E2104" s="49" t="str">
        <f>IFERROR(VLOOKUP(D2104,'taxonomy map'!$A$1:$B$171,2,FALSE),"")</f>
        <v/>
      </c>
      <c r="F2104" s="49" t="str">
        <f>IFERROR(VLOOKUP(E2104,'Condensed Specialty Crosswalk'!$A$2:$C$182,2,FALSE),"")</f>
        <v/>
      </c>
      <c r="G2104" s="49" t="str">
        <f>IFERROR(VLOOKUP(E2104,'Condensed Specialty Crosswalk'!$A$2:$C$182,3,FALSE),"")</f>
        <v/>
      </c>
    </row>
    <row r="2105" spans="2:7" ht="15" customHeight="1">
      <c r="B2105" s="49" t="str">
        <f>CONCATENATE(Reports!E2104," ",Reports!F2104," ",Reports!G2104)</f>
        <v xml:space="preserve">  </v>
      </c>
      <c r="C2105" s="50"/>
      <c r="D2105" s="51"/>
      <c r="E2105" s="49" t="str">
        <f>IFERROR(VLOOKUP(D2105,'taxonomy map'!$A$1:$B$171,2,FALSE),"")</f>
        <v/>
      </c>
      <c r="F2105" s="49" t="str">
        <f>IFERROR(VLOOKUP(E2105,'Condensed Specialty Crosswalk'!$A$2:$C$182,2,FALSE),"")</f>
        <v/>
      </c>
      <c r="G2105" s="49" t="str">
        <f>IFERROR(VLOOKUP(E2105,'Condensed Specialty Crosswalk'!$A$2:$C$182,3,FALSE),"")</f>
        <v/>
      </c>
    </row>
    <row r="2106" spans="2:7" ht="15" customHeight="1">
      <c r="B2106" s="49" t="str">
        <f>CONCATENATE(Reports!E2105," ",Reports!F2105," ",Reports!G2105)</f>
        <v xml:space="preserve">  </v>
      </c>
      <c r="C2106" s="50"/>
      <c r="D2106" s="51"/>
      <c r="E2106" s="49" t="str">
        <f>IFERROR(VLOOKUP(D2106,'taxonomy map'!$A$1:$B$171,2,FALSE),"")</f>
        <v/>
      </c>
      <c r="F2106" s="49" t="str">
        <f>IFERROR(VLOOKUP(E2106,'Condensed Specialty Crosswalk'!$A$2:$C$182,2,FALSE),"")</f>
        <v/>
      </c>
      <c r="G2106" s="49" t="str">
        <f>IFERROR(VLOOKUP(E2106,'Condensed Specialty Crosswalk'!$A$2:$C$182,3,FALSE),"")</f>
        <v/>
      </c>
    </row>
    <row r="2107" spans="2:7" ht="15" customHeight="1">
      <c r="B2107" s="49" t="str">
        <f>CONCATENATE(Reports!E2106," ",Reports!F2106," ",Reports!G2106)</f>
        <v xml:space="preserve">  </v>
      </c>
      <c r="C2107" s="50"/>
      <c r="D2107" s="51"/>
      <c r="E2107" s="49" t="str">
        <f>IFERROR(VLOOKUP(D2107,'taxonomy map'!$A$1:$B$171,2,FALSE),"")</f>
        <v/>
      </c>
      <c r="F2107" s="49" t="str">
        <f>IFERROR(VLOOKUP(E2107,'Condensed Specialty Crosswalk'!$A$2:$C$182,2,FALSE),"")</f>
        <v/>
      </c>
      <c r="G2107" s="49" t="str">
        <f>IFERROR(VLOOKUP(E2107,'Condensed Specialty Crosswalk'!$A$2:$C$182,3,FALSE),"")</f>
        <v/>
      </c>
    </row>
    <row r="2108" spans="2:7" ht="15" customHeight="1">
      <c r="B2108" s="49" t="str">
        <f>CONCATENATE(Reports!E2107," ",Reports!F2107," ",Reports!G2107)</f>
        <v xml:space="preserve">  </v>
      </c>
      <c r="C2108" s="50"/>
      <c r="D2108" s="51"/>
      <c r="E2108" s="49" t="str">
        <f>IFERROR(VLOOKUP(D2108,'taxonomy map'!$A$1:$B$171,2,FALSE),"")</f>
        <v/>
      </c>
      <c r="F2108" s="49" t="str">
        <f>IFERROR(VLOOKUP(E2108,'Condensed Specialty Crosswalk'!$A$2:$C$182,2,FALSE),"")</f>
        <v/>
      </c>
      <c r="G2108" s="49" t="str">
        <f>IFERROR(VLOOKUP(E2108,'Condensed Specialty Crosswalk'!$A$2:$C$182,3,FALSE),"")</f>
        <v/>
      </c>
    </row>
    <row r="2109" spans="2:7" ht="15" customHeight="1">
      <c r="B2109" s="49" t="str">
        <f>CONCATENATE(Reports!E2108," ",Reports!F2108," ",Reports!G2108)</f>
        <v xml:space="preserve">  </v>
      </c>
      <c r="C2109" s="50"/>
      <c r="D2109" s="51"/>
      <c r="E2109" s="49" t="str">
        <f>IFERROR(VLOOKUP(D2109,'taxonomy map'!$A$1:$B$171,2,FALSE),"")</f>
        <v/>
      </c>
      <c r="F2109" s="49" t="str">
        <f>IFERROR(VLOOKUP(E2109,'Condensed Specialty Crosswalk'!$A$2:$C$182,2,FALSE),"")</f>
        <v/>
      </c>
      <c r="G2109" s="49" t="str">
        <f>IFERROR(VLOOKUP(E2109,'Condensed Specialty Crosswalk'!$A$2:$C$182,3,FALSE),"")</f>
        <v/>
      </c>
    </row>
    <row r="2110" spans="2:7" ht="15" customHeight="1">
      <c r="B2110" s="49" t="str">
        <f>CONCATENATE(Reports!E2109," ",Reports!F2109," ",Reports!G2109)</f>
        <v xml:space="preserve">  </v>
      </c>
      <c r="C2110" s="50"/>
      <c r="D2110" s="51"/>
      <c r="E2110" s="49" t="str">
        <f>IFERROR(VLOOKUP(D2110,'taxonomy map'!$A$1:$B$171,2,FALSE),"")</f>
        <v/>
      </c>
      <c r="F2110" s="49" t="str">
        <f>IFERROR(VLOOKUP(E2110,'Condensed Specialty Crosswalk'!$A$2:$C$182,2,FALSE),"")</f>
        <v/>
      </c>
      <c r="G2110" s="49" t="str">
        <f>IFERROR(VLOOKUP(E2110,'Condensed Specialty Crosswalk'!$A$2:$C$182,3,FALSE),"")</f>
        <v/>
      </c>
    </row>
    <row r="2111" spans="2:7" ht="15" customHeight="1">
      <c r="B2111" s="49" t="str">
        <f>CONCATENATE(Reports!E2110," ",Reports!F2110," ",Reports!G2110)</f>
        <v xml:space="preserve">  </v>
      </c>
      <c r="C2111" s="50"/>
      <c r="D2111" s="51"/>
      <c r="E2111" s="49" t="str">
        <f>IFERROR(VLOOKUP(D2111,'taxonomy map'!$A$1:$B$171,2,FALSE),"")</f>
        <v/>
      </c>
      <c r="F2111" s="49" t="str">
        <f>IFERROR(VLOOKUP(E2111,'Condensed Specialty Crosswalk'!$A$2:$C$182,2,FALSE),"")</f>
        <v/>
      </c>
      <c r="G2111" s="49" t="str">
        <f>IFERROR(VLOOKUP(E2111,'Condensed Specialty Crosswalk'!$A$2:$C$182,3,FALSE),"")</f>
        <v/>
      </c>
    </row>
    <row r="2112" spans="2:7" ht="15" customHeight="1">
      <c r="B2112" s="49" t="str">
        <f>CONCATENATE(Reports!E2111," ",Reports!F2111," ",Reports!G2111)</f>
        <v xml:space="preserve">  </v>
      </c>
      <c r="C2112" s="50"/>
      <c r="D2112" s="51"/>
      <c r="E2112" s="49" t="str">
        <f>IFERROR(VLOOKUP(D2112,'taxonomy map'!$A$1:$B$171,2,FALSE),"")</f>
        <v/>
      </c>
      <c r="F2112" s="49" t="str">
        <f>IFERROR(VLOOKUP(E2112,'Condensed Specialty Crosswalk'!$A$2:$C$182,2,FALSE),"")</f>
        <v/>
      </c>
      <c r="G2112" s="49" t="str">
        <f>IFERROR(VLOOKUP(E2112,'Condensed Specialty Crosswalk'!$A$2:$C$182,3,FALSE),"")</f>
        <v/>
      </c>
    </row>
    <row r="2113" spans="2:7" ht="15" customHeight="1">
      <c r="B2113" s="49" t="str">
        <f>CONCATENATE(Reports!E2112," ",Reports!F2112," ",Reports!G2112)</f>
        <v xml:space="preserve">  </v>
      </c>
      <c r="C2113" s="50"/>
      <c r="D2113" s="51"/>
      <c r="E2113" s="49" t="str">
        <f>IFERROR(VLOOKUP(D2113,'taxonomy map'!$A$1:$B$171,2,FALSE),"")</f>
        <v/>
      </c>
      <c r="F2113" s="49" t="str">
        <f>IFERROR(VLOOKUP(E2113,'Condensed Specialty Crosswalk'!$A$2:$C$182,2,FALSE),"")</f>
        <v/>
      </c>
      <c r="G2113" s="49" t="str">
        <f>IFERROR(VLOOKUP(E2113,'Condensed Specialty Crosswalk'!$A$2:$C$182,3,FALSE),"")</f>
        <v/>
      </c>
    </row>
    <row r="2114" spans="2:7" ht="15" customHeight="1">
      <c r="B2114" s="49" t="str">
        <f>CONCATENATE(Reports!E2113," ",Reports!F2113," ",Reports!G2113)</f>
        <v xml:space="preserve">  </v>
      </c>
      <c r="C2114" s="50"/>
      <c r="D2114" s="51"/>
      <c r="E2114" s="49" t="str">
        <f>IFERROR(VLOOKUP(D2114,'taxonomy map'!$A$1:$B$171,2,FALSE),"")</f>
        <v/>
      </c>
      <c r="F2114" s="49" t="str">
        <f>IFERROR(VLOOKUP(E2114,'Condensed Specialty Crosswalk'!$A$2:$C$182,2,FALSE),"")</f>
        <v/>
      </c>
      <c r="G2114" s="49" t="str">
        <f>IFERROR(VLOOKUP(E2114,'Condensed Specialty Crosswalk'!$A$2:$C$182,3,FALSE),"")</f>
        <v/>
      </c>
    </row>
    <row r="2115" spans="2:7" ht="15" customHeight="1">
      <c r="B2115" s="49" t="str">
        <f>CONCATENATE(Reports!E2114," ",Reports!F2114," ",Reports!G2114)</f>
        <v xml:space="preserve">  </v>
      </c>
      <c r="C2115" s="50"/>
      <c r="D2115" s="51"/>
      <c r="E2115" s="49" t="str">
        <f>IFERROR(VLOOKUP(D2115,'taxonomy map'!$A$1:$B$171,2,FALSE),"")</f>
        <v/>
      </c>
      <c r="F2115" s="49" t="str">
        <f>IFERROR(VLOOKUP(E2115,'Condensed Specialty Crosswalk'!$A$2:$C$182,2,FALSE),"")</f>
        <v/>
      </c>
      <c r="G2115" s="49" t="str">
        <f>IFERROR(VLOOKUP(E2115,'Condensed Specialty Crosswalk'!$A$2:$C$182,3,FALSE),"")</f>
        <v/>
      </c>
    </row>
    <row r="2116" spans="2:7" ht="15" customHeight="1">
      <c r="B2116" s="49" t="str">
        <f>CONCATENATE(Reports!E2115," ",Reports!F2115," ",Reports!G2115)</f>
        <v xml:space="preserve">  </v>
      </c>
      <c r="C2116" s="50"/>
      <c r="D2116" s="51"/>
      <c r="E2116" s="49" t="str">
        <f>IFERROR(VLOOKUP(D2116,'taxonomy map'!$A$1:$B$171,2,FALSE),"")</f>
        <v/>
      </c>
      <c r="F2116" s="49" t="str">
        <f>IFERROR(VLOOKUP(E2116,'Condensed Specialty Crosswalk'!$A$2:$C$182,2,FALSE),"")</f>
        <v/>
      </c>
      <c r="G2116" s="49" t="str">
        <f>IFERROR(VLOOKUP(E2116,'Condensed Specialty Crosswalk'!$A$2:$C$182,3,FALSE),"")</f>
        <v/>
      </c>
    </row>
    <row r="2117" spans="2:7" ht="15" customHeight="1">
      <c r="B2117" s="49" t="str">
        <f>CONCATENATE(Reports!E2116," ",Reports!F2116," ",Reports!G2116)</f>
        <v xml:space="preserve">  </v>
      </c>
      <c r="C2117" s="50"/>
      <c r="D2117" s="51"/>
      <c r="E2117" s="49" t="str">
        <f>IFERROR(VLOOKUP(D2117,'taxonomy map'!$A$1:$B$171,2,FALSE),"")</f>
        <v/>
      </c>
      <c r="F2117" s="49" t="str">
        <f>IFERROR(VLOOKUP(E2117,'Condensed Specialty Crosswalk'!$A$2:$C$182,2,FALSE),"")</f>
        <v/>
      </c>
      <c r="G2117" s="49" t="str">
        <f>IFERROR(VLOOKUP(E2117,'Condensed Specialty Crosswalk'!$A$2:$C$182,3,FALSE),"")</f>
        <v/>
      </c>
    </row>
    <row r="2118" spans="2:7" ht="15" customHeight="1">
      <c r="B2118" s="49" t="str">
        <f>CONCATENATE(Reports!E2117," ",Reports!F2117," ",Reports!G2117)</f>
        <v xml:space="preserve">  </v>
      </c>
      <c r="C2118" s="50"/>
      <c r="D2118" s="51"/>
      <c r="E2118" s="49" t="str">
        <f>IFERROR(VLOOKUP(D2118,'taxonomy map'!$A$1:$B$171,2,FALSE),"")</f>
        <v/>
      </c>
      <c r="F2118" s="49" t="str">
        <f>IFERROR(VLOOKUP(E2118,'Condensed Specialty Crosswalk'!$A$2:$C$182,2,FALSE),"")</f>
        <v/>
      </c>
      <c r="G2118" s="49" t="str">
        <f>IFERROR(VLOOKUP(E2118,'Condensed Specialty Crosswalk'!$A$2:$C$182,3,FALSE),"")</f>
        <v/>
      </c>
    </row>
    <row r="2119" spans="2:7" ht="15" customHeight="1">
      <c r="B2119" s="49" t="str">
        <f>CONCATENATE(Reports!E2118," ",Reports!F2118," ",Reports!G2118)</f>
        <v xml:space="preserve">  </v>
      </c>
      <c r="C2119" s="50"/>
      <c r="D2119" s="51"/>
      <c r="E2119" s="49" t="str">
        <f>IFERROR(VLOOKUP(D2119,'taxonomy map'!$A$1:$B$171,2,FALSE),"")</f>
        <v/>
      </c>
      <c r="F2119" s="49" t="str">
        <f>IFERROR(VLOOKUP(E2119,'Condensed Specialty Crosswalk'!$A$2:$C$182,2,FALSE),"")</f>
        <v/>
      </c>
      <c r="G2119" s="49" t="str">
        <f>IFERROR(VLOOKUP(E2119,'Condensed Specialty Crosswalk'!$A$2:$C$182,3,FALSE),"")</f>
        <v/>
      </c>
    </row>
    <row r="2120" spans="2:7" ht="15" customHeight="1">
      <c r="B2120" s="49" t="str">
        <f>CONCATENATE(Reports!E2119," ",Reports!F2119," ",Reports!G2119)</f>
        <v xml:space="preserve">  </v>
      </c>
      <c r="C2120" s="50"/>
      <c r="D2120" s="51"/>
      <c r="E2120" s="49" t="str">
        <f>IFERROR(VLOOKUP(D2120,'taxonomy map'!$A$1:$B$171,2,FALSE),"")</f>
        <v/>
      </c>
      <c r="F2120" s="49" t="str">
        <f>IFERROR(VLOOKUP(E2120,'Condensed Specialty Crosswalk'!$A$2:$C$182,2,FALSE),"")</f>
        <v/>
      </c>
      <c r="G2120" s="49" t="str">
        <f>IFERROR(VLOOKUP(E2120,'Condensed Specialty Crosswalk'!$A$2:$C$182,3,FALSE),"")</f>
        <v/>
      </c>
    </row>
    <row r="2121" spans="2:7" ht="15" customHeight="1">
      <c r="B2121" s="49" t="str">
        <f>CONCATENATE(Reports!E2120," ",Reports!F2120," ",Reports!G2120)</f>
        <v xml:space="preserve">  </v>
      </c>
      <c r="C2121" s="50"/>
      <c r="D2121" s="51"/>
      <c r="E2121" s="49" t="str">
        <f>IFERROR(VLOOKUP(D2121,'taxonomy map'!$A$1:$B$171,2,FALSE),"")</f>
        <v/>
      </c>
      <c r="F2121" s="49" t="str">
        <f>IFERROR(VLOOKUP(E2121,'Condensed Specialty Crosswalk'!$A$2:$C$182,2,FALSE),"")</f>
        <v/>
      </c>
      <c r="G2121" s="49" t="str">
        <f>IFERROR(VLOOKUP(E2121,'Condensed Specialty Crosswalk'!$A$2:$C$182,3,FALSE),"")</f>
        <v/>
      </c>
    </row>
    <row r="2122" spans="2:7" ht="15" customHeight="1">
      <c r="B2122" s="49" t="str">
        <f>CONCATENATE(Reports!E2121," ",Reports!F2121," ",Reports!G2121)</f>
        <v xml:space="preserve">  </v>
      </c>
      <c r="C2122" s="50"/>
      <c r="D2122" s="51"/>
      <c r="E2122" s="49" t="str">
        <f>IFERROR(VLOOKUP(D2122,'taxonomy map'!$A$1:$B$171,2,FALSE),"")</f>
        <v/>
      </c>
      <c r="F2122" s="49" t="str">
        <f>IFERROR(VLOOKUP(E2122,'Condensed Specialty Crosswalk'!$A$2:$C$182,2,FALSE),"")</f>
        <v/>
      </c>
      <c r="G2122" s="49" t="str">
        <f>IFERROR(VLOOKUP(E2122,'Condensed Specialty Crosswalk'!$A$2:$C$182,3,FALSE),"")</f>
        <v/>
      </c>
    </row>
    <row r="2123" spans="2:7" ht="15" customHeight="1">
      <c r="B2123" s="49" t="str">
        <f>CONCATENATE(Reports!E2122," ",Reports!F2122," ",Reports!G2122)</f>
        <v xml:space="preserve">  </v>
      </c>
      <c r="C2123" s="50"/>
      <c r="D2123" s="51"/>
      <c r="E2123" s="49" t="str">
        <f>IFERROR(VLOOKUP(D2123,'taxonomy map'!$A$1:$B$171,2,FALSE),"")</f>
        <v/>
      </c>
      <c r="F2123" s="49" t="str">
        <f>IFERROR(VLOOKUP(E2123,'Condensed Specialty Crosswalk'!$A$2:$C$182,2,FALSE),"")</f>
        <v/>
      </c>
      <c r="G2123" s="49" t="str">
        <f>IFERROR(VLOOKUP(E2123,'Condensed Specialty Crosswalk'!$A$2:$C$182,3,FALSE),"")</f>
        <v/>
      </c>
    </row>
    <row r="2124" spans="2:7" ht="15" customHeight="1">
      <c r="B2124" s="49" t="str">
        <f>CONCATENATE(Reports!E2123," ",Reports!F2123," ",Reports!G2123)</f>
        <v xml:space="preserve">  </v>
      </c>
      <c r="C2124" s="50"/>
      <c r="D2124" s="51"/>
      <c r="E2124" s="49" t="str">
        <f>IFERROR(VLOOKUP(D2124,'taxonomy map'!$A$1:$B$171,2,FALSE),"")</f>
        <v/>
      </c>
      <c r="F2124" s="49" t="str">
        <f>IFERROR(VLOOKUP(E2124,'Condensed Specialty Crosswalk'!$A$2:$C$182,2,FALSE),"")</f>
        <v/>
      </c>
      <c r="G2124" s="49" t="str">
        <f>IFERROR(VLOOKUP(E2124,'Condensed Specialty Crosswalk'!$A$2:$C$182,3,FALSE),"")</f>
        <v/>
      </c>
    </row>
    <row r="2125" spans="2:7" ht="15" customHeight="1">
      <c r="B2125" s="49" t="str">
        <f>CONCATENATE(Reports!E2124," ",Reports!F2124," ",Reports!G2124)</f>
        <v xml:space="preserve">  </v>
      </c>
      <c r="C2125" s="50"/>
      <c r="D2125" s="51"/>
      <c r="E2125" s="49" t="str">
        <f>IFERROR(VLOOKUP(D2125,'taxonomy map'!$A$1:$B$171,2,FALSE),"")</f>
        <v/>
      </c>
      <c r="F2125" s="49" t="str">
        <f>IFERROR(VLOOKUP(E2125,'Condensed Specialty Crosswalk'!$A$2:$C$182,2,FALSE),"")</f>
        <v/>
      </c>
      <c r="G2125" s="49" t="str">
        <f>IFERROR(VLOOKUP(E2125,'Condensed Specialty Crosswalk'!$A$2:$C$182,3,FALSE),"")</f>
        <v/>
      </c>
    </row>
    <row r="2126" spans="2:7" ht="15" customHeight="1">
      <c r="B2126" s="49" t="str">
        <f>CONCATENATE(Reports!E2125," ",Reports!F2125," ",Reports!G2125)</f>
        <v xml:space="preserve">  </v>
      </c>
      <c r="C2126" s="50"/>
      <c r="D2126" s="51"/>
      <c r="E2126" s="49" t="str">
        <f>IFERROR(VLOOKUP(D2126,'taxonomy map'!$A$1:$B$171,2,FALSE),"")</f>
        <v/>
      </c>
      <c r="F2126" s="49" t="str">
        <f>IFERROR(VLOOKUP(E2126,'Condensed Specialty Crosswalk'!$A$2:$C$182,2,FALSE),"")</f>
        <v/>
      </c>
      <c r="G2126" s="49" t="str">
        <f>IFERROR(VLOOKUP(E2126,'Condensed Specialty Crosswalk'!$A$2:$C$182,3,FALSE),"")</f>
        <v/>
      </c>
    </row>
    <row r="2127" spans="2:7" ht="15" customHeight="1">
      <c r="B2127" s="49" t="str">
        <f>CONCATENATE(Reports!E2126," ",Reports!F2126," ",Reports!G2126)</f>
        <v xml:space="preserve">  </v>
      </c>
      <c r="C2127" s="50"/>
      <c r="D2127" s="51"/>
      <c r="E2127" s="49" t="str">
        <f>IFERROR(VLOOKUP(D2127,'taxonomy map'!$A$1:$B$171,2,FALSE),"")</f>
        <v/>
      </c>
      <c r="F2127" s="49" t="str">
        <f>IFERROR(VLOOKUP(E2127,'Condensed Specialty Crosswalk'!$A$2:$C$182,2,FALSE),"")</f>
        <v/>
      </c>
      <c r="G2127" s="49" t="str">
        <f>IFERROR(VLOOKUP(E2127,'Condensed Specialty Crosswalk'!$A$2:$C$182,3,FALSE),"")</f>
        <v/>
      </c>
    </row>
    <row r="2128" spans="2:7" ht="15" customHeight="1">
      <c r="B2128" s="49" t="str">
        <f>CONCATENATE(Reports!E2127," ",Reports!F2127," ",Reports!G2127)</f>
        <v xml:space="preserve">  </v>
      </c>
      <c r="C2128" s="50"/>
      <c r="D2128" s="51"/>
      <c r="E2128" s="49" t="str">
        <f>IFERROR(VLOOKUP(D2128,'taxonomy map'!$A$1:$B$171,2,FALSE),"")</f>
        <v/>
      </c>
      <c r="F2128" s="49" t="str">
        <f>IFERROR(VLOOKUP(E2128,'Condensed Specialty Crosswalk'!$A$2:$C$182,2,FALSE),"")</f>
        <v/>
      </c>
      <c r="G2128" s="49" t="str">
        <f>IFERROR(VLOOKUP(E2128,'Condensed Specialty Crosswalk'!$A$2:$C$182,3,FALSE),"")</f>
        <v/>
      </c>
    </row>
    <row r="2129" spans="2:7" ht="15" customHeight="1">
      <c r="B2129" s="49" t="str">
        <f>CONCATENATE(Reports!E2128," ",Reports!F2128," ",Reports!G2128)</f>
        <v xml:space="preserve">  </v>
      </c>
      <c r="C2129" s="50"/>
      <c r="D2129" s="51"/>
      <c r="E2129" s="49" t="str">
        <f>IFERROR(VLOOKUP(D2129,'taxonomy map'!$A$1:$B$171,2,FALSE),"")</f>
        <v/>
      </c>
      <c r="F2129" s="49" t="str">
        <f>IFERROR(VLOOKUP(E2129,'Condensed Specialty Crosswalk'!$A$2:$C$182,2,FALSE),"")</f>
        <v/>
      </c>
      <c r="G2129" s="49" t="str">
        <f>IFERROR(VLOOKUP(E2129,'Condensed Specialty Crosswalk'!$A$2:$C$182,3,FALSE),"")</f>
        <v/>
      </c>
    </row>
    <row r="2130" spans="2:7" ht="15" customHeight="1">
      <c r="B2130" s="49" t="str">
        <f>CONCATENATE(Reports!E2129," ",Reports!F2129," ",Reports!G2129)</f>
        <v xml:space="preserve">  </v>
      </c>
      <c r="C2130" s="50"/>
      <c r="D2130" s="51"/>
      <c r="E2130" s="49" t="str">
        <f>IFERROR(VLOOKUP(D2130,'taxonomy map'!$A$1:$B$171,2,FALSE),"")</f>
        <v/>
      </c>
      <c r="F2130" s="49" t="str">
        <f>IFERROR(VLOOKUP(E2130,'Condensed Specialty Crosswalk'!$A$2:$C$182,2,FALSE),"")</f>
        <v/>
      </c>
      <c r="G2130" s="49" t="str">
        <f>IFERROR(VLOOKUP(E2130,'Condensed Specialty Crosswalk'!$A$2:$C$182,3,FALSE),"")</f>
        <v/>
      </c>
    </row>
    <row r="2131" spans="2:7" ht="15" customHeight="1">
      <c r="B2131" s="49" t="str">
        <f>CONCATENATE(Reports!E2130," ",Reports!F2130," ",Reports!G2130)</f>
        <v xml:space="preserve">  </v>
      </c>
      <c r="C2131" s="50"/>
      <c r="D2131" s="51"/>
      <c r="E2131" s="49" t="str">
        <f>IFERROR(VLOOKUP(D2131,'taxonomy map'!$A$1:$B$171,2,FALSE),"")</f>
        <v/>
      </c>
      <c r="F2131" s="49" t="str">
        <f>IFERROR(VLOOKUP(E2131,'Condensed Specialty Crosswalk'!$A$2:$C$182,2,FALSE),"")</f>
        <v/>
      </c>
      <c r="G2131" s="49" t="str">
        <f>IFERROR(VLOOKUP(E2131,'Condensed Specialty Crosswalk'!$A$2:$C$182,3,FALSE),"")</f>
        <v/>
      </c>
    </row>
    <row r="2132" spans="2:7" ht="15" customHeight="1">
      <c r="B2132" s="49" t="str">
        <f>CONCATENATE(Reports!E2131," ",Reports!F2131," ",Reports!G2131)</f>
        <v xml:space="preserve">  </v>
      </c>
      <c r="C2132" s="50"/>
      <c r="D2132" s="51"/>
      <c r="E2132" s="49" t="str">
        <f>IFERROR(VLOOKUP(D2132,'taxonomy map'!$A$1:$B$171,2,FALSE),"")</f>
        <v/>
      </c>
      <c r="F2132" s="49" t="str">
        <f>IFERROR(VLOOKUP(E2132,'Condensed Specialty Crosswalk'!$A$2:$C$182,2,FALSE),"")</f>
        <v/>
      </c>
      <c r="G2132" s="49" t="str">
        <f>IFERROR(VLOOKUP(E2132,'Condensed Specialty Crosswalk'!$A$2:$C$182,3,FALSE),"")</f>
        <v/>
      </c>
    </row>
    <row r="2133" spans="2:7" ht="15" customHeight="1">
      <c r="B2133" s="49" t="str">
        <f>CONCATENATE(Reports!E2132," ",Reports!F2132," ",Reports!G2132)</f>
        <v xml:space="preserve">  </v>
      </c>
      <c r="C2133" s="50"/>
      <c r="D2133" s="51"/>
      <c r="E2133" s="49" t="str">
        <f>IFERROR(VLOOKUP(D2133,'taxonomy map'!$A$1:$B$171,2,FALSE),"")</f>
        <v/>
      </c>
      <c r="F2133" s="49" t="str">
        <f>IFERROR(VLOOKUP(E2133,'Condensed Specialty Crosswalk'!$A$2:$C$182,2,FALSE),"")</f>
        <v/>
      </c>
      <c r="G2133" s="49" t="str">
        <f>IFERROR(VLOOKUP(E2133,'Condensed Specialty Crosswalk'!$A$2:$C$182,3,FALSE),"")</f>
        <v/>
      </c>
    </row>
    <row r="2134" spans="2:7" ht="15" customHeight="1">
      <c r="B2134" s="49" t="str">
        <f>CONCATENATE(Reports!E2133," ",Reports!F2133," ",Reports!G2133)</f>
        <v xml:space="preserve">  </v>
      </c>
      <c r="C2134" s="50"/>
      <c r="D2134" s="51"/>
      <c r="E2134" s="49" t="str">
        <f>IFERROR(VLOOKUP(D2134,'taxonomy map'!$A$1:$B$171,2,FALSE),"")</f>
        <v/>
      </c>
      <c r="F2134" s="49" t="str">
        <f>IFERROR(VLOOKUP(E2134,'Condensed Specialty Crosswalk'!$A$2:$C$182,2,FALSE),"")</f>
        <v/>
      </c>
      <c r="G2134" s="49" t="str">
        <f>IFERROR(VLOOKUP(E2134,'Condensed Specialty Crosswalk'!$A$2:$C$182,3,FALSE),"")</f>
        <v/>
      </c>
    </row>
    <row r="2135" spans="2:7" ht="15" customHeight="1">
      <c r="B2135" s="49" t="str">
        <f>CONCATENATE(Reports!E2134," ",Reports!F2134," ",Reports!G2134)</f>
        <v xml:space="preserve">  </v>
      </c>
      <c r="C2135" s="50"/>
      <c r="D2135" s="51"/>
      <c r="E2135" s="49" t="str">
        <f>IFERROR(VLOOKUP(D2135,'taxonomy map'!$A$1:$B$171,2,FALSE),"")</f>
        <v/>
      </c>
      <c r="F2135" s="49" t="str">
        <f>IFERROR(VLOOKUP(E2135,'Condensed Specialty Crosswalk'!$A$2:$C$182,2,FALSE),"")</f>
        <v/>
      </c>
      <c r="G2135" s="49" t="str">
        <f>IFERROR(VLOOKUP(E2135,'Condensed Specialty Crosswalk'!$A$2:$C$182,3,FALSE),"")</f>
        <v/>
      </c>
    </row>
    <row r="2136" spans="2:7" ht="15" customHeight="1">
      <c r="B2136" s="49" t="str">
        <f>CONCATENATE(Reports!E2135," ",Reports!F2135," ",Reports!G2135)</f>
        <v xml:space="preserve">  </v>
      </c>
      <c r="C2136" s="50"/>
      <c r="D2136" s="51"/>
      <c r="E2136" s="49" t="str">
        <f>IFERROR(VLOOKUP(D2136,'taxonomy map'!$A$1:$B$171,2,FALSE),"")</f>
        <v/>
      </c>
      <c r="F2136" s="49" t="str">
        <f>IFERROR(VLOOKUP(E2136,'Condensed Specialty Crosswalk'!$A$2:$C$182,2,FALSE),"")</f>
        <v/>
      </c>
      <c r="G2136" s="49" t="str">
        <f>IFERROR(VLOOKUP(E2136,'Condensed Specialty Crosswalk'!$A$2:$C$182,3,FALSE),"")</f>
        <v/>
      </c>
    </row>
    <row r="2137" spans="2:7" ht="15" customHeight="1">
      <c r="B2137" s="49" t="str">
        <f>CONCATENATE(Reports!E2136," ",Reports!F2136," ",Reports!G2136)</f>
        <v xml:space="preserve">  </v>
      </c>
      <c r="C2137" s="50"/>
      <c r="D2137" s="51"/>
      <c r="E2137" s="49" t="str">
        <f>IFERROR(VLOOKUP(D2137,'taxonomy map'!$A$1:$B$171,2,FALSE),"")</f>
        <v/>
      </c>
      <c r="F2137" s="49" t="str">
        <f>IFERROR(VLOOKUP(E2137,'Condensed Specialty Crosswalk'!$A$2:$C$182,2,FALSE),"")</f>
        <v/>
      </c>
      <c r="G2137" s="49" t="str">
        <f>IFERROR(VLOOKUP(E2137,'Condensed Specialty Crosswalk'!$A$2:$C$182,3,FALSE),"")</f>
        <v/>
      </c>
    </row>
    <row r="2138" spans="2:7" ht="15" customHeight="1">
      <c r="B2138" s="49" t="str">
        <f>CONCATENATE(Reports!E2137," ",Reports!F2137," ",Reports!G2137)</f>
        <v xml:space="preserve">  </v>
      </c>
      <c r="C2138" s="50"/>
      <c r="D2138" s="51"/>
      <c r="E2138" s="49" t="str">
        <f>IFERROR(VLOOKUP(D2138,'taxonomy map'!$A$1:$B$171,2,FALSE),"")</f>
        <v/>
      </c>
      <c r="F2138" s="49" t="str">
        <f>IFERROR(VLOOKUP(E2138,'Condensed Specialty Crosswalk'!$A$2:$C$182,2,FALSE),"")</f>
        <v/>
      </c>
      <c r="G2138" s="49" t="str">
        <f>IFERROR(VLOOKUP(E2138,'Condensed Specialty Crosswalk'!$A$2:$C$182,3,FALSE),"")</f>
        <v/>
      </c>
    </row>
    <row r="2139" spans="2:7" ht="15" customHeight="1">
      <c r="B2139" s="49" t="str">
        <f>CONCATENATE(Reports!E2138," ",Reports!F2138," ",Reports!G2138)</f>
        <v xml:space="preserve">  </v>
      </c>
      <c r="C2139" s="50"/>
      <c r="D2139" s="51"/>
      <c r="E2139" s="49" t="str">
        <f>IFERROR(VLOOKUP(D2139,'taxonomy map'!$A$1:$B$171,2,FALSE),"")</f>
        <v/>
      </c>
      <c r="F2139" s="49" t="str">
        <f>IFERROR(VLOOKUP(E2139,'Condensed Specialty Crosswalk'!$A$2:$C$182,2,FALSE),"")</f>
        <v/>
      </c>
      <c r="G2139" s="49" t="str">
        <f>IFERROR(VLOOKUP(E2139,'Condensed Specialty Crosswalk'!$A$2:$C$182,3,FALSE),"")</f>
        <v/>
      </c>
    </row>
    <row r="2140" spans="2:7" ht="15" customHeight="1">
      <c r="B2140" s="49" t="str">
        <f>CONCATENATE(Reports!E2139," ",Reports!F2139," ",Reports!G2139)</f>
        <v xml:space="preserve">  </v>
      </c>
      <c r="C2140" s="50"/>
      <c r="D2140" s="51"/>
      <c r="E2140" s="49" t="str">
        <f>IFERROR(VLOOKUP(D2140,'taxonomy map'!$A$1:$B$171,2,FALSE),"")</f>
        <v/>
      </c>
      <c r="F2140" s="49" t="str">
        <f>IFERROR(VLOOKUP(E2140,'Condensed Specialty Crosswalk'!$A$2:$C$182,2,FALSE),"")</f>
        <v/>
      </c>
      <c r="G2140" s="49" t="str">
        <f>IFERROR(VLOOKUP(E2140,'Condensed Specialty Crosswalk'!$A$2:$C$182,3,FALSE),"")</f>
        <v/>
      </c>
    </row>
    <row r="2141" spans="2:7" ht="15" customHeight="1">
      <c r="B2141" s="49" t="str">
        <f>CONCATENATE(Reports!E2140," ",Reports!F2140," ",Reports!G2140)</f>
        <v xml:space="preserve">  </v>
      </c>
      <c r="C2141" s="50"/>
      <c r="D2141" s="51"/>
      <c r="E2141" s="49" t="str">
        <f>IFERROR(VLOOKUP(D2141,'taxonomy map'!$A$1:$B$171,2,FALSE),"")</f>
        <v/>
      </c>
      <c r="F2141" s="49" t="str">
        <f>IFERROR(VLOOKUP(E2141,'Condensed Specialty Crosswalk'!$A$2:$C$182,2,FALSE),"")</f>
        <v/>
      </c>
      <c r="G2141" s="49" t="str">
        <f>IFERROR(VLOOKUP(E2141,'Condensed Specialty Crosswalk'!$A$2:$C$182,3,FALSE),"")</f>
        <v/>
      </c>
    </row>
    <row r="2142" spans="2:7" ht="15" customHeight="1">
      <c r="B2142" s="49" t="str">
        <f>CONCATENATE(Reports!E2141," ",Reports!F2141," ",Reports!G2141)</f>
        <v xml:space="preserve">  </v>
      </c>
      <c r="C2142" s="50"/>
      <c r="D2142" s="51"/>
      <c r="E2142" s="49" t="str">
        <f>IFERROR(VLOOKUP(D2142,'taxonomy map'!$A$1:$B$171,2,FALSE),"")</f>
        <v/>
      </c>
      <c r="F2142" s="49" t="str">
        <f>IFERROR(VLOOKUP(E2142,'Condensed Specialty Crosswalk'!$A$2:$C$182,2,FALSE),"")</f>
        <v/>
      </c>
      <c r="G2142" s="49" t="str">
        <f>IFERROR(VLOOKUP(E2142,'Condensed Specialty Crosswalk'!$A$2:$C$182,3,FALSE),"")</f>
        <v/>
      </c>
    </row>
    <row r="2143" spans="2:7" ht="15" customHeight="1">
      <c r="B2143" s="49" t="str">
        <f>CONCATENATE(Reports!E2142," ",Reports!F2142," ",Reports!G2142)</f>
        <v xml:space="preserve">  </v>
      </c>
      <c r="C2143" s="50"/>
      <c r="D2143" s="51"/>
      <c r="E2143" s="49" t="str">
        <f>IFERROR(VLOOKUP(D2143,'taxonomy map'!$A$1:$B$171,2,FALSE),"")</f>
        <v/>
      </c>
      <c r="F2143" s="49" t="str">
        <f>IFERROR(VLOOKUP(E2143,'Condensed Specialty Crosswalk'!$A$2:$C$182,2,FALSE),"")</f>
        <v/>
      </c>
      <c r="G2143" s="49" t="str">
        <f>IFERROR(VLOOKUP(E2143,'Condensed Specialty Crosswalk'!$A$2:$C$182,3,FALSE),"")</f>
        <v/>
      </c>
    </row>
    <row r="2144" spans="2:7" ht="15" customHeight="1">
      <c r="B2144" s="49" t="str">
        <f>CONCATENATE(Reports!E2143," ",Reports!F2143," ",Reports!G2143)</f>
        <v xml:space="preserve">  </v>
      </c>
      <c r="C2144" s="50"/>
      <c r="D2144" s="51"/>
      <c r="E2144" s="49" t="str">
        <f>IFERROR(VLOOKUP(D2144,'taxonomy map'!$A$1:$B$171,2,FALSE),"")</f>
        <v/>
      </c>
      <c r="F2144" s="49" t="str">
        <f>IFERROR(VLOOKUP(E2144,'Condensed Specialty Crosswalk'!$A$2:$C$182,2,FALSE),"")</f>
        <v/>
      </c>
      <c r="G2144" s="49" t="str">
        <f>IFERROR(VLOOKUP(E2144,'Condensed Specialty Crosswalk'!$A$2:$C$182,3,FALSE),"")</f>
        <v/>
      </c>
    </row>
    <row r="2145" spans="2:7" ht="15" customHeight="1">
      <c r="B2145" s="49" t="str">
        <f>CONCATENATE(Reports!E2144," ",Reports!F2144," ",Reports!G2144)</f>
        <v xml:space="preserve">  </v>
      </c>
      <c r="C2145" s="50"/>
      <c r="D2145" s="51"/>
      <c r="E2145" s="49" t="str">
        <f>IFERROR(VLOOKUP(D2145,'taxonomy map'!$A$1:$B$171,2,FALSE),"")</f>
        <v/>
      </c>
      <c r="F2145" s="49" t="str">
        <f>IFERROR(VLOOKUP(E2145,'Condensed Specialty Crosswalk'!$A$2:$C$182,2,FALSE),"")</f>
        <v/>
      </c>
      <c r="G2145" s="49" t="str">
        <f>IFERROR(VLOOKUP(E2145,'Condensed Specialty Crosswalk'!$A$2:$C$182,3,FALSE),"")</f>
        <v/>
      </c>
    </row>
    <row r="2146" spans="2:7" ht="15" customHeight="1">
      <c r="B2146" s="49" t="str">
        <f>CONCATENATE(Reports!E2145," ",Reports!F2145," ",Reports!G2145)</f>
        <v xml:space="preserve">  </v>
      </c>
      <c r="C2146" s="50"/>
      <c r="D2146" s="51"/>
      <c r="E2146" s="49" t="str">
        <f>IFERROR(VLOOKUP(D2146,'taxonomy map'!$A$1:$B$171,2,FALSE),"")</f>
        <v/>
      </c>
      <c r="F2146" s="49" t="str">
        <f>IFERROR(VLOOKUP(E2146,'Condensed Specialty Crosswalk'!$A$2:$C$182,2,FALSE),"")</f>
        <v/>
      </c>
      <c r="G2146" s="49" t="str">
        <f>IFERROR(VLOOKUP(E2146,'Condensed Specialty Crosswalk'!$A$2:$C$182,3,FALSE),"")</f>
        <v/>
      </c>
    </row>
    <row r="2147" spans="2:7" ht="15" customHeight="1">
      <c r="B2147" s="49" t="str">
        <f>CONCATENATE(Reports!E2146," ",Reports!F2146," ",Reports!G2146)</f>
        <v xml:space="preserve">  </v>
      </c>
      <c r="C2147" s="50"/>
      <c r="D2147" s="51"/>
      <c r="E2147" s="49" t="str">
        <f>IFERROR(VLOOKUP(D2147,'taxonomy map'!$A$1:$B$171,2,FALSE),"")</f>
        <v/>
      </c>
      <c r="F2147" s="49" t="str">
        <f>IFERROR(VLOOKUP(E2147,'Condensed Specialty Crosswalk'!$A$2:$C$182,2,FALSE),"")</f>
        <v/>
      </c>
      <c r="G2147" s="49" t="str">
        <f>IFERROR(VLOOKUP(E2147,'Condensed Specialty Crosswalk'!$A$2:$C$182,3,FALSE),"")</f>
        <v/>
      </c>
    </row>
    <row r="2148" spans="2:7" ht="15" customHeight="1">
      <c r="B2148" s="49" t="str">
        <f>CONCATENATE(Reports!E2147," ",Reports!F2147," ",Reports!G2147)</f>
        <v xml:space="preserve">  </v>
      </c>
      <c r="C2148" s="50"/>
      <c r="D2148" s="51"/>
      <c r="E2148" s="49" t="str">
        <f>IFERROR(VLOOKUP(D2148,'taxonomy map'!$A$1:$B$171,2,FALSE),"")</f>
        <v/>
      </c>
      <c r="F2148" s="49" t="str">
        <f>IFERROR(VLOOKUP(E2148,'Condensed Specialty Crosswalk'!$A$2:$C$182,2,FALSE),"")</f>
        <v/>
      </c>
      <c r="G2148" s="49" t="str">
        <f>IFERROR(VLOOKUP(E2148,'Condensed Specialty Crosswalk'!$A$2:$C$182,3,FALSE),"")</f>
        <v/>
      </c>
    </row>
    <row r="2149" spans="2:7" ht="15" customHeight="1">
      <c r="B2149" s="49" t="str">
        <f>CONCATENATE(Reports!E2148," ",Reports!F2148," ",Reports!G2148)</f>
        <v xml:space="preserve">  </v>
      </c>
      <c r="C2149" s="50"/>
      <c r="D2149" s="51"/>
      <c r="E2149" s="49" t="str">
        <f>IFERROR(VLOOKUP(D2149,'taxonomy map'!$A$1:$B$171,2,FALSE),"")</f>
        <v/>
      </c>
      <c r="F2149" s="49" t="str">
        <f>IFERROR(VLOOKUP(E2149,'Condensed Specialty Crosswalk'!$A$2:$C$182,2,FALSE),"")</f>
        <v/>
      </c>
      <c r="G2149" s="49" t="str">
        <f>IFERROR(VLOOKUP(E2149,'Condensed Specialty Crosswalk'!$A$2:$C$182,3,FALSE),"")</f>
        <v/>
      </c>
    </row>
    <row r="2150" spans="2:7" ht="15" customHeight="1">
      <c r="B2150" s="49" t="str">
        <f>CONCATENATE(Reports!E2149," ",Reports!F2149," ",Reports!G2149)</f>
        <v xml:space="preserve">  </v>
      </c>
      <c r="C2150" s="50"/>
      <c r="D2150" s="51"/>
      <c r="E2150" s="49" t="str">
        <f>IFERROR(VLOOKUP(D2150,'taxonomy map'!$A$1:$B$171,2,FALSE),"")</f>
        <v/>
      </c>
      <c r="F2150" s="49" t="str">
        <f>IFERROR(VLOOKUP(E2150,'Condensed Specialty Crosswalk'!$A$2:$C$182,2,FALSE),"")</f>
        <v/>
      </c>
      <c r="G2150" s="49" t="str">
        <f>IFERROR(VLOOKUP(E2150,'Condensed Specialty Crosswalk'!$A$2:$C$182,3,FALSE),"")</f>
        <v/>
      </c>
    </row>
    <row r="2151" spans="2:7" ht="15" customHeight="1">
      <c r="B2151" s="49" t="str">
        <f>CONCATENATE(Reports!E2150," ",Reports!F2150," ",Reports!G2150)</f>
        <v xml:space="preserve">  </v>
      </c>
      <c r="C2151" s="50"/>
      <c r="D2151" s="51"/>
      <c r="E2151" s="49" t="str">
        <f>IFERROR(VLOOKUP(D2151,'taxonomy map'!$A$1:$B$171,2,FALSE),"")</f>
        <v/>
      </c>
      <c r="F2151" s="49" t="str">
        <f>IFERROR(VLOOKUP(E2151,'Condensed Specialty Crosswalk'!$A$2:$C$182,2,FALSE),"")</f>
        <v/>
      </c>
      <c r="G2151" s="49" t="str">
        <f>IFERROR(VLOOKUP(E2151,'Condensed Specialty Crosswalk'!$A$2:$C$182,3,FALSE),"")</f>
        <v/>
      </c>
    </row>
    <row r="2152" spans="2:7" ht="15" customHeight="1">
      <c r="B2152" s="49" t="str">
        <f>CONCATENATE(Reports!E2151," ",Reports!F2151," ",Reports!G2151)</f>
        <v xml:space="preserve">  </v>
      </c>
      <c r="C2152" s="50"/>
      <c r="D2152" s="51"/>
      <c r="E2152" s="49" t="str">
        <f>IFERROR(VLOOKUP(D2152,'taxonomy map'!$A$1:$B$171,2,FALSE),"")</f>
        <v/>
      </c>
      <c r="F2152" s="49" t="str">
        <f>IFERROR(VLOOKUP(E2152,'Condensed Specialty Crosswalk'!$A$2:$C$182,2,FALSE),"")</f>
        <v/>
      </c>
      <c r="G2152" s="49" t="str">
        <f>IFERROR(VLOOKUP(E2152,'Condensed Specialty Crosswalk'!$A$2:$C$182,3,FALSE),"")</f>
        <v/>
      </c>
    </row>
    <row r="2153" spans="2:7" ht="15" customHeight="1">
      <c r="B2153" s="49" t="str">
        <f>CONCATENATE(Reports!E2152," ",Reports!F2152," ",Reports!G2152)</f>
        <v xml:space="preserve">  </v>
      </c>
      <c r="C2153" s="50"/>
      <c r="D2153" s="51"/>
      <c r="E2153" s="49" t="str">
        <f>IFERROR(VLOOKUP(D2153,'taxonomy map'!$A$1:$B$171,2,FALSE),"")</f>
        <v/>
      </c>
      <c r="F2153" s="49" t="str">
        <f>IFERROR(VLOOKUP(E2153,'Condensed Specialty Crosswalk'!$A$2:$C$182,2,FALSE),"")</f>
        <v/>
      </c>
      <c r="G2153" s="49" t="str">
        <f>IFERROR(VLOOKUP(E2153,'Condensed Specialty Crosswalk'!$A$2:$C$182,3,FALSE),"")</f>
        <v/>
      </c>
    </row>
    <row r="2154" spans="2:7" ht="15" customHeight="1">
      <c r="B2154" s="49" t="str">
        <f>CONCATENATE(Reports!E2153," ",Reports!F2153," ",Reports!G2153)</f>
        <v xml:space="preserve">  </v>
      </c>
      <c r="C2154" s="50"/>
      <c r="D2154" s="51"/>
      <c r="E2154" s="49" t="str">
        <f>IFERROR(VLOOKUP(D2154,'taxonomy map'!$A$1:$B$171,2,FALSE),"")</f>
        <v/>
      </c>
      <c r="F2154" s="49" t="str">
        <f>IFERROR(VLOOKUP(E2154,'Condensed Specialty Crosswalk'!$A$2:$C$182,2,FALSE),"")</f>
        <v/>
      </c>
      <c r="G2154" s="49" t="str">
        <f>IFERROR(VLOOKUP(E2154,'Condensed Specialty Crosswalk'!$A$2:$C$182,3,FALSE),"")</f>
        <v/>
      </c>
    </row>
    <row r="2155" spans="2:7" ht="15" customHeight="1">
      <c r="B2155" s="49" t="str">
        <f>CONCATENATE(Reports!E2154," ",Reports!F2154," ",Reports!G2154)</f>
        <v xml:space="preserve">  </v>
      </c>
      <c r="C2155" s="50"/>
      <c r="D2155" s="51"/>
      <c r="E2155" s="49" t="str">
        <f>IFERROR(VLOOKUP(D2155,'taxonomy map'!$A$1:$B$171,2,FALSE),"")</f>
        <v/>
      </c>
      <c r="F2155" s="49" t="str">
        <f>IFERROR(VLOOKUP(E2155,'Condensed Specialty Crosswalk'!$A$2:$C$182,2,FALSE),"")</f>
        <v/>
      </c>
      <c r="G2155" s="49" t="str">
        <f>IFERROR(VLOOKUP(E2155,'Condensed Specialty Crosswalk'!$A$2:$C$182,3,FALSE),"")</f>
        <v/>
      </c>
    </row>
    <row r="2156" spans="2:7" ht="15" customHeight="1">
      <c r="B2156" s="49" t="str">
        <f>CONCATENATE(Reports!E2155," ",Reports!F2155," ",Reports!G2155)</f>
        <v xml:space="preserve">  </v>
      </c>
      <c r="C2156" s="50"/>
      <c r="D2156" s="51"/>
      <c r="E2156" s="49" t="str">
        <f>IFERROR(VLOOKUP(D2156,'taxonomy map'!$A$1:$B$171,2,FALSE),"")</f>
        <v/>
      </c>
      <c r="F2156" s="49" t="str">
        <f>IFERROR(VLOOKUP(E2156,'Condensed Specialty Crosswalk'!$A$2:$C$182,2,FALSE),"")</f>
        <v/>
      </c>
      <c r="G2156" s="49" t="str">
        <f>IFERROR(VLOOKUP(E2156,'Condensed Specialty Crosswalk'!$A$2:$C$182,3,FALSE),"")</f>
        <v/>
      </c>
    </row>
    <row r="2157" spans="2:7" ht="15" customHeight="1">
      <c r="B2157" s="49" t="str">
        <f>CONCATENATE(Reports!E2156," ",Reports!F2156," ",Reports!G2156)</f>
        <v xml:space="preserve">  </v>
      </c>
      <c r="C2157" s="50"/>
      <c r="D2157" s="51"/>
      <c r="E2157" s="49" t="str">
        <f>IFERROR(VLOOKUP(D2157,'taxonomy map'!$A$1:$B$171,2,FALSE),"")</f>
        <v/>
      </c>
      <c r="F2157" s="49" t="str">
        <f>IFERROR(VLOOKUP(E2157,'Condensed Specialty Crosswalk'!$A$2:$C$182,2,FALSE),"")</f>
        <v/>
      </c>
      <c r="G2157" s="49" t="str">
        <f>IFERROR(VLOOKUP(E2157,'Condensed Specialty Crosswalk'!$A$2:$C$182,3,FALSE),"")</f>
        <v/>
      </c>
    </row>
    <row r="2158" spans="2:7" ht="15" customHeight="1">
      <c r="B2158" s="49" t="str">
        <f>CONCATENATE(Reports!E2157," ",Reports!F2157," ",Reports!G2157)</f>
        <v xml:space="preserve">  </v>
      </c>
      <c r="C2158" s="50"/>
      <c r="D2158" s="51"/>
      <c r="E2158" s="49" t="str">
        <f>IFERROR(VLOOKUP(D2158,'taxonomy map'!$A$1:$B$171,2,FALSE),"")</f>
        <v/>
      </c>
      <c r="F2158" s="49" t="str">
        <f>IFERROR(VLOOKUP(E2158,'Condensed Specialty Crosswalk'!$A$2:$C$182,2,FALSE),"")</f>
        <v/>
      </c>
      <c r="G2158" s="49" t="str">
        <f>IFERROR(VLOOKUP(E2158,'Condensed Specialty Crosswalk'!$A$2:$C$182,3,FALSE),"")</f>
        <v/>
      </c>
    </row>
    <row r="2159" spans="2:7" ht="15" customHeight="1">
      <c r="B2159" s="49" t="str">
        <f>CONCATENATE(Reports!E2158," ",Reports!F2158," ",Reports!G2158)</f>
        <v xml:space="preserve">  </v>
      </c>
      <c r="C2159" s="50"/>
      <c r="D2159" s="51"/>
      <c r="E2159" s="49" t="str">
        <f>IFERROR(VLOOKUP(D2159,'taxonomy map'!$A$1:$B$171,2,FALSE),"")</f>
        <v/>
      </c>
      <c r="F2159" s="49" t="str">
        <f>IFERROR(VLOOKUP(E2159,'Condensed Specialty Crosswalk'!$A$2:$C$182,2,FALSE),"")</f>
        <v/>
      </c>
      <c r="G2159" s="49" t="str">
        <f>IFERROR(VLOOKUP(E2159,'Condensed Specialty Crosswalk'!$A$2:$C$182,3,FALSE),"")</f>
        <v/>
      </c>
    </row>
    <row r="2160" spans="2:7" ht="15" customHeight="1">
      <c r="B2160" s="49" t="str">
        <f>CONCATENATE(Reports!E2159," ",Reports!F2159," ",Reports!G2159)</f>
        <v xml:space="preserve">  </v>
      </c>
      <c r="C2160" s="50"/>
      <c r="D2160" s="51"/>
      <c r="E2160" s="49" t="str">
        <f>IFERROR(VLOOKUP(D2160,'taxonomy map'!$A$1:$B$171,2,FALSE),"")</f>
        <v/>
      </c>
      <c r="F2160" s="49" t="str">
        <f>IFERROR(VLOOKUP(E2160,'Condensed Specialty Crosswalk'!$A$2:$C$182,2,FALSE),"")</f>
        <v/>
      </c>
      <c r="G2160" s="49" t="str">
        <f>IFERROR(VLOOKUP(E2160,'Condensed Specialty Crosswalk'!$A$2:$C$182,3,FALSE),"")</f>
        <v/>
      </c>
    </row>
    <row r="2161" spans="2:7" ht="15" customHeight="1">
      <c r="B2161" s="49" t="str">
        <f>CONCATENATE(Reports!E2160," ",Reports!F2160," ",Reports!G2160)</f>
        <v xml:space="preserve">  </v>
      </c>
      <c r="C2161" s="50"/>
      <c r="D2161" s="51"/>
      <c r="E2161" s="49" t="str">
        <f>IFERROR(VLOOKUP(D2161,'taxonomy map'!$A$1:$B$171,2,FALSE),"")</f>
        <v/>
      </c>
      <c r="F2161" s="49" t="str">
        <f>IFERROR(VLOOKUP(E2161,'Condensed Specialty Crosswalk'!$A$2:$C$182,2,FALSE),"")</f>
        <v/>
      </c>
      <c r="G2161" s="49" t="str">
        <f>IFERROR(VLOOKUP(E2161,'Condensed Specialty Crosswalk'!$A$2:$C$182,3,FALSE),"")</f>
        <v/>
      </c>
    </row>
    <row r="2162" spans="2:7" ht="15" customHeight="1">
      <c r="B2162" s="49" t="str">
        <f>CONCATENATE(Reports!E2161," ",Reports!F2161," ",Reports!G2161)</f>
        <v xml:space="preserve">  </v>
      </c>
      <c r="C2162" s="50"/>
      <c r="D2162" s="51"/>
      <c r="E2162" s="49" t="str">
        <f>IFERROR(VLOOKUP(D2162,'taxonomy map'!$A$1:$B$171,2,FALSE),"")</f>
        <v/>
      </c>
      <c r="F2162" s="49" t="str">
        <f>IFERROR(VLOOKUP(E2162,'Condensed Specialty Crosswalk'!$A$2:$C$182,2,FALSE),"")</f>
        <v/>
      </c>
      <c r="G2162" s="49" t="str">
        <f>IFERROR(VLOOKUP(E2162,'Condensed Specialty Crosswalk'!$A$2:$C$182,3,FALSE),"")</f>
        <v/>
      </c>
    </row>
    <row r="2163" spans="2:7" ht="15" customHeight="1">
      <c r="B2163" s="49" t="str">
        <f>CONCATENATE(Reports!E2162," ",Reports!F2162," ",Reports!G2162)</f>
        <v xml:space="preserve">  </v>
      </c>
      <c r="C2163" s="50"/>
      <c r="D2163" s="51"/>
      <c r="E2163" s="49" t="str">
        <f>IFERROR(VLOOKUP(D2163,'taxonomy map'!$A$1:$B$171,2,FALSE),"")</f>
        <v/>
      </c>
      <c r="F2163" s="49" t="str">
        <f>IFERROR(VLOOKUP(E2163,'Condensed Specialty Crosswalk'!$A$2:$C$182,2,FALSE),"")</f>
        <v/>
      </c>
      <c r="G2163" s="49" t="str">
        <f>IFERROR(VLOOKUP(E2163,'Condensed Specialty Crosswalk'!$A$2:$C$182,3,FALSE),"")</f>
        <v/>
      </c>
    </row>
    <row r="2164" spans="2:7" ht="15" customHeight="1">
      <c r="B2164" s="49" t="str">
        <f>CONCATENATE(Reports!E2163," ",Reports!F2163," ",Reports!G2163)</f>
        <v xml:space="preserve">  </v>
      </c>
      <c r="C2164" s="50"/>
      <c r="D2164" s="51"/>
      <c r="E2164" s="49" t="str">
        <f>IFERROR(VLOOKUP(D2164,'taxonomy map'!$A$1:$B$171,2,FALSE),"")</f>
        <v/>
      </c>
      <c r="F2164" s="49" t="str">
        <f>IFERROR(VLOOKUP(E2164,'Condensed Specialty Crosswalk'!$A$2:$C$182,2,FALSE),"")</f>
        <v/>
      </c>
      <c r="G2164" s="49" t="str">
        <f>IFERROR(VLOOKUP(E2164,'Condensed Specialty Crosswalk'!$A$2:$C$182,3,FALSE),"")</f>
        <v/>
      </c>
    </row>
    <row r="2165" spans="2:7" ht="15" customHeight="1">
      <c r="B2165" s="49" t="str">
        <f>CONCATENATE(Reports!E2164," ",Reports!F2164," ",Reports!G2164)</f>
        <v xml:space="preserve">  </v>
      </c>
      <c r="C2165" s="50"/>
      <c r="D2165" s="51"/>
      <c r="E2165" s="49" t="str">
        <f>IFERROR(VLOOKUP(D2165,'taxonomy map'!$A$1:$B$171,2,FALSE),"")</f>
        <v/>
      </c>
      <c r="F2165" s="49" t="str">
        <f>IFERROR(VLOOKUP(E2165,'Condensed Specialty Crosswalk'!$A$2:$C$182,2,FALSE),"")</f>
        <v/>
      </c>
      <c r="G2165" s="49" t="str">
        <f>IFERROR(VLOOKUP(E2165,'Condensed Specialty Crosswalk'!$A$2:$C$182,3,FALSE),"")</f>
        <v/>
      </c>
    </row>
    <row r="2166" spans="2:7" ht="15" customHeight="1">
      <c r="B2166" s="49" t="str">
        <f>CONCATENATE(Reports!E2165," ",Reports!F2165," ",Reports!G2165)</f>
        <v xml:space="preserve">  </v>
      </c>
      <c r="C2166" s="50"/>
      <c r="D2166" s="51"/>
      <c r="E2166" s="49" t="str">
        <f>IFERROR(VLOOKUP(D2166,'taxonomy map'!$A$1:$B$171,2,FALSE),"")</f>
        <v/>
      </c>
      <c r="F2166" s="49" t="str">
        <f>IFERROR(VLOOKUP(E2166,'Condensed Specialty Crosswalk'!$A$2:$C$182,2,FALSE),"")</f>
        <v/>
      </c>
      <c r="G2166" s="49" t="str">
        <f>IFERROR(VLOOKUP(E2166,'Condensed Specialty Crosswalk'!$A$2:$C$182,3,FALSE),"")</f>
        <v/>
      </c>
    </row>
    <row r="2167" spans="2:7" ht="15" customHeight="1">
      <c r="B2167" s="49" t="str">
        <f>CONCATENATE(Reports!E2166," ",Reports!F2166," ",Reports!G2166)</f>
        <v xml:space="preserve">  </v>
      </c>
      <c r="C2167" s="50"/>
      <c r="D2167" s="51"/>
      <c r="E2167" s="49" t="str">
        <f>IFERROR(VLOOKUP(D2167,'taxonomy map'!$A$1:$B$171,2,FALSE),"")</f>
        <v/>
      </c>
      <c r="F2167" s="49" t="str">
        <f>IFERROR(VLOOKUP(E2167,'Condensed Specialty Crosswalk'!$A$2:$C$182,2,FALSE),"")</f>
        <v/>
      </c>
      <c r="G2167" s="49" t="str">
        <f>IFERROR(VLOOKUP(E2167,'Condensed Specialty Crosswalk'!$A$2:$C$182,3,FALSE),"")</f>
        <v/>
      </c>
    </row>
    <row r="2168" spans="2:7" ht="15" customHeight="1">
      <c r="B2168" s="49" t="str">
        <f>CONCATENATE(Reports!E2167," ",Reports!F2167," ",Reports!G2167)</f>
        <v xml:space="preserve">  </v>
      </c>
      <c r="C2168" s="50"/>
      <c r="D2168" s="51"/>
      <c r="E2168" s="49" t="str">
        <f>IFERROR(VLOOKUP(D2168,'taxonomy map'!$A$1:$B$171,2,FALSE),"")</f>
        <v/>
      </c>
      <c r="F2168" s="49" t="str">
        <f>IFERROR(VLOOKUP(E2168,'Condensed Specialty Crosswalk'!$A$2:$C$182,2,FALSE),"")</f>
        <v/>
      </c>
      <c r="G2168" s="49" t="str">
        <f>IFERROR(VLOOKUP(E2168,'Condensed Specialty Crosswalk'!$A$2:$C$182,3,FALSE),"")</f>
        <v/>
      </c>
    </row>
    <row r="2169" spans="2:7" ht="15" customHeight="1">
      <c r="B2169" s="49" t="str">
        <f>CONCATENATE(Reports!E2168," ",Reports!F2168," ",Reports!G2168)</f>
        <v xml:space="preserve">  </v>
      </c>
      <c r="C2169" s="50"/>
      <c r="D2169" s="51"/>
      <c r="E2169" s="49" t="str">
        <f>IFERROR(VLOOKUP(D2169,'taxonomy map'!$A$1:$B$171,2,FALSE),"")</f>
        <v/>
      </c>
      <c r="F2169" s="49" t="str">
        <f>IFERROR(VLOOKUP(E2169,'Condensed Specialty Crosswalk'!$A$2:$C$182,2,FALSE),"")</f>
        <v/>
      </c>
      <c r="G2169" s="49" t="str">
        <f>IFERROR(VLOOKUP(E2169,'Condensed Specialty Crosswalk'!$A$2:$C$182,3,FALSE),"")</f>
        <v/>
      </c>
    </row>
    <row r="2170" spans="2:7" ht="15" customHeight="1">
      <c r="B2170" s="49" t="str">
        <f>CONCATENATE(Reports!E2169," ",Reports!F2169," ",Reports!G2169)</f>
        <v xml:space="preserve">  </v>
      </c>
      <c r="C2170" s="50"/>
      <c r="D2170" s="51"/>
      <c r="E2170" s="49" t="str">
        <f>IFERROR(VLOOKUP(D2170,'taxonomy map'!$A$1:$B$171,2,FALSE),"")</f>
        <v/>
      </c>
      <c r="F2170" s="49" t="str">
        <f>IFERROR(VLOOKUP(E2170,'Condensed Specialty Crosswalk'!$A$2:$C$182,2,FALSE),"")</f>
        <v/>
      </c>
      <c r="G2170" s="49" t="str">
        <f>IFERROR(VLOOKUP(E2170,'Condensed Specialty Crosswalk'!$A$2:$C$182,3,FALSE),"")</f>
        <v/>
      </c>
    </row>
    <row r="2171" spans="2:7" ht="15" customHeight="1">
      <c r="B2171" s="49" t="str">
        <f>CONCATENATE(Reports!E2170," ",Reports!F2170," ",Reports!G2170)</f>
        <v xml:space="preserve">  </v>
      </c>
      <c r="C2171" s="50"/>
      <c r="D2171" s="51"/>
      <c r="E2171" s="49" t="str">
        <f>IFERROR(VLOOKUP(D2171,'taxonomy map'!$A$1:$B$171,2,FALSE),"")</f>
        <v/>
      </c>
      <c r="F2171" s="49" t="str">
        <f>IFERROR(VLOOKUP(E2171,'Condensed Specialty Crosswalk'!$A$2:$C$182,2,FALSE),"")</f>
        <v/>
      </c>
      <c r="G2171" s="49" t="str">
        <f>IFERROR(VLOOKUP(E2171,'Condensed Specialty Crosswalk'!$A$2:$C$182,3,FALSE),"")</f>
        <v/>
      </c>
    </row>
    <row r="2172" spans="2:7" ht="15" customHeight="1">
      <c r="B2172" s="49" t="str">
        <f>CONCATENATE(Reports!E2171," ",Reports!F2171," ",Reports!G2171)</f>
        <v xml:space="preserve">  </v>
      </c>
      <c r="C2172" s="50"/>
      <c r="D2172" s="51"/>
      <c r="E2172" s="49" t="str">
        <f>IFERROR(VLOOKUP(D2172,'taxonomy map'!$A$1:$B$171,2,FALSE),"")</f>
        <v/>
      </c>
      <c r="F2172" s="49" t="str">
        <f>IFERROR(VLOOKUP(E2172,'Condensed Specialty Crosswalk'!$A$2:$C$182,2,FALSE),"")</f>
        <v/>
      </c>
      <c r="G2172" s="49" t="str">
        <f>IFERROR(VLOOKUP(E2172,'Condensed Specialty Crosswalk'!$A$2:$C$182,3,FALSE),"")</f>
        <v/>
      </c>
    </row>
    <row r="2173" spans="2:7" ht="15" customHeight="1">
      <c r="B2173" s="49" t="str">
        <f>CONCATENATE(Reports!E2172," ",Reports!F2172," ",Reports!G2172)</f>
        <v xml:space="preserve">  </v>
      </c>
      <c r="C2173" s="50"/>
      <c r="D2173" s="51"/>
      <c r="E2173" s="49" t="str">
        <f>IFERROR(VLOOKUP(D2173,'taxonomy map'!$A$1:$B$171,2,FALSE),"")</f>
        <v/>
      </c>
      <c r="F2173" s="49" t="str">
        <f>IFERROR(VLOOKUP(E2173,'Condensed Specialty Crosswalk'!$A$2:$C$182,2,FALSE),"")</f>
        <v/>
      </c>
      <c r="G2173" s="49" t="str">
        <f>IFERROR(VLOOKUP(E2173,'Condensed Specialty Crosswalk'!$A$2:$C$182,3,FALSE),"")</f>
        <v/>
      </c>
    </row>
    <row r="2174" spans="2:7" ht="15" customHeight="1">
      <c r="B2174" s="49" t="str">
        <f>CONCATENATE(Reports!E2173," ",Reports!F2173," ",Reports!G2173)</f>
        <v xml:space="preserve">  </v>
      </c>
      <c r="C2174" s="50"/>
      <c r="D2174" s="51"/>
      <c r="E2174" s="49" t="str">
        <f>IFERROR(VLOOKUP(D2174,'taxonomy map'!$A$1:$B$171,2,FALSE),"")</f>
        <v/>
      </c>
      <c r="F2174" s="49" t="str">
        <f>IFERROR(VLOOKUP(E2174,'Condensed Specialty Crosswalk'!$A$2:$C$182,2,FALSE),"")</f>
        <v/>
      </c>
      <c r="G2174" s="49" t="str">
        <f>IFERROR(VLOOKUP(E2174,'Condensed Specialty Crosswalk'!$A$2:$C$182,3,FALSE),"")</f>
        <v/>
      </c>
    </row>
    <row r="2175" spans="2:7" ht="15" customHeight="1">
      <c r="B2175" s="49" t="str">
        <f>CONCATENATE(Reports!E2174," ",Reports!F2174," ",Reports!G2174)</f>
        <v xml:space="preserve">  </v>
      </c>
      <c r="C2175" s="50"/>
      <c r="D2175" s="51"/>
      <c r="E2175" s="49" t="str">
        <f>IFERROR(VLOOKUP(D2175,'taxonomy map'!$A$1:$B$171,2,FALSE),"")</f>
        <v/>
      </c>
      <c r="F2175" s="49" t="str">
        <f>IFERROR(VLOOKUP(E2175,'Condensed Specialty Crosswalk'!$A$2:$C$182,2,FALSE),"")</f>
        <v/>
      </c>
      <c r="G2175" s="49" t="str">
        <f>IFERROR(VLOOKUP(E2175,'Condensed Specialty Crosswalk'!$A$2:$C$182,3,FALSE),"")</f>
        <v/>
      </c>
    </row>
    <row r="2176" spans="2:7" ht="15" customHeight="1">
      <c r="B2176" s="49" t="str">
        <f>CONCATENATE(Reports!E2175," ",Reports!F2175," ",Reports!G2175)</f>
        <v xml:space="preserve">  </v>
      </c>
      <c r="C2176" s="50"/>
      <c r="D2176" s="51"/>
      <c r="E2176" s="49" t="str">
        <f>IFERROR(VLOOKUP(D2176,'taxonomy map'!$A$1:$B$171,2,FALSE),"")</f>
        <v/>
      </c>
      <c r="F2176" s="49" t="str">
        <f>IFERROR(VLOOKUP(E2176,'Condensed Specialty Crosswalk'!$A$2:$C$182,2,FALSE),"")</f>
        <v/>
      </c>
      <c r="G2176" s="49" t="str">
        <f>IFERROR(VLOOKUP(E2176,'Condensed Specialty Crosswalk'!$A$2:$C$182,3,FALSE),"")</f>
        <v/>
      </c>
    </row>
    <row r="2177" spans="2:7" ht="15" customHeight="1">
      <c r="B2177" s="49" t="str">
        <f>CONCATENATE(Reports!E2176," ",Reports!F2176," ",Reports!G2176)</f>
        <v xml:space="preserve">  </v>
      </c>
      <c r="C2177" s="50"/>
      <c r="D2177" s="51"/>
      <c r="E2177" s="49" t="str">
        <f>IFERROR(VLOOKUP(D2177,'taxonomy map'!$A$1:$B$171,2,FALSE),"")</f>
        <v/>
      </c>
      <c r="F2177" s="49" t="str">
        <f>IFERROR(VLOOKUP(E2177,'Condensed Specialty Crosswalk'!$A$2:$C$182,2,FALSE),"")</f>
        <v/>
      </c>
      <c r="G2177" s="49" t="str">
        <f>IFERROR(VLOOKUP(E2177,'Condensed Specialty Crosswalk'!$A$2:$C$182,3,FALSE),"")</f>
        <v/>
      </c>
    </row>
    <row r="2178" spans="2:7" ht="15" customHeight="1">
      <c r="B2178" s="49" t="str">
        <f>CONCATENATE(Reports!E2177," ",Reports!F2177," ",Reports!G2177)</f>
        <v xml:space="preserve">  </v>
      </c>
      <c r="C2178" s="50"/>
      <c r="D2178" s="51"/>
      <c r="E2178" s="49" t="str">
        <f>IFERROR(VLOOKUP(D2178,'taxonomy map'!$A$1:$B$171,2,FALSE),"")</f>
        <v/>
      </c>
      <c r="F2178" s="49" t="str">
        <f>IFERROR(VLOOKUP(E2178,'Condensed Specialty Crosswalk'!$A$2:$C$182,2,FALSE),"")</f>
        <v/>
      </c>
      <c r="G2178" s="49" t="str">
        <f>IFERROR(VLOOKUP(E2178,'Condensed Specialty Crosswalk'!$A$2:$C$182,3,FALSE),"")</f>
        <v/>
      </c>
    </row>
    <row r="2179" spans="2:7" ht="15" customHeight="1">
      <c r="B2179" s="49" t="str">
        <f>CONCATENATE(Reports!E2178," ",Reports!F2178," ",Reports!G2178)</f>
        <v xml:space="preserve">  </v>
      </c>
      <c r="C2179" s="50"/>
      <c r="D2179" s="51"/>
      <c r="E2179" s="49" t="str">
        <f>IFERROR(VLOOKUP(D2179,'taxonomy map'!$A$1:$B$171,2,FALSE),"")</f>
        <v/>
      </c>
      <c r="F2179" s="49" t="str">
        <f>IFERROR(VLOOKUP(E2179,'Condensed Specialty Crosswalk'!$A$2:$C$182,2,FALSE),"")</f>
        <v/>
      </c>
      <c r="G2179" s="49" t="str">
        <f>IFERROR(VLOOKUP(E2179,'Condensed Specialty Crosswalk'!$A$2:$C$182,3,FALSE),"")</f>
        <v/>
      </c>
    </row>
    <row r="2180" spans="2:7" ht="15" customHeight="1">
      <c r="B2180" s="49" t="str">
        <f>CONCATENATE(Reports!E2179," ",Reports!F2179," ",Reports!G2179)</f>
        <v xml:space="preserve">  </v>
      </c>
      <c r="C2180" s="50"/>
      <c r="D2180" s="51"/>
      <c r="E2180" s="49" t="str">
        <f>IFERROR(VLOOKUP(D2180,'taxonomy map'!$A$1:$B$171,2,FALSE),"")</f>
        <v/>
      </c>
      <c r="F2180" s="49" t="str">
        <f>IFERROR(VLOOKUP(E2180,'Condensed Specialty Crosswalk'!$A$2:$C$182,2,FALSE),"")</f>
        <v/>
      </c>
      <c r="G2180" s="49" t="str">
        <f>IFERROR(VLOOKUP(E2180,'Condensed Specialty Crosswalk'!$A$2:$C$182,3,FALSE),"")</f>
        <v/>
      </c>
    </row>
    <row r="2181" spans="2:7" ht="15" customHeight="1">
      <c r="B2181" s="49" t="str">
        <f>CONCATENATE(Reports!E2180," ",Reports!F2180," ",Reports!G2180)</f>
        <v xml:space="preserve">  </v>
      </c>
      <c r="C2181" s="50"/>
      <c r="D2181" s="51"/>
      <c r="E2181" s="49" t="str">
        <f>IFERROR(VLOOKUP(D2181,'taxonomy map'!$A$1:$B$171,2,FALSE),"")</f>
        <v/>
      </c>
      <c r="F2181" s="49" t="str">
        <f>IFERROR(VLOOKUP(E2181,'Condensed Specialty Crosswalk'!$A$2:$C$182,2,FALSE),"")</f>
        <v/>
      </c>
      <c r="G2181" s="49" t="str">
        <f>IFERROR(VLOOKUP(E2181,'Condensed Specialty Crosswalk'!$A$2:$C$182,3,FALSE),"")</f>
        <v/>
      </c>
    </row>
    <row r="2182" spans="2:7" ht="15" customHeight="1">
      <c r="B2182" s="49" t="str">
        <f>CONCATENATE(Reports!E2181," ",Reports!F2181," ",Reports!G2181)</f>
        <v xml:space="preserve">  </v>
      </c>
      <c r="C2182" s="50"/>
      <c r="D2182" s="51"/>
      <c r="E2182" s="49" t="str">
        <f>IFERROR(VLOOKUP(D2182,'taxonomy map'!$A$1:$B$171,2,FALSE),"")</f>
        <v/>
      </c>
      <c r="F2182" s="49" t="str">
        <f>IFERROR(VLOOKUP(E2182,'Condensed Specialty Crosswalk'!$A$2:$C$182,2,FALSE),"")</f>
        <v/>
      </c>
      <c r="G2182" s="49" t="str">
        <f>IFERROR(VLOOKUP(E2182,'Condensed Specialty Crosswalk'!$A$2:$C$182,3,FALSE),"")</f>
        <v/>
      </c>
    </row>
    <row r="2183" spans="2:7" ht="15" customHeight="1">
      <c r="B2183" s="49" t="str">
        <f>CONCATENATE(Reports!E2182," ",Reports!F2182," ",Reports!G2182)</f>
        <v xml:space="preserve">  </v>
      </c>
      <c r="C2183" s="50"/>
      <c r="D2183" s="51"/>
      <c r="E2183" s="49" t="str">
        <f>IFERROR(VLOOKUP(D2183,'taxonomy map'!$A$1:$B$171,2,FALSE),"")</f>
        <v/>
      </c>
      <c r="F2183" s="49" t="str">
        <f>IFERROR(VLOOKUP(E2183,'Condensed Specialty Crosswalk'!$A$2:$C$182,2,FALSE),"")</f>
        <v/>
      </c>
      <c r="G2183" s="49" t="str">
        <f>IFERROR(VLOOKUP(E2183,'Condensed Specialty Crosswalk'!$A$2:$C$182,3,FALSE),"")</f>
        <v/>
      </c>
    </row>
    <row r="2184" spans="2:7" ht="15" customHeight="1">
      <c r="B2184" s="49" t="str">
        <f>CONCATENATE(Reports!E2183," ",Reports!F2183," ",Reports!G2183)</f>
        <v xml:space="preserve">  </v>
      </c>
      <c r="C2184" s="50"/>
      <c r="D2184" s="51"/>
      <c r="E2184" s="49" t="str">
        <f>IFERROR(VLOOKUP(D2184,'taxonomy map'!$A$1:$B$171,2,FALSE),"")</f>
        <v/>
      </c>
      <c r="F2184" s="49" t="str">
        <f>IFERROR(VLOOKUP(E2184,'Condensed Specialty Crosswalk'!$A$2:$C$182,2,FALSE),"")</f>
        <v/>
      </c>
      <c r="G2184" s="49" t="str">
        <f>IFERROR(VLOOKUP(E2184,'Condensed Specialty Crosswalk'!$A$2:$C$182,3,FALSE),"")</f>
        <v/>
      </c>
    </row>
    <row r="2185" spans="2:7" ht="15" customHeight="1">
      <c r="B2185" s="49" t="str">
        <f>CONCATENATE(Reports!E2184," ",Reports!F2184," ",Reports!G2184)</f>
        <v xml:space="preserve">  </v>
      </c>
      <c r="C2185" s="50"/>
      <c r="D2185" s="51"/>
      <c r="E2185" s="49" t="str">
        <f>IFERROR(VLOOKUP(D2185,'taxonomy map'!$A$1:$B$171,2,FALSE),"")</f>
        <v/>
      </c>
      <c r="F2185" s="49" t="str">
        <f>IFERROR(VLOOKUP(E2185,'Condensed Specialty Crosswalk'!$A$2:$C$182,2,FALSE),"")</f>
        <v/>
      </c>
      <c r="G2185" s="49" t="str">
        <f>IFERROR(VLOOKUP(E2185,'Condensed Specialty Crosswalk'!$A$2:$C$182,3,FALSE),"")</f>
        <v/>
      </c>
    </row>
    <row r="2186" spans="2:7" ht="15" customHeight="1">
      <c r="B2186" s="49" t="str">
        <f>CONCATENATE(Reports!E2185," ",Reports!F2185," ",Reports!G2185)</f>
        <v xml:space="preserve">  </v>
      </c>
      <c r="C2186" s="50"/>
      <c r="D2186" s="51"/>
      <c r="E2186" s="49" t="str">
        <f>IFERROR(VLOOKUP(D2186,'taxonomy map'!$A$1:$B$171,2,FALSE),"")</f>
        <v/>
      </c>
      <c r="F2186" s="49" t="str">
        <f>IFERROR(VLOOKUP(E2186,'Condensed Specialty Crosswalk'!$A$2:$C$182,2,FALSE),"")</f>
        <v/>
      </c>
      <c r="G2186" s="49" t="str">
        <f>IFERROR(VLOOKUP(E2186,'Condensed Specialty Crosswalk'!$A$2:$C$182,3,FALSE),"")</f>
        <v/>
      </c>
    </row>
    <row r="2187" spans="2:7" ht="15" customHeight="1">
      <c r="B2187" s="49" t="str">
        <f>CONCATENATE(Reports!E2186," ",Reports!F2186," ",Reports!G2186)</f>
        <v xml:space="preserve">  </v>
      </c>
      <c r="C2187" s="50"/>
      <c r="D2187" s="51"/>
      <c r="E2187" s="49" t="str">
        <f>IFERROR(VLOOKUP(D2187,'taxonomy map'!$A$1:$B$171,2,FALSE),"")</f>
        <v/>
      </c>
      <c r="F2187" s="49" t="str">
        <f>IFERROR(VLOOKUP(E2187,'Condensed Specialty Crosswalk'!$A$2:$C$182,2,FALSE),"")</f>
        <v/>
      </c>
      <c r="G2187" s="49" t="str">
        <f>IFERROR(VLOOKUP(E2187,'Condensed Specialty Crosswalk'!$A$2:$C$182,3,FALSE),"")</f>
        <v/>
      </c>
    </row>
    <row r="2188" spans="2:7" ht="15" customHeight="1">
      <c r="B2188" s="49" t="str">
        <f>CONCATENATE(Reports!E2187," ",Reports!F2187," ",Reports!G2187)</f>
        <v xml:space="preserve">  </v>
      </c>
      <c r="C2188" s="50"/>
      <c r="D2188" s="51"/>
      <c r="E2188" s="49" t="str">
        <f>IFERROR(VLOOKUP(D2188,'taxonomy map'!$A$1:$B$171,2,FALSE),"")</f>
        <v/>
      </c>
      <c r="F2188" s="49" t="str">
        <f>IFERROR(VLOOKUP(E2188,'Condensed Specialty Crosswalk'!$A$2:$C$182,2,FALSE),"")</f>
        <v/>
      </c>
      <c r="G2188" s="49" t="str">
        <f>IFERROR(VLOOKUP(E2188,'Condensed Specialty Crosswalk'!$A$2:$C$182,3,FALSE),"")</f>
        <v/>
      </c>
    </row>
    <row r="2189" spans="2:7" ht="15" customHeight="1">
      <c r="B2189" s="49" t="str">
        <f>CONCATENATE(Reports!E2188," ",Reports!F2188," ",Reports!G2188)</f>
        <v xml:space="preserve">  </v>
      </c>
      <c r="C2189" s="50"/>
      <c r="D2189" s="51"/>
      <c r="E2189" s="49" t="str">
        <f>IFERROR(VLOOKUP(D2189,'taxonomy map'!$A$1:$B$171,2,FALSE),"")</f>
        <v/>
      </c>
      <c r="F2189" s="49" t="str">
        <f>IFERROR(VLOOKUP(E2189,'Condensed Specialty Crosswalk'!$A$2:$C$182,2,FALSE),"")</f>
        <v/>
      </c>
      <c r="G2189" s="49" t="str">
        <f>IFERROR(VLOOKUP(E2189,'Condensed Specialty Crosswalk'!$A$2:$C$182,3,FALSE),"")</f>
        <v/>
      </c>
    </row>
    <row r="2190" spans="2:7" ht="15" customHeight="1">
      <c r="B2190" s="49" t="str">
        <f>CONCATENATE(Reports!E2189," ",Reports!F2189," ",Reports!G2189)</f>
        <v xml:space="preserve">  </v>
      </c>
      <c r="C2190" s="50"/>
      <c r="D2190" s="51"/>
      <c r="E2190" s="49" t="str">
        <f>IFERROR(VLOOKUP(D2190,'taxonomy map'!$A$1:$B$171,2,FALSE),"")</f>
        <v/>
      </c>
      <c r="F2190" s="49" t="str">
        <f>IFERROR(VLOOKUP(E2190,'Condensed Specialty Crosswalk'!$A$2:$C$182,2,FALSE),"")</f>
        <v/>
      </c>
      <c r="G2190" s="49" t="str">
        <f>IFERROR(VLOOKUP(E2190,'Condensed Specialty Crosswalk'!$A$2:$C$182,3,FALSE),"")</f>
        <v/>
      </c>
    </row>
    <row r="2191" spans="2:7" ht="15" customHeight="1">
      <c r="B2191" s="49" t="str">
        <f>CONCATENATE(Reports!E2190," ",Reports!F2190," ",Reports!G2190)</f>
        <v xml:space="preserve">  </v>
      </c>
      <c r="C2191" s="50"/>
      <c r="D2191" s="51"/>
      <c r="E2191" s="49" t="str">
        <f>IFERROR(VLOOKUP(D2191,'taxonomy map'!$A$1:$B$171,2,FALSE),"")</f>
        <v/>
      </c>
      <c r="F2191" s="49" t="str">
        <f>IFERROR(VLOOKUP(E2191,'Condensed Specialty Crosswalk'!$A$2:$C$182,2,FALSE),"")</f>
        <v/>
      </c>
      <c r="G2191" s="49" t="str">
        <f>IFERROR(VLOOKUP(E2191,'Condensed Specialty Crosswalk'!$A$2:$C$182,3,FALSE),"")</f>
        <v/>
      </c>
    </row>
    <row r="2192" spans="2:7" ht="15" customHeight="1">
      <c r="B2192" s="49" t="str">
        <f>CONCATENATE(Reports!E2191," ",Reports!F2191," ",Reports!G2191)</f>
        <v xml:space="preserve">  </v>
      </c>
      <c r="C2192" s="50"/>
      <c r="D2192" s="51"/>
      <c r="E2192" s="49" t="str">
        <f>IFERROR(VLOOKUP(D2192,'taxonomy map'!$A$1:$B$171,2,FALSE),"")</f>
        <v/>
      </c>
      <c r="F2192" s="49" t="str">
        <f>IFERROR(VLOOKUP(E2192,'Condensed Specialty Crosswalk'!$A$2:$C$182,2,FALSE),"")</f>
        <v/>
      </c>
      <c r="G2192" s="49" t="str">
        <f>IFERROR(VLOOKUP(E2192,'Condensed Specialty Crosswalk'!$A$2:$C$182,3,FALSE),"")</f>
        <v/>
      </c>
    </row>
    <row r="2193" spans="2:7" ht="15" customHeight="1">
      <c r="B2193" s="49" t="str">
        <f>CONCATENATE(Reports!E2192," ",Reports!F2192," ",Reports!G2192)</f>
        <v xml:space="preserve">  </v>
      </c>
      <c r="C2193" s="50"/>
      <c r="D2193" s="51"/>
      <c r="E2193" s="49" t="str">
        <f>IFERROR(VLOOKUP(D2193,'taxonomy map'!$A$1:$B$171,2,FALSE),"")</f>
        <v/>
      </c>
      <c r="F2193" s="49" t="str">
        <f>IFERROR(VLOOKUP(E2193,'Condensed Specialty Crosswalk'!$A$2:$C$182,2,FALSE),"")</f>
        <v/>
      </c>
      <c r="G2193" s="49" t="str">
        <f>IFERROR(VLOOKUP(E2193,'Condensed Specialty Crosswalk'!$A$2:$C$182,3,FALSE),"")</f>
        <v/>
      </c>
    </row>
    <row r="2194" spans="2:7" ht="15" customHeight="1">
      <c r="B2194" s="49" t="str">
        <f>CONCATENATE(Reports!E2193," ",Reports!F2193," ",Reports!G2193)</f>
        <v xml:space="preserve">  </v>
      </c>
      <c r="C2194" s="50"/>
      <c r="D2194" s="51"/>
      <c r="E2194" s="49" t="str">
        <f>IFERROR(VLOOKUP(D2194,'taxonomy map'!$A$1:$B$171,2,FALSE),"")</f>
        <v/>
      </c>
      <c r="F2194" s="49" t="str">
        <f>IFERROR(VLOOKUP(E2194,'Condensed Specialty Crosswalk'!$A$2:$C$182,2,FALSE),"")</f>
        <v/>
      </c>
      <c r="G2194" s="49" t="str">
        <f>IFERROR(VLOOKUP(E2194,'Condensed Specialty Crosswalk'!$A$2:$C$182,3,FALSE),"")</f>
        <v/>
      </c>
    </row>
    <row r="2195" spans="2:7" ht="15" customHeight="1">
      <c r="B2195" s="49" t="str">
        <f>CONCATENATE(Reports!E2194," ",Reports!F2194," ",Reports!G2194)</f>
        <v xml:space="preserve">  </v>
      </c>
      <c r="C2195" s="50"/>
      <c r="D2195" s="51"/>
      <c r="E2195" s="49" t="str">
        <f>IFERROR(VLOOKUP(D2195,'taxonomy map'!$A$1:$B$171,2,FALSE),"")</f>
        <v/>
      </c>
      <c r="F2195" s="49" t="str">
        <f>IFERROR(VLOOKUP(E2195,'Condensed Specialty Crosswalk'!$A$2:$C$182,2,FALSE),"")</f>
        <v/>
      </c>
      <c r="G2195" s="49" t="str">
        <f>IFERROR(VLOOKUP(E2195,'Condensed Specialty Crosswalk'!$A$2:$C$182,3,FALSE),"")</f>
        <v/>
      </c>
    </row>
    <row r="2196" spans="2:7" ht="15" customHeight="1">
      <c r="B2196" s="49" t="str">
        <f>CONCATENATE(Reports!E2195," ",Reports!F2195," ",Reports!G2195)</f>
        <v xml:space="preserve">  </v>
      </c>
      <c r="C2196" s="50"/>
      <c r="D2196" s="51"/>
      <c r="E2196" s="49" t="str">
        <f>IFERROR(VLOOKUP(D2196,'taxonomy map'!$A$1:$B$171,2,FALSE),"")</f>
        <v/>
      </c>
      <c r="F2196" s="49" t="str">
        <f>IFERROR(VLOOKUP(E2196,'Condensed Specialty Crosswalk'!$A$2:$C$182,2,FALSE),"")</f>
        <v/>
      </c>
      <c r="G2196" s="49" t="str">
        <f>IFERROR(VLOOKUP(E2196,'Condensed Specialty Crosswalk'!$A$2:$C$182,3,FALSE),"")</f>
        <v/>
      </c>
    </row>
    <row r="2197" spans="2:7" ht="15" customHeight="1">
      <c r="B2197" s="49" t="str">
        <f>CONCATENATE(Reports!E2196," ",Reports!F2196," ",Reports!G2196)</f>
        <v xml:space="preserve">  </v>
      </c>
      <c r="C2197" s="50"/>
      <c r="D2197" s="51"/>
      <c r="E2197" s="49" t="str">
        <f>IFERROR(VLOOKUP(D2197,'taxonomy map'!$A$1:$B$171,2,FALSE),"")</f>
        <v/>
      </c>
      <c r="F2197" s="49" t="str">
        <f>IFERROR(VLOOKUP(E2197,'Condensed Specialty Crosswalk'!$A$2:$C$182,2,FALSE),"")</f>
        <v/>
      </c>
      <c r="G2197" s="49" t="str">
        <f>IFERROR(VLOOKUP(E2197,'Condensed Specialty Crosswalk'!$A$2:$C$182,3,FALSE),"")</f>
        <v/>
      </c>
    </row>
    <row r="2198" spans="2:7" ht="15" customHeight="1">
      <c r="B2198" s="49" t="str">
        <f>CONCATENATE(Reports!E2197," ",Reports!F2197," ",Reports!G2197)</f>
        <v xml:space="preserve">  </v>
      </c>
      <c r="C2198" s="50"/>
      <c r="D2198" s="51"/>
      <c r="E2198" s="49" t="str">
        <f>IFERROR(VLOOKUP(D2198,'taxonomy map'!$A$1:$B$171,2,FALSE),"")</f>
        <v/>
      </c>
      <c r="F2198" s="49" t="str">
        <f>IFERROR(VLOOKUP(E2198,'Condensed Specialty Crosswalk'!$A$2:$C$182,2,FALSE),"")</f>
        <v/>
      </c>
      <c r="G2198" s="49" t="str">
        <f>IFERROR(VLOOKUP(E2198,'Condensed Specialty Crosswalk'!$A$2:$C$182,3,FALSE),"")</f>
        <v/>
      </c>
    </row>
    <row r="2199" spans="2:7" ht="15" customHeight="1">
      <c r="B2199" s="49" t="str">
        <f>CONCATENATE(Reports!E2198," ",Reports!F2198," ",Reports!G2198)</f>
        <v xml:space="preserve">  </v>
      </c>
      <c r="C2199" s="50"/>
      <c r="D2199" s="51"/>
      <c r="E2199" s="49" t="str">
        <f>IFERROR(VLOOKUP(D2199,'taxonomy map'!$A$1:$B$171,2,FALSE),"")</f>
        <v/>
      </c>
      <c r="F2199" s="49" t="str">
        <f>IFERROR(VLOOKUP(E2199,'Condensed Specialty Crosswalk'!$A$2:$C$182,2,FALSE),"")</f>
        <v/>
      </c>
      <c r="G2199" s="49" t="str">
        <f>IFERROR(VLOOKUP(E2199,'Condensed Specialty Crosswalk'!$A$2:$C$182,3,FALSE),"")</f>
        <v/>
      </c>
    </row>
    <row r="2200" spans="2:7" ht="15" customHeight="1">
      <c r="B2200" s="49" t="str">
        <f>CONCATENATE(Reports!E2199," ",Reports!F2199," ",Reports!G2199)</f>
        <v xml:space="preserve">  </v>
      </c>
      <c r="C2200" s="50"/>
      <c r="D2200" s="51"/>
      <c r="E2200" s="49" t="str">
        <f>IFERROR(VLOOKUP(D2200,'taxonomy map'!$A$1:$B$171,2,FALSE),"")</f>
        <v/>
      </c>
      <c r="F2200" s="49" t="str">
        <f>IFERROR(VLOOKUP(E2200,'Condensed Specialty Crosswalk'!$A$2:$C$182,2,FALSE),"")</f>
        <v/>
      </c>
      <c r="G2200" s="49" t="str">
        <f>IFERROR(VLOOKUP(E2200,'Condensed Specialty Crosswalk'!$A$2:$C$182,3,FALSE),"")</f>
        <v/>
      </c>
    </row>
    <row r="2201" spans="2:7" ht="15" customHeight="1">
      <c r="B2201" s="49" t="str">
        <f>CONCATENATE(Reports!E2200," ",Reports!F2200," ",Reports!G2200)</f>
        <v xml:space="preserve">  </v>
      </c>
      <c r="C2201" s="50"/>
      <c r="D2201" s="51"/>
      <c r="E2201" s="49" t="str">
        <f>IFERROR(VLOOKUP(D2201,'taxonomy map'!$A$1:$B$171,2,FALSE),"")</f>
        <v/>
      </c>
      <c r="F2201" s="49" t="str">
        <f>IFERROR(VLOOKUP(E2201,'Condensed Specialty Crosswalk'!$A$2:$C$182,2,FALSE),"")</f>
        <v/>
      </c>
      <c r="G2201" s="49" t="str">
        <f>IFERROR(VLOOKUP(E2201,'Condensed Specialty Crosswalk'!$A$2:$C$182,3,FALSE),"")</f>
        <v/>
      </c>
    </row>
    <row r="2202" spans="2:7" ht="15" customHeight="1">
      <c r="B2202" s="49" t="str">
        <f>CONCATENATE(Reports!E2201," ",Reports!F2201," ",Reports!G2201)</f>
        <v xml:space="preserve">  </v>
      </c>
      <c r="C2202" s="50"/>
      <c r="D2202" s="51"/>
      <c r="E2202" s="49" t="str">
        <f>IFERROR(VLOOKUP(D2202,'taxonomy map'!$A$1:$B$171,2,FALSE),"")</f>
        <v/>
      </c>
      <c r="F2202" s="49" t="str">
        <f>IFERROR(VLOOKUP(E2202,'Condensed Specialty Crosswalk'!$A$2:$C$182,2,FALSE),"")</f>
        <v/>
      </c>
      <c r="G2202" s="49" t="str">
        <f>IFERROR(VLOOKUP(E2202,'Condensed Specialty Crosswalk'!$A$2:$C$182,3,FALSE),"")</f>
        <v/>
      </c>
    </row>
    <row r="2203" spans="2:7" ht="15" customHeight="1">
      <c r="B2203" s="49" t="str">
        <f>CONCATENATE(Reports!E2202," ",Reports!F2202," ",Reports!G2202)</f>
        <v xml:space="preserve">  </v>
      </c>
      <c r="C2203" s="50"/>
      <c r="D2203" s="51"/>
      <c r="E2203" s="49" t="str">
        <f>IFERROR(VLOOKUP(D2203,'taxonomy map'!$A$1:$B$171,2,FALSE),"")</f>
        <v/>
      </c>
      <c r="F2203" s="49" t="str">
        <f>IFERROR(VLOOKUP(E2203,'Condensed Specialty Crosswalk'!$A$2:$C$182,2,FALSE),"")</f>
        <v/>
      </c>
      <c r="G2203" s="49" t="str">
        <f>IFERROR(VLOOKUP(E2203,'Condensed Specialty Crosswalk'!$A$2:$C$182,3,FALSE),"")</f>
        <v/>
      </c>
    </row>
    <row r="2204" spans="2:7" ht="15" customHeight="1">
      <c r="B2204" s="49" t="str">
        <f>CONCATENATE(Reports!E2203," ",Reports!F2203," ",Reports!G2203)</f>
        <v xml:space="preserve">  </v>
      </c>
      <c r="C2204" s="50"/>
      <c r="D2204" s="51"/>
      <c r="E2204" s="49" t="str">
        <f>IFERROR(VLOOKUP(D2204,'taxonomy map'!$A$1:$B$171,2,FALSE),"")</f>
        <v/>
      </c>
      <c r="F2204" s="49" t="str">
        <f>IFERROR(VLOOKUP(E2204,'Condensed Specialty Crosswalk'!$A$2:$C$182,2,FALSE),"")</f>
        <v/>
      </c>
      <c r="G2204" s="49" t="str">
        <f>IFERROR(VLOOKUP(E2204,'Condensed Specialty Crosswalk'!$A$2:$C$182,3,FALSE),"")</f>
        <v/>
      </c>
    </row>
    <row r="2205" spans="2:7" ht="15" customHeight="1">
      <c r="B2205" s="49" t="str">
        <f>CONCATENATE(Reports!E2204," ",Reports!F2204," ",Reports!G2204)</f>
        <v xml:space="preserve">  </v>
      </c>
      <c r="C2205" s="50"/>
      <c r="D2205" s="51"/>
      <c r="E2205" s="49" t="str">
        <f>IFERROR(VLOOKUP(D2205,'taxonomy map'!$A$1:$B$171,2,FALSE),"")</f>
        <v/>
      </c>
      <c r="F2205" s="49" t="str">
        <f>IFERROR(VLOOKUP(E2205,'Condensed Specialty Crosswalk'!$A$2:$C$182,2,FALSE),"")</f>
        <v/>
      </c>
      <c r="G2205" s="49" t="str">
        <f>IFERROR(VLOOKUP(E2205,'Condensed Specialty Crosswalk'!$A$2:$C$182,3,FALSE),"")</f>
        <v/>
      </c>
    </row>
    <row r="2206" spans="2:7" ht="15" customHeight="1">
      <c r="B2206" s="49" t="str">
        <f>CONCATENATE(Reports!E2205," ",Reports!F2205," ",Reports!G2205)</f>
        <v xml:space="preserve">  </v>
      </c>
      <c r="C2206" s="50"/>
      <c r="D2206" s="51"/>
      <c r="E2206" s="49" t="str">
        <f>IFERROR(VLOOKUP(D2206,'taxonomy map'!$A$1:$B$171,2,FALSE),"")</f>
        <v/>
      </c>
      <c r="F2206" s="49" t="str">
        <f>IFERROR(VLOOKUP(E2206,'Condensed Specialty Crosswalk'!$A$2:$C$182,2,FALSE),"")</f>
        <v/>
      </c>
      <c r="G2206" s="49" t="str">
        <f>IFERROR(VLOOKUP(E2206,'Condensed Specialty Crosswalk'!$A$2:$C$182,3,FALSE),"")</f>
        <v/>
      </c>
    </row>
    <row r="2207" spans="2:7" ht="15" customHeight="1">
      <c r="B2207" s="49" t="str">
        <f>CONCATENATE(Reports!E2206," ",Reports!F2206," ",Reports!G2206)</f>
        <v xml:space="preserve">  </v>
      </c>
      <c r="C2207" s="50"/>
      <c r="D2207" s="51"/>
      <c r="E2207" s="49" t="str">
        <f>IFERROR(VLOOKUP(D2207,'taxonomy map'!$A$1:$B$171,2,FALSE),"")</f>
        <v/>
      </c>
      <c r="F2207" s="49" t="str">
        <f>IFERROR(VLOOKUP(E2207,'Condensed Specialty Crosswalk'!$A$2:$C$182,2,FALSE),"")</f>
        <v/>
      </c>
      <c r="G2207" s="49" t="str">
        <f>IFERROR(VLOOKUP(E2207,'Condensed Specialty Crosswalk'!$A$2:$C$182,3,FALSE),"")</f>
        <v/>
      </c>
    </row>
    <row r="2208" spans="2:7" ht="15" customHeight="1">
      <c r="B2208" s="49" t="str">
        <f>CONCATENATE(Reports!E2207," ",Reports!F2207," ",Reports!G2207)</f>
        <v xml:space="preserve">  </v>
      </c>
      <c r="C2208" s="50"/>
      <c r="D2208" s="51"/>
      <c r="E2208" s="49" t="str">
        <f>IFERROR(VLOOKUP(D2208,'taxonomy map'!$A$1:$B$171,2,FALSE),"")</f>
        <v/>
      </c>
      <c r="F2208" s="49" t="str">
        <f>IFERROR(VLOOKUP(E2208,'Condensed Specialty Crosswalk'!$A$2:$C$182,2,FALSE),"")</f>
        <v/>
      </c>
      <c r="G2208" s="49" t="str">
        <f>IFERROR(VLOOKUP(E2208,'Condensed Specialty Crosswalk'!$A$2:$C$182,3,FALSE),"")</f>
        <v/>
      </c>
    </row>
    <row r="2209" spans="2:7" ht="15" customHeight="1">
      <c r="B2209" s="49" t="str">
        <f>CONCATENATE(Reports!E2208," ",Reports!F2208," ",Reports!G2208)</f>
        <v xml:space="preserve">  </v>
      </c>
      <c r="C2209" s="50"/>
      <c r="D2209" s="51"/>
      <c r="E2209" s="49" t="str">
        <f>IFERROR(VLOOKUP(D2209,'taxonomy map'!$A$1:$B$171,2,FALSE),"")</f>
        <v/>
      </c>
      <c r="F2209" s="49" t="str">
        <f>IFERROR(VLOOKUP(E2209,'Condensed Specialty Crosswalk'!$A$2:$C$182,2,FALSE),"")</f>
        <v/>
      </c>
      <c r="G2209" s="49" t="str">
        <f>IFERROR(VLOOKUP(E2209,'Condensed Specialty Crosswalk'!$A$2:$C$182,3,FALSE),"")</f>
        <v/>
      </c>
    </row>
    <row r="2210" spans="2:7" ht="15" customHeight="1">
      <c r="B2210" s="49" t="str">
        <f>CONCATENATE(Reports!E2209," ",Reports!F2209," ",Reports!G2209)</f>
        <v xml:space="preserve">  </v>
      </c>
      <c r="C2210" s="50"/>
      <c r="D2210" s="51"/>
      <c r="E2210" s="49" t="str">
        <f>IFERROR(VLOOKUP(D2210,'taxonomy map'!$A$1:$B$171,2,FALSE),"")</f>
        <v/>
      </c>
      <c r="F2210" s="49" t="str">
        <f>IFERROR(VLOOKUP(E2210,'Condensed Specialty Crosswalk'!$A$2:$C$182,2,FALSE),"")</f>
        <v/>
      </c>
      <c r="G2210" s="49" t="str">
        <f>IFERROR(VLOOKUP(E2210,'Condensed Specialty Crosswalk'!$A$2:$C$182,3,FALSE),"")</f>
        <v/>
      </c>
    </row>
    <row r="2211" spans="2:7" ht="15" customHeight="1">
      <c r="B2211" s="49" t="str">
        <f>CONCATENATE(Reports!E2210," ",Reports!F2210," ",Reports!G2210)</f>
        <v xml:space="preserve">  </v>
      </c>
      <c r="C2211" s="50"/>
      <c r="D2211" s="51"/>
      <c r="E2211" s="49" t="str">
        <f>IFERROR(VLOOKUP(D2211,'taxonomy map'!$A$1:$B$171,2,FALSE),"")</f>
        <v/>
      </c>
      <c r="F2211" s="49" t="str">
        <f>IFERROR(VLOOKUP(E2211,'Condensed Specialty Crosswalk'!$A$2:$C$182,2,FALSE),"")</f>
        <v/>
      </c>
      <c r="G2211" s="49" t="str">
        <f>IFERROR(VLOOKUP(E2211,'Condensed Specialty Crosswalk'!$A$2:$C$182,3,FALSE),"")</f>
        <v/>
      </c>
    </row>
    <row r="2212" spans="2:7" ht="15" customHeight="1">
      <c r="B2212" s="49" t="str">
        <f>CONCATENATE(Reports!E2211," ",Reports!F2211," ",Reports!G2211)</f>
        <v xml:space="preserve">  </v>
      </c>
      <c r="C2212" s="50"/>
      <c r="D2212" s="51"/>
      <c r="E2212" s="49" t="str">
        <f>IFERROR(VLOOKUP(D2212,'taxonomy map'!$A$1:$B$171,2,FALSE),"")</f>
        <v/>
      </c>
      <c r="F2212" s="49" t="str">
        <f>IFERROR(VLOOKUP(E2212,'Condensed Specialty Crosswalk'!$A$2:$C$182,2,FALSE),"")</f>
        <v/>
      </c>
      <c r="G2212" s="49" t="str">
        <f>IFERROR(VLOOKUP(E2212,'Condensed Specialty Crosswalk'!$A$2:$C$182,3,FALSE),"")</f>
        <v/>
      </c>
    </row>
    <row r="2213" spans="2:7" ht="15" customHeight="1">
      <c r="B2213" s="49" t="str">
        <f>CONCATENATE(Reports!E2212," ",Reports!F2212," ",Reports!G2212)</f>
        <v xml:space="preserve">  </v>
      </c>
      <c r="C2213" s="50"/>
      <c r="D2213" s="51"/>
      <c r="E2213" s="49" t="str">
        <f>IFERROR(VLOOKUP(D2213,'taxonomy map'!$A$1:$B$171,2,FALSE),"")</f>
        <v/>
      </c>
      <c r="F2213" s="49" t="str">
        <f>IFERROR(VLOOKUP(E2213,'Condensed Specialty Crosswalk'!$A$2:$C$182,2,FALSE),"")</f>
        <v/>
      </c>
      <c r="G2213" s="49" t="str">
        <f>IFERROR(VLOOKUP(E2213,'Condensed Specialty Crosswalk'!$A$2:$C$182,3,FALSE),"")</f>
        <v/>
      </c>
    </row>
    <row r="2214" spans="2:7" ht="15" customHeight="1">
      <c r="B2214" s="49" t="str">
        <f>CONCATENATE(Reports!E2213," ",Reports!F2213," ",Reports!G2213)</f>
        <v xml:space="preserve">  </v>
      </c>
      <c r="C2214" s="50"/>
      <c r="D2214" s="51"/>
      <c r="E2214" s="49" t="str">
        <f>IFERROR(VLOOKUP(D2214,'taxonomy map'!$A$1:$B$171,2,FALSE),"")</f>
        <v/>
      </c>
      <c r="F2214" s="49" t="str">
        <f>IFERROR(VLOOKUP(E2214,'Condensed Specialty Crosswalk'!$A$2:$C$182,2,FALSE),"")</f>
        <v/>
      </c>
      <c r="G2214" s="49" t="str">
        <f>IFERROR(VLOOKUP(E2214,'Condensed Specialty Crosswalk'!$A$2:$C$182,3,FALSE),"")</f>
        <v/>
      </c>
    </row>
    <row r="2215" spans="2:7" ht="15" customHeight="1">
      <c r="B2215" s="49" t="str">
        <f>CONCATENATE(Reports!E2214," ",Reports!F2214," ",Reports!G2214)</f>
        <v xml:space="preserve">  </v>
      </c>
      <c r="C2215" s="50"/>
      <c r="D2215" s="51"/>
      <c r="E2215" s="49" t="str">
        <f>IFERROR(VLOOKUP(D2215,'taxonomy map'!$A$1:$B$171,2,FALSE),"")</f>
        <v/>
      </c>
      <c r="F2215" s="49" t="str">
        <f>IFERROR(VLOOKUP(E2215,'Condensed Specialty Crosswalk'!$A$2:$C$182,2,FALSE),"")</f>
        <v/>
      </c>
      <c r="G2215" s="49" t="str">
        <f>IFERROR(VLOOKUP(E2215,'Condensed Specialty Crosswalk'!$A$2:$C$182,3,FALSE),"")</f>
        <v/>
      </c>
    </row>
    <row r="2216" spans="2:7" ht="15" customHeight="1">
      <c r="B2216" s="49" t="str">
        <f>CONCATENATE(Reports!E2215," ",Reports!F2215," ",Reports!G2215)</f>
        <v xml:space="preserve">  </v>
      </c>
      <c r="C2216" s="50"/>
      <c r="D2216" s="51"/>
      <c r="E2216" s="49" t="str">
        <f>IFERROR(VLOOKUP(D2216,'taxonomy map'!$A$1:$B$171,2,FALSE),"")</f>
        <v/>
      </c>
      <c r="F2216" s="49" t="str">
        <f>IFERROR(VLOOKUP(E2216,'Condensed Specialty Crosswalk'!$A$2:$C$182,2,FALSE),"")</f>
        <v/>
      </c>
      <c r="G2216" s="49" t="str">
        <f>IFERROR(VLOOKUP(E2216,'Condensed Specialty Crosswalk'!$A$2:$C$182,3,FALSE),"")</f>
        <v/>
      </c>
    </row>
    <row r="2217" spans="2:7" ht="15" customHeight="1">
      <c r="B2217" s="49" t="str">
        <f>CONCATENATE(Reports!E2216," ",Reports!F2216," ",Reports!G2216)</f>
        <v xml:space="preserve">  </v>
      </c>
      <c r="C2217" s="50"/>
      <c r="D2217" s="51"/>
      <c r="E2217" s="49" t="str">
        <f>IFERROR(VLOOKUP(D2217,'taxonomy map'!$A$1:$B$171,2,FALSE),"")</f>
        <v/>
      </c>
      <c r="F2217" s="49" t="str">
        <f>IFERROR(VLOOKUP(E2217,'Condensed Specialty Crosswalk'!$A$2:$C$182,2,FALSE),"")</f>
        <v/>
      </c>
      <c r="G2217" s="49" t="str">
        <f>IFERROR(VLOOKUP(E2217,'Condensed Specialty Crosswalk'!$A$2:$C$182,3,FALSE),"")</f>
        <v/>
      </c>
    </row>
    <row r="2218" spans="2:7" ht="15" customHeight="1">
      <c r="C2218" s="50"/>
      <c r="D2218" s="51"/>
      <c r="E2218" s="49" t="str">
        <f>IFERROR(VLOOKUP(D2218,'taxonomy map'!$A$1:$B$171,2,FALSE),"")</f>
        <v/>
      </c>
      <c r="F2218" s="49" t="str">
        <f>IFERROR(VLOOKUP(E2218,'Condensed Specialty Crosswalk'!$A$2:$C$182,2,FALSE),"")</f>
        <v/>
      </c>
      <c r="G2218" s="49" t="str">
        <f>IFERROR(VLOOKUP(E2218,'Condensed Specialty Crosswalk'!$A$2:$C$182,3,FALSE),"")</f>
        <v/>
      </c>
    </row>
    <row r="2219" spans="2:7" ht="15" customHeight="1">
      <c r="C2219" s="50"/>
      <c r="D2219" s="51"/>
      <c r="E2219" s="49" t="str">
        <f>IFERROR(VLOOKUP(D2219,'taxonomy map'!$A$1:$B$171,2,FALSE),"")</f>
        <v/>
      </c>
      <c r="F2219" s="49" t="str">
        <f>IFERROR(VLOOKUP(E2219,'Condensed Specialty Crosswalk'!$A$2:$C$182,2,FALSE),"")</f>
        <v/>
      </c>
      <c r="G2219" s="49" t="str">
        <f>IFERROR(VLOOKUP(E2219,'Condensed Specialty Crosswalk'!$A$2:$C$182,3,FALSE),"")</f>
        <v/>
      </c>
    </row>
    <row r="2220" spans="2:7" ht="15" customHeight="1">
      <c r="C2220" s="50"/>
      <c r="D2220" s="51"/>
      <c r="E2220" s="49" t="str">
        <f>IFERROR(VLOOKUP(D2220,'taxonomy map'!$A$1:$B$171,2,FALSE),"")</f>
        <v/>
      </c>
      <c r="F2220" s="49" t="str">
        <f>IFERROR(VLOOKUP(E2220,'Condensed Specialty Crosswalk'!$A$2:$C$182,2,FALSE),"")</f>
        <v/>
      </c>
      <c r="G2220" s="49" t="str">
        <f>IFERROR(VLOOKUP(E2220,'Condensed Specialty Crosswalk'!$A$2:$C$182,3,FALSE),"")</f>
        <v/>
      </c>
    </row>
    <row r="2221" spans="2:7" ht="15" customHeight="1">
      <c r="C2221" s="50"/>
      <c r="D2221" s="51"/>
      <c r="E2221" s="49" t="str">
        <f>IFERROR(VLOOKUP(D2221,'taxonomy map'!$A$1:$B$171,2,FALSE),"")</f>
        <v/>
      </c>
      <c r="F2221" s="49" t="str">
        <f>IFERROR(VLOOKUP(E2221,'Condensed Specialty Crosswalk'!$A$2:$C$182,2,FALSE),"")</f>
        <v/>
      </c>
      <c r="G2221" s="49" t="str">
        <f>IFERROR(VLOOKUP(E2221,'Condensed Specialty Crosswalk'!$A$2:$C$182,3,FALSE),"")</f>
        <v/>
      </c>
    </row>
    <row r="2222" spans="2:7" ht="15" customHeight="1">
      <c r="C2222" s="50"/>
      <c r="D2222" s="51"/>
      <c r="E2222" s="49" t="str">
        <f>IFERROR(VLOOKUP(D2222,'taxonomy map'!$A$1:$B$171,2,FALSE),"")</f>
        <v/>
      </c>
      <c r="F2222" s="49" t="str">
        <f>IFERROR(VLOOKUP(E2222,'Condensed Specialty Crosswalk'!$A$2:$C$182,2,FALSE),"")</f>
        <v/>
      </c>
      <c r="G2222" s="49" t="str">
        <f>IFERROR(VLOOKUP(E2222,'Condensed Specialty Crosswalk'!$A$2:$C$182,3,FALSE),"")</f>
        <v/>
      </c>
    </row>
    <row r="2223" spans="2:7" ht="15" customHeight="1">
      <c r="C2223" s="50"/>
      <c r="D2223" s="51"/>
      <c r="E2223" s="49" t="str">
        <f>IFERROR(VLOOKUP(D2223,'taxonomy map'!$A$1:$B$171,2,FALSE),"")</f>
        <v/>
      </c>
      <c r="F2223" s="49" t="str">
        <f>IFERROR(VLOOKUP(E2223,'Condensed Specialty Crosswalk'!$A$2:$C$182,2,FALSE),"")</f>
        <v/>
      </c>
      <c r="G2223" s="49" t="str">
        <f>IFERROR(VLOOKUP(E2223,'Condensed Specialty Crosswalk'!$A$2:$C$182,3,FALSE),"")</f>
        <v/>
      </c>
    </row>
    <row r="2224" spans="2:7" ht="15" customHeight="1">
      <c r="C2224" s="50"/>
      <c r="D2224" s="51"/>
      <c r="E2224" s="49" t="str">
        <f>IFERROR(VLOOKUP(D2224,'taxonomy map'!$A$1:$B$171,2,FALSE),"")</f>
        <v/>
      </c>
      <c r="F2224" s="49" t="str">
        <f>IFERROR(VLOOKUP(E2224,'Condensed Specialty Crosswalk'!$A$2:$C$182,2,FALSE),"")</f>
        <v/>
      </c>
      <c r="G2224" s="49" t="str">
        <f>IFERROR(VLOOKUP(E2224,'Condensed Specialty Crosswalk'!$A$2:$C$182,3,FALSE),"")</f>
        <v/>
      </c>
    </row>
    <row r="2225" spans="3:7" ht="15" customHeight="1">
      <c r="C2225" s="50"/>
      <c r="D2225" s="51"/>
      <c r="E2225" s="49" t="str">
        <f>IFERROR(VLOOKUP(D2225,'taxonomy map'!$A$1:$B$171,2,FALSE),"")</f>
        <v/>
      </c>
      <c r="F2225" s="49" t="str">
        <f>IFERROR(VLOOKUP(E2225,'Condensed Specialty Crosswalk'!$A$2:$C$182,2,FALSE),"")</f>
        <v/>
      </c>
      <c r="G2225" s="49" t="str">
        <f>IFERROR(VLOOKUP(E2225,'Condensed Specialty Crosswalk'!$A$2:$C$182,3,FALSE),"")</f>
        <v/>
      </c>
    </row>
    <row r="2226" spans="3:7" ht="15" customHeight="1">
      <c r="C2226" s="50"/>
      <c r="D2226" s="51"/>
      <c r="E2226" s="49" t="str">
        <f>IFERROR(VLOOKUP(D2226,'taxonomy map'!$A$1:$B$171,2,FALSE),"")</f>
        <v/>
      </c>
      <c r="F2226" s="49" t="str">
        <f>IFERROR(VLOOKUP(E2226,'Condensed Specialty Crosswalk'!$A$2:$C$182,2,FALSE),"")</f>
        <v/>
      </c>
      <c r="G2226" s="49" t="str">
        <f>IFERROR(VLOOKUP(E2226,'Condensed Specialty Crosswalk'!$A$2:$C$182,3,FALSE),"")</f>
        <v/>
      </c>
    </row>
    <row r="2227" spans="3:7" ht="15" customHeight="1">
      <c r="C2227" s="50"/>
      <c r="D2227" s="51"/>
      <c r="E2227" s="49" t="str">
        <f>IFERROR(VLOOKUP(D2227,'taxonomy map'!$A$1:$B$171,2,FALSE),"")</f>
        <v/>
      </c>
      <c r="F2227" s="49" t="str">
        <f>IFERROR(VLOOKUP(E2227,'Condensed Specialty Crosswalk'!$A$2:$C$182,2,FALSE),"")</f>
        <v/>
      </c>
      <c r="G2227" s="49" t="str">
        <f>IFERROR(VLOOKUP(E2227,'Condensed Specialty Crosswalk'!$A$2:$C$182,3,FALSE),"")</f>
        <v/>
      </c>
    </row>
    <row r="2228" spans="3:7" ht="15" customHeight="1">
      <c r="C2228" s="50"/>
      <c r="D2228" s="51"/>
      <c r="E2228" s="49" t="str">
        <f>IFERROR(VLOOKUP(D2228,'taxonomy map'!$A$1:$B$171,2,FALSE),"")</f>
        <v/>
      </c>
      <c r="F2228" s="49" t="str">
        <f>IFERROR(VLOOKUP(E2228,'Condensed Specialty Crosswalk'!$A$2:$C$182,2,FALSE),"")</f>
        <v/>
      </c>
      <c r="G2228" s="49" t="str">
        <f>IFERROR(VLOOKUP(E2228,'Condensed Specialty Crosswalk'!$A$2:$C$182,3,FALSE),"")</f>
        <v/>
      </c>
    </row>
    <row r="2229" spans="3:7" ht="15" customHeight="1">
      <c r="C2229" s="50"/>
      <c r="D2229" s="51"/>
      <c r="E2229" s="49" t="str">
        <f>IFERROR(VLOOKUP(D2229,'taxonomy map'!$A$1:$B$171,2,FALSE),"")</f>
        <v/>
      </c>
      <c r="F2229" s="49" t="str">
        <f>IFERROR(VLOOKUP(E2229,'Condensed Specialty Crosswalk'!$A$2:$C$182,2,FALSE),"")</f>
        <v/>
      </c>
      <c r="G2229" s="49" t="str">
        <f>IFERROR(VLOOKUP(E2229,'Condensed Specialty Crosswalk'!$A$2:$C$182,3,FALSE),"")</f>
        <v/>
      </c>
    </row>
    <row r="2230" spans="3:7" ht="15" customHeight="1">
      <c r="C2230" s="50"/>
      <c r="D2230" s="51"/>
      <c r="E2230" s="49" t="str">
        <f>IFERROR(VLOOKUP(D2230,'taxonomy map'!$A$1:$B$171,2,FALSE),"")</f>
        <v/>
      </c>
      <c r="F2230" s="49" t="str">
        <f>IFERROR(VLOOKUP(E2230,'Condensed Specialty Crosswalk'!$A$2:$C$182,2,FALSE),"")</f>
        <v/>
      </c>
      <c r="G2230" s="49" t="str">
        <f>IFERROR(VLOOKUP(E2230,'Condensed Specialty Crosswalk'!$A$2:$C$182,3,FALSE),"")</f>
        <v/>
      </c>
    </row>
    <row r="2231" spans="3:7" ht="15" customHeight="1">
      <c r="C2231" s="50"/>
      <c r="D2231" s="51"/>
      <c r="E2231" s="49" t="str">
        <f>IFERROR(VLOOKUP(D2231,'taxonomy map'!$A$1:$B$171,2,FALSE),"")</f>
        <v/>
      </c>
      <c r="F2231" s="49" t="str">
        <f>IFERROR(VLOOKUP(E2231,'Condensed Specialty Crosswalk'!$A$2:$C$182,2,FALSE),"")</f>
        <v/>
      </c>
      <c r="G2231" s="49" t="str">
        <f>IFERROR(VLOOKUP(E2231,'Condensed Specialty Crosswalk'!$A$2:$C$182,3,FALSE),"")</f>
        <v/>
      </c>
    </row>
    <row r="2232" spans="3:7" ht="15" customHeight="1">
      <c r="C2232" s="50"/>
      <c r="D2232" s="51"/>
      <c r="E2232" s="49" t="str">
        <f>IFERROR(VLOOKUP(D2232,'taxonomy map'!$A$1:$B$171,2,FALSE),"")</f>
        <v/>
      </c>
      <c r="F2232" s="49" t="str">
        <f>IFERROR(VLOOKUP(E2232,'Condensed Specialty Crosswalk'!$A$2:$C$182,2,FALSE),"")</f>
        <v/>
      </c>
      <c r="G2232" s="49" t="str">
        <f>IFERROR(VLOOKUP(E2232,'Condensed Specialty Crosswalk'!$A$2:$C$182,3,FALSE),"")</f>
        <v/>
      </c>
    </row>
    <row r="2233" spans="3:7" ht="15" customHeight="1">
      <c r="C2233" s="50"/>
      <c r="D2233" s="51"/>
      <c r="E2233" s="49" t="str">
        <f>IFERROR(VLOOKUP(D2233,'taxonomy map'!$A$1:$B$171,2,FALSE),"")</f>
        <v/>
      </c>
      <c r="F2233" s="49" t="str">
        <f>IFERROR(VLOOKUP(E2233,'Condensed Specialty Crosswalk'!$A$2:$C$182,2,FALSE),"")</f>
        <v/>
      </c>
      <c r="G2233" s="49" t="str">
        <f>IFERROR(VLOOKUP(E2233,'Condensed Specialty Crosswalk'!$A$2:$C$182,3,FALSE),"")</f>
        <v/>
      </c>
    </row>
    <row r="2234" spans="3:7" ht="15" customHeight="1">
      <c r="C2234" s="50"/>
      <c r="D2234" s="51"/>
      <c r="E2234" s="49" t="str">
        <f>IFERROR(VLOOKUP(D2234,'taxonomy map'!$A$1:$B$171,2,FALSE),"")</f>
        <v/>
      </c>
      <c r="F2234" s="49" t="str">
        <f>IFERROR(VLOOKUP(E2234,'Condensed Specialty Crosswalk'!$A$2:$C$182,2,FALSE),"")</f>
        <v/>
      </c>
      <c r="G2234" s="49" t="str">
        <f>IFERROR(VLOOKUP(E2234,'Condensed Specialty Crosswalk'!$A$2:$C$182,3,FALSE),"")</f>
        <v/>
      </c>
    </row>
    <row r="2235" spans="3:7" ht="15" customHeight="1">
      <c r="C2235" s="50"/>
      <c r="D2235" s="51"/>
      <c r="E2235" s="49" t="str">
        <f>IFERROR(VLOOKUP(D2235,'taxonomy map'!$A$1:$B$171,2,FALSE),"")</f>
        <v/>
      </c>
      <c r="F2235" s="49" t="str">
        <f>IFERROR(VLOOKUP(E2235,'Condensed Specialty Crosswalk'!$A$2:$C$182,2,FALSE),"")</f>
        <v/>
      </c>
      <c r="G2235" s="49" t="str">
        <f>IFERROR(VLOOKUP(E2235,'Condensed Specialty Crosswalk'!$A$2:$C$182,3,FALSE),"")</f>
        <v/>
      </c>
    </row>
    <row r="2236" spans="3:7" ht="15" customHeight="1">
      <c r="C2236" s="50"/>
      <c r="D2236" s="51"/>
      <c r="E2236" s="49" t="str">
        <f>IFERROR(VLOOKUP(D2236,'taxonomy map'!$A$1:$B$171,2,FALSE),"")</f>
        <v/>
      </c>
      <c r="F2236" s="49" t="str">
        <f>IFERROR(VLOOKUP(E2236,'Condensed Specialty Crosswalk'!$A$2:$C$182,2,FALSE),"")</f>
        <v/>
      </c>
      <c r="G2236" s="49" t="str">
        <f>IFERROR(VLOOKUP(E2236,'Condensed Specialty Crosswalk'!$A$2:$C$182,3,FALSE),"")</f>
        <v/>
      </c>
    </row>
    <row r="2237" spans="3:7" ht="15" customHeight="1">
      <c r="C2237" s="50"/>
      <c r="D2237" s="51"/>
      <c r="E2237" s="49" t="str">
        <f>IFERROR(VLOOKUP(D2237,'taxonomy map'!$A$1:$B$171,2,FALSE),"")</f>
        <v/>
      </c>
      <c r="F2237" s="49" t="str">
        <f>IFERROR(VLOOKUP(E2237,'Condensed Specialty Crosswalk'!$A$2:$C$182,2,FALSE),"")</f>
        <v/>
      </c>
      <c r="G2237" s="49" t="str">
        <f>IFERROR(VLOOKUP(E2237,'Condensed Specialty Crosswalk'!$A$2:$C$182,3,FALSE),"")</f>
        <v/>
      </c>
    </row>
    <row r="2238" spans="3:7" ht="15" customHeight="1">
      <c r="C2238" s="50"/>
      <c r="D2238" s="51"/>
      <c r="E2238" s="49" t="str">
        <f>IFERROR(VLOOKUP(D2238,'taxonomy map'!$A$1:$B$171,2,FALSE),"")</f>
        <v/>
      </c>
      <c r="F2238" s="49" t="str">
        <f>IFERROR(VLOOKUP(E2238,'Condensed Specialty Crosswalk'!$A$2:$C$182,2,FALSE),"")</f>
        <v/>
      </c>
      <c r="G2238" s="49" t="str">
        <f>IFERROR(VLOOKUP(E2238,'Condensed Specialty Crosswalk'!$A$2:$C$182,3,FALSE),"")</f>
        <v/>
      </c>
    </row>
    <row r="2239" spans="3:7" ht="15" customHeight="1">
      <c r="C2239" s="50"/>
      <c r="D2239" s="51"/>
      <c r="E2239" s="49" t="str">
        <f>IFERROR(VLOOKUP(D2239,'taxonomy map'!$A$1:$B$171,2,FALSE),"")</f>
        <v/>
      </c>
      <c r="F2239" s="49" t="str">
        <f>IFERROR(VLOOKUP(E2239,'Condensed Specialty Crosswalk'!$A$2:$C$182,2,FALSE),"")</f>
        <v/>
      </c>
      <c r="G2239" s="49" t="str">
        <f>IFERROR(VLOOKUP(E2239,'Condensed Specialty Crosswalk'!$A$2:$C$182,3,FALSE),"")</f>
        <v/>
      </c>
    </row>
    <row r="2240" spans="3:7" ht="15" customHeight="1">
      <c r="C2240" s="50"/>
      <c r="D2240" s="51"/>
      <c r="E2240" s="49" t="str">
        <f>IFERROR(VLOOKUP(D2240,'taxonomy map'!$A$1:$B$171,2,FALSE),"")</f>
        <v/>
      </c>
      <c r="F2240" s="49" t="str">
        <f>IFERROR(VLOOKUP(E2240,'Condensed Specialty Crosswalk'!$A$2:$C$182,2,FALSE),"")</f>
        <v/>
      </c>
      <c r="G2240" s="49" t="str">
        <f>IFERROR(VLOOKUP(E2240,'Condensed Specialty Crosswalk'!$A$2:$C$182,3,FALSE),"")</f>
        <v/>
      </c>
    </row>
    <row r="2241" spans="3:7" ht="15" customHeight="1">
      <c r="C2241" s="50"/>
      <c r="D2241" s="51"/>
      <c r="E2241" s="49" t="str">
        <f>IFERROR(VLOOKUP(D2241,'taxonomy map'!$A$1:$B$171,2,FALSE),"")</f>
        <v/>
      </c>
      <c r="F2241" s="49" t="str">
        <f>IFERROR(VLOOKUP(E2241,'Condensed Specialty Crosswalk'!$A$2:$C$182,2,FALSE),"")</f>
        <v/>
      </c>
      <c r="G2241" s="49" t="str">
        <f>IFERROR(VLOOKUP(E2241,'Condensed Specialty Crosswalk'!$A$2:$C$182,3,FALSE),"")</f>
        <v/>
      </c>
    </row>
    <row r="2242" spans="3:7" ht="15" customHeight="1">
      <c r="C2242" s="50"/>
      <c r="D2242" s="51"/>
      <c r="E2242" s="49" t="str">
        <f>IFERROR(VLOOKUP(D2242,'taxonomy map'!$A$1:$B$171,2,FALSE),"")</f>
        <v/>
      </c>
      <c r="F2242" s="49" t="str">
        <f>IFERROR(VLOOKUP(E2242,'Condensed Specialty Crosswalk'!$A$2:$C$182,2,FALSE),"")</f>
        <v/>
      </c>
      <c r="G2242" s="49" t="str">
        <f>IFERROR(VLOOKUP(E2242,'Condensed Specialty Crosswalk'!$A$2:$C$182,3,FALSE),"")</f>
        <v/>
      </c>
    </row>
    <row r="2243" spans="3:7" ht="15" customHeight="1">
      <c r="C2243" s="50"/>
      <c r="D2243" s="51"/>
      <c r="E2243" s="49" t="str">
        <f>IFERROR(VLOOKUP(D2243,'taxonomy map'!$A$1:$B$171,2,FALSE),"")</f>
        <v/>
      </c>
      <c r="F2243" s="49" t="str">
        <f>IFERROR(VLOOKUP(E2243,'Condensed Specialty Crosswalk'!$A$2:$C$182,2,FALSE),"")</f>
        <v/>
      </c>
      <c r="G2243" s="49" t="str">
        <f>IFERROR(VLOOKUP(E2243,'Condensed Specialty Crosswalk'!$A$2:$C$182,3,FALSE),"")</f>
        <v/>
      </c>
    </row>
    <row r="2244" spans="3:7" ht="15" customHeight="1">
      <c r="C2244" s="50"/>
      <c r="D2244" s="51"/>
      <c r="E2244" s="49" t="str">
        <f>IFERROR(VLOOKUP(D2244,'taxonomy map'!$A$1:$B$171,2,FALSE),"")</f>
        <v/>
      </c>
      <c r="F2244" s="49" t="str">
        <f>IFERROR(VLOOKUP(E2244,'Condensed Specialty Crosswalk'!$A$2:$C$182,2,FALSE),"")</f>
        <v/>
      </c>
      <c r="G2244" s="49" t="str">
        <f>IFERROR(VLOOKUP(E2244,'Condensed Specialty Crosswalk'!$A$2:$C$182,3,FALSE),"")</f>
        <v/>
      </c>
    </row>
    <row r="2245" spans="3:7" ht="15" customHeight="1">
      <c r="C2245" s="50"/>
      <c r="D2245" s="51"/>
      <c r="E2245" s="49" t="str">
        <f>IFERROR(VLOOKUP(D2245,'taxonomy map'!$A$1:$B$171,2,FALSE),"")</f>
        <v/>
      </c>
      <c r="F2245" s="49" t="str">
        <f>IFERROR(VLOOKUP(E2245,'Condensed Specialty Crosswalk'!$A$2:$C$182,2,FALSE),"")</f>
        <v/>
      </c>
      <c r="G2245" s="49" t="str">
        <f>IFERROR(VLOOKUP(E2245,'Condensed Specialty Crosswalk'!$A$2:$C$182,3,FALSE),"")</f>
        <v/>
      </c>
    </row>
    <row r="2246" spans="3:7" ht="15" customHeight="1">
      <c r="C2246" s="50"/>
      <c r="D2246" s="51"/>
      <c r="E2246" s="49" t="str">
        <f>IFERROR(VLOOKUP(D2246,'taxonomy map'!$A$1:$B$171,2,FALSE),"")</f>
        <v/>
      </c>
      <c r="F2246" s="49" t="str">
        <f>IFERROR(VLOOKUP(E2246,'Condensed Specialty Crosswalk'!$A$2:$C$182,2,FALSE),"")</f>
        <v/>
      </c>
      <c r="G2246" s="49" t="str">
        <f>IFERROR(VLOOKUP(E2246,'Condensed Specialty Crosswalk'!$A$2:$C$182,3,FALSE),"")</f>
        <v/>
      </c>
    </row>
    <row r="2247" spans="3:7" ht="15" customHeight="1">
      <c r="C2247" s="50"/>
      <c r="D2247" s="51"/>
      <c r="E2247" s="49" t="str">
        <f>IFERROR(VLOOKUP(D2247,'taxonomy map'!$A$1:$B$171,2,FALSE),"")</f>
        <v/>
      </c>
      <c r="F2247" s="49" t="str">
        <f>IFERROR(VLOOKUP(E2247,'Condensed Specialty Crosswalk'!$A$2:$C$182,2,FALSE),"")</f>
        <v/>
      </c>
      <c r="G2247" s="49" t="str">
        <f>IFERROR(VLOOKUP(E2247,'Condensed Specialty Crosswalk'!$A$2:$C$182,3,FALSE),"")</f>
        <v/>
      </c>
    </row>
    <row r="2248" spans="3:7" ht="15" customHeight="1">
      <c r="C2248" s="50"/>
      <c r="D2248" s="51"/>
      <c r="E2248" s="49" t="str">
        <f>IFERROR(VLOOKUP(D2248,'taxonomy map'!$A$1:$B$171,2,FALSE),"")</f>
        <v/>
      </c>
      <c r="F2248" s="49" t="str">
        <f>IFERROR(VLOOKUP(E2248,'Condensed Specialty Crosswalk'!$A$2:$C$182,2,FALSE),"")</f>
        <v/>
      </c>
      <c r="G2248" s="49" t="str">
        <f>IFERROR(VLOOKUP(E2248,'Condensed Specialty Crosswalk'!$A$2:$C$182,3,FALSE),"")</f>
        <v/>
      </c>
    </row>
    <row r="2249" spans="3:7" ht="15" customHeight="1">
      <c r="C2249" s="50"/>
      <c r="D2249" s="51"/>
      <c r="E2249" s="49" t="str">
        <f>IFERROR(VLOOKUP(D2249,'taxonomy map'!$A$1:$B$171,2,FALSE),"")</f>
        <v/>
      </c>
      <c r="F2249" s="49" t="str">
        <f>IFERROR(VLOOKUP(E2249,'Condensed Specialty Crosswalk'!$A$2:$C$182,2,FALSE),"")</f>
        <v/>
      </c>
      <c r="G2249" s="49" t="str">
        <f>IFERROR(VLOOKUP(E2249,'Condensed Specialty Crosswalk'!$A$2:$C$182,3,FALSE),"")</f>
        <v/>
      </c>
    </row>
    <row r="2250" spans="3:7" ht="15" customHeight="1">
      <c r="C2250" s="50"/>
      <c r="D2250" s="51"/>
      <c r="E2250" s="49" t="str">
        <f>IFERROR(VLOOKUP(D2250,'taxonomy map'!$A$1:$B$171,2,FALSE),"")</f>
        <v/>
      </c>
      <c r="F2250" s="49" t="str">
        <f>IFERROR(VLOOKUP(E2250,'Condensed Specialty Crosswalk'!$A$2:$C$182,2,FALSE),"")</f>
        <v/>
      </c>
      <c r="G2250" s="49" t="str">
        <f>IFERROR(VLOOKUP(E2250,'Condensed Specialty Crosswalk'!$A$2:$C$182,3,FALSE),"")</f>
        <v/>
      </c>
    </row>
    <row r="2251" spans="3:7" ht="15" customHeight="1">
      <c r="C2251" s="50"/>
      <c r="D2251" s="51"/>
      <c r="E2251" s="49" t="str">
        <f>IFERROR(VLOOKUP(D2251,'taxonomy map'!$A$1:$B$171,2,FALSE),"")</f>
        <v/>
      </c>
      <c r="F2251" s="49" t="str">
        <f>IFERROR(VLOOKUP(E2251,'Condensed Specialty Crosswalk'!$A$2:$C$182,2,FALSE),"")</f>
        <v/>
      </c>
      <c r="G2251" s="49" t="str">
        <f>IFERROR(VLOOKUP(E2251,'Condensed Specialty Crosswalk'!$A$2:$C$182,3,FALSE),"")</f>
        <v/>
      </c>
    </row>
    <row r="2252" spans="3:7" ht="15" customHeight="1">
      <c r="C2252" s="50"/>
      <c r="D2252" s="51"/>
      <c r="E2252" s="49" t="str">
        <f>IFERROR(VLOOKUP(D2252,'taxonomy map'!$A$1:$B$171,2,FALSE),"")</f>
        <v/>
      </c>
      <c r="F2252" s="49" t="str">
        <f>IFERROR(VLOOKUP(E2252,'Condensed Specialty Crosswalk'!$A$2:$C$182,2,FALSE),"")</f>
        <v/>
      </c>
      <c r="G2252" s="49" t="str">
        <f>IFERROR(VLOOKUP(E2252,'Condensed Specialty Crosswalk'!$A$2:$C$182,3,FALSE),"")</f>
        <v/>
      </c>
    </row>
    <row r="2253" spans="3:7" ht="15" customHeight="1">
      <c r="C2253" s="50"/>
      <c r="D2253" s="51"/>
      <c r="E2253" s="49" t="str">
        <f>IFERROR(VLOOKUP(D2253,'taxonomy map'!$A$1:$B$171,2,FALSE),"")</f>
        <v/>
      </c>
      <c r="F2253" s="49" t="str">
        <f>IFERROR(VLOOKUP(E2253,'Condensed Specialty Crosswalk'!$A$2:$C$182,2,FALSE),"")</f>
        <v/>
      </c>
      <c r="G2253" s="49" t="str">
        <f>IFERROR(VLOOKUP(E2253,'Condensed Specialty Crosswalk'!$A$2:$C$182,3,FALSE),"")</f>
        <v/>
      </c>
    </row>
    <row r="2254" spans="3:7" ht="15" customHeight="1">
      <c r="C2254" s="50"/>
      <c r="D2254" s="51"/>
      <c r="E2254" s="49" t="str">
        <f>IFERROR(VLOOKUP(D2254,'taxonomy map'!$A$1:$B$171,2,FALSE),"")</f>
        <v/>
      </c>
      <c r="F2254" s="49" t="str">
        <f>IFERROR(VLOOKUP(E2254,'Condensed Specialty Crosswalk'!$A$2:$C$182,2,FALSE),"")</f>
        <v/>
      </c>
      <c r="G2254" s="49" t="str">
        <f>IFERROR(VLOOKUP(E2254,'Condensed Specialty Crosswalk'!$A$2:$C$182,3,FALSE),"")</f>
        <v/>
      </c>
    </row>
    <row r="2255" spans="3:7" ht="15" customHeight="1">
      <c r="C2255" s="50"/>
      <c r="D2255" s="51"/>
      <c r="E2255" s="49" t="str">
        <f>IFERROR(VLOOKUP(D2255,'taxonomy map'!$A$1:$B$171,2,FALSE),"")</f>
        <v/>
      </c>
      <c r="F2255" s="49" t="str">
        <f>IFERROR(VLOOKUP(E2255,'Condensed Specialty Crosswalk'!$A$2:$C$182,2,FALSE),"")</f>
        <v/>
      </c>
      <c r="G2255" s="49" t="str">
        <f>IFERROR(VLOOKUP(E2255,'Condensed Specialty Crosswalk'!$A$2:$C$182,3,FALSE),"")</f>
        <v/>
      </c>
    </row>
    <row r="2256" spans="3:7" ht="15" customHeight="1">
      <c r="C2256" s="50"/>
      <c r="D2256" s="51"/>
      <c r="E2256" s="49" t="str">
        <f>IFERROR(VLOOKUP(D2256,'taxonomy map'!$A$1:$B$171,2,FALSE),"")</f>
        <v/>
      </c>
      <c r="F2256" s="49" t="str">
        <f>IFERROR(VLOOKUP(E2256,'Condensed Specialty Crosswalk'!$A$2:$C$182,2,FALSE),"")</f>
        <v/>
      </c>
      <c r="G2256" s="49" t="str">
        <f>IFERROR(VLOOKUP(E2256,'Condensed Specialty Crosswalk'!$A$2:$C$182,3,FALSE),"")</f>
        <v/>
      </c>
    </row>
    <row r="2257" spans="3:7" ht="15" customHeight="1">
      <c r="C2257" s="50"/>
      <c r="D2257" s="51"/>
      <c r="E2257" s="49" t="str">
        <f>IFERROR(VLOOKUP(D2257,'taxonomy map'!$A$1:$B$171,2,FALSE),"")</f>
        <v/>
      </c>
      <c r="F2257" s="49" t="str">
        <f>IFERROR(VLOOKUP(E2257,'Condensed Specialty Crosswalk'!$A$2:$C$182,2,FALSE),"")</f>
        <v/>
      </c>
      <c r="G2257" s="49" t="str">
        <f>IFERROR(VLOOKUP(E2257,'Condensed Specialty Crosswalk'!$A$2:$C$182,3,FALSE),"")</f>
        <v/>
      </c>
    </row>
    <row r="2258" spans="3:7" ht="15" customHeight="1">
      <c r="C2258" s="50"/>
      <c r="D2258" s="51"/>
      <c r="E2258" s="49" t="str">
        <f>IFERROR(VLOOKUP(D2258,'taxonomy map'!$A$1:$B$171,2,FALSE),"")</f>
        <v/>
      </c>
      <c r="F2258" s="49" t="str">
        <f>IFERROR(VLOOKUP(E2258,'Condensed Specialty Crosswalk'!$A$2:$C$182,2,FALSE),"")</f>
        <v/>
      </c>
      <c r="G2258" s="49" t="str">
        <f>IFERROR(VLOOKUP(E2258,'Condensed Specialty Crosswalk'!$A$2:$C$182,3,FALSE),"")</f>
        <v/>
      </c>
    </row>
    <row r="2259" spans="3:7" ht="15" customHeight="1">
      <c r="C2259" s="50"/>
      <c r="D2259" s="51"/>
      <c r="E2259" s="49" t="str">
        <f>IFERROR(VLOOKUP(D2259,'taxonomy map'!$A$1:$B$171,2,FALSE),"")</f>
        <v/>
      </c>
      <c r="F2259" s="49" t="str">
        <f>IFERROR(VLOOKUP(E2259,'Condensed Specialty Crosswalk'!$A$2:$C$182,2,FALSE),"")</f>
        <v/>
      </c>
      <c r="G2259" s="49" t="str">
        <f>IFERROR(VLOOKUP(E2259,'Condensed Specialty Crosswalk'!$A$2:$C$182,3,FALSE),"")</f>
        <v/>
      </c>
    </row>
    <row r="2260" spans="3:7" ht="15" customHeight="1">
      <c r="C2260" s="50"/>
      <c r="D2260" s="51"/>
      <c r="E2260" s="49" t="str">
        <f>IFERROR(VLOOKUP(D2260,'taxonomy map'!$A$1:$B$171,2,FALSE),"")</f>
        <v/>
      </c>
      <c r="F2260" s="49" t="str">
        <f>IFERROR(VLOOKUP(E2260,'Condensed Specialty Crosswalk'!$A$2:$C$182,2,FALSE),"")</f>
        <v/>
      </c>
      <c r="G2260" s="49" t="str">
        <f>IFERROR(VLOOKUP(E2260,'Condensed Specialty Crosswalk'!$A$2:$C$182,3,FALSE),"")</f>
        <v/>
      </c>
    </row>
    <row r="2261" spans="3:7" ht="15" customHeight="1">
      <c r="C2261" s="50"/>
      <c r="D2261" s="51"/>
      <c r="E2261" s="49" t="str">
        <f>IFERROR(VLOOKUP(D2261,'taxonomy map'!$A$1:$B$171,2,FALSE),"")</f>
        <v/>
      </c>
      <c r="F2261" s="49" t="str">
        <f>IFERROR(VLOOKUP(E2261,'Condensed Specialty Crosswalk'!$A$2:$C$182,2,FALSE),"")</f>
        <v/>
      </c>
      <c r="G2261" s="49" t="str">
        <f>IFERROR(VLOOKUP(E2261,'Condensed Specialty Crosswalk'!$A$2:$C$182,3,FALSE),"")</f>
        <v/>
      </c>
    </row>
    <row r="2262" spans="3:7" ht="15" customHeight="1">
      <c r="C2262" s="50"/>
      <c r="D2262" s="51"/>
      <c r="E2262" s="49" t="str">
        <f>IFERROR(VLOOKUP(D2262,'taxonomy map'!$A$1:$B$171,2,FALSE),"")</f>
        <v/>
      </c>
      <c r="F2262" s="49" t="str">
        <f>IFERROR(VLOOKUP(E2262,'Condensed Specialty Crosswalk'!$A$2:$C$182,2,FALSE),"")</f>
        <v/>
      </c>
      <c r="G2262" s="49" t="str">
        <f>IFERROR(VLOOKUP(E2262,'Condensed Specialty Crosswalk'!$A$2:$C$182,3,FALSE),"")</f>
        <v/>
      </c>
    </row>
    <row r="2263" spans="3:7" ht="15" customHeight="1">
      <c r="C2263" s="50"/>
      <c r="D2263" s="51"/>
      <c r="E2263" s="49" t="str">
        <f>IFERROR(VLOOKUP(D2263,'taxonomy map'!$A$1:$B$171,2,FALSE),"")</f>
        <v/>
      </c>
      <c r="F2263" s="49" t="str">
        <f>IFERROR(VLOOKUP(E2263,'Condensed Specialty Crosswalk'!$A$2:$C$182,2,FALSE),"")</f>
        <v/>
      </c>
      <c r="G2263" s="49" t="str">
        <f>IFERROR(VLOOKUP(E2263,'Condensed Specialty Crosswalk'!$A$2:$C$182,3,FALSE),"")</f>
        <v/>
      </c>
    </row>
    <row r="2264" spans="3:7" ht="15" customHeight="1">
      <c r="C2264" s="50"/>
      <c r="D2264" s="51"/>
      <c r="E2264" s="49" t="str">
        <f>IFERROR(VLOOKUP(D2264,'taxonomy map'!$A$1:$B$171,2,FALSE),"")</f>
        <v/>
      </c>
      <c r="F2264" s="49" t="str">
        <f>IFERROR(VLOOKUP(E2264,'Condensed Specialty Crosswalk'!$A$2:$C$182,2,FALSE),"")</f>
        <v/>
      </c>
      <c r="G2264" s="49" t="str">
        <f>IFERROR(VLOOKUP(E2264,'Condensed Specialty Crosswalk'!$A$2:$C$182,3,FALSE),"")</f>
        <v/>
      </c>
    </row>
    <row r="2265" spans="3:7" ht="15" customHeight="1">
      <c r="C2265" s="50"/>
      <c r="D2265" s="51"/>
      <c r="E2265" s="49" t="str">
        <f>IFERROR(VLOOKUP(D2265,'taxonomy map'!$A$1:$B$171,2,FALSE),"")</f>
        <v/>
      </c>
      <c r="F2265" s="49" t="str">
        <f>IFERROR(VLOOKUP(E2265,'Condensed Specialty Crosswalk'!$A$2:$C$182,2,FALSE),"")</f>
        <v/>
      </c>
      <c r="G2265" s="49" t="str">
        <f>IFERROR(VLOOKUP(E2265,'Condensed Specialty Crosswalk'!$A$2:$C$182,3,FALSE),"")</f>
        <v/>
      </c>
    </row>
    <row r="2266" spans="3:7" ht="15" customHeight="1">
      <c r="C2266" s="50"/>
      <c r="D2266" s="51"/>
      <c r="E2266" s="49" t="str">
        <f>IFERROR(VLOOKUP(D2266,'taxonomy map'!$A$1:$B$171,2,FALSE),"")</f>
        <v/>
      </c>
      <c r="F2266" s="49" t="str">
        <f>IFERROR(VLOOKUP(E2266,'Condensed Specialty Crosswalk'!$A$2:$C$182,2,FALSE),"")</f>
        <v/>
      </c>
      <c r="G2266" s="49" t="str">
        <f>IFERROR(VLOOKUP(E2266,'Condensed Specialty Crosswalk'!$A$2:$C$182,3,FALSE),"")</f>
        <v/>
      </c>
    </row>
    <row r="2267" spans="3:7" ht="15" customHeight="1">
      <c r="C2267" s="50"/>
      <c r="D2267" s="51"/>
      <c r="E2267" s="49" t="str">
        <f>IFERROR(VLOOKUP(D2267,'taxonomy map'!$A$1:$B$171,2,FALSE),"")</f>
        <v/>
      </c>
      <c r="F2267" s="49" t="str">
        <f>IFERROR(VLOOKUP(E2267,'Condensed Specialty Crosswalk'!$A$2:$C$182,2,FALSE),"")</f>
        <v/>
      </c>
      <c r="G2267" s="49" t="str">
        <f>IFERROR(VLOOKUP(E2267,'Condensed Specialty Crosswalk'!$A$2:$C$182,3,FALSE),"")</f>
        <v/>
      </c>
    </row>
    <row r="2268" spans="3:7" ht="15" customHeight="1">
      <c r="C2268" s="50"/>
      <c r="D2268" s="51"/>
      <c r="E2268" s="49" t="str">
        <f>IFERROR(VLOOKUP(D2268,'taxonomy map'!$A$1:$B$171,2,FALSE),"")</f>
        <v/>
      </c>
      <c r="F2268" s="49" t="str">
        <f>IFERROR(VLOOKUP(E2268,'Condensed Specialty Crosswalk'!$A$2:$C$182,2,FALSE),"")</f>
        <v/>
      </c>
      <c r="G2268" s="49" t="str">
        <f>IFERROR(VLOOKUP(E2268,'Condensed Specialty Crosswalk'!$A$2:$C$182,3,FALSE),"")</f>
        <v/>
      </c>
    </row>
    <row r="2269" spans="3:7" ht="15" customHeight="1">
      <c r="C2269" s="50"/>
      <c r="D2269" s="51"/>
      <c r="E2269" s="49" t="str">
        <f>IFERROR(VLOOKUP(D2269,'taxonomy map'!$A$1:$B$171,2,FALSE),"")</f>
        <v/>
      </c>
      <c r="F2269" s="49" t="str">
        <f>IFERROR(VLOOKUP(E2269,'Condensed Specialty Crosswalk'!$A$2:$C$182,2,FALSE),"")</f>
        <v/>
      </c>
      <c r="G2269" s="49" t="str">
        <f>IFERROR(VLOOKUP(E2269,'Condensed Specialty Crosswalk'!$A$2:$C$182,3,FALSE),"")</f>
        <v/>
      </c>
    </row>
    <row r="2270" spans="3:7" ht="15" customHeight="1">
      <c r="C2270" s="50"/>
      <c r="D2270" s="51"/>
      <c r="E2270" s="49" t="str">
        <f>IFERROR(VLOOKUP(D2270,'taxonomy map'!$A$1:$B$171,2,FALSE),"")</f>
        <v/>
      </c>
      <c r="F2270" s="49" t="str">
        <f>IFERROR(VLOOKUP(E2270,'Condensed Specialty Crosswalk'!$A$2:$C$182,2,FALSE),"")</f>
        <v/>
      </c>
      <c r="G2270" s="49" t="str">
        <f>IFERROR(VLOOKUP(E2270,'Condensed Specialty Crosswalk'!$A$2:$C$182,3,FALSE),"")</f>
        <v/>
      </c>
    </row>
    <row r="2271" spans="3:7" ht="15" customHeight="1">
      <c r="C2271" s="50"/>
      <c r="D2271" s="51"/>
      <c r="E2271" s="49" t="str">
        <f>IFERROR(VLOOKUP(D2271,'taxonomy map'!$A$1:$B$171,2,FALSE),"")</f>
        <v/>
      </c>
      <c r="F2271" s="49" t="str">
        <f>IFERROR(VLOOKUP(E2271,'Condensed Specialty Crosswalk'!$A$2:$C$182,2,FALSE),"")</f>
        <v/>
      </c>
      <c r="G2271" s="49" t="str">
        <f>IFERROR(VLOOKUP(E2271,'Condensed Specialty Crosswalk'!$A$2:$C$182,3,FALSE),"")</f>
        <v/>
      </c>
    </row>
    <row r="2272" spans="3:7" ht="15" customHeight="1">
      <c r="C2272" s="50"/>
      <c r="D2272" s="51"/>
      <c r="E2272" s="49" t="str">
        <f>IFERROR(VLOOKUP(D2272,'taxonomy map'!$A$1:$B$171,2,FALSE),"")</f>
        <v/>
      </c>
      <c r="F2272" s="49" t="str">
        <f>IFERROR(VLOOKUP(E2272,'Condensed Specialty Crosswalk'!$A$2:$C$182,2,FALSE),"")</f>
        <v/>
      </c>
      <c r="G2272" s="49" t="str">
        <f>IFERROR(VLOOKUP(E2272,'Condensed Specialty Crosswalk'!$A$2:$C$182,3,FALSE),"")</f>
        <v/>
      </c>
    </row>
    <row r="2273" spans="3:7" ht="15" customHeight="1">
      <c r="C2273" s="50"/>
      <c r="D2273" s="51"/>
      <c r="E2273" s="49" t="str">
        <f>IFERROR(VLOOKUP(D2273,'taxonomy map'!$A$1:$B$171,2,FALSE),"")</f>
        <v/>
      </c>
      <c r="F2273" s="49" t="str">
        <f>IFERROR(VLOOKUP(E2273,'Condensed Specialty Crosswalk'!$A$2:$C$182,2,FALSE),"")</f>
        <v/>
      </c>
      <c r="G2273" s="49" t="str">
        <f>IFERROR(VLOOKUP(E2273,'Condensed Specialty Crosswalk'!$A$2:$C$182,3,FALSE),"")</f>
        <v/>
      </c>
    </row>
    <row r="2274" spans="3:7" ht="15" customHeight="1">
      <c r="C2274" s="50"/>
      <c r="D2274" s="51"/>
      <c r="E2274" s="49" t="str">
        <f>IFERROR(VLOOKUP(D2274,'taxonomy map'!$A$1:$B$171,2,FALSE),"")</f>
        <v/>
      </c>
      <c r="F2274" s="49" t="str">
        <f>IFERROR(VLOOKUP(E2274,'Condensed Specialty Crosswalk'!$A$2:$C$182,2,FALSE),"")</f>
        <v/>
      </c>
      <c r="G2274" s="49" t="str">
        <f>IFERROR(VLOOKUP(E2274,'Condensed Specialty Crosswalk'!$A$2:$C$182,3,FALSE),"")</f>
        <v/>
      </c>
    </row>
    <row r="2275" spans="3:7" ht="15" customHeight="1">
      <c r="C2275" s="50"/>
      <c r="D2275" s="51"/>
      <c r="E2275" s="49" t="str">
        <f>IFERROR(VLOOKUP(D2275,'taxonomy map'!$A$1:$B$171,2,FALSE),"")</f>
        <v/>
      </c>
      <c r="F2275" s="49" t="str">
        <f>IFERROR(VLOOKUP(E2275,'Condensed Specialty Crosswalk'!$A$2:$C$182,2,FALSE),"")</f>
        <v/>
      </c>
      <c r="G2275" s="49" t="str">
        <f>IFERROR(VLOOKUP(E2275,'Condensed Specialty Crosswalk'!$A$2:$C$182,3,FALSE),"")</f>
        <v/>
      </c>
    </row>
    <row r="2276" spans="3:7" ht="15" customHeight="1">
      <c r="C2276" s="50"/>
      <c r="D2276" s="51"/>
      <c r="E2276" s="49" t="str">
        <f>IFERROR(VLOOKUP(D2276,'taxonomy map'!$A$1:$B$171,2,FALSE),"")</f>
        <v/>
      </c>
      <c r="F2276" s="49" t="str">
        <f>IFERROR(VLOOKUP(E2276,'Condensed Specialty Crosswalk'!$A$2:$C$182,2,FALSE),"")</f>
        <v/>
      </c>
      <c r="G2276" s="49" t="str">
        <f>IFERROR(VLOOKUP(E2276,'Condensed Specialty Crosswalk'!$A$2:$C$182,3,FALSE),"")</f>
        <v/>
      </c>
    </row>
    <row r="2277" spans="3:7" ht="15" customHeight="1">
      <c r="C2277" s="50"/>
      <c r="D2277" s="51"/>
      <c r="E2277" s="49" t="str">
        <f>IFERROR(VLOOKUP(D2277,'taxonomy map'!$A$1:$B$171,2,FALSE),"")</f>
        <v/>
      </c>
      <c r="F2277" s="49" t="str">
        <f>IFERROR(VLOOKUP(E2277,'Condensed Specialty Crosswalk'!$A$2:$C$182,2,FALSE),"")</f>
        <v/>
      </c>
      <c r="G2277" s="49" t="str">
        <f>IFERROR(VLOOKUP(E2277,'Condensed Specialty Crosswalk'!$A$2:$C$182,3,FALSE),"")</f>
        <v/>
      </c>
    </row>
    <row r="2278" spans="3:7" ht="15" customHeight="1">
      <c r="C2278" s="50"/>
      <c r="D2278" s="51"/>
      <c r="E2278" s="49" t="str">
        <f>IFERROR(VLOOKUP(D2278,'taxonomy map'!$A$1:$B$171,2,FALSE),"")</f>
        <v/>
      </c>
      <c r="F2278" s="49" t="str">
        <f>IFERROR(VLOOKUP(E2278,'Condensed Specialty Crosswalk'!$A$2:$C$182,2,FALSE),"")</f>
        <v/>
      </c>
      <c r="G2278" s="49" t="str">
        <f>IFERROR(VLOOKUP(E2278,'Condensed Specialty Crosswalk'!$A$2:$C$182,3,FALSE),"")</f>
        <v/>
      </c>
    </row>
    <row r="2279" spans="3:7" ht="15" customHeight="1">
      <c r="C2279" s="50"/>
      <c r="D2279" s="51"/>
      <c r="E2279" s="49" t="str">
        <f>IFERROR(VLOOKUP(D2279,'taxonomy map'!$A$1:$B$171,2,FALSE),"")</f>
        <v/>
      </c>
      <c r="F2279" s="49" t="str">
        <f>IFERROR(VLOOKUP(E2279,'Condensed Specialty Crosswalk'!$A$2:$C$182,2,FALSE),"")</f>
        <v/>
      </c>
      <c r="G2279" s="49" t="str">
        <f>IFERROR(VLOOKUP(E2279,'Condensed Specialty Crosswalk'!$A$2:$C$182,3,FALSE),"")</f>
        <v/>
      </c>
    </row>
    <row r="2280" spans="3:7" ht="15" customHeight="1">
      <c r="C2280" s="50"/>
      <c r="D2280" s="51"/>
      <c r="E2280" s="49" t="str">
        <f>IFERROR(VLOOKUP(D2280,'taxonomy map'!$A$1:$B$171,2,FALSE),"")</f>
        <v/>
      </c>
      <c r="F2280" s="49" t="str">
        <f>IFERROR(VLOOKUP(E2280,'Condensed Specialty Crosswalk'!$A$2:$C$182,2,FALSE),"")</f>
        <v/>
      </c>
      <c r="G2280" s="49" t="str">
        <f>IFERROR(VLOOKUP(E2280,'Condensed Specialty Crosswalk'!$A$2:$C$182,3,FALSE),"")</f>
        <v/>
      </c>
    </row>
    <row r="2281" spans="3:7" ht="15" customHeight="1">
      <c r="C2281" s="50"/>
      <c r="D2281" s="51"/>
      <c r="E2281" s="49" t="str">
        <f>IFERROR(VLOOKUP(D2281,'taxonomy map'!$A$1:$B$171,2,FALSE),"")</f>
        <v/>
      </c>
      <c r="F2281" s="49" t="str">
        <f>IFERROR(VLOOKUP(E2281,'Condensed Specialty Crosswalk'!$A$2:$C$182,2,FALSE),"")</f>
        <v/>
      </c>
      <c r="G2281" s="49" t="str">
        <f>IFERROR(VLOOKUP(E2281,'Condensed Specialty Crosswalk'!$A$2:$C$182,3,FALSE),"")</f>
        <v/>
      </c>
    </row>
    <row r="2282" spans="3:7" ht="15" customHeight="1">
      <c r="C2282" s="50"/>
      <c r="D2282" s="51"/>
      <c r="E2282" s="49" t="str">
        <f>IFERROR(VLOOKUP(D2282,'taxonomy map'!$A$1:$B$171,2,FALSE),"")</f>
        <v/>
      </c>
      <c r="F2282" s="49" t="str">
        <f>IFERROR(VLOOKUP(E2282,'Condensed Specialty Crosswalk'!$A$2:$C$182,2,FALSE),"")</f>
        <v/>
      </c>
      <c r="G2282" s="49" t="str">
        <f>IFERROR(VLOOKUP(E2282,'Condensed Specialty Crosswalk'!$A$2:$C$182,3,FALSE),"")</f>
        <v/>
      </c>
    </row>
    <row r="2283" spans="3:7" ht="15" customHeight="1">
      <c r="C2283" s="50"/>
      <c r="D2283" s="51"/>
      <c r="E2283" s="49" t="str">
        <f>IFERROR(VLOOKUP(D2283,'taxonomy map'!$A$1:$B$171,2,FALSE),"")</f>
        <v/>
      </c>
      <c r="F2283" s="49" t="str">
        <f>IFERROR(VLOOKUP(E2283,'Condensed Specialty Crosswalk'!$A$2:$C$182,2,FALSE),"")</f>
        <v/>
      </c>
      <c r="G2283" s="49" t="str">
        <f>IFERROR(VLOOKUP(E2283,'Condensed Specialty Crosswalk'!$A$2:$C$182,3,FALSE),"")</f>
        <v/>
      </c>
    </row>
    <row r="2284" spans="3:7" ht="15" customHeight="1">
      <c r="C2284" s="50"/>
      <c r="D2284" s="51"/>
      <c r="E2284" s="49" t="str">
        <f>IFERROR(VLOOKUP(D2284,'taxonomy map'!$A$1:$B$171,2,FALSE),"")</f>
        <v/>
      </c>
      <c r="F2284" s="49" t="str">
        <f>IFERROR(VLOOKUP(E2284,'Condensed Specialty Crosswalk'!$A$2:$C$182,2,FALSE),"")</f>
        <v/>
      </c>
      <c r="G2284" s="49" t="str">
        <f>IFERROR(VLOOKUP(E2284,'Condensed Specialty Crosswalk'!$A$2:$C$182,3,FALSE),"")</f>
        <v/>
      </c>
    </row>
    <row r="2285" spans="3:7" ht="15" customHeight="1">
      <c r="C2285" s="50"/>
      <c r="D2285" s="51"/>
      <c r="E2285" s="49" t="str">
        <f>IFERROR(VLOOKUP(D2285,'taxonomy map'!$A$1:$B$171,2,FALSE),"")</f>
        <v/>
      </c>
      <c r="F2285" s="49" t="str">
        <f>IFERROR(VLOOKUP(E2285,'Condensed Specialty Crosswalk'!$A$2:$C$182,2,FALSE),"")</f>
        <v/>
      </c>
      <c r="G2285" s="49" t="str">
        <f>IFERROR(VLOOKUP(E2285,'Condensed Specialty Crosswalk'!$A$2:$C$182,3,FALSE),"")</f>
        <v/>
      </c>
    </row>
    <row r="2286" spans="3:7" ht="15" customHeight="1">
      <c r="C2286" s="50"/>
      <c r="D2286" s="51"/>
      <c r="E2286" s="49" t="str">
        <f>IFERROR(VLOOKUP(D2286,'taxonomy map'!$A$1:$B$171,2,FALSE),"")</f>
        <v/>
      </c>
      <c r="F2286" s="49" t="str">
        <f>IFERROR(VLOOKUP(E2286,'Condensed Specialty Crosswalk'!$A$2:$C$182,2,FALSE),"")</f>
        <v/>
      </c>
      <c r="G2286" s="49" t="str">
        <f>IFERROR(VLOOKUP(E2286,'Condensed Specialty Crosswalk'!$A$2:$C$182,3,FALSE),"")</f>
        <v/>
      </c>
    </row>
    <row r="2287" spans="3:7" ht="15" customHeight="1">
      <c r="C2287" s="50"/>
      <c r="D2287" s="51"/>
      <c r="E2287" s="49" t="str">
        <f>IFERROR(VLOOKUP(D2287,'taxonomy map'!$A$1:$B$171,2,FALSE),"")</f>
        <v/>
      </c>
      <c r="F2287" s="49" t="str">
        <f>IFERROR(VLOOKUP(E2287,'Condensed Specialty Crosswalk'!$A$2:$C$182,2,FALSE),"")</f>
        <v/>
      </c>
      <c r="G2287" s="49" t="str">
        <f>IFERROR(VLOOKUP(E2287,'Condensed Specialty Crosswalk'!$A$2:$C$182,3,FALSE),"")</f>
        <v/>
      </c>
    </row>
    <row r="2288" spans="3:7" ht="15" customHeight="1">
      <c r="C2288" s="50"/>
      <c r="D2288" s="51"/>
      <c r="E2288" s="49" t="str">
        <f>IFERROR(VLOOKUP(D2288,'taxonomy map'!$A$1:$B$171,2,FALSE),"")</f>
        <v/>
      </c>
      <c r="F2288" s="49" t="str">
        <f>IFERROR(VLOOKUP(E2288,'Condensed Specialty Crosswalk'!$A$2:$C$182,2,FALSE),"")</f>
        <v/>
      </c>
      <c r="G2288" s="49" t="str">
        <f>IFERROR(VLOOKUP(E2288,'Condensed Specialty Crosswalk'!$A$2:$C$182,3,FALSE),"")</f>
        <v/>
      </c>
    </row>
    <row r="2289" spans="3:7" ht="15" customHeight="1">
      <c r="C2289" s="50"/>
      <c r="D2289" s="51"/>
      <c r="E2289" s="49" t="str">
        <f>IFERROR(VLOOKUP(D2289,'taxonomy map'!$A$1:$B$171,2,FALSE),"")</f>
        <v/>
      </c>
      <c r="F2289" s="49" t="str">
        <f>IFERROR(VLOOKUP(E2289,'Condensed Specialty Crosswalk'!$A$2:$C$182,2,FALSE),"")</f>
        <v/>
      </c>
      <c r="G2289" s="49" t="str">
        <f>IFERROR(VLOOKUP(E2289,'Condensed Specialty Crosswalk'!$A$2:$C$182,3,FALSE),"")</f>
        <v/>
      </c>
    </row>
    <row r="2290" spans="3:7" ht="15" customHeight="1">
      <c r="C2290" s="50"/>
      <c r="D2290" s="51"/>
      <c r="E2290" s="49" t="str">
        <f>IFERROR(VLOOKUP(D2290,'taxonomy map'!$A$1:$B$171,2,FALSE),"")</f>
        <v/>
      </c>
      <c r="F2290" s="49" t="str">
        <f>IFERROR(VLOOKUP(E2290,'Condensed Specialty Crosswalk'!$A$2:$C$182,2,FALSE),"")</f>
        <v/>
      </c>
      <c r="G2290" s="49" t="str">
        <f>IFERROR(VLOOKUP(E2290,'Condensed Specialty Crosswalk'!$A$2:$C$182,3,FALSE),"")</f>
        <v/>
      </c>
    </row>
    <row r="2291" spans="3:7" ht="15" customHeight="1">
      <c r="C2291" s="50"/>
      <c r="D2291" s="51"/>
      <c r="E2291" s="49" t="str">
        <f>IFERROR(VLOOKUP(D2291,'taxonomy map'!$A$1:$B$171,2,FALSE),"")</f>
        <v/>
      </c>
      <c r="F2291" s="49" t="str">
        <f>IFERROR(VLOOKUP(E2291,'Condensed Specialty Crosswalk'!$A$2:$C$182,2,FALSE),"")</f>
        <v/>
      </c>
      <c r="G2291" s="49" t="str">
        <f>IFERROR(VLOOKUP(E2291,'Condensed Specialty Crosswalk'!$A$2:$C$182,3,FALSE),"")</f>
        <v/>
      </c>
    </row>
    <row r="2292" spans="3:7" ht="15" customHeight="1">
      <c r="C2292" s="50"/>
      <c r="D2292" s="51"/>
      <c r="E2292" s="49" t="str">
        <f>IFERROR(VLOOKUP(D2292,'taxonomy map'!$A$1:$B$171,2,FALSE),"")</f>
        <v/>
      </c>
      <c r="F2292" s="49" t="str">
        <f>IFERROR(VLOOKUP(E2292,'Condensed Specialty Crosswalk'!$A$2:$C$182,2,FALSE),"")</f>
        <v/>
      </c>
      <c r="G2292" s="49" t="str">
        <f>IFERROR(VLOOKUP(E2292,'Condensed Specialty Crosswalk'!$A$2:$C$182,3,FALSE),"")</f>
        <v/>
      </c>
    </row>
    <row r="2293" spans="3:7" ht="15" customHeight="1">
      <c r="C2293" s="50"/>
      <c r="D2293" s="51"/>
      <c r="E2293" s="49" t="str">
        <f>IFERROR(VLOOKUP(D2293,'taxonomy map'!$A$1:$B$171,2,FALSE),"")</f>
        <v/>
      </c>
      <c r="F2293" s="49" t="str">
        <f>IFERROR(VLOOKUP(E2293,'Condensed Specialty Crosswalk'!$A$2:$C$182,2,FALSE),"")</f>
        <v/>
      </c>
      <c r="G2293" s="49" t="str">
        <f>IFERROR(VLOOKUP(E2293,'Condensed Specialty Crosswalk'!$A$2:$C$182,3,FALSE),"")</f>
        <v/>
      </c>
    </row>
    <row r="2294" spans="3:7" ht="15" customHeight="1">
      <c r="C2294" s="50"/>
      <c r="D2294" s="51"/>
      <c r="E2294" s="49" t="str">
        <f>IFERROR(VLOOKUP(D2294,'taxonomy map'!$A$1:$B$171,2,FALSE),"")</f>
        <v/>
      </c>
      <c r="F2294" s="49" t="str">
        <f>IFERROR(VLOOKUP(E2294,'Condensed Specialty Crosswalk'!$A$2:$C$182,2,FALSE),"")</f>
        <v/>
      </c>
      <c r="G2294" s="49" t="str">
        <f>IFERROR(VLOOKUP(E2294,'Condensed Specialty Crosswalk'!$A$2:$C$182,3,FALSE),"")</f>
        <v/>
      </c>
    </row>
    <row r="2295" spans="3:7" ht="15" customHeight="1">
      <c r="C2295" s="50"/>
      <c r="D2295" s="51"/>
      <c r="E2295" s="49" t="str">
        <f>IFERROR(VLOOKUP(D2295,'taxonomy map'!$A$1:$B$171,2,FALSE),"")</f>
        <v/>
      </c>
      <c r="F2295" s="49" t="str">
        <f>IFERROR(VLOOKUP(E2295,'Condensed Specialty Crosswalk'!$A$2:$C$182,2,FALSE),"")</f>
        <v/>
      </c>
      <c r="G2295" s="49" t="str">
        <f>IFERROR(VLOOKUP(E2295,'Condensed Specialty Crosswalk'!$A$2:$C$182,3,FALSE),"")</f>
        <v/>
      </c>
    </row>
    <row r="2296" spans="3:7" ht="15" customHeight="1">
      <c r="C2296" s="50"/>
      <c r="E2296" s="49" t="str">
        <f>IFERROR(VLOOKUP(D2296,'taxonomy map'!$A$1:$B$171,2,FALSE),"")</f>
        <v/>
      </c>
      <c r="F2296" s="49" t="str">
        <f>IFERROR(VLOOKUP(E2296,'Condensed Specialty Crosswalk'!$A$2:$C$182,2,FALSE),"")</f>
        <v/>
      </c>
      <c r="G2296" s="49" t="str">
        <f>IFERROR(VLOOKUP(E2296,'Condensed Specialty Crosswalk'!$A$2:$C$182,3,FALSE),"")</f>
        <v/>
      </c>
    </row>
    <row r="2297" spans="3:7" ht="15" customHeight="1">
      <c r="E2297" s="49" t="str">
        <f>IFERROR(VLOOKUP(D2297,'taxonomy map'!$A$1:$B$171,2,FALSE),"")</f>
        <v/>
      </c>
      <c r="F2297" s="49" t="str">
        <f>IFERROR(VLOOKUP(E2297,'Condensed Specialty Crosswalk'!$A$2:$C$182,2,FALSE),"")</f>
        <v/>
      </c>
      <c r="G2297" s="49" t="str">
        <f>IFERROR(VLOOKUP(E2297,'Condensed Specialty Crosswalk'!$A$2:$C$182,3,FALSE),"")</f>
        <v/>
      </c>
    </row>
    <row r="2298" spans="3:7" ht="15" customHeight="1">
      <c r="E2298" s="49" t="str">
        <f>IFERROR(VLOOKUP(D2298,'taxonomy map'!$A$1:$B$171,2,FALSE),"")</f>
        <v/>
      </c>
      <c r="F2298" s="49" t="str">
        <f>IFERROR(VLOOKUP(E2298,'Condensed Specialty Crosswalk'!$A$2:$C$182,2,FALSE),"")</f>
        <v/>
      </c>
      <c r="G2298" s="49" t="str">
        <f>IFERROR(VLOOKUP(E2298,'Condensed Specialty Crosswalk'!$A$2:$C$182,3,FALSE),"")</f>
        <v/>
      </c>
    </row>
    <row r="2299" spans="3:7" ht="15" customHeight="1">
      <c r="E2299" s="49" t="str">
        <f>IFERROR(VLOOKUP(D2299,'taxonomy map'!$A$1:$B$171,2,FALSE),"")</f>
        <v/>
      </c>
      <c r="F2299" s="49" t="str">
        <f>IFERROR(VLOOKUP(E2299,'Condensed Specialty Crosswalk'!$A$2:$C$182,2,FALSE),"")</f>
        <v/>
      </c>
      <c r="G2299" s="49" t="str">
        <f>IFERROR(VLOOKUP(E2299,'Condensed Specialty Crosswalk'!$A$2:$C$182,3,FALSE),"")</f>
        <v/>
      </c>
    </row>
    <row r="2300" spans="3:7" ht="15" customHeight="1">
      <c r="E2300" s="49" t="str">
        <f>IFERROR(VLOOKUP(D2300,'taxonomy map'!$A$1:$B$171,2,FALSE),"")</f>
        <v/>
      </c>
      <c r="F2300" s="49" t="str">
        <f>IFERROR(VLOOKUP(E2300,'Condensed Specialty Crosswalk'!$A$2:$C$182,2,FALSE),"")</f>
        <v/>
      </c>
      <c r="G2300" s="49" t="str">
        <f>IFERROR(VLOOKUP(E2300,'Condensed Specialty Crosswalk'!$A$2:$C$182,3,FALSE),"")</f>
        <v/>
      </c>
    </row>
    <row r="2301" spans="3:7" ht="15" customHeight="1">
      <c r="E2301" s="49" t="str">
        <f>IFERROR(VLOOKUP(D2301,'taxonomy map'!$A$1:$B$171,2,FALSE),"")</f>
        <v/>
      </c>
      <c r="F2301" s="49" t="str">
        <f>IFERROR(VLOOKUP(E2301,'Condensed Specialty Crosswalk'!$A$2:$C$182,2,FALSE),"")</f>
        <v/>
      </c>
      <c r="G2301" s="49" t="str">
        <f>IFERROR(VLOOKUP(E2301,'Condensed Specialty Crosswalk'!$A$2:$C$182,3,FALSE),"")</f>
        <v/>
      </c>
    </row>
    <row r="2302" spans="3:7" ht="15" customHeight="1">
      <c r="E2302" s="49" t="str">
        <f>IFERROR(VLOOKUP(D2302,'taxonomy map'!$A$1:$B$171,2,FALSE),"")</f>
        <v/>
      </c>
      <c r="F2302" s="49" t="str">
        <f>IFERROR(VLOOKUP(E2302,'Condensed Specialty Crosswalk'!$A$2:$C$182,2,FALSE),"")</f>
        <v/>
      </c>
      <c r="G2302" s="49" t="str">
        <f>IFERROR(VLOOKUP(E2302,'Condensed Specialty Crosswalk'!$A$2:$C$182,3,FALSE),"")</f>
        <v/>
      </c>
    </row>
    <row r="2303" spans="3:7" ht="15" customHeight="1">
      <c r="E2303" s="49" t="str">
        <f>IFERROR(VLOOKUP(D2303,'taxonomy map'!$A$1:$B$171,2,FALSE),"")</f>
        <v/>
      </c>
      <c r="F2303" s="49" t="str">
        <f>IFERROR(VLOOKUP(E2303,'Condensed Specialty Crosswalk'!$A$2:$C$182,2,FALSE),"")</f>
        <v/>
      </c>
      <c r="G2303" s="49" t="str">
        <f>IFERROR(VLOOKUP(E2303,'Condensed Specialty Crosswalk'!$A$2:$C$182,3,FALSE),"")</f>
        <v/>
      </c>
    </row>
    <row r="2304" spans="3:7" ht="15" customHeight="1">
      <c r="E2304" s="49" t="str">
        <f>IFERROR(VLOOKUP(D2304,'taxonomy map'!$A$1:$B$171,2,FALSE),"")</f>
        <v/>
      </c>
      <c r="F2304" s="49" t="str">
        <f>IFERROR(VLOOKUP(E2304,'Condensed Specialty Crosswalk'!$A$2:$C$182,2,FALSE),"")</f>
        <v/>
      </c>
      <c r="G2304" s="49" t="str">
        <f>IFERROR(VLOOKUP(E2304,'Condensed Specialty Crosswalk'!$A$2:$C$182,3,FALSE),"")</f>
        <v/>
      </c>
    </row>
    <row r="2305" spans="5:7" ht="15" customHeight="1">
      <c r="E2305" s="49" t="str">
        <f>IFERROR(VLOOKUP(D2305,'taxonomy map'!$A$1:$B$171,2,FALSE),"")</f>
        <v/>
      </c>
      <c r="F2305" s="49" t="str">
        <f>IFERROR(VLOOKUP(E2305,'Condensed Specialty Crosswalk'!$A$2:$C$182,2,FALSE),"")</f>
        <v/>
      </c>
      <c r="G2305" s="49" t="str">
        <f>IFERROR(VLOOKUP(E2305,'Condensed Specialty Crosswalk'!$A$2:$C$182,3,FALSE),"")</f>
        <v/>
      </c>
    </row>
    <row r="2306" spans="5:7" ht="15" customHeight="1">
      <c r="E2306" s="49" t="str">
        <f>IFERROR(VLOOKUP(D2306,'taxonomy map'!$A$1:$B$171,2,FALSE),"")</f>
        <v/>
      </c>
      <c r="F2306" s="49" t="str">
        <f>IFERROR(VLOOKUP(E2306,'Condensed Specialty Crosswalk'!$A$2:$C$182,2,FALSE),"")</f>
        <v/>
      </c>
      <c r="G2306" s="49" t="str">
        <f>IFERROR(VLOOKUP(E2306,'Condensed Specialty Crosswalk'!$A$2:$C$182,3,FALSE),"")</f>
        <v/>
      </c>
    </row>
    <row r="2307" spans="5:7" ht="15" customHeight="1">
      <c r="E2307" s="49" t="str">
        <f>IFERROR(VLOOKUP(D2307,'taxonomy map'!$A$1:$B$171,2,FALSE),"")</f>
        <v/>
      </c>
      <c r="F2307" s="49" t="str">
        <f>IFERROR(VLOOKUP(E2307,'Condensed Specialty Crosswalk'!$A$2:$C$182,2,FALSE),"")</f>
        <v/>
      </c>
      <c r="G2307" s="49" t="str">
        <f>IFERROR(VLOOKUP(E2307,'Condensed Specialty Crosswalk'!$A$2:$C$182,3,FALSE),"")</f>
        <v/>
      </c>
    </row>
    <row r="2308" spans="5:7" ht="15" customHeight="1">
      <c r="E2308" s="49" t="str">
        <f>IFERROR(VLOOKUP(D2308,'taxonomy map'!$A$1:$B$171,2,FALSE),"")</f>
        <v/>
      </c>
      <c r="F2308" s="49" t="str">
        <f>IFERROR(VLOOKUP(E2308,'Condensed Specialty Crosswalk'!$A$2:$C$182,2,FALSE),"")</f>
        <v/>
      </c>
      <c r="G2308" s="49" t="str">
        <f>IFERROR(VLOOKUP(E2308,'Condensed Specialty Crosswalk'!$A$2:$C$182,3,FALSE),"")</f>
        <v/>
      </c>
    </row>
    <row r="2309" spans="5:7" ht="15" customHeight="1">
      <c r="E2309" s="49" t="str">
        <f>IFERROR(VLOOKUP(D2309,'taxonomy map'!$A$1:$B$171,2,FALSE),"")</f>
        <v/>
      </c>
      <c r="F2309" s="49" t="str">
        <f>IFERROR(VLOOKUP(E2309,'Condensed Specialty Crosswalk'!$A$2:$C$182,2,FALSE),"")</f>
        <v/>
      </c>
      <c r="G2309" s="49" t="str">
        <f>IFERROR(VLOOKUP(E2309,'Condensed Specialty Crosswalk'!$A$2:$C$182,3,FALSE),"")</f>
        <v/>
      </c>
    </row>
    <row r="2310" spans="5:7" ht="15" customHeight="1">
      <c r="E2310" s="49" t="str">
        <f>IFERROR(VLOOKUP(D2310,'taxonomy map'!$A$1:$B$171,2,FALSE),"")</f>
        <v/>
      </c>
      <c r="F2310" s="49" t="str">
        <f>IFERROR(VLOOKUP(E2310,'Condensed Specialty Crosswalk'!$A$2:$C$182,2,FALSE),"")</f>
        <v/>
      </c>
      <c r="G2310" s="49" t="str">
        <f>IFERROR(VLOOKUP(E2310,'Condensed Specialty Crosswalk'!$A$2:$C$182,3,FALSE),"")</f>
        <v/>
      </c>
    </row>
    <row r="2311" spans="5:7" ht="15" customHeight="1">
      <c r="E2311" s="49" t="str">
        <f>IFERROR(VLOOKUP(D2311,'taxonomy map'!$A$1:$B$171,2,FALSE),"")</f>
        <v/>
      </c>
      <c r="F2311" s="49" t="str">
        <f>IFERROR(VLOOKUP(E2311,'Condensed Specialty Crosswalk'!$A$2:$C$182,2,FALSE),"")</f>
        <v/>
      </c>
      <c r="G2311" s="49" t="str">
        <f>IFERROR(VLOOKUP(E2311,'Condensed Specialty Crosswalk'!$A$2:$C$182,3,FALSE),"")</f>
        <v/>
      </c>
    </row>
    <row r="2312" spans="5:7" ht="15" customHeight="1">
      <c r="E2312" s="49" t="str">
        <f>IFERROR(VLOOKUP(D2312,'taxonomy map'!$A$1:$B$171,2,FALSE),"")</f>
        <v/>
      </c>
      <c r="F2312" s="49" t="str">
        <f>IFERROR(VLOOKUP(E2312,'Condensed Specialty Crosswalk'!$A$2:$C$182,2,FALSE),"")</f>
        <v/>
      </c>
      <c r="G2312" s="49" t="str">
        <f>IFERROR(VLOOKUP(E2312,'Condensed Specialty Crosswalk'!$A$2:$C$182,3,FALSE),"")</f>
        <v/>
      </c>
    </row>
    <row r="2313" spans="5:7" ht="15" customHeight="1">
      <c r="E2313" s="49" t="str">
        <f>IFERROR(VLOOKUP(D2313,'taxonomy map'!$A$1:$B$171,2,FALSE),"")</f>
        <v/>
      </c>
      <c r="F2313" s="49" t="str">
        <f>IFERROR(VLOOKUP(E2313,'Condensed Specialty Crosswalk'!$A$2:$C$182,2,FALSE),"")</f>
        <v/>
      </c>
      <c r="G2313" s="49" t="str">
        <f>IFERROR(VLOOKUP(E2313,'Condensed Specialty Crosswalk'!$A$2:$C$182,3,FALSE),"")</f>
        <v/>
      </c>
    </row>
    <row r="2314" spans="5:7" ht="15" customHeight="1">
      <c r="E2314" s="49" t="str">
        <f>IFERROR(VLOOKUP(D2314,'taxonomy map'!$A$1:$B$171,2,FALSE),"")</f>
        <v/>
      </c>
      <c r="F2314" s="49" t="str">
        <f>IFERROR(VLOOKUP(E2314,'Condensed Specialty Crosswalk'!$A$2:$C$182,2,FALSE),"")</f>
        <v/>
      </c>
      <c r="G2314" s="49" t="str">
        <f>IFERROR(VLOOKUP(E2314,'Condensed Specialty Crosswalk'!$A$2:$C$182,3,FALSE),"")</f>
        <v/>
      </c>
    </row>
    <row r="2315" spans="5:7" ht="15" customHeight="1">
      <c r="E2315" s="49" t="str">
        <f>IFERROR(VLOOKUP(D2315,'taxonomy map'!$A$1:$B$171,2,FALSE),"")</f>
        <v/>
      </c>
      <c r="F2315" s="49" t="str">
        <f>IFERROR(VLOOKUP(E2315,'Condensed Specialty Crosswalk'!$A$2:$C$182,2,FALSE),"")</f>
        <v/>
      </c>
      <c r="G2315" s="49" t="str">
        <f>IFERROR(VLOOKUP(E2315,'Condensed Specialty Crosswalk'!$A$2:$C$182,3,FALSE),"")</f>
        <v/>
      </c>
    </row>
    <row r="2316" spans="5:7" ht="15" customHeight="1">
      <c r="E2316" s="49" t="str">
        <f>IFERROR(VLOOKUP(D2316,'taxonomy map'!$A$1:$B$171,2,FALSE),"")</f>
        <v/>
      </c>
      <c r="F2316" s="49" t="str">
        <f>IFERROR(VLOOKUP(E2316,'Condensed Specialty Crosswalk'!$A$2:$C$182,2,FALSE),"")</f>
        <v/>
      </c>
      <c r="G2316" s="49" t="str">
        <f>IFERROR(VLOOKUP(E2316,'Condensed Specialty Crosswalk'!$A$2:$C$182,3,FALSE),"")</f>
        <v/>
      </c>
    </row>
    <row r="2317" spans="5:7" ht="15" customHeight="1">
      <c r="E2317" s="49" t="str">
        <f>IFERROR(VLOOKUP(D2317,'taxonomy map'!$A$1:$B$171,2,FALSE),"")</f>
        <v/>
      </c>
      <c r="F2317" s="49" t="str">
        <f>IFERROR(VLOOKUP(E2317,'Condensed Specialty Crosswalk'!$A$2:$C$182,2,FALSE),"")</f>
        <v/>
      </c>
      <c r="G2317" s="49" t="str">
        <f>IFERROR(VLOOKUP(E2317,'Condensed Specialty Crosswalk'!$A$2:$C$182,3,FALSE),"")</f>
        <v/>
      </c>
    </row>
    <row r="2318" spans="5:7" ht="15" customHeight="1">
      <c r="E2318" s="49" t="str">
        <f>IFERROR(VLOOKUP(D2318,'taxonomy map'!$A$1:$B$171,2,FALSE),"")</f>
        <v/>
      </c>
      <c r="F2318" s="49" t="str">
        <f>IFERROR(VLOOKUP(E2318,'Condensed Specialty Crosswalk'!$A$2:$C$182,2,FALSE),"")</f>
        <v/>
      </c>
      <c r="G2318" s="49" t="str">
        <f>IFERROR(VLOOKUP(E2318,'Condensed Specialty Crosswalk'!$A$2:$C$182,3,FALSE),"")</f>
        <v/>
      </c>
    </row>
    <row r="2319" spans="5:7" ht="15" customHeight="1">
      <c r="E2319" s="49" t="str">
        <f>IFERROR(VLOOKUP(D2319,'taxonomy map'!$A$1:$B$171,2,FALSE),"")</f>
        <v/>
      </c>
      <c r="F2319" s="49" t="str">
        <f>IFERROR(VLOOKUP(E2319,'Condensed Specialty Crosswalk'!$A$2:$C$182,2,FALSE),"")</f>
        <v/>
      </c>
      <c r="G2319" s="49" t="str">
        <f>IFERROR(VLOOKUP(E2319,'Condensed Specialty Crosswalk'!$A$2:$C$182,3,FALSE),"")</f>
        <v/>
      </c>
    </row>
    <row r="2320" spans="5:7" ht="15" customHeight="1">
      <c r="E2320" s="49" t="str">
        <f>IFERROR(VLOOKUP(D2320,'taxonomy map'!$A$1:$B$171,2,FALSE),"")</f>
        <v/>
      </c>
      <c r="F2320" s="49" t="str">
        <f>IFERROR(VLOOKUP(E2320,'Condensed Specialty Crosswalk'!$A$2:$C$182,2,FALSE),"")</f>
        <v/>
      </c>
      <c r="G2320" s="49" t="str">
        <f>IFERROR(VLOOKUP(E2320,'Condensed Specialty Crosswalk'!$A$2:$C$182,3,FALSE),"")</f>
        <v/>
      </c>
    </row>
    <row r="2321" spans="5:7" ht="15" customHeight="1">
      <c r="E2321" s="49" t="str">
        <f>IFERROR(VLOOKUP(D2321,'taxonomy map'!$A$1:$B$171,2,FALSE),"")</f>
        <v/>
      </c>
      <c r="F2321" s="49" t="str">
        <f>IFERROR(VLOOKUP(E2321,'Condensed Specialty Crosswalk'!$A$2:$C$182,2,FALSE),"")</f>
        <v/>
      </c>
      <c r="G2321" s="49" t="str">
        <f>IFERROR(VLOOKUP(E2321,'Condensed Specialty Crosswalk'!$A$2:$C$182,3,FALSE),"")</f>
        <v/>
      </c>
    </row>
    <row r="2322" spans="5:7" ht="15" customHeight="1">
      <c r="E2322" s="49" t="str">
        <f>IFERROR(VLOOKUP(D2322,'taxonomy map'!$A$1:$B$171,2,FALSE),"")</f>
        <v/>
      </c>
      <c r="F2322" s="49" t="str">
        <f>IFERROR(VLOOKUP(E2322,'Condensed Specialty Crosswalk'!$A$2:$C$182,2,FALSE),"")</f>
        <v/>
      </c>
      <c r="G2322" s="49" t="str">
        <f>IFERROR(VLOOKUP(E2322,'Condensed Specialty Crosswalk'!$A$2:$C$182,3,FALSE),"")</f>
        <v/>
      </c>
    </row>
    <row r="2323" spans="5:7" ht="15" customHeight="1">
      <c r="E2323" s="49" t="str">
        <f>IFERROR(VLOOKUP(D2323,'taxonomy map'!$A$1:$B$171,2,FALSE),"")</f>
        <v/>
      </c>
      <c r="F2323" s="49" t="str">
        <f>IFERROR(VLOOKUP(E2323,'Condensed Specialty Crosswalk'!$A$2:$C$182,2,FALSE),"")</f>
        <v/>
      </c>
      <c r="G2323" s="49" t="str">
        <f>IFERROR(VLOOKUP(E2323,'Condensed Specialty Crosswalk'!$A$2:$C$182,3,FALSE),"")</f>
        <v/>
      </c>
    </row>
    <row r="2324" spans="5:7" ht="15" customHeight="1">
      <c r="E2324" s="49" t="str">
        <f>IFERROR(VLOOKUP(D2324,'taxonomy map'!$A$1:$B$171,2,FALSE),"")</f>
        <v/>
      </c>
      <c r="F2324" s="49" t="str">
        <f>IFERROR(VLOOKUP(E2324,'Condensed Specialty Crosswalk'!$A$2:$C$182,2,FALSE),"")</f>
        <v/>
      </c>
      <c r="G2324" s="49" t="str">
        <f>IFERROR(VLOOKUP(E2324,'Condensed Specialty Crosswalk'!$A$2:$C$182,3,FALSE),"")</f>
        <v/>
      </c>
    </row>
    <row r="2325" spans="5:7" ht="15" customHeight="1">
      <c r="E2325" s="49" t="str">
        <f>IFERROR(VLOOKUP(D2325,'taxonomy map'!$A$1:$B$171,2,FALSE),"")</f>
        <v/>
      </c>
      <c r="F2325" s="49" t="str">
        <f>IFERROR(VLOOKUP(E2325,'Condensed Specialty Crosswalk'!$A$2:$C$182,2,FALSE),"")</f>
        <v/>
      </c>
      <c r="G2325" s="49" t="str">
        <f>IFERROR(VLOOKUP(E2325,'Condensed Specialty Crosswalk'!$A$2:$C$106,3,FALSE),"")</f>
        <v/>
      </c>
    </row>
    <row r="2326" spans="5:7" ht="15" customHeight="1">
      <c r="E2326" s="49" t="str">
        <f>IFERROR(VLOOKUP(D2326,'taxonomy map'!$A$1:$B$171,2,FALSE),"")</f>
        <v/>
      </c>
      <c r="F2326" s="49" t="str">
        <f>IFERROR(VLOOKUP(E2326,'Condensed Specialty Crosswalk'!$A$2:$C$182,2,FALSE),"")</f>
        <v/>
      </c>
      <c r="G2326" s="49" t="str">
        <f>IFERROR(VLOOKUP(E2326,'Condensed Specialty Crosswalk'!$A$2:$C$106,3,FALSE),"")</f>
        <v/>
      </c>
    </row>
    <row r="2327" spans="5:7" ht="15" customHeight="1">
      <c r="E2327" s="49" t="str">
        <f>IFERROR(VLOOKUP(D2327,'taxonomy map'!$A$1:$B$171,2,FALSE),"")</f>
        <v/>
      </c>
      <c r="F2327" s="49" t="str">
        <f>IFERROR(VLOOKUP(E2327,'Condensed Specialty Crosswalk'!$A$2:$C$182,2,FALSE),"")</f>
        <v/>
      </c>
      <c r="G2327" s="49" t="str">
        <f>IFERROR(VLOOKUP(E2327,'Condensed Specialty Crosswalk'!$A$2:$C$106,3,FALSE),"")</f>
        <v/>
      </c>
    </row>
    <row r="2328" spans="5:7" ht="15" customHeight="1">
      <c r="E2328" s="49" t="str">
        <f>IFERROR(VLOOKUP(D2328,'taxonomy map'!$A$1:$B$171,2,FALSE),"")</f>
        <v/>
      </c>
      <c r="F2328" s="49" t="str">
        <f>IFERROR(VLOOKUP(E2328,'Condensed Specialty Crosswalk'!$A$2:$C$182,2,FALSE),"")</f>
        <v/>
      </c>
      <c r="G2328" s="49" t="str">
        <f>IFERROR(VLOOKUP(E2328,'Condensed Specialty Crosswalk'!$A$2:$C$106,3,FALSE),"")</f>
        <v/>
      </c>
    </row>
    <row r="2329" spans="5:7" ht="15" customHeight="1">
      <c r="E2329" s="49" t="str">
        <f>IFERROR(VLOOKUP(D2329,'taxonomy map'!$A$1:$B$171,2,FALSE),"")</f>
        <v/>
      </c>
      <c r="F2329" s="49" t="str">
        <f>IFERROR(VLOOKUP(E2329,'Condensed Specialty Crosswalk'!$A$2:$C$182,2,FALSE),"")</f>
        <v/>
      </c>
      <c r="G2329" s="49" t="str">
        <f>IFERROR(VLOOKUP(E2329,'Condensed Specialty Crosswalk'!$A$2:$C$106,3,FALSE),"")</f>
        <v/>
      </c>
    </row>
    <row r="2330" spans="5:7" ht="15" customHeight="1">
      <c r="E2330" s="49" t="str">
        <f>IFERROR(VLOOKUP(D2330,'taxonomy map'!$A$1:$B$171,2,FALSE),"")</f>
        <v/>
      </c>
      <c r="F2330" s="49" t="str">
        <f>IFERROR(VLOOKUP(E2330,'Condensed Specialty Crosswalk'!$A$2:$C$182,2,FALSE),"")</f>
        <v/>
      </c>
      <c r="G2330" s="49" t="str">
        <f>IFERROR(VLOOKUP(E2330,'Condensed Specialty Crosswalk'!$A$2:$C$106,3,FALSE),"")</f>
        <v/>
      </c>
    </row>
    <row r="2331" spans="5:7" ht="15" customHeight="1">
      <c r="E2331" s="49" t="str">
        <f>IFERROR(VLOOKUP(D2331,'taxonomy map'!$A$1:$B$171,2,FALSE),"")</f>
        <v/>
      </c>
      <c r="F2331" s="49" t="str">
        <f>IFERROR(VLOOKUP(E2331,'Condensed Specialty Crosswalk'!$A$2:$C$182,2,FALSE),"")</f>
        <v/>
      </c>
      <c r="G2331" s="49" t="str">
        <f>IFERROR(VLOOKUP(E2331,'Condensed Specialty Crosswalk'!$A$2:$C$106,3,FALSE),"")</f>
        <v/>
      </c>
    </row>
    <row r="2332" spans="5:7" ht="15" customHeight="1">
      <c r="E2332" s="49" t="str">
        <f>IFERROR(VLOOKUP(D2332,'taxonomy map'!$A$1:$B$171,2,FALSE),"")</f>
        <v/>
      </c>
      <c r="F2332" s="49" t="str">
        <f>IFERROR(VLOOKUP(E2332,'Condensed Specialty Crosswalk'!$A$2:$C$182,2,FALSE),"")</f>
        <v/>
      </c>
      <c r="G2332" s="49" t="str">
        <f>IFERROR(VLOOKUP(E2332,'Condensed Specialty Crosswalk'!$A$2:$C$106,3,FALSE),"")</f>
        <v/>
      </c>
    </row>
    <row r="2333" spans="5:7" ht="15" customHeight="1">
      <c r="E2333" s="49" t="str">
        <f>IFERROR(VLOOKUP(D2333,'taxonomy map'!$A$1:$B$171,2,FALSE),"")</f>
        <v/>
      </c>
      <c r="F2333" s="49" t="str">
        <f>IFERROR(VLOOKUP(E2333,'Condensed Specialty Crosswalk'!$A$2:$C$182,2,FALSE),"")</f>
        <v/>
      </c>
      <c r="G2333" s="49" t="str">
        <f>IFERROR(VLOOKUP(E2333,'Condensed Specialty Crosswalk'!$A$2:$C$106,3,FALSE),"")</f>
        <v/>
      </c>
    </row>
    <row r="2334" spans="5:7" ht="15" customHeight="1">
      <c r="E2334" s="49" t="str">
        <f>IFERROR(VLOOKUP(D2334,'taxonomy map'!$A$1:$B$171,2,FALSE),"")</f>
        <v/>
      </c>
      <c r="F2334" s="49" t="str">
        <f>IFERROR(VLOOKUP(E2334,'Condensed Specialty Crosswalk'!$A$2:$C$182,2,FALSE),"")</f>
        <v/>
      </c>
      <c r="G2334" s="49" t="str">
        <f>IFERROR(VLOOKUP(E2334,'Condensed Specialty Crosswalk'!$A$2:$C$106,3,FALSE),"")</f>
        <v/>
      </c>
    </row>
    <row r="2335" spans="5:7" ht="15" customHeight="1">
      <c r="E2335" s="49" t="str">
        <f>IFERROR(VLOOKUP(D2335,'taxonomy map'!$A$1:$B$171,2,FALSE),"")</f>
        <v/>
      </c>
      <c r="F2335" s="49" t="str">
        <f>IFERROR(VLOOKUP(E2335,'Condensed Specialty Crosswalk'!$A$2:$C$182,2,FALSE),"")</f>
        <v/>
      </c>
      <c r="G2335" s="49" t="str">
        <f>IFERROR(VLOOKUP(E2335,'Condensed Specialty Crosswalk'!$A$2:$C$106,3,FALSE),"")</f>
        <v/>
      </c>
    </row>
    <row r="2336" spans="5:7" ht="15" customHeight="1">
      <c r="E2336" s="49" t="str">
        <f>IFERROR(VLOOKUP(D2336,'taxonomy map'!$A$1:$B$171,2,FALSE),"")</f>
        <v/>
      </c>
      <c r="F2336" s="49" t="str">
        <f>IFERROR(VLOOKUP(E2336,'Condensed Specialty Crosswalk'!$A$2:$C$182,2,FALSE),"")</f>
        <v/>
      </c>
      <c r="G2336" s="49" t="str">
        <f>IFERROR(VLOOKUP(E2336,'Condensed Specialty Crosswalk'!$A$2:$C$106,3,FALSE),"")</f>
        <v/>
      </c>
    </row>
    <row r="2337" spans="5:7" ht="15" customHeight="1">
      <c r="E2337" s="49" t="str">
        <f>IFERROR(VLOOKUP(D2337,'taxonomy map'!$A$1:$B$171,2,FALSE),"")</f>
        <v/>
      </c>
      <c r="F2337" s="49" t="str">
        <f>IFERROR(VLOOKUP(E2337,'Condensed Specialty Crosswalk'!$A$2:$C$182,2,FALSE),"")</f>
        <v/>
      </c>
      <c r="G2337" s="49" t="str">
        <f>IFERROR(VLOOKUP(E2337,'Condensed Specialty Crosswalk'!$A$2:$C$106,3,FALSE),"")</f>
        <v/>
      </c>
    </row>
    <row r="2338" spans="5:7" ht="15" customHeight="1">
      <c r="E2338" s="49" t="str">
        <f>IFERROR(VLOOKUP(D2338,'taxonomy map'!$A$1:$B$171,2,FALSE),"")</f>
        <v/>
      </c>
      <c r="F2338" s="49" t="str">
        <f>IFERROR(VLOOKUP(E2338,'Condensed Specialty Crosswalk'!$A$2:$C$182,2,FALSE),"")</f>
        <v/>
      </c>
      <c r="G2338" s="49" t="str">
        <f>IFERROR(VLOOKUP(E2338,'Condensed Specialty Crosswalk'!$A$2:$C$106,3,FALSE),"")</f>
        <v/>
      </c>
    </row>
    <row r="2339" spans="5:7" ht="15" customHeight="1">
      <c r="E2339" s="49" t="str">
        <f>IFERROR(VLOOKUP(D2339,'taxonomy map'!$A$1:$B$171,2,FALSE),"")</f>
        <v/>
      </c>
      <c r="F2339" s="49" t="str">
        <f>IFERROR(VLOOKUP(E2339,'Condensed Specialty Crosswalk'!$A$2:$C$182,2,FALSE),"")</f>
        <v/>
      </c>
      <c r="G2339" s="49" t="str">
        <f>IFERROR(VLOOKUP(E2339,'Condensed Specialty Crosswalk'!$A$2:$C$106,3,FALSE),"")</f>
        <v/>
      </c>
    </row>
    <row r="2340" spans="5:7" ht="15" customHeight="1">
      <c r="E2340" s="49" t="str">
        <f>IFERROR(VLOOKUP(D2340,'taxonomy map'!$A$1:$B$171,2,FALSE),"")</f>
        <v/>
      </c>
      <c r="F2340" s="49" t="str">
        <f>IFERROR(VLOOKUP(E2340,'Condensed Specialty Crosswalk'!$A$2:$C$182,2,FALSE),"")</f>
        <v/>
      </c>
      <c r="G2340" s="49" t="str">
        <f>IFERROR(VLOOKUP(E2340,'Condensed Specialty Crosswalk'!$A$2:$C$106,3,FALSE),"")</f>
        <v/>
      </c>
    </row>
    <row r="2341" spans="5:7" ht="15" customHeight="1">
      <c r="E2341" s="49" t="str">
        <f>IFERROR(VLOOKUP(D2341,'taxonomy map'!$A$1:$B$171,2,FALSE),"")</f>
        <v/>
      </c>
      <c r="F2341" s="49" t="str">
        <f>IFERROR(VLOOKUP(E2341,'Condensed Specialty Crosswalk'!$A$2:$C$182,2,FALSE),"")</f>
        <v/>
      </c>
      <c r="G2341" s="49" t="str">
        <f>IFERROR(VLOOKUP(E2341,'Condensed Specialty Crosswalk'!$A$2:$C$106,3,FALSE),"")</f>
        <v/>
      </c>
    </row>
    <row r="2342" spans="5:7" ht="15" customHeight="1">
      <c r="E2342" s="49" t="str">
        <f>IFERROR(VLOOKUP(D2342,'taxonomy map'!$A$1:$B$171,2,FALSE),"")</f>
        <v/>
      </c>
      <c r="F2342" s="49" t="str">
        <f>IFERROR(VLOOKUP(E2342,'Condensed Specialty Crosswalk'!$A$2:$C$182,2,FALSE),"")</f>
        <v/>
      </c>
      <c r="G2342" s="49" t="str">
        <f>IFERROR(VLOOKUP(E2342,'Condensed Specialty Crosswalk'!$A$2:$C$106,3,FALSE),"")</f>
        <v/>
      </c>
    </row>
    <row r="2343" spans="5:7" ht="15" customHeight="1">
      <c r="E2343" s="49" t="str">
        <f>IFERROR(VLOOKUP(D2343,'taxonomy map'!$A$1:$B$171,2,FALSE),"")</f>
        <v/>
      </c>
      <c r="F2343" s="49" t="str">
        <f>IFERROR(VLOOKUP(E2343,'Condensed Specialty Crosswalk'!$A$2:$C$182,2,FALSE),"")</f>
        <v/>
      </c>
      <c r="G2343" s="49" t="str">
        <f>IFERROR(VLOOKUP(E2343,'Condensed Specialty Crosswalk'!$A$2:$C$106,3,FALSE),"")</f>
        <v/>
      </c>
    </row>
    <row r="2344" spans="5:7" ht="15" customHeight="1">
      <c r="E2344" s="49" t="str">
        <f>IFERROR(VLOOKUP(D2344,'taxonomy map'!$A$1:$B$171,2,FALSE),"")</f>
        <v/>
      </c>
      <c r="F2344" s="49" t="str">
        <f>IFERROR(VLOOKUP(E2344,'Condensed Specialty Crosswalk'!$A$2:$C$182,2,FALSE),"")</f>
        <v/>
      </c>
      <c r="G2344" s="49" t="str">
        <f>IFERROR(VLOOKUP(E2344,'Condensed Specialty Crosswalk'!$A$2:$C$106,3,FALSE),"")</f>
        <v/>
      </c>
    </row>
    <row r="2345" spans="5:7" ht="15" customHeight="1">
      <c r="E2345" s="49" t="str">
        <f>IFERROR(VLOOKUP(D2345,'taxonomy map'!$A$1:$B$171,2,FALSE),"")</f>
        <v/>
      </c>
      <c r="F2345" s="49" t="str">
        <f>IFERROR(VLOOKUP(E2345,'Condensed Specialty Crosswalk'!$A$2:$C$182,2,FALSE),"")</f>
        <v/>
      </c>
      <c r="G2345" s="49" t="str">
        <f>IFERROR(VLOOKUP(E2345,'Condensed Specialty Crosswalk'!$A$2:$C$106,3,FALSE),"")</f>
        <v/>
      </c>
    </row>
    <row r="2346" spans="5:7" ht="15" customHeight="1">
      <c r="E2346" s="49" t="str">
        <f>IFERROR(VLOOKUP(D2346,'taxonomy map'!$A$1:$B$171,2,FALSE),"")</f>
        <v/>
      </c>
      <c r="F2346" s="49" t="str">
        <f>IFERROR(VLOOKUP(E2346,'Condensed Specialty Crosswalk'!$A$2:$C$182,2,FALSE),"")</f>
        <v/>
      </c>
      <c r="G2346" s="49" t="str">
        <f>IFERROR(VLOOKUP(E2346,'Condensed Specialty Crosswalk'!$A$2:$C$106,3,FALSE),"")</f>
        <v/>
      </c>
    </row>
    <row r="2347" spans="5:7" ht="15" customHeight="1">
      <c r="E2347" s="49" t="str">
        <f>IFERROR(VLOOKUP(D2347,'taxonomy map'!$A$1:$B$171,2,FALSE),"")</f>
        <v/>
      </c>
      <c r="F2347" s="49" t="str">
        <f>IFERROR(VLOOKUP(E2347,'Condensed Specialty Crosswalk'!$A$2:$C$182,2,FALSE),"")</f>
        <v/>
      </c>
      <c r="G2347" s="49" t="str">
        <f>IFERROR(VLOOKUP(E2347,'Condensed Specialty Crosswalk'!$A$2:$C$106,3,FALSE),"")</f>
        <v/>
      </c>
    </row>
    <row r="2348" spans="5:7" ht="15" customHeight="1">
      <c r="E2348" s="49" t="str">
        <f>IFERROR(VLOOKUP(D2348,'taxonomy map'!$A$1:$B$171,2,FALSE),"")</f>
        <v/>
      </c>
      <c r="F2348" s="49" t="str">
        <f>IFERROR(VLOOKUP(E2348,'Condensed Specialty Crosswalk'!$A$2:$C$182,2,FALSE),"")</f>
        <v/>
      </c>
      <c r="G2348" s="49" t="str">
        <f>IFERROR(VLOOKUP(E2348,'Condensed Specialty Crosswalk'!$A$2:$C$106,3,FALSE),"")</f>
        <v/>
      </c>
    </row>
    <row r="2349" spans="5:7" ht="15" customHeight="1">
      <c r="E2349" s="49" t="str">
        <f>IFERROR(VLOOKUP(D2349,'taxonomy map'!$A$1:$B$171,2,FALSE),"")</f>
        <v/>
      </c>
      <c r="F2349" s="49" t="str">
        <f>IFERROR(VLOOKUP(E2349,'Condensed Specialty Crosswalk'!$A$2:$C$182,2,FALSE),"")</f>
        <v/>
      </c>
      <c r="G2349" s="49" t="str">
        <f>IFERROR(VLOOKUP(E2349,'Condensed Specialty Crosswalk'!$A$2:$C$106,3,FALSE),"")</f>
        <v/>
      </c>
    </row>
    <row r="2350" spans="5:7" ht="15" customHeight="1">
      <c r="E2350" s="49" t="str">
        <f>IFERROR(VLOOKUP(D2350,'taxonomy map'!$A$1:$B$171,2,FALSE),"")</f>
        <v/>
      </c>
      <c r="F2350" s="49" t="str">
        <f>IFERROR(VLOOKUP(E2350,'Condensed Specialty Crosswalk'!$A$2:$C$182,2,FALSE),"")</f>
        <v/>
      </c>
      <c r="G2350" s="49" t="str">
        <f>IFERROR(VLOOKUP(E2350,'Condensed Specialty Crosswalk'!$A$2:$C$106,3,FALSE),"")</f>
        <v/>
      </c>
    </row>
    <row r="2351" spans="5:7" ht="15" customHeight="1">
      <c r="E2351" s="49" t="str">
        <f>IFERROR(VLOOKUP(D2351,'taxonomy map'!$A$1:$B$171,2,FALSE),"")</f>
        <v/>
      </c>
      <c r="F2351" s="49" t="str">
        <f>IFERROR(VLOOKUP(E2351,'Condensed Specialty Crosswalk'!$A$2:$C$182,2,FALSE),"")</f>
        <v/>
      </c>
      <c r="G2351" s="49" t="str">
        <f>IFERROR(VLOOKUP(E2351,'Condensed Specialty Crosswalk'!$A$2:$C$106,3,FALSE),"")</f>
        <v/>
      </c>
    </row>
    <row r="2352" spans="5:7" ht="15" customHeight="1">
      <c r="E2352" s="49" t="str">
        <f>IFERROR(VLOOKUP(D2352,'taxonomy map'!$A$1:$B$171,2,FALSE),"")</f>
        <v/>
      </c>
      <c r="F2352" s="49" t="str">
        <f>IFERROR(VLOOKUP(E2352,'Condensed Specialty Crosswalk'!$A$2:$C$182,2,FALSE),"")</f>
        <v/>
      </c>
      <c r="G2352" s="49" t="str">
        <f>IFERROR(VLOOKUP(E2352,'Condensed Specialty Crosswalk'!$A$2:$C$106,3,FALSE),"")</f>
        <v/>
      </c>
    </row>
    <row r="2353" spans="5:7" ht="15" customHeight="1">
      <c r="E2353" s="49" t="str">
        <f>IFERROR(VLOOKUP(D2353,'taxonomy map'!$A$1:$B$171,2,FALSE),"")</f>
        <v/>
      </c>
      <c r="F2353" s="49" t="str">
        <f>IFERROR(VLOOKUP(E2353,'Condensed Specialty Crosswalk'!$A$2:$C$182,2,FALSE),"")</f>
        <v/>
      </c>
      <c r="G2353" s="49" t="str">
        <f>IFERROR(VLOOKUP(E2353,'Condensed Specialty Crosswalk'!$A$2:$C$106,3,FALSE),"")</f>
        <v/>
      </c>
    </row>
    <row r="2354" spans="5:7" ht="15" customHeight="1">
      <c r="E2354" s="49" t="str">
        <f>IFERROR(VLOOKUP(D2354,'taxonomy map'!$A$1:$B$171,2,FALSE),"")</f>
        <v/>
      </c>
      <c r="F2354" s="49" t="str">
        <f>IFERROR(VLOOKUP(E2354,'Condensed Specialty Crosswalk'!$A$2:$C$182,2,FALSE),"")</f>
        <v/>
      </c>
      <c r="G2354" s="49" t="str">
        <f>IFERROR(VLOOKUP(E2354,'Condensed Specialty Crosswalk'!$A$2:$C$106,3,FALSE),"")</f>
        <v/>
      </c>
    </row>
    <row r="2355" spans="5:7" ht="15" customHeight="1">
      <c r="E2355" s="49" t="str">
        <f>IFERROR(VLOOKUP(D2355,'taxonomy map'!$A$1:$B$171,2,FALSE),"")</f>
        <v/>
      </c>
      <c r="F2355" s="49" t="str">
        <f>IFERROR(VLOOKUP(E2355,'Condensed Specialty Crosswalk'!$A$2:$C$182,2,FALSE),"")</f>
        <v/>
      </c>
      <c r="G2355" s="49" t="str">
        <f>IFERROR(VLOOKUP(E2355,'Condensed Specialty Crosswalk'!$A$2:$C$106,3,FALSE),"")</f>
        <v/>
      </c>
    </row>
    <row r="2356" spans="5:7" ht="15" customHeight="1">
      <c r="E2356" s="49" t="str">
        <f>IFERROR(VLOOKUP(D2356,'taxonomy map'!$A$1:$B$171,2,FALSE),"")</f>
        <v/>
      </c>
      <c r="F2356" s="49" t="str">
        <f>IFERROR(VLOOKUP(E2356,'Condensed Specialty Crosswalk'!$A$2:$C$182,2,FALSE),"")</f>
        <v/>
      </c>
      <c r="G2356" s="49" t="str">
        <f>IFERROR(VLOOKUP(E2356,'Condensed Specialty Crosswalk'!$A$2:$C$106,3,FALSE),"")</f>
        <v/>
      </c>
    </row>
    <row r="2357" spans="5:7" ht="15" customHeight="1">
      <c r="E2357" s="49" t="str">
        <f>IFERROR(VLOOKUP(D2357,'taxonomy map'!$A$1:$B$171,2,FALSE),"")</f>
        <v/>
      </c>
      <c r="F2357" s="49" t="str">
        <f>IFERROR(VLOOKUP(E2357,'Condensed Specialty Crosswalk'!$A$2:$C$182,2,FALSE),"")</f>
        <v/>
      </c>
      <c r="G2357" s="49" t="str">
        <f>IFERROR(VLOOKUP(E2357,'Condensed Specialty Crosswalk'!$A$2:$C$106,3,FALSE),"")</f>
        <v/>
      </c>
    </row>
    <row r="2358" spans="5:7" ht="15" customHeight="1">
      <c r="E2358" s="49" t="str">
        <f>IFERROR(VLOOKUP(D2358,'taxonomy map'!$A$1:$B$171,2,FALSE),"")</f>
        <v/>
      </c>
      <c r="F2358" s="49" t="str">
        <f>IFERROR(VLOOKUP(E2358,'Condensed Specialty Crosswalk'!$A$2:$C$182,2,FALSE),"")</f>
        <v/>
      </c>
      <c r="G2358" s="49" t="str">
        <f>IFERROR(VLOOKUP(E2358,'Condensed Specialty Crosswalk'!$A$2:$C$106,3,FALSE),"")</f>
        <v/>
      </c>
    </row>
    <row r="2359" spans="5:7" ht="15" customHeight="1">
      <c r="E2359" s="49" t="str">
        <f>IFERROR(VLOOKUP(D2359,'taxonomy map'!$A$1:$B$171,2,FALSE),"")</f>
        <v/>
      </c>
      <c r="F2359" s="49" t="str">
        <f>IFERROR(VLOOKUP(E2359,'Condensed Specialty Crosswalk'!$A$2:$C$182,2,FALSE),"")</f>
        <v/>
      </c>
      <c r="G2359" s="49" t="str">
        <f>IFERROR(VLOOKUP(E2359,'Condensed Specialty Crosswalk'!$A$2:$C$106,3,FALSE),"")</f>
        <v/>
      </c>
    </row>
    <row r="2360" spans="5:7" ht="15" customHeight="1">
      <c r="E2360" s="49" t="str">
        <f>IFERROR(VLOOKUP(D2360,'taxonomy map'!$A$1:$B$171,2,FALSE),"")</f>
        <v/>
      </c>
      <c r="F2360" s="49" t="str">
        <f>IFERROR(VLOOKUP(E2360,'Condensed Specialty Crosswalk'!$A$2:$C$182,2,FALSE),"")</f>
        <v/>
      </c>
      <c r="G2360" s="49" t="str">
        <f>IFERROR(VLOOKUP(E2360,'Condensed Specialty Crosswalk'!$A$2:$C$106,3,FALSE),"")</f>
        <v/>
      </c>
    </row>
    <row r="2361" spans="5:7" ht="15" customHeight="1">
      <c r="E2361" s="49" t="str">
        <f>IFERROR(VLOOKUP(D2361,'taxonomy map'!$A$1:$B$171,2,FALSE),"")</f>
        <v/>
      </c>
      <c r="F2361" s="49" t="str">
        <f>IFERROR(VLOOKUP(E2361,'Condensed Specialty Crosswalk'!$A$2:$C$182,2,FALSE),"")</f>
        <v/>
      </c>
      <c r="G2361" s="49" t="str">
        <f>IFERROR(VLOOKUP(E2361,'Condensed Specialty Crosswalk'!$A$2:$C$106,3,FALSE),"")</f>
        <v/>
      </c>
    </row>
    <row r="2362" spans="5:7" ht="15" customHeight="1">
      <c r="E2362" s="49" t="str">
        <f>IFERROR(VLOOKUP(D2362,'taxonomy map'!$A$1:$B$171,2,FALSE),"")</f>
        <v/>
      </c>
      <c r="F2362" s="49" t="str">
        <f>IFERROR(VLOOKUP(E2362,'Condensed Specialty Crosswalk'!$A$2:$C$182,2,FALSE),"")</f>
        <v/>
      </c>
      <c r="G2362" s="49" t="str">
        <f>IFERROR(VLOOKUP(E2362,'Condensed Specialty Crosswalk'!$A$2:$C$106,3,FALSE),"")</f>
        <v/>
      </c>
    </row>
    <row r="2363" spans="5:7" ht="15" customHeight="1">
      <c r="E2363" s="49" t="str">
        <f>IFERROR(VLOOKUP(D2363,'taxonomy map'!$A$1:$B$171,2,FALSE),"")</f>
        <v/>
      </c>
      <c r="F2363" s="49" t="str">
        <f>IFERROR(VLOOKUP(E2363,'Condensed Specialty Crosswalk'!$A$2:$C$182,2,FALSE),"")</f>
        <v/>
      </c>
      <c r="G2363" s="49" t="str">
        <f>IFERROR(VLOOKUP(E2363,'Condensed Specialty Crosswalk'!$A$2:$C$106,3,FALSE),"")</f>
        <v/>
      </c>
    </row>
    <row r="2364" spans="5:7" ht="15" customHeight="1">
      <c r="E2364" s="49" t="str">
        <f>IFERROR(VLOOKUP(D2364,'taxonomy map'!$A$1:$B$171,2,FALSE),"")</f>
        <v/>
      </c>
      <c r="F2364" s="49" t="str">
        <f>IFERROR(VLOOKUP(E2364,'Condensed Specialty Crosswalk'!$A$2:$C$182,2,FALSE),"")</f>
        <v/>
      </c>
      <c r="G2364" s="49" t="str">
        <f>IFERROR(VLOOKUP(E2364,'Condensed Specialty Crosswalk'!$A$2:$C$106,3,FALSE),"")</f>
        <v/>
      </c>
    </row>
    <row r="2365" spans="5:7" ht="15" customHeight="1">
      <c r="E2365" s="49" t="str">
        <f>IFERROR(VLOOKUP(D2365,'taxonomy map'!$A$1:$B$171,2,FALSE),"")</f>
        <v/>
      </c>
      <c r="F2365" s="49" t="str">
        <f>IFERROR(VLOOKUP(E2365,'Condensed Specialty Crosswalk'!$A$2:$C$182,2,FALSE),"")</f>
        <v/>
      </c>
      <c r="G2365" s="49" t="str">
        <f>IFERROR(VLOOKUP(E2365,'Condensed Specialty Crosswalk'!$A$2:$C$106,3,FALSE),"")</f>
        <v/>
      </c>
    </row>
    <row r="2366" spans="5:7" ht="15" customHeight="1">
      <c r="E2366" s="49" t="str">
        <f>IFERROR(VLOOKUP(D2366,'taxonomy map'!$A$1:$B$171,2,FALSE),"")</f>
        <v/>
      </c>
      <c r="F2366" s="49" t="str">
        <f>IFERROR(VLOOKUP(E2366,'Condensed Specialty Crosswalk'!$A$2:$C$182,2,FALSE),"")</f>
        <v/>
      </c>
      <c r="G2366" s="49" t="str">
        <f>IFERROR(VLOOKUP(E2366,'Condensed Specialty Crosswalk'!$A$2:$C$106,3,FALSE),"")</f>
        <v/>
      </c>
    </row>
    <row r="2367" spans="5:7" ht="15" customHeight="1">
      <c r="E2367" s="49" t="str">
        <f>IFERROR(VLOOKUP(D2367,'taxonomy map'!$A$1:$B$171,2,FALSE),"")</f>
        <v/>
      </c>
      <c r="F2367" s="49" t="str">
        <f>IFERROR(VLOOKUP(E2367,'Condensed Specialty Crosswalk'!$A$2:$C$182,2,FALSE),"")</f>
        <v/>
      </c>
      <c r="G2367" s="49" t="str">
        <f>IFERROR(VLOOKUP(E2367,'Condensed Specialty Crosswalk'!$A$2:$C$106,3,FALSE),"")</f>
        <v/>
      </c>
    </row>
    <row r="2368" spans="5:7" ht="15" customHeight="1">
      <c r="E2368" s="49" t="str">
        <f>IFERROR(VLOOKUP(D2368,'taxonomy map'!$A$1:$B$171,2,FALSE),"")</f>
        <v/>
      </c>
      <c r="F2368" s="49" t="str">
        <f>IFERROR(VLOOKUP(E2368,'Condensed Specialty Crosswalk'!$A$2:$C$182,2,FALSE),"")</f>
        <v/>
      </c>
      <c r="G2368" s="49" t="str">
        <f>IFERROR(VLOOKUP(E2368,'Condensed Specialty Crosswalk'!$A$2:$C$106,3,FALSE),"")</f>
        <v/>
      </c>
    </row>
    <row r="2369" spans="5:7" ht="15" customHeight="1">
      <c r="E2369" s="49" t="str">
        <f>IFERROR(VLOOKUP(D2369,'taxonomy map'!$A$1:$B$171,2,FALSE),"")</f>
        <v/>
      </c>
      <c r="F2369" s="49" t="str">
        <f>IFERROR(VLOOKUP(E2369,'Condensed Specialty Crosswalk'!$A$2:$C$182,2,FALSE),"")</f>
        <v/>
      </c>
      <c r="G2369" s="49" t="str">
        <f>IFERROR(VLOOKUP(E2369,'Condensed Specialty Crosswalk'!$A$2:$C$106,3,FALSE),"")</f>
        <v/>
      </c>
    </row>
    <row r="2370" spans="5:7" ht="15" customHeight="1">
      <c r="E2370" s="49" t="str">
        <f>IFERROR(VLOOKUP(D2370,'taxonomy map'!$A$1:$B$171,2,FALSE),"")</f>
        <v/>
      </c>
      <c r="F2370" s="49" t="str">
        <f>IFERROR(VLOOKUP(E2370,'Condensed Specialty Crosswalk'!$A$2:$C$182,2,FALSE),"")</f>
        <v/>
      </c>
      <c r="G2370" s="49" t="str">
        <f>IFERROR(VLOOKUP(E2370,'Condensed Specialty Crosswalk'!$A$2:$C$106,3,FALSE),"")</f>
        <v/>
      </c>
    </row>
    <row r="2371" spans="5:7" ht="15" customHeight="1">
      <c r="E2371" s="49" t="str">
        <f>IFERROR(VLOOKUP(D2371,'taxonomy map'!$A$1:$B$171,2,FALSE),"")</f>
        <v/>
      </c>
      <c r="F2371" s="49" t="str">
        <f>IFERROR(VLOOKUP(E2371,'Condensed Specialty Crosswalk'!$A$2:$C$106,2,FALSE),"")</f>
        <v/>
      </c>
      <c r="G2371" s="49" t="str">
        <f>IFERROR(VLOOKUP(E2371,'Condensed Specialty Crosswalk'!$A$2:$C$106,3,FALSE),"")</f>
        <v/>
      </c>
    </row>
    <row r="2372" spans="5:7" ht="15" customHeight="1">
      <c r="E2372" s="49" t="str">
        <f>IFERROR(VLOOKUP(D2372,'taxonomy map'!$A$1:$B$171,2,FALSE),"")</f>
        <v/>
      </c>
      <c r="F2372" s="49" t="str">
        <f>IFERROR(VLOOKUP(E2372,'Condensed Specialty Crosswalk'!$A$2:$C$106,2,FALSE),"")</f>
        <v/>
      </c>
      <c r="G2372" s="49" t="str">
        <f>IFERROR(VLOOKUP(E2372,'Condensed Specialty Crosswalk'!$A$2:$C$106,3,FALSE),"")</f>
        <v/>
      </c>
    </row>
    <row r="2373" spans="5:7" ht="15" customHeight="1">
      <c r="E2373" s="49" t="str">
        <f>IFERROR(VLOOKUP(D2373,'taxonomy map'!$A$1:$B$171,2,FALSE),"")</f>
        <v/>
      </c>
      <c r="F2373" s="49" t="str">
        <f>IFERROR(VLOOKUP(E2373,'Condensed Specialty Crosswalk'!$A$2:$C$106,2,FALSE),"")</f>
        <v/>
      </c>
      <c r="G2373" s="49" t="str">
        <f>IFERROR(VLOOKUP(E2373,'Condensed Specialty Crosswalk'!$A$2:$C$106,3,FALSE),"")</f>
        <v/>
      </c>
    </row>
    <row r="2374" spans="5:7" ht="15" customHeight="1">
      <c r="E2374" s="49" t="str">
        <f>IFERROR(VLOOKUP(D2374,'taxonomy map'!$A$1:$B$171,2,FALSE),"")</f>
        <v/>
      </c>
      <c r="F2374" s="49" t="str">
        <f>IFERROR(VLOOKUP(E2374,'Condensed Specialty Crosswalk'!$A$2:$C$106,2,FALSE),"")</f>
        <v/>
      </c>
      <c r="G2374" s="49" t="str">
        <f>IFERROR(VLOOKUP(E2374,'Condensed Specialty Crosswalk'!$A$2:$C$106,3,FALSE),"")</f>
        <v/>
      </c>
    </row>
    <row r="2375" spans="5:7" ht="15" customHeight="1">
      <c r="E2375" s="49" t="str">
        <f>IFERROR(VLOOKUP(D2375,'taxonomy map'!$A$1:$B$171,2,FALSE),"")</f>
        <v/>
      </c>
      <c r="F2375" s="49" t="str">
        <f>IFERROR(VLOOKUP(E2375,'Condensed Specialty Crosswalk'!$A$2:$C$106,2,FALSE),"")</f>
        <v/>
      </c>
      <c r="G2375" s="49" t="str">
        <f>IFERROR(VLOOKUP(E2375,'Condensed Specialty Crosswalk'!$A$2:$C$106,3,FALSE),"")</f>
        <v/>
      </c>
    </row>
    <row r="2376" spans="5:7" ht="15" customHeight="1">
      <c r="E2376" s="49" t="str">
        <f>IFERROR(VLOOKUP(D2376,'taxonomy map'!$A$1:$B$171,2,FALSE),"")</f>
        <v/>
      </c>
      <c r="F2376" s="49" t="str">
        <f>IFERROR(VLOOKUP(E2376,'Condensed Specialty Crosswalk'!$A$2:$C$106,2,FALSE),"")</f>
        <v/>
      </c>
      <c r="G2376" s="49" t="str">
        <f>IFERROR(VLOOKUP(E2376,'Condensed Specialty Crosswalk'!$A$2:$C$106,3,FALSE),"")</f>
        <v/>
      </c>
    </row>
    <row r="2377" spans="5:7" ht="15" customHeight="1">
      <c r="E2377" s="49" t="str">
        <f>IFERROR(VLOOKUP(D2377,'taxonomy map'!$A$1:$B$171,2,FALSE),"")</f>
        <v/>
      </c>
      <c r="F2377" s="49" t="str">
        <f>IFERROR(VLOOKUP(E2377,'Condensed Specialty Crosswalk'!$A$2:$C$106,2,FALSE),"")</f>
        <v/>
      </c>
      <c r="G2377" s="49" t="str">
        <f>IFERROR(VLOOKUP(E2377,'Condensed Specialty Crosswalk'!$A$2:$C$106,3,FALSE),"")</f>
        <v/>
      </c>
    </row>
    <row r="2378" spans="5:7" ht="15" customHeight="1">
      <c r="E2378" s="49" t="str">
        <f>IFERROR(VLOOKUP(D2378,'taxonomy map'!$A$1:$B$171,2,FALSE),"")</f>
        <v/>
      </c>
      <c r="F2378" s="49" t="str">
        <f>IFERROR(VLOOKUP(E2378,'Condensed Specialty Crosswalk'!$A$2:$C$106,2,FALSE),"")</f>
        <v/>
      </c>
      <c r="G2378" s="49" t="str">
        <f>IFERROR(VLOOKUP(E2378,'Condensed Specialty Crosswalk'!$A$2:$C$106,3,FALSE),"")</f>
        <v/>
      </c>
    </row>
    <row r="2379" spans="5:7" ht="15" customHeight="1">
      <c r="E2379" s="49" t="str">
        <f>IFERROR(VLOOKUP(D2379,'taxonomy map'!$A$1:$B$171,2,FALSE),"")</f>
        <v/>
      </c>
      <c r="F2379" s="49" t="str">
        <f>IFERROR(VLOOKUP(E2379,'Condensed Specialty Crosswalk'!$A$2:$C$106,2,FALSE),"")</f>
        <v/>
      </c>
      <c r="G2379" s="49" t="str">
        <f>IFERROR(VLOOKUP(E2379,'Condensed Specialty Crosswalk'!$A$2:$C$106,3,FALSE),"")</f>
        <v/>
      </c>
    </row>
    <row r="2380" spans="5:7" ht="15" customHeight="1">
      <c r="E2380" s="49" t="str">
        <f>IFERROR(VLOOKUP(D2380,'taxonomy map'!$A$1:$B$171,2,FALSE),"")</f>
        <v/>
      </c>
      <c r="F2380" s="49" t="str">
        <f>IFERROR(VLOOKUP(E2380,'Condensed Specialty Crosswalk'!$A$2:$C$106,2,FALSE),"")</f>
        <v/>
      </c>
      <c r="G2380" s="49" t="str">
        <f>IFERROR(VLOOKUP(E2380,'Condensed Specialty Crosswalk'!$A$2:$C$106,3,FALSE),"")</f>
        <v/>
      </c>
    </row>
    <row r="2381" spans="5:7" ht="15" customHeight="1">
      <c r="E2381" s="49" t="str">
        <f>IFERROR(VLOOKUP(D2381,'taxonomy map'!$A$1:$B$171,2,FALSE),"")</f>
        <v/>
      </c>
      <c r="F2381" s="49" t="str">
        <f>IFERROR(VLOOKUP(E2381,'Condensed Specialty Crosswalk'!$A$2:$C$106,2,FALSE),"")</f>
        <v/>
      </c>
      <c r="G2381" s="49" t="str">
        <f>IFERROR(VLOOKUP(E2381,'Condensed Specialty Crosswalk'!$A$2:$C$106,3,FALSE),"")</f>
        <v/>
      </c>
    </row>
    <row r="2382" spans="5:7" ht="15" customHeight="1">
      <c r="E2382" s="49" t="str">
        <f>IFERROR(VLOOKUP(D2382,'taxonomy map'!$A$1:$B$171,2,FALSE),"")</f>
        <v/>
      </c>
      <c r="F2382" s="49" t="str">
        <f>IFERROR(VLOOKUP(E2382,'Condensed Specialty Crosswalk'!$A$2:$C$106,2,FALSE),"")</f>
        <v/>
      </c>
      <c r="G2382" s="49" t="str">
        <f>IFERROR(VLOOKUP(E2382,'Condensed Specialty Crosswalk'!$A$2:$C$106,3,FALSE),"")</f>
        <v/>
      </c>
    </row>
    <row r="2383" spans="5:7" ht="15" customHeight="1">
      <c r="E2383" s="49" t="str">
        <f>IFERROR(VLOOKUP(D2383,'taxonomy map'!$A$1:$B$171,2,FALSE),"")</f>
        <v/>
      </c>
      <c r="F2383" s="49" t="str">
        <f>IFERROR(VLOOKUP(E2383,'Condensed Specialty Crosswalk'!$A$2:$C$106,2,FALSE),"")</f>
        <v/>
      </c>
      <c r="G2383" s="49" t="str">
        <f>IFERROR(VLOOKUP(E2383,'Condensed Specialty Crosswalk'!$A$2:$C$106,3,FALSE),"")</f>
        <v/>
      </c>
    </row>
    <row r="2384" spans="5:7" ht="15" customHeight="1">
      <c r="E2384" s="49" t="str">
        <f>IFERROR(VLOOKUP(D2384,'taxonomy map'!$A$1:$B$171,2,FALSE),"")</f>
        <v/>
      </c>
      <c r="F2384" s="49" t="str">
        <f>IFERROR(VLOOKUP(E2384,'Condensed Specialty Crosswalk'!$A$2:$C$106,2,FALSE),"")</f>
        <v/>
      </c>
      <c r="G2384" s="49" t="str">
        <f>IFERROR(VLOOKUP(E2384,'Condensed Specialty Crosswalk'!$A$2:$C$106,3,FALSE),"")</f>
        <v/>
      </c>
    </row>
    <row r="2385" spans="5:7" ht="15" customHeight="1">
      <c r="E2385" s="49" t="str">
        <f>IFERROR(VLOOKUP(D2385,'taxonomy map'!$A$1:$B$171,2,FALSE),"")</f>
        <v/>
      </c>
      <c r="F2385" s="49" t="str">
        <f>IFERROR(VLOOKUP(E2385,'Condensed Specialty Crosswalk'!$A$2:$C$106,2,FALSE),"")</f>
        <v/>
      </c>
      <c r="G2385" s="49" t="str">
        <f>IFERROR(VLOOKUP(E2385,'Condensed Specialty Crosswalk'!$A$2:$C$106,3,FALSE),"")</f>
        <v/>
      </c>
    </row>
    <row r="2386" spans="5:7" ht="15" customHeight="1">
      <c r="E2386" s="49" t="str">
        <f>IFERROR(VLOOKUP(D2386,'taxonomy map'!$A$1:$B$171,2,FALSE),"")</f>
        <v/>
      </c>
      <c r="F2386" s="49" t="str">
        <f>IFERROR(VLOOKUP(E2386,'Condensed Specialty Crosswalk'!$A$2:$C$106,2,FALSE),"")</f>
        <v/>
      </c>
      <c r="G2386" s="49" t="str">
        <f>IFERROR(VLOOKUP(E2386,'Condensed Specialty Crosswalk'!$A$2:$C$106,3,FALSE),"")</f>
        <v/>
      </c>
    </row>
    <row r="2387" spans="5:7" ht="15" customHeight="1">
      <c r="E2387" s="49" t="str">
        <f>IFERROR(VLOOKUP(D2387,'taxonomy map'!$A$1:$B$171,2,FALSE),"")</f>
        <v/>
      </c>
      <c r="F2387" s="49" t="str">
        <f>IFERROR(VLOOKUP(E2387,'Condensed Specialty Crosswalk'!$A$2:$C$106,2,FALSE),"")</f>
        <v/>
      </c>
      <c r="G2387" s="49" t="str">
        <f>IFERROR(VLOOKUP(E2387,'Condensed Specialty Crosswalk'!$A$2:$C$106,3,FALSE),"")</f>
        <v/>
      </c>
    </row>
    <row r="2388" spans="5:7" ht="15" customHeight="1">
      <c r="E2388" s="49" t="str">
        <f>IFERROR(VLOOKUP(D2388,'taxonomy map'!$A$1:$B$171,2,FALSE),"")</f>
        <v/>
      </c>
      <c r="F2388" s="49" t="str">
        <f>IFERROR(VLOOKUP(E2388,'Condensed Specialty Crosswalk'!$A$2:$C$106,2,FALSE),"")</f>
        <v/>
      </c>
      <c r="G2388" s="49" t="str">
        <f>IFERROR(VLOOKUP(E2388,'Condensed Specialty Crosswalk'!$A$2:$C$106,3,FALSE),"")</f>
        <v/>
      </c>
    </row>
    <row r="2389" spans="5:7" ht="15" customHeight="1">
      <c r="E2389" s="49" t="str">
        <f>IFERROR(VLOOKUP(D2389,'taxonomy map'!$A$1:$B$171,2,FALSE),"")</f>
        <v/>
      </c>
      <c r="F2389" s="49" t="str">
        <f>IFERROR(VLOOKUP(E2389,'Condensed Specialty Crosswalk'!$A$2:$C$106,2,FALSE),"")</f>
        <v/>
      </c>
      <c r="G2389" s="49" t="str">
        <f>IFERROR(VLOOKUP(E2389,'Condensed Specialty Crosswalk'!$A$2:$C$106,3,FALSE),"")</f>
        <v/>
      </c>
    </row>
    <row r="2390" spans="5:7" ht="15" customHeight="1">
      <c r="E2390" s="49" t="str">
        <f>IFERROR(VLOOKUP(D2390,'taxonomy map'!$A$1:$B$171,2,FALSE),"")</f>
        <v/>
      </c>
      <c r="F2390" s="49" t="str">
        <f>IFERROR(VLOOKUP(E2390,'Condensed Specialty Crosswalk'!$A$2:$C$106,2,FALSE),"")</f>
        <v/>
      </c>
      <c r="G2390" s="49" t="str">
        <f>IFERROR(VLOOKUP(E2390,'Condensed Specialty Crosswalk'!$A$2:$C$106,3,FALSE),"")</f>
        <v/>
      </c>
    </row>
    <row r="2391" spans="5:7" ht="15" customHeight="1">
      <c r="E2391" s="49" t="str">
        <f>IFERROR(VLOOKUP(D2391,'taxonomy map'!$A$1:$B$171,2,FALSE),"")</f>
        <v/>
      </c>
      <c r="F2391" s="49" t="str">
        <f>IFERROR(VLOOKUP(E2391,'Condensed Specialty Crosswalk'!$A$2:$C$106,2,FALSE),"")</f>
        <v/>
      </c>
      <c r="G2391" s="49" t="str">
        <f>IFERROR(VLOOKUP(E2391,'Condensed Specialty Crosswalk'!$A$2:$C$106,3,FALSE),"")</f>
        <v/>
      </c>
    </row>
    <row r="2392" spans="5:7" ht="15" customHeight="1">
      <c r="E2392" s="49" t="str">
        <f>IFERROR(VLOOKUP(D2392,'taxonomy map'!$A$1:$B$171,2,FALSE),"")</f>
        <v/>
      </c>
      <c r="F2392" s="49" t="str">
        <f>IFERROR(VLOOKUP(E2392,'Condensed Specialty Crosswalk'!$A$2:$C$106,2,FALSE),"")</f>
        <v/>
      </c>
      <c r="G2392" s="49" t="str">
        <f>IFERROR(VLOOKUP(E2392,'Condensed Specialty Crosswalk'!$A$2:$C$106,3,FALSE),"")</f>
        <v/>
      </c>
    </row>
    <row r="2393" spans="5:7" ht="15" customHeight="1">
      <c r="E2393" s="49" t="str">
        <f>IFERROR(VLOOKUP(D2393,'taxonomy map'!$A$1:$B$171,2,FALSE),"")</f>
        <v/>
      </c>
      <c r="F2393" s="49" t="str">
        <f>IFERROR(VLOOKUP(E2393,'Condensed Specialty Crosswalk'!$A$2:$C$106,2,FALSE),"")</f>
        <v/>
      </c>
      <c r="G2393" s="49" t="str">
        <f>IFERROR(VLOOKUP(E2393,'Condensed Specialty Crosswalk'!$A$2:$C$106,3,FALSE),"")</f>
        <v/>
      </c>
    </row>
    <row r="2394" spans="5:7" ht="15" customHeight="1">
      <c r="E2394" s="49" t="str">
        <f>IFERROR(VLOOKUP(D2394,'taxonomy map'!$A$1:$B$171,2,FALSE),"")</f>
        <v/>
      </c>
      <c r="F2394" s="49" t="str">
        <f>IFERROR(VLOOKUP(E2394,'Condensed Specialty Crosswalk'!$A$2:$C$106,2,FALSE),"")</f>
        <v/>
      </c>
      <c r="G2394" s="49" t="str">
        <f>IFERROR(VLOOKUP(E2394,'Condensed Specialty Crosswalk'!$A$2:$C$106,3,FALSE),"")</f>
        <v/>
      </c>
    </row>
    <row r="2395" spans="5:7" ht="15" customHeight="1">
      <c r="E2395" s="49" t="str">
        <f>IFERROR(VLOOKUP(D2395,'taxonomy map'!$A$1:$B$171,2,FALSE),"")</f>
        <v/>
      </c>
      <c r="F2395" s="49" t="str">
        <f>IFERROR(VLOOKUP(E2395,'Condensed Specialty Crosswalk'!$A$2:$C$106,2,FALSE),"")</f>
        <v/>
      </c>
      <c r="G2395" s="49" t="str">
        <f>IFERROR(VLOOKUP(E2395,'Condensed Specialty Crosswalk'!$A$2:$C$106,3,FALSE),"")</f>
        <v/>
      </c>
    </row>
    <row r="2396" spans="5:7" ht="15" customHeight="1">
      <c r="E2396" s="49" t="str">
        <f>IFERROR(VLOOKUP(D2396,'taxonomy map'!$A$1:$B$171,2,FALSE),"")</f>
        <v/>
      </c>
      <c r="F2396" s="49" t="str">
        <f>IFERROR(VLOOKUP(E2396,'Condensed Specialty Crosswalk'!$A$2:$C$106,2,FALSE),"")</f>
        <v/>
      </c>
      <c r="G2396" s="49" t="str">
        <f>IFERROR(VLOOKUP(E2396,'Condensed Specialty Crosswalk'!$A$2:$C$106,3,FALSE),"")</f>
        <v/>
      </c>
    </row>
    <row r="2397" spans="5:7" ht="15" customHeight="1">
      <c r="E2397" s="49" t="str">
        <f>IFERROR(VLOOKUP(D2397,'taxonomy map'!$A$1:$B$171,2,FALSE),"")</f>
        <v/>
      </c>
      <c r="F2397" s="49" t="str">
        <f>IFERROR(VLOOKUP(E2397,'Condensed Specialty Crosswalk'!$A$2:$C$106,2,FALSE),"")</f>
        <v/>
      </c>
      <c r="G2397" s="49" t="str">
        <f>IFERROR(VLOOKUP(E2397,'Condensed Specialty Crosswalk'!$A$2:$C$106,3,FALSE),"")</f>
        <v/>
      </c>
    </row>
    <row r="2398" spans="5:7" ht="15" customHeight="1">
      <c r="E2398" s="49" t="str">
        <f>IFERROR(VLOOKUP(D2398,'taxonomy map'!$A$1:$B$171,2,FALSE),"")</f>
        <v/>
      </c>
      <c r="F2398" s="49" t="str">
        <f>IFERROR(VLOOKUP(E2398,'Condensed Specialty Crosswalk'!$A$2:$C$106,2,FALSE),"")</f>
        <v/>
      </c>
      <c r="G2398" s="49" t="str">
        <f>IFERROR(VLOOKUP(E2398,'Condensed Specialty Crosswalk'!$A$2:$C$106,3,FALSE),"")</f>
        <v/>
      </c>
    </row>
    <row r="2399" spans="5:7" ht="15" customHeight="1">
      <c r="E2399" s="49" t="str">
        <f>IFERROR(VLOOKUP(D2399,'taxonomy map'!$A$1:$B$171,2,FALSE),"")</f>
        <v/>
      </c>
      <c r="F2399" s="49" t="str">
        <f>IFERROR(VLOOKUP(E2399,'Condensed Specialty Crosswalk'!$A$2:$C$106,2,FALSE),"")</f>
        <v/>
      </c>
      <c r="G2399" s="49" t="str">
        <f>IFERROR(VLOOKUP(E2399,'Condensed Specialty Crosswalk'!$A$2:$C$106,3,FALSE),"")</f>
        <v/>
      </c>
    </row>
    <row r="2400" spans="5:7" ht="15" customHeight="1">
      <c r="E2400" s="49" t="str">
        <f>IFERROR(VLOOKUP(D2400,'taxonomy map'!$A$1:$B$171,2,FALSE),"")</f>
        <v/>
      </c>
      <c r="F2400" s="49" t="str">
        <f>IFERROR(VLOOKUP(E2400,'Condensed Specialty Crosswalk'!$A$2:$C$106,2,FALSE),"")</f>
        <v/>
      </c>
      <c r="G2400" s="49" t="str">
        <f>IFERROR(VLOOKUP(E2400,'Condensed Specialty Crosswalk'!$A$2:$C$106,3,FALSE),"")</f>
        <v/>
      </c>
    </row>
    <row r="2401" spans="5:7" ht="15" customHeight="1">
      <c r="E2401" s="49" t="str">
        <f>IFERROR(VLOOKUP(D2401,'taxonomy map'!$A$1:$B$171,2,FALSE),"")</f>
        <v/>
      </c>
      <c r="F2401" s="49" t="str">
        <f>IFERROR(VLOOKUP(E2401,'Condensed Specialty Crosswalk'!$A$2:$C$106,2,FALSE),"")</f>
        <v/>
      </c>
      <c r="G2401" s="49" t="str">
        <f>IFERROR(VLOOKUP(E2401,'Condensed Specialty Crosswalk'!$A$2:$C$106,3,FALSE),"")</f>
        <v/>
      </c>
    </row>
    <row r="2402" spans="5:7" ht="15" customHeight="1">
      <c r="E2402" s="49" t="str">
        <f>IFERROR(VLOOKUP(D2402,'taxonomy map'!$A$1:$B$171,2,FALSE),"")</f>
        <v/>
      </c>
      <c r="F2402" s="49" t="str">
        <f>IFERROR(VLOOKUP(E2402,'Condensed Specialty Crosswalk'!$A$2:$C$106,2,FALSE),"")</f>
        <v/>
      </c>
      <c r="G2402" s="49" t="str">
        <f>IFERROR(VLOOKUP(E2402,'Condensed Specialty Crosswalk'!$A$2:$C$106,3,FALSE),"")</f>
        <v/>
      </c>
    </row>
    <row r="2403" spans="5:7" ht="15" customHeight="1">
      <c r="E2403" s="49" t="str">
        <f>IFERROR(VLOOKUP(D2403,'taxonomy map'!$A$1:$B$171,2,FALSE),"")</f>
        <v/>
      </c>
      <c r="F2403" s="49" t="str">
        <f>IFERROR(VLOOKUP(E2403,'Condensed Specialty Crosswalk'!$A$2:$C$106,2,FALSE),"")</f>
        <v/>
      </c>
      <c r="G2403" s="49" t="str">
        <f>IFERROR(VLOOKUP(E2403,'Condensed Specialty Crosswalk'!$A$2:$C$106,3,FALSE),"")</f>
        <v/>
      </c>
    </row>
    <row r="2404" spans="5:7" ht="15" customHeight="1">
      <c r="E2404" s="49" t="str">
        <f>IFERROR(VLOOKUP(D2404,'taxonomy map'!$A$1:$B$171,2,FALSE),"")</f>
        <v/>
      </c>
      <c r="F2404" s="49" t="str">
        <f>IFERROR(VLOOKUP(E2404,'Condensed Specialty Crosswalk'!$A$2:$C$106,2,FALSE),"")</f>
        <v/>
      </c>
      <c r="G2404" s="49" t="str">
        <f>IFERROR(VLOOKUP(E2404,'Condensed Specialty Crosswalk'!$A$2:$C$106,3,FALSE),"")</f>
        <v/>
      </c>
    </row>
    <row r="2405" spans="5:7" ht="15" customHeight="1">
      <c r="E2405" s="49" t="str">
        <f>IFERROR(VLOOKUP(D2405,'taxonomy map'!$A$1:$B$171,2,FALSE),"")</f>
        <v/>
      </c>
      <c r="F2405" s="49" t="str">
        <f>IFERROR(VLOOKUP(E2405,'Condensed Specialty Crosswalk'!$A$2:$C$106,2,FALSE),"")</f>
        <v/>
      </c>
      <c r="G2405" s="49" t="str">
        <f>IFERROR(VLOOKUP(E2405,'Condensed Specialty Crosswalk'!$A$2:$C$106,3,FALSE),"")</f>
        <v/>
      </c>
    </row>
    <row r="2406" spans="5:7" ht="15" customHeight="1">
      <c r="E2406" s="49" t="str">
        <f>IFERROR(VLOOKUP(D2406,'taxonomy map'!$A$1:$B$171,2,FALSE),"")</f>
        <v/>
      </c>
      <c r="F2406" s="49" t="str">
        <f>IFERROR(VLOOKUP(E2406,'Condensed Specialty Crosswalk'!$A$2:$C$106,2,FALSE),"")</f>
        <v/>
      </c>
      <c r="G2406" s="49" t="str">
        <f>IFERROR(VLOOKUP(E2406,'Condensed Specialty Crosswalk'!$A$2:$C$106,3,FALSE),"")</f>
        <v/>
      </c>
    </row>
    <row r="2407" spans="5:7" ht="15" customHeight="1">
      <c r="E2407" s="49" t="str">
        <f>IFERROR(VLOOKUP(D2407,'taxonomy map'!$A$1:$B$171,2,FALSE),"")</f>
        <v/>
      </c>
      <c r="F2407" s="49" t="str">
        <f>IFERROR(VLOOKUP(E2407,'Condensed Specialty Crosswalk'!$A$2:$C$106,2,FALSE),"")</f>
        <v/>
      </c>
      <c r="G2407" s="49" t="str">
        <f>IFERROR(VLOOKUP(E2407,'Condensed Specialty Crosswalk'!$A$2:$C$106,3,FALSE),"")</f>
        <v/>
      </c>
    </row>
    <row r="2408" spans="5:7" ht="15" customHeight="1">
      <c r="E2408" s="49" t="str">
        <f>IFERROR(VLOOKUP(D2408,'taxonomy map'!$A$1:$B$171,2,FALSE),"")</f>
        <v/>
      </c>
      <c r="F2408" s="49" t="str">
        <f>IFERROR(VLOOKUP(E2408,'Condensed Specialty Crosswalk'!$A$2:$C$106,2,FALSE),"")</f>
        <v/>
      </c>
      <c r="G2408" s="49" t="str">
        <f>IFERROR(VLOOKUP(E2408,'Condensed Specialty Crosswalk'!$A$2:$C$106,3,FALSE),"")</f>
        <v/>
      </c>
    </row>
    <row r="2409" spans="5:7" ht="15" customHeight="1">
      <c r="E2409" s="49" t="str">
        <f>IFERROR(VLOOKUP(D2409,'taxonomy map'!$A$1:$B$171,2,FALSE),"")</f>
        <v/>
      </c>
      <c r="F2409" s="49" t="str">
        <f>IFERROR(VLOOKUP(E2409,'Condensed Specialty Crosswalk'!$A$2:$C$106,2,FALSE),"")</f>
        <v/>
      </c>
      <c r="G2409" s="49" t="str">
        <f>IFERROR(VLOOKUP(E2409,'Condensed Specialty Crosswalk'!$A$2:$C$106,3,FALSE),"")</f>
        <v/>
      </c>
    </row>
    <row r="2410" spans="5:7" ht="15" customHeight="1">
      <c r="E2410" s="49" t="str">
        <f>IFERROR(VLOOKUP(D2410,'taxonomy map'!$A$1:$B$171,2,FALSE),"")</f>
        <v/>
      </c>
      <c r="F2410" s="49" t="str">
        <f>IFERROR(VLOOKUP(E2410,'Condensed Specialty Crosswalk'!$A$2:$C$106,2,FALSE),"")</f>
        <v/>
      </c>
      <c r="G2410" s="49" t="str">
        <f>IFERROR(VLOOKUP(E2410,'Condensed Specialty Crosswalk'!$A$2:$C$106,3,FALSE),"")</f>
        <v/>
      </c>
    </row>
    <row r="2411" spans="5:7" ht="15" customHeight="1">
      <c r="E2411" s="49" t="str">
        <f>IFERROR(VLOOKUP(D2411,'taxonomy map'!$A$1:$B$171,2,FALSE),"")</f>
        <v/>
      </c>
      <c r="F2411" s="49" t="str">
        <f>IFERROR(VLOOKUP(E2411,'Condensed Specialty Crosswalk'!$A$2:$C$106,2,FALSE),"")</f>
        <v/>
      </c>
      <c r="G2411" s="49" t="str">
        <f>IFERROR(VLOOKUP(E2411,'Condensed Specialty Crosswalk'!$A$2:$C$106,3,FALSE),"")</f>
        <v/>
      </c>
    </row>
    <row r="2412" spans="5:7" ht="15" customHeight="1">
      <c r="E2412" s="49" t="str">
        <f>IFERROR(VLOOKUP(D2412,'taxonomy map'!$A$1:$B$171,2,FALSE),"")</f>
        <v/>
      </c>
      <c r="F2412" s="49" t="str">
        <f>IFERROR(VLOOKUP(E2412,'Condensed Specialty Crosswalk'!$A$2:$C$106,2,FALSE),"")</f>
        <v/>
      </c>
      <c r="G2412" s="49" t="str">
        <f>IFERROR(VLOOKUP(E2412,'Condensed Specialty Crosswalk'!$A$2:$C$106,3,FALSE),"")</f>
        <v/>
      </c>
    </row>
    <row r="2413" spans="5:7" ht="15" customHeight="1">
      <c r="E2413" s="49" t="str">
        <f>IFERROR(VLOOKUP(D2413,'taxonomy map'!$A$1:$B$171,2,FALSE),"")</f>
        <v/>
      </c>
      <c r="F2413" s="49" t="str">
        <f>IFERROR(VLOOKUP(E2413,'Condensed Specialty Crosswalk'!$A$2:$C$106,2,FALSE),"")</f>
        <v/>
      </c>
      <c r="G2413" s="49" t="str">
        <f>IFERROR(VLOOKUP(E2413,'Condensed Specialty Crosswalk'!$A$2:$C$106,3,FALSE),"")</f>
        <v/>
      </c>
    </row>
    <row r="2414" spans="5:7" ht="15" customHeight="1">
      <c r="E2414" s="49" t="str">
        <f>IFERROR(VLOOKUP(D2414,'taxonomy map'!$A$1:$B$171,2,FALSE),"")</f>
        <v/>
      </c>
      <c r="F2414" s="49" t="str">
        <f>IFERROR(VLOOKUP(E2414,'Condensed Specialty Crosswalk'!$A$2:$C$106,2,FALSE),"")</f>
        <v/>
      </c>
      <c r="G2414" s="49" t="str">
        <f>IFERROR(VLOOKUP(E2414,'Condensed Specialty Crosswalk'!$A$2:$C$106,3,FALSE),"")</f>
        <v/>
      </c>
    </row>
    <row r="2415" spans="5:7" ht="15" customHeight="1">
      <c r="E2415" s="49" t="str">
        <f>IFERROR(VLOOKUP(D2415,'taxonomy map'!$A$1:$B$171,2,FALSE),"")</f>
        <v/>
      </c>
      <c r="F2415" s="49" t="str">
        <f>IFERROR(VLOOKUP(E2415,'Condensed Specialty Crosswalk'!$A$2:$C$106,2,FALSE),"")</f>
        <v/>
      </c>
      <c r="G2415" s="49" t="str">
        <f>IFERROR(VLOOKUP(E2415,'Condensed Specialty Crosswalk'!$A$2:$C$106,3,FALSE),"")</f>
        <v/>
      </c>
    </row>
    <row r="2416" spans="5:7" ht="15" customHeight="1">
      <c r="E2416" s="49" t="str">
        <f>IFERROR(VLOOKUP(D2416,'taxonomy map'!$A$1:$B$171,2,FALSE),"")</f>
        <v/>
      </c>
      <c r="F2416" s="49" t="str">
        <f>IFERROR(VLOOKUP(E2416,'Condensed Specialty Crosswalk'!$A$2:$C$106,2,FALSE),"")</f>
        <v/>
      </c>
      <c r="G2416" s="49" t="str">
        <f>IFERROR(VLOOKUP(E2416,'Condensed Specialty Crosswalk'!$A$2:$C$106,3,FALSE),"")</f>
        <v/>
      </c>
    </row>
    <row r="2417" spans="5:7" ht="15" customHeight="1">
      <c r="E2417" s="49" t="str">
        <f>IFERROR(VLOOKUP(D2417,'taxonomy map'!$A$1:$B$171,2,FALSE),"")</f>
        <v/>
      </c>
      <c r="F2417" s="49" t="str">
        <f>IFERROR(VLOOKUP(E2417,'Condensed Specialty Crosswalk'!$A$2:$C$106,2,FALSE),"")</f>
        <v/>
      </c>
      <c r="G2417" s="49" t="str">
        <f>IFERROR(VLOOKUP(E2417,'Condensed Specialty Crosswalk'!$A$2:$C$106,3,FALSE),"")</f>
        <v/>
      </c>
    </row>
    <row r="2418" spans="5:7" ht="15" customHeight="1">
      <c r="E2418" s="49" t="str">
        <f>IFERROR(VLOOKUP(D2418,'taxonomy map'!$A$1:$B$171,2,FALSE),"")</f>
        <v/>
      </c>
      <c r="F2418" s="49" t="str">
        <f>IFERROR(VLOOKUP(E2418,'Condensed Specialty Crosswalk'!$A$2:$C$106,2,FALSE),"")</f>
        <v/>
      </c>
      <c r="G2418" s="49" t="str">
        <f>IFERROR(VLOOKUP(E2418,'Condensed Specialty Crosswalk'!$A$2:$C$106,3,FALSE),"")</f>
        <v/>
      </c>
    </row>
    <row r="2419" spans="5:7" ht="15" customHeight="1">
      <c r="E2419" s="49" t="str">
        <f>IFERROR(VLOOKUP(D2419,'taxonomy map'!$A$1:$B$171,2,FALSE),"")</f>
        <v/>
      </c>
      <c r="F2419" s="49" t="str">
        <f>IFERROR(VLOOKUP(E2419,'Condensed Specialty Crosswalk'!$A$2:$C$106,2,FALSE),"")</f>
        <v/>
      </c>
      <c r="G2419" s="49" t="str">
        <f>IFERROR(VLOOKUP(E2419,'Condensed Specialty Crosswalk'!$A$2:$C$106,3,FALSE),"")</f>
        <v/>
      </c>
    </row>
    <row r="2420" spans="5:7" ht="15" customHeight="1">
      <c r="E2420" s="49" t="str">
        <f>IFERROR(VLOOKUP(D2420,'taxonomy map'!$A$1:$B$171,2,FALSE),"")</f>
        <v/>
      </c>
      <c r="F2420" s="49" t="str">
        <f>IFERROR(VLOOKUP(E2420,'Condensed Specialty Crosswalk'!$A$2:$C$106,2,FALSE),"")</f>
        <v/>
      </c>
      <c r="G2420" s="49" t="str">
        <f>IFERROR(VLOOKUP(E2420,'Condensed Specialty Crosswalk'!$A$2:$C$106,3,FALSE),"")</f>
        <v/>
      </c>
    </row>
    <row r="2421" spans="5:7" ht="15" customHeight="1">
      <c r="E2421" s="49" t="str">
        <f>IFERROR(VLOOKUP(D2421,'taxonomy map'!$A$1:$B$171,2,FALSE),"")</f>
        <v/>
      </c>
      <c r="F2421" s="49" t="str">
        <f>IFERROR(VLOOKUP(E2421,'Condensed Specialty Crosswalk'!$A$2:$C$106,2,FALSE),"")</f>
        <v/>
      </c>
      <c r="G2421" s="49" t="str">
        <f>IFERROR(VLOOKUP(E2421,'Condensed Specialty Crosswalk'!$A$2:$C$106,3,FALSE),"")</f>
        <v/>
      </c>
    </row>
    <row r="2422" spans="5:7" ht="15" customHeight="1">
      <c r="E2422" s="49" t="str">
        <f>IFERROR(VLOOKUP(D2422,'taxonomy map'!$A$1:$B$171,2,FALSE),"")</f>
        <v/>
      </c>
      <c r="F2422" s="49" t="str">
        <f>IFERROR(VLOOKUP(E2422,'Condensed Specialty Crosswalk'!$A$2:$C$106,2,FALSE),"")</f>
        <v/>
      </c>
      <c r="G2422" s="49" t="str">
        <f>IFERROR(VLOOKUP(E2422,'Condensed Specialty Crosswalk'!$A$2:$C$106,3,FALSE),"")</f>
        <v/>
      </c>
    </row>
    <row r="2423" spans="5:7" ht="15" customHeight="1">
      <c r="E2423" s="49" t="str">
        <f>IFERROR(VLOOKUP(D2423,'taxonomy map'!$A$1:$B$171,2,FALSE),"")</f>
        <v/>
      </c>
      <c r="F2423" s="49" t="str">
        <f>IFERROR(VLOOKUP(E2423,'Condensed Specialty Crosswalk'!$A$2:$C$106,2,FALSE),"")</f>
        <v/>
      </c>
      <c r="G2423" s="49" t="str">
        <f>IFERROR(VLOOKUP(E2423,'Condensed Specialty Crosswalk'!$A$2:$C$106,3,FALSE),"")</f>
        <v/>
      </c>
    </row>
    <row r="2424" spans="5:7" ht="15" customHeight="1">
      <c r="E2424" s="49" t="str">
        <f>IFERROR(VLOOKUP(D2424,'taxonomy map'!$A$1:$B$171,2,FALSE),"")</f>
        <v/>
      </c>
      <c r="F2424" s="49" t="str">
        <f>IFERROR(VLOOKUP(E2424,'Condensed Specialty Crosswalk'!$A$2:$C$106,2,FALSE),"")</f>
        <v/>
      </c>
      <c r="G2424" s="49" t="str">
        <f>IFERROR(VLOOKUP(E2424,'Condensed Specialty Crosswalk'!$A$2:$C$106,3,FALSE),"")</f>
        <v/>
      </c>
    </row>
    <row r="2425" spans="5:7" ht="15" customHeight="1">
      <c r="E2425" s="49" t="str">
        <f>IFERROR(VLOOKUP(D2425,'taxonomy map'!$A$1:$B$171,2,FALSE),"")</f>
        <v/>
      </c>
      <c r="F2425" s="49" t="str">
        <f>IFERROR(VLOOKUP(E2425,'Condensed Specialty Crosswalk'!$A$2:$C$106,2,FALSE),"")</f>
        <v/>
      </c>
      <c r="G2425" s="49" t="str">
        <f>IFERROR(VLOOKUP(E2425,'Condensed Specialty Crosswalk'!$A$2:$C$106,3,FALSE),"")</f>
        <v/>
      </c>
    </row>
    <row r="2426" spans="5:7" ht="15" customHeight="1">
      <c r="E2426" s="49" t="str">
        <f>IFERROR(VLOOKUP(D2426,'taxonomy map'!$A$1:$B$171,2,FALSE),"")</f>
        <v/>
      </c>
      <c r="F2426" s="49" t="str">
        <f>IFERROR(VLOOKUP(E2426,'Condensed Specialty Crosswalk'!$A$2:$C$106,2,FALSE),"")</f>
        <v/>
      </c>
      <c r="G2426" s="49" t="str">
        <f>IFERROR(VLOOKUP(E2426,'Condensed Specialty Crosswalk'!$A$2:$C$106,3,FALSE),"")</f>
        <v/>
      </c>
    </row>
    <row r="2427" spans="5:7" ht="15" customHeight="1">
      <c r="E2427" s="49" t="str">
        <f>IFERROR(VLOOKUP(D2427,'taxonomy map'!$A$1:$C$107,2,FALSE),"")</f>
        <v/>
      </c>
      <c r="F2427" s="49" t="str">
        <f>IFERROR(VLOOKUP(E2427,'Condensed Specialty Crosswalk'!$A$2:$C$106,2,FALSE),"")</f>
        <v/>
      </c>
      <c r="G2427" s="49" t="str">
        <f>IFERROR(VLOOKUP(E2427,'Condensed Specialty Crosswalk'!$A$2:$C$106,3,FALSE),"")</f>
        <v/>
      </c>
    </row>
    <row r="2428" spans="5:7" ht="15" customHeight="1">
      <c r="E2428" s="49" t="str">
        <f>IFERROR(VLOOKUP(D2428,'taxonomy map'!$A$1:$C$107,2,FALSE),"")</f>
        <v/>
      </c>
      <c r="F2428" s="49" t="str">
        <f>IFERROR(VLOOKUP(E2428,'Condensed Specialty Crosswalk'!$A$2:$C$106,2,FALSE),"")</f>
        <v/>
      </c>
      <c r="G2428" s="49" t="str">
        <f>IFERROR(VLOOKUP(E2428,'Condensed Specialty Crosswalk'!$A$2:$C$106,3,FALSE),"")</f>
        <v/>
      </c>
    </row>
    <row r="2429" spans="5:7" ht="15" customHeight="1">
      <c r="E2429" s="49" t="str">
        <f>IFERROR(VLOOKUP(D2429,'taxonomy map'!$A$1:$C$107,2,FALSE),"")</f>
        <v/>
      </c>
      <c r="F2429" s="49" t="str">
        <f>IFERROR(VLOOKUP(E2429,'Condensed Specialty Crosswalk'!$A$2:$C$106,2,FALSE),"")</f>
        <v/>
      </c>
      <c r="G2429" s="49" t="str">
        <f>IFERROR(VLOOKUP(E2429,'Condensed Specialty Crosswalk'!$A$2:$C$106,3,FALSE),"")</f>
        <v/>
      </c>
    </row>
    <row r="2430" spans="5:7" ht="15" customHeight="1">
      <c r="E2430" s="49" t="str">
        <f>IFERROR(VLOOKUP(D2430,'taxonomy map'!$A$1:$C$107,2,FALSE),"")</f>
        <v/>
      </c>
      <c r="F2430" s="49" t="str">
        <f>IFERROR(VLOOKUP(E2430,'Condensed Specialty Crosswalk'!$A$2:$C$106,2,FALSE),"")</f>
        <v/>
      </c>
      <c r="G2430" s="49" t="str">
        <f>IFERROR(VLOOKUP(E2430,'Condensed Specialty Crosswalk'!$A$2:$C$106,3,FALSE),"")</f>
        <v/>
      </c>
    </row>
    <row r="2431" spans="5:7" ht="15" customHeight="1">
      <c r="E2431" s="49" t="str">
        <f>IFERROR(VLOOKUP(D2431,'taxonomy map'!$A$1:$C$107,2,FALSE),"")</f>
        <v/>
      </c>
      <c r="F2431" s="49" t="str">
        <f>IFERROR(VLOOKUP(E2431,'Condensed Specialty Crosswalk'!$A$2:$C$106,2,FALSE),"")</f>
        <v/>
      </c>
      <c r="G2431" s="49" t="str">
        <f>IFERROR(VLOOKUP(E2431,'Condensed Specialty Crosswalk'!$A$2:$C$106,3,FALSE),"")</f>
        <v/>
      </c>
    </row>
    <row r="2432" spans="5:7" ht="15" customHeight="1">
      <c r="E2432" s="49" t="str">
        <f>IFERROR(VLOOKUP(D2432,'taxonomy map'!$A$1:$C$107,2,FALSE),"")</f>
        <v/>
      </c>
      <c r="F2432" s="49" t="str">
        <f>IFERROR(VLOOKUP(E2432,'Condensed Specialty Crosswalk'!$A$2:$C$106,2,FALSE),"")</f>
        <v/>
      </c>
      <c r="G2432" s="49" t="str">
        <f>IFERROR(VLOOKUP(E2432,'Condensed Specialty Crosswalk'!$A$2:$C$106,3,FALSE),"")</f>
        <v/>
      </c>
    </row>
    <row r="2433" spans="5:7" ht="15" customHeight="1">
      <c r="E2433" s="49" t="str">
        <f>IFERROR(VLOOKUP(D2433,'taxonomy map'!$A$1:$C$107,2,FALSE),"")</f>
        <v/>
      </c>
      <c r="F2433" s="49" t="str">
        <f>IFERROR(VLOOKUP(E2433,'Condensed Specialty Crosswalk'!$A$2:$C$106,2,FALSE),"")</f>
        <v/>
      </c>
      <c r="G2433" s="49" t="str">
        <f>IFERROR(VLOOKUP(E2433,'Condensed Specialty Crosswalk'!$A$2:$C$106,3,FALSE),"")</f>
        <v/>
      </c>
    </row>
    <row r="2434" spans="5:7" ht="15" customHeight="1">
      <c r="E2434" s="49" t="str">
        <f>IFERROR(VLOOKUP(D2434,'taxonomy map'!$A$1:$C$107,2,FALSE),"")</f>
        <v/>
      </c>
      <c r="F2434" s="49" t="str">
        <f>IFERROR(VLOOKUP(E2434,'Condensed Specialty Crosswalk'!$A$2:$C$106,2,FALSE),"")</f>
        <v/>
      </c>
      <c r="G2434" s="49" t="str">
        <f>IFERROR(VLOOKUP(E2434,'Condensed Specialty Crosswalk'!$A$2:$C$106,3,FALSE),"")</f>
        <v/>
      </c>
    </row>
    <row r="2435" spans="5:7" ht="15" customHeight="1">
      <c r="E2435" s="49" t="str">
        <f>IFERROR(VLOOKUP(D2435,'taxonomy map'!$A$1:$C$107,2,FALSE),"")</f>
        <v/>
      </c>
      <c r="F2435" s="49" t="str">
        <f>IFERROR(VLOOKUP(E2435,'Condensed Specialty Crosswalk'!$A$2:$C$106,2,FALSE),"")</f>
        <v/>
      </c>
      <c r="G2435" s="49" t="str">
        <f>IFERROR(VLOOKUP(E2435,'Condensed Specialty Crosswalk'!$A$2:$C$106,3,FALSE),"")</f>
        <v/>
      </c>
    </row>
    <row r="2436" spans="5:7" ht="15" customHeight="1">
      <c r="E2436" s="49" t="str">
        <f>IFERROR(VLOOKUP(D2436,'taxonomy map'!$A$1:$C$107,2,FALSE),"")</f>
        <v/>
      </c>
      <c r="F2436" s="49" t="str">
        <f>IFERROR(VLOOKUP(E2436,'Condensed Specialty Crosswalk'!$A$2:$C$106,2,FALSE),"")</f>
        <v/>
      </c>
      <c r="G2436" s="49" t="str">
        <f>IFERROR(VLOOKUP(E2436,'Condensed Specialty Crosswalk'!$A$2:$C$106,3,FALSE),"")</f>
        <v/>
      </c>
    </row>
    <row r="2437" spans="5:7" ht="15" customHeight="1">
      <c r="E2437" s="49" t="str">
        <f>IFERROR(VLOOKUP(D2437,'taxonomy map'!$A$1:$C$107,2,FALSE),"")</f>
        <v/>
      </c>
      <c r="F2437" s="49" t="str">
        <f>IFERROR(VLOOKUP(E2437,'Condensed Specialty Crosswalk'!$A$2:$C$106,2,FALSE),"")</f>
        <v/>
      </c>
      <c r="G2437" s="49" t="str">
        <f>IFERROR(VLOOKUP(E2437,'Condensed Specialty Crosswalk'!$A$2:$C$106,3,FALSE),"")</f>
        <v/>
      </c>
    </row>
    <row r="2438" spans="5:7" ht="15" customHeight="1">
      <c r="E2438" s="49" t="str">
        <f>IFERROR(VLOOKUP(D2438,'taxonomy map'!$A$1:$C$107,2,FALSE),"")</f>
        <v/>
      </c>
      <c r="F2438" s="49" t="str">
        <f>IFERROR(VLOOKUP(E2438,'Condensed Specialty Crosswalk'!$A$2:$C$106,2,FALSE),"")</f>
        <v/>
      </c>
      <c r="G2438" s="49" t="str">
        <f>IFERROR(VLOOKUP(E2438,'Condensed Specialty Crosswalk'!$A$2:$C$106,3,FALSE),"")</f>
        <v/>
      </c>
    </row>
    <row r="2439" spans="5:7" ht="15" customHeight="1">
      <c r="E2439" s="49" t="str">
        <f>IFERROR(VLOOKUP(D2439,'taxonomy map'!$A$1:$C$107,2,FALSE),"")</f>
        <v/>
      </c>
      <c r="F2439" s="49" t="str">
        <f>IFERROR(VLOOKUP(E2439,'Condensed Specialty Crosswalk'!$A$2:$C$106,2,FALSE),"")</f>
        <v/>
      </c>
      <c r="G2439" s="49" t="str">
        <f>IFERROR(VLOOKUP(E2439,'Condensed Specialty Crosswalk'!$A$2:$C$106,3,FALSE),"")</f>
        <v/>
      </c>
    </row>
    <row r="2440" spans="5:7" ht="15" customHeight="1">
      <c r="E2440" s="49" t="str">
        <f>IFERROR(VLOOKUP(D2440,'taxonomy map'!$A$1:$C$107,2,FALSE),"")</f>
        <v/>
      </c>
      <c r="F2440" s="49" t="str">
        <f>IFERROR(VLOOKUP(E2440,'Condensed Specialty Crosswalk'!$A$2:$C$106,2,FALSE),"")</f>
        <v/>
      </c>
      <c r="G2440" s="49" t="str">
        <f>IFERROR(VLOOKUP(E2440,'Condensed Specialty Crosswalk'!$A$2:$C$106,3,FALSE),"")</f>
        <v/>
      </c>
    </row>
    <row r="2441" spans="5:7" ht="15" customHeight="1">
      <c r="E2441" s="49" t="str">
        <f>IFERROR(VLOOKUP(D2441,'taxonomy map'!$A$1:$C$107,2,FALSE),"")</f>
        <v/>
      </c>
      <c r="F2441" s="49" t="str">
        <f>IFERROR(VLOOKUP(E2441,'Condensed Specialty Crosswalk'!$A$2:$C$106,2,FALSE),"")</f>
        <v/>
      </c>
      <c r="G2441" s="49" t="str">
        <f>IFERROR(VLOOKUP(E2441,'Condensed Specialty Crosswalk'!$A$2:$C$106,3,FALSE),"")</f>
        <v/>
      </c>
    </row>
    <row r="2442" spans="5:7" ht="15" customHeight="1">
      <c r="E2442" s="49" t="str">
        <f>IFERROR(VLOOKUP(D2442,'taxonomy map'!$A$1:$C$107,2,FALSE),"")</f>
        <v/>
      </c>
      <c r="F2442" s="49" t="str">
        <f>IFERROR(VLOOKUP(E2442,'Condensed Specialty Crosswalk'!$A$2:$C$106,2,FALSE),"")</f>
        <v/>
      </c>
      <c r="G2442" s="49" t="str">
        <f>IFERROR(VLOOKUP(E2442,'Condensed Specialty Crosswalk'!$A$2:$C$106,3,FALSE),"")</f>
        <v/>
      </c>
    </row>
    <row r="2443" spans="5:7" ht="15" customHeight="1">
      <c r="E2443" s="49" t="str">
        <f>IFERROR(VLOOKUP(D2443,'taxonomy map'!$A$1:$C$107,2,FALSE),"")</f>
        <v/>
      </c>
      <c r="F2443" s="49" t="str">
        <f>IFERROR(VLOOKUP(E2443,'Condensed Specialty Crosswalk'!$A$2:$C$106,2,FALSE),"")</f>
        <v/>
      </c>
      <c r="G2443" s="49" t="str">
        <f>IFERROR(VLOOKUP(E2443,'Condensed Specialty Crosswalk'!$A$2:$C$106,3,FALSE),"")</f>
        <v/>
      </c>
    </row>
    <row r="2444" spans="5:7" ht="15" customHeight="1">
      <c r="E2444" s="49" t="str">
        <f>IFERROR(VLOOKUP(D2444,'taxonomy map'!$A$1:$C$107,2,FALSE),"")</f>
        <v/>
      </c>
      <c r="F2444" s="49" t="str">
        <f>IFERROR(VLOOKUP(E2444,'Condensed Specialty Crosswalk'!$A$2:$C$106,2,FALSE),"")</f>
        <v/>
      </c>
      <c r="G2444" s="49" t="str">
        <f>IFERROR(VLOOKUP(E2444,'Condensed Specialty Crosswalk'!$A$2:$C$106,3,FALSE),"")</f>
        <v/>
      </c>
    </row>
    <row r="2445" spans="5:7" ht="15" customHeight="1">
      <c r="E2445" s="49" t="str">
        <f>IFERROR(VLOOKUP(D2445,'taxonomy map'!$A$1:$C$107,2,FALSE),"")</f>
        <v/>
      </c>
      <c r="F2445" s="49" t="str">
        <f>IFERROR(VLOOKUP(E2445,'Condensed Specialty Crosswalk'!$A$2:$C$106,2,FALSE),"")</f>
        <v/>
      </c>
      <c r="G2445" s="49" t="str">
        <f>IFERROR(VLOOKUP(E2445,'Condensed Specialty Crosswalk'!$A$2:$C$106,3,FALSE),"")</f>
        <v/>
      </c>
    </row>
    <row r="2446" spans="5:7" ht="15" customHeight="1">
      <c r="E2446" s="49" t="str">
        <f>IFERROR(VLOOKUP(D2446,'taxonomy map'!$A$1:$C$107,2,FALSE),"")</f>
        <v/>
      </c>
      <c r="F2446" s="49" t="str">
        <f>IFERROR(VLOOKUP(E2446,'Condensed Specialty Crosswalk'!$A$2:$C$106,2,FALSE),"")</f>
        <v/>
      </c>
      <c r="G2446" s="49" t="str">
        <f>IFERROR(VLOOKUP(E2446,'Condensed Specialty Crosswalk'!$A$2:$C$106,3,FALSE),"")</f>
        <v/>
      </c>
    </row>
    <row r="2447" spans="5:7" ht="15" customHeight="1">
      <c r="E2447" s="49" t="str">
        <f>IFERROR(VLOOKUP(D2447,'taxonomy map'!$A$1:$C$107,2,FALSE),"")</f>
        <v/>
      </c>
      <c r="F2447" s="49" t="str">
        <f>IFERROR(VLOOKUP(E2447,'Condensed Specialty Crosswalk'!$A$2:$C$106,2,FALSE),"")</f>
        <v/>
      </c>
      <c r="G2447" s="49" t="str">
        <f>IFERROR(VLOOKUP(E2447,'Condensed Specialty Crosswalk'!$A$2:$C$106,3,FALSE),"")</f>
        <v/>
      </c>
    </row>
    <row r="2448" spans="5:7" ht="15" customHeight="1">
      <c r="E2448" s="49" t="str">
        <f>IFERROR(VLOOKUP(D2448,'taxonomy map'!$A$1:$C$107,2,FALSE),"")</f>
        <v/>
      </c>
      <c r="F2448" s="49" t="str">
        <f>IFERROR(VLOOKUP(E2448,'Condensed Specialty Crosswalk'!$A$2:$C$106,2,FALSE),"")</f>
        <v/>
      </c>
      <c r="G2448" s="49" t="str">
        <f>IFERROR(VLOOKUP(E2448,'Condensed Specialty Crosswalk'!$A$2:$C$106,3,FALSE),"")</f>
        <v/>
      </c>
    </row>
    <row r="2449" spans="5:7" ht="15" customHeight="1">
      <c r="E2449" s="49" t="str">
        <f>IFERROR(VLOOKUP(D2449,'taxonomy map'!$A$1:$C$107,2,FALSE),"")</f>
        <v/>
      </c>
      <c r="F2449" s="49" t="str">
        <f>IFERROR(VLOOKUP(E2449,'Condensed Specialty Crosswalk'!$A$2:$C$106,2,FALSE),"")</f>
        <v/>
      </c>
      <c r="G2449" s="49" t="str">
        <f>IFERROR(VLOOKUP(E2449,'Condensed Specialty Crosswalk'!$A$2:$C$106,3,FALSE),"")</f>
        <v/>
      </c>
    </row>
    <row r="2450" spans="5:7" ht="15" customHeight="1">
      <c r="E2450" s="49" t="str">
        <f>IFERROR(VLOOKUP(D2450,'taxonomy map'!$A$1:$C$107,2,FALSE),"")</f>
        <v/>
      </c>
      <c r="F2450" s="49" t="str">
        <f>IFERROR(VLOOKUP(E2450,'Condensed Specialty Crosswalk'!$A$2:$C$106,2,FALSE),"")</f>
        <v/>
      </c>
      <c r="G2450" s="49" t="str">
        <f>IFERROR(VLOOKUP(E2450,'Condensed Specialty Crosswalk'!$A$2:$C$106,3,FALSE),"")</f>
        <v/>
      </c>
    </row>
    <row r="2451" spans="5:7" ht="15" customHeight="1">
      <c r="E2451" s="49" t="str">
        <f>IFERROR(VLOOKUP(D2451,'taxonomy map'!$A$1:$C$107,2,FALSE),"")</f>
        <v/>
      </c>
      <c r="F2451" s="49" t="str">
        <f>IFERROR(VLOOKUP(E2451,'Condensed Specialty Crosswalk'!$A$2:$C$106,2,FALSE),"")</f>
        <v/>
      </c>
      <c r="G2451" s="49" t="str">
        <f>IFERROR(VLOOKUP(E2451,'Condensed Specialty Crosswalk'!$A$2:$C$106,3,FALSE),"")</f>
        <v/>
      </c>
    </row>
    <row r="2452" spans="5:7" ht="15" customHeight="1">
      <c r="E2452" s="49" t="str">
        <f>IFERROR(VLOOKUP(D2452,'taxonomy map'!$A$1:$C$107,2,FALSE),"")</f>
        <v/>
      </c>
      <c r="F2452" s="49" t="str">
        <f>IFERROR(VLOOKUP(E2452,'Condensed Specialty Crosswalk'!$A$2:$C$106,2,FALSE),"")</f>
        <v/>
      </c>
      <c r="G2452" s="49" t="str">
        <f>IFERROR(VLOOKUP(E2452,'Condensed Specialty Crosswalk'!$A$2:$C$106,3,FALSE),"")</f>
        <v/>
      </c>
    </row>
    <row r="2453" spans="5:7" ht="15" customHeight="1">
      <c r="E2453" s="49" t="str">
        <f>IFERROR(VLOOKUP(D2453,'taxonomy map'!$A$1:$C$107,2,FALSE),"")</f>
        <v/>
      </c>
      <c r="F2453" s="49" t="str">
        <f>IFERROR(VLOOKUP(E2453,'Condensed Specialty Crosswalk'!$A$2:$C$106,2,FALSE),"")</f>
        <v/>
      </c>
      <c r="G2453" s="49" t="str">
        <f>IFERROR(VLOOKUP(E2453,'Condensed Specialty Crosswalk'!$A$2:$C$106,3,FALSE),"")</f>
        <v/>
      </c>
    </row>
    <row r="2454" spans="5:7" ht="15" customHeight="1">
      <c r="E2454" s="49" t="str">
        <f>IFERROR(VLOOKUP(D2454,'taxonomy map'!$A$1:$C$107,2,FALSE),"")</f>
        <v/>
      </c>
      <c r="F2454" s="49" t="str">
        <f>IFERROR(VLOOKUP(E2454,'Condensed Specialty Crosswalk'!$A$2:$C$106,2,FALSE),"")</f>
        <v/>
      </c>
      <c r="G2454" s="49" t="str">
        <f>IFERROR(VLOOKUP(E2454,'Condensed Specialty Crosswalk'!$A$2:$C$106,3,FALSE),"")</f>
        <v/>
      </c>
    </row>
    <row r="2455" spans="5:7" ht="15" customHeight="1">
      <c r="E2455" s="49" t="str">
        <f>IFERROR(VLOOKUP(D2455,'taxonomy map'!$A$1:$C$107,2,FALSE),"")</f>
        <v/>
      </c>
      <c r="F2455" s="49" t="str">
        <f>IFERROR(VLOOKUP(E2455,'Condensed Specialty Crosswalk'!$A$2:$C$106,2,FALSE),"")</f>
        <v/>
      </c>
      <c r="G2455" s="49" t="str">
        <f>IFERROR(VLOOKUP(E2455,'Condensed Specialty Crosswalk'!$A$2:$C$106,3,FALSE),"")</f>
        <v/>
      </c>
    </row>
    <row r="2456" spans="5:7" ht="15" customHeight="1">
      <c r="E2456" s="49" t="str">
        <f>IFERROR(VLOOKUP(D2456,'taxonomy map'!$A$1:$C$107,2,FALSE),"")</f>
        <v/>
      </c>
      <c r="F2456" s="49" t="str">
        <f>IFERROR(VLOOKUP(E2456,'Condensed Specialty Crosswalk'!$A$2:$C$106,2,FALSE),"")</f>
        <v/>
      </c>
      <c r="G2456" s="49" t="str">
        <f>IFERROR(VLOOKUP(E2456,'Condensed Specialty Crosswalk'!$A$2:$C$106,3,FALSE),"")</f>
        <v/>
      </c>
    </row>
    <row r="2457" spans="5:7" ht="15" customHeight="1">
      <c r="E2457" s="49" t="str">
        <f>IFERROR(VLOOKUP(D2457,'taxonomy map'!$A$1:$C$107,2,FALSE),"")</f>
        <v/>
      </c>
      <c r="F2457" s="49" t="str">
        <f>IFERROR(VLOOKUP(E2457,'Condensed Specialty Crosswalk'!$A$2:$C$106,2,FALSE),"")</f>
        <v/>
      </c>
      <c r="G2457" s="49" t="str">
        <f>IFERROR(VLOOKUP(E2457,'Condensed Specialty Crosswalk'!$A$2:$C$106,3,FALSE),"")</f>
        <v/>
      </c>
    </row>
    <row r="2458" spans="5:7" ht="15" customHeight="1">
      <c r="E2458" s="49" t="str">
        <f>IFERROR(VLOOKUP(D2458,'taxonomy map'!$A$1:$C$107,2,FALSE),"")</f>
        <v/>
      </c>
      <c r="F2458" s="49" t="str">
        <f>IFERROR(VLOOKUP(E2458,'Condensed Specialty Crosswalk'!$A$2:$C$106,2,FALSE),"")</f>
        <v/>
      </c>
      <c r="G2458" s="49" t="str">
        <f>IFERROR(VLOOKUP(E2458,'Condensed Specialty Crosswalk'!$A$2:$C$106,3,FALSE),"")</f>
        <v/>
      </c>
    </row>
    <row r="2459" spans="5:7" ht="15" customHeight="1">
      <c r="E2459" s="49" t="str">
        <f>IFERROR(VLOOKUP(D2459,'taxonomy map'!$A$1:$C$107,2,FALSE),"")</f>
        <v/>
      </c>
      <c r="F2459" s="49" t="str">
        <f>IFERROR(VLOOKUP(E2459,'Condensed Specialty Crosswalk'!$A$2:$C$106,2,FALSE),"")</f>
        <v/>
      </c>
      <c r="G2459" s="49" t="str">
        <f>IFERROR(VLOOKUP(E2459,'Condensed Specialty Crosswalk'!$A$2:$C$106,3,FALSE),"")</f>
        <v/>
      </c>
    </row>
    <row r="2460" spans="5:7" ht="15" customHeight="1">
      <c r="E2460" s="49" t="str">
        <f>IFERROR(VLOOKUP(D2460,'taxonomy map'!$A$1:$C$107,2,FALSE),"")</f>
        <v/>
      </c>
      <c r="F2460" s="49" t="str">
        <f>IFERROR(VLOOKUP(E2460,'Condensed Specialty Crosswalk'!$A$2:$C$106,2,FALSE),"")</f>
        <v/>
      </c>
      <c r="G2460" s="49" t="str">
        <f>IFERROR(VLOOKUP(E2460,'Condensed Specialty Crosswalk'!$A$2:$C$106,3,FALSE),"")</f>
        <v/>
      </c>
    </row>
    <row r="2461" spans="5:7" ht="15" customHeight="1">
      <c r="E2461" s="49" t="str">
        <f>IFERROR(VLOOKUP(D2461,'taxonomy map'!$A$1:$C$107,2,FALSE),"")</f>
        <v/>
      </c>
      <c r="F2461" s="49" t="str">
        <f>IFERROR(VLOOKUP(E2461,'Condensed Specialty Crosswalk'!$A$2:$C$106,2,FALSE),"")</f>
        <v/>
      </c>
      <c r="G2461" s="49" t="str">
        <f>IFERROR(VLOOKUP(E2461,'Condensed Specialty Crosswalk'!$A$2:$C$106,3,FALSE),"")</f>
        <v/>
      </c>
    </row>
    <row r="2462" spans="5:7" ht="15" customHeight="1">
      <c r="E2462" s="49" t="str">
        <f>IFERROR(VLOOKUP(D2462,'taxonomy map'!$A$1:$C$107,2,FALSE),"")</f>
        <v/>
      </c>
      <c r="F2462" s="49" t="str">
        <f>IFERROR(VLOOKUP(E2462,'Condensed Specialty Crosswalk'!$A$2:$C$106,2,FALSE),"")</f>
        <v/>
      </c>
      <c r="G2462" s="49" t="str">
        <f>IFERROR(VLOOKUP(E2462,'Condensed Specialty Crosswalk'!$A$2:$C$106,3,FALSE),"")</f>
        <v/>
      </c>
    </row>
    <row r="2463" spans="5:7" ht="15" customHeight="1">
      <c r="E2463" s="49" t="str">
        <f>IFERROR(VLOOKUP(D2463,'taxonomy map'!$A$1:$C$107,2,FALSE),"")</f>
        <v/>
      </c>
      <c r="F2463" s="49" t="str">
        <f>IFERROR(VLOOKUP(E2463,'Condensed Specialty Crosswalk'!$A$2:$C$106,2,FALSE),"")</f>
        <v/>
      </c>
      <c r="G2463" s="49" t="str">
        <f>IFERROR(VLOOKUP(E2463,'Condensed Specialty Crosswalk'!$A$2:$C$106,3,FALSE),"")</f>
        <v/>
      </c>
    </row>
    <row r="2464" spans="5:7" ht="15" customHeight="1">
      <c r="E2464" s="49" t="str">
        <f>IFERROR(VLOOKUP(D2464,'taxonomy map'!$A$1:$C$107,2,FALSE),"")</f>
        <v/>
      </c>
      <c r="F2464" s="49" t="str">
        <f>IFERROR(VLOOKUP(E2464,'Condensed Specialty Crosswalk'!$A$2:$C$106,2,FALSE),"")</f>
        <v/>
      </c>
      <c r="G2464" s="49" t="str">
        <f>IFERROR(VLOOKUP(E2464,'Condensed Specialty Crosswalk'!$A$2:$C$106,3,FALSE),"")</f>
        <v/>
      </c>
    </row>
    <row r="2465" spans="5:7" ht="15" customHeight="1">
      <c r="E2465" s="49" t="str">
        <f>IFERROR(VLOOKUP(D2465,'taxonomy map'!$A$1:$C$107,2,FALSE),"")</f>
        <v/>
      </c>
      <c r="F2465" s="49" t="str">
        <f>IFERROR(VLOOKUP(E2465,'Condensed Specialty Crosswalk'!$A$2:$C$106,2,FALSE),"")</f>
        <v/>
      </c>
      <c r="G2465" s="49" t="str">
        <f>IFERROR(VLOOKUP(E2465,'Condensed Specialty Crosswalk'!$A$2:$C$106,3,FALSE),"")</f>
        <v/>
      </c>
    </row>
    <row r="2466" spans="5:7" ht="15" customHeight="1">
      <c r="E2466" s="49" t="str">
        <f>IFERROR(VLOOKUP(D2466,'taxonomy map'!$A$1:$C$107,2,FALSE),"")</f>
        <v/>
      </c>
      <c r="F2466" s="49" t="str">
        <f>IFERROR(VLOOKUP(E2466,'Condensed Specialty Crosswalk'!$A$2:$C$106,2,FALSE),"")</f>
        <v/>
      </c>
      <c r="G2466" s="49" t="str">
        <f>IFERROR(VLOOKUP(E2466,'Condensed Specialty Crosswalk'!$A$2:$C$106,3,FALSE),"")</f>
        <v/>
      </c>
    </row>
    <row r="2467" spans="5:7" ht="15" customHeight="1">
      <c r="E2467" s="49" t="str">
        <f>IFERROR(VLOOKUP(D2467,'taxonomy map'!$A$1:$C$107,2,FALSE),"")</f>
        <v/>
      </c>
      <c r="F2467" s="49" t="str">
        <f>IFERROR(VLOOKUP(E2467,'Condensed Specialty Crosswalk'!$A$2:$C$106,2,FALSE),"")</f>
        <v/>
      </c>
      <c r="G2467" s="49" t="str">
        <f>IFERROR(VLOOKUP(E2467,'Condensed Specialty Crosswalk'!$A$2:$C$106,3,FALSE),"")</f>
        <v/>
      </c>
    </row>
    <row r="2468" spans="5:7" ht="15" customHeight="1">
      <c r="E2468" s="49" t="str">
        <f>IFERROR(VLOOKUP(D2468,'taxonomy map'!$A$1:$C$107,2,FALSE),"")</f>
        <v/>
      </c>
      <c r="F2468" s="49" t="str">
        <f>IFERROR(VLOOKUP(E2468,'Condensed Specialty Crosswalk'!$A$2:$C$106,2,FALSE),"")</f>
        <v/>
      </c>
      <c r="G2468" s="49" t="str">
        <f>IFERROR(VLOOKUP(E2468,'Condensed Specialty Crosswalk'!$A$2:$C$106,3,FALSE),"")</f>
        <v/>
      </c>
    </row>
    <row r="2469" spans="5:7" ht="15" customHeight="1">
      <c r="E2469" s="49" t="str">
        <f>IFERROR(VLOOKUP(D2469,'taxonomy map'!$A$1:$C$107,2,FALSE),"")</f>
        <v/>
      </c>
      <c r="F2469" s="49" t="str">
        <f>IFERROR(VLOOKUP(E2469,'Condensed Specialty Crosswalk'!$A$2:$C$106,2,FALSE),"")</f>
        <v/>
      </c>
      <c r="G2469" s="49" t="str">
        <f>IFERROR(VLOOKUP(E2469,'Condensed Specialty Crosswalk'!$A$2:$C$106,3,FALSE),"")</f>
        <v/>
      </c>
    </row>
    <row r="2470" spans="5:7" ht="15" customHeight="1">
      <c r="E2470" s="49" t="str">
        <f>IFERROR(VLOOKUP(D2470,'taxonomy map'!$A$1:$C$107,2,FALSE),"")</f>
        <v/>
      </c>
      <c r="F2470" s="49" t="str">
        <f>IFERROR(VLOOKUP(E2470,'Condensed Specialty Crosswalk'!$A$2:$C$106,2,FALSE),"")</f>
        <v/>
      </c>
      <c r="G2470" s="49" t="str">
        <f>IFERROR(VLOOKUP(E2470,'Condensed Specialty Crosswalk'!$A$2:$C$106,3,FALSE),"")</f>
        <v/>
      </c>
    </row>
    <row r="2471" spans="5:7" ht="15" customHeight="1">
      <c r="E2471" s="49" t="str">
        <f>IFERROR(VLOOKUP(D2471,'taxonomy map'!$A$1:$C$107,2,FALSE),"")</f>
        <v/>
      </c>
      <c r="F2471" s="49" t="str">
        <f>IFERROR(VLOOKUP(E2471,'Condensed Specialty Crosswalk'!$A$2:$C$106,2,FALSE),"")</f>
        <v/>
      </c>
      <c r="G2471" s="49" t="str">
        <f>IFERROR(VLOOKUP(E2471,'Condensed Specialty Crosswalk'!$A$2:$C$106,3,FALSE),"")</f>
        <v/>
      </c>
    </row>
    <row r="2472" spans="5:7" ht="15" customHeight="1">
      <c r="E2472" s="49" t="str">
        <f>IFERROR(VLOOKUP(D2472,'taxonomy map'!$A$1:$C$107,2,FALSE),"")</f>
        <v/>
      </c>
      <c r="F2472" s="49" t="str">
        <f>IFERROR(VLOOKUP(E2472,'Condensed Specialty Crosswalk'!$A$2:$C$106,2,FALSE),"")</f>
        <v/>
      </c>
      <c r="G2472" s="49" t="str">
        <f>IFERROR(VLOOKUP(E2472,'Condensed Specialty Crosswalk'!$A$2:$C$106,3,FALSE),"")</f>
        <v/>
      </c>
    </row>
    <row r="2473" spans="5:7" ht="15" customHeight="1">
      <c r="E2473" s="49" t="str">
        <f>IFERROR(VLOOKUP(D2473,'taxonomy map'!$A$1:$C$107,2,FALSE),"")</f>
        <v/>
      </c>
      <c r="F2473" s="49" t="str">
        <f>IFERROR(VLOOKUP(E2473,'Condensed Specialty Crosswalk'!$A$2:$C$106,2,FALSE),"")</f>
        <v/>
      </c>
      <c r="G2473" s="49" t="str">
        <f>IFERROR(VLOOKUP(E2473,'Condensed Specialty Crosswalk'!$A$2:$C$106,3,FALSE),"")</f>
        <v/>
      </c>
    </row>
    <row r="2474" spans="5:7" ht="15" customHeight="1">
      <c r="E2474" s="49" t="str">
        <f>IFERROR(VLOOKUP(D2474,'taxonomy map'!$A$1:$C$107,2,FALSE),"")</f>
        <v/>
      </c>
      <c r="F2474" s="49" t="str">
        <f>IFERROR(VLOOKUP(E2474,'Condensed Specialty Crosswalk'!$A$2:$C$106,2,FALSE),"")</f>
        <v/>
      </c>
      <c r="G2474" s="49" t="str">
        <f>IFERROR(VLOOKUP(E2474,'Condensed Specialty Crosswalk'!$A$2:$C$106,3,FALSE),"")</f>
        <v/>
      </c>
    </row>
    <row r="2475" spans="5:7" ht="15" customHeight="1">
      <c r="E2475" s="49" t="str">
        <f>IFERROR(VLOOKUP(D2475,'taxonomy map'!$A$1:$C$107,2,FALSE),"")</f>
        <v/>
      </c>
      <c r="F2475" s="49" t="str">
        <f>IFERROR(VLOOKUP(E2475,'Condensed Specialty Crosswalk'!$A$2:$C$106,2,FALSE),"")</f>
        <v/>
      </c>
      <c r="G2475" s="49" t="str">
        <f>IFERROR(VLOOKUP(E2475,'Condensed Specialty Crosswalk'!$A$2:$C$106,3,FALSE),"")</f>
        <v/>
      </c>
    </row>
    <row r="2476" spans="5:7" ht="15" customHeight="1">
      <c r="E2476" s="49" t="str">
        <f>IFERROR(VLOOKUP(D2476,'taxonomy map'!$A$1:$C$107,2,FALSE),"")</f>
        <v/>
      </c>
      <c r="F2476" s="49" t="str">
        <f>IFERROR(VLOOKUP(E2476,'Condensed Specialty Crosswalk'!$A$2:$C$106,2,FALSE),"")</f>
        <v/>
      </c>
      <c r="G2476" s="49" t="str">
        <f>IFERROR(VLOOKUP(E2476,'Condensed Specialty Crosswalk'!$A$2:$C$106,3,FALSE),"")</f>
        <v/>
      </c>
    </row>
    <row r="2477" spans="5:7" ht="15" customHeight="1">
      <c r="E2477" s="49" t="str">
        <f>IFERROR(VLOOKUP(D2477,'taxonomy map'!$A$1:$C$107,2,FALSE),"")</f>
        <v/>
      </c>
      <c r="F2477" s="49" t="str">
        <f>IFERROR(VLOOKUP(E2477,'Condensed Specialty Crosswalk'!$A$2:$C$106,2,FALSE),"")</f>
        <v/>
      </c>
      <c r="G2477" s="49" t="str">
        <f>IFERROR(VLOOKUP(E2477,'Condensed Specialty Crosswalk'!$A$2:$C$106,3,FALSE),"")</f>
        <v/>
      </c>
    </row>
    <row r="2478" spans="5:7" ht="15" customHeight="1">
      <c r="E2478" s="49" t="str">
        <f>IFERROR(VLOOKUP(D2478,'taxonomy map'!$A$1:$C$107,2,FALSE),"")</f>
        <v/>
      </c>
      <c r="F2478" s="49" t="str">
        <f>IFERROR(VLOOKUP(E2478,'Condensed Specialty Crosswalk'!$A$2:$C$106,2,FALSE),"")</f>
        <v/>
      </c>
      <c r="G2478" s="49" t="str">
        <f>IFERROR(VLOOKUP(E2478,'Condensed Specialty Crosswalk'!$A$2:$C$106,3,FALSE),"")</f>
        <v/>
      </c>
    </row>
    <row r="2479" spans="5:7" ht="15" customHeight="1">
      <c r="E2479" s="49" t="str">
        <f>IFERROR(VLOOKUP(D2479,'taxonomy map'!$A$1:$C$107,2,FALSE),"")</f>
        <v/>
      </c>
      <c r="F2479" s="49" t="str">
        <f>IFERROR(VLOOKUP(E2479,'Condensed Specialty Crosswalk'!$A$2:$C$106,2,FALSE),"")</f>
        <v/>
      </c>
      <c r="G2479" s="49" t="str">
        <f>IFERROR(VLOOKUP(E2479,'Condensed Specialty Crosswalk'!$A$2:$C$106,3,FALSE),"")</f>
        <v/>
      </c>
    </row>
    <row r="2480" spans="5:7" ht="15" customHeight="1">
      <c r="E2480" s="49" t="str">
        <f>IFERROR(VLOOKUP(D2480,'taxonomy map'!$A$1:$C$107,2,FALSE),"")</f>
        <v/>
      </c>
      <c r="F2480" s="49" t="str">
        <f>IFERROR(VLOOKUP(E2480,'Condensed Specialty Crosswalk'!$A$2:$C$106,2,FALSE),"")</f>
        <v/>
      </c>
      <c r="G2480" s="49" t="str">
        <f>IFERROR(VLOOKUP(E2480,'Condensed Specialty Crosswalk'!$A$2:$C$106,3,FALSE),"")</f>
        <v/>
      </c>
    </row>
    <row r="2481" spans="5:7" ht="15" customHeight="1">
      <c r="E2481" s="49" t="str">
        <f>IFERROR(VLOOKUP(D2481,'taxonomy map'!$A$1:$C$107,2,FALSE),"")</f>
        <v/>
      </c>
      <c r="F2481" s="49" t="str">
        <f>IFERROR(VLOOKUP(E2481,'Condensed Specialty Crosswalk'!$A$2:$C$106,2,FALSE),"")</f>
        <v/>
      </c>
      <c r="G2481" s="49" t="str">
        <f>IFERROR(VLOOKUP(E2481,'Condensed Specialty Crosswalk'!$A$2:$C$106,3,FALSE),"")</f>
        <v/>
      </c>
    </row>
    <row r="2482" spans="5:7" ht="15" customHeight="1">
      <c r="E2482" s="49" t="str">
        <f>IFERROR(VLOOKUP(D2482,'taxonomy map'!$A$1:$C$107,2,FALSE),"")</f>
        <v/>
      </c>
      <c r="F2482" s="49" t="str">
        <f>IFERROR(VLOOKUP(E2482,'Condensed Specialty Crosswalk'!$A$2:$C$106,2,FALSE),"")</f>
        <v/>
      </c>
      <c r="G2482" s="49" t="str">
        <f>IFERROR(VLOOKUP(E2482,'Condensed Specialty Crosswalk'!$A$2:$C$106,3,FALSE),"")</f>
        <v/>
      </c>
    </row>
    <row r="2483" spans="5:7" ht="15" customHeight="1">
      <c r="E2483" s="49" t="str">
        <f>IFERROR(VLOOKUP(D2483,'taxonomy map'!$A$1:$C$107,2,FALSE),"")</f>
        <v/>
      </c>
      <c r="F2483" s="49" t="str">
        <f>IFERROR(VLOOKUP(E2483,'Condensed Specialty Crosswalk'!$A$2:$C$106,2,FALSE),"")</f>
        <v/>
      </c>
      <c r="G2483" s="49" t="str">
        <f>IFERROR(VLOOKUP(E2483,'Condensed Specialty Crosswalk'!$A$2:$C$106,3,FALSE),"")</f>
        <v/>
      </c>
    </row>
    <row r="2484" spans="5:7" ht="15" customHeight="1">
      <c r="E2484" s="49" t="str">
        <f>IFERROR(VLOOKUP(D2484,'taxonomy map'!$A$1:$C$107,2,FALSE),"")</f>
        <v/>
      </c>
      <c r="F2484" s="49" t="str">
        <f>IFERROR(VLOOKUP(E2484,'Condensed Specialty Crosswalk'!$A$2:$C$106,2,FALSE),"")</f>
        <v/>
      </c>
      <c r="G2484" s="49" t="str">
        <f>IFERROR(VLOOKUP(E2484,'Condensed Specialty Crosswalk'!$A$2:$C$106,3,FALSE),"")</f>
        <v/>
      </c>
    </row>
    <row r="2485" spans="5:7" ht="15" customHeight="1">
      <c r="E2485" s="49" t="str">
        <f>IFERROR(VLOOKUP(D2485,'taxonomy map'!$A$1:$C$107,2,FALSE),"")</f>
        <v/>
      </c>
      <c r="F2485" s="49" t="str">
        <f>IFERROR(VLOOKUP(E2485,'Condensed Specialty Crosswalk'!$A$2:$C$106,2,FALSE),"")</f>
        <v/>
      </c>
      <c r="G2485" s="49" t="str">
        <f>IFERROR(VLOOKUP(E2485,'Condensed Specialty Crosswalk'!$A$2:$C$106,3,FALSE),"")</f>
        <v/>
      </c>
    </row>
    <row r="2486" spans="5:7" ht="15" customHeight="1">
      <c r="E2486" s="49" t="str">
        <f>IFERROR(VLOOKUP(D2486,'taxonomy map'!$A$1:$C$107,2,FALSE),"")</f>
        <v/>
      </c>
      <c r="F2486" s="49" t="str">
        <f>IFERROR(VLOOKUP(E2486,'Condensed Specialty Crosswalk'!$A$2:$C$106,2,FALSE),"")</f>
        <v/>
      </c>
      <c r="G2486" s="49" t="str">
        <f>IFERROR(VLOOKUP(E2486,'Condensed Specialty Crosswalk'!$A$2:$C$106,3,FALSE),"")</f>
        <v/>
      </c>
    </row>
    <row r="2487" spans="5:7" ht="15" customHeight="1">
      <c r="E2487" s="49" t="str">
        <f>IFERROR(VLOOKUP(D2487,'taxonomy map'!$A$1:$C$107,2,FALSE),"")</f>
        <v/>
      </c>
      <c r="F2487" s="49" t="str">
        <f>IFERROR(VLOOKUP(E2487,'Condensed Specialty Crosswalk'!$A$2:$C$106,2,FALSE),"")</f>
        <v/>
      </c>
      <c r="G2487" s="49" t="str">
        <f>IFERROR(VLOOKUP(E2487,'Condensed Specialty Crosswalk'!$A$2:$C$106,3,FALSE),"")</f>
        <v/>
      </c>
    </row>
    <row r="2488" spans="5:7" ht="15" customHeight="1">
      <c r="E2488" s="49" t="str">
        <f>IFERROR(VLOOKUP(D2488,'taxonomy map'!$A$1:$C$107,2,FALSE),"")</f>
        <v/>
      </c>
      <c r="F2488" s="49" t="str">
        <f>IFERROR(VLOOKUP(E2488,'Condensed Specialty Crosswalk'!$A$2:$C$106,2,FALSE),"")</f>
        <v/>
      </c>
      <c r="G2488" s="49" t="str">
        <f>IFERROR(VLOOKUP(E2488,'Condensed Specialty Crosswalk'!$A$2:$C$106,3,FALSE),"")</f>
        <v/>
      </c>
    </row>
    <row r="2489" spans="5:7" ht="15" customHeight="1">
      <c r="E2489" s="49" t="str">
        <f>IFERROR(VLOOKUP(D2489,'taxonomy map'!$A$1:$C$107,2,FALSE),"")</f>
        <v/>
      </c>
      <c r="F2489" s="49" t="str">
        <f>IFERROR(VLOOKUP(E2489,'Condensed Specialty Crosswalk'!$A$2:$C$106,2,FALSE),"")</f>
        <v/>
      </c>
      <c r="G2489" s="49" t="str">
        <f>IFERROR(VLOOKUP(E2489,'Condensed Specialty Crosswalk'!$A$2:$C$106,3,FALSE),"")</f>
        <v/>
      </c>
    </row>
    <row r="2490" spans="5:7" ht="15" customHeight="1">
      <c r="E2490" s="49" t="str">
        <f>IFERROR(VLOOKUP(D2490,'taxonomy map'!$A$1:$C$107,2,FALSE),"")</f>
        <v/>
      </c>
      <c r="F2490" s="49" t="str">
        <f>IFERROR(VLOOKUP(E2490,'Condensed Specialty Crosswalk'!$A$2:$C$106,2,FALSE),"")</f>
        <v/>
      </c>
      <c r="G2490" s="49" t="str">
        <f>IFERROR(VLOOKUP(E2490,'Condensed Specialty Crosswalk'!$A$2:$C$106,3,FALSE),"")</f>
        <v/>
      </c>
    </row>
    <row r="2491" spans="5:7" ht="15" customHeight="1">
      <c r="E2491" s="49" t="str">
        <f>IFERROR(VLOOKUP(D2491,'taxonomy map'!$A$1:$C$107,2,FALSE),"")</f>
        <v/>
      </c>
      <c r="F2491" s="49" t="str">
        <f>IFERROR(VLOOKUP(E2491,'Condensed Specialty Crosswalk'!$A$2:$C$106,2,FALSE),"")</f>
        <v/>
      </c>
      <c r="G2491" s="49" t="str">
        <f>IFERROR(VLOOKUP(E2491,'Condensed Specialty Crosswalk'!$A$2:$C$106,3,FALSE),"")</f>
        <v/>
      </c>
    </row>
    <row r="2492" spans="5:7" ht="15" customHeight="1">
      <c r="E2492" s="49" t="str">
        <f>IFERROR(VLOOKUP(D2492,'taxonomy map'!$A$1:$C$107,2,FALSE),"")</f>
        <v/>
      </c>
      <c r="F2492" s="49" t="str">
        <f>IFERROR(VLOOKUP(E2492,'Condensed Specialty Crosswalk'!$A$2:$C$106,2,FALSE),"")</f>
        <v/>
      </c>
      <c r="G2492" s="49" t="str">
        <f>IFERROR(VLOOKUP(E2492,'Condensed Specialty Crosswalk'!$A$2:$C$106,3,FALSE),"")</f>
        <v/>
      </c>
    </row>
    <row r="2493" spans="5:7" ht="15" customHeight="1">
      <c r="E2493" s="49" t="str">
        <f>IFERROR(VLOOKUP(D2493,'taxonomy map'!$A$1:$C$107,2,FALSE),"")</f>
        <v/>
      </c>
      <c r="F2493" s="49" t="str">
        <f>IFERROR(VLOOKUP(E2493,'Condensed Specialty Crosswalk'!$A$2:$C$106,2,FALSE),"")</f>
        <v/>
      </c>
      <c r="G2493" s="49" t="str">
        <f>IFERROR(VLOOKUP(E2493,'Condensed Specialty Crosswalk'!$A$2:$C$106,3,FALSE),"")</f>
        <v/>
      </c>
    </row>
    <row r="2494" spans="5:7" ht="15" customHeight="1">
      <c r="E2494" s="49" t="str">
        <f>IFERROR(VLOOKUP(D2494,'taxonomy map'!$A$1:$C$107,2,FALSE),"")</f>
        <v/>
      </c>
      <c r="F2494" s="49" t="str">
        <f>IFERROR(VLOOKUP(E2494,'Condensed Specialty Crosswalk'!$A$2:$C$106,2,FALSE),"")</f>
        <v/>
      </c>
      <c r="G2494" s="49" t="str">
        <f>IFERROR(VLOOKUP(E2494,'Condensed Specialty Crosswalk'!$A$2:$C$106,3,FALSE),"")</f>
        <v/>
      </c>
    </row>
    <row r="2495" spans="5:7" ht="15" customHeight="1">
      <c r="E2495" s="49" t="str">
        <f>IFERROR(VLOOKUP(D2495,'taxonomy map'!$A$1:$C$107,2,FALSE),"")</f>
        <v/>
      </c>
      <c r="F2495" s="49" t="str">
        <f>IFERROR(VLOOKUP(E2495,'Condensed Specialty Crosswalk'!$A$2:$C$106,2,FALSE),"")</f>
        <v/>
      </c>
      <c r="G2495" s="49" t="str">
        <f>IFERROR(VLOOKUP(E2495,'Condensed Specialty Crosswalk'!$A$2:$C$106,3,FALSE),"")</f>
        <v/>
      </c>
    </row>
    <row r="2496" spans="5:7" ht="15" customHeight="1">
      <c r="E2496" s="49" t="str">
        <f>IFERROR(VLOOKUP(D2496,'taxonomy map'!$A$1:$C$107,2,FALSE),"")</f>
        <v/>
      </c>
      <c r="F2496" s="49" t="str">
        <f>IFERROR(VLOOKUP(E2496,'Condensed Specialty Crosswalk'!$A$2:$C$106,2,FALSE),"")</f>
        <v/>
      </c>
      <c r="G2496" s="49" t="str">
        <f>IFERROR(VLOOKUP(E2496,'Condensed Specialty Crosswalk'!$A$2:$C$106,3,FALSE),"")</f>
        <v/>
      </c>
    </row>
    <row r="2497" spans="5:7" ht="15" customHeight="1">
      <c r="E2497" s="49" t="str">
        <f>IFERROR(VLOOKUP(D2497,'taxonomy map'!$A$1:$C$107,2,FALSE),"")</f>
        <v/>
      </c>
      <c r="F2497" s="49" t="str">
        <f>IFERROR(VLOOKUP(E2497,'Condensed Specialty Crosswalk'!$A$2:$C$106,2,FALSE),"")</f>
        <v/>
      </c>
      <c r="G2497" s="49" t="str">
        <f>IFERROR(VLOOKUP(E2497,'Condensed Specialty Crosswalk'!$A$2:$C$106,3,FALSE),"")</f>
        <v/>
      </c>
    </row>
    <row r="2498" spans="5:7" ht="15" customHeight="1">
      <c r="E2498" s="49" t="str">
        <f>IFERROR(VLOOKUP(D2498,'taxonomy map'!$A$1:$C$107,2,FALSE),"")</f>
        <v/>
      </c>
      <c r="F2498" s="49" t="str">
        <f>IFERROR(VLOOKUP(E2498,'Condensed Specialty Crosswalk'!$A$2:$C$106,2,FALSE),"")</f>
        <v/>
      </c>
      <c r="G2498" s="49" t="str">
        <f>IFERROR(VLOOKUP(E2498,'Condensed Specialty Crosswalk'!$A$2:$C$106,3,FALSE),"")</f>
        <v/>
      </c>
    </row>
    <row r="2499" spans="5:7" ht="15" customHeight="1">
      <c r="E2499" s="49" t="str">
        <f>IFERROR(VLOOKUP(D2499,'taxonomy map'!$A$1:$C$107,2,FALSE),"")</f>
        <v/>
      </c>
      <c r="F2499" s="49" t="str">
        <f>IFERROR(VLOOKUP(E2499,'Condensed Specialty Crosswalk'!$A$2:$C$106,2,FALSE),"")</f>
        <v/>
      </c>
      <c r="G2499" s="49" t="str">
        <f>IFERROR(VLOOKUP(E2499,'Condensed Specialty Crosswalk'!$A$2:$C$106,3,FALSE),"")</f>
        <v/>
      </c>
    </row>
    <row r="2500" spans="5:7" ht="15" customHeight="1">
      <c r="E2500" s="49" t="str">
        <f>IFERROR(VLOOKUP(D2500,'taxonomy map'!$A$1:$C$107,2,FALSE),"")</f>
        <v/>
      </c>
      <c r="F2500" s="49" t="str">
        <f>IFERROR(VLOOKUP(E2500,'Condensed Specialty Crosswalk'!$A$2:$C$106,2,FALSE),"")</f>
        <v/>
      </c>
      <c r="G2500" s="49" t="str">
        <f>IFERROR(VLOOKUP(E2500,'Condensed Specialty Crosswalk'!$A$2:$C$106,3,FALSE),"")</f>
        <v/>
      </c>
    </row>
    <row r="2501" spans="5:7" ht="15" customHeight="1">
      <c r="E2501" s="49" t="str">
        <f>IFERROR(VLOOKUP(D2501,'taxonomy map'!$A$1:$C$107,2,FALSE),"")</f>
        <v/>
      </c>
      <c r="F2501" s="49" t="str">
        <f>IFERROR(VLOOKUP(E2501,'Condensed Specialty Crosswalk'!$A$2:$C$106,2,FALSE),"")</f>
        <v/>
      </c>
      <c r="G2501" s="49" t="str">
        <f>IFERROR(VLOOKUP(E2501,'Condensed Specialty Crosswalk'!$A$2:$C$106,3,FALSE),"")</f>
        <v/>
      </c>
    </row>
    <row r="2502" spans="5:7" ht="15" customHeight="1">
      <c r="E2502" s="49" t="str">
        <f>IFERROR(VLOOKUP(D2502,'taxonomy map'!$A$1:$C$107,2,FALSE),"")</f>
        <v/>
      </c>
      <c r="F2502" s="49" t="str">
        <f>IFERROR(VLOOKUP(E2502,'Condensed Specialty Crosswalk'!$A$2:$C$106,2,FALSE),"")</f>
        <v/>
      </c>
      <c r="G2502" s="49" t="str">
        <f>IFERROR(VLOOKUP(E2502,'Condensed Specialty Crosswalk'!$A$2:$C$106,3,FALSE),"")</f>
        <v/>
      </c>
    </row>
    <row r="2503" spans="5:7" ht="15" customHeight="1">
      <c r="E2503" s="49" t="str">
        <f>IFERROR(VLOOKUP(D2503,'taxonomy map'!$A$1:$C$107,2,FALSE),"")</f>
        <v/>
      </c>
      <c r="F2503" s="49" t="str">
        <f>IFERROR(VLOOKUP(E2503,'Condensed Specialty Crosswalk'!$A$2:$C$106,2,FALSE),"")</f>
        <v/>
      </c>
      <c r="G2503" s="49" t="str">
        <f>IFERROR(VLOOKUP(E2503,'Condensed Specialty Crosswalk'!$A$2:$C$106,3,FALSE),"")</f>
        <v/>
      </c>
    </row>
    <row r="2504" spans="5:7" ht="15" customHeight="1">
      <c r="E2504" s="49" t="str">
        <f>IFERROR(VLOOKUP(D2504,'taxonomy map'!$A$1:$C$107,2,FALSE),"")</f>
        <v/>
      </c>
      <c r="F2504" s="49" t="str">
        <f>IFERROR(VLOOKUP(E2504,'Condensed Specialty Crosswalk'!$A$2:$C$106,2,FALSE),"")</f>
        <v/>
      </c>
      <c r="G2504" s="49" t="str">
        <f>IFERROR(VLOOKUP(E2504,'Condensed Specialty Crosswalk'!$A$2:$C$106,3,FALSE),"")</f>
        <v/>
      </c>
    </row>
    <row r="2505" spans="5:7" ht="15" customHeight="1">
      <c r="E2505" s="49" t="str">
        <f>IFERROR(VLOOKUP(D2505,'taxonomy map'!$A$1:$C$107,2,FALSE),"")</f>
        <v/>
      </c>
      <c r="F2505" s="49" t="str">
        <f>IFERROR(VLOOKUP(E2505,'Condensed Specialty Crosswalk'!$A$2:$C$106,2,FALSE),"")</f>
        <v/>
      </c>
      <c r="G2505" s="49" t="str">
        <f>IFERROR(VLOOKUP(E2505,'Condensed Specialty Crosswalk'!$A$2:$C$106,3,FALSE),"")</f>
        <v/>
      </c>
    </row>
    <row r="2506" spans="5:7" ht="15" customHeight="1">
      <c r="E2506" s="49" t="str">
        <f>IFERROR(VLOOKUP(D2506,'taxonomy map'!$A$1:$C$107,2,FALSE),"")</f>
        <v/>
      </c>
      <c r="F2506" s="49" t="str">
        <f>IFERROR(VLOOKUP(E2506,'Condensed Specialty Crosswalk'!$A$2:$C$106,2,FALSE),"")</f>
        <v/>
      </c>
      <c r="G2506" s="49" t="str">
        <f>IFERROR(VLOOKUP(E2506,'Condensed Specialty Crosswalk'!$A$2:$C$106,3,FALSE),"")</f>
        <v/>
      </c>
    </row>
    <row r="2507" spans="5:7" ht="15" customHeight="1">
      <c r="E2507" s="49" t="str">
        <f>IFERROR(VLOOKUP(D2507,'taxonomy map'!$A$1:$C$107,2,FALSE),"")</f>
        <v/>
      </c>
      <c r="F2507" s="49" t="str">
        <f>IFERROR(VLOOKUP(E2507,'Condensed Specialty Crosswalk'!$A$2:$C$106,2,FALSE),"")</f>
        <v/>
      </c>
      <c r="G2507" s="49" t="str">
        <f>IFERROR(VLOOKUP(E2507,'Condensed Specialty Crosswalk'!$A$2:$C$106,3,FALSE),"")</f>
        <v/>
      </c>
    </row>
    <row r="2508" spans="5:7" ht="15" customHeight="1">
      <c r="E2508" s="49" t="str">
        <f>IFERROR(VLOOKUP(D2508,'taxonomy map'!$A$1:$C$107,2,FALSE),"")</f>
        <v/>
      </c>
      <c r="F2508" s="49" t="str">
        <f>IFERROR(VLOOKUP(E2508,'Condensed Specialty Crosswalk'!$A$2:$C$106,2,FALSE),"")</f>
        <v/>
      </c>
      <c r="G2508" s="49" t="str">
        <f>IFERROR(VLOOKUP(E2508,'Condensed Specialty Crosswalk'!$A$2:$C$106,3,FALSE),"")</f>
        <v/>
      </c>
    </row>
    <row r="2509" spans="5:7" ht="15" customHeight="1">
      <c r="E2509" s="49" t="str">
        <f>IFERROR(VLOOKUP(D2509,'taxonomy map'!$A$1:$C$107,2,FALSE),"")</f>
        <v/>
      </c>
      <c r="F2509" s="49" t="str">
        <f>IFERROR(VLOOKUP(E2509,'Condensed Specialty Crosswalk'!$A$2:$C$106,2,FALSE),"")</f>
        <v/>
      </c>
      <c r="G2509" s="49" t="str">
        <f>IFERROR(VLOOKUP(E2509,'Condensed Specialty Crosswalk'!$A$2:$C$106,3,FALSE),"")</f>
        <v/>
      </c>
    </row>
    <row r="2510" spans="5:7" ht="15" customHeight="1">
      <c r="E2510" s="49" t="str">
        <f>IFERROR(VLOOKUP(D2510,'taxonomy map'!$A$1:$C$107,2,FALSE),"")</f>
        <v/>
      </c>
      <c r="F2510" s="49" t="str">
        <f>IFERROR(VLOOKUP(E2510,'Condensed Specialty Crosswalk'!$A$2:$C$106,2,FALSE),"")</f>
        <v/>
      </c>
      <c r="G2510" s="49" t="str">
        <f>IFERROR(VLOOKUP(E2510,'Condensed Specialty Crosswalk'!$A$2:$C$106,3,FALSE),"")</f>
        <v/>
      </c>
    </row>
    <row r="2511" spans="5:7" ht="15" customHeight="1">
      <c r="E2511" s="49" t="str">
        <f>IFERROR(VLOOKUP(D2511,'taxonomy map'!$A$1:$C$107,2,FALSE),"")</f>
        <v/>
      </c>
      <c r="F2511" s="49" t="str">
        <f>IFERROR(VLOOKUP(E2511,'Condensed Specialty Crosswalk'!$A$2:$C$106,2,FALSE),"")</f>
        <v/>
      </c>
      <c r="G2511" s="49" t="str">
        <f>IFERROR(VLOOKUP(E2511,'Condensed Specialty Crosswalk'!$A$2:$C$106,3,FALSE),"")</f>
        <v/>
      </c>
    </row>
    <row r="2512" spans="5:7" ht="15" customHeight="1">
      <c r="E2512" s="49" t="str">
        <f>IFERROR(VLOOKUP(D2512,'taxonomy map'!$A$1:$C$107,2,FALSE),"")</f>
        <v/>
      </c>
      <c r="F2512" s="49" t="str">
        <f>IFERROR(VLOOKUP(E2512,'Condensed Specialty Crosswalk'!$A$2:$C$106,2,FALSE),"")</f>
        <v/>
      </c>
      <c r="G2512" s="49" t="str">
        <f>IFERROR(VLOOKUP(E2512,'Condensed Specialty Crosswalk'!$A$2:$C$106,3,FALSE),"")</f>
        <v/>
      </c>
    </row>
    <row r="2513" spans="5:7" ht="15" customHeight="1">
      <c r="E2513" s="49" t="str">
        <f>IFERROR(VLOOKUP(D2513,'taxonomy map'!$A$1:$C$107,2,FALSE),"")</f>
        <v/>
      </c>
      <c r="F2513" s="49" t="str">
        <f>IFERROR(VLOOKUP(E2513,'Condensed Specialty Crosswalk'!$A$2:$C$106,2,FALSE),"")</f>
        <v/>
      </c>
      <c r="G2513" s="49" t="str">
        <f>IFERROR(VLOOKUP(E2513,'Condensed Specialty Crosswalk'!$A$2:$C$106,3,FALSE),"")</f>
        <v/>
      </c>
    </row>
    <row r="2514" spans="5:7" ht="15" customHeight="1">
      <c r="E2514" s="49" t="str">
        <f>IFERROR(VLOOKUP(D2514,'taxonomy map'!$A$1:$C$107,2,FALSE),"")</f>
        <v/>
      </c>
      <c r="F2514" s="49" t="str">
        <f>IFERROR(VLOOKUP(E2514,'Condensed Specialty Crosswalk'!$A$2:$C$106,2,FALSE),"")</f>
        <v/>
      </c>
      <c r="G2514" s="49" t="str">
        <f>IFERROR(VLOOKUP(E2514,'Condensed Specialty Crosswalk'!$A$2:$C$106,3,FALSE),"")</f>
        <v/>
      </c>
    </row>
    <row r="2515" spans="5:7" ht="15" customHeight="1">
      <c r="E2515" s="49" t="str">
        <f>IFERROR(VLOOKUP(D2515,'taxonomy map'!$A$1:$C$107,2,FALSE),"")</f>
        <v/>
      </c>
      <c r="F2515" s="49" t="str">
        <f>IFERROR(VLOOKUP(E2515,'Condensed Specialty Crosswalk'!$A$2:$C$106,2,FALSE),"")</f>
        <v/>
      </c>
      <c r="G2515" s="49" t="str">
        <f>IFERROR(VLOOKUP(E2515,'Condensed Specialty Crosswalk'!$A$2:$C$106,3,FALSE),"")</f>
        <v/>
      </c>
    </row>
    <row r="2516" spans="5:7" ht="15" customHeight="1">
      <c r="E2516" s="49" t="str">
        <f>IFERROR(VLOOKUP(D2516,'taxonomy map'!$A$1:$C$107,2,FALSE),"")</f>
        <v/>
      </c>
      <c r="F2516" s="49" t="str">
        <f>IFERROR(VLOOKUP(E2516,'Condensed Specialty Crosswalk'!$A$2:$C$106,2,FALSE),"")</f>
        <v/>
      </c>
      <c r="G2516" s="49" t="str">
        <f>IFERROR(VLOOKUP(E2516,'Condensed Specialty Crosswalk'!$A$2:$C$106,3,FALSE),"")</f>
        <v/>
      </c>
    </row>
    <row r="2517" spans="5:7" ht="15" customHeight="1">
      <c r="E2517" s="49" t="str">
        <f>IFERROR(VLOOKUP(D2517,'taxonomy map'!$A$1:$C$107,2,FALSE),"")</f>
        <v/>
      </c>
      <c r="F2517" s="49" t="str">
        <f>IFERROR(VLOOKUP(E2517,'Condensed Specialty Crosswalk'!$A$2:$C$106,2,FALSE),"")</f>
        <v/>
      </c>
      <c r="G2517" s="49" t="str">
        <f>IFERROR(VLOOKUP(E2517,'Condensed Specialty Crosswalk'!$A$2:$C$106,3,FALSE),"")</f>
        <v/>
      </c>
    </row>
    <row r="2518" spans="5:7" ht="15" customHeight="1">
      <c r="E2518" s="49" t="str">
        <f>IFERROR(VLOOKUP(D2518,'taxonomy map'!$A$1:$C$107,2,FALSE),"")</f>
        <v/>
      </c>
      <c r="F2518" s="49" t="str">
        <f>IFERROR(VLOOKUP(E2518,'Condensed Specialty Crosswalk'!$A$2:$C$106,2,FALSE),"")</f>
        <v/>
      </c>
      <c r="G2518" s="49" t="str">
        <f>IFERROR(VLOOKUP(E2518,'Condensed Specialty Crosswalk'!$A$2:$C$106,3,FALSE),"")</f>
        <v/>
      </c>
    </row>
    <row r="2519" spans="5:7" ht="15" customHeight="1">
      <c r="E2519" s="49" t="str">
        <f>IFERROR(VLOOKUP(D2519,'taxonomy map'!$A$1:$C$107,2,FALSE),"")</f>
        <v/>
      </c>
      <c r="F2519" s="49" t="str">
        <f>IFERROR(VLOOKUP(E2519,'Condensed Specialty Crosswalk'!$A$2:$C$106,2,FALSE),"")</f>
        <v/>
      </c>
      <c r="G2519" s="49" t="str">
        <f>IFERROR(VLOOKUP(E2519,'Condensed Specialty Crosswalk'!$A$2:$C$106,3,FALSE),"")</f>
        <v/>
      </c>
    </row>
    <row r="2520" spans="5:7" ht="15" customHeight="1">
      <c r="E2520" s="49" t="str">
        <f>IFERROR(VLOOKUP(D2520,'taxonomy map'!$A$1:$C$107,2,FALSE),"")</f>
        <v/>
      </c>
      <c r="F2520" s="49" t="str">
        <f>IFERROR(VLOOKUP(E2520,'Condensed Specialty Crosswalk'!$A$2:$C$106,2,FALSE),"")</f>
        <v/>
      </c>
      <c r="G2520" s="49" t="str">
        <f>IFERROR(VLOOKUP(E2520,'Condensed Specialty Crosswalk'!$A$2:$C$106,3,FALSE),"")</f>
        <v/>
      </c>
    </row>
    <row r="2521" spans="5:7" ht="15" customHeight="1">
      <c r="E2521" s="49" t="str">
        <f>IFERROR(VLOOKUP(D2521,'taxonomy map'!$A$1:$C$107,2,FALSE),"")</f>
        <v/>
      </c>
      <c r="F2521" s="49" t="str">
        <f>IFERROR(VLOOKUP(E2521,'Condensed Specialty Crosswalk'!$A$2:$C$106,2,FALSE),"")</f>
        <v/>
      </c>
      <c r="G2521" s="49" t="str">
        <f>IFERROR(VLOOKUP(E2521,'Condensed Specialty Crosswalk'!$A$2:$C$106,3,FALSE),"")</f>
        <v/>
      </c>
    </row>
    <row r="2522" spans="5:7" ht="15" customHeight="1">
      <c r="E2522" s="49" t="str">
        <f>IFERROR(VLOOKUP(D2522,'taxonomy map'!$A$1:$C$107,2,FALSE),"")</f>
        <v/>
      </c>
      <c r="F2522" s="49" t="str">
        <f>IFERROR(VLOOKUP(E2522,'Condensed Specialty Crosswalk'!$A$2:$C$106,2,FALSE),"")</f>
        <v/>
      </c>
      <c r="G2522" s="49" t="str">
        <f>IFERROR(VLOOKUP(E2522,'Condensed Specialty Crosswalk'!$A$2:$C$106,3,FALSE),"")</f>
        <v/>
      </c>
    </row>
    <row r="2523" spans="5:7" ht="15" customHeight="1">
      <c r="E2523" s="49" t="str">
        <f>IFERROR(VLOOKUP(D2523,'taxonomy map'!$A$1:$C$107,2,FALSE),"")</f>
        <v/>
      </c>
      <c r="F2523" s="49" t="str">
        <f>IFERROR(VLOOKUP(E2523,'Condensed Specialty Crosswalk'!$A$2:$C$106,2,FALSE),"")</f>
        <v/>
      </c>
      <c r="G2523" s="49" t="str">
        <f>IFERROR(VLOOKUP(E2523,'Condensed Specialty Crosswalk'!$A$2:$C$106,3,FALSE),"")</f>
        <v/>
      </c>
    </row>
    <row r="2524" spans="5:7" ht="15" customHeight="1">
      <c r="E2524" s="49" t="str">
        <f>IFERROR(VLOOKUP(D2524,'taxonomy map'!$A$1:$C$107,2,FALSE),"")</f>
        <v/>
      </c>
      <c r="F2524" s="49" t="str">
        <f>IFERROR(VLOOKUP(E2524,'Condensed Specialty Crosswalk'!$A$2:$C$106,2,FALSE),"")</f>
        <v/>
      </c>
      <c r="G2524" s="49" t="str">
        <f>IFERROR(VLOOKUP(E2524,'Condensed Specialty Crosswalk'!$A$2:$C$106,3,FALSE),"")</f>
        <v/>
      </c>
    </row>
    <row r="2525" spans="5:7" ht="15" customHeight="1">
      <c r="E2525" s="49" t="str">
        <f>IFERROR(VLOOKUP(D2525,'taxonomy map'!$A$1:$C$107,2,FALSE),"")</f>
        <v/>
      </c>
      <c r="F2525" s="49" t="str">
        <f>IFERROR(VLOOKUP(E2525,'Condensed Specialty Crosswalk'!$A$2:$C$106,2,FALSE),"")</f>
        <v/>
      </c>
      <c r="G2525" s="49" t="str">
        <f>IFERROR(VLOOKUP(E2525,'Condensed Specialty Crosswalk'!$A$2:$C$106,3,FALSE),"")</f>
        <v/>
      </c>
    </row>
    <row r="2526" spans="5:7" ht="15" customHeight="1">
      <c r="E2526" s="49" t="str">
        <f>IFERROR(VLOOKUP(D2526,'taxonomy map'!$A$1:$C$107,2,FALSE),"")</f>
        <v/>
      </c>
      <c r="F2526" s="49" t="str">
        <f>IFERROR(VLOOKUP(E2526,'Condensed Specialty Crosswalk'!$A$2:$C$106,2,FALSE),"")</f>
        <v/>
      </c>
      <c r="G2526" s="49" t="str">
        <f>IFERROR(VLOOKUP(E2526,'Condensed Specialty Crosswalk'!$A$2:$C$106,3,FALSE),"")</f>
        <v/>
      </c>
    </row>
    <row r="2527" spans="5:7" ht="15" customHeight="1">
      <c r="E2527" s="49" t="str">
        <f>IFERROR(VLOOKUP(D2527,'taxonomy map'!$A$1:$C$107,2,FALSE),"")</f>
        <v/>
      </c>
      <c r="F2527" s="49" t="str">
        <f>IFERROR(VLOOKUP(E2527,'Condensed Specialty Crosswalk'!$A$2:$C$106,2,FALSE),"")</f>
        <v/>
      </c>
      <c r="G2527" s="49" t="str">
        <f>IFERROR(VLOOKUP(E2527,'Condensed Specialty Crosswalk'!$A$2:$C$106,3,FALSE),"")</f>
        <v/>
      </c>
    </row>
    <row r="2528" spans="5:7" ht="15" customHeight="1">
      <c r="E2528" s="49" t="str">
        <f>IFERROR(VLOOKUP(D2528,'taxonomy map'!$A$1:$C$107,2,FALSE),"")</f>
        <v/>
      </c>
      <c r="F2528" s="49" t="str">
        <f>IFERROR(VLOOKUP(E2528,'Condensed Specialty Crosswalk'!$A$2:$C$106,2,FALSE),"")</f>
        <v/>
      </c>
      <c r="G2528" s="49" t="str">
        <f>IFERROR(VLOOKUP(E2528,'Condensed Specialty Crosswalk'!$A$2:$C$106,3,FALSE),"")</f>
        <v/>
      </c>
    </row>
    <row r="2529" spans="5:7" ht="15" customHeight="1">
      <c r="E2529" s="49" t="str">
        <f>IFERROR(VLOOKUP(D2529,'taxonomy map'!$A$1:$C$107,2,FALSE),"")</f>
        <v/>
      </c>
      <c r="F2529" s="49" t="str">
        <f>IFERROR(VLOOKUP(E2529,'Condensed Specialty Crosswalk'!$A$2:$C$106,2,FALSE),"")</f>
        <v/>
      </c>
      <c r="G2529" s="49" t="str">
        <f>IFERROR(VLOOKUP(E2529,'Condensed Specialty Crosswalk'!$A$2:$C$106,3,FALSE),"")</f>
        <v/>
      </c>
    </row>
    <row r="2530" spans="5:7" ht="15" customHeight="1">
      <c r="E2530" s="49" t="str">
        <f>IFERROR(VLOOKUP(D2530,'taxonomy map'!$A$1:$C$107,2,FALSE),"")</f>
        <v/>
      </c>
      <c r="F2530" s="49" t="str">
        <f>IFERROR(VLOOKUP(E2530,'Condensed Specialty Crosswalk'!$A$2:$C$106,2,FALSE),"")</f>
        <v/>
      </c>
      <c r="G2530" s="49" t="str">
        <f>IFERROR(VLOOKUP(E2530,'Condensed Specialty Crosswalk'!$A$2:$C$106,3,FALSE),"")</f>
        <v/>
      </c>
    </row>
    <row r="2531" spans="5:7" ht="15" customHeight="1">
      <c r="E2531" s="49" t="str">
        <f>IFERROR(VLOOKUP(D2531,'taxonomy map'!$A$1:$C$107,2,FALSE),"")</f>
        <v/>
      </c>
      <c r="F2531" s="49" t="str">
        <f>IFERROR(VLOOKUP(E2531,'Condensed Specialty Crosswalk'!$A$2:$C$106,2,FALSE),"")</f>
        <v/>
      </c>
      <c r="G2531" s="49" t="str">
        <f>IFERROR(VLOOKUP(E2531,'Condensed Specialty Crosswalk'!$A$2:$C$106,3,FALSE),"")</f>
        <v/>
      </c>
    </row>
    <row r="2532" spans="5:7" ht="15" customHeight="1">
      <c r="E2532" s="49" t="str">
        <f>IFERROR(VLOOKUP(D2532,'taxonomy map'!$A$1:$C$107,2,FALSE),"")</f>
        <v/>
      </c>
      <c r="F2532" s="49" t="str">
        <f>IFERROR(VLOOKUP(E2532,'Condensed Specialty Crosswalk'!$A$2:$C$106,2,FALSE),"")</f>
        <v/>
      </c>
      <c r="G2532" s="49" t="str">
        <f>IFERROR(VLOOKUP(E2532,'Condensed Specialty Crosswalk'!$A$2:$C$106,3,FALSE),"")</f>
        <v/>
      </c>
    </row>
    <row r="2533" spans="5:7" ht="15" customHeight="1">
      <c r="E2533" s="49" t="str">
        <f>IFERROR(VLOOKUP(D2533,'taxonomy map'!$A$1:$C$107,2,FALSE),"")</f>
        <v/>
      </c>
      <c r="F2533" s="49" t="str">
        <f>IFERROR(VLOOKUP(E2533,'Condensed Specialty Crosswalk'!$A$2:$C$106,2,FALSE),"")</f>
        <v/>
      </c>
      <c r="G2533" s="49" t="str">
        <f>IFERROR(VLOOKUP(E2533,'Condensed Specialty Crosswalk'!$A$2:$C$106,3,FALSE),"")</f>
        <v/>
      </c>
    </row>
    <row r="2534" spans="5:7" ht="15" customHeight="1">
      <c r="E2534" s="49" t="str">
        <f>IFERROR(VLOOKUP(D2534,'taxonomy map'!$A$1:$C$107,2,FALSE),"")</f>
        <v/>
      </c>
      <c r="F2534" s="49" t="str">
        <f>IFERROR(VLOOKUP(E2534,'Condensed Specialty Crosswalk'!$A$2:$C$106,2,FALSE),"")</f>
        <v/>
      </c>
      <c r="G2534" s="49" t="str">
        <f>IFERROR(VLOOKUP(E2534,'Condensed Specialty Crosswalk'!$A$2:$C$106,3,FALSE),"")</f>
        <v/>
      </c>
    </row>
    <row r="2535" spans="5:7" ht="15" customHeight="1">
      <c r="E2535" s="49" t="str">
        <f>IFERROR(VLOOKUP(D2535,'taxonomy map'!$A$1:$C$107,2,FALSE),"")</f>
        <v/>
      </c>
      <c r="F2535" s="49" t="str">
        <f>IFERROR(VLOOKUP(E2535,'Condensed Specialty Crosswalk'!$A$2:$C$106,2,FALSE),"")</f>
        <v/>
      </c>
      <c r="G2535" s="49" t="str">
        <f>IFERROR(VLOOKUP(E2535,'Condensed Specialty Crosswalk'!$A$2:$C$106,3,FALSE),"")</f>
        <v/>
      </c>
    </row>
    <row r="2536" spans="5:7" ht="15" customHeight="1">
      <c r="E2536" s="49" t="str">
        <f>IFERROR(VLOOKUP(D2536,'taxonomy map'!$A$1:$C$107,2,FALSE),"")</f>
        <v/>
      </c>
      <c r="F2536" s="49" t="str">
        <f>IFERROR(VLOOKUP(E2536,'Condensed Specialty Crosswalk'!$A$2:$C$106,2,FALSE),"")</f>
        <v/>
      </c>
      <c r="G2536" s="49" t="str">
        <f>IFERROR(VLOOKUP(E2536,'Condensed Specialty Crosswalk'!$A$2:$C$106,3,FALSE),"")</f>
        <v/>
      </c>
    </row>
    <row r="2537" spans="5:7" ht="15" customHeight="1">
      <c r="E2537" s="49" t="str">
        <f>IFERROR(VLOOKUP(D2537,'taxonomy map'!$A$1:$C$107,2,FALSE),"")</f>
        <v/>
      </c>
      <c r="F2537" s="49" t="str">
        <f>IFERROR(VLOOKUP(E2537,'Condensed Specialty Crosswalk'!$A$2:$C$106,2,FALSE),"")</f>
        <v/>
      </c>
      <c r="G2537" s="49" t="str">
        <f>IFERROR(VLOOKUP(E2537,'Condensed Specialty Crosswalk'!$A$2:$C$106,3,FALSE),"")</f>
        <v/>
      </c>
    </row>
    <row r="2538" spans="5:7" ht="15" customHeight="1">
      <c r="E2538" s="49" t="str">
        <f>IFERROR(VLOOKUP(D2538,'taxonomy map'!$A$1:$C$107,2,FALSE),"")</f>
        <v/>
      </c>
      <c r="F2538" s="49" t="str">
        <f>IFERROR(VLOOKUP(E2538,'Condensed Specialty Crosswalk'!$A$2:$C$106,2,FALSE),"")</f>
        <v/>
      </c>
      <c r="G2538" s="49" t="str">
        <f>IFERROR(VLOOKUP(E2538,'Condensed Specialty Crosswalk'!$A$2:$C$106,3,FALSE),"")</f>
        <v/>
      </c>
    </row>
    <row r="2539" spans="5:7" ht="15" customHeight="1">
      <c r="E2539" s="49" t="str">
        <f>IFERROR(VLOOKUP(D2539,'taxonomy map'!$A$1:$C$107,2,FALSE),"")</f>
        <v/>
      </c>
      <c r="F2539" s="49" t="str">
        <f>IFERROR(VLOOKUP(E2539,'Condensed Specialty Crosswalk'!$A$2:$C$106,2,FALSE),"")</f>
        <v/>
      </c>
      <c r="G2539" s="49" t="str">
        <f>IFERROR(VLOOKUP(E2539,'Condensed Specialty Crosswalk'!$A$2:$C$106,3,FALSE),"")</f>
        <v/>
      </c>
    </row>
    <row r="2540" spans="5:7" ht="15" customHeight="1">
      <c r="E2540" s="49" t="str">
        <f>IFERROR(VLOOKUP(D2540,'taxonomy map'!$A$1:$C$107,2,FALSE),"")</f>
        <v/>
      </c>
      <c r="F2540" s="49" t="str">
        <f>IFERROR(VLOOKUP(E2540,'Condensed Specialty Crosswalk'!$A$2:$C$106,2,FALSE),"")</f>
        <v/>
      </c>
      <c r="G2540" s="49" t="str">
        <f>IFERROR(VLOOKUP(E2540,'Condensed Specialty Crosswalk'!$A$2:$C$106,3,FALSE),"")</f>
        <v/>
      </c>
    </row>
    <row r="2541" spans="5:7" ht="15" customHeight="1">
      <c r="E2541" s="49" t="str">
        <f>IFERROR(VLOOKUP(D2541,'taxonomy map'!$A$1:$C$107,2,FALSE),"")</f>
        <v/>
      </c>
      <c r="F2541" s="49" t="str">
        <f>IFERROR(VLOOKUP(E2541,'Condensed Specialty Crosswalk'!$A$2:$C$106,2,FALSE),"")</f>
        <v/>
      </c>
      <c r="G2541" s="49" t="str">
        <f>IFERROR(VLOOKUP(E2541,'Condensed Specialty Crosswalk'!$A$2:$C$106,3,FALSE),"")</f>
        <v/>
      </c>
    </row>
    <row r="2542" spans="5:7" ht="15" customHeight="1">
      <c r="E2542" s="49" t="str">
        <f>IFERROR(VLOOKUP(D2542,'taxonomy map'!$A$1:$C$107,2,FALSE),"")</f>
        <v/>
      </c>
      <c r="F2542" s="49" t="str">
        <f>IFERROR(VLOOKUP(E2542,'Condensed Specialty Crosswalk'!$A$2:$C$106,2,FALSE),"")</f>
        <v/>
      </c>
      <c r="G2542" s="49" t="str">
        <f>IFERROR(VLOOKUP(E2542,'Condensed Specialty Crosswalk'!$A$2:$C$106,3,FALSE),"")</f>
        <v/>
      </c>
    </row>
    <row r="2543" spans="5:7" ht="15" customHeight="1">
      <c r="E2543" s="49" t="str">
        <f>IFERROR(VLOOKUP(D2543,'taxonomy map'!$A$1:$C$107,2,FALSE),"")</f>
        <v/>
      </c>
      <c r="F2543" s="49" t="str">
        <f>IFERROR(VLOOKUP(E2543,'Condensed Specialty Crosswalk'!$A$2:$C$106,2,FALSE),"")</f>
        <v/>
      </c>
      <c r="G2543" s="49" t="str">
        <f>IFERROR(VLOOKUP(E2543,'Condensed Specialty Crosswalk'!$A$2:$C$106,3,FALSE),"")</f>
        <v/>
      </c>
    </row>
    <row r="2544" spans="5:7" ht="15" customHeight="1">
      <c r="E2544" s="49" t="str">
        <f>IFERROR(VLOOKUP(D2544,'taxonomy map'!$A$1:$C$107,2,FALSE),"")</f>
        <v/>
      </c>
      <c r="F2544" s="49" t="str">
        <f>IFERROR(VLOOKUP(E2544,'Condensed Specialty Crosswalk'!$A$2:$C$106,2,FALSE),"")</f>
        <v/>
      </c>
      <c r="G2544" s="49" t="str">
        <f>IFERROR(VLOOKUP(E2544,'Condensed Specialty Crosswalk'!$A$2:$C$106,3,FALSE),"")</f>
        <v/>
      </c>
    </row>
    <row r="2545" spans="5:7" ht="15" customHeight="1">
      <c r="E2545" s="49" t="str">
        <f>IFERROR(VLOOKUP(D2545,'taxonomy map'!$A$1:$C$107,2,FALSE),"")</f>
        <v/>
      </c>
      <c r="F2545" s="49" t="str">
        <f>IFERROR(VLOOKUP(E2545,'Condensed Specialty Crosswalk'!$A$2:$C$106,2,FALSE),"")</f>
        <v/>
      </c>
      <c r="G2545" s="49" t="str">
        <f>IFERROR(VLOOKUP(E2545,'Condensed Specialty Crosswalk'!$A$2:$C$106,3,FALSE),"")</f>
        <v/>
      </c>
    </row>
    <row r="2546" spans="5:7" ht="15" customHeight="1">
      <c r="E2546" s="49" t="str">
        <f>IFERROR(VLOOKUP(D2546,'taxonomy map'!$A$1:$C$107,2,FALSE),"")</f>
        <v/>
      </c>
      <c r="F2546" s="49" t="str">
        <f>IFERROR(VLOOKUP(E2546,'Condensed Specialty Crosswalk'!$A$2:$C$106,2,FALSE),"")</f>
        <v/>
      </c>
      <c r="G2546" s="49" t="str">
        <f>IFERROR(VLOOKUP(E2546,'Condensed Specialty Crosswalk'!$A$2:$C$106,3,FALSE),"")</f>
        <v/>
      </c>
    </row>
    <row r="2547" spans="5:7" ht="15" customHeight="1">
      <c r="E2547" s="49" t="str">
        <f>IFERROR(VLOOKUP(D2547,'taxonomy map'!$A$1:$C$107,2,FALSE),"")</f>
        <v/>
      </c>
      <c r="F2547" s="49" t="str">
        <f>IFERROR(VLOOKUP(E2547,'Condensed Specialty Crosswalk'!$A$2:$C$106,2,FALSE),"")</f>
        <v/>
      </c>
      <c r="G2547" s="49" t="str">
        <f>IFERROR(VLOOKUP(E2547,'Condensed Specialty Crosswalk'!$A$2:$C$106,3,FALSE),"")</f>
        <v/>
      </c>
    </row>
    <row r="2548" spans="5:7" ht="15" customHeight="1">
      <c r="E2548" s="49" t="str">
        <f>IFERROR(VLOOKUP(D2548,'taxonomy map'!$A$1:$C$107,2,FALSE),"")</f>
        <v/>
      </c>
      <c r="F2548" s="49" t="str">
        <f>IFERROR(VLOOKUP(E2548,'Condensed Specialty Crosswalk'!$A$2:$C$106,2,FALSE),"")</f>
        <v/>
      </c>
      <c r="G2548" s="49" t="str">
        <f>IFERROR(VLOOKUP(E2548,'Condensed Specialty Crosswalk'!$A$2:$C$106,3,FALSE),"")</f>
        <v/>
      </c>
    </row>
    <row r="2549" spans="5:7" ht="15" customHeight="1">
      <c r="E2549" s="49" t="str">
        <f>IFERROR(VLOOKUP(D2549,'taxonomy map'!$A$1:$C$107,2,FALSE),"")</f>
        <v/>
      </c>
      <c r="F2549" s="49" t="str">
        <f>IFERROR(VLOOKUP(E2549,'Condensed Specialty Crosswalk'!$A$2:$C$106,2,FALSE),"")</f>
        <v/>
      </c>
      <c r="G2549" s="49" t="str">
        <f>IFERROR(VLOOKUP(E2549,'Condensed Specialty Crosswalk'!$A$2:$C$106,3,FALSE),"")</f>
        <v/>
      </c>
    </row>
    <row r="2550" spans="5:7" ht="15" customHeight="1">
      <c r="E2550" s="49" t="str">
        <f>IFERROR(VLOOKUP(D2550,'taxonomy map'!$A$1:$C$107,2,FALSE),"")</f>
        <v/>
      </c>
      <c r="F2550" s="49" t="str">
        <f>IFERROR(VLOOKUP(E2550,'Condensed Specialty Crosswalk'!$A$2:$C$106,2,FALSE),"")</f>
        <v/>
      </c>
      <c r="G2550" s="49" t="str">
        <f>IFERROR(VLOOKUP(E2550,'Condensed Specialty Crosswalk'!$A$2:$C$106,3,FALSE),"")</f>
        <v/>
      </c>
    </row>
    <row r="2551" spans="5:7" ht="15" customHeight="1">
      <c r="E2551" s="49" t="str">
        <f>IFERROR(VLOOKUP(D2551,'taxonomy map'!$A$1:$C$107,2,FALSE),"")</f>
        <v/>
      </c>
      <c r="F2551" s="49" t="str">
        <f>IFERROR(VLOOKUP(E2551,'Condensed Specialty Crosswalk'!$A$2:$C$106,2,FALSE),"")</f>
        <v/>
      </c>
      <c r="G2551" s="49" t="str">
        <f>IFERROR(VLOOKUP(E2551,'Condensed Specialty Crosswalk'!$A$2:$C$106,3,FALSE),"")</f>
        <v/>
      </c>
    </row>
    <row r="2552" spans="5:7" ht="15" customHeight="1">
      <c r="E2552" s="49" t="str">
        <f>IFERROR(VLOOKUP(D2552,'taxonomy map'!$A$1:$C$107,2,FALSE),"")</f>
        <v/>
      </c>
      <c r="F2552" s="49" t="str">
        <f>IFERROR(VLOOKUP(E2552,'Condensed Specialty Crosswalk'!$A$2:$C$106,2,FALSE),"")</f>
        <v/>
      </c>
      <c r="G2552" s="49" t="str">
        <f>IFERROR(VLOOKUP(E2552,'Condensed Specialty Crosswalk'!$A$2:$C$106,3,FALSE),"")</f>
        <v/>
      </c>
    </row>
    <row r="2553" spans="5:7" ht="15" customHeight="1">
      <c r="E2553" s="49" t="str">
        <f>IFERROR(VLOOKUP(D2553,'taxonomy map'!$A$1:$C$107,2,FALSE),"")</f>
        <v/>
      </c>
      <c r="F2553" s="49" t="str">
        <f>IFERROR(VLOOKUP(E2553,'Condensed Specialty Crosswalk'!$A$2:$C$106,2,FALSE),"")</f>
        <v/>
      </c>
      <c r="G2553" s="49" t="str">
        <f>IFERROR(VLOOKUP(E2553,'Condensed Specialty Crosswalk'!$A$2:$C$106,3,FALSE),"")</f>
        <v/>
      </c>
    </row>
    <row r="2554" spans="5:7" ht="15" customHeight="1">
      <c r="E2554" s="49" t="str">
        <f>IFERROR(VLOOKUP(D2554,'taxonomy map'!$A$1:$C$107,2,FALSE),"")</f>
        <v/>
      </c>
      <c r="F2554" s="49" t="str">
        <f>IFERROR(VLOOKUP(E2554,'Condensed Specialty Crosswalk'!$A$2:$C$106,2,FALSE),"")</f>
        <v/>
      </c>
      <c r="G2554" s="49" t="str">
        <f>IFERROR(VLOOKUP(E2554,'Condensed Specialty Crosswalk'!$A$2:$C$106,3,FALSE),"")</f>
        <v/>
      </c>
    </row>
    <row r="2555" spans="5:7" ht="15" customHeight="1">
      <c r="E2555" s="49" t="str">
        <f>IFERROR(VLOOKUP(D2555,'taxonomy map'!$A$1:$C$107,2,FALSE),"")</f>
        <v/>
      </c>
      <c r="F2555" s="49" t="str">
        <f>IFERROR(VLOOKUP(E2555,'Condensed Specialty Crosswalk'!$A$2:$C$106,2,FALSE),"")</f>
        <v/>
      </c>
      <c r="G2555" s="49" t="str">
        <f>IFERROR(VLOOKUP(E2555,'Condensed Specialty Crosswalk'!$A$2:$C$106,3,FALSE),"")</f>
        <v/>
      </c>
    </row>
    <row r="2556" spans="5:7" ht="15" customHeight="1">
      <c r="E2556" s="49" t="str">
        <f>IFERROR(VLOOKUP(D2556,'taxonomy map'!$A$1:$C$107,2,FALSE),"")</f>
        <v/>
      </c>
      <c r="F2556" s="49" t="str">
        <f>IFERROR(VLOOKUP(E2556,'Condensed Specialty Crosswalk'!$A$2:$C$106,2,FALSE),"")</f>
        <v/>
      </c>
      <c r="G2556" s="49" t="str">
        <f>IFERROR(VLOOKUP(E2556,'Condensed Specialty Crosswalk'!$A$2:$C$106,3,FALSE),"")</f>
        <v/>
      </c>
    </row>
    <row r="2557" spans="5:7" ht="15" customHeight="1">
      <c r="E2557" s="49" t="str">
        <f>IFERROR(VLOOKUP(D2557,'taxonomy map'!$A$1:$C$107,2,FALSE),"")</f>
        <v/>
      </c>
      <c r="F2557" s="49" t="str">
        <f>IFERROR(VLOOKUP(E2557,'Condensed Specialty Crosswalk'!$A$2:$C$106,2,FALSE),"")</f>
        <v/>
      </c>
      <c r="G2557" s="49" t="str">
        <f>IFERROR(VLOOKUP(E2557,'Condensed Specialty Crosswalk'!$A$2:$C$106,3,FALSE),"")</f>
        <v/>
      </c>
    </row>
    <row r="2558" spans="5:7" ht="15" customHeight="1">
      <c r="E2558" s="49" t="str">
        <f>IFERROR(VLOOKUP(D2558,'taxonomy map'!$A$1:$C$107,2,FALSE),"")</f>
        <v/>
      </c>
      <c r="F2558" s="49" t="str">
        <f>IFERROR(VLOOKUP(E2558,'Condensed Specialty Crosswalk'!$A$2:$C$106,2,FALSE),"")</f>
        <v/>
      </c>
      <c r="G2558" s="49" t="str">
        <f>IFERROR(VLOOKUP(E2558,'Condensed Specialty Crosswalk'!$A$2:$C$106,3,FALSE),"")</f>
        <v/>
      </c>
    </row>
    <row r="2559" spans="5:7" ht="15" customHeight="1">
      <c r="E2559" s="49" t="str">
        <f>IFERROR(VLOOKUP(D2559,'taxonomy map'!$A$1:$C$107,2,FALSE),"")</f>
        <v/>
      </c>
      <c r="F2559" s="49" t="str">
        <f>IFERROR(VLOOKUP(E2559,'Condensed Specialty Crosswalk'!$A$2:$C$106,2,FALSE),"")</f>
        <v/>
      </c>
      <c r="G2559" s="49" t="str">
        <f>IFERROR(VLOOKUP(E2559,'Condensed Specialty Crosswalk'!$A$2:$C$106,3,FALSE),"")</f>
        <v/>
      </c>
    </row>
    <row r="2560" spans="5:7" ht="15" customHeight="1">
      <c r="E2560" s="49" t="str">
        <f>IFERROR(VLOOKUP(D2560,'taxonomy map'!$A$1:$C$107,2,FALSE),"")</f>
        <v/>
      </c>
      <c r="F2560" s="49" t="str">
        <f>IFERROR(VLOOKUP(E2560,'Condensed Specialty Crosswalk'!$A$2:$C$106,2,FALSE),"")</f>
        <v/>
      </c>
      <c r="G2560" s="49" t="str">
        <f>IFERROR(VLOOKUP(E2560,'Condensed Specialty Crosswalk'!$A$2:$C$106,3,FALSE),"")</f>
        <v/>
      </c>
    </row>
    <row r="2561" spans="5:7" ht="15" customHeight="1">
      <c r="E2561" s="49" t="str">
        <f>IFERROR(VLOOKUP(D2561,'taxonomy map'!$A$1:$C$107,2,FALSE),"")</f>
        <v/>
      </c>
      <c r="F2561" s="49" t="str">
        <f>IFERROR(VLOOKUP(E2561,'Condensed Specialty Crosswalk'!$A$2:$C$106,2,FALSE),"")</f>
        <v/>
      </c>
      <c r="G2561" s="49" t="str">
        <f>IFERROR(VLOOKUP(E2561,'Condensed Specialty Crosswalk'!$A$2:$C$106,3,FALSE),"")</f>
        <v/>
      </c>
    </row>
    <row r="2562" spans="5:7" ht="15" customHeight="1">
      <c r="E2562" s="49" t="str">
        <f>IFERROR(VLOOKUP(D2562,'taxonomy map'!$A$1:$C$107,2,FALSE),"")</f>
        <v/>
      </c>
      <c r="F2562" s="49" t="str">
        <f>IFERROR(VLOOKUP(E2562,'Condensed Specialty Crosswalk'!$A$2:$C$106,2,FALSE),"")</f>
        <v/>
      </c>
      <c r="G2562" s="49" t="str">
        <f>IFERROR(VLOOKUP(E2562,'Condensed Specialty Crosswalk'!$A$2:$C$106,3,FALSE),"")</f>
        <v/>
      </c>
    </row>
    <row r="2563" spans="5:7" ht="15" customHeight="1">
      <c r="E2563" s="49" t="str">
        <f>IFERROR(VLOOKUP(D2563,'taxonomy map'!$A$1:$C$107,2,FALSE),"")</f>
        <v/>
      </c>
      <c r="F2563" s="49" t="str">
        <f>IFERROR(VLOOKUP(E2563,'Condensed Specialty Crosswalk'!$A$2:$C$106,2,FALSE),"")</f>
        <v/>
      </c>
      <c r="G2563" s="49" t="str">
        <f>IFERROR(VLOOKUP(E2563,'Condensed Specialty Crosswalk'!$A$2:$C$106,3,FALSE),"")</f>
        <v/>
      </c>
    </row>
    <row r="2564" spans="5:7" ht="15" customHeight="1">
      <c r="E2564" s="49" t="str">
        <f>IFERROR(VLOOKUP(D2564,'taxonomy map'!$A$1:$C$107,2,FALSE),"")</f>
        <v/>
      </c>
      <c r="F2564" s="49" t="str">
        <f>IFERROR(VLOOKUP(E2564,'Condensed Specialty Crosswalk'!$A$2:$C$106,2,FALSE),"")</f>
        <v/>
      </c>
      <c r="G2564" s="49" t="str">
        <f>IFERROR(VLOOKUP(E2564,'Condensed Specialty Crosswalk'!$A$2:$C$106,3,FALSE),"")</f>
        <v/>
      </c>
    </row>
    <row r="2565" spans="5:7" ht="15" customHeight="1">
      <c r="E2565" s="49" t="str">
        <f>IFERROR(VLOOKUP(D2565,'taxonomy map'!$A$1:$C$107,2,FALSE),"")</f>
        <v/>
      </c>
      <c r="F2565" s="49" t="str">
        <f>IFERROR(VLOOKUP(E2565,'Condensed Specialty Crosswalk'!$A$2:$C$106,2,FALSE),"")</f>
        <v/>
      </c>
      <c r="G2565" s="49" t="str">
        <f>IFERROR(VLOOKUP(E2565,'Condensed Specialty Crosswalk'!$A$2:$C$106,3,FALSE),"")</f>
        <v/>
      </c>
    </row>
    <row r="2566" spans="5:7" ht="15" customHeight="1">
      <c r="E2566" s="49" t="str">
        <f>IFERROR(VLOOKUP(D2566,'taxonomy map'!$A$1:$C$107,2,FALSE),"")</f>
        <v/>
      </c>
      <c r="F2566" s="49" t="str">
        <f>IFERROR(VLOOKUP(E2566,'Condensed Specialty Crosswalk'!$A$2:$C$106,2,FALSE),"")</f>
        <v/>
      </c>
      <c r="G2566" s="49" t="str">
        <f>IFERROR(VLOOKUP(E2566,'Condensed Specialty Crosswalk'!$A$2:$C$106,3,FALSE),"")</f>
        <v/>
      </c>
    </row>
    <row r="2567" spans="5:7" ht="15" customHeight="1">
      <c r="E2567" s="49" t="str">
        <f>IFERROR(VLOOKUP(D2567,'taxonomy map'!$A$1:$C$107,2,FALSE),"")</f>
        <v/>
      </c>
      <c r="F2567" s="49" t="str">
        <f>IFERROR(VLOOKUP(E2567,'Condensed Specialty Crosswalk'!$A$2:$C$106,2,FALSE),"")</f>
        <v/>
      </c>
      <c r="G2567" s="49" t="str">
        <f>IFERROR(VLOOKUP(E2567,'Condensed Specialty Crosswalk'!$A$2:$C$106,3,FALSE),"")</f>
        <v/>
      </c>
    </row>
    <row r="2568" spans="5:7" ht="15" customHeight="1">
      <c r="E2568" s="49" t="str">
        <f>IFERROR(VLOOKUP(D2568,'taxonomy map'!$A$1:$C$107,2,FALSE),"")</f>
        <v/>
      </c>
      <c r="F2568" s="49" t="str">
        <f>IFERROR(VLOOKUP(E2568,'Condensed Specialty Crosswalk'!$A$2:$C$106,2,FALSE),"")</f>
        <v/>
      </c>
      <c r="G2568" s="49" t="str">
        <f>IFERROR(VLOOKUP(E2568,'Condensed Specialty Crosswalk'!$A$2:$C$106,3,FALSE),"")</f>
        <v/>
      </c>
    </row>
    <row r="2569" spans="5:7" ht="15" customHeight="1">
      <c r="E2569" s="49" t="str">
        <f>IFERROR(VLOOKUP(D2569,'taxonomy map'!$A$1:$C$107,2,FALSE),"")</f>
        <v/>
      </c>
      <c r="F2569" s="49" t="str">
        <f>IFERROR(VLOOKUP(E2569,'Condensed Specialty Crosswalk'!$A$2:$C$106,2,FALSE),"")</f>
        <v/>
      </c>
      <c r="G2569" s="49" t="str">
        <f>IFERROR(VLOOKUP(E2569,'Condensed Specialty Crosswalk'!$A$2:$C$106,3,FALSE),"")</f>
        <v/>
      </c>
    </row>
    <row r="2570" spans="5:7" ht="15" customHeight="1">
      <c r="E2570" s="49" t="str">
        <f>IFERROR(VLOOKUP(D2570,'taxonomy map'!$A$1:$C$107,2,FALSE),"")</f>
        <v/>
      </c>
      <c r="F2570" s="49" t="str">
        <f>IFERROR(VLOOKUP(E2570,'Condensed Specialty Crosswalk'!$A$2:$C$106,2,FALSE),"")</f>
        <v/>
      </c>
      <c r="G2570" s="49" t="str">
        <f>IFERROR(VLOOKUP(E2570,'Condensed Specialty Crosswalk'!$A$2:$C$106,3,FALSE),"")</f>
        <v/>
      </c>
    </row>
    <row r="2571" spans="5:7" ht="15" customHeight="1">
      <c r="E2571" s="49" t="str">
        <f>IFERROR(VLOOKUP(D2571,'taxonomy map'!$A$1:$C$107,2,FALSE),"")</f>
        <v/>
      </c>
      <c r="F2571" s="49" t="str">
        <f>IFERROR(VLOOKUP(E2571,'Condensed Specialty Crosswalk'!$A$2:$C$106,2,FALSE),"")</f>
        <v/>
      </c>
      <c r="G2571" s="49" t="str">
        <f>IFERROR(VLOOKUP(E2571,'Condensed Specialty Crosswalk'!$A$2:$C$106,3,FALSE),"")</f>
        <v/>
      </c>
    </row>
    <row r="2572" spans="5:7" ht="15" customHeight="1">
      <c r="E2572" s="49" t="str">
        <f>IFERROR(VLOOKUP(D2572,'taxonomy map'!$A$1:$C$107,2,FALSE),"")</f>
        <v/>
      </c>
      <c r="F2572" s="49" t="str">
        <f>IFERROR(VLOOKUP(E2572,'Condensed Specialty Crosswalk'!$A$2:$C$106,2,FALSE),"")</f>
        <v/>
      </c>
      <c r="G2572" s="49" t="str">
        <f>IFERROR(VLOOKUP(E2572,'Condensed Specialty Crosswalk'!$A$2:$C$106,3,FALSE),"")</f>
        <v/>
      </c>
    </row>
    <row r="2573" spans="5:7" ht="15" customHeight="1">
      <c r="E2573" s="49" t="str">
        <f>IFERROR(VLOOKUP(D2573,'taxonomy map'!$A$1:$C$107,2,FALSE),"")</f>
        <v/>
      </c>
      <c r="F2573" s="49" t="str">
        <f>IFERROR(VLOOKUP(E2573,'Condensed Specialty Crosswalk'!$A$2:$C$106,2,FALSE),"")</f>
        <v/>
      </c>
      <c r="G2573" s="49" t="str">
        <f>IFERROR(VLOOKUP(E2573,'Condensed Specialty Crosswalk'!$A$2:$C$106,3,FALSE),"")</f>
        <v/>
      </c>
    </row>
    <row r="2574" spans="5:7" ht="15" customHeight="1">
      <c r="E2574" s="49" t="str">
        <f>IFERROR(VLOOKUP(D2574,'taxonomy map'!$A$1:$C$107,2,FALSE),"")</f>
        <v/>
      </c>
      <c r="F2574" s="49" t="str">
        <f>IFERROR(VLOOKUP(E2574,'Condensed Specialty Crosswalk'!$A$2:$C$106,2,FALSE),"")</f>
        <v/>
      </c>
      <c r="G2574" s="49" t="str">
        <f>IFERROR(VLOOKUP(E2574,'Condensed Specialty Crosswalk'!$A$2:$C$106,3,FALSE),"")</f>
        <v/>
      </c>
    </row>
    <row r="2575" spans="5:7" ht="15" customHeight="1">
      <c r="E2575" s="49" t="str">
        <f>IFERROR(VLOOKUP(D2575,'taxonomy map'!$A$1:$C$107,2,FALSE),"")</f>
        <v/>
      </c>
      <c r="F2575" s="49" t="str">
        <f>IFERROR(VLOOKUP(E2575,'Condensed Specialty Crosswalk'!$A$2:$C$106,2,FALSE),"")</f>
        <v/>
      </c>
      <c r="G2575" s="49" t="str">
        <f>IFERROR(VLOOKUP(E2575,'Condensed Specialty Crosswalk'!$A$2:$C$106,3,FALSE),"")</f>
        <v/>
      </c>
    </row>
    <row r="2576" spans="5:7" ht="15" customHeight="1">
      <c r="E2576" s="49" t="str">
        <f>IFERROR(VLOOKUP(D2576,'taxonomy map'!$A$1:$C$107,2,FALSE),"")</f>
        <v/>
      </c>
      <c r="F2576" s="49" t="str">
        <f>IFERROR(VLOOKUP(E2576,'Condensed Specialty Crosswalk'!$A$2:$C$106,2,FALSE),"")</f>
        <v/>
      </c>
      <c r="G2576" s="49" t="str">
        <f>IFERROR(VLOOKUP(E2576,'Condensed Specialty Crosswalk'!$A$2:$C$106,3,FALSE),"")</f>
        <v/>
      </c>
    </row>
    <row r="2577" spans="5:7" ht="15" customHeight="1">
      <c r="E2577" s="49" t="str">
        <f>IFERROR(VLOOKUP(D2577,'taxonomy map'!$A$1:$C$107,2,FALSE),"")</f>
        <v/>
      </c>
      <c r="F2577" s="49" t="str">
        <f>IFERROR(VLOOKUP(E2577,'Condensed Specialty Crosswalk'!$A$2:$C$106,2,FALSE),"")</f>
        <v/>
      </c>
      <c r="G2577" s="49" t="str">
        <f>IFERROR(VLOOKUP(E2577,'Condensed Specialty Crosswalk'!$A$2:$C$106,3,FALSE),"")</f>
        <v/>
      </c>
    </row>
    <row r="2578" spans="5:7" ht="15" customHeight="1">
      <c r="E2578" s="49" t="str">
        <f>IFERROR(VLOOKUP(D2578,'taxonomy map'!$A$1:$C$107,2,FALSE),"")</f>
        <v/>
      </c>
      <c r="F2578" s="49" t="str">
        <f>IFERROR(VLOOKUP(E2578,'Condensed Specialty Crosswalk'!$A$2:$C$106,2,FALSE),"")</f>
        <v/>
      </c>
      <c r="G2578" s="49" t="str">
        <f>IFERROR(VLOOKUP(E2578,'Condensed Specialty Crosswalk'!$A$2:$C$106,3,FALSE),"")</f>
        <v/>
      </c>
    </row>
    <row r="2579" spans="5:7" ht="15" customHeight="1">
      <c r="E2579" s="49" t="str">
        <f>IFERROR(VLOOKUP(D2579,'taxonomy map'!$A$1:$C$107,2,FALSE),"")</f>
        <v/>
      </c>
      <c r="F2579" s="49" t="str">
        <f>IFERROR(VLOOKUP(E2579,'Condensed Specialty Crosswalk'!$A$2:$C$106,2,FALSE),"")</f>
        <v/>
      </c>
      <c r="G2579" s="49" t="str">
        <f>IFERROR(VLOOKUP(E2579,'Condensed Specialty Crosswalk'!$A$2:$C$106,3,FALSE),"")</f>
        <v/>
      </c>
    </row>
    <row r="2580" spans="5:7" ht="15" customHeight="1">
      <c r="E2580" s="49" t="str">
        <f>IFERROR(VLOOKUP(D2580,'taxonomy map'!$A$1:$C$107,2,FALSE),"")</f>
        <v/>
      </c>
      <c r="F2580" s="49" t="str">
        <f>IFERROR(VLOOKUP(E2580,'Condensed Specialty Crosswalk'!$A$2:$C$106,2,FALSE),"")</f>
        <v/>
      </c>
      <c r="G2580" s="49" t="str">
        <f>IFERROR(VLOOKUP(E2580,'Condensed Specialty Crosswalk'!$A$2:$C$106,3,FALSE),"")</f>
        <v/>
      </c>
    </row>
    <row r="2581" spans="5:7" ht="15" customHeight="1">
      <c r="E2581" s="49" t="str">
        <f>IFERROR(VLOOKUP(D2581,'taxonomy map'!$A$1:$C$107,2,FALSE),"")</f>
        <v/>
      </c>
      <c r="F2581" s="49" t="str">
        <f>IFERROR(VLOOKUP(E2581,'Condensed Specialty Crosswalk'!$A$2:$C$106,2,FALSE),"")</f>
        <v/>
      </c>
      <c r="G2581" s="49" t="str">
        <f>IFERROR(VLOOKUP(E2581,'Condensed Specialty Crosswalk'!$A$2:$C$106,3,FALSE),"")</f>
        <v/>
      </c>
    </row>
    <row r="2582" spans="5:7" ht="15" customHeight="1">
      <c r="E2582" s="49" t="str">
        <f>IFERROR(VLOOKUP(D2582,'taxonomy map'!$A$1:$C$107,2,FALSE),"")</f>
        <v/>
      </c>
      <c r="F2582" s="49" t="str">
        <f>IFERROR(VLOOKUP(E2582,'Condensed Specialty Crosswalk'!$A$2:$C$106,2,FALSE),"")</f>
        <v/>
      </c>
      <c r="G2582" s="49" t="str">
        <f>IFERROR(VLOOKUP(E2582,'Condensed Specialty Crosswalk'!$A$2:$C$106,3,FALSE),"")</f>
        <v/>
      </c>
    </row>
    <row r="2583" spans="5:7" ht="15" customHeight="1">
      <c r="E2583" s="49" t="str">
        <f>IFERROR(VLOOKUP(D2583,'taxonomy map'!$A$1:$C$107,2,FALSE),"")</f>
        <v/>
      </c>
      <c r="F2583" s="49" t="str">
        <f>IFERROR(VLOOKUP(E2583,'Condensed Specialty Crosswalk'!$A$2:$C$106,2,FALSE),"")</f>
        <v/>
      </c>
      <c r="G2583" s="49" t="str">
        <f>IFERROR(VLOOKUP(E2583,'Condensed Specialty Crosswalk'!$A$2:$C$106,3,FALSE),"")</f>
        <v/>
      </c>
    </row>
    <row r="2584" spans="5:7" ht="15" customHeight="1">
      <c r="E2584" s="49" t="str">
        <f>IFERROR(VLOOKUP(D2584,'taxonomy map'!$A$1:$C$107,2,FALSE),"")</f>
        <v/>
      </c>
      <c r="F2584" s="49" t="str">
        <f>IFERROR(VLOOKUP(E2584,'Condensed Specialty Crosswalk'!$A$2:$C$106,2,FALSE),"")</f>
        <v/>
      </c>
      <c r="G2584" s="49" t="str">
        <f>IFERROR(VLOOKUP(E2584,'Condensed Specialty Crosswalk'!$A$2:$C$106,3,FALSE),"")</f>
        <v/>
      </c>
    </row>
    <row r="2585" spans="5:7" ht="15" customHeight="1">
      <c r="E2585" s="49" t="str">
        <f>IFERROR(VLOOKUP(D2585,'taxonomy map'!$A$1:$C$107,2,FALSE),"")</f>
        <v/>
      </c>
      <c r="F2585" s="49" t="str">
        <f>IFERROR(VLOOKUP(E2585,'Condensed Specialty Crosswalk'!$A$2:$C$106,2,FALSE),"")</f>
        <v/>
      </c>
      <c r="G2585" s="49" t="str">
        <f>IFERROR(VLOOKUP(E2585,'Condensed Specialty Crosswalk'!$A$2:$C$106,3,FALSE),"")</f>
        <v/>
      </c>
    </row>
    <row r="2586" spans="5:7" ht="15" customHeight="1">
      <c r="E2586" s="49" t="str">
        <f>IFERROR(VLOOKUP(D2586,'taxonomy map'!$A$1:$C$107,2,FALSE),"")</f>
        <v/>
      </c>
      <c r="F2586" s="49" t="str">
        <f>IFERROR(VLOOKUP(E2586,'Condensed Specialty Crosswalk'!$A$2:$C$106,2,FALSE),"")</f>
        <v/>
      </c>
      <c r="G2586" s="49" t="str">
        <f>IFERROR(VLOOKUP(E2586,'Condensed Specialty Crosswalk'!$A$2:$C$106,3,FALSE),"")</f>
        <v/>
      </c>
    </row>
    <row r="2587" spans="5:7" ht="15" customHeight="1">
      <c r="E2587" s="49" t="str">
        <f>IFERROR(VLOOKUP(D2587,'taxonomy map'!$A$1:$C$107,2,FALSE),"")</f>
        <v/>
      </c>
      <c r="F2587" s="49" t="str">
        <f>IFERROR(VLOOKUP(E2587,'Condensed Specialty Crosswalk'!$A$2:$C$106,2,FALSE),"")</f>
        <v/>
      </c>
      <c r="G2587" s="49" t="str">
        <f>IFERROR(VLOOKUP(E2587,'Condensed Specialty Crosswalk'!$A$2:$C$106,3,FALSE),"")</f>
        <v/>
      </c>
    </row>
    <row r="2588" spans="5:7" ht="15" customHeight="1">
      <c r="E2588" s="49" t="str">
        <f>IFERROR(VLOOKUP(D2588,'taxonomy map'!$A$1:$C$107,2,FALSE),"")</f>
        <v/>
      </c>
      <c r="F2588" s="49" t="str">
        <f>IFERROR(VLOOKUP(E2588,'Condensed Specialty Crosswalk'!$A$2:$C$106,2,FALSE),"")</f>
        <v/>
      </c>
      <c r="G2588" s="49" t="str">
        <f>IFERROR(VLOOKUP(E2588,'Condensed Specialty Crosswalk'!$A$2:$C$106,3,FALSE),"")</f>
        <v/>
      </c>
    </row>
    <row r="2589" spans="5:7" ht="15" customHeight="1">
      <c r="E2589" s="49" t="str">
        <f>IFERROR(VLOOKUP(D2589,'taxonomy map'!$A$1:$C$107,2,FALSE),"")</f>
        <v/>
      </c>
      <c r="F2589" s="49" t="str">
        <f>IFERROR(VLOOKUP(E2589,'Condensed Specialty Crosswalk'!$A$2:$C$106,2,FALSE),"")</f>
        <v/>
      </c>
      <c r="G2589" s="49" t="str">
        <f>IFERROR(VLOOKUP(E2589,'Condensed Specialty Crosswalk'!$A$2:$C$106,3,FALSE),"")</f>
        <v/>
      </c>
    </row>
    <row r="2590" spans="5:7" ht="15" customHeight="1">
      <c r="E2590" s="49" t="str">
        <f>IFERROR(VLOOKUP(D2590,'taxonomy map'!$A$1:$C$107,2,FALSE),"")</f>
        <v/>
      </c>
      <c r="F2590" s="49" t="str">
        <f>IFERROR(VLOOKUP(E2590,'Condensed Specialty Crosswalk'!$A$2:$C$106,2,FALSE),"")</f>
        <v/>
      </c>
      <c r="G2590" s="49" t="str">
        <f>IFERROR(VLOOKUP(E2590,'Condensed Specialty Crosswalk'!$A$2:$C$106,3,FALSE),"")</f>
        <v/>
      </c>
    </row>
    <row r="2591" spans="5:7" ht="15" customHeight="1">
      <c r="E2591" s="49" t="str">
        <f>IFERROR(VLOOKUP(D2591,'taxonomy map'!$A$1:$C$107,2,FALSE),"")</f>
        <v/>
      </c>
      <c r="F2591" s="49" t="str">
        <f>IFERROR(VLOOKUP(E2591,'Condensed Specialty Crosswalk'!$A$2:$C$106,2,FALSE),"")</f>
        <v/>
      </c>
      <c r="G2591" s="49" t="str">
        <f>IFERROR(VLOOKUP(E2591,'Condensed Specialty Crosswalk'!$A$2:$C$106,3,FALSE),"")</f>
        <v/>
      </c>
    </row>
    <row r="2592" spans="5:7" ht="15" customHeight="1">
      <c r="E2592" s="49" t="str">
        <f>IFERROR(VLOOKUP(D2592,'taxonomy map'!$A$1:$C$107,2,FALSE),"")</f>
        <v/>
      </c>
      <c r="F2592" s="49" t="str">
        <f>IFERROR(VLOOKUP(E2592,'Condensed Specialty Crosswalk'!$A$2:$C$106,2,FALSE),"")</f>
        <v/>
      </c>
      <c r="G2592" s="49" t="str">
        <f>IFERROR(VLOOKUP(E2592,'Condensed Specialty Crosswalk'!$A$2:$C$106,3,FALSE),"")</f>
        <v/>
      </c>
    </row>
    <row r="2593" spans="5:7" ht="15" customHeight="1">
      <c r="E2593" s="49" t="str">
        <f>IFERROR(VLOOKUP(D2593,'taxonomy map'!$A$1:$C$107,2,FALSE),"")</f>
        <v/>
      </c>
      <c r="F2593" s="49" t="str">
        <f>IFERROR(VLOOKUP(E2593,'Condensed Specialty Crosswalk'!$A$2:$C$106,2,FALSE),"")</f>
        <v/>
      </c>
      <c r="G2593" s="49" t="str">
        <f>IFERROR(VLOOKUP(E2593,'Condensed Specialty Crosswalk'!$A$2:$C$106,3,FALSE),"")</f>
        <v/>
      </c>
    </row>
    <row r="2594" spans="5:7" ht="15" customHeight="1">
      <c r="E2594" s="49" t="str">
        <f>IFERROR(VLOOKUP(D2594,'taxonomy map'!$A$1:$C$107,2,FALSE),"")</f>
        <v/>
      </c>
      <c r="F2594" s="49" t="str">
        <f>IFERROR(VLOOKUP(E2594,'Condensed Specialty Crosswalk'!$A$2:$C$106,2,FALSE),"")</f>
        <v/>
      </c>
      <c r="G2594" s="49" t="str">
        <f>IFERROR(VLOOKUP(E2594,'Condensed Specialty Crosswalk'!$A$2:$C$106,3,FALSE),"")</f>
        <v/>
      </c>
    </row>
    <row r="2595" spans="5:7" ht="15" customHeight="1">
      <c r="E2595" s="49" t="str">
        <f>IFERROR(VLOOKUP(D2595,'taxonomy map'!$A$1:$C$107,2,FALSE),"")</f>
        <v/>
      </c>
      <c r="F2595" s="49" t="str">
        <f>IFERROR(VLOOKUP(E2595,'Condensed Specialty Crosswalk'!$A$2:$C$106,2,FALSE),"")</f>
        <v/>
      </c>
      <c r="G2595" s="49" t="str">
        <f>IFERROR(VLOOKUP(E2595,'Condensed Specialty Crosswalk'!$A$2:$C$106,3,FALSE),"")</f>
        <v/>
      </c>
    </row>
    <row r="2596" spans="5:7" ht="15" customHeight="1">
      <c r="E2596" s="49" t="str">
        <f>IFERROR(VLOOKUP(D2596,'taxonomy map'!$A$1:$C$107,2,FALSE),"")</f>
        <v/>
      </c>
      <c r="F2596" s="49" t="str">
        <f>IFERROR(VLOOKUP(E2596,'Condensed Specialty Crosswalk'!$A$2:$C$106,2,FALSE),"")</f>
        <v/>
      </c>
      <c r="G2596" s="49" t="str">
        <f>IFERROR(VLOOKUP(E2596,'Condensed Specialty Crosswalk'!$A$2:$C$106,3,FALSE),"")</f>
        <v/>
      </c>
    </row>
    <row r="2597" spans="5:7" ht="15" customHeight="1">
      <c r="E2597" s="49" t="str">
        <f>IFERROR(VLOOKUP(D2597,'taxonomy map'!$A$1:$C$107,2,FALSE),"")</f>
        <v/>
      </c>
      <c r="F2597" s="49" t="str">
        <f>IFERROR(VLOOKUP(E2597,'Condensed Specialty Crosswalk'!$A$2:$C$106,2,FALSE),"")</f>
        <v/>
      </c>
      <c r="G2597" s="49" t="str">
        <f>IFERROR(VLOOKUP(E2597,'Condensed Specialty Crosswalk'!$A$2:$C$106,3,FALSE),"")</f>
        <v/>
      </c>
    </row>
    <row r="2598" spans="5:7" ht="15" customHeight="1">
      <c r="E2598" s="49" t="str">
        <f>IFERROR(VLOOKUP(D2598,'taxonomy map'!$A$1:$C$107,2,FALSE),"")</f>
        <v/>
      </c>
      <c r="F2598" s="49" t="str">
        <f>IFERROR(VLOOKUP(E2598,'Condensed Specialty Crosswalk'!$A$2:$C$106,2,FALSE),"")</f>
        <v/>
      </c>
      <c r="G2598" s="49" t="str">
        <f>IFERROR(VLOOKUP(E2598,'Condensed Specialty Crosswalk'!$A$2:$C$106,3,FALSE),"")</f>
        <v/>
      </c>
    </row>
    <row r="2599" spans="5:7" ht="15" customHeight="1">
      <c r="E2599" s="49" t="str">
        <f>IFERROR(VLOOKUP(D2599,'taxonomy map'!$A$1:$C$107,2,FALSE),"")</f>
        <v/>
      </c>
      <c r="F2599" s="49" t="str">
        <f>IFERROR(VLOOKUP(E2599,'Condensed Specialty Crosswalk'!$A$2:$C$106,2,FALSE),"")</f>
        <v/>
      </c>
      <c r="G2599" s="49" t="str">
        <f>IFERROR(VLOOKUP(E2599,'Condensed Specialty Crosswalk'!$A$2:$C$106,3,FALSE),"")</f>
        <v/>
      </c>
    </row>
    <row r="2600" spans="5:7" ht="15" customHeight="1">
      <c r="E2600" s="49" t="str">
        <f>IFERROR(VLOOKUP(D2600,'taxonomy map'!$A$1:$C$107,2,FALSE),"")</f>
        <v/>
      </c>
      <c r="F2600" s="49" t="str">
        <f>IFERROR(VLOOKUP(E2600,'Condensed Specialty Crosswalk'!$A$2:$C$106,2,FALSE),"")</f>
        <v/>
      </c>
      <c r="G2600" s="49" t="str">
        <f>IFERROR(VLOOKUP(E2600,'Condensed Specialty Crosswalk'!$A$2:$C$106,3,FALSE),"")</f>
        <v/>
      </c>
    </row>
    <row r="2601" spans="5:7" ht="15" customHeight="1">
      <c r="E2601" s="49" t="str">
        <f>IFERROR(VLOOKUP(D2601,'taxonomy map'!$A$1:$C$107,2,FALSE),"")</f>
        <v/>
      </c>
      <c r="F2601" s="49" t="str">
        <f>IFERROR(VLOOKUP(E2601,'Condensed Specialty Crosswalk'!$A$2:$C$106,2,FALSE),"")</f>
        <v/>
      </c>
      <c r="G2601" s="49" t="str">
        <f>IFERROR(VLOOKUP(E2601,'Condensed Specialty Crosswalk'!$A$2:$C$106,3,FALSE),"")</f>
        <v/>
      </c>
    </row>
    <row r="2602" spans="5:7" ht="15" customHeight="1">
      <c r="E2602" s="49" t="str">
        <f>IFERROR(VLOOKUP(D2602,'taxonomy map'!$A$1:$C$107,2,FALSE),"")</f>
        <v/>
      </c>
      <c r="F2602" s="49" t="str">
        <f>IFERROR(VLOOKUP(E2602,'Condensed Specialty Crosswalk'!$A$2:$C$106,2,FALSE),"")</f>
        <v/>
      </c>
      <c r="G2602" s="49" t="str">
        <f>IFERROR(VLOOKUP(E2602,'Condensed Specialty Crosswalk'!$A$2:$C$106,3,FALSE),"")</f>
        <v/>
      </c>
    </row>
    <row r="2603" spans="5:7" ht="15" customHeight="1">
      <c r="E2603" s="49" t="str">
        <f>IFERROR(VLOOKUP(D2603,'taxonomy map'!$A$1:$C$107,2,FALSE),"")</f>
        <v/>
      </c>
      <c r="F2603" s="49" t="str">
        <f>IFERROR(VLOOKUP(E2603,'Condensed Specialty Crosswalk'!$A$2:$C$106,2,FALSE),"")</f>
        <v/>
      </c>
      <c r="G2603" s="49" t="str">
        <f>IFERROR(VLOOKUP(E2603,'Condensed Specialty Crosswalk'!$A$2:$C$106,3,FALSE),"")</f>
        <v/>
      </c>
    </row>
    <row r="2604" spans="5:7" ht="15" customHeight="1">
      <c r="E2604" s="49" t="str">
        <f>IFERROR(VLOOKUP(D2604,'taxonomy map'!$A$1:$C$107,2,FALSE),"")</f>
        <v/>
      </c>
      <c r="F2604" s="49" t="str">
        <f>IFERROR(VLOOKUP(E2604,'Condensed Specialty Crosswalk'!$A$2:$C$106,2,FALSE),"")</f>
        <v/>
      </c>
      <c r="G2604" s="49" t="str">
        <f>IFERROR(VLOOKUP(E2604,'Condensed Specialty Crosswalk'!$A$2:$C$106,3,FALSE),"")</f>
        <v/>
      </c>
    </row>
    <row r="2605" spans="5:7" ht="15" customHeight="1">
      <c r="E2605" s="49" t="str">
        <f>IFERROR(VLOOKUP(D2605,'taxonomy map'!$A$1:$C$107,2,FALSE),"")</f>
        <v/>
      </c>
      <c r="F2605" s="49" t="str">
        <f>IFERROR(VLOOKUP(E2605,'Condensed Specialty Crosswalk'!$A$2:$C$106,2,FALSE),"")</f>
        <v/>
      </c>
      <c r="G2605" s="49" t="str">
        <f>IFERROR(VLOOKUP(E2605,'Condensed Specialty Crosswalk'!$A$2:$C$106,3,FALSE),"")</f>
        <v/>
      </c>
    </row>
    <row r="2606" spans="5:7" ht="15" customHeight="1">
      <c r="E2606" s="49" t="str">
        <f>IFERROR(VLOOKUP(D2606,'taxonomy map'!$A$1:$C$107,2,FALSE),"")</f>
        <v/>
      </c>
      <c r="F2606" s="49" t="str">
        <f>IFERROR(VLOOKUP(E2606,'Condensed Specialty Crosswalk'!$A$2:$C$106,2,FALSE),"")</f>
        <v/>
      </c>
      <c r="G2606" s="49" t="str">
        <f>IFERROR(VLOOKUP(E2606,'Condensed Specialty Crosswalk'!$A$2:$C$106,3,FALSE),"")</f>
        <v/>
      </c>
    </row>
    <row r="2607" spans="5:7" ht="15" customHeight="1">
      <c r="E2607" s="49" t="str">
        <f>IFERROR(VLOOKUP(D2607,'taxonomy map'!$A$1:$C$107,2,FALSE),"")</f>
        <v/>
      </c>
      <c r="F2607" s="49" t="str">
        <f>IFERROR(VLOOKUP(E2607,'Condensed Specialty Crosswalk'!$A$2:$C$106,2,FALSE),"")</f>
        <v/>
      </c>
      <c r="G2607" s="49" t="str">
        <f>IFERROR(VLOOKUP(E2607,'Condensed Specialty Crosswalk'!$A$2:$C$106,3,FALSE),"")</f>
        <v/>
      </c>
    </row>
    <row r="2608" spans="5:7" ht="15" customHeight="1">
      <c r="E2608" s="49" t="str">
        <f>IFERROR(VLOOKUP(D2608,'taxonomy map'!$A$1:$C$107,2,FALSE),"")</f>
        <v/>
      </c>
      <c r="F2608" s="49" t="str">
        <f>IFERROR(VLOOKUP(E2608,'Condensed Specialty Crosswalk'!$A$2:$C$106,2,FALSE),"")</f>
        <v/>
      </c>
      <c r="G2608" s="49" t="str">
        <f>IFERROR(VLOOKUP(E2608,'Condensed Specialty Crosswalk'!$A$2:$C$106,3,FALSE),"")</f>
        <v/>
      </c>
    </row>
    <row r="2609" spans="5:7" ht="15" customHeight="1">
      <c r="E2609" s="49" t="str">
        <f>IFERROR(VLOOKUP(D2609,'taxonomy map'!$A$1:$C$107,2,FALSE),"")</f>
        <v/>
      </c>
      <c r="F2609" s="49" t="str">
        <f>IFERROR(VLOOKUP(E2609,'Condensed Specialty Crosswalk'!$A$2:$C$106,2,FALSE),"")</f>
        <v/>
      </c>
      <c r="G2609" s="49" t="str">
        <f>IFERROR(VLOOKUP(E2609,'Condensed Specialty Crosswalk'!$A$2:$C$106,3,FALSE),"")</f>
        <v/>
      </c>
    </row>
    <row r="2610" spans="5:7" ht="15" customHeight="1">
      <c r="E2610" s="49" t="str">
        <f>IFERROR(VLOOKUP(D2610,'taxonomy map'!$A$1:$C$107,2,FALSE),"")</f>
        <v/>
      </c>
      <c r="F2610" s="49" t="str">
        <f>IFERROR(VLOOKUP(E2610,'Condensed Specialty Crosswalk'!$A$2:$C$106,2,FALSE),"")</f>
        <v/>
      </c>
      <c r="G2610" s="49" t="str">
        <f>IFERROR(VLOOKUP(E2610,'Condensed Specialty Crosswalk'!$A$2:$C$106,3,FALSE),"")</f>
        <v/>
      </c>
    </row>
    <row r="2611" spans="5:7" ht="15" customHeight="1">
      <c r="E2611" s="49" t="str">
        <f>IFERROR(VLOOKUP(D2611,'taxonomy map'!$A$1:$C$107,2,FALSE),"")</f>
        <v/>
      </c>
      <c r="F2611" s="49" t="str">
        <f>IFERROR(VLOOKUP(E2611,'Condensed Specialty Crosswalk'!$A$2:$C$106,2,FALSE),"")</f>
        <v/>
      </c>
      <c r="G2611" s="49" t="str">
        <f>IFERROR(VLOOKUP(E2611,'Condensed Specialty Crosswalk'!$A$2:$C$106,3,FALSE),"")</f>
        <v/>
      </c>
    </row>
    <row r="2612" spans="5:7" ht="15" customHeight="1">
      <c r="E2612" s="49" t="str">
        <f>IFERROR(VLOOKUP(D2612,'taxonomy map'!$A$1:$C$107,2,FALSE),"")</f>
        <v/>
      </c>
      <c r="F2612" s="49" t="str">
        <f>IFERROR(VLOOKUP(E2612,'Condensed Specialty Crosswalk'!$A$2:$C$106,2,FALSE),"")</f>
        <v/>
      </c>
      <c r="G2612" s="49" t="str">
        <f>IFERROR(VLOOKUP(E2612,'Condensed Specialty Crosswalk'!$A$2:$C$106,3,FALSE),"")</f>
        <v/>
      </c>
    </row>
    <row r="2613" spans="5:7" ht="15" customHeight="1">
      <c r="E2613" s="49" t="str">
        <f>IFERROR(VLOOKUP(D2613,'taxonomy map'!$A$1:$C$107,2,FALSE),"")</f>
        <v/>
      </c>
      <c r="F2613" s="49" t="str">
        <f>IFERROR(VLOOKUP(E2613,'Condensed Specialty Crosswalk'!$A$2:$C$106,2,FALSE),"")</f>
        <v/>
      </c>
      <c r="G2613" s="49" t="str">
        <f>IFERROR(VLOOKUP(E2613,'Condensed Specialty Crosswalk'!$A$2:$C$106,3,FALSE),"")</f>
        <v/>
      </c>
    </row>
    <row r="2614" spans="5:7" ht="15" customHeight="1">
      <c r="E2614" s="49" t="str">
        <f>IFERROR(VLOOKUP(D2614,'taxonomy map'!$A$1:$C$107,2,FALSE),"")</f>
        <v/>
      </c>
      <c r="F2614" s="49" t="str">
        <f>IFERROR(VLOOKUP(E2614,'Condensed Specialty Crosswalk'!$A$2:$C$106,2,FALSE),"")</f>
        <v/>
      </c>
      <c r="G2614" s="49" t="str">
        <f>IFERROR(VLOOKUP(E2614,'Condensed Specialty Crosswalk'!$A$2:$C$106,3,FALSE),"")</f>
        <v/>
      </c>
    </row>
    <row r="2615" spans="5:7" ht="15" customHeight="1">
      <c r="E2615" s="49" t="str">
        <f>IFERROR(VLOOKUP(D2615,'taxonomy map'!$A$1:$C$107,2,FALSE),"")</f>
        <v/>
      </c>
      <c r="F2615" s="49" t="str">
        <f>IFERROR(VLOOKUP(E2615,'Condensed Specialty Crosswalk'!$A$2:$C$106,2,FALSE),"")</f>
        <v/>
      </c>
      <c r="G2615" s="49" t="str">
        <f>IFERROR(VLOOKUP(E2615,'Condensed Specialty Crosswalk'!$A$2:$C$106,3,FALSE),"")</f>
        <v/>
      </c>
    </row>
    <row r="2616" spans="5:7" ht="15" customHeight="1">
      <c r="E2616" s="49" t="str">
        <f>IFERROR(VLOOKUP(D2616,'taxonomy map'!$A$1:$C$107,2,FALSE),"")</f>
        <v/>
      </c>
      <c r="F2616" s="49" t="str">
        <f>IFERROR(VLOOKUP(E2616,'Condensed Specialty Crosswalk'!$A$2:$C$106,2,FALSE),"")</f>
        <v/>
      </c>
      <c r="G2616" s="49" t="str">
        <f>IFERROR(VLOOKUP(E2616,'Condensed Specialty Crosswalk'!$A$2:$C$106,3,FALSE),"")</f>
        <v/>
      </c>
    </row>
    <row r="2617" spans="5:7" ht="15" customHeight="1">
      <c r="E2617" s="49" t="str">
        <f>IFERROR(VLOOKUP(D2617,'taxonomy map'!$A$1:$C$107,2,FALSE),"")</f>
        <v/>
      </c>
      <c r="F2617" s="49" t="str">
        <f>IFERROR(VLOOKUP(E2617,'Condensed Specialty Crosswalk'!$A$2:$C$106,2,FALSE),"")</f>
        <v/>
      </c>
      <c r="G2617" s="49" t="str">
        <f>IFERROR(VLOOKUP(E2617,'Condensed Specialty Crosswalk'!$A$2:$C$106,3,FALSE),"")</f>
        <v/>
      </c>
    </row>
    <row r="2618" spans="5:7" ht="15" customHeight="1">
      <c r="E2618" s="49" t="str">
        <f>IFERROR(VLOOKUP(D2618,'taxonomy map'!$A$1:$C$107,2,FALSE),"")</f>
        <v/>
      </c>
      <c r="F2618" s="49" t="str">
        <f>IFERROR(VLOOKUP(E2618,'Condensed Specialty Crosswalk'!$A$2:$C$106,2,FALSE),"")</f>
        <v/>
      </c>
      <c r="G2618" s="49" t="str">
        <f>IFERROR(VLOOKUP(E2618,'Condensed Specialty Crosswalk'!$A$2:$C$106,3,FALSE),"")</f>
        <v/>
      </c>
    </row>
    <row r="2619" spans="5:7" ht="15" customHeight="1">
      <c r="E2619" s="49" t="str">
        <f>IFERROR(VLOOKUP(D2619,'taxonomy map'!$A$1:$C$107,2,FALSE),"")</f>
        <v/>
      </c>
      <c r="F2619" s="49" t="str">
        <f>IFERROR(VLOOKUP(E2619,'Condensed Specialty Crosswalk'!$A$2:$C$106,2,FALSE),"")</f>
        <v/>
      </c>
      <c r="G2619" s="49" t="str">
        <f>IFERROR(VLOOKUP(E2619,'Condensed Specialty Crosswalk'!$A$2:$C$106,3,FALSE),"")</f>
        <v/>
      </c>
    </row>
    <row r="2620" spans="5:7" ht="15" customHeight="1">
      <c r="E2620" s="49" t="str">
        <f>IFERROR(VLOOKUP(D2620,'taxonomy map'!$A$1:$C$107,2,FALSE),"")</f>
        <v/>
      </c>
      <c r="F2620" s="49" t="str">
        <f>IFERROR(VLOOKUP(E2620,'Condensed Specialty Crosswalk'!$A$2:$C$106,2,FALSE),"")</f>
        <v/>
      </c>
      <c r="G2620" s="49" t="str">
        <f>IFERROR(VLOOKUP(E2620,'Condensed Specialty Crosswalk'!$A$2:$C$106,3,FALSE),"")</f>
        <v/>
      </c>
    </row>
    <row r="2621" spans="5:7" ht="15" customHeight="1">
      <c r="E2621" s="49" t="str">
        <f>IFERROR(VLOOKUP(D2621,'taxonomy map'!$A$1:$C$107,2,FALSE),"")</f>
        <v/>
      </c>
      <c r="F2621" s="49" t="str">
        <f>IFERROR(VLOOKUP(E2621,'Condensed Specialty Crosswalk'!$A$2:$C$106,2,FALSE),"")</f>
        <v/>
      </c>
      <c r="G2621" s="49" t="str">
        <f>IFERROR(VLOOKUP(E2621,'Condensed Specialty Crosswalk'!$A$2:$C$106,3,FALSE),"")</f>
        <v/>
      </c>
    </row>
    <row r="2622" spans="5:7" ht="15" customHeight="1">
      <c r="E2622" s="49" t="str">
        <f>IFERROR(VLOOKUP(D2622,'taxonomy map'!$A$1:$C$107,2,FALSE),"")</f>
        <v/>
      </c>
      <c r="F2622" s="49" t="str">
        <f>IFERROR(VLOOKUP(E2622,'Condensed Specialty Crosswalk'!$A$2:$C$106,2,FALSE),"")</f>
        <v/>
      </c>
      <c r="G2622" s="49" t="str">
        <f>IFERROR(VLOOKUP(E2622,'Condensed Specialty Crosswalk'!$A$2:$C$106,3,FALSE),"")</f>
        <v/>
      </c>
    </row>
    <row r="2623" spans="5:7" ht="15" customHeight="1">
      <c r="E2623" s="49" t="str">
        <f>IFERROR(VLOOKUP(D2623,'taxonomy map'!$A$1:$C$107,2,FALSE),"")</f>
        <v/>
      </c>
      <c r="F2623" s="49" t="str">
        <f>IFERROR(VLOOKUP(E2623,'Condensed Specialty Crosswalk'!$A$2:$C$106,2,FALSE),"")</f>
        <v/>
      </c>
      <c r="G2623" s="49" t="str">
        <f>IFERROR(VLOOKUP(E2623,'Condensed Specialty Crosswalk'!$A$2:$C$106,3,FALSE),"")</f>
        <v/>
      </c>
    </row>
    <row r="2624" spans="5:7" ht="15" customHeight="1">
      <c r="E2624" s="49" t="str">
        <f>IFERROR(VLOOKUP(D2624,'taxonomy map'!$A$1:$C$107,2,FALSE),"")</f>
        <v/>
      </c>
      <c r="F2624" s="49" t="str">
        <f>IFERROR(VLOOKUP(E2624,'Condensed Specialty Crosswalk'!$A$2:$C$106,2,FALSE),"")</f>
        <v/>
      </c>
      <c r="G2624" s="49" t="str">
        <f>IFERROR(VLOOKUP(E2624,'Condensed Specialty Crosswalk'!$A$2:$C$106,3,FALSE),"")</f>
        <v/>
      </c>
    </row>
    <row r="2625" spans="5:7" ht="15" customHeight="1">
      <c r="E2625" s="49" t="str">
        <f>IFERROR(VLOOKUP(D2625,'taxonomy map'!$A$1:$C$107,2,FALSE),"")</f>
        <v/>
      </c>
      <c r="F2625" s="49" t="str">
        <f>IFERROR(VLOOKUP(E2625,'Condensed Specialty Crosswalk'!$A$2:$C$106,2,FALSE),"")</f>
        <v/>
      </c>
      <c r="G2625" s="49" t="str">
        <f>IFERROR(VLOOKUP(E2625,'Condensed Specialty Crosswalk'!$A$2:$C$106,3,FALSE),"")</f>
        <v/>
      </c>
    </row>
    <row r="2626" spans="5:7" ht="15" customHeight="1">
      <c r="E2626" s="49" t="str">
        <f>IFERROR(VLOOKUP(D2626,'taxonomy map'!$A$1:$C$107,2,FALSE),"")</f>
        <v/>
      </c>
      <c r="F2626" s="49" t="str">
        <f>IFERROR(VLOOKUP(E2626,'Condensed Specialty Crosswalk'!$A$2:$C$106,2,FALSE),"")</f>
        <v/>
      </c>
      <c r="G2626" s="49" t="str">
        <f>IFERROR(VLOOKUP(E2626,'Condensed Specialty Crosswalk'!$A$2:$C$106,3,FALSE),"")</f>
        <v/>
      </c>
    </row>
    <row r="2627" spans="5:7" ht="15" customHeight="1">
      <c r="E2627" s="49" t="str">
        <f>IFERROR(VLOOKUP(D2627,'taxonomy map'!$A$1:$C$107,2,FALSE),"")</f>
        <v/>
      </c>
      <c r="F2627" s="49" t="str">
        <f>IFERROR(VLOOKUP(E2627,'Condensed Specialty Crosswalk'!$A$2:$C$106,2,FALSE),"")</f>
        <v/>
      </c>
      <c r="G2627" s="49" t="str">
        <f>IFERROR(VLOOKUP(E2627,'Condensed Specialty Crosswalk'!$A$2:$C$106,3,FALSE),"")</f>
        <v/>
      </c>
    </row>
    <row r="2628" spans="5:7" ht="15" customHeight="1">
      <c r="E2628" s="49" t="str">
        <f>IFERROR(VLOOKUP(D2628,'taxonomy map'!$A$1:$C$107,2,FALSE),"")</f>
        <v/>
      </c>
      <c r="F2628" s="49" t="str">
        <f>IFERROR(VLOOKUP(E2628,'Condensed Specialty Crosswalk'!$A$2:$C$106,2,FALSE),"")</f>
        <v/>
      </c>
      <c r="G2628" s="49" t="str">
        <f>IFERROR(VLOOKUP(E2628,'Condensed Specialty Crosswalk'!$A$2:$C$106,3,FALSE),"")</f>
        <v/>
      </c>
    </row>
    <row r="2629" spans="5:7" ht="15" customHeight="1">
      <c r="E2629" s="49" t="str">
        <f>IFERROR(VLOOKUP(D2629,'taxonomy map'!$A$1:$C$107,2,FALSE),"")</f>
        <v/>
      </c>
      <c r="F2629" s="49" t="str">
        <f>IFERROR(VLOOKUP(E2629,'Condensed Specialty Crosswalk'!$A$2:$C$106,2,FALSE),"")</f>
        <v/>
      </c>
      <c r="G2629" s="49" t="str">
        <f>IFERROR(VLOOKUP(E2629,'Condensed Specialty Crosswalk'!$A$2:$C$106,3,FALSE),"")</f>
        <v/>
      </c>
    </row>
    <row r="2630" spans="5:7" ht="15" customHeight="1">
      <c r="E2630" s="49" t="str">
        <f>IFERROR(VLOOKUP(D2630,'taxonomy map'!$A$1:$C$107,2,FALSE),"")</f>
        <v/>
      </c>
      <c r="F2630" s="49" t="str">
        <f>IFERROR(VLOOKUP(E2630,'Condensed Specialty Crosswalk'!$A$2:$C$106,2,FALSE),"")</f>
        <v/>
      </c>
      <c r="G2630" s="49" t="str">
        <f>IFERROR(VLOOKUP(E2630,'Condensed Specialty Crosswalk'!$A$2:$C$106,3,FALSE),"")</f>
        <v/>
      </c>
    </row>
    <row r="2631" spans="5:7" ht="15" customHeight="1">
      <c r="E2631" s="49" t="str">
        <f>IFERROR(VLOOKUP(D2631,'taxonomy map'!$A$1:$C$107,2,FALSE),"")</f>
        <v/>
      </c>
      <c r="F2631" s="49" t="str">
        <f>IFERROR(VLOOKUP(E2631,'Condensed Specialty Crosswalk'!$A$2:$C$106,2,FALSE),"")</f>
        <v/>
      </c>
      <c r="G2631" s="49" t="str">
        <f>IFERROR(VLOOKUP(E2631,'Condensed Specialty Crosswalk'!$A$2:$C$106,3,FALSE),"")</f>
        <v/>
      </c>
    </row>
    <row r="2632" spans="5:7" ht="15" customHeight="1">
      <c r="E2632" s="49" t="str">
        <f>IFERROR(VLOOKUP(D2632,'taxonomy map'!$A$1:$C$107,2,FALSE),"")</f>
        <v/>
      </c>
      <c r="F2632" s="49" t="str">
        <f>IFERROR(VLOOKUP(E2632,'Condensed Specialty Crosswalk'!$A$2:$C$106,2,FALSE),"")</f>
        <v/>
      </c>
      <c r="G2632" s="49" t="str">
        <f>IFERROR(VLOOKUP(E2632,'Condensed Specialty Crosswalk'!$A$2:$C$106,3,FALSE),"")</f>
        <v/>
      </c>
    </row>
    <row r="2633" spans="5:7" ht="15" customHeight="1">
      <c r="E2633" s="49" t="str">
        <f>IFERROR(VLOOKUP(D2633,'taxonomy map'!$A$1:$C$107,2,FALSE),"")</f>
        <v/>
      </c>
      <c r="F2633" s="49" t="str">
        <f>IFERROR(VLOOKUP(E2633,'Condensed Specialty Crosswalk'!$A$2:$C$106,2,FALSE),"")</f>
        <v/>
      </c>
      <c r="G2633" s="49" t="str">
        <f>IFERROR(VLOOKUP(E2633,'Condensed Specialty Crosswalk'!$A$2:$C$106,3,FALSE),"")</f>
        <v/>
      </c>
    </row>
    <row r="2634" spans="5:7" ht="15" customHeight="1">
      <c r="E2634" s="49" t="str">
        <f>IFERROR(VLOOKUP(D2634,'taxonomy map'!$A$1:$C$107,2,FALSE),"")</f>
        <v/>
      </c>
      <c r="F2634" s="49" t="str">
        <f>IFERROR(VLOOKUP(E2634,'Condensed Specialty Crosswalk'!$A$2:$C$106,2,FALSE),"")</f>
        <v/>
      </c>
      <c r="G2634" s="49" t="str">
        <f>IFERROR(VLOOKUP(E2634,'Condensed Specialty Crosswalk'!$A$2:$C$106,3,FALSE),"")</f>
        <v/>
      </c>
    </row>
    <row r="2635" spans="5:7" ht="15" customHeight="1">
      <c r="E2635" s="49" t="str">
        <f>IFERROR(VLOOKUP(D2635,'taxonomy map'!$A$1:$C$107,2,FALSE),"")</f>
        <v/>
      </c>
      <c r="F2635" s="49" t="str">
        <f>IFERROR(VLOOKUP(E2635,'Condensed Specialty Crosswalk'!$A$2:$C$106,2,FALSE),"")</f>
        <v/>
      </c>
      <c r="G2635" s="49" t="str">
        <f>IFERROR(VLOOKUP(E2635,'Condensed Specialty Crosswalk'!$A$2:$C$106,3,FALSE),"")</f>
        <v/>
      </c>
    </row>
    <row r="2636" spans="5:7" ht="15" customHeight="1">
      <c r="E2636" s="49" t="str">
        <f>IFERROR(VLOOKUP(D2636,'taxonomy map'!$A$1:$C$107,2,FALSE),"")</f>
        <v/>
      </c>
      <c r="F2636" s="49" t="str">
        <f>IFERROR(VLOOKUP(E2636,'Condensed Specialty Crosswalk'!$A$2:$C$106,2,FALSE),"")</f>
        <v/>
      </c>
      <c r="G2636" s="49" t="str">
        <f>IFERROR(VLOOKUP(E2636,'Condensed Specialty Crosswalk'!$A$2:$C$106,3,FALSE),"")</f>
        <v/>
      </c>
    </row>
    <row r="2637" spans="5:7" ht="15" customHeight="1">
      <c r="E2637" s="49" t="str">
        <f>IFERROR(VLOOKUP(D2637,'taxonomy map'!$A$1:$C$107,2,FALSE),"")</f>
        <v/>
      </c>
      <c r="F2637" s="49" t="str">
        <f>IFERROR(VLOOKUP(E2637,'Condensed Specialty Crosswalk'!$A$2:$C$106,2,FALSE),"")</f>
        <v/>
      </c>
      <c r="G2637" s="49" t="str">
        <f>IFERROR(VLOOKUP(E2637,'Condensed Specialty Crosswalk'!$A$2:$C$106,3,FALSE),"")</f>
        <v/>
      </c>
    </row>
    <row r="2638" spans="5:7" ht="15" customHeight="1">
      <c r="E2638" s="49" t="str">
        <f>IFERROR(VLOOKUP(D2638,'taxonomy map'!$A$1:$C$107,2,FALSE),"")</f>
        <v/>
      </c>
      <c r="F2638" s="49" t="str">
        <f>IFERROR(VLOOKUP(E2638,'Condensed Specialty Crosswalk'!$A$2:$C$106,2,FALSE),"")</f>
        <v/>
      </c>
      <c r="G2638" s="49" t="str">
        <f>IFERROR(VLOOKUP(E2638,'Condensed Specialty Crosswalk'!$A$2:$C$106,3,FALSE),"")</f>
        <v/>
      </c>
    </row>
    <row r="2639" spans="5:7" ht="15" customHeight="1">
      <c r="E2639" s="49" t="str">
        <f>IFERROR(VLOOKUP(D2639,'taxonomy map'!$A$1:$C$107,2,FALSE),"")</f>
        <v/>
      </c>
      <c r="F2639" s="49" t="str">
        <f>IFERROR(VLOOKUP(E2639,'Condensed Specialty Crosswalk'!$A$2:$C$106,2,FALSE),"")</f>
        <v/>
      </c>
      <c r="G2639" s="49" t="str">
        <f>IFERROR(VLOOKUP(E2639,'Condensed Specialty Crosswalk'!$A$2:$C$106,3,FALSE),"")</f>
        <v/>
      </c>
    </row>
    <row r="2640" spans="5:7" ht="15" customHeight="1">
      <c r="E2640" s="49" t="str">
        <f>IFERROR(VLOOKUP(D2640,'taxonomy map'!$A$1:$C$107,2,FALSE),"")</f>
        <v/>
      </c>
      <c r="F2640" s="49" t="str">
        <f>IFERROR(VLOOKUP(E2640,'Condensed Specialty Crosswalk'!$A$2:$C$106,2,FALSE),"")</f>
        <v/>
      </c>
      <c r="G2640" s="49" t="str">
        <f>IFERROR(VLOOKUP(E2640,'Condensed Specialty Crosswalk'!$A$2:$C$106,3,FALSE),"")</f>
        <v/>
      </c>
    </row>
    <row r="2641" spans="5:7" ht="15" customHeight="1">
      <c r="E2641" s="49" t="str">
        <f>IFERROR(VLOOKUP(D2641,'taxonomy map'!$A$1:$C$107,2,FALSE),"")</f>
        <v/>
      </c>
      <c r="F2641" s="49" t="str">
        <f>IFERROR(VLOOKUP(E2641,'Condensed Specialty Crosswalk'!$A$2:$C$106,2,FALSE),"")</f>
        <v/>
      </c>
      <c r="G2641" s="49" t="str">
        <f>IFERROR(VLOOKUP(E2641,'Condensed Specialty Crosswalk'!$A$2:$C$106,3,FALSE),"")</f>
        <v/>
      </c>
    </row>
    <row r="2642" spans="5:7" ht="15" customHeight="1">
      <c r="E2642" s="49" t="str">
        <f>IFERROR(VLOOKUP(D2642,'taxonomy map'!$A$1:$C$107,2,FALSE),"")</f>
        <v/>
      </c>
      <c r="F2642" s="49" t="str">
        <f>IFERROR(VLOOKUP(E2642,'Condensed Specialty Crosswalk'!$A$2:$C$106,2,FALSE),"")</f>
        <v/>
      </c>
      <c r="G2642" s="49" t="str">
        <f>IFERROR(VLOOKUP(E2642,'Condensed Specialty Crosswalk'!$A$2:$C$106,3,FALSE),"")</f>
        <v/>
      </c>
    </row>
    <row r="2643" spans="5:7" ht="15" customHeight="1">
      <c r="E2643" s="49" t="str">
        <f>IFERROR(VLOOKUP(D2643,'taxonomy map'!$A$1:$C$107,2,FALSE),"")</f>
        <v/>
      </c>
      <c r="F2643" s="49" t="str">
        <f>IFERROR(VLOOKUP(E2643,'Condensed Specialty Crosswalk'!$A$2:$C$106,2,FALSE),"")</f>
        <v/>
      </c>
      <c r="G2643" s="49" t="str">
        <f>IFERROR(VLOOKUP(E2643,'Condensed Specialty Crosswalk'!$A$2:$C$106,3,FALSE),"")</f>
        <v/>
      </c>
    </row>
    <row r="2644" spans="5:7" ht="15" customHeight="1">
      <c r="E2644" s="49" t="str">
        <f>IFERROR(VLOOKUP(D2644,'taxonomy map'!$A$1:$C$107,2,FALSE),"")</f>
        <v/>
      </c>
      <c r="F2644" s="49" t="str">
        <f>IFERROR(VLOOKUP(E2644,'Condensed Specialty Crosswalk'!$A$2:$C$106,2,FALSE),"")</f>
        <v/>
      </c>
      <c r="G2644" s="49" t="str">
        <f>IFERROR(VLOOKUP(E2644,'Condensed Specialty Crosswalk'!$A$2:$C$106,3,FALSE),"")</f>
        <v/>
      </c>
    </row>
    <row r="2645" spans="5:7" ht="15" customHeight="1">
      <c r="E2645" s="49" t="str">
        <f>IFERROR(VLOOKUP(D2645,'taxonomy map'!$A$1:$C$107,2,FALSE),"")</f>
        <v/>
      </c>
      <c r="F2645" s="49" t="str">
        <f>IFERROR(VLOOKUP(E2645,'Condensed Specialty Crosswalk'!$A$2:$C$106,2,FALSE),"")</f>
        <v/>
      </c>
      <c r="G2645" s="49" t="str">
        <f>IFERROR(VLOOKUP(E2645,'Condensed Specialty Crosswalk'!$A$2:$C$106,3,FALSE),"")</f>
        <v/>
      </c>
    </row>
    <row r="2646" spans="5:7" ht="15" customHeight="1">
      <c r="E2646" s="49" t="str">
        <f>IFERROR(VLOOKUP(D2646,'taxonomy map'!$A$1:$C$107,2,FALSE),"")</f>
        <v/>
      </c>
      <c r="F2646" s="49" t="str">
        <f>IFERROR(VLOOKUP(E2646,'Condensed Specialty Crosswalk'!$A$2:$C$106,2,FALSE),"")</f>
        <v/>
      </c>
      <c r="G2646" s="49" t="str">
        <f>IFERROR(VLOOKUP(E2646,'Condensed Specialty Crosswalk'!$A$2:$C$106,3,FALSE),"")</f>
        <v/>
      </c>
    </row>
    <row r="2647" spans="5:7" ht="15" customHeight="1">
      <c r="E2647" s="49" t="str">
        <f>IFERROR(VLOOKUP(D2647,'taxonomy map'!$A$1:$C$107,2,FALSE),"")</f>
        <v/>
      </c>
      <c r="F2647" s="49" t="str">
        <f>IFERROR(VLOOKUP(E2647,'Condensed Specialty Crosswalk'!$A$2:$C$106,2,FALSE),"")</f>
        <v/>
      </c>
      <c r="G2647" s="49" t="str">
        <f>IFERROR(VLOOKUP(E2647,'Condensed Specialty Crosswalk'!$A$2:$C$106,3,FALSE),"")</f>
        <v/>
      </c>
    </row>
    <row r="2648" spans="5:7" ht="15" customHeight="1">
      <c r="E2648" s="49" t="str">
        <f>IFERROR(VLOOKUP(D2648,'taxonomy map'!$A$1:$C$107,2,FALSE),"")</f>
        <v/>
      </c>
      <c r="F2648" s="49" t="str">
        <f>IFERROR(VLOOKUP(E2648,'Condensed Specialty Crosswalk'!$A$2:$C$106,2,FALSE),"")</f>
        <v/>
      </c>
      <c r="G2648" s="49" t="str">
        <f>IFERROR(VLOOKUP(E2648,'Condensed Specialty Crosswalk'!$A$2:$C$106,3,FALSE),"")</f>
        <v/>
      </c>
    </row>
    <row r="2649" spans="5:7" ht="15" customHeight="1">
      <c r="E2649" s="49" t="str">
        <f>IFERROR(VLOOKUP(D2649,'taxonomy map'!$A$1:$C$107,2,FALSE),"")</f>
        <v/>
      </c>
      <c r="F2649" s="49" t="str">
        <f>IFERROR(VLOOKUP(E2649,'Condensed Specialty Crosswalk'!$A$2:$C$106,2,FALSE),"")</f>
        <v/>
      </c>
      <c r="G2649" s="49" t="str">
        <f>IFERROR(VLOOKUP(E2649,'Condensed Specialty Crosswalk'!$A$2:$C$106,3,FALSE),"")</f>
        <v/>
      </c>
    </row>
    <row r="2650" spans="5:7" ht="15" customHeight="1">
      <c r="E2650" s="49" t="str">
        <f>IFERROR(VLOOKUP(D2650,'taxonomy map'!$A$1:$C$107,2,FALSE),"")</f>
        <v/>
      </c>
      <c r="F2650" s="49" t="str">
        <f>IFERROR(VLOOKUP(E2650,'Condensed Specialty Crosswalk'!$A$2:$C$106,2,FALSE),"")</f>
        <v/>
      </c>
      <c r="G2650" s="49" t="str">
        <f>IFERROR(VLOOKUP(E2650,'Condensed Specialty Crosswalk'!$A$2:$C$106,3,FALSE),"")</f>
        <v/>
      </c>
    </row>
    <row r="2651" spans="5:7" ht="15" customHeight="1">
      <c r="E2651" s="49" t="str">
        <f>IFERROR(VLOOKUP(D2651,'taxonomy map'!$A$1:$C$107,2,FALSE),"")</f>
        <v/>
      </c>
      <c r="F2651" s="49" t="str">
        <f>IFERROR(VLOOKUP(E2651,'Condensed Specialty Crosswalk'!$A$2:$C$106,2,FALSE),"")</f>
        <v/>
      </c>
      <c r="G2651" s="49" t="str">
        <f>IFERROR(VLOOKUP(E2651,'Condensed Specialty Crosswalk'!$A$2:$C$106,3,FALSE),"")</f>
        <v/>
      </c>
    </row>
    <row r="2652" spans="5:7" ht="15" customHeight="1">
      <c r="E2652" s="49" t="str">
        <f>IFERROR(VLOOKUP(D2652,'taxonomy map'!$A$1:$C$107,2,FALSE),"")</f>
        <v/>
      </c>
      <c r="F2652" s="49" t="str">
        <f>IFERROR(VLOOKUP(E2652,'Condensed Specialty Crosswalk'!$A$2:$C$106,2,FALSE),"")</f>
        <v/>
      </c>
      <c r="G2652" s="49" t="str">
        <f>IFERROR(VLOOKUP(E2652,'Condensed Specialty Crosswalk'!$A$2:$C$106,3,FALSE),"")</f>
        <v/>
      </c>
    </row>
    <row r="2653" spans="5:7" ht="15" customHeight="1">
      <c r="E2653" s="49" t="str">
        <f>IFERROR(VLOOKUP(D2653,'taxonomy map'!$A$1:$C$107,2,FALSE),"")</f>
        <v/>
      </c>
      <c r="F2653" s="49" t="str">
        <f>IFERROR(VLOOKUP(E2653,'Condensed Specialty Crosswalk'!$A$2:$C$106,2,FALSE),"")</f>
        <v/>
      </c>
      <c r="G2653" s="49" t="str">
        <f>IFERROR(VLOOKUP(E2653,'Condensed Specialty Crosswalk'!$A$2:$C$106,3,FALSE),"")</f>
        <v/>
      </c>
    </row>
    <row r="2654" spans="5:7" ht="15" customHeight="1">
      <c r="E2654" s="49" t="str">
        <f>IFERROR(VLOOKUP(D2654,'taxonomy map'!$A$1:$C$107,2,FALSE),"")</f>
        <v/>
      </c>
      <c r="F2654" s="49" t="str">
        <f>IFERROR(VLOOKUP(E2654,'Condensed Specialty Crosswalk'!$A$2:$C$106,2,FALSE),"")</f>
        <v/>
      </c>
      <c r="G2654" s="49" t="str">
        <f>IFERROR(VLOOKUP(E2654,'Condensed Specialty Crosswalk'!$A$2:$C$106,3,FALSE),"")</f>
        <v/>
      </c>
    </row>
    <row r="2655" spans="5:7" ht="15" customHeight="1">
      <c r="E2655" s="49" t="str">
        <f>IFERROR(VLOOKUP(D2655,'taxonomy map'!$A$1:$C$107,2,FALSE),"")</f>
        <v/>
      </c>
      <c r="F2655" s="49" t="str">
        <f>IFERROR(VLOOKUP(E2655,'Condensed Specialty Crosswalk'!$A$2:$C$106,2,FALSE),"")</f>
        <v/>
      </c>
      <c r="G2655" s="49" t="str">
        <f>IFERROR(VLOOKUP(E2655,'Condensed Specialty Crosswalk'!$A$2:$C$106,3,FALSE),"")</f>
        <v/>
      </c>
    </row>
    <row r="2656" spans="5:7" ht="15" customHeight="1">
      <c r="E2656" s="49" t="str">
        <f>IFERROR(VLOOKUP(D2656,'taxonomy map'!$A$1:$C$107,2,FALSE),"")</f>
        <v/>
      </c>
      <c r="F2656" s="49" t="str">
        <f>IFERROR(VLOOKUP(E2656,'Condensed Specialty Crosswalk'!$A$2:$C$106,2,FALSE),"")</f>
        <v/>
      </c>
      <c r="G2656" s="49" t="str">
        <f>IFERROR(VLOOKUP(E2656,'Condensed Specialty Crosswalk'!$A$2:$C$106,3,FALSE),"")</f>
        <v/>
      </c>
    </row>
    <row r="2657" spans="5:7" ht="15" customHeight="1">
      <c r="E2657" s="49" t="str">
        <f>IFERROR(VLOOKUP(D2657,'taxonomy map'!$A$1:$C$107,2,FALSE),"")</f>
        <v/>
      </c>
      <c r="F2657" s="49" t="str">
        <f>IFERROR(VLOOKUP(E2657,'Condensed Specialty Crosswalk'!$A$2:$C$106,2,FALSE),"")</f>
        <v/>
      </c>
      <c r="G2657" s="49" t="str">
        <f>IFERROR(VLOOKUP(E2657,'Condensed Specialty Crosswalk'!$A$2:$C$106,3,FALSE),"")</f>
        <v/>
      </c>
    </row>
    <row r="2658" spans="5:7" ht="15" customHeight="1">
      <c r="E2658" s="49" t="str">
        <f>IFERROR(VLOOKUP(D2658,'taxonomy map'!$A$1:$C$107,2,FALSE),"")</f>
        <v/>
      </c>
      <c r="F2658" s="49" t="str">
        <f>IFERROR(VLOOKUP(E2658,'Condensed Specialty Crosswalk'!$A$2:$C$106,2,FALSE),"")</f>
        <v/>
      </c>
      <c r="G2658" s="49" t="str">
        <f>IFERROR(VLOOKUP(E2658,'Condensed Specialty Crosswalk'!$A$2:$C$106,3,FALSE),"")</f>
        <v/>
      </c>
    </row>
    <row r="2659" spans="5:7" ht="15" customHeight="1">
      <c r="E2659" s="49" t="str">
        <f>IFERROR(VLOOKUP(D2659,'taxonomy map'!$A$1:$C$107,2,FALSE),"")</f>
        <v/>
      </c>
      <c r="F2659" s="49" t="str">
        <f>IFERROR(VLOOKUP(E2659,'Condensed Specialty Crosswalk'!$A$2:$C$106,2,FALSE),"")</f>
        <v/>
      </c>
      <c r="G2659" s="49" t="str">
        <f>IFERROR(VLOOKUP(E2659,'Condensed Specialty Crosswalk'!$A$2:$C$106,3,FALSE),"")</f>
        <v/>
      </c>
    </row>
    <row r="2660" spans="5:7" ht="15" customHeight="1">
      <c r="E2660" s="49" t="str">
        <f>IFERROR(VLOOKUP(D2660,'taxonomy map'!$A$1:$C$107,2,FALSE),"")</f>
        <v/>
      </c>
      <c r="F2660" s="49" t="str">
        <f>IFERROR(VLOOKUP(E2660,'Condensed Specialty Crosswalk'!$A$2:$C$106,2,FALSE),"")</f>
        <v/>
      </c>
      <c r="G2660" s="49" t="str">
        <f>IFERROR(VLOOKUP(E2660,'Condensed Specialty Crosswalk'!$A$2:$C$106,3,FALSE),"")</f>
        <v/>
      </c>
    </row>
    <row r="2661" spans="5:7" ht="15" customHeight="1">
      <c r="E2661" s="49" t="str">
        <f>IFERROR(VLOOKUP(D2661,'taxonomy map'!$A$1:$C$107,2,FALSE),"")</f>
        <v/>
      </c>
      <c r="F2661" s="49" t="str">
        <f>IFERROR(VLOOKUP(E2661,'Condensed Specialty Crosswalk'!$A$2:$C$106,2,FALSE),"")</f>
        <v/>
      </c>
      <c r="G2661" s="49" t="str">
        <f>IFERROR(VLOOKUP(E2661,'Condensed Specialty Crosswalk'!$A$2:$C$106,3,FALSE),"")</f>
        <v/>
      </c>
    </row>
    <row r="2662" spans="5:7" ht="15" customHeight="1">
      <c r="E2662" s="49" t="str">
        <f>IFERROR(VLOOKUP(D2662,'taxonomy map'!$A$1:$C$107,2,FALSE),"")</f>
        <v/>
      </c>
      <c r="F2662" s="49" t="str">
        <f>IFERROR(VLOOKUP(E2662,'Condensed Specialty Crosswalk'!$A$2:$C$106,2,FALSE),"")</f>
        <v/>
      </c>
      <c r="G2662" s="49" t="str">
        <f>IFERROR(VLOOKUP(E2662,'Condensed Specialty Crosswalk'!$A$2:$C$106,3,FALSE),"")</f>
        <v/>
      </c>
    </row>
    <row r="2663" spans="5:7" ht="15" customHeight="1">
      <c r="E2663" s="49" t="str">
        <f>IFERROR(VLOOKUP(D2663,'taxonomy map'!$A$1:$C$107,2,FALSE),"")</f>
        <v/>
      </c>
      <c r="F2663" s="49" t="str">
        <f>IFERROR(VLOOKUP(E2663,'Condensed Specialty Crosswalk'!$A$2:$C$106,2,FALSE),"")</f>
        <v/>
      </c>
      <c r="G2663" s="49" t="str">
        <f>IFERROR(VLOOKUP(E2663,'Condensed Specialty Crosswalk'!$A$2:$C$106,3,FALSE),"")</f>
        <v/>
      </c>
    </row>
    <row r="2664" spans="5:7" ht="15" customHeight="1">
      <c r="E2664" s="49" t="str">
        <f>IFERROR(VLOOKUP(D2664,'taxonomy map'!$A$1:$C$107,2,FALSE),"")</f>
        <v/>
      </c>
      <c r="F2664" s="49" t="str">
        <f>IFERROR(VLOOKUP(E2664,'Condensed Specialty Crosswalk'!$A$2:$C$106,2,FALSE),"")</f>
        <v/>
      </c>
      <c r="G2664" s="49" t="str">
        <f>IFERROR(VLOOKUP(E2664,'Condensed Specialty Crosswalk'!$A$2:$C$106,3,FALSE),"")</f>
        <v/>
      </c>
    </row>
    <row r="2665" spans="5:7" ht="15" customHeight="1">
      <c r="E2665" s="49" t="str">
        <f>IFERROR(VLOOKUP(D2665,'taxonomy map'!$A$1:$C$107,2,FALSE),"")</f>
        <v/>
      </c>
      <c r="F2665" s="49" t="str">
        <f>IFERROR(VLOOKUP(E2665,'Condensed Specialty Crosswalk'!$A$2:$C$106,2,FALSE),"")</f>
        <v/>
      </c>
      <c r="G2665" s="49" t="str">
        <f>IFERROR(VLOOKUP(E2665,'Condensed Specialty Crosswalk'!$A$2:$C$106,3,FALSE),"")</f>
        <v/>
      </c>
    </row>
    <row r="2666" spans="5:7" ht="15" customHeight="1">
      <c r="E2666" s="49" t="str">
        <f>IFERROR(VLOOKUP(D2666,'taxonomy map'!$A$1:$C$107,2,FALSE),"")</f>
        <v/>
      </c>
      <c r="F2666" s="49" t="str">
        <f>IFERROR(VLOOKUP(E2666,'Condensed Specialty Crosswalk'!$A$2:$C$106,2,FALSE),"")</f>
        <v/>
      </c>
      <c r="G2666" s="49" t="str">
        <f>IFERROR(VLOOKUP(E2666,'Condensed Specialty Crosswalk'!$A$2:$C$106,3,FALSE),"")</f>
        <v/>
      </c>
    </row>
    <row r="2667" spans="5:7" ht="15" customHeight="1">
      <c r="E2667" s="49" t="str">
        <f>IFERROR(VLOOKUP(D2667,'taxonomy map'!$A$1:$C$107,2,FALSE),"")</f>
        <v/>
      </c>
      <c r="F2667" s="49" t="str">
        <f>IFERROR(VLOOKUP(E2667,'Condensed Specialty Crosswalk'!$A$2:$C$106,2,FALSE),"")</f>
        <v/>
      </c>
      <c r="G2667" s="49" t="str">
        <f>IFERROR(VLOOKUP(E2667,'Condensed Specialty Crosswalk'!$A$2:$C$106,3,FALSE),"")</f>
        <v/>
      </c>
    </row>
    <row r="2668" spans="5:7" ht="15" customHeight="1">
      <c r="E2668" s="49" t="str">
        <f>IFERROR(VLOOKUP(D2668,'taxonomy map'!$A$1:$C$107,2,FALSE),"")</f>
        <v/>
      </c>
      <c r="F2668" s="49" t="str">
        <f>IFERROR(VLOOKUP(E2668,'Condensed Specialty Crosswalk'!$A$2:$C$106,2,FALSE),"")</f>
        <v/>
      </c>
      <c r="G2668" s="49" t="str">
        <f>IFERROR(VLOOKUP(E2668,'Condensed Specialty Crosswalk'!$A$2:$C$106,3,FALSE),"")</f>
        <v/>
      </c>
    </row>
    <row r="2669" spans="5:7" ht="15" customHeight="1">
      <c r="E2669" s="49" t="str">
        <f>IFERROR(VLOOKUP(D2669,'taxonomy map'!$A$1:$C$107,2,FALSE),"")</f>
        <v/>
      </c>
      <c r="F2669" s="49" t="str">
        <f>IFERROR(VLOOKUP(E2669,'Condensed Specialty Crosswalk'!$A$2:$C$106,2,FALSE),"")</f>
        <v/>
      </c>
      <c r="G2669" s="49" t="str">
        <f>IFERROR(VLOOKUP(E2669,'Condensed Specialty Crosswalk'!$A$2:$C$106,3,FALSE),"")</f>
        <v/>
      </c>
    </row>
    <row r="2670" spans="5:7" ht="15" customHeight="1">
      <c r="E2670" s="49" t="str">
        <f>IFERROR(VLOOKUP(D2670,'taxonomy map'!$A$1:$C$107,2,FALSE),"")</f>
        <v/>
      </c>
      <c r="F2670" s="49" t="str">
        <f>IFERROR(VLOOKUP(E2670,'Condensed Specialty Crosswalk'!$A$2:$C$106,2,FALSE),"")</f>
        <v/>
      </c>
      <c r="G2670" s="49" t="str">
        <f>IFERROR(VLOOKUP(E2670,'Condensed Specialty Crosswalk'!$A$2:$C$106,3,FALSE),"")</f>
        <v/>
      </c>
    </row>
    <row r="2671" spans="5:7" ht="15" customHeight="1">
      <c r="E2671" s="49" t="str">
        <f>IFERROR(VLOOKUP(D2671,'taxonomy map'!$A$1:$C$107,2,FALSE),"")</f>
        <v/>
      </c>
      <c r="F2671" s="49" t="str">
        <f>IFERROR(VLOOKUP(E2671,'Condensed Specialty Crosswalk'!$A$2:$C$106,2,FALSE),"")</f>
        <v/>
      </c>
      <c r="G2671" s="49" t="str">
        <f>IFERROR(VLOOKUP(E2671,'Condensed Specialty Crosswalk'!$A$2:$C$106,3,FALSE),"")</f>
        <v/>
      </c>
    </row>
    <row r="2672" spans="5:7" ht="15" customHeight="1">
      <c r="E2672" s="49" t="str">
        <f>IFERROR(VLOOKUP(D2672,'taxonomy map'!$A$1:$C$107,2,FALSE),"")</f>
        <v/>
      </c>
      <c r="F2672" s="49" t="str">
        <f>IFERROR(VLOOKUP(E2672,'Condensed Specialty Crosswalk'!$A$2:$C$106,2,FALSE),"")</f>
        <v/>
      </c>
      <c r="G2672" s="49" t="str">
        <f>IFERROR(VLOOKUP(E2672,'Condensed Specialty Crosswalk'!$A$2:$C$106,3,FALSE),"")</f>
        <v/>
      </c>
    </row>
    <row r="2673" spans="5:7" ht="15" customHeight="1">
      <c r="E2673" s="49" t="str">
        <f>IFERROR(VLOOKUP(D2673,'taxonomy map'!$A$1:$C$107,2,FALSE),"")</f>
        <v/>
      </c>
      <c r="F2673" s="49" t="str">
        <f>IFERROR(VLOOKUP(E2673,'Condensed Specialty Crosswalk'!$A$2:$C$106,2,FALSE),"")</f>
        <v/>
      </c>
      <c r="G2673" s="49" t="str">
        <f>IFERROR(VLOOKUP(E2673,'Condensed Specialty Crosswalk'!$A$2:$C$106,3,FALSE),"")</f>
        <v/>
      </c>
    </row>
    <row r="2674" spans="5:7" ht="15" customHeight="1">
      <c r="E2674" s="49" t="str">
        <f>IFERROR(VLOOKUP(D2674,'taxonomy map'!$A$1:$C$107,2,FALSE),"")</f>
        <v/>
      </c>
      <c r="F2674" s="49" t="str">
        <f>IFERROR(VLOOKUP(E2674,'Condensed Specialty Crosswalk'!$A$2:$C$106,2,FALSE),"")</f>
        <v/>
      </c>
      <c r="G2674" s="49" t="str">
        <f>IFERROR(VLOOKUP(E2674,'Condensed Specialty Crosswalk'!$A$2:$C$106,3,FALSE),"")</f>
        <v/>
      </c>
    </row>
    <row r="2675" spans="5:7" ht="15" customHeight="1">
      <c r="E2675" s="49" t="str">
        <f>IFERROR(VLOOKUP(D2675,'taxonomy map'!$A$1:$C$107,2,FALSE),"")</f>
        <v/>
      </c>
      <c r="F2675" s="49" t="str">
        <f>IFERROR(VLOOKUP(E2675,'Condensed Specialty Crosswalk'!$A$2:$C$106,2,FALSE),"")</f>
        <v/>
      </c>
      <c r="G2675" s="49" t="str">
        <f>IFERROR(VLOOKUP(E2675,'Condensed Specialty Crosswalk'!$A$2:$C$106,3,FALSE),"")</f>
        <v/>
      </c>
    </row>
    <row r="2676" spans="5:7" ht="15" customHeight="1">
      <c r="E2676" s="49" t="str">
        <f>IFERROR(VLOOKUP(D2676,'taxonomy map'!$A$1:$C$107,2,FALSE),"")</f>
        <v/>
      </c>
      <c r="F2676" s="49" t="str">
        <f>IFERROR(VLOOKUP(E2676,'Condensed Specialty Crosswalk'!$A$2:$C$106,2,FALSE),"")</f>
        <v/>
      </c>
      <c r="G2676" s="49" t="str">
        <f>IFERROR(VLOOKUP(E2676,'Condensed Specialty Crosswalk'!$A$2:$C$106,3,FALSE),"")</f>
        <v/>
      </c>
    </row>
    <row r="2677" spans="5:7" ht="15" customHeight="1">
      <c r="E2677" s="49" t="str">
        <f>IFERROR(VLOOKUP(D2677,'taxonomy map'!$A$1:$C$107,2,FALSE),"")</f>
        <v/>
      </c>
      <c r="F2677" s="49" t="str">
        <f>IFERROR(VLOOKUP(E2677,'Condensed Specialty Crosswalk'!$A$2:$C$106,2,FALSE),"")</f>
        <v/>
      </c>
      <c r="G2677" s="49" t="str">
        <f>IFERROR(VLOOKUP(E2677,'Condensed Specialty Crosswalk'!$A$2:$C$106,3,FALSE),"")</f>
        <v/>
      </c>
    </row>
    <row r="2678" spans="5:7" ht="15" customHeight="1">
      <c r="E2678" s="49" t="str">
        <f>IFERROR(VLOOKUP(D2678,'taxonomy map'!$A$1:$C$107,2,FALSE),"")</f>
        <v/>
      </c>
      <c r="F2678" s="49" t="str">
        <f>IFERROR(VLOOKUP(E2678,'Condensed Specialty Crosswalk'!$A$2:$C$106,2,FALSE),"")</f>
        <v/>
      </c>
      <c r="G2678" s="49" t="str">
        <f>IFERROR(VLOOKUP(E2678,'Condensed Specialty Crosswalk'!$A$2:$C$106,3,FALSE),"")</f>
        <v/>
      </c>
    </row>
    <row r="2679" spans="5:7" ht="15" customHeight="1">
      <c r="E2679" s="49" t="str">
        <f>IFERROR(VLOOKUP(D2679,'taxonomy map'!$A$1:$C$107,2,FALSE),"")</f>
        <v/>
      </c>
      <c r="F2679" s="49" t="str">
        <f>IFERROR(VLOOKUP(E2679,'Condensed Specialty Crosswalk'!$A$2:$C$106,2,FALSE),"")</f>
        <v/>
      </c>
      <c r="G2679" s="49" t="str">
        <f>IFERROR(VLOOKUP(E2679,'Condensed Specialty Crosswalk'!$A$2:$C$106,3,FALSE),"")</f>
        <v/>
      </c>
    </row>
    <row r="2680" spans="5:7" ht="15" customHeight="1">
      <c r="E2680" s="49" t="str">
        <f>IFERROR(VLOOKUP(D2680,'taxonomy map'!$A$1:$C$107,2,FALSE),"")</f>
        <v/>
      </c>
      <c r="F2680" s="49" t="str">
        <f>IFERROR(VLOOKUP(E2680,'Condensed Specialty Crosswalk'!$A$2:$C$106,2,FALSE),"")</f>
        <v/>
      </c>
      <c r="G2680" s="49" t="str">
        <f>IFERROR(VLOOKUP(E2680,'Condensed Specialty Crosswalk'!$A$2:$C$106,3,FALSE),"")</f>
        <v/>
      </c>
    </row>
    <row r="2681" spans="5:7" ht="15" customHeight="1">
      <c r="E2681" s="49" t="str">
        <f>IFERROR(VLOOKUP(D2681,'taxonomy map'!$A$1:$C$107,2,FALSE),"")</f>
        <v/>
      </c>
      <c r="F2681" s="49" t="str">
        <f>IFERROR(VLOOKUP(E2681,'Condensed Specialty Crosswalk'!$A$2:$C$106,2,FALSE),"")</f>
        <v/>
      </c>
      <c r="G2681" s="49" t="str">
        <f>IFERROR(VLOOKUP(E2681,'Condensed Specialty Crosswalk'!$A$2:$C$106,3,FALSE),"")</f>
        <v/>
      </c>
    </row>
    <row r="2682" spans="5:7" ht="15" customHeight="1">
      <c r="E2682" s="49" t="str">
        <f>IFERROR(VLOOKUP(D2682,'taxonomy map'!$A$1:$C$107,2,FALSE),"")</f>
        <v/>
      </c>
      <c r="F2682" s="49" t="str">
        <f>IFERROR(VLOOKUP(E2682,'Condensed Specialty Crosswalk'!$A$2:$C$106,2,FALSE),"")</f>
        <v/>
      </c>
      <c r="G2682" s="49" t="str">
        <f>IFERROR(VLOOKUP(E2682,'Condensed Specialty Crosswalk'!$A$2:$C$106,3,FALSE),"")</f>
        <v/>
      </c>
    </row>
    <row r="2683" spans="5:7" ht="15" customHeight="1">
      <c r="E2683" s="49" t="str">
        <f>IFERROR(VLOOKUP(D2683,'taxonomy map'!$A$1:$C$107,2,FALSE),"")</f>
        <v/>
      </c>
      <c r="F2683" s="49" t="str">
        <f>IFERROR(VLOOKUP(E2683,'Condensed Specialty Crosswalk'!$A$2:$C$106,2,FALSE),"")</f>
        <v/>
      </c>
      <c r="G2683" s="49" t="str">
        <f>IFERROR(VLOOKUP(E2683,'Condensed Specialty Crosswalk'!$A$2:$C$106,3,FALSE),"")</f>
        <v/>
      </c>
    </row>
    <row r="2684" spans="5:7" ht="15" customHeight="1">
      <c r="E2684" s="49" t="str">
        <f>IFERROR(VLOOKUP(D2684,'taxonomy map'!$A$1:$C$107,2,FALSE),"")</f>
        <v/>
      </c>
      <c r="F2684" s="49" t="str">
        <f>IFERROR(VLOOKUP(E2684,'Condensed Specialty Crosswalk'!$A$2:$C$106,2,FALSE),"")</f>
        <v/>
      </c>
      <c r="G2684" s="49" t="str">
        <f>IFERROR(VLOOKUP(E2684,'Condensed Specialty Crosswalk'!$A$2:$C$106,3,FALSE),"")</f>
        <v/>
      </c>
    </row>
    <row r="2685" spans="5:7" ht="15" customHeight="1">
      <c r="E2685" s="49" t="str">
        <f>IFERROR(VLOOKUP(D2685,'taxonomy map'!$A$1:$C$107,2,FALSE),"")</f>
        <v/>
      </c>
      <c r="F2685" s="49" t="str">
        <f>IFERROR(VLOOKUP(E2685,'Condensed Specialty Crosswalk'!$A$2:$C$106,2,FALSE),"")</f>
        <v/>
      </c>
      <c r="G2685" s="49" t="str">
        <f>IFERROR(VLOOKUP(E2685,'Condensed Specialty Crosswalk'!$A$2:$C$106,3,FALSE),"")</f>
        <v/>
      </c>
    </row>
    <row r="2686" spans="5:7" ht="15" customHeight="1">
      <c r="E2686" s="49" t="str">
        <f>IFERROR(VLOOKUP(D2686,'taxonomy map'!$A$1:$C$107,2,FALSE),"")</f>
        <v/>
      </c>
      <c r="F2686" s="49" t="str">
        <f>IFERROR(VLOOKUP(E2686,'Condensed Specialty Crosswalk'!$A$2:$C$106,2,FALSE),"")</f>
        <v/>
      </c>
      <c r="G2686" s="49" t="str">
        <f>IFERROR(VLOOKUP(E2686,'Condensed Specialty Crosswalk'!$A$2:$C$106,3,FALSE),"")</f>
        <v/>
      </c>
    </row>
    <row r="2687" spans="5:7" ht="15" customHeight="1">
      <c r="E2687" s="49" t="str">
        <f>IFERROR(VLOOKUP(D2687,'taxonomy map'!$A$1:$C$107,2,FALSE),"")</f>
        <v/>
      </c>
      <c r="F2687" s="49" t="str">
        <f>IFERROR(VLOOKUP(E2687,'Condensed Specialty Crosswalk'!$A$2:$C$106,2,FALSE),"")</f>
        <v/>
      </c>
      <c r="G2687" s="49" t="str">
        <f>IFERROR(VLOOKUP(E2687,'Condensed Specialty Crosswalk'!$A$2:$C$106,3,FALSE),"")</f>
        <v/>
      </c>
    </row>
    <row r="2688" spans="5:7" ht="15" customHeight="1">
      <c r="E2688" s="49" t="str">
        <f>IFERROR(VLOOKUP(D2688,'taxonomy map'!$A$1:$C$107,2,FALSE),"")</f>
        <v/>
      </c>
      <c r="F2688" s="49" t="str">
        <f>IFERROR(VLOOKUP(E2688,'Condensed Specialty Crosswalk'!$A$2:$C$106,2,FALSE),"")</f>
        <v/>
      </c>
      <c r="G2688" s="49" t="str">
        <f>IFERROR(VLOOKUP(E2688,'Condensed Specialty Crosswalk'!$A$2:$C$106,3,FALSE),"")</f>
        <v/>
      </c>
    </row>
    <row r="2689" spans="5:7" ht="15" customHeight="1">
      <c r="E2689" s="49" t="str">
        <f>IFERROR(VLOOKUP(D2689,'taxonomy map'!$A$1:$C$107,2,FALSE),"")</f>
        <v/>
      </c>
      <c r="F2689" s="49" t="str">
        <f>IFERROR(VLOOKUP(E2689,'Condensed Specialty Crosswalk'!$A$2:$C$106,2,FALSE),"")</f>
        <v/>
      </c>
      <c r="G2689" s="49" t="str">
        <f>IFERROR(VLOOKUP(E2689,'Condensed Specialty Crosswalk'!$A$2:$C$106,3,FALSE),"")</f>
        <v/>
      </c>
    </row>
    <row r="2690" spans="5:7" ht="15" customHeight="1">
      <c r="E2690" s="49" t="str">
        <f>IFERROR(VLOOKUP(D2690,'taxonomy map'!$A$1:$C$107,2,FALSE),"")</f>
        <v/>
      </c>
      <c r="F2690" s="49" t="str">
        <f>IFERROR(VLOOKUP(E2690,'Condensed Specialty Crosswalk'!$A$2:$C$106,2,FALSE),"")</f>
        <v/>
      </c>
      <c r="G2690" s="49" t="str">
        <f>IFERROR(VLOOKUP(E2690,'Condensed Specialty Crosswalk'!$A$2:$C$106,3,FALSE),"")</f>
        <v/>
      </c>
    </row>
    <row r="2691" spans="5:7" ht="15" customHeight="1">
      <c r="E2691" s="49" t="str">
        <f>IFERROR(VLOOKUP(D2691,'taxonomy map'!$A$1:$C$107,2,FALSE),"")</f>
        <v/>
      </c>
      <c r="F2691" s="49" t="str">
        <f>IFERROR(VLOOKUP(E2691,'Condensed Specialty Crosswalk'!$A$2:$C$106,2,FALSE),"")</f>
        <v/>
      </c>
      <c r="G2691" s="49" t="str">
        <f>IFERROR(VLOOKUP(E2691,'Condensed Specialty Crosswalk'!$A$2:$C$106,3,FALSE),"")</f>
        <v/>
      </c>
    </row>
    <row r="2692" spans="5:7" ht="15" customHeight="1">
      <c r="E2692" s="49" t="str">
        <f>IFERROR(VLOOKUP(D2692,'taxonomy map'!$A$1:$C$107,2,FALSE),"")</f>
        <v/>
      </c>
      <c r="F2692" s="49" t="str">
        <f>IFERROR(VLOOKUP(E2692,'Condensed Specialty Crosswalk'!$A$2:$C$106,2,FALSE),"")</f>
        <v/>
      </c>
      <c r="G2692" s="49" t="str">
        <f>IFERROR(VLOOKUP(E2692,'Condensed Specialty Crosswalk'!$A$2:$C$106,3,FALSE),"")</f>
        <v/>
      </c>
    </row>
    <row r="2693" spans="5:7" ht="15" customHeight="1">
      <c r="E2693" s="49" t="str">
        <f>IFERROR(VLOOKUP(D2693,'taxonomy map'!$A$1:$C$107,2,FALSE),"")</f>
        <v/>
      </c>
      <c r="F2693" s="49" t="str">
        <f>IFERROR(VLOOKUP(E2693,'Condensed Specialty Crosswalk'!$A$2:$C$106,2,FALSE),"")</f>
        <v/>
      </c>
      <c r="G2693" s="49" t="str">
        <f>IFERROR(VLOOKUP(E2693,'Condensed Specialty Crosswalk'!$A$2:$C$106,3,FALSE),"")</f>
        <v/>
      </c>
    </row>
    <row r="2694" spans="5:7" ht="15" customHeight="1">
      <c r="E2694" s="49" t="str">
        <f>IFERROR(VLOOKUP(D2694,'taxonomy map'!$A$1:$C$107,2,FALSE),"")</f>
        <v/>
      </c>
      <c r="F2694" s="49" t="str">
        <f>IFERROR(VLOOKUP(E2694,'Condensed Specialty Crosswalk'!$A$2:$C$106,2,FALSE),"")</f>
        <v/>
      </c>
      <c r="G2694" s="49" t="str">
        <f>IFERROR(VLOOKUP(E2694,'Condensed Specialty Crosswalk'!$A$2:$C$106,3,FALSE),"")</f>
        <v/>
      </c>
    </row>
    <row r="2695" spans="5:7" ht="15" customHeight="1">
      <c r="E2695" s="49" t="str">
        <f>IFERROR(VLOOKUP(D2695,'taxonomy map'!$A$1:$C$107,2,FALSE),"")</f>
        <v/>
      </c>
      <c r="F2695" s="49" t="str">
        <f>IFERROR(VLOOKUP(E2695,'Condensed Specialty Crosswalk'!$A$2:$C$106,2,FALSE),"")</f>
        <v/>
      </c>
      <c r="G2695" s="49" t="str">
        <f>IFERROR(VLOOKUP(E2695,'Condensed Specialty Crosswalk'!$A$2:$C$106,3,FALSE),"")</f>
        <v/>
      </c>
    </row>
    <row r="2696" spans="5:7" ht="15" customHeight="1">
      <c r="E2696" s="49" t="str">
        <f>IFERROR(VLOOKUP(D2696,'taxonomy map'!$A$1:$C$107,2,FALSE),"")</f>
        <v/>
      </c>
      <c r="F2696" s="49" t="str">
        <f>IFERROR(VLOOKUP(E2696,'Condensed Specialty Crosswalk'!$A$2:$C$106,2,FALSE),"")</f>
        <v/>
      </c>
      <c r="G2696" s="49" t="str">
        <f>IFERROR(VLOOKUP(E2696,'Condensed Specialty Crosswalk'!$A$2:$C$106,3,FALSE),"")</f>
        <v/>
      </c>
    </row>
    <row r="2697" spans="5:7" ht="15" customHeight="1">
      <c r="E2697" s="49" t="str">
        <f>IFERROR(VLOOKUP(D2697,'taxonomy map'!$A$1:$C$107,2,FALSE),"")</f>
        <v/>
      </c>
      <c r="F2697" s="49" t="str">
        <f>IFERROR(VLOOKUP(E2697,'Condensed Specialty Crosswalk'!$A$2:$C$106,2,FALSE),"")</f>
        <v/>
      </c>
      <c r="G2697" s="49" t="str">
        <f>IFERROR(VLOOKUP(E2697,'Condensed Specialty Crosswalk'!$A$2:$C$106,3,FALSE),"")</f>
        <v/>
      </c>
    </row>
    <row r="2698" spans="5:7" ht="15" customHeight="1">
      <c r="E2698" s="49" t="str">
        <f>IFERROR(VLOOKUP(D2698,'taxonomy map'!$A$1:$C$107,2,FALSE),"")</f>
        <v/>
      </c>
      <c r="F2698" s="49" t="str">
        <f>IFERROR(VLOOKUP(E2698,'Condensed Specialty Crosswalk'!$A$2:$C$106,2,FALSE),"")</f>
        <v/>
      </c>
      <c r="G2698" s="49" t="str">
        <f>IFERROR(VLOOKUP(E2698,'Condensed Specialty Crosswalk'!$A$2:$C$106,3,FALSE),"")</f>
        <v/>
      </c>
    </row>
    <row r="2699" spans="5:7" ht="15" customHeight="1">
      <c r="E2699" s="49" t="str">
        <f>IFERROR(VLOOKUP(D2699,'taxonomy map'!$A$1:$C$107,2,FALSE),"")</f>
        <v/>
      </c>
      <c r="F2699" s="49" t="str">
        <f>IFERROR(VLOOKUP(E2699,'Condensed Specialty Crosswalk'!$A$2:$C$106,2,FALSE),"")</f>
        <v/>
      </c>
      <c r="G2699" s="49" t="str">
        <f>IFERROR(VLOOKUP(E2699,'Condensed Specialty Crosswalk'!$A$2:$C$106,3,FALSE),"")</f>
        <v/>
      </c>
    </row>
    <row r="2700" spans="5:7" ht="15" customHeight="1">
      <c r="E2700" s="49" t="str">
        <f>IFERROR(VLOOKUP(D2700,'taxonomy map'!$A$1:$C$107,2,FALSE),"")</f>
        <v/>
      </c>
      <c r="F2700" s="49" t="str">
        <f>IFERROR(VLOOKUP(E2700,'Condensed Specialty Crosswalk'!$A$2:$C$106,2,FALSE),"")</f>
        <v/>
      </c>
      <c r="G2700" s="49" t="str">
        <f>IFERROR(VLOOKUP(E2700,'Condensed Specialty Crosswalk'!$A$2:$C$106,3,FALSE),"")</f>
        <v/>
      </c>
    </row>
    <row r="2701" spans="5:7" ht="15" customHeight="1">
      <c r="E2701" s="49" t="str">
        <f>IFERROR(VLOOKUP(D2701,'taxonomy map'!$A$1:$C$107,2,FALSE),"")</f>
        <v/>
      </c>
      <c r="F2701" s="49" t="str">
        <f>IFERROR(VLOOKUP(E2701,'Condensed Specialty Crosswalk'!$A$2:$C$106,2,FALSE),"")</f>
        <v/>
      </c>
      <c r="G2701" s="49" t="str">
        <f>IFERROR(VLOOKUP(E2701,'Condensed Specialty Crosswalk'!$A$2:$C$106,3,FALSE),"")</f>
        <v/>
      </c>
    </row>
    <row r="2702" spans="5:7" ht="15" customHeight="1">
      <c r="E2702" s="49" t="str">
        <f>IFERROR(VLOOKUP(D2702,'taxonomy map'!$A$1:$C$107,2,FALSE),"")</f>
        <v/>
      </c>
      <c r="F2702" s="49" t="str">
        <f>IFERROR(VLOOKUP(E2702,'Condensed Specialty Crosswalk'!$A$2:$C$106,2,FALSE),"")</f>
        <v/>
      </c>
      <c r="G2702" s="49" t="str">
        <f>IFERROR(VLOOKUP(E2702,'Condensed Specialty Crosswalk'!$A$2:$C$106,3,FALSE),"")</f>
        <v/>
      </c>
    </row>
    <row r="2703" spans="5:7" ht="15" customHeight="1">
      <c r="E2703" s="49" t="str">
        <f>IFERROR(VLOOKUP(D2703,'taxonomy map'!$A$1:$C$107,2,FALSE),"")</f>
        <v/>
      </c>
      <c r="F2703" s="49" t="str">
        <f>IFERROR(VLOOKUP(E2703,'Condensed Specialty Crosswalk'!$A$2:$C$106,2,FALSE),"")</f>
        <v/>
      </c>
      <c r="G2703" s="49" t="str">
        <f>IFERROR(VLOOKUP(E2703,'Condensed Specialty Crosswalk'!$A$2:$C$106,3,FALSE),"")</f>
        <v/>
      </c>
    </row>
    <row r="2704" spans="5:7" ht="15" customHeight="1">
      <c r="E2704" s="49" t="str">
        <f>IFERROR(VLOOKUP(D2704,'taxonomy map'!$A$1:$C$107,2,FALSE),"")</f>
        <v/>
      </c>
      <c r="F2704" s="49" t="str">
        <f>IFERROR(VLOOKUP(E2704,'Condensed Specialty Crosswalk'!$A$2:$C$106,2,FALSE),"")</f>
        <v/>
      </c>
      <c r="G2704" s="49" t="str">
        <f>IFERROR(VLOOKUP(E2704,'Condensed Specialty Crosswalk'!$A$2:$C$106,3,FALSE),"")</f>
        <v/>
      </c>
    </row>
    <row r="2705" spans="5:7" ht="15" customHeight="1">
      <c r="E2705" s="49" t="str">
        <f>IFERROR(VLOOKUP(D2705,'taxonomy map'!$A$1:$C$107,2,FALSE),"")</f>
        <v/>
      </c>
      <c r="F2705" s="49" t="str">
        <f>IFERROR(VLOOKUP(E2705,'Condensed Specialty Crosswalk'!$A$2:$C$106,2,FALSE),"")</f>
        <v/>
      </c>
      <c r="G2705" s="49" t="str">
        <f>IFERROR(VLOOKUP(E2705,'Condensed Specialty Crosswalk'!$A$2:$C$106,3,FALSE),"")</f>
        <v/>
      </c>
    </row>
    <row r="2706" spans="5:7" ht="15" customHeight="1">
      <c r="E2706" s="49" t="str">
        <f>IFERROR(VLOOKUP(D2706,'taxonomy map'!$A$1:$C$107,2,FALSE),"")</f>
        <v/>
      </c>
      <c r="F2706" s="49" t="str">
        <f>IFERROR(VLOOKUP(E2706,'Condensed Specialty Crosswalk'!$A$2:$C$106,2,FALSE),"")</f>
        <v/>
      </c>
      <c r="G2706" s="49" t="str">
        <f>IFERROR(VLOOKUP(E2706,'Condensed Specialty Crosswalk'!$A$2:$C$106,3,FALSE),"")</f>
        <v/>
      </c>
    </row>
    <row r="2707" spans="5:7" ht="15" customHeight="1">
      <c r="E2707" s="49" t="str">
        <f>IFERROR(VLOOKUP(D2707,'taxonomy map'!$A$1:$C$107,2,FALSE),"")</f>
        <v/>
      </c>
      <c r="F2707" s="49" t="str">
        <f>IFERROR(VLOOKUP(E2707,'Condensed Specialty Crosswalk'!$A$2:$C$106,2,FALSE),"")</f>
        <v/>
      </c>
      <c r="G2707" s="49" t="str">
        <f>IFERROR(VLOOKUP(E2707,'Condensed Specialty Crosswalk'!$A$2:$C$106,3,FALSE),"")</f>
        <v/>
      </c>
    </row>
    <row r="2708" spans="5:7" ht="15" customHeight="1">
      <c r="E2708" s="49" t="str">
        <f>IFERROR(VLOOKUP(D2708,'taxonomy map'!$A$1:$C$107,2,FALSE),"")</f>
        <v/>
      </c>
      <c r="F2708" s="49" t="str">
        <f>IFERROR(VLOOKUP(E2708,'Condensed Specialty Crosswalk'!$A$2:$C$106,2,FALSE),"")</f>
        <v/>
      </c>
      <c r="G2708" s="49" t="str">
        <f>IFERROR(VLOOKUP(E2708,'Condensed Specialty Crosswalk'!$A$2:$C$106,3,FALSE),"")</f>
        <v/>
      </c>
    </row>
    <row r="2709" spans="5:7" ht="15" customHeight="1">
      <c r="E2709" s="49" t="str">
        <f>IFERROR(VLOOKUP(D2709,'taxonomy map'!$A$1:$C$107,2,FALSE),"")</f>
        <v/>
      </c>
      <c r="F2709" s="49" t="str">
        <f>IFERROR(VLOOKUP(E2709,'Condensed Specialty Crosswalk'!$A$2:$C$106,2,FALSE),"")</f>
        <v/>
      </c>
      <c r="G2709" s="49" t="str">
        <f>IFERROR(VLOOKUP(E2709,'Condensed Specialty Crosswalk'!$A$2:$C$106,3,FALSE),"")</f>
        <v/>
      </c>
    </row>
    <row r="2710" spans="5:7" ht="15" customHeight="1">
      <c r="E2710" s="49" t="str">
        <f>IFERROR(VLOOKUP(D2710,'taxonomy map'!$A$1:$C$107,2,FALSE),"")</f>
        <v/>
      </c>
      <c r="F2710" s="49" t="str">
        <f>IFERROR(VLOOKUP(E2710,'Condensed Specialty Crosswalk'!$A$2:$C$106,2,FALSE),"")</f>
        <v/>
      </c>
      <c r="G2710" s="49" t="str">
        <f>IFERROR(VLOOKUP(E2710,'Condensed Specialty Crosswalk'!$A$2:$C$106,3,FALSE),"")</f>
        <v/>
      </c>
    </row>
    <row r="2711" spans="5:7" ht="15" customHeight="1">
      <c r="E2711" s="49" t="str">
        <f>IFERROR(VLOOKUP(D2711,'taxonomy map'!$A$1:$C$107,2,FALSE),"")</f>
        <v/>
      </c>
      <c r="F2711" s="49" t="str">
        <f>IFERROR(VLOOKUP(E2711,'Condensed Specialty Crosswalk'!$A$2:$C$106,2,FALSE),"")</f>
        <v/>
      </c>
      <c r="G2711" s="49" t="str">
        <f>IFERROR(VLOOKUP(E2711,'Condensed Specialty Crosswalk'!$A$2:$C$106,3,FALSE),"")</f>
        <v/>
      </c>
    </row>
    <row r="2712" spans="5:7" ht="15" customHeight="1">
      <c r="E2712" s="49" t="str">
        <f>IFERROR(VLOOKUP(D2712,'taxonomy map'!$A$1:$C$107,2,FALSE),"")</f>
        <v/>
      </c>
      <c r="F2712" s="49" t="str">
        <f>IFERROR(VLOOKUP(E2712,'Condensed Specialty Crosswalk'!$A$2:$C$106,2,FALSE),"")</f>
        <v/>
      </c>
      <c r="G2712" s="49" t="str">
        <f>IFERROR(VLOOKUP(E2712,'Condensed Specialty Crosswalk'!$A$2:$C$106,3,FALSE),"")</f>
        <v/>
      </c>
    </row>
    <row r="2713" spans="5:7" ht="15" customHeight="1">
      <c r="E2713" s="49" t="str">
        <f>IFERROR(VLOOKUP(D2713,'taxonomy map'!$A$1:$C$107,2,FALSE),"")</f>
        <v/>
      </c>
      <c r="F2713" s="49" t="str">
        <f>IFERROR(VLOOKUP(E2713,'Condensed Specialty Crosswalk'!$A$2:$C$106,2,FALSE),"")</f>
        <v/>
      </c>
      <c r="G2713" s="49" t="str">
        <f>IFERROR(VLOOKUP(E2713,'Condensed Specialty Crosswalk'!$A$2:$C$106,3,FALSE),"")</f>
        <v/>
      </c>
    </row>
    <row r="2714" spans="5:7" ht="15" customHeight="1">
      <c r="E2714" s="49" t="str">
        <f>IFERROR(VLOOKUP(D2714,'taxonomy map'!$A$1:$C$107,2,FALSE),"")</f>
        <v/>
      </c>
      <c r="F2714" s="49" t="str">
        <f>IFERROR(VLOOKUP(E2714,'Condensed Specialty Crosswalk'!$A$2:$C$106,2,FALSE),"")</f>
        <v/>
      </c>
      <c r="G2714" s="49" t="str">
        <f>IFERROR(VLOOKUP(E2714,'Condensed Specialty Crosswalk'!$A$2:$C$106,3,FALSE),"")</f>
        <v/>
      </c>
    </row>
    <row r="2715" spans="5:7" ht="15" customHeight="1">
      <c r="E2715" s="49" t="str">
        <f>IFERROR(VLOOKUP(D2715,'taxonomy map'!$A$1:$C$107,2,FALSE),"")</f>
        <v/>
      </c>
      <c r="F2715" s="49" t="str">
        <f>IFERROR(VLOOKUP(E2715,'Condensed Specialty Crosswalk'!$A$2:$C$106,2,FALSE),"")</f>
        <v/>
      </c>
      <c r="G2715" s="49" t="str">
        <f>IFERROR(VLOOKUP(E2715,'Condensed Specialty Crosswalk'!$A$2:$C$106,3,FALSE),"")</f>
        <v/>
      </c>
    </row>
    <row r="2716" spans="5:7" ht="15" customHeight="1">
      <c r="E2716" s="49" t="str">
        <f>IFERROR(VLOOKUP(D2716,'taxonomy map'!$A$1:$C$107,2,FALSE),"")</f>
        <v/>
      </c>
      <c r="F2716" s="49" t="str">
        <f>IFERROR(VLOOKUP(E2716,'Condensed Specialty Crosswalk'!$A$2:$C$106,2,FALSE),"")</f>
        <v/>
      </c>
      <c r="G2716" s="49" t="str">
        <f>IFERROR(VLOOKUP(E2716,'Condensed Specialty Crosswalk'!$A$2:$C$106,3,FALSE),"")</f>
        <v/>
      </c>
    </row>
    <row r="2717" spans="5:7" ht="15" customHeight="1">
      <c r="E2717" s="49" t="str">
        <f>IFERROR(VLOOKUP(D2717,'taxonomy map'!$A$1:$C$107,2,FALSE),"")</f>
        <v/>
      </c>
      <c r="F2717" s="49" t="str">
        <f>IFERROR(VLOOKUP(E2717,'Condensed Specialty Crosswalk'!$A$2:$C$106,2,FALSE),"")</f>
        <v/>
      </c>
      <c r="G2717" s="49" t="str">
        <f>IFERROR(VLOOKUP(E2717,'Condensed Specialty Crosswalk'!$A$2:$C$106,3,FALSE),"")</f>
        <v/>
      </c>
    </row>
    <row r="2718" spans="5:7" ht="15" customHeight="1">
      <c r="E2718" s="49" t="str">
        <f>IFERROR(VLOOKUP(D2718,'taxonomy map'!$A$1:$C$107,2,FALSE),"")</f>
        <v/>
      </c>
      <c r="F2718" s="49" t="str">
        <f>IFERROR(VLOOKUP(E2718,'Condensed Specialty Crosswalk'!$A$2:$C$106,2,FALSE),"")</f>
        <v/>
      </c>
      <c r="G2718" s="49" t="str">
        <f>IFERROR(VLOOKUP(E2718,'Condensed Specialty Crosswalk'!$A$2:$C$106,3,FALSE),"")</f>
        <v/>
      </c>
    </row>
    <row r="2719" spans="5:7" ht="15" customHeight="1">
      <c r="E2719" s="49" t="str">
        <f>IFERROR(VLOOKUP(D2719,'taxonomy map'!$A$1:$C$107,2,FALSE),"")</f>
        <v/>
      </c>
      <c r="F2719" s="49" t="str">
        <f>IFERROR(VLOOKUP(E2719,'Condensed Specialty Crosswalk'!$A$2:$C$106,2,FALSE),"")</f>
        <v/>
      </c>
      <c r="G2719" s="49" t="str">
        <f>IFERROR(VLOOKUP(E2719,'Condensed Specialty Crosswalk'!$A$2:$C$106,3,FALSE),"")</f>
        <v/>
      </c>
    </row>
    <row r="2720" spans="5:7" ht="15" customHeight="1">
      <c r="E2720" s="49" t="str">
        <f>IFERROR(VLOOKUP(D2720,'taxonomy map'!$A$1:$C$107,2,FALSE),"")</f>
        <v/>
      </c>
      <c r="F2720" s="49" t="str">
        <f>IFERROR(VLOOKUP(E2720,'Condensed Specialty Crosswalk'!$A$2:$C$106,2,FALSE),"")</f>
        <v/>
      </c>
      <c r="G2720" s="49" t="str">
        <f>IFERROR(VLOOKUP(E2720,'Condensed Specialty Crosswalk'!$A$2:$C$106,3,FALSE),"")</f>
        <v/>
      </c>
    </row>
    <row r="2721" spans="5:7" ht="15" customHeight="1">
      <c r="E2721" s="49" t="str">
        <f>IFERROR(VLOOKUP(D2721,'taxonomy map'!$A$1:$C$107,2,FALSE),"")</f>
        <v/>
      </c>
      <c r="F2721" s="49" t="str">
        <f>IFERROR(VLOOKUP(E2721,'Condensed Specialty Crosswalk'!$A$2:$C$106,2,FALSE),"")</f>
        <v/>
      </c>
      <c r="G2721" s="49" t="str">
        <f>IFERROR(VLOOKUP(E2721,'Condensed Specialty Crosswalk'!$A$2:$C$106,3,FALSE),"")</f>
        <v/>
      </c>
    </row>
    <row r="2722" spans="5:7" ht="15" customHeight="1">
      <c r="E2722" s="49" t="str">
        <f>IFERROR(VLOOKUP(D2722,'taxonomy map'!$A$1:$C$107,2,FALSE),"")</f>
        <v/>
      </c>
      <c r="F2722" s="49" t="str">
        <f>IFERROR(VLOOKUP(E2722,'Condensed Specialty Crosswalk'!$A$2:$C$106,2,FALSE),"")</f>
        <v/>
      </c>
      <c r="G2722" s="49" t="str">
        <f>IFERROR(VLOOKUP(E2722,'Condensed Specialty Crosswalk'!$A$2:$C$106,3,FALSE),"")</f>
        <v/>
      </c>
    </row>
    <row r="2723" spans="5:7" ht="15" customHeight="1">
      <c r="E2723" s="49" t="str">
        <f>IFERROR(VLOOKUP(D2723,'taxonomy map'!$A$1:$C$107,2,FALSE),"")</f>
        <v/>
      </c>
      <c r="F2723" s="49" t="str">
        <f>IFERROR(VLOOKUP(E2723,'Condensed Specialty Crosswalk'!$A$2:$C$106,2,FALSE),"")</f>
        <v/>
      </c>
      <c r="G2723" s="49" t="str">
        <f>IFERROR(VLOOKUP(E2723,'Condensed Specialty Crosswalk'!$A$2:$C$106,3,FALSE),"")</f>
        <v/>
      </c>
    </row>
    <row r="2724" spans="5:7" ht="15" customHeight="1">
      <c r="E2724" s="49" t="str">
        <f>IFERROR(VLOOKUP(D2724,'taxonomy map'!$A$1:$C$107,2,FALSE),"")</f>
        <v/>
      </c>
      <c r="F2724" s="49" t="str">
        <f>IFERROR(VLOOKUP(E2724,'Condensed Specialty Crosswalk'!$A$2:$C$106,2,FALSE),"")</f>
        <v/>
      </c>
      <c r="G2724" s="49" t="str">
        <f>IFERROR(VLOOKUP(E2724,'Condensed Specialty Crosswalk'!$A$2:$C$106,3,FALSE),"")</f>
        <v/>
      </c>
    </row>
    <row r="2725" spans="5:7" ht="15" customHeight="1">
      <c r="E2725" s="49" t="str">
        <f>IFERROR(VLOOKUP(D2725,'taxonomy map'!$A$1:$C$107,2,FALSE),"")</f>
        <v/>
      </c>
      <c r="F2725" s="49" t="str">
        <f>IFERROR(VLOOKUP(E2725,'Condensed Specialty Crosswalk'!$A$2:$C$106,2,FALSE),"")</f>
        <v/>
      </c>
      <c r="G2725" s="49" t="str">
        <f>IFERROR(VLOOKUP(E2725,'Condensed Specialty Crosswalk'!$A$2:$C$106,3,FALSE),"")</f>
        <v/>
      </c>
    </row>
    <row r="2726" spans="5:7" ht="15" customHeight="1">
      <c r="E2726" s="49" t="str">
        <f>IFERROR(VLOOKUP(D2726,'taxonomy map'!$A$1:$C$107,2,FALSE),"")</f>
        <v/>
      </c>
      <c r="F2726" s="49" t="str">
        <f>IFERROR(VLOOKUP(E2726,'Condensed Specialty Crosswalk'!$A$2:$C$106,2,FALSE),"")</f>
        <v/>
      </c>
      <c r="G2726" s="49" t="str">
        <f>IFERROR(VLOOKUP(E2726,'Condensed Specialty Crosswalk'!$A$2:$C$106,3,FALSE),"")</f>
        <v/>
      </c>
    </row>
    <row r="2727" spans="5:7" ht="15" customHeight="1">
      <c r="E2727" s="49" t="str">
        <f>IFERROR(VLOOKUP(D2727,'taxonomy map'!$A$1:$C$107,2,FALSE),"")</f>
        <v/>
      </c>
      <c r="F2727" s="49" t="str">
        <f>IFERROR(VLOOKUP(E2727,'Condensed Specialty Crosswalk'!$A$2:$C$106,2,FALSE),"")</f>
        <v/>
      </c>
      <c r="G2727" s="49" t="str">
        <f>IFERROR(VLOOKUP(E2727,'Condensed Specialty Crosswalk'!$A$2:$C$106,3,FALSE),"")</f>
        <v/>
      </c>
    </row>
    <row r="2728" spans="5:7" ht="15" customHeight="1">
      <c r="E2728" s="49" t="str">
        <f>IFERROR(VLOOKUP(D2728,'taxonomy map'!$A$1:$C$107,2,FALSE),"")</f>
        <v/>
      </c>
      <c r="F2728" s="49" t="str">
        <f>IFERROR(VLOOKUP(E2728,'Condensed Specialty Crosswalk'!$A$2:$C$106,2,FALSE),"")</f>
        <v/>
      </c>
      <c r="G2728" s="49" t="str">
        <f>IFERROR(VLOOKUP(E2728,'Condensed Specialty Crosswalk'!$A$2:$C$106,3,FALSE),"")</f>
        <v/>
      </c>
    </row>
    <row r="2729" spans="5:7" ht="15" customHeight="1">
      <c r="E2729" s="49" t="str">
        <f>IFERROR(VLOOKUP(D2729,'taxonomy map'!$A$1:$C$107,2,FALSE),"")</f>
        <v/>
      </c>
      <c r="F2729" s="49" t="str">
        <f>IFERROR(VLOOKUP(E2729,'Condensed Specialty Crosswalk'!$A$2:$C$106,2,FALSE),"")</f>
        <v/>
      </c>
      <c r="G2729" s="49" t="str">
        <f>IFERROR(VLOOKUP(E2729,'Condensed Specialty Crosswalk'!$A$2:$C$106,3,FALSE),"")</f>
        <v/>
      </c>
    </row>
    <row r="2730" spans="5:7" ht="15" customHeight="1">
      <c r="E2730" s="49" t="str">
        <f>IFERROR(VLOOKUP(D2730,'taxonomy map'!$A$1:$C$107,2,FALSE),"")</f>
        <v/>
      </c>
      <c r="F2730" s="49" t="str">
        <f>IFERROR(VLOOKUP(E2730,'Condensed Specialty Crosswalk'!$A$2:$C$106,2,FALSE),"")</f>
        <v/>
      </c>
      <c r="G2730" s="49" t="str">
        <f>IFERROR(VLOOKUP(E2730,'Condensed Specialty Crosswalk'!$A$2:$C$106,3,FALSE),"")</f>
        <v/>
      </c>
    </row>
    <row r="2731" spans="5:7" ht="15" customHeight="1">
      <c r="E2731" s="49" t="str">
        <f>IFERROR(VLOOKUP(D2731,'taxonomy map'!$A$1:$C$107,2,FALSE),"")</f>
        <v/>
      </c>
      <c r="F2731" s="49" t="str">
        <f>IFERROR(VLOOKUP(E2731,'Condensed Specialty Crosswalk'!$A$2:$C$106,2,FALSE),"")</f>
        <v/>
      </c>
      <c r="G2731" s="49" t="str">
        <f>IFERROR(VLOOKUP(E2731,'Condensed Specialty Crosswalk'!$A$2:$C$106,3,FALSE),"")</f>
        <v/>
      </c>
    </row>
    <row r="2732" spans="5:7" ht="15" customHeight="1">
      <c r="E2732" s="49" t="str">
        <f>IFERROR(VLOOKUP(D2732,'taxonomy map'!$A$1:$C$107,2,FALSE),"")</f>
        <v/>
      </c>
      <c r="F2732" s="49" t="str">
        <f>IFERROR(VLOOKUP(E2732,'Condensed Specialty Crosswalk'!$A$2:$C$106,2,FALSE),"")</f>
        <v/>
      </c>
      <c r="G2732" s="49" t="str">
        <f>IFERROR(VLOOKUP(E2732,'Condensed Specialty Crosswalk'!$A$2:$C$106,3,FALSE),"")</f>
        <v/>
      </c>
    </row>
    <row r="2733" spans="5:7" ht="15" customHeight="1">
      <c r="E2733" s="49" t="str">
        <f>IFERROR(VLOOKUP(D2733,'taxonomy map'!$A$1:$C$107,2,FALSE),"")</f>
        <v/>
      </c>
      <c r="F2733" s="49" t="str">
        <f>IFERROR(VLOOKUP(E2733,'Condensed Specialty Crosswalk'!$A$2:$C$106,2,FALSE),"")</f>
        <v/>
      </c>
      <c r="G2733" s="49" t="str">
        <f>IFERROR(VLOOKUP(E2733,'Condensed Specialty Crosswalk'!$A$2:$C$106,3,FALSE),"")</f>
        <v/>
      </c>
    </row>
    <row r="2734" spans="5:7" ht="15" customHeight="1">
      <c r="E2734" s="49" t="str">
        <f>IFERROR(VLOOKUP(D2734,'taxonomy map'!$A$1:$C$107,2,FALSE),"")</f>
        <v/>
      </c>
      <c r="F2734" s="49" t="str">
        <f>IFERROR(VLOOKUP(E2734,'Condensed Specialty Crosswalk'!$A$2:$C$106,2,FALSE),"")</f>
        <v/>
      </c>
      <c r="G2734" s="49" t="str">
        <f>IFERROR(VLOOKUP(E2734,'Condensed Specialty Crosswalk'!$A$2:$C$106,3,FALSE),"")</f>
        <v/>
      </c>
    </row>
    <row r="2735" spans="5:7" ht="15" customHeight="1">
      <c r="E2735" s="49" t="str">
        <f>IFERROR(VLOOKUP(D2735,'taxonomy map'!$A$1:$C$107,2,FALSE),"")</f>
        <v/>
      </c>
      <c r="F2735" s="49" t="str">
        <f>IFERROR(VLOOKUP(E2735,'Condensed Specialty Crosswalk'!$A$2:$C$106,2,FALSE),"")</f>
        <v/>
      </c>
      <c r="G2735" s="49" t="str">
        <f>IFERROR(VLOOKUP(E2735,'Condensed Specialty Crosswalk'!$A$2:$C$106,3,FALSE),"")</f>
        <v/>
      </c>
    </row>
    <row r="2736" spans="5:7" ht="15" customHeight="1">
      <c r="E2736" s="49" t="str">
        <f>IFERROR(VLOOKUP(D2736,'taxonomy map'!$A$1:$C$107,2,FALSE),"")</f>
        <v/>
      </c>
      <c r="F2736" s="49" t="str">
        <f>IFERROR(VLOOKUP(E2736,'Condensed Specialty Crosswalk'!$A$2:$C$106,2,FALSE),"")</f>
        <v/>
      </c>
      <c r="G2736" s="49" t="str">
        <f>IFERROR(VLOOKUP(E2736,'Condensed Specialty Crosswalk'!$A$2:$C$106,3,FALSE),"")</f>
        <v/>
      </c>
    </row>
    <row r="2737" spans="5:7" ht="15" customHeight="1">
      <c r="E2737" s="49" t="str">
        <f>IFERROR(VLOOKUP(D2737,'taxonomy map'!$A$1:$C$107,2,FALSE),"")</f>
        <v/>
      </c>
      <c r="F2737" s="49" t="str">
        <f>IFERROR(VLOOKUP(E2737,'Condensed Specialty Crosswalk'!$A$2:$C$106,2,FALSE),"")</f>
        <v/>
      </c>
      <c r="G2737" s="49" t="str">
        <f>IFERROR(VLOOKUP(E2737,'Condensed Specialty Crosswalk'!$A$2:$C$106,3,FALSE),"")</f>
        <v/>
      </c>
    </row>
    <row r="2738" spans="5:7" ht="15" customHeight="1">
      <c r="E2738" s="49" t="str">
        <f>IFERROR(VLOOKUP(D2738,'taxonomy map'!$A$1:$C$107,2,FALSE),"")</f>
        <v/>
      </c>
      <c r="F2738" s="49" t="str">
        <f>IFERROR(VLOOKUP(E2738,'Condensed Specialty Crosswalk'!$A$2:$C$106,2,FALSE),"")</f>
        <v/>
      </c>
      <c r="G2738" s="49" t="str">
        <f>IFERROR(VLOOKUP(E2738,'Condensed Specialty Crosswalk'!$A$2:$C$106,3,FALSE),"")</f>
        <v/>
      </c>
    </row>
    <row r="2739" spans="5:7" ht="15" customHeight="1">
      <c r="E2739" s="49" t="str">
        <f>IFERROR(VLOOKUP(D2739,'taxonomy map'!$A$1:$C$107,2,FALSE),"")</f>
        <v/>
      </c>
      <c r="F2739" s="49" t="str">
        <f>IFERROR(VLOOKUP(E2739,'Condensed Specialty Crosswalk'!$A$2:$C$106,2,FALSE),"")</f>
        <v/>
      </c>
      <c r="G2739" s="49" t="str">
        <f>IFERROR(VLOOKUP(E2739,'Condensed Specialty Crosswalk'!$A$2:$C$106,3,FALSE),"")</f>
        <v/>
      </c>
    </row>
    <row r="2740" spans="5:7" ht="15" customHeight="1">
      <c r="E2740" s="49" t="str">
        <f>IFERROR(VLOOKUP(D2740,'taxonomy map'!$A$1:$C$107,2,FALSE),"")</f>
        <v/>
      </c>
      <c r="F2740" s="49" t="str">
        <f>IFERROR(VLOOKUP(E2740,'Condensed Specialty Crosswalk'!$A$2:$C$106,2,FALSE),"")</f>
        <v/>
      </c>
      <c r="G2740" s="49" t="str">
        <f>IFERROR(VLOOKUP(E2740,'Condensed Specialty Crosswalk'!$A$2:$C$106,3,FALSE),"")</f>
        <v/>
      </c>
    </row>
    <row r="2741" spans="5:7" ht="15" customHeight="1">
      <c r="E2741" s="49" t="str">
        <f>IFERROR(VLOOKUP(D2741,'taxonomy map'!$A$1:$C$107,2,FALSE),"")</f>
        <v/>
      </c>
      <c r="F2741" s="49" t="str">
        <f>IFERROR(VLOOKUP(E2741,'Condensed Specialty Crosswalk'!$A$2:$C$106,2,FALSE),"")</f>
        <v/>
      </c>
      <c r="G2741" s="49" t="str">
        <f>IFERROR(VLOOKUP(E2741,'Condensed Specialty Crosswalk'!$A$2:$C$106,3,FALSE),"")</f>
        <v/>
      </c>
    </row>
    <row r="2742" spans="5:7" ht="15" customHeight="1">
      <c r="E2742" s="49" t="str">
        <f>IFERROR(VLOOKUP(D2742,'taxonomy map'!$A$1:$C$107,2,FALSE),"")</f>
        <v/>
      </c>
      <c r="F2742" s="49" t="str">
        <f>IFERROR(VLOOKUP(E2742,'Condensed Specialty Crosswalk'!$A$2:$C$106,2,FALSE),"")</f>
        <v/>
      </c>
      <c r="G2742" s="49" t="str">
        <f>IFERROR(VLOOKUP(E2742,'Condensed Specialty Crosswalk'!$A$2:$C$106,3,FALSE),"")</f>
        <v/>
      </c>
    </row>
    <row r="2743" spans="5:7" ht="15" customHeight="1">
      <c r="E2743" s="49" t="str">
        <f>IFERROR(VLOOKUP(D2743,'taxonomy map'!$A$1:$C$107,2,FALSE),"")</f>
        <v/>
      </c>
      <c r="F2743" s="49" t="str">
        <f>IFERROR(VLOOKUP(E2743,'Condensed Specialty Crosswalk'!$A$2:$C$106,2,FALSE),"")</f>
        <v/>
      </c>
      <c r="G2743" s="49" t="str">
        <f>IFERROR(VLOOKUP(E2743,'Condensed Specialty Crosswalk'!$A$2:$C$106,3,FALSE),"")</f>
        <v/>
      </c>
    </row>
    <row r="2744" spans="5:7" ht="15" customHeight="1">
      <c r="E2744" s="49" t="str">
        <f>IFERROR(VLOOKUP(D2744,'taxonomy map'!$A$1:$C$107,2,FALSE),"")</f>
        <v/>
      </c>
      <c r="F2744" s="49" t="str">
        <f>IFERROR(VLOOKUP(E2744,'Condensed Specialty Crosswalk'!$A$2:$C$106,2,FALSE),"")</f>
        <v/>
      </c>
      <c r="G2744" s="49" t="str">
        <f>IFERROR(VLOOKUP(E2744,'Condensed Specialty Crosswalk'!$A$2:$C$106,3,FALSE),"")</f>
        <v/>
      </c>
    </row>
    <row r="2745" spans="5:7" ht="15" customHeight="1">
      <c r="E2745" s="49" t="str">
        <f>IFERROR(VLOOKUP(D2745,'taxonomy map'!$A$1:$C$107,2,FALSE),"")</f>
        <v/>
      </c>
      <c r="F2745" s="49" t="str">
        <f>IFERROR(VLOOKUP(E2745,'Condensed Specialty Crosswalk'!$A$2:$C$106,2,FALSE),"")</f>
        <v/>
      </c>
      <c r="G2745" s="49" t="str">
        <f>IFERROR(VLOOKUP(E2745,'Condensed Specialty Crosswalk'!$A$2:$C$106,3,FALSE),"")</f>
        <v/>
      </c>
    </row>
    <row r="2746" spans="5:7" ht="15" customHeight="1">
      <c r="E2746" s="49" t="str">
        <f>IFERROR(VLOOKUP(D2746,'taxonomy map'!$A$1:$C$107,2,FALSE),"")</f>
        <v/>
      </c>
      <c r="F2746" s="49" t="str">
        <f>IFERROR(VLOOKUP(E2746,'Condensed Specialty Crosswalk'!$A$2:$C$106,2,FALSE),"")</f>
        <v/>
      </c>
      <c r="G2746" s="49" t="str">
        <f>IFERROR(VLOOKUP(E2746,'Condensed Specialty Crosswalk'!$A$2:$C$106,3,FALSE),"")</f>
        <v/>
      </c>
    </row>
    <row r="2747" spans="5:7" ht="15" customHeight="1">
      <c r="E2747" s="49" t="str">
        <f>IFERROR(VLOOKUP(D2747,'taxonomy map'!$A$1:$C$107,2,FALSE),"")</f>
        <v/>
      </c>
      <c r="F2747" s="49" t="str">
        <f>IFERROR(VLOOKUP(E2747,'Condensed Specialty Crosswalk'!$A$2:$C$106,2,FALSE),"")</f>
        <v/>
      </c>
      <c r="G2747" s="49" t="str">
        <f>IFERROR(VLOOKUP(E2747,'Condensed Specialty Crosswalk'!$A$2:$C$106,3,FALSE),"")</f>
        <v/>
      </c>
    </row>
    <row r="2748" spans="5:7" ht="15" customHeight="1">
      <c r="E2748" s="49" t="str">
        <f>IFERROR(VLOOKUP(D2748,'taxonomy map'!$A$1:$C$107,2,FALSE),"")</f>
        <v/>
      </c>
      <c r="F2748" s="49" t="str">
        <f>IFERROR(VLOOKUP(E2748,'Condensed Specialty Crosswalk'!$A$2:$C$106,2,FALSE),"")</f>
        <v/>
      </c>
      <c r="G2748" s="49" t="str">
        <f>IFERROR(VLOOKUP(E2748,'Condensed Specialty Crosswalk'!$A$2:$C$106,3,FALSE),"")</f>
        <v/>
      </c>
    </row>
    <row r="2749" spans="5:7" ht="15" customHeight="1">
      <c r="E2749" s="49" t="str">
        <f>IFERROR(VLOOKUP(D2749,'taxonomy map'!$A$1:$C$107,2,FALSE),"")</f>
        <v/>
      </c>
      <c r="F2749" s="49" t="str">
        <f>IFERROR(VLOOKUP(E2749,'Condensed Specialty Crosswalk'!$A$2:$C$106,2,FALSE),"")</f>
        <v/>
      </c>
      <c r="G2749" s="49" t="str">
        <f>IFERROR(VLOOKUP(E2749,'Condensed Specialty Crosswalk'!$A$2:$C$106,3,FALSE),"")</f>
        <v/>
      </c>
    </row>
    <row r="2750" spans="5:7" ht="15" customHeight="1">
      <c r="E2750" s="49" t="str">
        <f>IFERROR(VLOOKUP(D2750,'taxonomy map'!$A$1:$C$107,2,FALSE),"")</f>
        <v/>
      </c>
      <c r="F2750" s="49" t="str">
        <f>IFERROR(VLOOKUP(E2750,'Condensed Specialty Crosswalk'!$A$2:$C$106,2,FALSE),"")</f>
        <v/>
      </c>
      <c r="G2750" s="49" t="str">
        <f>IFERROR(VLOOKUP(E2750,'Condensed Specialty Crosswalk'!$A$2:$C$106,3,FALSE),"")</f>
        <v/>
      </c>
    </row>
    <row r="2751" spans="5:7" ht="15" customHeight="1">
      <c r="E2751" s="49" t="str">
        <f>IFERROR(VLOOKUP(D2751,'taxonomy map'!$A$1:$C$107,2,FALSE),"")</f>
        <v/>
      </c>
      <c r="F2751" s="49" t="str">
        <f>IFERROR(VLOOKUP(E2751,'Condensed Specialty Crosswalk'!$A$2:$C$106,2,FALSE),"")</f>
        <v/>
      </c>
      <c r="G2751" s="49" t="str">
        <f>IFERROR(VLOOKUP(E2751,'Condensed Specialty Crosswalk'!$A$2:$C$106,3,FALSE),"")</f>
        <v/>
      </c>
    </row>
    <row r="2752" spans="5:7" ht="15" customHeight="1">
      <c r="E2752" s="49" t="str">
        <f>IFERROR(VLOOKUP(D2752,'taxonomy map'!$A$1:$C$107,2,FALSE),"")</f>
        <v/>
      </c>
      <c r="F2752" s="49" t="str">
        <f>IFERROR(VLOOKUP(E2752,'Condensed Specialty Crosswalk'!$A$2:$C$106,2,FALSE),"")</f>
        <v/>
      </c>
      <c r="G2752" s="49" t="str">
        <f>IFERROR(VLOOKUP(E2752,'Condensed Specialty Crosswalk'!$A$2:$C$106,3,FALSE),"")</f>
        <v/>
      </c>
    </row>
    <row r="2753" spans="5:7" ht="15" customHeight="1">
      <c r="E2753" s="49" t="str">
        <f>IFERROR(VLOOKUP(D2753,'taxonomy map'!$A$1:$C$107,2,FALSE),"")</f>
        <v/>
      </c>
      <c r="F2753" s="49" t="str">
        <f>IFERROR(VLOOKUP(E2753,'Condensed Specialty Crosswalk'!$A$2:$C$106,2,FALSE),"")</f>
        <v/>
      </c>
      <c r="G2753" s="49" t="str">
        <f>IFERROR(VLOOKUP(E2753,'Condensed Specialty Crosswalk'!$A$2:$C$106,3,FALSE),"")</f>
        <v/>
      </c>
    </row>
    <row r="2754" spans="5:7" ht="15" customHeight="1">
      <c r="E2754" s="49" t="str">
        <f>IFERROR(VLOOKUP(D2754,'taxonomy map'!$A$1:$C$107,2,FALSE),"")</f>
        <v/>
      </c>
      <c r="F2754" s="49" t="str">
        <f>IFERROR(VLOOKUP(E2754,'Condensed Specialty Crosswalk'!$A$2:$C$106,2,FALSE),"")</f>
        <v/>
      </c>
      <c r="G2754" s="49" t="str">
        <f>IFERROR(VLOOKUP(E2754,'Condensed Specialty Crosswalk'!$A$2:$C$106,3,FALSE),"")</f>
        <v/>
      </c>
    </row>
    <row r="2755" spans="5:7" ht="15" customHeight="1">
      <c r="E2755" s="49" t="str">
        <f>IFERROR(VLOOKUP(D2755,'taxonomy map'!$A$1:$C$107,2,FALSE),"")</f>
        <v/>
      </c>
      <c r="F2755" s="49" t="str">
        <f>IFERROR(VLOOKUP(E2755,'Condensed Specialty Crosswalk'!$A$2:$C$106,2,FALSE),"")</f>
        <v/>
      </c>
      <c r="G2755" s="49" t="str">
        <f>IFERROR(VLOOKUP(E2755,'Condensed Specialty Crosswalk'!$A$2:$C$106,3,FALSE),"")</f>
        <v/>
      </c>
    </row>
    <row r="2756" spans="5:7" ht="15" customHeight="1">
      <c r="E2756" s="49" t="str">
        <f>IFERROR(VLOOKUP(D2756,'taxonomy map'!$A$1:$C$107,2,FALSE),"")</f>
        <v/>
      </c>
      <c r="F2756" s="49" t="str">
        <f>IFERROR(VLOOKUP(E2756,'Condensed Specialty Crosswalk'!$A$2:$C$106,2,FALSE),"")</f>
        <v/>
      </c>
      <c r="G2756" s="49" t="str">
        <f>IFERROR(VLOOKUP(E2756,'Condensed Specialty Crosswalk'!$A$2:$C$106,3,FALSE),"")</f>
        <v/>
      </c>
    </row>
    <row r="2757" spans="5:7" ht="15" customHeight="1">
      <c r="E2757" s="49" t="str">
        <f>IFERROR(VLOOKUP(D2757,'taxonomy map'!$A$1:$C$107,2,FALSE),"")</f>
        <v/>
      </c>
      <c r="F2757" s="49" t="str">
        <f>IFERROR(VLOOKUP(E2757,'Condensed Specialty Crosswalk'!$A$2:$C$106,2,FALSE),"")</f>
        <v/>
      </c>
      <c r="G2757" s="49" t="str">
        <f>IFERROR(VLOOKUP(E2757,'Condensed Specialty Crosswalk'!$A$2:$C$106,3,FALSE),"")</f>
        <v/>
      </c>
    </row>
    <row r="2758" spans="5:7" ht="15" customHeight="1">
      <c r="E2758" s="49" t="str">
        <f>IFERROR(VLOOKUP(D2758,'taxonomy map'!$A$1:$C$107,2,FALSE),"")</f>
        <v/>
      </c>
      <c r="F2758" s="49" t="str">
        <f>IFERROR(VLOOKUP(E2758,'Condensed Specialty Crosswalk'!$A$2:$C$106,2,FALSE),"")</f>
        <v/>
      </c>
      <c r="G2758" s="49" t="str">
        <f>IFERROR(VLOOKUP(E2758,'Condensed Specialty Crosswalk'!$A$2:$C$106,3,FALSE),"")</f>
        <v/>
      </c>
    </row>
    <row r="2759" spans="5:7" ht="15" customHeight="1">
      <c r="E2759" s="49" t="str">
        <f>IFERROR(VLOOKUP(D2759,'taxonomy map'!$A$1:$C$107,2,FALSE),"")</f>
        <v/>
      </c>
      <c r="F2759" s="49" t="str">
        <f>IFERROR(VLOOKUP(E2759,'Condensed Specialty Crosswalk'!$A$2:$C$106,2,FALSE),"")</f>
        <v/>
      </c>
      <c r="G2759" s="49" t="str">
        <f>IFERROR(VLOOKUP(E2759,'Condensed Specialty Crosswalk'!$A$2:$C$106,3,FALSE),"")</f>
        <v/>
      </c>
    </row>
    <row r="2760" spans="5:7" ht="15" customHeight="1">
      <c r="E2760" s="49" t="str">
        <f>IFERROR(VLOOKUP(D2760,'taxonomy map'!$A$1:$C$107,2,FALSE),"")</f>
        <v/>
      </c>
      <c r="F2760" s="49" t="str">
        <f>IFERROR(VLOOKUP(E2760,'Condensed Specialty Crosswalk'!$A$2:$C$106,2,FALSE),"")</f>
        <v/>
      </c>
      <c r="G2760" s="49" t="str">
        <f>IFERROR(VLOOKUP(E2760,'Condensed Specialty Crosswalk'!$A$2:$C$106,3,FALSE),"")</f>
        <v/>
      </c>
    </row>
    <row r="2761" spans="5:7" ht="15" customHeight="1">
      <c r="E2761" s="49" t="str">
        <f>IFERROR(VLOOKUP(D2761,'taxonomy map'!$A$1:$C$107,2,FALSE),"")</f>
        <v/>
      </c>
      <c r="F2761" s="49" t="str">
        <f>IFERROR(VLOOKUP(E2761,'Condensed Specialty Crosswalk'!$A$2:$C$106,2,FALSE),"")</f>
        <v/>
      </c>
      <c r="G2761" s="49" t="str">
        <f>IFERROR(VLOOKUP(E2761,'Condensed Specialty Crosswalk'!$A$2:$C$106,3,FALSE),"")</f>
        <v/>
      </c>
    </row>
    <row r="2762" spans="5:7" ht="15" customHeight="1">
      <c r="E2762" s="49" t="str">
        <f>IFERROR(VLOOKUP(D2762,'taxonomy map'!$A$1:$C$107,2,FALSE),"")</f>
        <v/>
      </c>
      <c r="F2762" s="49" t="str">
        <f>IFERROR(VLOOKUP(E2762,'Condensed Specialty Crosswalk'!$A$2:$C$106,2,FALSE),"")</f>
        <v/>
      </c>
      <c r="G2762" s="49" t="str">
        <f>IFERROR(VLOOKUP(E2762,'Condensed Specialty Crosswalk'!$A$2:$C$106,3,FALSE),"")</f>
        <v/>
      </c>
    </row>
    <row r="2763" spans="5:7" ht="15" customHeight="1">
      <c r="E2763" s="49" t="str">
        <f>IFERROR(VLOOKUP(D2763,'taxonomy map'!$A$1:$C$107,2,FALSE),"")</f>
        <v/>
      </c>
      <c r="F2763" s="49" t="str">
        <f>IFERROR(VLOOKUP(E2763,'Condensed Specialty Crosswalk'!$A$2:$C$106,2,FALSE),"")</f>
        <v/>
      </c>
      <c r="G2763" s="49" t="str">
        <f>IFERROR(VLOOKUP(E2763,'Condensed Specialty Crosswalk'!$A$2:$C$106,3,FALSE),"")</f>
        <v/>
      </c>
    </row>
    <row r="2764" spans="5:7" ht="15" customHeight="1">
      <c r="E2764" s="49" t="str">
        <f>IFERROR(VLOOKUP(D2764,'taxonomy map'!$A$1:$C$107,2,FALSE),"")</f>
        <v/>
      </c>
      <c r="F2764" s="49" t="str">
        <f>IFERROR(VLOOKUP(E2764,'Condensed Specialty Crosswalk'!$A$2:$C$106,2,FALSE),"")</f>
        <v/>
      </c>
      <c r="G2764" s="49" t="str">
        <f>IFERROR(VLOOKUP(E2764,'Condensed Specialty Crosswalk'!$A$2:$C$106,3,FALSE),"")</f>
        <v/>
      </c>
    </row>
    <row r="2765" spans="5:7" ht="15" customHeight="1">
      <c r="E2765" s="49" t="str">
        <f>IFERROR(VLOOKUP(D2765,'taxonomy map'!$A$1:$C$107,2,FALSE),"")</f>
        <v/>
      </c>
      <c r="F2765" s="49" t="str">
        <f>IFERROR(VLOOKUP(E2765,'Condensed Specialty Crosswalk'!$A$2:$C$106,2,FALSE),"")</f>
        <v/>
      </c>
      <c r="G2765" s="49" t="str">
        <f>IFERROR(VLOOKUP(E2765,'Condensed Specialty Crosswalk'!$A$2:$C$106,3,FALSE),"")</f>
        <v/>
      </c>
    </row>
    <row r="2766" spans="5:7" ht="15" customHeight="1">
      <c r="E2766" s="49" t="str">
        <f>IFERROR(VLOOKUP(D2766,'taxonomy map'!$A$1:$C$107,2,FALSE),"")</f>
        <v/>
      </c>
      <c r="F2766" s="49" t="str">
        <f>IFERROR(VLOOKUP(E2766,'Condensed Specialty Crosswalk'!$A$2:$C$106,2,FALSE),"")</f>
        <v/>
      </c>
      <c r="G2766" s="49" t="str">
        <f>IFERROR(VLOOKUP(E2766,'Condensed Specialty Crosswalk'!$A$2:$C$106,3,FALSE),"")</f>
        <v/>
      </c>
    </row>
    <row r="2767" spans="5:7" ht="15" customHeight="1">
      <c r="E2767" s="49" t="str">
        <f>IFERROR(VLOOKUP(D2767,'taxonomy map'!$A$1:$C$107,2,FALSE),"")</f>
        <v/>
      </c>
      <c r="F2767" s="49" t="str">
        <f>IFERROR(VLOOKUP(E2767,'Condensed Specialty Crosswalk'!$A$2:$C$106,2,FALSE),"")</f>
        <v/>
      </c>
      <c r="G2767" s="49" t="str">
        <f>IFERROR(VLOOKUP(E2767,'Condensed Specialty Crosswalk'!$A$2:$C$106,3,FALSE),"")</f>
        <v/>
      </c>
    </row>
    <row r="2768" spans="5:7" ht="15" customHeight="1">
      <c r="E2768" s="49" t="str">
        <f>IFERROR(VLOOKUP(D2768,'taxonomy map'!$A$1:$C$107,2,FALSE),"")</f>
        <v/>
      </c>
      <c r="F2768" s="49" t="str">
        <f>IFERROR(VLOOKUP(E2768,'Condensed Specialty Crosswalk'!$A$2:$C$106,2,FALSE),"")</f>
        <v/>
      </c>
      <c r="G2768" s="49" t="str">
        <f>IFERROR(VLOOKUP(E2768,'Condensed Specialty Crosswalk'!$A$2:$C$106,3,FALSE),"")</f>
        <v/>
      </c>
    </row>
    <row r="2769" spans="5:7" ht="15" customHeight="1">
      <c r="E2769" s="49" t="str">
        <f>IFERROR(VLOOKUP(D2769,'taxonomy map'!$A$1:$C$107,2,FALSE),"")</f>
        <v/>
      </c>
      <c r="F2769" s="49" t="str">
        <f>IFERROR(VLOOKUP(E2769,'Condensed Specialty Crosswalk'!$A$2:$C$106,2,FALSE),"")</f>
        <v/>
      </c>
      <c r="G2769" s="49" t="str">
        <f>IFERROR(VLOOKUP(E2769,'Condensed Specialty Crosswalk'!$A$2:$C$106,3,FALSE),"")</f>
        <v/>
      </c>
    </row>
    <row r="2770" spans="5:7" ht="15" customHeight="1">
      <c r="E2770" s="49" t="str">
        <f>IFERROR(VLOOKUP(D2770,'taxonomy map'!$A$1:$C$107,2,FALSE),"")</f>
        <v/>
      </c>
      <c r="F2770" s="49" t="str">
        <f>IFERROR(VLOOKUP(E2770,'Condensed Specialty Crosswalk'!$A$2:$C$106,2,FALSE),"")</f>
        <v/>
      </c>
      <c r="G2770" s="49" t="str">
        <f>IFERROR(VLOOKUP(E2770,'Condensed Specialty Crosswalk'!$A$2:$C$106,3,FALSE),"")</f>
        <v/>
      </c>
    </row>
    <row r="2771" spans="5:7" ht="15" customHeight="1">
      <c r="E2771" s="49" t="str">
        <f>IFERROR(VLOOKUP(D2771,'taxonomy map'!$A$1:$C$107,2,FALSE),"")</f>
        <v/>
      </c>
      <c r="F2771" s="49" t="str">
        <f>IFERROR(VLOOKUP(E2771,'Condensed Specialty Crosswalk'!$A$2:$C$106,2,FALSE),"")</f>
        <v/>
      </c>
      <c r="G2771" s="49" t="str">
        <f>IFERROR(VLOOKUP(E2771,'Condensed Specialty Crosswalk'!$A$2:$C$106,3,FALSE),"")</f>
        <v/>
      </c>
    </row>
    <row r="2772" spans="5:7" ht="15" customHeight="1">
      <c r="E2772" s="49" t="str">
        <f>IFERROR(VLOOKUP(D2772,'taxonomy map'!$A$1:$C$107,2,FALSE),"")</f>
        <v/>
      </c>
      <c r="F2772" s="49" t="str">
        <f>IFERROR(VLOOKUP(E2772,'Condensed Specialty Crosswalk'!$A$2:$C$106,2,FALSE),"")</f>
        <v/>
      </c>
      <c r="G2772" s="49" t="str">
        <f>IFERROR(VLOOKUP(E2772,'Condensed Specialty Crosswalk'!$A$2:$C$106,3,FALSE),"")</f>
        <v/>
      </c>
    </row>
    <row r="2773" spans="5:7" ht="15" customHeight="1">
      <c r="E2773" s="49" t="str">
        <f>IFERROR(VLOOKUP(D2773,'taxonomy map'!$A$1:$C$107,2,FALSE),"")</f>
        <v/>
      </c>
      <c r="F2773" s="49" t="str">
        <f>IFERROR(VLOOKUP(E2773,'Condensed Specialty Crosswalk'!$A$2:$C$106,2,FALSE),"")</f>
        <v/>
      </c>
      <c r="G2773" s="49" t="str">
        <f>IFERROR(VLOOKUP(E2773,'Condensed Specialty Crosswalk'!$A$2:$C$106,3,FALSE),"")</f>
        <v/>
      </c>
    </row>
    <row r="2774" spans="5:7" ht="15" customHeight="1">
      <c r="E2774" s="49" t="str">
        <f>IFERROR(VLOOKUP(D2774,'taxonomy map'!$A$1:$C$107,2,FALSE),"")</f>
        <v/>
      </c>
      <c r="F2774" s="49" t="str">
        <f>IFERROR(VLOOKUP(E2774,'Condensed Specialty Crosswalk'!$A$2:$C$106,2,FALSE),"")</f>
        <v/>
      </c>
      <c r="G2774" s="49" t="str">
        <f>IFERROR(VLOOKUP(E2774,'Condensed Specialty Crosswalk'!$A$2:$C$106,3,FALSE),"")</f>
        <v/>
      </c>
    </row>
    <row r="2775" spans="5:7" ht="15" customHeight="1">
      <c r="E2775" s="49" t="str">
        <f>IFERROR(VLOOKUP(D2775,'taxonomy map'!$A$1:$C$107,2,FALSE),"")</f>
        <v/>
      </c>
      <c r="F2775" s="49" t="str">
        <f>IFERROR(VLOOKUP(E2775,'Condensed Specialty Crosswalk'!$A$2:$C$106,2,FALSE),"")</f>
        <v/>
      </c>
      <c r="G2775" s="49" t="str">
        <f>IFERROR(VLOOKUP(E2775,'Condensed Specialty Crosswalk'!$A$2:$C$106,3,FALSE),"")</f>
        <v/>
      </c>
    </row>
    <row r="2776" spans="5:7" ht="15" customHeight="1">
      <c r="E2776" s="49" t="str">
        <f>IFERROR(VLOOKUP(D2776,'taxonomy map'!$A$1:$C$107,2,FALSE),"")</f>
        <v/>
      </c>
      <c r="F2776" s="49" t="str">
        <f>IFERROR(VLOOKUP(E2776,'Condensed Specialty Crosswalk'!$A$2:$C$106,2,FALSE),"")</f>
        <v/>
      </c>
      <c r="G2776" s="49" t="str">
        <f>IFERROR(VLOOKUP(E2776,'Condensed Specialty Crosswalk'!$A$2:$C$106,3,FALSE),"")</f>
        <v/>
      </c>
    </row>
    <row r="2777" spans="5:7" ht="15" customHeight="1">
      <c r="E2777" s="49" t="str">
        <f>IFERROR(VLOOKUP(D2777,'taxonomy map'!$A$1:$C$107,2,FALSE),"")</f>
        <v/>
      </c>
      <c r="F2777" s="49" t="str">
        <f>IFERROR(VLOOKUP(E2777,'Condensed Specialty Crosswalk'!$A$2:$C$106,2,FALSE),"")</f>
        <v/>
      </c>
      <c r="G2777" s="49" t="str">
        <f>IFERROR(VLOOKUP(E2777,'Condensed Specialty Crosswalk'!$A$2:$C$106,3,FALSE),"")</f>
        <v/>
      </c>
    </row>
    <row r="2778" spans="5:7" ht="15" customHeight="1">
      <c r="E2778" s="49" t="str">
        <f>IFERROR(VLOOKUP(D2778,'taxonomy map'!$A$1:$C$107,2,FALSE),"")</f>
        <v/>
      </c>
      <c r="F2778" s="49" t="str">
        <f>IFERROR(VLOOKUP(E2778,'Condensed Specialty Crosswalk'!$A$2:$C$106,2,FALSE),"")</f>
        <v/>
      </c>
      <c r="G2778" s="49" t="str">
        <f>IFERROR(VLOOKUP(E2778,'Condensed Specialty Crosswalk'!$A$2:$C$106,3,FALSE),"")</f>
        <v/>
      </c>
    </row>
    <row r="2779" spans="5:7" ht="15" customHeight="1">
      <c r="E2779" s="49" t="str">
        <f>IFERROR(VLOOKUP(D2779,'taxonomy map'!$A$1:$C$107,2,FALSE),"")</f>
        <v/>
      </c>
      <c r="F2779" s="49" t="str">
        <f>IFERROR(VLOOKUP(E2779,'Condensed Specialty Crosswalk'!$A$2:$C$106,2,FALSE),"")</f>
        <v/>
      </c>
      <c r="G2779" s="49" t="str">
        <f>IFERROR(VLOOKUP(E2779,'Condensed Specialty Crosswalk'!$A$2:$C$106,3,FALSE),"")</f>
        <v/>
      </c>
    </row>
    <row r="2780" spans="5:7" ht="15" customHeight="1">
      <c r="E2780" s="49" t="str">
        <f>IFERROR(VLOOKUP(D2780,'taxonomy map'!$A$1:$C$107,2,FALSE),"")</f>
        <v/>
      </c>
      <c r="F2780" s="49" t="str">
        <f>IFERROR(VLOOKUP(E2780,'Condensed Specialty Crosswalk'!$A$2:$C$106,2,FALSE),"")</f>
        <v/>
      </c>
      <c r="G2780" s="49" t="str">
        <f>IFERROR(VLOOKUP(E2780,'Condensed Specialty Crosswalk'!$A$2:$C$106,3,FALSE),"")</f>
        <v/>
      </c>
    </row>
    <row r="2781" spans="5:7" ht="15" customHeight="1">
      <c r="E2781" s="49" t="str">
        <f>IFERROR(VLOOKUP(D2781,'taxonomy map'!$A$1:$C$107,2,FALSE),"")</f>
        <v/>
      </c>
      <c r="F2781" s="49" t="str">
        <f>IFERROR(VLOOKUP(E2781,'Condensed Specialty Crosswalk'!$A$2:$C$106,2,FALSE),"")</f>
        <v/>
      </c>
      <c r="G2781" s="49" t="str">
        <f>IFERROR(VLOOKUP(E2781,'Condensed Specialty Crosswalk'!$A$2:$C$106,3,FALSE),"")</f>
        <v/>
      </c>
    </row>
    <row r="2782" spans="5:7" ht="15" customHeight="1">
      <c r="E2782" s="49" t="str">
        <f>IFERROR(VLOOKUP(D2782,'taxonomy map'!$A$1:$C$107,2,FALSE),"")</f>
        <v/>
      </c>
      <c r="F2782" s="49" t="str">
        <f>IFERROR(VLOOKUP(E2782,'Condensed Specialty Crosswalk'!$A$2:$C$106,2,FALSE),"")</f>
        <v/>
      </c>
      <c r="G2782" s="49" t="str">
        <f>IFERROR(VLOOKUP(E2782,'Condensed Specialty Crosswalk'!$A$2:$C$106,3,FALSE),"")</f>
        <v/>
      </c>
    </row>
    <row r="2783" spans="5:7" ht="15" customHeight="1">
      <c r="E2783" s="49" t="str">
        <f>IFERROR(VLOOKUP(D2783,'taxonomy map'!$A$1:$C$107,2,FALSE),"")</f>
        <v/>
      </c>
      <c r="F2783" s="49" t="str">
        <f>IFERROR(VLOOKUP(E2783,'Condensed Specialty Crosswalk'!$A$2:$C$106,2,FALSE),"")</f>
        <v/>
      </c>
      <c r="G2783" s="49" t="str">
        <f>IFERROR(VLOOKUP(E2783,'Condensed Specialty Crosswalk'!$A$2:$C$106,3,FALSE),"")</f>
        <v/>
      </c>
    </row>
    <row r="2784" spans="5:7" ht="15" customHeight="1">
      <c r="E2784" s="49" t="str">
        <f>IFERROR(VLOOKUP(D2784,'taxonomy map'!$A$1:$C$107,2,FALSE),"")</f>
        <v/>
      </c>
      <c r="F2784" s="49" t="str">
        <f>IFERROR(VLOOKUP(E2784,'Condensed Specialty Crosswalk'!$A$2:$C$106,2,FALSE),"")</f>
        <v/>
      </c>
      <c r="G2784" s="49" t="str">
        <f>IFERROR(VLOOKUP(E2784,'Condensed Specialty Crosswalk'!$A$2:$C$106,3,FALSE),"")</f>
        <v/>
      </c>
    </row>
    <row r="2785" spans="5:7" ht="15" customHeight="1">
      <c r="E2785" s="49" t="str">
        <f>IFERROR(VLOOKUP(D2785,'taxonomy map'!$A$1:$C$107,2,FALSE),"")</f>
        <v/>
      </c>
      <c r="F2785" s="49" t="str">
        <f>IFERROR(VLOOKUP(E2785,'Condensed Specialty Crosswalk'!$A$2:$C$106,2,FALSE),"")</f>
        <v/>
      </c>
      <c r="G2785" s="49" t="str">
        <f>IFERROR(VLOOKUP(E2785,'Condensed Specialty Crosswalk'!$A$2:$C$106,3,FALSE),"")</f>
        <v/>
      </c>
    </row>
    <row r="2786" spans="5:7" ht="15" customHeight="1">
      <c r="E2786" s="49" t="str">
        <f>IFERROR(VLOOKUP(D2786,'taxonomy map'!$A$1:$C$107,2,FALSE),"")</f>
        <v/>
      </c>
      <c r="F2786" s="49" t="str">
        <f>IFERROR(VLOOKUP(E2786,'Condensed Specialty Crosswalk'!$A$2:$C$106,2,FALSE),"")</f>
        <v/>
      </c>
      <c r="G2786" s="49" t="str">
        <f>IFERROR(VLOOKUP(E2786,'Condensed Specialty Crosswalk'!$A$2:$C$106,3,FALSE),"")</f>
        <v/>
      </c>
    </row>
    <row r="2787" spans="5:7" ht="15" customHeight="1">
      <c r="E2787" s="49" t="str">
        <f>IFERROR(VLOOKUP(D2787,'taxonomy map'!$A$1:$C$107,2,FALSE),"")</f>
        <v/>
      </c>
      <c r="F2787" s="49" t="str">
        <f>IFERROR(VLOOKUP(E2787,'Condensed Specialty Crosswalk'!$A$2:$C$106,2,FALSE),"")</f>
        <v/>
      </c>
      <c r="G2787" s="49" t="str">
        <f>IFERROR(VLOOKUP(E2787,'Condensed Specialty Crosswalk'!$A$2:$C$106,3,FALSE),"")</f>
        <v/>
      </c>
    </row>
    <row r="2788" spans="5:7" ht="15" customHeight="1">
      <c r="E2788" s="49" t="str">
        <f>IFERROR(VLOOKUP(D2788,'taxonomy map'!$A$1:$C$107,2,FALSE),"")</f>
        <v/>
      </c>
      <c r="F2788" s="49" t="str">
        <f>IFERROR(VLOOKUP(E2788,'Condensed Specialty Crosswalk'!$A$2:$C$106,2,FALSE),"")</f>
        <v/>
      </c>
      <c r="G2788" s="49" t="str">
        <f>IFERROR(VLOOKUP(E2788,'Condensed Specialty Crosswalk'!$A$2:$C$106,3,FALSE),"")</f>
        <v/>
      </c>
    </row>
    <row r="2789" spans="5:7" ht="15" customHeight="1">
      <c r="E2789" s="49" t="str">
        <f>IFERROR(VLOOKUP(D2789,'taxonomy map'!$A$1:$C$107,2,FALSE),"")</f>
        <v/>
      </c>
      <c r="F2789" s="49" t="str">
        <f>IFERROR(VLOOKUP(E2789,'Condensed Specialty Crosswalk'!$A$2:$C$106,2,FALSE),"")</f>
        <v/>
      </c>
      <c r="G2789" s="49" t="str">
        <f>IFERROR(VLOOKUP(E2789,'Condensed Specialty Crosswalk'!$A$2:$C$106,3,FALSE),"")</f>
        <v/>
      </c>
    </row>
    <row r="2790" spans="5:7" ht="15" customHeight="1">
      <c r="E2790" s="49" t="str">
        <f>IFERROR(VLOOKUP(D2790,'taxonomy map'!$A$1:$C$107,2,FALSE),"")</f>
        <v/>
      </c>
      <c r="F2790" s="49" t="str">
        <f>IFERROR(VLOOKUP(E2790,'Condensed Specialty Crosswalk'!$A$2:$C$106,2,FALSE),"")</f>
        <v/>
      </c>
      <c r="G2790" s="49" t="str">
        <f>IFERROR(VLOOKUP(E2790,'Condensed Specialty Crosswalk'!$A$2:$C$106,3,FALSE),"")</f>
        <v/>
      </c>
    </row>
    <row r="2791" spans="5:7" ht="15" customHeight="1">
      <c r="E2791" s="49" t="str">
        <f>IFERROR(VLOOKUP(D2791,'taxonomy map'!$A$1:$C$107,2,FALSE),"")</f>
        <v/>
      </c>
      <c r="F2791" s="49" t="str">
        <f>IFERROR(VLOOKUP(E2791,'Condensed Specialty Crosswalk'!$A$2:$C$106,2,FALSE),"")</f>
        <v/>
      </c>
      <c r="G2791" s="49" t="str">
        <f>IFERROR(VLOOKUP(E2791,'Condensed Specialty Crosswalk'!$A$2:$C$106,3,FALSE),"")</f>
        <v/>
      </c>
    </row>
    <row r="2792" spans="5:7" ht="15" customHeight="1">
      <c r="E2792" s="49" t="str">
        <f>IFERROR(VLOOKUP(D2792,'taxonomy map'!$A$1:$C$107,2,FALSE),"")</f>
        <v/>
      </c>
      <c r="F2792" s="49" t="str">
        <f>IFERROR(VLOOKUP(E2792,'Condensed Specialty Crosswalk'!$A$2:$C$106,2,FALSE),"")</f>
        <v/>
      </c>
      <c r="G2792" s="49" t="str">
        <f>IFERROR(VLOOKUP(E2792,'Condensed Specialty Crosswalk'!$A$2:$C$106,3,FALSE),"")</f>
        <v/>
      </c>
    </row>
    <row r="2793" spans="5:7" ht="15" customHeight="1">
      <c r="E2793" s="49" t="str">
        <f>IFERROR(VLOOKUP(D2793,'taxonomy map'!$A$1:$C$107,2,FALSE),"")</f>
        <v/>
      </c>
      <c r="F2793" s="49" t="str">
        <f>IFERROR(VLOOKUP(E2793,'Condensed Specialty Crosswalk'!$A$2:$C$106,2,FALSE),"")</f>
        <v/>
      </c>
      <c r="G2793" s="49" t="str">
        <f>IFERROR(VLOOKUP(E2793,'Condensed Specialty Crosswalk'!$A$2:$C$106,3,FALSE),"")</f>
        <v/>
      </c>
    </row>
    <row r="2794" spans="5:7" ht="15" customHeight="1">
      <c r="E2794" s="49" t="str">
        <f>IFERROR(VLOOKUP(D2794,'taxonomy map'!$A$1:$C$107,2,FALSE),"")</f>
        <v/>
      </c>
      <c r="F2794" s="49" t="str">
        <f>IFERROR(VLOOKUP(E2794,'Condensed Specialty Crosswalk'!$A$2:$C$106,2,FALSE),"")</f>
        <v/>
      </c>
      <c r="G2794" s="49" t="str">
        <f>IFERROR(VLOOKUP(E2794,'Condensed Specialty Crosswalk'!$A$2:$C$106,3,FALSE),"")</f>
        <v/>
      </c>
    </row>
    <row r="2795" spans="5:7" ht="15" customHeight="1">
      <c r="E2795" s="49" t="str">
        <f>IFERROR(VLOOKUP(D2795,'taxonomy map'!$A$1:$C$107,2,FALSE),"")</f>
        <v/>
      </c>
      <c r="F2795" s="49" t="str">
        <f>IFERROR(VLOOKUP(E2795,'Condensed Specialty Crosswalk'!$A$2:$C$106,2,FALSE),"")</f>
        <v/>
      </c>
      <c r="G2795" s="49" t="str">
        <f>IFERROR(VLOOKUP(E2795,'Condensed Specialty Crosswalk'!$A$2:$C$106,3,FALSE),"")</f>
        <v/>
      </c>
    </row>
    <row r="2796" spans="5:7" ht="15" customHeight="1">
      <c r="E2796" s="49" t="str">
        <f>IFERROR(VLOOKUP(D2796,'taxonomy map'!$A$1:$C$107,2,FALSE),"")</f>
        <v/>
      </c>
      <c r="F2796" s="49" t="str">
        <f>IFERROR(VLOOKUP(E2796,'Condensed Specialty Crosswalk'!$A$2:$C$106,2,FALSE),"")</f>
        <v/>
      </c>
      <c r="G2796" s="49" t="str">
        <f>IFERROR(VLOOKUP(E2796,'Condensed Specialty Crosswalk'!$A$2:$C$106,3,FALSE),"")</f>
        <v/>
      </c>
    </row>
    <row r="2797" spans="5:7" ht="15" customHeight="1">
      <c r="E2797" s="49" t="str">
        <f>IFERROR(VLOOKUP(D2797,'taxonomy map'!$A$1:$C$107,2,FALSE),"")</f>
        <v/>
      </c>
      <c r="F2797" s="49" t="str">
        <f>IFERROR(VLOOKUP(E2797,'Condensed Specialty Crosswalk'!$A$2:$C$106,2,FALSE),"")</f>
        <v/>
      </c>
      <c r="G2797" s="49" t="str">
        <f>IFERROR(VLOOKUP(E2797,'Condensed Specialty Crosswalk'!$A$2:$C$106,3,FALSE),"")</f>
        <v/>
      </c>
    </row>
    <row r="2798" spans="5:7" ht="15" customHeight="1">
      <c r="E2798" s="49" t="str">
        <f>IFERROR(VLOOKUP(D2798,'taxonomy map'!$A$1:$C$107,2,FALSE),"")</f>
        <v/>
      </c>
      <c r="F2798" s="49" t="str">
        <f>IFERROR(VLOOKUP(E2798,'Condensed Specialty Crosswalk'!$A$2:$C$106,2,FALSE),"")</f>
        <v/>
      </c>
      <c r="G2798" s="49" t="str">
        <f>IFERROR(VLOOKUP(E2798,'Condensed Specialty Crosswalk'!$A$2:$C$106,3,FALSE),"")</f>
        <v/>
      </c>
    </row>
    <row r="2799" spans="5:7" ht="15" customHeight="1">
      <c r="E2799" s="49" t="str">
        <f>IFERROR(VLOOKUP(D2799,'taxonomy map'!$A$1:$C$107,2,FALSE),"")</f>
        <v/>
      </c>
      <c r="F2799" s="49" t="str">
        <f>IFERROR(VLOOKUP(E2799,'Condensed Specialty Crosswalk'!$A$2:$C$106,2,FALSE),"")</f>
        <v/>
      </c>
      <c r="G2799" s="49" t="str">
        <f>IFERROR(VLOOKUP(E2799,'Condensed Specialty Crosswalk'!$A$2:$C$106,3,FALSE),"")</f>
        <v/>
      </c>
    </row>
    <row r="2800" spans="5:7" ht="15" customHeight="1">
      <c r="E2800" s="49" t="str">
        <f>IFERROR(VLOOKUP(D2800,'taxonomy map'!$A$1:$C$107,2,FALSE),"")</f>
        <v/>
      </c>
      <c r="F2800" s="49" t="str">
        <f>IFERROR(VLOOKUP(E2800,'Condensed Specialty Crosswalk'!$A$2:$C$106,2,FALSE),"")</f>
        <v/>
      </c>
      <c r="G2800" s="49" t="str">
        <f>IFERROR(VLOOKUP(E2800,'Condensed Specialty Crosswalk'!$A$2:$C$106,3,FALSE),"")</f>
        <v/>
      </c>
    </row>
    <row r="2801" spans="5:7" ht="15" customHeight="1">
      <c r="E2801" s="49" t="str">
        <f>IFERROR(VLOOKUP(D2801,'taxonomy map'!$A$1:$C$107,2,FALSE),"")</f>
        <v/>
      </c>
      <c r="F2801" s="49" t="str">
        <f>IFERROR(VLOOKUP(E2801,'Condensed Specialty Crosswalk'!$A$2:$C$106,2,FALSE),"")</f>
        <v/>
      </c>
      <c r="G2801" s="49" t="str">
        <f>IFERROR(VLOOKUP(E2801,'Condensed Specialty Crosswalk'!$A$2:$C$106,3,FALSE),"")</f>
        <v/>
      </c>
    </row>
    <row r="2802" spans="5:7" ht="15" customHeight="1">
      <c r="E2802" s="49" t="str">
        <f>IFERROR(VLOOKUP(D2802,'taxonomy map'!$A$1:$C$107,2,FALSE),"")</f>
        <v/>
      </c>
      <c r="F2802" s="49" t="str">
        <f>IFERROR(VLOOKUP(E2802,'Condensed Specialty Crosswalk'!$A$2:$C$106,2,FALSE),"")</f>
        <v/>
      </c>
      <c r="G2802" s="49" t="str">
        <f>IFERROR(VLOOKUP(E2802,'Condensed Specialty Crosswalk'!$A$2:$C$106,3,FALSE),"")</f>
        <v/>
      </c>
    </row>
    <row r="2803" spans="5:7" ht="15" customHeight="1">
      <c r="E2803" s="49" t="str">
        <f>IFERROR(VLOOKUP(D2803,'taxonomy map'!$A$1:$C$107,2,FALSE),"")</f>
        <v/>
      </c>
      <c r="F2803" s="49" t="str">
        <f>IFERROR(VLOOKUP(E2803,'Condensed Specialty Crosswalk'!$A$2:$C$106,2,FALSE),"")</f>
        <v/>
      </c>
      <c r="G2803" s="49" t="str">
        <f>IFERROR(VLOOKUP(E2803,'Condensed Specialty Crosswalk'!$A$2:$C$106,3,FALSE),"")</f>
        <v/>
      </c>
    </row>
    <row r="2804" spans="5:7" ht="15" customHeight="1">
      <c r="E2804" s="49" t="str">
        <f>IFERROR(VLOOKUP(D2804,'taxonomy map'!$A$1:$C$107,2,FALSE),"")</f>
        <v/>
      </c>
      <c r="F2804" s="49" t="str">
        <f>IFERROR(VLOOKUP(E2804,'Condensed Specialty Crosswalk'!$A$2:$C$106,2,FALSE),"")</f>
        <v/>
      </c>
      <c r="G2804" s="49" t="str">
        <f>IFERROR(VLOOKUP(E2804,'Condensed Specialty Crosswalk'!$A$2:$C$106,3,FALSE),"")</f>
        <v/>
      </c>
    </row>
    <row r="2805" spans="5:7" ht="15" customHeight="1">
      <c r="E2805" s="49" t="str">
        <f>IFERROR(VLOOKUP(D2805,'taxonomy map'!$A$1:$C$107,2,FALSE),"")</f>
        <v/>
      </c>
      <c r="F2805" s="49" t="str">
        <f>IFERROR(VLOOKUP(E2805,'Condensed Specialty Crosswalk'!$A$2:$C$106,2,FALSE),"")</f>
        <v/>
      </c>
      <c r="G2805" s="49" t="str">
        <f>IFERROR(VLOOKUP(E2805,'Condensed Specialty Crosswalk'!$A$2:$C$106,3,FALSE),"")</f>
        <v/>
      </c>
    </row>
    <row r="2806" spans="5:7" ht="15" customHeight="1">
      <c r="E2806" s="49" t="str">
        <f>IFERROR(VLOOKUP(D2806,'taxonomy map'!$A$1:$C$107,2,FALSE),"")</f>
        <v/>
      </c>
      <c r="F2806" s="49" t="str">
        <f>IFERROR(VLOOKUP(E2806,'Condensed Specialty Crosswalk'!$A$2:$C$106,2,FALSE),"")</f>
        <v/>
      </c>
      <c r="G2806" s="49" t="str">
        <f>IFERROR(VLOOKUP(E2806,'Condensed Specialty Crosswalk'!$A$2:$C$106,3,FALSE),"")</f>
        <v/>
      </c>
    </row>
    <row r="2807" spans="5:7" ht="15" customHeight="1">
      <c r="E2807" s="49" t="str">
        <f>IFERROR(VLOOKUP(D2807,'taxonomy map'!$A$1:$C$107,2,FALSE),"")</f>
        <v/>
      </c>
      <c r="F2807" s="49" t="str">
        <f>IFERROR(VLOOKUP(E2807,'Condensed Specialty Crosswalk'!$A$2:$C$106,2,FALSE),"")</f>
        <v/>
      </c>
      <c r="G2807" s="49" t="str">
        <f>IFERROR(VLOOKUP(E2807,'Condensed Specialty Crosswalk'!$A$2:$C$106,3,FALSE),"")</f>
        <v/>
      </c>
    </row>
    <row r="2808" spans="5:7" ht="15" customHeight="1">
      <c r="E2808" s="49" t="str">
        <f>IFERROR(VLOOKUP(D2808,'taxonomy map'!$A$1:$C$107,2,FALSE),"")</f>
        <v/>
      </c>
      <c r="F2808" s="49" t="str">
        <f>IFERROR(VLOOKUP(E2808,'Condensed Specialty Crosswalk'!$A$2:$C$106,2,FALSE),"")</f>
        <v/>
      </c>
      <c r="G2808" s="49" t="str">
        <f>IFERROR(VLOOKUP(E2808,'Condensed Specialty Crosswalk'!$A$2:$C$106,3,FALSE),"")</f>
        <v/>
      </c>
    </row>
    <row r="2809" spans="5:7" ht="15" customHeight="1">
      <c r="E2809" s="49" t="str">
        <f>IFERROR(VLOOKUP(D2809,'taxonomy map'!$A$1:$C$107,2,FALSE),"")</f>
        <v/>
      </c>
      <c r="F2809" s="49" t="str">
        <f>IFERROR(VLOOKUP(E2809,'Condensed Specialty Crosswalk'!$A$2:$C$106,2,FALSE),"")</f>
        <v/>
      </c>
      <c r="G2809" s="49" t="str">
        <f>IFERROR(VLOOKUP(E2809,'Condensed Specialty Crosswalk'!$A$2:$C$106,3,FALSE),"")</f>
        <v/>
      </c>
    </row>
    <row r="2810" spans="5:7" ht="15" customHeight="1">
      <c r="E2810" s="49" t="str">
        <f>IFERROR(VLOOKUP(D2810,'taxonomy map'!$A$1:$C$107,2,FALSE),"")</f>
        <v/>
      </c>
      <c r="F2810" s="49" t="str">
        <f>IFERROR(VLOOKUP(E2810,'Condensed Specialty Crosswalk'!$A$2:$C$106,2,FALSE),"")</f>
        <v/>
      </c>
      <c r="G2810" s="49" t="str">
        <f>IFERROR(VLOOKUP(E2810,'Condensed Specialty Crosswalk'!$A$2:$C$106,3,FALSE),"")</f>
        <v/>
      </c>
    </row>
    <row r="2811" spans="5:7" ht="15" customHeight="1">
      <c r="E2811" s="49" t="str">
        <f>IFERROR(VLOOKUP(D2811,'taxonomy map'!$A$1:$C$107,2,FALSE),"")</f>
        <v/>
      </c>
      <c r="F2811" s="49" t="str">
        <f>IFERROR(VLOOKUP(E2811,'Condensed Specialty Crosswalk'!$A$2:$C$106,2,FALSE),"")</f>
        <v/>
      </c>
      <c r="G2811" s="49" t="str">
        <f>IFERROR(VLOOKUP(E2811,'Condensed Specialty Crosswalk'!$A$2:$C$106,3,FALSE),"")</f>
        <v/>
      </c>
    </row>
    <row r="2812" spans="5:7" ht="15" customHeight="1">
      <c r="E2812" s="49" t="str">
        <f>IFERROR(VLOOKUP(D2812,'taxonomy map'!$A$1:$C$107,2,FALSE),"")</f>
        <v/>
      </c>
      <c r="F2812" s="49" t="str">
        <f>IFERROR(VLOOKUP(E2812,'Condensed Specialty Crosswalk'!$A$2:$C$106,2,FALSE),"")</f>
        <v/>
      </c>
      <c r="G2812" s="49" t="str">
        <f>IFERROR(VLOOKUP(E2812,'Condensed Specialty Crosswalk'!$A$2:$C$106,3,FALSE),"")</f>
        <v/>
      </c>
    </row>
    <row r="2813" spans="5:7" ht="15" customHeight="1">
      <c r="E2813" s="49" t="str">
        <f>IFERROR(VLOOKUP(D2813,'taxonomy map'!$A$1:$C$107,2,FALSE),"")</f>
        <v/>
      </c>
      <c r="F2813" s="49" t="str">
        <f>IFERROR(VLOOKUP(E2813,'Condensed Specialty Crosswalk'!$A$2:$C$106,2,FALSE),"")</f>
        <v/>
      </c>
      <c r="G2813" s="49" t="str">
        <f>IFERROR(VLOOKUP(E2813,'Condensed Specialty Crosswalk'!$A$2:$C$106,3,FALSE),"")</f>
        <v/>
      </c>
    </row>
    <row r="2814" spans="5:7" ht="15" customHeight="1">
      <c r="E2814" s="49" t="str">
        <f>IFERROR(VLOOKUP(D2814,'taxonomy map'!$A$1:$C$107,2,FALSE),"")</f>
        <v/>
      </c>
      <c r="F2814" s="49" t="str">
        <f>IFERROR(VLOOKUP(E2814,'Condensed Specialty Crosswalk'!$A$2:$C$106,2,FALSE),"")</f>
        <v/>
      </c>
      <c r="G2814" s="49" t="str">
        <f>IFERROR(VLOOKUP(E2814,'Condensed Specialty Crosswalk'!$A$2:$C$106,3,FALSE),"")</f>
        <v/>
      </c>
    </row>
    <row r="2815" spans="5:7" ht="15" customHeight="1">
      <c r="E2815" s="49" t="str">
        <f>IFERROR(VLOOKUP(D2815,'taxonomy map'!$A$1:$C$107,2,FALSE),"")</f>
        <v/>
      </c>
      <c r="F2815" s="49" t="str">
        <f>IFERROR(VLOOKUP(E2815,'Condensed Specialty Crosswalk'!$A$2:$C$106,2,FALSE),"")</f>
        <v/>
      </c>
      <c r="G2815" s="49" t="str">
        <f>IFERROR(VLOOKUP(E2815,'Condensed Specialty Crosswalk'!$A$2:$C$106,3,FALSE),"")</f>
        <v/>
      </c>
    </row>
    <row r="2816" spans="5:7" ht="15" customHeight="1">
      <c r="E2816" s="49" t="str">
        <f>IFERROR(VLOOKUP(D2816,'taxonomy map'!$A$1:$C$107,2,FALSE),"")</f>
        <v/>
      </c>
      <c r="F2816" s="49" t="str">
        <f>IFERROR(VLOOKUP(E2816,'Condensed Specialty Crosswalk'!$A$2:$C$106,2,FALSE),"")</f>
        <v/>
      </c>
      <c r="G2816" s="49" t="str">
        <f>IFERROR(VLOOKUP(E2816,'Condensed Specialty Crosswalk'!$A$2:$C$106,3,FALSE),"")</f>
        <v/>
      </c>
    </row>
    <row r="2817" spans="5:7" ht="15" customHeight="1">
      <c r="E2817" s="49" t="str">
        <f>IFERROR(VLOOKUP(D2817,'taxonomy map'!$A$1:$C$107,2,FALSE),"")</f>
        <v/>
      </c>
      <c r="F2817" s="49" t="str">
        <f>IFERROR(VLOOKUP(E2817,'Condensed Specialty Crosswalk'!$A$2:$C$106,2,FALSE),"")</f>
        <v/>
      </c>
      <c r="G2817" s="49" t="str">
        <f>IFERROR(VLOOKUP(E2817,'Condensed Specialty Crosswalk'!$A$2:$C$106,3,FALSE),"")</f>
        <v/>
      </c>
    </row>
    <row r="2818" spans="5:7" ht="15" customHeight="1">
      <c r="E2818" s="49" t="str">
        <f>IFERROR(VLOOKUP(D2818,'taxonomy map'!$A$1:$C$107,2,FALSE),"")</f>
        <v/>
      </c>
      <c r="F2818" s="49" t="str">
        <f>IFERROR(VLOOKUP(E2818,'Condensed Specialty Crosswalk'!$A$2:$C$106,2,FALSE),"")</f>
        <v/>
      </c>
      <c r="G2818" s="49" t="str">
        <f>IFERROR(VLOOKUP(E2818,'Condensed Specialty Crosswalk'!$A$2:$C$106,3,FALSE),"")</f>
        <v/>
      </c>
    </row>
    <row r="2819" spans="5:7" ht="15" customHeight="1">
      <c r="E2819" s="49" t="str">
        <f>IFERROR(VLOOKUP(D2819,'taxonomy map'!$A$1:$C$107,2,FALSE),"")</f>
        <v/>
      </c>
      <c r="F2819" s="49" t="str">
        <f>IFERROR(VLOOKUP(E2819,'Condensed Specialty Crosswalk'!$A$2:$C$106,2,FALSE),"")</f>
        <v/>
      </c>
      <c r="G2819" s="49" t="str">
        <f>IFERROR(VLOOKUP(E2819,'Condensed Specialty Crosswalk'!$A$2:$C$106,3,FALSE),"")</f>
        <v/>
      </c>
    </row>
    <row r="2820" spans="5:7" ht="15" customHeight="1">
      <c r="E2820" s="49" t="str">
        <f>IFERROR(VLOOKUP(D2820,'taxonomy map'!$A$1:$C$107,2,FALSE),"")</f>
        <v/>
      </c>
      <c r="F2820" s="49" t="str">
        <f>IFERROR(VLOOKUP(E2820,'Condensed Specialty Crosswalk'!$A$2:$C$106,2,FALSE),"")</f>
        <v/>
      </c>
      <c r="G2820" s="49" t="str">
        <f>IFERROR(VLOOKUP(E2820,'Condensed Specialty Crosswalk'!$A$2:$C$106,3,FALSE),"")</f>
        <v/>
      </c>
    </row>
    <row r="2821" spans="5:7" ht="15" customHeight="1">
      <c r="E2821" s="49" t="str">
        <f>IFERROR(VLOOKUP(D2821,'taxonomy map'!$A$1:$C$107,2,FALSE),"")</f>
        <v/>
      </c>
      <c r="F2821" s="49" t="str">
        <f>IFERROR(VLOOKUP(E2821,'Condensed Specialty Crosswalk'!$A$2:$C$106,2,FALSE),"")</f>
        <v/>
      </c>
      <c r="G2821" s="49" t="str">
        <f>IFERROR(VLOOKUP(E2821,'Condensed Specialty Crosswalk'!$A$2:$C$106,3,FALSE),"")</f>
        <v/>
      </c>
    </row>
    <row r="2822" spans="5:7" ht="15" customHeight="1">
      <c r="E2822" s="49" t="str">
        <f>IFERROR(VLOOKUP(D2822,'taxonomy map'!$A$1:$C$107,2,FALSE),"")</f>
        <v/>
      </c>
      <c r="F2822" s="49" t="str">
        <f>IFERROR(VLOOKUP(E2822,'Condensed Specialty Crosswalk'!$A$2:$C$106,2,FALSE),"")</f>
        <v/>
      </c>
      <c r="G2822" s="49" t="str">
        <f>IFERROR(VLOOKUP(E2822,'Condensed Specialty Crosswalk'!$A$2:$C$106,3,FALSE),"")</f>
        <v/>
      </c>
    </row>
    <row r="2823" spans="5:7" ht="15" customHeight="1">
      <c r="E2823" s="49" t="str">
        <f>IFERROR(VLOOKUP(D2823,'taxonomy map'!$A$1:$C$107,2,FALSE),"")</f>
        <v/>
      </c>
      <c r="F2823" s="49" t="str">
        <f>IFERROR(VLOOKUP(E2823,'Condensed Specialty Crosswalk'!$A$2:$C$106,2,FALSE),"")</f>
        <v/>
      </c>
      <c r="G2823" s="49" t="str">
        <f>IFERROR(VLOOKUP(E2823,'Condensed Specialty Crosswalk'!$A$2:$C$106,3,FALSE),"")</f>
        <v/>
      </c>
    </row>
    <row r="2824" spans="5:7" ht="15" customHeight="1">
      <c r="E2824" s="49" t="str">
        <f>IFERROR(VLOOKUP(D2824,'taxonomy map'!$A$1:$C$107,2,FALSE),"")</f>
        <v/>
      </c>
      <c r="F2824" s="49" t="str">
        <f>IFERROR(VLOOKUP(E2824,'Condensed Specialty Crosswalk'!$A$2:$C$106,2,FALSE),"")</f>
        <v/>
      </c>
      <c r="G2824" s="49" t="str">
        <f>IFERROR(VLOOKUP(E2824,'Condensed Specialty Crosswalk'!$A$2:$C$106,3,FALSE),"")</f>
        <v/>
      </c>
    </row>
    <row r="2825" spans="5:7" ht="15" customHeight="1">
      <c r="E2825" s="49" t="str">
        <f>IFERROR(VLOOKUP(D2825,'taxonomy map'!$A$1:$C$107,2,FALSE),"")</f>
        <v/>
      </c>
      <c r="F2825" s="49" t="str">
        <f>IFERROR(VLOOKUP(E2825,'Condensed Specialty Crosswalk'!$A$2:$C$106,2,FALSE),"")</f>
        <v/>
      </c>
      <c r="G2825" s="49" t="str">
        <f>IFERROR(VLOOKUP(E2825,'Condensed Specialty Crosswalk'!$A$2:$C$106,3,FALSE),"")</f>
        <v/>
      </c>
    </row>
    <row r="2826" spans="5:7" ht="15" customHeight="1">
      <c r="E2826" s="49" t="str">
        <f>IFERROR(VLOOKUP(D2826,'taxonomy map'!$A$1:$C$107,2,FALSE),"")</f>
        <v/>
      </c>
      <c r="F2826" s="49" t="str">
        <f>IFERROR(VLOOKUP(E2826,'Condensed Specialty Crosswalk'!$A$2:$C$106,2,FALSE),"")</f>
        <v/>
      </c>
      <c r="G2826" s="49" t="str">
        <f>IFERROR(VLOOKUP(E2826,'Condensed Specialty Crosswalk'!$A$2:$C$106,3,FALSE),"")</f>
        <v/>
      </c>
    </row>
    <row r="2827" spans="5:7" ht="15" customHeight="1">
      <c r="E2827" s="49" t="str">
        <f>IFERROR(VLOOKUP(D2827,'taxonomy map'!$A$1:$C$107,2,FALSE),"")</f>
        <v/>
      </c>
      <c r="F2827" s="49" t="str">
        <f>IFERROR(VLOOKUP(E2827,'Condensed Specialty Crosswalk'!$A$2:$C$106,2,FALSE),"")</f>
        <v/>
      </c>
      <c r="G2827" s="49" t="str">
        <f>IFERROR(VLOOKUP(E2827,'Condensed Specialty Crosswalk'!$A$2:$C$106,3,FALSE),"")</f>
        <v/>
      </c>
    </row>
    <row r="2828" spans="5:7" ht="15" customHeight="1">
      <c r="E2828" s="49" t="str">
        <f>IFERROR(VLOOKUP(D2828,'taxonomy map'!$A$1:$C$107,2,FALSE),"")</f>
        <v/>
      </c>
      <c r="F2828" s="49" t="str">
        <f>IFERROR(VLOOKUP(E2828,'Condensed Specialty Crosswalk'!$A$2:$C$106,2,FALSE),"")</f>
        <v/>
      </c>
      <c r="G2828" s="49" t="str">
        <f>IFERROR(VLOOKUP(E2828,'Condensed Specialty Crosswalk'!$A$2:$C$106,3,FALSE),"")</f>
        <v/>
      </c>
    </row>
    <row r="2829" spans="5:7" ht="15" customHeight="1">
      <c r="E2829" s="49" t="str">
        <f>IFERROR(VLOOKUP(D2829,'taxonomy map'!$A$1:$C$107,2,FALSE),"")</f>
        <v/>
      </c>
      <c r="F2829" s="49" t="str">
        <f>IFERROR(VLOOKUP(E2829,'Condensed Specialty Crosswalk'!$A$2:$C$106,2,FALSE),"")</f>
        <v/>
      </c>
      <c r="G2829" s="49" t="str">
        <f>IFERROR(VLOOKUP(E2829,'Condensed Specialty Crosswalk'!$A$2:$C$106,3,FALSE),"")</f>
        <v/>
      </c>
    </row>
    <row r="2830" spans="5:7" ht="15" customHeight="1">
      <c r="E2830" s="49" t="str">
        <f>IFERROR(VLOOKUP(D2830,'taxonomy map'!$A$1:$C$107,2,FALSE),"")</f>
        <v/>
      </c>
      <c r="F2830" s="49" t="str">
        <f>IFERROR(VLOOKUP(E2830,'Condensed Specialty Crosswalk'!$A$2:$C$106,2,FALSE),"")</f>
        <v/>
      </c>
      <c r="G2830" s="49" t="str">
        <f>IFERROR(VLOOKUP(E2830,'Condensed Specialty Crosswalk'!$A$2:$C$106,3,FALSE),"")</f>
        <v/>
      </c>
    </row>
    <row r="2831" spans="5:7" ht="15" customHeight="1">
      <c r="E2831" s="49" t="str">
        <f>IFERROR(VLOOKUP(D2831,'taxonomy map'!$A$1:$C$107,2,FALSE),"")</f>
        <v/>
      </c>
      <c r="F2831" s="49" t="str">
        <f>IFERROR(VLOOKUP(E2831,'Condensed Specialty Crosswalk'!$A$2:$C$106,2,FALSE),"")</f>
        <v/>
      </c>
      <c r="G2831" s="49" t="str">
        <f>IFERROR(VLOOKUP(E2831,'Condensed Specialty Crosswalk'!$A$2:$C$106,3,FALSE),"")</f>
        <v/>
      </c>
    </row>
    <row r="2832" spans="5:7" ht="15" customHeight="1">
      <c r="E2832" s="49" t="str">
        <f>IFERROR(VLOOKUP(D2832,'taxonomy map'!$A$1:$C$107,2,FALSE),"")</f>
        <v/>
      </c>
      <c r="F2832" s="49" t="str">
        <f>IFERROR(VLOOKUP(E2832,'Condensed Specialty Crosswalk'!$A$2:$C$106,2,FALSE),"")</f>
        <v/>
      </c>
      <c r="G2832" s="49" t="str">
        <f>IFERROR(VLOOKUP(E2832,'Condensed Specialty Crosswalk'!$A$2:$C$106,3,FALSE),"")</f>
        <v/>
      </c>
    </row>
    <row r="2833" spans="5:7" ht="15" customHeight="1">
      <c r="E2833" s="49" t="str">
        <f>IFERROR(VLOOKUP(D2833,'taxonomy map'!$A$1:$C$107,2,FALSE),"")</f>
        <v/>
      </c>
      <c r="F2833" s="49" t="str">
        <f>IFERROR(VLOOKUP(E2833,'Condensed Specialty Crosswalk'!$A$2:$C$106,2,FALSE),"")</f>
        <v/>
      </c>
      <c r="G2833" s="49" t="str">
        <f>IFERROR(VLOOKUP(E2833,'Condensed Specialty Crosswalk'!$A$2:$C$106,3,FALSE),"")</f>
        <v/>
      </c>
    </row>
    <row r="2834" spans="5:7" ht="15" customHeight="1">
      <c r="E2834" s="49" t="str">
        <f>IFERROR(VLOOKUP(D2834,'taxonomy map'!$A$1:$C$107,2,FALSE),"")</f>
        <v/>
      </c>
      <c r="F2834" s="49" t="str">
        <f>IFERROR(VLOOKUP(E2834,'Condensed Specialty Crosswalk'!$A$2:$C$106,2,FALSE),"")</f>
        <v/>
      </c>
      <c r="G2834" s="49" t="str">
        <f>IFERROR(VLOOKUP(E2834,'Condensed Specialty Crosswalk'!$A$2:$C$106,3,FALSE),"")</f>
        <v/>
      </c>
    </row>
    <row r="2835" spans="5:7" ht="15" customHeight="1">
      <c r="E2835" s="49" t="str">
        <f>IFERROR(VLOOKUP(D2835,'taxonomy map'!$A$1:$C$107,2,FALSE),"")</f>
        <v/>
      </c>
      <c r="F2835" s="49" t="str">
        <f>IFERROR(VLOOKUP(E2835,'Condensed Specialty Crosswalk'!$A$2:$C$106,2,FALSE),"")</f>
        <v/>
      </c>
      <c r="G2835" s="49" t="str">
        <f>IFERROR(VLOOKUP(E2835,'Condensed Specialty Crosswalk'!$A$2:$C$106,3,FALSE),"")</f>
        <v/>
      </c>
    </row>
    <row r="2836" spans="5:7" ht="15" customHeight="1">
      <c r="E2836" s="49" t="str">
        <f>IFERROR(VLOOKUP(D2836,'taxonomy map'!$A$1:$C$107,2,FALSE),"")</f>
        <v/>
      </c>
      <c r="F2836" s="49" t="str">
        <f>IFERROR(VLOOKUP(E2836,'Condensed Specialty Crosswalk'!$A$2:$C$106,2,FALSE),"")</f>
        <v/>
      </c>
      <c r="G2836" s="49" t="str">
        <f>IFERROR(VLOOKUP(E2836,'Condensed Specialty Crosswalk'!$A$2:$C$106,3,FALSE),"")</f>
        <v/>
      </c>
    </row>
    <row r="2837" spans="5:7" ht="15" customHeight="1">
      <c r="E2837" s="49" t="str">
        <f>IFERROR(VLOOKUP(D2837,'taxonomy map'!$A$1:$C$107,2,FALSE),"")</f>
        <v/>
      </c>
      <c r="F2837" s="49" t="str">
        <f>IFERROR(VLOOKUP(E2837,'Condensed Specialty Crosswalk'!$A$2:$C$106,2,FALSE),"")</f>
        <v/>
      </c>
      <c r="G2837" s="49" t="str">
        <f>IFERROR(VLOOKUP(E2837,'Condensed Specialty Crosswalk'!$A$2:$C$106,3,FALSE),"")</f>
        <v/>
      </c>
    </row>
    <row r="2838" spans="5:7" ht="15" customHeight="1">
      <c r="E2838" s="49" t="str">
        <f>IFERROR(VLOOKUP(D2838,'taxonomy map'!$A$1:$C$107,2,FALSE),"")</f>
        <v/>
      </c>
      <c r="F2838" s="49" t="str">
        <f>IFERROR(VLOOKUP(E2838,'Condensed Specialty Crosswalk'!$A$2:$C$106,2,FALSE),"")</f>
        <v/>
      </c>
      <c r="G2838" s="49" t="str">
        <f>IFERROR(VLOOKUP(E2838,'Condensed Specialty Crosswalk'!$A$2:$C$106,3,FALSE),"")</f>
        <v/>
      </c>
    </row>
    <row r="2839" spans="5:7" ht="15" customHeight="1">
      <c r="E2839" s="49" t="str">
        <f>IFERROR(VLOOKUP(D2839,'taxonomy map'!$A$1:$C$107,2,FALSE),"")</f>
        <v/>
      </c>
      <c r="F2839" s="49" t="str">
        <f>IFERROR(VLOOKUP(E2839,'Condensed Specialty Crosswalk'!$A$2:$C$106,2,FALSE),"")</f>
        <v/>
      </c>
      <c r="G2839" s="49" t="str">
        <f>IFERROR(VLOOKUP(E2839,'Condensed Specialty Crosswalk'!$A$2:$C$106,3,FALSE),"")</f>
        <v/>
      </c>
    </row>
    <row r="2840" spans="5:7" ht="15" customHeight="1">
      <c r="E2840" s="49" t="str">
        <f>IFERROR(VLOOKUP(D2840,'taxonomy map'!$A$1:$C$107,2,FALSE),"")</f>
        <v/>
      </c>
      <c r="F2840" s="49" t="str">
        <f>IFERROR(VLOOKUP(E2840,'Condensed Specialty Crosswalk'!$A$2:$C$106,2,FALSE),"")</f>
        <v/>
      </c>
      <c r="G2840" s="49" t="str">
        <f>IFERROR(VLOOKUP(E2840,'Condensed Specialty Crosswalk'!$A$2:$C$106,3,FALSE),"")</f>
        <v/>
      </c>
    </row>
    <row r="2841" spans="5:7" ht="15" customHeight="1">
      <c r="E2841" s="49" t="str">
        <f>IFERROR(VLOOKUP(D2841,'taxonomy map'!$A$1:$C$107,2,FALSE),"")</f>
        <v/>
      </c>
      <c r="F2841" s="49" t="str">
        <f>IFERROR(VLOOKUP(E2841,'Condensed Specialty Crosswalk'!$A$2:$C$106,2,FALSE),"")</f>
        <v/>
      </c>
      <c r="G2841" s="49" t="str">
        <f>IFERROR(VLOOKUP(E2841,'Condensed Specialty Crosswalk'!$A$2:$C$106,3,FALSE),"")</f>
        <v/>
      </c>
    </row>
    <row r="2842" spans="5:7" ht="15" customHeight="1">
      <c r="E2842" s="49" t="str">
        <f>IFERROR(VLOOKUP(D2842,'taxonomy map'!$A$1:$C$107,2,FALSE),"")</f>
        <v/>
      </c>
      <c r="F2842" s="49" t="str">
        <f>IFERROR(VLOOKUP(E2842,'Condensed Specialty Crosswalk'!$A$2:$C$106,2,FALSE),"")</f>
        <v/>
      </c>
      <c r="G2842" s="49" t="str">
        <f>IFERROR(VLOOKUP(E2842,'Condensed Specialty Crosswalk'!$A$2:$C$106,3,FALSE),"")</f>
        <v/>
      </c>
    </row>
    <row r="2843" spans="5:7" ht="15" customHeight="1">
      <c r="E2843" s="49" t="str">
        <f>IFERROR(VLOOKUP(D2843,'taxonomy map'!$A$1:$C$107,2,FALSE),"")</f>
        <v/>
      </c>
      <c r="F2843" s="49" t="str">
        <f>IFERROR(VLOOKUP(E2843,'Condensed Specialty Crosswalk'!$A$2:$C$106,2,FALSE),"")</f>
        <v/>
      </c>
      <c r="G2843" s="49" t="str">
        <f>IFERROR(VLOOKUP(E2843,'Condensed Specialty Crosswalk'!$A$2:$C$106,3,FALSE),"")</f>
        <v/>
      </c>
    </row>
    <row r="2844" spans="5:7" ht="15" customHeight="1">
      <c r="E2844" s="49" t="str">
        <f>IFERROR(VLOOKUP(D2844,'taxonomy map'!$A$1:$C$107,2,FALSE),"")</f>
        <v/>
      </c>
      <c r="F2844" s="49" t="str">
        <f>IFERROR(VLOOKUP(E2844,'Condensed Specialty Crosswalk'!$A$2:$C$106,2,FALSE),"")</f>
        <v/>
      </c>
      <c r="G2844" s="49" t="str">
        <f>IFERROR(VLOOKUP(E2844,'Condensed Specialty Crosswalk'!$A$2:$C$106,3,FALSE),"")</f>
        <v/>
      </c>
    </row>
    <row r="2845" spans="5:7" ht="15" customHeight="1">
      <c r="E2845" s="49" t="str">
        <f>IFERROR(VLOOKUP(D2845,'taxonomy map'!$A$1:$C$107,2,FALSE),"")</f>
        <v/>
      </c>
      <c r="F2845" s="49" t="str">
        <f>IFERROR(VLOOKUP(E2845,'Condensed Specialty Crosswalk'!$A$2:$C$106,2,FALSE),"")</f>
        <v/>
      </c>
      <c r="G2845" s="49" t="str">
        <f>IFERROR(VLOOKUP(E2845,'Condensed Specialty Crosswalk'!$A$2:$C$106,3,FALSE),"")</f>
        <v/>
      </c>
    </row>
    <row r="2846" spans="5:7" ht="15" customHeight="1">
      <c r="E2846" s="49" t="str">
        <f>IFERROR(VLOOKUP(D2846,'taxonomy map'!$A$1:$C$107,2,FALSE),"")</f>
        <v/>
      </c>
      <c r="F2846" s="49" t="str">
        <f>IFERROR(VLOOKUP(E2846,'Condensed Specialty Crosswalk'!$A$2:$C$106,2,FALSE),"")</f>
        <v/>
      </c>
      <c r="G2846" s="49" t="str">
        <f>IFERROR(VLOOKUP(E2846,'Condensed Specialty Crosswalk'!$A$2:$C$106,3,FALSE),"")</f>
        <v/>
      </c>
    </row>
    <row r="2847" spans="5:7" ht="15" customHeight="1">
      <c r="E2847" s="49" t="str">
        <f>IFERROR(VLOOKUP(D2847,'taxonomy map'!$A$1:$C$107,2,FALSE),"")</f>
        <v/>
      </c>
      <c r="F2847" s="49" t="str">
        <f>IFERROR(VLOOKUP(E2847,'Condensed Specialty Crosswalk'!$A$2:$C$106,2,FALSE),"")</f>
        <v/>
      </c>
      <c r="G2847" s="49" t="str">
        <f>IFERROR(VLOOKUP(E2847,'Condensed Specialty Crosswalk'!$A$2:$C$106,3,FALSE),"")</f>
        <v/>
      </c>
    </row>
    <row r="2848" spans="5:7" ht="15" customHeight="1">
      <c r="E2848" s="49" t="str">
        <f>IFERROR(VLOOKUP(D2848,'taxonomy map'!$A$1:$C$107,2,FALSE),"")</f>
        <v/>
      </c>
      <c r="F2848" s="49" t="str">
        <f>IFERROR(VLOOKUP(E2848,'Condensed Specialty Crosswalk'!$A$2:$C$106,2,FALSE),"")</f>
        <v/>
      </c>
      <c r="G2848" s="49" t="str">
        <f>IFERROR(VLOOKUP(E2848,'Condensed Specialty Crosswalk'!$A$2:$C$106,3,FALSE),"")</f>
        <v/>
      </c>
    </row>
    <row r="2849" spans="5:7" ht="15" customHeight="1">
      <c r="E2849" s="49" t="str">
        <f>IFERROR(VLOOKUP(D2849,'taxonomy map'!$A$1:$C$107,2,FALSE),"")</f>
        <v/>
      </c>
      <c r="F2849" s="49" t="str">
        <f>IFERROR(VLOOKUP(E2849,'Condensed Specialty Crosswalk'!$A$2:$C$106,2,FALSE),"")</f>
        <v/>
      </c>
      <c r="G2849" s="49" t="str">
        <f>IFERROR(VLOOKUP(E2849,'Condensed Specialty Crosswalk'!$A$2:$C$106,3,FALSE),"")</f>
        <v/>
      </c>
    </row>
    <row r="2850" spans="5:7" ht="15" customHeight="1">
      <c r="E2850" s="49" t="str">
        <f>IFERROR(VLOOKUP(D2850,'taxonomy map'!$A$1:$C$107,2,FALSE),"")</f>
        <v/>
      </c>
      <c r="F2850" s="49" t="str">
        <f>IFERROR(VLOOKUP(E2850,'Condensed Specialty Crosswalk'!$A$2:$C$106,2,FALSE),"")</f>
        <v/>
      </c>
      <c r="G2850" s="49" t="str">
        <f>IFERROR(VLOOKUP(E2850,'Condensed Specialty Crosswalk'!$A$2:$C$106,3,FALSE),"")</f>
        <v/>
      </c>
    </row>
    <row r="2851" spans="5:7" ht="15" customHeight="1">
      <c r="E2851" s="49" t="str">
        <f>IFERROR(VLOOKUP(D2851,'taxonomy map'!$A$1:$C$107,2,FALSE),"")</f>
        <v/>
      </c>
      <c r="F2851" s="49" t="str">
        <f>IFERROR(VLOOKUP(E2851,'Condensed Specialty Crosswalk'!$A$2:$C$106,2,FALSE),"")</f>
        <v/>
      </c>
      <c r="G2851" s="49" t="str">
        <f>IFERROR(VLOOKUP(E2851,'Condensed Specialty Crosswalk'!$A$2:$C$106,3,FALSE),"")</f>
        <v/>
      </c>
    </row>
    <row r="2852" spans="5:7" ht="15" customHeight="1">
      <c r="E2852" s="49" t="str">
        <f>IFERROR(VLOOKUP(D2852,'taxonomy map'!$A$1:$C$107,2,FALSE),"")</f>
        <v/>
      </c>
      <c r="F2852" s="49" t="str">
        <f>IFERROR(VLOOKUP(E2852,'Condensed Specialty Crosswalk'!$A$2:$C$106,2,FALSE),"")</f>
        <v/>
      </c>
      <c r="G2852" s="49" t="str">
        <f>IFERROR(VLOOKUP(E2852,'Condensed Specialty Crosswalk'!$A$2:$C$106,3,FALSE),"")</f>
        <v/>
      </c>
    </row>
    <row r="2853" spans="5:7" ht="15" customHeight="1">
      <c r="E2853" s="49" t="str">
        <f>IFERROR(VLOOKUP(D2853,'taxonomy map'!$A$1:$C$107,2,FALSE),"")</f>
        <v/>
      </c>
      <c r="F2853" s="49" t="str">
        <f>IFERROR(VLOOKUP(E2853,'Condensed Specialty Crosswalk'!$A$2:$C$106,2,FALSE),"")</f>
        <v/>
      </c>
      <c r="G2853" s="49" t="str">
        <f>IFERROR(VLOOKUP(E2853,'Condensed Specialty Crosswalk'!$A$2:$C$106,3,FALSE),"")</f>
        <v/>
      </c>
    </row>
    <row r="2854" spans="5:7" ht="15" customHeight="1">
      <c r="E2854" s="49" t="str">
        <f>IFERROR(VLOOKUP(D2854,'taxonomy map'!$A$1:$C$107,2,FALSE),"")</f>
        <v/>
      </c>
      <c r="F2854" s="49" t="str">
        <f>IFERROR(VLOOKUP(E2854,'Condensed Specialty Crosswalk'!$A$2:$C$106,2,FALSE),"")</f>
        <v/>
      </c>
      <c r="G2854" s="49" t="str">
        <f>IFERROR(VLOOKUP(E2854,'Condensed Specialty Crosswalk'!$A$2:$C$106,3,FALSE),"")</f>
        <v/>
      </c>
    </row>
    <row r="2855" spans="5:7" ht="15" customHeight="1">
      <c r="E2855" s="49" t="str">
        <f>IFERROR(VLOOKUP(D2855,'taxonomy map'!$A$1:$C$107,2,FALSE),"")</f>
        <v/>
      </c>
      <c r="F2855" s="49" t="str">
        <f>IFERROR(VLOOKUP(E2855,'Condensed Specialty Crosswalk'!$A$2:$C$106,2,FALSE),"")</f>
        <v/>
      </c>
      <c r="G2855" s="49" t="str">
        <f>IFERROR(VLOOKUP(E2855,'Condensed Specialty Crosswalk'!$A$2:$C$106,3,FALSE),"")</f>
        <v/>
      </c>
    </row>
    <row r="2856" spans="5:7" ht="15" customHeight="1">
      <c r="E2856" s="49" t="str">
        <f>IFERROR(VLOOKUP(D2856,'taxonomy map'!$A$1:$C$107,2,FALSE),"")</f>
        <v/>
      </c>
      <c r="F2856" s="49" t="str">
        <f>IFERROR(VLOOKUP(E2856,'Condensed Specialty Crosswalk'!$A$2:$C$106,2,FALSE),"")</f>
        <v/>
      </c>
      <c r="G2856" s="49" t="str">
        <f>IFERROR(VLOOKUP(E2856,'Condensed Specialty Crosswalk'!$A$2:$C$106,3,FALSE),"")</f>
        <v/>
      </c>
    </row>
    <row r="2857" spans="5:7" ht="15" customHeight="1">
      <c r="E2857" s="49" t="str">
        <f>IFERROR(VLOOKUP(D2857,'taxonomy map'!$A$1:$C$107,2,FALSE),"")</f>
        <v/>
      </c>
      <c r="F2857" s="49" t="str">
        <f>IFERROR(VLOOKUP(E2857,'Condensed Specialty Crosswalk'!$A$2:$C$106,2,FALSE),"")</f>
        <v/>
      </c>
      <c r="G2857" s="49" t="str">
        <f>IFERROR(VLOOKUP(E2857,'Condensed Specialty Crosswalk'!$A$2:$C$106,3,FALSE),"")</f>
        <v/>
      </c>
    </row>
    <row r="2858" spans="5:7" ht="15" customHeight="1">
      <c r="E2858" s="49" t="str">
        <f>IFERROR(VLOOKUP(D2858,'taxonomy map'!$A$1:$C$107,2,FALSE),"")</f>
        <v/>
      </c>
      <c r="F2858" s="49" t="str">
        <f>IFERROR(VLOOKUP(E2858,'Condensed Specialty Crosswalk'!$A$2:$C$106,2,FALSE),"")</f>
        <v/>
      </c>
      <c r="G2858" s="49" t="str">
        <f>IFERROR(VLOOKUP(E2858,'Condensed Specialty Crosswalk'!$A$2:$C$106,3,FALSE),"")</f>
        <v/>
      </c>
    </row>
    <row r="2859" spans="5:7" ht="15" customHeight="1">
      <c r="E2859" s="49" t="str">
        <f>IFERROR(VLOOKUP(D2859,'taxonomy map'!$A$1:$C$107,2,FALSE),"")</f>
        <v/>
      </c>
      <c r="F2859" s="49" t="str">
        <f>IFERROR(VLOOKUP(E2859,'Condensed Specialty Crosswalk'!$A$2:$C$106,2,FALSE),"")</f>
        <v/>
      </c>
      <c r="G2859" s="49" t="str">
        <f>IFERROR(VLOOKUP(E2859,'Condensed Specialty Crosswalk'!$A$2:$C$106,3,FALSE),"")</f>
        <v/>
      </c>
    </row>
    <row r="2860" spans="5:7" ht="15" customHeight="1">
      <c r="E2860" s="49" t="str">
        <f>IFERROR(VLOOKUP(D2860,'taxonomy map'!$A$1:$C$107,2,FALSE),"")</f>
        <v/>
      </c>
      <c r="F2860" s="49" t="str">
        <f>IFERROR(VLOOKUP(E2860,'Condensed Specialty Crosswalk'!$A$2:$C$106,2,FALSE),"")</f>
        <v/>
      </c>
      <c r="G2860" s="49" t="str">
        <f>IFERROR(VLOOKUP(E2860,'Condensed Specialty Crosswalk'!$A$2:$C$106,3,FALSE),"")</f>
        <v/>
      </c>
    </row>
    <row r="2861" spans="5:7" ht="15" customHeight="1">
      <c r="E2861" s="49" t="str">
        <f>IFERROR(VLOOKUP(D2861,'taxonomy map'!$A$1:$C$107,2,FALSE),"")</f>
        <v/>
      </c>
      <c r="F2861" s="49" t="str">
        <f>IFERROR(VLOOKUP(E2861,'Condensed Specialty Crosswalk'!$A$2:$C$106,2,FALSE),"")</f>
        <v/>
      </c>
      <c r="G2861" s="49" t="str">
        <f>IFERROR(VLOOKUP(E2861,'Condensed Specialty Crosswalk'!$A$2:$C$106,3,FALSE),"")</f>
        <v/>
      </c>
    </row>
    <row r="2862" spans="5:7" ht="15" customHeight="1">
      <c r="E2862" s="49" t="str">
        <f>IFERROR(VLOOKUP(D2862,'taxonomy map'!$A$1:$C$107,2,FALSE),"")</f>
        <v/>
      </c>
      <c r="F2862" s="49" t="str">
        <f>IFERROR(VLOOKUP(E2862,'Condensed Specialty Crosswalk'!$A$2:$C$106,2,FALSE),"")</f>
        <v/>
      </c>
      <c r="G2862" s="49" t="str">
        <f>IFERROR(VLOOKUP(E2862,'Condensed Specialty Crosswalk'!$A$2:$C$106,3,FALSE),"")</f>
        <v/>
      </c>
    </row>
    <row r="2863" spans="5:7" ht="15" customHeight="1">
      <c r="E2863" s="49" t="str">
        <f>IFERROR(VLOOKUP(D2863,'taxonomy map'!$A$1:$C$107,2,FALSE),"")</f>
        <v/>
      </c>
      <c r="F2863" s="49" t="str">
        <f>IFERROR(VLOOKUP(E2863,'Condensed Specialty Crosswalk'!$A$2:$C$106,2,FALSE),"")</f>
        <v/>
      </c>
      <c r="G2863" s="49" t="str">
        <f>IFERROR(VLOOKUP(E2863,'Condensed Specialty Crosswalk'!$A$2:$C$106,3,FALSE),"")</f>
        <v/>
      </c>
    </row>
    <row r="2864" spans="5:7" ht="15" customHeight="1">
      <c r="E2864" s="49" t="str">
        <f>IFERROR(VLOOKUP(D2864,'taxonomy map'!$A$1:$C$107,2,FALSE),"")</f>
        <v/>
      </c>
      <c r="F2864" s="49" t="str">
        <f>IFERROR(VLOOKUP(E2864,'Condensed Specialty Crosswalk'!$A$2:$C$106,2,FALSE),"")</f>
        <v/>
      </c>
      <c r="G2864" s="49" t="str">
        <f>IFERROR(VLOOKUP(E2864,'Condensed Specialty Crosswalk'!$A$2:$C$106,3,FALSE),"")</f>
        <v/>
      </c>
    </row>
    <row r="2865" spans="5:7" ht="15" customHeight="1">
      <c r="E2865" s="49" t="str">
        <f>IFERROR(VLOOKUP(D2865,'taxonomy map'!$A$1:$C$107,2,FALSE),"")</f>
        <v/>
      </c>
      <c r="F2865" s="49" t="str">
        <f>IFERROR(VLOOKUP(E2865,'Condensed Specialty Crosswalk'!$A$2:$C$106,2,FALSE),"")</f>
        <v/>
      </c>
      <c r="G2865" s="49" t="str">
        <f>IFERROR(VLOOKUP(E2865,'Condensed Specialty Crosswalk'!$A$2:$C$106,3,FALSE),"")</f>
        <v/>
      </c>
    </row>
    <row r="2866" spans="5:7" ht="15" customHeight="1">
      <c r="E2866" s="49" t="str">
        <f>IFERROR(VLOOKUP(D2866,'taxonomy map'!$A$1:$C$107,2,FALSE),"")</f>
        <v/>
      </c>
      <c r="F2866" s="49" t="str">
        <f>IFERROR(VLOOKUP(E2866,'Condensed Specialty Crosswalk'!$A$2:$C$106,2,FALSE),"")</f>
        <v/>
      </c>
      <c r="G2866" s="49" t="str">
        <f>IFERROR(VLOOKUP(E2866,'Condensed Specialty Crosswalk'!$A$2:$C$106,3,FALSE),"")</f>
        <v/>
      </c>
    </row>
    <row r="2867" spans="5:7" ht="15" customHeight="1">
      <c r="E2867" s="49" t="str">
        <f>IFERROR(VLOOKUP(D2867,'taxonomy map'!$A$1:$C$107,2,FALSE),"")</f>
        <v/>
      </c>
      <c r="F2867" s="49" t="str">
        <f>IFERROR(VLOOKUP(E2867,'Condensed Specialty Crosswalk'!$A$2:$C$106,2,FALSE),"")</f>
        <v/>
      </c>
      <c r="G2867" s="49" t="str">
        <f>IFERROR(VLOOKUP(E2867,'Condensed Specialty Crosswalk'!$A$2:$C$106,3,FALSE),"")</f>
        <v/>
      </c>
    </row>
    <row r="2868" spans="5:7" ht="15" customHeight="1">
      <c r="E2868" s="49" t="str">
        <f>IFERROR(VLOOKUP(D2868,'taxonomy map'!$A$1:$C$107,2,FALSE),"")</f>
        <v/>
      </c>
      <c r="F2868" s="49" t="str">
        <f>IFERROR(VLOOKUP(E2868,'Condensed Specialty Crosswalk'!$A$2:$C$106,2,FALSE),"")</f>
        <v/>
      </c>
      <c r="G2868" s="49" t="str">
        <f>IFERROR(VLOOKUP(E2868,'Condensed Specialty Crosswalk'!$A$2:$C$106,3,FALSE),"")</f>
        <v/>
      </c>
    </row>
    <row r="2869" spans="5:7" ht="15" customHeight="1">
      <c r="E2869" s="49" t="str">
        <f>IFERROR(VLOOKUP(D2869,'taxonomy map'!$A$1:$C$107,2,FALSE),"")</f>
        <v/>
      </c>
      <c r="F2869" s="49" t="str">
        <f>IFERROR(VLOOKUP(E2869,'Condensed Specialty Crosswalk'!$A$2:$C$106,2,FALSE),"")</f>
        <v/>
      </c>
      <c r="G2869" s="49" t="str">
        <f>IFERROR(VLOOKUP(E2869,'Condensed Specialty Crosswalk'!$A$2:$C$106,3,FALSE),"")</f>
        <v/>
      </c>
    </row>
    <row r="2870" spans="5:7" ht="15" customHeight="1">
      <c r="E2870" s="49" t="str">
        <f>IFERROR(VLOOKUP(D2870,'taxonomy map'!$A$1:$C$107,2,FALSE),"")</f>
        <v/>
      </c>
      <c r="F2870" s="49" t="str">
        <f>IFERROR(VLOOKUP(E2870,'Condensed Specialty Crosswalk'!$A$2:$C$106,2,FALSE),"")</f>
        <v/>
      </c>
      <c r="G2870" s="49" t="str">
        <f>IFERROR(VLOOKUP(E2870,'Condensed Specialty Crosswalk'!$A$2:$C$106,3,FALSE),"")</f>
        <v/>
      </c>
    </row>
    <row r="2871" spans="5:7" ht="15" customHeight="1">
      <c r="E2871" s="49" t="str">
        <f>IFERROR(VLOOKUP(D2871,'taxonomy map'!$A$1:$C$107,2,FALSE),"")</f>
        <v/>
      </c>
      <c r="F2871" s="49" t="str">
        <f>IFERROR(VLOOKUP(E2871,'Condensed Specialty Crosswalk'!$A$2:$C$106,2,FALSE),"")</f>
        <v/>
      </c>
      <c r="G2871" s="49" t="str">
        <f>IFERROR(VLOOKUP(E2871,'Condensed Specialty Crosswalk'!$A$2:$C$106,3,FALSE),"")</f>
        <v/>
      </c>
    </row>
    <row r="2872" spans="5:7" ht="15" customHeight="1">
      <c r="E2872" s="49" t="str">
        <f>IFERROR(VLOOKUP(D2872,'taxonomy map'!$A$1:$C$107,2,FALSE),"")</f>
        <v/>
      </c>
      <c r="F2872" s="49" t="str">
        <f>IFERROR(VLOOKUP(E2872,'Condensed Specialty Crosswalk'!$A$2:$C$106,2,FALSE),"")</f>
        <v/>
      </c>
      <c r="G2872" s="49" t="str">
        <f>IFERROR(VLOOKUP(E2872,'Condensed Specialty Crosswalk'!$A$2:$C$106,3,FALSE),"")</f>
        <v/>
      </c>
    </row>
    <row r="2873" spans="5:7" ht="15" customHeight="1">
      <c r="E2873" s="49" t="str">
        <f>IFERROR(VLOOKUP(D2873,'taxonomy map'!$A$1:$C$107,2,FALSE),"")</f>
        <v/>
      </c>
      <c r="F2873" s="49" t="str">
        <f>IFERROR(VLOOKUP(E2873,'Condensed Specialty Crosswalk'!$A$2:$C$106,2,FALSE),"")</f>
        <v/>
      </c>
      <c r="G2873" s="49" t="str">
        <f>IFERROR(VLOOKUP(E2873,'Condensed Specialty Crosswalk'!$A$2:$C$106,3,FALSE),"")</f>
        <v/>
      </c>
    </row>
    <row r="2874" spans="5:7" ht="15" customHeight="1">
      <c r="E2874" s="49" t="str">
        <f>IFERROR(VLOOKUP(D2874,'taxonomy map'!$A$1:$C$107,2,FALSE),"")</f>
        <v/>
      </c>
      <c r="F2874" s="49" t="str">
        <f>IFERROR(VLOOKUP(E2874,'Condensed Specialty Crosswalk'!$A$2:$C$106,2,FALSE),"")</f>
        <v/>
      </c>
      <c r="G2874" s="49" t="str">
        <f>IFERROR(VLOOKUP(E2874,'Condensed Specialty Crosswalk'!$A$2:$C$106,3,FALSE),"")</f>
        <v/>
      </c>
    </row>
    <row r="2875" spans="5:7" ht="15" customHeight="1">
      <c r="E2875" s="49" t="str">
        <f>IFERROR(VLOOKUP(D2875,'taxonomy map'!$A$1:$C$107,2,FALSE),"")</f>
        <v/>
      </c>
      <c r="F2875" s="49" t="str">
        <f>IFERROR(VLOOKUP(E2875,'Condensed Specialty Crosswalk'!$A$2:$C$106,2,FALSE),"")</f>
        <v/>
      </c>
      <c r="G2875" s="49" t="str">
        <f>IFERROR(VLOOKUP(E2875,'Condensed Specialty Crosswalk'!$A$2:$C$106,3,FALSE),"")</f>
        <v/>
      </c>
    </row>
    <row r="2876" spans="5:7" ht="15" customHeight="1">
      <c r="E2876" s="49" t="str">
        <f>IFERROR(VLOOKUP(D2876,'taxonomy map'!$A$1:$C$107,2,FALSE),"")</f>
        <v/>
      </c>
      <c r="F2876" s="49" t="str">
        <f>IFERROR(VLOOKUP(E2876,'Condensed Specialty Crosswalk'!$A$2:$C$106,2,FALSE),"")</f>
        <v/>
      </c>
      <c r="G2876" s="49" t="str">
        <f>IFERROR(VLOOKUP(E2876,'Condensed Specialty Crosswalk'!$A$2:$C$106,3,FALSE),"")</f>
        <v/>
      </c>
    </row>
    <row r="2877" spans="5:7" ht="15" customHeight="1">
      <c r="E2877" s="49" t="str">
        <f>IFERROR(VLOOKUP(D2877,'taxonomy map'!$A$1:$C$107,2,FALSE),"")</f>
        <v/>
      </c>
      <c r="F2877" s="49" t="str">
        <f>IFERROR(VLOOKUP(E2877,'Condensed Specialty Crosswalk'!$A$2:$C$106,2,FALSE),"")</f>
        <v/>
      </c>
      <c r="G2877" s="49" t="str">
        <f>IFERROR(VLOOKUP(E2877,'Condensed Specialty Crosswalk'!$A$2:$C$106,3,FALSE),"")</f>
        <v/>
      </c>
    </row>
    <row r="2878" spans="5:7" ht="15" customHeight="1">
      <c r="E2878" s="49" t="str">
        <f>IFERROR(VLOOKUP(D2878,'taxonomy map'!$A$1:$C$107,2,FALSE),"")</f>
        <v/>
      </c>
      <c r="F2878" s="49" t="str">
        <f>IFERROR(VLOOKUP(E2878,'Condensed Specialty Crosswalk'!$A$2:$C$106,2,FALSE),"")</f>
        <v/>
      </c>
      <c r="G2878" s="49" t="str">
        <f>IFERROR(VLOOKUP(E2878,'Condensed Specialty Crosswalk'!$A$2:$C$106,3,FALSE),"")</f>
        <v/>
      </c>
    </row>
    <row r="2879" spans="5:7" ht="15" customHeight="1">
      <c r="E2879" s="49" t="str">
        <f>IFERROR(VLOOKUP(D2879,'taxonomy map'!$A$1:$C$107,2,FALSE),"")</f>
        <v/>
      </c>
      <c r="F2879" s="49" t="str">
        <f>IFERROR(VLOOKUP(E2879,'Condensed Specialty Crosswalk'!$A$2:$C$106,2,FALSE),"")</f>
        <v/>
      </c>
      <c r="G2879" s="49" t="str">
        <f>IFERROR(VLOOKUP(E2879,'Condensed Specialty Crosswalk'!$A$2:$C$106,3,FALSE),"")</f>
        <v/>
      </c>
    </row>
    <row r="2880" spans="5:7" ht="15" customHeight="1">
      <c r="E2880" s="49" t="str">
        <f>IFERROR(VLOOKUP(D2880,'taxonomy map'!$A$1:$C$107,2,FALSE),"")</f>
        <v/>
      </c>
      <c r="F2880" s="49" t="str">
        <f>IFERROR(VLOOKUP(E2880,'Condensed Specialty Crosswalk'!$A$2:$C$106,2,FALSE),"")</f>
        <v/>
      </c>
      <c r="G2880" s="49" t="str">
        <f>IFERROR(VLOOKUP(E2880,'Condensed Specialty Crosswalk'!$A$2:$C$106,3,FALSE),"")</f>
        <v/>
      </c>
    </row>
    <row r="2881" spans="5:7" ht="15" customHeight="1">
      <c r="E2881" s="49" t="str">
        <f>IFERROR(VLOOKUP(D2881,'taxonomy map'!$A$1:$C$107,2,FALSE),"")</f>
        <v/>
      </c>
      <c r="F2881" s="49" t="str">
        <f>IFERROR(VLOOKUP(E2881,'Condensed Specialty Crosswalk'!$A$2:$C$106,2,FALSE),"")</f>
        <v/>
      </c>
      <c r="G2881" s="49" t="str">
        <f>IFERROR(VLOOKUP(E2881,'Condensed Specialty Crosswalk'!$A$2:$C$106,3,FALSE),"")</f>
        <v/>
      </c>
    </row>
    <row r="2882" spans="5:7" ht="15" customHeight="1">
      <c r="E2882" s="49" t="str">
        <f>IFERROR(VLOOKUP(D2882,'taxonomy map'!$A$1:$C$107,2,FALSE),"")</f>
        <v/>
      </c>
      <c r="F2882" s="49" t="str">
        <f>IFERROR(VLOOKUP(E2882,'Condensed Specialty Crosswalk'!$A$2:$C$106,2,FALSE),"")</f>
        <v/>
      </c>
      <c r="G2882" s="49" t="str">
        <f>IFERROR(VLOOKUP(E2882,'Condensed Specialty Crosswalk'!$A$2:$C$106,3,FALSE),"")</f>
        <v/>
      </c>
    </row>
    <row r="2883" spans="5:7" ht="15" customHeight="1">
      <c r="E2883" s="49" t="str">
        <f>IFERROR(VLOOKUP(D2883,'taxonomy map'!$A$1:$C$107,2,FALSE),"")</f>
        <v/>
      </c>
      <c r="F2883" s="49" t="str">
        <f>IFERROR(VLOOKUP(E2883,'Condensed Specialty Crosswalk'!$A$2:$C$106,2,FALSE),"")</f>
        <v/>
      </c>
      <c r="G2883" s="49" t="str">
        <f>IFERROR(VLOOKUP(E2883,'Condensed Specialty Crosswalk'!$A$2:$C$106,3,FALSE),"")</f>
        <v/>
      </c>
    </row>
    <row r="2884" spans="5:7" ht="15" customHeight="1">
      <c r="E2884" s="49" t="str">
        <f>IFERROR(VLOOKUP(D2884,'taxonomy map'!$A$1:$C$107,2,FALSE),"")</f>
        <v/>
      </c>
      <c r="F2884" s="49" t="str">
        <f>IFERROR(VLOOKUP(E2884,'Condensed Specialty Crosswalk'!$A$2:$C$106,2,FALSE),"")</f>
        <v/>
      </c>
      <c r="G2884" s="49" t="str">
        <f>IFERROR(VLOOKUP(E2884,'Condensed Specialty Crosswalk'!$A$2:$C$106,3,FALSE),"")</f>
        <v/>
      </c>
    </row>
    <row r="2885" spans="5:7" ht="15" customHeight="1">
      <c r="E2885" s="49" t="str">
        <f>IFERROR(VLOOKUP(D2885,'taxonomy map'!$A$1:$C$107,2,FALSE),"")</f>
        <v/>
      </c>
      <c r="F2885" s="49" t="str">
        <f>IFERROR(VLOOKUP(E2885,'Condensed Specialty Crosswalk'!$A$2:$C$106,2,FALSE),"")</f>
        <v/>
      </c>
      <c r="G2885" s="49" t="str">
        <f>IFERROR(VLOOKUP(E2885,'Condensed Specialty Crosswalk'!$A$2:$C$106,3,FALSE),"")</f>
        <v/>
      </c>
    </row>
    <row r="2886" spans="5:7" ht="15" customHeight="1">
      <c r="E2886" s="49" t="str">
        <f>IFERROR(VLOOKUP(D2886,'taxonomy map'!$A$1:$C$107,2,FALSE),"")</f>
        <v/>
      </c>
      <c r="F2886" s="49" t="str">
        <f>IFERROR(VLOOKUP(E2886,'Condensed Specialty Crosswalk'!$A$2:$C$106,2,FALSE),"")</f>
        <v/>
      </c>
      <c r="G2886" s="49" t="str">
        <f>IFERROR(VLOOKUP(E2886,'Condensed Specialty Crosswalk'!$A$2:$C$106,3,FALSE),"")</f>
        <v/>
      </c>
    </row>
    <row r="2887" spans="5:7" ht="15" customHeight="1">
      <c r="E2887" s="49" t="str">
        <f>IFERROR(VLOOKUP(D2887,'taxonomy map'!$A$1:$C$107,2,FALSE),"")</f>
        <v/>
      </c>
      <c r="F2887" s="49" t="str">
        <f>IFERROR(VLOOKUP(E2887,'Condensed Specialty Crosswalk'!$A$2:$C$106,2,FALSE),"")</f>
        <v/>
      </c>
      <c r="G2887" s="49" t="str">
        <f>IFERROR(VLOOKUP(E2887,'Condensed Specialty Crosswalk'!$A$2:$C$106,3,FALSE),"")</f>
        <v/>
      </c>
    </row>
    <row r="2888" spans="5:7" ht="15" customHeight="1">
      <c r="E2888" s="49" t="str">
        <f>IFERROR(VLOOKUP(D2888,'taxonomy map'!$A$1:$C$107,2,FALSE),"")</f>
        <v/>
      </c>
      <c r="F2888" s="49" t="str">
        <f>IFERROR(VLOOKUP(E2888,'Condensed Specialty Crosswalk'!$A$2:$C$106,2,FALSE),"")</f>
        <v/>
      </c>
      <c r="G2888" s="49" t="str">
        <f>IFERROR(VLOOKUP(E2888,'Condensed Specialty Crosswalk'!$A$2:$C$106,3,FALSE),"")</f>
        <v/>
      </c>
    </row>
    <row r="2889" spans="5:7" ht="15" customHeight="1">
      <c r="E2889" s="49" t="str">
        <f>IFERROR(VLOOKUP(D2889,'taxonomy map'!$A$1:$C$107,2,FALSE),"")</f>
        <v/>
      </c>
      <c r="F2889" s="49" t="str">
        <f>IFERROR(VLOOKUP(E2889,'Condensed Specialty Crosswalk'!$A$2:$C$106,2,FALSE),"")</f>
        <v/>
      </c>
      <c r="G2889" s="49" t="str">
        <f>IFERROR(VLOOKUP(E2889,'Condensed Specialty Crosswalk'!$A$2:$C$106,3,FALSE),"")</f>
        <v/>
      </c>
    </row>
    <row r="2890" spans="5:7" ht="15" customHeight="1">
      <c r="E2890" s="49" t="str">
        <f>IFERROR(VLOOKUP(D2890,'taxonomy map'!$A$1:$C$107,2,FALSE),"")</f>
        <v/>
      </c>
      <c r="F2890" s="49" t="str">
        <f>IFERROR(VLOOKUP(E2890,'Condensed Specialty Crosswalk'!$A$2:$C$106,2,FALSE),"")</f>
        <v/>
      </c>
      <c r="G2890" s="49" t="str">
        <f>IFERROR(VLOOKUP(E2890,'Condensed Specialty Crosswalk'!$A$2:$C$106,3,FALSE),"")</f>
        <v/>
      </c>
    </row>
    <row r="2891" spans="5:7" ht="15" customHeight="1">
      <c r="E2891" s="49" t="str">
        <f>IFERROR(VLOOKUP(D2891,'taxonomy map'!$A$1:$C$107,2,FALSE),"")</f>
        <v/>
      </c>
      <c r="F2891" s="49" t="str">
        <f>IFERROR(VLOOKUP(E2891,'Condensed Specialty Crosswalk'!$A$2:$C$106,2,FALSE),"")</f>
        <v/>
      </c>
      <c r="G2891" s="49" t="str">
        <f>IFERROR(VLOOKUP(E2891,'Condensed Specialty Crosswalk'!$A$2:$C$106,3,FALSE),"")</f>
        <v/>
      </c>
    </row>
    <row r="2892" spans="5:7" ht="15" customHeight="1">
      <c r="E2892" s="49" t="str">
        <f>IFERROR(VLOOKUP(D2892,'taxonomy map'!$A$1:$C$107,2,FALSE),"")</f>
        <v/>
      </c>
      <c r="F2892" s="49" t="str">
        <f>IFERROR(VLOOKUP(E2892,'Condensed Specialty Crosswalk'!$A$2:$C$106,2,FALSE),"")</f>
        <v/>
      </c>
      <c r="G2892" s="49" t="str">
        <f>IFERROR(VLOOKUP(E2892,'Condensed Specialty Crosswalk'!$A$2:$C$106,3,FALSE),"")</f>
        <v/>
      </c>
    </row>
    <row r="2893" spans="5:7" ht="15" customHeight="1">
      <c r="E2893" s="49" t="str">
        <f>IFERROR(VLOOKUP(D2893,'taxonomy map'!$A$1:$C$107,2,FALSE),"")</f>
        <v/>
      </c>
      <c r="F2893" s="49" t="str">
        <f>IFERROR(VLOOKUP(E2893,'Condensed Specialty Crosswalk'!$A$2:$C$106,2,FALSE),"")</f>
        <v/>
      </c>
      <c r="G2893" s="49" t="str">
        <f>IFERROR(VLOOKUP(E2893,'Condensed Specialty Crosswalk'!$A$2:$C$106,3,FALSE),"")</f>
        <v/>
      </c>
    </row>
    <row r="2894" spans="5:7" ht="15" customHeight="1">
      <c r="E2894" s="49" t="str">
        <f>IFERROR(VLOOKUP(D2894,'taxonomy map'!$A$1:$C$107,2,FALSE),"")</f>
        <v/>
      </c>
      <c r="F2894" s="49" t="str">
        <f>IFERROR(VLOOKUP(E2894,'Condensed Specialty Crosswalk'!$A$2:$C$106,2,FALSE),"")</f>
        <v/>
      </c>
      <c r="G2894" s="49" t="str">
        <f>IFERROR(VLOOKUP(E2894,'Condensed Specialty Crosswalk'!$A$2:$C$106,3,FALSE),"")</f>
        <v/>
      </c>
    </row>
    <row r="2895" spans="5:7" ht="15" customHeight="1">
      <c r="E2895" s="49" t="str">
        <f>IFERROR(VLOOKUP(D2895,'taxonomy map'!$A$1:$C$107,2,FALSE),"")</f>
        <v/>
      </c>
      <c r="F2895" s="49" t="str">
        <f>IFERROR(VLOOKUP(E2895,'Condensed Specialty Crosswalk'!$A$2:$C$106,2,FALSE),"")</f>
        <v/>
      </c>
      <c r="G2895" s="49" t="str">
        <f>IFERROR(VLOOKUP(E2895,'Condensed Specialty Crosswalk'!$A$2:$C$106,3,FALSE),"")</f>
        <v/>
      </c>
    </row>
    <row r="2896" spans="5:7" ht="15" customHeight="1">
      <c r="E2896" s="49" t="str">
        <f>IFERROR(VLOOKUP(D2896,'taxonomy map'!$A$1:$C$107,2,FALSE),"")</f>
        <v/>
      </c>
      <c r="F2896" s="49" t="str">
        <f>IFERROR(VLOOKUP(E2896,'Condensed Specialty Crosswalk'!$A$2:$C$106,2,FALSE),"")</f>
        <v/>
      </c>
      <c r="G2896" s="49" t="str">
        <f>IFERROR(VLOOKUP(E2896,'Condensed Specialty Crosswalk'!$A$2:$C$106,3,FALSE),"")</f>
        <v/>
      </c>
    </row>
    <row r="2897" spans="5:7" ht="15" customHeight="1">
      <c r="E2897" s="49" t="str">
        <f>IFERROR(VLOOKUP(D2897,'taxonomy map'!$A$1:$C$107,2,FALSE),"")</f>
        <v/>
      </c>
      <c r="F2897" s="49" t="str">
        <f>IFERROR(VLOOKUP(E2897,'Condensed Specialty Crosswalk'!$A$2:$C$106,2,FALSE),"")</f>
        <v/>
      </c>
      <c r="G2897" s="49" t="str">
        <f>IFERROR(VLOOKUP(E2897,'Condensed Specialty Crosswalk'!$A$2:$C$106,3,FALSE),"")</f>
        <v/>
      </c>
    </row>
    <row r="2898" spans="5:7" ht="15" customHeight="1">
      <c r="E2898" s="49" t="str">
        <f>IFERROR(VLOOKUP(D2898,'taxonomy map'!$A$1:$C$107,2,FALSE),"")</f>
        <v/>
      </c>
      <c r="F2898" s="49" t="str">
        <f>IFERROR(VLOOKUP(E2898,'Condensed Specialty Crosswalk'!$A$2:$C$106,2,FALSE),"")</f>
        <v/>
      </c>
      <c r="G2898" s="49" t="str">
        <f>IFERROR(VLOOKUP(E2898,'Condensed Specialty Crosswalk'!$A$2:$C$106,3,FALSE),"")</f>
        <v/>
      </c>
    </row>
    <row r="2899" spans="5:7" ht="15" customHeight="1">
      <c r="E2899" s="49" t="str">
        <f>IFERROR(VLOOKUP(D2899,'taxonomy map'!$A$1:$C$107,2,FALSE),"")</f>
        <v/>
      </c>
      <c r="F2899" s="49" t="str">
        <f>IFERROR(VLOOKUP(E2899,'Condensed Specialty Crosswalk'!$A$2:$C$106,2,FALSE),"")</f>
        <v/>
      </c>
      <c r="G2899" s="49" t="str">
        <f>IFERROR(VLOOKUP(E2899,'Condensed Specialty Crosswalk'!$A$2:$C$106,3,FALSE),"")</f>
        <v/>
      </c>
    </row>
    <row r="2900" spans="5:7" ht="15" customHeight="1">
      <c r="E2900" s="49" t="str">
        <f>IFERROR(VLOOKUP(D2900,'taxonomy map'!$A$1:$C$107,2,FALSE),"")</f>
        <v/>
      </c>
      <c r="F2900" s="49" t="str">
        <f>IFERROR(VLOOKUP(E2900,'Condensed Specialty Crosswalk'!$A$2:$C$106,2,FALSE),"")</f>
        <v/>
      </c>
      <c r="G2900" s="49" t="str">
        <f>IFERROR(VLOOKUP(E2900,'Condensed Specialty Crosswalk'!$A$2:$C$106,3,FALSE),"")</f>
        <v/>
      </c>
    </row>
    <row r="2901" spans="5:7" ht="15" customHeight="1">
      <c r="E2901" s="49" t="str">
        <f>IFERROR(VLOOKUP(D2901,'taxonomy map'!$A$1:$C$107,2,FALSE),"")</f>
        <v/>
      </c>
      <c r="F2901" s="49" t="str">
        <f>IFERROR(VLOOKUP(E2901,'Condensed Specialty Crosswalk'!$A$2:$C$106,2,FALSE),"")</f>
        <v/>
      </c>
      <c r="G2901" s="49" t="str">
        <f>IFERROR(VLOOKUP(E2901,'Condensed Specialty Crosswalk'!$A$2:$C$106,3,FALSE),"")</f>
        <v/>
      </c>
    </row>
    <row r="2902" spans="5:7" ht="15" customHeight="1">
      <c r="E2902" s="49" t="str">
        <f>IFERROR(VLOOKUP(D2902,'taxonomy map'!$A$1:$C$107,2,FALSE),"")</f>
        <v/>
      </c>
      <c r="F2902" s="49" t="str">
        <f>IFERROR(VLOOKUP(E2902,'Condensed Specialty Crosswalk'!$A$2:$C$106,2,FALSE),"")</f>
        <v/>
      </c>
      <c r="G2902" s="49" t="str">
        <f>IFERROR(VLOOKUP(E2902,'Condensed Specialty Crosswalk'!$A$2:$C$106,3,FALSE),"")</f>
        <v/>
      </c>
    </row>
    <row r="2903" spans="5:7" ht="15" customHeight="1">
      <c r="E2903" s="49" t="str">
        <f>IFERROR(VLOOKUP(D2903,'taxonomy map'!$A$1:$C$107,2,FALSE),"")</f>
        <v/>
      </c>
      <c r="F2903" s="49" t="str">
        <f>IFERROR(VLOOKUP(E2903,'Condensed Specialty Crosswalk'!$A$2:$C$106,2,FALSE),"")</f>
        <v/>
      </c>
      <c r="G2903" s="49" t="str">
        <f>IFERROR(VLOOKUP(E2903,'Condensed Specialty Crosswalk'!$A$2:$C$106,3,FALSE),"")</f>
        <v/>
      </c>
    </row>
    <row r="2904" spans="5:7" ht="15" customHeight="1">
      <c r="E2904" s="49" t="str">
        <f>IFERROR(VLOOKUP(D2904,'taxonomy map'!$A$1:$C$107,2,FALSE),"")</f>
        <v/>
      </c>
      <c r="F2904" s="49" t="str">
        <f>IFERROR(VLOOKUP(E2904,'Condensed Specialty Crosswalk'!$A$2:$C$106,2,FALSE),"")</f>
        <v/>
      </c>
      <c r="G2904" s="49" t="str">
        <f>IFERROR(VLOOKUP(E2904,'Condensed Specialty Crosswalk'!$A$2:$C$106,3,FALSE),"")</f>
        <v/>
      </c>
    </row>
    <row r="2905" spans="5:7" ht="15" customHeight="1">
      <c r="E2905" s="49" t="str">
        <f>IFERROR(VLOOKUP(D2905,'taxonomy map'!$A$1:$C$107,2,FALSE),"")</f>
        <v/>
      </c>
      <c r="F2905" s="49" t="str">
        <f>IFERROR(VLOOKUP(E2905,'Condensed Specialty Crosswalk'!$A$2:$C$106,2,FALSE),"")</f>
        <v/>
      </c>
      <c r="G2905" s="49" t="str">
        <f>IFERROR(VLOOKUP(E2905,'Condensed Specialty Crosswalk'!$A$2:$C$106,3,FALSE),"")</f>
        <v/>
      </c>
    </row>
    <row r="2906" spans="5:7" ht="15" customHeight="1">
      <c r="E2906" s="49" t="str">
        <f>IFERROR(VLOOKUP(D2906,'taxonomy map'!$A$1:$C$107,2,FALSE),"")</f>
        <v/>
      </c>
      <c r="F2906" s="49" t="str">
        <f>IFERROR(VLOOKUP(E2906,'Condensed Specialty Crosswalk'!$A$2:$C$106,2,FALSE),"")</f>
        <v/>
      </c>
      <c r="G2906" s="49" t="str">
        <f>IFERROR(VLOOKUP(E2906,'Condensed Specialty Crosswalk'!$A$2:$C$106,3,FALSE),"")</f>
        <v/>
      </c>
    </row>
    <row r="2907" spans="5:7" ht="15" customHeight="1">
      <c r="E2907" s="49" t="str">
        <f>IFERROR(VLOOKUP(D2907,'taxonomy map'!$A$1:$C$107,2,FALSE),"")</f>
        <v/>
      </c>
      <c r="F2907" s="49" t="str">
        <f>IFERROR(VLOOKUP(E2907,'Condensed Specialty Crosswalk'!$A$2:$C$106,2,FALSE),"")</f>
        <v/>
      </c>
      <c r="G2907" s="49" t="str">
        <f>IFERROR(VLOOKUP(E2907,'Condensed Specialty Crosswalk'!$A$2:$C$106,3,FALSE),"")</f>
        <v/>
      </c>
    </row>
    <row r="2908" spans="5:7" ht="15" customHeight="1">
      <c r="E2908" s="49" t="str">
        <f>IFERROR(VLOOKUP(D2908,'taxonomy map'!$A$1:$C$107,2,FALSE),"")</f>
        <v/>
      </c>
      <c r="F2908" s="49" t="str">
        <f>IFERROR(VLOOKUP(E2908,'Condensed Specialty Crosswalk'!$A$2:$C$106,2,FALSE),"")</f>
        <v/>
      </c>
      <c r="G2908" s="49" t="str">
        <f>IFERROR(VLOOKUP(E2908,'Condensed Specialty Crosswalk'!$A$2:$C$106,3,FALSE),"")</f>
        <v/>
      </c>
    </row>
    <row r="2909" spans="5:7" ht="15" customHeight="1">
      <c r="E2909" s="49" t="str">
        <f>IFERROR(VLOOKUP(D2909,'taxonomy map'!$A$1:$C$107,2,FALSE),"")</f>
        <v/>
      </c>
      <c r="F2909" s="49" t="str">
        <f>IFERROR(VLOOKUP(E2909,'Condensed Specialty Crosswalk'!$A$2:$C$106,2,FALSE),"")</f>
        <v/>
      </c>
      <c r="G2909" s="49" t="str">
        <f>IFERROR(VLOOKUP(E2909,'Condensed Specialty Crosswalk'!$A$2:$C$106,3,FALSE),"")</f>
        <v/>
      </c>
    </row>
    <row r="2910" spans="5:7" ht="15" customHeight="1">
      <c r="E2910" s="49" t="str">
        <f>IFERROR(VLOOKUP(D2910,'taxonomy map'!$A$1:$C$107,2,FALSE),"")</f>
        <v/>
      </c>
      <c r="F2910" s="49" t="str">
        <f>IFERROR(VLOOKUP(E2910,'Condensed Specialty Crosswalk'!$A$2:$C$106,2,FALSE),"")</f>
        <v/>
      </c>
      <c r="G2910" s="49" t="str">
        <f>IFERROR(VLOOKUP(E2910,'Condensed Specialty Crosswalk'!$A$2:$C$106,3,FALSE),"")</f>
        <v/>
      </c>
    </row>
    <row r="2911" spans="5:7" ht="15" customHeight="1">
      <c r="E2911" s="49" t="str">
        <f>IFERROR(VLOOKUP(D2911,'taxonomy map'!$A$1:$C$107,2,FALSE),"")</f>
        <v/>
      </c>
      <c r="F2911" s="49" t="str">
        <f>IFERROR(VLOOKUP(E2911,'Condensed Specialty Crosswalk'!$A$2:$C$106,2,FALSE),"")</f>
        <v/>
      </c>
      <c r="G2911" s="49" t="str">
        <f>IFERROR(VLOOKUP(E2911,'Condensed Specialty Crosswalk'!$A$2:$C$106,3,FALSE),"")</f>
        <v/>
      </c>
    </row>
    <row r="2912" spans="5:7" ht="15" customHeight="1">
      <c r="E2912" s="49" t="str">
        <f>IFERROR(VLOOKUP(D2912,'taxonomy map'!$A$1:$C$107,2,FALSE),"")</f>
        <v/>
      </c>
      <c r="F2912" s="49" t="str">
        <f>IFERROR(VLOOKUP(E2912,'Condensed Specialty Crosswalk'!$A$2:$C$106,2,FALSE),"")</f>
        <v/>
      </c>
      <c r="G2912" s="49" t="str">
        <f>IFERROR(VLOOKUP(E2912,'Condensed Specialty Crosswalk'!$A$2:$C$106,3,FALSE),"")</f>
        <v/>
      </c>
    </row>
    <row r="2913" spans="5:7" ht="15" customHeight="1">
      <c r="E2913" s="49" t="str">
        <f>IFERROR(VLOOKUP(D2913,'taxonomy map'!$A$1:$C$107,2,FALSE),"")</f>
        <v/>
      </c>
      <c r="F2913" s="49" t="str">
        <f>IFERROR(VLOOKUP(E2913,'Condensed Specialty Crosswalk'!$A$2:$C$106,2,FALSE),"")</f>
        <v/>
      </c>
      <c r="G2913" s="49" t="str">
        <f>IFERROR(VLOOKUP(E2913,'Condensed Specialty Crosswalk'!$A$2:$C$106,3,FALSE),"")</f>
        <v/>
      </c>
    </row>
    <row r="2914" spans="5:7" ht="15" customHeight="1">
      <c r="E2914" s="49" t="str">
        <f>IFERROR(VLOOKUP(D2914,'taxonomy map'!$A$1:$C$107,2,FALSE),"")</f>
        <v/>
      </c>
      <c r="F2914" s="49" t="str">
        <f>IFERROR(VLOOKUP(E2914,'Condensed Specialty Crosswalk'!$A$2:$C$106,2,FALSE),"")</f>
        <v/>
      </c>
      <c r="G2914" s="49" t="str">
        <f>IFERROR(VLOOKUP(E2914,'Condensed Specialty Crosswalk'!$A$2:$C$106,3,FALSE),"")</f>
        <v/>
      </c>
    </row>
    <row r="2915" spans="5:7" ht="15" customHeight="1">
      <c r="E2915" s="49" t="str">
        <f>IFERROR(VLOOKUP(D2915,'taxonomy map'!$A$1:$C$107,2,FALSE),"")</f>
        <v/>
      </c>
      <c r="F2915" s="49" t="str">
        <f>IFERROR(VLOOKUP(E2915,'Condensed Specialty Crosswalk'!$A$2:$C$106,2,FALSE),"")</f>
        <v/>
      </c>
      <c r="G2915" s="49" t="str">
        <f>IFERROR(VLOOKUP(E2915,'Condensed Specialty Crosswalk'!$A$2:$C$106,3,FALSE),"")</f>
        <v/>
      </c>
    </row>
    <row r="2916" spans="5:7" ht="15" customHeight="1">
      <c r="E2916" s="49" t="str">
        <f>IFERROR(VLOOKUP(D2916,'taxonomy map'!$A$1:$C$107,2,FALSE),"")</f>
        <v/>
      </c>
      <c r="F2916" s="49" t="str">
        <f>IFERROR(VLOOKUP(E2916,'Condensed Specialty Crosswalk'!$A$2:$C$106,2,FALSE),"")</f>
        <v/>
      </c>
      <c r="G2916" s="49" t="str">
        <f>IFERROR(VLOOKUP(E2916,'Condensed Specialty Crosswalk'!$A$2:$C$106,3,FALSE),"")</f>
        <v/>
      </c>
    </row>
    <row r="2917" spans="5:7" ht="15" customHeight="1">
      <c r="E2917" s="49" t="str">
        <f>IFERROR(VLOOKUP(D2917,'taxonomy map'!$A$1:$C$107,2,FALSE),"")</f>
        <v/>
      </c>
      <c r="F2917" s="49" t="str">
        <f>IFERROR(VLOOKUP(E2917,'Condensed Specialty Crosswalk'!$A$2:$C$106,2,FALSE),"")</f>
        <v/>
      </c>
      <c r="G2917" s="49" t="str">
        <f>IFERROR(VLOOKUP(E2917,'Condensed Specialty Crosswalk'!$A$2:$C$106,3,FALSE),"")</f>
        <v/>
      </c>
    </row>
    <row r="2918" spans="5:7" ht="15" customHeight="1">
      <c r="E2918" s="49" t="str">
        <f>IFERROR(VLOOKUP(D2918,'taxonomy map'!$A$1:$C$107,2,FALSE),"")</f>
        <v/>
      </c>
      <c r="F2918" s="49" t="str">
        <f>IFERROR(VLOOKUP(E2918,'Condensed Specialty Crosswalk'!$A$2:$C$106,2,FALSE),"")</f>
        <v/>
      </c>
      <c r="G2918" s="49" t="str">
        <f>IFERROR(VLOOKUP(E2918,'Condensed Specialty Crosswalk'!$A$2:$C$106,3,FALSE),"")</f>
        <v/>
      </c>
    </row>
    <row r="2919" spans="5:7" ht="15" customHeight="1">
      <c r="E2919" s="49" t="str">
        <f>IFERROR(VLOOKUP(D2919,'taxonomy map'!$A$1:$C$107,2,FALSE),"")</f>
        <v/>
      </c>
      <c r="F2919" s="49" t="str">
        <f>IFERROR(VLOOKUP(E2919,'Condensed Specialty Crosswalk'!$A$2:$C$106,2,FALSE),"")</f>
        <v/>
      </c>
      <c r="G2919" s="49" t="str">
        <f>IFERROR(VLOOKUP(E2919,'Condensed Specialty Crosswalk'!$A$2:$C$106,3,FALSE),"")</f>
        <v/>
      </c>
    </row>
    <row r="2920" spans="5:7" ht="15" customHeight="1">
      <c r="E2920" s="49" t="str">
        <f>IFERROR(VLOOKUP(D2920,'taxonomy map'!$A$1:$C$107,2,FALSE),"")</f>
        <v/>
      </c>
      <c r="F2920" s="49" t="str">
        <f>IFERROR(VLOOKUP(E2920,'Condensed Specialty Crosswalk'!$A$2:$C$106,2,FALSE),"")</f>
        <v/>
      </c>
      <c r="G2920" s="49" t="str">
        <f>IFERROR(VLOOKUP(E2920,'Condensed Specialty Crosswalk'!$A$2:$C$106,3,FALSE),"")</f>
        <v/>
      </c>
    </row>
    <row r="2921" spans="5:7" ht="15" customHeight="1">
      <c r="E2921" s="49" t="str">
        <f>IFERROR(VLOOKUP(D2921,'taxonomy map'!$A$1:$C$107,2,FALSE),"")</f>
        <v/>
      </c>
      <c r="F2921" s="49" t="str">
        <f>IFERROR(VLOOKUP(E2921,'Condensed Specialty Crosswalk'!$A$2:$C$106,2,FALSE),"")</f>
        <v/>
      </c>
      <c r="G2921" s="49" t="str">
        <f>IFERROR(VLOOKUP(E2921,'Condensed Specialty Crosswalk'!$A$2:$C$106,3,FALSE),"")</f>
        <v/>
      </c>
    </row>
    <row r="2922" spans="5:7" ht="15" customHeight="1">
      <c r="E2922" s="49" t="str">
        <f>IFERROR(VLOOKUP(D2922,'taxonomy map'!$A$1:$C$107,2,FALSE),"")</f>
        <v/>
      </c>
      <c r="F2922" s="49" t="str">
        <f>IFERROR(VLOOKUP(E2922,'Condensed Specialty Crosswalk'!$A$2:$C$106,2,FALSE),"")</f>
        <v/>
      </c>
      <c r="G2922" s="49" t="str">
        <f>IFERROR(VLOOKUP(E2922,'Condensed Specialty Crosswalk'!$A$2:$C$106,3,FALSE),"")</f>
        <v/>
      </c>
    </row>
    <row r="2923" spans="5:7" ht="15" customHeight="1">
      <c r="E2923" s="49" t="str">
        <f>IFERROR(VLOOKUP(D2923,'taxonomy map'!$A$1:$C$107,2,FALSE),"")</f>
        <v/>
      </c>
      <c r="F2923" s="49" t="str">
        <f>IFERROR(VLOOKUP(E2923,'Condensed Specialty Crosswalk'!$A$2:$C$106,2,FALSE),"")</f>
        <v/>
      </c>
      <c r="G2923" s="49" t="str">
        <f>IFERROR(VLOOKUP(E2923,'Condensed Specialty Crosswalk'!$A$2:$C$106,3,FALSE),"")</f>
        <v/>
      </c>
    </row>
    <row r="2924" spans="5:7" ht="15" customHeight="1">
      <c r="E2924" s="49" t="str">
        <f>IFERROR(VLOOKUP(D2924,'taxonomy map'!$A$1:$C$107,2,FALSE),"")</f>
        <v/>
      </c>
      <c r="F2924" s="49" t="str">
        <f>IFERROR(VLOOKUP(E2924,'Condensed Specialty Crosswalk'!$A$2:$C$106,2,FALSE),"")</f>
        <v/>
      </c>
      <c r="G2924" s="49" t="str">
        <f>IFERROR(VLOOKUP(E2924,'Condensed Specialty Crosswalk'!$A$2:$C$106,3,FALSE),"")</f>
        <v/>
      </c>
    </row>
    <row r="2925" spans="5:7" ht="15" customHeight="1">
      <c r="E2925" s="49" t="str">
        <f>IFERROR(VLOOKUP(D2925,'taxonomy map'!$A$1:$C$107,2,FALSE),"")</f>
        <v/>
      </c>
      <c r="F2925" s="49" t="str">
        <f>IFERROR(VLOOKUP(E2925,'Condensed Specialty Crosswalk'!$A$2:$C$106,2,FALSE),"")</f>
        <v/>
      </c>
      <c r="G2925" s="49" t="str">
        <f>IFERROR(VLOOKUP(E2925,'Condensed Specialty Crosswalk'!$A$2:$C$106,3,FALSE),"")</f>
        <v/>
      </c>
    </row>
    <row r="2926" spans="5:7" ht="15" customHeight="1">
      <c r="E2926" s="49" t="str">
        <f>IFERROR(VLOOKUP(D2926,'taxonomy map'!$A$1:$C$107,2,FALSE),"")</f>
        <v/>
      </c>
      <c r="F2926" s="49" t="str">
        <f>IFERROR(VLOOKUP(E2926,'Condensed Specialty Crosswalk'!$A$2:$C$106,2,FALSE),"")</f>
        <v/>
      </c>
      <c r="G2926" s="49" t="str">
        <f>IFERROR(VLOOKUP(E2926,'Condensed Specialty Crosswalk'!$A$2:$C$106,3,FALSE),"")</f>
        <v/>
      </c>
    </row>
    <row r="2927" spans="5:7" ht="15" customHeight="1">
      <c r="E2927" s="49" t="str">
        <f>IFERROR(VLOOKUP(D2927,'taxonomy map'!$A$1:$C$107,2,FALSE),"")</f>
        <v/>
      </c>
      <c r="F2927" s="49" t="str">
        <f>IFERROR(VLOOKUP(E2927,'Condensed Specialty Crosswalk'!$A$2:$C$106,2,FALSE),"")</f>
        <v/>
      </c>
      <c r="G2927" s="49" t="str">
        <f>IFERROR(VLOOKUP(E2927,'Condensed Specialty Crosswalk'!$A$2:$C$106,3,FALSE),"")</f>
        <v/>
      </c>
    </row>
    <row r="2928" spans="5:7" ht="15" customHeight="1">
      <c r="E2928" s="49" t="str">
        <f>IFERROR(VLOOKUP(D2928,'taxonomy map'!$A$1:$C$107,2,FALSE),"")</f>
        <v/>
      </c>
      <c r="F2928" s="49" t="str">
        <f>IFERROR(VLOOKUP(E2928,'Condensed Specialty Crosswalk'!$A$2:$C$106,2,FALSE),"")</f>
        <v/>
      </c>
      <c r="G2928" s="49" t="str">
        <f>IFERROR(VLOOKUP(E2928,'Condensed Specialty Crosswalk'!$A$2:$C$106,3,FALSE),"")</f>
        <v/>
      </c>
    </row>
    <row r="2929" spans="5:7" ht="15" customHeight="1">
      <c r="E2929" s="49" t="str">
        <f>IFERROR(VLOOKUP(D2929,'taxonomy map'!$A$1:$C$107,2,FALSE),"")</f>
        <v/>
      </c>
      <c r="F2929" s="49" t="str">
        <f>IFERROR(VLOOKUP(E2929,'Condensed Specialty Crosswalk'!$A$2:$C$106,2,FALSE),"")</f>
        <v/>
      </c>
      <c r="G2929" s="49" t="str">
        <f>IFERROR(VLOOKUP(E2929,'Condensed Specialty Crosswalk'!$A$2:$C$106,3,FALSE),"")</f>
        <v/>
      </c>
    </row>
    <row r="2930" spans="5:7" ht="15" customHeight="1">
      <c r="E2930" s="49" t="str">
        <f>IFERROR(VLOOKUP(D2930,'taxonomy map'!$A$1:$C$107,2,FALSE),"")</f>
        <v/>
      </c>
      <c r="F2930" s="49" t="str">
        <f>IFERROR(VLOOKUP(E2930,'Condensed Specialty Crosswalk'!$A$2:$C$106,2,FALSE),"")</f>
        <v/>
      </c>
      <c r="G2930" s="49" t="str">
        <f>IFERROR(VLOOKUP(E2930,'Condensed Specialty Crosswalk'!$A$2:$C$106,3,FALSE),"")</f>
        <v/>
      </c>
    </row>
    <row r="2931" spans="5:7" ht="15" customHeight="1">
      <c r="E2931" s="49" t="str">
        <f>IFERROR(VLOOKUP(D2931,'taxonomy map'!$A$1:$C$107,2,FALSE),"")</f>
        <v/>
      </c>
      <c r="F2931" s="49" t="str">
        <f>IFERROR(VLOOKUP(E2931,'Condensed Specialty Crosswalk'!$A$2:$C$106,2,FALSE),"")</f>
        <v/>
      </c>
      <c r="G2931" s="49" t="str">
        <f>IFERROR(VLOOKUP(E2931,'Condensed Specialty Crosswalk'!$A$2:$C$106,3,FALSE),"")</f>
        <v/>
      </c>
    </row>
    <row r="2932" spans="5:7" ht="15" customHeight="1">
      <c r="E2932" s="49" t="str">
        <f>IFERROR(VLOOKUP(D2932,'taxonomy map'!$A$1:$C$107,2,FALSE),"")</f>
        <v/>
      </c>
      <c r="F2932" s="49" t="str">
        <f>IFERROR(VLOOKUP(E2932,'Condensed Specialty Crosswalk'!$A$2:$C$106,2,FALSE),"")</f>
        <v/>
      </c>
      <c r="G2932" s="49" t="str">
        <f>IFERROR(VLOOKUP(E2932,'Condensed Specialty Crosswalk'!$A$2:$C$106,3,FALSE),"")</f>
        <v/>
      </c>
    </row>
    <row r="2933" spans="5:7" ht="15" customHeight="1">
      <c r="E2933" s="49" t="str">
        <f>IFERROR(VLOOKUP(D2933,'taxonomy map'!$A$1:$C$107,2,FALSE),"")</f>
        <v/>
      </c>
      <c r="F2933" s="49" t="str">
        <f>IFERROR(VLOOKUP(E2933,'Condensed Specialty Crosswalk'!$A$2:$C$106,2,FALSE),"")</f>
        <v/>
      </c>
      <c r="G2933" s="49" t="str">
        <f>IFERROR(VLOOKUP(E2933,'Condensed Specialty Crosswalk'!$A$2:$C$106,3,FALSE),"")</f>
        <v/>
      </c>
    </row>
    <row r="2934" spans="5:7" ht="15" customHeight="1">
      <c r="E2934" s="49" t="str">
        <f>IFERROR(VLOOKUP(D2934,'taxonomy map'!$A$1:$C$107,2,FALSE),"")</f>
        <v/>
      </c>
      <c r="F2934" s="49" t="str">
        <f>IFERROR(VLOOKUP(E2934,'Condensed Specialty Crosswalk'!$A$2:$C$106,2,FALSE),"")</f>
        <v/>
      </c>
      <c r="G2934" s="49" t="str">
        <f>IFERROR(VLOOKUP(E2934,'Condensed Specialty Crosswalk'!$A$2:$C$106,3,FALSE),"")</f>
        <v/>
      </c>
    </row>
    <row r="2935" spans="5:7" ht="15" customHeight="1">
      <c r="E2935" s="49" t="str">
        <f>IFERROR(VLOOKUP(D2935,'taxonomy map'!$A$1:$C$107,2,FALSE),"")</f>
        <v/>
      </c>
      <c r="F2935" s="49" t="str">
        <f>IFERROR(VLOOKUP(E2935,'Condensed Specialty Crosswalk'!$A$2:$C$106,2,FALSE),"")</f>
        <v/>
      </c>
      <c r="G2935" s="49" t="str">
        <f>IFERROR(VLOOKUP(E2935,'Condensed Specialty Crosswalk'!$A$2:$C$106,3,FALSE),"")</f>
        <v/>
      </c>
    </row>
    <row r="2936" spans="5:7" ht="15" customHeight="1">
      <c r="E2936" s="49" t="str">
        <f>IFERROR(VLOOKUP(D2936,'taxonomy map'!$A$1:$C$107,2,FALSE),"")</f>
        <v/>
      </c>
      <c r="F2936" s="49" t="str">
        <f>IFERROR(VLOOKUP(E2936,'Condensed Specialty Crosswalk'!$A$2:$C$106,2,FALSE),"")</f>
        <v/>
      </c>
      <c r="G2936" s="49" t="str">
        <f>IFERROR(VLOOKUP(E2936,'Condensed Specialty Crosswalk'!$A$2:$C$106,3,FALSE),"")</f>
        <v/>
      </c>
    </row>
    <row r="2937" spans="5:7" ht="15" customHeight="1">
      <c r="E2937" s="49" t="str">
        <f>IFERROR(VLOOKUP(D2937,'taxonomy map'!$A$1:$C$107,2,FALSE),"")</f>
        <v/>
      </c>
      <c r="F2937" s="49" t="str">
        <f>IFERROR(VLOOKUP(E2937,'Condensed Specialty Crosswalk'!$A$2:$C$106,2,FALSE),"")</f>
        <v/>
      </c>
      <c r="G2937" s="49" t="str">
        <f>IFERROR(VLOOKUP(E2937,'Condensed Specialty Crosswalk'!$A$2:$C$106,3,FALSE),"")</f>
        <v/>
      </c>
    </row>
    <row r="2938" spans="5:7" ht="15" customHeight="1">
      <c r="E2938" s="49" t="str">
        <f>IFERROR(VLOOKUP(D2938,'taxonomy map'!$A$1:$C$107,2,FALSE),"")</f>
        <v/>
      </c>
      <c r="F2938" s="49" t="str">
        <f>IFERROR(VLOOKUP(E2938,'Condensed Specialty Crosswalk'!$A$2:$C$106,2,FALSE),"")</f>
        <v/>
      </c>
      <c r="G2938" s="49" t="str">
        <f>IFERROR(VLOOKUP(E2938,'Condensed Specialty Crosswalk'!$A$2:$C$106,3,FALSE),"")</f>
        <v/>
      </c>
    </row>
    <row r="2939" spans="5:7" ht="15" customHeight="1">
      <c r="E2939" s="49" t="str">
        <f>IFERROR(VLOOKUP(D2939,'taxonomy map'!$A$1:$C$107,2,FALSE),"")</f>
        <v/>
      </c>
      <c r="F2939" s="49" t="str">
        <f>IFERROR(VLOOKUP(E2939,'Condensed Specialty Crosswalk'!$A$2:$C$106,2,FALSE),"")</f>
        <v/>
      </c>
      <c r="G2939" s="49" t="str">
        <f>IFERROR(VLOOKUP(E2939,'Condensed Specialty Crosswalk'!$A$2:$C$106,3,FALSE),"")</f>
        <v/>
      </c>
    </row>
    <row r="2940" spans="5:7" ht="15" customHeight="1">
      <c r="E2940" s="49" t="str">
        <f>IFERROR(VLOOKUP(D2940,'taxonomy map'!$A$1:$C$107,2,FALSE),"")</f>
        <v/>
      </c>
      <c r="F2940" s="49" t="str">
        <f>IFERROR(VLOOKUP(E2940,'Condensed Specialty Crosswalk'!$A$2:$C$106,2,FALSE),"")</f>
        <v/>
      </c>
      <c r="G2940" s="49" t="str">
        <f>IFERROR(VLOOKUP(E2940,'Condensed Specialty Crosswalk'!$A$2:$C$106,3,FALSE),"")</f>
        <v/>
      </c>
    </row>
    <row r="2941" spans="5:7" ht="15" customHeight="1">
      <c r="E2941" s="49" t="str">
        <f>IFERROR(VLOOKUP(D2941,'taxonomy map'!$A$1:$C$107,2,FALSE),"")</f>
        <v/>
      </c>
      <c r="F2941" s="49" t="str">
        <f>IFERROR(VLOOKUP(E2941,'Condensed Specialty Crosswalk'!$A$2:$C$106,2,FALSE),"")</f>
        <v/>
      </c>
      <c r="G2941" s="49" t="str">
        <f>IFERROR(VLOOKUP(E2941,'Condensed Specialty Crosswalk'!$A$2:$C$106,3,FALSE),"")</f>
        <v/>
      </c>
    </row>
    <row r="2942" spans="5:7" ht="15" customHeight="1">
      <c r="E2942" s="49" t="str">
        <f>IFERROR(VLOOKUP(D2942,'taxonomy map'!$A$1:$C$107,2,FALSE),"")</f>
        <v/>
      </c>
      <c r="F2942" s="49" t="str">
        <f>IFERROR(VLOOKUP(E2942,'Condensed Specialty Crosswalk'!$A$2:$C$106,2,FALSE),"")</f>
        <v/>
      </c>
      <c r="G2942" s="49" t="str">
        <f>IFERROR(VLOOKUP(E2942,'Condensed Specialty Crosswalk'!$A$2:$C$106,3,FALSE),"")</f>
        <v/>
      </c>
    </row>
    <row r="2943" spans="5:7" ht="15" customHeight="1">
      <c r="E2943" s="49" t="str">
        <f>IFERROR(VLOOKUP(D2943,'taxonomy map'!$A$1:$C$107,2,FALSE),"")</f>
        <v/>
      </c>
      <c r="F2943" s="49" t="str">
        <f>IFERROR(VLOOKUP(E2943,'Condensed Specialty Crosswalk'!$A$2:$C$106,2,FALSE),"")</f>
        <v/>
      </c>
      <c r="G2943" s="49" t="str">
        <f>IFERROR(VLOOKUP(E2943,'Condensed Specialty Crosswalk'!$A$2:$C$106,3,FALSE),"")</f>
        <v/>
      </c>
    </row>
    <row r="2944" spans="5:7" ht="15" customHeight="1">
      <c r="E2944" s="49" t="str">
        <f>IFERROR(VLOOKUP(D2944,'taxonomy map'!$A$1:$C$107,2,FALSE),"")</f>
        <v/>
      </c>
      <c r="F2944" s="49" t="str">
        <f>IFERROR(VLOOKUP(E2944,'Condensed Specialty Crosswalk'!$A$2:$C$106,2,FALSE),"")</f>
        <v/>
      </c>
      <c r="G2944" s="49" t="str">
        <f>IFERROR(VLOOKUP(E2944,'Condensed Specialty Crosswalk'!$A$2:$C$106,3,FALSE),"")</f>
        <v/>
      </c>
    </row>
    <row r="2945" spans="5:7" ht="15" customHeight="1">
      <c r="E2945" s="49" t="str">
        <f>IFERROR(VLOOKUP(D2945,'taxonomy map'!$A$1:$C$107,2,FALSE),"")</f>
        <v/>
      </c>
      <c r="F2945" s="49" t="str">
        <f>IFERROR(VLOOKUP(E2945,'Condensed Specialty Crosswalk'!$A$2:$C$106,2,FALSE),"")</f>
        <v/>
      </c>
      <c r="G2945" s="49" t="str">
        <f>IFERROR(VLOOKUP(E2945,'Condensed Specialty Crosswalk'!$A$2:$C$106,3,FALSE),"")</f>
        <v/>
      </c>
    </row>
    <row r="2946" spans="5:7" ht="15" customHeight="1">
      <c r="E2946" s="49" t="str">
        <f>IFERROR(VLOOKUP(D2946,'taxonomy map'!$A$1:$C$107,2,FALSE),"")</f>
        <v/>
      </c>
      <c r="F2946" s="49" t="str">
        <f>IFERROR(VLOOKUP(E2946,'Condensed Specialty Crosswalk'!$A$2:$C$106,2,FALSE),"")</f>
        <v/>
      </c>
      <c r="G2946" s="49" t="str">
        <f>IFERROR(VLOOKUP(E2946,'Condensed Specialty Crosswalk'!$A$2:$C$106,3,FALSE),"")</f>
        <v/>
      </c>
    </row>
    <row r="2947" spans="5:7" ht="15" customHeight="1">
      <c r="E2947" s="49" t="str">
        <f>IFERROR(VLOOKUP(D2947,'taxonomy map'!$A$1:$C$107,2,FALSE),"")</f>
        <v/>
      </c>
      <c r="F2947" s="49" t="str">
        <f>IFERROR(VLOOKUP(E2947,'Condensed Specialty Crosswalk'!$A$2:$C$106,2,FALSE),"")</f>
        <v/>
      </c>
      <c r="G2947" s="49" t="str">
        <f>IFERROR(VLOOKUP(E2947,'Condensed Specialty Crosswalk'!$A$2:$C$106,3,FALSE),"")</f>
        <v/>
      </c>
    </row>
    <row r="2948" spans="5:7" ht="15" customHeight="1">
      <c r="E2948" s="49" t="str">
        <f>IFERROR(VLOOKUP(D2948,'taxonomy map'!$A$1:$C$107,2,FALSE),"")</f>
        <v/>
      </c>
      <c r="F2948" s="49" t="str">
        <f>IFERROR(VLOOKUP(E2948,'Condensed Specialty Crosswalk'!$A$2:$C$106,2,FALSE),"")</f>
        <v/>
      </c>
      <c r="G2948" s="49" t="str">
        <f>IFERROR(VLOOKUP(E2948,'Condensed Specialty Crosswalk'!$A$2:$C$106,3,FALSE),"")</f>
        <v/>
      </c>
    </row>
    <row r="2949" spans="5:7" ht="15" customHeight="1">
      <c r="E2949" s="49" t="str">
        <f>IFERROR(VLOOKUP(D2949,'taxonomy map'!$A$1:$C$107,2,FALSE),"")</f>
        <v/>
      </c>
      <c r="F2949" s="49" t="str">
        <f>IFERROR(VLOOKUP(E2949,'Condensed Specialty Crosswalk'!$A$2:$C$106,2,FALSE),"")</f>
        <v/>
      </c>
      <c r="G2949" s="49" t="str">
        <f>IFERROR(VLOOKUP(E2949,'Condensed Specialty Crosswalk'!$A$2:$C$106,3,FALSE),"")</f>
        <v/>
      </c>
    </row>
    <row r="2950" spans="5:7" ht="15" customHeight="1">
      <c r="E2950" s="49" t="str">
        <f>IFERROR(VLOOKUP(D2950,'taxonomy map'!$A$1:$C$107,2,FALSE),"")</f>
        <v/>
      </c>
      <c r="F2950" s="49" t="str">
        <f>IFERROR(VLOOKUP(E2950,'Condensed Specialty Crosswalk'!$A$2:$C$106,2,FALSE),"")</f>
        <v/>
      </c>
      <c r="G2950" s="49" t="str">
        <f>IFERROR(VLOOKUP(E2950,'Condensed Specialty Crosswalk'!$A$2:$C$106,3,FALSE),"")</f>
        <v/>
      </c>
    </row>
    <row r="2951" spans="5:7" ht="15" customHeight="1">
      <c r="E2951" s="49" t="str">
        <f>IFERROR(VLOOKUP(D2951,'taxonomy map'!$A$1:$C$107,2,FALSE),"")</f>
        <v/>
      </c>
      <c r="F2951" s="49" t="str">
        <f>IFERROR(VLOOKUP(E2951,'Condensed Specialty Crosswalk'!$A$2:$C$106,2,FALSE),"")</f>
        <v/>
      </c>
      <c r="G2951" s="49" t="str">
        <f>IFERROR(VLOOKUP(E2951,'Condensed Specialty Crosswalk'!$A$2:$C$106,3,FALSE),"")</f>
        <v/>
      </c>
    </row>
    <row r="2952" spans="5:7" ht="15" customHeight="1">
      <c r="E2952" s="49" t="str">
        <f>IFERROR(VLOOKUP(D2952,'taxonomy map'!$A$1:$C$107,2,FALSE),"")</f>
        <v/>
      </c>
      <c r="F2952" s="49" t="str">
        <f>IFERROR(VLOOKUP(E2952,'Condensed Specialty Crosswalk'!$A$2:$C$106,2,FALSE),"")</f>
        <v/>
      </c>
      <c r="G2952" s="49" t="str">
        <f>IFERROR(VLOOKUP(E2952,'Condensed Specialty Crosswalk'!$A$2:$C$106,3,FALSE),"")</f>
        <v/>
      </c>
    </row>
    <row r="2953" spans="5:7" ht="15" customHeight="1">
      <c r="E2953" s="49" t="str">
        <f>IFERROR(VLOOKUP(D2953,'taxonomy map'!$A$1:$C$107,2,FALSE),"")</f>
        <v/>
      </c>
      <c r="F2953" s="49" t="str">
        <f>IFERROR(VLOOKUP(E2953,'Condensed Specialty Crosswalk'!$A$2:$C$106,2,FALSE),"")</f>
        <v/>
      </c>
      <c r="G2953" s="49" t="str">
        <f>IFERROR(VLOOKUP(E2953,'Condensed Specialty Crosswalk'!$A$2:$C$106,3,FALSE),"")</f>
        <v/>
      </c>
    </row>
    <row r="2954" spans="5:7" ht="15" customHeight="1">
      <c r="E2954" s="49" t="str">
        <f>IFERROR(VLOOKUP(D2954,'taxonomy map'!$A$1:$C$107,2,FALSE),"")</f>
        <v/>
      </c>
      <c r="F2954" s="49" t="str">
        <f>IFERROR(VLOOKUP(E2954,'Condensed Specialty Crosswalk'!$A$2:$C$106,2,FALSE),"")</f>
        <v/>
      </c>
      <c r="G2954" s="49" t="str">
        <f>IFERROR(VLOOKUP(E2954,'Condensed Specialty Crosswalk'!$A$2:$C$106,3,FALSE),"")</f>
        <v/>
      </c>
    </row>
    <row r="2955" spans="5:7" ht="15" customHeight="1">
      <c r="E2955" s="49" t="str">
        <f>IFERROR(VLOOKUP(D2955,'taxonomy map'!$A$1:$C$107,2,FALSE),"")</f>
        <v/>
      </c>
      <c r="F2955" s="49" t="str">
        <f>IFERROR(VLOOKUP(E2955,'Condensed Specialty Crosswalk'!$A$2:$C$106,2,FALSE),"")</f>
        <v/>
      </c>
      <c r="G2955" s="49" t="str">
        <f>IFERROR(VLOOKUP(E2955,'Condensed Specialty Crosswalk'!$A$2:$C$106,3,FALSE),"")</f>
        <v/>
      </c>
    </row>
    <row r="2956" spans="5:7" ht="15" customHeight="1">
      <c r="E2956" s="49" t="str">
        <f>IFERROR(VLOOKUP(D2956,'taxonomy map'!$A$1:$C$107,2,FALSE),"")</f>
        <v/>
      </c>
      <c r="F2956" s="49" t="str">
        <f>IFERROR(VLOOKUP(E2956,'Condensed Specialty Crosswalk'!$A$2:$C$106,2,FALSE),"")</f>
        <v/>
      </c>
      <c r="G2956" s="49" t="str">
        <f>IFERROR(VLOOKUP(E2956,'Condensed Specialty Crosswalk'!$A$2:$C$106,3,FALSE),"")</f>
        <v/>
      </c>
    </row>
    <row r="2957" spans="5:7" ht="15" customHeight="1">
      <c r="E2957" s="49" t="str">
        <f>IFERROR(VLOOKUP(D2957,'taxonomy map'!$A$1:$C$107,2,FALSE),"")</f>
        <v/>
      </c>
      <c r="F2957" s="49" t="str">
        <f>IFERROR(VLOOKUP(E2957,'Condensed Specialty Crosswalk'!$A$2:$C$106,2,FALSE),"")</f>
        <v/>
      </c>
      <c r="G2957" s="49" t="str">
        <f>IFERROR(VLOOKUP(E2957,'Condensed Specialty Crosswalk'!$A$2:$C$106,3,FALSE),"")</f>
        <v/>
      </c>
    </row>
    <row r="2958" spans="5:7" ht="15" customHeight="1">
      <c r="E2958" s="49" t="str">
        <f>IFERROR(VLOOKUP(D2958,'taxonomy map'!$A$1:$C$107,2,FALSE),"")</f>
        <v/>
      </c>
      <c r="F2958" s="49" t="str">
        <f>IFERROR(VLOOKUP(E2958,'Condensed Specialty Crosswalk'!$A$2:$C$106,2,FALSE),"")</f>
        <v/>
      </c>
      <c r="G2958" s="49" t="str">
        <f>IFERROR(VLOOKUP(E2958,'Condensed Specialty Crosswalk'!$A$2:$C$106,3,FALSE),"")</f>
        <v/>
      </c>
    </row>
    <row r="2959" spans="5:7" ht="15" customHeight="1">
      <c r="E2959" s="49" t="str">
        <f>IFERROR(VLOOKUP(D2959,'taxonomy map'!$A$1:$C$107,2,FALSE),"")</f>
        <v/>
      </c>
      <c r="F2959" s="49" t="str">
        <f>IFERROR(VLOOKUP(E2959,'Condensed Specialty Crosswalk'!$A$2:$C$106,2,FALSE),"")</f>
        <v/>
      </c>
      <c r="G2959" s="49" t="str">
        <f>IFERROR(VLOOKUP(E2959,'Condensed Specialty Crosswalk'!$A$2:$C$106,3,FALSE),"")</f>
        <v/>
      </c>
    </row>
    <row r="2960" spans="5:7" ht="15" customHeight="1">
      <c r="E2960" s="49" t="str">
        <f>IFERROR(VLOOKUP(D2960,'taxonomy map'!$A$1:$C$107,2,FALSE),"")</f>
        <v/>
      </c>
      <c r="F2960" s="49" t="str">
        <f>IFERROR(VLOOKUP(E2960,'Condensed Specialty Crosswalk'!$A$2:$C$106,2,FALSE),"")</f>
        <v/>
      </c>
      <c r="G2960" s="49" t="str">
        <f>IFERROR(VLOOKUP(E2960,'Condensed Specialty Crosswalk'!$A$2:$C$106,3,FALSE),"")</f>
        <v/>
      </c>
    </row>
    <row r="2961" spans="5:7" ht="15" customHeight="1">
      <c r="E2961" s="49" t="str">
        <f>IFERROR(VLOOKUP(D2961,'taxonomy map'!$A$1:$C$107,2,FALSE),"")</f>
        <v/>
      </c>
      <c r="F2961" s="49" t="str">
        <f>IFERROR(VLOOKUP(E2961,'Condensed Specialty Crosswalk'!$A$2:$C$106,2,FALSE),"")</f>
        <v/>
      </c>
      <c r="G2961" s="49" t="str">
        <f>IFERROR(VLOOKUP(E2961,'Condensed Specialty Crosswalk'!$A$2:$C$106,3,FALSE),"")</f>
        <v/>
      </c>
    </row>
    <row r="2962" spans="5:7" ht="15" customHeight="1">
      <c r="E2962" s="49" t="str">
        <f>IFERROR(VLOOKUP(D2962,'taxonomy map'!$A$1:$C$107,2,FALSE),"")</f>
        <v/>
      </c>
      <c r="F2962" s="49" t="str">
        <f>IFERROR(VLOOKUP(E2962,'Condensed Specialty Crosswalk'!$A$2:$C$106,2,FALSE),"")</f>
        <v/>
      </c>
      <c r="G2962" s="49" t="str">
        <f>IFERROR(VLOOKUP(E2962,'Condensed Specialty Crosswalk'!$A$2:$C$106,3,FALSE),"")</f>
        <v/>
      </c>
    </row>
    <row r="2963" spans="5:7" ht="15" customHeight="1">
      <c r="E2963" s="49" t="str">
        <f>IFERROR(VLOOKUP(D2963,'taxonomy map'!$A$1:$C$107,2,FALSE),"")</f>
        <v/>
      </c>
      <c r="F2963" s="49" t="str">
        <f>IFERROR(VLOOKUP(E2963,'Condensed Specialty Crosswalk'!$A$2:$C$106,2,FALSE),"")</f>
        <v/>
      </c>
      <c r="G2963" s="49" t="str">
        <f>IFERROR(VLOOKUP(E2963,'Condensed Specialty Crosswalk'!$A$2:$C$106,3,FALSE),"")</f>
        <v/>
      </c>
    </row>
    <row r="2964" spans="5:7" ht="15" customHeight="1">
      <c r="E2964" s="49" t="str">
        <f>IFERROR(VLOOKUP(D2964,'taxonomy map'!$A$1:$C$107,2,FALSE),"")</f>
        <v/>
      </c>
      <c r="F2964" s="49" t="str">
        <f>IFERROR(VLOOKUP(E2964,'Condensed Specialty Crosswalk'!$A$2:$C$106,2,FALSE),"")</f>
        <v/>
      </c>
      <c r="G2964" s="49" t="str">
        <f>IFERROR(VLOOKUP(E2964,'Condensed Specialty Crosswalk'!$A$2:$C$106,3,FALSE),"")</f>
        <v/>
      </c>
    </row>
    <row r="2965" spans="5:7" ht="15" customHeight="1">
      <c r="E2965" s="49" t="str">
        <f>IFERROR(VLOOKUP(D2965,'taxonomy map'!$A$1:$C$107,2,FALSE),"")</f>
        <v/>
      </c>
      <c r="F2965" s="49" t="str">
        <f>IFERROR(VLOOKUP(E2965,'Condensed Specialty Crosswalk'!$A$2:$C$106,2,FALSE),"")</f>
        <v/>
      </c>
      <c r="G2965" s="49" t="str">
        <f>IFERROR(VLOOKUP(E2965,'Condensed Specialty Crosswalk'!$A$2:$C$106,3,FALSE),"")</f>
        <v/>
      </c>
    </row>
    <row r="2966" spans="5:7" ht="15" customHeight="1">
      <c r="E2966" s="49" t="str">
        <f>IFERROR(VLOOKUP(D2966,'taxonomy map'!$A$1:$C$107,2,FALSE),"")</f>
        <v/>
      </c>
      <c r="F2966" s="49" t="str">
        <f>IFERROR(VLOOKUP(E2966,'Condensed Specialty Crosswalk'!$A$2:$C$106,2,FALSE),"")</f>
        <v/>
      </c>
      <c r="G2966" s="49" t="str">
        <f>IFERROR(VLOOKUP(E2966,'Condensed Specialty Crosswalk'!$A$2:$C$106,3,FALSE),"")</f>
        <v/>
      </c>
    </row>
    <row r="2967" spans="5:7" ht="15" customHeight="1">
      <c r="E2967" s="49" t="str">
        <f>IFERROR(VLOOKUP(D2967,'taxonomy map'!$A$1:$C$107,2,FALSE),"")</f>
        <v/>
      </c>
      <c r="F2967" s="49" t="str">
        <f>IFERROR(VLOOKUP(E2967,'Condensed Specialty Crosswalk'!$A$2:$C$106,2,FALSE),"")</f>
        <v/>
      </c>
      <c r="G2967" s="49" t="str">
        <f>IFERROR(VLOOKUP(E2967,'Condensed Specialty Crosswalk'!$A$2:$C$106,3,FALSE),"")</f>
        <v/>
      </c>
    </row>
    <row r="2968" spans="5:7" ht="15" customHeight="1">
      <c r="E2968" s="49" t="str">
        <f>IFERROR(VLOOKUP(D2968,'taxonomy map'!$A$1:$C$107,2,FALSE),"")</f>
        <v/>
      </c>
      <c r="F2968" s="49" t="str">
        <f>IFERROR(VLOOKUP(E2968,'Condensed Specialty Crosswalk'!$A$2:$C$106,2,FALSE),"")</f>
        <v/>
      </c>
      <c r="G2968" s="49" t="str">
        <f>IFERROR(VLOOKUP(E2968,'Condensed Specialty Crosswalk'!$A$2:$C$106,3,FALSE),"")</f>
        <v/>
      </c>
    </row>
    <row r="2969" spans="5:7" ht="15" customHeight="1">
      <c r="E2969" s="49" t="str">
        <f>IFERROR(VLOOKUP(D2969,'taxonomy map'!$A$1:$C$107,2,FALSE),"")</f>
        <v/>
      </c>
      <c r="F2969" s="49" t="str">
        <f>IFERROR(VLOOKUP(E2969,'Condensed Specialty Crosswalk'!$A$2:$C$106,2,FALSE),"")</f>
        <v/>
      </c>
      <c r="G2969" s="49" t="str">
        <f>IFERROR(VLOOKUP(E2969,'Condensed Specialty Crosswalk'!$A$2:$C$106,3,FALSE),"")</f>
        <v/>
      </c>
    </row>
    <row r="2970" spans="5:7" ht="15" customHeight="1">
      <c r="E2970" s="49" t="str">
        <f>IFERROR(VLOOKUP(D2970,'taxonomy map'!$A$1:$C$107,2,FALSE),"")</f>
        <v/>
      </c>
      <c r="F2970" s="49" t="str">
        <f>IFERROR(VLOOKUP(E2970,'Condensed Specialty Crosswalk'!$A$2:$C$106,2,FALSE),"")</f>
        <v/>
      </c>
      <c r="G2970" s="49" t="str">
        <f>IFERROR(VLOOKUP(E2970,'Condensed Specialty Crosswalk'!$A$2:$C$106,3,FALSE),"")</f>
        <v/>
      </c>
    </row>
    <row r="2971" spans="5:7" ht="15" customHeight="1">
      <c r="E2971" s="49" t="str">
        <f>IFERROR(VLOOKUP(D2971,'taxonomy map'!$A$1:$C$107,2,FALSE),"")</f>
        <v/>
      </c>
      <c r="F2971" s="49" t="str">
        <f>IFERROR(VLOOKUP(E2971,'Condensed Specialty Crosswalk'!$A$2:$C$106,2,FALSE),"")</f>
        <v/>
      </c>
      <c r="G2971" s="49" t="str">
        <f>IFERROR(VLOOKUP(E2971,'Condensed Specialty Crosswalk'!$A$2:$C$106,3,FALSE),"")</f>
        <v/>
      </c>
    </row>
    <row r="2972" spans="5:7" ht="15" customHeight="1">
      <c r="E2972" s="49" t="str">
        <f>IFERROR(VLOOKUP(D2972,'taxonomy map'!$A$1:$C$107,2,FALSE),"")</f>
        <v/>
      </c>
      <c r="F2972" s="49" t="str">
        <f>IFERROR(VLOOKUP(E2972,'Condensed Specialty Crosswalk'!$A$2:$C$106,2,FALSE),"")</f>
        <v/>
      </c>
      <c r="G2972" s="49" t="str">
        <f>IFERROR(VLOOKUP(E2972,'Condensed Specialty Crosswalk'!$A$2:$C$106,3,FALSE),"")</f>
        <v/>
      </c>
    </row>
    <row r="2973" spans="5:7" ht="15" customHeight="1">
      <c r="E2973" s="49" t="str">
        <f>IFERROR(VLOOKUP(D2973,'taxonomy map'!$A$1:$C$107,2,FALSE),"")</f>
        <v/>
      </c>
      <c r="F2973" s="49" t="str">
        <f>IFERROR(VLOOKUP(E2973,'Condensed Specialty Crosswalk'!$A$2:$C$106,2,FALSE),"")</f>
        <v/>
      </c>
      <c r="G2973" s="49" t="str">
        <f>IFERROR(VLOOKUP(E2973,'Condensed Specialty Crosswalk'!$A$2:$C$106,3,FALSE),"")</f>
        <v/>
      </c>
    </row>
    <row r="2974" spans="5:7" ht="15" customHeight="1">
      <c r="E2974" s="49" t="str">
        <f>IFERROR(VLOOKUP(D2974,'taxonomy map'!$A$1:$C$107,2,FALSE),"")</f>
        <v/>
      </c>
      <c r="F2974" s="49" t="str">
        <f>IFERROR(VLOOKUP(E2974,'Condensed Specialty Crosswalk'!$A$2:$C$106,2,FALSE),"")</f>
        <v/>
      </c>
      <c r="G2974" s="49" t="str">
        <f>IFERROR(VLOOKUP(E2974,'Condensed Specialty Crosswalk'!$A$2:$C$106,3,FALSE),"")</f>
        <v/>
      </c>
    </row>
    <row r="2975" spans="5:7" ht="15" customHeight="1">
      <c r="E2975" s="49" t="str">
        <f>IFERROR(VLOOKUP(D2975,'taxonomy map'!$A$1:$C$107,2,FALSE),"")</f>
        <v/>
      </c>
      <c r="F2975" s="49" t="str">
        <f>IFERROR(VLOOKUP(E2975,'Condensed Specialty Crosswalk'!$A$2:$C$106,2,FALSE),"")</f>
        <v/>
      </c>
      <c r="G2975" s="49" t="str">
        <f>IFERROR(VLOOKUP(E2975,'Condensed Specialty Crosswalk'!$A$2:$C$106,3,FALSE),"")</f>
        <v/>
      </c>
    </row>
    <row r="2976" spans="5:7" ht="15" customHeight="1">
      <c r="E2976" s="49" t="str">
        <f>IFERROR(VLOOKUP(D2976,'taxonomy map'!$A$1:$C$107,2,FALSE),"")</f>
        <v/>
      </c>
      <c r="F2976" s="49" t="str">
        <f>IFERROR(VLOOKUP(E2976,'Condensed Specialty Crosswalk'!$A$2:$C$106,2,FALSE),"")</f>
        <v/>
      </c>
      <c r="G2976" s="49" t="str">
        <f>IFERROR(VLOOKUP(E2976,'Condensed Specialty Crosswalk'!$A$2:$C$106,3,FALSE),"")</f>
        <v/>
      </c>
    </row>
    <row r="2977" spans="5:7" ht="15" customHeight="1">
      <c r="E2977" s="49" t="str">
        <f>IFERROR(VLOOKUP(D2977,'taxonomy map'!$A$1:$C$107,2,FALSE),"")</f>
        <v/>
      </c>
      <c r="F2977" s="49" t="str">
        <f>IFERROR(VLOOKUP(E2977,'Condensed Specialty Crosswalk'!$A$2:$C$106,2,FALSE),"")</f>
        <v/>
      </c>
      <c r="G2977" s="49" t="str">
        <f>IFERROR(VLOOKUP(E2977,'Condensed Specialty Crosswalk'!$A$2:$C$106,3,FALSE),"")</f>
        <v/>
      </c>
    </row>
    <row r="2978" spans="5:7" ht="15" customHeight="1">
      <c r="E2978" s="49" t="str">
        <f>IFERROR(VLOOKUP(D2978,'taxonomy map'!$A$1:$C$107,2,FALSE),"")</f>
        <v/>
      </c>
      <c r="F2978" s="49" t="str">
        <f>IFERROR(VLOOKUP(E2978,'Condensed Specialty Crosswalk'!$A$2:$C$106,2,FALSE),"")</f>
        <v/>
      </c>
      <c r="G2978" s="49" t="str">
        <f>IFERROR(VLOOKUP(E2978,'Condensed Specialty Crosswalk'!$A$2:$C$106,3,FALSE),"")</f>
        <v/>
      </c>
    </row>
    <row r="2979" spans="5:7" ht="15" customHeight="1">
      <c r="E2979" s="49" t="str">
        <f>IFERROR(VLOOKUP(D2979,'taxonomy map'!$A$1:$C$107,2,FALSE),"")</f>
        <v/>
      </c>
      <c r="F2979" s="49" t="str">
        <f>IFERROR(VLOOKUP(E2979,'Condensed Specialty Crosswalk'!$A$2:$C$106,2,FALSE),"")</f>
        <v/>
      </c>
      <c r="G2979" s="49" t="str">
        <f>IFERROR(VLOOKUP(E2979,'Condensed Specialty Crosswalk'!$A$2:$C$106,3,FALSE),"")</f>
        <v/>
      </c>
    </row>
    <row r="2980" spans="5:7" ht="15" customHeight="1">
      <c r="E2980" s="49" t="str">
        <f>IFERROR(VLOOKUP(D2980,'taxonomy map'!$A$1:$C$107,2,FALSE),"")</f>
        <v/>
      </c>
      <c r="F2980" s="49" t="str">
        <f>IFERROR(VLOOKUP(E2980,'Condensed Specialty Crosswalk'!$A$2:$C$106,2,FALSE),"")</f>
        <v/>
      </c>
      <c r="G2980" s="49" t="str">
        <f>IFERROR(VLOOKUP(E2980,'Condensed Specialty Crosswalk'!$A$2:$C$106,3,FALSE),"")</f>
        <v/>
      </c>
    </row>
    <row r="2981" spans="5:7" ht="15" customHeight="1">
      <c r="E2981" s="49" t="str">
        <f>IFERROR(VLOOKUP(D2981,'taxonomy map'!$A$1:$C$107,2,FALSE),"")</f>
        <v/>
      </c>
      <c r="F2981" s="49" t="str">
        <f>IFERROR(VLOOKUP(E2981,'Condensed Specialty Crosswalk'!$A$2:$C$106,2,FALSE),"")</f>
        <v/>
      </c>
      <c r="G2981" s="49" t="str">
        <f>IFERROR(VLOOKUP(E2981,'Condensed Specialty Crosswalk'!$A$2:$C$106,3,FALSE),"")</f>
        <v/>
      </c>
    </row>
    <row r="2982" spans="5:7" ht="15" customHeight="1">
      <c r="E2982" s="49" t="str">
        <f>IFERROR(VLOOKUP(D2982,'taxonomy map'!$A$1:$C$107,2,FALSE),"")</f>
        <v/>
      </c>
      <c r="F2982" s="49" t="str">
        <f>IFERROR(VLOOKUP(E2982,'Condensed Specialty Crosswalk'!$A$2:$C$106,2,FALSE),"")</f>
        <v/>
      </c>
      <c r="G2982" s="49" t="str">
        <f>IFERROR(VLOOKUP(E2982,'Condensed Specialty Crosswalk'!$A$2:$C$106,3,FALSE),"")</f>
        <v/>
      </c>
    </row>
    <row r="2983" spans="5:7" ht="15" customHeight="1">
      <c r="E2983" s="49" t="str">
        <f>IFERROR(VLOOKUP(D2983,'taxonomy map'!$A$1:$C$107,2,FALSE),"")</f>
        <v/>
      </c>
      <c r="F2983" s="49" t="str">
        <f>IFERROR(VLOOKUP(E2983,'Condensed Specialty Crosswalk'!$A$2:$C$106,2,FALSE),"")</f>
        <v/>
      </c>
      <c r="G2983" s="49" t="str">
        <f>IFERROR(VLOOKUP(E2983,'Condensed Specialty Crosswalk'!$A$2:$C$106,3,FALSE),"")</f>
        <v/>
      </c>
    </row>
    <row r="2984" spans="5:7" ht="15" customHeight="1">
      <c r="E2984" s="49" t="str">
        <f>IFERROR(VLOOKUP(D2984,'taxonomy map'!$A$1:$C$107,2,FALSE),"")</f>
        <v/>
      </c>
      <c r="F2984" s="49" t="str">
        <f>IFERROR(VLOOKUP(E2984,'Condensed Specialty Crosswalk'!$A$2:$C$106,2,FALSE),"")</f>
        <v/>
      </c>
      <c r="G2984" s="49" t="str">
        <f>IFERROR(VLOOKUP(E2984,'Condensed Specialty Crosswalk'!$A$2:$C$106,3,FALSE),"")</f>
        <v/>
      </c>
    </row>
    <row r="2985" spans="5:7" ht="15" customHeight="1">
      <c r="E2985" s="49" t="str">
        <f>IFERROR(VLOOKUP(D2985,'taxonomy map'!$A$1:$C$107,2,FALSE),"")</f>
        <v/>
      </c>
      <c r="F2985" s="49" t="str">
        <f>IFERROR(VLOOKUP(E2985,'Condensed Specialty Crosswalk'!$A$2:$C$106,2,FALSE),"")</f>
        <v/>
      </c>
      <c r="G2985" s="49" t="str">
        <f>IFERROR(VLOOKUP(E2985,'Condensed Specialty Crosswalk'!$A$2:$C$106,3,FALSE),"")</f>
        <v/>
      </c>
    </row>
    <row r="2986" spans="5:7" ht="15" customHeight="1">
      <c r="E2986" s="49" t="str">
        <f>IFERROR(VLOOKUP(D2986,'taxonomy map'!$A$1:$C$107,2,FALSE),"")</f>
        <v/>
      </c>
      <c r="F2986" s="49" t="str">
        <f>IFERROR(VLOOKUP(E2986,'Condensed Specialty Crosswalk'!$A$2:$C$106,2,FALSE),"")</f>
        <v/>
      </c>
      <c r="G2986" s="49" t="str">
        <f>IFERROR(VLOOKUP(E2986,'Condensed Specialty Crosswalk'!$A$2:$C$106,3,FALSE),"")</f>
        <v/>
      </c>
    </row>
    <row r="2987" spans="5:7" ht="15" customHeight="1">
      <c r="E2987" s="49" t="str">
        <f>IFERROR(VLOOKUP(D2987,'taxonomy map'!$A$1:$C$107,2,FALSE),"")</f>
        <v/>
      </c>
      <c r="F2987" s="49" t="str">
        <f>IFERROR(VLOOKUP(E2987,'Condensed Specialty Crosswalk'!$A$2:$C$106,2,FALSE),"")</f>
        <v/>
      </c>
      <c r="G2987" s="49" t="str">
        <f>IFERROR(VLOOKUP(E2987,'Condensed Specialty Crosswalk'!$A$2:$C$106,3,FALSE),"")</f>
        <v/>
      </c>
    </row>
    <row r="2988" spans="5:7" ht="15" customHeight="1">
      <c r="E2988" s="49" t="str">
        <f>IFERROR(VLOOKUP(D2988,'taxonomy map'!$A$1:$C$107,2,FALSE),"")</f>
        <v/>
      </c>
      <c r="F2988" s="49" t="str">
        <f>IFERROR(VLOOKUP(E2988,'Condensed Specialty Crosswalk'!$A$2:$C$106,2,FALSE),"")</f>
        <v/>
      </c>
      <c r="G2988" s="49" t="str">
        <f>IFERROR(VLOOKUP(E2988,'Condensed Specialty Crosswalk'!$A$2:$C$106,3,FALSE),"")</f>
        <v/>
      </c>
    </row>
    <row r="2989" spans="5:7" ht="15" customHeight="1">
      <c r="E2989" s="49" t="str">
        <f>IFERROR(VLOOKUP(D2989,'taxonomy map'!$A$1:$C$107,2,FALSE),"")</f>
        <v/>
      </c>
      <c r="F2989" s="49" t="str">
        <f>IFERROR(VLOOKUP(E2989,'Condensed Specialty Crosswalk'!$A$2:$C$106,2,FALSE),"")</f>
        <v/>
      </c>
      <c r="G2989" s="49" t="str">
        <f>IFERROR(VLOOKUP(E2989,'Condensed Specialty Crosswalk'!$A$2:$C$106,3,FALSE),"")</f>
        <v/>
      </c>
    </row>
    <row r="2990" spans="5:7" ht="15" customHeight="1">
      <c r="E2990" s="49" t="str">
        <f>IFERROR(VLOOKUP(D2990,'taxonomy map'!$A$1:$C$107,2,FALSE),"")</f>
        <v/>
      </c>
      <c r="F2990" s="49" t="str">
        <f>IFERROR(VLOOKUP(E2990,'Condensed Specialty Crosswalk'!$A$2:$C$106,2,FALSE),"")</f>
        <v/>
      </c>
      <c r="G2990" s="49" t="str">
        <f>IFERROR(VLOOKUP(E2990,'Condensed Specialty Crosswalk'!$A$2:$C$106,3,FALSE),"")</f>
        <v/>
      </c>
    </row>
    <row r="2991" spans="5:7" ht="15" customHeight="1">
      <c r="E2991" s="49" t="str">
        <f>IFERROR(VLOOKUP(D2991,'taxonomy map'!$A$1:$C$107,2,FALSE),"")</f>
        <v/>
      </c>
      <c r="F2991" s="49" t="str">
        <f>IFERROR(VLOOKUP(E2991,'Condensed Specialty Crosswalk'!$A$2:$C$106,2,FALSE),"")</f>
        <v/>
      </c>
      <c r="G2991" s="49" t="str">
        <f>IFERROR(VLOOKUP(E2991,'Condensed Specialty Crosswalk'!$A$2:$C$106,3,FALSE),"")</f>
        <v/>
      </c>
    </row>
    <row r="2992" spans="5:7" ht="15" customHeight="1">
      <c r="E2992" s="49" t="str">
        <f>IFERROR(VLOOKUP(D2992,'taxonomy map'!$A$1:$C$107,2,FALSE),"")</f>
        <v/>
      </c>
      <c r="F2992" s="49" t="str">
        <f>IFERROR(VLOOKUP(E2992,'Condensed Specialty Crosswalk'!$A$2:$C$106,2,FALSE),"")</f>
        <v/>
      </c>
      <c r="G2992" s="49" t="str">
        <f>IFERROR(VLOOKUP(E2992,'Condensed Specialty Crosswalk'!$A$2:$C$106,3,FALSE),"")</f>
        <v/>
      </c>
    </row>
    <row r="2993" spans="5:7" ht="15" customHeight="1">
      <c r="E2993" s="49" t="str">
        <f>IFERROR(VLOOKUP(D2993,'taxonomy map'!$A$1:$C$107,2,FALSE),"")</f>
        <v/>
      </c>
      <c r="F2993" s="49" t="str">
        <f>IFERROR(VLOOKUP(E2993,'Condensed Specialty Crosswalk'!$A$2:$C$106,2,FALSE),"")</f>
        <v/>
      </c>
      <c r="G2993" s="49" t="str">
        <f>IFERROR(VLOOKUP(E2993,'Condensed Specialty Crosswalk'!$A$2:$C$106,3,FALSE),"")</f>
        <v/>
      </c>
    </row>
    <row r="2994" spans="5:7" ht="15" customHeight="1">
      <c r="E2994" s="49" t="str">
        <f>IFERROR(VLOOKUP(D2994,'taxonomy map'!$A$1:$C$107,2,FALSE),"")</f>
        <v/>
      </c>
      <c r="F2994" s="49" t="str">
        <f>IFERROR(VLOOKUP(E2994,'Condensed Specialty Crosswalk'!$A$2:$C$106,2,FALSE),"")</f>
        <v/>
      </c>
      <c r="G2994" s="49" t="str">
        <f>IFERROR(VLOOKUP(E2994,'Condensed Specialty Crosswalk'!$A$2:$C$106,3,FALSE),"")</f>
        <v/>
      </c>
    </row>
    <row r="2995" spans="5:7" ht="15" customHeight="1">
      <c r="E2995" s="49" t="str">
        <f>IFERROR(VLOOKUP(D2995,'taxonomy map'!$A$1:$C$107,2,FALSE),"")</f>
        <v/>
      </c>
      <c r="F2995" s="49" t="str">
        <f>IFERROR(VLOOKUP(E2995,'Condensed Specialty Crosswalk'!$A$2:$C$106,2,FALSE),"")</f>
        <v/>
      </c>
      <c r="G2995" s="49" t="str">
        <f>IFERROR(VLOOKUP(E2995,'Condensed Specialty Crosswalk'!$A$2:$C$106,3,FALSE),"")</f>
        <v/>
      </c>
    </row>
    <row r="2996" spans="5:7" ht="15" customHeight="1">
      <c r="E2996" s="49" t="str">
        <f>IFERROR(VLOOKUP(D2996,'taxonomy map'!$A$1:$C$107,2,FALSE),"")</f>
        <v/>
      </c>
      <c r="F2996" s="49" t="str">
        <f>IFERROR(VLOOKUP(E2996,'Condensed Specialty Crosswalk'!$A$2:$C$106,2,FALSE),"")</f>
        <v/>
      </c>
      <c r="G2996" s="49" t="str">
        <f>IFERROR(VLOOKUP(E2996,'Condensed Specialty Crosswalk'!$A$2:$C$106,3,FALSE),"")</f>
        <v/>
      </c>
    </row>
    <row r="2997" spans="5:7" ht="15" customHeight="1">
      <c r="E2997" s="49" t="str">
        <f>IFERROR(VLOOKUP(D2997,'taxonomy map'!$A$1:$C$107,2,FALSE),"")</f>
        <v/>
      </c>
      <c r="F2997" s="49" t="str">
        <f>IFERROR(VLOOKUP(E2997,'Condensed Specialty Crosswalk'!$A$2:$C$106,2,FALSE),"")</f>
        <v/>
      </c>
      <c r="G2997" s="49" t="str">
        <f>IFERROR(VLOOKUP(E2997,'Condensed Specialty Crosswalk'!$A$2:$C$106,3,FALSE),"")</f>
        <v/>
      </c>
    </row>
    <row r="2998" spans="5:7" ht="15" customHeight="1">
      <c r="E2998" s="49" t="str">
        <f>IFERROR(VLOOKUP(D2998,'taxonomy map'!$A$1:$C$107,2,FALSE),"")</f>
        <v/>
      </c>
      <c r="F2998" s="49" t="str">
        <f>IFERROR(VLOOKUP(E2998,'Condensed Specialty Crosswalk'!$A$2:$C$106,2,FALSE),"")</f>
        <v/>
      </c>
      <c r="G2998" s="49" t="str">
        <f>IFERROR(VLOOKUP(E2998,'Condensed Specialty Crosswalk'!$A$2:$C$106,3,FALSE),"")</f>
        <v/>
      </c>
    </row>
    <row r="2999" spans="5:7" ht="15" customHeight="1">
      <c r="E2999" s="49" t="str">
        <f>IFERROR(VLOOKUP(D2999,'taxonomy map'!$A$1:$C$107,2,FALSE),"")</f>
        <v/>
      </c>
      <c r="F2999" s="49" t="str">
        <f>IFERROR(VLOOKUP(E2999,'Condensed Specialty Crosswalk'!$A$2:$C$106,2,FALSE),"")</f>
        <v/>
      </c>
      <c r="G2999" s="49" t="str">
        <f>IFERROR(VLOOKUP(E2999,'Condensed Specialty Crosswalk'!$A$2:$C$106,3,FALSE),"")</f>
        <v/>
      </c>
    </row>
    <row r="3000" spans="5:7" ht="15" customHeight="1">
      <c r="E3000" s="49" t="str">
        <f>IFERROR(VLOOKUP(D3000,'taxonomy map'!$A$1:$C$107,2,FALSE),"")</f>
        <v/>
      </c>
      <c r="F3000" s="49" t="str">
        <f>IFERROR(VLOOKUP(E3000,'Condensed Specialty Crosswalk'!$A$2:$C$106,2,FALSE),"")</f>
        <v/>
      </c>
      <c r="G3000" s="49" t="str">
        <f>IFERROR(VLOOKUP(E3000,'Condensed Specialty Crosswalk'!$A$2:$C$106,3,FALSE),"")</f>
        <v/>
      </c>
    </row>
    <row r="3001" spans="5:7" ht="15" customHeight="1">
      <c r="E3001" s="49" t="str">
        <f>IFERROR(VLOOKUP(D3001,'taxonomy map'!$A$1:$C$107,2,FALSE),"")</f>
        <v/>
      </c>
      <c r="F3001" s="49" t="str">
        <f>IFERROR(VLOOKUP(E3001,'Condensed Specialty Crosswalk'!$A$2:$C$106,2,FALSE),"")</f>
        <v/>
      </c>
      <c r="G3001" s="49" t="str">
        <f>IFERROR(VLOOKUP(E3001,'Condensed Specialty Crosswalk'!$A$2:$C$106,3,FALSE),"")</f>
        <v/>
      </c>
    </row>
    <row r="3002" spans="5:7" ht="15" customHeight="1">
      <c r="E3002" s="49" t="str">
        <f>IFERROR(VLOOKUP(D3002,'taxonomy map'!$A$1:$C$107,2,FALSE),"")</f>
        <v/>
      </c>
      <c r="F3002" s="49" t="str">
        <f>IFERROR(VLOOKUP(E3002,'Condensed Specialty Crosswalk'!$A$2:$C$106,2,FALSE),"")</f>
        <v/>
      </c>
      <c r="G3002" s="49" t="str">
        <f>IFERROR(VLOOKUP(E3002,'Condensed Specialty Crosswalk'!$A$2:$C$106,3,FALSE),"")</f>
        <v/>
      </c>
    </row>
    <row r="3003" spans="5:7" ht="15" customHeight="1">
      <c r="E3003" s="49" t="str">
        <f>IFERROR(VLOOKUP(D3003,'taxonomy map'!$A$1:$C$107,2,FALSE),"")</f>
        <v/>
      </c>
      <c r="F3003" s="49" t="str">
        <f>IFERROR(VLOOKUP(E3003,'Condensed Specialty Crosswalk'!$A$2:$C$106,2,FALSE),"")</f>
        <v/>
      </c>
      <c r="G3003" s="49" t="str">
        <f>IFERROR(VLOOKUP(E3003,'Condensed Specialty Crosswalk'!$A$2:$C$106,3,FALSE),"")</f>
        <v/>
      </c>
    </row>
    <row r="3004" spans="5:7" ht="15" customHeight="1">
      <c r="E3004" s="49" t="str">
        <f>IFERROR(VLOOKUP(D3004,'taxonomy map'!$A$1:$C$107,2,FALSE),"")</f>
        <v/>
      </c>
      <c r="F3004" s="49" t="str">
        <f>IFERROR(VLOOKUP(E3004,'Condensed Specialty Crosswalk'!$A$2:$C$106,2,FALSE),"")</f>
        <v/>
      </c>
      <c r="G3004" s="49" t="str">
        <f>IFERROR(VLOOKUP(E3004,'Condensed Specialty Crosswalk'!$A$2:$C$106,3,FALSE),"")</f>
        <v/>
      </c>
    </row>
    <row r="3005" spans="5:7" ht="15" customHeight="1">
      <c r="E3005" s="49" t="str">
        <f>IFERROR(VLOOKUP(D3005,'taxonomy map'!$A$1:$C$107,2,FALSE),"")</f>
        <v/>
      </c>
      <c r="F3005" s="49" t="str">
        <f>IFERROR(VLOOKUP(E3005,'Condensed Specialty Crosswalk'!$A$2:$C$106,2,FALSE),"")</f>
        <v/>
      </c>
      <c r="G3005" s="49" t="str">
        <f>IFERROR(VLOOKUP(E3005,'Condensed Specialty Crosswalk'!$A$2:$C$106,3,FALSE),"")</f>
        <v/>
      </c>
    </row>
    <row r="3006" spans="5:7" ht="15" customHeight="1">
      <c r="E3006" s="49" t="str">
        <f>IFERROR(VLOOKUP(D3006,'taxonomy map'!$A$1:$C$107,2,FALSE),"")</f>
        <v/>
      </c>
      <c r="F3006" s="49" t="str">
        <f>IFERROR(VLOOKUP(E3006,'Condensed Specialty Crosswalk'!$A$2:$C$106,2,FALSE),"")</f>
        <v/>
      </c>
      <c r="G3006" s="49" t="str">
        <f>IFERROR(VLOOKUP(E3006,'Condensed Specialty Crosswalk'!$A$2:$C$106,3,FALSE),"")</f>
        <v/>
      </c>
    </row>
    <row r="3007" spans="5:7" ht="15" customHeight="1">
      <c r="E3007" s="49" t="str">
        <f>IFERROR(VLOOKUP(D3007,'taxonomy map'!$A$1:$C$107,2,FALSE),"")</f>
        <v/>
      </c>
      <c r="F3007" s="49" t="str">
        <f>IFERROR(VLOOKUP(E3007,'Condensed Specialty Crosswalk'!$A$2:$C$106,2,FALSE),"")</f>
        <v/>
      </c>
      <c r="G3007" s="49" t="str">
        <f>IFERROR(VLOOKUP(E3007,'Condensed Specialty Crosswalk'!$A$2:$C$106,3,FALSE),"")</f>
        <v/>
      </c>
    </row>
    <row r="3008" spans="5:7" ht="15" customHeight="1">
      <c r="E3008" s="49" t="str">
        <f>IFERROR(VLOOKUP(D3008,'taxonomy map'!$A$1:$C$107,2,FALSE),"")</f>
        <v/>
      </c>
      <c r="F3008" s="49" t="str">
        <f>IFERROR(VLOOKUP(E3008,'Condensed Specialty Crosswalk'!$A$2:$C$106,2,FALSE),"")</f>
        <v/>
      </c>
      <c r="G3008" s="49" t="str">
        <f>IFERROR(VLOOKUP(E3008,'Condensed Specialty Crosswalk'!$A$2:$C$106,3,FALSE),"")</f>
        <v/>
      </c>
    </row>
    <row r="3009" spans="5:7" ht="15" customHeight="1">
      <c r="E3009" s="49" t="str">
        <f>IFERROR(VLOOKUP(D3009,'taxonomy map'!$A$1:$C$107,2,FALSE),"")</f>
        <v/>
      </c>
      <c r="F3009" s="49" t="str">
        <f>IFERROR(VLOOKUP(E3009,'Condensed Specialty Crosswalk'!$A$2:$C$106,2,FALSE),"")</f>
        <v/>
      </c>
      <c r="G3009" s="49" t="str">
        <f>IFERROR(VLOOKUP(E3009,'Condensed Specialty Crosswalk'!$A$2:$C$106,3,FALSE),"")</f>
        <v/>
      </c>
    </row>
    <row r="3010" spans="5:7" ht="15" customHeight="1">
      <c r="E3010" s="49" t="str">
        <f>IFERROR(VLOOKUP(D3010,'taxonomy map'!$A$1:$C$107,2,FALSE),"")</f>
        <v/>
      </c>
      <c r="F3010" s="49" t="str">
        <f>IFERROR(VLOOKUP(E3010,'Condensed Specialty Crosswalk'!$A$2:$C$106,2,FALSE),"")</f>
        <v/>
      </c>
      <c r="G3010" s="49" t="str">
        <f>IFERROR(VLOOKUP(E3010,'Condensed Specialty Crosswalk'!$A$2:$C$106,3,FALSE),"")</f>
        <v/>
      </c>
    </row>
    <row r="3011" spans="5:7" ht="15" customHeight="1">
      <c r="E3011" s="49" t="str">
        <f>IFERROR(VLOOKUP(D3011,'taxonomy map'!$A$1:$C$107,2,FALSE),"")</f>
        <v/>
      </c>
      <c r="F3011" s="49" t="str">
        <f>IFERROR(VLOOKUP(E3011,'Condensed Specialty Crosswalk'!$A$2:$C$106,2,FALSE),"")</f>
        <v/>
      </c>
      <c r="G3011" s="49" t="str">
        <f>IFERROR(VLOOKUP(E3011,'Condensed Specialty Crosswalk'!$A$2:$C$106,3,FALSE),"")</f>
        <v/>
      </c>
    </row>
    <row r="3012" spans="5:7" ht="15" customHeight="1">
      <c r="E3012" s="49" t="str">
        <f>IFERROR(VLOOKUP(D3012,'taxonomy map'!$A$1:$C$107,2,FALSE),"")</f>
        <v/>
      </c>
      <c r="F3012" s="49" t="str">
        <f>IFERROR(VLOOKUP(E3012,'Condensed Specialty Crosswalk'!$A$2:$C$106,2,FALSE),"")</f>
        <v/>
      </c>
      <c r="G3012" s="49" t="str">
        <f>IFERROR(VLOOKUP(E3012,'Condensed Specialty Crosswalk'!$A$2:$C$106,3,FALSE),"")</f>
        <v/>
      </c>
    </row>
    <row r="3013" spans="5:7" ht="15" customHeight="1">
      <c r="E3013" s="49" t="str">
        <f>IFERROR(VLOOKUP(D3013,'taxonomy map'!$A$1:$C$107,2,FALSE),"")</f>
        <v/>
      </c>
      <c r="F3013" s="49" t="str">
        <f>IFERROR(VLOOKUP(E3013,'Condensed Specialty Crosswalk'!$A$2:$C$106,2,FALSE),"")</f>
        <v/>
      </c>
      <c r="G3013" s="49" t="str">
        <f>IFERROR(VLOOKUP(E3013,'Condensed Specialty Crosswalk'!$A$2:$C$106,3,FALSE),"")</f>
        <v/>
      </c>
    </row>
    <row r="3014" spans="5:7" ht="15" customHeight="1">
      <c r="E3014" s="49" t="str">
        <f>IFERROR(VLOOKUP(D3014,'taxonomy map'!$A$1:$C$107,2,FALSE),"")</f>
        <v/>
      </c>
      <c r="F3014" s="49" t="str">
        <f>IFERROR(VLOOKUP(E3014,'Condensed Specialty Crosswalk'!$A$2:$C$106,2,FALSE),"")</f>
        <v/>
      </c>
      <c r="G3014" s="49" t="str">
        <f>IFERROR(VLOOKUP(E3014,'Condensed Specialty Crosswalk'!$A$2:$C$106,3,FALSE),"")</f>
        <v/>
      </c>
    </row>
    <row r="3015" spans="5:7" ht="15" customHeight="1">
      <c r="E3015" s="49" t="str">
        <f>IFERROR(VLOOKUP(D3015,'taxonomy map'!$A$1:$C$107,2,FALSE),"")</f>
        <v/>
      </c>
      <c r="F3015" s="49" t="str">
        <f>IFERROR(VLOOKUP(E3015,'Condensed Specialty Crosswalk'!$A$2:$C$106,2,FALSE),"")</f>
        <v/>
      </c>
      <c r="G3015" s="49" t="str">
        <f>IFERROR(VLOOKUP(E3015,'Condensed Specialty Crosswalk'!$A$2:$C$106,3,FALSE),"")</f>
        <v/>
      </c>
    </row>
    <row r="3016" spans="5:7" ht="15" customHeight="1">
      <c r="E3016" s="49" t="str">
        <f>IFERROR(VLOOKUP(D3016,'taxonomy map'!$A$1:$C$107,2,FALSE),"")</f>
        <v/>
      </c>
      <c r="F3016" s="49" t="str">
        <f>IFERROR(VLOOKUP(E3016,'Condensed Specialty Crosswalk'!$A$2:$C$106,2,FALSE),"")</f>
        <v/>
      </c>
      <c r="G3016" s="49" t="str">
        <f>IFERROR(VLOOKUP(E3016,'Condensed Specialty Crosswalk'!$A$2:$C$106,3,FALSE),"")</f>
        <v/>
      </c>
    </row>
    <row r="3017" spans="5:7" ht="15" customHeight="1">
      <c r="E3017" s="49" t="str">
        <f>IFERROR(VLOOKUP(D3017,'taxonomy map'!$A$1:$C$107,2,FALSE),"")</f>
        <v/>
      </c>
      <c r="F3017" s="49" t="str">
        <f>IFERROR(VLOOKUP(E3017,'Condensed Specialty Crosswalk'!$A$2:$C$106,2,FALSE),"")</f>
        <v/>
      </c>
      <c r="G3017" s="49" t="str">
        <f>IFERROR(VLOOKUP(E3017,'Condensed Specialty Crosswalk'!$A$2:$C$106,3,FALSE),"")</f>
        <v/>
      </c>
    </row>
    <row r="3018" spans="5:7" ht="15" customHeight="1">
      <c r="E3018" s="49" t="str">
        <f>IFERROR(VLOOKUP(D3018,'taxonomy map'!$A$1:$C$107,2,FALSE),"")</f>
        <v/>
      </c>
      <c r="F3018" s="49" t="str">
        <f>IFERROR(VLOOKUP(E3018,'Condensed Specialty Crosswalk'!$A$2:$C$106,2,FALSE),"")</f>
        <v/>
      </c>
      <c r="G3018" s="49" t="str">
        <f>IFERROR(VLOOKUP(E3018,'Condensed Specialty Crosswalk'!$A$2:$C$106,3,FALSE),"")</f>
        <v/>
      </c>
    </row>
    <row r="3019" spans="5:7" ht="15" customHeight="1">
      <c r="E3019" s="49" t="str">
        <f>IFERROR(VLOOKUP(D3019,'taxonomy map'!$A$1:$C$107,2,FALSE),"")</f>
        <v/>
      </c>
      <c r="F3019" s="49" t="str">
        <f>IFERROR(VLOOKUP(E3019,'Condensed Specialty Crosswalk'!$A$2:$C$106,2,FALSE),"")</f>
        <v/>
      </c>
      <c r="G3019" s="49" t="str">
        <f>IFERROR(VLOOKUP(E3019,'Condensed Specialty Crosswalk'!$A$2:$C$106,3,FALSE),"")</f>
        <v/>
      </c>
    </row>
    <row r="3020" spans="5:7" ht="15" customHeight="1">
      <c r="E3020" s="49" t="str">
        <f>IFERROR(VLOOKUP(D3020,'taxonomy map'!$A$1:$C$107,2,FALSE),"")</f>
        <v/>
      </c>
      <c r="F3020" s="49" t="str">
        <f>IFERROR(VLOOKUP(E3020,'Condensed Specialty Crosswalk'!$A$2:$C$106,2,FALSE),"")</f>
        <v/>
      </c>
      <c r="G3020" s="49" t="str">
        <f>IFERROR(VLOOKUP(E3020,'Condensed Specialty Crosswalk'!$A$2:$C$106,3,FALSE),"")</f>
        <v/>
      </c>
    </row>
    <row r="3021" spans="5:7" ht="15" customHeight="1">
      <c r="E3021" s="49" t="str">
        <f>IFERROR(VLOOKUP(D3021,'taxonomy map'!$A$1:$C$107,2,FALSE),"")</f>
        <v/>
      </c>
      <c r="F3021" s="49" t="str">
        <f>IFERROR(VLOOKUP(E3021,'Condensed Specialty Crosswalk'!$A$2:$C$106,2,FALSE),"")</f>
        <v/>
      </c>
      <c r="G3021" s="49" t="str">
        <f>IFERROR(VLOOKUP(E3021,'Condensed Specialty Crosswalk'!$A$2:$C$106,3,FALSE),"")</f>
        <v/>
      </c>
    </row>
    <row r="3022" spans="5:7" ht="15" customHeight="1">
      <c r="E3022" s="49" t="str">
        <f>IFERROR(VLOOKUP(D3022,'taxonomy map'!$A$1:$C$107,2,FALSE),"")</f>
        <v/>
      </c>
      <c r="F3022" s="49" t="str">
        <f>IFERROR(VLOOKUP(E3022,'Condensed Specialty Crosswalk'!$A$2:$C$106,2,FALSE),"")</f>
        <v/>
      </c>
      <c r="G3022" s="49" t="str">
        <f>IFERROR(VLOOKUP(E3022,'Condensed Specialty Crosswalk'!$A$2:$C$106,3,FALSE),"")</f>
        <v/>
      </c>
    </row>
    <row r="3023" spans="5:7" ht="15" customHeight="1">
      <c r="E3023" s="49" t="str">
        <f>IFERROR(VLOOKUP(D3023,'taxonomy map'!$A$1:$C$107,2,FALSE),"")</f>
        <v/>
      </c>
      <c r="F3023" s="49" t="str">
        <f>IFERROR(VLOOKUP(E3023,'Condensed Specialty Crosswalk'!$A$2:$C$106,2,FALSE),"")</f>
        <v/>
      </c>
      <c r="G3023" s="49" t="str">
        <f>IFERROR(VLOOKUP(E3023,'Condensed Specialty Crosswalk'!$A$2:$C$106,3,FALSE),"")</f>
        <v/>
      </c>
    </row>
    <row r="3024" spans="5:7" ht="15" customHeight="1">
      <c r="E3024" s="49" t="str">
        <f>IFERROR(VLOOKUP(D3024,'taxonomy map'!$A$1:$C$107,2,FALSE),"")</f>
        <v/>
      </c>
      <c r="F3024" s="49" t="str">
        <f>IFERROR(VLOOKUP(E3024,'Condensed Specialty Crosswalk'!$A$2:$C$106,2,FALSE),"")</f>
        <v/>
      </c>
      <c r="G3024" s="49" t="str">
        <f>IFERROR(VLOOKUP(E3024,'Condensed Specialty Crosswalk'!$A$2:$C$106,3,FALSE),"")</f>
        <v/>
      </c>
    </row>
    <row r="3025" spans="5:7" ht="15" customHeight="1">
      <c r="E3025" s="49" t="str">
        <f>IFERROR(VLOOKUP(D3025,'taxonomy map'!$A$1:$C$107,2,FALSE),"")</f>
        <v/>
      </c>
      <c r="F3025" s="49" t="str">
        <f>IFERROR(VLOOKUP(E3025,'Condensed Specialty Crosswalk'!$A$2:$C$106,2,FALSE),"")</f>
        <v/>
      </c>
      <c r="G3025" s="49" t="str">
        <f>IFERROR(VLOOKUP(E3025,'Condensed Specialty Crosswalk'!$A$2:$C$106,3,FALSE),"")</f>
        <v/>
      </c>
    </row>
    <row r="3026" spans="5:7" ht="15" customHeight="1">
      <c r="E3026" s="49" t="str">
        <f>IFERROR(VLOOKUP(D3026,'taxonomy map'!$A$1:$C$107,2,FALSE),"")</f>
        <v/>
      </c>
      <c r="F3026" s="49" t="str">
        <f>IFERROR(VLOOKUP(E3026,'Condensed Specialty Crosswalk'!$A$2:$C$106,2,FALSE),"")</f>
        <v/>
      </c>
      <c r="G3026" s="49" t="str">
        <f>IFERROR(VLOOKUP(E3026,'Condensed Specialty Crosswalk'!$A$2:$C$106,3,FALSE),"")</f>
        <v/>
      </c>
    </row>
    <row r="3027" spans="5:7" ht="15" customHeight="1">
      <c r="E3027" s="49" t="str">
        <f>IFERROR(VLOOKUP(D3027,'taxonomy map'!$A$1:$C$107,2,FALSE),"")</f>
        <v/>
      </c>
      <c r="F3027" s="49" t="str">
        <f>IFERROR(VLOOKUP(E3027,'Condensed Specialty Crosswalk'!$A$2:$C$106,2,FALSE),"")</f>
        <v/>
      </c>
      <c r="G3027" s="49" t="str">
        <f>IFERROR(VLOOKUP(E3027,'Condensed Specialty Crosswalk'!$A$2:$C$106,3,FALSE),"")</f>
        <v/>
      </c>
    </row>
    <row r="3028" spans="5:7" ht="15" customHeight="1">
      <c r="E3028" s="49" t="str">
        <f>IFERROR(VLOOKUP(D3028,'taxonomy map'!$A$1:$C$107,2,FALSE),"")</f>
        <v/>
      </c>
      <c r="F3028" s="49" t="str">
        <f>IFERROR(VLOOKUP(E3028,'Condensed Specialty Crosswalk'!$A$2:$C$106,2,FALSE),"")</f>
        <v/>
      </c>
      <c r="G3028" s="49" t="str">
        <f>IFERROR(VLOOKUP(E3028,'Condensed Specialty Crosswalk'!$A$2:$C$106,3,FALSE),"")</f>
        <v/>
      </c>
    </row>
    <row r="3029" spans="5:7" ht="15" customHeight="1">
      <c r="E3029" s="49" t="str">
        <f>IFERROR(VLOOKUP(D3029,'taxonomy map'!$A$1:$C$107,2,FALSE),"")</f>
        <v/>
      </c>
      <c r="F3029" s="49" t="str">
        <f>IFERROR(VLOOKUP(E3029,'Condensed Specialty Crosswalk'!$A$2:$C$106,2,FALSE),"")</f>
        <v/>
      </c>
      <c r="G3029" s="49" t="str">
        <f>IFERROR(VLOOKUP(E3029,'Condensed Specialty Crosswalk'!$A$2:$C$106,3,FALSE),"")</f>
        <v/>
      </c>
    </row>
    <row r="3030" spans="5:7" ht="15" customHeight="1">
      <c r="E3030" s="49" t="str">
        <f>IFERROR(VLOOKUP(D3030,'taxonomy map'!$A$1:$C$107,2,FALSE),"")</f>
        <v/>
      </c>
      <c r="F3030" s="49" t="str">
        <f>IFERROR(VLOOKUP(E3030,'Condensed Specialty Crosswalk'!$A$2:$C$106,2,FALSE),"")</f>
        <v/>
      </c>
      <c r="G3030" s="49" t="str">
        <f>IFERROR(VLOOKUP(E3030,'Condensed Specialty Crosswalk'!$A$2:$C$106,3,FALSE),"")</f>
        <v/>
      </c>
    </row>
    <row r="3031" spans="5:7" ht="15" customHeight="1">
      <c r="E3031" s="49" t="str">
        <f>IFERROR(VLOOKUP(D3031,'taxonomy map'!$A$1:$C$107,2,FALSE),"")</f>
        <v/>
      </c>
      <c r="F3031" s="49" t="str">
        <f>IFERROR(VLOOKUP(E3031,'Condensed Specialty Crosswalk'!$A$2:$C$106,2,FALSE),"")</f>
        <v/>
      </c>
      <c r="G3031" s="49" t="str">
        <f>IFERROR(VLOOKUP(E3031,'Condensed Specialty Crosswalk'!$A$2:$C$106,3,FALSE),"")</f>
        <v/>
      </c>
    </row>
    <row r="3032" spans="5:7" ht="15" customHeight="1">
      <c r="E3032" s="49" t="str">
        <f>IFERROR(VLOOKUP(D3032,'taxonomy map'!$A$1:$C$107,2,FALSE),"")</f>
        <v/>
      </c>
      <c r="F3032" s="49" t="str">
        <f>IFERROR(VLOOKUP(E3032,'Condensed Specialty Crosswalk'!$A$2:$C$106,2,FALSE),"")</f>
        <v/>
      </c>
      <c r="G3032" s="49" t="str">
        <f>IFERROR(VLOOKUP(E3032,'Condensed Specialty Crosswalk'!$A$2:$C$106,3,FALSE),"")</f>
        <v/>
      </c>
    </row>
    <row r="3033" spans="5:7" ht="15" customHeight="1">
      <c r="E3033" s="49" t="str">
        <f>IFERROR(VLOOKUP(D3033,'taxonomy map'!$A$1:$C$107,2,FALSE),"")</f>
        <v/>
      </c>
      <c r="F3033" s="49" t="str">
        <f>IFERROR(VLOOKUP(E3033,'Condensed Specialty Crosswalk'!$A$2:$C$106,2,FALSE),"")</f>
        <v/>
      </c>
      <c r="G3033" s="49" t="str">
        <f>IFERROR(VLOOKUP(E3033,'Condensed Specialty Crosswalk'!$A$2:$C$106,3,FALSE),"")</f>
        <v/>
      </c>
    </row>
    <row r="3034" spans="5:7" ht="15" customHeight="1">
      <c r="E3034" s="49" t="str">
        <f>IFERROR(VLOOKUP(D3034,'taxonomy map'!$A$1:$C$107,2,FALSE),"")</f>
        <v/>
      </c>
      <c r="F3034" s="49" t="str">
        <f>IFERROR(VLOOKUP(E3034,'Condensed Specialty Crosswalk'!$A$2:$C$106,2,FALSE),"")</f>
        <v/>
      </c>
      <c r="G3034" s="49" t="str">
        <f>IFERROR(VLOOKUP(E3034,'Condensed Specialty Crosswalk'!$A$2:$C$106,3,FALSE),"")</f>
        <v/>
      </c>
    </row>
    <row r="3035" spans="5:7" ht="15" customHeight="1">
      <c r="E3035" s="49" t="str">
        <f>IFERROR(VLOOKUP(D3035,'taxonomy map'!$A$1:$C$107,2,FALSE),"")</f>
        <v/>
      </c>
      <c r="F3035" s="49" t="str">
        <f>IFERROR(VLOOKUP(E3035,'Condensed Specialty Crosswalk'!$A$2:$C$106,2,FALSE),"")</f>
        <v/>
      </c>
      <c r="G3035" s="49" t="str">
        <f>IFERROR(VLOOKUP(E3035,'Condensed Specialty Crosswalk'!$A$2:$C$106,3,FALSE),"")</f>
        <v/>
      </c>
    </row>
    <row r="3036" spans="5:7" ht="15" customHeight="1">
      <c r="E3036" s="49" t="str">
        <f>IFERROR(VLOOKUP(D3036,'taxonomy map'!$A$1:$C$107,2,FALSE),"")</f>
        <v/>
      </c>
      <c r="F3036" s="49" t="str">
        <f>IFERROR(VLOOKUP(E3036,'Condensed Specialty Crosswalk'!$A$2:$C$106,2,FALSE),"")</f>
        <v/>
      </c>
      <c r="G3036" s="49" t="str">
        <f>IFERROR(VLOOKUP(E3036,'Condensed Specialty Crosswalk'!$A$2:$C$106,3,FALSE),"")</f>
        <v/>
      </c>
    </row>
    <row r="3037" spans="5:7" ht="15" customHeight="1">
      <c r="E3037" s="49" t="str">
        <f>IFERROR(VLOOKUP(D3037,'taxonomy map'!$A$1:$C$107,2,FALSE),"")</f>
        <v/>
      </c>
      <c r="F3037" s="49" t="str">
        <f>IFERROR(VLOOKUP(E3037,'Condensed Specialty Crosswalk'!$A$2:$C$106,2,FALSE),"")</f>
        <v/>
      </c>
      <c r="G3037" s="49" t="str">
        <f>IFERROR(VLOOKUP(E3037,'Condensed Specialty Crosswalk'!$A$2:$C$106,3,FALSE),"")</f>
        <v/>
      </c>
    </row>
    <row r="3038" spans="5:7" ht="15" customHeight="1">
      <c r="E3038" s="49" t="str">
        <f>IFERROR(VLOOKUP(D3038,'taxonomy map'!$A$1:$C$107,2,FALSE),"")</f>
        <v/>
      </c>
      <c r="F3038" s="49" t="str">
        <f>IFERROR(VLOOKUP(E3038,'Condensed Specialty Crosswalk'!$A$2:$C$106,2,FALSE),"")</f>
        <v/>
      </c>
      <c r="G3038" s="49" t="str">
        <f>IFERROR(VLOOKUP(E3038,'Condensed Specialty Crosswalk'!$A$2:$C$106,3,FALSE),"")</f>
        <v/>
      </c>
    </row>
    <row r="3039" spans="5:7" ht="15" customHeight="1">
      <c r="E3039" s="49" t="str">
        <f>IFERROR(VLOOKUP(D3039,'taxonomy map'!$A$1:$C$107,2,FALSE),"")</f>
        <v/>
      </c>
      <c r="F3039" s="49" t="str">
        <f>IFERROR(VLOOKUP(E3039,'Condensed Specialty Crosswalk'!$A$2:$C$106,2,FALSE),"")</f>
        <v/>
      </c>
      <c r="G3039" s="49" t="str">
        <f>IFERROR(VLOOKUP(E3039,'Condensed Specialty Crosswalk'!$A$2:$C$106,3,FALSE),"")</f>
        <v/>
      </c>
    </row>
    <row r="3040" spans="5:7" ht="15" customHeight="1">
      <c r="E3040" s="49" t="str">
        <f>IFERROR(VLOOKUP(D3040,'taxonomy map'!$A$1:$C$107,2,FALSE),"")</f>
        <v/>
      </c>
      <c r="F3040" s="49" t="str">
        <f>IFERROR(VLOOKUP(E3040,'Condensed Specialty Crosswalk'!$A$2:$C$106,2,FALSE),"")</f>
        <v/>
      </c>
      <c r="G3040" s="49" t="str">
        <f>IFERROR(VLOOKUP(E3040,'Condensed Specialty Crosswalk'!$A$2:$C$106,3,FALSE),"")</f>
        <v/>
      </c>
    </row>
    <row r="3041" spans="5:7" ht="15" customHeight="1">
      <c r="E3041" s="49" t="str">
        <f>IFERROR(VLOOKUP(D3041,'taxonomy map'!$A$1:$C$107,2,FALSE),"")</f>
        <v/>
      </c>
      <c r="F3041" s="49" t="str">
        <f>IFERROR(VLOOKUP(E3041,'Condensed Specialty Crosswalk'!$A$2:$C$106,2,FALSE),"")</f>
        <v/>
      </c>
      <c r="G3041" s="49" t="str">
        <f>IFERROR(VLOOKUP(E3041,'Condensed Specialty Crosswalk'!$A$2:$C$106,3,FALSE),"")</f>
        <v/>
      </c>
    </row>
    <row r="3042" spans="5:7" ht="15" customHeight="1">
      <c r="E3042" s="49" t="str">
        <f>IFERROR(VLOOKUP(D3042,'taxonomy map'!$A$1:$C$107,2,FALSE),"")</f>
        <v/>
      </c>
      <c r="F3042" s="49" t="str">
        <f>IFERROR(VLOOKUP(E3042,'Condensed Specialty Crosswalk'!$A$2:$C$106,2,FALSE),"")</f>
        <v/>
      </c>
      <c r="G3042" s="49" t="str">
        <f>IFERROR(VLOOKUP(E3042,'Condensed Specialty Crosswalk'!$A$2:$C$106,3,FALSE),"")</f>
        <v/>
      </c>
    </row>
    <row r="3043" spans="5:7" ht="15" customHeight="1">
      <c r="E3043" s="49" t="str">
        <f>IFERROR(VLOOKUP(D3043,'taxonomy map'!$A$1:$C$107,2,FALSE),"")</f>
        <v/>
      </c>
      <c r="F3043" s="49" t="str">
        <f>IFERROR(VLOOKUP(E3043,'Condensed Specialty Crosswalk'!$A$2:$C$106,2,FALSE),"")</f>
        <v/>
      </c>
      <c r="G3043" s="49" t="str">
        <f>IFERROR(VLOOKUP(E3043,'Condensed Specialty Crosswalk'!$A$2:$C$106,3,FALSE),"")</f>
        <v/>
      </c>
    </row>
    <row r="3044" spans="5:7" ht="15" customHeight="1">
      <c r="E3044" s="49" t="str">
        <f>IFERROR(VLOOKUP(D3044,'taxonomy map'!$A$1:$C$107,2,FALSE),"")</f>
        <v/>
      </c>
      <c r="F3044" s="49" t="str">
        <f>IFERROR(VLOOKUP(E3044,'Condensed Specialty Crosswalk'!$A$2:$C$106,2,FALSE),"")</f>
        <v/>
      </c>
      <c r="G3044" s="49" t="str">
        <f>IFERROR(VLOOKUP(E3044,'Condensed Specialty Crosswalk'!$A$2:$C$106,3,FALSE),"")</f>
        <v/>
      </c>
    </row>
    <row r="3045" spans="5:7" ht="15" customHeight="1">
      <c r="E3045" s="49" t="str">
        <f>IFERROR(VLOOKUP(D3045,'taxonomy map'!$A$1:$C$107,2,FALSE),"")</f>
        <v/>
      </c>
      <c r="F3045" s="49" t="str">
        <f>IFERROR(VLOOKUP(E3045,'Condensed Specialty Crosswalk'!$A$2:$C$106,2,FALSE),"")</f>
        <v/>
      </c>
      <c r="G3045" s="49" t="str">
        <f>IFERROR(VLOOKUP(E3045,'Condensed Specialty Crosswalk'!$A$2:$C$106,3,FALSE),"")</f>
        <v/>
      </c>
    </row>
    <row r="3046" spans="5:7" ht="15" customHeight="1">
      <c r="E3046" s="49" t="str">
        <f>IFERROR(VLOOKUP(D3046,'taxonomy map'!$A$1:$C$107,2,FALSE),"")</f>
        <v/>
      </c>
      <c r="F3046" s="49" t="str">
        <f>IFERROR(VLOOKUP(E3046,'Condensed Specialty Crosswalk'!$A$2:$C$106,2,FALSE),"")</f>
        <v/>
      </c>
      <c r="G3046" s="49" t="str">
        <f>IFERROR(VLOOKUP(E3046,'Condensed Specialty Crosswalk'!$A$2:$C$106,3,FALSE),"")</f>
        <v/>
      </c>
    </row>
    <row r="3047" spans="5:7" ht="15" customHeight="1">
      <c r="E3047" s="49" t="str">
        <f>IFERROR(VLOOKUP(D3047,'taxonomy map'!$A$1:$C$107,2,FALSE),"")</f>
        <v/>
      </c>
      <c r="F3047" s="49" t="str">
        <f>IFERROR(VLOOKUP(E3047,'Condensed Specialty Crosswalk'!$A$2:$C$106,2,FALSE),"")</f>
        <v/>
      </c>
      <c r="G3047" s="49" t="str">
        <f>IFERROR(VLOOKUP(E3047,'Condensed Specialty Crosswalk'!$A$2:$C$106,3,FALSE),"")</f>
        <v/>
      </c>
    </row>
    <row r="3048" spans="5:7" ht="15" customHeight="1">
      <c r="E3048" s="49" t="str">
        <f>IFERROR(VLOOKUP(D3048,'taxonomy map'!$A$1:$C$107,2,FALSE),"")</f>
        <v/>
      </c>
      <c r="F3048" s="49" t="str">
        <f>IFERROR(VLOOKUP(E3048,'Condensed Specialty Crosswalk'!$A$2:$C$106,2,FALSE),"")</f>
        <v/>
      </c>
      <c r="G3048" s="49" t="str">
        <f>IFERROR(VLOOKUP(E3048,'Condensed Specialty Crosswalk'!$A$2:$C$106,3,FALSE),"")</f>
        <v/>
      </c>
    </row>
    <row r="3049" spans="5:7" ht="15" customHeight="1">
      <c r="E3049" s="49" t="str">
        <f>IFERROR(VLOOKUP(D3049,'taxonomy map'!$A$1:$C$107,2,FALSE),"")</f>
        <v/>
      </c>
      <c r="F3049" s="49" t="str">
        <f>IFERROR(VLOOKUP(E3049,'Condensed Specialty Crosswalk'!$A$2:$C$106,2,FALSE),"")</f>
        <v/>
      </c>
      <c r="G3049" s="49" t="str">
        <f>IFERROR(VLOOKUP(E3049,'Condensed Specialty Crosswalk'!$A$2:$C$106,3,FALSE),"")</f>
        <v/>
      </c>
    </row>
    <row r="3050" spans="5:7" ht="15" customHeight="1">
      <c r="E3050" s="49" t="str">
        <f>IFERROR(VLOOKUP(D3050,'taxonomy map'!$A$1:$C$107,2,FALSE),"")</f>
        <v/>
      </c>
      <c r="F3050" s="49" t="str">
        <f>IFERROR(VLOOKUP(E3050,'Condensed Specialty Crosswalk'!$A$2:$C$106,2,FALSE),"")</f>
        <v/>
      </c>
      <c r="G3050" s="49" t="str">
        <f>IFERROR(VLOOKUP(E3050,'Condensed Specialty Crosswalk'!$A$2:$C$106,3,FALSE),"")</f>
        <v/>
      </c>
    </row>
    <row r="3051" spans="5:7" ht="15" customHeight="1">
      <c r="E3051" s="49" t="str">
        <f>IFERROR(VLOOKUP(D3051,'taxonomy map'!$A$1:$C$107,2,FALSE),"")</f>
        <v/>
      </c>
      <c r="F3051" s="49" t="str">
        <f>IFERROR(VLOOKUP(E3051,'Condensed Specialty Crosswalk'!$A$2:$C$106,2,FALSE),"")</f>
        <v/>
      </c>
      <c r="G3051" s="49" t="str">
        <f>IFERROR(VLOOKUP(E3051,'Condensed Specialty Crosswalk'!$A$2:$C$106,3,FALSE),"")</f>
        <v/>
      </c>
    </row>
    <row r="3052" spans="5:7" ht="15" customHeight="1">
      <c r="E3052" s="49" t="str">
        <f>IFERROR(VLOOKUP(D3052,'taxonomy map'!$A$1:$C$107,2,FALSE),"")</f>
        <v/>
      </c>
      <c r="F3052" s="49" t="str">
        <f>IFERROR(VLOOKUP(E3052,'Condensed Specialty Crosswalk'!$A$2:$C$106,2,FALSE),"")</f>
        <v/>
      </c>
      <c r="G3052" s="49" t="str">
        <f>IFERROR(VLOOKUP(E3052,'Condensed Specialty Crosswalk'!$A$2:$C$106,3,FALSE),"")</f>
        <v/>
      </c>
    </row>
    <row r="3053" spans="5:7" ht="15" customHeight="1">
      <c r="E3053" s="49" t="str">
        <f>IFERROR(VLOOKUP(D3053,'taxonomy map'!$A$1:$C$107,2,FALSE),"")</f>
        <v/>
      </c>
      <c r="F3053" s="49" t="str">
        <f>IFERROR(VLOOKUP(E3053,'Condensed Specialty Crosswalk'!$A$2:$C$106,2,FALSE),"")</f>
        <v/>
      </c>
      <c r="G3053" s="49" t="str">
        <f>IFERROR(VLOOKUP(E3053,'Condensed Specialty Crosswalk'!$A$2:$C$106,3,FALSE),"")</f>
        <v/>
      </c>
    </row>
    <row r="3054" spans="5:7" ht="15" customHeight="1">
      <c r="E3054" s="49" t="str">
        <f>IFERROR(VLOOKUP(D3054,'taxonomy map'!$A$1:$C$107,2,FALSE),"")</f>
        <v/>
      </c>
      <c r="F3054" s="49" t="str">
        <f>IFERROR(VLOOKUP(E3054,'Condensed Specialty Crosswalk'!$A$2:$C$106,2,FALSE),"")</f>
        <v/>
      </c>
      <c r="G3054" s="49" t="str">
        <f>IFERROR(VLOOKUP(E3054,'Condensed Specialty Crosswalk'!$A$2:$C$106,3,FALSE),"")</f>
        <v/>
      </c>
    </row>
    <row r="3055" spans="5:7" ht="15" customHeight="1">
      <c r="E3055" s="49" t="str">
        <f>IFERROR(VLOOKUP(D3055,'taxonomy map'!$A$1:$C$107,2,FALSE),"")</f>
        <v/>
      </c>
      <c r="F3055" s="49" t="str">
        <f>IFERROR(VLOOKUP(E3055,'Condensed Specialty Crosswalk'!$A$2:$C$106,2,FALSE),"")</f>
        <v/>
      </c>
      <c r="G3055" s="49" t="str">
        <f>IFERROR(VLOOKUP(E3055,'Condensed Specialty Crosswalk'!$A$2:$C$106,3,FALSE),"")</f>
        <v/>
      </c>
    </row>
    <row r="3056" spans="5:7" ht="15" customHeight="1">
      <c r="E3056" s="49" t="str">
        <f>IFERROR(VLOOKUP(D3056,'taxonomy map'!$A$1:$C$107,2,FALSE),"")</f>
        <v/>
      </c>
      <c r="F3056" s="49" t="str">
        <f>IFERROR(VLOOKUP(E3056,'Condensed Specialty Crosswalk'!$A$2:$C$106,2,FALSE),"")</f>
        <v/>
      </c>
      <c r="G3056" s="49" t="str">
        <f>IFERROR(VLOOKUP(E3056,'Condensed Specialty Crosswalk'!$A$2:$C$106,3,FALSE),"")</f>
        <v/>
      </c>
    </row>
    <row r="3057" spans="5:7" ht="15" customHeight="1">
      <c r="E3057" s="49" t="str">
        <f>IFERROR(VLOOKUP(D3057,'taxonomy map'!$A$1:$C$107,2,FALSE),"")</f>
        <v/>
      </c>
      <c r="F3057" s="49" t="str">
        <f>IFERROR(VLOOKUP(E3057,'Condensed Specialty Crosswalk'!$A$2:$C$106,2,FALSE),"")</f>
        <v/>
      </c>
      <c r="G3057" s="49" t="str">
        <f>IFERROR(VLOOKUP(E3057,'Condensed Specialty Crosswalk'!$A$2:$C$106,3,FALSE),"")</f>
        <v/>
      </c>
    </row>
    <row r="3058" spans="5:7" ht="15" customHeight="1">
      <c r="E3058" s="49" t="str">
        <f>IFERROR(VLOOKUP(D3058,'taxonomy map'!$A$1:$C$107,2,FALSE),"")</f>
        <v/>
      </c>
      <c r="F3058" s="49" t="str">
        <f>IFERROR(VLOOKUP(E3058,'Condensed Specialty Crosswalk'!$A$2:$C$106,2,FALSE),"")</f>
        <v/>
      </c>
      <c r="G3058" s="49" t="str">
        <f>IFERROR(VLOOKUP(E3058,'Condensed Specialty Crosswalk'!$A$2:$C$106,3,FALSE),"")</f>
        <v/>
      </c>
    </row>
    <row r="3059" spans="5:7" ht="15" customHeight="1">
      <c r="E3059" s="49" t="str">
        <f>IFERROR(VLOOKUP(D3059,'taxonomy map'!$A$1:$C$107,2,FALSE),"")</f>
        <v/>
      </c>
      <c r="F3059" s="49" t="str">
        <f>IFERROR(VLOOKUP(E3059,'Condensed Specialty Crosswalk'!$A$2:$C$106,2,FALSE),"")</f>
        <v/>
      </c>
      <c r="G3059" s="49" t="str">
        <f>IFERROR(VLOOKUP(E3059,'Condensed Specialty Crosswalk'!$A$2:$C$106,3,FALSE),"")</f>
        <v/>
      </c>
    </row>
    <row r="3060" spans="5:7" ht="15" customHeight="1">
      <c r="E3060" s="49" t="str">
        <f>IFERROR(VLOOKUP(D3060,'taxonomy map'!$A$1:$C$107,2,FALSE),"")</f>
        <v/>
      </c>
      <c r="F3060" s="49" t="str">
        <f>IFERROR(VLOOKUP(E3060,'Condensed Specialty Crosswalk'!$A$2:$C$106,2,FALSE),"")</f>
        <v/>
      </c>
      <c r="G3060" s="49" t="str">
        <f>IFERROR(VLOOKUP(E3060,'Condensed Specialty Crosswalk'!$A$2:$C$106,3,FALSE),"")</f>
        <v/>
      </c>
    </row>
    <row r="3061" spans="5:7" ht="15" customHeight="1">
      <c r="E3061" s="49" t="str">
        <f>IFERROR(VLOOKUP(D3061,'taxonomy map'!$A$1:$C$107,2,FALSE),"")</f>
        <v/>
      </c>
      <c r="F3061" s="49" t="str">
        <f>IFERROR(VLOOKUP(E3061,'Condensed Specialty Crosswalk'!$A$2:$C$106,2,FALSE),"")</f>
        <v/>
      </c>
      <c r="G3061" s="49" t="str">
        <f>IFERROR(VLOOKUP(E3061,'Condensed Specialty Crosswalk'!$A$2:$C$106,3,FALSE),"")</f>
        <v/>
      </c>
    </row>
    <row r="3062" spans="5:7" ht="15" customHeight="1">
      <c r="E3062" s="49" t="str">
        <f>IFERROR(VLOOKUP(D3062,'taxonomy map'!$A$1:$C$107,2,FALSE),"")</f>
        <v/>
      </c>
      <c r="F3062" s="49" t="str">
        <f>IFERROR(VLOOKUP(E3062,'Condensed Specialty Crosswalk'!$A$2:$C$106,2,FALSE),"")</f>
        <v/>
      </c>
      <c r="G3062" s="49" t="str">
        <f>IFERROR(VLOOKUP(E3062,'Condensed Specialty Crosswalk'!$A$2:$C$106,3,FALSE),"")</f>
        <v/>
      </c>
    </row>
    <row r="3063" spans="5:7" ht="15" customHeight="1">
      <c r="E3063" s="49" t="str">
        <f>IFERROR(VLOOKUP(D3063,'taxonomy map'!$A$1:$C$107,2,FALSE),"")</f>
        <v/>
      </c>
      <c r="F3063" s="49" t="str">
        <f>IFERROR(VLOOKUP(E3063,'Condensed Specialty Crosswalk'!$A$2:$C$106,2,FALSE),"")</f>
        <v/>
      </c>
      <c r="G3063" s="49" t="str">
        <f>IFERROR(VLOOKUP(E3063,'Condensed Specialty Crosswalk'!$A$2:$C$106,3,FALSE),"")</f>
        <v/>
      </c>
    </row>
    <row r="3064" spans="5:7" ht="15" customHeight="1">
      <c r="E3064" s="49" t="str">
        <f>IFERROR(VLOOKUP(D3064,'taxonomy map'!$A$1:$C$107,2,FALSE),"")</f>
        <v/>
      </c>
      <c r="F3064" s="49" t="str">
        <f>IFERROR(VLOOKUP(E3064,'Condensed Specialty Crosswalk'!$A$2:$C$106,2,FALSE),"")</f>
        <v/>
      </c>
      <c r="G3064" s="49" t="str">
        <f>IFERROR(VLOOKUP(E3064,'Condensed Specialty Crosswalk'!$A$2:$C$106,3,FALSE),"")</f>
        <v/>
      </c>
    </row>
    <row r="3065" spans="5:7" ht="15" customHeight="1">
      <c r="E3065" s="49" t="str">
        <f>IFERROR(VLOOKUP(D3065,'taxonomy map'!$A$1:$C$107,2,FALSE),"")</f>
        <v/>
      </c>
      <c r="F3065" s="49" t="str">
        <f>IFERROR(VLOOKUP(E3065,'Condensed Specialty Crosswalk'!$A$2:$C$106,2,FALSE),"")</f>
        <v/>
      </c>
      <c r="G3065" s="49" t="str">
        <f>IFERROR(VLOOKUP(E3065,'Condensed Specialty Crosswalk'!$A$2:$C$106,3,FALSE),"")</f>
        <v/>
      </c>
    </row>
    <row r="3066" spans="5:7" ht="15" customHeight="1">
      <c r="E3066" s="49" t="str">
        <f>IFERROR(VLOOKUP(D3066,'taxonomy map'!$A$1:$C$107,2,FALSE),"")</f>
        <v/>
      </c>
      <c r="F3066" s="49" t="str">
        <f>IFERROR(VLOOKUP(E3066,'Condensed Specialty Crosswalk'!$A$2:$C$106,2,FALSE),"")</f>
        <v/>
      </c>
      <c r="G3066" s="49" t="str">
        <f>IFERROR(VLOOKUP(E3066,'Condensed Specialty Crosswalk'!$A$2:$C$106,3,FALSE),"")</f>
        <v/>
      </c>
    </row>
    <row r="3067" spans="5:7" ht="15" customHeight="1">
      <c r="E3067" s="49" t="str">
        <f>IFERROR(VLOOKUP(D3067,'taxonomy map'!$A$1:$C$107,2,FALSE),"")</f>
        <v/>
      </c>
      <c r="F3067" s="49" t="str">
        <f>IFERROR(VLOOKUP(E3067,'Condensed Specialty Crosswalk'!$A$2:$C$106,2,FALSE),"")</f>
        <v/>
      </c>
      <c r="G3067" s="49" t="str">
        <f>IFERROR(VLOOKUP(E3067,'Condensed Specialty Crosswalk'!$A$2:$C$106,3,FALSE),"")</f>
        <v/>
      </c>
    </row>
    <row r="3068" spans="5:7" ht="15" customHeight="1">
      <c r="E3068" s="49" t="str">
        <f>IFERROR(VLOOKUP(D3068,'taxonomy map'!$A$1:$C$107,2,FALSE),"")</f>
        <v/>
      </c>
      <c r="F3068" s="49" t="str">
        <f>IFERROR(VLOOKUP(E3068,'Condensed Specialty Crosswalk'!$A$2:$C$106,2,FALSE),"")</f>
        <v/>
      </c>
      <c r="G3068" s="49" t="str">
        <f>IFERROR(VLOOKUP(E3068,'Condensed Specialty Crosswalk'!$A$2:$C$106,3,FALSE),"")</f>
        <v/>
      </c>
    </row>
    <row r="3069" spans="5:7" ht="15" customHeight="1">
      <c r="E3069" s="49" t="str">
        <f>IFERROR(VLOOKUP(D3069,'taxonomy map'!$A$1:$C$107,2,FALSE),"")</f>
        <v/>
      </c>
      <c r="F3069" s="49" t="str">
        <f>IFERROR(VLOOKUP(E3069,'Condensed Specialty Crosswalk'!$A$2:$C$106,2,FALSE),"")</f>
        <v/>
      </c>
      <c r="G3069" s="49" t="str">
        <f>IFERROR(VLOOKUP(E3069,'Condensed Specialty Crosswalk'!$A$2:$C$106,3,FALSE),"")</f>
        <v/>
      </c>
    </row>
    <row r="3070" spans="5:7" ht="15" customHeight="1">
      <c r="E3070" s="49" t="str">
        <f>IFERROR(VLOOKUP(D3070,'taxonomy map'!$A$1:$C$107,2,FALSE),"")</f>
        <v/>
      </c>
      <c r="F3070" s="49" t="str">
        <f>IFERROR(VLOOKUP(E3070,'Condensed Specialty Crosswalk'!$A$2:$C$106,2,FALSE),"")</f>
        <v/>
      </c>
      <c r="G3070" s="49" t="str">
        <f>IFERROR(VLOOKUP(E3070,'Condensed Specialty Crosswalk'!$A$2:$C$106,3,FALSE),"")</f>
        <v/>
      </c>
    </row>
    <row r="3071" spans="5:7" ht="15" customHeight="1">
      <c r="E3071" s="49" t="str">
        <f>IFERROR(VLOOKUP(D3071,'taxonomy map'!$A$1:$C$107,2,FALSE),"")</f>
        <v/>
      </c>
      <c r="F3071" s="49" t="str">
        <f>IFERROR(VLOOKUP(E3071,'Condensed Specialty Crosswalk'!$A$2:$C$106,2,FALSE),"")</f>
        <v/>
      </c>
      <c r="G3071" s="49" t="str">
        <f>IFERROR(VLOOKUP(E3071,'Condensed Specialty Crosswalk'!$A$2:$C$106,3,FALSE),"")</f>
        <v/>
      </c>
    </row>
    <row r="3072" spans="5:7" ht="15" customHeight="1">
      <c r="E3072" s="49" t="str">
        <f>IFERROR(VLOOKUP(D3072,'taxonomy map'!$A$1:$C$107,2,FALSE),"")</f>
        <v/>
      </c>
      <c r="F3072" s="49" t="str">
        <f>IFERROR(VLOOKUP(E3072,'Condensed Specialty Crosswalk'!$A$2:$C$106,2,FALSE),"")</f>
        <v/>
      </c>
      <c r="G3072" s="49" t="str">
        <f>IFERROR(VLOOKUP(E3072,'Condensed Specialty Crosswalk'!$A$2:$C$106,3,FALSE),"")</f>
        <v/>
      </c>
    </row>
    <row r="3073" spans="5:7" ht="15" customHeight="1">
      <c r="E3073" s="49" t="str">
        <f>IFERROR(VLOOKUP(D3073,'taxonomy map'!$A$1:$C$107,2,FALSE),"")</f>
        <v/>
      </c>
      <c r="F3073" s="49" t="str">
        <f>IFERROR(VLOOKUP(E3073,'Condensed Specialty Crosswalk'!$A$2:$C$106,2,FALSE),"")</f>
        <v/>
      </c>
      <c r="G3073" s="49" t="str">
        <f>IFERROR(VLOOKUP(E3073,'Condensed Specialty Crosswalk'!$A$2:$C$106,3,FALSE),"")</f>
        <v/>
      </c>
    </row>
    <row r="3074" spans="5:7" ht="15" customHeight="1">
      <c r="E3074" s="49" t="str">
        <f>IFERROR(VLOOKUP(D3074,'taxonomy map'!$A$1:$C$107,2,FALSE),"")</f>
        <v/>
      </c>
      <c r="F3074" s="49" t="str">
        <f>IFERROR(VLOOKUP(E3074,'Condensed Specialty Crosswalk'!$A$2:$C$106,2,FALSE),"")</f>
        <v/>
      </c>
      <c r="G3074" s="49" t="str">
        <f>IFERROR(VLOOKUP(E3074,'Condensed Specialty Crosswalk'!$A$2:$C$106,3,FALSE),"")</f>
        <v/>
      </c>
    </row>
    <row r="3075" spans="5:7" ht="15" customHeight="1">
      <c r="E3075" s="49" t="str">
        <f>IFERROR(VLOOKUP(D3075,'taxonomy map'!$A$1:$C$107,2,FALSE),"")</f>
        <v/>
      </c>
      <c r="F3075" s="49" t="str">
        <f>IFERROR(VLOOKUP(E3075,'Condensed Specialty Crosswalk'!$A$2:$C$106,2,FALSE),"")</f>
        <v/>
      </c>
      <c r="G3075" s="49" t="str">
        <f>IFERROR(VLOOKUP(E3075,'Condensed Specialty Crosswalk'!$A$2:$C$106,3,FALSE),"")</f>
        <v/>
      </c>
    </row>
    <row r="3076" spans="5:7" ht="15" customHeight="1">
      <c r="E3076" s="49" t="str">
        <f>IFERROR(VLOOKUP(D3076,'taxonomy map'!$A$1:$C$107,2,FALSE),"")</f>
        <v/>
      </c>
      <c r="F3076" s="49" t="str">
        <f>IFERROR(VLOOKUP(E3076,'Condensed Specialty Crosswalk'!$A$2:$C$106,2,FALSE),"")</f>
        <v/>
      </c>
      <c r="G3076" s="49" t="str">
        <f>IFERROR(VLOOKUP(E3076,'Condensed Specialty Crosswalk'!$A$2:$C$106,3,FALSE),"")</f>
        <v/>
      </c>
    </row>
    <row r="3077" spans="5:7" ht="15" customHeight="1">
      <c r="E3077" s="49" t="str">
        <f>IFERROR(VLOOKUP(D3077,'taxonomy map'!$A$1:$C$107,2,FALSE),"")</f>
        <v/>
      </c>
      <c r="F3077" s="49" t="str">
        <f>IFERROR(VLOOKUP(E3077,'Condensed Specialty Crosswalk'!$A$2:$C$106,2,FALSE),"")</f>
        <v/>
      </c>
      <c r="G3077" s="49" t="str">
        <f>IFERROR(VLOOKUP(E3077,'Condensed Specialty Crosswalk'!$A$2:$C$106,3,FALSE),"")</f>
        <v/>
      </c>
    </row>
    <row r="3078" spans="5:7" ht="15" customHeight="1">
      <c r="E3078" s="49" t="str">
        <f>IFERROR(VLOOKUP(D3078,'taxonomy map'!$A$1:$C$107,2,FALSE),"")</f>
        <v/>
      </c>
      <c r="F3078" s="49" t="str">
        <f>IFERROR(VLOOKUP(E3078,'Condensed Specialty Crosswalk'!$A$2:$C$106,2,FALSE),"")</f>
        <v/>
      </c>
      <c r="G3078" s="49" t="str">
        <f>IFERROR(VLOOKUP(E3078,'Condensed Specialty Crosswalk'!$A$2:$C$106,3,FALSE),"")</f>
        <v/>
      </c>
    </row>
    <row r="3079" spans="5:7" ht="15" customHeight="1">
      <c r="E3079" s="49" t="str">
        <f>IFERROR(VLOOKUP(D3079,'taxonomy map'!$A$1:$C$107,2,FALSE),"")</f>
        <v/>
      </c>
      <c r="F3079" s="49" t="str">
        <f>IFERROR(VLOOKUP(E3079,'Condensed Specialty Crosswalk'!$A$2:$C$106,2,FALSE),"")</f>
        <v/>
      </c>
      <c r="G3079" s="49" t="str">
        <f>IFERROR(VLOOKUP(E3079,'Condensed Specialty Crosswalk'!$A$2:$C$106,3,FALSE),"")</f>
        <v/>
      </c>
    </row>
    <row r="3080" spans="5:7" ht="15" customHeight="1">
      <c r="E3080" s="49" t="str">
        <f>IFERROR(VLOOKUP(D3080,'taxonomy map'!$A$1:$C$107,2,FALSE),"")</f>
        <v/>
      </c>
      <c r="F3080" s="49" t="str">
        <f>IFERROR(VLOOKUP(E3080,'Condensed Specialty Crosswalk'!$A$2:$C$106,2,FALSE),"")</f>
        <v/>
      </c>
      <c r="G3080" s="49" t="str">
        <f>IFERROR(VLOOKUP(E3080,'Condensed Specialty Crosswalk'!$A$2:$C$106,3,FALSE),"")</f>
        <v/>
      </c>
    </row>
    <row r="3081" spans="5:7" ht="15" customHeight="1">
      <c r="E3081" s="49" t="str">
        <f>IFERROR(VLOOKUP(D3081,'taxonomy map'!$A$1:$C$107,2,FALSE),"")</f>
        <v/>
      </c>
      <c r="F3081" s="49" t="str">
        <f>IFERROR(VLOOKUP(E3081,'Condensed Specialty Crosswalk'!$A$2:$C$106,2,FALSE),"")</f>
        <v/>
      </c>
      <c r="G3081" s="49" t="str">
        <f>IFERROR(VLOOKUP(E3081,'Condensed Specialty Crosswalk'!$A$2:$C$106,3,FALSE),"")</f>
        <v/>
      </c>
    </row>
    <row r="3082" spans="5:7" ht="15" customHeight="1">
      <c r="E3082" s="49" t="str">
        <f>IFERROR(VLOOKUP(D3082,'taxonomy map'!$A$1:$C$107,2,FALSE),"")</f>
        <v/>
      </c>
      <c r="F3082" s="49" t="str">
        <f>IFERROR(VLOOKUP(E3082,'Condensed Specialty Crosswalk'!$A$2:$C$106,2,FALSE),"")</f>
        <v/>
      </c>
      <c r="G3082" s="49" t="str">
        <f>IFERROR(VLOOKUP(E3082,'Condensed Specialty Crosswalk'!$A$2:$C$106,3,FALSE),"")</f>
        <v/>
      </c>
    </row>
    <row r="3083" spans="5:7" ht="15" customHeight="1">
      <c r="E3083" s="49" t="str">
        <f>IFERROR(VLOOKUP(D3083,'taxonomy map'!$A$1:$C$107,2,FALSE),"")</f>
        <v/>
      </c>
      <c r="F3083" s="49" t="str">
        <f>IFERROR(VLOOKUP(E3083,'Condensed Specialty Crosswalk'!$A$2:$C$106,2,FALSE),"")</f>
        <v/>
      </c>
      <c r="G3083" s="49" t="str">
        <f>IFERROR(VLOOKUP(E3083,'Condensed Specialty Crosswalk'!$A$2:$C$106,3,FALSE),"")</f>
        <v/>
      </c>
    </row>
    <row r="3084" spans="5:7" ht="15" customHeight="1">
      <c r="E3084" s="49" t="str">
        <f>IFERROR(VLOOKUP(D3084,'taxonomy map'!$A$1:$C$107,2,FALSE),"")</f>
        <v/>
      </c>
      <c r="F3084" s="49" t="str">
        <f>IFERROR(VLOOKUP(E3084,'Condensed Specialty Crosswalk'!$A$2:$C$106,2,FALSE),"")</f>
        <v/>
      </c>
      <c r="G3084" s="49" t="str">
        <f>IFERROR(VLOOKUP(E3084,'Condensed Specialty Crosswalk'!$A$2:$C$106,3,FALSE),"")</f>
        <v/>
      </c>
    </row>
    <row r="3085" spans="5:7" ht="15" customHeight="1">
      <c r="E3085" s="49" t="str">
        <f>IFERROR(VLOOKUP(D3085,'taxonomy map'!$A$1:$C$107,2,FALSE),"")</f>
        <v/>
      </c>
      <c r="F3085" s="49" t="str">
        <f>IFERROR(VLOOKUP(E3085,'Condensed Specialty Crosswalk'!$A$2:$C$106,2,FALSE),"")</f>
        <v/>
      </c>
      <c r="G3085" s="49" t="str">
        <f>IFERROR(VLOOKUP(E3085,'Condensed Specialty Crosswalk'!$A$2:$C$106,3,FALSE),"")</f>
        <v/>
      </c>
    </row>
    <row r="3086" spans="5:7" ht="15" customHeight="1">
      <c r="E3086" s="49" t="str">
        <f>IFERROR(VLOOKUP(D3086,'taxonomy map'!$A$1:$C$107,2,FALSE),"")</f>
        <v/>
      </c>
      <c r="F3086" s="49" t="str">
        <f>IFERROR(VLOOKUP(E3086,'Condensed Specialty Crosswalk'!$A$2:$C$106,2,FALSE),"")</f>
        <v/>
      </c>
      <c r="G3086" s="49" t="str">
        <f>IFERROR(VLOOKUP(E3086,'Condensed Specialty Crosswalk'!$A$2:$C$106,3,FALSE),"")</f>
        <v/>
      </c>
    </row>
    <row r="3087" spans="5:7" ht="15" customHeight="1">
      <c r="E3087" s="49" t="str">
        <f>IFERROR(VLOOKUP(D3087,'taxonomy map'!$A$1:$C$107,2,FALSE),"")</f>
        <v/>
      </c>
      <c r="F3087" s="49" t="str">
        <f>IFERROR(VLOOKUP(E3087,'Condensed Specialty Crosswalk'!$A$2:$C$106,2,FALSE),"")</f>
        <v/>
      </c>
      <c r="G3087" s="49" t="str">
        <f>IFERROR(VLOOKUP(E3087,'Condensed Specialty Crosswalk'!$A$2:$C$106,3,FALSE),"")</f>
        <v/>
      </c>
    </row>
    <row r="3088" spans="5:7" ht="15" customHeight="1">
      <c r="E3088" s="49" t="str">
        <f>IFERROR(VLOOKUP(D3088,'taxonomy map'!$A$1:$C$107,2,FALSE),"")</f>
        <v/>
      </c>
      <c r="F3088" s="49" t="str">
        <f>IFERROR(VLOOKUP(E3088,'Condensed Specialty Crosswalk'!$A$2:$C$106,2,FALSE),"")</f>
        <v/>
      </c>
      <c r="G3088" s="49" t="str">
        <f>IFERROR(VLOOKUP(E3088,'Condensed Specialty Crosswalk'!$A$2:$C$106,3,FALSE),"")</f>
        <v/>
      </c>
    </row>
    <row r="3089" spans="5:7" ht="15" customHeight="1">
      <c r="E3089" s="49" t="str">
        <f>IFERROR(VLOOKUP(D3089,'taxonomy map'!$A$1:$C$107,2,FALSE),"")</f>
        <v/>
      </c>
      <c r="F3089" s="49" t="str">
        <f>IFERROR(VLOOKUP(E3089,'Condensed Specialty Crosswalk'!$A$2:$C$106,2,FALSE),"")</f>
        <v/>
      </c>
      <c r="G3089" s="49" t="str">
        <f>IFERROR(VLOOKUP(E3089,'Condensed Specialty Crosswalk'!$A$2:$C$106,3,FALSE),"")</f>
        <v/>
      </c>
    </row>
    <row r="3090" spans="5:7" ht="15" customHeight="1">
      <c r="E3090" s="49" t="str">
        <f>IFERROR(VLOOKUP(D3090,'taxonomy map'!$A$1:$C$107,2,FALSE),"")</f>
        <v/>
      </c>
      <c r="F3090" s="49" t="str">
        <f>IFERROR(VLOOKUP(E3090,'Condensed Specialty Crosswalk'!$A$2:$C$106,2,FALSE),"")</f>
        <v/>
      </c>
      <c r="G3090" s="49" t="str">
        <f>IFERROR(VLOOKUP(E3090,'Condensed Specialty Crosswalk'!$A$2:$C$106,3,FALSE),"")</f>
        <v/>
      </c>
    </row>
    <row r="3091" spans="5:7" ht="15" customHeight="1">
      <c r="E3091" s="49" t="str">
        <f>IFERROR(VLOOKUP(D3091,'taxonomy map'!$A$1:$C$107,2,FALSE),"")</f>
        <v/>
      </c>
      <c r="F3091" s="49" t="str">
        <f>IFERROR(VLOOKUP(E3091,'Condensed Specialty Crosswalk'!$A$2:$C$106,2,FALSE),"")</f>
        <v/>
      </c>
      <c r="G3091" s="49" t="str">
        <f>IFERROR(VLOOKUP(E3091,'Condensed Specialty Crosswalk'!$A$2:$C$106,3,FALSE),"")</f>
        <v/>
      </c>
    </row>
    <row r="3092" spans="5:7" ht="15" customHeight="1">
      <c r="E3092" s="49" t="str">
        <f>IFERROR(VLOOKUP(D3092,'taxonomy map'!$A$1:$C$107,2,FALSE),"")</f>
        <v/>
      </c>
      <c r="F3092" s="49" t="str">
        <f>IFERROR(VLOOKUP(E3092,'Condensed Specialty Crosswalk'!$A$2:$C$106,2,FALSE),"")</f>
        <v/>
      </c>
      <c r="G3092" s="49" t="str">
        <f>IFERROR(VLOOKUP(E3092,'Condensed Specialty Crosswalk'!$A$2:$C$106,3,FALSE),"")</f>
        <v/>
      </c>
    </row>
    <row r="3093" spans="5:7" ht="15" customHeight="1">
      <c r="E3093" s="49" t="str">
        <f>IFERROR(VLOOKUP(D3093,'taxonomy map'!$A$1:$C$107,2,FALSE),"")</f>
        <v/>
      </c>
      <c r="F3093" s="49" t="str">
        <f>IFERROR(VLOOKUP(E3093,'Condensed Specialty Crosswalk'!$A$2:$C$106,2,FALSE),"")</f>
        <v/>
      </c>
      <c r="G3093" s="49" t="str">
        <f>IFERROR(VLOOKUP(E3093,'Condensed Specialty Crosswalk'!$A$2:$C$106,3,FALSE),"")</f>
        <v/>
      </c>
    </row>
    <row r="3094" spans="5:7" ht="15" customHeight="1">
      <c r="E3094" s="49" t="str">
        <f>IFERROR(VLOOKUP(D3094,'taxonomy map'!$A$1:$C$107,2,FALSE),"")</f>
        <v/>
      </c>
      <c r="F3094" s="49" t="str">
        <f>IFERROR(VLOOKUP(E3094,'Condensed Specialty Crosswalk'!$A$2:$C$106,2,FALSE),"")</f>
        <v/>
      </c>
      <c r="G3094" s="49" t="str">
        <f>IFERROR(VLOOKUP(E3094,'Condensed Specialty Crosswalk'!$A$2:$C$106,3,FALSE),"")</f>
        <v/>
      </c>
    </row>
    <row r="3095" spans="5:7" ht="15" customHeight="1">
      <c r="E3095" s="49" t="str">
        <f>IFERROR(VLOOKUP(D3095,'taxonomy map'!$A$1:$C$107,2,FALSE),"")</f>
        <v/>
      </c>
      <c r="F3095" s="49" t="str">
        <f>IFERROR(VLOOKUP(E3095,'Condensed Specialty Crosswalk'!$A$2:$C$106,2,FALSE),"")</f>
        <v/>
      </c>
      <c r="G3095" s="49" t="str">
        <f>IFERROR(VLOOKUP(E3095,'Condensed Specialty Crosswalk'!$A$2:$C$106,3,FALSE),"")</f>
        <v/>
      </c>
    </row>
    <row r="3096" spans="5:7" ht="15" customHeight="1">
      <c r="E3096" s="49" t="str">
        <f>IFERROR(VLOOKUP(D3096,'taxonomy map'!$A$1:$C$107,2,FALSE),"")</f>
        <v/>
      </c>
      <c r="F3096" s="49" t="str">
        <f>IFERROR(VLOOKUP(E3096,'Condensed Specialty Crosswalk'!$A$2:$C$106,2,FALSE),"")</f>
        <v/>
      </c>
      <c r="G3096" s="49" t="str">
        <f>IFERROR(VLOOKUP(E3096,'Condensed Specialty Crosswalk'!$A$2:$C$106,3,FALSE),"")</f>
        <v/>
      </c>
    </row>
    <row r="3097" spans="5:7" ht="15" customHeight="1">
      <c r="E3097" s="49" t="str">
        <f>IFERROR(VLOOKUP(D3097,'taxonomy map'!$A$1:$C$107,2,FALSE),"")</f>
        <v/>
      </c>
      <c r="F3097" s="49" t="str">
        <f>IFERROR(VLOOKUP(E3097,'Condensed Specialty Crosswalk'!$A$2:$C$106,2,FALSE),"")</f>
        <v/>
      </c>
      <c r="G3097" s="49" t="str">
        <f>IFERROR(VLOOKUP(E3097,'Condensed Specialty Crosswalk'!$A$2:$C$106,3,FALSE),"")</f>
        <v/>
      </c>
    </row>
    <row r="3098" spans="5:7" ht="15" customHeight="1">
      <c r="E3098" s="49" t="str">
        <f>IFERROR(VLOOKUP(D3098,'taxonomy map'!$A$1:$C$107,2,FALSE),"")</f>
        <v/>
      </c>
      <c r="F3098" s="49" t="str">
        <f>IFERROR(VLOOKUP(E3098,'Condensed Specialty Crosswalk'!$A$2:$C$106,2,FALSE),"")</f>
        <v/>
      </c>
      <c r="G3098" s="49" t="str">
        <f>IFERROR(VLOOKUP(E3098,'Condensed Specialty Crosswalk'!$A$2:$C$106,3,FALSE),"")</f>
        <v/>
      </c>
    </row>
    <row r="3099" spans="5:7" ht="15" customHeight="1">
      <c r="E3099" s="49" t="str">
        <f>IFERROR(VLOOKUP(D3099,'taxonomy map'!$A$1:$C$107,2,FALSE),"")</f>
        <v/>
      </c>
      <c r="F3099" s="49" t="str">
        <f>IFERROR(VLOOKUP(E3099,'Condensed Specialty Crosswalk'!$A$2:$C$106,2,FALSE),"")</f>
        <v/>
      </c>
      <c r="G3099" s="49" t="str">
        <f>IFERROR(VLOOKUP(E3099,'Condensed Specialty Crosswalk'!$A$2:$C$106,3,FALSE),"")</f>
        <v/>
      </c>
    </row>
    <row r="3100" spans="5:7" ht="15" customHeight="1">
      <c r="E3100" s="49" t="str">
        <f>IFERROR(VLOOKUP(D3100,'taxonomy map'!$A$1:$C$107,2,FALSE),"")</f>
        <v/>
      </c>
      <c r="F3100" s="49" t="str">
        <f>IFERROR(VLOOKUP(E3100,'Condensed Specialty Crosswalk'!$A$2:$C$106,2,FALSE),"")</f>
        <v/>
      </c>
      <c r="G3100" s="49" t="str">
        <f>IFERROR(VLOOKUP(E3100,'Condensed Specialty Crosswalk'!$A$2:$C$106,3,FALSE),"")</f>
        <v/>
      </c>
    </row>
    <row r="3101" spans="5:7" ht="15" customHeight="1">
      <c r="E3101" s="49" t="str">
        <f>IFERROR(VLOOKUP(D3101,'taxonomy map'!$A$1:$C$107,2,FALSE),"")</f>
        <v/>
      </c>
      <c r="F3101" s="49" t="str">
        <f>IFERROR(VLOOKUP(E3101,'Condensed Specialty Crosswalk'!$A$2:$C$106,2,FALSE),"")</f>
        <v/>
      </c>
      <c r="G3101" s="49" t="str">
        <f>IFERROR(VLOOKUP(E3101,'Condensed Specialty Crosswalk'!$A$2:$C$106,3,FALSE),"")</f>
        <v/>
      </c>
    </row>
    <row r="3102" spans="5:7" ht="15" customHeight="1">
      <c r="E3102" s="49" t="str">
        <f>IFERROR(VLOOKUP(D3102,'taxonomy map'!$A$1:$C$107,2,FALSE),"")</f>
        <v/>
      </c>
      <c r="F3102" s="49" t="str">
        <f>IFERROR(VLOOKUP(E3102,'Condensed Specialty Crosswalk'!$A$2:$C$106,2,FALSE),"")</f>
        <v/>
      </c>
      <c r="G3102" s="49" t="str">
        <f>IFERROR(VLOOKUP(E3102,'Condensed Specialty Crosswalk'!$A$2:$C$106,3,FALSE),"")</f>
        <v/>
      </c>
    </row>
    <row r="3103" spans="5:7" ht="15" customHeight="1">
      <c r="E3103" s="49" t="str">
        <f>IFERROR(VLOOKUP(D3103,'taxonomy map'!$A$1:$C$107,2,FALSE),"")</f>
        <v/>
      </c>
      <c r="F3103" s="49" t="str">
        <f>IFERROR(VLOOKUP(E3103,'Condensed Specialty Crosswalk'!$A$2:$C$106,2,FALSE),"")</f>
        <v/>
      </c>
      <c r="G3103" s="49" t="str">
        <f>IFERROR(VLOOKUP(E3103,'Condensed Specialty Crosswalk'!$A$2:$C$106,3,FALSE),"")</f>
        <v/>
      </c>
    </row>
    <row r="3104" spans="5:7" ht="15" customHeight="1">
      <c r="E3104" s="49" t="str">
        <f>IFERROR(VLOOKUP(D3104,'taxonomy map'!$A$1:$C$107,2,FALSE),"")</f>
        <v/>
      </c>
      <c r="F3104" s="49" t="str">
        <f>IFERROR(VLOOKUP(E3104,'Condensed Specialty Crosswalk'!$A$2:$C$106,2,FALSE),"")</f>
        <v/>
      </c>
      <c r="G3104" s="49" t="str">
        <f>IFERROR(VLOOKUP(E3104,'Condensed Specialty Crosswalk'!$A$2:$C$106,3,FALSE),"")</f>
        <v/>
      </c>
    </row>
    <row r="3105" spans="5:7" ht="15" customHeight="1">
      <c r="E3105" s="49" t="str">
        <f>IFERROR(VLOOKUP(D3105,'taxonomy map'!$A$1:$C$107,2,FALSE),"")</f>
        <v/>
      </c>
      <c r="F3105" s="49" t="str">
        <f>IFERROR(VLOOKUP(E3105,'Condensed Specialty Crosswalk'!$A$2:$C$106,2,FALSE),"")</f>
        <v/>
      </c>
      <c r="G3105" s="49" t="str">
        <f>IFERROR(VLOOKUP(E3105,'Condensed Specialty Crosswalk'!$A$2:$C$106,3,FALSE),"")</f>
        <v/>
      </c>
    </row>
    <row r="3106" spans="5:7" ht="15" customHeight="1">
      <c r="E3106" s="49" t="str">
        <f>IFERROR(VLOOKUP(D3106,'taxonomy map'!$A$1:$C$107,2,FALSE),"")</f>
        <v/>
      </c>
      <c r="F3106" s="49" t="str">
        <f>IFERROR(VLOOKUP(E3106,'Condensed Specialty Crosswalk'!$A$2:$C$106,2,FALSE),"")</f>
        <v/>
      </c>
      <c r="G3106" s="49" t="str">
        <f>IFERROR(VLOOKUP(E3106,'Condensed Specialty Crosswalk'!$A$2:$C$106,3,FALSE),"")</f>
        <v/>
      </c>
    </row>
    <row r="3107" spans="5:7" ht="15" customHeight="1">
      <c r="E3107" s="49" t="str">
        <f>IFERROR(VLOOKUP(D3107,'taxonomy map'!$A$1:$C$107,2,FALSE),"")</f>
        <v/>
      </c>
      <c r="F3107" s="49" t="str">
        <f>IFERROR(VLOOKUP(E3107,'Condensed Specialty Crosswalk'!$A$2:$C$106,2,FALSE),"")</f>
        <v/>
      </c>
      <c r="G3107" s="49" t="str">
        <f>IFERROR(VLOOKUP(E3107,'Condensed Specialty Crosswalk'!$A$2:$C$106,3,FALSE),"")</f>
        <v/>
      </c>
    </row>
    <row r="3108" spans="5:7" ht="15" customHeight="1">
      <c r="E3108" s="49" t="str">
        <f>IFERROR(VLOOKUP(D3108,'taxonomy map'!$A$1:$C$107,2,FALSE),"")</f>
        <v/>
      </c>
      <c r="F3108" s="49" t="str">
        <f>IFERROR(VLOOKUP(E3108,'Condensed Specialty Crosswalk'!$A$2:$C$106,2,FALSE),"")</f>
        <v/>
      </c>
      <c r="G3108" s="49" t="str">
        <f>IFERROR(VLOOKUP(E3108,'Condensed Specialty Crosswalk'!$A$2:$C$106,3,FALSE),"")</f>
        <v/>
      </c>
    </row>
    <row r="3109" spans="5:7" ht="15" customHeight="1">
      <c r="E3109" s="49" t="str">
        <f>IFERROR(VLOOKUP(D3109,'taxonomy map'!$A$1:$C$107,2,FALSE),"")</f>
        <v/>
      </c>
      <c r="F3109" s="49" t="str">
        <f>IFERROR(VLOOKUP(E3109,'Condensed Specialty Crosswalk'!$A$2:$C$106,2,FALSE),"")</f>
        <v/>
      </c>
      <c r="G3109" s="49" t="str">
        <f>IFERROR(VLOOKUP(E3109,'Condensed Specialty Crosswalk'!$A$2:$C$106,3,FALSE),"")</f>
        <v/>
      </c>
    </row>
    <row r="3110" spans="5:7" ht="15" customHeight="1">
      <c r="E3110" s="49" t="str">
        <f>IFERROR(VLOOKUP(D3110,'taxonomy map'!$A$1:$C$107,2,FALSE),"")</f>
        <v/>
      </c>
      <c r="F3110" s="49" t="str">
        <f>IFERROR(VLOOKUP(E3110,'Condensed Specialty Crosswalk'!$A$2:$C$106,2,FALSE),"")</f>
        <v/>
      </c>
      <c r="G3110" s="49" t="str">
        <f>IFERROR(VLOOKUP(E3110,'Condensed Specialty Crosswalk'!$A$2:$C$106,3,FALSE),"")</f>
        <v/>
      </c>
    </row>
    <row r="3111" spans="5:7" ht="15" customHeight="1">
      <c r="E3111" s="49" t="str">
        <f>IFERROR(VLOOKUP(D3111,'taxonomy map'!$A$1:$C$107,2,FALSE),"")</f>
        <v/>
      </c>
      <c r="F3111" s="49" t="str">
        <f>IFERROR(VLOOKUP(E3111,'Condensed Specialty Crosswalk'!$A$2:$C$106,2,FALSE),"")</f>
        <v/>
      </c>
      <c r="G3111" s="49" t="str">
        <f>IFERROR(VLOOKUP(E3111,'Condensed Specialty Crosswalk'!$A$2:$C$106,3,FALSE),"")</f>
        <v/>
      </c>
    </row>
    <row r="3112" spans="5:7" ht="15" customHeight="1">
      <c r="E3112" s="49" t="str">
        <f>IFERROR(VLOOKUP(D3112,'taxonomy map'!$A$1:$C$107,2,FALSE),"")</f>
        <v/>
      </c>
      <c r="F3112" s="49" t="str">
        <f>IFERROR(VLOOKUP(E3112,'Condensed Specialty Crosswalk'!$A$2:$C$106,2,FALSE),"")</f>
        <v/>
      </c>
      <c r="G3112" s="49" t="str">
        <f>IFERROR(VLOOKUP(E3112,'Condensed Specialty Crosswalk'!$A$2:$C$106,3,FALSE),"")</f>
        <v/>
      </c>
    </row>
    <row r="3113" spans="5:7" ht="15" customHeight="1">
      <c r="E3113" s="49" t="str">
        <f>IFERROR(VLOOKUP(D3113,'taxonomy map'!$A$1:$C$107,2,FALSE),"")</f>
        <v/>
      </c>
      <c r="F3113" s="49" t="str">
        <f>IFERROR(VLOOKUP(E3113,'Condensed Specialty Crosswalk'!$A$2:$C$106,2,FALSE),"")</f>
        <v/>
      </c>
      <c r="G3113" s="49" t="str">
        <f>IFERROR(VLOOKUP(E3113,'Condensed Specialty Crosswalk'!$A$2:$C$106,3,FALSE),"")</f>
        <v/>
      </c>
    </row>
    <row r="3114" spans="5:7" ht="15" customHeight="1">
      <c r="E3114" s="49" t="str">
        <f>IFERROR(VLOOKUP(D3114,'taxonomy map'!$A$1:$C$107,2,FALSE),"")</f>
        <v/>
      </c>
      <c r="F3114" s="49" t="str">
        <f>IFERROR(VLOOKUP(E3114,'Condensed Specialty Crosswalk'!$A$2:$C$106,2,FALSE),"")</f>
        <v/>
      </c>
      <c r="G3114" s="49" t="str">
        <f>IFERROR(VLOOKUP(E3114,'Condensed Specialty Crosswalk'!$A$2:$C$106,3,FALSE),"")</f>
        <v/>
      </c>
    </row>
    <row r="3115" spans="5:7" ht="15" customHeight="1">
      <c r="E3115" s="49" t="str">
        <f>IFERROR(VLOOKUP(D3115,'taxonomy map'!$A$1:$C$107,2,FALSE),"")</f>
        <v/>
      </c>
      <c r="F3115" s="49" t="str">
        <f>IFERROR(VLOOKUP(E3115,'Condensed Specialty Crosswalk'!$A$2:$C$106,2,FALSE),"")</f>
        <v/>
      </c>
      <c r="G3115" s="49" t="str">
        <f>IFERROR(VLOOKUP(E3115,'Condensed Specialty Crosswalk'!$A$2:$C$106,3,FALSE),"")</f>
        <v/>
      </c>
    </row>
    <row r="3116" spans="5:7" ht="15" customHeight="1">
      <c r="E3116" s="49" t="str">
        <f>IFERROR(VLOOKUP(D3116,'taxonomy map'!$A$1:$C$107,2,FALSE),"")</f>
        <v/>
      </c>
      <c r="F3116" s="49" t="str">
        <f>IFERROR(VLOOKUP(E3116,'Condensed Specialty Crosswalk'!$A$2:$C$106,2,FALSE),"")</f>
        <v/>
      </c>
      <c r="G3116" s="49" t="str">
        <f>IFERROR(VLOOKUP(E3116,'Condensed Specialty Crosswalk'!$A$2:$C$106,3,FALSE),"")</f>
        <v/>
      </c>
    </row>
    <row r="3117" spans="5:7" ht="15" customHeight="1">
      <c r="E3117" s="49" t="str">
        <f>IFERROR(VLOOKUP(D3117,'taxonomy map'!$A$1:$C$107,2,FALSE),"")</f>
        <v/>
      </c>
      <c r="F3117" s="49" t="str">
        <f>IFERROR(VLOOKUP(E3117,'Condensed Specialty Crosswalk'!$A$2:$C$106,2,FALSE),"")</f>
        <v/>
      </c>
      <c r="G3117" s="49" t="str">
        <f>IFERROR(VLOOKUP(E3117,'Condensed Specialty Crosswalk'!$A$2:$C$106,3,FALSE),"")</f>
        <v/>
      </c>
    </row>
    <row r="3118" spans="5:7" ht="15" customHeight="1">
      <c r="E3118" s="49" t="str">
        <f>IFERROR(VLOOKUP(D3118,'taxonomy map'!$A$1:$C$107,2,FALSE),"")</f>
        <v/>
      </c>
      <c r="F3118" s="49" t="str">
        <f>IFERROR(VLOOKUP(E3118,'Condensed Specialty Crosswalk'!$A$2:$C$106,2,FALSE),"")</f>
        <v/>
      </c>
      <c r="G3118" s="49" t="str">
        <f>IFERROR(VLOOKUP(E3118,'Condensed Specialty Crosswalk'!$A$2:$C$106,3,FALSE),"")</f>
        <v/>
      </c>
    </row>
    <row r="3119" spans="5:7" ht="15" customHeight="1">
      <c r="E3119" s="49" t="str">
        <f>IFERROR(VLOOKUP(D3119,'taxonomy map'!$A$1:$C$107,2,FALSE),"")</f>
        <v/>
      </c>
      <c r="F3119" s="49" t="str">
        <f>IFERROR(VLOOKUP(E3119,'Condensed Specialty Crosswalk'!$A$2:$C$106,2,FALSE),"")</f>
        <v/>
      </c>
      <c r="G3119" s="49" t="str">
        <f>IFERROR(VLOOKUP(E3119,'Condensed Specialty Crosswalk'!$A$2:$C$106,3,FALSE),"")</f>
        <v/>
      </c>
    </row>
    <row r="3120" spans="5:7" ht="15" customHeight="1">
      <c r="E3120" s="49" t="str">
        <f>IFERROR(VLOOKUP(D3120,'taxonomy map'!$A$1:$C$107,2,FALSE),"")</f>
        <v/>
      </c>
      <c r="F3120" s="49" t="str">
        <f>IFERROR(VLOOKUP(E3120,'Condensed Specialty Crosswalk'!$A$2:$C$106,2,FALSE),"")</f>
        <v/>
      </c>
      <c r="G3120" s="49" t="str">
        <f>IFERROR(VLOOKUP(E3120,'Condensed Specialty Crosswalk'!$A$2:$C$106,3,FALSE),"")</f>
        <v/>
      </c>
    </row>
    <row r="3121" spans="5:7" ht="15" customHeight="1">
      <c r="E3121" s="49" t="str">
        <f>IFERROR(VLOOKUP(D3121,'taxonomy map'!$A$1:$C$107,2,FALSE),"")</f>
        <v/>
      </c>
      <c r="F3121" s="49" t="str">
        <f>IFERROR(VLOOKUP(E3121,'Condensed Specialty Crosswalk'!$A$2:$C$106,2,FALSE),"")</f>
        <v/>
      </c>
      <c r="G3121" s="49" t="str">
        <f>IFERROR(VLOOKUP(E3121,'Condensed Specialty Crosswalk'!$A$2:$C$106,3,FALSE),"")</f>
        <v/>
      </c>
    </row>
    <row r="3122" spans="5:7" ht="15" customHeight="1">
      <c r="E3122" s="49" t="str">
        <f>IFERROR(VLOOKUP(D3122,'taxonomy map'!$A$1:$C$107,2,FALSE),"")</f>
        <v/>
      </c>
      <c r="F3122" s="49" t="str">
        <f>IFERROR(VLOOKUP(E3122,'Condensed Specialty Crosswalk'!$A$2:$C$106,2,FALSE),"")</f>
        <v/>
      </c>
      <c r="G3122" s="49" t="str">
        <f>IFERROR(VLOOKUP(E3122,'Condensed Specialty Crosswalk'!$A$2:$C$106,3,FALSE),"")</f>
        <v/>
      </c>
    </row>
    <row r="3123" spans="5:7" ht="15" customHeight="1">
      <c r="E3123" s="49" t="str">
        <f>IFERROR(VLOOKUP(D3123,'taxonomy map'!$A$1:$C$107,2,FALSE),"")</f>
        <v/>
      </c>
      <c r="F3123" s="49" t="str">
        <f>IFERROR(VLOOKUP(E3123,'Condensed Specialty Crosswalk'!$A$2:$C$106,2,FALSE),"")</f>
        <v/>
      </c>
      <c r="G3123" s="49" t="str">
        <f>IFERROR(VLOOKUP(E3123,'Condensed Specialty Crosswalk'!$A$2:$C$106,3,FALSE),"")</f>
        <v/>
      </c>
    </row>
    <row r="3124" spans="5:7" ht="15" customHeight="1">
      <c r="E3124" s="49" t="str">
        <f>IFERROR(VLOOKUP(D3124,'taxonomy map'!$A$1:$C$107,2,FALSE),"")</f>
        <v/>
      </c>
      <c r="F3124" s="49" t="str">
        <f>IFERROR(VLOOKUP(E3124,'Condensed Specialty Crosswalk'!$A$2:$C$106,2,FALSE),"")</f>
        <v/>
      </c>
      <c r="G3124" s="49" t="str">
        <f>IFERROR(VLOOKUP(E3124,'Condensed Specialty Crosswalk'!$A$2:$C$106,3,FALSE),"")</f>
        <v/>
      </c>
    </row>
    <row r="3125" spans="5:7" ht="15" customHeight="1">
      <c r="E3125" s="49" t="str">
        <f>IFERROR(VLOOKUP(D3125,'taxonomy map'!$A$1:$C$107,2,FALSE),"")</f>
        <v/>
      </c>
      <c r="F3125" s="49" t="str">
        <f>IFERROR(VLOOKUP(E3125,'Condensed Specialty Crosswalk'!$A$2:$C$106,2,FALSE),"")</f>
        <v/>
      </c>
      <c r="G3125" s="49" t="str">
        <f>IFERROR(VLOOKUP(E3125,'Condensed Specialty Crosswalk'!$A$2:$C$106,3,FALSE),"")</f>
        <v/>
      </c>
    </row>
    <row r="3126" spans="5:7" ht="15" customHeight="1">
      <c r="E3126" s="49" t="str">
        <f>IFERROR(VLOOKUP(D3126,'taxonomy map'!$A$1:$C$107,2,FALSE),"")</f>
        <v/>
      </c>
      <c r="F3126" s="49" t="str">
        <f>IFERROR(VLOOKUP(E3126,'Condensed Specialty Crosswalk'!$A$2:$C$106,2,FALSE),"")</f>
        <v/>
      </c>
      <c r="G3126" s="49" t="str">
        <f>IFERROR(VLOOKUP(E3126,'Condensed Specialty Crosswalk'!$A$2:$C$106,3,FALSE),"")</f>
        <v/>
      </c>
    </row>
    <row r="3127" spans="5:7" ht="15" customHeight="1">
      <c r="E3127" s="49" t="str">
        <f>IFERROR(VLOOKUP(D3127,'taxonomy map'!$A$1:$C$107,2,FALSE),"")</f>
        <v/>
      </c>
      <c r="F3127" s="49" t="str">
        <f>IFERROR(VLOOKUP(E3127,'Condensed Specialty Crosswalk'!$A$2:$C$106,2,FALSE),"")</f>
        <v/>
      </c>
      <c r="G3127" s="49" t="str">
        <f>IFERROR(VLOOKUP(E3127,'Condensed Specialty Crosswalk'!$A$2:$C$106,3,FALSE),"")</f>
        <v/>
      </c>
    </row>
    <row r="3128" spans="5:7" ht="15" customHeight="1">
      <c r="E3128" s="49" t="str">
        <f>IFERROR(VLOOKUP(D3128,'taxonomy map'!$A$1:$C$107,2,FALSE),"")</f>
        <v/>
      </c>
      <c r="F3128" s="49" t="str">
        <f>IFERROR(VLOOKUP(E3128,'Condensed Specialty Crosswalk'!$A$2:$C$106,2,FALSE),"")</f>
        <v/>
      </c>
      <c r="G3128" s="49" t="str">
        <f>IFERROR(VLOOKUP(E3128,'Condensed Specialty Crosswalk'!$A$2:$C$106,3,FALSE),"")</f>
        <v/>
      </c>
    </row>
    <row r="3129" spans="5:7" ht="15" customHeight="1">
      <c r="E3129" s="49" t="str">
        <f>IFERROR(VLOOKUP(D3129,'taxonomy map'!$A$1:$C$107,2,FALSE),"")</f>
        <v/>
      </c>
      <c r="F3129" s="49" t="str">
        <f>IFERROR(VLOOKUP(E3129,'Condensed Specialty Crosswalk'!$A$2:$C$106,2,FALSE),"")</f>
        <v/>
      </c>
      <c r="G3129" s="49" t="str">
        <f>IFERROR(VLOOKUP(E3129,'Condensed Specialty Crosswalk'!$A$2:$C$106,3,FALSE),"")</f>
        <v/>
      </c>
    </row>
    <row r="3130" spans="5:7" ht="15" customHeight="1">
      <c r="E3130" s="49" t="str">
        <f>IFERROR(VLOOKUP(D3130,'taxonomy map'!$A$1:$C$107,2,FALSE),"")</f>
        <v/>
      </c>
      <c r="F3130" s="49" t="str">
        <f>IFERROR(VLOOKUP(E3130,'Condensed Specialty Crosswalk'!$A$2:$C$106,2,FALSE),"")</f>
        <v/>
      </c>
      <c r="G3130" s="49" t="str">
        <f>IFERROR(VLOOKUP(E3130,'Condensed Specialty Crosswalk'!$A$2:$C$106,3,FALSE),"")</f>
        <v/>
      </c>
    </row>
    <row r="3131" spans="5:7" ht="15" customHeight="1">
      <c r="E3131" s="49" t="str">
        <f>IFERROR(VLOOKUP(D3131,'taxonomy map'!$A$1:$C$107,2,FALSE),"")</f>
        <v/>
      </c>
      <c r="F3131" s="49" t="str">
        <f>IFERROR(VLOOKUP(E3131,'Condensed Specialty Crosswalk'!$A$2:$C$106,2,FALSE),"")</f>
        <v/>
      </c>
      <c r="G3131" s="49" t="str">
        <f>IFERROR(VLOOKUP(E3131,'Condensed Specialty Crosswalk'!$A$2:$C$106,3,FALSE),"")</f>
        <v/>
      </c>
    </row>
    <row r="3132" spans="5:7" ht="15" customHeight="1">
      <c r="E3132" s="49" t="str">
        <f>IFERROR(VLOOKUP(D3132,'taxonomy map'!$A$1:$C$107,2,FALSE),"")</f>
        <v/>
      </c>
      <c r="F3132" s="49" t="str">
        <f>IFERROR(VLOOKUP(E3132,'Condensed Specialty Crosswalk'!$A$2:$C$106,2,FALSE),"")</f>
        <v/>
      </c>
      <c r="G3132" s="49" t="str">
        <f>IFERROR(VLOOKUP(E3132,'Condensed Specialty Crosswalk'!$A$2:$C$106,3,FALSE),"")</f>
        <v/>
      </c>
    </row>
    <row r="3133" spans="5:7" ht="15" customHeight="1">
      <c r="E3133" s="49" t="str">
        <f>IFERROR(VLOOKUP(D3133,'taxonomy map'!$A$1:$C$107,2,FALSE),"")</f>
        <v/>
      </c>
      <c r="F3133" s="49" t="str">
        <f>IFERROR(VLOOKUP(E3133,'Condensed Specialty Crosswalk'!$A$2:$C$106,2,FALSE),"")</f>
        <v/>
      </c>
      <c r="G3133" s="49" t="str">
        <f>IFERROR(VLOOKUP(E3133,'Condensed Specialty Crosswalk'!$A$2:$C$106,3,FALSE),"")</f>
        <v/>
      </c>
    </row>
    <row r="3134" spans="5:7" ht="15" customHeight="1">
      <c r="E3134" s="49" t="str">
        <f>IFERROR(VLOOKUP(D3134,'taxonomy map'!$A$1:$C$107,2,FALSE),"")</f>
        <v/>
      </c>
      <c r="F3134" s="49" t="str">
        <f>IFERROR(VLOOKUP(E3134,'Condensed Specialty Crosswalk'!$A$2:$C$106,2,FALSE),"")</f>
        <v/>
      </c>
      <c r="G3134" s="49" t="str">
        <f>IFERROR(VLOOKUP(E3134,'Condensed Specialty Crosswalk'!$A$2:$C$106,3,FALSE),"")</f>
        <v/>
      </c>
    </row>
    <row r="3135" spans="5:7" ht="15" customHeight="1">
      <c r="E3135" s="49" t="str">
        <f>IFERROR(VLOOKUP(D3135,'taxonomy map'!$A$1:$C$107,2,FALSE),"")</f>
        <v/>
      </c>
      <c r="F3135" s="49" t="str">
        <f>IFERROR(VLOOKUP(E3135,'Condensed Specialty Crosswalk'!$A$2:$C$106,2,FALSE),"")</f>
        <v/>
      </c>
      <c r="G3135" s="49" t="str">
        <f>IFERROR(VLOOKUP(E3135,'Condensed Specialty Crosswalk'!$A$2:$C$106,3,FALSE),"")</f>
        <v/>
      </c>
    </row>
    <row r="3136" spans="5:7" ht="15" customHeight="1">
      <c r="E3136" s="49" t="str">
        <f>IFERROR(VLOOKUP(D3136,'taxonomy map'!$A$1:$C$107,2,FALSE),"")</f>
        <v/>
      </c>
      <c r="F3136" s="49" t="str">
        <f>IFERROR(VLOOKUP(E3136,'Condensed Specialty Crosswalk'!$A$2:$C$106,2,FALSE),"")</f>
        <v/>
      </c>
      <c r="G3136" s="49" t="str">
        <f>IFERROR(VLOOKUP(E3136,'Condensed Specialty Crosswalk'!$A$2:$C$106,3,FALSE),"")</f>
        <v/>
      </c>
    </row>
    <row r="3137" spans="5:7" ht="15" customHeight="1">
      <c r="E3137" s="49" t="str">
        <f>IFERROR(VLOOKUP(D3137,'taxonomy map'!$A$1:$C$107,2,FALSE),"")</f>
        <v/>
      </c>
      <c r="F3137" s="49" t="str">
        <f>IFERROR(VLOOKUP(E3137,'Condensed Specialty Crosswalk'!$A$2:$C$106,2,FALSE),"")</f>
        <v/>
      </c>
      <c r="G3137" s="49" t="str">
        <f>IFERROR(VLOOKUP(E3137,'Condensed Specialty Crosswalk'!$A$2:$C$106,3,FALSE),"")</f>
        <v/>
      </c>
    </row>
    <row r="3138" spans="5:7" ht="15" customHeight="1">
      <c r="E3138" s="49" t="str">
        <f>IFERROR(VLOOKUP(D3138,'taxonomy map'!$A$1:$C$107,2,FALSE),"")</f>
        <v/>
      </c>
      <c r="F3138" s="49" t="str">
        <f>IFERROR(VLOOKUP(E3138,'Condensed Specialty Crosswalk'!$A$2:$C$106,2,FALSE),"")</f>
        <v/>
      </c>
      <c r="G3138" s="49" t="str">
        <f>IFERROR(VLOOKUP(E3138,'Condensed Specialty Crosswalk'!$A$2:$C$106,3,FALSE),"")</f>
        <v/>
      </c>
    </row>
    <row r="3139" spans="5:7" ht="15" customHeight="1">
      <c r="E3139" s="49" t="str">
        <f>IFERROR(VLOOKUP(D3139,'taxonomy map'!$A$1:$C$107,2,FALSE),"")</f>
        <v/>
      </c>
      <c r="F3139" s="49" t="str">
        <f>IFERROR(VLOOKUP(E3139,'Condensed Specialty Crosswalk'!$A$2:$C$106,2,FALSE),"")</f>
        <v/>
      </c>
      <c r="G3139" s="49" t="str">
        <f>IFERROR(VLOOKUP(E3139,'Condensed Specialty Crosswalk'!$A$2:$C$106,3,FALSE),"")</f>
        <v/>
      </c>
    </row>
    <row r="3140" spans="5:7" ht="15" customHeight="1">
      <c r="E3140" s="49" t="str">
        <f>IFERROR(VLOOKUP(D3140,'taxonomy map'!$A$1:$C$107,2,FALSE),"")</f>
        <v/>
      </c>
      <c r="F3140" s="49" t="str">
        <f>IFERROR(VLOOKUP(E3140,'Condensed Specialty Crosswalk'!$A$2:$C$106,2,FALSE),"")</f>
        <v/>
      </c>
      <c r="G3140" s="49" t="str">
        <f>IFERROR(VLOOKUP(E3140,'Condensed Specialty Crosswalk'!$A$2:$C$106,3,FALSE),"")</f>
        <v/>
      </c>
    </row>
    <row r="3141" spans="5:7" ht="15" customHeight="1">
      <c r="E3141" s="49" t="str">
        <f>IFERROR(VLOOKUP(D3141,'taxonomy map'!$A$1:$C$107,2,FALSE),"")</f>
        <v/>
      </c>
      <c r="F3141" s="49" t="str">
        <f>IFERROR(VLOOKUP(E3141,'Condensed Specialty Crosswalk'!$A$2:$C$106,2,FALSE),"")</f>
        <v/>
      </c>
      <c r="G3141" s="49" t="str">
        <f>IFERROR(VLOOKUP(E3141,'Condensed Specialty Crosswalk'!$A$2:$C$106,3,FALSE),"")</f>
        <v/>
      </c>
    </row>
    <row r="3142" spans="5:7" ht="15" customHeight="1">
      <c r="E3142" s="49" t="str">
        <f>IFERROR(VLOOKUP(D3142,'taxonomy map'!$A$1:$C$107,2,FALSE),"")</f>
        <v/>
      </c>
      <c r="F3142" s="49" t="str">
        <f>IFERROR(VLOOKUP(E3142,'Condensed Specialty Crosswalk'!$A$2:$C$106,2,FALSE),"")</f>
        <v/>
      </c>
      <c r="G3142" s="49" t="str">
        <f>IFERROR(VLOOKUP(E3142,'Condensed Specialty Crosswalk'!$A$2:$C$106,3,FALSE),"")</f>
        <v/>
      </c>
    </row>
    <row r="3143" spans="5:7" ht="15" customHeight="1">
      <c r="E3143" s="49" t="str">
        <f>IFERROR(VLOOKUP(D3143,'taxonomy map'!$A$1:$C$107,2,FALSE),"")</f>
        <v/>
      </c>
      <c r="F3143" s="49" t="str">
        <f>IFERROR(VLOOKUP(E3143,'Condensed Specialty Crosswalk'!$A$2:$C$106,2,FALSE),"")</f>
        <v/>
      </c>
      <c r="G3143" s="49" t="str">
        <f>IFERROR(VLOOKUP(E3143,'Condensed Specialty Crosswalk'!$A$2:$C$106,3,FALSE),"")</f>
        <v/>
      </c>
    </row>
    <row r="3144" spans="5:7" ht="15" customHeight="1">
      <c r="E3144" s="49" t="str">
        <f>IFERROR(VLOOKUP(D3144,'taxonomy map'!$A$1:$C$107,2,FALSE),"")</f>
        <v/>
      </c>
      <c r="F3144" s="49" t="str">
        <f>IFERROR(VLOOKUP(E3144,'Condensed Specialty Crosswalk'!$A$2:$C$106,2,FALSE),"")</f>
        <v/>
      </c>
      <c r="G3144" s="49" t="str">
        <f>IFERROR(VLOOKUP(E3144,'Condensed Specialty Crosswalk'!$A$2:$C$106,3,FALSE),"")</f>
        <v/>
      </c>
    </row>
    <row r="3145" spans="5:7" ht="15" customHeight="1">
      <c r="E3145" s="49" t="str">
        <f>IFERROR(VLOOKUP(D3145,'taxonomy map'!$A$1:$C$107,2,FALSE),"")</f>
        <v/>
      </c>
      <c r="F3145" s="49" t="str">
        <f>IFERROR(VLOOKUP(E3145,'Condensed Specialty Crosswalk'!$A$2:$C$106,2,FALSE),"")</f>
        <v/>
      </c>
      <c r="G3145" s="49" t="str">
        <f>IFERROR(VLOOKUP(E3145,'Condensed Specialty Crosswalk'!$A$2:$C$106,3,FALSE),"")</f>
        <v/>
      </c>
    </row>
    <row r="3146" spans="5:7" ht="15" customHeight="1">
      <c r="E3146" s="49" t="str">
        <f>IFERROR(VLOOKUP(D3146,'taxonomy map'!$A$1:$C$107,2,FALSE),"")</f>
        <v/>
      </c>
      <c r="F3146" s="49" t="str">
        <f>IFERROR(VLOOKUP(E3146,'Condensed Specialty Crosswalk'!$A$2:$C$106,2,FALSE),"")</f>
        <v/>
      </c>
      <c r="G3146" s="49" t="str">
        <f>IFERROR(VLOOKUP(E3146,'Condensed Specialty Crosswalk'!$A$2:$C$106,3,FALSE),"")</f>
        <v/>
      </c>
    </row>
    <row r="3147" spans="5:7" ht="15" customHeight="1">
      <c r="E3147" s="49" t="str">
        <f>IFERROR(VLOOKUP(D3147,'taxonomy map'!$A$1:$C$107,2,FALSE),"")</f>
        <v/>
      </c>
      <c r="F3147" s="49" t="str">
        <f>IFERROR(VLOOKUP(E3147,'Condensed Specialty Crosswalk'!$A$2:$C$106,2,FALSE),"")</f>
        <v/>
      </c>
      <c r="G3147" s="49" t="str">
        <f>IFERROR(VLOOKUP(E3147,'Condensed Specialty Crosswalk'!$A$2:$C$106,3,FALSE),"")</f>
        <v/>
      </c>
    </row>
    <row r="3148" spans="5:7" ht="15" customHeight="1">
      <c r="E3148" s="49" t="str">
        <f>IFERROR(VLOOKUP(D3148,'taxonomy map'!$A$1:$C$107,2,FALSE),"")</f>
        <v/>
      </c>
      <c r="F3148" s="49" t="str">
        <f>IFERROR(VLOOKUP(E3148,'Condensed Specialty Crosswalk'!$A$2:$C$106,2,FALSE),"")</f>
        <v/>
      </c>
      <c r="G3148" s="49" t="str">
        <f>IFERROR(VLOOKUP(E3148,'Condensed Specialty Crosswalk'!$A$2:$C$106,3,FALSE),"")</f>
        <v/>
      </c>
    </row>
    <row r="3149" spans="5:7" ht="15" customHeight="1">
      <c r="E3149" s="49" t="str">
        <f>IFERROR(VLOOKUP(D3149,'taxonomy map'!$A$1:$C$107,2,FALSE),"")</f>
        <v/>
      </c>
      <c r="F3149" s="49" t="str">
        <f>IFERROR(VLOOKUP(E3149,'Condensed Specialty Crosswalk'!$A$2:$C$106,2,FALSE),"")</f>
        <v/>
      </c>
      <c r="G3149" s="49" t="str">
        <f>IFERROR(VLOOKUP(E3149,'Condensed Specialty Crosswalk'!$A$2:$C$106,3,FALSE),"")</f>
        <v/>
      </c>
    </row>
    <row r="3150" spans="5:7" ht="15" customHeight="1">
      <c r="E3150" s="49" t="str">
        <f>IFERROR(VLOOKUP(D3150,'taxonomy map'!$A$1:$C$107,2,FALSE),"")</f>
        <v/>
      </c>
      <c r="F3150" s="49" t="str">
        <f>IFERROR(VLOOKUP(E3150,'Condensed Specialty Crosswalk'!$A$2:$C$106,2,FALSE),"")</f>
        <v/>
      </c>
      <c r="G3150" s="49" t="str">
        <f>IFERROR(VLOOKUP(E3150,'Condensed Specialty Crosswalk'!$A$2:$C$106,3,FALSE),"")</f>
        <v/>
      </c>
    </row>
    <row r="3151" spans="5:7" ht="15" customHeight="1">
      <c r="E3151" s="49" t="str">
        <f>IFERROR(VLOOKUP(D3151,'taxonomy map'!$A$1:$C$107,2,FALSE),"")</f>
        <v/>
      </c>
      <c r="F3151" s="49" t="str">
        <f>IFERROR(VLOOKUP(E3151,'Condensed Specialty Crosswalk'!$A$2:$C$106,2,FALSE),"")</f>
        <v/>
      </c>
      <c r="G3151" s="49" t="str">
        <f>IFERROR(VLOOKUP(E3151,'Condensed Specialty Crosswalk'!$A$2:$C$106,3,FALSE),"")</f>
        <v/>
      </c>
    </row>
    <row r="3152" spans="5:7" ht="15" customHeight="1">
      <c r="E3152" s="49" t="str">
        <f>IFERROR(VLOOKUP(D3152,'taxonomy map'!$A$1:$C$107,2,FALSE),"")</f>
        <v/>
      </c>
      <c r="F3152" s="49" t="str">
        <f>IFERROR(VLOOKUP(E3152,'Condensed Specialty Crosswalk'!$A$2:$C$106,2,FALSE),"")</f>
        <v/>
      </c>
      <c r="G3152" s="49" t="str">
        <f>IFERROR(VLOOKUP(E3152,'Condensed Specialty Crosswalk'!$A$2:$C$106,3,FALSE),"")</f>
        <v/>
      </c>
    </row>
    <row r="3153" spans="5:7" ht="15" customHeight="1">
      <c r="E3153" s="49" t="str">
        <f>IFERROR(VLOOKUP(D3153,'taxonomy map'!$A$1:$C$107,2,FALSE),"")</f>
        <v/>
      </c>
      <c r="F3153" s="49" t="str">
        <f>IFERROR(VLOOKUP(E3153,'Condensed Specialty Crosswalk'!$A$2:$C$106,2,FALSE),"")</f>
        <v/>
      </c>
      <c r="G3153" s="49" t="str">
        <f>IFERROR(VLOOKUP(E3153,'Condensed Specialty Crosswalk'!$A$2:$C$106,3,FALSE),"")</f>
        <v/>
      </c>
    </row>
    <row r="3154" spans="5:7" ht="15" customHeight="1">
      <c r="E3154" s="49" t="str">
        <f>IFERROR(VLOOKUP(D3154,'taxonomy map'!$A$1:$C$107,2,FALSE),"")</f>
        <v/>
      </c>
      <c r="F3154" s="49" t="str">
        <f>IFERROR(VLOOKUP(E3154,'Condensed Specialty Crosswalk'!$A$2:$C$106,2,FALSE),"")</f>
        <v/>
      </c>
      <c r="G3154" s="49" t="str">
        <f>IFERROR(VLOOKUP(E3154,'Condensed Specialty Crosswalk'!$A$2:$C$106,3,FALSE),"")</f>
        <v/>
      </c>
    </row>
    <row r="3155" spans="5:7" ht="15" customHeight="1">
      <c r="E3155" s="49" t="str">
        <f>IFERROR(VLOOKUP(D3155,'taxonomy map'!$A$1:$C$107,2,FALSE),"")</f>
        <v/>
      </c>
      <c r="F3155" s="49" t="str">
        <f>IFERROR(VLOOKUP(E3155,'Condensed Specialty Crosswalk'!$A$2:$C$106,2,FALSE),"")</f>
        <v/>
      </c>
      <c r="G3155" s="49" t="str">
        <f>IFERROR(VLOOKUP(E3155,'Condensed Specialty Crosswalk'!$A$2:$C$106,3,FALSE),"")</f>
        <v/>
      </c>
    </row>
    <row r="3156" spans="5:7" ht="15" customHeight="1">
      <c r="E3156" s="49" t="str">
        <f>IFERROR(VLOOKUP(D3156,'taxonomy map'!$A$1:$C$107,2,FALSE),"")</f>
        <v/>
      </c>
      <c r="F3156" s="49" t="str">
        <f>IFERROR(VLOOKUP(E3156,'Condensed Specialty Crosswalk'!$A$2:$C$106,2,FALSE),"")</f>
        <v/>
      </c>
      <c r="G3156" s="49" t="str">
        <f>IFERROR(VLOOKUP(E3156,'Condensed Specialty Crosswalk'!$A$2:$C$106,3,FALSE),"")</f>
        <v/>
      </c>
    </row>
    <row r="3157" spans="5:7" ht="15" customHeight="1">
      <c r="E3157" s="49" t="str">
        <f>IFERROR(VLOOKUP(D3157,'taxonomy map'!$A$1:$C$107,2,FALSE),"")</f>
        <v/>
      </c>
      <c r="F3157" s="49" t="str">
        <f>IFERROR(VLOOKUP(E3157,'Condensed Specialty Crosswalk'!$A$2:$C$106,2,FALSE),"")</f>
        <v/>
      </c>
      <c r="G3157" s="49" t="str">
        <f>IFERROR(VLOOKUP(E3157,'Condensed Specialty Crosswalk'!$A$2:$C$106,3,FALSE),"")</f>
        <v/>
      </c>
    </row>
    <row r="3158" spans="5:7" ht="15" customHeight="1">
      <c r="E3158" s="49" t="str">
        <f>IFERROR(VLOOKUP(D3158,'taxonomy map'!$A$1:$C$107,2,FALSE),"")</f>
        <v/>
      </c>
      <c r="F3158" s="49" t="str">
        <f>IFERROR(VLOOKUP(E3158,'Condensed Specialty Crosswalk'!$A$2:$C$106,2,FALSE),"")</f>
        <v/>
      </c>
      <c r="G3158" s="49" t="str">
        <f>IFERROR(VLOOKUP(E3158,'Condensed Specialty Crosswalk'!$A$2:$C$106,3,FALSE),"")</f>
        <v/>
      </c>
    </row>
    <row r="3159" spans="5:7" ht="15" customHeight="1">
      <c r="E3159" s="49" t="str">
        <f>IFERROR(VLOOKUP(D3159,'taxonomy map'!$A$1:$C$107,2,FALSE),"")</f>
        <v/>
      </c>
      <c r="F3159" s="49" t="str">
        <f>IFERROR(VLOOKUP(E3159,'Condensed Specialty Crosswalk'!$A$2:$C$106,2,FALSE),"")</f>
        <v/>
      </c>
      <c r="G3159" s="49" t="str">
        <f>IFERROR(VLOOKUP(E3159,'Condensed Specialty Crosswalk'!$A$2:$C$106,3,FALSE),"")</f>
        <v/>
      </c>
    </row>
    <row r="3160" spans="5:7" ht="15" customHeight="1">
      <c r="E3160" s="49" t="str">
        <f>IFERROR(VLOOKUP(D3160,'taxonomy map'!$A$1:$C$107,2,FALSE),"")</f>
        <v/>
      </c>
      <c r="F3160" s="49" t="str">
        <f>IFERROR(VLOOKUP(E3160,'Condensed Specialty Crosswalk'!$A$2:$C$106,2,FALSE),"")</f>
        <v/>
      </c>
      <c r="G3160" s="49" t="str">
        <f>IFERROR(VLOOKUP(E3160,'Condensed Specialty Crosswalk'!$A$2:$C$106,3,FALSE),"")</f>
        <v/>
      </c>
    </row>
    <row r="3161" spans="5:7" ht="15" customHeight="1">
      <c r="E3161" s="49" t="str">
        <f>IFERROR(VLOOKUP(D3161,'taxonomy map'!$A$1:$C$107,2,FALSE),"")</f>
        <v/>
      </c>
      <c r="F3161" s="49" t="str">
        <f>IFERROR(VLOOKUP(E3161,'Condensed Specialty Crosswalk'!$A$2:$C$106,2,FALSE),"")</f>
        <v/>
      </c>
      <c r="G3161" s="49" t="str">
        <f>IFERROR(VLOOKUP(E3161,'Condensed Specialty Crosswalk'!$A$2:$C$106,3,FALSE),"")</f>
        <v/>
      </c>
    </row>
    <row r="3162" spans="5:7" ht="15" customHeight="1">
      <c r="E3162" s="49" t="str">
        <f>IFERROR(VLOOKUP(D3162,'taxonomy map'!$A$1:$C$107,2,FALSE),"")</f>
        <v/>
      </c>
      <c r="F3162" s="49" t="str">
        <f>IFERROR(VLOOKUP(E3162,'Condensed Specialty Crosswalk'!$A$2:$C$106,2,FALSE),"")</f>
        <v/>
      </c>
      <c r="G3162" s="49" t="str">
        <f>IFERROR(VLOOKUP(E3162,'Condensed Specialty Crosswalk'!$A$2:$C$106,3,FALSE),"")</f>
        <v/>
      </c>
    </row>
    <row r="3163" spans="5:7" ht="15" customHeight="1">
      <c r="E3163" s="49" t="str">
        <f>IFERROR(VLOOKUP(D3163,'taxonomy map'!$A$1:$C$107,2,FALSE),"")</f>
        <v/>
      </c>
      <c r="F3163" s="49" t="str">
        <f>IFERROR(VLOOKUP(E3163,'Condensed Specialty Crosswalk'!$A$2:$C$106,2,FALSE),"")</f>
        <v/>
      </c>
      <c r="G3163" s="49" t="str">
        <f>IFERROR(VLOOKUP(E3163,'Condensed Specialty Crosswalk'!$A$2:$C$106,3,FALSE),"")</f>
        <v/>
      </c>
    </row>
    <row r="3164" spans="5:7" ht="15" customHeight="1">
      <c r="E3164" s="49" t="str">
        <f>IFERROR(VLOOKUP(D3164,'taxonomy map'!$A$1:$C$107,2,FALSE),"")</f>
        <v/>
      </c>
      <c r="F3164" s="49" t="str">
        <f>IFERROR(VLOOKUP(E3164,'Condensed Specialty Crosswalk'!$A$2:$C$106,2,FALSE),"")</f>
        <v/>
      </c>
      <c r="G3164" s="49" t="str">
        <f>IFERROR(VLOOKUP(E3164,'Condensed Specialty Crosswalk'!$A$2:$C$106,3,FALSE),"")</f>
        <v/>
      </c>
    </row>
    <row r="3165" spans="5:7" ht="15" customHeight="1">
      <c r="E3165" s="49" t="str">
        <f>IFERROR(VLOOKUP(D3165,'taxonomy map'!$A$1:$C$107,2,FALSE),"")</f>
        <v/>
      </c>
      <c r="F3165" s="49" t="str">
        <f>IFERROR(VLOOKUP(E3165,'Condensed Specialty Crosswalk'!$A$2:$C$106,2,FALSE),"")</f>
        <v/>
      </c>
      <c r="G3165" s="49" t="str">
        <f>IFERROR(VLOOKUP(E3165,'Condensed Specialty Crosswalk'!$A$2:$C$106,3,FALSE),"")</f>
        <v/>
      </c>
    </row>
    <row r="3166" spans="5:7" ht="15" customHeight="1">
      <c r="E3166" s="49" t="str">
        <f>IFERROR(VLOOKUP(D3166,'taxonomy map'!$A$1:$C$107,2,FALSE),"")</f>
        <v/>
      </c>
      <c r="F3166" s="49" t="str">
        <f>IFERROR(VLOOKUP(E3166,'Condensed Specialty Crosswalk'!$A$2:$C$106,2,FALSE),"")</f>
        <v/>
      </c>
      <c r="G3166" s="49" t="str">
        <f>IFERROR(VLOOKUP(E3166,'Condensed Specialty Crosswalk'!$A$2:$C$106,3,FALSE),"")</f>
        <v/>
      </c>
    </row>
    <row r="3167" spans="5:7" ht="15" customHeight="1">
      <c r="E3167" s="49" t="str">
        <f>IFERROR(VLOOKUP(D3167,'taxonomy map'!$A$1:$C$107,2,FALSE),"")</f>
        <v/>
      </c>
      <c r="F3167" s="49" t="str">
        <f>IFERROR(VLOOKUP(E3167,'Condensed Specialty Crosswalk'!$A$2:$C$106,2,FALSE),"")</f>
        <v/>
      </c>
      <c r="G3167" s="49" t="str">
        <f>IFERROR(VLOOKUP(E3167,'Condensed Specialty Crosswalk'!$A$2:$C$106,3,FALSE),"")</f>
        <v/>
      </c>
    </row>
    <row r="3168" spans="5:7" ht="15" customHeight="1">
      <c r="E3168" s="49" t="str">
        <f>IFERROR(VLOOKUP(D3168,'taxonomy map'!$A$1:$C$107,2,FALSE),"")</f>
        <v/>
      </c>
      <c r="F3168" s="49" t="str">
        <f>IFERROR(VLOOKUP(E3168,'Condensed Specialty Crosswalk'!$A$2:$C$106,2,FALSE),"")</f>
        <v/>
      </c>
      <c r="G3168" s="49" t="str">
        <f>IFERROR(VLOOKUP(E3168,'Condensed Specialty Crosswalk'!$A$2:$C$106,3,FALSE),"")</f>
        <v/>
      </c>
    </row>
    <row r="3169" spans="5:7" ht="15" customHeight="1">
      <c r="E3169" s="49" t="str">
        <f>IFERROR(VLOOKUP(D3169,'taxonomy map'!$A$1:$C$107,2,FALSE),"")</f>
        <v/>
      </c>
      <c r="F3169" s="49" t="str">
        <f>IFERROR(VLOOKUP(E3169,'Condensed Specialty Crosswalk'!$A$2:$C$106,2,FALSE),"")</f>
        <v/>
      </c>
      <c r="G3169" s="49" t="str">
        <f>IFERROR(VLOOKUP(E3169,'Condensed Specialty Crosswalk'!$A$2:$C$106,3,FALSE),"")</f>
        <v/>
      </c>
    </row>
    <row r="3170" spans="5:7" ht="15" customHeight="1">
      <c r="E3170" s="49" t="str">
        <f>IFERROR(VLOOKUP(D3170,'taxonomy map'!$A$1:$C$107,2,FALSE),"")</f>
        <v/>
      </c>
      <c r="F3170" s="49" t="str">
        <f>IFERROR(VLOOKUP(E3170,'Condensed Specialty Crosswalk'!$A$2:$C$106,2,FALSE),"")</f>
        <v/>
      </c>
      <c r="G3170" s="49" t="str">
        <f>IFERROR(VLOOKUP(E3170,'Condensed Specialty Crosswalk'!$A$2:$C$106,3,FALSE),"")</f>
        <v/>
      </c>
    </row>
    <row r="3171" spans="5:7" ht="15" customHeight="1">
      <c r="E3171" s="49" t="str">
        <f>IFERROR(VLOOKUP(D3171,'taxonomy map'!$A$1:$C$107,2,FALSE),"")</f>
        <v/>
      </c>
      <c r="F3171" s="49" t="str">
        <f>IFERROR(VLOOKUP(E3171,'Condensed Specialty Crosswalk'!$A$2:$C$106,2,FALSE),"")</f>
        <v/>
      </c>
      <c r="G3171" s="49" t="str">
        <f>IFERROR(VLOOKUP(E3171,'Condensed Specialty Crosswalk'!$A$2:$C$106,3,FALSE),"")</f>
        <v/>
      </c>
    </row>
    <row r="3172" spans="5:7" ht="15" customHeight="1">
      <c r="E3172" s="49" t="str">
        <f>IFERROR(VLOOKUP(D3172,'taxonomy map'!$A$1:$C$107,2,FALSE),"")</f>
        <v/>
      </c>
      <c r="F3172" s="49" t="str">
        <f>IFERROR(VLOOKUP(E3172,'Condensed Specialty Crosswalk'!$A$2:$C$106,2,FALSE),"")</f>
        <v/>
      </c>
      <c r="G3172" s="49" t="str">
        <f>IFERROR(VLOOKUP(E3172,'Condensed Specialty Crosswalk'!$A$2:$C$106,3,FALSE),"")</f>
        <v/>
      </c>
    </row>
    <row r="3173" spans="5:7" ht="15" customHeight="1">
      <c r="E3173" s="49" t="str">
        <f>IFERROR(VLOOKUP(D3173,'taxonomy map'!$A$1:$C$107,2,FALSE),"")</f>
        <v/>
      </c>
      <c r="F3173" s="49" t="str">
        <f>IFERROR(VLOOKUP(E3173,'Condensed Specialty Crosswalk'!$A$2:$C$106,2,FALSE),"")</f>
        <v/>
      </c>
      <c r="G3173" s="49" t="str">
        <f>IFERROR(VLOOKUP(E3173,'Condensed Specialty Crosswalk'!$A$2:$C$106,3,FALSE),"")</f>
        <v/>
      </c>
    </row>
    <row r="3174" spans="5:7" ht="15" customHeight="1">
      <c r="E3174" s="49" t="str">
        <f>IFERROR(VLOOKUP(D3174,'taxonomy map'!$A$1:$C$107,2,FALSE),"")</f>
        <v/>
      </c>
      <c r="F3174" s="49" t="str">
        <f>IFERROR(VLOOKUP(E3174,'Condensed Specialty Crosswalk'!$A$2:$C$106,2,FALSE),"")</f>
        <v/>
      </c>
      <c r="G3174" s="49" t="str">
        <f>IFERROR(VLOOKUP(E3174,'Condensed Specialty Crosswalk'!$A$2:$C$106,3,FALSE),"")</f>
        <v/>
      </c>
    </row>
    <row r="3175" spans="5:7" ht="15" customHeight="1">
      <c r="E3175" s="49" t="str">
        <f>IFERROR(VLOOKUP(D3175,'taxonomy map'!$A$1:$C$107,2,FALSE),"")</f>
        <v/>
      </c>
      <c r="F3175" s="49" t="str">
        <f>IFERROR(VLOOKUP(E3175,'Condensed Specialty Crosswalk'!$A$2:$C$106,2,FALSE),"")</f>
        <v/>
      </c>
      <c r="G3175" s="49" t="str">
        <f>IFERROR(VLOOKUP(E3175,'Condensed Specialty Crosswalk'!$A$2:$C$106,3,FALSE),"")</f>
        <v/>
      </c>
    </row>
    <row r="3176" spans="5:7" ht="15" customHeight="1">
      <c r="E3176" s="49" t="str">
        <f>IFERROR(VLOOKUP(D3176,'taxonomy map'!$A$1:$C$107,2,FALSE),"")</f>
        <v/>
      </c>
      <c r="F3176" s="49" t="str">
        <f>IFERROR(VLOOKUP(E3176,'Condensed Specialty Crosswalk'!$A$2:$C$106,2,FALSE),"")</f>
        <v/>
      </c>
      <c r="G3176" s="49" t="str">
        <f>IFERROR(VLOOKUP(E3176,'Condensed Specialty Crosswalk'!$A$2:$C$106,3,FALSE),"")</f>
        <v/>
      </c>
    </row>
    <row r="3177" spans="5:7" ht="15" customHeight="1">
      <c r="E3177" s="49" t="str">
        <f>IFERROR(VLOOKUP(D3177,'taxonomy map'!$A$1:$C$107,2,FALSE),"")</f>
        <v/>
      </c>
      <c r="F3177" s="49" t="str">
        <f>IFERROR(VLOOKUP(E3177,'Condensed Specialty Crosswalk'!$A$2:$C$106,2,FALSE),"")</f>
        <v/>
      </c>
      <c r="G3177" s="49" t="str">
        <f>IFERROR(VLOOKUP(E3177,'Condensed Specialty Crosswalk'!$A$2:$C$106,3,FALSE),"")</f>
        <v/>
      </c>
    </row>
    <row r="3178" spans="5:7" ht="15" customHeight="1">
      <c r="E3178" s="49" t="str">
        <f>IFERROR(VLOOKUP(D3178,'taxonomy map'!$A$1:$C$107,2,FALSE),"")</f>
        <v/>
      </c>
      <c r="F3178" s="49" t="str">
        <f>IFERROR(VLOOKUP(E3178,'Condensed Specialty Crosswalk'!$A$2:$C$106,2,FALSE),"")</f>
        <v/>
      </c>
      <c r="G3178" s="49" t="str">
        <f>IFERROR(VLOOKUP(E3178,'Condensed Specialty Crosswalk'!$A$2:$C$106,3,FALSE),"")</f>
        <v/>
      </c>
    </row>
    <row r="3179" spans="5:7" ht="15" customHeight="1">
      <c r="E3179" s="49" t="str">
        <f>IFERROR(VLOOKUP(D3179,'taxonomy map'!$A$1:$C$107,2,FALSE),"")</f>
        <v/>
      </c>
      <c r="F3179" s="49" t="str">
        <f>IFERROR(VLOOKUP(E3179,'Condensed Specialty Crosswalk'!$A$2:$C$106,2,FALSE),"")</f>
        <v/>
      </c>
      <c r="G3179" s="49" t="str">
        <f>IFERROR(VLOOKUP(E3179,'Condensed Specialty Crosswalk'!$A$2:$C$106,3,FALSE),"")</f>
        <v/>
      </c>
    </row>
    <row r="3180" spans="5:7" ht="15" customHeight="1">
      <c r="E3180" s="49" t="str">
        <f>IFERROR(VLOOKUP(D3180,'taxonomy map'!$A$1:$C$107,2,FALSE),"")</f>
        <v/>
      </c>
      <c r="F3180" s="49" t="str">
        <f>IFERROR(VLOOKUP(E3180,'Condensed Specialty Crosswalk'!$A$2:$C$106,2,FALSE),"")</f>
        <v/>
      </c>
      <c r="G3180" s="49" t="str">
        <f>IFERROR(VLOOKUP(E3180,'Condensed Specialty Crosswalk'!$A$2:$C$106,3,FALSE),"")</f>
        <v/>
      </c>
    </row>
    <row r="3181" spans="5:7" ht="15" customHeight="1">
      <c r="E3181" s="49" t="str">
        <f>IFERROR(VLOOKUP(D3181,'taxonomy map'!$A$1:$C$107,2,FALSE),"")</f>
        <v/>
      </c>
      <c r="F3181" s="49" t="str">
        <f>IFERROR(VLOOKUP(E3181,'Condensed Specialty Crosswalk'!$A$2:$C$106,2,FALSE),"")</f>
        <v/>
      </c>
      <c r="G3181" s="49" t="str">
        <f>IFERROR(VLOOKUP(E3181,'Condensed Specialty Crosswalk'!$A$2:$C$106,3,FALSE),"")</f>
        <v/>
      </c>
    </row>
    <row r="3182" spans="5:7" ht="15" customHeight="1">
      <c r="E3182" s="49" t="str">
        <f>IFERROR(VLOOKUP(D3182,'taxonomy map'!$A$1:$C$107,2,FALSE),"")</f>
        <v/>
      </c>
      <c r="F3182" s="49" t="str">
        <f>IFERROR(VLOOKUP(E3182,'Condensed Specialty Crosswalk'!$A$2:$C$106,2,FALSE),"")</f>
        <v/>
      </c>
      <c r="G3182" s="49" t="str">
        <f>IFERROR(VLOOKUP(E3182,'Condensed Specialty Crosswalk'!$A$2:$C$106,3,FALSE),"")</f>
        <v/>
      </c>
    </row>
    <row r="3183" spans="5:7" ht="15" customHeight="1">
      <c r="E3183" s="49" t="str">
        <f>IFERROR(VLOOKUP(D3183,'taxonomy map'!$A$1:$C$107,2,FALSE),"")</f>
        <v/>
      </c>
      <c r="F3183" s="49" t="str">
        <f>IFERROR(VLOOKUP(E3183,'Condensed Specialty Crosswalk'!$A$2:$C$106,2,FALSE),"")</f>
        <v/>
      </c>
      <c r="G3183" s="49" t="str">
        <f>IFERROR(VLOOKUP(E3183,'Condensed Specialty Crosswalk'!$A$2:$C$106,3,FALSE),"")</f>
        <v/>
      </c>
    </row>
    <row r="3184" spans="5:7" ht="15" customHeight="1">
      <c r="E3184" s="49" t="str">
        <f>IFERROR(VLOOKUP(D3184,'taxonomy map'!$A$1:$C$107,2,FALSE),"")</f>
        <v/>
      </c>
      <c r="F3184" s="49" t="str">
        <f>IFERROR(VLOOKUP(E3184,'Condensed Specialty Crosswalk'!$A$2:$C$106,2,FALSE),"")</f>
        <v/>
      </c>
      <c r="G3184" s="49" t="str">
        <f>IFERROR(VLOOKUP(E3184,'Condensed Specialty Crosswalk'!$A$2:$C$106,3,FALSE),"")</f>
        <v/>
      </c>
    </row>
    <row r="3185" spans="5:7" ht="15" customHeight="1">
      <c r="E3185" s="49" t="str">
        <f>IFERROR(VLOOKUP(D3185,'taxonomy map'!$A$1:$C$107,2,FALSE),"")</f>
        <v/>
      </c>
      <c r="F3185" s="49" t="str">
        <f>IFERROR(VLOOKUP(E3185,'Condensed Specialty Crosswalk'!$A$2:$C$106,2,FALSE),"")</f>
        <v/>
      </c>
      <c r="G3185" s="49" t="str">
        <f>IFERROR(VLOOKUP(E3185,'Condensed Specialty Crosswalk'!$A$2:$C$106,3,FALSE),"")</f>
        <v/>
      </c>
    </row>
    <row r="3186" spans="5:7" ht="15" customHeight="1">
      <c r="E3186" s="49" t="str">
        <f>IFERROR(VLOOKUP(D3186,'taxonomy map'!$A$1:$C$107,2,FALSE),"")</f>
        <v/>
      </c>
      <c r="F3186" s="49" t="str">
        <f>IFERROR(VLOOKUP(E3186,'Condensed Specialty Crosswalk'!$A$2:$C$106,2,FALSE),"")</f>
        <v/>
      </c>
      <c r="G3186" s="49" t="str">
        <f>IFERROR(VLOOKUP(E3186,'Condensed Specialty Crosswalk'!$A$2:$C$106,3,FALSE),"")</f>
        <v/>
      </c>
    </row>
    <row r="3187" spans="5:7" ht="15" customHeight="1">
      <c r="E3187" s="49" t="str">
        <f>IFERROR(VLOOKUP(D3187,'taxonomy map'!$A$1:$C$107,2,FALSE),"")</f>
        <v/>
      </c>
      <c r="F3187" s="49" t="str">
        <f>IFERROR(VLOOKUP(E3187,'Condensed Specialty Crosswalk'!$A$2:$C$106,2,FALSE),"")</f>
        <v/>
      </c>
      <c r="G3187" s="49" t="str">
        <f>IFERROR(VLOOKUP(E3187,'Condensed Specialty Crosswalk'!$A$2:$C$106,3,FALSE),"")</f>
        <v/>
      </c>
    </row>
    <row r="3188" spans="5:7" ht="15" customHeight="1">
      <c r="E3188" s="49" t="str">
        <f>IFERROR(VLOOKUP(D3188,'taxonomy map'!$A$1:$C$107,2,FALSE),"")</f>
        <v/>
      </c>
      <c r="F3188" s="49" t="str">
        <f>IFERROR(VLOOKUP(E3188,'Condensed Specialty Crosswalk'!$A$2:$C$106,2,FALSE),"")</f>
        <v/>
      </c>
      <c r="G3188" s="49" t="str">
        <f>IFERROR(VLOOKUP(E3188,'Condensed Specialty Crosswalk'!$A$2:$C$106,3,FALSE),"")</f>
        <v/>
      </c>
    </row>
    <row r="3189" spans="5:7" ht="15" customHeight="1">
      <c r="E3189" s="49" t="str">
        <f>IFERROR(VLOOKUP(D3189,'taxonomy map'!$A$1:$C$107,2,FALSE),"")</f>
        <v/>
      </c>
      <c r="F3189" s="49" t="str">
        <f>IFERROR(VLOOKUP(E3189,'Condensed Specialty Crosswalk'!$A$2:$C$106,2,FALSE),"")</f>
        <v/>
      </c>
      <c r="G3189" s="49" t="str">
        <f>IFERROR(VLOOKUP(E3189,'Condensed Specialty Crosswalk'!$A$2:$C$106,3,FALSE),"")</f>
        <v/>
      </c>
    </row>
    <row r="3190" spans="5:7" ht="15" customHeight="1">
      <c r="E3190" s="49" t="str">
        <f>IFERROR(VLOOKUP(D3190,'taxonomy map'!$A$1:$C$107,2,FALSE),"")</f>
        <v/>
      </c>
      <c r="F3190" s="49" t="str">
        <f>IFERROR(VLOOKUP(E3190,'Condensed Specialty Crosswalk'!$A$2:$C$106,2,FALSE),"")</f>
        <v/>
      </c>
      <c r="G3190" s="49" t="str">
        <f>IFERROR(VLOOKUP(E3190,'Condensed Specialty Crosswalk'!$A$2:$C$106,3,FALSE),"")</f>
        <v/>
      </c>
    </row>
    <row r="3191" spans="5:7" ht="15" customHeight="1">
      <c r="E3191" s="49" t="str">
        <f>IFERROR(VLOOKUP(D3191,'taxonomy map'!$A$1:$C$107,2,FALSE),"")</f>
        <v/>
      </c>
      <c r="F3191" s="49" t="str">
        <f>IFERROR(VLOOKUP(E3191,'Condensed Specialty Crosswalk'!$A$2:$C$106,2,FALSE),"")</f>
        <v/>
      </c>
      <c r="G3191" s="49" t="str">
        <f>IFERROR(VLOOKUP(E3191,'Condensed Specialty Crosswalk'!$A$2:$C$106,3,FALSE),"")</f>
        <v/>
      </c>
    </row>
    <row r="3192" spans="5:7" ht="15" customHeight="1">
      <c r="E3192" s="49" t="str">
        <f>IFERROR(VLOOKUP(D3192,'taxonomy map'!$A$1:$C$107,2,FALSE),"")</f>
        <v/>
      </c>
      <c r="F3192" s="49" t="str">
        <f>IFERROR(VLOOKUP(E3192,'Condensed Specialty Crosswalk'!$A$2:$C$106,2,FALSE),"")</f>
        <v/>
      </c>
      <c r="G3192" s="49" t="str">
        <f>IFERROR(VLOOKUP(E3192,'Condensed Specialty Crosswalk'!$A$2:$C$106,3,FALSE),"")</f>
        <v/>
      </c>
    </row>
    <row r="3193" spans="5:7" ht="15" customHeight="1">
      <c r="E3193" s="49" t="str">
        <f>IFERROR(VLOOKUP(D3193,'taxonomy map'!$A$1:$C$107,2,FALSE),"")</f>
        <v/>
      </c>
      <c r="F3193" s="49" t="str">
        <f>IFERROR(VLOOKUP(E3193,'Condensed Specialty Crosswalk'!$A$2:$C$106,2,FALSE),"")</f>
        <v/>
      </c>
      <c r="G3193" s="49" t="str">
        <f>IFERROR(VLOOKUP(E3193,'Condensed Specialty Crosswalk'!$A$2:$C$106,3,FALSE),"")</f>
        <v/>
      </c>
    </row>
    <row r="3194" spans="5:7" ht="15" customHeight="1">
      <c r="E3194" s="49" t="str">
        <f>IFERROR(VLOOKUP(D3194,'taxonomy map'!$A$1:$C$107,2,FALSE),"")</f>
        <v/>
      </c>
      <c r="F3194" s="49" t="str">
        <f>IFERROR(VLOOKUP(E3194,'Condensed Specialty Crosswalk'!$A$2:$C$106,2,FALSE),"")</f>
        <v/>
      </c>
      <c r="G3194" s="49" t="str">
        <f>IFERROR(VLOOKUP(E3194,'Condensed Specialty Crosswalk'!$A$2:$C$106,3,FALSE),"")</f>
        <v/>
      </c>
    </row>
    <row r="3195" spans="5:7" ht="15" customHeight="1">
      <c r="E3195" s="49" t="str">
        <f>IFERROR(VLOOKUP(D3195,'taxonomy map'!$A$1:$C$107,2,FALSE),"")</f>
        <v/>
      </c>
      <c r="F3195" s="49" t="str">
        <f>IFERROR(VLOOKUP(E3195,'Condensed Specialty Crosswalk'!$A$2:$C$106,2,FALSE),"")</f>
        <v/>
      </c>
      <c r="G3195" s="49" t="str">
        <f>IFERROR(VLOOKUP(E3195,'Condensed Specialty Crosswalk'!$A$2:$C$106,3,FALSE),"")</f>
        <v/>
      </c>
    </row>
    <row r="3196" spans="5:7" ht="15" customHeight="1">
      <c r="E3196" s="49" t="str">
        <f>IFERROR(VLOOKUP(D3196,'taxonomy map'!$A$1:$C$107,2,FALSE),"")</f>
        <v/>
      </c>
      <c r="F3196" s="49" t="str">
        <f>IFERROR(VLOOKUP(E3196,'Condensed Specialty Crosswalk'!$A$2:$C$106,2,FALSE),"")</f>
        <v/>
      </c>
      <c r="G3196" s="49" t="str">
        <f>IFERROR(VLOOKUP(E3196,'Condensed Specialty Crosswalk'!$A$2:$C$106,3,FALSE),"")</f>
        <v/>
      </c>
    </row>
    <row r="3197" spans="5:7" ht="15" customHeight="1">
      <c r="E3197" s="49" t="str">
        <f>IFERROR(VLOOKUP(D3197,'taxonomy map'!$A$1:$C$107,2,FALSE),"")</f>
        <v/>
      </c>
      <c r="F3197" s="49" t="str">
        <f>IFERROR(VLOOKUP(E3197,'Condensed Specialty Crosswalk'!$A$2:$C$106,2,FALSE),"")</f>
        <v/>
      </c>
      <c r="G3197" s="49" t="str">
        <f>IFERROR(VLOOKUP(E3197,'Condensed Specialty Crosswalk'!$A$2:$C$106,3,FALSE),"")</f>
        <v/>
      </c>
    </row>
    <row r="3198" spans="5:7" ht="15" customHeight="1">
      <c r="E3198" s="49" t="str">
        <f>IFERROR(VLOOKUP(D3198,'taxonomy map'!$A$1:$C$107,2,FALSE),"")</f>
        <v/>
      </c>
      <c r="F3198" s="49" t="str">
        <f>IFERROR(VLOOKUP(E3198,'Condensed Specialty Crosswalk'!$A$2:$C$106,2,FALSE),"")</f>
        <v/>
      </c>
      <c r="G3198" s="49" t="str">
        <f>IFERROR(VLOOKUP(E3198,'Condensed Specialty Crosswalk'!$A$2:$C$106,3,FALSE),"")</f>
        <v/>
      </c>
    </row>
    <row r="3199" spans="5:7" ht="15" customHeight="1">
      <c r="E3199" s="49" t="str">
        <f>IFERROR(VLOOKUP(D3199,'taxonomy map'!$A$1:$C$107,2,FALSE),"")</f>
        <v/>
      </c>
      <c r="F3199" s="49" t="str">
        <f>IFERROR(VLOOKUP(E3199,'Condensed Specialty Crosswalk'!$A$2:$C$106,2,FALSE),"")</f>
        <v/>
      </c>
      <c r="G3199" s="49" t="str">
        <f>IFERROR(VLOOKUP(E3199,'Condensed Specialty Crosswalk'!$A$2:$C$106,3,FALSE),"")</f>
        <v/>
      </c>
    </row>
    <row r="3200" spans="5:7" ht="15" customHeight="1">
      <c r="E3200" s="49" t="str">
        <f>IFERROR(VLOOKUP(D3200,'taxonomy map'!$A$1:$C$107,2,FALSE),"")</f>
        <v/>
      </c>
      <c r="F3200" s="49" t="str">
        <f>IFERROR(VLOOKUP(E3200,'Condensed Specialty Crosswalk'!$A$2:$C$106,2,FALSE),"")</f>
        <v/>
      </c>
      <c r="G3200" s="49" t="str">
        <f>IFERROR(VLOOKUP(E3200,'Condensed Specialty Crosswalk'!$A$2:$C$106,3,FALSE),"")</f>
        <v/>
      </c>
    </row>
    <row r="3201" spans="5:7" ht="15" customHeight="1">
      <c r="E3201" s="49" t="str">
        <f>IFERROR(VLOOKUP(D3201,'taxonomy map'!$A$1:$C$107,2,FALSE),"")</f>
        <v/>
      </c>
      <c r="F3201" s="49" t="str">
        <f>IFERROR(VLOOKUP(E3201,'Condensed Specialty Crosswalk'!$A$2:$C$106,2,FALSE),"")</f>
        <v/>
      </c>
      <c r="G3201" s="49" t="str">
        <f>IFERROR(VLOOKUP(E3201,'Condensed Specialty Crosswalk'!$A$2:$C$106,3,FALSE),"")</f>
        <v/>
      </c>
    </row>
    <row r="3202" spans="5:7" ht="15" customHeight="1">
      <c r="E3202" s="49" t="str">
        <f>IFERROR(VLOOKUP(D3202,'taxonomy map'!$A$1:$C$107,2,FALSE),"")</f>
        <v/>
      </c>
      <c r="F3202" s="49" t="str">
        <f>IFERROR(VLOOKUP(E3202,'Condensed Specialty Crosswalk'!$A$2:$C$106,2,FALSE),"")</f>
        <v/>
      </c>
      <c r="G3202" s="49" t="str">
        <f>IFERROR(VLOOKUP(E3202,'Condensed Specialty Crosswalk'!$A$2:$C$106,3,FALSE),"")</f>
        <v/>
      </c>
    </row>
    <row r="3203" spans="5:7" ht="15" customHeight="1">
      <c r="E3203" s="49" t="str">
        <f>IFERROR(VLOOKUP(D3203,'taxonomy map'!$A$1:$C$107,2,FALSE),"")</f>
        <v/>
      </c>
      <c r="F3203" s="49" t="str">
        <f>IFERROR(VLOOKUP(E3203,'Condensed Specialty Crosswalk'!$A$2:$C$106,2,FALSE),"")</f>
        <v/>
      </c>
      <c r="G3203" s="49" t="str">
        <f>IFERROR(VLOOKUP(E3203,'Condensed Specialty Crosswalk'!$A$2:$C$106,3,FALSE),"")</f>
        <v/>
      </c>
    </row>
    <row r="3204" spans="5:7" ht="15" customHeight="1">
      <c r="E3204" s="49" t="str">
        <f>IFERROR(VLOOKUP(D3204,'taxonomy map'!$A$1:$C$107,2,FALSE),"")</f>
        <v/>
      </c>
      <c r="F3204" s="49" t="str">
        <f>IFERROR(VLOOKUP(E3204,'Condensed Specialty Crosswalk'!$A$2:$C$106,2,FALSE),"")</f>
        <v/>
      </c>
      <c r="G3204" s="49" t="str">
        <f>IFERROR(VLOOKUP(E3204,'Condensed Specialty Crosswalk'!$A$2:$C$106,3,FALSE),"")</f>
        <v/>
      </c>
    </row>
    <row r="3205" spans="5:7" ht="15" customHeight="1">
      <c r="E3205" s="49" t="str">
        <f>IFERROR(VLOOKUP(D3205,'taxonomy map'!$A$1:$C$107,2,FALSE),"")</f>
        <v/>
      </c>
      <c r="F3205" s="49" t="str">
        <f>IFERROR(VLOOKUP(E3205,'Condensed Specialty Crosswalk'!$A$2:$C$106,2,FALSE),"")</f>
        <v/>
      </c>
      <c r="G3205" s="49" t="str">
        <f>IFERROR(VLOOKUP(E3205,'Condensed Specialty Crosswalk'!$A$2:$C$106,3,FALSE),"")</f>
        <v/>
      </c>
    </row>
    <row r="3206" spans="5:7" ht="15" customHeight="1">
      <c r="E3206" s="49" t="str">
        <f>IFERROR(VLOOKUP(D3206,'taxonomy map'!$A$1:$C$107,2,FALSE),"")</f>
        <v/>
      </c>
      <c r="F3206" s="49" t="str">
        <f>IFERROR(VLOOKUP(E3206,'Condensed Specialty Crosswalk'!$A$2:$C$106,2,FALSE),"")</f>
        <v/>
      </c>
      <c r="G3206" s="49" t="str">
        <f>IFERROR(VLOOKUP(E3206,'Condensed Specialty Crosswalk'!$A$2:$C$106,3,FALSE),"")</f>
        <v/>
      </c>
    </row>
    <row r="3207" spans="5:7" ht="15" customHeight="1">
      <c r="E3207" s="49" t="str">
        <f>IFERROR(VLOOKUP(D3207,'taxonomy map'!$A$1:$C$107,2,FALSE),"")</f>
        <v/>
      </c>
      <c r="F3207" s="49" t="str">
        <f>IFERROR(VLOOKUP(E3207,'Condensed Specialty Crosswalk'!$A$2:$C$106,2,FALSE),"")</f>
        <v/>
      </c>
      <c r="G3207" s="49" t="str">
        <f>IFERROR(VLOOKUP(E3207,'Condensed Specialty Crosswalk'!$A$2:$C$106,3,FALSE),"")</f>
        <v/>
      </c>
    </row>
    <row r="3208" spans="5:7" ht="15" customHeight="1">
      <c r="E3208" s="49" t="str">
        <f>IFERROR(VLOOKUP(D3208,'taxonomy map'!$A$1:$C$107,2,FALSE),"")</f>
        <v/>
      </c>
      <c r="F3208" s="49" t="str">
        <f>IFERROR(VLOOKUP(E3208,'Condensed Specialty Crosswalk'!$A$2:$C$106,2,FALSE),"")</f>
        <v/>
      </c>
      <c r="G3208" s="49" t="str">
        <f>IFERROR(VLOOKUP(E3208,'Condensed Specialty Crosswalk'!$A$2:$C$106,3,FALSE),"")</f>
        <v/>
      </c>
    </row>
    <row r="3209" spans="5:7" ht="15" customHeight="1">
      <c r="E3209" s="49" t="str">
        <f>IFERROR(VLOOKUP(D3209,'taxonomy map'!$A$1:$C$107,2,FALSE),"")</f>
        <v/>
      </c>
      <c r="F3209" s="49" t="str">
        <f>IFERROR(VLOOKUP(E3209,'Condensed Specialty Crosswalk'!$A$2:$C$106,2,FALSE),"")</f>
        <v/>
      </c>
      <c r="G3209" s="49" t="str">
        <f>IFERROR(VLOOKUP(E3209,'Condensed Specialty Crosswalk'!$A$2:$C$106,3,FALSE),"")</f>
        <v/>
      </c>
    </row>
    <row r="3210" spans="5:7" ht="15" customHeight="1">
      <c r="E3210" s="49" t="str">
        <f>IFERROR(VLOOKUP(D3210,'taxonomy map'!$A$1:$C$107,2,FALSE),"")</f>
        <v/>
      </c>
      <c r="F3210" s="49" t="str">
        <f>IFERROR(VLOOKUP(E3210,'Condensed Specialty Crosswalk'!$A$2:$C$106,2,FALSE),"")</f>
        <v/>
      </c>
      <c r="G3210" s="49" t="str">
        <f>IFERROR(VLOOKUP(E3210,'Condensed Specialty Crosswalk'!$A$2:$C$106,3,FALSE),"")</f>
        <v/>
      </c>
    </row>
    <row r="3211" spans="5:7" ht="15" customHeight="1">
      <c r="E3211" s="49" t="str">
        <f>IFERROR(VLOOKUP(D3211,'taxonomy map'!$A$1:$C$107,2,FALSE),"")</f>
        <v/>
      </c>
      <c r="F3211" s="49" t="str">
        <f>IFERROR(VLOOKUP(E3211,'Condensed Specialty Crosswalk'!$A$2:$C$106,2,FALSE),"")</f>
        <v/>
      </c>
      <c r="G3211" s="49" t="str">
        <f>IFERROR(VLOOKUP(E3211,'Condensed Specialty Crosswalk'!$A$2:$C$106,3,FALSE),"")</f>
        <v/>
      </c>
    </row>
    <row r="3212" spans="5:7" ht="15" customHeight="1">
      <c r="E3212" s="49" t="str">
        <f>IFERROR(VLOOKUP(D3212,'taxonomy map'!$A$1:$C$107,2,FALSE),"")</f>
        <v/>
      </c>
      <c r="F3212" s="49" t="str">
        <f>IFERROR(VLOOKUP(E3212,'Condensed Specialty Crosswalk'!$A$2:$C$106,2,FALSE),"")</f>
        <v/>
      </c>
      <c r="G3212" s="49" t="str">
        <f>IFERROR(VLOOKUP(E3212,'Condensed Specialty Crosswalk'!$A$2:$C$106,3,FALSE),"")</f>
        <v/>
      </c>
    </row>
    <row r="3213" spans="5:7" ht="15" customHeight="1">
      <c r="E3213" s="49" t="str">
        <f>IFERROR(VLOOKUP(D3213,'taxonomy map'!$A$1:$C$107,2,FALSE),"")</f>
        <v/>
      </c>
      <c r="F3213" s="49" t="str">
        <f>IFERROR(VLOOKUP(E3213,'Condensed Specialty Crosswalk'!$A$2:$C$106,2,FALSE),"")</f>
        <v/>
      </c>
      <c r="G3213" s="49" t="str">
        <f>IFERROR(VLOOKUP(E3213,'Condensed Specialty Crosswalk'!$A$2:$C$106,3,FALSE),"")</f>
        <v/>
      </c>
    </row>
    <row r="3214" spans="5:7" ht="15" customHeight="1">
      <c r="E3214" s="49" t="str">
        <f>IFERROR(VLOOKUP(D3214,'taxonomy map'!$A$1:$C$107,2,FALSE),"")</f>
        <v/>
      </c>
      <c r="F3214" s="49" t="str">
        <f>IFERROR(VLOOKUP(E3214,'Condensed Specialty Crosswalk'!$A$2:$C$106,2,FALSE),"")</f>
        <v/>
      </c>
      <c r="G3214" s="49" t="str">
        <f>IFERROR(VLOOKUP(E3214,'Condensed Specialty Crosswalk'!$A$2:$C$106,3,FALSE),"")</f>
        <v/>
      </c>
    </row>
    <row r="3215" spans="5:7" ht="15" customHeight="1">
      <c r="E3215" s="49" t="str">
        <f>IFERROR(VLOOKUP(D3215,'taxonomy map'!$A$1:$C$107,2,FALSE),"")</f>
        <v/>
      </c>
      <c r="F3215" s="49" t="str">
        <f>IFERROR(VLOOKUP(E3215,'Condensed Specialty Crosswalk'!$A$2:$C$106,2,FALSE),"")</f>
        <v/>
      </c>
      <c r="G3215" s="49" t="str">
        <f>IFERROR(VLOOKUP(E3215,'Condensed Specialty Crosswalk'!$A$2:$C$106,3,FALSE),"")</f>
        <v/>
      </c>
    </row>
    <row r="3216" spans="5:7" ht="15" customHeight="1">
      <c r="E3216" s="49" t="str">
        <f>IFERROR(VLOOKUP(D3216,'taxonomy map'!$A$1:$C$107,2,FALSE),"")</f>
        <v/>
      </c>
      <c r="F3216" s="49" t="str">
        <f>IFERROR(VLOOKUP(E3216,'Condensed Specialty Crosswalk'!$A$2:$C$106,2,FALSE),"")</f>
        <v/>
      </c>
      <c r="G3216" s="49" t="str">
        <f>IFERROR(VLOOKUP(E3216,'Condensed Specialty Crosswalk'!$A$2:$C$106,3,FALSE),"")</f>
        <v/>
      </c>
    </row>
    <row r="3217" spans="5:7" ht="15" customHeight="1">
      <c r="E3217" s="49" t="str">
        <f>IFERROR(VLOOKUP(D3217,'taxonomy map'!$A$1:$C$107,2,FALSE),"")</f>
        <v/>
      </c>
      <c r="F3217" s="49" t="str">
        <f>IFERROR(VLOOKUP(E3217,'Condensed Specialty Crosswalk'!$A$2:$C$106,2,FALSE),"")</f>
        <v/>
      </c>
      <c r="G3217" s="49" t="str">
        <f>IFERROR(VLOOKUP(E3217,'Condensed Specialty Crosswalk'!$A$2:$C$106,3,FALSE),"")</f>
        <v/>
      </c>
    </row>
    <row r="3218" spans="5:7" ht="15" customHeight="1">
      <c r="E3218" s="49" t="str">
        <f>IFERROR(VLOOKUP(D3218,'taxonomy map'!$A$1:$C$107,2,FALSE),"")</f>
        <v/>
      </c>
      <c r="F3218" s="49" t="str">
        <f>IFERROR(VLOOKUP(E3218,'Condensed Specialty Crosswalk'!$A$2:$C$106,2,FALSE),"")</f>
        <v/>
      </c>
      <c r="G3218" s="49" t="str">
        <f>IFERROR(VLOOKUP(E3218,'Condensed Specialty Crosswalk'!$A$2:$C$106,3,FALSE),"")</f>
        <v/>
      </c>
    </row>
    <row r="3219" spans="5:7" ht="15" customHeight="1">
      <c r="E3219" s="49" t="str">
        <f>IFERROR(VLOOKUP(D3219,'taxonomy map'!$A$1:$C$107,2,FALSE),"")</f>
        <v/>
      </c>
      <c r="F3219" s="49" t="str">
        <f>IFERROR(VLOOKUP(E3219,'Condensed Specialty Crosswalk'!$A$2:$C$106,2,FALSE),"")</f>
        <v/>
      </c>
      <c r="G3219" s="49" t="str">
        <f>IFERROR(VLOOKUP(E3219,'Condensed Specialty Crosswalk'!$A$2:$C$106,3,FALSE),"")</f>
        <v/>
      </c>
    </row>
    <row r="3220" spans="5:7" ht="15" customHeight="1">
      <c r="E3220" s="49" t="str">
        <f>IFERROR(VLOOKUP(D3220,'taxonomy map'!$A$1:$C$107,2,FALSE),"")</f>
        <v/>
      </c>
      <c r="F3220" s="49" t="str">
        <f>IFERROR(VLOOKUP(E3220,'Condensed Specialty Crosswalk'!$A$2:$C$106,2,FALSE),"")</f>
        <v/>
      </c>
      <c r="G3220" s="49" t="str">
        <f>IFERROR(VLOOKUP(E3220,'Condensed Specialty Crosswalk'!$A$2:$C$106,3,FALSE),"")</f>
        <v/>
      </c>
    </row>
    <row r="3221" spans="5:7" ht="15" customHeight="1">
      <c r="E3221" s="49" t="str">
        <f>IFERROR(VLOOKUP(D3221,'taxonomy map'!$A$1:$C$107,2,FALSE),"")</f>
        <v/>
      </c>
      <c r="F3221" s="49" t="str">
        <f>IFERROR(VLOOKUP(E3221,'Condensed Specialty Crosswalk'!$A$2:$C$106,2,FALSE),"")</f>
        <v/>
      </c>
      <c r="G3221" s="49" t="str">
        <f>IFERROR(VLOOKUP(E3221,'Condensed Specialty Crosswalk'!$A$2:$C$106,3,FALSE),"")</f>
        <v/>
      </c>
    </row>
    <row r="3222" spans="5:7" ht="15" customHeight="1">
      <c r="E3222" s="49" t="str">
        <f>IFERROR(VLOOKUP(D3222,'taxonomy map'!$A$1:$C$107,2,FALSE),"")</f>
        <v/>
      </c>
      <c r="F3222" s="49" t="str">
        <f>IFERROR(VLOOKUP(E3222,'Condensed Specialty Crosswalk'!$A$2:$C$106,2,FALSE),"")</f>
        <v/>
      </c>
      <c r="G3222" s="49" t="str">
        <f>IFERROR(VLOOKUP(E3222,'Condensed Specialty Crosswalk'!$A$2:$C$106,3,FALSE),"")</f>
        <v/>
      </c>
    </row>
    <row r="3223" spans="5:7" ht="15" customHeight="1">
      <c r="E3223" s="49" t="str">
        <f>IFERROR(VLOOKUP(D3223,'taxonomy map'!$A$1:$C$107,2,FALSE),"")</f>
        <v/>
      </c>
      <c r="F3223" s="49" t="str">
        <f>IFERROR(VLOOKUP(E3223,'Condensed Specialty Crosswalk'!$A$2:$C$106,2,FALSE),"")</f>
        <v/>
      </c>
      <c r="G3223" s="49" t="str">
        <f>IFERROR(VLOOKUP(E3223,'Condensed Specialty Crosswalk'!$A$2:$C$106,3,FALSE),"")</f>
        <v/>
      </c>
    </row>
    <row r="3224" spans="5:7" ht="15" customHeight="1">
      <c r="E3224" s="49" t="str">
        <f>IFERROR(VLOOKUP(D3224,'taxonomy map'!$A$1:$C$107,2,FALSE),"")</f>
        <v/>
      </c>
      <c r="F3224" s="49" t="str">
        <f>IFERROR(VLOOKUP(E3224,'Condensed Specialty Crosswalk'!$A$2:$C$106,2,FALSE),"")</f>
        <v/>
      </c>
      <c r="G3224" s="49" t="str">
        <f>IFERROR(VLOOKUP(E3224,'Condensed Specialty Crosswalk'!$A$2:$C$106,3,FALSE),"")</f>
        <v/>
      </c>
    </row>
    <row r="3225" spans="5:7" ht="15" customHeight="1">
      <c r="E3225" s="49" t="str">
        <f>IFERROR(VLOOKUP(D3225,'taxonomy map'!$A$1:$C$107,2,FALSE),"")</f>
        <v/>
      </c>
      <c r="F3225" s="49" t="str">
        <f>IFERROR(VLOOKUP(E3225,'Condensed Specialty Crosswalk'!$A$2:$C$106,2,FALSE),"")</f>
        <v/>
      </c>
      <c r="G3225" s="49" t="str">
        <f>IFERROR(VLOOKUP(E3225,'Condensed Specialty Crosswalk'!$A$2:$C$106,3,FALSE),"")</f>
        <v/>
      </c>
    </row>
    <row r="3226" spans="5:7" ht="15" customHeight="1">
      <c r="E3226" s="49" t="str">
        <f>IFERROR(VLOOKUP(D3226,'taxonomy map'!$A$1:$C$107,2,FALSE),"")</f>
        <v/>
      </c>
      <c r="F3226" s="49" t="str">
        <f>IFERROR(VLOOKUP(E3226,'Condensed Specialty Crosswalk'!$A$2:$C$106,2,FALSE),"")</f>
        <v/>
      </c>
      <c r="G3226" s="49" t="str">
        <f>IFERROR(VLOOKUP(E3226,'Condensed Specialty Crosswalk'!$A$2:$C$106,3,FALSE),"")</f>
        <v/>
      </c>
    </row>
    <row r="3227" spans="5:7" ht="15" customHeight="1">
      <c r="E3227" s="49" t="str">
        <f>IFERROR(VLOOKUP(D3227,'taxonomy map'!$A$1:$C$107,2,FALSE),"")</f>
        <v/>
      </c>
      <c r="F3227" s="49" t="str">
        <f>IFERROR(VLOOKUP(E3227,'Condensed Specialty Crosswalk'!$A$2:$C$106,2,FALSE),"")</f>
        <v/>
      </c>
      <c r="G3227" s="49" t="str">
        <f>IFERROR(VLOOKUP(E3227,'Condensed Specialty Crosswalk'!$A$2:$C$106,3,FALSE),"")</f>
        <v/>
      </c>
    </row>
    <row r="3228" spans="5:7" ht="15" customHeight="1">
      <c r="E3228" s="49" t="str">
        <f>IFERROR(VLOOKUP(D3228,'taxonomy map'!$A$1:$C$107,2,FALSE),"")</f>
        <v/>
      </c>
      <c r="F3228" s="49" t="str">
        <f>IFERROR(VLOOKUP(E3228,'Condensed Specialty Crosswalk'!$A$2:$C$106,2,FALSE),"")</f>
        <v/>
      </c>
      <c r="G3228" s="49" t="str">
        <f>IFERROR(VLOOKUP(E3228,'Condensed Specialty Crosswalk'!$A$2:$C$106,3,FALSE),"")</f>
        <v/>
      </c>
    </row>
    <row r="3229" spans="5:7" ht="15" customHeight="1">
      <c r="E3229" s="49" t="str">
        <f>IFERROR(VLOOKUP(D3229,'taxonomy map'!$A$1:$C$107,2,FALSE),"")</f>
        <v/>
      </c>
      <c r="F3229" s="49" t="str">
        <f>IFERROR(VLOOKUP(E3229,'Condensed Specialty Crosswalk'!$A$2:$C$106,2,FALSE),"")</f>
        <v/>
      </c>
      <c r="G3229" s="49" t="str">
        <f>IFERROR(VLOOKUP(E3229,'Condensed Specialty Crosswalk'!$A$2:$C$106,3,FALSE),"")</f>
        <v/>
      </c>
    </row>
    <row r="3230" spans="5:7" ht="15" customHeight="1">
      <c r="E3230" s="49" t="str">
        <f>IFERROR(VLOOKUP(D3230,'taxonomy map'!$A$1:$C$107,2,FALSE),"")</f>
        <v/>
      </c>
      <c r="F3230" s="49" t="str">
        <f>IFERROR(VLOOKUP(E3230,'Condensed Specialty Crosswalk'!$A$2:$C$106,2,FALSE),"")</f>
        <v/>
      </c>
      <c r="G3230" s="49" t="str">
        <f>IFERROR(VLOOKUP(E3230,'Condensed Specialty Crosswalk'!$A$2:$C$106,3,FALSE),"")</f>
        <v/>
      </c>
    </row>
    <row r="3231" spans="5:7" ht="15" customHeight="1">
      <c r="E3231" s="49" t="str">
        <f>IFERROR(VLOOKUP(D3231,'taxonomy map'!$A$1:$C$107,2,FALSE),"")</f>
        <v/>
      </c>
      <c r="F3231" s="49" t="str">
        <f>IFERROR(VLOOKUP(E3231,'Condensed Specialty Crosswalk'!$A$2:$C$106,2,FALSE),"")</f>
        <v/>
      </c>
      <c r="G3231" s="49" t="str">
        <f>IFERROR(VLOOKUP(E3231,'Condensed Specialty Crosswalk'!$A$2:$C$106,3,FALSE),"")</f>
        <v/>
      </c>
    </row>
    <row r="3232" spans="5:7" ht="15" customHeight="1">
      <c r="E3232" s="49" t="str">
        <f>IFERROR(VLOOKUP(D3232,'taxonomy map'!$A$1:$C$107,2,FALSE),"")</f>
        <v/>
      </c>
      <c r="F3232" s="49" t="str">
        <f>IFERROR(VLOOKUP(E3232,'Condensed Specialty Crosswalk'!$A$2:$C$106,2,FALSE),"")</f>
        <v/>
      </c>
      <c r="G3232" s="49" t="str">
        <f>IFERROR(VLOOKUP(E3232,'Condensed Specialty Crosswalk'!$A$2:$C$106,3,FALSE),"")</f>
        <v/>
      </c>
    </row>
    <row r="3233" spans="5:7" ht="15" customHeight="1">
      <c r="E3233" s="49" t="str">
        <f>IFERROR(VLOOKUP(D3233,'taxonomy map'!$A$1:$C$107,2,FALSE),"")</f>
        <v/>
      </c>
      <c r="F3233" s="49" t="str">
        <f>IFERROR(VLOOKUP(E3233,'Condensed Specialty Crosswalk'!$A$2:$C$106,2,FALSE),"")</f>
        <v/>
      </c>
      <c r="G3233" s="49" t="str">
        <f>IFERROR(VLOOKUP(E3233,'Condensed Specialty Crosswalk'!$A$2:$C$106,3,FALSE),"")</f>
        <v/>
      </c>
    </row>
    <row r="3234" spans="5:7" ht="15" customHeight="1">
      <c r="E3234" s="49" t="str">
        <f>IFERROR(VLOOKUP(D3234,'taxonomy map'!$A$1:$C$107,2,FALSE),"")</f>
        <v/>
      </c>
      <c r="F3234" s="49" t="str">
        <f>IFERROR(VLOOKUP(E3234,'Condensed Specialty Crosswalk'!$A$2:$C$106,2,FALSE),"")</f>
        <v/>
      </c>
      <c r="G3234" s="49" t="str">
        <f>IFERROR(VLOOKUP(E3234,'Condensed Specialty Crosswalk'!$A$2:$C$106,3,FALSE),"")</f>
        <v/>
      </c>
    </row>
    <row r="3235" spans="5:7" ht="15" customHeight="1">
      <c r="E3235" s="49" t="str">
        <f>IFERROR(VLOOKUP(D3235,'taxonomy map'!$A$1:$C$107,2,FALSE),"")</f>
        <v/>
      </c>
      <c r="F3235" s="49" t="str">
        <f>IFERROR(VLOOKUP(E3235,'Condensed Specialty Crosswalk'!$A$2:$C$106,2,FALSE),"")</f>
        <v/>
      </c>
      <c r="G3235" s="49" t="str">
        <f>IFERROR(VLOOKUP(E3235,'Condensed Specialty Crosswalk'!$A$2:$C$106,3,FALSE),"")</f>
        <v/>
      </c>
    </row>
    <row r="3236" spans="5:7" ht="15" customHeight="1">
      <c r="E3236" s="49" t="str">
        <f>IFERROR(VLOOKUP(D3236,'taxonomy map'!$A$1:$C$107,2,FALSE),"")</f>
        <v/>
      </c>
      <c r="F3236" s="49" t="str">
        <f>IFERROR(VLOOKUP(E3236,'Condensed Specialty Crosswalk'!$A$2:$C$106,2,FALSE),"")</f>
        <v/>
      </c>
      <c r="G3236" s="49" t="str">
        <f>IFERROR(VLOOKUP(E3236,'Condensed Specialty Crosswalk'!$A$2:$C$106,3,FALSE),"")</f>
        <v/>
      </c>
    </row>
    <row r="3237" spans="5:7" ht="15" customHeight="1">
      <c r="E3237" s="49" t="str">
        <f>IFERROR(VLOOKUP(D3237,'taxonomy map'!$A$1:$C$107,2,FALSE),"")</f>
        <v/>
      </c>
      <c r="F3237" s="49" t="str">
        <f>IFERROR(VLOOKUP(E3237,'Condensed Specialty Crosswalk'!$A$2:$C$106,2,FALSE),"")</f>
        <v/>
      </c>
      <c r="G3237" s="49" t="str">
        <f>IFERROR(VLOOKUP(E3237,'Condensed Specialty Crosswalk'!$A$2:$C$106,3,FALSE),"")</f>
        <v/>
      </c>
    </row>
    <row r="3238" spans="5:7" ht="15" customHeight="1">
      <c r="E3238" s="49" t="str">
        <f>IFERROR(VLOOKUP(D3238,'taxonomy map'!$A$1:$C$107,2,FALSE),"")</f>
        <v/>
      </c>
      <c r="F3238" s="49" t="str">
        <f>IFERROR(VLOOKUP(E3238,'Condensed Specialty Crosswalk'!$A$2:$C$106,2,FALSE),"")</f>
        <v/>
      </c>
      <c r="G3238" s="49" t="str">
        <f>IFERROR(VLOOKUP(E3238,'Condensed Specialty Crosswalk'!$A$2:$C$106,3,FALSE),"")</f>
        <v/>
      </c>
    </row>
    <row r="3239" spans="5:7" ht="15" customHeight="1">
      <c r="E3239" s="49" t="str">
        <f>IFERROR(VLOOKUP(D3239,'taxonomy map'!$A$1:$C$107,2,FALSE),"")</f>
        <v/>
      </c>
      <c r="F3239" s="49" t="str">
        <f>IFERROR(VLOOKUP(E3239,'Condensed Specialty Crosswalk'!$A$2:$C$106,2,FALSE),"")</f>
        <v/>
      </c>
      <c r="G3239" s="49" t="str">
        <f>IFERROR(VLOOKUP(E3239,'Condensed Specialty Crosswalk'!$A$2:$C$106,3,FALSE),"")</f>
        <v/>
      </c>
    </row>
    <row r="3240" spans="5:7" ht="15" customHeight="1">
      <c r="E3240" s="49" t="str">
        <f>IFERROR(VLOOKUP(D3240,'taxonomy map'!$A$1:$C$107,2,FALSE),"")</f>
        <v/>
      </c>
      <c r="F3240" s="49" t="str">
        <f>IFERROR(VLOOKUP(E3240,'Condensed Specialty Crosswalk'!$A$2:$C$106,2,FALSE),"")</f>
        <v/>
      </c>
      <c r="G3240" s="49" t="str">
        <f>IFERROR(VLOOKUP(E3240,'Condensed Specialty Crosswalk'!$A$2:$C$106,3,FALSE),"")</f>
        <v/>
      </c>
    </row>
    <row r="3241" spans="5:7" ht="15" customHeight="1">
      <c r="E3241" s="49" t="str">
        <f>IFERROR(VLOOKUP(D3241,'taxonomy map'!$A$1:$C$107,2,FALSE),"")</f>
        <v/>
      </c>
      <c r="F3241" s="49" t="str">
        <f>IFERROR(VLOOKUP(E3241,'Condensed Specialty Crosswalk'!$A$2:$C$106,2,FALSE),"")</f>
        <v/>
      </c>
      <c r="G3241" s="49" t="str">
        <f>IFERROR(VLOOKUP(E3241,'Condensed Specialty Crosswalk'!$A$2:$C$106,3,FALSE),"")</f>
        <v/>
      </c>
    </row>
    <row r="3242" spans="5:7" ht="15" customHeight="1">
      <c r="E3242" s="49" t="str">
        <f>IFERROR(VLOOKUP(D3242,'taxonomy map'!$A$1:$C$107,2,FALSE),"")</f>
        <v/>
      </c>
      <c r="F3242" s="49" t="str">
        <f>IFERROR(VLOOKUP(E3242,'Condensed Specialty Crosswalk'!$A$2:$C$106,2,FALSE),"")</f>
        <v/>
      </c>
      <c r="G3242" s="49" t="str">
        <f>IFERROR(VLOOKUP(E3242,'Condensed Specialty Crosswalk'!$A$2:$C$106,3,FALSE),"")</f>
        <v/>
      </c>
    </row>
    <row r="3243" spans="5:7" ht="15" customHeight="1">
      <c r="E3243" s="49" t="str">
        <f>IFERROR(VLOOKUP(D3243,'taxonomy map'!$A$1:$C$107,2,FALSE),"")</f>
        <v/>
      </c>
      <c r="F3243" s="49" t="str">
        <f>IFERROR(VLOOKUP(E3243,'Condensed Specialty Crosswalk'!$A$2:$C$106,2,FALSE),"")</f>
        <v/>
      </c>
      <c r="G3243" s="49" t="str">
        <f>IFERROR(VLOOKUP(E3243,'Condensed Specialty Crosswalk'!$A$2:$C$106,3,FALSE),"")</f>
        <v/>
      </c>
    </row>
    <row r="3244" spans="5:7" ht="15" customHeight="1">
      <c r="E3244" s="49" t="str">
        <f>IFERROR(VLOOKUP(D3244,'taxonomy map'!$A$1:$C$107,2,FALSE),"")</f>
        <v/>
      </c>
      <c r="F3244" s="49" t="str">
        <f>IFERROR(VLOOKUP(E3244,'Condensed Specialty Crosswalk'!$A$2:$C$106,2,FALSE),"")</f>
        <v/>
      </c>
      <c r="G3244" s="49" t="str">
        <f>IFERROR(VLOOKUP(E3244,'Condensed Specialty Crosswalk'!$A$2:$C$106,3,FALSE),"")</f>
        <v/>
      </c>
    </row>
    <row r="3245" spans="5:7" ht="15" customHeight="1">
      <c r="E3245" s="49" t="str">
        <f>IFERROR(VLOOKUP(D3245,'taxonomy map'!$A$1:$C$107,2,FALSE),"")</f>
        <v/>
      </c>
      <c r="F3245" s="49" t="str">
        <f>IFERROR(VLOOKUP(E3245,'Condensed Specialty Crosswalk'!$A$2:$C$106,2,FALSE),"")</f>
        <v/>
      </c>
      <c r="G3245" s="49" t="str">
        <f>IFERROR(VLOOKUP(E3245,'Condensed Specialty Crosswalk'!$A$2:$C$106,3,FALSE),"")</f>
        <v/>
      </c>
    </row>
    <row r="3246" spans="5:7" ht="15" customHeight="1">
      <c r="E3246" s="49" t="str">
        <f>IFERROR(VLOOKUP(D3246,'taxonomy map'!$A$1:$C$107,2,FALSE),"")</f>
        <v/>
      </c>
      <c r="F3246" s="49" t="str">
        <f>IFERROR(VLOOKUP(E3246,'Condensed Specialty Crosswalk'!$A$2:$C$106,2,FALSE),"")</f>
        <v/>
      </c>
      <c r="G3246" s="49" t="str">
        <f>IFERROR(VLOOKUP(E3246,'Condensed Specialty Crosswalk'!$A$2:$C$106,3,FALSE),"")</f>
        <v/>
      </c>
    </row>
    <row r="3247" spans="5:7" ht="15" customHeight="1">
      <c r="E3247" s="49" t="str">
        <f>IFERROR(VLOOKUP(D3247,'taxonomy map'!$A$1:$C$107,2,FALSE),"")</f>
        <v/>
      </c>
      <c r="F3247" s="49" t="str">
        <f>IFERROR(VLOOKUP(E3247,'Condensed Specialty Crosswalk'!$A$2:$C$106,2,FALSE),"")</f>
        <v/>
      </c>
      <c r="G3247" s="49" t="str">
        <f>IFERROR(VLOOKUP(E3247,'Condensed Specialty Crosswalk'!$A$2:$C$106,3,FALSE),"")</f>
        <v/>
      </c>
    </row>
    <row r="3248" spans="5:7" ht="15" customHeight="1">
      <c r="E3248" s="49" t="str">
        <f>IFERROR(VLOOKUP(D3248,'taxonomy map'!$A$1:$C$107,2,FALSE),"")</f>
        <v/>
      </c>
      <c r="F3248" s="49" t="str">
        <f>IFERROR(VLOOKUP(E3248,'Condensed Specialty Crosswalk'!$A$2:$C$106,2,FALSE),"")</f>
        <v/>
      </c>
      <c r="G3248" s="49" t="str">
        <f>IFERROR(VLOOKUP(E3248,'Condensed Specialty Crosswalk'!$A$2:$C$106,3,FALSE),"")</f>
        <v/>
      </c>
    </row>
    <row r="3249" spans="5:7" ht="15" customHeight="1">
      <c r="E3249" s="49" t="str">
        <f>IFERROR(VLOOKUP(D3249,'taxonomy map'!$A$1:$C$107,2,FALSE),"")</f>
        <v/>
      </c>
      <c r="F3249" s="49" t="str">
        <f>IFERROR(VLOOKUP(E3249,'Condensed Specialty Crosswalk'!$A$2:$C$106,2,FALSE),"")</f>
        <v/>
      </c>
      <c r="G3249" s="49" t="str">
        <f>IFERROR(VLOOKUP(E3249,'Condensed Specialty Crosswalk'!$A$2:$C$106,3,FALSE),"")</f>
        <v/>
      </c>
    </row>
    <row r="3250" spans="5:7" ht="15" customHeight="1">
      <c r="E3250" s="49" t="str">
        <f>IFERROR(VLOOKUP(D3250,'taxonomy map'!$A$1:$C$107,2,FALSE),"")</f>
        <v/>
      </c>
      <c r="F3250" s="49" t="str">
        <f>IFERROR(VLOOKUP(E3250,'Condensed Specialty Crosswalk'!$A$2:$C$106,2,FALSE),"")</f>
        <v/>
      </c>
      <c r="G3250" s="49" t="str">
        <f>IFERROR(VLOOKUP(E3250,'Condensed Specialty Crosswalk'!$A$2:$C$106,3,FALSE),"")</f>
        <v/>
      </c>
    </row>
    <row r="3251" spans="5:7" ht="15" customHeight="1">
      <c r="E3251" s="49" t="str">
        <f>IFERROR(VLOOKUP(D3251,'taxonomy map'!$A$1:$C$107,2,FALSE),"")</f>
        <v/>
      </c>
      <c r="F3251" s="49" t="str">
        <f>IFERROR(VLOOKUP(E3251,'Condensed Specialty Crosswalk'!$A$2:$C$106,2,FALSE),"")</f>
        <v/>
      </c>
      <c r="G3251" s="49" t="str">
        <f>IFERROR(VLOOKUP(E3251,'Condensed Specialty Crosswalk'!$A$2:$C$106,3,FALSE),"")</f>
        <v/>
      </c>
    </row>
    <row r="3252" spans="5:7" ht="15" customHeight="1">
      <c r="E3252" s="49" t="str">
        <f>IFERROR(VLOOKUP(D3252,'taxonomy map'!$A$1:$C$107,2,FALSE),"")</f>
        <v/>
      </c>
      <c r="F3252" s="49" t="str">
        <f>IFERROR(VLOOKUP(E3252,'Condensed Specialty Crosswalk'!$A$2:$C$106,2,FALSE),"")</f>
        <v/>
      </c>
      <c r="G3252" s="49" t="str">
        <f>IFERROR(VLOOKUP(E3252,'Condensed Specialty Crosswalk'!$A$2:$C$106,3,FALSE),"")</f>
        <v/>
      </c>
    </row>
    <row r="3253" spans="5:7" ht="15" customHeight="1">
      <c r="E3253" s="49" t="str">
        <f>IFERROR(VLOOKUP(D3253,'taxonomy map'!$A$1:$C$107,2,FALSE),"")</f>
        <v/>
      </c>
      <c r="F3253" s="49" t="str">
        <f>IFERROR(VLOOKUP(E3253,'Condensed Specialty Crosswalk'!$A$2:$C$106,2,FALSE),"")</f>
        <v/>
      </c>
      <c r="G3253" s="49" t="str">
        <f>IFERROR(VLOOKUP(E3253,'Condensed Specialty Crosswalk'!$A$2:$C$106,3,FALSE),"")</f>
        <v/>
      </c>
    </row>
    <row r="3254" spans="5:7" ht="15" customHeight="1">
      <c r="E3254" s="49" t="str">
        <f>IFERROR(VLOOKUP(D3254,'taxonomy map'!$A$1:$C$107,2,FALSE),"")</f>
        <v/>
      </c>
      <c r="F3254" s="49" t="str">
        <f>IFERROR(VLOOKUP(E3254,'Condensed Specialty Crosswalk'!$A$2:$C$106,2,FALSE),"")</f>
        <v/>
      </c>
      <c r="G3254" s="49" t="str">
        <f>IFERROR(VLOOKUP(E3254,'Condensed Specialty Crosswalk'!$A$2:$C$106,3,FALSE),"")</f>
        <v/>
      </c>
    </row>
    <row r="3255" spans="5:7" ht="15" customHeight="1">
      <c r="E3255" s="49" t="str">
        <f>IFERROR(VLOOKUP(D3255,'taxonomy map'!$A$1:$C$107,2,FALSE),"")</f>
        <v/>
      </c>
      <c r="F3255" s="49" t="str">
        <f>IFERROR(VLOOKUP(E3255,'Condensed Specialty Crosswalk'!$A$2:$C$106,2,FALSE),"")</f>
        <v/>
      </c>
      <c r="G3255" s="49" t="str">
        <f>IFERROR(VLOOKUP(E3255,'Condensed Specialty Crosswalk'!$A$2:$C$106,3,FALSE),"")</f>
        <v/>
      </c>
    </row>
    <row r="3256" spans="5:7" ht="15" customHeight="1">
      <c r="E3256" s="49" t="str">
        <f>IFERROR(VLOOKUP(D3256,'taxonomy map'!$A$1:$C$107,2,FALSE),"")</f>
        <v/>
      </c>
      <c r="F3256" s="49" t="str">
        <f>IFERROR(VLOOKUP(E3256,'Condensed Specialty Crosswalk'!$A$2:$C$106,2,FALSE),"")</f>
        <v/>
      </c>
      <c r="G3256" s="49" t="str">
        <f>IFERROR(VLOOKUP(E3256,'Condensed Specialty Crosswalk'!$A$2:$C$106,3,FALSE),"")</f>
        <v/>
      </c>
    </row>
    <row r="3257" spans="5:7" ht="15" customHeight="1">
      <c r="E3257" s="49" t="str">
        <f>IFERROR(VLOOKUP(D3257,'taxonomy map'!$A$1:$C$107,2,FALSE),"")</f>
        <v/>
      </c>
      <c r="F3257" s="49" t="str">
        <f>IFERROR(VLOOKUP(E3257,'Condensed Specialty Crosswalk'!$A$2:$C$106,2,FALSE),"")</f>
        <v/>
      </c>
      <c r="G3257" s="49" t="str">
        <f>IFERROR(VLOOKUP(E3257,'Condensed Specialty Crosswalk'!$A$2:$C$106,3,FALSE),"")</f>
        <v/>
      </c>
    </row>
    <row r="3258" spans="5:7" ht="15" customHeight="1">
      <c r="E3258" s="49" t="str">
        <f>IFERROR(VLOOKUP(D3258,'taxonomy map'!$A$1:$C$107,2,FALSE),"")</f>
        <v/>
      </c>
      <c r="F3258" s="49" t="str">
        <f>IFERROR(VLOOKUP(E3258,'Condensed Specialty Crosswalk'!$A$2:$C$106,2,FALSE),"")</f>
        <v/>
      </c>
      <c r="G3258" s="49" t="str">
        <f>IFERROR(VLOOKUP(E3258,'Condensed Specialty Crosswalk'!$A$2:$C$106,3,FALSE),"")</f>
        <v/>
      </c>
    </row>
    <row r="3259" spans="5:7" ht="15" customHeight="1">
      <c r="E3259" s="49" t="str">
        <f>IFERROR(VLOOKUP(D3259,'taxonomy map'!$A$1:$C$107,2,FALSE),"")</f>
        <v/>
      </c>
      <c r="F3259" s="49" t="str">
        <f>IFERROR(VLOOKUP(E3259,'Condensed Specialty Crosswalk'!$A$2:$C$106,2,FALSE),"")</f>
        <v/>
      </c>
      <c r="G3259" s="49" t="str">
        <f>IFERROR(VLOOKUP(E3259,'Condensed Specialty Crosswalk'!$A$2:$C$106,3,FALSE),"")</f>
        <v/>
      </c>
    </row>
    <row r="3260" spans="5:7" ht="15" customHeight="1">
      <c r="E3260" s="49" t="str">
        <f>IFERROR(VLOOKUP(D3260,'taxonomy map'!$A$1:$C$107,2,FALSE),"")</f>
        <v/>
      </c>
      <c r="F3260" s="49" t="str">
        <f>IFERROR(VLOOKUP(E3260,'Condensed Specialty Crosswalk'!$A$2:$C$106,2,FALSE),"")</f>
        <v/>
      </c>
      <c r="G3260" s="49" t="str">
        <f>IFERROR(VLOOKUP(E3260,'Condensed Specialty Crosswalk'!$A$2:$C$106,3,FALSE),"")</f>
        <v/>
      </c>
    </row>
    <row r="3261" spans="5:7" ht="15" customHeight="1">
      <c r="E3261" s="49" t="str">
        <f>IFERROR(VLOOKUP(D3261,'taxonomy map'!$A$1:$C$107,2,FALSE),"")</f>
        <v/>
      </c>
      <c r="F3261" s="49" t="str">
        <f>IFERROR(VLOOKUP(E3261,'Condensed Specialty Crosswalk'!$A$2:$C$106,2,FALSE),"")</f>
        <v/>
      </c>
      <c r="G3261" s="49" t="str">
        <f>IFERROR(VLOOKUP(E3261,'Condensed Specialty Crosswalk'!$A$2:$C$106,3,FALSE),"")</f>
        <v/>
      </c>
    </row>
    <row r="3262" spans="5:7" ht="15" customHeight="1">
      <c r="E3262" s="49" t="str">
        <f>IFERROR(VLOOKUP(D3262,'taxonomy map'!$A$1:$C$107,2,FALSE),"")</f>
        <v/>
      </c>
      <c r="F3262" s="49" t="str">
        <f>IFERROR(VLOOKUP(E3262,'Condensed Specialty Crosswalk'!$A$2:$C$106,2,FALSE),"")</f>
        <v/>
      </c>
      <c r="G3262" s="49" t="str">
        <f>IFERROR(VLOOKUP(E3262,'Condensed Specialty Crosswalk'!$A$2:$C$106,3,FALSE),"")</f>
        <v/>
      </c>
    </row>
    <row r="3263" spans="5:7" ht="15" customHeight="1">
      <c r="E3263" s="49" t="str">
        <f>IFERROR(VLOOKUP(D3263,'taxonomy map'!$A$1:$C$107,2,FALSE),"")</f>
        <v/>
      </c>
      <c r="F3263" s="49" t="str">
        <f>IFERROR(VLOOKUP(E3263,'Condensed Specialty Crosswalk'!$A$2:$C$106,2,FALSE),"")</f>
        <v/>
      </c>
      <c r="G3263" s="49" t="str">
        <f>IFERROR(VLOOKUP(E3263,'Condensed Specialty Crosswalk'!$A$2:$C$106,3,FALSE),"")</f>
        <v/>
      </c>
    </row>
    <row r="3264" spans="5:7" ht="15" customHeight="1">
      <c r="E3264" s="49" t="str">
        <f>IFERROR(VLOOKUP(D3264,'taxonomy map'!$A$1:$C$107,2,FALSE),"")</f>
        <v/>
      </c>
      <c r="F3264" s="49" t="str">
        <f>IFERROR(VLOOKUP(E3264,'Condensed Specialty Crosswalk'!$A$2:$C$106,2,FALSE),"")</f>
        <v/>
      </c>
      <c r="G3264" s="49" t="str">
        <f>IFERROR(VLOOKUP(E3264,'Condensed Specialty Crosswalk'!$A$2:$C$106,3,FALSE),"")</f>
        <v/>
      </c>
    </row>
    <row r="3265" spans="5:7" ht="15" customHeight="1">
      <c r="E3265" s="49" t="str">
        <f>IFERROR(VLOOKUP(D3265,'taxonomy map'!$A$1:$C$107,2,FALSE),"")</f>
        <v/>
      </c>
      <c r="F3265" s="49" t="str">
        <f>IFERROR(VLOOKUP(E3265,'Condensed Specialty Crosswalk'!$A$2:$C$106,2,FALSE),"")</f>
        <v/>
      </c>
      <c r="G3265" s="49" t="str">
        <f>IFERROR(VLOOKUP(E3265,'Condensed Specialty Crosswalk'!$A$2:$C$106,3,FALSE),"")</f>
        <v/>
      </c>
    </row>
    <row r="3266" spans="5:7" ht="15" customHeight="1">
      <c r="E3266" s="49" t="str">
        <f>IFERROR(VLOOKUP(D3266,'taxonomy map'!$A$1:$C$107,2,FALSE),"")</f>
        <v/>
      </c>
      <c r="F3266" s="49" t="str">
        <f>IFERROR(VLOOKUP(E3266,'Condensed Specialty Crosswalk'!$A$2:$C$106,2,FALSE),"")</f>
        <v/>
      </c>
      <c r="G3266" s="49" t="str">
        <f>IFERROR(VLOOKUP(E3266,'Condensed Specialty Crosswalk'!$A$2:$C$106,3,FALSE),"")</f>
        <v/>
      </c>
    </row>
    <row r="3267" spans="5:7" ht="15" customHeight="1">
      <c r="E3267" s="49" t="str">
        <f>IFERROR(VLOOKUP(D3267,'taxonomy map'!$A$1:$C$107,2,FALSE),"")</f>
        <v/>
      </c>
      <c r="F3267" s="49" t="str">
        <f>IFERROR(VLOOKUP(E3267,'Condensed Specialty Crosswalk'!$A$2:$C$106,2,FALSE),"")</f>
        <v/>
      </c>
      <c r="G3267" s="49" t="str">
        <f>IFERROR(VLOOKUP(E3267,'Condensed Specialty Crosswalk'!$A$2:$C$106,3,FALSE),"")</f>
        <v/>
      </c>
    </row>
    <row r="3268" spans="5:7" ht="15" customHeight="1">
      <c r="E3268" s="49" t="str">
        <f>IFERROR(VLOOKUP(D3268,'taxonomy map'!$A$1:$C$107,2,FALSE),"")</f>
        <v/>
      </c>
      <c r="F3268" s="49" t="str">
        <f>IFERROR(VLOOKUP(E3268,'Condensed Specialty Crosswalk'!$A$2:$C$106,2,FALSE),"")</f>
        <v/>
      </c>
      <c r="G3268" s="49" t="str">
        <f>IFERROR(VLOOKUP(E3268,'Condensed Specialty Crosswalk'!$A$2:$C$106,3,FALSE),"")</f>
        <v/>
      </c>
    </row>
    <row r="3269" spans="5:7" ht="15" customHeight="1">
      <c r="E3269" s="49" t="str">
        <f>IFERROR(VLOOKUP(D3269,'taxonomy map'!$A$1:$C$107,2,FALSE),"")</f>
        <v/>
      </c>
      <c r="F3269" s="49" t="str">
        <f>IFERROR(VLOOKUP(E3269,'Condensed Specialty Crosswalk'!$A$2:$C$106,2,FALSE),"")</f>
        <v/>
      </c>
      <c r="G3269" s="49" t="str">
        <f>IFERROR(VLOOKUP(E3269,'Condensed Specialty Crosswalk'!$A$2:$C$106,3,FALSE),"")</f>
        <v/>
      </c>
    </row>
    <row r="3270" spans="5:7" ht="15" customHeight="1">
      <c r="E3270" s="49" t="str">
        <f>IFERROR(VLOOKUP(D3270,'taxonomy map'!$A$1:$C$107,2,FALSE),"")</f>
        <v/>
      </c>
      <c r="F3270" s="49" t="str">
        <f>IFERROR(VLOOKUP(E3270,'Condensed Specialty Crosswalk'!$A$2:$C$106,2,FALSE),"")</f>
        <v/>
      </c>
      <c r="G3270" s="49" t="str">
        <f>IFERROR(VLOOKUP(E3270,'Condensed Specialty Crosswalk'!$A$2:$C$106,3,FALSE),"")</f>
        <v/>
      </c>
    </row>
    <row r="3271" spans="5:7" ht="15" customHeight="1">
      <c r="E3271" s="49" t="str">
        <f>IFERROR(VLOOKUP(D3271,'taxonomy map'!$A$1:$C$107,2,FALSE),"")</f>
        <v/>
      </c>
      <c r="F3271" s="49" t="str">
        <f>IFERROR(VLOOKUP(E3271,'Condensed Specialty Crosswalk'!$A$2:$C$106,2,FALSE),"")</f>
        <v/>
      </c>
      <c r="G3271" s="49" t="str">
        <f>IFERROR(VLOOKUP(E3271,'Condensed Specialty Crosswalk'!$A$2:$C$106,3,FALSE),"")</f>
        <v/>
      </c>
    </row>
    <row r="3272" spans="5:7" ht="15" customHeight="1">
      <c r="E3272" s="49" t="str">
        <f>IFERROR(VLOOKUP(D3272,'taxonomy map'!$A$1:$C$107,2,FALSE),"")</f>
        <v/>
      </c>
      <c r="F3272" s="49" t="str">
        <f>IFERROR(VLOOKUP(E3272,'Condensed Specialty Crosswalk'!$A$2:$C$106,2,FALSE),"")</f>
        <v/>
      </c>
      <c r="G3272" s="49" t="str">
        <f>IFERROR(VLOOKUP(E3272,'Condensed Specialty Crosswalk'!$A$2:$C$106,3,FALSE),"")</f>
        <v/>
      </c>
    </row>
    <row r="3273" spans="5:7" ht="15" customHeight="1">
      <c r="E3273" s="49" t="str">
        <f>IFERROR(VLOOKUP(D3273,'taxonomy map'!$A$1:$C$107,2,FALSE),"")</f>
        <v/>
      </c>
      <c r="F3273" s="49" t="str">
        <f>IFERROR(VLOOKUP(E3273,'Condensed Specialty Crosswalk'!$A$2:$C$106,2,FALSE),"")</f>
        <v/>
      </c>
      <c r="G3273" s="49" t="str">
        <f>IFERROR(VLOOKUP(E3273,'Condensed Specialty Crosswalk'!$A$2:$C$106,3,FALSE),"")</f>
        <v/>
      </c>
    </row>
    <row r="3274" spans="5:7" ht="15" customHeight="1">
      <c r="E3274" s="49" t="str">
        <f>IFERROR(VLOOKUP(D3274,'taxonomy map'!$A$1:$C$107,2,FALSE),"")</f>
        <v/>
      </c>
      <c r="F3274" s="49" t="str">
        <f>IFERROR(VLOOKUP(E3274,'Condensed Specialty Crosswalk'!$A$2:$C$106,2,FALSE),"")</f>
        <v/>
      </c>
      <c r="G3274" s="49" t="str">
        <f>IFERROR(VLOOKUP(E3274,'Condensed Specialty Crosswalk'!$A$2:$C$106,3,FALSE),"")</f>
        <v/>
      </c>
    </row>
    <row r="3275" spans="5:7" ht="15" customHeight="1">
      <c r="E3275" s="49" t="str">
        <f>IFERROR(VLOOKUP(D3275,'taxonomy map'!$A$1:$C$107,2,FALSE),"")</f>
        <v/>
      </c>
      <c r="F3275" s="49" t="str">
        <f>IFERROR(VLOOKUP(E3275,'Condensed Specialty Crosswalk'!$A$2:$C$106,2,FALSE),"")</f>
        <v/>
      </c>
      <c r="G3275" s="49" t="str">
        <f>IFERROR(VLOOKUP(E3275,'Condensed Specialty Crosswalk'!$A$2:$C$106,3,FALSE),"")</f>
        <v/>
      </c>
    </row>
    <row r="3276" spans="5:7" ht="15" customHeight="1">
      <c r="E3276" s="49" t="str">
        <f>IFERROR(VLOOKUP(D3276,'taxonomy map'!$A$1:$C$107,2,FALSE),"")</f>
        <v/>
      </c>
      <c r="F3276" s="49" t="str">
        <f>IFERROR(VLOOKUP(E3276,'Condensed Specialty Crosswalk'!$A$2:$C$106,2,FALSE),"")</f>
        <v/>
      </c>
      <c r="G3276" s="49" t="str">
        <f>IFERROR(VLOOKUP(E3276,'Condensed Specialty Crosswalk'!$A$2:$C$106,3,FALSE),"")</f>
        <v/>
      </c>
    </row>
    <row r="3277" spans="5:7" ht="15" customHeight="1">
      <c r="E3277" s="49" t="str">
        <f>IFERROR(VLOOKUP(D3277,'taxonomy map'!$A$1:$C$107,2,FALSE),"")</f>
        <v/>
      </c>
      <c r="F3277" s="49" t="str">
        <f>IFERROR(VLOOKUP(E3277,'Condensed Specialty Crosswalk'!$A$2:$C$106,2,FALSE),"")</f>
        <v/>
      </c>
      <c r="G3277" s="49" t="str">
        <f>IFERROR(VLOOKUP(E3277,'Condensed Specialty Crosswalk'!$A$2:$C$106,3,FALSE),"")</f>
        <v/>
      </c>
    </row>
    <row r="3278" spans="5:7" ht="15" customHeight="1">
      <c r="E3278" s="49" t="str">
        <f>IFERROR(VLOOKUP(D3278,'taxonomy map'!$A$1:$C$107,2,FALSE),"")</f>
        <v/>
      </c>
      <c r="F3278" s="49" t="str">
        <f>IFERROR(VLOOKUP(E3278,'Condensed Specialty Crosswalk'!$A$2:$C$106,2,FALSE),"")</f>
        <v/>
      </c>
      <c r="G3278" s="49" t="str">
        <f>IFERROR(VLOOKUP(E3278,'Condensed Specialty Crosswalk'!$A$2:$C$106,3,FALSE),"")</f>
        <v/>
      </c>
    </row>
    <row r="3279" spans="5:7" ht="15" customHeight="1">
      <c r="E3279" s="49" t="str">
        <f>IFERROR(VLOOKUP(D3279,'taxonomy map'!$A$1:$C$107,2,FALSE),"")</f>
        <v/>
      </c>
      <c r="F3279" s="49" t="str">
        <f>IFERROR(VLOOKUP(E3279,'Condensed Specialty Crosswalk'!$A$2:$C$106,2,FALSE),"")</f>
        <v/>
      </c>
      <c r="G3279" s="49" t="str">
        <f>IFERROR(VLOOKUP(E3279,'Condensed Specialty Crosswalk'!$A$2:$C$106,3,FALSE),"")</f>
        <v/>
      </c>
    </row>
    <row r="3280" spans="5:7" ht="15" customHeight="1">
      <c r="E3280" s="49" t="str">
        <f>IFERROR(VLOOKUP(D3280,'taxonomy map'!$A$1:$C$107,2,FALSE),"")</f>
        <v/>
      </c>
      <c r="F3280" s="49" t="str">
        <f>IFERROR(VLOOKUP(E3280,'Condensed Specialty Crosswalk'!$A$2:$C$106,2,FALSE),"")</f>
        <v/>
      </c>
      <c r="G3280" s="49" t="str">
        <f>IFERROR(VLOOKUP(E3280,'Condensed Specialty Crosswalk'!$A$2:$C$106,3,FALSE),"")</f>
        <v/>
      </c>
    </row>
    <row r="3281" spans="5:7" ht="15" customHeight="1">
      <c r="E3281" s="49" t="str">
        <f>IFERROR(VLOOKUP(D3281,'taxonomy map'!$A$1:$C$107,2,FALSE),"")</f>
        <v/>
      </c>
      <c r="F3281" s="49" t="str">
        <f>IFERROR(VLOOKUP(E3281,'Condensed Specialty Crosswalk'!$A$2:$C$106,2,FALSE),"")</f>
        <v/>
      </c>
      <c r="G3281" s="49" t="str">
        <f>IFERROR(VLOOKUP(E3281,'Condensed Specialty Crosswalk'!$A$2:$C$106,3,FALSE),"")</f>
        <v/>
      </c>
    </row>
    <row r="3282" spans="5:7" ht="15" customHeight="1">
      <c r="E3282" s="49" t="str">
        <f>IFERROR(VLOOKUP(D3282,'taxonomy map'!$A$1:$C$107,2,FALSE),"")</f>
        <v/>
      </c>
      <c r="F3282" s="49" t="str">
        <f>IFERROR(VLOOKUP(E3282,'Condensed Specialty Crosswalk'!$A$2:$C$106,2,FALSE),"")</f>
        <v/>
      </c>
      <c r="G3282" s="49" t="str">
        <f>IFERROR(VLOOKUP(E3282,'Condensed Specialty Crosswalk'!$A$2:$C$106,3,FALSE),"")</f>
        <v/>
      </c>
    </row>
    <row r="3283" spans="5:7" ht="15" customHeight="1">
      <c r="E3283" s="49" t="str">
        <f>IFERROR(VLOOKUP(D3283,'taxonomy map'!$A$1:$C$107,2,FALSE),"")</f>
        <v/>
      </c>
      <c r="F3283" s="49" t="str">
        <f>IFERROR(VLOOKUP(E3283,'Condensed Specialty Crosswalk'!$A$2:$C$106,2,FALSE),"")</f>
        <v/>
      </c>
      <c r="G3283" s="49" t="str">
        <f>IFERROR(VLOOKUP(E3283,'Condensed Specialty Crosswalk'!$A$2:$C$106,3,FALSE),"")</f>
        <v/>
      </c>
    </row>
    <row r="3284" spans="5:7" ht="15" customHeight="1">
      <c r="E3284" s="49" t="str">
        <f>IFERROR(VLOOKUP(D3284,'taxonomy map'!$A$1:$C$107,2,FALSE),"")</f>
        <v/>
      </c>
      <c r="F3284" s="49" t="str">
        <f>IFERROR(VLOOKUP(E3284,'Condensed Specialty Crosswalk'!$A$2:$C$106,2,FALSE),"")</f>
        <v/>
      </c>
      <c r="G3284" s="49" t="str">
        <f>IFERROR(VLOOKUP(E3284,'Condensed Specialty Crosswalk'!$A$2:$C$106,3,FALSE),"")</f>
        <v/>
      </c>
    </row>
    <row r="3285" spans="5:7" ht="15" customHeight="1">
      <c r="E3285" s="49" t="str">
        <f>IFERROR(VLOOKUP(D3285,'taxonomy map'!$A$1:$C$107,2,FALSE),"")</f>
        <v/>
      </c>
      <c r="F3285" s="49" t="str">
        <f>IFERROR(VLOOKUP(E3285,'Condensed Specialty Crosswalk'!$A$2:$C$106,2,FALSE),"")</f>
        <v/>
      </c>
      <c r="G3285" s="49" t="str">
        <f>IFERROR(VLOOKUP(E3285,'Condensed Specialty Crosswalk'!$A$2:$C$106,3,FALSE),"")</f>
        <v/>
      </c>
    </row>
    <row r="3286" spans="5:7" ht="15" customHeight="1">
      <c r="E3286" s="49" t="str">
        <f>IFERROR(VLOOKUP(D3286,'taxonomy map'!$A$1:$C$107,2,FALSE),"")</f>
        <v/>
      </c>
      <c r="F3286" s="49" t="str">
        <f>IFERROR(VLOOKUP(E3286,'Condensed Specialty Crosswalk'!$A$2:$C$106,2,FALSE),"")</f>
        <v/>
      </c>
      <c r="G3286" s="49" t="str">
        <f>IFERROR(VLOOKUP(E3286,'Condensed Specialty Crosswalk'!$A$2:$C$106,3,FALSE),"")</f>
        <v/>
      </c>
    </row>
    <row r="3287" spans="5:7" ht="15" customHeight="1">
      <c r="E3287" s="49" t="str">
        <f>IFERROR(VLOOKUP(D3287,'taxonomy map'!$A$1:$C$107,2,FALSE),"")</f>
        <v/>
      </c>
      <c r="F3287" s="49" t="str">
        <f>IFERROR(VLOOKUP(E3287,'Condensed Specialty Crosswalk'!$A$2:$C$106,2,FALSE),"")</f>
        <v/>
      </c>
      <c r="G3287" s="49" t="str">
        <f>IFERROR(VLOOKUP(E3287,'Condensed Specialty Crosswalk'!$A$2:$C$106,3,FALSE),"")</f>
        <v/>
      </c>
    </row>
    <row r="3288" spans="5:7" ht="15" customHeight="1">
      <c r="E3288" s="49" t="str">
        <f>IFERROR(VLOOKUP(D3288,'taxonomy map'!$A$1:$C$107,2,FALSE),"")</f>
        <v/>
      </c>
      <c r="F3288" s="49" t="str">
        <f>IFERROR(VLOOKUP(E3288,'Condensed Specialty Crosswalk'!$A$2:$C$106,2,FALSE),"")</f>
        <v/>
      </c>
      <c r="G3288" s="49" t="str">
        <f>IFERROR(VLOOKUP(E3288,'Condensed Specialty Crosswalk'!$A$2:$C$106,3,FALSE),"")</f>
        <v/>
      </c>
    </row>
    <row r="3289" spans="5:7" ht="15" customHeight="1">
      <c r="E3289" s="49" t="str">
        <f>IFERROR(VLOOKUP(D3289,'taxonomy map'!$A$1:$C$107,2,FALSE),"")</f>
        <v/>
      </c>
      <c r="F3289" s="49" t="str">
        <f>IFERROR(VLOOKUP(E3289,'Condensed Specialty Crosswalk'!$A$2:$C$106,2,FALSE),"")</f>
        <v/>
      </c>
      <c r="G3289" s="49" t="str">
        <f>IFERROR(VLOOKUP(E3289,'Condensed Specialty Crosswalk'!$A$2:$C$106,3,FALSE),"")</f>
        <v/>
      </c>
    </row>
    <row r="3290" spans="5:7" ht="15" customHeight="1">
      <c r="E3290" s="49" t="str">
        <f>IFERROR(VLOOKUP(D3290,'taxonomy map'!$A$1:$C$107,2,FALSE),"")</f>
        <v/>
      </c>
      <c r="F3290" s="49" t="str">
        <f>IFERROR(VLOOKUP(E3290,'Condensed Specialty Crosswalk'!$A$2:$C$106,2,FALSE),"")</f>
        <v/>
      </c>
      <c r="G3290" s="49" t="str">
        <f>IFERROR(VLOOKUP(E3290,'Condensed Specialty Crosswalk'!$A$2:$C$106,3,FALSE),"")</f>
        <v/>
      </c>
    </row>
    <row r="3291" spans="5:7" ht="15" customHeight="1">
      <c r="E3291" s="49" t="str">
        <f>IFERROR(VLOOKUP(D3291,'taxonomy map'!$A$1:$C$107,2,FALSE),"")</f>
        <v/>
      </c>
      <c r="F3291" s="49" t="str">
        <f>IFERROR(VLOOKUP(E3291,'Condensed Specialty Crosswalk'!$A$2:$C$106,2,FALSE),"")</f>
        <v/>
      </c>
      <c r="G3291" s="49" t="str">
        <f>IFERROR(VLOOKUP(E3291,'Condensed Specialty Crosswalk'!$A$2:$C$106,3,FALSE),"")</f>
        <v/>
      </c>
    </row>
    <row r="3292" spans="5:7" ht="15" customHeight="1">
      <c r="E3292" s="49" t="str">
        <f>IFERROR(VLOOKUP(D3292,'taxonomy map'!$A$1:$C$107,2,FALSE),"")</f>
        <v/>
      </c>
      <c r="F3292" s="49" t="str">
        <f>IFERROR(VLOOKUP(E3292,'Condensed Specialty Crosswalk'!$A$2:$C$106,2,FALSE),"")</f>
        <v/>
      </c>
      <c r="G3292" s="49" t="str">
        <f>IFERROR(VLOOKUP(E3292,'Condensed Specialty Crosswalk'!$A$2:$C$106,3,FALSE),"")</f>
        <v/>
      </c>
    </row>
    <row r="3293" spans="5:7" ht="15" customHeight="1">
      <c r="E3293" s="49" t="str">
        <f>IFERROR(VLOOKUP(D3293,'taxonomy map'!$A$1:$C$107,2,FALSE),"")</f>
        <v/>
      </c>
      <c r="F3293" s="49" t="str">
        <f>IFERROR(VLOOKUP(E3293,'Condensed Specialty Crosswalk'!$A$2:$C$106,2,FALSE),"")</f>
        <v/>
      </c>
      <c r="G3293" s="49" t="str">
        <f>IFERROR(VLOOKUP(E3293,'Condensed Specialty Crosswalk'!$A$2:$C$106,3,FALSE),"")</f>
        <v/>
      </c>
    </row>
    <row r="3294" spans="5:7" ht="15" customHeight="1">
      <c r="E3294" s="49" t="str">
        <f>IFERROR(VLOOKUP(D3294,'taxonomy map'!$A$1:$C$107,2,FALSE),"")</f>
        <v/>
      </c>
      <c r="F3294" s="49" t="str">
        <f>IFERROR(VLOOKUP(E3294,'Condensed Specialty Crosswalk'!$A$2:$C$106,2,FALSE),"")</f>
        <v/>
      </c>
      <c r="G3294" s="49" t="str">
        <f>IFERROR(VLOOKUP(E3294,'Condensed Specialty Crosswalk'!$A$2:$C$106,3,FALSE),"")</f>
        <v/>
      </c>
    </row>
    <row r="3295" spans="5:7" ht="15" customHeight="1">
      <c r="E3295" s="49" t="str">
        <f>IFERROR(VLOOKUP(D3295,'taxonomy map'!$A$1:$C$107,2,FALSE),"")</f>
        <v/>
      </c>
      <c r="F3295" s="49" t="str">
        <f>IFERROR(VLOOKUP(E3295,'Condensed Specialty Crosswalk'!$A$2:$C$106,2,FALSE),"")</f>
        <v/>
      </c>
      <c r="G3295" s="49" t="str">
        <f>IFERROR(VLOOKUP(E3295,'Condensed Specialty Crosswalk'!$A$2:$C$106,3,FALSE),"")</f>
        <v/>
      </c>
    </row>
    <row r="3296" spans="5:7" ht="15" customHeight="1">
      <c r="E3296" s="49" t="str">
        <f>IFERROR(VLOOKUP(D3296,'taxonomy map'!$A$1:$C$107,2,FALSE),"")</f>
        <v/>
      </c>
      <c r="F3296" s="49" t="str">
        <f>IFERROR(VLOOKUP(E3296,'Condensed Specialty Crosswalk'!$A$2:$C$106,2,FALSE),"")</f>
        <v/>
      </c>
      <c r="G3296" s="49" t="str">
        <f>IFERROR(VLOOKUP(E3296,'Condensed Specialty Crosswalk'!$A$2:$C$106,3,FALSE),"")</f>
        <v/>
      </c>
    </row>
    <row r="3297" spans="5:7" ht="15" customHeight="1">
      <c r="E3297" s="49" t="str">
        <f>IFERROR(VLOOKUP(D3297,'taxonomy map'!$A$1:$C$107,2,FALSE),"")</f>
        <v/>
      </c>
      <c r="F3297" s="49" t="str">
        <f>IFERROR(VLOOKUP(E3297,'Condensed Specialty Crosswalk'!$A$2:$C$106,2,FALSE),"")</f>
        <v/>
      </c>
      <c r="G3297" s="49" t="str">
        <f>IFERROR(VLOOKUP(E3297,'Condensed Specialty Crosswalk'!$A$2:$C$106,3,FALSE),"")</f>
        <v/>
      </c>
    </row>
    <row r="3298" spans="5:7" ht="15" customHeight="1">
      <c r="E3298" s="49" t="str">
        <f>IFERROR(VLOOKUP(D3298,'taxonomy map'!$A$1:$C$107,2,FALSE),"")</f>
        <v/>
      </c>
      <c r="F3298" s="49" t="str">
        <f>IFERROR(VLOOKUP(E3298,'Condensed Specialty Crosswalk'!$A$2:$C$106,2,FALSE),"")</f>
        <v/>
      </c>
      <c r="G3298" s="49" t="str">
        <f>IFERROR(VLOOKUP(E3298,'Condensed Specialty Crosswalk'!$A$2:$C$106,3,FALSE),"")</f>
        <v/>
      </c>
    </row>
    <row r="3299" spans="5:7" ht="15" customHeight="1">
      <c r="E3299" s="49" t="str">
        <f>IFERROR(VLOOKUP(D3299,'taxonomy map'!$A$1:$C$107,2,FALSE),"")</f>
        <v/>
      </c>
      <c r="F3299" s="49" t="str">
        <f>IFERROR(VLOOKUP(E3299,'Condensed Specialty Crosswalk'!$A$2:$C$106,2,FALSE),"")</f>
        <v/>
      </c>
      <c r="G3299" s="49" t="str">
        <f>IFERROR(VLOOKUP(E3299,'Condensed Specialty Crosswalk'!$A$2:$C$106,3,FALSE),"")</f>
        <v/>
      </c>
    </row>
    <row r="3300" spans="5:7" ht="15" customHeight="1">
      <c r="E3300" s="49" t="str">
        <f>IFERROR(VLOOKUP(D3300,'taxonomy map'!$A$1:$C$107,2,FALSE),"")</f>
        <v/>
      </c>
      <c r="F3300" s="49" t="str">
        <f>IFERROR(VLOOKUP(E3300,'Condensed Specialty Crosswalk'!$A$2:$C$106,2,FALSE),"")</f>
        <v/>
      </c>
      <c r="G3300" s="49" t="str">
        <f>IFERROR(VLOOKUP(E3300,'Condensed Specialty Crosswalk'!$A$2:$C$106,3,FALSE),"")</f>
        <v/>
      </c>
    </row>
    <row r="3301" spans="5:7" ht="15" customHeight="1">
      <c r="E3301" s="49" t="str">
        <f>IFERROR(VLOOKUP(D3301,'taxonomy map'!$A$1:$C$107,2,FALSE),"")</f>
        <v/>
      </c>
      <c r="F3301" s="49" t="str">
        <f>IFERROR(VLOOKUP(E3301,'Condensed Specialty Crosswalk'!$A$2:$C$106,2,FALSE),"")</f>
        <v/>
      </c>
      <c r="G3301" s="49" t="str">
        <f>IFERROR(VLOOKUP(E3301,'Condensed Specialty Crosswalk'!$A$2:$C$106,3,FALSE),"")</f>
        <v/>
      </c>
    </row>
    <row r="3302" spans="5:7" ht="15" customHeight="1">
      <c r="E3302" s="49" t="str">
        <f>IFERROR(VLOOKUP(D3302,'taxonomy map'!$A$1:$C$107,2,FALSE),"")</f>
        <v/>
      </c>
      <c r="F3302" s="49" t="str">
        <f>IFERROR(VLOOKUP(E3302,'Condensed Specialty Crosswalk'!$A$2:$C$106,2,FALSE),"")</f>
        <v/>
      </c>
      <c r="G3302" s="49" t="str">
        <f>IFERROR(VLOOKUP(E3302,'Condensed Specialty Crosswalk'!$A$2:$C$106,3,FALSE),"")</f>
        <v/>
      </c>
    </row>
    <row r="3303" spans="5:7" ht="15" customHeight="1">
      <c r="E3303" s="49" t="str">
        <f>IFERROR(VLOOKUP(D3303,'taxonomy map'!$A$1:$C$107,2,FALSE),"")</f>
        <v/>
      </c>
      <c r="F3303" s="49" t="str">
        <f>IFERROR(VLOOKUP(E3303,'Condensed Specialty Crosswalk'!$A$2:$C$106,2,FALSE),"")</f>
        <v/>
      </c>
      <c r="G3303" s="49" t="str">
        <f>IFERROR(VLOOKUP(E3303,'Condensed Specialty Crosswalk'!$A$2:$C$106,3,FALSE),"")</f>
        <v/>
      </c>
    </row>
    <row r="3304" spans="5:7" ht="15" customHeight="1">
      <c r="E3304" s="49" t="str">
        <f>IFERROR(VLOOKUP(D3304,'taxonomy map'!$A$1:$C$107,2,FALSE),"")</f>
        <v/>
      </c>
      <c r="F3304" s="49" t="str">
        <f>IFERROR(VLOOKUP(E3304,'Condensed Specialty Crosswalk'!$A$2:$C$106,2,FALSE),"")</f>
        <v/>
      </c>
      <c r="G3304" s="49" t="str">
        <f>IFERROR(VLOOKUP(E3304,'Condensed Specialty Crosswalk'!$A$2:$C$106,3,FALSE),"")</f>
        <v/>
      </c>
    </row>
    <row r="3305" spans="5:7" ht="15" customHeight="1">
      <c r="E3305" s="49" t="str">
        <f>IFERROR(VLOOKUP(D3305,'taxonomy map'!$A$1:$C$107,2,FALSE),"")</f>
        <v/>
      </c>
      <c r="F3305" s="49" t="str">
        <f>IFERROR(VLOOKUP(E3305,'Condensed Specialty Crosswalk'!$A$2:$C$106,2,FALSE),"")</f>
        <v/>
      </c>
      <c r="G3305" s="49" t="str">
        <f>IFERROR(VLOOKUP(E3305,'Condensed Specialty Crosswalk'!$A$2:$C$106,3,FALSE),"")</f>
        <v/>
      </c>
    </row>
    <row r="3306" spans="5:7" ht="15" customHeight="1">
      <c r="E3306" s="49" t="str">
        <f>IFERROR(VLOOKUP(D3306,'taxonomy map'!$A$1:$C$107,2,FALSE),"")</f>
        <v/>
      </c>
      <c r="F3306" s="49" t="str">
        <f>IFERROR(VLOOKUP(E3306,'Condensed Specialty Crosswalk'!$A$2:$C$106,2,FALSE),"")</f>
        <v/>
      </c>
      <c r="G3306" s="49" t="str">
        <f>IFERROR(VLOOKUP(E3306,'Condensed Specialty Crosswalk'!$A$2:$C$106,3,FALSE),"")</f>
        <v/>
      </c>
    </row>
    <row r="3307" spans="5:7" ht="15" customHeight="1">
      <c r="E3307" s="49" t="str">
        <f>IFERROR(VLOOKUP(D3307,'taxonomy map'!$A$1:$C$107,2,FALSE),"")</f>
        <v/>
      </c>
      <c r="F3307" s="49" t="str">
        <f>IFERROR(VLOOKUP(E3307,'Condensed Specialty Crosswalk'!$A$2:$C$106,2,FALSE),"")</f>
        <v/>
      </c>
      <c r="G3307" s="49" t="str">
        <f>IFERROR(VLOOKUP(E3307,'Condensed Specialty Crosswalk'!$A$2:$C$106,3,FALSE),"")</f>
        <v/>
      </c>
    </row>
    <row r="3308" spans="5:7" ht="15" customHeight="1">
      <c r="E3308" s="49" t="str">
        <f>IFERROR(VLOOKUP(D3308,'taxonomy map'!$A$1:$C$107,2,FALSE),"")</f>
        <v/>
      </c>
      <c r="F3308" s="49" t="str">
        <f>IFERROR(VLOOKUP(E3308,'Condensed Specialty Crosswalk'!$A$2:$C$106,2,FALSE),"")</f>
        <v/>
      </c>
      <c r="G3308" s="49" t="str">
        <f>IFERROR(VLOOKUP(E3308,'Condensed Specialty Crosswalk'!$A$2:$C$106,3,FALSE),"")</f>
        <v/>
      </c>
    </row>
    <row r="3309" spans="5:7" ht="15" customHeight="1">
      <c r="E3309" s="49" t="str">
        <f>IFERROR(VLOOKUP(D3309,'taxonomy map'!$A$1:$C$107,2,FALSE),"")</f>
        <v/>
      </c>
      <c r="F3309" s="49" t="str">
        <f>IFERROR(VLOOKUP(E3309,'Condensed Specialty Crosswalk'!$A$2:$C$106,2,FALSE),"")</f>
        <v/>
      </c>
      <c r="G3309" s="49" t="str">
        <f>IFERROR(VLOOKUP(E3309,'Condensed Specialty Crosswalk'!$A$2:$C$106,3,FALSE),"")</f>
        <v/>
      </c>
    </row>
    <row r="3310" spans="5:7" ht="15" customHeight="1">
      <c r="E3310" s="49" t="str">
        <f>IFERROR(VLOOKUP(D3310,'taxonomy map'!$A$1:$C$107,2,FALSE),"")</f>
        <v/>
      </c>
      <c r="F3310" s="49" t="str">
        <f>IFERROR(VLOOKUP(E3310,'Condensed Specialty Crosswalk'!$A$2:$C$106,2,FALSE),"")</f>
        <v/>
      </c>
      <c r="G3310" s="49" t="str">
        <f>IFERROR(VLOOKUP(E3310,'Condensed Specialty Crosswalk'!$A$2:$C$106,3,FALSE),"")</f>
        <v/>
      </c>
    </row>
    <row r="3311" spans="5:7" ht="15" customHeight="1">
      <c r="E3311" s="49" t="str">
        <f>IFERROR(VLOOKUP(D3311,'taxonomy map'!$A$1:$C$107,2,FALSE),"")</f>
        <v/>
      </c>
      <c r="F3311" s="49" t="str">
        <f>IFERROR(VLOOKUP(E3311,'Condensed Specialty Crosswalk'!$A$2:$C$106,2,FALSE),"")</f>
        <v/>
      </c>
      <c r="G3311" s="49" t="str">
        <f>IFERROR(VLOOKUP(E3311,'Condensed Specialty Crosswalk'!$A$2:$C$106,3,FALSE),"")</f>
        <v/>
      </c>
    </row>
    <row r="3312" spans="5:7" ht="15" customHeight="1">
      <c r="E3312" s="49" t="str">
        <f>IFERROR(VLOOKUP(D3312,'taxonomy map'!$A$1:$C$107,2,FALSE),"")</f>
        <v/>
      </c>
      <c r="F3312" s="49" t="str">
        <f>IFERROR(VLOOKUP(E3312,'Condensed Specialty Crosswalk'!$A$2:$C$106,2,FALSE),"")</f>
        <v/>
      </c>
      <c r="G3312" s="49" t="str">
        <f>IFERROR(VLOOKUP(E3312,'Condensed Specialty Crosswalk'!$A$2:$C$106,3,FALSE),"")</f>
        <v/>
      </c>
    </row>
    <row r="3313" spans="5:7" ht="15" customHeight="1">
      <c r="E3313" s="49" t="str">
        <f>IFERROR(VLOOKUP(D3313,'taxonomy map'!$A$1:$C$107,2,FALSE),"")</f>
        <v/>
      </c>
      <c r="F3313" s="49" t="str">
        <f>IFERROR(VLOOKUP(E3313,'Condensed Specialty Crosswalk'!$A$2:$C$106,2,FALSE),"")</f>
        <v/>
      </c>
      <c r="G3313" s="49" t="str">
        <f>IFERROR(VLOOKUP(E3313,'Condensed Specialty Crosswalk'!$A$2:$C$106,3,FALSE),"")</f>
        <v/>
      </c>
    </row>
    <row r="3314" spans="5:7" ht="15" customHeight="1">
      <c r="E3314" s="49" t="str">
        <f>IFERROR(VLOOKUP(D3314,'taxonomy map'!$A$1:$C$107,2,FALSE),"")</f>
        <v/>
      </c>
      <c r="F3314" s="49" t="str">
        <f>IFERROR(VLOOKUP(E3314,'Condensed Specialty Crosswalk'!$A$2:$C$106,2,FALSE),"")</f>
        <v/>
      </c>
      <c r="G3314" s="49" t="str">
        <f>IFERROR(VLOOKUP(E3314,'Condensed Specialty Crosswalk'!$A$2:$C$106,3,FALSE),"")</f>
        <v/>
      </c>
    </row>
    <row r="3315" spans="5:7" ht="15" customHeight="1">
      <c r="E3315" s="49" t="str">
        <f>IFERROR(VLOOKUP(D3315,'taxonomy map'!$A$1:$C$107,2,FALSE),"")</f>
        <v/>
      </c>
      <c r="F3315" s="49" t="str">
        <f>IFERROR(VLOOKUP(E3315,'Condensed Specialty Crosswalk'!$A$2:$C$106,2,FALSE),"")</f>
        <v/>
      </c>
      <c r="G3315" s="49" t="str">
        <f>IFERROR(VLOOKUP(E3315,'Condensed Specialty Crosswalk'!$A$2:$C$106,3,FALSE),"")</f>
        <v/>
      </c>
    </row>
    <row r="3316" spans="5:7" ht="15" customHeight="1">
      <c r="E3316" s="49" t="str">
        <f>IFERROR(VLOOKUP(D3316,'taxonomy map'!$A$1:$C$107,2,FALSE),"")</f>
        <v/>
      </c>
      <c r="F3316" s="49" t="str">
        <f>IFERROR(VLOOKUP(E3316,'Condensed Specialty Crosswalk'!$A$2:$C$106,2,FALSE),"")</f>
        <v/>
      </c>
      <c r="G3316" s="49" t="str">
        <f>IFERROR(VLOOKUP(E3316,'Condensed Specialty Crosswalk'!$A$2:$C$106,3,FALSE),"")</f>
        <v/>
      </c>
    </row>
    <row r="3317" spans="5:7" ht="15" customHeight="1">
      <c r="E3317" s="49" t="str">
        <f>IFERROR(VLOOKUP(D3317,'taxonomy map'!$A$1:$C$107,2,FALSE),"")</f>
        <v/>
      </c>
      <c r="F3317" s="49" t="str">
        <f>IFERROR(VLOOKUP(E3317,'Condensed Specialty Crosswalk'!$A$2:$C$106,2,FALSE),"")</f>
        <v/>
      </c>
      <c r="G3317" s="49" t="str">
        <f>IFERROR(VLOOKUP(E3317,'Condensed Specialty Crosswalk'!$A$2:$C$106,3,FALSE),"")</f>
        <v/>
      </c>
    </row>
    <row r="3318" spans="5:7" ht="15" customHeight="1">
      <c r="E3318" s="49" t="str">
        <f>IFERROR(VLOOKUP(D3318,'taxonomy map'!$A$1:$C$107,2,FALSE),"")</f>
        <v/>
      </c>
      <c r="F3318" s="49" t="str">
        <f>IFERROR(VLOOKUP(E3318,'Condensed Specialty Crosswalk'!$A$2:$C$106,2,FALSE),"")</f>
        <v/>
      </c>
      <c r="G3318" s="49" t="str">
        <f>IFERROR(VLOOKUP(E3318,'Condensed Specialty Crosswalk'!$A$2:$C$106,3,FALSE),"")</f>
        <v/>
      </c>
    </row>
    <row r="3319" spans="5:7" ht="15" customHeight="1">
      <c r="E3319" s="49" t="str">
        <f>IFERROR(VLOOKUP(D3319,'taxonomy map'!$A$1:$C$107,2,FALSE),"")</f>
        <v/>
      </c>
      <c r="F3319" s="49" t="str">
        <f>IFERROR(VLOOKUP(E3319,'Condensed Specialty Crosswalk'!$A$2:$C$106,2,FALSE),"")</f>
        <v/>
      </c>
      <c r="G3319" s="49" t="str">
        <f>IFERROR(VLOOKUP(E3319,'Condensed Specialty Crosswalk'!$A$2:$C$106,3,FALSE),"")</f>
        <v/>
      </c>
    </row>
    <row r="3320" spans="5:7" ht="15" customHeight="1">
      <c r="E3320" s="49" t="str">
        <f>IFERROR(VLOOKUP(D3320,'taxonomy map'!$A$1:$C$107,2,FALSE),"")</f>
        <v/>
      </c>
      <c r="F3320" s="49" t="str">
        <f>IFERROR(VLOOKUP(E3320,'Condensed Specialty Crosswalk'!$A$2:$C$106,2,FALSE),"")</f>
        <v/>
      </c>
      <c r="G3320" s="49" t="str">
        <f>IFERROR(VLOOKUP(E3320,'Condensed Specialty Crosswalk'!$A$2:$C$106,3,FALSE),"")</f>
        <v/>
      </c>
    </row>
    <row r="3321" spans="5:7" ht="15" customHeight="1">
      <c r="E3321" s="49" t="str">
        <f>IFERROR(VLOOKUP(D3321,'taxonomy map'!$A$1:$C$107,2,FALSE),"")</f>
        <v/>
      </c>
      <c r="F3321" s="49" t="str">
        <f>IFERROR(VLOOKUP(E3321,'Condensed Specialty Crosswalk'!$A$2:$C$106,2,FALSE),"")</f>
        <v/>
      </c>
      <c r="G3321" s="49" t="str">
        <f>IFERROR(VLOOKUP(E3321,'Condensed Specialty Crosswalk'!$A$2:$C$106,3,FALSE),"")</f>
        <v/>
      </c>
    </row>
    <row r="3322" spans="5:7" ht="15" customHeight="1">
      <c r="E3322" s="49" t="str">
        <f>IFERROR(VLOOKUP(D3322,'taxonomy map'!$A$1:$C$107,2,FALSE),"")</f>
        <v/>
      </c>
      <c r="F3322" s="49" t="str">
        <f>IFERROR(VLOOKUP(E3322,'Condensed Specialty Crosswalk'!$A$2:$C$106,2,FALSE),"")</f>
        <v/>
      </c>
      <c r="G3322" s="49" t="str">
        <f>IFERROR(VLOOKUP(E3322,'Condensed Specialty Crosswalk'!$A$2:$C$106,3,FALSE),"")</f>
        <v/>
      </c>
    </row>
    <row r="3323" spans="5:7" ht="15" customHeight="1">
      <c r="E3323" s="49" t="str">
        <f>IFERROR(VLOOKUP(D3323,'taxonomy map'!$A$1:$C$107,2,FALSE),"")</f>
        <v/>
      </c>
      <c r="F3323" s="49" t="str">
        <f>IFERROR(VLOOKUP(E3323,'Condensed Specialty Crosswalk'!$A$2:$C$106,2,FALSE),"")</f>
        <v/>
      </c>
      <c r="G3323" s="49" t="str">
        <f>IFERROR(VLOOKUP(E3323,'Condensed Specialty Crosswalk'!$A$2:$C$106,3,FALSE),"")</f>
        <v/>
      </c>
    </row>
    <row r="3324" spans="5:7" ht="15" customHeight="1">
      <c r="E3324" s="49" t="str">
        <f>IFERROR(VLOOKUP(D3324,'taxonomy map'!$A$1:$C$107,2,FALSE),"")</f>
        <v/>
      </c>
      <c r="F3324" s="49" t="str">
        <f>IFERROR(VLOOKUP(E3324,'Condensed Specialty Crosswalk'!$A$2:$C$106,2,FALSE),"")</f>
        <v/>
      </c>
      <c r="G3324" s="49" t="str">
        <f>IFERROR(VLOOKUP(E3324,'Condensed Specialty Crosswalk'!$A$2:$C$106,3,FALSE),"")</f>
        <v/>
      </c>
    </row>
    <row r="3325" spans="5:7" ht="15" customHeight="1">
      <c r="E3325" s="49" t="str">
        <f>IFERROR(VLOOKUP(D3325,'taxonomy map'!$A$1:$C$107,2,FALSE),"")</f>
        <v/>
      </c>
      <c r="F3325" s="49" t="str">
        <f>IFERROR(VLOOKUP(E3325,'Condensed Specialty Crosswalk'!$A$2:$C$106,2,FALSE),"")</f>
        <v/>
      </c>
      <c r="G3325" s="49" t="str">
        <f>IFERROR(VLOOKUP(E3325,'Condensed Specialty Crosswalk'!$A$2:$C$106,3,FALSE),"")</f>
        <v/>
      </c>
    </row>
    <row r="3326" spans="5:7" ht="15" customHeight="1">
      <c r="E3326" s="49" t="str">
        <f>IFERROR(VLOOKUP(D3326,'taxonomy map'!$A$1:$C$107,2,FALSE),"")</f>
        <v/>
      </c>
      <c r="F3326" s="49" t="str">
        <f>IFERROR(VLOOKUP(E3326,'Condensed Specialty Crosswalk'!$A$2:$C$106,2,FALSE),"")</f>
        <v/>
      </c>
      <c r="G3326" s="49" t="str">
        <f>IFERROR(VLOOKUP(E3326,'Condensed Specialty Crosswalk'!$A$2:$C$106,3,FALSE),"")</f>
        <v/>
      </c>
    </row>
    <row r="3327" spans="5:7" ht="15" customHeight="1">
      <c r="E3327" s="49" t="str">
        <f>IFERROR(VLOOKUP(D3327,'taxonomy map'!$A$1:$C$107,2,FALSE),"")</f>
        <v/>
      </c>
      <c r="F3327" s="49" t="str">
        <f>IFERROR(VLOOKUP(E3327,'Condensed Specialty Crosswalk'!$A$2:$C$106,2,FALSE),"")</f>
        <v/>
      </c>
      <c r="G3327" s="49" t="str">
        <f>IFERROR(VLOOKUP(E3327,'Condensed Specialty Crosswalk'!$A$2:$C$106,3,FALSE),"")</f>
        <v/>
      </c>
    </row>
    <row r="3328" spans="5:7" ht="15" customHeight="1">
      <c r="E3328" s="49" t="str">
        <f>IFERROR(VLOOKUP(D3328,'taxonomy map'!$A$1:$C$107,2,FALSE),"")</f>
        <v/>
      </c>
      <c r="F3328" s="49" t="str">
        <f>IFERROR(VLOOKUP(E3328,'Condensed Specialty Crosswalk'!$A$2:$C$106,2,FALSE),"")</f>
        <v/>
      </c>
      <c r="G3328" s="49" t="str">
        <f>IFERROR(VLOOKUP(E3328,'Condensed Specialty Crosswalk'!$A$2:$C$106,3,FALSE),"")</f>
        <v/>
      </c>
    </row>
    <row r="3329" spans="5:7" ht="15" customHeight="1">
      <c r="E3329" s="49" t="str">
        <f>IFERROR(VLOOKUP(D3329,'taxonomy map'!$A$1:$C$107,2,FALSE),"")</f>
        <v/>
      </c>
      <c r="F3329" s="49" t="str">
        <f>IFERROR(VLOOKUP(E3329,'Condensed Specialty Crosswalk'!$A$2:$C$106,2,FALSE),"")</f>
        <v/>
      </c>
      <c r="G3329" s="49" t="str">
        <f>IFERROR(VLOOKUP(E3329,'Condensed Specialty Crosswalk'!$A$2:$C$106,3,FALSE),"")</f>
        <v/>
      </c>
    </row>
    <row r="3330" spans="5:7" ht="15" customHeight="1">
      <c r="E3330" s="49" t="str">
        <f>IFERROR(VLOOKUP(D3330,'taxonomy map'!$A$1:$C$107,2,FALSE),"")</f>
        <v/>
      </c>
      <c r="F3330" s="49" t="str">
        <f>IFERROR(VLOOKUP(E3330,'Condensed Specialty Crosswalk'!$A$2:$C$106,2,FALSE),"")</f>
        <v/>
      </c>
      <c r="G3330" s="49" t="str">
        <f>IFERROR(VLOOKUP(E3330,'Condensed Specialty Crosswalk'!$A$2:$C$106,3,FALSE),"")</f>
        <v/>
      </c>
    </row>
    <row r="3331" spans="5:7" ht="15" customHeight="1">
      <c r="E3331" s="49" t="str">
        <f>IFERROR(VLOOKUP(D3331,'taxonomy map'!$A$1:$C$107,2,FALSE),"")</f>
        <v/>
      </c>
      <c r="F3331" s="49" t="str">
        <f>IFERROR(VLOOKUP(E3331,'Condensed Specialty Crosswalk'!$A$2:$C$106,2,FALSE),"")</f>
        <v/>
      </c>
      <c r="G3331" s="49" t="str">
        <f>IFERROR(VLOOKUP(E3331,'Condensed Specialty Crosswalk'!$A$2:$C$106,3,FALSE),"")</f>
        <v/>
      </c>
    </row>
    <row r="3332" spans="5:7" ht="15" customHeight="1">
      <c r="E3332" s="49" t="str">
        <f>IFERROR(VLOOKUP(D3332,'taxonomy map'!$A$1:$C$107,2,FALSE),"")</f>
        <v/>
      </c>
      <c r="F3332" s="49" t="str">
        <f>IFERROR(VLOOKUP(E3332,'Condensed Specialty Crosswalk'!$A$2:$C$106,2,FALSE),"")</f>
        <v/>
      </c>
      <c r="G3332" s="49" t="str">
        <f>IFERROR(VLOOKUP(E3332,'Condensed Specialty Crosswalk'!$A$2:$C$106,3,FALSE),"")</f>
        <v/>
      </c>
    </row>
    <row r="3333" spans="5:7" ht="15" customHeight="1">
      <c r="E3333" s="49" t="str">
        <f>IFERROR(VLOOKUP(D3333,'taxonomy map'!$A$1:$C$107,2,FALSE),"")</f>
        <v/>
      </c>
      <c r="F3333" s="49" t="str">
        <f>IFERROR(VLOOKUP(E3333,'Condensed Specialty Crosswalk'!$A$2:$C$106,2,FALSE),"")</f>
        <v/>
      </c>
      <c r="G3333" s="49" t="str">
        <f>IFERROR(VLOOKUP(E3333,'Condensed Specialty Crosswalk'!$A$2:$C$106,3,FALSE),"")</f>
        <v/>
      </c>
    </row>
    <row r="3334" spans="5:7" ht="15" customHeight="1">
      <c r="E3334" s="49" t="str">
        <f>IFERROR(VLOOKUP(D3334,'taxonomy map'!$A$1:$C$107,2,FALSE),"")</f>
        <v/>
      </c>
      <c r="F3334" s="49" t="str">
        <f>IFERROR(VLOOKUP(E3334,'Condensed Specialty Crosswalk'!$A$2:$C$106,2,FALSE),"")</f>
        <v/>
      </c>
      <c r="G3334" s="49" t="str">
        <f>IFERROR(VLOOKUP(E3334,'Condensed Specialty Crosswalk'!$A$2:$C$106,3,FALSE),"")</f>
        <v/>
      </c>
    </row>
    <row r="3335" spans="5:7" ht="15" customHeight="1">
      <c r="E3335" s="49" t="str">
        <f>IFERROR(VLOOKUP(D3335,'taxonomy map'!$A$1:$C$107,2,FALSE),"")</f>
        <v/>
      </c>
      <c r="F3335" s="49" t="str">
        <f>IFERROR(VLOOKUP(E3335,'Condensed Specialty Crosswalk'!$A$2:$C$106,2,FALSE),"")</f>
        <v/>
      </c>
      <c r="G3335" s="49" t="str">
        <f>IFERROR(VLOOKUP(E3335,'Condensed Specialty Crosswalk'!$A$2:$C$106,3,FALSE),"")</f>
        <v/>
      </c>
    </row>
    <row r="3336" spans="5:7" ht="15" customHeight="1">
      <c r="E3336" s="49" t="str">
        <f>IFERROR(VLOOKUP(D3336,'taxonomy map'!$A$1:$C$107,2,FALSE),"")</f>
        <v/>
      </c>
      <c r="F3336" s="49" t="str">
        <f>IFERROR(VLOOKUP(E3336,'Condensed Specialty Crosswalk'!$A$2:$C$106,2,FALSE),"")</f>
        <v/>
      </c>
      <c r="G3336" s="49" t="str">
        <f>IFERROR(VLOOKUP(E3336,'Condensed Specialty Crosswalk'!$A$2:$C$106,3,FALSE),"")</f>
        <v/>
      </c>
    </row>
    <row r="3337" spans="5:7" ht="15" customHeight="1">
      <c r="E3337" s="49" t="str">
        <f>IFERROR(VLOOKUP(D3337,'taxonomy map'!$A$1:$C$107,2,FALSE),"")</f>
        <v/>
      </c>
      <c r="F3337" s="49" t="str">
        <f>IFERROR(VLOOKUP(E3337,'Condensed Specialty Crosswalk'!$A$2:$C$106,2,FALSE),"")</f>
        <v/>
      </c>
      <c r="G3337" s="49" t="str">
        <f>IFERROR(VLOOKUP(E3337,'Condensed Specialty Crosswalk'!$A$2:$C$106,3,FALSE),"")</f>
        <v/>
      </c>
    </row>
    <row r="3338" spans="5:7" ht="15" customHeight="1">
      <c r="E3338" s="49" t="str">
        <f>IFERROR(VLOOKUP(D3338,'taxonomy map'!$A$1:$C$107,2,FALSE),"")</f>
        <v/>
      </c>
      <c r="F3338" s="49" t="str">
        <f>IFERROR(VLOOKUP(E3338,'Condensed Specialty Crosswalk'!$A$2:$C$106,2,FALSE),"")</f>
        <v/>
      </c>
      <c r="G3338" s="49" t="str">
        <f>IFERROR(VLOOKUP(E3338,'Condensed Specialty Crosswalk'!$A$2:$C$106,3,FALSE),"")</f>
        <v/>
      </c>
    </row>
    <row r="3339" spans="5:7" ht="15" customHeight="1">
      <c r="E3339" s="49" t="str">
        <f>IFERROR(VLOOKUP(D3339,'taxonomy map'!$A$1:$C$107,2,FALSE),"")</f>
        <v/>
      </c>
      <c r="F3339" s="49" t="str">
        <f>IFERROR(VLOOKUP(E3339,'Condensed Specialty Crosswalk'!$A$2:$C$106,2,FALSE),"")</f>
        <v/>
      </c>
      <c r="G3339" s="49" t="str">
        <f>IFERROR(VLOOKUP(E3339,'Condensed Specialty Crosswalk'!$A$2:$C$106,3,FALSE),"")</f>
        <v/>
      </c>
    </row>
    <row r="3340" spans="5:7" ht="15" customHeight="1">
      <c r="E3340" s="49" t="str">
        <f>IFERROR(VLOOKUP(D3340,'taxonomy map'!$A$1:$C$107,2,FALSE),"")</f>
        <v/>
      </c>
      <c r="F3340" s="49" t="str">
        <f>IFERROR(VLOOKUP(E3340,'Condensed Specialty Crosswalk'!$A$2:$C$106,2,FALSE),"")</f>
        <v/>
      </c>
      <c r="G3340" s="49" t="str">
        <f>IFERROR(VLOOKUP(E3340,'Condensed Specialty Crosswalk'!$A$2:$C$106,3,FALSE),"")</f>
        <v/>
      </c>
    </row>
    <row r="3341" spans="5:7" ht="15" customHeight="1">
      <c r="E3341" s="49" t="str">
        <f>IFERROR(VLOOKUP(D3341,'taxonomy map'!$A$1:$C$107,2,FALSE),"")</f>
        <v/>
      </c>
      <c r="F3341" s="49" t="str">
        <f>IFERROR(VLOOKUP(E3341,'Condensed Specialty Crosswalk'!$A$2:$C$106,2,FALSE),"")</f>
        <v/>
      </c>
      <c r="G3341" s="49" t="str">
        <f>IFERROR(VLOOKUP(E3341,'Condensed Specialty Crosswalk'!$A$2:$C$106,3,FALSE),"")</f>
        <v/>
      </c>
    </row>
    <row r="3342" spans="5:7" ht="15" customHeight="1">
      <c r="E3342" s="49" t="str">
        <f>IFERROR(VLOOKUP(D3342,'taxonomy map'!$A$1:$C$107,2,FALSE),"")</f>
        <v/>
      </c>
      <c r="F3342" s="49" t="str">
        <f>IFERROR(VLOOKUP(E3342,'Condensed Specialty Crosswalk'!$A$2:$C$106,2,FALSE),"")</f>
        <v/>
      </c>
      <c r="G3342" s="49" t="str">
        <f>IFERROR(VLOOKUP(E3342,'Condensed Specialty Crosswalk'!$A$2:$C$106,3,FALSE),"")</f>
        <v/>
      </c>
    </row>
    <row r="3343" spans="5:7" ht="15" customHeight="1">
      <c r="E3343" s="49" t="str">
        <f>IFERROR(VLOOKUP(D3343,'taxonomy map'!$A$1:$C$107,2,FALSE),"")</f>
        <v/>
      </c>
      <c r="F3343" s="49" t="str">
        <f>IFERROR(VLOOKUP(E3343,'Condensed Specialty Crosswalk'!$A$2:$C$106,2,FALSE),"")</f>
        <v/>
      </c>
      <c r="G3343" s="49" t="str">
        <f>IFERROR(VLOOKUP(E3343,'Condensed Specialty Crosswalk'!$A$2:$C$106,3,FALSE),"")</f>
        <v/>
      </c>
    </row>
    <row r="3344" spans="5:7" ht="15" customHeight="1">
      <c r="E3344" s="49" t="str">
        <f>IFERROR(VLOOKUP(D3344,'taxonomy map'!$A$1:$C$107,2,FALSE),"")</f>
        <v/>
      </c>
      <c r="F3344" s="49" t="str">
        <f>IFERROR(VLOOKUP(E3344,'Condensed Specialty Crosswalk'!$A$2:$C$106,2,FALSE),"")</f>
        <v/>
      </c>
      <c r="G3344" s="49" t="str">
        <f>IFERROR(VLOOKUP(E3344,'Condensed Specialty Crosswalk'!$A$2:$C$106,3,FALSE),"")</f>
        <v/>
      </c>
    </row>
    <row r="3345" spans="5:7" ht="15" customHeight="1">
      <c r="E3345" s="49" t="str">
        <f>IFERROR(VLOOKUP(D3345,'taxonomy map'!$A$1:$C$107,2,FALSE),"")</f>
        <v/>
      </c>
      <c r="F3345" s="49" t="str">
        <f>IFERROR(VLOOKUP(E3345,'Condensed Specialty Crosswalk'!$A$2:$C$106,2,FALSE),"")</f>
        <v/>
      </c>
      <c r="G3345" s="49" t="str">
        <f>IFERROR(VLOOKUP(E3345,'Condensed Specialty Crosswalk'!$A$2:$C$106,3,FALSE),"")</f>
        <v/>
      </c>
    </row>
    <row r="3346" spans="5:7" ht="15" customHeight="1">
      <c r="E3346" s="49" t="str">
        <f>IFERROR(VLOOKUP(D3346,'taxonomy map'!$A$1:$C$107,2,FALSE),"")</f>
        <v/>
      </c>
      <c r="F3346" s="49" t="str">
        <f>IFERROR(VLOOKUP(E3346,'Condensed Specialty Crosswalk'!$A$2:$C$106,2,FALSE),"")</f>
        <v/>
      </c>
      <c r="G3346" s="49" t="str">
        <f>IFERROR(VLOOKUP(E3346,'Condensed Specialty Crosswalk'!$A$2:$C$106,3,FALSE),"")</f>
        <v/>
      </c>
    </row>
    <row r="3347" spans="5:7" ht="15" customHeight="1">
      <c r="E3347" s="49" t="str">
        <f>IFERROR(VLOOKUP(D3347,'taxonomy map'!$A$1:$C$107,2,FALSE),"")</f>
        <v/>
      </c>
      <c r="F3347" s="49" t="str">
        <f>IFERROR(VLOOKUP(E3347,'Condensed Specialty Crosswalk'!$A$2:$C$106,2,FALSE),"")</f>
        <v/>
      </c>
      <c r="G3347" s="49" t="str">
        <f>IFERROR(VLOOKUP(E3347,'Condensed Specialty Crosswalk'!$A$2:$C$106,3,FALSE),"")</f>
        <v/>
      </c>
    </row>
    <row r="3348" spans="5:7" ht="15" customHeight="1">
      <c r="E3348" s="49" t="str">
        <f>IFERROR(VLOOKUP(D3348,'taxonomy map'!$A$1:$C$107,2,FALSE),"")</f>
        <v/>
      </c>
      <c r="F3348" s="49" t="str">
        <f>IFERROR(VLOOKUP(E3348,'Condensed Specialty Crosswalk'!$A$2:$C$106,2,FALSE),"")</f>
        <v/>
      </c>
      <c r="G3348" s="49" t="str">
        <f>IFERROR(VLOOKUP(E3348,'Condensed Specialty Crosswalk'!$A$2:$C$106,3,FALSE),"")</f>
        <v/>
      </c>
    </row>
    <row r="3349" spans="5:7" ht="15" customHeight="1">
      <c r="E3349" s="49" t="str">
        <f>IFERROR(VLOOKUP(D3349,'taxonomy map'!$A$1:$C$107,2,FALSE),"")</f>
        <v/>
      </c>
      <c r="F3349" s="49" t="str">
        <f>IFERROR(VLOOKUP(E3349,'Condensed Specialty Crosswalk'!$A$2:$C$106,2,FALSE),"")</f>
        <v/>
      </c>
      <c r="G3349" s="49" t="str">
        <f>IFERROR(VLOOKUP(E3349,'Condensed Specialty Crosswalk'!$A$2:$C$106,3,FALSE),"")</f>
        <v/>
      </c>
    </row>
    <row r="3350" spans="5:7" ht="15" customHeight="1">
      <c r="E3350" s="49" t="str">
        <f>IFERROR(VLOOKUP(D3350,'taxonomy map'!$A$1:$C$107,2,FALSE),"")</f>
        <v/>
      </c>
      <c r="F3350" s="49" t="str">
        <f>IFERROR(VLOOKUP(E3350,'Condensed Specialty Crosswalk'!$A$2:$C$106,2,FALSE),"")</f>
        <v/>
      </c>
      <c r="G3350" s="49" t="str">
        <f>IFERROR(VLOOKUP(E3350,'Condensed Specialty Crosswalk'!$A$2:$C$106,3,FALSE),"")</f>
        <v/>
      </c>
    </row>
    <row r="3351" spans="5:7" ht="15" customHeight="1">
      <c r="E3351" s="49" t="str">
        <f>IFERROR(VLOOKUP(D3351,'taxonomy map'!$A$1:$C$107,2,FALSE),"")</f>
        <v/>
      </c>
      <c r="F3351" s="49" t="str">
        <f>IFERROR(VLOOKUP(E3351,'Condensed Specialty Crosswalk'!$A$2:$C$106,2,FALSE),"")</f>
        <v/>
      </c>
      <c r="G3351" s="49" t="str">
        <f>IFERROR(VLOOKUP(E3351,'Condensed Specialty Crosswalk'!$A$2:$C$106,3,FALSE),"")</f>
        <v/>
      </c>
    </row>
    <row r="3352" spans="5:7" ht="15" customHeight="1">
      <c r="E3352" s="49" t="str">
        <f>IFERROR(VLOOKUP(D3352,'taxonomy map'!$A$1:$C$107,2,FALSE),"")</f>
        <v/>
      </c>
      <c r="F3352" s="49" t="str">
        <f>IFERROR(VLOOKUP(E3352,'Condensed Specialty Crosswalk'!$A$2:$C$106,2,FALSE),"")</f>
        <v/>
      </c>
      <c r="G3352" s="49" t="str">
        <f>IFERROR(VLOOKUP(E3352,'Condensed Specialty Crosswalk'!$A$2:$C$106,3,FALSE),"")</f>
        <v/>
      </c>
    </row>
    <row r="3353" spans="5:7" ht="15" customHeight="1">
      <c r="E3353" s="49" t="str">
        <f>IFERROR(VLOOKUP(D3353,'taxonomy map'!$A$1:$C$107,2,FALSE),"")</f>
        <v/>
      </c>
      <c r="F3353" s="49" t="str">
        <f>IFERROR(VLOOKUP(E3353,'Condensed Specialty Crosswalk'!$A$2:$C$106,2,FALSE),"")</f>
        <v/>
      </c>
      <c r="G3353" s="49" t="str">
        <f>IFERROR(VLOOKUP(E3353,'Condensed Specialty Crosswalk'!$A$2:$C$106,3,FALSE),"")</f>
        <v/>
      </c>
    </row>
    <row r="3354" spans="5:7" ht="15" customHeight="1">
      <c r="E3354" s="49" t="str">
        <f>IFERROR(VLOOKUP(D3354,'taxonomy map'!$A$1:$C$107,2,FALSE),"")</f>
        <v/>
      </c>
      <c r="F3354" s="49" t="str">
        <f>IFERROR(VLOOKUP(E3354,'Condensed Specialty Crosswalk'!$A$2:$C$106,2,FALSE),"")</f>
        <v/>
      </c>
      <c r="G3354" s="49" t="str">
        <f>IFERROR(VLOOKUP(E3354,'Condensed Specialty Crosswalk'!$A$2:$C$106,3,FALSE),"")</f>
        <v/>
      </c>
    </row>
    <row r="3355" spans="5:7" ht="15" customHeight="1">
      <c r="E3355" s="49" t="str">
        <f>IFERROR(VLOOKUP(D3355,'taxonomy map'!$A$1:$C$107,2,FALSE),"")</f>
        <v/>
      </c>
      <c r="F3355" s="49" t="str">
        <f>IFERROR(VLOOKUP(E3355,'Condensed Specialty Crosswalk'!$A$2:$C$106,2,FALSE),"")</f>
        <v/>
      </c>
      <c r="G3355" s="49" t="str">
        <f>IFERROR(VLOOKUP(E3355,'Condensed Specialty Crosswalk'!$A$2:$C$106,3,FALSE),"")</f>
        <v/>
      </c>
    </row>
    <row r="3356" spans="5:7" ht="15" customHeight="1">
      <c r="E3356" s="49" t="str">
        <f>IFERROR(VLOOKUP(D3356,'taxonomy map'!$A$1:$C$107,2,FALSE),"")</f>
        <v/>
      </c>
      <c r="F3356" s="49" t="str">
        <f>IFERROR(VLOOKUP(E3356,'Condensed Specialty Crosswalk'!$A$2:$C$106,2,FALSE),"")</f>
        <v/>
      </c>
      <c r="G3356" s="49" t="str">
        <f>IFERROR(VLOOKUP(E3356,'Condensed Specialty Crosswalk'!$A$2:$C$106,3,FALSE),"")</f>
        <v/>
      </c>
    </row>
    <row r="3357" spans="5:7" ht="15" customHeight="1">
      <c r="E3357" s="49" t="str">
        <f>IFERROR(VLOOKUP(D3357,'taxonomy map'!$A$1:$C$107,2,FALSE),"")</f>
        <v/>
      </c>
      <c r="F3357" s="49" t="str">
        <f>IFERROR(VLOOKUP(E3357,'Condensed Specialty Crosswalk'!$A$2:$C$106,2,FALSE),"")</f>
        <v/>
      </c>
      <c r="G3357" s="49" t="str">
        <f>IFERROR(VLOOKUP(E3357,'Condensed Specialty Crosswalk'!$A$2:$C$106,3,FALSE),"")</f>
        <v/>
      </c>
    </row>
    <row r="3358" spans="5:7" ht="15" customHeight="1">
      <c r="E3358" s="49" t="str">
        <f>IFERROR(VLOOKUP(D3358,'taxonomy map'!$A$1:$C$107,2,FALSE),"")</f>
        <v/>
      </c>
      <c r="F3358" s="49" t="str">
        <f>IFERROR(VLOOKUP(E3358,'Condensed Specialty Crosswalk'!$A$2:$C$106,2,FALSE),"")</f>
        <v/>
      </c>
      <c r="G3358" s="49" t="str">
        <f>IFERROR(VLOOKUP(E3358,'Condensed Specialty Crosswalk'!$A$2:$C$106,3,FALSE),"")</f>
        <v/>
      </c>
    </row>
    <row r="3359" spans="5:7" ht="15" customHeight="1">
      <c r="E3359" s="49" t="str">
        <f>IFERROR(VLOOKUP(D3359,'taxonomy map'!$A$1:$C$107,2,FALSE),"")</f>
        <v/>
      </c>
      <c r="F3359" s="49" t="str">
        <f>IFERROR(VLOOKUP(E3359,'Condensed Specialty Crosswalk'!$A$2:$C$106,2,FALSE),"")</f>
        <v/>
      </c>
      <c r="G3359" s="49" t="str">
        <f>IFERROR(VLOOKUP(E3359,'Condensed Specialty Crosswalk'!$A$2:$C$106,3,FALSE),"")</f>
        <v/>
      </c>
    </row>
    <row r="3360" spans="5:7" ht="15" customHeight="1">
      <c r="E3360" s="49" t="str">
        <f>IFERROR(VLOOKUP(D3360,'taxonomy map'!$A$1:$C$107,2,FALSE),"")</f>
        <v/>
      </c>
      <c r="F3360" s="49" t="str">
        <f>IFERROR(VLOOKUP(E3360,'Condensed Specialty Crosswalk'!$A$2:$C$106,2,FALSE),"")</f>
        <v/>
      </c>
      <c r="G3360" s="49" t="str">
        <f>IFERROR(VLOOKUP(E3360,'Condensed Specialty Crosswalk'!$A$2:$C$106,3,FALSE),"")</f>
        <v/>
      </c>
    </row>
    <row r="3361" spans="5:7" ht="15" customHeight="1">
      <c r="E3361" s="49" t="str">
        <f>IFERROR(VLOOKUP(D3361,'taxonomy map'!$A$1:$C$107,2,FALSE),"")</f>
        <v/>
      </c>
      <c r="F3361" s="49" t="str">
        <f>IFERROR(VLOOKUP(E3361,'Condensed Specialty Crosswalk'!$A$2:$C$106,2,FALSE),"")</f>
        <v/>
      </c>
      <c r="G3361" s="49" t="str">
        <f>IFERROR(VLOOKUP(E3361,'Condensed Specialty Crosswalk'!$A$2:$C$106,3,FALSE),"")</f>
        <v/>
      </c>
    </row>
    <row r="3362" spans="5:7" ht="15" customHeight="1">
      <c r="E3362" s="49" t="str">
        <f>IFERROR(VLOOKUP(D3362,'taxonomy map'!$A$1:$C$107,2,FALSE),"")</f>
        <v/>
      </c>
      <c r="F3362" s="49" t="str">
        <f>IFERROR(VLOOKUP(E3362,'Condensed Specialty Crosswalk'!$A$2:$C$106,2,FALSE),"")</f>
        <v/>
      </c>
      <c r="G3362" s="49" t="str">
        <f>IFERROR(VLOOKUP(E3362,'Condensed Specialty Crosswalk'!$A$2:$C$106,3,FALSE),"")</f>
        <v/>
      </c>
    </row>
    <row r="3363" spans="5:7" ht="15" customHeight="1">
      <c r="E3363" s="49" t="str">
        <f>IFERROR(VLOOKUP(D3363,'taxonomy map'!$A$1:$C$107,2,FALSE),"")</f>
        <v/>
      </c>
      <c r="F3363" s="49" t="str">
        <f>IFERROR(VLOOKUP(E3363,'Condensed Specialty Crosswalk'!$A$2:$C$106,2,FALSE),"")</f>
        <v/>
      </c>
      <c r="G3363" s="49" t="str">
        <f>IFERROR(VLOOKUP(E3363,'Condensed Specialty Crosswalk'!$A$2:$C$106,3,FALSE),"")</f>
        <v/>
      </c>
    </row>
    <row r="3364" spans="5:7" ht="15" customHeight="1">
      <c r="E3364" s="49" t="str">
        <f>IFERROR(VLOOKUP(D3364,'taxonomy map'!$A$1:$C$107,2,FALSE),"")</f>
        <v/>
      </c>
      <c r="F3364" s="49" t="str">
        <f>IFERROR(VLOOKUP(E3364,'Condensed Specialty Crosswalk'!$A$2:$C$106,2,FALSE),"")</f>
        <v/>
      </c>
      <c r="G3364" s="49" t="str">
        <f>IFERROR(VLOOKUP(E3364,'Condensed Specialty Crosswalk'!$A$2:$C$106,3,FALSE),"")</f>
        <v/>
      </c>
    </row>
    <row r="3365" spans="5:7" ht="15" customHeight="1">
      <c r="E3365" s="49" t="str">
        <f>IFERROR(VLOOKUP(D3365,'taxonomy map'!$A$1:$C$107,2,FALSE),"")</f>
        <v/>
      </c>
      <c r="F3365" s="49" t="str">
        <f>IFERROR(VLOOKUP(E3365,'Condensed Specialty Crosswalk'!$A$2:$C$106,2,FALSE),"")</f>
        <v/>
      </c>
      <c r="G3365" s="49" t="str">
        <f>IFERROR(VLOOKUP(E3365,'Condensed Specialty Crosswalk'!$A$2:$C$106,3,FALSE),"")</f>
        <v/>
      </c>
    </row>
    <row r="3366" spans="5:7" ht="15" customHeight="1">
      <c r="E3366" s="49" t="str">
        <f>IFERROR(VLOOKUP(D3366,'taxonomy map'!$A$1:$C$107,2,FALSE),"")</f>
        <v/>
      </c>
      <c r="F3366" s="49" t="str">
        <f>IFERROR(VLOOKUP(E3366,'Condensed Specialty Crosswalk'!$A$2:$C$106,2,FALSE),"")</f>
        <v/>
      </c>
      <c r="G3366" s="49" t="str">
        <f>IFERROR(VLOOKUP(E3366,'Condensed Specialty Crosswalk'!$A$2:$C$106,3,FALSE),"")</f>
        <v/>
      </c>
    </row>
    <row r="3367" spans="5:7" ht="15" customHeight="1">
      <c r="E3367" s="49" t="str">
        <f>IFERROR(VLOOKUP(D3367,'taxonomy map'!$A$1:$C$107,2,FALSE),"")</f>
        <v/>
      </c>
      <c r="F3367" s="49" t="str">
        <f>IFERROR(VLOOKUP(E3367,'Condensed Specialty Crosswalk'!$A$2:$C$106,2,FALSE),"")</f>
        <v/>
      </c>
      <c r="G3367" s="49" t="str">
        <f>IFERROR(VLOOKUP(E3367,'Condensed Specialty Crosswalk'!$A$2:$C$106,3,FALSE),"")</f>
        <v/>
      </c>
    </row>
    <row r="3368" spans="5:7" ht="15" customHeight="1">
      <c r="E3368" s="49" t="str">
        <f>IFERROR(VLOOKUP(D3368,'taxonomy map'!$A$1:$C$107,2,FALSE),"")</f>
        <v/>
      </c>
      <c r="F3368" s="49" t="str">
        <f>IFERROR(VLOOKUP(E3368,'Condensed Specialty Crosswalk'!$A$2:$C$106,2,FALSE),"")</f>
        <v/>
      </c>
      <c r="G3368" s="49" t="str">
        <f>IFERROR(VLOOKUP(E3368,'Condensed Specialty Crosswalk'!$A$2:$C$106,3,FALSE),"")</f>
        <v/>
      </c>
    </row>
    <row r="3369" spans="5:7" ht="15" customHeight="1">
      <c r="E3369" s="49" t="str">
        <f>IFERROR(VLOOKUP(D3369,'taxonomy map'!$A$1:$C$107,2,FALSE),"")</f>
        <v/>
      </c>
      <c r="F3369" s="49" t="str">
        <f>IFERROR(VLOOKUP(E3369,'Condensed Specialty Crosswalk'!$A$2:$C$106,2,FALSE),"")</f>
        <v/>
      </c>
      <c r="G3369" s="49" t="str">
        <f>IFERROR(VLOOKUP(E3369,'Condensed Specialty Crosswalk'!$A$2:$C$106,3,FALSE),"")</f>
        <v/>
      </c>
    </row>
    <row r="3370" spans="5:7" ht="15" customHeight="1">
      <c r="E3370" s="49" t="str">
        <f>IFERROR(VLOOKUP(D3370,'taxonomy map'!$A$1:$C$107,2,FALSE),"")</f>
        <v/>
      </c>
      <c r="F3370" s="49" t="str">
        <f>IFERROR(VLOOKUP(E3370,'Condensed Specialty Crosswalk'!$A$2:$C$106,2,FALSE),"")</f>
        <v/>
      </c>
      <c r="G3370" s="49" t="str">
        <f>IFERROR(VLOOKUP(E3370,'Condensed Specialty Crosswalk'!$A$2:$C$106,3,FALSE),"")</f>
        <v/>
      </c>
    </row>
    <row r="3371" spans="5:7" ht="15" customHeight="1">
      <c r="E3371" s="49" t="str">
        <f>IFERROR(VLOOKUP(D3371,'taxonomy map'!$A$1:$C$107,2,FALSE),"")</f>
        <v/>
      </c>
      <c r="F3371" s="49" t="str">
        <f>IFERROR(VLOOKUP(E3371,'Condensed Specialty Crosswalk'!$A$2:$C$106,2,FALSE),"")</f>
        <v/>
      </c>
      <c r="G3371" s="49" t="str">
        <f>IFERROR(VLOOKUP(E3371,'Condensed Specialty Crosswalk'!$A$2:$C$106,3,FALSE),"")</f>
        <v/>
      </c>
    </row>
    <row r="3372" spans="5:7" ht="15" customHeight="1">
      <c r="E3372" s="49" t="str">
        <f>IFERROR(VLOOKUP(D3372,'taxonomy map'!$A$1:$C$107,2,FALSE),"")</f>
        <v/>
      </c>
      <c r="F3372" s="49" t="str">
        <f>IFERROR(VLOOKUP(E3372,'Condensed Specialty Crosswalk'!$A$2:$C$106,2,FALSE),"")</f>
        <v/>
      </c>
      <c r="G3372" s="49" t="str">
        <f>IFERROR(VLOOKUP(E3372,'Condensed Specialty Crosswalk'!$A$2:$C$106,3,FALSE),"")</f>
        <v/>
      </c>
    </row>
    <row r="3373" spans="5:7" ht="15" customHeight="1">
      <c r="E3373" s="49" t="str">
        <f>IFERROR(VLOOKUP(D3373,'taxonomy map'!$A$1:$C$107,2,FALSE),"")</f>
        <v/>
      </c>
      <c r="F3373" s="49" t="str">
        <f>IFERROR(VLOOKUP(E3373,'Condensed Specialty Crosswalk'!$A$2:$C$106,2,FALSE),"")</f>
        <v/>
      </c>
      <c r="G3373" s="49" t="str">
        <f>IFERROR(VLOOKUP(E3373,'Condensed Specialty Crosswalk'!$A$2:$C$106,3,FALSE),"")</f>
        <v/>
      </c>
    </row>
    <row r="3374" spans="5:7" ht="15" customHeight="1">
      <c r="E3374" s="49" t="str">
        <f>IFERROR(VLOOKUP(D3374,'taxonomy map'!$A$1:$C$107,2,FALSE),"")</f>
        <v/>
      </c>
      <c r="F3374" s="49" t="str">
        <f>IFERROR(VLOOKUP(E3374,'Condensed Specialty Crosswalk'!$A$2:$C$106,2,FALSE),"")</f>
        <v/>
      </c>
      <c r="G3374" s="49" t="str">
        <f>IFERROR(VLOOKUP(E3374,'Condensed Specialty Crosswalk'!$A$2:$C$106,3,FALSE),"")</f>
        <v/>
      </c>
    </row>
    <row r="3375" spans="5:7" ht="15" customHeight="1">
      <c r="E3375" s="49" t="str">
        <f>IFERROR(VLOOKUP(D3375,'taxonomy map'!$A$1:$C$107,2,FALSE),"")</f>
        <v/>
      </c>
      <c r="F3375" s="49" t="str">
        <f>IFERROR(VLOOKUP(E3375,'Condensed Specialty Crosswalk'!$A$2:$C$106,2,FALSE),"")</f>
        <v/>
      </c>
      <c r="G3375" s="49" t="str">
        <f>IFERROR(VLOOKUP(E3375,'Condensed Specialty Crosswalk'!$A$2:$C$106,3,FALSE),"")</f>
        <v/>
      </c>
    </row>
    <row r="3376" spans="5:7" ht="15" customHeight="1">
      <c r="E3376" s="49" t="str">
        <f>IFERROR(VLOOKUP(D3376,'taxonomy map'!$A$1:$C$107,2,FALSE),"")</f>
        <v/>
      </c>
      <c r="F3376" s="49" t="str">
        <f>IFERROR(VLOOKUP(E3376,'Condensed Specialty Crosswalk'!$A$2:$C$106,2,FALSE),"")</f>
        <v/>
      </c>
      <c r="G3376" s="49" t="str">
        <f>IFERROR(VLOOKUP(E3376,'Condensed Specialty Crosswalk'!$A$2:$C$106,3,FALSE),"")</f>
        <v/>
      </c>
    </row>
    <row r="3377" spans="5:7" ht="15" customHeight="1">
      <c r="E3377" s="49" t="str">
        <f>IFERROR(VLOOKUP(D3377,'taxonomy map'!$A$1:$C$107,2,FALSE),"")</f>
        <v/>
      </c>
      <c r="F3377" s="49" t="str">
        <f>IFERROR(VLOOKUP(E3377,'Condensed Specialty Crosswalk'!$A$2:$C$106,2,FALSE),"")</f>
        <v/>
      </c>
      <c r="G3377" s="49" t="str">
        <f>IFERROR(VLOOKUP(E3377,'Condensed Specialty Crosswalk'!$A$2:$C$106,3,FALSE),"")</f>
        <v/>
      </c>
    </row>
    <row r="3378" spans="5:7" ht="15" customHeight="1">
      <c r="E3378" s="49" t="str">
        <f>IFERROR(VLOOKUP(D3378,'taxonomy map'!$A$1:$C$107,2,FALSE),"")</f>
        <v/>
      </c>
      <c r="F3378" s="49" t="str">
        <f>IFERROR(VLOOKUP(E3378,'Condensed Specialty Crosswalk'!$A$2:$C$106,2,FALSE),"")</f>
        <v/>
      </c>
      <c r="G3378" s="49" t="str">
        <f>IFERROR(VLOOKUP(E3378,'Condensed Specialty Crosswalk'!$A$2:$C$106,3,FALSE),"")</f>
        <v/>
      </c>
    </row>
    <row r="3379" spans="5:7" ht="15" customHeight="1">
      <c r="E3379" s="49" t="str">
        <f>IFERROR(VLOOKUP(D3379,'taxonomy map'!$A$1:$C$107,2,FALSE),"")</f>
        <v/>
      </c>
      <c r="F3379" s="49" t="str">
        <f>IFERROR(VLOOKUP(E3379,'Condensed Specialty Crosswalk'!$A$2:$C$106,2,FALSE),"")</f>
        <v/>
      </c>
      <c r="G3379" s="49" t="str">
        <f>IFERROR(VLOOKUP(E3379,'Condensed Specialty Crosswalk'!$A$2:$C$106,3,FALSE),"")</f>
        <v/>
      </c>
    </row>
    <row r="3380" spans="5:7" ht="15" customHeight="1">
      <c r="E3380" s="49" t="str">
        <f>IFERROR(VLOOKUP(D3380,'taxonomy map'!$A$1:$C$107,2,FALSE),"")</f>
        <v/>
      </c>
      <c r="F3380" s="49" t="str">
        <f>IFERROR(VLOOKUP(E3380,'Condensed Specialty Crosswalk'!$A$2:$C$106,2,FALSE),"")</f>
        <v/>
      </c>
      <c r="G3380" s="49" t="str">
        <f>IFERROR(VLOOKUP(E3380,'Condensed Specialty Crosswalk'!$A$2:$C$106,3,FALSE),"")</f>
        <v/>
      </c>
    </row>
    <row r="3381" spans="5:7" ht="15" customHeight="1">
      <c r="E3381" s="49" t="str">
        <f>IFERROR(VLOOKUP(D3381,'taxonomy map'!$A$1:$C$107,2,FALSE),"")</f>
        <v/>
      </c>
      <c r="F3381" s="49" t="str">
        <f>IFERROR(VLOOKUP(E3381,'Condensed Specialty Crosswalk'!$A$2:$C$106,2,FALSE),"")</f>
        <v/>
      </c>
      <c r="G3381" s="49" t="str">
        <f>IFERROR(VLOOKUP(E3381,'Condensed Specialty Crosswalk'!$A$2:$C$106,3,FALSE),"")</f>
        <v/>
      </c>
    </row>
    <row r="3382" spans="5:7" ht="15" customHeight="1">
      <c r="E3382" s="49" t="str">
        <f>IFERROR(VLOOKUP(D3382,'taxonomy map'!$A$1:$C$107,2,FALSE),"")</f>
        <v/>
      </c>
      <c r="F3382" s="49" t="str">
        <f>IFERROR(VLOOKUP(E3382,'Condensed Specialty Crosswalk'!$A$2:$C$106,2,FALSE),"")</f>
        <v/>
      </c>
      <c r="G3382" s="49" t="str">
        <f>IFERROR(VLOOKUP(E3382,'Condensed Specialty Crosswalk'!$A$2:$C$106,3,FALSE),"")</f>
        <v/>
      </c>
    </row>
    <row r="3383" spans="5:7" ht="15" customHeight="1">
      <c r="E3383" s="49" t="str">
        <f>IFERROR(VLOOKUP(D3383,'taxonomy map'!$A$1:$C$107,2,FALSE),"")</f>
        <v/>
      </c>
      <c r="F3383" s="49" t="str">
        <f>IFERROR(VLOOKUP(E3383,'Condensed Specialty Crosswalk'!$A$2:$C$106,2,FALSE),"")</f>
        <v/>
      </c>
      <c r="G3383" s="49" t="str">
        <f>IFERROR(VLOOKUP(E3383,'Condensed Specialty Crosswalk'!$A$2:$C$106,3,FALSE),"")</f>
        <v/>
      </c>
    </row>
    <row r="3384" spans="5:7" ht="15" customHeight="1">
      <c r="E3384" s="49" t="str">
        <f>IFERROR(VLOOKUP(D3384,'taxonomy map'!$A$1:$C$107,2,FALSE),"")</f>
        <v/>
      </c>
      <c r="F3384" s="49" t="str">
        <f>IFERROR(VLOOKUP(E3384,'Condensed Specialty Crosswalk'!$A$2:$C$106,2,FALSE),"")</f>
        <v/>
      </c>
      <c r="G3384" s="49" t="str">
        <f>IFERROR(VLOOKUP(E3384,'Condensed Specialty Crosswalk'!$A$2:$C$106,3,FALSE),"")</f>
        <v/>
      </c>
    </row>
    <row r="3385" spans="5:7" ht="15" customHeight="1">
      <c r="E3385" s="49" t="str">
        <f>IFERROR(VLOOKUP(D3385,'taxonomy map'!$A$1:$C$107,2,FALSE),"")</f>
        <v/>
      </c>
      <c r="F3385" s="49" t="str">
        <f>IFERROR(VLOOKUP(E3385,'Condensed Specialty Crosswalk'!$A$2:$C$106,2,FALSE),"")</f>
        <v/>
      </c>
      <c r="G3385" s="49" t="str">
        <f>IFERROR(VLOOKUP(E3385,'Condensed Specialty Crosswalk'!$A$2:$C$106,3,FALSE),"")</f>
        <v/>
      </c>
    </row>
    <row r="3386" spans="5:7" ht="15" customHeight="1">
      <c r="E3386" s="49" t="str">
        <f>IFERROR(VLOOKUP(D3386,'taxonomy map'!$A$1:$C$107,2,FALSE),"")</f>
        <v/>
      </c>
      <c r="F3386" s="49" t="str">
        <f>IFERROR(VLOOKUP(E3386,'Condensed Specialty Crosswalk'!$A$2:$C$106,2,FALSE),"")</f>
        <v/>
      </c>
      <c r="G3386" s="49" t="str">
        <f>IFERROR(VLOOKUP(E3386,'Condensed Specialty Crosswalk'!$A$2:$C$106,3,FALSE),"")</f>
        <v/>
      </c>
    </row>
    <row r="3387" spans="5:7" ht="15" customHeight="1">
      <c r="E3387" s="49" t="str">
        <f>IFERROR(VLOOKUP(D3387,'taxonomy map'!$A$1:$C$107,2,FALSE),"")</f>
        <v/>
      </c>
      <c r="F3387" s="49" t="str">
        <f>IFERROR(VLOOKUP(E3387,'Condensed Specialty Crosswalk'!$A$2:$C$106,2,FALSE),"")</f>
        <v/>
      </c>
      <c r="G3387" s="49" t="str">
        <f>IFERROR(VLOOKUP(E3387,'Condensed Specialty Crosswalk'!$A$2:$C$106,3,FALSE),"")</f>
        <v/>
      </c>
    </row>
    <row r="3388" spans="5:7" ht="15" customHeight="1">
      <c r="E3388" s="49" t="str">
        <f>IFERROR(VLOOKUP(D3388,'taxonomy map'!$A$1:$C$107,2,FALSE),"")</f>
        <v/>
      </c>
      <c r="F3388" s="49" t="str">
        <f>IFERROR(VLOOKUP(E3388,'Condensed Specialty Crosswalk'!$A$2:$C$106,2,FALSE),"")</f>
        <v/>
      </c>
      <c r="G3388" s="49" t="str">
        <f>IFERROR(VLOOKUP(E3388,'Condensed Specialty Crosswalk'!$A$2:$C$106,3,FALSE),"")</f>
        <v/>
      </c>
    </row>
    <row r="3389" spans="5:7" ht="15" customHeight="1">
      <c r="E3389" s="49" t="str">
        <f>IFERROR(VLOOKUP(D3389,'taxonomy map'!$A$1:$C$107,2,FALSE),"")</f>
        <v/>
      </c>
      <c r="F3389" s="49" t="str">
        <f>IFERROR(VLOOKUP(E3389,'Condensed Specialty Crosswalk'!$A$2:$C$106,2,FALSE),"")</f>
        <v/>
      </c>
      <c r="G3389" s="49" t="str">
        <f>IFERROR(VLOOKUP(E3389,'Condensed Specialty Crosswalk'!$A$2:$C$106,3,FALSE),"")</f>
        <v/>
      </c>
    </row>
    <row r="3390" spans="5:7" ht="15" customHeight="1">
      <c r="E3390" s="49" t="str">
        <f>IFERROR(VLOOKUP(D3390,'taxonomy map'!$A$1:$C$107,2,FALSE),"")</f>
        <v/>
      </c>
      <c r="F3390" s="49" t="str">
        <f>IFERROR(VLOOKUP(E3390,'Condensed Specialty Crosswalk'!$A$2:$C$106,2,FALSE),"")</f>
        <v/>
      </c>
      <c r="G3390" s="49" t="str">
        <f>IFERROR(VLOOKUP(E3390,'Condensed Specialty Crosswalk'!$A$2:$C$106,3,FALSE),"")</f>
        <v/>
      </c>
    </row>
    <row r="3391" spans="5:7" ht="15" customHeight="1">
      <c r="E3391" s="49" t="str">
        <f>IFERROR(VLOOKUP(D3391,'taxonomy map'!$A$1:$C$107,2,FALSE),"")</f>
        <v/>
      </c>
      <c r="F3391" s="49" t="str">
        <f>IFERROR(VLOOKUP(E3391,'Condensed Specialty Crosswalk'!$A$2:$C$106,2,FALSE),"")</f>
        <v/>
      </c>
      <c r="G3391" s="49" t="str">
        <f>IFERROR(VLOOKUP(E3391,'Condensed Specialty Crosswalk'!$A$2:$C$106,3,FALSE),"")</f>
        <v/>
      </c>
    </row>
    <row r="3392" spans="5:7" ht="15" customHeight="1">
      <c r="E3392" s="49" t="str">
        <f>IFERROR(VLOOKUP(D3392,'taxonomy map'!$A$1:$C$107,2,FALSE),"")</f>
        <v/>
      </c>
      <c r="F3392" s="49" t="str">
        <f>IFERROR(VLOOKUP(E3392,'Condensed Specialty Crosswalk'!$A$2:$C$106,2,FALSE),"")</f>
        <v/>
      </c>
      <c r="G3392" s="49" t="str">
        <f>IFERROR(VLOOKUP(E3392,'Condensed Specialty Crosswalk'!$A$2:$C$106,3,FALSE),"")</f>
        <v/>
      </c>
    </row>
    <row r="3393" spans="5:7" ht="15" customHeight="1">
      <c r="E3393" s="49" t="str">
        <f>IFERROR(VLOOKUP(D3393,'taxonomy map'!$A$1:$C$107,2,FALSE),"")</f>
        <v/>
      </c>
      <c r="F3393" s="49" t="str">
        <f>IFERROR(VLOOKUP(E3393,'Condensed Specialty Crosswalk'!$A$2:$C$106,2,FALSE),"")</f>
        <v/>
      </c>
      <c r="G3393" s="49" t="str">
        <f>IFERROR(VLOOKUP(E3393,'Condensed Specialty Crosswalk'!$A$2:$C$106,3,FALSE),"")</f>
        <v/>
      </c>
    </row>
    <row r="3394" spans="5:7" ht="15" customHeight="1">
      <c r="E3394" s="49" t="str">
        <f>IFERROR(VLOOKUP(D3394,'taxonomy map'!$A$1:$C$107,2,FALSE),"")</f>
        <v/>
      </c>
      <c r="F3394" s="49" t="str">
        <f>IFERROR(VLOOKUP(E3394,'Condensed Specialty Crosswalk'!$A$2:$C$106,2,FALSE),"")</f>
        <v/>
      </c>
      <c r="G3394" s="49" t="str">
        <f>IFERROR(VLOOKUP(E3394,'Condensed Specialty Crosswalk'!$A$2:$C$106,3,FALSE),"")</f>
        <v/>
      </c>
    </row>
    <row r="3395" spans="5:7" ht="15" customHeight="1">
      <c r="E3395" s="49" t="str">
        <f>IFERROR(VLOOKUP(D3395,'taxonomy map'!$A$1:$C$107,2,FALSE),"")</f>
        <v/>
      </c>
      <c r="F3395" s="49" t="str">
        <f>IFERROR(VLOOKUP(E3395,'Condensed Specialty Crosswalk'!$A$2:$C$106,2,FALSE),"")</f>
        <v/>
      </c>
      <c r="G3395" s="49" t="str">
        <f>IFERROR(VLOOKUP(E3395,'Condensed Specialty Crosswalk'!$A$2:$C$106,3,FALSE),"")</f>
        <v/>
      </c>
    </row>
    <row r="3396" spans="5:7" ht="15" customHeight="1">
      <c r="E3396" s="49" t="str">
        <f>IFERROR(VLOOKUP(D3396,'taxonomy map'!$A$1:$C$107,2,FALSE),"")</f>
        <v/>
      </c>
      <c r="F3396" s="49" t="str">
        <f>IFERROR(VLOOKUP(E3396,'Condensed Specialty Crosswalk'!$A$2:$C$106,2,FALSE),"")</f>
        <v/>
      </c>
      <c r="G3396" s="49" t="str">
        <f>IFERROR(VLOOKUP(E3396,'Condensed Specialty Crosswalk'!$A$2:$C$106,3,FALSE),"")</f>
        <v/>
      </c>
    </row>
    <row r="3397" spans="5:7" ht="15" customHeight="1">
      <c r="E3397" s="49" t="str">
        <f>IFERROR(VLOOKUP(D3397,'taxonomy map'!$A$1:$C$107,2,FALSE),"")</f>
        <v/>
      </c>
      <c r="F3397" s="49" t="str">
        <f>IFERROR(VLOOKUP(E3397,'Condensed Specialty Crosswalk'!$A$2:$C$106,2,FALSE),"")</f>
        <v/>
      </c>
      <c r="G3397" s="49" t="str">
        <f>IFERROR(VLOOKUP(E3397,'Condensed Specialty Crosswalk'!$A$2:$C$106,3,FALSE),"")</f>
        <v/>
      </c>
    </row>
    <row r="3398" spans="5:7" ht="15" customHeight="1">
      <c r="E3398" s="49" t="str">
        <f>IFERROR(VLOOKUP(D3398,'taxonomy map'!$A$1:$C$107,2,FALSE),"")</f>
        <v/>
      </c>
      <c r="F3398" s="49" t="str">
        <f>IFERROR(VLOOKUP(E3398,'Condensed Specialty Crosswalk'!$A$2:$C$106,2,FALSE),"")</f>
        <v/>
      </c>
      <c r="G3398" s="49" t="str">
        <f>IFERROR(VLOOKUP(E3398,'Condensed Specialty Crosswalk'!$A$2:$C$106,3,FALSE),"")</f>
        <v/>
      </c>
    </row>
    <row r="3399" spans="5:7" ht="15" customHeight="1">
      <c r="E3399" s="49" t="str">
        <f>IFERROR(VLOOKUP(D3399,'taxonomy map'!$A$1:$C$107,2,FALSE),"")</f>
        <v/>
      </c>
      <c r="F3399" s="49" t="str">
        <f>IFERROR(VLOOKUP(E3399,'Condensed Specialty Crosswalk'!$A$2:$C$106,2,FALSE),"")</f>
        <v/>
      </c>
      <c r="G3399" s="49" t="str">
        <f>IFERROR(VLOOKUP(E3399,'Condensed Specialty Crosswalk'!$A$2:$C$106,3,FALSE),"")</f>
        <v/>
      </c>
    </row>
    <row r="3400" spans="5:7" ht="15" customHeight="1">
      <c r="E3400" s="49" t="str">
        <f>IFERROR(VLOOKUP(D3400,'taxonomy map'!$A$1:$C$107,2,FALSE),"")</f>
        <v/>
      </c>
      <c r="F3400" s="49" t="str">
        <f>IFERROR(VLOOKUP(E3400,'Condensed Specialty Crosswalk'!$A$2:$C$106,2,FALSE),"")</f>
        <v/>
      </c>
      <c r="G3400" s="49" t="str">
        <f>IFERROR(VLOOKUP(E3400,'Condensed Specialty Crosswalk'!$A$2:$C$106,3,FALSE),"")</f>
        <v/>
      </c>
    </row>
    <row r="3401" spans="5:7" ht="15" customHeight="1">
      <c r="E3401" s="49" t="str">
        <f>IFERROR(VLOOKUP(D3401,'taxonomy map'!$A$1:$C$107,2,FALSE),"")</f>
        <v/>
      </c>
      <c r="F3401" s="49" t="str">
        <f>IFERROR(VLOOKUP(E3401,'Condensed Specialty Crosswalk'!$A$2:$C$106,2,FALSE),"")</f>
        <v/>
      </c>
      <c r="G3401" s="49" t="str">
        <f>IFERROR(VLOOKUP(E3401,'Condensed Specialty Crosswalk'!$A$2:$C$106,3,FALSE),"")</f>
        <v/>
      </c>
    </row>
    <row r="3402" spans="5:7" ht="15" customHeight="1">
      <c r="E3402" s="49" t="str">
        <f>IFERROR(VLOOKUP(D3402,'taxonomy map'!$A$1:$C$107,2,FALSE),"")</f>
        <v/>
      </c>
      <c r="F3402" s="49" t="str">
        <f>IFERROR(VLOOKUP(E3402,'Condensed Specialty Crosswalk'!$A$2:$C$106,2,FALSE),"")</f>
        <v/>
      </c>
      <c r="G3402" s="49" t="str">
        <f>IFERROR(VLOOKUP(E3402,'Condensed Specialty Crosswalk'!$A$2:$C$106,3,FALSE),"")</f>
        <v/>
      </c>
    </row>
    <row r="3403" spans="5:7" ht="15" customHeight="1">
      <c r="E3403" s="49" t="str">
        <f>IFERROR(VLOOKUP(D3403,'taxonomy map'!$A$1:$C$107,2,FALSE),"")</f>
        <v/>
      </c>
      <c r="F3403" s="49" t="str">
        <f>IFERROR(VLOOKUP(E3403,'Condensed Specialty Crosswalk'!$A$2:$C$106,2,FALSE),"")</f>
        <v/>
      </c>
      <c r="G3403" s="49" t="str">
        <f>IFERROR(VLOOKUP(E3403,'Condensed Specialty Crosswalk'!$A$2:$C$106,3,FALSE),"")</f>
        <v/>
      </c>
    </row>
    <row r="3404" spans="5:7" ht="15" customHeight="1">
      <c r="E3404" s="49" t="str">
        <f>IFERROR(VLOOKUP(D3404,'taxonomy map'!$A$1:$C$107,2,FALSE),"")</f>
        <v/>
      </c>
      <c r="F3404" s="49" t="str">
        <f>IFERROR(VLOOKUP(E3404,'Condensed Specialty Crosswalk'!$A$2:$C$106,2,FALSE),"")</f>
        <v/>
      </c>
      <c r="G3404" s="49" t="str">
        <f>IFERROR(VLOOKUP(E3404,'Condensed Specialty Crosswalk'!$A$2:$C$106,3,FALSE),"")</f>
        <v/>
      </c>
    </row>
    <row r="3405" spans="5:7" ht="15" customHeight="1">
      <c r="E3405" s="49" t="str">
        <f>IFERROR(VLOOKUP(D3405,'taxonomy map'!$A$1:$C$107,2,FALSE),"")</f>
        <v/>
      </c>
      <c r="F3405" s="49" t="str">
        <f>IFERROR(VLOOKUP(E3405,'Condensed Specialty Crosswalk'!$A$2:$C$106,2,FALSE),"")</f>
        <v/>
      </c>
      <c r="G3405" s="49" t="str">
        <f>IFERROR(VLOOKUP(E3405,'Condensed Specialty Crosswalk'!$A$2:$C$106,3,FALSE),"")</f>
        <v/>
      </c>
    </row>
    <row r="3406" spans="5:7" ht="15" customHeight="1">
      <c r="E3406" s="49" t="str">
        <f>IFERROR(VLOOKUP(D3406,'taxonomy map'!$A$1:$C$107,2,FALSE),"")</f>
        <v/>
      </c>
      <c r="F3406" s="49" t="str">
        <f>IFERROR(VLOOKUP(E3406,'Condensed Specialty Crosswalk'!$A$2:$C$106,2,FALSE),"")</f>
        <v/>
      </c>
      <c r="G3406" s="49" t="str">
        <f>IFERROR(VLOOKUP(E3406,'Condensed Specialty Crosswalk'!$A$2:$C$106,3,FALSE),"")</f>
        <v/>
      </c>
    </row>
    <row r="3407" spans="5:7" ht="15" customHeight="1">
      <c r="E3407" s="49" t="str">
        <f>IFERROR(VLOOKUP(D3407,'taxonomy map'!$A$1:$C$107,2,FALSE),"")</f>
        <v/>
      </c>
      <c r="F3407" s="49" t="str">
        <f>IFERROR(VLOOKUP(E3407,'Condensed Specialty Crosswalk'!$A$2:$C$106,2,FALSE),"")</f>
        <v/>
      </c>
      <c r="G3407" s="49" t="str">
        <f>IFERROR(VLOOKUP(E3407,'Condensed Specialty Crosswalk'!$A$2:$C$106,3,FALSE),"")</f>
        <v/>
      </c>
    </row>
    <row r="3408" spans="5:7" ht="15" customHeight="1">
      <c r="E3408" s="49" t="str">
        <f>IFERROR(VLOOKUP(D3408,'taxonomy map'!$A$1:$C$107,2,FALSE),"")</f>
        <v/>
      </c>
      <c r="F3408" s="49" t="str">
        <f>IFERROR(VLOOKUP(E3408,'Condensed Specialty Crosswalk'!$A$2:$C$106,2,FALSE),"")</f>
        <v/>
      </c>
      <c r="G3408" s="49" t="str">
        <f>IFERROR(VLOOKUP(E3408,'Condensed Specialty Crosswalk'!$A$2:$C$106,3,FALSE),"")</f>
        <v/>
      </c>
    </row>
    <row r="3409" spans="5:7" ht="15" customHeight="1">
      <c r="E3409" s="49" t="str">
        <f>IFERROR(VLOOKUP(D3409,'taxonomy map'!$A$1:$C$107,2,FALSE),"")</f>
        <v/>
      </c>
      <c r="F3409" s="49" t="str">
        <f>IFERROR(VLOOKUP(E3409,'Condensed Specialty Crosswalk'!$A$2:$C$106,2,FALSE),"")</f>
        <v/>
      </c>
      <c r="G3409" s="49" t="str">
        <f>IFERROR(VLOOKUP(E3409,'Condensed Specialty Crosswalk'!$A$2:$C$106,3,FALSE),"")</f>
        <v/>
      </c>
    </row>
    <row r="3410" spans="5:7" ht="15" customHeight="1">
      <c r="E3410" s="49" t="str">
        <f>IFERROR(VLOOKUP(D3410,'taxonomy map'!$A$1:$C$107,2,FALSE),"")</f>
        <v/>
      </c>
      <c r="F3410" s="49" t="str">
        <f>IFERROR(VLOOKUP(E3410,'Condensed Specialty Crosswalk'!$A$2:$C$106,2,FALSE),"")</f>
        <v/>
      </c>
      <c r="G3410" s="49" t="str">
        <f>IFERROR(VLOOKUP(E3410,'Condensed Specialty Crosswalk'!$A$2:$C$106,3,FALSE),"")</f>
        <v/>
      </c>
    </row>
    <row r="3411" spans="5:7" ht="15" customHeight="1">
      <c r="E3411" s="49" t="str">
        <f>IFERROR(VLOOKUP(D3411,'taxonomy map'!$A$1:$C$107,2,FALSE),"")</f>
        <v/>
      </c>
      <c r="F3411" s="49" t="str">
        <f>IFERROR(VLOOKUP(E3411,'Condensed Specialty Crosswalk'!$A$2:$C$106,2,FALSE),"")</f>
        <v/>
      </c>
      <c r="G3411" s="49" t="str">
        <f>IFERROR(VLOOKUP(E3411,'Condensed Specialty Crosswalk'!$A$2:$C$106,3,FALSE),"")</f>
        <v/>
      </c>
    </row>
    <row r="3412" spans="5:7" ht="15" customHeight="1">
      <c r="E3412" s="49" t="str">
        <f>IFERROR(VLOOKUP(D3412,'taxonomy map'!$A$1:$C$107,2,FALSE),"")</f>
        <v/>
      </c>
      <c r="F3412" s="49" t="str">
        <f>IFERROR(VLOOKUP(E3412,'Condensed Specialty Crosswalk'!$A$2:$C$106,2,FALSE),"")</f>
        <v/>
      </c>
      <c r="G3412" s="49" t="str">
        <f>IFERROR(VLOOKUP(E3412,'Condensed Specialty Crosswalk'!$A$2:$C$106,3,FALSE),"")</f>
        <v/>
      </c>
    </row>
    <row r="3413" spans="5:7" ht="15" customHeight="1">
      <c r="E3413" s="49" t="str">
        <f>IFERROR(VLOOKUP(D3413,'taxonomy map'!$A$1:$C$107,2,FALSE),"")</f>
        <v/>
      </c>
      <c r="F3413" s="49" t="str">
        <f>IFERROR(VLOOKUP(E3413,'Condensed Specialty Crosswalk'!$A$2:$C$106,2,FALSE),"")</f>
        <v/>
      </c>
      <c r="G3413" s="49" t="str">
        <f>IFERROR(VLOOKUP(E3413,'Condensed Specialty Crosswalk'!$A$2:$C$106,3,FALSE),"")</f>
        <v/>
      </c>
    </row>
    <row r="3414" spans="5:7" ht="15" customHeight="1">
      <c r="E3414" s="49" t="str">
        <f>IFERROR(VLOOKUP(D3414,'taxonomy map'!$A$1:$C$107,2,FALSE),"")</f>
        <v/>
      </c>
      <c r="F3414" s="49" t="str">
        <f>IFERROR(VLOOKUP(E3414,'Condensed Specialty Crosswalk'!$A$2:$C$106,2,FALSE),"")</f>
        <v/>
      </c>
      <c r="G3414" s="49" t="str">
        <f>IFERROR(VLOOKUP(E3414,'Condensed Specialty Crosswalk'!$A$2:$C$106,3,FALSE),"")</f>
        <v/>
      </c>
    </row>
    <row r="3415" spans="5:7" ht="15" customHeight="1">
      <c r="E3415" s="49" t="str">
        <f>IFERROR(VLOOKUP(D3415,'taxonomy map'!$A$1:$C$107,2,FALSE),"")</f>
        <v/>
      </c>
      <c r="F3415" s="49" t="str">
        <f>IFERROR(VLOOKUP(E3415,'Condensed Specialty Crosswalk'!$A$2:$C$106,2,FALSE),"")</f>
        <v/>
      </c>
      <c r="G3415" s="49" t="str">
        <f>IFERROR(VLOOKUP(E3415,'Condensed Specialty Crosswalk'!$A$2:$C$106,3,FALSE),"")</f>
        <v/>
      </c>
    </row>
    <row r="3416" spans="5:7" ht="15" customHeight="1">
      <c r="E3416" s="49" t="str">
        <f>IFERROR(VLOOKUP(D3416,'taxonomy map'!$A$1:$C$107,2,FALSE),"")</f>
        <v/>
      </c>
      <c r="F3416" s="49" t="str">
        <f>IFERROR(VLOOKUP(E3416,'Condensed Specialty Crosswalk'!$A$2:$C$106,2,FALSE),"")</f>
        <v/>
      </c>
      <c r="G3416" s="49" t="str">
        <f>IFERROR(VLOOKUP(E3416,'Condensed Specialty Crosswalk'!$A$2:$C$106,3,FALSE),"")</f>
        <v/>
      </c>
    </row>
    <row r="3417" spans="5:7" ht="15" customHeight="1">
      <c r="E3417" s="49" t="str">
        <f>IFERROR(VLOOKUP(D3417,'taxonomy map'!$A$1:$C$107,2,FALSE),"")</f>
        <v/>
      </c>
      <c r="F3417" s="49" t="str">
        <f>IFERROR(VLOOKUP(E3417,'Condensed Specialty Crosswalk'!$A$2:$C$106,2,FALSE),"")</f>
        <v/>
      </c>
      <c r="G3417" s="49" t="str">
        <f>IFERROR(VLOOKUP(E3417,'Condensed Specialty Crosswalk'!$A$2:$C$106,3,FALSE),"")</f>
        <v/>
      </c>
    </row>
    <row r="3418" spans="5:7" ht="15" customHeight="1">
      <c r="E3418" s="49" t="str">
        <f>IFERROR(VLOOKUP(D3418,'taxonomy map'!$A$1:$C$107,2,FALSE),"")</f>
        <v/>
      </c>
      <c r="F3418" s="49" t="str">
        <f>IFERROR(VLOOKUP(E3418,'Condensed Specialty Crosswalk'!$A$2:$C$106,2,FALSE),"")</f>
        <v/>
      </c>
      <c r="G3418" s="49" t="str">
        <f>IFERROR(VLOOKUP(E3418,'Condensed Specialty Crosswalk'!$A$2:$C$106,3,FALSE),"")</f>
        <v/>
      </c>
    </row>
    <row r="3419" spans="5:7" ht="15" customHeight="1">
      <c r="E3419" s="49" t="str">
        <f>IFERROR(VLOOKUP(D3419,'taxonomy map'!$A$1:$C$107,2,FALSE),"")</f>
        <v/>
      </c>
      <c r="F3419" s="49" t="str">
        <f>IFERROR(VLOOKUP(E3419,'Condensed Specialty Crosswalk'!$A$2:$C$106,2,FALSE),"")</f>
        <v/>
      </c>
      <c r="G3419" s="49" t="str">
        <f>IFERROR(VLOOKUP(E3419,'Condensed Specialty Crosswalk'!$A$2:$C$106,3,FALSE),"")</f>
        <v/>
      </c>
    </row>
    <row r="3420" spans="5:7" ht="15" customHeight="1">
      <c r="E3420" s="49" t="str">
        <f>IFERROR(VLOOKUP(D3420,'taxonomy map'!$A$1:$C$107,2,FALSE),"")</f>
        <v/>
      </c>
      <c r="F3420" s="49" t="str">
        <f>IFERROR(VLOOKUP(E3420,'Condensed Specialty Crosswalk'!$A$2:$C$106,2,FALSE),"")</f>
        <v/>
      </c>
      <c r="G3420" s="49" t="str">
        <f>IFERROR(VLOOKUP(E3420,'Condensed Specialty Crosswalk'!$A$2:$C$106,3,FALSE),"")</f>
        <v/>
      </c>
    </row>
    <row r="3421" spans="5:7" ht="15" customHeight="1">
      <c r="E3421" s="49" t="str">
        <f>IFERROR(VLOOKUP(D3421,'taxonomy map'!$A$1:$C$107,2,FALSE),"")</f>
        <v/>
      </c>
      <c r="F3421" s="49" t="str">
        <f>IFERROR(VLOOKUP(E3421,'Condensed Specialty Crosswalk'!$A$2:$C$106,2,FALSE),"")</f>
        <v/>
      </c>
      <c r="G3421" s="49" t="str">
        <f>IFERROR(VLOOKUP(E3421,'Condensed Specialty Crosswalk'!$A$2:$C$106,3,FALSE),"")</f>
        <v/>
      </c>
    </row>
    <row r="3422" spans="5:7" ht="15" customHeight="1">
      <c r="E3422" s="49" t="str">
        <f>IFERROR(VLOOKUP(D3422,'taxonomy map'!$A$1:$C$107,2,FALSE),"")</f>
        <v/>
      </c>
      <c r="F3422" s="49" t="str">
        <f>IFERROR(VLOOKUP(E3422,'Condensed Specialty Crosswalk'!$A$2:$C$106,2,FALSE),"")</f>
        <v/>
      </c>
      <c r="G3422" s="49" t="str">
        <f>IFERROR(VLOOKUP(E3422,'Condensed Specialty Crosswalk'!$A$2:$C$106,3,FALSE),"")</f>
        <v/>
      </c>
    </row>
    <row r="3423" spans="5:7" ht="15" customHeight="1">
      <c r="E3423" s="49" t="str">
        <f>IFERROR(VLOOKUP(D3423,'taxonomy map'!$A$1:$C$107,2,FALSE),"")</f>
        <v/>
      </c>
      <c r="F3423" s="49" t="str">
        <f>IFERROR(VLOOKUP(E3423,'Condensed Specialty Crosswalk'!$A$2:$C$106,2,FALSE),"")</f>
        <v/>
      </c>
      <c r="G3423" s="49" t="str">
        <f>IFERROR(VLOOKUP(E3423,'Condensed Specialty Crosswalk'!$A$2:$C$106,3,FALSE),"")</f>
        <v/>
      </c>
    </row>
    <row r="3424" spans="5:7" ht="15" customHeight="1">
      <c r="E3424" s="49" t="str">
        <f>IFERROR(VLOOKUP(D3424,'taxonomy map'!$A$1:$C$107,2,FALSE),"")</f>
        <v/>
      </c>
      <c r="F3424" s="49" t="str">
        <f>IFERROR(VLOOKUP(E3424,'Condensed Specialty Crosswalk'!$A$2:$C$106,2,FALSE),"")</f>
        <v/>
      </c>
      <c r="G3424" s="49" t="str">
        <f>IFERROR(VLOOKUP(E3424,'Condensed Specialty Crosswalk'!$A$2:$C$106,3,FALSE),"")</f>
        <v/>
      </c>
    </row>
    <row r="3425" spans="5:7" ht="15" customHeight="1">
      <c r="E3425" s="49" t="str">
        <f>IFERROR(VLOOKUP(D3425,'taxonomy map'!$A$1:$C$107,2,FALSE),"")</f>
        <v/>
      </c>
      <c r="F3425" s="49" t="str">
        <f>IFERROR(VLOOKUP(E3425,'Condensed Specialty Crosswalk'!$A$2:$C$106,2,FALSE),"")</f>
        <v/>
      </c>
      <c r="G3425" s="49" t="str">
        <f>IFERROR(VLOOKUP(E3425,'Condensed Specialty Crosswalk'!$A$2:$C$106,3,FALSE),"")</f>
        <v/>
      </c>
    </row>
    <row r="3426" spans="5:7" ht="15" customHeight="1">
      <c r="E3426" s="49" t="str">
        <f>IFERROR(VLOOKUP(D3426,'taxonomy map'!$A$1:$C$107,2,FALSE),"")</f>
        <v/>
      </c>
      <c r="F3426" s="49" t="str">
        <f>IFERROR(VLOOKUP(E3426,'Condensed Specialty Crosswalk'!$A$2:$C$106,2,FALSE),"")</f>
        <v/>
      </c>
      <c r="G3426" s="49" t="str">
        <f>IFERROR(VLOOKUP(E3426,'Condensed Specialty Crosswalk'!$A$2:$C$106,3,FALSE),"")</f>
        <v/>
      </c>
    </row>
    <row r="3427" spans="5:7" ht="15" customHeight="1">
      <c r="E3427" s="49" t="str">
        <f>IFERROR(VLOOKUP(D3427,'taxonomy map'!$A$1:$C$107,2,FALSE),"")</f>
        <v/>
      </c>
      <c r="F3427" s="49" t="str">
        <f>IFERROR(VLOOKUP(E3427,'Condensed Specialty Crosswalk'!$A$2:$C$106,2,FALSE),"")</f>
        <v/>
      </c>
      <c r="G3427" s="49" t="str">
        <f>IFERROR(VLOOKUP(E3427,'Condensed Specialty Crosswalk'!$A$2:$C$106,3,FALSE),"")</f>
        <v/>
      </c>
    </row>
    <row r="3428" spans="5:7" ht="15" customHeight="1">
      <c r="E3428" s="49" t="str">
        <f>IFERROR(VLOOKUP(D3428,'taxonomy map'!$A$1:$C$107,2,FALSE),"")</f>
        <v/>
      </c>
      <c r="F3428" s="49" t="str">
        <f>IFERROR(VLOOKUP(E3428,'Condensed Specialty Crosswalk'!$A$2:$C$106,2,FALSE),"")</f>
        <v/>
      </c>
      <c r="G3428" s="49" t="str">
        <f>IFERROR(VLOOKUP(E3428,'Condensed Specialty Crosswalk'!$A$2:$C$106,3,FALSE),"")</f>
        <v/>
      </c>
    </row>
    <row r="3429" spans="5:7" ht="15" customHeight="1">
      <c r="E3429" s="49" t="str">
        <f>IFERROR(VLOOKUP(D3429,'taxonomy map'!$A$1:$C$107,2,FALSE),"")</f>
        <v/>
      </c>
      <c r="F3429" s="49" t="str">
        <f>IFERROR(VLOOKUP(E3429,'Condensed Specialty Crosswalk'!$A$2:$C$106,2,FALSE),"")</f>
        <v/>
      </c>
      <c r="G3429" s="49" t="str">
        <f>IFERROR(VLOOKUP(E3429,'Condensed Specialty Crosswalk'!$A$2:$C$106,3,FALSE),"")</f>
        <v/>
      </c>
    </row>
    <row r="3430" spans="5:7" ht="15" customHeight="1">
      <c r="E3430" s="49" t="str">
        <f>IFERROR(VLOOKUP(D3430,'taxonomy map'!$A$1:$C$107,2,FALSE),"")</f>
        <v/>
      </c>
      <c r="F3430" s="49" t="str">
        <f>IFERROR(VLOOKUP(E3430,'Condensed Specialty Crosswalk'!$A$2:$C$106,2,FALSE),"")</f>
        <v/>
      </c>
      <c r="G3430" s="49" t="str">
        <f>IFERROR(VLOOKUP(E3430,'Condensed Specialty Crosswalk'!$A$2:$C$106,3,FALSE),"")</f>
        <v/>
      </c>
    </row>
    <row r="3431" spans="5:7" ht="15" customHeight="1">
      <c r="E3431" s="49" t="str">
        <f>IFERROR(VLOOKUP(D3431,'taxonomy map'!$A$1:$C$107,2,FALSE),"")</f>
        <v/>
      </c>
      <c r="F3431" s="49" t="str">
        <f>IFERROR(VLOOKUP(E3431,'Condensed Specialty Crosswalk'!$A$2:$C$106,2,FALSE),"")</f>
        <v/>
      </c>
      <c r="G3431" s="49" t="str">
        <f>IFERROR(VLOOKUP(E3431,'Condensed Specialty Crosswalk'!$A$2:$C$106,3,FALSE),"")</f>
        <v/>
      </c>
    </row>
    <row r="3432" spans="5:7" ht="15" customHeight="1">
      <c r="E3432" s="49" t="str">
        <f>IFERROR(VLOOKUP(D3432,'taxonomy map'!$A$1:$C$107,2,FALSE),"")</f>
        <v/>
      </c>
      <c r="F3432" s="49" t="str">
        <f>IFERROR(VLOOKUP(E3432,'Condensed Specialty Crosswalk'!$A$2:$C$106,2,FALSE),"")</f>
        <v/>
      </c>
      <c r="G3432" s="49" t="str">
        <f>IFERROR(VLOOKUP(E3432,'Condensed Specialty Crosswalk'!$A$2:$C$106,3,FALSE),"")</f>
        <v/>
      </c>
    </row>
    <row r="3433" spans="5:7" ht="15" customHeight="1">
      <c r="E3433" s="49" t="str">
        <f>IFERROR(VLOOKUP(D3433,'taxonomy map'!$A$1:$C$107,2,FALSE),"")</f>
        <v/>
      </c>
      <c r="F3433" s="49" t="str">
        <f>IFERROR(VLOOKUP(E3433,'Condensed Specialty Crosswalk'!$A$2:$C$106,2,FALSE),"")</f>
        <v/>
      </c>
      <c r="G3433" s="49" t="str">
        <f>IFERROR(VLOOKUP(E3433,'Condensed Specialty Crosswalk'!$A$2:$C$106,3,FALSE),"")</f>
        <v/>
      </c>
    </row>
    <row r="3434" spans="5:7" ht="15" customHeight="1">
      <c r="E3434" s="49" t="str">
        <f>IFERROR(VLOOKUP(D3434,'taxonomy map'!$A$1:$C$107,2,FALSE),"")</f>
        <v/>
      </c>
      <c r="F3434" s="49" t="str">
        <f>IFERROR(VLOOKUP(E3434,'Condensed Specialty Crosswalk'!$A$2:$C$106,2,FALSE),"")</f>
        <v/>
      </c>
      <c r="G3434" s="49" t="str">
        <f>IFERROR(VLOOKUP(E3434,'Condensed Specialty Crosswalk'!$A$2:$C$106,3,FALSE),"")</f>
        <v/>
      </c>
    </row>
    <row r="3435" spans="5:7" ht="15" customHeight="1">
      <c r="E3435" s="49" t="str">
        <f>IFERROR(VLOOKUP(D3435,'taxonomy map'!$A$1:$C$107,2,FALSE),"")</f>
        <v/>
      </c>
      <c r="F3435" s="49" t="str">
        <f>IFERROR(VLOOKUP(E3435,'Condensed Specialty Crosswalk'!$A$2:$C$106,2,FALSE),"")</f>
        <v/>
      </c>
      <c r="G3435" s="49" t="str">
        <f>IFERROR(VLOOKUP(E3435,'Condensed Specialty Crosswalk'!$A$2:$C$106,3,FALSE),"")</f>
        <v/>
      </c>
    </row>
    <row r="3436" spans="5:7" ht="15" customHeight="1">
      <c r="E3436" s="49" t="str">
        <f>IFERROR(VLOOKUP(D3436,'taxonomy map'!$A$1:$C$107,2,FALSE),"")</f>
        <v/>
      </c>
      <c r="F3436" s="49" t="str">
        <f>IFERROR(VLOOKUP(E3436,'Condensed Specialty Crosswalk'!$A$2:$C$106,2,FALSE),"")</f>
        <v/>
      </c>
      <c r="G3436" s="49" t="str">
        <f>IFERROR(VLOOKUP(E3436,'Condensed Specialty Crosswalk'!$A$2:$C$106,3,FALSE),"")</f>
        <v/>
      </c>
    </row>
    <row r="3437" spans="5:7" ht="15" customHeight="1">
      <c r="E3437" s="49" t="str">
        <f>IFERROR(VLOOKUP(D3437,'taxonomy map'!$A$1:$C$107,2,FALSE),"")</f>
        <v/>
      </c>
      <c r="F3437" s="49" t="str">
        <f>IFERROR(VLOOKUP(E3437,'Condensed Specialty Crosswalk'!$A$2:$C$106,2,FALSE),"")</f>
        <v/>
      </c>
      <c r="G3437" s="49" t="str">
        <f>IFERROR(VLOOKUP(E3437,'Condensed Specialty Crosswalk'!$A$2:$C$106,3,FALSE),"")</f>
        <v/>
      </c>
    </row>
    <row r="3438" spans="5:7" ht="15" customHeight="1">
      <c r="E3438" s="49" t="str">
        <f>IFERROR(VLOOKUP(D3438,'taxonomy map'!$A$1:$C$107,2,FALSE),"")</f>
        <v/>
      </c>
      <c r="F3438" s="49" t="str">
        <f>IFERROR(VLOOKUP(E3438,'Condensed Specialty Crosswalk'!$A$2:$C$106,2,FALSE),"")</f>
        <v/>
      </c>
      <c r="G3438" s="49" t="str">
        <f>IFERROR(VLOOKUP(E3438,'Condensed Specialty Crosswalk'!$A$2:$C$106,3,FALSE),"")</f>
        <v/>
      </c>
    </row>
    <row r="3439" spans="5:7" ht="15" customHeight="1">
      <c r="E3439" s="49" t="str">
        <f>IFERROR(VLOOKUP(D3439,'taxonomy map'!$A$1:$C$107,2,FALSE),"")</f>
        <v/>
      </c>
      <c r="F3439" s="49" t="str">
        <f>IFERROR(VLOOKUP(E3439,'Condensed Specialty Crosswalk'!$A$2:$C$106,2,FALSE),"")</f>
        <v/>
      </c>
      <c r="G3439" s="49" t="str">
        <f>IFERROR(VLOOKUP(E3439,'Condensed Specialty Crosswalk'!$A$2:$C$106,3,FALSE),"")</f>
        <v/>
      </c>
    </row>
    <row r="3440" spans="5:7" ht="15" customHeight="1">
      <c r="E3440" s="49" t="str">
        <f>IFERROR(VLOOKUP(D3440,'taxonomy map'!$A$1:$C$107,2,FALSE),"")</f>
        <v/>
      </c>
      <c r="F3440" s="49" t="str">
        <f>IFERROR(VLOOKUP(E3440,'Condensed Specialty Crosswalk'!$A$2:$C$106,2,FALSE),"")</f>
        <v/>
      </c>
      <c r="G3440" s="49" t="str">
        <f>IFERROR(VLOOKUP(E3440,'Condensed Specialty Crosswalk'!$A$2:$C$106,3,FALSE),"")</f>
        <v/>
      </c>
    </row>
    <row r="3441" spans="5:7" ht="15" customHeight="1">
      <c r="E3441" s="49" t="str">
        <f>IFERROR(VLOOKUP(D3441,'taxonomy map'!$A$1:$C$107,2,FALSE),"")</f>
        <v/>
      </c>
      <c r="F3441" s="49" t="str">
        <f>IFERROR(VLOOKUP(E3441,'Condensed Specialty Crosswalk'!$A$2:$C$106,2,FALSE),"")</f>
        <v/>
      </c>
      <c r="G3441" s="49" t="str">
        <f>IFERROR(VLOOKUP(E3441,'Condensed Specialty Crosswalk'!$A$2:$C$106,3,FALSE),"")</f>
        <v/>
      </c>
    </row>
    <row r="3442" spans="5:7" ht="15" customHeight="1">
      <c r="E3442" s="49" t="str">
        <f>IFERROR(VLOOKUP(D3442,'taxonomy map'!$A$1:$C$107,2,FALSE),"")</f>
        <v/>
      </c>
      <c r="F3442" s="49" t="str">
        <f>IFERROR(VLOOKUP(E3442,'Condensed Specialty Crosswalk'!$A$2:$C$106,2,FALSE),"")</f>
        <v/>
      </c>
      <c r="G3442" s="49" t="str">
        <f>IFERROR(VLOOKUP(E3442,'Condensed Specialty Crosswalk'!$A$2:$C$106,3,FALSE),"")</f>
        <v/>
      </c>
    </row>
    <row r="3443" spans="5:7" ht="15" customHeight="1">
      <c r="E3443" s="49" t="str">
        <f>IFERROR(VLOOKUP(D3443,'taxonomy map'!$A$1:$C$107,2,FALSE),"")</f>
        <v/>
      </c>
      <c r="F3443" s="49" t="str">
        <f>IFERROR(VLOOKUP(E3443,'Condensed Specialty Crosswalk'!$A$2:$C$106,2,FALSE),"")</f>
        <v/>
      </c>
      <c r="G3443" s="49" t="str">
        <f>IFERROR(VLOOKUP(E3443,'Condensed Specialty Crosswalk'!$A$2:$C$106,3,FALSE),"")</f>
        <v/>
      </c>
    </row>
    <row r="3444" spans="5:7" ht="15" customHeight="1">
      <c r="E3444" s="49" t="str">
        <f>IFERROR(VLOOKUP(D3444,'taxonomy map'!$A$1:$C$107,2,FALSE),"")</f>
        <v/>
      </c>
      <c r="F3444" s="49" t="str">
        <f>IFERROR(VLOOKUP(E3444,'Condensed Specialty Crosswalk'!$A$2:$C$106,2,FALSE),"")</f>
        <v/>
      </c>
      <c r="G3444" s="49" t="str">
        <f>IFERROR(VLOOKUP(E3444,'Condensed Specialty Crosswalk'!$A$2:$C$106,3,FALSE),"")</f>
        <v/>
      </c>
    </row>
    <row r="3445" spans="5:7" ht="15" customHeight="1">
      <c r="E3445" s="49" t="str">
        <f>IFERROR(VLOOKUP(D3445,'taxonomy map'!$A$1:$C$107,2,FALSE),"")</f>
        <v/>
      </c>
      <c r="F3445" s="49" t="str">
        <f>IFERROR(VLOOKUP(E3445,'Condensed Specialty Crosswalk'!$A$2:$C$106,2,FALSE),"")</f>
        <v/>
      </c>
      <c r="G3445" s="49" t="str">
        <f>IFERROR(VLOOKUP(E3445,'Condensed Specialty Crosswalk'!$A$2:$C$106,3,FALSE),"")</f>
        <v/>
      </c>
    </row>
    <row r="3446" spans="5:7" ht="15" customHeight="1">
      <c r="E3446" s="49" t="str">
        <f>IFERROR(VLOOKUP(D3446,'taxonomy map'!$A$1:$C$107,2,FALSE),"")</f>
        <v/>
      </c>
      <c r="F3446" s="49" t="str">
        <f>IFERROR(VLOOKUP(E3446,'Condensed Specialty Crosswalk'!$A$2:$C$106,2,FALSE),"")</f>
        <v/>
      </c>
      <c r="G3446" s="49" t="str">
        <f>IFERROR(VLOOKUP(E3446,'Condensed Specialty Crosswalk'!$A$2:$C$106,3,FALSE),"")</f>
        <v/>
      </c>
    </row>
    <row r="3447" spans="5:7" ht="15" customHeight="1">
      <c r="E3447" s="49" t="str">
        <f>IFERROR(VLOOKUP(D3447,'taxonomy map'!$A$1:$C$107,2,FALSE),"")</f>
        <v/>
      </c>
      <c r="F3447" s="49" t="str">
        <f>IFERROR(VLOOKUP(E3447,'Condensed Specialty Crosswalk'!$A$2:$C$106,2,FALSE),"")</f>
        <v/>
      </c>
      <c r="G3447" s="49" t="str">
        <f>IFERROR(VLOOKUP(E3447,'Condensed Specialty Crosswalk'!$A$2:$C$106,3,FALSE),"")</f>
        <v/>
      </c>
    </row>
    <row r="3448" spans="5:7" ht="15" customHeight="1">
      <c r="E3448" s="49" t="str">
        <f>IFERROR(VLOOKUP(D3448,'taxonomy map'!$A$1:$C$107,2,FALSE),"")</f>
        <v/>
      </c>
      <c r="F3448" s="49" t="str">
        <f>IFERROR(VLOOKUP(E3448,'Condensed Specialty Crosswalk'!$A$2:$C$106,2,FALSE),"")</f>
        <v/>
      </c>
      <c r="G3448" s="49" t="str">
        <f>IFERROR(VLOOKUP(E3448,'Condensed Specialty Crosswalk'!$A$2:$C$106,3,FALSE),"")</f>
        <v/>
      </c>
    </row>
    <row r="3449" spans="5:7" ht="15" customHeight="1">
      <c r="E3449" s="49" t="str">
        <f>IFERROR(VLOOKUP(D3449,'taxonomy map'!$A$1:$C$107,2,FALSE),"")</f>
        <v/>
      </c>
      <c r="F3449" s="49" t="str">
        <f>IFERROR(VLOOKUP(E3449,'Condensed Specialty Crosswalk'!$A$2:$C$106,2,FALSE),"")</f>
        <v/>
      </c>
      <c r="G3449" s="49" t="str">
        <f>IFERROR(VLOOKUP(E3449,'Condensed Specialty Crosswalk'!$A$2:$C$106,3,FALSE),"")</f>
        <v/>
      </c>
    </row>
    <row r="3450" spans="5:7" ht="15" customHeight="1">
      <c r="E3450" s="49" t="str">
        <f>IFERROR(VLOOKUP(D3450,'taxonomy map'!$A$1:$C$107,2,FALSE),"")</f>
        <v/>
      </c>
      <c r="F3450" s="49" t="str">
        <f>IFERROR(VLOOKUP(E3450,'Condensed Specialty Crosswalk'!$A$2:$C$106,2,FALSE),"")</f>
        <v/>
      </c>
      <c r="G3450" s="49" t="str">
        <f>IFERROR(VLOOKUP(E3450,'Condensed Specialty Crosswalk'!$A$2:$C$106,3,FALSE),"")</f>
        <v/>
      </c>
    </row>
    <row r="3451" spans="5:7" ht="15" customHeight="1">
      <c r="E3451" s="49" t="str">
        <f>IFERROR(VLOOKUP(D3451,'taxonomy map'!$A$1:$C$107,2,FALSE),"")</f>
        <v/>
      </c>
      <c r="F3451" s="49" t="str">
        <f>IFERROR(VLOOKUP(E3451,'Condensed Specialty Crosswalk'!$A$2:$C$106,2,FALSE),"")</f>
        <v/>
      </c>
      <c r="G3451" s="49" t="str">
        <f>IFERROR(VLOOKUP(E3451,'Condensed Specialty Crosswalk'!$A$2:$C$106,3,FALSE),"")</f>
        <v/>
      </c>
    </row>
    <row r="3452" spans="5:7" ht="15" customHeight="1">
      <c r="E3452" s="49" t="str">
        <f>IFERROR(VLOOKUP(D3452,'taxonomy map'!$A$1:$C$107,2,FALSE),"")</f>
        <v/>
      </c>
      <c r="F3452" s="49" t="str">
        <f>IFERROR(VLOOKUP(E3452,'Condensed Specialty Crosswalk'!$A$2:$C$106,2,FALSE),"")</f>
        <v/>
      </c>
      <c r="G3452" s="49" t="str">
        <f>IFERROR(VLOOKUP(E3452,'Condensed Specialty Crosswalk'!$A$2:$C$106,3,FALSE),"")</f>
        <v/>
      </c>
    </row>
    <row r="3453" spans="5:7" ht="15" customHeight="1">
      <c r="E3453" s="49" t="str">
        <f>IFERROR(VLOOKUP(D3453,'taxonomy map'!$A$1:$C$107,2,FALSE),"")</f>
        <v/>
      </c>
      <c r="F3453" s="49" t="str">
        <f>IFERROR(VLOOKUP(E3453,'Condensed Specialty Crosswalk'!$A$2:$C$106,2,FALSE),"")</f>
        <v/>
      </c>
      <c r="G3453" s="49" t="str">
        <f>IFERROR(VLOOKUP(E3453,'Condensed Specialty Crosswalk'!$A$2:$C$106,3,FALSE),"")</f>
        <v/>
      </c>
    </row>
    <row r="3454" spans="5:7" ht="15" customHeight="1">
      <c r="E3454" s="49" t="str">
        <f>IFERROR(VLOOKUP(D3454,'taxonomy map'!$A$1:$C$107,2,FALSE),"")</f>
        <v/>
      </c>
      <c r="F3454" s="49" t="str">
        <f>IFERROR(VLOOKUP(E3454,'Condensed Specialty Crosswalk'!$A$2:$C$106,2,FALSE),"")</f>
        <v/>
      </c>
      <c r="G3454" s="49" t="str">
        <f>IFERROR(VLOOKUP(E3454,'Condensed Specialty Crosswalk'!$A$2:$C$106,3,FALSE),"")</f>
        <v/>
      </c>
    </row>
    <row r="3455" spans="5:7" ht="15" customHeight="1">
      <c r="E3455" s="49" t="str">
        <f>IFERROR(VLOOKUP(D3455,'taxonomy map'!$A$1:$C$107,2,FALSE),"")</f>
        <v/>
      </c>
      <c r="F3455" s="49" t="str">
        <f>IFERROR(VLOOKUP(E3455,'Condensed Specialty Crosswalk'!$A$2:$C$106,2,FALSE),"")</f>
        <v/>
      </c>
      <c r="G3455" s="49" t="str">
        <f>IFERROR(VLOOKUP(E3455,'Condensed Specialty Crosswalk'!$A$2:$C$106,3,FALSE),"")</f>
        <v/>
      </c>
    </row>
    <row r="3456" spans="5:7" ht="15" customHeight="1">
      <c r="E3456" s="49" t="str">
        <f>IFERROR(VLOOKUP(D3456,'taxonomy map'!$A$1:$C$107,2,FALSE),"")</f>
        <v/>
      </c>
      <c r="F3456" s="49" t="str">
        <f>IFERROR(VLOOKUP(E3456,'Condensed Specialty Crosswalk'!$A$2:$C$106,2,FALSE),"")</f>
        <v/>
      </c>
      <c r="G3456" s="49" t="str">
        <f>IFERROR(VLOOKUP(E3456,'Condensed Specialty Crosswalk'!$A$2:$C$106,3,FALSE),"")</f>
        <v/>
      </c>
    </row>
    <row r="3457" spans="5:7" ht="15" customHeight="1">
      <c r="E3457" s="49" t="str">
        <f>IFERROR(VLOOKUP(D3457,'taxonomy map'!$A$1:$C$107,2,FALSE),"")</f>
        <v/>
      </c>
      <c r="F3457" s="49" t="str">
        <f>IFERROR(VLOOKUP(E3457,'Condensed Specialty Crosswalk'!$A$2:$C$106,2,FALSE),"")</f>
        <v/>
      </c>
      <c r="G3457" s="49" t="str">
        <f>IFERROR(VLOOKUP(E3457,'Condensed Specialty Crosswalk'!$A$2:$C$106,3,FALSE),"")</f>
        <v/>
      </c>
    </row>
    <row r="3458" spans="5:7" ht="15" customHeight="1">
      <c r="E3458" s="49" t="str">
        <f>IFERROR(VLOOKUP(D3458,'taxonomy map'!$A$1:$C$107,2,FALSE),"")</f>
        <v/>
      </c>
      <c r="F3458" s="49" t="str">
        <f>IFERROR(VLOOKUP(E3458,'Condensed Specialty Crosswalk'!$A$2:$C$106,2,FALSE),"")</f>
        <v/>
      </c>
      <c r="G3458" s="49" t="str">
        <f>IFERROR(VLOOKUP(E3458,'Condensed Specialty Crosswalk'!$A$2:$C$106,3,FALSE),"")</f>
        <v/>
      </c>
    </row>
    <row r="3459" spans="5:7" ht="15" customHeight="1">
      <c r="E3459" s="49" t="str">
        <f>IFERROR(VLOOKUP(D3459,'taxonomy map'!$A$1:$C$107,2,FALSE),"")</f>
        <v/>
      </c>
      <c r="F3459" s="49" t="str">
        <f>IFERROR(VLOOKUP(E3459,'Condensed Specialty Crosswalk'!$A$2:$C$106,2,FALSE),"")</f>
        <v/>
      </c>
      <c r="G3459" s="49" t="str">
        <f>IFERROR(VLOOKUP(E3459,'Condensed Specialty Crosswalk'!$A$2:$C$106,3,FALSE),"")</f>
        <v/>
      </c>
    </row>
    <row r="3460" spans="5:7" ht="15" customHeight="1">
      <c r="E3460" s="49" t="str">
        <f>IFERROR(VLOOKUP(D3460,'taxonomy map'!$A$1:$C$107,2,FALSE),"")</f>
        <v/>
      </c>
      <c r="F3460" s="49" t="str">
        <f>IFERROR(VLOOKUP(E3460,'Condensed Specialty Crosswalk'!$A$2:$C$106,2,FALSE),"")</f>
        <v/>
      </c>
      <c r="G3460" s="49" t="str">
        <f>IFERROR(VLOOKUP(E3460,'Condensed Specialty Crosswalk'!$A$2:$C$106,3,FALSE),"")</f>
        <v/>
      </c>
    </row>
    <row r="3461" spans="5:7" ht="15" customHeight="1">
      <c r="E3461" s="49" t="str">
        <f>IFERROR(VLOOKUP(D3461,'taxonomy map'!$A$1:$C$107,2,FALSE),"")</f>
        <v/>
      </c>
      <c r="F3461" s="49" t="str">
        <f>IFERROR(VLOOKUP(E3461,'Condensed Specialty Crosswalk'!$A$2:$C$106,2,FALSE),"")</f>
        <v/>
      </c>
      <c r="G3461" s="49" t="str">
        <f>IFERROR(VLOOKUP(E3461,'Condensed Specialty Crosswalk'!$A$2:$C$106,3,FALSE),"")</f>
        <v/>
      </c>
    </row>
    <row r="3462" spans="5:7" ht="15" customHeight="1">
      <c r="E3462" s="49" t="str">
        <f>IFERROR(VLOOKUP(D3462,'taxonomy map'!$A$1:$C$107,2,FALSE),"")</f>
        <v/>
      </c>
      <c r="F3462" s="49" t="str">
        <f>IFERROR(VLOOKUP(E3462,'Condensed Specialty Crosswalk'!$A$2:$C$106,2,FALSE),"")</f>
        <v/>
      </c>
      <c r="G3462" s="49" t="str">
        <f>IFERROR(VLOOKUP(E3462,'Condensed Specialty Crosswalk'!$A$2:$C$106,3,FALSE),"")</f>
        <v/>
      </c>
    </row>
    <row r="3463" spans="5:7" ht="15" customHeight="1">
      <c r="E3463" s="49" t="str">
        <f>IFERROR(VLOOKUP(D3463,'taxonomy map'!$A$1:$C$107,2,FALSE),"")</f>
        <v/>
      </c>
      <c r="F3463" s="49" t="str">
        <f>IFERROR(VLOOKUP(E3463,'Condensed Specialty Crosswalk'!$A$2:$C$106,2,FALSE),"")</f>
        <v/>
      </c>
      <c r="G3463" s="49" t="str">
        <f>IFERROR(VLOOKUP(E3463,'Condensed Specialty Crosswalk'!$A$2:$C$106,3,FALSE),"")</f>
        <v/>
      </c>
    </row>
    <row r="3464" spans="5:7" ht="15" customHeight="1">
      <c r="E3464" s="49" t="str">
        <f>IFERROR(VLOOKUP(D3464,'taxonomy map'!$A$1:$C$107,2,FALSE),"")</f>
        <v/>
      </c>
      <c r="F3464" s="49" t="str">
        <f>IFERROR(VLOOKUP(E3464,'Condensed Specialty Crosswalk'!$A$2:$C$106,2,FALSE),"")</f>
        <v/>
      </c>
      <c r="G3464" s="49" t="str">
        <f>IFERROR(VLOOKUP(E3464,'Condensed Specialty Crosswalk'!$A$2:$C$106,3,FALSE),"")</f>
        <v/>
      </c>
    </row>
    <row r="3465" spans="5:7" ht="15" customHeight="1">
      <c r="E3465" s="49" t="str">
        <f>IFERROR(VLOOKUP(D3465,'taxonomy map'!$A$1:$C$107,2,FALSE),"")</f>
        <v/>
      </c>
      <c r="F3465" s="49" t="str">
        <f>IFERROR(VLOOKUP(E3465,'Condensed Specialty Crosswalk'!$A$2:$C$106,2,FALSE),"")</f>
        <v/>
      </c>
      <c r="G3465" s="49" t="str">
        <f>IFERROR(VLOOKUP(E3465,'Condensed Specialty Crosswalk'!$A$2:$C$106,3,FALSE),"")</f>
        <v/>
      </c>
    </row>
    <row r="3466" spans="5:7" ht="15" customHeight="1">
      <c r="E3466" s="49" t="str">
        <f>IFERROR(VLOOKUP(D3466,'taxonomy map'!$A$1:$C$107,2,FALSE),"")</f>
        <v/>
      </c>
      <c r="F3466" s="49" t="str">
        <f>IFERROR(VLOOKUP(E3466,'Condensed Specialty Crosswalk'!$A$2:$C$106,2,FALSE),"")</f>
        <v/>
      </c>
      <c r="G3466" s="49" t="str">
        <f>IFERROR(VLOOKUP(E3466,'Condensed Specialty Crosswalk'!$A$2:$C$106,3,FALSE),"")</f>
        <v/>
      </c>
    </row>
    <row r="3467" spans="5:7" ht="15" customHeight="1">
      <c r="E3467" s="49" t="str">
        <f>IFERROR(VLOOKUP(D3467,'taxonomy map'!$A$1:$C$107,2,FALSE),"")</f>
        <v/>
      </c>
      <c r="F3467" s="49" t="str">
        <f>IFERROR(VLOOKUP(E3467,'Condensed Specialty Crosswalk'!$A$2:$C$106,2,FALSE),"")</f>
        <v/>
      </c>
      <c r="G3467" s="49" t="str">
        <f>IFERROR(VLOOKUP(E3467,'Condensed Specialty Crosswalk'!$A$2:$C$106,3,FALSE),"")</f>
        <v/>
      </c>
    </row>
    <row r="3468" spans="5:7" ht="15" customHeight="1">
      <c r="E3468" s="49" t="str">
        <f>IFERROR(VLOOKUP(D3468,'taxonomy map'!$A$1:$C$107,2,FALSE),"")</f>
        <v/>
      </c>
      <c r="F3468" s="49" t="str">
        <f>IFERROR(VLOOKUP(E3468,'Condensed Specialty Crosswalk'!$A$2:$C$106,2,FALSE),"")</f>
        <v/>
      </c>
      <c r="G3468" s="49" t="str">
        <f>IFERROR(VLOOKUP(E3468,'Condensed Specialty Crosswalk'!$A$2:$C$106,3,FALSE),"")</f>
        <v/>
      </c>
    </row>
    <row r="3469" spans="5:7" ht="15" customHeight="1">
      <c r="E3469" s="49" t="str">
        <f>IFERROR(VLOOKUP(D3469,'taxonomy map'!$A$1:$C$107,2,FALSE),"")</f>
        <v/>
      </c>
      <c r="F3469" s="49" t="str">
        <f>IFERROR(VLOOKUP(E3469,'Condensed Specialty Crosswalk'!$A$2:$C$106,2,FALSE),"")</f>
        <v/>
      </c>
      <c r="G3469" s="49" t="str">
        <f>IFERROR(VLOOKUP(E3469,'Condensed Specialty Crosswalk'!$A$2:$C$106,3,FALSE),"")</f>
        <v/>
      </c>
    </row>
    <row r="3470" spans="5:7" ht="15" customHeight="1">
      <c r="E3470" s="49" t="str">
        <f>IFERROR(VLOOKUP(D3470,'taxonomy map'!$A$1:$C$107,2,FALSE),"")</f>
        <v/>
      </c>
      <c r="F3470" s="49" t="str">
        <f>IFERROR(VLOOKUP(E3470,'Condensed Specialty Crosswalk'!$A$2:$C$106,2,FALSE),"")</f>
        <v/>
      </c>
      <c r="G3470" s="49" t="str">
        <f>IFERROR(VLOOKUP(E3470,'Condensed Specialty Crosswalk'!$A$2:$C$106,3,FALSE),"")</f>
        <v/>
      </c>
    </row>
    <row r="3471" spans="5:7" ht="15" customHeight="1">
      <c r="E3471" s="49" t="str">
        <f>IFERROR(VLOOKUP(D3471,'taxonomy map'!$A$1:$C$107,2,FALSE),"")</f>
        <v/>
      </c>
      <c r="F3471" s="49" t="str">
        <f>IFERROR(VLOOKUP(E3471,'Condensed Specialty Crosswalk'!$A$2:$C$106,2,FALSE),"")</f>
        <v/>
      </c>
      <c r="G3471" s="49" t="str">
        <f>IFERROR(VLOOKUP(E3471,'Condensed Specialty Crosswalk'!$A$2:$C$106,3,FALSE),"")</f>
        <v/>
      </c>
    </row>
    <row r="3472" spans="5:7" ht="15" customHeight="1">
      <c r="E3472" s="49" t="str">
        <f>IFERROR(VLOOKUP(D3472,'taxonomy map'!$A$1:$C$107,2,FALSE),"")</f>
        <v/>
      </c>
      <c r="F3472" s="49" t="str">
        <f>IFERROR(VLOOKUP(E3472,'Condensed Specialty Crosswalk'!$A$2:$C$106,2,FALSE),"")</f>
        <v/>
      </c>
      <c r="G3472" s="49" t="str">
        <f>IFERROR(VLOOKUP(E3472,'Condensed Specialty Crosswalk'!$A$2:$C$106,3,FALSE),"")</f>
        <v/>
      </c>
    </row>
    <row r="3473" spans="5:7" ht="15" customHeight="1">
      <c r="E3473" s="49" t="str">
        <f>IFERROR(VLOOKUP(D3473,'taxonomy map'!$A$1:$C$107,2,FALSE),"")</f>
        <v/>
      </c>
      <c r="F3473" s="49" t="str">
        <f>IFERROR(VLOOKUP(E3473,'Condensed Specialty Crosswalk'!$A$2:$C$106,2,FALSE),"")</f>
        <v/>
      </c>
      <c r="G3473" s="49" t="str">
        <f>IFERROR(VLOOKUP(E3473,'Condensed Specialty Crosswalk'!$A$2:$C$106,3,FALSE),"")</f>
        <v/>
      </c>
    </row>
    <row r="3474" spans="5:7" ht="15" customHeight="1">
      <c r="E3474" s="49" t="str">
        <f>IFERROR(VLOOKUP(D3474,'taxonomy map'!$A$1:$C$107,2,FALSE),"")</f>
        <v/>
      </c>
      <c r="F3474" s="49" t="str">
        <f>IFERROR(VLOOKUP(E3474,'Condensed Specialty Crosswalk'!$A$2:$C$106,2,FALSE),"")</f>
        <v/>
      </c>
      <c r="G3474" s="49" t="str">
        <f>IFERROR(VLOOKUP(E3474,'Condensed Specialty Crosswalk'!$A$2:$C$106,3,FALSE),"")</f>
        <v/>
      </c>
    </row>
    <row r="3475" spans="5:7" ht="15" customHeight="1">
      <c r="E3475" s="49" t="str">
        <f>IFERROR(VLOOKUP(D3475,'taxonomy map'!$A$1:$C$107,2,FALSE),"")</f>
        <v/>
      </c>
      <c r="F3475" s="49" t="str">
        <f>IFERROR(VLOOKUP(E3475,'Condensed Specialty Crosswalk'!$A$2:$C$106,2,FALSE),"")</f>
        <v/>
      </c>
      <c r="G3475" s="49" t="str">
        <f>IFERROR(VLOOKUP(E3475,'Condensed Specialty Crosswalk'!$A$2:$C$106,3,FALSE),"")</f>
        <v/>
      </c>
    </row>
    <row r="3476" spans="5:7" ht="15" customHeight="1">
      <c r="E3476" s="49" t="str">
        <f>IFERROR(VLOOKUP(D3476,'taxonomy map'!$A$1:$C$107,2,FALSE),"")</f>
        <v/>
      </c>
      <c r="F3476" s="49" t="str">
        <f>IFERROR(VLOOKUP(E3476,'Condensed Specialty Crosswalk'!$A$2:$C$106,2,FALSE),"")</f>
        <v/>
      </c>
      <c r="G3476" s="49" t="str">
        <f>IFERROR(VLOOKUP(E3476,'Condensed Specialty Crosswalk'!$A$2:$C$106,3,FALSE),"")</f>
        <v/>
      </c>
    </row>
    <row r="3477" spans="5:7" ht="15" customHeight="1">
      <c r="E3477" s="49" t="str">
        <f>IFERROR(VLOOKUP(D3477,'taxonomy map'!$A$1:$C$107,2,FALSE),"")</f>
        <v/>
      </c>
      <c r="F3477" s="49" t="str">
        <f>IFERROR(VLOOKUP(E3477,'Condensed Specialty Crosswalk'!$A$2:$C$106,2,FALSE),"")</f>
        <v/>
      </c>
      <c r="G3477" s="49" t="str">
        <f>IFERROR(VLOOKUP(E3477,'Condensed Specialty Crosswalk'!$A$2:$C$106,3,FALSE),"")</f>
        <v/>
      </c>
    </row>
    <row r="3478" spans="5:7" ht="15" customHeight="1">
      <c r="E3478" s="49" t="str">
        <f>IFERROR(VLOOKUP(D3478,'taxonomy map'!$A$1:$C$107,2,FALSE),"")</f>
        <v/>
      </c>
      <c r="F3478" s="49" t="str">
        <f>IFERROR(VLOOKUP(E3478,'Condensed Specialty Crosswalk'!$A$2:$C$106,2,FALSE),"")</f>
        <v/>
      </c>
      <c r="G3478" s="49" t="str">
        <f>IFERROR(VLOOKUP(E3478,'Condensed Specialty Crosswalk'!$A$2:$C$106,3,FALSE),"")</f>
        <v/>
      </c>
    </row>
    <row r="3479" spans="5:7" ht="15" customHeight="1">
      <c r="E3479" s="49" t="str">
        <f>IFERROR(VLOOKUP(D3479,'taxonomy map'!$A$1:$C$107,2,FALSE),"")</f>
        <v/>
      </c>
      <c r="F3479" s="49" t="str">
        <f>IFERROR(VLOOKUP(E3479,'Condensed Specialty Crosswalk'!$A$2:$C$106,2,FALSE),"")</f>
        <v/>
      </c>
      <c r="G3479" s="49" t="str">
        <f>IFERROR(VLOOKUP(E3479,'Condensed Specialty Crosswalk'!$A$2:$C$106,3,FALSE),"")</f>
        <v/>
      </c>
    </row>
    <row r="3480" spans="5:7" ht="15" customHeight="1">
      <c r="E3480" s="49" t="str">
        <f>IFERROR(VLOOKUP(D3480,'taxonomy map'!$A$1:$C$107,2,FALSE),"")</f>
        <v/>
      </c>
      <c r="F3480" s="49" t="str">
        <f>IFERROR(VLOOKUP(E3480,'Condensed Specialty Crosswalk'!$A$2:$C$106,2,FALSE),"")</f>
        <v/>
      </c>
      <c r="G3480" s="49" t="str">
        <f>IFERROR(VLOOKUP(E3480,'Condensed Specialty Crosswalk'!$A$2:$C$106,3,FALSE),"")</f>
        <v/>
      </c>
    </row>
    <row r="3481" spans="5:7" ht="15" customHeight="1">
      <c r="E3481" s="49" t="str">
        <f>IFERROR(VLOOKUP(D3481,'taxonomy map'!$A$1:$C$107,2,FALSE),"")</f>
        <v/>
      </c>
      <c r="F3481" s="49" t="str">
        <f>IFERROR(VLOOKUP(E3481,'Condensed Specialty Crosswalk'!$A$2:$C$106,2,FALSE),"")</f>
        <v/>
      </c>
      <c r="G3481" s="49" t="str">
        <f>IFERROR(VLOOKUP(E3481,'Condensed Specialty Crosswalk'!$A$2:$C$106,3,FALSE),"")</f>
        <v/>
      </c>
    </row>
    <row r="3482" spans="5:7" ht="15" customHeight="1">
      <c r="E3482" s="49" t="str">
        <f>IFERROR(VLOOKUP(D3482,'taxonomy map'!$A$1:$C$107,2,FALSE),"")</f>
        <v/>
      </c>
      <c r="F3482" s="49" t="str">
        <f>IFERROR(VLOOKUP(E3482,'Condensed Specialty Crosswalk'!$A$2:$C$106,2,FALSE),"")</f>
        <v/>
      </c>
      <c r="G3482" s="49" t="str">
        <f>IFERROR(VLOOKUP(E3482,'Condensed Specialty Crosswalk'!$A$2:$C$106,3,FALSE),"")</f>
        <v/>
      </c>
    </row>
    <row r="3483" spans="5:7" ht="15" customHeight="1">
      <c r="E3483" s="49" t="str">
        <f>IFERROR(VLOOKUP(D3483,'taxonomy map'!$A$1:$C$107,2,FALSE),"")</f>
        <v/>
      </c>
      <c r="F3483" s="49" t="str">
        <f>IFERROR(VLOOKUP(E3483,'Condensed Specialty Crosswalk'!$A$2:$C$106,2,FALSE),"")</f>
        <v/>
      </c>
      <c r="G3483" s="49" t="str">
        <f>IFERROR(VLOOKUP(E3483,'Condensed Specialty Crosswalk'!$A$2:$C$106,3,FALSE),"")</f>
        <v/>
      </c>
    </row>
    <row r="3484" spans="5:7" ht="15" customHeight="1">
      <c r="E3484" s="49" t="str">
        <f>IFERROR(VLOOKUP(D3484,'taxonomy map'!$A$1:$C$107,2,FALSE),"")</f>
        <v/>
      </c>
      <c r="F3484" s="49" t="str">
        <f>IFERROR(VLOOKUP(E3484,'Condensed Specialty Crosswalk'!$A$2:$C$106,2,FALSE),"")</f>
        <v/>
      </c>
      <c r="G3484" s="49" t="str">
        <f>IFERROR(VLOOKUP(E3484,'Condensed Specialty Crosswalk'!$A$2:$C$106,3,FALSE),"")</f>
        <v/>
      </c>
    </row>
    <row r="3485" spans="5:7" ht="15" customHeight="1">
      <c r="E3485" s="49" t="str">
        <f>IFERROR(VLOOKUP(D3485,'taxonomy map'!$A$1:$C$107,2,FALSE),"")</f>
        <v/>
      </c>
      <c r="F3485" s="49" t="str">
        <f>IFERROR(VLOOKUP(E3485,'Condensed Specialty Crosswalk'!$A$2:$C$106,2,FALSE),"")</f>
        <v/>
      </c>
      <c r="G3485" s="49" t="str">
        <f>IFERROR(VLOOKUP(E3485,'Condensed Specialty Crosswalk'!$A$2:$C$106,3,FALSE),"")</f>
        <v/>
      </c>
    </row>
    <row r="3486" spans="5:7" ht="15" customHeight="1">
      <c r="E3486" s="49" t="str">
        <f>IFERROR(VLOOKUP(D3486,'taxonomy map'!$A$1:$C$107,2,FALSE),"")</f>
        <v/>
      </c>
      <c r="F3486" s="49" t="str">
        <f>IFERROR(VLOOKUP(E3486,'Condensed Specialty Crosswalk'!$A$2:$C$106,2,FALSE),"")</f>
        <v/>
      </c>
      <c r="G3486" s="49" t="str">
        <f>IFERROR(VLOOKUP(E3486,'Condensed Specialty Crosswalk'!$A$2:$C$106,3,FALSE),"")</f>
        <v/>
      </c>
    </row>
    <row r="3487" spans="5:7" ht="15" customHeight="1">
      <c r="E3487" s="49" t="str">
        <f>IFERROR(VLOOKUP(D3487,'taxonomy map'!$A$1:$C$107,2,FALSE),"")</f>
        <v/>
      </c>
      <c r="F3487" s="49" t="str">
        <f>IFERROR(VLOOKUP(E3487,'Condensed Specialty Crosswalk'!$A$2:$C$106,2,FALSE),"")</f>
        <v/>
      </c>
      <c r="G3487" s="49" t="str">
        <f>IFERROR(VLOOKUP(E3487,'Condensed Specialty Crosswalk'!$A$2:$C$106,3,FALSE),"")</f>
        <v/>
      </c>
    </row>
    <row r="3488" spans="5:7" ht="15" customHeight="1">
      <c r="E3488" s="49" t="str">
        <f>IFERROR(VLOOKUP(D3488,'taxonomy map'!$A$1:$C$107,2,FALSE),"")</f>
        <v/>
      </c>
      <c r="F3488" s="49" t="str">
        <f>IFERROR(VLOOKUP(E3488,'Condensed Specialty Crosswalk'!$A$2:$C$106,2,FALSE),"")</f>
        <v/>
      </c>
      <c r="G3488" s="49" t="str">
        <f>IFERROR(VLOOKUP(E3488,'Condensed Specialty Crosswalk'!$A$2:$C$106,3,FALSE),"")</f>
        <v/>
      </c>
    </row>
    <row r="3489" spans="5:7" ht="15" customHeight="1">
      <c r="E3489" s="49" t="str">
        <f>IFERROR(VLOOKUP(D3489,'taxonomy map'!$A$1:$C$107,2,FALSE),"")</f>
        <v/>
      </c>
      <c r="F3489" s="49" t="str">
        <f>IFERROR(VLOOKUP(E3489,'Condensed Specialty Crosswalk'!$A$2:$C$106,2,FALSE),"")</f>
        <v/>
      </c>
      <c r="G3489" s="49" t="str">
        <f>IFERROR(VLOOKUP(E3489,'Condensed Specialty Crosswalk'!$A$2:$C$106,3,FALSE),"")</f>
        <v/>
      </c>
    </row>
    <row r="3490" spans="5:7" ht="15" customHeight="1">
      <c r="E3490" s="49" t="str">
        <f>IFERROR(VLOOKUP(D3490,'taxonomy map'!$A$1:$C$107,2,FALSE),"")</f>
        <v/>
      </c>
      <c r="F3490" s="49" t="str">
        <f>IFERROR(VLOOKUP(E3490,'Condensed Specialty Crosswalk'!$A$2:$C$106,2,FALSE),"")</f>
        <v/>
      </c>
      <c r="G3490" s="49" t="str">
        <f>IFERROR(VLOOKUP(E3490,'Condensed Specialty Crosswalk'!$A$2:$C$106,3,FALSE),"")</f>
        <v/>
      </c>
    </row>
    <row r="3491" spans="5:7" ht="15" customHeight="1">
      <c r="E3491" s="49" t="str">
        <f>IFERROR(VLOOKUP(D3491,'taxonomy map'!$A$1:$C$107,2,FALSE),"")</f>
        <v/>
      </c>
      <c r="F3491" s="49" t="str">
        <f>IFERROR(VLOOKUP(E3491,'Condensed Specialty Crosswalk'!$A$2:$C$106,2,FALSE),"")</f>
        <v/>
      </c>
      <c r="G3491" s="49" t="str">
        <f>IFERROR(VLOOKUP(E3491,'Condensed Specialty Crosswalk'!$A$2:$C$106,3,FALSE),"")</f>
        <v/>
      </c>
    </row>
    <row r="3492" spans="5:7" ht="15" customHeight="1">
      <c r="E3492" s="49" t="str">
        <f>IFERROR(VLOOKUP(D3492,'taxonomy map'!$A$1:$C$107,2,FALSE),"")</f>
        <v/>
      </c>
      <c r="F3492" s="49" t="str">
        <f>IFERROR(VLOOKUP(E3492,'Condensed Specialty Crosswalk'!$A$2:$C$106,2,FALSE),"")</f>
        <v/>
      </c>
      <c r="G3492" s="49" t="str">
        <f>IFERROR(VLOOKUP(E3492,'Condensed Specialty Crosswalk'!$A$2:$C$106,3,FALSE),"")</f>
        <v/>
      </c>
    </row>
    <row r="3493" spans="5:7" ht="15" customHeight="1">
      <c r="E3493" s="49" t="str">
        <f>IFERROR(VLOOKUP(D3493,'taxonomy map'!$A$1:$C$107,2,FALSE),"")</f>
        <v/>
      </c>
      <c r="F3493" s="49" t="str">
        <f>IFERROR(VLOOKUP(E3493,'Condensed Specialty Crosswalk'!$A$2:$C$106,2,FALSE),"")</f>
        <v/>
      </c>
      <c r="G3493" s="49" t="str">
        <f>IFERROR(VLOOKUP(E3493,'Condensed Specialty Crosswalk'!$A$2:$C$106,3,FALSE),"")</f>
        <v/>
      </c>
    </row>
    <row r="3494" spans="5:7" ht="15" customHeight="1">
      <c r="E3494" s="49" t="str">
        <f>IFERROR(VLOOKUP(D3494,'taxonomy map'!$A$1:$C$107,2,FALSE),"")</f>
        <v/>
      </c>
      <c r="F3494" s="49" t="str">
        <f>IFERROR(VLOOKUP(E3494,'Condensed Specialty Crosswalk'!$A$2:$C$106,2,FALSE),"")</f>
        <v/>
      </c>
      <c r="G3494" s="49" t="str">
        <f>IFERROR(VLOOKUP(E3494,'Condensed Specialty Crosswalk'!$A$2:$C$106,3,FALSE),"")</f>
        <v/>
      </c>
    </row>
    <row r="3495" spans="5:7" ht="15" customHeight="1">
      <c r="E3495" s="49" t="str">
        <f>IFERROR(VLOOKUP(D3495,'taxonomy map'!$A$1:$C$107,2,FALSE),"")</f>
        <v/>
      </c>
      <c r="F3495" s="49" t="str">
        <f>IFERROR(VLOOKUP(E3495,'Condensed Specialty Crosswalk'!$A$2:$C$106,2,FALSE),"")</f>
        <v/>
      </c>
      <c r="G3495" s="49" t="str">
        <f>IFERROR(VLOOKUP(E3495,'Condensed Specialty Crosswalk'!$A$2:$C$106,3,FALSE),"")</f>
        <v/>
      </c>
    </row>
    <row r="3496" spans="5:7" ht="15" customHeight="1">
      <c r="E3496" s="49" t="str">
        <f>IFERROR(VLOOKUP(D3496,'taxonomy map'!$A$1:$C$107,2,FALSE),"")</f>
        <v/>
      </c>
      <c r="F3496" s="49" t="str">
        <f>IFERROR(VLOOKUP(E3496,'Condensed Specialty Crosswalk'!$A$2:$C$106,2,FALSE),"")</f>
        <v/>
      </c>
      <c r="G3496" s="49" t="str">
        <f>IFERROR(VLOOKUP(E3496,'Condensed Specialty Crosswalk'!$A$2:$C$106,3,FALSE),"")</f>
        <v/>
      </c>
    </row>
    <row r="3497" spans="5:7" ht="15" customHeight="1">
      <c r="E3497" s="49" t="str">
        <f>IFERROR(VLOOKUP(D3497,'taxonomy map'!$A$1:$C$107,2,FALSE),"")</f>
        <v/>
      </c>
      <c r="F3497" s="49" t="str">
        <f>IFERROR(VLOOKUP(E3497,'Condensed Specialty Crosswalk'!$A$2:$C$106,2,FALSE),"")</f>
        <v/>
      </c>
      <c r="G3497" s="49" t="str">
        <f>IFERROR(VLOOKUP(E3497,'Condensed Specialty Crosswalk'!$A$2:$C$106,3,FALSE),"")</f>
        <v/>
      </c>
    </row>
    <row r="3498" spans="5:7" ht="15" customHeight="1">
      <c r="E3498" s="49" t="str">
        <f>IFERROR(VLOOKUP(D3498,'taxonomy map'!$A$1:$C$107,2,FALSE),"")</f>
        <v/>
      </c>
      <c r="F3498" s="49" t="str">
        <f>IFERROR(VLOOKUP(E3498,'Condensed Specialty Crosswalk'!$A$2:$C$106,2,FALSE),"")</f>
        <v/>
      </c>
      <c r="G3498" s="49" t="str">
        <f>IFERROR(VLOOKUP(E3498,'Condensed Specialty Crosswalk'!$A$2:$C$106,3,FALSE),"")</f>
        <v/>
      </c>
    </row>
    <row r="3499" spans="5:7" ht="15" customHeight="1">
      <c r="E3499" s="49" t="str">
        <f>IFERROR(VLOOKUP(D3499,'taxonomy map'!$A$1:$C$107,2,FALSE),"")</f>
        <v/>
      </c>
      <c r="F3499" s="49" t="str">
        <f>IFERROR(VLOOKUP(E3499,'Condensed Specialty Crosswalk'!$A$2:$C$106,2,FALSE),"")</f>
        <v/>
      </c>
      <c r="G3499" s="49" t="str">
        <f>IFERROR(VLOOKUP(E3499,'Condensed Specialty Crosswalk'!$A$2:$C$106,3,FALSE),"")</f>
        <v/>
      </c>
    </row>
    <row r="3500" spans="5:7" ht="15" customHeight="1">
      <c r="E3500" s="49" t="str">
        <f>IFERROR(VLOOKUP(D3500,'taxonomy map'!$A$1:$C$107,2,FALSE),"")</f>
        <v/>
      </c>
      <c r="F3500" s="49" t="str">
        <f>IFERROR(VLOOKUP(E3500,'Condensed Specialty Crosswalk'!$A$2:$C$106,2,FALSE),"")</f>
        <v/>
      </c>
      <c r="G3500" s="49" t="str">
        <f>IFERROR(VLOOKUP(E3500,'Condensed Specialty Crosswalk'!$A$2:$C$106,3,FALSE),"")</f>
        <v/>
      </c>
    </row>
    <row r="3501" spans="5:7" ht="15" customHeight="1">
      <c r="E3501" s="49" t="str">
        <f>IFERROR(VLOOKUP(D3501,'taxonomy map'!$A$1:$C$107,2,FALSE),"")</f>
        <v/>
      </c>
      <c r="F3501" s="49" t="str">
        <f>IFERROR(VLOOKUP(E3501,'Condensed Specialty Crosswalk'!$A$2:$C$106,2,FALSE),"")</f>
        <v/>
      </c>
      <c r="G3501" s="49" t="str">
        <f>IFERROR(VLOOKUP(E3501,'Condensed Specialty Crosswalk'!$A$2:$C$106,3,FALSE),"")</f>
        <v/>
      </c>
    </row>
    <row r="3502" spans="5:7" ht="15" customHeight="1">
      <c r="E3502" s="49" t="str">
        <f>IFERROR(VLOOKUP(D3502,'taxonomy map'!$A$1:$C$107,2,FALSE),"")</f>
        <v/>
      </c>
      <c r="F3502" s="49" t="str">
        <f>IFERROR(VLOOKUP(E3502,'Condensed Specialty Crosswalk'!$A$2:$C$106,2,FALSE),"")</f>
        <v/>
      </c>
      <c r="G3502" s="49" t="str">
        <f>IFERROR(VLOOKUP(E3502,'Condensed Specialty Crosswalk'!$A$2:$C$106,3,FALSE),"")</f>
        <v/>
      </c>
    </row>
    <row r="3503" spans="5:7" ht="15" customHeight="1">
      <c r="E3503" s="49" t="str">
        <f>IFERROR(VLOOKUP(D3503,'taxonomy map'!$A$1:$C$107,2,FALSE),"")</f>
        <v/>
      </c>
      <c r="F3503" s="49" t="str">
        <f>IFERROR(VLOOKUP(E3503,'Condensed Specialty Crosswalk'!$A$2:$C$106,2,FALSE),"")</f>
        <v/>
      </c>
      <c r="G3503" s="49" t="str">
        <f>IFERROR(VLOOKUP(E3503,'Condensed Specialty Crosswalk'!$A$2:$C$106,3,FALSE),"")</f>
        <v/>
      </c>
    </row>
    <row r="3504" spans="5:7" ht="15" customHeight="1">
      <c r="E3504" s="49" t="str">
        <f>IFERROR(VLOOKUP(D3504,'taxonomy map'!$A$1:$C$107,2,FALSE),"")</f>
        <v/>
      </c>
      <c r="F3504" s="49" t="str">
        <f>IFERROR(VLOOKUP(E3504,'Condensed Specialty Crosswalk'!$A$2:$C$106,2,FALSE),"")</f>
        <v/>
      </c>
      <c r="G3504" s="49" t="str">
        <f>IFERROR(VLOOKUP(E3504,'Condensed Specialty Crosswalk'!$A$2:$C$106,3,FALSE),"")</f>
        <v/>
      </c>
    </row>
    <row r="3505" spans="5:7" ht="15" customHeight="1">
      <c r="E3505" s="49" t="str">
        <f>IFERROR(VLOOKUP(D3505,'taxonomy map'!$A$1:$C$107,2,FALSE),"")</f>
        <v/>
      </c>
      <c r="F3505" s="49" t="str">
        <f>IFERROR(VLOOKUP(E3505,'Condensed Specialty Crosswalk'!$A$2:$C$106,2,FALSE),"")</f>
        <v/>
      </c>
      <c r="G3505" s="49" t="str">
        <f>IFERROR(VLOOKUP(E3505,'Condensed Specialty Crosswalk'!$A$2:$C$106,3,FALSE),"")</f>
        <v/>
      </c>
    </row>
    <row r="3506" spans="5:7" ht="15" customHeight="1">
      <c r="E3506" s="49" t="str">
        <f>IFERROR(VLOOKUP(D3506,'taxonomy map'!$A$1:$C$107,2,FALSE),"")</f>
        <v/>
      </c>
      <c r="F3506" s="49" t="str">
        <f>IFERROR(VLOOKUP(E3506,'Condensed Specialty Crosswalk'!$A$2:$C$106,2,FALSE),"")</f>
        <v/>
      </c>
      <c r="G3506" s="49" t="str">
        <f>IFERROR(VLOOKUP(E3506,'Condensed Specialty Crosswalk'!$A$2:$C$106,3,FALSE),"")</f>
        <v/>
      </c>
    </row>
    <row r="3507" spans="5:7" ht="15" customHeight="1">
      <c r="E3507" s="49" t="str">
        <f>IFERROR(VLOOKUP(D3507,'taxonomy map'!$A$1:$C$107,2,FALSE),"")</f>
        <v/>
      </c>
      <c r="F3507" s="49" t="str">
        <f>IFERROR(VLOOKUP(E3507,'Condensed Specialty Crosswalk'!$A$2:$C$106,2,FALSE),"")</f>
        <v/>
      </c>
      <c r="G3507" s="49" t="str">
        <f>IFERROR(VLOOKUP(E3507,'Condensed Specialty Crosswalk'!$A$2:$C$106,3,FALSE),"")</f>
        <v/>
      </c>
    </row>
    <row r="3508" spans="5:7" ht="15" customHeight="1">
      <c r="E3508" s="49" t="str">
        <f>IFERROR(VLOOKUP(D3508,'taxonomy map'!$A$1:$C$107,2,FALSE),"")</f>
        <v/>
      </c>
      <c r="F3508" s="49" t="str">
        <f>IFERROR(VLOOKUP(E3508,'Condensed Specialty Crosswalk'!$A$2:$C$106,2,FALSE),"")</f>
        <v/>
      </c>
      <c r="G3508" s="49" t="str">
        <f>IFERROR(VLOOKUP(E3508,'Condensed Specialty Crosswalk'!$A$2:$C$106,3,FALSE),"")</f>
        <v/>
      </c>
    </row>
    <row r="3509" spans="5:7" ht="15" customHeight="1">
      <c r="E3509" s="49" t="str">
        <f>IFERROR(VLOOKUP(D3509,'taxonomy map'!$A$1:$C$107,2,FALSE),"")</f>
        <v/>
      </c>
      <c r="F3509" s="49" t="str">
        <f>IFERROR(VLOOKUP(E3509,'Condensed Specialty Crosswalk'!$A$2:$C$106,2,FALSE),"")</f>
        <v/>
      </c>
      <c r="G3509" s="49" t="str">
        <f>IFERROR(VLOOKUP(E3509,'Condensed Specialty Crosswalk'!$A$2:$C$106,3,FALSE),"")</f>
        <v/>
      </c>
    </row>
    <row r="3510" spans="5:7" ht="15" customHeight="1">
      <c r="E3510" s="49" t="str">
        <f>IFERROR(VLOOKUP(D3510,'taxonomy map'!$A$1:$C$107,2,FALSE),"")</f>
        <v/>
      </c>
      <c r="F3510" s="49" t="str">
        <f>IFERROR(VLOOKUP(E3510,'Condensed Specialty Crosswalk'!$A$2:$C$106,2,FALSE),"")</f>
        <v/>
      </c>
      <c r="G3510" s="49" t="str">
        <f>IFERROR(VLOOKUP(E3510,'Condensed Specialty Crosswalk'!$A$2:$C$106,3,FALSE),"")</f>
        <v/>
      </c>
    </row>
    <row r="3511" spans="5:7" ht="15" customHeight="1">
      <c r="E3511" s="49" t="str">
        <f>IFERROR(VLOOKUP(D3511,'taxonomy map'!$A$1:$C$107,2,FALSE),"")</f>
        <v/>
      </c>
      <c r="F3511" s="49" t="str">
        <f>IFERROR(VLOOKUP(E3511,'Condensed Specialty Crosswalk'!$A$2:$C$106,2,FALSE),"")</f>
        <v/>
      </c>
      <c r="G3511" s="49" t="str">
        <f>IFERROR(VLOOKUP(E3511,'Condensed Specialty Crosswalk'!$A$2:$C$106,3,FALSE),"")</f>
        <v/>
      </c>
    </row>
    <row r="3512" spans="5:7" ht="15" customHeight="1">
      <c r="E3512" s="49" t="str">
        <f>IFERROR(VLOOKUP(D3512,'taxonomy map'!$A$1:$C$107,2,FALSE),"")</f>
        <v/>
      </c>
      <c r="F3512" s="49" t="str">
        <f>IFERROR(VLOOKUP(E3512,'Condensed Specialty Crosswalk'!$A$2:$C$106,2,FALSE),"")</f>
        <v/>
      </c>
      <c r="G3512" s="49" t="str">
        <f>IFERROR(VLOOKUP(E3512,'Condensed Specialty Crosswalk'!$A$2:$C$106,3,FALSE),"")</f>
        <v/>
      </c>
    </row>
    <row r="3513" spans="5:7" ht="15" customHeight="1">
      <c r="E3513" s="49" t="str">
        <f>IFERROR(VLOOKUP(D3513,'taxonomy map'!$A$1:$C$107,2,FALSE),"")</f>
        <v/>
      </c>
      <c r="F3513" s="49" t="str">
        <f>IFERROR(VLOOKUP(E3513,'Condensed Specialty Crosswalk'!$A$2:$C$106,2,FALSE),"")</f>
        <v/>
      </c>
      <c r="G3513" s="49" t="str">
        <f>IFERROR(VLOOKUP(E3513,'Condensed Specialty Crosswalk'!$A$2:$C$106,3,FALSE),"")</f>
        <v/>
      </c>
    </row>
    <row r="3514" spans="5:7" ht="15" customHeight="1">
      <c r="E3514" s="49" t="str">
        <f>IFERROR(VLOOKUP(D3514,'taxonomy map'!$A$1:$C$107,2,FALSE),"")</f>
        <v/>
      </c>
      <c r="F3514" s="49" t="str">
        <f>IFERROR(VLOOKUP(E3514,'Condensed Specialty Crosswalk'!$A$2:$C$106,2,FALSE),"")</f>
        <v/>
      </c>
      <c r="G3514" s="49" t="str">
        <f>IFERROR(VLOOKUP(E3514,'Condensed Specialty Crosswalk'!$A$2:$C$106,3,FALSE),"")</f>
        <v/>
      </c>
    </row>
    <row r="3515" spans="5:7" ht="15" customHeight="1">
      <c r="E3515" s="49" t="str">
        <f>IFERROR(VLOOKUP(D3515,'taxonomy map'!$A$1:$C$107,2,FALSE),"")</f>
        <v/>
      </c>
      <c r="F3515" s="49" t="str">
        <f>IFERROR(VLOOKUP(E3515,'Condensed Specialty Crosswalk'!$A$2:$C$106,2,FALSE),"")</f>
        <v/>
      </c>
      <c r="G3515" s="49" t="str">
        <f>IFERROR(VLOOKUP(E3515,'Condensed Specialty Crosswalk'!$A$2:$C$106,3,FALSE),"")</f>
        <v/>
      </c>
    </row>
    <row r="3516" spans="5:7" ht="15" customHeight="1">
      <c r="E3516" s="49" t="str">
        <f>IFERROR(VLOOKUP(D3516,'taxonomy map'!$A$1:$C$107,2,FALSE),"")</f>
        <v/>
      </c>
      <c r="F3516" s="49" t="str">
        <f>IFERROR(VLOOKUP(E3516,'Condensed Specialty Crosswalk'!$A$2:$C$106,2,FALSE),"")</f>
        <v/>
      </c>
      <c r="G3516" s="49" t="str">
        <f>IFERROR(VLOOKUP(E3516,'Condensed Specialty Crosswalk'!$A$2:$C$106,3,FALSE),"")</f>
        <v/>
      </c>
    </row>
    <row r="3517" spans="5:7" ht="15" customHeight="1">
      <c r="E3517" s="49" t="str">
        <f>IFERROR(VLOOKUP(D3517,'taxonomy map'!$A$1:$C$107,2,FALSE),"")</f>
        <v/>
      </c>
      <c r="F3517" s="49" t="str">
        <f>IFERROR(VLOOKUP(E3517,'Condensed Specialty Crosswalk'!$A$2:$C$106,2,FALSE),"")</f>
        <v/>
      </c>
      <c r="G3517" s="49" t="str">
        <f>IFERROR(VLOOKUP(E3517,'Condensed Specialty Crosswalk'!$A$2:$C$106,3,FALSE),"")</f>
        <v/>
      </c>
    </row>
    <row r="3518" spans="5:7" ht="15" customHeight="1">
      <c r="E3518" s="49" t="str">
        <f>IFERROR(VLOOKUP(D3518,'taxonomy map'!$A$1:$C$107,2,FALSE),"")</f>
        <v/>
      </c>
      <c r="F3518" s="49" t="str">
        <f>IFERROR(VLOOKUP(E3518,'Condensed Specialty Crosswalk'!$A$2:$C$106,2,FALSE),"")</f>
        <v/>
      </c>
      <c r="G3518" s="49" t="str">
        <f>IFERROR(VLOOKUP(E3518,'Condensed Specialty Crosswalk'!$A$2:$C$106,3,FALSE),"")</f>
        <v/>
      </c>
    </row>
    <row r="3519" spans="5:7" ht="15" customHeight="1">
      <c r="E3519" s="49" t="str">
        <f>IFERROR(VLOOKUP(D3519,'taxonomy map'!$A$1:$C$107,2,FALSE),"")</f>
        <v/>
      </c>
      <c r="F3519" s="49" t="str">
        <f>IFERROR(VLOOKUP(E3519,'Condensed Specialty Crosswalk'!$A$2:$C$106,2,FALSE),"")</f>
        <v/>
      </c>
      <c r="G3519" s="49" t="str">
        <f>IFERROR(VLOOKUP(E3519,'Condensed Specialty Crosswalk'!$A$2:$C$106,3,FALSE),"")</f>
        <v/>
      </c>
    </row>
    <row r="3520" spans="5:7" ht="15" customHeight="1">
      <c r="E3520" s="49" t="str">
        <f>IFERROR(VLOOKUP(D3520,'taxonomy map'!$A$1:$C$107,2,FALSE),"")</f>
        <v/>
      </c>
      <c r="F3520" s="49" t="str">
        <f>IFERROR(VLOOKUP(E3520,'Condensed Specialty Crosswalk'!$A$2:$C$106,2,FALSE),"")</f>
        <v/>
      </c>
      <c r="G3520" s="49" t="str">
        <f>IFERROR(VLOOKUP(E3520,'Condensed Specialty Crosswalk'!$A$2:$C$106,3,FALSE),"")</f>
        <v/>
      </c>
    </row>
    <row r="3521" spans="5:7" ht="15" customHeight="1">
      <c r="E3521" s="49" t="str">
        <f>IFERROR(VLOOKUP(D3521,'taxonomy map'!$A$1:$C$107,2,FALSE),"")</f>
        <v/>
      </c>
      <c r="F3521" s="49" t="str">
        <f>IFERROR(VLOOKUP(E3521,'Condensed Specialty Crosswalk'!$A$2:$C$106,2,FALSE),"")</f>
        <v/>
      </c>
      <c r="G3521" s="49" t="str">
        <f>IFERROR(VLOOKUP(E3521,'Condensed Specialty Crosswalk'!$A$2:$C$106,3,FALSE),"")</f>
        <v/>
      </c>
    </row>
    <row r="3522" spans="5:7" ht="15" customHeight="1">
      <c r="E3522" s="49" t="str">
        <f>IFERROR(VLOOKUP(D3522,'taxonomy map'!$A$1:$C$107,2,FALSE),"")</f>
        <v/>
      </c>
      <c r="F3522" s="49" t="str">
        <f>IFERROR(VLOOKUP(E3522,'Condensed Specialty Crosswalk'!$A$2:$C$106,2,FALSE),"")</f>
        <v/>
      </c>
      <c r="G3522" s="49" t="str">
        <f>IFERROR(VLOOKUP(E3522,'Condensed Specialty Crosswalk'!$A$2:$C$106,3,FALSE),"")</f>
        <v/>
      </c>
    </row>
    <row r="3523" spans="5:7" ht="15" customHeight="1">
      <c r="E3523" s="49" t="str">
        <f>IFERROR(VLOOKUP(D3523,'taxonomy map'!$A$1:$C$107,2,FALSE),"")</f>
        <v/>
      </c>
      <c r="F3523" s="49" t="str">
        <f>IFERROR(VLOOKUP(E3523,'Condensed Specialty Crosswalk'!$A$2:$C$106,2,FALSE),"")</f>
        <v/>
      </c>
      <c r="G3523" s="49" t="str">
        <f>IFERROR(VLOOKUP(E3523,'Condensed Specialty Crosswalk'!$A$2:$C$106,3,FALSE),"")</f>
        <v/>
      </c>
    </row>
    <row r="3524" spans="5:7" ht="15" customHeight="1">
      <c r="E3524" s="49" t="str">
        <f>IFERROR(VLOOKUP(D3524,'taxonomy map'!$A$1:$C$107,2,FALSE),"")</f>
        <v/>
      </c>
      <c r="F3524" s="49" t="str">
        <f>IFERROR(VLOOKUP(E3524,'Condensed Specialty Crosswalk'!$A$2:$C$106,2,FALSE),"")</f>
        <v/>
      </c>
      <c r="G3524" s="49" t="str">
        <f>IFERROR(VLOOKUP(E3524,'Condensed Specialty Crosswalk'!$A$2:$C$106,3,FALSE),"")</f>
        <v/>
      </c>
    </row>
    <row r="3525" spans="5:7" ht="15" customHeight="1">
      <c r="E3525" s="49" t="str">
        <f>IFERROR(VLOOKUP(D3525,'taxonomy map'!$A$1:$C$107,2,FALSE),"")</f>
        <v/>
      </c>
      <c r="F3525" s="49" t="str">
        <f>IFERROR(VLOOKUP(E3525,'Condensed Specialty Crosswalk'!$A$2:$C$106,2,FALSE),"")</f>
        <v/>
      </c>
      <c r="G3525" s="49" t="str">
        <f>IFERROR(VLOOKUP(E3525,'Condensed Specialty Crosswalk'!$A$2:$C$106,3,FALSE),"")</f>
        <v/>
      </c>
    </row>
    <row r="3526" spans="5:7" ht="15" customHeight="1">
      <c r="E3526" s="49" t="str">
        <f>IFERROR(VLOOKUP(D3526,'taxonomy map'!$A$1:$C$107,2,FALSE),"")</f>
        <v/>
      </c>
      <c r="F3526" s="49" t="str">
        <f>IFERROR(VLOOKUP(E3526,'Condensed Specialty Crosswalk'!$A$2:$C$106,2,FALSE),"")</f>
        <v/>
      </c>
      <c r="G3526" s="49" t="str">
        <f>IFERROR(VLOOKUP(E3526,'Condensed Specialty Crosswalk'!$A$2:$C$106,3,FALSE),"")</f>
        <v/>
      </c>
    </row>
    <row r="3527" spans="5:7" ht="15" customHeight="1">
      <c r="E3527" s="49" t="str">
        <f>IFERROR(VLOOKUP(D3527,'taxonomy map'!$A$1:$C$107,2,FALSE),"")</f>
        <v/>
      </c>
      <c r="F3527" s="49" t="str">
        <f>IFERROR(VLOOKUP(E3527,'Condensed Specialty Crosswalk'!$A$2:$C$106,2,FALSE),"")</f>
        <v/>
      </c>
      <c r="G3527" s="49" t="str">
        <f>IFERROR(VLOOKUP(E3527,'Condensed Specialty Crosswalk'!$A$2:$C$106,3,FALSE),"")</f>
        <v/>
      </c>
    </row>
    <row r="3528" spans="5:7" ht="15" customHeight="1">
      <c r="E3528" s="49" t="str">
        <f>IFERROR(VLOOKUP(D3528,'taxonomy map'!$A$1:$C$107,2,FALSE),"")</f>
        <v/>
      </c>
      <c r="F3528" s="49" t="str">
        <f>IFERROR(VLOOKUP(E3528,'Condensed Specialty Crosswalk'!$A$2:$C$106,2,FALSE),"")</f>
        <v/>
      </c>
      <c r="G3528" s="49" t="str">
        <f>IFERROR(VLOOKUP(E3528,'Condensed Specialty Crosswalk'!$A$2:$C$106,3,FALSE),"")</f>
        <v/>
      </c>
    </row>
    <row r="3529" spans="5:7" ht="15" customHeight="1">
      <c r="E3529" s="49" t="str">
        <f>IFERROR(VLOOKUP(D3529,'taxonomy map'!$A$1:$C$107,2,FALSE),"")</f>
        <v/>
      </c>
      <c r="F3529" s="49" t="str">
        <f>IFERROR(VLOOKUP(E3529,'Condensed Specialty Crosswalk'!$A$2:$C$106,2,FALSE),"")</f>
        <v/>
      </c>
      <c r="G3529" s="49" t="str">
        <f>IFERROR(VLOOKUP(E3529,'Condensed Specialty Crosswalk'!$A$2:$C$106,3,FALSE),"")</f>
        <v/>
      </c>
    </row>
    <row r="3530" spans="5:7" ht="15" customHeight="1">
      <c r="E3530" s="49" t="str">
        <f>IFERROR(VLOOKUP(D3530,'taxonomy map'!$A$1:$C$107,2,FALSE),"")</f>
        <v/>
      </c>
      <c r="F3530" s="49" t="str">
        <f>IFERROR(VLOOKUP(E3530,'Condensed Specialty Crosswalk'!$A$2:$C$106,2,FALSE),"")</f>
        <v/>
      </c>
      <c r="G3530" s="49" t="str">
        <f>IFERROR(VLOOKUP(E3530,'Condensed Specialty Crosswalk'!$A$2:$C$106,3,FALSE),"")</f>
        <v/>
      </c>
    </row>
    <row r="3531" spans="5:7" ht="15" customHeight="1">
      <c r="E3531" s="49" t="str">
        <f>IFERROR(VLOOKUP(D3531,'taxonomy map'!$A$1:$C$107,2,FALSE),"")</f>
        <v/>
      </c>
      <c r="F3531" s="49" t="str">
        <f>IFERROR(VLOOKUP(E3531,'Condensed Specialty Crosswalk'!$A$2:$C$106,2,FALSE),"")</f>
        <v/>
      </c>
      <c r="G3531" s="49" t="str">
        <f>IFERROR(VLOOKUP(E3531,'Condensed Specialty Crosswalk'!$A$2:$C$106,3,FALSE),"")</f>
        <v/>
      </c>
    </row>
    <row r="3532" spans="5:7" ht="15" customHeight="1">
      <c r="E3532" s="49" t="str">
        <f>IFERROR(VLOOKUP(D3532,'taxonomy map'!$A$1:$C$107,2,FALSE),"")</f>
        <v/>
      </c>
      <c r="F3532" s="49" t="str">
        <f>IFERROR(VLOOKUP(E3532,'Condensed Specialty Crosswalk'!$A$2:$C$106,2,FALSE),"")</f>
        <v/>
      </c>
      <c r="G3532" s="49" t="str">
        <f>IFERROR(VLOOKUP(E3532,'Condensed Specialty Crosswalk'!$A$2:$C$106,3,FALSE),"")</f>
        <v/>
      </c>
    </row>
    <row r="3533" spans="5:7" ht="15" customHeight="1">
      <c r="E3533" s="49" t="str">
        <f>IFERROR(VLOOKUP(D3533,'taxonomy map'!$A$1:$C$107,2,FALSE),"")</f>
        <v/>
      </c>
      <c r="F3533" s="49" t="str">
        <f>IFERROR(VLOOKUP(E3533,'Condensed Specialty Crosswalk'!$A$2:$C$106,2,FALSE),"")</f>
        <v/>
      </c>
      <c r="G3533" s="49" t="str">
        <f>IFERROR(VLOOKUP(E3533,'Condensed Specialty Crosswalk'!$A$2:$C$106,3,FALSE),"")</f>
        <v/>
      </c>
    </row>
    <row r="3534" spans="5:7" ht="15" customHeight="1">
      <c r="E3534" s="49" t="str">
        <f>IFERROR(VLOOKUP(D3534,'taxonomy map'!$A$1:$C$107,2,FALSE),"")</f>
        <v/>
      </c>
      <c r="F3534" s="49" t="str">
        <f>IFERROR(VLOOKUP(E3534,'Condensed Specialty Crosswalk'!$A$2:$C$106,2,FALSE),"")</f>
        <v/>
      </c>
      <c r="G3534" s="49" t="str">
        <f>IFERROR(VLOOKUP(E3534,'Condensed Specialty Crosswalk'!$A$2:$C$106,3,FALSE),"")</f>
        <v/>
      </c>
    </row>
    <row r="3535" spans="5:7" ht="15" customHeight="1">
      <c r="E3535" s="49" t="str">
        <f>IFERROR(VLOOKUP(D3535,'taxonomy map'!$A$1:$C$107,2,FALSE),"")</f>
        <v/>
      </c>
      <c r="F3535" s="49" t="str">
        <f>IFERROR(VLOOKUP(E3535,'Condensed Specialty Crosswalk'!$A$2:$C$106,2,FALSE),"")</f>
        <v/>
      </c>
      <c r="G3535" s="49" t="str">
        <f>IFERROR(VLOOKUP(E3535,'Condensed Specialty Crosswalk'!$A$2:$C$106,3,FALSE),"")</f>
        <v/>
      </c>
    </row>
    <row r="3536" spans="5:7" ht="15" customHeight="1">
      <c r="E3536" s="49" t="str">
        <f>IFERROR(VLOOKUP(D3536,'taxonomy map'!$A$1:$C$107,2,FALSE),"")</f>
        <v/>
      </c>
      <c r="F3536" s="49" t="str">
        <f>IFERROR(VLOOKUP(E3536,'Condensed Specialty Crosswalk'!$A$2:$C$106,2,FALSE),"")</f>
        <v/>
      </c>
      <c r="G3536" s="49" t="str">
        <f>IFERROR(VLOOKUP(E3536,'Condensed Specialty Crosswalk'!$A$2:$C$106,3,FALSE),"")</f>
        <v/>
      </c>
    </row>
    <row r="3537" spans="5:7" ht="15" customHeight="1">
      <c r="E3537" s="49" t="str">
        <f>IFERROR(VLOOKUP(D3537,'taxonomy map'!$A$1:$C$107,2,FALSE),"")</f>
        <v/>
      </c>
      <c r="F3537" s="49" t="str">
        <f>IFERROR(VLOOKUP(E3537,'Condensed Specialty Crosswalk'!$A$2:$C$106,2,FALSE),"")</f>
        <v/>
      </c>
      <c r="G3537" s="49" t="str">
        <f>IFERROR(VLOOKUP(E3537,'Condensed Specialty Crosswalk'!$A$2:$C$106,3,FALSE),"")</f>
        <v/>
      </c>
    </row>
    <row r="3538" spans="5:7" ht="15" customHeight="1">
      <c r="E3538" s="49" t="str">
        <f>IFERROR(VLOOKUP(D3538,'taxonomy map'!$A$1:$C$107,2,FALSE),"")</f>
        <v/>
      </c>
      <c r="F3538" s="49" t="str">
        <f>IFERROR(VLOOKUP(E3538,'Condensed Specialty Crosswalk'!$A$2:$C$106,2,FALSE),"")</f>
        <v/>
      </c>
      <c r="G3538" s="49" t="str">
        <f>IFERROR(VLOOKUP(E3538,'Condensed Specialty Crosswalk'!$A$2:$C$106,3,FALSE),"")</f>
        <v/>
      </c>
    </row>
    <row r="3539" spans="5:7" ht="15" customHeight="1">
      <c r="E3539" s="49" t="str">
        <f>IFERROR(VLOOKUP(D3539,'taxonomy map'!$A$1:$C$107,2,FALSE),"")</f>
        <v/>
      </c>
      <c r="F3539" s="49" t="str">
        <f>IFERROR(VLOOKUP(E3539,'Condensed Specialty Crosswalk'!$A$2:$C$106,2,FALSE),"")</f>
        <v/>
      </c>
      <c r="G3539" s="49" t="str">
        <f>IFERROR(VLOOKUP(E3539,'Condensed Specialty Crosswalk'!$A$2:$C$106,3,FALSE),"")</f>
        <v/>
      </c>
    </row>
    <row r="3540" spans="5:7" ht="15" customHeight="1">
      <c r="E3540" s="49" t="str">
        <f>IFERROR(VLOOKUP(D3540,'taxonomy map'!$A$1:$C$107,2,FALSE),"")</f>
        <v/>
      </c>
      <c r="F3540" s="49" t="str">
        <f>IFERROR(VLOOKUP(E3540,'Condensed Specialty Crosswalk'!$A$2:$C$106,2,FALSE),"")</f>
        <v/>
      </c>
      <c r="G3540" s="49" t="str">
        <f>IFERROR(VLOOKUP(E3540,'Condensed Specialty Crosswalk'!$A$2:$C$106,3,FALSE),"")</f>
        <v/>
      </c>
    </row>
    <row r="3541" spans="5:7" ht="15" customHeight="1">
      <c r="E3541" s="49" t="str">
        <f>IFERROR(VLOOKUP(D3541,'taxonomy map'!$A$1:$C$107,2,FALSE),"")</f>
        <v/>
      </c>
      <c r="F3541" s="49" t="str">
        <f>IFERROR(VLOOKUP(E3541,'Condensed Specialty Crosswalk'!$A$2:$C$106,2,FALSE),"")</f>
        <v/>
      </c>
      <c r="G3541" s="49" t="str">
        <f>IFERROR(VLOOKUP(E3541,'Condensed Specialty Crosswalk'!$A$2:$C$106,3,FALSE),"")</f>
        <v/>
      </c>
    </row>
    <row r="3542" spans="5:7" ht="15" customHeight="1">
      <c r="E3542" s="49" t="str">
        <f>IFERROR(VLOOKUP(D3542,'taxonomy map'!$A$1:$C$107,2,FALSE),"")</f>
        <v/>
      </c>
      <c r="F3542" s="49" t="str">
        <f>IFERROR(VLOOKUP(E3542,'Condensed Specialty Crosswalk'!$A$2:$C$106,2,FALSE),"")</f>
        <v/>
      </c>
      <c r="G3542" s="49" t="str">
        <f>IFERROR(VLOOKUP(E3542,'Condensed Specialty Crosswalk'!$A$2:$C$106,3,FALSE),"")</f>
        <v/>
      </c>
    </row>
    <row r="3543" spans="5:7" ht="15" customHeight="1">
      <c r="E3543" s="49" t="str">
        <f>IFERROR(VLOOKUP(D3543,'taxonomy map'!$A$1:$C$107,2,FALSE),"")</f>
        <v/>
      </c>
      <c r="F3543" s="49" t="str">
        <f>IFERROR(VLOOKUP(E3543,'Condensed Specialty Crosswalk'!$A$2:$C$106,2,FALSE),"")</f>
        <v/>
      </c>
      <c r="G3543" s="49" t="str">
        <f>IFERROR(VLOOKUP(E3543,'Condensed Specialty Crosswalk'!$A$2:$C$106,3,FALSE),"")</f>
        <v/>
      </c>
    </row>
    <row r="3544" spans="5:7" ht="15" customHeight="1">
      <c r="E3544" s="49" t="str">
        <f>IFERROR(VLOOKUP(D3544,'taxonomy map'!$A$1:$C$107,2,FALSE),"")</f>
        <v/>
      </c>
      <c r="F3544" s="49" t="str">
        <f>IFERROR(VLOOKUP(E3544,'Condensed Specialty Crosswalk'!$A$2:$C$106,2,FALSE),"")</f>
        <v/>
      </c>
      <c r="G3544" s="49" t="str">
        <f>IFERROR(VLOOKUP(E3544,'Condensed Specialty Crosswalk'!$A$2:$C$106,3,FALSE),"")</f>
        <v/>
      </c>
    </row>
    <row r="3545" spans="5:7" ht="15" customHeight="1">
      <c r="E3545" s="49" t="str">
        <f>IFERROR(VLOOKUP(D3545,'taxonomy map'!$A$1:$C$107,2,FALSE),"")</f>
        <v/>
      </c>
      <c r="F3545" s="49" t="str">
        <f>IFERROR(VLOOKUP(E3545,'Condensed Specialty Crosswalk'!$A$2:$C$106,2,FALSE),"")</f>
        <v/>
      </c>
      <c r="G3545" s="49" t="str">
        <f>IFERROR(VLOOKUP(E3545,'Condensed Specialty Crosswalk'!$A$2:$C$106,3,FALSE),"")</f>
        <v/>
      </c>
    </row>
    <row r="3546" spans="5:7" ht="15" customHeight="1">
      <c r="E3546" s="49" t="str">
        <f>IFERROR(VLOOKUP(D3546,'taxonomy map'!$A$1:$C$107,2,FALSE),"")</f>
        <v/>
      </c>
      <c r="F3546" s="49" t="str">
        <f>IFERROR(VLOOKUP(E3546,'Condensed Specialty Crosswalk'!$A$2:$C$106,2,FALSE),"")</f>
        <v/>
      </c>
      <c r="G3546" s="49" t="str">
        <f>IFERROR(VLOOKUP(E3546,'Condensed Specialty Crosswalk'!$A$2:$C$106,3,FALSE),"")</f>
        <v/>
      </c>
    </row>
    <row r="3547" spans="5:7" ht="15" customHeight="1">
      <c r="E3547" s="49" t="str">
        <f>IFERROR(VLOOKUP(D3547,'taxonomy map'!$A$1:$C$107,2,FALSE),"")</f>
        <v/>
      </c>
      <c r="F3547" s="49" t="str">
        <f>IFERROR(VLOOKUP(E3547,'Condensed Specialty Crosswalk'!$A$2:$C$106,2,FALSE),"")</f>
        <v/>
      </c>
      <c r="G3547" s="49" t="str">
        <f>IFERROR(VLOOKUP(E3547,'Condensed Specialty Crosswalk'!$A$2:$C$106,3,FALSE),"")</f>
        <v/>
      </c>
    </row>
    <row r="3548" spans="5:7" ht="15" customHeight="1">
      <c r="E3548" s="49" t="str">
        <f>IFERROR(VLOOKUP(D3548,'taxonomy map'!$A$1:$C$107,2,FALSE),"")</f>
        <v/>
      </c>
      <c r="F3548" s="49" t="str">
        <f>IFERROR(VLOOKUP(E3548,'Condensed Specialty Crosswalk'!$A$2:$C$106,2,FALSE),"")</f>
        <v/>
      </c>
      <c r="G3548" s="49" t="str">
        <f>IFERROR(VLOOKUP(E3548,'Condensed Specialty Crosswalk'!$A$2:$C$106,3,FALSE),"")</f>
        <v/>
      </c>
    </row>
    <row r="3549" spans="5:7" ht="15" customHeight="1">
      <c r="E3549" s="49" t="str">
        <f>IFERROR(VLOOKUP(D3549,'taxonomy map'!$A$1:$C$107,2,FALSE),"")</f>
        <v/>
      </c>
      <c r="F3549" s="49" t="str">
        <f>IFERROR(VLOOKUP(E3549,'Condensed Specialty Crosswalk'!$A$2:$C$106,2,FALSE),"")</f>
        <v/>
      </c>
      <c r="G3549" s="49" t="str">
        <f>IFERROR(VLOOKUP(E3549,'Condensed Specialty Crosswalk'!$A$2:$C$106,3,FALSE),"")</f>
        <v/>
      </c>
    </row>
    <row r="3550" spans="5:7" ht="15" customHeight="1">
      <c r="E3550" s="49" t="str">
        <f>IFERROR(VLOOKUP(D3550,'taxonomy map'!$A$1:$C$107,2,FALSE),"")</f>
        <v/>
      </c>
      <c r="F3550" s="49" t="str">
        <f>IFERROR(VLOOKUP(E3550,'Condensed Specialty Crosswalk'!$A$2:$C$106,2,FALSE),"")</f>
        <v/>
      </c>
      <c r="G3550" s="49" t="str">
        <f>IFERROR(VLOOKUP(E3550,'Condensed Specialty Crosswalk'!$A$2:$C$106,3,FALSE),"")</f>
        <v/>
      </c>
    </row>
    <row r="3551" spans="5:7" ht="15" customHeight="1">
      <c r="E3551" s="49" t="str">
        <f>IFERROR(VLOOKUP(D3551,'taxonomy map'!$A$1:$C$107,2,FALSE),"")</f>
        <v/>
      </c>
      <c r="F3551" s="49" t="str">
        <f>IFERROR(VLOOKUP(E3551,'Condensed Specialty Crosswalk'!$A$2:$C$106,2,FALSE),"")</f>
        <v/>
      </c>
      <c r="G3551" s="49" t="str">
        <f>IFERROR(VLOOKUP(E3551,'Condensed Specialty Crosswalk'!$A$2:$C$106,3,FALSE),"")</f>
        <v/>
      </c>
    </row>
    <row r="3552" spans="5:7" ht="15" customHeight="1">
      <c r="E3552" s="49" t="str">
        <f>IFERROR(VLOOKUP(D3552,'taxonomy map'!$A$1:$C$107,2,FALSE),"")</f>
        <v/>
      </c>
      <c r="F3552" s="49" t="str">
        <f>IFERROR(VLOOKUP(E3552,'Condensed Specialty Crosswalk'!$A$2:$C$106,2,FALSE),"")</f>
        <v/>
      </c>
      <c r="G3552" s="49" t="str">
        <f>IFERROR(VLOOKUP(E3552,'Condensed Specialty Crosswalk'!$A$2:$C$106,3,FALSE),"")</f>
        <v/>
      </c>
    </row>
    <row r="3553" spans="5:7" ht="15" customHeight="1">
      <c r="E3553" s="49" t="str">
        <f>IFERROR(VLOOKUP(D3553,'taxonomy map'!$A$1:$C$107,2,FALSE),"")</f>
        <v/>
      </c>
      <c r="F3553" s="49" t="str">
        <f>IFERROR(VLOOKUP(E3553,'Condensed Specialty Crosswalk'!$A$2:$C$106,2,FALSE),"")</f>
        <v/>
      </c>
      <c r="G3553" s="49" t="str">
        <f>IFERROR(VLOOKUP(E3553,'Condensed Specialty Crosswalk'!$A$2:$C$106,3,FALSE),"")</f>
        <v/>
      </c>
    </row>
    <row r="3554" spans="5:7" ht="15" customHeight="1">
      <c r="E3554" s="49" t="str">
        <f>IFERROR(VLOOKUP(D3554,'taxonomy map'!$A$1:$C$107,2,FALSE),"")</f>
        <v/>
      </c>
      <c r="F3554" s="49" t="str">
        <f>IFERROR(VLOOKUP(E3554,'Condensed Specialty Crosswalk'!$A$2:$C$106,2,FALSE),"")</f>
        <v/>
      </c>
      <c r="G3554" s="49" t="str">
        <f>IFERROR(VLOOKUP(E3554,'Condensed Specialty Crosswalk'!$A$2:$C$106,3,FALSE),"")</f>
        <v/>
      </c>
    </row>
    <row r="3555" spans="5:7" ht="15" customHeight="1">
      <c r="E3555" s="49" t="str">
        <f>IFERROR(VLOOKUP(D3555,'taxonomy map'!$A$1:$C$107,2,FALSE),"")</f>
        <v/>
      </c>
      <c r="F3555" s="49" t="str">
        <f>IFERROR(VLOOKUP(E3555,'Condensed Specialty Crosswalk'!$A$2:$C$106,2,FALSE),"")</f>
        <v/>
      </c>
      <c r="G3555" s="49" t="str">
        <f>IFERROR(VLOOKUP(E3555,'Condensed Specialty Crosswalk'!$A$2:$C$106,3,FALSE),"")</f>
        <v/>
      </c>
    </row>
    <row r="3556" spans="5:7" ht="15" customHeight="1">
      <c r="E3556" s="49" t="str">
        <f>IFERROR(VLOOKUP(D3556,'taxonomy map'!$A$1:$C$107,2,FALSE),"")</f>
        <v/>
      </c>
      <c r="F3556" s="49" t="str">
        <f>IFERROR(VLOOKUP(E3556,'Condensed Specialty Crosswalk'!$A$2:$C$106,2,FALSE),"")</f>
        <v/>
      </c>
      <c r="G3556" s="49" t="str">
        <f>IFERROR(VLOOKUP(E3556,'Condensed Specialty Crosswalk'!$A$2:$C$106,3,FALSE),"")</f>
        <v/>
      </c>
    </row>
    <row r="3557" spans="5:7" ht="15" customHeight="1">
      <c r="E3557" s="49" t="str">
        <f>IFERROR(VLOOKUP(D3557,'taxonomy map'!$A$1:$C$107,2,FALSE),"")</f>
        <v/>
      </c>
      <c r="F3557" s="49" t="str">
        <f>IFERROR(VLOOKUP(E3557,'Condensed Specialty Crosswalk'!$A$2:$C$106,2,FALSE),"")</f>
        <v/>
      </c>
      <c r="G3557" s="49" t="str">
        <f>IFERROR(VLOOKUP(E3557,'Condensed Specialty Crosswalk'!$A$2:$C$106,3,FALSE),"")</f>
        <v/>
      </c>
    </row>
    <row r="3558" spans="5:7" ht="15" customHeight="1">
      <c r="E3558" s="49" t="str">
        <f>IFERROR(VLOOKUP(D3558,'taxonomy map'!$A$1:$C$107,2,FALSE),"")</f>
        <v/>
      </c>
      <c r="F3558" s="49" t="str">
        <f>IFERROR(VLOOKUP(E3558,'Condensed Specialty Crosswalk'!$A$2:$C$106,2,FALSE),"")</f>
        <v/>
      </c>
      <c r="G3558" s="49" t="str">
        <f>IFERROR(VLOOKUP(E3558,'Condensed Specialty Crosswalk'!$A$2:$C$106,3,FALSE),"")</f>
        <v/>
      </c>
    </row>
    <row r="3559" spans="5:7" ht="15" customHeight="1">
      <c r="E3559" s="49" t="str">
        <f>IFERROR(VLOOKUP(D3559,'taxonomy map'!$A$1:$C$107,2,FALSE),"")</f>
        <v/>
      </c>
      <c r="F3559" s="49" t="str">
        <f>IFERROR(VLOOKUP(E3559,'Condensed Specialty Crosswalk'!$A$2:$C$106,2,FALSE),"")</f>
        <v/>
      </c>
      <c r="G3559" s="49" t="str">
        <f>IFERROR(VLOOKUP(E3559,'Condensed Specialty Crosswalk'!$A$2:$C$106,3,FALSE),"")</f>
        <v/>
      </c>
    </row>
    <row r="3560" spans="5:7" ht="15" customHeight="1">
      <c r="E3560" s="49" t="str">
        <f>IFERROR(VLOOKUP(D3560,'taxonomy map'!$A$1:$C$107,2,FALSE),"")</f>
        <v/>
      </c>
      <c r="F3560" s="49" t="str">
        <f>IFERROR(VLOOKUP(E3560,'Condensed Specialty Crosswalk'!$A$2:$C$106,2,FALSE),"")</f>
        <v/>
      </c>
      <c r="G3560" s="49" t="str">
        <f>IFERROR(VLOOKUP(E3560,'Condensed Specialty Crosswalk'!$A$2:$C$106,3,FALSE),"")</f>
        <v/>
      </c>
    </row>
    <row r="3561" spans="5:7" ht="15" customHeight="1">
      <c r="E3561" s="49" t="str">
        <f>IFERROR(VLOOKUP(D3561,'taxonomy map'!$A$1:$C$107,2,FALSE),"")</f>
        <v/>
      </c>
      <c r="F3561" s="49" t="str">
        <f>IFERROR(VLOOKUP(E3561,'Condensed Specialty Crosswalk'!$A$2:$C$106,2,FALSE),"")</f>
        <v/>
      </c>
      <c r="G3561" s="49" t="str">
        <f>IFERROR(VLOOKUP(E3561,'Condensed Specialty Crosswalk'!$A$2:$C$106,3,FALSE),"")</f>
        <v/>
      </c>
    </row>
    <row r="3562" spans="5:7" ht="15" customHeight="1">
      <c r="E3562" s="49" t="str">
        <f>IFERROR(VLOOKUP(D3562,'taxonomy map'!$A$1:$C$107,2,FALSE),"")</f>
        <v/>
      </c>
      <c r="F3562" s="49" t="str">
        <f>IFERROR(VLOOKUP(E3562,'Condensed Specialty Crosswalk'!$A$2:$C$106,2,FALSE),"")</f>
        <v/>
      </c>
      <c r="G3562" s="49" t="str">
        <f>IFERROR(VLOOKUP(E3562,'Condensed Specialty Crosswalk'!$A$2:$C$106,3,FALSE),"")</f>
        <v/>
      </c>
    </row>
    <row r="3563" spans="5:7" ht="15" customHeight="1">
      <c r="E3563" s="49" t="str">
        <f>IFERROR(VLOOKUP(D3563,'taxonomy map'!$A$1:$C$107,2,FALSE),"")</f>
        <v/>
      </c>
      <c r="F3563" s="49" t="str">
        <f>IFERROR(VLOOKUP(E3563,'Condensed Specialty Crosswalk'!$A$2:$C$106,2,FALSE),"")</f>
        <v/>
      </c>
      <c r="G3563" s="49" t="str">
        <f>IFERROR(VLOOKUP(E3563,'Condensed Specialty Crosswalk'!$A$2:$C$106,3,FALSE),"")</f>
        <v/>
      </c>
    </row>
    <row r="3564" spans="5:7" ht="15" customHeight="1">
      <c r="E3564" s="49" t="str">
        <f>IFERROR(VLOOKUP(D3564,'taxonomy map'!$A$1:$C$107,2,FALSE),"")</f>
        <v/>
      </c>
      <c r="F3564" s="49" t="str">
        <f>IFERROR(VLOOKUP(E3564,'Condensed Specialty Crosswalk'!$A$2:$C$106,2,FALSE),"")</f>
        <v/>
      </c>
      <c r="G3564" s="49" t="str">
        <f>IFERROR(VLOOKUP(E3564,'Condensed Specialty Crosswalk'!$A$2:$C$106,3,FALSE),"")</f>
        <v/>
      </c>
    </row>
    <row r="3565" spans="5:7" ht="15" customHeight="1">
      <c r="E3565" s="49" t="str">
        <f>IFERROR(VLOOKUP(D3565,'taxonomy map'!$A$1:$C$107,2,FALSE),"")</f>
        <v/>
      </c>
      <c r="F3565" s="49" t="str">
        <f>IFERROR(VLOOKUP(E3565,'Condensed Specialty Crosswalk'!$A$2:$C$106,2,FALSE),"")</f>
        <v/>
      </c>
      <c r="G3565" s="49" t="str">
        <f>IFERROR(VLOOKUP(E3565,'Condensed Specialty Crosswalk'!$A$2:$C$106,3,FALSE),"")</f>
        <v/>
      </c>
    </row>
    <row r="3566" spans="5:7" ht="15" customHeight="1">
      <c r="E3566" s="49" t="str">
        <f>IFERROR(VLOOKUP(D3566,'taxonomy map'!$A$1:$C$107,2,FALSE),"")</f>
        <v/>
      </c>
      <c r="F3566" s="49" t="str">
        <f>IFERROR(VLOOKUP(E3566,'Condensed Specialty Crosswalk'!$A$2:$C$106,2,FALSE),"")</f>
        <v/>
      </c>
      <c r="G3566" s="49" t="str">
        <f>IFERROR(VLOOKUP(E3566,'Condensed Specialty Crosswalk'!$A$2:$C$106,3,FALSE),"")</f>
        <v/>
      </c>
    </row>
    <row r="3567" spans="5:7" ht="15" customHeight="1">
      <c r="E3567" s="49" t="str">
        <f>IFERROR(VLOOKUP(D3567,'taxonomy map'!$A$1:$C$107,2,FALSE),"")</f>
        <v/>
      </c>
      <c r="F3567" s="49" t="str">
        <f>IFERROR(VLOOKUP(E3567,'Condensed Specialty Crosswalk'!$A$2:$C$106,2,FALSE),"")</f>
        <v/>
      </c>
      <c r="G3567" s="49" t="str">
        <f>IFERROR(VLOOKUP(E3567,'Condensed Specialty Crosswalk'!$A$2:$C$106,3,FALSE),"")</f>
        <v/>
      </c>
    </row>
    <row r="3568" spans="5:7" ht="15" customHeight="1">
      <c r="E3568" s="49" t="str">
        <f>IFERROR(VLOOKUP(D3568,'taxonomy map'!$A$1:$C$107,2,FALSE),"")</f>
        <v/>
      </c>
      <c r="F3568" s="49" t="str">
        <f>IFERROR(VLOOKUP(E3568,'Condensed Specialty Crosswalk'!$A$2:$C$106,2,FALSE),"")</f>
        <v/>
      </c>
      <c r="G3568" s="49" t="str">
        <f>IFERROR(VLOOKUP(E3568,'Condensed Specialty Crosswalk'!$A$2:$C$106,3,FALSE),"")</f>
        <v/>
      </c>
    </row>
    <row r="3569" spans="5:7" ht="15" customHeight="1">
      <c r="E3569" s="49" t="str">
        <f>IFERROR(VLOOKUP(D3569,'taxonomy map'!$A$1:$C$107,2,FALSE),"")</f>
        <v/>
      </c>
      <c r="F3569" s="49" t="str">
        <f>IFERROR(VLOOKUP(E3569,'Condensed Specialty Crosswalk'!$A$2:$C$106,2,FALSE),"")</f>
        <v/>
      </c>
      <c r="G3569" s="49" t="str">
        <f>IFERROR(VLOOKUP(E3569,'Condensed Specialty Crosswalk'!$A$2:$C$106,3,FALSE),"")</f>
        <v/>
      </c>
    </row>
    <row r="3570" spans="5:7" ht="15" customHeight="1">
      <c r="E3570" s="49" t="str">
        <f>IFERROR(VLOOKUP(D3570,'taxonomy map'!$A$1:$C$107,2,FALSE),"")</f>
        <v/>
      </c>
      <c r="F3570" s="49" t="str">
        <f>IFERROR(VLOOKUP(E3570,'Condensed Specialty Crosswalk'!$A$2:$C$106,2,FALSE),"")</f>
        <v/>
      </c>
      <c r="G3570" s="49" t="str">
        <f>IFERROR(VLOOKUP(E3570,'Condensed Specialty Crosswalk'!$A$2:$C$106,3,FALSE),"")</f>
        <v/>
      </c>
    </row>
    <row r="3571" spans="5:7" ht="15" customHeight="1">
      <c r="E3571" s="49" t="str">
        <f>IFERROR(VLOOKUP(D3571,'taxonomy map'!$A$1:$C$107,2,FALSE),"")</f>
        <v/>
      </c>
      <c r="F3571" s="49" t="str">
        <f>IFERROR(VLOOKUP(E3571,'Condensed Specialty Crosswalk'!$A$2:$C$106,2,FALSE),"")</f>
        <v/>
      </c>
      <c r="G3571" s="49" t="str">
        <f>IFERROR(VLOOKUP(E3571,'Condensed Specialty Crosswalk'!$A$2:$C$106,3,FALSE),"")</f>
        <v/>
      </c>
    </row>
    <row r="3572" spans="5:7" ht="15" customHeight="1">
      <c r="E3572" s="49" t="str">
        <f>IFERROR(VLOOKUP(D3572,'taxonomy map'!$A$1:$C$107,2,FALSE),"")</f>
        <v/>
      </c>
      <c r="F3572" s="49" t="str">
        <f>IFERROR(VLOOKUP(E3572,'Condensed Specialty Crosswalk'!$A$2:$C$106,2,FALSE),"")</f>
        <v/>
      </c>
      <c r="G3572" s="49" t="str">
        <f>IFERROR(VLOOKUP(E3572,'Condensed Specialty Crosswalk'!$A$2:$C$106,3,FALSE),"")</f>
        <v/>
      </c>
    </row>
    <row r="3573" spans="5:7" ht="15" customHeight="1">
      <c r="E3573" s="49" t="str">
        <f>IFERROR(VLOOKUP(D3573,'taxonomy map'!$A$1:$C$107,2,FALSE),"")</f>
        <v/>
      </c>
      <c r="F3573" s="49" t="str">
        <f>IFERROR(VLOOKUP(E3573,'Condensed Specialty Crosswalk'!$A$2:$C$106,2,FALSE),"")</f>
        <v/>
      </c>
      <c r="G3573" s="49" t="str">
        <f>IFERROR(VLOOKUP(E3573,'Condensed Specialty Crosswalk'!$A$2:$C$106,3,FALSE),"")</f>
        <v/>
      </c>
    </row>
    <row r="3574" spans="5:7" ht="15" customHeight="1">
      <c r="E3574" s="49" t="str">
        <f>IFERROR(VLOOKUP(D3574,'taxonomy map'!$A$1:$C$107,2,FALSE),"")</f>
        <v/>
      </c>
      <c r="F3574" s="49" t="str">
        <f>IFERROR(VLOOKUP(E3574,'Condensed Specialty Crosswalk'!$A$2:$C$106,2,FALSE),"")</f>
        <v/>
      </c>
      <c r="G3574" s="49" t="str">
        <f>IFERROR(VLOOKUP(E3574,'Condensed Specialty Crosswalk'!$A$2:$C$106,3,FALSE),"")</f>
        <v/>
      </c>
    </row>
    <row r="3575" spans="5:7" ht="15" customHeight="1">
      <c r="E3575" s="49" t="str">
        <f>IFERROR(VLOOKUP(D3575,'taxonomy map'!$A$1:$C$107,2,FALSE),"")</f>
        <v/>
      </c>
      <c r="F3575" s="49" t="str">
        <f>IFERROR(VLOOKUP(E3575,'Condensed Specialty Crosswalk'!$A$2:$C$106,2,FALSE),"")</f>
        <v/>
      </c>
      <c r="G3575" s="49" t="str">
        <f>IFERROR(VLOOKUP(E3575,'Condensed Specialty Crosswalk'!$A$2:$C$106,3,FALSE),"")</f>
        <v/>
      </c>
    </row>
    <row r="3576" spans="5:7" ht="15" customHeight="1">
      <c r="E3576" s="49" t="str">
        <f>IFERROR(VLOOKUP(D3576,'taxonomy map'!$A$1:$C$107,2,FALSE),"")</f>
        <v/>
      </c>
      <c r="F3576" s="49" t="str">
        <f>IFERROR(VLOOKUP(E3576,'Condensed Specialty Crosswalk'!$A$2:$C$106,2,FALSE),"")</f>
        <v/>
      </c>
      <c r="G3576" s="49" t="str">
        <f>IFERROR(VLOOKUP(E3576,'Condensed Specialty Crosswalk'!$A$2:$C$106,3,FALSE),"")</f>
        <v/>
      </c>
    </row>
    <row r="3577" spans="5:7" ht="15" customHeight="1">
      <c r="E3577" s="49" t="str">
        <f>IFERROR(VLOOKUP(D3577,'taxonomy map'!$A$1:$C$107,2,FALSE),"")</f>
        <v/>
      </c>
      <c r="F3577" s="49" t="str">
        <f>IFERROR(VLOOKUP(E3577,'Condensed Specialty Crosswalk'!$A$2:$C$106,2,FALSE),"")</f>
        <v/>
      </c>
      <c r="G3577" s="49" t="str">
        <f>IFERROR(VLOOKUP(E3577,'Condensed Specialty Crosswalk'!$A$2:$C$106,3,FALSE),"")</f>
        <v/>
      </c>
    </row>
    <row r="3578" spans="5:7" ht="15" customHeight="1">
      <c r="E3578" s="49" t="str">
        <f>IFERROR(VLOOKUP(D3578,'taxonomy map'!$A$1:$C$107,2,FALSE),"")</f>
        <v/>
      </c>
      <c r="F3578" s="49" t="str">
        <f>IFERROR(VLOOKUP(E3578,'Condensed Specialty Crosswalk'!$A$2:$C$106,2,FALSE),"")</f>
        <v/>
      </c>
      <c r="G3578" s="49" t="str">
        <f>IFERROR(VLOOKUP(E3578,'Condensed Specialty Crosswalk'!$A$2:$C$106,3,FALSE),"")</f>
        <v/>
      </c>
    </row>
    <row r="3579" spans="5:7" ht="15" customHeight="1">
      <c r="E3579" s="49" t="str">
        <f>IFERROR(VLOOKUP(D3579,'taxonomy map'!$A$1:$C$107,2,FALSE),"")</f>
        <v/>
      </c>
      <c r="F3579" s="49" t="str">
        <f>IFERROR(VLOOKUP(E3579,'Condensed Specialty Crosswalk'!$A$2:$C$106,2,FALSE),"")</f>
        <v/>
      </c>
      <c r="G3579" s="49" t="str">
        <f>IFERROR(VLOOKUP(E3579,'Condensed Specialty Crosswalk'!$A$2:$C$106,3,FALSE),"")</f>
        <v/>
      </c>
    </row>
    <row r="3580" spans="5:7" ht="15" customHeight="1">
      <c r="E3580" s="49" t="str">
        <f>IFERROR(VLOOKUP(D3580,'taxonomy map'!$A$1:$C$107,2,FALSE),"")</f>
        <v/>
      </c>
      <c r="F3580" s="49" t="str">
        <f>IFERROR(VLOOKUP(E3580,'Condensed Specialty Crosswalk'!$A$2:$C$106,2,FALSE),"")</f>
        <v/>
      </c>
      <c r="G3580" s="49" t="str">
        <f>IFERROR(VLOOKUP(E3580,'Condensed Specialty Crosswalk'!$A$2:$C$106,3,FALSE),"")</f>
        <v/>
      </c>
    </row>
    <row r="3581" spans="5:7" ht="15" customHeight="1">
      <c r="E3581" s="49" t="str">
        <f>IFERROR(VLOOKUP(D3581,'taxonomy map'!$A$1:$C$107,2,FALSE),"")</f>
        <v/>
      </c>
      <c r="F3581" s="49" t="str">
        <f>IFERROR(VLOOKUP(E3581,'Condensed Specialty Crosswalk'!$A$2:$C$106,2,FALSE),"")</f>
        <v/>
      </c>
      <c r="G3581" s="49" t="str">
        <f>IFERROR(VLOOKUP(E3581,'Condensed Specialty Crosswalk'!$A$2:$C$106,3,FALSE),"")</f>
        <v/>
      </c>
    </row>
    <row r="3582" spans="5:7" ht="15" customHeight="1">
      <c r="E3582" s="49" t="str">
        <f>IFERROR(VLOOKUP(D3582,'taxonomy map'!$A$1:$C$107,2,FALSE),"")</f>
        <v/>
      </c>
      <c r="F3582" s="49" t="str">
        <f>IFERROR(VLOOKUP(E3582,'Condensed Specialty Crosswalk'!$A$2:$C$106,2,FALSE),"")</f>
        <v/>
      </c>
      <c r="G3582" s="49" t="str">
        <f>IFERROR(VLOOKUP(E3582,'Condensed Specialty Crosswalk'!$A$2:$C$106,3,FALSE),"")</f>
        <v/>
      </c>
    </row>
    <row r="3583" spans="5:7" ht="15" customHeight="1">
      <c r="E3583" s="49" t="str">
        <f>IFERROR(VLOOKUP(D3583,'taxonomy map'!$A$1:$C$107,2,FALSE),"")</f>
        <v/>
      </c>
      <c r="F3583" s="49" t="str">
        <f>IFERROR(VLOOKUP(E3583,'Condensed Specialty Crosswalk'!$A$2:$C$106,2,FALSE),"")</f>
        <v/>
      </c>
      <c r="G3583" s="49" t="str">
        <f>IFERROR(VLOOKUP(E3583,'Condensed Specialty Crosswalk'!$A$2:$C$106,3,FALSE),"")</f>
        <v/>
      </c>
    </row>
    <row r="3584" spans="5:7" ht="15" customHeight="1">
      <c r="E3584" s="49" t="str">
        <f>IFERROR(VLOOKUP(D3584,'taxonomy map'!$A$1:$C$107,2,FALSE),"")</f>
        <v/>
      </c>
      <c r="F3584" s="49" t="str">
        <f>IFERROR(VLOOKUP(E3584,'Condensed Specialty Crosswalk'!$A$2:$C$106,2,FALSE),"")</f>
        <v/>
      </c>
      <c r="G3584" s="49" t="str">
        <f>IFERROR(VLOOKUP(E3584,'Condensed Specialty Crosswalk'!$A$2:$C$106,3,FALSE),"")</f>
        <v/>
      </c>
    </row>
    <row r="3585" spans="5:7" ht="15" customHeight="1">
      <c r="E3585" s="49" t="str">
        <f>IFERROR(VLOOKUP(D3585,'taxonomy map'!$A$1:$C$107,2,FALSE),"")</f>
        <v/>
      </c>
      <c r="F3585" s="49" t="str">
        <f>IFERROR(VLOOKUP(E3585,'Condensed Specialty Crosswalk'!$A$2:$C$106,2,FALSE),"")</f>
        <v/>
      </c>
      <c r="G3585" s="49" t="str">
        <f>IFERROR(VLOOKUP(E3585,'Condensed Specialty Crosswalk'!$A$2:$C$106,3,FALSE),"")</f>
        <v/>
      </c>
    </row>
    <row r="3586" spans="5:7" ht="15" customHeight="1">
      <c r="E3586" s="49" t="str">
        <f>IFERROR(VLOOKUP(D3586,'taxonomy map'!$A$1:$C$107,2,FALSE),"")</f>
        <v/>
      </c>
      <c r="F3586" s="49" t="str">
        <f>IFERROR(VLOOKUP(E3586,'Condensed Specialty Crosswalk'!$A$2:$C$106,2,FALSE),"")</f>
        <v/>
      </c>
      <c r="G3586" s="49" t="str">
        <f>IFERROR(VLOOKUP(E3586,'Condensed Specialty Crosswalk'!$A$2:$C$106,3,FALSE),"")</f>
        <v/>
      </c>
    </row>
    <row r="3587" spans="5:7" ht="15" customHeight="1">
      <c r="E3587" s="49" t="str">
        <f>IFERROR(VLOOKUP(D3587,'taxonomy map'!$A$1:$C$107,2,FALSE),"")</f>
        <v/>
      </c>
      <c r="F3587" s="49" t="str">
        <f>IFERROR(VLOOKUP(E3587,'Condensed Specialty Crosswalk'!$A$2:$C$106,2,FALSE),"")</f>
        <v/>
      </c>
      <c r="G3587" s="49" t="str">
        <f>IFERROR(VLOOKUP(E3587,'Condensed Specialty Crosswalk'!$A$2:$C$106,3,FALSE),"")</f>
        <v/>
      </c>
    </row>
    <row r="3588" spans="5:7" ht="15" customHeight="1">
      <c r="E3588" s="49" t="str">
        <f>IFERROR(VLOOKUP(D3588,'taxonomy map'!$A$1:$C$107,2,FALSE),"")</f>
        <v/>
      </c>
      <c r="F3588" s="49" t="str">
        <f>IFERROR(VLOOKUP(E3588,'Condensed Specialty Crosswalk'!$A$2:$C$106,2,FALSE),"")</f>
        <v/>
      </c>
      <c r="G3588" s="49" t="str">
        <f>IFERROR(VLOOKUP(E3588,'Condensed Specialty Crosswalk'!$A$2:$C$106,3,FALSE),"")</f>
        <v/>
      </c>
    </row>
    <row r="3589" spans="5:7" ht="15" customHeight="1">
      <c r="E3589" s="49" t="str">
        <f>IFERROR(VLOOKUP(D3589,'taxonomy map'!$A$1:$C$107,2,FALSE),"")</f>
        <v/>
      </c>
      <c r="F3589" s="49" t="str">
        <f>IFERROR(VLOOKUP(E3589,'Condensed Specialty Crosswalk'!$A$2:$C$106,2,FALSE),"")</f>
        <v/>
      </c>
      <c r="G3589" s="49" t="str">
        <f>IFERROR(VLOOKUP(E3589,'Condensed Specialty Crosswalk'!$A$2:$C$106,3,FALSE),"")</f>
        <v/>
      </c>
    </row>
    <row r="3590" spans="5:7" ht="15" customHeight="1">
      <c r="E3590" s="49" t="str">
        <f>IFERROR(VLOOKUP(D3590,'taxonomy map'!$A$1:$C$107,2,FALSE),"")</f>
        <v/>
      </c>
      <c r="F3590" s="49" t="str">
        <f>IFERROR(VLOOKUP(E3590,'Condensed Specialty Crosswalk'!$A$2:$C$106,2,FALSE),"")</f>
        <v/>
      </c>
      <c r="G3590" s="49" t="str">
        <f>IFERROR(VLOOKUP(E3590,'Condensed Specialty Crosswalk'!$A$2:$C$106,3,FALSE),"")</f>
        <v/>
      </c>
    </row>
    <row r="3591" spans="5:7" ht="15" customHeight="1">
      <c r="E3591" s="49" t="str">
        <f>IFERROR(VLOOKUP(D3591,'taxonomy map'!$A$1:$C$107,2,FALSE),"")</f>
        <v/>
      </c>
      <c r="F3591" s="49" t="str">
        <f>IFERROR(VLOOKUP(E3591,'Condensed Specialty Crosswalk'!$A$2:$C$106,2,FALSE),"")</f>
        <v/>
      </c>
      <c r="G3591" s="49" t="str">
        <f>IFERROR(VLOOKUP(E3591,'Condensed Specialty Crosswalk'!$A$2:$C$106,3,FALSE),"")</f>
        <v/>
      </c>
    </row>
    <row r="3592" spans="5:7" ht="15" customHeight="1">
      <c r="E3592" s="49" t="str">
        <f>IFERROR(VLOOKUP(D3592,'taxonomy map'!$A$1:$C$107,2,FALSE),"")</f>
        <v/>
      </c>
      <c r="F3592" s="49" t="str">
        <f>IFERROR(VLOOKUP(E3592,'Condensed Specialty Crosswalk'!$A$2:$C$106,2,FALSE),"")</f>
        <v/>
      </c>
      <c r="G3592" s="49" t="str">
        <f>IFERROR(VLOOKUP(E3592,'Condensed Specialty Crosswalk'!$A$2:$C$106,3,FALSE),"")</f>
        <v/>
      </c>
    </row>
    <row r="3593" spans="5:7" ht="15" customHeight="1">
      <c r="E3593" s="49" t="str">
        <f>IFERROR(VLOOKUP(D3593,'taxonomy map'!$A$1:$C$107,2,FALSE),"")</f>
        <v/>
      </c>
      <c r="F3593" s="49" t="str">
        <f>IFERROR(VLOOKUP(E3593,'Condensed Specialty Crosswalk'!$A$2:$C$106,2,FALSE),"")</f>
        <v/>
      </c>
      <c r="G3593" s="49" t="str">
        <f>IFERROR(VLOOKUP(E3593,'Condensed Specialty Crosswalk'!$A$2:$C$106,3,FALSE),"")</f>
        <v/>
      </c>
    </row>
    <row r="3594" spans="5:7" ht="15" customHeight="1">
      <c r="E3594" s="49" t="str">
        <f>IFERROR(VLOOKUP(D3594,'taxonomy map'!$A$1:$C$107,2,FALSE),"")</f>
        <v/>
      </c>
      <c r="F3594" s="49" t="str">
        <f>IFERROR(VLOOKUP(E3594,'Condensed Specialty Crosswalk'!$A$2:$C$106,2,FALSE),"")</f>
        <v/>
      </c>
      <c r="G3594" s="49" t="str">
        <f>IFERROR(VLOOKUP(E3594,'Condensed Specialty Crosswalk'!$A$2:$C$106,3,FALSE),"")</f>
        <v/>
      </c>
    </row>
    <row r="3595" spans="5:7" ht="15" customHeight="1">
      <c r="E3595" s="49" t="str">
        <f>IFERROR(VLOOKUP(D3595,'taxonomy map'!$A$1:$C$107,2,FALSE),"")</f>
        <v/>
      </c>
      <c r="F3595" s="49" t="str">
        <f>IFERROR(VLOOKUP(E3595,'Condensed Specialty Crosswalk'!$A$2:$C$106,2,FALSE),"")</f>
        <v/>
      </c>
      <c r="G3595" s="49" t="str">
        <f>IFERROR(VLOOKUP(E3595,'Condensed Specialty Crosswalk'!$A$2:$C$106,3,FALSE),"")</f>
        <v/>
      </c>
    </row>
    <row r="3596" spans="5:7" ht="15" customHeight="1">
      <c r="E3596" s="49" t="str">
        <f>IFERROR(VLOOKUP(D3596,'taxonomy map'!$A$1:$C$107,2,FALSE),"")</f>
        <v/>
      </c>
      <c r="F3596" s="49" t="str">
        <f>IFERROR(VLOOKUP(E3596,'Condensed Specialty Crosswalk'!$A$2:$C$106,2,FALSE),"")</f>
        <v/>
      </c>
      <c r="G3596" s="49" t="str">
        <f>IFERROR(VLOOKUP(E3596,'Condensed Specialty Crosswalk'!$A$2:$C$106,3,FALSE),"")</f>
        <v/>
      </c>
    </row>
    <row r="3597" spans="5:7" ht="15" customHeight="1">
      <c r="E3597" s="49" t="str">
        <f>IFERROR(VLOOKUP(D3597,'taxonomy map'!$A$1:$C$107,2,FALSE),"")</f>
        <v/>
      </c>
      <c r="F3597" s="49" t="str">
        <f>IFERROR(VLOOKUP(E3597,'Condensed Specialty Crosswalk'!$A$2:$C$106,2,FALSE),"")</f>
        <v/>
      </c>
      <c r="G3597" s="49" t="str">
        <f>IFERROR(VLOOKUP(E3597,'Condensed Specialty Crosswalk'!$A$2:$C$106,3,FALSE),"")</f>
        <v/>
      </c>
    </row>
    <row r="3598" spans="5:7" ht="15" customHeight="1">
      <c r="E3598" s="49" t="str">
        <f>IFERROR(VLOOKUP(D3598,'taxonomy map'!$A$1:$C$107,2,FALSE),"")</f>
        <v/>
      </c>
      <c r="F3598" s="49" t="str">
        <f>IFERROR(VLOOKUP(E3598,'Condensed Specialty Crosswalk'!$A$2:$C$106,2,FALSE),"")</f>
        <v/>
      </c>
      <c r="G3598" s="49" t="str">
        <f>IFERROR(VLOOKUP(E3598,'Condensed Specialty Crosswalk'!$A$2:$C$106,3,FALSE),"")</f>
        <v/>
      </c>
    </row>
    <row r="3599" spans="5:7" ht="15" customHeight="1">
      <c r="E3599" s="49" t="str">
        <f>IFERROR(VLOOKUP(D3599,'taxonomy map'!$A$1:$C$107,2,FALSE),"")</f>
        <v/>
      </c>
      <c r="F3599" s="49" t="str">
        <f>IFERROR(VLOOKUP(E3599,'Condensed Specialty Crosswalk'!$A$2:$C$106,2,FALSE),"")</f>
        <v/>
      </c>
      <c r="G3599" s="49" t="str">
        <f>IFERROR(VLOOKUP(E3599,'Condensed Specialty Crosswalk'!$A$2:$C$106,3,FALSE),"")</f>
        <v/>
      </c>
    </row>
    <row r="3600" spans="5:7" ht="15" customHeight="1">
      <c r="E3600" s="49" t="str">
        <f>IFERROR(VLOOKUP(D3600,'taxonomy map'!$A$1:$C$107,2,FALSE),"")</f>
        <v/>
      </c>
      <c r="F3600" s="49" t="str">
        <f>IFERROR(VLOOKUP(E3600,'Condensed Specialty Crosswalk'!$A$2:$C$106,2,FALSE),"")</f>
        <v/>
      </c>
      <c r="G3600" s="49" t="str">
        <f>IFERROR(VLOOKUP(E3600,'Condensed Specialty Crosswalk'!$A$2:$C$106,3,FALSE),"")</f>
        <v/>
      </c>
    </row>
    <row r="3601" spans="5:7" ht="15" customHeight="1">
      <c r="E3601" s="49" t="str">
        <f>IFERROR(VLOOKUP(D3601,'taxonomy map'!$A$1:$C$107,2,FALSE),"")</f>
        <v/>
      </c>
      <c r="F3601" s="49" t="str">
        <f>IFERROR(VLOOKUP(E3601,'Condensed Specialty Crosswalk'!$A$2:$C$106,2,FALSE),"")</f>
        <v/>
      </c>
      <c r="G3601" s="49" t="str">
        <f>IFERROR(VLOOKUP(E3601,'Condensed Specialty Crosswalk'!$A$2:$C$106,3,FALSE),"")</f>
        <v/>
      </c>
    </row>
    <row r="3602" spans="5:7" ht="15" customHeight="1">
      <c r="E3602" s="49" t="str">
        <f>IFERROR(VLOOKUP(D3602,'taxonomy map'!$A$1:$C$107,2,FALSE),"")</f>
        <v/>
      </c>
      <c r="F3602" s="49" t="str">
        <f>IFERROR(VLOOKUP(E3602,'Condensed Specialty Crosswalk'!$A$2:$C$106,2,FALSE),"")</f>
        <v/>
      </c>
      <c r="G3602" s="49" t="str">
        <f>IFERROR(VLOOKUP(E3602,'Condensed Specialty Crosswalk'!$A$2:$C$106,3,FALSE),"")</f>
        <v/>
      </c>
    </row>
    <row r="3603" spans="5:7" ht="15" customHeight="1">
      <c r="E3603" s="49" t="str">
        <f>IFERROR(VLOOKUP(D3603,'taxonomy map'!$A$1:$C$107,2,FALSE),"")</f>
        <v/>
      </c>
      <c r="F3603" s="49" t="str">
        <f>IFERROR(VLOOKUP(E3603,'Condensed Specialty Crosswalk'!$A$2:$C$106,2,FALSE),"")</f>
        <v/>
      </c>
      <c r="G3603" s="49" t="str">
        <f>IFERROR(VLOOKUP(E3603,'Condensed Specialty Crosswalk'!$A$2:$C$106,3,FALSE),"")</f>
        <v/>
      </c>
    </row>
    <row r="3604" spans="5:7" ht="15" customHeight="1">
      <c r="E3604" s="49" t="str">
        <f>IFERROR(VLOOKUP(D3604,'taxonomy map'!$A$1:$C$107,2,FALSE),"")</f>
        <v/>
      </c>
      <c r="F3604" s="49" t="str">
        <f>IFERROR(VLOOKUP(E3604,'Condensed Specialty Crosswalk'!$A$2:$C$106,2,FALSE),"")</f>
        <v/>
      </c>
      <c r="G3604" s="49" t="str">
        <f>IFERROR(VLOOKUP(E3604,'Condensed Specialty Crosswalk'!$A$2:$C$106,3,FALSE),"")</f>
        <v/>
      </c>
    </row>
    <row r="3605" spans="5:7" ht="15" customHeight="1">
      <c r="E3605" s="49" t="str">
        <f>IFERROR(VLOOKUP(D3605,'taxonomy map'!$A$1:$C$107,2,FALSE),"")</f>
        <v/>
      </c>
      <c r="F3605" s="49" t="str">
        <f>IFERROR(VLOOKUP(E3605,'Condensed Specialty Crosswalk'!$A$2:$C$106,2,FALSE),"")</f>
        <v/>
      </c>
      <c r="G3605" s="49" t="str">
        <f>IFERROR(VLOOKUP(E3605,'Condensed Specialty Crosswalk'!$A$2:$C$106,3,FALSE),"")</f>
        <v/>
      </c>
    </row>
    <row r="3606" spans="5:7" ht="15" customHeight="1">
      <c r="E3606" s="49" t="str">
        <f>IFERROR(VLOOKUP(D3606,'taxonomy map'!$A$1:$C$107,2,FALSE),"")</f>
        <v/>
      </c>
      <c r="F3606" s="49" t="str">
        <f>IFERROR(VLOOKUP(E3606,'Condensed Specialty Crosswalk'!$A$2:$C$106,2,FALSE),"")</f>
        <v/>
      </c>
      <c r="G3606" s="49" t="str">
        <f>IFERROR(VLOOKUP(E3606,'Condensed Specialty Crosswalk'!$A$2:$C$106,3,FALSE),"")</f>
        <v/>
      </c>
    </row>
    <row r="3607" spans="5:7" ht="15" customHeight="1">
      <c r="E3607" s="49" t="str">
        <f>IFERROR(VLOOKUP(D3607,'taxonomy map'!$A$1:$C$107,2,FALSE),"")</f>
        <v/>
      </c>
      <c r="F3607" s="49" t="str">
        <f>IFERROR(VLOOKUP(E3607,'Condensed Specialty Crosswalk'!$A$2:$C$106,2,FALSE),"")</f>
        <v/>
      </c>
      <c r="G3607" s="49" t="str">
        <f>IFERROR(VLOOKUP(E3607,'Condensed Specialty Crosswalk'!$A$2:$C$106,3,FALSE),"")</f>
        <v/>
      </c>
    </row>
    <row r="3608" spans="5:7" ht="15" customHeight="1">
      <c r="E3608" s="49" t="str">
        <f>IFERROR(VLOOKUP(D3608,'taxonomy map'!$A$1:$C$107,2,FALSE),"")</f>
        <v/>
      </c>
      <c r="F3608" s="49" t="str">
        <f>IFERROR(VLOOKUP(E3608,'Condensed Specialty Crosswalk'!$A$2:$C$106,2,FALSE),"")</f>
        <v/>
      </c>
      <c r="G3608" s="49" t="str">
        <f>IFERROR(VLOOKUP(E3608,'Condensed Specialty Crosswalk'!$A$2:$C$106,3,FALSE),"")</f>
        <v/>
      </c>
    </row>
    <row r="3609" spans="5:7" ht="15" customHeight="1">
      <c r="E3609" s="49" t="str">
        <f>IFERROR(VLOOKUP(D3609,'taxonomy map'!$A$1:$C$107,2,FALSE),"")</f>
        <v/>
      </c>
      <c r="F3609" s="49" t="str">
        <f>IFERROR(VLOOKUP(E3609,'Condensed Specialty Crosswalk'!$A$2:$C$106,2,FALSE),"")</f>
        <v/>
      </c>
      <c r="G3609" s="49" t="str">
        <f>IFERROR(VLOOKUP(E3609,'Condensed Specialty Crosswalk'!$A$2:$C$106,3,FALSE),"")</f>
        <v/>
      </c>
    </row>
    <row r="3610" spans="5:7" ht="15" customHeight="1">
      <c r="E3610" s="49" t="str">
        <f>IFERROR(VLOOKUP(D3610,'taxonomy map'!$A$1:$C$107,2,FALSE),"")</f>
        <v/>
      </c>
      <c r="F3610" s="49" t="str">
        <f>IFERROR(VLOOKUP(E3610,'Condensed Specialty Crosswalk'!$A$2:$C$106,2,FALSE),"")</f>
        <v/>
      </c>
      <c r="G3610" s="49" t="str">
        <f>IFERROR(VLOOKUP(E3610,'Condensed Specialty Crosswalk'!$A$2:$C$106,3,FALSE),"")</f>
        <v/>
      </c>
    </row>
    <row r="3611" spans="5:7" ht="15" customHeight="1">
      <c r="E3611" s="49" t="str">
        <f>IFERROR(VLOOKUP(D3611,'taxonomy map'!$A$1:$C$107,2,FALSE),"")</f>
        <v/>
      </c>
      <c r="F3611" s="49" t="str">
        <f>IFERROR(VLOOKUP(E3611,'Condensed Specialty Crosswalk'!$A$2:$C$106,2,FALSE),"")</f>
        <v/>
      </c>
      <c r="G3611" s="49" t="str">
        <f>IFERROR(VLOOKUP(E3611,'Condensed Specialty Crosswalk'!$A$2:$C$106,3,FALSE),"")</f>
        <v/>
      </c>
    </row>
    <row r="3612" spans="5:7" ht="15" customHeight="1">
      <c r="E3612" s="49" t="str">
        <f>IFERROR(VLOOKUP(D3612,'taxonomy map'!$A$1:$C$107,2,FALSE),"")</f>
        <v/>
      </c>
      <c r="F3612" s="49" t="str">
        <f>IFERROR(VLOOKUP(E3612,'Condensed Specialty Crosswalk'!$A$2:$C$106,2,FALSE),"")</f>
        <v/>
      </c>
      <c r="G3612" s="49" t="str">
        <f>IFERROR(VLOOKUP(E3612,'Condensed Specialty Crosswalk'!$A$2:$C$106,3,FALSE),"")</f>
        <v/>
      </c>
    </row>
    <row r="3613" spans="5:7" ht="15" customHeight="1">
      <c r="E3613" s="49" t="str">
        <f>IFERROR(VLOOKUP(D3613,'taxonomy map'!$A$1:$C$107,2,FALSE),"")</f>
        <v/>
      </c>
      <c r="F3613" s="49" t="str">
        <f>IFERROR(VLOOKUP(E3613,'Condensed Specialty Crosswalk'!$A$2:$C$106,2,FALSE),"")</f>
        <v/>
      </c>
      <c r="G3613" s="49" t="str">
        <f>IFERROR(VLOOKUP(E3613,'Condensed Specialty Crosswalk'!$A$2:$C$106,3,FALSE),"")</f>
        <v/>
      </c>
    </row>
    <row r="3614" spans="5:7" ht="15" customHeight="1">
      <c r="E3614" s="49" t="str">
        <f>IFERROR(VLOOKUP(D3614,'taxonomy map'!$A$1:$C$107,2,FALSE),"")</f>
        <v/>
      </c>
      <c r="F3614" s="49" t="str">
        <f>IFERROR(VLOOKUP(E3614,'Condensed Specialty Crosswalk'!$A$2:$C$106,2,FALSE),"")</f>
        <v/>
      </c>
      <c r="G3614" s="49" t="str">
        <f>IFERROR(VLOOKUP(E3614,'Condensed Specialty Crosswalk'!$A$2:$C$106,3,FALSE),"")</f>
        <v/>
      </c>
    </row>
    <row r="3615" spans="5:7" ht="15" customHeight="1">
      <c r="E3615" s="49" t="str">
        <f>IFERROR(VLOOKUP(D3615,'taxonomy map'!$A$1:$C$107,2,FALSE),"")</f>
        <v/>
      </c>
      <c r="F3615" s="49" t="str">
        <f>IFERROR(VLOOKUP(E3615,'Condensed Specialty Crosswalk'!$A$2:$C$106,2,FALSE),"")</f>
        <v/>
      </c>
      <c r="G3615" s="49" t="str">
        <f>IFERROR(VLOOKUP(E3615,'Condensed Specialty Crosswalk'!$A$2:$C$106,3,FALSE),"")</f>
        <v/>
      </c>
    </row>
    <row r="3616" spans="5:7" ht="15" customHeight="1">
      <c r="E3616" s="49" t="str">
        <f>IFERROR(VLOOKUP(D3616,'taxonomy map'!$A$1:$C$107,2,FALSE),"")</f>
        <v/>
      </c>
      <c r="F3616" s="49" t="str">
        <f>IFERROR(VLOOKUP(E3616,'Condensed Specialty Crosswalk'!$A$2:$C$106,2,FALSE),"")</f>
        <v/>
      </c>
      <c r="G3616" s="49" t="str">
        <f>IFERROR(VLOOKUP(E3616,'Condensed Specialty Crosswalk'!$A$2:$C$106,3,FALSE),"")</f>
        <v/>
      </c>
    </row>
    <row r="3617" spans="5:7" ht="15" customHeight="1">
      <c r="E3617" s="49" t="str">
        <f>IFERROR(VLOOKUP(D3617,'taxonomy map'!$A$1:$C$107,2,FALSE),"")</f>
        <v/>
      </c>
      <c r="F3617" s="49" t="str">
        <f>IFERROR(VLOOKUP(E3617,'Condensed Specialty Crosswalk'!$A$2:$C$106,2,FALSE),"")</f>
        <v/>
      </c>
      <c r="G3617" s="49" t="str">
        <f>IFERROR(VLOOKUP(E3617,'Condensed Specialty Crosswalk'!$A$2:$C$106,3,FALSE),"")</f>
        <v/>
      </c>
    </row>
    <row r="3618" spans="5:7" ht="15" customHeight="1">
      <c r="E3618" s="49" t="str">
        <f>IFERROR(VLOOKUP(D3618,'taxonomy map'!$A$1:$C$107,2,FALSE),"")</f>
        <v/>
      </c>
      <c r="F3618" s="49" t="str">
        <f>IFERROR(VLOOKUP(E3618,'Condensed Specialty Crosswalk'!$A$2:$C$106,2,FALSE),"")</f>
        <v/>
      </c>
      <c r="G3618" s="49" t="str">
        <f>IFERROR(VLOOKUP(E3618,'Condensed Specialty Crosswalk'!$A$2:$C$106,3,FALSE),"")</f>
        <v/>
      </c>
    </row>
    <row r="3619" spans="5:7" ht="15" customHeight="1">
      <c r="E3619" s="49" t="str">
        <f>IFERROR(VLOOKUP(D3619,'taxonomy map'!$A$1:$C$107,2,FALSE),"")</f>
        <v/>
      </c>
      <c r="F3619" s="49" t="str">
        <f>IFERROR(VLOOKUP(E3619,'Condensed Specialty Crosswalk'!$A$2:$C$106,2,FALSE),"")</f>
        <v/>
      </c>
      <c r="G3619" s="49" t="str">
        <f>IFERROR(VLOOKUP(E3619,'Condensed Specialty Crosswalk'!$A$2:$C$106,3,FALSE),"")</f>
        <v/>
      </c>
    </row>
    <row r="3620" spans="5:7" ht="15" customHeight="1">
      <c r="E3620" s="49" t="str">
        <f>IFERROR(VLOOKUP(D3620,'taxonomy map'!$A$1:$C$107,2,FALSE),"")</f>
        <v/>
      </c>
      <c r="F3620" s="49" t="str">
        <f>IFERROR(VLOOKUP(E3620,'Condensed Specialty Crosswalk'!$A$2:$C$106,2,FALSE),"")</f>
        <v/>
      </c>
      <c r="G3620" s="49" t="str">
        <f>IFERROR(VLOOKUP(E3620,'Condensed Specialty Crosswalk'!$A$2:$C$106,3,FALSE),"")</f>
        <v/>
      </c>
    </row>
    <row r="3621" spans="5:7" ht="15" customHeight="1">
      <c r="E3621" s="49" t="str">
        <f>IFERROR(VLOOKUP(D3621,'taxonomy map'!$A$1:$C$107,2,FALSE),"")</f>
        <v/>
      </c>
      <c r="F3621" s="49" t="str">
        <f>IFERROR(VLOOKUP(E3621,'Condensed Specialty Crosswalk'!$A$2:$C$106,2,FALSE),"")</f>
        <v/>
      </c>
      <c r="G3621" s="49" t="str">
        <f>IFERROR(VLOOKUP(E3621,'Condensed Specialty Crosswalk'!$A$2:$C$106,3,FALSE),"")</f>
        <v/>
      </c>
    </row>
    <row r="3622" spans="5:7" ht="15" customHeight="1">
      <c r="E3622" s="49" t="str">
        <f>IFERROR(VLOOKUP(D3622,'taxonomy map'!$A$1:$C$107,2,FALSE),"")</f>
        <v/>
      </c>
      <c r="F3622" s="49" t="str">
        <f>IFERROR(VLOOKUP(E3622,'Condensed Specialty Crosswalk'!$A$2:$C$106,2,FALSE),"")</f>
        <v/>
      </c>
      <c r="G3622" s="49" t="str">
        <f>IFERROR(VLOOKUP(E3622,'Condensed Specialty Crosswalk'!$A$2:$C$106,3,FALSE),"")</f>
        <v/>
      </c>
    </row>
    <row r="3623" spans="5:7" ht="15" customHeight="1">
      <c r="E3623" s="49" t="str">
        <f>IFERROR(VLOOKUP(D3623,'taxonomy map'!$A$1:$C$107,2,FALSE),"")</f>
        <v/>
      </c>
      <c r="F3623" s="49" t="str">
        <f>IFERROR(VLOOKUP(E3623,'Condensed Specialty Crosswalk'!$A$2:$C$106,2,FALSE),"")</f>
        <v/>
      </c>
      <c r="G3623" s="49" t="str">
        <f>IFERROR(VLOOKUP(E3623,'Condensed Specialty Crosswalk'!$A$2:$C$106,3,FALSE),"")</f>
        <v/>
      </c>
    </row>
    <row r="3624" spans="5:7" ht="15" customHeight="1">
      <c r="E3624" s="49" t="str">
        <f>IFERROR(VLOOKUP(D3624,'taxonomy map'!$A$1:$C$107,2,FALSE),"")</f>
        <v/>
      </c>
      <c r="F3624" s="49" t="str">
        <f>IFERROR(VLOOKUP(E3624,'Condensed Specialty Crosswalk'!$A$2:$C$106,2,FALSE),"")</f>
        <v/>
      </c>
      <c r="G3624" s="49" t="str">
        <f>IFERROR(VLOOKUP(E3624,'Condensed Specialty Crosswalk'!$A$2:$C$106,3,FALSE),"")</f>
        <v/>
      </c>
    </row>
    <row r="3625" spans="5:7" ht="15" customHeight="1">
      <c r="E3625" s="49" t="str">
        <f>IFERROR(VLOOKUP(D3625,'taxonomy map'!$A$1:$C$107,2,FALSE),"")</f>
        <v/>
      </c>
      <c r="F3625" s="49" t="str">
        <f>IFERROR(VLOOKUP(E3625,'Condensed Specialty Crosswalk'!$A$2:$C$106,2,FALSE),"")</f>
        <v/>
      </c>
      <c r="G3625" s="49" t="str">
        <f>IFERROR(VLOOKUP(E3625,'Condensed Specialty Crosswalk'!$A$2:$C$106,3,FALSE),"")</f>
        <v/>
      </c>
    </row>
    <row r="3626" spans="5:7" ht="15" customHeight="1">
      <c r="E3626" s="49" t="str">
        <f>IFERROR(VLOOKUP(D3626,'taxonomy map'!$A$1:$C$107,2,FALSE),"")</f>
        <v/>
      </c>
      <c r="F3626" s="49" t="str">
        <f>IFERROR(VLOOKUP(E3626,'Condensed Specialty Crosswalk'!$A$2:$C$106,2,FALSE),"")</f>
        <v/>
      </c>
      <c r="G3626" s="49" t="str">
        <f>IFERROR(VLOOKUP(E3626,'Condensed Specialty Crosswalk'!$A$2:$C$106,3,FALSE),"")</f>
        <v/>
      </c>
    </row>
    <row r="3627" spans="5:7" ht="15" customHeight="1">
      <c r="E3627" s="49" t="str">
        <f>IFERROR(VLOOKUP(D3627,'taxonomy map'!$A$1:$C$107,2,FALSE),"")</f>
        <v/>
      </c>
      <c r="F3627" s="49" t="str">
        <f>IFERROR(VLOOKUP(E3627,'Condensed Specialty Crosswalk'!$A$2:$C$106,2,FALSE),"")</f>
        <v/>
      </c>
      <c r="G3627" s="49" t="str">
        <f>IFERROR(VLOOKUP(E3627,'Condensed Specialty Crosswalk'!$A$2:$C$106,3,FALSE),"")</f>
        <v/>
      </c>
    </row>
    <row r="3628" spans="5:7" ht="15" customHeight="1">
      <c r="E3628" s="49" t="str">
        <f>IFERROR(VLOOKUP(D3628,'taxonomy map'!$A$1:$C$107,2,FALSE),"")</f>
        <v/>
      </c>
      <c r="F3628" s="49" t="str">
        <f>IFERROR(VLOOKUP(E3628,'Condensed Specialty Crosswalk'!$A$2:$C$106,2,FALSE),"")</f>
        <v/>
      </c>
      <c r="G3628" s="49" t="str">
        <f>IFERROR(VLOOKUP(E3628,'Condensed Specialty Crosswalk'!$A$2:$C$106,3,FALSE),"")</f>
        <v/>
      </c>
    </row>
    <row r="3629" spans="5:7" ht="15" customHeight="1">
      <c r="E3629" s="49" t="str">
        <f>IFERROR(VLOOKUP(D3629,'taxonomy map'!$A$1:$C$107,2,FALSE),"")</f>
        <v/>
      </c>
      <c r="F3629" s="49" t="str">
        <f>IFERROR(VLOOKUP(E3629,'Condensed Specialty Crosswalk'!$A$2:$C$106,2,FALSE),"")</f>
        <v/>
      </c>
      <c r="G3629" s="49" t="str">
        <f>IFERROR(VLOOKUP(E3629,'Condensed Specialty Crosswalk'!$A$2:$C$106,3,FALSE),"")</f>
        <v/>
      </c>
    </row>
    <row r="3630" spans="5:7" ht="15" customHeight="1">
      <c r="E3630" s="49" t="str">
        <f>IFERROR(VLOOKUP(D3630,'taxonomy map'!$A$1:$C$107,2,FALSE),"")</f>
        <v/>
      </c>
      <c r="F3630" s="49" t="str">
        <f>IFERROR(VLOOKUP(E3630,'Condensed Specialty Crosswalk'!$A$2:$C$106,2,FALSE),"")</f>
        <v/>
      </c>
      <c r="G3630" s="49" t="str">
        <f>IFERROR(VLOOKUP(E3630,'Condensed Specialty Crosswalk'!$A$2:$C$106,3,FALSE),"")</f>
        <v/>
      </c>
    </row>
    <row r="3631" spans="5:7" ht="15" customHeight="1">
      <c r="E3631" s="49" t="str">
        <f>IFERROR(VLOOKUP(D3631,'taxonomy map'!$A$1:$C$107,2,FALSE),"")</f>
        <v/>
      </c>
      <c r="F3631" s="49" t="str">
        <f>IFERROR(VLOOKUP(E3631,'Condensed Specialty Crosswalk'!$A$2:$C$106,2,FALSE),"")</f>
        <v/>
      </c>
      <c r="G3631" s="49" t="str">
        <f>IFERROR(VLOOKUP(E3631,'Condensed Specialty Crosswalk'!$A$2:$C$106,3,FALSE),"")</f>
        <v/>
      </c>
    </row>
    <row r="3632" spans="5:7" ht="15" customHeight="1">
      <c r="E3632" s="49" t="str">
        <f>IFERROR(VLOOKUP(D3632,'taxonomy map'!$A$1:$C$107,2,FALSE),"")</f>
        <v/>
      </c>
      <c r="F3632" s="49" t="str">
        <f>IFERROR(VLOOKUP(E3632,'Condensed Specialty Crosswalk'!$A$2:$C$106,2,FALSE),"")</f>
        <v/>
      </c>
      <c r="G3632" s="49" t="str">
        <f>IFERROR(VLOOKUP(E3632,'Condensed Specialty Crosswalk'!$A$2:$C$106,3,FALSE),"")</f>
        <v/>
      </c>
    </row>
    <row r="3633" spans="5:7" ht="15" customHeight="1">
      <c r="E3633" s="49" t="str">
        <f>IFERROR(VLOOKUP(D3633,'taxonomy map'!$A$1:$C$107,2,FALSE),"")</f>
        <v/>
      </c>
      <c r="F3633" s="49" t="str">
        <f>IFERROR(VLOOKUP(E3633,'Condensed Specialty Crosswalk'!$A$2:$C$106,2,FALSE),"")</f>
        <v/>
      </c>
      <c r="G3633" s="49" t="str">
        <f>IFERROR(VLOOKUP(E3633,'Condensed Specialty Crosswalk'!$A$2:$C$106,3,FALSE),"")</f>
        <v/>
      </c>
    </row>
    <row r="3634" spans="5:7" ht="15" customHeight="1">
      <c r="E3634" s="49" t="str">
        <f>IFERROR(VLOOKUP(D3634,'taxonomy map'!$A$1:$C$107,2,FALSE),"")</f>
        <v/>
      </c>
      <c r="F3634" s="49" t="str">
        <f>IFERROR(VLOOKUP(E3634,'Condensed Specialty Crosswalk'!$A$2:$C$106,2,FALSE),"")</f>
        <v/>
      </c>
      <c r="G3634" s="49" t="str">
        <f>IFERROR(VLOOKUP(E3634,'Condensed Specialty Crosswalk'!$A$2:$C$106,3,FALSE),"")</f>
        <v/>
      </c>
    </row>
    <row r="3635" spans="5:7" ht="15" customHeight="1">
      <c r="E3635" s="49" t="str">
        <f>IFERROR(VLOOKUP(D3635,'taxonomy map'!$A$1:$C$107,2,FALSE),"")</f>
        <v/>
      </c>
      <c r="F3635" s="49" t="str">
        <f>IFERROR(VLOOKUP(E3635,'Condensed Specialty Crosswalk'!$A$2:$C$106,2,FALSE),"")</f>
        <v/>
      </c>
      <c r="G3635" s="49" t="str">
        <f>IFERROR(VLOOKUP(E3635,'Condensed Specialty Crosswalk'!$A$2:$C$106,3,FALSE),"")</f>
        <v/>
      </c>
    </row>
    <row r="3636" spans="5:7" ht="15" customHeight="1">
      <c r="E3636" s="49" t="str">
        <f>IFERROR(VLOOKUP(D3636,'taxonomy map'!$A$1:$C$107,2,FALSE),"")</f>
        <v/>
      </c>
      <c r="F3636" s="49" t="str">
        <f>IFERROR(VLOOKUP(E3636,'Condensed Specialty Crosswalk'!$A$2:$C$106,2,FALSE),"")</f>
        <v/>
      </c>
      <c r="G3636" s="49" t="str">
        <f>IFERROR(VLOOKUP(E3636,'Condensed Specialty Crosswalk'!$A$2:$C$106,3,FALSE),"")</f>
        <v/>
      </c>
    </row>
    <row r="3637" spans="5:7" ht="15" customHeight="1">
      <c r="E3637" s="49" t="str">
        <f>IFERROR(VLOOKUP(D3637,'taxonomy map'!$A$1:$C$107,2,FALSE),"")</f>
        <v/>
      </c>
      <c r="F3637" s="49" t="str">
        <f>IFERROR(VLOOKUP(E3637,'Condensed Specialty Crosswalk'!$A$2:$C$106,2,FALSE),"")</f>
        <v/>
      </c>
      <c r="G3637" s="49" t="str">
        <f>IFERROR(VLOOKUP(E3637,'Condensed Specialty Crosswalk'!$A$2:$C$106,3,FALSE),"")</f>
        <v/>
      </c>
    </row>
    <row r="3638" spans="5:7" ht="15" customHeight="1">
      <c r="E3638" s="49" t="str">
        <f>IFERROR(VLOOKUP(D3638,'taxonomy map'!$A$1:$C$107,2,FALSE),"")</f>
        <v/>
      </c>
      <c r="F3638" s="49" t="str">
        <f>IFERROR(VLOOKUP(E3638,'Condensed Specialty Crosswalk'!$A$2:$C$106,2,FALSE),"")</f>
        <v/>
      </c>
      <c r="G3638" s="49" t="str">
        <f>IFERROR(VLOOKUP(E3638,'Condensed Specialty Crosswalk'!$A$2:$C$106,3,FALSE),"")</f>
        <v/>
      </c>
    </row>
    <row r="3639" spans="5:7" ht="15" customHeight="1">
      <c r="E3639" s="49" t="str">
        <f>IFERROR(VLOOKUP(D3639,'taxonomy map'!$A$1:$C$107,2,FALSE),"")</f>
        <v/>
      </c>
      <c r="F3639" s="49" t="str">
        <f>IFERROR(VLOOKUP(E3639,'Condensed Specialty Crosswalk'!$A$2:$C$106,2,FALSE),"")</f>
        <v/>
      </c>
      <c r="G3639" s="49" t="str">
        <f>IFERROR(VLOOKUP(E3639,'Condensed Specialty Crosswalk'!$A$2:$C$106,3,FALSE),"")</f>
        <v/>
      </c>
    </row>
    <row r="3640" spans="5:7" ht="15" customHeight="1">
      <c r="E3640" s="49" t="str">
        <f>IFERROR(VLOOKUP(D3640,'taxonomy map'!$A$1:$C$107,2,FALSE),"")</f>
        <v/>
      </c>
      <c r="F3640" s="49" t="str">
        <f>IFERROR(VLOOKUP(E3640,'Condensed Specialty Crosswalk'!$A$2:$C$106,2,FALSE),"")</f>
        <v/>
      </c>
      <c r="G3640" s="49" t="str">
        <f>IFERROR(VLOOKUP(E3640,'Condensed Specialty Crosswalk'!$A$2:$C$106,3,FALSE),"")</f>
        <v/>
      </c>
    </row>
    <row r="3641" spans="5:7" ht="15" customHeight="1">
      <c r="E3641" s="49" t="str">
        <f>IFERROR(VLOOKUP(D3641,'taxonomy map'!$A$1:$C$107,2,FALSE),"")</f>
        <v/>
      </c>
      <c r="F3641" s="49" t="str">
        <f>IFERROR(VLOOKUP(E3641,'Condensed Specialty Crosswalk'!$A$2:$C$106,2,FALSE),"")</f>
        <v/>
      </c>
      <c r="G3641" s="49" t="str">
        <f>IFERROR(VLOOKUP(E3641,'Condensed Specialty Crosswalk'!$A$2:$C$106,3,FALSE),"")</f>
        <v/>
      </c>
    </row>
    <row r="3642" spans="5:7" ht="15" customHeight="1">
      <c r="E3642" s="49" t="str">
        <f>IFERROR(VLOOKUP(D3642,'taxonomy map'!$A$1:$C$107,2,FALSE),"")</f>
        <v/>
      </c>
      <c r="F3642" s="49" t="str">
        <f>IFERROR(VLOOKUP(E3642,'Condensed Specialty Crosswalk'!$A$2:$C$106,2,FALSE),"")</f>
        <v/>
      </c>
      <c r="G3642" s="49" t="str">
        <f>IFERROR(VLOOKUP(E3642,'Condensed Specialty Crosswalk'!$A$2:$C$106,3,FALSE),"")</f>
        <v/>
      </c>
    </row>
    <row r="3643" spans="5:7" ht="15" customHeight="1">
      <c r="E3643" s="49" t="str">
        <f>IFERROR(VLOOKUP(D3643,'taxonomy map'!$A$1:$C$107,2,FALSE),"")</f>
        <v/>
      </c>
      <c r="F3643" s="49" t="str">
        <f>IFERROR(VLOOKUP(E3643,'Condensed Specialty Crosswalk'!$A$2:$C$106,2,FALSE),"")</f>
        <v/>
      </c>
      <c r="G3643" s="49" t="str">
        <f>IFERROR(VLOOKUP(E3643,'Condensed Specialty Crosswalk'!$A$2:$C$106,3,FALSE),"")</f>
        <v/>
      </c>
    </row>
    <row r="3644" spans="5:7" ht="15" customHeight="1">
      <c r="E3644" s="49" t="str">
        <f>IFERROR(VLOOKUP(D3644,'taxonomy map'!$A$1:$C$107,2,FALSE),"")</f>
        <v/>
      </c>
      <c r="F3644" s="49" t="str">
        <f>IFERROR(VLOOKUP(E3644,'Condensed Specialty Crosswalk'!$A$2:$C$106,2,FALSE),"")</f>
        <v/>
      </c>
      <c r="G3644" s="49" t="str">
        <f>IFERROR(VLOOKUP(E3644,'Condensed Specialty Crosswalk'!$A$2:$C$106,3,FALSE),"")</f>
        <v/>
      </c>
    </row>
    <row r="3645" spans="5:7" ht="15" customHeight="1">
      <c r="E3645" s="49" t="str">
        <f>IFERROR(VLOOKUP(D3645,'taxonomy map'!$A$1:$C$107,2,FALSE),"")</f>
        <v/>
      </c>
      <c r="F3645" s="49" t="str">
        <f>IFERROR(VLOOKUP(E3645,'Condensed Specialty Crosswalk'!$A$2:$C$106,2,FALSE),"")</f>
        <v/>
      </c>
      <c r="G3645" s="49" t="str">
        <f>IFERROR(VLOOKUP(E3645,'Condensed Specialty Crosswalk'!$A$2:$C$106,3,FALSE),"")</f>
        <v/>
      </c>
    </row>
    <row r="3646" spans="5:7" ht="15" customHeight="1">
      <c r="E3646" s="49" t="str">
        <f>IFERROR(VLOOKUP(D3646,'taxonomy map'!$A$1:$C$107,2,FALSE),"")</f>
        <v/>
      </c>
      <c r="F3646" s="49" t="str">
        <f>IFERROR(VLOOKUP(E3646,'Condensed Specialty Crosswalk'!$A$2:$C$106,2,FALSE),"")</f>
        <v/>
      </c>
      <c r="G3646" s="49" t="str">
        <f>IFERROR(VLOOKUP(E3646,'Condensed Specialty Crosswalk'!$A$2:$C$106,3,FALSE),"")</f>
        <v/>
      </c>
    </row>
    <row r="3647" spans="5:7" ht="15" customHeight="1">
      <c r="E3647" s="49" t="str">
        <f>IFERROR(VLOOKUP(D3647,'taxonomy map'!$A$1:$C$107,2,FALSE),"")</f>
        <v/>
      </c>
      <c r="F3647" s="49" t="str">
        <f>IFERROR(VLOOKUP(E3647,'Condensed Specialty Crosswalk'!$A$2:$C$106,2,FALSE),"")</f>
        <v/>
      </c>
      <c r="G3647" s="49" t="str">
        <f>IFERROR(VLOOKUP(E3647,'Condensed Specialty Crosswalk'!$A$2:$C$106,3,FALSE),"")</f>
        <v/>
      </c>
    </row>
    <row r="3648" spans="5:7" ht="15" customHeight="1">
      <c r="E3648" s="49" t="str">
        <f>IFERROR(VLOOKUP(D3648,'taxonomy map'!$A$1:$C$107,2,FALSE),"")</f>
        <v/>
      </c>
      <c r="F3648" s="49" t="str">
        <f>IFERROR(VLOOKUP(E3648,'Condensed Specialty Crosswalk'!$A$2:$C$106,2,FALSE),"")</f>
        <v/>
      </c>
      <c r="G3648" s="49" t="str">
        <f>IFERROR(VLOOKUP(E3648,'Condensed Specialty Crosswalk'!$A$2:$C$106,3,FALSE),"")</f>
        <v/>
      </c>
    </row>
    <row r="3649" spans="5:7" ht="15" customHeight="1">
      <c r="E3649" s="49" t="str">
        <f>IFERROR(VLOOKUP(D3649,'taxonomy map'!$A$1:$C$107,2,FALSE),"")</f>
        <v/>
      </c>
      <c r="F3649" s="49" t="str">
        <f>IFERROR(VLOOKUP(E3649,'Condensed Specialty Crosswalk'!$A$2:$C$106,2,FALSE),"")</f>
        <v/>
      </c>
      <c r="G3649" s="49" t="str">
        <f>IFERROR(VLOOKUP(E3649,'Condensed Specialty Crosswalk'!$A$2:$C$106,3,FALSE),"")</f>
        <v/>
      </c>
    </row>
    <row r="3650" spans="5:7" ht="15" customHeight="1">
      <c r="E3650" s="49" t="str">
        <f>IFERROR(VLOOKUP(D3650,'taxonomy map'!$A$1:$C$107,2,FALSE),"")</f>
        <v/>
      </c>
      <c r="F3650" s="49" t="str">
        <f>IFERROR(VLOOKUP(E3650,'Condensed Specialty Crosswalk'!$A$2:$C$106,2,FALSE),"")</f>
        <v/>
      </c>
      <c r="G3650" s="49" t="str">
        <f>IFERROR(VLOOKUP(E3650,'Condensed Specialty Crosswalk'!$A$2:$C$106,3,FALSE),"")</f>
        <v/>
      </c>
    </row>
    <row r="3651" spans="5:7" ht="15" customHeight="1">
      <c r="E3651" s="49" t="str">
        <f>IFERROR(VLOOKUP(D3651,'taxonomy map'!$A$1:$C$107,2,FALSE),"")</f>
        <v/>
      </c>
      <c r="F3651" s="49" t="str">
        <f>IFERROR(VLOOKUP(E3651,'Condensed Specialty Crosswalk'!$A$2:$C$106,2,FALSE),"")</f>
        <v/>
      </c>
      <c r="G3651" s="49" t="str">
        <f>IFERROR(VLOOKUP(E3651,'Condensed Specialty Crosswalk'!$A$2:$C$106,3,FALSE),"")</f>
        <v/>
      </c>
    </row>
    <row r="3652" spans="5:7" ht="15" customHeight="1">
      <c r="E3652" s="49" t="str">
        <f>IFERROR(VLOOKUP(D3652,'taxonomy map'!$A$1:$C$107,2,FALSE),"")</f>
        <v/>
      </c>
      <c r="F3652" s="49" t="str">
        <f>IFERROR(VLOOKUP(E3652,'Condensed Specialty Crosswalk'!$A$2:$C$106,2,FALSE),"")</f>
        <v/>
      </c>
      <c r="G3652" s="49" t="str">
        <f>IFERROR(VLOOKUP(E3652,'Condensed Specialty Crosswalk'!$A$2:$C$106,3,FALSE),"")</f>
        <v/>
      </c>
    </row>
    <row r="3653" spans="5:7" ht="15" customHeight="1">
      <c r="E3653" s="49" t="str">
        <f>IFERROR(VLOOKUP(D3653,'taxonomy map'!$A$1:$C$107,2,FALSE),"")</f>
        <v/>
      </c>
      <c r="F3653" s="49" t="str">
        <f>IFERROR(VLOOKUP(E3653,'Condensed Specialty Crosswalk'!$A$2:$C$106,2,FALSE),"")</f>
        <v/>
      </c>
      <c r="G3653" s="49" t="str">
        <f>IFERROR(VLOOKUP(E3653,'Condensed Specialty Crosswalk'!$A$2:$C$106,3,FALSE),"")</f>
        <v/>
      </c>
    </row>
    <row r="3654" spans="5:7" ht="15" customHeight="1">
      <c r="E3654" s="49" t="str">
        <f>IFERROR(VLOOKUP(D3654,'taxonomy map'!$A$1:$C$107,2,FALSE),"")</f>
        <v/>
      </c>
      <c r="F3654" s="49" t="str">
        <f>IFERROR(VLOOKUP(E3654,'Condensed Specialty Crosswalk'!$A$2:$C$106,2,FALSE),"")</f>
        <v/>
      </c>
      <c r="G3654" s="49" t="str">
        <f>IFERROR(VLOOKUP(E3654,'Condensed Specialty Crosswalk'!$A$2:$C$106,3,FALSE),"")</f>
        <v/>
      </c>
    </row>
    <row r="3655" spans="5:7" ht="15" customHeight="1">
      <c r="E3655" s="49" t="str">
        <f>IFERROR(VLOOKUP(D3655,'taxonomy map'!$A$1:$C$107,2,FALSE),"")</f>
        <v/>
      </c>
      <c r="F3655" s="49" t="str">
        <f>IFERROR(VLOOKUP(E3655,'Condensed Specialty Crosswalk'!$A$2:$C$106,2,FALSE),"")</f>
        <v/>
      </c>
      <c r="G3655" s="49" t="str">
        <f>IFERROR(VLOOKUP(E3655,'Condensed Specialty Crosswalk'!$A$2:$C$106,3,FALSE),"")</f>
        <v/>
      </c>
    </row>
    <row r="3656" spans="5:7" ht="15" customHeight="1">
      <c r="E3656" s="49" t="str">
        <f>IFERROR(VLOOKUP(D3656,'taxonomy map'!$A$1:$C$107,2,FALSE),"")</f>
        <v/>
      </c>
      <c r="F3656" s="49" t="str">
        <f>IFERROR(VLOOKUP(E3656,'Condensed Specialty Crosswalk'!$A$2:$C$106,2,FALSE),"")</f>
        <v/>
      </c>
      <c r="G3656" s="49" t="str">
        <f>IFERROR(VLOOKUP(E3656,'Condensed Specialty Crosswalk'!$A$2:$C$106,3,FALSE),"")</f>
        <v/>
      </c>
    </row>
    <row r="3657" spans="5:7" ht="15" customHeight="1">
      <c r="E3657" s="49" t="str">
        <f>IFERROR(VLOOKUP(D3657,'taxonomy map'!$A$1:$C$107,2,FALSE),"")</f>
        <v/>
      </c>
      <c r="F3657" s="49" t="str">
        <f>IFERROR(VLOOKUP(E3657,'Condensed Specialty Crosswalk'!$A$2:$C$106,2,FALSE),"")</f>
        <v/>
      </c>
      <c r="G3657" s="49" t="str">
        <f>IFERROR(VLOOKUP(E3657,'Condensed Specialty Crosswalk'!$A$2:$C$106,3,FALSE),"")</f>
        <v/>
      </c>
    </row>
    <row r="3658" spans="5:7" ht="15" customHeight="1">
      <c r="E3658" s="49" t="str">
        <f>IFERROR(VLOOKUP(D3658,'taxonomy map'!$A$1:$C$107,2,FALSE),"")</f>
        <v/>
      </c>
      <c r="F3658" s="49" t="str">
        <f>IFERROR(VLOOKUP(E3658,'Condensed Specialty Crosswalk'!$A$2:$C$106,2,FALSE),"")</f>
        <v/>
      </c>
      <c r="G3658" s="49" t="str">
        <f>IFERROR(VLOOKUP(E3658,'Condensed Specialty Crosswalk'!$A$2:$C$106,3,FALSE),"")</f>
        <v/>
      </c>
    </row>
    <row r="3659" spans="5:7" ht="15" customHeight="1">
      <c r="E3659" s="49" t="str">
        <f>IFERROR(VLOOKUP(D3659,'taxonomy map'!$A$1:$C$107,2,FALSE),"")</f>
        <v/>
      </c>
      <c r="F3659" s="49" t="str">
        <f>IFERROR(VLOOKUP(E3659,'Condensed Specialty Crosswalk'!$A$2:$C$106,2,FALSE),"")</f>
        <v/>
      </c>
      <c r="G3659" s="49" t="str">
        <f>IFERROR(VLOOKUP(E3659,'Condensed Specialty Crosswalk'!$A$2:$C$106,3,FALSE),"")</f>
        <v/>
      </c>
    </row>
    <row r="3660" spans="5:7" ht="15" customHeight="1">
      <c r="E3660" s="49" t="str">
        <f>IFERROR(VLOOKUP(D3660,'taxonomy map'!$A$1:$C$107,2,FALSE),"")</f>
        <v/>
      </c>
      <c r="F3660" s="49" t="str">
        <f>IFERROR(VLOOKUP(E3660,'Condensed Specialty Crosswalk'!$A$2:$C$106,2,FALSE),"")</f>
        <v/>
      </c>
      <c r="G3660" s="49" t="str">
        <f>IFERROR(VLOOKUP(E3660,'Condensed Specialty Crosswalk'!$A$2:$C$106,3,FALSE),"")</f>
        <v/>
      </c>
    </row>
    <row r="3661" spans="5:7" ht="15" customHeight="1">
      <c r="E3661" s="49" t="str">
        <f>IFERROR(VLOOKUP(D3661,'taxonomy map'!$A$1:$C$107,2,FALSE),"")</f>
        <v/>
      </c>
      <c r="F3661" s="49" t="str">
        <f>IFERROR(VLOOKUP(E3661,'Condensed Specialty Crosswalk'!$A$2:$C$106,2,FALSE),"")</f>
        <v/>
      </c>
      <c r="G3661" s="49" t="str">
        <f>IFERROR(VLOOKUP(E3661,'Condensed Specialty Crosswalk'!$A$2:$C$106,3,FALSE),"")</f>
        <v/>
      </c>
    </row>
    <row r="3662" spans="5:7" ht="15" customHeight="1">
      <c r="E3662" s="49" t="str">
        <f>IFERROR(VLOOKUP(D3662,'taxonomy map'!$A$1:$C$107,2,FALSE),"")</f>
        <v/>
      </c>
      <c r="F3662" s="49" t="str">
        <f>IFERROR(VLOOKUP(E3662,'Condensed Specialty Crosswalk'!$A$2:$C$106,2,FALSE),"")</f>
        <v/>
      </c>
      <c r="G3662" s="49" t="str">
        <f>IFERROR(VLOOKUP(E3662,'Condensed Specialty Crosswalk'!$A$2:$C$106,3,FALSE),"")</f>
        <v/>
      </c>
    </row>
    <row r="3663" spans="5:7" ht="15" customHeight="1">
      <c r="E3663" s="49" t="str">
        <f>IFERROR(VLOOKUP(D3663,'taxonomy map'!$A$1:$C$107,2,FALSE),"")</f>
        <v/>
      </c>
      <c r="F3663" s="49" t="str">
        <f>IFERROR(VLOOKUP(E3663,'Condensed Specialty Crosswalk'!$A$2:$C$106,2,FALSE),"")</f>
        <v/>
      </c>
      <c r="G3663" s="49" t="str">
        <f>IFERROR(VLOOKUP(E3663,'Condensed Specialty Crosswalk'!$A$2:$C$106,3,FALSE),"")</f>
        <v/>
      </c>
    </row>
    <row r="3664" spans="5:7" ht="15" customHeight="1">
      <c r="E3664" s="49" t="str">
        <f>IFERROR(VLOOKUP(D3664,'taxonomy map'!$A$1:$C$107,2,FALSE),"")</f>
        <v/>
      </c>
      <c r="F3664" s="49" t="str">
        <f>IFERROR(VLOOKUP(E3664,'Condensed Specialty Crosswalk'!$A$2:$C$106,2,FALSE),"")</f>
        <v/>
      </c>
      <c r="G3664" s="49" t="str">
        <f>IFERROR(VLOOKUP(E3664,'Condensed Specialty Crosswalk'!$A$2:$C$106,3,FALSE),"")</f>
        <v/>
      </c>
    </row>
    <row r="3665" spans="5:7" ht="15" customHeight="1">
      <c r="E3665" s="49" t="str">
        <f>IFERROR(VLOOKUP(D3665,'taxonomy map'!$A$1:$C$107,2,FALSE),"")</f>
        <v/>
      </c>
      <c r="F3665" s="49" t="str">
        <f>IFERROR(VLOOKUP(E3665,'Condensed Specialty Crosswalk'!$A$2:$C$106,2,FALSE),"")</f>
        <v/>
      </c>
      <c r="G3665" s="49" t="str">
        <f>IFERROR(VLOOKUP(E3665,'Condensed Specialty Crosswalk'!$A$2:$C$106,3,FALSE),"")</f>
        <v/>
      </c>
    </row>
    <row r="3666" spans="5:7" ht="15" customHeight="1">
      <c r="E3666" s="49" t="str">
        <f>IFERROR(VLOOKUP(D3666,'taxonomy map'!$A$1:$C$107,2,FALSE),"")</f>
        <v/>
      </c>
      <c r="F3666" s="49" t="str">
        <f>IFERROR(VLOOKUP(E3666,'Condensed Specialty Crosswalk'!$A$2:$C$106,2,FALSE),"")</f>
        <v/>
      </c>
      <c r="G3666" s="49" t="str">
        <f>IFERROR(VLOOKUP(E3666,'Condensed Specialty Crosswalk'!$A$2:$C$106,3,FALSE),"")</f>
        <v/>
      </c>
    </row>
    <row r="3667" spans="5:7" ht="15" customHeight="1">
      <c r="E3667" s="49" t="str">
        <f>IFERROR(VLOOKUP(D3667,'taxonomy map'!$A$1:$C$107,2,FALSE),"")</f>
        <v/>
      </c>
      <c r="F3667" s="49" t="str">
        <f>IFERROR(VLOOKUP(E3667,'Condensed Specialty Crosswalk'!$A$2:$C$106,2,FALSE),"")</f>
        <v/>
      </c>
      <c r="G3667" s="49" t="str">
        <f>IFERROR(VLOOKUP(E3667,'Condensed Specialty Crosswalk'!$A$2:$C$106,3,FALSE),"")</f>
        <v/>
      </c>
    </row>
    <row r="3668" spans="5:7" ht="15" customHeight="1">
      <c r="E3668" s="49" t="str">
        <f>IFERROR(VLOOKUP(D3668,'taxonomy map'!$A$1:$C$107,2,FALSE),"")</f>
        <v/>
      </c>
      <c r="F3668" s="49" t="str">
        <f>IFERROR(VLOOKUP(E3668,'Condensed Specialty Crosswalk'!$A$2:$C$106,2,FALSE),"")</f>
        <v/>
      </c>
      <c r="G3668" s="49" t="str">
        <f>IFERROR(VLOOKUP(E3668,'Condensed Specialty Crosswalk'!$A$2:$C$106,3,FALSE),"")</f>
        <v/>
      </c>
    </row>
    <row r="3669" spans="5:7" ht="15" customHeight="1">
      <c r="E3669" s="49" t="str">
        <f>IFERROR(VLOOKUP(D3669,'taxonomy map'!$A$1:$C$107,2,FALSE),"")</f>
        <v/>
      </c>
      <c r="F3669" s="49" t="str">
        <f>IFERROR(VLOOKUP(E3669,'Condensed Specialty Crosswalk'!$A$2:$C$106,2,FALSE),"")</f>
        <v/>
      </c>
      <c r="G3669" s="49" t="str">
        <f>IFERROR(VLOOKUP(E3669,'Condensed Specialty Crosswalk'!$A$2:$C$106,3,FALSE),"")</f>
        <v/>
      </c>
    </row>
    <row r="3670" spans="5:7" ht="15" customHeight="1">
      <c r="E3670" s="49" t="str">
        <f>IFERROR(VLOOKUP(D3670,'taxonomy map'!$A$1:$C$107,2,FALSE),"")</f>
        <v/>
      </c>
      <c r="F3670" s="49" t="str">
        <f>IFERROR(VLOOKUP(E3670,'Condensed Specialty Crosswalk'!$A$2:$C$106,2,FALSE),"")</f>
        <v/>
      </c>
      <c r="G3670" s="49" t="str">
        <f>IFERROR(VLOOKUP(E3670,'Condensed Specialty Crosswalk'!$A$2:$C$106,3,FALSE),"")</f>
        <v/>
      </c>
    </row>
    <row r="3671" spans="5:7" ht="15" customHeight="1">
      <c r="E3671" s="49" t="str">
        <f>IFERROR(VLOOKUP(D3671,'taxonomy map'!$A$1:$C$107,2,FALSE),"")</f>
        <v/>
      </c>
      <c r="F3671" s="49" t="str">
        <f>IFERROR(VLOOKUP(E3671,'Condensed Specialty Crosswalk'!$A$2:$C$106,2,FALSE),"")</f>
        <v/>
      </c>
      <c r="G3671" s="49" t="str">
        <f>IFERROR(VLOOKUP(E3671,'Condensed Specialty Crosswalk'!$A$2:$C$106,3,FALSE),"")</f>
        <v/>
      </c>
    </row>
    <row r="3672" spans="5:7" ht="15" customHeight="1">
      <c r="E3672" s="49" t="str">
        <f>IFERROR(VLOOKUP(D3672,'taxonomy map'!$A$1:$C$107,2,FALSE),"")</f>
        <v/>
      </c>
      <c r="F3672" s="49" t="str">
        <f>IFERROR(VLOOKUP(E3672,'Condensed Specialty Crosswalk'!$A$2:$C$106,2,FALSE),"")</f>
        <v/>
      </c>
      <c r="G3672" s="49" t="str">
        <f>IFERROR(VLOOKUP(E3672,'Condensed Specialty Crosswalk'!$A$2:$C$106,3,FALSE),"")</f>
        <v/>
      </c>
    </row>
    <row r="3673" spans="5:7" ht="15" customHeight="1">
      <c r="E3673" s="49" t="str">
        <f>IFERROR(VLOOKUP(D3673,'taxonomy map'!$A$1:$C$107,2,FALSE),"")</f>
        <v/>
      </c>
      <c r="F3673" s="49" t="str">
        <f>IFERROR(VLOOKUP(E3673,'Condensed Specialty Crosswalk'!$A$2:$C$106,2,FALSE),"")</f>
        <v/>
      </c>
      <c r="G3673" s="49" t="str">
        <f>IFERROR(VLOOKUP(E3673,'Condensed Specialty Crosswalk'!$A$2:$C$106,3,FALSE),"")</f>
        <v/>
      </c>
    </row>
    <row r="3674" spans="5:7" ht="15" customHeight="1">
      <c r="E3674" s="49" t="str">
        <f>IFERROR(VLOOKUP(D3674,'taxonomy map'!$A$1:$C$107,2,FALSE),"")</f>
        <v/>
      </c>
      <c r="F3674" s="49" t="str">
        <f>IFERROR(VLOOKUP(E3674,'Condensed Specialty Crosswalk'!$A$2:$C$106,2,FALSE),"")</f>
        <v/>
      </c>
      <c r="G3674" s="49" t="str">
        <f>IFERROR(VLOOKUP(E3674,'Condensed Specialty Crosswalk'!$A$2:$C$106,3,FALSE),"")</f>
        <v/>
      </c>
    </row>
    <row r="3675" spans="5:7" ht="15" customHeight="1">
      <c r="E3675" s="49" t="str">
        <f>IFERROR(VLOOKUP(D3675,'taxonomy map'!$A$1:$C$107,2,FALSE),"")</f>
        <v/>
      </c>
      <c r="F3675" s="49" t="str">
        <f>IFERROR(VLOOKUP(E3675,'Condensed Specialty Crosswalk'!$A$2:$C$106,2,FALSE),"")</f>
        <v/>
      </c>
      <c r="G3675" s="49" t="str">
        <f>IFERROR(VLOOKUP(E3675,'Condensed Specialty Crosswalk'!$A$2:$C$106,3,FALSE),"")</f>
        <v/>
      </c>
    </row>
    <row r="3676" spans="5:7" ht="15" customHeight="1">
      <c r="E3676" s="49" t="str">
        <f>IFERROR(VLOOKUP(D3676,'taxonomy map'!$A$1:$C$107,2,FALSE),"")</f>
        <v/>
      </c>
      <c r="F3676" s="49" t="str">
        <f>IFERROR(VLOOKUP(E3676,'Condensed Specialty Crosswalk'!$A$2:$C$106,2,FALSE),"")</f>
        <v/>
      </c>
      <c r="G3676" s="49" t="str">
        <f>IFERROR(VLOOKUP(E3676,'Condensed Specialty Crosswalk'!$A$2:$C$106,3,FALSE),"")</f>
        <v/>
      </c>
    </row>
    <row r="3677" spans="5:7" ht="15" customHeight="1">
      <c r="E3677" s="49" t="str">
        <f>IFERROR(VLOOKUP(D3677,'taxonomy map'!$A$1:$C$107,2,FALSE),"")</f>
        <v/>
      </c>
      <c r="F3677" s="49" t="str">
        <f>IFERROR(VLOOKUP(E3677,'Condensed Specialty Crosswalk'!$A$2:$C$106,2,FALSE),"")</f>
        <v/>
      </c>
      <c r="G3677" s="49" t="str">
        <f>IFERROR(VLOOKUP(E3677,'Condensed Specialty Crosswalk'!$A$2:$C$106,3,FALSE),"")</f>
        <v/>
      </c>
    </row>
    <row r="3678" spans="5:7" ht="15" customHeight="1">
      <c r="E3678" s="49" t="str">
        <f>IFERROR(VLOOKUP(D3678,'taxonomy map'!$A$1:$C$107,2,FALSE),"")</f>
        <v/>
      </c>
      <c r="F3678" s="49" t="str">
        <f>IFERROR(VLOOKUP(E3678,'Condensed Specialty Crosswalk'!$A$2:$C$106,2,FALSE),"")</f>
        <v/>
      </c>
      <c r="G3678" s="49" t="str">
        <f>IFERROR(VLOOKUP(E3678,'Condensed Specialty Crosswalk'!$A$2:$C$106,3,FALSE),"")</f>
        <v/>
      </c>
    </row>
    <row r="3679" spans="5:7" ht="15" customHeight="1">
      <c r="E3679" s="49" t="str">
        <f>IFERROR(VLOOKUP(D3679,'taxonomy map'!$A$1:$C$107,2,FALSE),"")</f>
        <v/>
      </c>
      <c r="F3679" s="49" t="str">
        <f>IFERROR(VLOOKUP(E3679,'Condensed Specialty Crosswalk'!$A$2:$C$106,2,FALSE),"")</f>
        <v/>
      </c>
      <c r="G3679" s="49" t="str">
        <f>IFERROR(VLOOKUP(E3679,'Condensed Specialty Crosswalk'!$A$2:$C$106,3,FALSE),"")</f>
        <v/>
      </c>
    </row>
    <row r="3680" spans="5:7" ht="15" customHeight="1">
      <c r="E3680" s="49" t="str">
        <f>IFERROR(VLOOKUP(D3680,'taxonomy map'!$A$1:$C$107,2,FALSE),"")</f>
        <v/>
      </c>
      <c r="F3680" s="49" t="str">
        <f>IFERROR(VLOOKUP(E3680,'Condensed Specialty Crosswalk'!$A$2:$C$106,2,FALSE),"")</f>
        <v/>
      </c>
      <c r="G3680" s="49" t="str">
        <f>IFERROR(VLOOKUP(E3680,'Condensed Specialty Crosswalk'!$A$2:$C$106,3,FALSE),"")</f>
        <v/>
      </c>
    </row>
    <row r="3681" spans="5:7" ht="15" customHeight="1">
      <c r="E3681" s="49" t="str">
        <f>IFERROR(VLOOKUP(D3681,'taxonomy map'!$A$1:$C$107,2,FALSE),"")</f>
        <v/>
      </c>
      <c r="F3681" s="49" t="str">
        <f>IFERROR(VLOOKUP(E3681,'Condensed Specialty Crosswalk'!$A$2:$C$106,2,FALSE),"")</f>
        <v/>
      </c>
      <c r="G3681" s="49" t="str">
        <f>IFERROR(VLOOKUP(E3681,'Condensed Specialty Crosswalk'!$A$2:$C$106,3,FALSE),"")</f>
        <v/>
      </c>
    </row>
    <row r="3682" spans="5:7" ht="15" customHeight="1">
      <c r="E3682" s="49" t="str">
        <f>IFERROR(VLOOKUP(D3682,'taxonomy map'!$A$1:$C$107,2,FALSE),"")</f>
        <v/>
      </c>
      <c r="F3682" s="49" t="str">
        <f>IFERROR(VLOOKUP(E3682,'Condensed Specialty Crosswalk'!$A$2:$C$106,2,FALSE),"")</f>
        <v/>
      </c>
      <c r="G3682" s="49" t="str">
        <f>IFERROR(VLOOKUP(E3682,'Condensed Specialty Crosswalk'!$A$2:$C$106,3,FALSE),"")</f>
        <v/>
      </c>
    </row>
    <row r="3683" spans="5:7" ht="15" customHeight="1">
      <c r="E3683" s="49" t="str">
        <f>IFERROR(VLOOKUP(D3683,'taxonomy map'!$A$1:$C$107,2,FALSE),"")</f>
        <v/>
      </c>
      <c r="F3683" s="49" t="str">
        <f>IFERROR(VLOOKUP(E3683,'Condensed Specialty Crosswalk'!$A$2:$C$106,2,FALSE),"")</f>
        <v/>
      </c>
      <c r="G3683" s="49" t="str">
        <f>IFERROR(VLOOKUP(E3683,'Condensed Specialty Crosswalk'!$A$2:$C$106,3,FALSE),"")</f>
        <v/>
      </c>
    </row>
    <row r="3684" spans="5:7" ht="15" customHeight="1">
      <c r="E3684" s="49" t="str">
        <f>IFERROR(VLOOKUP(D3684,'taxonomy map'!$A$1:$C$107,2,FALSE),"")</f>
        <v/>
      </c>
      <c r="F3684" s="49" t="str">
        <f>IFERROR(VLOOKUP(E3684,'Condensed Specialty Crosswalk'!$A$2:$C$106,2,FALSE),"")</f>
        <v/>
      </c>
      <c r="G3684" s="49" t="str">
        <f>IFERROR(VLOOKUP(E3684,'Condensed Specialty Crosswalk'!$A$2:$C$106,3,FALSE),"")</f>
        <v/>
      </c>
    </row>
    <row r="3685" spans="5:7" ht="15" customHeight="1">
      <c r="E3685" s="49" t="str">
        <f>IFERROR(VLOOKUP(D3685,'taxonomy map'!$A$1:$C$107,2,FALSE),"")</f>
        <v/>
      </c>
      <c r="F3685" s="49" t="str">
        <f>IFERROR(VLOOKUP(E3685,'Condensed Specialty Crosswalk'!$A$2:$C$106,2,FALSE),"")</f>
        <v/>
      </c>
      <c r="G3685" s="49" t="str">
        <f>IFERROR(VLOOKUP(E3685,'Condensed Specialty Crosswalk'!$A$2:$C$106,3,FALSE),"")</f>
        <v/>
      </c>
    </row>
    <row r="3686" spans="5:7" ht="15" customHeight="1">
      <c r="E3686" s="49" t="str">
        <f>IFERROR(VLOOKUP(D3686,'taxonomy map'!$A$1:$C$107,2,FALSE),"")</f>
        <v/>
      </c>
      <c r="F3686" s="49" t="str">
        <f>IFERROR(VLOOKUP(E3686,'Condensed Specialty Crosswalk'!$A$2:$C$106,2,FALSE),"")</f>
        <v/>
      </c>
      <c r="G3686" s="49" t="str">
        <f>IFERROR(VLOOKUP(E3686,'Condensed Specialty Crosswalk'!$A$2:$C$106,3,FALSE),"")</f>
        <v/>
      </c>
    </row>
    <row r="3687" spans="5:7" ht="15" customHeight="1">
      <c r="E3687" s="49" t="str">
        <f>IFERROR(VLOOKUP(D3687,'taxonomy map'!$A$1:$C$107,2,FALSE),"")</f>
        <v/>
      </c>
      <c r="F3687" s="49" t="str">
        <f>IFERROR(VLOOKUP(E3687,'Condensed Specialty Crosswalk'!$A$2:$C$106,2,FALSE),"")</f>
        <v/>
      </c>
      <c r="G3687" s="49" t="str">
        <f>IFERROR(VLOOKUP(E3687,'Condensed Specialty Crosswalk'!$A$2:$C$106,3,FALSE),"")</f>
        <v/>
      </c>
    </row>
    <row r="3688" spans="5:7" ht="15" customHeight="1">
      <c r="E3688" s="49" t="str">
        <f>IFERROR(VLOOKUP(D3688,'taxonomy map'!$A$1:$C$107,2,FALSE),"")</f>
        <v/>
      </c>
      <c r="F3688" s="49" t="str">
        <f>IFERROR(VLOOKUP(E3688,'Condensed Specialty Crosswalk'!$A$2:$C$106,2,FALSE),"")</f>
        <v/>
      </c>
      <c r="G3688" s="49" t="str">
        <f>IFERROR(VLOOKUP(E3688,'Condensed Specialty Crosswalk'!$A$2:$C$106,3,FALSE),"")</f>
        <v/>
      </c>
    </row>
    <row r="3689" spans="5:7" ht="15" customHeight="1">
      <c r="E3689" s="49" t="str">
        <f>IFERROR(VLOOKUP(D3689,'taxonomy map'!$A$1:$C$107,2,FALSE),"")</f>
        <v/>
      </c>
      <c r="F3689" s="49" t="str">
        <f>IFERROR(VLOOKUP(E3689,'Condensed Specialty Crosswalk'!$A$2:$C$106,2,FALSE),"")</f>
        <v/>
      </c>
      <c r="G3689" s="49" t="str">
        <f>IFERROR(VLOOKUP(E3689,'Condensed Specialty Crosswalk'!$A$2:$C$106,3,FALSE),"")</f>
        <v/>
      </c>
    </row>
    <row r="3690" spans="5:7" ht="15" customHeight="1">
      <c r="E3690" s="49" t="str">
        <f>IFERROR(VLOOKUP(D3690,'taxonomy map'!$A$1:$C$107,2,FALSE),"")</f>
        <v/>
      </c>
      <c r="F3690" s="49" t="str">
        <f>IFERROR(VLOOKUP(E3690,'Condensed Specialty Crosswalk'!$A$2:$C$106,2,FALSE),"")</f>
        <v/>
      </c>
      <c r="G3690" s="49" t="str">
        <f>IFERROR(VLOOKUP(E3690,'Condensed Specialty Crosswalk'!$A$2:$C$106,3,FALSE),"")</f>
        <v/>
      </c>
    </row>
    <row r="3691" spans="5:7" ht="15" customHeight="1">
      <c r="E3691" s="49" t="str">
        <f>IFERROR(VLOOKUP(D3691,'taxonomy map'!$A$1:$C$107,2,FALSE),"")</f>
        <v/>
      </c>
      <c r="F3691" s="49" t="str">
        <f>IFERROR(VLOOKUP(E3691,'Condensed Specialty Crosswalk'!$A$2:$C$106,2,FALSE),"")</f>
        <v/>
      </c>
      <c r="G3691" s="49" t="str">
        <f>IFERROR(VLOOKUP(E3691,'Condensed Specialty Crosswalk'!$A$2:$C$106,3,FALSE),"")</f>
        <v/>
      </c>
    </row>
    <row r="3692" spans="5:7" ht="15" customHeight="1">
      <c r="E3692" s="49" t="str">
        <f>IFERROR(VLOOKUP(D3692,'taxonomy map'!$A$1:$C$107,2,FALSE),"")</f>
        <v/>
      </c>
      <c r="F3692" s="49" t="str">
        <f>IFERROR(VLOOKUP(E3692,'Condensed Specialty Crosswalk'!$A$2:$C$106,2,FALSE),"")</f>
        <v/>
      </c>
      <c r="G3692" s="49" t="str">
        <f>IFERROR(VLOOKUP(E3692,'Condensed Specialty Crosswalk'!$A$2:$C$106,3,FALSE),"")</f>
        <v/>
      </c>
    </row>
    <row r="3693" spans="5:7" ht="15" customHeight="1">
      <c r="E3693" s="49" t="str">
        <f>IFERROR(VLOOKUP(D3693,'taxonomy map'!$A$1:$C$107,2,FALSE),"")</f>
        <v/>
      </c>
      <c r="F3693" s="49" t="str">
        <f>IFERROR(VLOOKUP(E3693,'Condensed Specialty Crosswalk'!$A$2:$C$106,2,FALSE),"")</f>
        <v/>
      </c>
      <c r="G3693" s="49" t="str">
        <f>IFERROR(VLOOKUP(E3693,'Condensed Specialty Crosswalk'!$A$2:$C$106,3,FALSE),"")</f>
        <v/>
      </c>
    </row>
    <row r="3694" spans="5:7" ht="15" customHeight="1">
      <c r="E3694" s="49" t="str">
        <f>IFERROR(VLOOKUP(D3694,'taxonomy map'!$A$1:$C$107,2,FALSE),"")</f>
        <v/>
      </c>
      <c r="F3694" s="49" t="str">
        <f>IFERROR(VLOOKUP(E3694,'Condensed Specialty Crosswalk'!$A$2:$C$106,2,FALSE),"")</f>
        <v/>
      </c>
      <c r="G3694" s="49" t="str">
        <f>IFERROR(VLOOKUP(E3694,'Condensed Specialty Crosswalk'!$A$2:$C$106,3,FALSE),"")</f>
        <v/>
      </c>
    </row>
    <row r="3695" spans="5:7" ht="15" customHeight="1">
      <c r="E3695" s="49" t="str">
        <f>IFERROR(VLOOKUP(D3695,'taxonomy map'!$A$1:$C$107,2,FALSE),"")</f>
        <v/>
      </c>
      <c r="F3695" s="49" t="str">
        <f>IFERROR(VLOOKUP(E3695,'Condensed Specialty Crosswalk'!$A$2:$C$106,2,FALSE),"")</f>
        <v/>
      </c>
      <c r="G3695" s="49" t="str">
        <f>IFERROR(VLOOKUP(E3695,'Condensed Specialty Crosswalk'!$A$2:$C$106,3,FALSE),"")</f>
        <v/>
      </c>
    </row>
    <row r="3696" spans="5:7" ht="15" customHeight="1">
      <c r="E3696" s="49" t="str">
        <f>IFERROR(VLOOKUP(D3696,'taxonomy map'!$A$1:$C$107,2,FALSE),"")</f>
        <v/>
      </c>
      <c r="F3696" s="49" t="str">
        <f>IFERROR(VLOOKUP(E3696,'Condensed Specialty Crosswalk'!$A$2:$C$106,2,FALSE),"")</f>
        <v/>
      </c>
      <c r="G3696" s="49" t="str">
        <f>IFERROR(VLOOKUP(E3696,'Condensed Specialty Crosswalk'!$A$2:$C$106,3,FALSE),"")</f>
        <v/>
      </c>
    </row>
    <row r="3697" spans="5:7" ht="15" customHeight="1">
      <c r="E3697" s="49" t="str">
        <f>IFERROR(VLOOKUP(D3697,'taxonomy map'!$A$1:$C$107,2,FALSE),"")</f>
        <v/>
      </c>
      <c r="F3697" s="49" t="str">
        <f>IFERROR(VLOOKUP(E3697,'Condensed Specialty Crosswalk'!$A$2:$C$106,2,FALSE),"")</f>
        <v/>
      </c>
      <c r="G3697" s="49" t="str">
        <f>IFERROR(VLOOKUP(E3697,'Condensed Specialty Crosswalk'!$A$2:$C$106,3,FALSE),"")</f>
        <v/>
      </c>
    </row>
    <row r="3698" spans="5:7" ht="15" customHeight="1">
      <c r="E3698" s="49" t="str">
        <f>IFERROR(VLOOKUP(D3698,'taxonomy map'!$A$1:$C$107,2,FALSE),"")</f>
        <v/>
      </c>
      <c r="F3698" s="49" t="str">
        <f>IFERROR(VLOOKUP(E3698,'Condensed Specialty Crosswalk'!$A$2:$C$106,2,FALSE),"")</f>
        <v/>
      </c>
      <c r="G3698" s="49" t="str">
        <f>IFERROR(VLOOKUP(E3698,'Condensed Specialty Crosswalk'!$A$2:$C$106,3,FALSE),"")</f>
        <v/>
      </c>
    </row>
    <row r="3699" spans="5:7" ht="15" customHeight="1">
      <c r="E3699" s="49" t="str">
        <f>IFERROR(VLOOKUP(D3699,'taxonomy map'!$A$1:$C$107,2,FALSE),"")</f>
        <v/>
      </c>
      <c r="F3699" s="49" t="str">
        <f>IFERROR(VLOOKUP(E3699,'Condensed Specialty Crosswalk'!$A$2:$C$106,2,FALSE),"")</f>
        <v/>
      </c>
      <c r="G3699" s="49" t="str">
        <f>IFERROR(VLOOKUP(E3699,'Condensed Specialty Crosswalk'!$A$2:$C$106,3,FALSE),"")</f>
        <v/>
      </c>
    </row>
    <row r="3700" spans="5:7" ht="15" customHeight="1">
      <c r="E3700" s="49" t="str">
        <f>IFERROR(VLOOKUP(D3700,'taxonomy map'!$A$1:$C$107,2,FALSE),"")</f>
        <v/>
      </c>
      <c r="F3700" s="49" t="str">
        <f>IFERROR(VLOOKUP(E3700,'Condensed Specialty Crosswalk'!$A$2:$C$106,2,FALSE),"")</f>
        <v/>
      </c>
      <c r="G3700" s="49" t="str">
        <f>IFERROR(VLOOKUP(E3700,'Condensed Specialty Crosswalk'!$A$2:$C$106,3,FALSE),"")</f>
        <v/>
      </c>
    </row>
    <row r="3701" spans="5:7" ht="15" customHeight="1">
      <c r="E3701" s="49" t="str">
        <f>IFERROR(VLOOKUP(D3701,'taxonomy map'!$A$1:$C$107,2,FALSE),"")</f>
        <v/>
      </c>
      <c r="F3701" s="49" t="str">
        <f>IFERROR(VLOOKUP(E3701,'Condensed Specialty Crosswalk'!$A$2:$C$106,2,FALSE),"")</f>
        <v/>
      </c>
      <c r="G3701" s="49" t="str">
        <f>IFERROR(VLOOKUP(E3701,'Condensed Specialty Crosswalk'!$A$2:$C$106,3,FALSE),"")</f>
        <v/>
      </c>
    </row>
    <row r="3702" spans="5:7" ht="15" customHeight="1">
      <c r="E3702" s="49" t="str">
        <f>IFERROR(VLOOKUP(D3702,'taxonomy map'!$A$1:$C$107,2,FALSE),"")</f>
        <v/>
      </c>
      <c r="F3702" s="49" t="str">
        <f>IFERROR(VLOOKUP(E3702,'Condensed Specialty Crosswalk'!$A$2:$C$106,2,FALSE),"")</f>
        <v/>
      </c>
      <c r="G3702" s="49" t="str">
        <f>IFERROR(VLOOKUP(E3702,'Condensed Specialty Crosswalk'!$A$2:$C$106,3,FALSE),"")</f>
        <v/>
      </c>
    </row>
    <row r="3703" spans="5:7" ht="15" customHeight="1">
      <c r="E3703" s="49" t="str">
        <f>IFERROR(VLOOKUP(D3703,'taxonomy map'!$A$1:$C$107,2,FALSE),"")</f>
        <v/>
      </c>
      <c r="F3703" s="49" t="str">
        <f>IFERROR(VLOOKUP(E3703,'Condensed Specialty Crosswalk'!$A$2:$C$106,2,FALSE),"")</f>
        <v/>
      </c>
      <c r="G3703" s="49" t="str">
        <f>IFERROR(VLOOKUP(E3703,'Condensed Specialty Crosswalk'!$A$2:$C$106,3,FALSE),"")</f>
        <v/>
      </c>
    </row>
    <row r="3704" spans="5:7" ht="15" customHeight="1">
      <c r="E3704" s="49" t="str">
        <f>IFERROR(VLOOKUP(D3704,'taxonomy map'!$A$1:$C$107,2,FALSE),"")</f>
        <v/>
      </c>
      <c r="F3704" s="49" t="str">
        <f>IFERROR(VLOOKUP(E3704,'Condensed Specialty Crosswalk'!$A$2:$C$106,2,FALSE),"")</f>
        <v/>
      </c>
      <c r="G3704" s="49" t="str">
        <f>IFERROR(VLOOKUP(E3704,'Condensed Specialty Crosswalk'!$A$2:$C$106,3,FALSE),"")</f>
        <v/>
      </c>
    </row>
    <row r="3705" spans="5:7" ht="15" customHeight="1">
      <c r="E3705" s="49" t="str">
        <f>IFERROR(VLOOKUP(D3705,'taxonomy map'!$A$1:$C$107,2,FALSE),"")</f>
        <v/>
      </c>
      <c r="F3705" s="49" t="str">
        <f>IFERROR(VLOOKUP(E3705,'Condensed Specialty Crosswalk'!$A$2:$C$106,2,FALSE),"")</f>
        <v/>
      </c>
      <c r="G3705" s="49" t="str">
        <f>IFERROR(VLOOKUP(E3705,'Condensed Specialty Crosswalk'!$A$2:$C$106,3,FALSE),"")</f>
        <v/>
      </c>
    </row>
    <row r="3706" spans="5:7" ht="15" customHeight="1">
      <c r="E3706" s="49" t="str">
        <f>IFERROR(VLOOKUP(D3706,'taxonomy map'!$A$1:$C$107,2,FALSE),"")</f>
        <v/>
      </c>
      <c r="F3706" s="49" t="str">
        <f>IFERROR(VLOOKUP(E3706,'Condensed Specialty Crosswalk'!$A$2:$C$106,2,FALSE),"")</f>
        <v/>
      </c>
      <c r="G3706" s="49" t="str">
        <f>IFERROR(VLOOKUP(E3706,'Condensed Specialty Crosswalk'!$A$2:$C$106,3,FALSE),"")</f>
        <v/>
      </c>
    </row>
    <row r="3707" spans="5:7" ht="15" customHeight="1">
      <c r="E3707" s="49" t="str">
        <f>IFERROR(VLOOKUP(D3707,'taxonomy map'!$A$1:$C$107,2,FALSE),"")</f>
        <v/>
      </c>
      <c r="F3707" s="49" t="str">
        <f>IFERROR(VLOOKUP(E3707,'Condensed Specialty Crosswalk'!$A$2:$C$106,2,FALSE),"")</f>
        <v/>
      </c>
      <c r="G3707" s="49" t="str">
        <f>IFERROR(VLOOKUP(E3707,'Condensed Specialty Crosswalk'!$A$2:$C$106,3,FALSE),"")</f>
        <v/>
      </c>
    </row>
    <row r="3708" spans="5:7" ht="15" customHeight="1">
      <c r="E3708" s="49" t="str">
        <f>IFERROR(VLOOKUP(D3708,'taxonomy map'!$A$1:$C$107,2,FALSE),"")</f>
        <v/>
      </c>
      <c r="F3708" s="49" t="str">
        <f>IFERROR(VLOOKUP(E3708,'Condensed Specialty Crosswalk'!$A$2:$C$106,2,FALSE),"")</f>
        <v/>
      </c>
      <c r="G3708" s="49" t="str">
        <f>IFERROR(VLOOKUP(E3708,'Condensed Specialty Crosswalk'!$A$2:$C$106,3,FALSE),"")</f>
        <v/>
      </c>
    </row>
    <row r="3709" spans="5:7" ht="15" customHeight="1">
      <c r="E3709" s="49" t="str">
        <f>IFERROR(VLOOKUP(D3709,'taxonomy map'!$A$1:$C$107,2,FALSE),"")</f>
        <v/>
      </c>
      <c r="F3709" s="49" t="str">
        <f>IFERROR(VLOOKUP(E3709,'Condensed Specialty Crosswalk'!$A$2:$C$106,2,FALSE),"")</f>
        <v/>
      </c>
      <c r="G3709" s="49" t="str">
        <f>IFERROR(VLOOKUP(E3709,'Condensed Specialty Crosswalk'!$A$2:$C$106,3,FALSE),"")</f>
        <v/>
      </c>
    </row>
    <row r="3710" spans="5:7" ht="15" customHeight="1">
      <c r="E3710" s="49" t="str">
        <f>IFERROR(VLOOKUP(D3710,'taxonomy map'!$A$1:$C$107,2,FALSE),"")</f>
        <v/>
      </c>
      <c r="F3710" s="49" t="str">
        <f>IFERROR(VLOOKUP(E3710,'Condensed Specialty Crosswalk'!$A$2:$C$106,2,FALSE),"")</f>
        <v/>
      </c>
      <c r="G3710" s="49" t="str">
        <f>IFERROR(VLOOKUP(E3710,'Condensed Specialty Crosswalk'!$A$2:$C$106,3,FALSE),"")</f>
        <v/>
      </c>
    </row>
    <row r="3711" spans="5:7" ht="15" customHeight="1">
      <c r="E3711" s="49" t="str">
        <f>IFERROR(VLOOKUP(D3711,'taxonomy map'!$A$1:$C$107,2,FALSE),"")</f>
        <v/>
      </c>
      <c r="F3711" s="49" t="str">
        <f>IFERROR(VLOOKUP(E3711,'Condensed Specialty Crosswalk'!$A$2:$C$106,2,FALSE),"")</f>
        <v/>
      </c>
      <c r="G3711" s="49" t="str">
        <f>IFERROR(VLOOKUP(E3711,'Condensed Specialty Crosswalk'!$A$2:$C$106,3,FALSE),"")</f>
        <v/>
      </c>
    </row>
    <row r="3712" spans="5:7" ht="15" customHeight="1">
      <c r="E3712" s="49" t="str">
        <f>IFERROR(VLOOKUP(D3712,'taxonomy map'!$A$1:$C$107,2,FALSE),"")</f>
        <v/>
      </c>
      <c r="F3712" s="49" t="str">
        <f>IFERROR(VLOOKUP(E3712,'Condensed Specialty Crosswalk'!$A$2:$C$106,2,FALSE),"")</f>
        <v/>
      </c>
      <c r="G3712" s="49" t="str">
        <f>IFERROR(VLOOKUP(E3712,'Condensed Specialty Crosswalk'!$A$2:$C$106,3,FALSE),"")</f>
        <v/>
      </c>
    </row>
    <row r="3713" spans="5:7" ht="15" customHeight="1">
      <c r="E3713" s="49" t="str">
        <f>IFERROR(VLOOKUP(D3713,'taxonomy map'!$A$1:$C$107,2,FALSE),"")</f>
        <v/>
      </c>
      <c r="F3713" s="49" t="str">
        <f>IFERROR(VLOOKUP(E3713,'Condensed Specialty Crosswalk'!$A$2:$C$106,2,FALSE),"")</f>
        <v/>
      </c>
      <c r="G3713" s="49" t="str">
        <f>IFERROR(VLOOKUP(E3713,'Condensed Specialty Crosswalk'!$A$2:$C$106,3,FALSE),"")</f>
        <v/>
      </c>
    </row>
    <row r="3714" spans="5:7" ht="15" customHeight="1">
      <c r="E3714" s="49" t="str">
        <f>IFERROR(VLOOKUP(D3714,'taxonomy map'!$A$1:$C$107,2,FALSE),"")</f>
        <v/>
      </c>
      <c r="F3714" s="49" t="str">
        <f>IFERROR(VLOOKUP(E3714,'Condensed Specialty Crosswalk'!$A$2:$C$106,2,FALSE),"")</f>
        <v/>
      </c>
      <c r="G3714" s="49" t="str">
        <f>IFERROR(VLOOKUP(E3714,'Condensed Specialty Crosswalk'!$A$2:$C$106,3,FALSE),"")</f>
        <v/>
      </c>
    </row>
    <row r="3715" spans="5:7" ht="15" customHeight="1">
      <c r="E3715" s="49" t="str">
        <f>IFERROR(VLOOKUP(D3715,'taxonomy map'!$A$1:$C$107,2,FALSE),"")</f>
        <v/>
      </c>
      <c r="F3715" s="49" t="str">
        <f>IFERROR(VLOOKUP(E3715,'Condensed Specialty Crosswalk'!$A$2:$C$106,2,FALSE),"")</f>
        <v/>
      </c>
      <c r="G3715" s="49" t="str">
        <f>IFERROR(VLOOKUP(E3715,'Condensed Specialty Crosswalk'!$A$2:$C$106,3,FALSE),"")</f>
        <v/>
      </c>
    </row>
    <row r="3716" spans="5:7" ht="15" customHeight="1">
      <c r="E3716" s="49" t="str">
        <f>IFERROR(VLOOKUP(D3716,'taxonomy map'!$A$1:$C$107,2,FALSE),"")</f>
        <v/>
      </c>
      <c r="F3716" s="49" t="str">
        <f>IFERROR(VLOOKUP(E3716,'Condensed Specialty Crosswalk'!$A$2:$C$106,2,FALSE),"")</f>
        <v/>
      </c>
      <c r="G3716" s="49" t="str">
        <f>IFERROR(VLOOKUP(E3716,'Condensed Specialty Crosswalk'!$A$2:$C$106,3,FALSE),"")</f>
        <v/>
      </c>
    </row>
    <row r="3717" spans="5:7" ht="15" customHeight="1">
      <c r="E3717" s="49" t="str">
        <f>IFERROR(VLOOKUP(D3717,'taxonomy map'!$A$1:$C$107,2,FALSE),"")</f>
        <v/>
      </c>
      <c r="F3717" s="49" t="str">
        <f>IFERROR(VLOOKUP(E3717,'Condensed Specialty Crosswalk'!$A$2:$C$106,2,FALSE),"")</f>
        <v/>
      </c>
      <c r="G3717" s="49" t="str">
        <f>IFERROR(VLOOKUP(E3717,'Condensed Specialty Crosswalk'!$A$2:$C$106,3,FALSE),"")</f>
        <v/>
      </c>
    </row>
    <row r="3718" spans="5:7" ht="15" customHeight="1">
      <c r="E3718" s="49" t="str">
        <f>IFERROR(VLOOKUP(D3718,'taxonomy map'!$A$1:$C$107,2,FALSE),"")</f>
        <v/>
      </c>
      <c r="F3718" s="49" t="str">
        <f>IFERROR(VLOOKUP(E3718,'Condensed Specialty Crosswalk'!$A$2:$C$106,2,FALSE),"")</f>
        <v/>
      </c>
      <c r="G3718" s="49" t="str">
        <f>IFERROR(VLOOKUP(E3718,'Condensed Specialty Crosswalk'!$A$2:$C$106,3,FALSE),"")</f>
        <v/>
      </c>
    </row>
    <row r="3719" spans="5:7" ht="15" customHeight="1">
      <c r="E3719" s="49" t="str">
        <f>IFERROR(VLOOKUP(D3719,'taxonomy map'!$A$1:$C$107,2,FALSE),"")</f>
        <v/>
      </c>
      <c r="F3719" s="49" t="str">
        <f>IFERROR(VLOOKUP(E3719,'Condensed Specialty Crosswalk'!$A$2:$C$106,2,FALSE),"")</f>
        <v/>
      </c>
      <c r="G3719" s="49" t="str">
        <f>IFERROR(VLOOKUP(E3719,'Condensed Specialty Crosswalk'!$A$2:$C$106,3,FALSE),"")</f>
        <v/>
      </c>
    </row>
    <row r="3720" spans="5:7" ht="15" customHeight="1">
      <c r="E3720" s="49" t="str">
        <f>IFERROR(VLOOKUP(D3720,'taxonomy map'!$A$1:$C$107,2,FALSE),"")</f>
        <v/>
      </c>
      <c r="F3720" s="49" t="str">
        <f>IFERROR(VLOOKUP(E3720,'Condensed Specialty Crosswalk'!$A$2:$C$106,2,FALSE),"")</f>
        <v/>
      </c>
      <c r="G3720" s="49" t="str">
        <f>IFERROR(VLOOKUP(E3720,'Condensed Specialty Crosswalk'!$A$2:$C$106,3,FALSE),"")</f>
        <v/>
      </c>
    </row>
    <row r="3721" spans="5:7" ht="15" customHeight="1">
      <c r="E3721" s="49" t="str">
        <f>IFERROR(VLOOKUP(D3721,'taxonomy map'!$A$1:$C$107,2,FALSE),"")</f>
        <v/>
      </c>
      <c r="F3721" s="49" t="str">
        <f>IFERROR(VLOOKUP(E3721,'Condensed Specialty Crosswalk'!$A$2:$C$106,2,FALSE),"")</f>
        <v/>
      </c>
      <c r="G3721" s="49" t="str">
        <f>IFERROR(VLOOKUP(E3721,'Condensed Specialty Crosswalk'!$A$2:$C$106,3,FALSE),"")</f>
        <v/>
      </c>
    </row>
    <row r="3722" spans="5:7" ht="15" customHeight="1">
      <c r="E3722" s="49" t="str">
        <f>IFERROR(VLOOKUP(D3722,'taxonomy map'!$A$1:$C$107,2,FALSE),"")</f>
        <v/>
      </c>
      <c r="F3722" s="49" t="str">
        <f>IFERROR(VLOOKUP(E3722,'Condensed Specialty Crosswalk'!$A$2:$C$106,2,FALSE),"")</f>
        <v/>
      </c>
      <c r="G3722" s="49" t="str">
        <f>IFERROR(VLOOKUP(E3722,'Condensed Specialty Crosswalk'!$A$2:$C$106,3,FALSE),"")</f>
        <v/>
      </c>
    </row>
    <row r="3723" spans="5:7" ht="15" customHeight="1">
      <c r="E3723" s="49" t="str">
        <f>IFERROR(VLOOKUP(D3723,'taxonomy map'!$A$1:$C$107,2,FALSE),"")</f>
        <v/>
      </c>
      <c r="F3723" s="49" t="str">
        <f>IFERROR(VLOOKUP(E3723,'Condensed Specialty Crosswalk'!$A$2:$C$106,2,FALSE),"")</f>
        <v/>
      </c>
      <c r="G3723" s="49" t="str">
        <f>IFERROR(VLOOKUP(E3723,'Condensed Specialty Crosswalk'!$A$2:$C$106,3,FALSE),"")</f>
        <v/>
      </c>
    </row>
    <row r="3724" spans="5:7" ht="15" customHeight="1">
      <c r="E3724" s="49" t="str">
        <f>IFERROR(VLOOKUP(D3724,'taxonomy map'!$A$1:$C$107,2,FALSE),"")</f>
        <v/>
      </c>
      <c r="F3724" s="49" t="str">
        <f>IFERROR(VLOOKUP(E3724,'Condensed Specialty Crosswalk'!$A$2:$C$106,2,FALSE),"")</f>
        <v/>
      </c>
      <c r="G3724" s="49" t="str">
        <f>IFERROR(VLOOKUP(E3724,'Condensed Specialty Crosswalk'!$A$2:$C$106,3,FALSE),"")</f>
        <v/>
      </c>
    </row>
    <row r="3725" spans="5:7" ht="15" customHeight="1">
      <c r="E3725" s="49" t="str">
        <f>IFERROR(VLOOKUP(D3725,'taxonomy map'!$A$1:$C$107,2,FALSE),"")</f>
        <v/>
      </c>
      <c r="F3725" s="49" t="str">
        <f>IFERROR(VLOOKUP(E3725,'Condensed Specialty Crosswalk'!$A$2:$C$106,2,FALSE),"")</f>
        <v/>
      </c>
      <c r="G3725" s="49" t="str">
        <f>IFERROR(VLOOKUP(E3725,'Condensed Specialty Crosswalk'!$A$2:$C$106,3,FALSE),"")</f>
        <v/>
      </c>
    </row>
    <row r="3726" spans="5:7" ht="15" customHeight="1">
      <c r="E3726" s="49" t="str">
        <f>IFERROR(VLOOKUP(D3726,'taxonomy map'!$A$1:$C$107,2,FALSE),"")</f>
        <v/>
      </c>
      <c r="F3726" s="49" t="str">
        <f>IFERROR(VLOOKUP(E3726,'Condensed Specialty Crosswalk'!$A$2:$C$106,2,FALSE),"")</f>
        <v/>
      </c>
      <c r="G3726" s="49" t="str">
        <f>IFERROR(VLOOKUP(E3726,'Condensed Specialty Crosswalk'!$A$2:$C$106,3,FALSE),"")</f>
        <v/>
      </c>
    </row>
    <row r="3727" spans="5:7" ht="15" customHeight="1">
      <c r="E3727" s="49" t="str">
        <f>IFERROR(VLOOKUP(D3727,'taxonomy map'!$A$1:$C$107,2,FALSE),"")</f>
        <v/>
      </c>
      <c r="F3727" s="49" t="str">
        <f>IFERROR(VLOOKUP(E3727,'Condensed Specialty Crosswalk'!$A$2:$C$106,2,FALSE),"")</f>
        <v/>
      </c>
      <c r="G3727" s="49" t="str">
        <f>IFERROR(VLOOKUP(E3727,'Condensed Specialty Crosswalk'!$A$2:$C$106,3,FALSE),"")</f>
        <v/>
      </c>
    </row>
    <row r="3728" spans="5:7" ht="15" customHeight="1">
      <c r="E3728" s="49" t="str">
        <f>IFERROR(VLOOKUP(D3728,'taxonomy map'!$A$1:$C$107,2,FALSE),"")</f>
        <v/>
      </c>
      <c r="F3728" s="49" t="str">
        <f>IFERROR(VLOOKUP(E3728,'Condensed Specialty Crosswalk'!$A$2:$C$106,2,FALSE),"")</f>
        <v/>
      </c>
      <c r="G3728" s="49" t="str">
        <f>IFERROR(VLOOKUP(E3728,'Condensed Specialty Crosswalk'!$A$2:$C$106,3,FALSE),"")</f>
        <v/>
      </c>
    </row>
    <row r="3729" spans="5:7" ht="15" customHeight="1">
      <c r="E3729" s="49" t="str">
        <f>IFERROR(VLOOKUP(D3729,'taxonomy map'!$A$1:$C$107,2,FALSE),"")</f>
        <v/>
      </c>
      <c r="F3729" s="49" t="str">
        <f>IFERROR(VLOOKUP(E3729,'Condensed Specialty Crosswalk'!$A$2:$C$106,2,FALSE),"")</f>
        <v/>
      </c>
      <c r="G3729" s="49" t="str">
        <f>IFERROR(VLOOKUP(E3729,'Condensed Specialty Crosswalk'!$A$2:$C$106,3,FALSE),"")</f>
        <v/>
      </c>
    </row>
    <row r="3730" spans="5:7" ht="15" customHeight="1">
      <c r="E3730" s="49" t="str">
        <f>IFERROR(VLOOKUP(D3730,'taxonomy map'!$A$1:$C$107,2,FALSE),"")</f>
        <v/>
      </c>
      <c r="F3730" s="49" t="str">
        <f>IFERROR(VLOOKUP(E3730,'Condensed Specialty Crosswalk'!$A$2:$C$106,2,FALSE),"")</f>
        <v/>
      </c>
      <c r="G3730" s="49" t="str">
        <f>IFERROR(VLOOKUP(E3730,'Condensed Specialty Crosswalk'!$A$2:$C$106,3,FALSE),"")</f>
        <v/>
      </c>
    </row>
    <row r="3731" spans="5:7" ht="15" customHeight="1">
      <c r="E3731" s="49" t="str">
        <f>IFERROR(VLOOKUP(D3731,'taxonomy map'!$A$1:$C$107,2,FALSE),"")</f>
        <v/>
      </c>
      <c r="F3731" s="49" t="str">
        <f>IFERROR(VLOOKUP(E3731,'Condensed Specialty Crosswalk'!$A$2:$C$106,2,FALSE),"")</f>
        <v/>
      </c>
      <c r="G3731" s="49" t="str">
        <f>IFERROR(VLOOKUP(E3731,'Condensed Specialty Crosswalk'!$A$2:$C$106,3,FALSE),"")</f>
        <v/>
      </c>
    </row>
    <row r="3732" spans="5:7" ht="15" customHeight="1">
      <c r="E3732" s="49" t="str">
        <f>IFERROR(VLOOKUP(D3732,'taxonomy map'!$A$1:$C$107,2,FALSE),"")</f>
        <v/>
      </c>
      <c r="F3732" s="49" t="str">
        <f>IFERROR(VLOOKUP(E3732,'Condensed Specialty Crosswalk'!$A$2:$C$106,2,FALSE),"")</f>
        <v/>
      </c>
      <c r="G3732" s="49" t="str">
        <f>IFERROR(VLOOKUP(E3732,'Condensed Specialty Crosswalk'!$A$2:$C$106,3,FALSE),"")</f>
        <v/>
      </c>
    </row>
    <row r="3733" spans="5:7" ht="15" customHeight="1">
      <c r="E3733" s="49" t="str">
        <f>IFERROR(VLOOKUP(D3733,'taxonomy map'!$A$1:$C$107,2,FALSE),"")</f>
        <v/>
      </c>
      <c r="F3733" s="49" t="str">
        <f>IFERROR(VLOOKUP(E3733,'Condensed Specialty Crosswalk'!$A$2:$C$106,2,FALSE),"")</f>
        <v/>
      </c>
      <c r="G3733" s="49" t="str">
        <f>IFERROR(VLOOKUP(E3733,'Condensed Specialty Crosswalk'!$A$2:$C$106,3,FALSE),"")</f>
        <v/>
      </c>
    </row>
    <row r="3734" spans="5:7" ht="15" customHeight="1">
      <c r="E3734" s="49" t="str">
        <f>IFERROR(VLOOKUP(D3734,'taxonomy map'!$A$1:$C$107,2,FALSE),"")</f>
        <v/>
      </c>
      <c r="F3734" s="49" t="str">
        <f>IFERROR(VLOOKUP(E3734,'Condensed Specialty Crosswalk'!$A$2:$C$106,2,FALSE),"")</f>
        <v/>
      </c>
      <c r="G3734" s="49" t="str">
        <f>IFERROR(VLOOKUP(E3734,'Condensed Specialty Crosswalk'!$A$2:$C$106,3,FALSE),"")</f>
        <v/>
      </c>
    </row>
    <row r="3735" spans="5:7" ht="15" customHeight="1">
      <c r="E3735" s="49" t="str">
        <f>IFERROR(VLOOKUP(D3735,'taxonomy map'!$A$1:$C$107,2,FALSE),"")</f>
        <v/>
      </c>
      <c r="F3735" s="49" t="str">
        <f>IFERROR(VLOOKUP(E3735,'Condensed Specialty Crosswalk'!$A$2:$C$106,2,FALSE),"")</f>
        <v/>
      </c>
      <c r="G3735" s="49" t="str">
        <f>IFERROR(VLOOKUP(E3735,'Condensed Specialty Crosswalk'!$A$2:$C$106,3,FALSE),"")</f>
        <v/>
      </c>
    </row>
    <row r="3736" spans="5:7" ht="15" customHeight="1">
      <c r="E3736" s="49" t="str">
        <f>IFERROR(VLOOKUP(D3736,'taxonomy map'!$A$1:$C$107,2,FALSE),"")</f>
        <v/>
      </c>
      <c r="F3736" s="49" t="str">
        <f>IFERROR(VLOOKUP(E3736,'Condensed Specialty Crosswalk'!$A$2:$C$106,2,FALSE),"")</f>
        <v/>
      </c>
      <c r="G3736" s="49" t="str">
        <f>IFERROR(VLOOKUP(E3736,'Condensed Specialty Crosswalk'!$A$2:$C$106,3,FALSE),"")</f>
        <v/>
      </c>
    </row>
    <row r="3737" spans="5:7" ht="15" customHeight="1">
      <c r="E3737" s="49" t="str">
        <f>IFERROR(VLOOKUP(D3737,'taxonomy map'!$A$1:$C$107,2,FALSE),"")</f>
        <v/>
      </c>
      <c r="F3737" s="49" t="str">
        <f>IFERROR(VLOOKUP(E3737,'Condensed Specialty Crosswalk'!$A$2:$C$106,2,FALSE),"")</f>
        <v/>
      </c>
      <c r="G3737" s="49" t="str">
        <f>IFERROR(VLOOKUP(E3737,'Condensed Specialty Crosswalk'!$A$2:$C$106,3,FALSE),"")</f>
        <v/>
      </c>
    </row>
    <row r="3738" spans="5:7" ht="15" customHeight="1">
      <c r="E3738" s="49" t="str">
        <f>IFERROR(VLOOKUP(D3738,'taxonomy map'!$A$1:$C$107,2,FALSE),"")</f>
        <v/>
      </c>
      <c r="F3738" s="49" t="str">
        <f>IFERROR(VLOOKUP(E3738,'Condensed Specialty Crosswalk'!$A$2:$C$106,2,FALSE),"")</f>
        <v/>
      </c>
      <c r="G3738" s="49" t="str">
        <f>IFERROR(VLOOKUP(E3738,'Condensed Specialty Crosswalk'!$A$2:$C$106,3,FALSE),"")</f>
        <v/>
      </c>
    </row>
    <row r="3739" spans="5:7" ht="15" customHeight="1">
      <c r="E3739" s="49" t="str">
        <f>IFERROR(VLOOKUP(D3739,'taxonomy map'!$A$1:$C$107,2,FALSE),"")</f>
        <v/>
      </c>
      <c r="F3739" s="49" t="str">
        <f>IFERROR(VLOOKUP(E3739,'Condensed Specialty Crosswalk'!$A$2:$C$106,2,FALSE),"")</f>
        <v/>
      </c>
      <c r="G3739" s="49" t="str">
        <f>IFERROR(VLOOKUP(E3739,'Condensed Specialty Crosswalk'!$A$2:$C$106,3,FALSE),"")</f>
        <v/>
      </c>
    </row>
    <row r="3740" spans="5:7" ht="15" customHeight="1">
      <c r="E3740" s="49" t="str">
        <f>IFERROR(VLOOKUP(D3740,'taxonomy map'!$A$1:$C$107,2,FALSE),"")</f>
        <v/>
      </c>
      <c r="F3740" s="49" t="str">
        <f>IFERROR(VLOOKUP(E3740,'Condensed Specialty Crosswalk'!$A$2:$C$106,2,FALSE),"")</f>
        <v/>
      </c>
      <c r="G3740" s="49" t="str">
        <f>IFERROR(VLOOKUP(E3740,'Condensed Specialty Crosswalk'!$A$2:$C$106,3,FALSE),"")</f>
        <v/>
      </c>
    </row>
    <row r="3741" spans="5:7" ht="15" customHeight="1">
      <c r="E3741" s="49" t="str">
        <f>IFERROR(VLOOKUP(D3741,'taxonomy map'!$A$1:$C$107,2,FALSE),"")</f>
        <v/>
      </c>
      <c r="F3741" s="49" t="str">
        <f>IFERROR(VLOOKUP(E3741,'Condensed Specialty Crosswalk'!$A$2:$C$106,2,FALSE),"")</f>
        <v/>
      </c>
      <c r="G3741" s="49" t="str">
        <f>IFERROR(VLOOKUP(E3741,'Condensed Specialty Crosswalk'!$A$2:$C$106,3,FALSE),"")</f>
        <v/>
      </c>
    </row>
    <row r="3742" spans="5:7" ht="15" customHeight="1">
      <c r="E3742" s="49" t="str">
        <f>IFERROR(VLOOKUP(D3742,'taxonomy map'!$A$1:$C$107,2,FALSE),"")</f>
        <v/>
      </c>
      <c r="F3742" s="49" t="str">
        <f>IFERROR(VLOOKUP(E3742,'Condensed Specialty Crosswalk'!$A$2:$C$106,2,FALSE),"")</f>
        <v/>
      </c>
      <c r="G3742" s="49" t="str">
        <f>IFERROR(VLOOKUP(E3742,'Condensed Specialty Crosswalk'!$A$2:$C$106,3,FALSE),"")</f>
        <v/>
      </c>
    </row>
    <row r="3743" spans="5:7" ht="15" customHeight="1">
      <c r="E3743" s="49" t="str">
        <f>IFERROR(VLOOKUP(D3743,'taxonomy map'!$A$1:$C$107,2,FALSE),"")</f>
        <v/>
      </c>
      <c r="F3743" s="49" t="str">
        <f>IFERROR(VLOOKUP(E3743,'Condensed Specialty Crosswalk'!$A$2:$C$106,2,FALSE),"")</f>
        <v/>
      </c>
      <c r="G3743" s="49" t="str">
        <f>IFERROR(VLOOKUP(E3743,'Condensed Specialty Crosswalk'!$A$2:$C$106,3,FALSE),"")</f>
        <v/>
      </c>
    </row>
    <row r="3744" spans="5:7" ht="15" customHeight="1">
      <c r="E3744" s="49" t="str">
        <f>IFERROR(VLOOKUP(D3744,'taxonomy map'!$A$1:$C$107,2,FALSE),"")</f>
        <v/>
      </c>
      <c r="F3744" s="49" t="str">
        <f>IFERROR(VLOOKUP(E3744,'Condensed Specialty Crosswalk'!$A$2:$C$106,2,FALSE),"")</f>
        <v/>
      </c>
      <c r="G3744" s="49" t="str">
        <f>IFERROR(VLOOKUP(E3744,'Condensed Specialty Crosswalk'!$A$2:$C$106,3,FALSE),"")</f>
        <v/>
      </c>
    </row>
    <row r="3745" spans="5:7" ht="15" customHeight="1">
      <c r="E3745" s="49" t="str">
        <f>IFERROR(VLOOKUP(D3745,'taxonomy map'!$A$1:$C$107,2,FALSE),"")</f>
        <v/>
      </c>
      <c r="F3745" s="49" t="str">
        <f>IFERROR(VLOOKUP(E3745,'Condensed Specialty Crosswalk'!$A$2:$C$106,2,FALSE),"")</f>
        <v/>
      </c>
      <c r="G3745" s="49" t="str">
        <f>IFERROR(VLOOKUP(E3745,'Condensed Specialty Crosswalk'!$A$2:$C$106,3,FALSE),"")</f>
        <v/>
      </c>
    </row>
    <row r="3746" spans="5:7" ht="15" customHeight="1">
      <c r="E3746" s="49" t="str">
        <f>IFERROR(VLOOKUP(D3746,'taxonomy map'!$A$1:$C$107,2,FALSE),"")</f>
        <v/>
      </c>
      <c r="F3746" s="49" t="str">
        <f>IFERROR(VLOOKUP(E3746,'Condensed Specialty Crosswalk'!$A$2:$C$106,2,FALSE),"")</f>
        <v/>
      </c>
      <c r="G3746" s="49" t="str">
        <f>IFERROR(VLOOKUP(E3746,'Condensed Specialty Crosswalk'!$A$2:$C$106,3,FALSE),"")</f>
        <v/>
      </c>
    </row>
    <row r="3747" spans="5:7" ht="15" customHeight="1">
      <c r="E3747" s="49" t="str">
        <f>IFERROR(VLOOKUP(D3747,'taxonomy map'!$A$1:$C$107,2,FALSE),"")</f>
        <v/>
      </c>
      <c r="F3747" s="49" t="str">
        <f>IFERROR(VLOOKUP(E3747,'Condensed Specialty Crosswalk'!$A$2:$C$106,2,FALSE),"")</f>
        <v/>
      </c>
      <c r="G3747" s="49" t="str">
        <f>IFERROR(VLOOKUP(E3747,'Condensed Specialty Crosswalk'!$A$2:$C$106,3,FALSE),"")</f>
        <v/>
      </c>
    </row>
    <row r="3748" spans="5:7" ht="15" customHeight="1">
      <c r="E3748" s="49" t="str">
        <f>IFERROR(VLOOKUP(D3748,'taxonomy map'!$A$1:$C$107,2,FALSE),"")</f>
        <v/>
      </c>
      <c r="F3748" s="49" t="str">
        <f>IFERROR(VLOOKUP(E3748,'Condensed Specialty Crosswalk'!$A$2:$C$106,2,FALSE),"")</f>
        <v/>
      </c>
      <c r="G3748" s="49" t="str">
        <f>IFERROR(VLOOKUP(E3748,'Condensed Specialty Crosswalk'!$A$2:$C$106,3,FALSE),"")</f>
        <v/>
      </c>
    </row>
    <row r="3749" spans="5:7" ht="15" customHeight="1">
      <c r="E3749" s="49" t="str">
        <f>IFERROR(VLOOKUP(D3749,'taxonomy map'!$A$1:$C$107,2,FALSE),"")</f>
        <v/>
      </c>
      <c r="F3749" s="49" t="str">
        <f>IFERROR(VLOOKUP(E3749,'Condensed Specialty Crosswalk'!$A$2:$C$106,2,FALSE),"")</f>
        <v/>
      </c>
      <c r="G3749" s="49" t="str">
        <f>IFERROR(VLOOKUP(E3749,'Condensed Specialty Crosswalk'!$A$2:$C$106,3,FALSE),"")</f>
        <v/>
      </c>
    </row>
    <row r="3750" spans="5:7" ht="15" customHeight="1">
      <c r="E3750" s="49" t="str">
        <f>IFERROR(VLOOKUP(D3750,'taxonomy map'!$A$1:$C$107,2,FALSE),"")</f>
        <v/>
      </c>
      <c r="F3750" s="49" t="str">
        <f>IFERROR(VLOOKUP(E3750,'Condensed Specialty Crosswalk'!$A$2:$C$106,2,FALSE),"")</f>
        <v/>
      </c>
      <c r="G3750" s="49" t="str">
        <f>IFERROR(VLOOKUP(E3750,'Condensed Specialty Crosswalk'!$A$2:$C$106,3,FALSE),"")</f>
        <v/>
      </c>
    </row>
    <row r="3751" spans="5:7" ht="15" customHeight="1">
      <c r="E3751" s="49" t="str">
        <f>IFERROR(VLOOKUP(D3751,'taxonomy map'!$A$1:$C$107,2,FALSE),"")</f>
        <v/>
      </c>
      <c r="F3751" s="49" t="str">
        <f>IFERROR(VLOOKUP(E3751,'Condensed Specialty Crosswalk'!$A$2:$C$106,2,FALSE),"")</f>
        <v/>
      </c>
      <c r="G3751" s="49" t="str">
        <f>IFERROR(VLOOKUP(E3751,'Condensed Specialty Crosswalk'!$A$2:$C$106,3,FALSE),"")</f>
        <v/>
      </c>
    </row>
    <row r="3752" spans="5:7" ht="15" customHeight="1">
      <c r="E3752" s="49" t="str">
        <f>IFERROR(VLOOKUP(D3752,'taxonomy map'!$A$1:$C$107,2,FALSE),"")</f>
        <v/>
      </c>
      <c r="F3752" s="49" t="str">
        <f>IFERROR(VLOOKUP(E3752,'Condensed Specialty Crosswalk'!$A$2:$C$106,2,FALSE),"")</f>
        <v/>
      </c>
      <c r="G3752" s="49" t="str">
        <f>IFERROR(VLOOKUP(E3752,'Condensed Specialty Crosswalk'!$A$2:$C$106,3,FALSE),"")</f>
        <v/>
      </c>
    </row>
    <row r="3753" spans="5:7" ht="15" customHeight="1">
      <c r="E3753" s="49" t="str">
        <f>IFERROR(VLOOKUP(D3753,'taxonomy map'!$A$1:$C$107,2,FALSE),"")</f>
        <v/>
      </c>
      <c r="F3753" s="49" t="str">
        <f>IFERROR(VLOOKUP(E3753,'Condensed Specialty Crosswalk'!$A$2:$C$106,2,FALSE),"")</f>
        <v/>
      </c>
      <c r="G3753" s="49" t="str">
        <f>IFERROR(VLOOKUP(E3753,'Condensed Specialty Crosswalk'!$A$2:$C$106,3,FALSE),"")</f>
        <v/>
      </c>
    </row>
    <row r="3754" spans="5:7" ht="15" customHeight="1">
      <c r="E3754" s="49" t="str">
        <f>IFERROR(VLOOKUP(D3754,'taxonomy map'!$A$1:$C$107,2,FALSE),"")</f>
        <v/>
      </c>
      <c r="F3754" s="49" t="str">
        <f>IFERROR(VLOOKUP(E3754,'Condensed Specialty Crosswalk'!$A$2:$C$106,2,FALSE),"")</f>
        <v/>
      </c>
      <c r="G3754" s="49" t="str">
        <f>IFERROR(VLOOKUP(E3754,'Condensed Specialty Crosswalk'!$A$2:$C$106,3,FALSE),"")</f>
        <v/>
      </c>
    </row>
    <row r="3755" spans="5:7" ht="15" customHeight="1">
      <c r="E3755" s="49" t="str">
        <f>IFERROR(VLOOKUP(D3755,'taxonomy map'!$A$1:$C$107,2,FALSE),"")</f>
        <v/>
      </c>
      <c r="F3755" s="49" t="str">
        <f>IFERROR(VLOOKUP(E3755,'Condensed Specialty Crosswalk'!$A$2:$C$106,2,FALSE),"")</f>
        <v/>
      </c>
      <c r="G3755" s="49" t="str">
        <f>IFERROR(VLOOKUP(E3755,'Condensed Specialty Crosswalk'!$A$2:$C$106,3,FALSE),"")</f>
        <v/>
      </c>
    </row>
    <row r="3756" spans="5:7" ht="15" customHeight="1">
      <c r="E3756" s="49" t="str">
        <f>IFERROR(VLOOKUP(D3756,'taxonomy map'!$A$1:$C$107,2,FALSE),"")</f>
        <v/>
      </c>
      <c r="F3756" s="49" t="str">
        <f>IFERROR(VLOOKUP(E3756,'Condensed Specialty Crosswalk'!$A$2:$C$106,2,FALSE),"")</f>
        <v/>
      </c>
      <c r="G3756" s="49" t="str">
        <f>IFERROR(VLOOKUP(E3756,'Condensed Specialty Crosswalk'!$A$2:$C$106,3,FALSE),"")</f>
        <v/>
      </c>
    </row>
    <row r="3757" spans="5:7" ht="15" customHeight="1">
      <c r="E3757" s="49" t="str">
        <f>IFERROR(VLOOKUP(D3757,'taxonomy map'!$A$1:$C$107,2,FALSE),"")</f>
        <v/>
      </c>
      <c r="F3757" s="49" t="str">
        <f>IFERROR(VLOOKUP(E3757,'Condensed Specialty Crosswalk'!$A$2:$C$106,2,FALSE),"")</f>
        <v/>
      </c>
      <c r="G3757" s="49" t="str">
        <f>IFERROR(VLOOKUP(E3757,'Condensed Specialty Crosswalk'!$A$2:$C$106,3,FALSE),"")</f>
        <v/>
      </c>
    </row>
    <row r="3758" spans="5:7" ht="15" customHeight="1">
      <c r="E3758" s="49" t="str">
        <f>IFERROR(VLOOKUP(D3758,'taxonomy map'!$A$1:$C$107,2,FALSE),"")</f>
        <v/>
      </c>
      <c r="F3758" s="49" t="str">
        <f>IFERROR(VLOOKUP(E3758,'Condensed Specialty Crosswalk'!$A$2:$C$106,2,FALSE),"")</f>
        <v/>
      </c>
      <c r="G3758" s="49" t="str">
        <f>IFERROR(VLOOKUP(E3758,'Condensed Specialty Crosswalk'!$A$2:$C$106,3,FALSE),"")</f>
        <v/>
      </c>
    </row>
    <row r="3759" spans="5:7" ht="15" customHeight="1">
      <c r="E3759" s="49" t="str">
        <f>IFERROR(VLOOKUP(D3759,'taxonomy map'!$A$1:$C$107,2,FALSE),"")</f>
        <v/>
      </c>
      <c r="F3759" s="49" t="str">
        <f>IFERROR(VLOOKUP(E3759,'Condensed Specialty Crosswalk'!$A$2:$C$106,2,FALSE),"")</f>
        <v/>
      </c>
      <c r="G3759" s="49" t="str">
        <f>IFERROR(VLOOKUP(E3759,'Condensed Specialty Crosswalk'!$A$2:$C$106,3,FALSE),"")</f>
        <v/>
      </c>
    </row>
    <row r="3760" spans="5:7" ht="15" customHeight="1">
      <c r="E3760" s="49" t="str">
        <f>IFERROR(VLOOKUP(D3760,'taxonomy map'!$A$1:$C$107,2,FALSE),"")</f>
        <v/>
      </c>
      <c r="F3760" s="49" t="str">
        <f>IFERROR(VLOOKUP(E3760,'Condensed Specialty Crosswalk'!$A$2:$C$106,2,FALSE),"")</f>
        <v/>
      </c>
      <c r="G3760" s="49" t="str">
        <f>IFERROR(VLOOKUP(E3760,'Condensed Specialty Crosswalk'!$A$2:$C$106,3,FALSE),"")</f>
        <v/>
      </c>
    </row>
    <row r="3761" spans="5:7" ht="15" customHeight="1">
      <c r="E3761" s="49" t="str">
        <f>IFERROR(VLOOKUP(D3761,'taxonomy map'!$A$1:$C$107,2,FALSE),"")</f>
        <v/>
      </c>
      <c r="F3761" s="49" t="str">
        <f>IFERROR(VLOOKUP(E3761,'Condensed Specialty Crosswalk'!$A$2:$C$106,2,FALSE),"")</f>
        <v/>
      </c>
      <c r="G3761" s="49" t="str">
        <f>IFERROR(VLOOKUP(E3761,'Condensed Specialty Crosswalk'!$A$2:$C$106,3,FALSE),"")</f>
        <v/>
      </c>
    </row>
    <row r="3762" spans="5:7" ht="15" customHeight="1">
      <c r="E3762" s="49" t="str">
        <f>IFERROR(VLOOKUP(D3762,'taxonomy map'!$A$1:$C$107,2,FALSE),"")</f>
        <v/>
      </c>
      <c r="F3762" s="49" t="str">
        <f>IFERROR(VLOOKUP(E3762,'Condensed Specialty Crosswalk'!$A$2:$C$106,2,FALSE),"")</f>
        <v/>
      </c>
      <c r="G3762" s="49" t="str">
        <f>IFERROR(VLOOKUP(E3762,'Condensed Specialty Crosswalk'!$A$2:$C$106,3,FALSE),"")</f>
        <v/>
      </c>
    </row>
    <row r="3763" spans="5:7" ht="15" customHeight="1">
      <c r="E3763" s="49" t="str">
        <f>IFERROR(VLOOKUP(D3763,'taxonomy map'!$A$1:$C$107,2,FALSE),"")</f>
        <v/>
      </c>
      <c r="F3763" s="49" t="str">
        <f>IFERROR(VLOOKUP(E3763,'Condensed Specialty Crosswalk'!$A$2:$C$106,2,FALSE),"")</f>
        <v/>
      </c>
      <c r="G3763" s="49" t="str">
        <f>IFERROR(VLOOKUP(E3763,'Condensed Specialty Crosswalk'!$A$2:$C$106,3,FALSE),"")</f>
        <v/>
      </c>
    </row>
    <row r="3764" spans="5:7" ht="15" customHeight="1">
      <c r="E3764" s="49" t="str">
        <f>IFERROR(VLOOKUP(D3764,'taxonomy map'!$A$1:$C$107,2,FALSE),"")</f>
        <v/>
      </c>
      <c r="F3764" s="49" t="str">
        <f>IFERROR(VLOOKUP(E3764,'Condensed Specialty Crosswalk'!$A$2:$C$106,2,FALSE),"")</f>
        <v/>
      </c>
      <c r="G3764" s="49" t="str">
        <f>IFERROR(VLOOKUP(E3764,'Condensed Specialty Crosswalk'!$A$2:$C$106,3,FALSE),"")</f>
        <v/>
      </c>
    </row>
    <row r="3765" spans="5:7" ht="15" customHeight="1">
      <c r="E3765" s="49" t="str">
        <f>IFERROR(VLOOKUP(D3765,'taxonomy map'!$A$1:$C$107,2,FALSE),"")</f>
        <v/>
      </c>
      <c r="F3765" s="49" t="str">
        <f>IFERROR(VLOOKUP(E3765,'Condensed Specialty Crosswalk'!$A$2:$C$106,2,FALSE),"")</f>
        <v/>
      </c>
      <c r="G3765" s="49" t="str">
        <f>IFERROR(VLOOKUP(E3765,'Condensed Specialty Crosswalk'!$A$2:$C$106,3,FALSE),"")</f>
        <v/>
      </c>
    </row>
    <row r="3766" spans="5:7" ht="15" customHeight="1">
      <c r="E3766" s="49" t="str">
        <f>IFERROR(VLOOKUP(D3766,'taxonomy map'!$A$1:$C$107,2,FALSE),"")</f>
        <v/>
      </c>
      <c r="F3766" s="49" t="str">
        <f>IFERROR(VLOOKUP(E3766,'Condensed Specialty Crosswalk'!$A$2:$C$106,2,FALSE),"")</f>
        <v/>
      </c>
      <c r="G3766" s="49" t="str">
        <f>IFERROR(VLOOKUP(E3766,'Condensed Specialty Crosswalk'!$A$2:$C$106,3,FALSE),"")</f>
        <v/>
      </c>
    </row>
    <row r="3767" spans="5:7" ht="15" customHeight="1">
      <c r="E3767" s="49" t="str">
        <f>IFERROR(VLOOKUP(D3767,'taxonomy map'!$A$1:$C$107,2,FALSE),"")</f>
        <v/>
      </c>
      <c r="F3767" s="49" t="str">
        <f>IFERROR(VLOOKUP(E3767,'Condensed Specialty Crosswalk'!$A$2:$C$106,2,FALSE),"")</f>
        <v/>
      </c>
      <c r="G3767" s="49" t="str">
        <f>IFERROR(VLOOKUP(E3767,'Condensed Specialty Crosswalk'!$A$2:$C$106,3,FALSE),"")</f>
        <v/>
      </c>
    </row>
    <row r="3768" spans="5:7" ht="15" customHeight="1">
      <c r="E3768" s="49" t="str">
        <f>IFERROR(VLOOKUP(D3768,'taxonomy map'!$A$1:$C$107,2,FALSE),"")</f>
        <v/>
      </c>
      <c r="F3768" s="49" t="str">
        <f>IFERROR(VLOOKUP(E3768,'Condensed Specialty Crosswalk'!$A$2:$C$106,2,FALSE),"")</f>
        <v/>
      </c>
      <c r="G3768" s="49" t="str">
        <f>IFERROR(VLOOKUP(E3768,'Condensed Specialty Crosswalk'!$A$2:$C$106,3,FALSE),"")</f>
        <v/>
      </c>
    </row>
    <row r="3769" spans="5:7" ht="15" customHeight="1">
      <c r="E3769" s="49" t="str">
        <f>IFERROR(VLOOKUP(D3769,'taxonomy map'!$A$1:$C$107,2,FALSE),"")</f>
        <v/>
      </c>
      <c r="F3769" s="49" t="str">
        <f>IFERROR(VLOOKUP(E3769,'Condensed Specialty Crosswalk'!$A$2:$C$106,2,FALSE),"")</f>
        <v/>
      </c>
      <c r="G3769" s="49" t="str">
        <f>IFERROR(VLOOKUP(E3769,'Condensed Specialty Crosswalk'!$A$2:$C$106,3,FALSE),"")</f>
        <v/>
      </c>
    </row>
    <row r="3770" spans="5:7" ht="15" customHeight="1">
      <c r="E3770" s="49" t="str">
        <f>IFERROR(VLOOKUP(D3770,'taxonomy map'!$A$1:$C$107,2,FALSE),"")</f>
        <v/>
      </c>
      <c r="F3770" s="49" t="str">
        <f>IFERROR(VLOOKUP(E3770,'Condensed Specialty Crosswalk'!$A$2:$C$106,2,FALSE),"")</f>
        <v/>
      </c>
      <c r="G3770" s="49" t="str">
        <f>IFERROR(VLOOKUP(E3770,'Condensed Specialty Crosswalk'!$A$2:$C$106,3,FALSE),"")</f>
        <v/>
      </c>
    </row>
    <row r="3771" spans="5:7" ht="15" customHeight="1">
      <c r="E3771" s="49" t="str">
        <f>IFERROR(VLOOKUP(D3771,'taxonomy map'!$A$1:$C$107,2,FALSE),"")</f>
        <v/>
      </c>
      <c r="F3771" s="49" t="str">
        <f>IFERROR(VLOOKUP(E3771,'Condensed Specialty Crosswalk'!$A$2:$C$106,2,FALSE),"")</f>
        <v/>
      </c>
      <c r="G3771" s="49" t="str">
        <f>IFERROR(VLOOKUP(E3771,'Condensed Specialty Crosswalk'!$A$2:$C$106,3,FALSE),"")</f>
        <v/>
      </c>
    </row>
    <row r="3772" spans="5:7" ht="15" customHeight="1">
      <c r="E3772" s="49" t="str">
        <f>IFERROR(VLOOKUP(D3772,'taxonomy map'!$A$1:$C$107,2,FALSE),"")</f>
        <v/>
      </c>
      <c r="F3772" s="49" t="str">
        <f>IFERROR(VLOOKUP(E3772,'Condensed Specialty Crosswalk'!$A$2:$C$106,2,FALSE),"")</f>
        <v/>
      </c>
      <c r="G3772" s="49" t="str">
        <f>IFERROR(VLOOKUP(E3772,'Condensed Specialty Crosswalk'!$A$2:$C$106,3,FALSE),"")</f>
        <v/>
      </c>
    </row>
    <row r="3773" spans="5:7" ht="15" customHeight="1">
      <c r="E3773" s="49" t="str">
        <f>IFERROR(VLOOKUP(D3773,'taxonomy map'!$A$1:$C$107,2,FALSE),"")</f>
        <v/>
      </c>
      <c r="F3773" s="49" t="str">
        <f>IFERROR(VLOOKUP(E3773,'Condensed Specialty Crosswalk'!$A$2:$C$106,2,FALSE),"")</f>
        <v/>
      </c>
      <c r="G3773" s="49" t="str">
        <f>IFERROR(VLOOKUP(E3773,'Condensed Specialty Crosswalk'!$A$2:$C$106,3,FALSE),"")</f>
        <v/>
      </c>
    </row>
    <row r="3774" spans="5:7" ht="15" customHeight="1">
      <c r="E3774" s="49" t="str">
        <f>IFERROR(VLOOKUP(D3774,'taxonomy map'!$A$1:$C$107,2,FALSE),"")</f>
        <v/>
      </c>
      <c r="F3774" s="49" t="str">
        <f>IFERROR(VLOOKUP(E3774,'Condensed Specialty Crosswalk'!$A$2:$C$106,2,FALSE),"")</f>
        <v/>
      </c>
      <c r="G3774" s="49" t="str">
        <f>IFERROR(VLOOKUP(E3774,'Condensed Specialty Crosswalk'!$A$2:$C$106,3,FALSE),"")</f>
        <v/>
      </c>
    </row>
    <row r="3775" spans="5:7" ht="15" customHeight="1">
      <c r="E3775" s="49" t="str">
        <f>IFERROR(VLOOKUP(D3775,'taxonomy map'!$A$1:$C$107,2,FALSE),"")</f>
        <v/>
      </c>
      <c r="F3775" s="49" t="str">
        <f>IFERROR(VLOOKUP(E3775,'Condensed Specialty Crosswalk'!$A$2:$C$106,2,FALSE),"")</f>
        <v/>
      </c>
      <c r="G3775" s="49" t="str">
        <f>IFERROR(VLOOKUP(E3775,'Condensed Specialty Crosswalk'!$A$2:$C$106,3,FALSE),"")</f>
        <v/>
      </c>
    </row>
    <row r="3776" spans="5:7" ht="15" customHeight="1">
      <c r="E3776" s="49" t="str">
        <f>IFERROR(VLOOKUP(D3776,'taxonomy map'!$A$1:$C$107,2,FALSE),"")</f>
        <v/>
      </c>
      <c r="F3776" s="49" t="str">
        <f>IFERROR(VLOOKUP(E3776,'Condensed Specialty Crosswalk'!$A$2:$C$106,2,FALSE),"")</f>
        <v/>
      </c>
      <c r="G3776" s="49" t="str">
        <f>IFERROR(VLOOKUP(E3776,'Condensed Specialty Crosswalk'!$A$2:$C$106,3,FALSE),"")</f>
        <v/>
      </c>
    </row>
    <row r="3777" spans="5:7" ht="15" customHeight="1">
      <c r="E3777" s="49" t="str">
        <f>IFERROR(VLOOKUP(D3777,'taxonomy map'!$A$1:$C$107,2,FALSE),"")</f>
        <v/>
      </c>
      <c r="F3777" s="49" t="str">
        <f>IFERROR(VLOOKUP(E3777,'Condensed Specialty Crosswalk'!$A$2:$C$106,2,FALSE),"")</f>
        <v/>
      </c>
      <c r="G3777" s="49" t="str">
        <f>IFERROR(VLOOKUP(E3777,'Condensed Specialty Crosswalk'!$A$2:$C$106,3,FALSE),"")</f>
        <v/>
      </c>
    </row>
    <row r="3778" spans="5:7" ht="15" customHeight="1">
      <c r="E3778" s="49" t="str">
        <f>IFERROR(VLOOKUP(D3778,'taxonomy map'!$A$1:$C$107,2,FALSE),"")</f>
        <v/>
      </c>
      <c r="F3778" s="49" t="str">
        <f>IFERROR(VLOOKUP(E3778,'Condensed Specialty Crosswalk'!$A$2:$C$106,2,FALSE),"")</f>
        <v/>
      </c>
      <c r="G3778" s="49" t="str">
        <f>IFERROR(VLOOKUP(E3778,'Condensed Specialty Crosswalk'!$A$2:$C$106,3,FALSE),"")</f>
        <v/>
      </c>
    </row>
    <row r="3779" spans="5:7" ht="15" customHeight="1">
      <c r="E3779" s="49" t="str">
        <f>IFERROR(VLOOKUP(D3779,'taxonomy map'!$A$1:$C$107,2,FALSE),"")</f>
        <v/>
      </c>
      <c r="F3779" s="49" t="str">
        <f>IFERROR(VLOOKUP(E3779,'Condensed Specialty Crosswalk'!$A$2:$C$106,2,FALSE),"")</f>
        <v/>
      </c>
      <c r="G3779" s="49" t="str">
        <f>IFERROR(VLOOKUP(E3779,'Condensed Specialty Crosswalk'!$A$2:$C$106,3,FALSE),"")</f>
        <v/>
      </c>
    </row>
    <row r="3780" spans="5:7" ht="15" customHeight="1">
      <c r="E3780" s="49" t="str">
        <f>IFERROR(VLOOKUP(D3780,'taxonomy map'!$A$1:$C$107,2,FALSE),"")</f>
        <v/>
      </c>
      <c r="F3780" s="49" t="str">
        <f>IFERROR(VLOOKUP(E3780,'Condensed Specialty Crosswalk'!$A$2:$C$106,2,FALSE),"")</f>
        <v/>
      </c>
      <c r="G3780" s="49" t="str">
        <f>IFERROR(VLOOKUP(E3780,'Condensed Specialty Crosswalk'!$A$2:$C$106,3,FALSE),"")</f>
        <v/>
      </c>
    </row>
    <row r="3781" spans="5:7" ht="15" customHeight="1">
      <c r="E3781" s="49" t="str">
        <f>IFERROR(VLOOKUP(D3781,'taxonomy map'!$A$1:$C$107,2,FALSE),"")</f>
        <v/>
      </c>
      <c r="F3781" s="49" t="str">
        <f>IFERROR(VLOOKUP(E3781,'Condensed Specialty Crosswalk'!$A$2:$C$106,2,FALSE),"")</f>
        <v/>
      </c>
      <c r="G3781" s="49" t="str">
        <f>IFERROR(VLOOKUP(E3781,'Condensed Specialty Crosswalk'!$A$2:$C$106,3,FALSE),"")</f>
        <v/>
      </c>
    </row>
    <row r="3782" spans="5:7" ht="15" customHeight="1">
      <c r="E3782" s="49" t="str">
        <f>IFERROR(VLOOKUP(D3782,'taxonomy map'!$A$1:$C$107,2,FALSE),"")</f>
        <v/>
      </c>
      <c r="F3782" s="49" t="str">
        <f>IFERROR(VLOOKUP(E3782,'Condensed Specialty Crosswalk'!$A$2:$C$106,2,FALSE),"")</f>
        <v/>
      </c>
      <c r="G3782" s="49" t="str">
        <f>IFERROR(VLOOKUP(E3782,'Condensed Specialty Crosswalk'!$A$2:$C$106,3,FALSE),"")</f>
        <v/>
      </c>
    </row>
    <row r="3783" spans="5:7" ht="15" customHeight="1">
      <c r="E3783" s="49" t="str">
        <f>IFERROR(VLOOKUP(D3783,'taxonomy map'!$A$1:$C$107,2,FALSE),"")</f>
        <v/>
      </c>
      <c r="F3783" s="49" t="str">
        <f>IFERROR(VLOOKUP(E3783,'Condensed Specialty Crosswalk'!$A$2:$C$106,2,FALSE),"")</f>
        <v/>
      </c>
      <c r="G3783" s="49" t="str">
        <f>IFERROR(VLOOKUP(E3783,'Condensed Specialty Crosswalk'!$A$2:$C$106,3,FALSE),"")</f>
        <v/>
      </c>
    </row>
    <row r="3784" spans="5:7" ht="15" customHeight="1">
      <c r="E3784" s="49" t="str">
        <f>IFERROR(VLOOKUP(D3784,'taxonomy map'!$A$1:$C$107,2,FALSE),"")</f>
        <v/>
      </c>
      <c r="F3784" s="49" t="str">
        <f>IFERROR(VLOOKUP(E3784,'Condensed Specialty Crosswalk'!$A$2:$C$106,2,FALSE),"")</f>
        <v/>
      </c>
      <c r="G3784" s="49" t="str">
        <f>IFERROR(VLOOKUP(E3784,'Condensed Specialty Crosswalk'!$A$2:$C$106,3,FALSE),"")</f>
        <v/>
      </c>
    </row>
    <row r="3785" spans="5:7" ht="15" customHeight="1">
      <c r="E3785" s="49" t="str">
        <f>IFERROR(VLOOKUP(D3785,'taxonomy map'!$A$1:$C$107,2,FALSE),"")</f>
        <v/>
      </c>
      <c r="F3785" s="49" t="str">
        <f>IFERROR(VLOOKUP(E3785,'Condensed Specialty Crosswalk'!$A$2:$C$106,2,FALSE),"")</f>
        <v/>
      </c>
      <c r="G3785" s="49" t="str">
        <f>IFERROR(VLOOKUP(E3785,'Condensed Specialty Crosswalk'!$A$2:$C$106,3,FALSE),"")</f>
        <v/>
      </c>
    </row>
    <row r="3786" spans="5:7" ht="15" customHeight="1">
      <c r="E3786" s="49" t="str">
        <f>IFERROR(VLOOKUP(D3786,'taxonomy map'!$A$1:$C$107,2,FALSE),"")</f>
        <v/>
      </c>
      <c r="F3786" s="49" t="str">
        <f>IFERROR(VLOOKUP(E3786,'Condensed Specialty Crosswalk'!$A$2:$C$106,2,FALSE),"")</f>
        <v/>
      </c>
      <c r="G3786" s="49" t="str">
        <f>IFERROR(VLOOKUP(E3786,'Condensed Specialty Crosswalk'!$A$2:$C$106,3,FALSE),"")</f>
        <v/>
      </c>
    </row>
    <row r="3787" spans="5:7" ht="15" customHeight="1">
      <c r="E3787" s="49" t="str">
        <f>IFERROR(VLOOKUP(D3787,'taxonomy map'!$A$1:$C$107,2,FALSE),"")</f>
        <v/>
      </c>
      <c r="F3787" s="49" t="str">
        <f>IFERROR(VLOOKUP(E3787,'Condensed Specialty Crosswalk'!$A$2:$C$106,2,FALSE),"")</f>
        <v/>
      </c>
      <c r="G3787" s="49" t="str">
        <f>IFERROR(VLOOKUP(E3787,'Condensed Specialty Crosswalk'!$A$2:$C$106,3,FALSE),"")</f>
        <v/>
      </c>
    </row>
    <row r="3788" spans="5:7" ht="15" customHeight="1">
      <c r="E3788" s="49" t="str">
        <f>IFERROR(VLOOKUP(D3788,'taxonomy map'!$A$1:$C$107,2,FALSE),"")</f>
        <v/>
      </c>
      <c r="F3788" s="49" t="str">
        <f>IFERROR(VLOOKUP(E3788,'Condensed Specialty Crosswalk'!$A$2:$C$106,2,FALSE),"")</f>
        <v/>
      </c>
      <c r="G3788" s="49" t="str">
        <f>IFERROR(VLOOKUP(E3788,'Condensed Specialty Crosswalk'!$A$2:$C$106,3,FALSE),"")</f>
        <v/>
      </c>
    </row>
    <row r="3789" spans="5:7" ht="15" customHeight="1">
      <c r="E3789" s="49" t="str">
        <f>IFERROR(VLOOKUP(D3789,'taxonomy map'!$A$1:$C$107,2,FALSE),"")</f>
        <v/>
      </c>
      <c r="F3789" s="49" t="str">
        <f>IFERROR(VLOOKUP(E3789,'Condensed Specialty Crosswalk'!$A$2:$C$106,2,FALSE),"")</f>
        <v/>
      </c>
      <c r="G3789" s="49" t="str">
        <f>IFERROR(VLOOKUP(E3789,'Condensed Specialty Crosswalk'!$A$2:$C$106,3,FALSE),"")</f>
        <v/>
      </c>
    </row>
    <row r="3790" spans="5:7" ht="15" customHeight="1">
      <c r="E3790" s="49" t="str">
        <f>IFERROR(VLOOKUP(D3790,'taxonomy map'!$A$1:$C$107,2,FALSE),"")</f>
        <v/>
      </c>
      <c r="F3790" s="49" t="str">
        <f>IFERROR(VLOOKUP(E3790,'Condensed Specialty Crosswalk'!$A$2:$C$106,2,FALSE),"")</f>
        <v/>
      </c>
      <c r="G3790" s="49" t="str">
        <f>IFERROR(VLOOKUP(E3790,'Condensed Specialty Crosswalk'!$A$2:$C$106,3,FALSE),"")</f>
        <v/>
      </c>
    </row>
    <row r="3791" spans="5:7" ht="15" customHeight="1">
      <c r="E3791" s="49" t="str">
        <f>IFERROR(VLOOKUP(D3791,'taxonomy map'!$A$1:$C$107,2,FALSE),"")</f>
        <v/>
      </c>
      <c r="F3791" s="49" t="str">
        <f>IFERROR(VLOOKUP(E3791,'Condensed Specialty Crosswalk'!$A$2:$C$106,2,FALSE),"")</f>
        <v/>
      </c>
      <c r="G3791" s="49" t="str">
        <f>IFERROR(VLOOKUP(E3791,'Condensed Specialty Crosswalk'!$A$2:$C$106,3,FALSE),"")</f>
        <v/>
      </c>
    </row>
    <row r="3792" spans="5:7" ht="15" customHeight="1">
      <c r="E3792" s="49" t="str">
        <f>IFERROR(VLOOKUP(D3792,'taxonomy map'!$A$1:$C$107,2,FALSE),"")</f>
        <v/>
      </c>
      <c r="F3792" s="49" t="str">
        <f>IFERROR(VLOOKUP(E3792,'Condensed Specialty Crosswalk'!$A$2:$C$106,2,FALSE),"")</f>
        <v/>
      </c>
      <c r="G3792" s="49" t="str">
        <f>IFERROR(VLOOKUP(E3792,'Condensed Specialty Crosswalk'!$A$2:$C$106,3,FALSE),"")</f>
        <v/>
      </c>
    </row>
    <row r="3793" spans="5:7" ht="15" customHeight="1">
      <c r="E3793" s="49" t="str">
        <f>IFERROR(VLOOKUP(D3793,'taxonomy map'!$A$1:$C$107,2,FALSE),"")</f>
        <v/>
      </c>
      <c r="F3793" s="49" t="str">
        <f>IFERROR(VLOOKUP(E3793,'Condensed Specialty Crosswalk'!$A$2:$C$106,2,FALSE),"")</f>
        <v/>
      </c>
      <c r="G3793" s="49" t="str">
        <f>IFERROR(VLOOKUP(E3793,'Condensed Specialty Crosswalk'!$A$2:$C$106,3,FALSE),"")</f>
        <v/>
      </c>
    </row>
    <row r="3794" spans="5:7" ht="15" customHeight="1">
      <c r="E3794" s="49" t="str">
        <f>IFERROR(VLOOKUP(D3794,'taxonomy map'!$A$1:$C$107,2,FALSE),"")</f>
        <v/>
      </c>
      <c r="F3794" s="49" t="str">
        <f>IFERROR(VLOOKUP(E3794,'Condensed Specialty Crosswalk'!$A$2:$C$106,2,FALSE),"")</f>
        <v/>
      </c>
      <c r="G3794" s="49" t="str">
        <f>IFERROR(VLOOKUP(E3794,'Condensed Specialty Crosswalk'!$A$2:$C$106,3,FALSE),"")</f>
        <v/>
      </c>
    </row>
    <row r="3795" spans="5:7" ht="15" customHeight="1">
      <c r="E3795" s="49" t="str">
        <f>IFERROR(VLOOKUP(D3795,'taxonomy map'!$A$1:$C$107,2,FALSE),"")</f>
        <v/>
      </c>
      <c r="F3795" s="49" t="str">
        <f>IFERROR(VLOOKUP(E3795,'Condensed Specialty Crosswalk'!$A$2:$C$106,2,FALSE),"")</f>
        <v/>
      </c>
      <c r="G3795" s="49" t="str">
        <f>IFERROR(VLOOKUP(E3795,'Condensed Specialty Crosswalk'!$A$2:$C$106,3,FALSE),"")</f>
        <v/>
      </c>
    </row>
    <row r="3796" spans="5:7" ht="15" customHeight="1">
      <c r="E3796" s="49" t="str">
        <f>IFERROR(VLOOKUP(D3796,'taxonomy map'!$A$1:$C$107,2,FALSE),"")</f>
        <v/>
      </c>
      <c r="F3796" s="49" t="str">
        <f>IFERROR(VLOOKUP(E3796,'Condensed Specialty Crosswalk'!$A$2:$C$106,2,FALSE),"")</f>
        <v/>
      </c>
      <c r="G3796" s="49" t="str">
        <f>IFERROR(VLOOKUP(E3796,'Condensed Specialty Crosswalk'!$A$2:$C$106,3,FALSE),"")</f>
        <v/>
      </c>
    </row>
    <row r="3797" spans="5:7" ht="15" customHeight="1">
      <c r="E3797" s="49" t="str">
        <f>IFERROR(VLOOKUP(D3797,'taxonomy map'!$A$1:$C$107,2,FALSE),"")</f>
        <v/>
      </c>
      <c r="F3797" s="49" t="str">
        <f>IFERROR(VLOOKUP(E3797,'Condensed Specialty Crosswalk'!$A$2:$C$106,2,FALSE),"")</f>
        <v/>
      </c>
      <c r="G3797" s="49" t="str">
        <f>IFERROR(VLOOKUP(E3797,'Condensed Specialty Crosswalk'!$A$2:$C$106,3,FALSE),"")</f>
        <v/>
      </c>
    </row>
    <row r="3798" spans="5:7" ht="15" customHeight="1">
      <c r="E3798" s="49" t="str">
        <f>IFERROR(VLOOKUP(D3798,'taxonomy map'!$A$1:$C$107,2,FALSE),"")</f>
        <v/>
      </c>
      <c r="F3798" s="49" t="str">
        <f>IFERROR(VLOOKUP(E3798,'Condensed Specialty Crosswalk'!$A$2:$C$106,2,FALSE),"")</f>
        <v/>
      </c>
      <c r="G3798" s="49" t="str">
        <f>IFERROR(VLOOKUP(E3798,'Condensed Specialty Crosswalk'!$A$2:$C$106,3,FALSE),"")</f>
        <v/>
      </c>
    </row>
    <row r="3799" spans="5:7" ht="15" customHeight="1">
      <c r="E3799" s="49" t="str">
        <f>IFERROR(VLOOKUP(D3799,'taxonomy map'!$A$1:$C$107,2,FALSE),"")</f>
        <v/>
      </c>
      <c r="F3799" s="49" t="str">
        <f>IFERROR(VLOOKUP(E3799,'Condensed Specialty Crosswalk'!$A$2:$C$106,2,FALSE),"")</f>
        <v/>
      </c>
      <c r="G3799" s="49" t="str">
        <f>IFERROR(VLOOKUP(E3799,'Condensed Specialty Crosswalk'!$A$2:$C$106,3,FALSE),"")</f>
        <v/>
      </c>
    </row>
    <row r="3800" spans="5:7" ht="15" customHeight="1">
      <c r="E3800" s="49" t="str">
        <f>IFERROR(VLOOKUP(D3800,'taxonomy map'!$A$1:$C$107,2,FALSE),"")</f>
        <v/>
      </c>
      <c r="F3800" s="49" t="str">
        <f>IFERROR(VLOOKUP(E3800,'Condensed Specialty Crosswalk'!$A$2:$C$106,2,FALSE),"")</f>
        <v/>
      </c>
      <c r="G3800" s="49" t="str">
        <f>IFERROR(VLOOKUP(E3800,'Condensed Specialty Crosswalk'!$A$2:$C$106,3,FALSE),"")</f>
        <v/>
      </c>
    </row>
    <row r="3801" spans="5:7" ht="15" customHeight="1">
      <c r="E3801" s="49" t="str">
        <f>IFERROR(VLOOKUP(D3801,'taxonomy map'!$A$1:$C$107,2,FALSE),"")</f>
        <v/>
      </c>
      <c r="F3801" s="49" t="str">
        <f>IFERROR(VLOOKUP(E3801,'Condensed Specialty Crosswalk'!$A$2:$C$106,2,FALSE),"")</f>
        <v/>
      </c>
      <c r="G3801" s="49" t="str">
        <f>IFERROR(VLOOKUP(E3801,'Condensed Specialty Crosswalk'!$A$2:$C$106,3,FALSE),"")</f>
        <v/>
      </c>
    </row>
    <row r="3802" spans="5:7" ht="15" customHeight="1">
      <c r="E3802" s="49" t="str">
        <f>IFERROR(VLOOKUP(D3802,'taxonomy map'!$A$1:$C$107,2,FALSE),"")</f>
        <v/>
      </c>
      <c r="F3802" s="49" t="str">
        <f>IFERROR(VLOOKUP(E3802,'Condensed Specialty Crosswalk'!$A$2:$C$106,2,FALSE),"")</f>
        <v/>
      </c>
      <c r="G3802" s="49" t="str">
        <f>IFERROR(VLOOKUP(E3802,'Condensed Specialty Crosswalk'!$A$2:$C$106,3,FALSE),"")</f>
        <v/>
      </c>
    </row>
    <row r="3803" spans="5:7" ht="15" customHeight="1">
      <c r="E3803" s="49" t="str">
        <f>IFERROR(VLOOKUP(D3803,'taxonomy map'!$A$1:$C$107,2,FALSE),"")</f>
        <v/>
      </c>
      <c r="F3803" s="49" t="str">
        <f>IFERROR(VLOOKUP(E3803,'Condensed Specialty Crosswalk'!$A$2:$C$106,2,FALSE),"")</f>
        <v/>
      </c>
      <c r="G3803" s="49" t="str">
        <f>IFERROR(VLOOKUP(E3803,'Condensed Specialty Crosswalk'!$A$2:$C$106,3,FALSE),"")</f>
        <v/>
      </c>
    </row>
    <row r="3804" spans="5:7" ht="15" customHeight="1">
      <c r="E3804" s="49" t="str">
        <f>IFERROR(VLOOKUP(D3804,'taxonomy map'!$A$1:$C$107,2,FALSE),"")</f>
        <v/>
      </c>
      <c r="F3804" s="49" t="str">
        <f>IFERROR(VLOOKUP(E3804,'Condensed Specialty Crosswalk'!$A$2:$C$106,2,FALSE),"")</f>
        <v/>
      </c>
      <c r="G3804" s="49" t="str">
        <f>IFERROR(VLOOKUP(E3804,'Condensed Specialty Crosswalk'!$A$2:$C$106,3,FALSE),"")</f>
        <v/>
      </c>
    </row>
    <row r="3805" spans="5:7" ht="15" customHeight="1">
      <c r="E3805" s="49" t="str">
        <f>IFERROR(VLOOKUP(D3805,'taxonomy map'!$A$1:$C$107,2,FALSE),"")</f>
        <v/>
      </c>
      <c r="F3805" s="49" t="str">
        <f>IFERROR(VLOOKUP(E3805,'Condensed Specialty Crosswalk'!$A$2:$C$106,2,FALSE),"")</f>
        <v/>
      </c>
      <c r="G3805" s="49" t="str">
        <f>IFERROR(VLOOKUP(E3805,'Condensed Specialty Crosswalk'!$A$2:$C$106,3,FALSE),"")</f>
        <v/>
      </c>
    </row>
    <row r="3806" spans="5:7" ht="15" customHeight="1">
      <c r="E3806" s="49" t="str">
        <f>IFERROR(VLOOKUP(D3806,'taxonomy map'!$A$1:$C$107,2,FALSE),"")</f>
        <v/>
      </c>
      <c r="F3806" s="49" t="str">
        <f>IFERROR(VLOOKUP(E3806,'Condensed Specialty Crosswalk'!$A$2:$C$106,2,FALSE),"")</f>
        <v/>
      </c>
      <c r="G3806" s="49" t="str">
        <f>IFERROR(VLOOKUP(E3806,'Condensed Specialty Crosswalk'!$A$2:$C$106,3,FALSE),"")</f>
        <v/>
      </c>
    </row>
    <row r="3807" spans="5:7" ht="15" customHeight="1">
      <c r="E3807" s="49" t="str">
        <f>IFERROR(VLOOKUP(D3807,'taxonomy map'!$A$1:$C$107,2,FALSE),"")</f>
        <v/>
      </c>
      <c r="F3807" s="49" t="str">
        <f>IFERROR(VLOOKUP(E3807,'Condensed Specialty Crosswalk'!$A$2:$C$106,2,FALSE),"")</f>
        <v/>
      </c>
      <c r="G3807" s="49" t="str">
        <f>IFERROR(VLOOKUP(E3807,'Condensed Specialty Crosswalk'!$A$2:$C$106,3,FALSE),"")</f>
        <v/>
      </c>
    </row>
    <row r="3808" spans="5:7" ht="15" customHeight="1">
      <c r="E3808" s="49" t="str">
        <f>IFERROR(VLOOKUP(D3808,'taxonomy map'!$A$1:$C$107,2,FALSE),"")</f>
        <v/>
      </c>
      <c r="F3808" s="49" t="str">
        <f>IFERROR(VLOOKUP(E3808,'Condensed Specialty Crosswalk'!$A$2:$C$106,2,FALSE),"")</f>
        <v/>
      </c>
      <c r="G3808" s="49" t="str">
        <f>IFERROR(VLOOKUP(E3808,'Condensed Specialty Crosswalk'!$A$2:$C$106,3,FALSE),"")</f>
        <v/>
      </c>
    </row>
    <row r="3809" spans="5:7" ht="15" customHeight="1">
      <c r="E3809" s="49" t="str">
        <f>IFERROR(VLOOKUP(D3809,'taxonomy map'!$A$1:$C$107,2,FALSE),"")</f>
        <v/>
      </c>
      <c r="F3809" s="49" t="str">
        <f>IFERROR(VLOOKUP(E3809,'Condensed Specialty Crosswalk'!$A$2:$C$106,2,FALSE),"")</f>
        <v/>
      </c>
      <c r="G3809" s="49" t="str">
        <f>IFERROR(VLOOKUP(E3809,'Condensed Specialty Crosswalk'!$A$2:$C$106,3,FALSE),"")</f>
        <v/>
      </c>
    </row>
    <row r="3810" spans="5:7" ht="15" customHeight="1">
      <c r="E3810" s="49" t="str">
        <f>IFERROR(VLOOKUP(D3810,'taxonomy map'!$A$1:$C$107,2,FALSE),"")</f>
        <v/>
      </c>
      <c r="F3810" s="49" t="str">
        <f>IFERROR(VLOOKUP(E3810,'Condensed Specialty Crosswalk'!$A$2:$C$106,2,FALSE),"")</f>
        <v/>
      </c>
      <c r="G3810" s="49" t="str">
        <f>IFERROR(VLOOKUP(E3810,'Condensed Specialty Crosswalk'!$A$2:$C$106,3,FALSE),"")</f>
        <v/>
      </c>
    </row>
    <row r="3811" spans="5:7" ht="15" customHeight="1">
      <c r="E3811" s="49" t="str">
        <f>IFERROR(VLOOKUP(D3811,'taxonomy map'!$A$1:$C$107,2,FALSE),"")</f>
        <v/>
      </c>
      <c r="F3811" s="49" t="str">
        <f>IFERROR(VLOOKUP(E3811,'Condensed Specialty Crosswalk'!$A$2:$C$106,2,FALSE),"")</f>
        <v/>
      </c>
      <c r="G3811" s="49" t="str">
        <f>IFERROR(VLOOKUP(E3811,'Condensed Specialty Crosswalk'!$A$2:$C$106,3,FALSE),"")</f>
        <v/>
      </c>
    </row>
    <row r="3812" spans="5:7" ht="15" customHeight="1">
      <c r="E3812" s="49" t="str">
        <f>IFERROR(VLOOKUP(D3812,'taxonomy map'!$A$1:$C$107,2,FALSE),"")</f>
        <v/>
      </c>
      <c r="F3812" s="49" t="str">
        <f>IFERROR(VLOOKUP(E3812,'Condensed Specialty Crosswalk'!$A$2:$C$106,2,FALSE),"")</f>
        <v/>
      </c>
      <c r="G3812" s="49" t="str">
        <f>IFERROR(VLOOKUP(E3812,'Condensed Specialty Crosswalk'!$A$2:$C$106,3,FALSE),"")</f>
        <v/>
      </c>
    </row>
    <row r="3813" spans="5:7" ht="15" customHeight="1">
      <c r="E3813" s="49" t="str">
        <f>IFERROR(VLOOKUP(D3813,'taxonomy map'!$A$1:$C$107,2,FALSE),"")</f>
        <v/>
      </c>
      <c r="F3813" s="49" t="str">
        <f>IFERROR(VLOOKUP(E3813,'Condensed Specialty Crosswalk'!$A$2:$C$106,2,FALSE),"")</f>
        <v/>
      </c>
      <c r="G3813" s="49" t="str">
        <f>IFERROR(VLOOKUP(E3813,'Condensed Specialty Crosswalk'!$A$2:$C$106,3,FALSE),"")</f>
        <v/>
      </c>
    </row>
    <row r="3814" spans="5:7" ht="15" customHeight="1">
      <c r="E3814" s="49" t="str">
        <f>IFERROR(VLOOKUP(D3814,'taxonomy map'!$A$1:$C$107,2,FALSE),"")</f>
        <v/>
      </c>
      <c r="F3814" s="49" t="str">
        <f>IFERROR(VLOOKUP(E3814,'Condensed Specialty Crosswalk'!$A$2:$C$106,2,FALSE),"")</f>
        <v/>
      </c>
      <c r="G3814" s="49" t="str">
        <f>IFERROR(VLOOKUP(E3814,'Condensed Specialty Crosswalk'!$A$2:$C$106,3,FALSE),"")</f>
        <v/>
      </c>
    </row>
    <row r="3815" spans="5:7" ht="15" customHeight="1">
      <c r="E3815" s="49" t="str">
        <f>IFERROR(VLOOKUP(D3815,'taxonomy map'!$A$1:$C$107,2,FALSE),"")</f>
        <v/>
      </c>
      <c r="F3815" s="49" t="str">
        <f>IFERROR(VLOOKUP(E3815,'Condensed Specialty Crosswalk'!$A$2:$C$106,2,FALSE),"")</f>
        <v/>
      </c>
      <c r="G3815" s="49" t="str">
        <f>IFERROR(VLOOKUP(E3815,'Condensed Specialty Crosswalk'!$A$2:$C$106,3,FALSE),"")</f>
        <v/>
      </c>
    </row>
    <row r="3816" spans="5:7" ht="15" customHeight="1">
      <c r="E3816" s="49" t="str">
        <f>IFERROR(VLOOKUP(D3816,'taxonomy map'!$A$1:$C$107,2,FALSE),"")</f>
        <v/>
      </c>
      <c r="F3816" s="49" t="str">
        <f>IFERROR(VLOOKUP(E3816,'Condensed Specialty Crosswalk'!$A$2:$C$106,2,FALSE),"")</f>
        <v/>
      </c>
      <c r="G3816" s="49" t="str">
        <f>IFERROR(VLOOKUP(E3816,'Condensed Specialty Crosswalk'!$A$2:$C$106,3,FALSE),"")</f>
        <v/>
      </c>
    </row>
    <row r="3817" spans="5:7" ht="15" customHeight="1">
      <c r="E3817" s="49" t="str">
        <f>IFERROR(VLOOKUP(D3817,'taxonomy map'!$A$1:$C$107,2,FALSE),"")</f>
        <v/>
      </c>
      <c r="F3817" s="49" t="str">
        <f>IFERROR(VLOOKUP(E3817,'Condensed Specialty Crosswalk'!$A$2:$C$106,2,FALSE),"")</f>
        <v/>
      </c>
      <c r="G3817" s="49" t="str">
        <f>IFERROR(VLOOKUP(E3817,'Condensed Specialty Crosswalk'!$A$2:$C$106,3,FALSE),"")</f>
        <v/>
      </c>
    </row>
    <row r="3818" spans="5:7" ht="15" customHeight="1">
      <c r="E3818" s="49" t="str">
        <f>IFERROR(VLOOKUP(D3818,'taxonomy map'!$A$1:$C$107,2,FALSE),"")</f>
        <v/>
      </c>
      <c r="F3818" s="49" t="str">
        <f>IFERROR(VLOOKUP(E3818,'Condensed Specialty Crosswalk'!$A$2:$C$106,2,FALSE),"")</f>
        <v/>
      </c>
      <c r="G3818" s="49" t="str">
        <f>IFERROR(VLOOKUP(E3818,'Condensed Specialty Crosswalk'!$A$2:$C$106,3,FALSE),"")</f>
        <v/>
      </c>
    </row>
    <row r="3819" spans="5:7" ht="15" customHeight="1">
      <c r="E3819" s="49" t="str">
        <f>IFERROR(VLOOKUP(D3819,'taxonomy map'!$A$1:$C$107,2,FALSE),"")</f>
        <v/>
      </c>
      <c r="F3819" s="49" t="str">
        <f>IFERROR(VLOOKUP(E3819,'Condensed Specialty Crosswalk'!$A$2:$C$106,2,FALSE),"")</f>
        <v/>
      </c>
      <c r="G3819" s="49" t="str">
        <f>IFERROR(VLOOKUP(E3819,'Condensed Specialty Crosswalk'!$A$2:$C$106,3,FALSE),"")</f>
        <v/>
      </c>
    </row>
    <row r="3820" spans="5:7" ht="15" customHeight="1">
      <c r="E3820" s="49" t="str">
        <f>IFERROR(VLOOKUP(D3820,'taxonomy map'!$A$1:$C$107,2,FALSE),"")</f>
        <v/>
      </c>
      <c r="F3820" s="49" t="str">
        <f>IFERROR(VLOOKUP(E3820,'Condensed Specialty Crosswalk'!$A$2:$C$106,2,FALSE),"")</f>
        <v/>
      </c>
      <c r="G3820" s="49" t="str">
        <f>IFERROR(VLOOKUP(E3820,'Condensed Specialty Crosswalk'!$A$2:$C$106,3,FALSE),"")</f>
        <v/>
      </c>
    </row>
    <row r="3821" spans="5:7" ht="15" customHeight="1">
      <c r="E3821" s="49" t="str">
        <f>IFERROR(VLOOKUP(D3821,'taxonomy map'!$A$1:$C$107,2,FALSE),"")</f>
        <v/>
      </c>
      <c r="F3821" s="49" t="str">
        <f>IFERROR(VLOOKUP(E3821,'Condensed Specialty Crosswalk'!$A$2:$C$106,2,FALSE),"")</f>
        <v/>
      </c>
      <c r="G3821" s="49" t="str">
        <f>IFERROR(VLOOKUP(E3821,'Condensed Specialty Crosswalk'!$A$2:$C$106,3,FALSE),"")</f>
        <v/>
      </c>
    </row>
    <row r="3822" spans="5:7" ht="15" customHeight="1">
      <c r="E3822" s="49" t="str">
        <f>IFERROR(VLOOKUP(D3822,'taxonomy map'!$A$1:$C$107,2,FALSE),"")</f>
        <v/>
      </c>
      <c r="F3822" s="49" t="str">
        <f>IFERROR(VLOOKUP(E3822,'Condensed Specialty Crosswalk'!$A$2:$C$106,2,FALSE),"")</f>
        <v/>
      </c>
      <c r="G3822" s="49" t="str">
        <f>IFERROR(VLOOKUP(E3822,'Condensed Specialty Crosswalk'!$A$2:$C$106,3,FALSE),"")</f>
        <v/>
      </c>
    </row>
    <row r="3823" spans="5:7" ht="15" customHeight="1">
      <c r="E3823" s="49" t="str">
        <f>IFERROR(VLOOKUP(D3823,'taxonomy map'!$A$1:$C$107,2,FALSE),"")</f>
        <v/>
      </c>
      <c r="F3823" s="49" t="str">
        <f>IFERROR(VLOOKUP(E3823,'Condensed Specialty Crosswalk'!$A$2:$C$106,2,FALSE),"")</f>
        <v/>
      </c>
      <c r="G3823" s="49" t="str">
        <f>IFERROR(VLOOKUP(E3823,'Condensed Specialty Crosswalk'!$A$2:$C$106,3,FALSE),"")</f>
        <v/>
      </c>
    </row>
    <row r="3824" spans="5:7" ht="15" customHeight="1">
      <c r="E3824" s="49" t="str">
        <f>IFERROR(VLOOKUP(D3824,'taxonomy map'!$A$1:$C$107,2,FALSE),"")</f>
        <v/>
      </c>
      <c r="F3824" s="49" t="str">
        <f>IFERROR(VLOOKUP(E3824,'Condensed Specialty Crosswalk'!$A$2:$C$106,2,FALSE),"")</f>
        <v/>
      </c>
      <c r="G3824" s="49" t="str">
        <f>IFERROR(VLOOKUP(E3824,'Condensed Specialty Crosswalk'!$A$2:$C$106,3,FALSE),"")</f>
        <v/>
      </c>
    </row>
    <row r="3825" spans="5:7" ht="15" customHeight="1">
      <c r="E3825" s="49" t="str">
        <f>IFERROR(VLOOKUP(D3825,'taxonomy map'!$A$1:$C$107,2,FALSE),"")</f>
        <v/>
      </c>
      <c r="F3825" s="49" t="str">
        <f>IFERROR(VLOOKUP(E3825,'Condensed Specialty Crosswalk'!$A$2:$C$106,2,FALSE),"")</f>
        <v/>
      </c>
      <c r="G3825" s="49" t="str">
        <f>IFERROR(VLOOKUP(E3825,'Condensed Specialty Crosswalk'!$A$2:$C$106,3,FALSE),"")</f>
        <v/>
      </c>
    </row>
    <row r="3826" spans="5:7" ht="15" customHeight="1">
      <c r="E3826" s="49" t="str">
        <f>IFERROR(VLOOKUP(D3826,'taxonomy map'!$A$1:$C$107,2,FALSE),"")</f>
        <v/>
      </c>
      <c r="F3826" s="49" t="str">
        <f>IFERROR(VLOOKUP(E3826,'Condensed Specialty Crosswalk'!$A$2:$C$106,2,FALSE),"")</f>
        <v/>
      </c>
      <c r="G3826" s="49" t="str">
        <f>IFERROR(VLOOKUP(E3826,'Condensed Specialty Crosswalk'!$A$2:$C$106,3,FALSE),"")</f>
        <v/>
      </c>
    </row>
    <row r="3827" spans="5:7" ht="15" customHeight="1">
      <c r="E3827" s="49" t="str">
        <f>IFERROR(VLOOKUP(D3827,'taxonomy map'!$A$1:$C$107,2,FALSE),"")</f>
        <v/>
      </c>
      <c r="F3827" s="49" t="str">
        <f>IFERROR(VLOOKUP(E3827,'Condensed Specialty Crosswalk'!$A$2:$C$106,2,FALSE),"")</f>
        <v/>
      </c>
      <c r="G3827" s="49" t="str">
        <f>IFERROR(VLOOKUP(E3827,'Condensed Specialty Crosswalk'!$A$2:$C$106,3,FALSE),"")</f>
        <v/>
      </c>
    </row>
    <row r="3828" spans="5:7" ht="15" customHeight="1">
      <c r="E3828" s="49" t="str">
        <f>IFERROR(VLOOKUP(D3828,'taxonomy map'!$A$1:$C$107,2,FALSE),"")</f>
        <v/>
      </c>
      <c r="F3828" s="49" t="str">
        <f>IFERROR(VLOOKUP(E3828,'Condensed Specialty Crosswalk'!$A$2:$C$106,2,FALSE),"")</f>
        <v/>
      </c>
      <c r="G3828" s="49" t="str">
        <f>IFERROR(VLOOKUP(E3828,'Condensed Specialty Crosswalk'!$A$2:$C$106,3,FALSE),"")</f>
        <v/>
      </c>
    </row>
    <row r="3829" spans="5:7" ht="15" customHeight="1">
      <c r="E3829" s="49" t="str">
        <f>IFERROR(VLOOKUP(D3829,'taxonomy map'!$A$1:$C$107,2,FALSE),"")</f>
        <v/>
      </c>
      <c r="F3829" s="49" t="str">
        <f>IFERROR(VLOOKUP(E3829,'Condensed Specialty Crosswalk'!$A$2:$C$106,2,FALSE),"")</f>
        <v/>
      </c>
      <c r="G3829" s="49" t="str">
        <f>IFERROR(VLOOKUP(E3829,'Condensed Specialty Crosswalk'!$A$2:$C$106,3,FALSE),"")</f>
        <v/>
      </c>
    </row>
    <row r="3830" spans="5:7" ht="15" customHeight="1">
      <c r="E3830" s="49" t="str">
        <f>IFERROR(VLOOKUP(D3830,'taxonomy map'!$A$1:$C$107,2,FALSE),"")</f>
        <v/>
      </c>
      <c r="F3830" s="49" t="str">
        <f>IFERROR(VLOOKUP(E3830,'Condensed Specialty Crosswalk'!$A$2:$C$106,2,FALSE),"")</f>
        <v/>
      </c>
      <c r="G3830" s="49" t="str">
        <f>IFERROR(VLOOKUP(E3830,'Condensed Specialty Crosswalk'!$A$2:$C$106,3,FALSE),"")</f>
        <v/>
      </c>
    </row>
    <row r="3831" spans="5:7" ht="15" customHeight="1">
      <c r="E3831" s="49" t="str">
        <f>IFERROR(VLOOKUP(D3831,'taxonomy map'!$A$1:$C$107,2,FALSE),"")</f>
        <v/>
      </c>
      <c r="F3831" s="49" t="str">
        <f>IFERROR(VLOOKUP(E3831,'Condensed Specialty Crosswalk'!$A$2:$C$106,2,FALSE),"")</f>
        <v/>
      </c>
      <c r="G3831" s="49" t="str">
        <f>IFERROR(VLOOKUP(E3831,'Condensed Specialty Crosswalk'!$A$2:$C$106,3,FALSE),"")</f>
        <v/>
      </c>
    </row>
    <row r="3832" spans="5:7" ht="15" customHeight="1">
      <c r="E3832" s="49" t="str">
        <f>IFERROR(VLOOKUP(D3832,'taxonomy map'!$A$1:$C$107,2,FALSE),"")</f>
        <v/>
      </c>
      <c r="F3832" s="49" t="str">
        <f>IFERROR(VLOOKUP(E3832,'Condensed Specialty Crosswalk'!$A$2:$C$106,2,FALSE),"")</f>
        <v/>
      </c>
      <c r="G3832" s="49" t="str">
        <f>IFERROR(VLOOKUP(E3832,'Condensed Specialty Crosswalk'!$A$2:$C$106,3,FALSE),"")</f>
        <v/>
      </c>
    </row>
    <row r="3833" spans="5:7" ht="15" customHeight="1">
      <c r="E3833" s="49" t="str">
        <f>IFERROR(VLOOKUP(D3833,'taxonomy map'!$A$1:$C$107,2,FALSE),"")</f>
        <v/>
      </c>
      <c r="F3833" s="49" t="str">
        <f>IFERROR(VLOOKUP(E3833,'Condensed Specialty Crosswalk'!$A$2:$C$106,2,FALSE),"")</f>
        <v/>
      </c>
      <c r="G3833" s="49" t="str">
        <f>IFERROR(VLOOKUP(E3833,'Condensed Specialty Crosswalk'!$A$2:$C$106,3,FALSE),"")</f>
        <v/>
      </c>
    </row>
    <row r="3834" spans="5:7" ht="15" customHeight="1">
      <c r="E3834" s="49" t="str">
        <f>IFERROR(VLOOKUP(D3834,'taxonomy map'!$A$1:$C$107,2,FALSE),"")</f>
        <v/>
      </c>
      <c r="F3834" s="49" t="str">
        <f>IFERROR(VLOOKUP(E3834,'Condensed Specialty Crosswalk'!$A$2:$C$106,2,FALSE),"")</f>
        <v/>
      </c>
      <c r="G3834" s="49" t="str">
        <f>IFERROR(VLOOKUP(E3834,'Condensed Specialty Crosswalk'!$A$2:$C$106,3,FALSE),"")</f>
        <v/>
      </c>
    </row>
    <row r="3835" spans="5:7" ht="15" customHeight="1">
      <c r="E3835" s="49" t="str">
        <f>IFERROR(VLOOKUP(D3835,'taxonomy map'!$A$1:$C$107,2,FALSE),"")</f>
        <v/>
      </c>
      <c r="F3835" s="49" t="str">
        <f>IFERROR(VLOOKUP(E3835,'Condensed Specialty Crosswalk'!$A$2:$C$106,2,FALSE),"")</f>
        <v/>
      </c>
      <c r="G3835" s="49" t="str">
        <f>IFERROR(VLOOKUP(E3835,'Condensed Specialty Crosswalk'!$A$2:$C$106,3,FALSE),"")</f>
        <v/>
      </c>
    </row>
    <row r="3836" spans="5:7" ht="15" customHeight="1">
      <c r="E3836" s="49" t="str">
        <f>IFERROR(VLOOKUP(D3836,'taxonomy map'!$A$1:$C$107,2,FALSE),"")</f>
        <v/>
      </c>
      <c r="F3836" s="49" t="str">
        <f>IFERROR(VLOOKUP(E3836,'Condensed Specialty Crosswalk'!$A$2:$C$106,2,FALSE),"")</f>
        <v/>
      </c>
      <c r="G3836" s="49" t="str">
        <f>IFERROR(VLOOKUP(E3836,'Condensed Specialty Crosswalk'!$A$2:$C$106,3,FALSE),"")</f>
        <v/>
      </c>
    </row>
    <row r="3837" spans="5:7" ht="15" customHeight="1">
      <c r="E3837" s="49" t="str">
        <f>IFERROR(VLOOKUP(D3837,'taxonomy map'!$A$1:$C$107,2,FALSE),"")</f>
        <v/>
      </c>
      <c r="F3837" s="49" t="str">
        <f>IFERROR(VLOOKUP(E3837,'Condensed Specialty Crosswalk'!$A$2:$C$106,2,FALSE),"")</f>
        <v/>
      </c>
      <c r="G3837" s="49" t="str">
        <f>IFERROR(VLOOKUP(E3837,'Condensed Specialty Crosswalk'!$A$2:$C$106,3,FALSE),"")</f>
        <v/>
      </c>
    </row>
    <row r="3838" spans="5:7" ht="15" customHeight="1">
      <c r="E3838" s="49" t="str">
        <f>IFERROR(VLOOKUP(D3838,'taxonomy map'!$A$1:$C$107,2,FALSE),"")</f>
        <v/>
      </c>
      <c r="F3838" s="49" t="str">
        <f>IFERROR(VLOOKUP(E3838,'Condensed Specialty Crosswalk'!$A$2:$C$106,2,FALSE),"")</f>
        <v/>
      </c>
      <c r="G3838" s="49" t="str">
        <f>IFERROR(VLOOKUP(E3838,'Condensed Specialty Crosswalk'!$A$2:$C$106,3,FALSE),"")</f>
        <v/>
      </c>
    </row>
    <row r="3839" spans="5:7" ht="15" customHeight="1">
      <c r="E3839" s="49" t="str">
        <f>IFERROR(VLOOKUP(D3839,'taxonomy map'!$A$1:$C$107,2,FALSE),"")</f>
        <v/>
      </c>
      <c r="F3839" s="49" t="str">
        <f>IFERROR(VLOOKUP(E3839,'Condensed Specialty Crosswalk'!$A$2:$C$106,2,FALSE),"")</f>
        <v/>
      </c>
      <c r="G3839" s="49" t="str">
        <f>IFERROR(VLOOKUP(E3839,'Condensed Specialty Crosswalk'!$A$2:$C$106,3,FALSE),"")</f>
        <v/>
      </c>
    </row>
    <row r="3840" spans="5:7" ht="15" customHeight="1">
      <c r="E3840" s="49" t="str">
        <f>IFERROR(VLOOKUP(D3840,'taxonomy map'!$A$1:$C$107,2,FALSE),"")</f>
        <v/>
      </c>
      <c r="F3840" s="49" t="str">
        <f>IFERROR(VLOOKUP(E3840,'Condensed Specialty Crosswalk'!$A$2:$C$106,2,FALSE),"")</f>
        <v/>
      </c>
      <c r="G3840" s="49" t="str">
        <f>IFERROR(VLOOKUP(E3840,'Condensed Specialty Crosswalk'!$A$2:$C$106,3,FALSE),"")</f>
        <v/>
      </c>
    </row>
    <row r="3841" spans="5:7" ht="15" customHeight="1">
      <c r="E3841" s="49" t="str">
        <f>IFERROR(VLOOKUP(D3841,'taxonomy map'!$A$1:$C$107,2,FALSE),"")</f>
        <v/>
      </c>
      <c r="F3841" s="49" t="str">
        <f>IFERROR(VLOOKUP(E3841,'Condensed Specialty Crosswalk'!$A$2:$C$106,2,FALSE),"")</f>
        <v/>
      </c>
      <c r="G3841" s="49" t="str">
        <f>IFERROR(VLOOKUP(E3841,'Condensed Specialty Crosswalk'!$A$2:$C$106,3,FALSE),"")</f>
        <v/>
      </c>
    </row>
    <row r="3842" spans="5:7" ht="15" customHeight="1">
      <c r="E3842" s="49" t="str">
        <f>IFERROR(VLOOKUP(D3842,'taxonomy map'!$A$1:$C$107,2,FALSE),"")</f>
        <v/>
      </c>
      <c r="F3842" s="49" t="str">
        <f>IFERROR(VLOOKUP(E3842,'Condensed Specialty Crosswalk'!$A$2:$C$106,2,FALSE),"")</f>
        <v/>
      </c>
      <c r="G3842" s="49" t="str">
        <f>IFERROR(VLOOKUP(E3842,'Condensed Specialty Crosswalk'!$A$2:$C$106,3,FALSE),"")</f>
        <v/>
      </c>
    </row>
    <row r="3843" spans="5:7" ht="15" customHeight="1">
      <c r="E3843" s="49" t="str">
        <f>IFERROR(VLOOKUP(D3843,'taxonomy map'!$A$1:$C$107,2,FALSE),"")</f>
        <v/>
      </c>
      <c r="F3843" s="49" t="str">
        <f>IFERROR(VLOOKUP(E3843,'Condensed Specialty Crosswalk'!$A$2:$C$106,2,FALSE),"")</f>
        <v/>
      </c>
      <c r="G3843" s="49" t="str">
        <f>IFERROR(VLOOKUP(E3843,'Condensed Specialty Crosswalk'!$A$2:$C$106,3,FALSE),"")</f>
        <v/>
      </c>
    </row>
    <row r="3844" spans="5:7" ht="15" customHeight="1">
      <c r="E3844" s="49" t="str">
        <f>IFERROR(VLOOKUP(D3844,'taxonomy map'!$A$1:$C$107,2,FALSE),"")</f>
        <v/>
      </c>
      <c r="F3844" s="49" t="str">
        <f>IFERROR(VLOOKUP(E3844,'Condensed Specialty Crosswalk'!$A$2:$C$106,2,FALSE),"")</f>
        <v/>
      </c>
      <c r="G3844" s="49" t="str">
        <f>IFERROR(VLOOKUP(E3844,'Condensed Specialty Crosswalk'!$A$2:$C$106,3,FALSE),"")</f>
        <v/>
      </c>
    </row>
    <row r="3845" spans="5:7" ht="15" customHeight="1">
      <c r="E3845" s="49" t="str">
        <f>IFERROR(VLOOKUP(D3845,'taxonomy map'!$A$1:$C$107,2,FALSE),"")</f>
        <v/>
      </c>
      <c r="F3845" s="49" t="str">
        <f>IFERROR(VLOOKUP(E3845,'Condensed Specialty Crosswalk'!$A$2:$C$106,2,FALSE),"")</f>
        <v/>
      </c>
      <c r="G3845" s="49" t="str">
        <f>IFERROR(VLOOKUP(E3845,'Condensed Specialty Crosswalk'!$A$2:$C$106,3,FALSE),"")</f>
        <v/>
      </c>
    </row>
    <row r="3846" spans="5:7" ht="15" customHeight="1">
      <c r="E3846" s="49" t="str">
        <f>IFERROR(VLOOKUP(D3846,'taxonomy map'!$A$1:$C$107,2,FALSE),"")</f>
        <v/>
      </c>
      <c r="F3846" s="49" t="str">
        <f>IFERROR(VLOOKUP(E3846,'Condensed Specialty Crosswalk'!$A$2:$C$106,2,FALSE),"")</f>
        <v/>
      </c>
      <c r="G3846" s="49" t="str">
        <f>IFERROR(VLOOKUP(E3846,'Condensed Specialty Crosswalk'!$A$2:$C$106,3,FALSE),"")</f>
        <v/>
      </c>
    </row>
    <row r="3847" spans="5:7" ht="15" customHeight="1">
      <c r="E3847" s="49" t="str">
        <f>IFERROR(VLOOKUP(D3847,'taxonomy map'!$A$1:$C$107,2,FALSE),"")</f>
        <v/>
      </c>
      <c r="F3847" s="49" t="str">
        <f>IFERROR(VLOOKUP(E3847,'Condensed Specialty Crosswalk'!$A$2:$C$106,2,FALSE),"")</f>
        <v/>
      </c>
      <c r="G3847" s="49" t="str">
        <f>IFERROR(VLOOKUP(E3847,'Condensed Specialty Crosswalk'!$A$2:$C$106,3,FALSE),"")</f>
        <v/>
      </c>
    </row>
    <row r="3848" spans="5:7" ht="15" customHeight="1">
      <c r="E3848" s="49" t="str">
        <f>IFERROR(VLOOKUP(D3848,'taxonomy map'!$A$1:$C$107,2,FALSE),"")</f>
        <v/>
      </c>
      <c r="F3848" s="49" t="str">
        <f>IFERROR(VLOOKUP(E3848,'Condensed Specialty Crosswalk'!$A$2:$C$106,2,FALSE),"")</f>
        <v/>
      </c>
      <c r="G3848" s="49" t="str">
        <f>IFERROR(VLOOKUP(E3848,'Condensed Specialty Crosswalk'!$A$2:$C$106,3,FALSE),"")</f>
        <v/>
      </c>
    </row>
    <row r="3849" spans="5:7" ht="15" customHeight="1">
      <c r="E3849" s="49" t="str">
        <f>IFERROR(VLOOKUP(D3849,'taxonomy map'!$A$1:$C$107,2,FALSE),"")</f>
        <v/>
      </c>
      <c r="F3849" s="49" t="str">
        <f>IFERROR(VLOOKUP(E3849,'Condensed Specialty Crosswalk'!$A$2:$C$106,2,FALSE),"")</f>
        <v/>
      </c>
      <c r="G3849" s="49" t="str">
        <f>IFERROR(VLOOKUP(E3849,'Condensed Specialty Crosswalk'!$A$2:$C$106,3,FALSE),"")</f>
        <v/>
      </c>
    </row>
    <row r="3850" spans="5:7" ht="15" customHeight="1">
      <c r="E3850" s="49" t="str">
        <f>IFERROR(VLOOKUP(D3850,'taxonomy map'!$A$1:$C$107,2,FALSE),"")</f>
        <v/>
      </c>
      <c r="F3850" s="49" t="str">
        <f>IFERROR(VLOOKUP(E3850,'Condensed Specialty Crosswalk'!$A$2:$C$106,2,FALSE),"")</f>
        <v/>
      </c>
      <c r="G3850" s="49" t="str">
        <f>IFERROR(VLOOKUP(E3850,'Condensed Specialty Crosswalk'!$A$2:$C$106,3,FALSE),"")</f>
        <v/>
      </c>
    </row>
    <row r="3851" spans="5:7" ht="15" customHeight="1">
      <c r="E3851" s="49" t="str">
        <f>IFERROR(VLOOKUP(D3851,'taxonomy map'!$A$1:$C$107,2,FALSE),"")</f>
        <v/>
      </c>
      <c r="F3851" s="49" t="str">
        <f>IFERROR(VLOOKUP(E3851,'Condensed Specialty Crosswalk'!$A$2:$C$106,2,FALSE),"")</f>
        <v/>
      </c>
      <c r="G3851" s="49" t="str">
        <f>IFERROR(VLOOKUP(E3851,'Condensed Specialty Crosswalk'!$A$2:$C$106,3,FALSE),"")</f>
        <v/>
      </c>
    </row>
    <row r="3852" spans="5:7" ht="15" customHeight="1">
      <c r="E3852" s="49" t="str">
        <f>IFERROR(VLOOKUP(D3852,'taxonomy map'!$A$1:$C$107,2,FALSE),"")</f>
        <v/>
      </c>
      <c r="F3852" s="49" t="str">
        <f>IFERROR(VLOOKUP(E3852,'Condensed Specialty Crosswalk'!$A$2:$C$106,2,FALSE),"")</f>
        <v/>
      </c>
      <c r="G3852" s="49" t="str">
        <f>IFERROR(VLOOKUP(E3852,'Condensed Specialty Crosswalk'!$A$2:$C$106,3,FALSE),"")</f>
        <v/>
      </c>
    </row>
    <row r="3853" spans="5:7" ht="15" customHeight="1">
      <c r="E3853" s="49" t="str">
        <f>IFERROR(VLOOKUP(D3853,'taxonomy map'!$A$1:$C$107,2,FALSE),"")</f>
        <v/>
      </c>
      <c r="F3853" s="49" t="str">
        <f>IFERROR(VLOOKUP(E3853,'Condensed Specialty Crosswalk'!$A$2:$C$106,2,FALSE),"")</f>
        <v/>
      </c>
      <c r="G3853" s="49" t="str">
        <f>IFERROR(VLOOKUP(E3853,'Condensed Specialty Crosswalk'!$A$2:$C$106,3,FALSE),"")</f>
        <v/>
      </c>
    </row>
    <row r="3854" spans="5:7" ht="15" customHeight="1">
      <c r="E3854" s="49" t="str">
        <f>IFERROR(VLOOKUP(D3854,'taxonomy map'!$A$1:$C$107,2,FALSE),"")</f>
        <v/>
      </c>
      <c r="F3854" s="49" t="str">
        <f>IFERROR(VLOOKUP(E3854,'Condensed Specialty Crosswalk'!$A$2:$C$106,2,FALSE),"")</f>
        <v/>
      </c>
      <c r="G3854" s="49" t="str">
        <f>IFERROR(VLOOKUP(E3854,'Condensed Specialty Crosswalk'!$A$2:$C$106,3,FALSE),"")</f>
        <v/>
      </c>
    </row>
    <row r="3855" spans="5:7" ht="15" customHeight="1">
      <c r="E3855" s="49" t="str">
        <f>IFERROR(VLOOKUP(D3855,'taxonomy map'!$A$1:$C$107,2,FALSE),"")</f>
        <v/>
      </c>
      <c r="F3855" s="49" t="str">
        <f>IFERROR(VLOOKUP(E3855,'Condensed Specialty Crosswalk'!$A$2:$C$106,2,FALSE),"")</f>
        <v/>
      </c>
      <c r="G3855" s="49" t="str">
        <f>IFERROR(VLOOKUP(E3855,'Condensed Specialty Crosswalk'!$A$2:$C$106,3,FALSE),"")</f>
        <v/>
      </c>
    </row>
    <row r="3856" spans="5:7" ht="15" customHeight="1">
      <c r="E3856" s="49" t="str">
        <f>IFERROR(VLOOKUP(D3856,'taxonomy map'!$A$1:$C$107,2,FALSE),"")</f>
        <v/>
      </c>
      <c r="F3856" s="49" t="str">
        <f>IFERROR(VLOOKUP(E3856,'Condensed Specialty Crosswalk'!$A$2:$C$106,2,FALSE),"")</f>
        <v/>
      </c>
      <c r="G3856" s="49" t="str">
        <f>IFERROR(VLOOKUP(E3856,'Condensed Specialty Crosswalk'!$A$2:$C$106,3,FALSE),"")</f>
        <v/>
      </c>
    </row>
    <row r="3857" spans="5:7" ht="15" customHeight="1">
      <c r="E3857" s="49" t="str">
        <f>IFERROR(VLOOKUP(D3857,'taxonomy map'!$A$1:$C$107,2,FALSE),"")</f>
        <v/>
      </c>
      <c r="F3857" s="49" t="str">
        <f>IFERROR(VLOOKUP(E3857,'Condensed Specialty Crosswalk'!$A$2:$C$106,2,FALSE),"")</f>
        <v/>
      </c>
      <c r="G3857" s="49" t="str">
        <f>IFERROR(VLOOKUP(E3857,'Condensed Specialty Crosswalk'!$A$2:$C$106,3,FALSE),"")</f>
        <v/>
      </c>
    </row>
    <row r="3858" spans="5:7" ht="15" customHeight="1">
      <c r="E3858" s="49" t="str">
        <f>IFERROR(VLOOKUP(D3858,'taxonomy map'!$A$1:$C$107,2,FALSE),"")</f>
        <v/>
      </c>
      <c r="F3858" s="49" t="str">
        <f>IFERROR(VLOOKUP(E3858,'Condensed Specialty Crosswalk'!$A$2:$C$106,2,FALSE),"")</f>
        <v/>
      </c>
      <c r="G3858" s="49" t="str">
        <f>IFERROR(VLOOKUP(E3858,'Condensed Specialty Crosswalk'!$A$2:$C$106,3,FALSE),"")</f>
        <v/>
      </c>
    </row>
    <row r="3859" spans="5:7" ht="15" customHeight="1">
      <c r="E3859" s="49" t="str">
        <f>IFERROR(VLOOKUP(D3859,'taxonomy map'!$A$1:$C$107,2,FALSE),"")</f>
        <v/>
      </c>
      <c r="F3859" s="49" t="str">
        <f>IFERROR(VLOOKUP(E3859,'Condensed Specialty Crosswalk'!$A$2:$C$106,2,FALSE),"")</f>
        <v/>
      </c>
      <c r="G3859" s="49" t="str">
        <f>IFERROR(VLOOKUP(E3859,'Condensed Specialty Crosswalk'!$A$2:$C$106,3,FALSE),"")</f>
        <v/>
      </c>
    </row>
    <row r="3860" spans="5:7" ht="15" customHeight="1">
      <c r="E3860" s="49" t="str">
        <f>IFERROR(VLOOKUP(D3860,'taxonomy map'!$A$1:$C$107,2,FALSE),"")</f>
        <v/>
      </c>
      <c r="F3860" s="49" t="str">
        <f>IFERROR(VLOOKUP(E3860,'Condensed Specialty Crosswalk'!$A$2:$C$106,2,FALSE),"")</f>
        <v/>
      </c>
      <c r="G3860" s="49" t="str">
        <f>IFERROR(VLOOKUP(E3860,'Condensed Specialty Crosswalk'!$A$2:$C$106,3,FALSE),"")</f>
        <v/>
      </c>
    </row>
    <row r="3861" spans="5:7" ht="15" customHeight="1">
      <c r="E3861" s="49" t="str">
        <f>IFERROR(VLOOKUP(D3861,'taxonomy map'!$A$1:$C$107,2,FALSE),"")</f>
        <v/>
      </c>
      <c r="F3861" s="49" t="str">
        <f>IFERROR(VLOOKUP(E3861,'Condensed Specialty Crosswalk'!$A$2:$C$106,2,FALSE),"")</f>
        <v/>
      </c>
      <c r="G3861" s="49" t="str">
        <f>IFERROR(VLOOKUP(E3861,'Condensed Specialty Crosswalk'!$A$2:$C$106,3,FALSE),"")</f>
        <v/>
      </c>
    </row>
    <row r="3862" spans="5:7" ht="15" customHeight="1">
      <c r="E3862" s="49" t="str">
        <f>IFERROR(VLOOKUP(D3862,'taxonomy map'!$A$1:$C$107,2,FALSE),"")</f>
        <v/>
      </c>
      <c r="F3862" s="49" t="str">
        <f>IFERROR(VLOOKUP(E3862,'Condensed Specialty Crosswalk'!$A$2:$C$106,2,FALSE),"")</f>
        <v/>
      </c>
      <c r="G3862" s="49" t="str">
        <f>IFERROR(VLOOKUP(E3862,'Condensed Specialty Crosswalk'!$A$2:$C$106,3,FALSE),"")</f>
        <v/>
      </c>
    </row>
    <row r="3863" spans="5:7" ht="15" customHeight="1">
      <c r="E3863" s="49" t="str">
        <f>IFERROR(VLOOKUP(D3863,'taxonomy map'!$A$1:$C$107,2,FALSE),"")</f>
        <v/>
      </c>
      <c r="F3863" s="49" t="str">
        <f>IFERROR(VLOOKUP(E3863,'Condensed Specialty Crosswalk'!$A$2:$C$106,2,FALSE),"")</f>
        <v/>
      </c>
      <c r="G3863" s="49" t="str">
        <f>IFERROR(VLOOKUP(E3863,'Condensed Specialty Crosswalk'!$A$2:$C$106,3,FALSE),"")</f>
        <v/>
      </c>
    </row>
    <row r="3864" spans="5:7" ht="15" customHeight="1">
      <c r="E3864" s="49" t="str">
        <f>IFERROR(VLOOKUP(D3864,'taxonomy map'!$A$1:$C$107,2,FALSE),"")</f>
        <v/>
      </c>
      <c r="F3864" s="49" t="str">
        <f>IFERROR(VLOOKUP(E3864,'Condensed Specialty Crosswalk'!$A$2:$C$106,2,FALSE),"")</f>
        <v/>
      </c>
      <c r="G3864" s="49" t="str">
        <f>IFERROR(VLOOKUP(E3864,'Condensed Specialty Crosswalk'!$A$2:$C$106,3,FALSE),"")</f>
        <v/>
      </c>
    </row>
    <row r="3865" spans="5:7" ht="15" customHeight="1">
      <c r="E3865" s="49" t="str">
        <f>IFERROR(VLOOKUP(D3865,'taxonomy map'!$A$1:$C$107,2,FALSE),"")</f>
        <v/>
      </c>
      <c r="F3865" s="49" t="str">
        <f>IFERROR(VLOOKUP(E3865,'Condensed Specialty Crosswalk'!$A$2:$C$106,2,FALSE),"")</f>
        <v/>
      </c>
      <c r="G3865" s="49" t="str">
        <f>IFERROR(VLOOKUP(E3865,'Condensed Specialty Crosswalk'!$A$2:$C$106,3,FALSE),"")</f>
        <v/>
      </c>
    </row>
    <row r="3866" spans="5:7" ht="15" customHeight="1">
      <c r="E3866" s="49" t="str">
        <f>IFERROR(VLOOKUP(D3866,'taxonomy map'!$A$1:$C$107,2,FALSE),"")</f>
        <v/>
      </c>
      <c r="F3866" s="49" t="str">
        <f>IFERROR(VLOOKUP(E3866,'Condensed Specialty Crosswalk'!$A$2:$C$106,2,FALSE),"")</f>
        <v/>
      </c>
      <c r="G3866" s="49" t="str">
        <f>IFERROR(VLOOKUP(E3866,'Condensed Specialty Crosswalk'!$A$2:$C$106,3,FALSE),"")</f>
        <v/>
      </c>
    </row>
    <row r="3867" spans="5:7" ht="15" customHeight="1">
      <c r="E3867" s="49" t="str">
        <f>IFERROR(VLOOKUP(D3867,'taxonomy map'!$A$1:$C$107,2,FALSE),"")</f>
        <v/>
      </c>
      <c r="F3867" s="49" t="str">
        <f>IFERROR(VLOOKUP(E3867,'Condensed Specialty Crosswalk'!$A$2:$C$106,2,FALSE),"")</f>
        <v/>
      </c>
      <c r="G3867" s="49" t="str">
        <f>IFERROR(VLOOKUP(E3867,'Condensed Specialty Crosswalk'!$A$2:$C$106,3,FALSE),"")</f>
        <v/>
      </c>
    </row>
    <row r="3868" spans="5:7" ht="15" customHeight="1">
      <c r="E3868" s="49" t="str">
        <f>IFERROR(VLOOKUP(D3868,'taxonomy map'!$A$1:$C$107,2,FALSE),"")</f>
        <v/>
      </c>
      <c r="F3868" s="49" t="str">
        <f>IFERROR(VLOOKUP(E3868,'Condensed Specialty Crosswalk'!$A$2:$C$106,2,FALSE),"")</f>
        <v/>
      </c>
      <c r="G3868" s="49" t="str">
        <f>IFERROR(VLOOKUP(E3868,'Condensed Specialty Crosswalk'!$A$2:$C$106,3,FALSE),"")</f>
        <v/>
      </c>
    </row>
    <row r="3869" spans="5:7" ht="15" customHeight="1">
      <c r="E3869" s="49" t="str">
        <f>IFERROR(VLOOKUP(D3869,'taxonomy map'!$A$1:$C$107,2,FALSE),"")</f>
        <v/>
      </c>
      <c r="F3869" s="49" t="str">
        <f>IFERROR(VLOOKUP(E3869,'Condensed Specialty Crosswalk'!$A$2:$C$106,2,FALSE),"")</f>
        <v/>
      </c>
      <c r="G3869" s="49" t="str">
        <f>IFERROR(VLOOKUP(E3869,'Condensed Specialty Crosswalk'!$A$2:$C$106,3,FALSE),"")</f>
        <v/>
      </c>
    </row>
    <row r="3870" spans="5:7" ht="15" customHeight="1">
      <c r="E3870" s="49" t="str">
        <f>IFERROR(VLOOKUP(D3870,'taxonomy map'!$A$1:$C$107,2,FALSE),"")</f>
        <v/>
      </c>
      <c r="F3870" s="49" t="str">
        <f>IFERROR(VLOOKUP(E3870,'Condensed Specialty Crosswalk'!$A$2:$C$106,2,FALSE),"")</f>
        <v/>
      </c>
      <c r="G3870" s="49" t="str">
        <f>IFERROR(VLOOKUP(E3870,'Condensed Specialty Crosswalk'!$A$2:$C$106,3,FALSE),"")</f>
        <v/>
      </c>
    </row>
    <row r="3871" spans="5:7" ht="15" customHeight="1">
      <c r="E3871" s="49" t="str">
        <f>IFERROR(VLOOKUP(D3871,'taxonomy map'!$A$1:$C$107,2,FALSE),"")</f>
        <v/>
      </c>
      <c r="F3871" s="49" t="str">
        <f>IFERROR(VLOOKUP(E3871,'Condensed Specialty Crosswalk'!$A$2:$C$106,2,FALSE),"")</f>
        <v/>
      </c>
      <c r="G3871" s="49" t="str">
        <f>IFERROR(VLOOKUP(E3871,'Condensed Specialty Crosswalk'!$A$2:$C$106,3,FALSE),"")</f>
        <v/>
      </c>
    </row>
    <row r="3872" spans="5:7" ht="15" customHeight="1">
      <c r="E3872" s="49" t="str">
        <f>IFERROR(VLOOKUP(D3872,'taxonomy map'!$A$1:$C$107,2,FALSE),"")</f>
        <v/>
      </c>
      <c r="F3872" s="49" t="str">
        <f>IFERROR(VLOOKUP(E3872,'Condensed Specialty Crosswalk'!$A$2:$C$106,2,FALSE),"")</f>
        <v/>
      </c>
      <c r="G3872" s="49" t="str">
        <f>IFERROR(VLOOKUP(E3872,'Condensed Specialty Crosswalk'!$A$2:$C$106,3,FALSE),"")</f>
        <v/>
      </c>
    </row>
    <row r="3873" spans="5:7" ht="15" customHeight="1">
      <c r="E3873" s="49" t="str">
        <f>IFERROR(VLOOKUP(D3873,'taxonomy map'!$A$1:$C$107,2,FALSE),"")</f>
        <v/>
      </c>
      <c r="F3873" s="49" t="str">
        <f>IFERROR(VLOOKUP(E3873,'Condensed Specialty Crosswalk'!$A$2:$C$106,2,FALSE),"")</f>
        <v/>
      </c>
      <c r="G3873" s="49" t="str">
        <f>IFERROR(VLOOKUP(E3873,'Condensed Specialty Crosswalk'!$A$2:$C$106,3,FALSE),"")</f>
        <v/>
      </c>
    </row>
    <row r="3874" spans="5:7" ht="15" customHeight="1">
      <c r="E3874" s="49" t="str">
        <f>IFERROR(VLOOKUP(D3874,'taxonomy map'!$A$1:$C$107,2,FALSE),"")</f>
        <v/>
      </c>
      <c r="F3874" s="49" t="str">
        <f>IFERROR(VLOOKUP(E3874,'Condensed Specialty Crosswalk'!$A$2:$C$106,2,FALSE),"")</f>
        <v/>
      </c>
      <c r="G3874" s="49" t="str">
        <f>IFERROR(VLOOKUP(E3874,'Condensed Specialty Crosswalk'!$A$2:$C$106,3,FALSE),"")</f>
        <v/>
      </c>
    </row>
    <row r="3875" spans="5:7" ht="15" customHeight="1">
      <c r="E3875" s="49" t="str">
        <f>IFERROR(VLOOKUP(D3875,'taxonomy map'!$A$1:$C$107,2,FALSE),"")</f>
        <v/>
      </c>
      <c r="F3875" s="49" t="str">
        <f>IFERROR(VLOOKUP(E3875,'Condensed Specialty Crosswalk'!$A$2:$C$106,2,FALSE),"")</f>
        <v/>
      </c>
      <c r="G3875" s="49" t="str">
        <f>IFERROR(VLOOKUP(E3875,'Condensed Specialty Crosswalk'!$A$2:$C$106,3,FALSE),"")</f>
        <v/>
      </c>
    </row>
    <row r="3876" spans="5:7" ht="15" customHeight="1">
      <c r="E3876" s="49" t="str">
        <f>IFERROR(VLOOKUP(D3876,'taxonomy map'!$A$1:$C$107,2,FALSE),"")</f>
        <v/>
      </c>
      <c r="F3876" s="49" t="str">
        <f>IFERROR(VLOOKUP(E3876,'Condensed Specialty Crosswalk'!$A$2:$C$106,2,FALSE),"")</f>
        <v/>
      </c>
      <c r="G3876" s="49" t="str">
        <f>IFERROR(VLOOKUP(E3876,'Condensed Specialty Crosswalk'!$A$2:$C$106,3,FALSE),"")</f>
        <v/>
      </c>
    </row>
    <row r="3877" spans="5:7" ht="15" customHeight="1">
      <c r="E3877" s="49" t="str">
        <f>IFERROR(VLOOKUP(D3877,'taxonomy map'!$A$1:$C$107,2,FALSE),"")</f>
        <v/>
      </c>
      <c r="F3877" s="49" t="str">
        <f>IFERROR(VLOOKUP(E3877,'Condensed Specialty Crosswalk'!$A$2:$C$106,2,FALSE),"")</f>
        <v/>
      </c>
      <c r="G3877" s="49" t="str">
        <f>IFERROR(VLOOKUP(E3877,'Condensed Specialty Crosswalk'!$A$2:$C$106,3,FALSE),"")</f>
        <v/>
      </c>
    </row>
    <row r="3878" spans="5:7" ht="15" customHeight="1">
      <c r="E3878" s="49" t="str">
        <f>IFERROR(VLOOKUP(D3878,'taxonomy map'!$A$1:$C$107,2,FALSE),"")</f>
        <v/>
      </c>
      <c r="F3878" s="49" t="str">
        <f>IFERROR(VLOOKUP(E3878,'Condensed Specialty Crosswalk'!$A$2:$C$106,2,FALSE),"")</f>
        <v/>
      </c>
      <c r="G3878" s="49" t="str">
        <f>IFERROR(VLOOKUP(E3878,'Condensed Specialty Crosswalk'!$A$2:$C$106,3,FALSE),"")</f>
        <v/>
      </c>
    </row>
    <row r="3879" spans="5:7" ht="15" customHeight="1">
      <c r="E3879" s="49" t="str">
        <f>IFERROR(VLOOKUP(D3879,'taxonomy map'!$A$1:$C$107,2,FALSE),"")</f>
        <v/>
      </c>
      <c r="F3879" s="49" t="str">
        <f>IFERROR(VLOOKUP(E3879,'Condensed Specialty Crosswalk'!$A$2:$C$106,2,FALSE),"")</f>
        <v/>
      </c>
      <c r="G3879" s="49" t="str">
        <f>IFERROR(VLOOKUP(E3879,'Condensed Specialty Crosswalk'!$A$2:$C$106,3,FALSE),"")</f>
        <v/>
      </c>
    </row>
    <row r="3880" spans="5:7" ht="15" customHeight="1">
      <c r="E3880" s="49" t="str">
        <f>IFERROR(VLOOKUP(D3880,'taxonomy map'!$A$1:$C$107,2,FALSE),"")</f>
        <v/>
      </c>
      <c r="F3880" s="49" t="str">
        <f>IFERROR(VLOOKUP(E3880,'Condensed Specialty Crosswalk'!$A$2:$C$106,2,FALSE),"")</f>
        <v/>
      </c>
      <c r="G3880" s="49" t="str">
        <f>IFERROR(VLOOKUP(E3880,'Condensed Specialty Crosswalk'!$A$2:$C$106,3,FALSE),"")</f>
        <v/>
      </c>
    </row>
    <row r="3881" spans="5:7" ht="15" customHeight="1">
      <c r="E3881" s="49" t="str">
        <f>IFERROR(VLOOKUP(D3881,'taxonomy map'!$A$1:$C$107,2,FALSE),"")</f>
        <v/>
      </c>
      <c r="F3881" s="49" t="str">
        <f>IFERROR(VLOOKUP(E3881,'Condensed Specialty Crosswalk'!$A$2:$C$106,2,FALSE),"")</f>
        <v/>
      </c>
      <c r="G3881" s="49" t="str">
        <f>IFERROR(VLOOKUP(E3881,'Condensed Specialty Crosswalk'!$A$2:$C$106,3,FALSE),"")</f>
        <v/>
      </c>
    </row>
    <row r="3882" spans="5:7" ht="15" customHeight="1">
      <c r="E3882" s="49" t="str">
        <f>IFERROR(VLOOKUP(D3882,'taxonomy map'!$A$1:$C$107,2,FALSE),"")</f>
        <v/>
      </c>
      <c r="F3882" s="49" t="str">
        <f>IFERROR(VLOOKUP(E3882,'Condensed Specialty Crosswalk'!$A$2:$C$106,2,FALSE),"")</f>
        <v/>
      </c>
      <c r="G3882" s="49" t="str">
        <f>IFERROR(VLOOKUP(E3882,'Condensed Specialty Crosswalk'!$A$2:$C$106,3,FALSE),"")</f>
        <v/>
      </c>
    </row>
    <row r="3883" spans="5:7" ht="15" customHeight="1">
      <c r="E3883" s="49" t="str">
        <f>IFERROR(VLOOKUP(D3883,'taxonomy map'!$A$1:$C$107,2,FALSE),"")</f>
        <v/>
      </c>
      <c r="F3883" s="49" t="str">
        <f>IFERROR(VLOOKUP(E3883,'Condensed Specialty Crosswalk'!$A$2:$C$106,2,FALSE),"")</f>
        <v/>
      </c>
      <c r="G3883" s="49" t="str">
        <f>IFERROR(VLOOKUP(E3883,'Condensed Specialty Crosswalk'!$A$2:$C$106,3,FALSE),"")</f>
        <v/>
      </c>
    </row>
    <row r="3884" spans="5:7" ht="15" customHeight="1">
      <c r="E3884" s="49" t="str">
        <f>IFERROR(VLOOKUP(D3884,'taxonomy map'!$A$1:$C$107,2,FALSE),"")</f>
        <v/>
      </c>
      <c r="F3884" s="49" t="str">
        <f>IFERROR(VLOOKUP(E3884,'Condensed Specialty Crosswalk'!$A$2:$C$106,2,FALSE),"")</f>
        <v/>
      </c>
      <c r="G3884" s="49" t="str">
        <f>IFERROR(VLOOKUP(E3884,'Condensed Specialty Crosswalk'!$A$2:$C$106,3,FALSE),"")</f>
        <v/>
      </c>
    </row>
    <row r="3885" spans="5:7" ht="15" customHeight="1">
      <c r="E3885" s="49" t="str">
        <f>IFERROR(VLOOKUP(D3885,'taxonomy map'!$A$1:$C$107,2,FALSE),"")</f>
        <v/>
      </c>
      <c r="F3885" s="49" t="str">
        <f>IFERROR(VLOOKUP(E3885,'Condensed Specialty Crosswalk'!$A$2:$C$106,2,FALSE),"")</f>
        <v/>
      </c>
      <c r="G3885" s="49" t="str">
        <f>IFERROR(VLOOKUP(E3885,'Condensed Specialty Crosswalk'!$A$2:$C$106,3,FALSE),"")</f>
        <v/>
      </c>
    </row>
    <row r="3886" spans="5:7" ht="15" customHeight="1">
      <c r="E3886" s="49" t="str">
        <f>IFERROR(VLOOKUP(D3886,'taxonomy map'!$A$1:$C$107,2,FALSE),"")</f>
        <v/>
      </c>
      <c r="F3886" s="49" t="str">
        <f>IFERROR(VLOOKUP(E3886,'Condensed Specialty Crosswalk'!$A$2:$C$106,2,FALSE),"")</f>
        <v/>
      </c>
      <c r="G3886" s="49" t="str">
        <f>IFERROR(VLOOKUP(E3886,'Condensed Specialty Crosswalk'!$A$2:$C$106,3,FALSE),"")</f>
        <v/>
      </c>
    </row>
    <row r="3887" spans="5:7" ht="15" customHeight="1">
      <c r="E3887" s="49" t="str">
        <f>IFERROR(VLOOKUP(D3887,'taxonomy map'!$A$1:$C$107,2,FALSE),"")</f>
        <v/>
      </c>
      <c r="F3887" s="49" t="str">
        <f>IFERROR(VLOOKUP(E3887,'Condensed Specialty Crosswalk'!$A$2:$C$106,2,FALSE),"")</f>
        <v/>
      </c>
      <c r="G3887" s="49" t="str">
        <f>IFERROR(VLOOKUP(E3887,'Condensed Specialty Crosswalk'!$A$2:$C$106,3,FALSE),"")</f>
        <v/>
      </c>
    </row>
    <row r="3888" spans="5:7" ht="15" customHeight="1">
      <c r="E3888" s="49" t="str">
        <f>IFERROR(VLOOKUP(D3888,'taxonomy map'!$A$1:$C$107,2,FALSE),"")</f>
        <v/>
      </c>
      <c r="F3888" s="49" t="str">
        <f>IFERROR(VLOOKUP(E3888,'Condensed Specialty Crosswalk'!$A$2:$C$106,2,FALSE),"")</f>
        <v/>
      </c>
      <c r="G3888" s="49" t="str">
        <f>IFERROR(VLOOKUP(E3888,'Condensed Specialty Crosswalk'!$A$2:$C$106,3,FALSE),"")</f>
        <v/>
      </c>
    </row>
    <row r="3889" spans="5:7" ht="15" customHeight="1">
      <c r="E3889" s="49" t="str">
        <f>IFERROR(VLOOKUP(D3889,'taxonomy map'!$A$1:$C$107,2,FALSE),"")</f>
        <v/>
      </c>
      <c r="F3889" s="49" t="str">
        <f>IFERROR(VLOOKUP(E3889,'Condensed Specialty Crosswalk'!$A$2:$C$106,2,FALSE),"")</f>
        <v/>
      </c>
      <c r="G3889" s="49" t="str">
        <f>IFERROR(VLOOKUP(E3889,'Condensed Specialty Crosswalk'!$A$2:$C$106,3,FALSE),"")</f>
        <v/>
      </c>
    </row>
    <row r="3890" spans="5:7" ht="15" customHeight="1">
      <c r="E3890" s="49" t="str">
        <f>IFERROR(VLOOKUP(D3890,'taxonomy map'!$A$1:$C$107,2,FALSE),"")</f>
        <v/>
      </c>
      <c r="F3890" s="49" t="str">
        <f>IFERROR(VLOOKUP(E3890,'Condensed Specialty Crosswalk'!$A$2:$C$106,2,FALSE),"")</f>
        <v/>
      </c>
      <c r="G3890" s="49" t="str">
        <f>IFERROR(VLOOKUP(E3890,'Condensed Specialty Crosswalk'!$A$2:$C$106,3,FALSE),"")</f>
        <v/>
      </c>
    </row>
    <row r="3891" spans="5:7" ht="15" customHeight="1">
      <c r="E3891" s="49" t="str">
        <f>IFERROR(VLOOKUP(D3891,'taxonomy map'!$A$1:$C$107,2,FALSE),"")</f>
        <v/>
      </c>
      <c r="F3891" s="49" t="str">
        <f>IFERROR(VLOOKUP(E3891,'Condensed Specialty Crosswalk'!$A$2:$C$106,2,FALSE),"")</f>
        <v/>
      </c>
      <c r="G3891" s="49" t="str">
        <f>IFERROR(VLOOKUP(E3891,'Condensed Specialty Crosswalk'!$A$2:$C$106,3,FALSE),"")</f>
        <v/>
      </c>
    </row>
    <row r="3892" spans="5:7" ht="15" customHeight="1">
      <c r="E3892" s="49" t="str">
        <f>IFERROR(VLOOKUP(D3892,'taxonomy map'!$A$1:$C$107,2,FALSE),"")</f>
        <v/>
      </c>
      <c r="F3892" s="49" t="str">
        <f>IFERROR(VLOOKUP(E3892,'Condensed Specialty Crosswalk'!$A$2:$C$106,2,FALSE),"")</f>
        <v/>
      </c>
      <c r="G3892" s="49" t="str">
        <f>IFERROR(VLOOKUP(E3892,'Condensed Specialty Crosswalk'!$A$2:$C$106,3,FALSE),"")</f>
        <v/>
      </c>
    </row>
    <row r="3893" spans="5:7" ht="15" customHeight="1">
      <c r="E3893" s="49" t="str">
        <f>IFERROR(VLOOKUP(D3893,'taxonomy map'!$A$1:$C$107,2,FALSE),"")</f>
        <v/>
      </c>
      <c r="F3893" s="49" t="str">
        <f>IFERROR(VLOOKUP(E3893,'Condensed Specialty Crosswalk'!$A$2:$C$106,2,FALSE),"")</f>
        <v/>
      </c>
      <c r="G3893" s="49" t="str">
        <f>IFERROR(VLOOKUP(E3893,'Condensed Specialty Crosswalk'!$A$2:$C$106,3,FALSE),"")</f>
        <v/>
      </c>
    </row>
    <row r="3894" spans="5:7" ht="15" customHeight="1">
      <c r="E3894" s="49" t="str">
        <f>IFERROR(VLOOKUP(D3894,'taxonomy map'!$A$1:$C$107,2,FALSE),"")</f>
        <v/>
      </c>
      <c r="F3894" s="49" t="str">
        <f>IFERROR(VLOOKUP(E3894,'Condensed Specialty Crosswalk'!$A$2:$C$106,2,FALSE),"")</f>
        <v/>
      </c>
      <c r="G3894" s="49" t="str">
        <f>IFERROR(VLOOKUP(E3894,'Condensed Specialty Crosswalk'!$A$2:$C$106,3,FALSE),"")</f>
        <v/>
      </c>
    </row>
    <row r="3895" spans="5:7" ht="15" customHeight="1">
      <c r="E3895" s="49" t="str">
        <f>IFERROR(VLOOKUP(D3895,'taxonomy map'!$A$1:$C$107,2,FALSE),"")</f>
        <v/>
      </c>
      <c r="F3895" s="49" t="str">
        <f>IFERROR(VLOOKUP(E3895,'Condensed Specialty Crosswalk'!$A$2:$C$106,2,FALSE),"")</f>
        <v/>
      </c>
      <c r="G3895" s="49" t="str">
        <f>IFERROR(VLOOKUP(E3895,'Condensed Specialty Crosswalk'!$A$2:$C$106,3,FALSE),"")</f>
        <v/>
      </c>
    </row>
    <row r="3896" spans="5:7" ht="15" customHeight="1">
      <c r="E3896" s="49" t="str">
        <f>IFERROR(VLOOKUP(D3896,'taxonomy map'!$A$1:$C$107,2,FALSE),"")</f>
        <v/>
      </c>
      <c r="F3896" s="49" t="str">
        <f>IFERROR(VLOOKUP(E3896,'Condensed Specialty Crosswalk'!$A$2:$C$106,2,FALSE),"")</f>
        <v/>
      </c>
      <c r="G3896" s="49" t="str">
        <f>IFERROR(VLOOKUP(E3896,'Condensed Specialty Crosswalk'!$A$2:$C$106,3,FALSE),"")</f>
        <v/>
      </c>
    </row>
    <row r="3897" spans="5:7" ht="15" customHeight="1">
      <c r="E3897" s="49" t="str">
        <f>IFERROR(VLOOKUP(D3897,'taxonomy map'!$A$1:$C$107,2,FALSE),"")</f>
        <v/>
      </c>
      <c r="F3897" s="49" t="str">
        <f>IFERROR(VLOOKUP(E3897,'Condensed Specialty Crosswalk'!$A$2:$C$106,2,FALSE),"")</f>
        <v/>
      </c>
      <c r="G3897" s="49" t="str">
        <f>IFERROR(VLOOKUP(E3897,'Condensed Specialty Crosswalk'!$A$2:$C$106,3,FALSE),"")</f>
        <v/>
      </c>
    </row>
    <row r="3898" spans="5:7" ht="15" customHeight="1">
      <c r="E3898" s="49" t="str">
        <f>IFERROR(VLOOKUP(D3898,'taxonomy map'!$A$1:$C$107,2,FALSE),"")</f>
        <v/>
      </c>
      <c r="F3898" s="49" t="str">
        <f>IFERROR(VLOOKUP(E3898,'Condensed Specialty Crosswalk'!$A$2:$C$106,2,FALSE),"")</f>
        <v/>
      </c>
      <c r="G3898" s="49" t="str">
        <f>IFERROR(VLOOKUP(E3898,'Condensed Specialty Crosswalk'!$A$2:$C$106,3,FALSE),"")</f>
        <v/>
      </c>
    </row>
    <row r="3899" spans="5:7" ht="15" customHeight="1">
      <c r="E3899" s="49" t="str">
        <f>IFERROR(VLOOKUP(D3899,'taxonomy map'!$A$1:$C$107,2,FALSE),"")</f>
        <v/>
      </c>
      <c r="F3899" s="49" t="str">
        <f>IFERROR(VLOOKUP(E3899,'Condensed Specialty Crosswalk'!$A$2:$C$106,2,FALSE),"")</f>
        <v/>
      </c>
      <c r="G3899" s="49" t="str">
        <f>IFERROR(VLOOKUP(E3899,'Condensed Specialty Crosswalk'!$A$2:$C$106,3,FALSE),"")</f>
        <v/>
      </c>
    </row>
    <row r="3900" spans="5:7" ht="15" customHeight="1">
      <c r="E3900" s="49" t="str">
        <f>IFERROR(VLOOKUP(D3900,'taxonomy map'!$A$1:$C$107,2,FALSE),"")</f>
        <v/>
      </c>
      <c r="F3900" s="49" t="str">
        <f>IFERROR(VLOOKUP(E3900,'Condensed Specialty Crosswalk'!$A$2:$C$106,2,FALSE),"")</f>
        <v/>
      </c>
      <c r="G3900" s="49" t="str">
        <f>IFERROR(VLOOKUP(E3900,'Condensed Specialty Crosswalk'!$A$2:$C$106,3,FALSE),"")</f>
        <v/>
      </c>
    </row>
    <row r="3901" spans="5:7" ht="15" customHeight="1">
      <c r="E3901" s="49" t="str">
        <f>IFERROR(VLOOKUP(D3901,'taxonomy map'!$A$1:$C$107,2,FALSE),"")</f>
        <v/>
      </c>
      <c r="F3901" s="49" t="str">
        <f>IFERROR(VLOOKUP(E3901,'Condensed Specialty Crosswalk'!$A$2:$C$106,2,FALSE),"")</f>
        <v/>
      </c>
      <c r="G3901" s="49" t="str">
        <f>IFERROR(VLOOKUP(E3901,'Condensed Specialty Crosswalk'!$A$2:$C$106,3,FALSE),"")</f>
        <v/>
      </c>
    </row>
    <row r="3902" spans="5:7" ht="15" customHeight="1">
      <c r="E3902" s="49" t="str">
        <f>IFERROR(VLOOKUP(D3902,'taxonomy map'!$A$1:$C$107,2,FALSE),"")</f>
        <v/>
      </c>
      <c r="F3902" s="49" t="str">
        <f>IFERROR(VLOOKUP(E3902,'Condensed Specialty Crosswalk'!$A$2:$C$106,2,FALSE),"")</f>
        <v/>
      </c>
      <c r="G3902" s="49" t="str">
        <f>IFERROR(VLOOKUP(E3902,'Condensed Specialty Crosswalk'!$A$2:$C$106,3,FALSE),"")</f>
        <v/>
      </c>
    </row>
    <row r="3903" spans="5:7" ht="15" customHeight="1">
      <c r="E3903" s="49" t="str">
        <f>IFERROR(VLOOKUP(D3903,'taxonomy map'!$A$1:$C$107,2,FALSE),"")</f>
        <v/>
      </c>
      <c r="F3903" s="49" t="str">
        <f>IFERROR(VLOOKUP(E3903,'Condensed Specialty Crosswalk'!$A$2:$C$106,2,FALSE),"")</f>
        <v/>
      </c>
      <c r="G3903" s="49" t="str">
        <f>IFERROR(VLOOKUP(E3903,'Condensed Specialty Crosswalk'!$A$2:$C$106,3,FALSE),"")</f>
        <v/>
      </c>
    </row>
    <row r="3904" spans="5:7" ht="15" customHeight="1">
      <c r="E3904" s="49" t="str">
        <f>IFERROR(VLOOKUP(D3904,'taxonomy map'!$A$1:$C$107,2,FALSE),"")</f>
        <v/>
      </c>
      <c r="F3904" s="49" t="str">
        <f>IFERROR(VLOOKUP(E3904,'Condensed Specialty Crosswalk'!$A$2:$C$106,2,FALSE),"")</f>
        <v/>
      </c>
      <c r="G3904" s="49" t="str">
        <f>IFERROR(VLOOKUP(E3904,'Condensed Specialty Crosswalk'!$A$2:$C$106,3,FALSE),"")</f>
        <v/>
      </c>
    </row>
    <row r="3905" spans="5:7" ht="15" customHeight="1">
      <c r="E3905" s="49" t="str">
        <f>IFERROR(VLOOKUP(D3905,'taxonomy map'!$A$1:$C$107,2,FALSE),"")</f>
        <v/>
      </c>
      <c r="F3905" s="49" t="str">
        <f>IFERROR(VLOOKUP(E3905,'Condensed Specialty Crosswalk'!$A$2:$C$106,2,FALSE),"")</f>
        <v/>
      </c>
      <c r="G3905" s="49" t="str">
        <f>IFERROR(VLOOKUP(E3905,'Condensed Specialty Crosswalk'!$A$2:$C$106,3,FALSE),"")</f>
        <v/>
      </c>
    </row>
    <row r="3906" spans="5:7" ht="15" customHeight="1">
      <c r="E3906" s="49" t="str">
        <f>IFERROR(VLOOKUP(D3906,'taxonomy map'!$A$1:$C$107,2,FALSE),"")</f>
        <v/>
      </c>
      <c r="F3906" s="49" t="str">
        <f>IFERROR(VLOOKUP(E3906,'Condensed Specialty Crosswalk'!$A$2:$C$106,2,FALSE),"")</f>
        <v/>
      </c>
      <c r="G3906" s="49" t="str">
        <f>IFERROR(VLOOKUP(E3906,'Condensed Specialty Crosswalk'!$A$2:$C$106,3,FALSE),"")</f>
        <v/>
      </c>
    </row>
    <row r="3907" spans="5:7" ht="15" customHeight="1">
      <c r="E3907" s="49" t="str">
        <f>IFERROR(VLOOKUP(D3907,'taxonomy map'!$A$1:$C$107,2,FALSE),"")</f>
        <v/>
      </c>
      <c r="F3907" s="49" t="str">
        <f>IFERROR(VLOOKUP(E3907,'Condensed Specialty Crosswalk'!$A$2:$C$106,2,FALSE),"")</f>
        <v/>
      </c>
      <c r="G3907" s="49" t="str">
        <f>IFERROR(VLOOKUP(E3907,'Condensed Specialty Crosswalk'!$A$2:$C$106,3,FALSE),"")</f>
        <v/>
      </c>
    </row>
    <row r="3908" spans="5:7" ht="15" customHeight="1">
      <c r="E3908" s="49" t="str">
        <f>IFERROR(VLOOKUP(D3908,'taxonomy map'!$A$1:$C$107,2,FALSE),"")</f>
        <v/>
      </c>
      <c r="F3908" s="49" t="str">
        <f>IFERROR(VLOOKUP(E3908,'Condensed Specialty Crosswalk'!$A$2:$C$106,2,FALSE),"")</f>
        <v/>
      </c>
      <c r="G3908" s="49" t="str">
        <f>IFERROR(VLOOKUP(E3908,'Condensed Specialty Crosswalk'!$A$2:$C$106,3,FALSE),"")</f>
        <v/>
      </c>
    </row>
    <row r="3909" spans="5:7" ht="15" customHeight="1">
      <c r="E3909" s="49" t="str">
        <f>IFERROR(VLOOKUP(D3909,'taxonomy map'!$A$1:$C$107,2,FALSE),"")</f>
        <v/>
      </c>
      <c r="F3909" s="49" t="str">
        <f>IFERROR(VLOOKUP(E3909,'Condensed Specialty Crosswalk'!$A$2:$C$106,2,FALSE),"")</f>
        <v/>
      </c>
      <c r="G3909" s="49" t="str">
        <f>IFERROR(VLOOKUP(E3909,'Condensed Specialty Crosswalk'!$A$2:$C$106,3,FALSE),"")</f>
        <v/>
      </c>
    </row>
    <row r="3910" spans="5:7" ht="15" customHeight="1">
      <c r="E3910" s="49" t="str">
        <f>IFERROR(VLOOKUP(D3910,'taxonomy map'!$A$1:$C$107,2,FALSE),"")</f>
        <v/>
      </c>
      <c r="F3910" s="49" t="str">
        <f>IFERROR(VLOOKUP(E3910,'Condensed Specialty Crosswalk'!$A$2:$C$106,2,FALSE),"")</f>
        <v/>
      </c>
      <c r="G3910" s="49" t="str">
        <f>IFERROR(VLOOKUP(E3910,'Condensed Specialty Crosswalk'!$A$2:$C$106,3,FALSE),"")</f>
        <v/>
      </c>
    </row>
    <row r="3911" spans="5:7" ht="15" customHeight="1">
      <c r="E3911" s="49" t="str">
        <f>IFERROR(VLOOKUP(D3911,'taxonomy map'!$A$1:$C$107,2,FALSE),"")</f>
        <v/>
      </c>
      <c r="F3911" s="49" t="str">
        <f>IFERROR(VLOOKUP(E3911,'Condensed Specialty Crosswalk'!$A$2:$C$106,2,FALSE),"")</f>
        <v/>
      </c>
      <c r="G3911" s="49" t="str">
        <f>IFERROR(VLOOKUP(E3911,'Condensed Specialty Crosswalk'!$A$2:$C$106,3,FALSE),"")</f>
        <v/>
      </c>
    </row>
    <row r="3912" spans="5:7" ht="15" customHeight="1">
      <c r="E3912" s="49" t="str">
        <f>IFERROR(VLOOKUP(D3912,'taxonomy map'!$A$1:$C$107,2,FALSE),"")</f>
        <v/>
      </c>
      <c r="F3912" s="49" t="str">
        <f>IFERROR(VLOOKUP(E3912,'Condensed Specialty Crosswalk'!$A$2:$C$106,2,FALSE),"")</f>
        <v/>
      </c>
      <c r="G3912" s="49" t="str">
        <f>IFERROR(VLOOKUP(E3912,'Condensed Specialty Crosswalk'!$A$2:$C$106,3,FALSE),"")</f>
        <v/>
      </c>
    </row>
    <row r="3913" spans="5:7" ht="15" customHeight="1">
      <c r="E3913" s="49" t="str">
        <f>IFERROR(VLOOKUP(D3913,'taxonomy map'!$A$1:$C$107,2,FALSE),"")</f>
        <v/>
      </c>
      <c r="F3913" s="49" t="str">
        <f>IFERROR(VLOOKUP(E3913,'Condensed Specialty Crosswalk'!$A$2:$C$106,2,FALSE),"")</f>
        <v/>
      </c>
      <c r="G3913" s="49" t="str">
        <f>IFERROR(VLOOKUP(E3913,'Condensed Specialty Crosswalk'!$A$2:$C$106,3,FALSE),"")</f>
        <v/>
      </c>
    </row>
    <row r="3914" spans="5:7" ht="15" customHeight="1">
      <c r="E3914" s="49" t="str">
        <f>IFERROR(VLOOKUP(D3914,'taxonomy map'!$A$1:$C$107,2,FALSE),"")</f>
        <v/>
      </c>
      <c r="F3914" s="49" t="str">
        <f>IFERROR(VLOOKUP(E3914,'Condensed Specialty Crosswalk'!$A$2:$C$106,2,FALSE),"")</f>
        <v/>
      </c>
      <c r="G3914" s="49" t="str">
        <f>IFERROR(VLOOKUP(E3914,'Condensed Specialty Crosswalk'!$A$2:$C$106,3,FALSE),"")</f>
        <v/>
      </c>
    </row>
    <row r="3915" spans="5:7" ht="15" customHeight="1">
      <c r="E3915" s="49" t="str">
        <f>IFERROR(VLOOKUP(D3915,'taxonomy map'!$A$1:$C$107,2,FALSE),"")</f>
        <v/>
      </c>
      <c r="F3915" s="49" t="str">
        <f>IFERROR(VLOOKUP(E3915,'Condensed Specialty Crosswalk'!$A$2:$C$106,2,FALSE),"")</f>
        <v/>
      </c>
      <c r="G3915" s="49" t="str">
        <f>IFERROR(VLOOKUP(E3915,'Condensed Specialty Crosswalk'!$A$2:$C$106,3,FALSE),"")</f>
        <v/>
      </c>
    </row>
    <row r="3916" spans="5:7" ht="15" customHeight="1">
      <c r="E3916" s="49" t="str">
        <f>IFERROR(VLOOKUP(D3916,'taxonomy map'!$A$1:$C$107,2,FALSE),"")</f>
        <v/>
      </c>
      <c r="F3916" s="49" t="str">
        <f>IFERROR(VLOOKUP(E3916,'Condensed Specialty Crosswalk'!$A$2:$C$106,2,FALSE),"")</f>
        <v/>
      </c>
      <c r="G3916" s="49" t="str">
        <f>IFERROR(VLOOKUP(E3916,'Condensed Specialty Crosswalk'!$A$2:$C$106,3,FALSE),"")</f>
        <v/>
      </c>
    </row>
    <row r="3917" spans="5:7" ht="15" customHeight="1">
      <c r="E3917" s="49" t="str">
        <f>IFERROR(VLOOKUP(D3917,'taxonomy map'!$A$1:$C$107,2,FALSE),"")</f>
        <v/>
      </c>
      <c r="F3917" s="49" t="str">
        <f>IFERROR(VLOOKUP(E3917,'Condensed Specialty Crosswalk'!$A$2:$C$106,2,FALSE),"")</f>
        <v/>
      </c>
      <c r="G3917" s="49" t="str">
        <f>IFERROR(VLOOKUP(E3917,'Condensed Specialty Crosswalk'!$A$2:$C$106,3,FALSE),"")</f>
        <v/>
      </c>
    </row>
    <row r="3918" spans="5:7" ht="15" customHeight="1">
      <c r="E3918" s="49" t="str">
        <f>IFERROR(VLOOKUP(D3918,'taxonomy map'!$A$1:$C$107,2,FALSE),"")</f>
        <v/>
      </c>
      <c r="F3918" s="49" t="str">
        <f>IFERROR(VLOOKUP(E3918,'Condensed Specialty Crosswalk'!$A$2:$C$106,2,FALSE),"")</f>
        <v/>
      </c>
      <c r="G3918" s="49" t="str">
        <f>IFERROR(VLOOKUP(E3918,'Condensed Specialty Crosswalk'!$A$2:$C$106,3,FALSE),"")</f>
        <v/>
      </c>
    </row>
    <row r="3919" spans="5:7" ht="15" customHeight="1">
      <c r="E3919" s="49" t="str">
        <f>IFERROR(VLOOKUP(D3919,'taxonomy map'!$A$1:$C$107,2,FALSE),"")</f>
        <v/>
      </c>
      <c r="F3919" s="49" t="str">
        <f>IFERROR(VLOOKUP(E3919,'Condensed Specialty Crosswalk'!$A$2:$C$106,2,FALSE),"")</f>
        <v/>
      </c>
      <c r="G3919" s="49" t="str">
        <f>IFERROR(VLOOKUP(E3919,'Condensed Specialty Crosswalk'!$A$2:$C$106,3,FALSE),"")</f>
        <v/>
      </c>
    </row>
    <row r="3920" spans="5:7" ht="15" customHeight="1">
      <c r="E3920" s="49" t="str">
        <f>IFERROR(VLOOKUP(D3920,'taxonomy map'!$A$1:$C$107,2,FALSE),"")</f>
        <v/>
      </c>
      <c r="F3920" s="49" t="str">
        <f>IFERROR(VLOOKUP(E3920,'Condensed Specialty Crosswalk'!$A$2:$C$106,2,FALSE),"")</f>
        <v/>
      </c>
      <c r="G3920" s="49" t="str">
        <f>IFERROR(VLOOKUP(E3920,'Condensed Specialty Crosswalk'!$A$2:$C$106,3,FALSE),"")</f>
        <v/>
      </c>
    </row>
    <row r="3921" spans="5:7" ht="15" customHeight="1">
      <c r="E3921" s="49" t="str">
        <f>IFERROR(VLOOKUP(D3921,'taxonomy map'!$A$1:$C$107,2,FALSE),"")</f>
        <v/>
      </c>
      <c r="F3921" s="49" t="str">
        <f>IFERROR(VLOOKUP(E3921,'Condensed Specialty Crosswalk'!$A$2:$C$106,2,FALSE),"")</f>
        <v/>
      </c>
      <c r="G3921" s="49" t="str">
        <f>IFERROR(VLOOKUP(E3921,'Condensed Specialty Crosswalk'!$A$2:$C$106,3,FALSE),"")</f>
        <v/>
      </c>
    </row>
    <row r="3922" spans="5:7" ht="15" customHeight="1">
      <c r="E3922" s="49" t="str">
        <f>IFERROR(VLOOKUP(D3922,'taxonomy map'!$A$1:$C$107,2,FALSE),"")</f>
        <v/>
      </c>
      <c r="F3922" s="49" t="str">
        <f>IFERROR(VLOOKUP(E3922,'Condensed Specialty Crosswalk'!$A$2:$C$106,2,FALSE),"")</f>
        <v/>
      </c>
      <c r="G3922" s="49" t="str">
        <f>IFERROR(VLOOKUP(E3922,'Condensed Specialty Crosswalk'!$A$2:$C$106,3,FALSE),"")</f>
        <v/>
      </c>
    </row>
    <row r="3923" spans="5:7" ht="15" customHeight="1">
      <c r="E3923" s="49" t="str">
        <f>IFERROR(VLOOKUP(D3923,'taxonomy map'!$A$1:$C$107,2,FALSE),"")</f>
        <v/>
      </c>
      <c r="F3923" s="49" t="str">
        <f>IFERROR(VLOOKUP(E3923,'Condensed Specialty Crosswalk'!$A$2:$C$106,2,FALSE),"")</f>
        <v/>
      </c>
      <c r="G3923" s="49" t="str">
        <f>IFERROR(VLOOKUP(E3923,'Condensed Specialty Crosswalk'!$A$2:$C$106,3,FALSE),"")</f>
        <v/>
      </c>
    </row>
    <row r="3924" spans="5:7" ht="15" customHeight="1">
      <c r="E3924" s="49" t="str">
        <f>IFERROR(VLOOKUP(D3924,'taxonomy map'!$A$1:$C$107,2,FALSE),"")</f>
        <v/>
      </c>
      <c r="F3924" s="49" t="str">
        <f>IFERROR(VLOOKUP(E3924,'Condensed Specialty Crosswalk'!$A$2:$C$106,2,FALSE),"")</f>
        <v/>
      </c>
      <c r="G3924" s="49" t="str">
        <f>IFERROR(VLOOKUP(E3924,'Condensed Specialty Crosswalk'!$A$2:$C$106,3,FALSE),"")</f>
        <v/>
      </c>
    </row>
    <row r="3925" spans="5:7" ht="15" customHeight="1">
      <c r="E3925" s="49" t="str">
        <f>IFERROR(VLOOKUP(D3925,'taxonomy map'!$A$1:$C$107,2,FALSE),"")</f>
        <v/>
      </c>
      <c r="F3925" s="49" t="str">
        <f>IFERROR(VLOOKUP(E3925,'Condensed Specialty Crosswalk'!$A$2:$C$106,2,FALSE),"")</f>
        <v/>
      </c>
      <c r="G3925" s="49" t="str">
        <f>IFERROR(VLOOKUP(E3925,'Condensed Specialty Crosswalk'!$A$2:$C$106,3,FALSE),"")</f>
        <v/>
      </c>
    </row>
    <row r="3926" spans="5:7" ht="15" customHeight="1">
      <c r="E3926" s="49" t="str">
        <f>IFERROR(VLOOKUP(D3926,'taxonomy map'!$A$1:$C$107,2,FALSE),"")</f>
        <v/>
      </c>
      <c r="F3926" s="49" t="str">
        <f>IFERROR(VLOOKUP(E3926,'Condensed Specialty Crosswalk'!$A$2:$C$106,2,FALSE),"")</f>
        <v/>
      </c>
      <c r="G3926" s="49" t="str">
        <f>IFERROR(VLOOKUP(E3926,'Condensed Specialty Crosswalk'!$A$2:$C$106,3,FALSE),"")</f>
        <v/>
      </c>
    </row>
    <row r="3927" spans="5:7" ht="15" customHeight="1">
      <c r="E3927" s="49" t="str">
        <f>IFERROR(VLOOKUP(D3927,'taxonomy map'!$A$1:$C$107,2,FALSE),"")</f>
        <v/>
      </c>
      <c r="F3927" s="49" t="str">
        <f>IFERROR(VLOOKUP(E3927,'Condensed Specialty Crosswalk'!$A$2:$C$106,2,FALSE),"")</f>
        <v/>
      </c>
      <c r="G3927" s="49" t="str">
        <f>IFERROR(VLOOKUP(E3927,'Condensed Specialty Crosswalk'!$A$2:$C$106,3,FALSE),"")</f>
        <v/>
      </c>
    </row>
    <row r="3928" spans="5:7" ht="15" customHeight="1">
      <c r="E3928" s="49" t="str">
        <f>IFERROR(VLOOKUP(D3928,'taxonomy map'!$A$1:$C$107,2,FALSE),"")</f>
        <v/>
      </c>
      <c r="F3928" s="49" t="str">
        <f>IFERROR(VLOOKUP(E3928,'Condensed Specialty Crosswalk'!$A$2:$C$106,2,FALSE),"")</f>
        <v/>
      </c>
      <c r="G3928" s="49" t="str">
        <f>IFERROR(VLOOKUP(E3928,'Condensed Specialty Crosswalk'!$A$2:$C$106,3,FALSE),"")</f>
        <v/>
      </c>
    </row>
    <row r="3929" spans="5:7" ht="15" customHeight="1">
      <c r="E3929" s="49" t="str">
        <f>IFERROR(VLOOKUP(D3929,'taxonomy map'!$A$1:$C$107,2,FALSE),"")</f>
        <v/>
      </c>
      <c r="F3929" s="49" t="str">
        <f>IFERROR(VLOOKUP(E3929,'Condensed Specialty Crosswalk'!$A$2:$C$106,2,FALSE),"")</f>
        <v/>
      </c>
      <c r="G3929" s="49" t="str">
        <f>IFERROR(VLOOKUP(E3929,'Condensed Specialty Crosswalk'!$A$2:$C$106,3,FALSE),"")</f>
        <v/>
      </c>
    </row>
    <row r="3930" spans="5:7" ht="15" customHeight="1">
      <c r="E3930" s="49" t="str">
        <f>IFERROR(VLOOKUP(D3930,'taxonomy map'!$A$1:$C$107,2,FALSE),"")</f>
        <v/>
      </c>
      <c r="F3930" s="49" t="str">
        <f>IFERROR(VLOOKUP(E3930,'Condensed Specialty Crosswalk'!$A$2:$C$106,2,FALSE),"")</f>
        <v/>
      </c>
      <c r="G3930" s="49" t="str">
        <f>IFERROR(VLOOKUP(E3930,'Condensed Specialty Crosswalk'!$A$2:$C$106,3,FALSE),"")</f>
        <v/>
      </c>
    </row>
    <row r="3931" spans="5:7" ht="15" customHeight="1">
      <c r="E3931" s="49" t="str">
        <f>IFERROR(VLOOKUP(D3931,'taxonomy map'!$A$1:$C$107,2,FALSE),"")</f>
        <v/>
      </c>
      <c r="F3931" s="49" t="str">
        <f>IFERROR(VLOOKUP(E3931,'Condensed Specialty Crosswalk'!$A$2:$C$106,2,FALSE),"")</f>
        <v/>
      </c>
      <c r="G3931" s="49" t="str">
        <f>IFERROR(VLOOKUP(E3931,'Condensed Specialty Crosswalk'!$A$2:$C$106,3,FALSE),"")</f>
        <v/>
      </c>
    </row>
    <row r="3932" spans="5:7" ht="15" customHeight="1">
      <c r="E3932" s="49" t="str">
        <f>IFERROR(VLOOKUP(D3932,'taxonomy map'!$A$1:$C$107,2,FALSE),"")</f>
        <v/>
      </c>
      <c r="F3932" s="49" t="str">
        <f>IFERROR(VLOOKUP(E3932,'Condensed Specialty Crosswalk'!$A$2:$C$106,2,FALSE),"")</f>
        <v/>
      </c>
      <c r="G3932" s="49" t="str">
        <f>IFERROR(VLOOKUP(E3932,'Condensed Specialty Crosswalk'!$A$2:$C$106,3,FALSE),"")</f>
        <v/>
      </c>
    </row>
    <row r="3933" spans="5:7" ht="15" customHeight="1">
      <c r="E3933" s="49" t="str">
        <f>IFERROR(VLOOKUP(D3933,'taxonomy map'!$A$1:$C$107,2,FALSE),"")</f>
        <v/>
      </c>
      <c r="F3933" s="49" t="str">
        <f>IFERROR(VLOOKUP(E3933,'Condensed Specialty Crosswalk'!$A$2:$C$106,2,FALSE),"")</f>
        <v/>
      </c>
      <c r="G3933" s="49" t="str">
        <f>IFERROR(VLOOKUP(E3933,'Condensed Specialty Crosswalk'!$A$2:$C$106,3,FALSE),"")</f>
        <v/>
      </c>
    </row>
    <row r="3934" spans="5:7" ht="15" customHeight="1">
      <c r="E3934" s="49" t="str">
        <f>IFERROR(VLOOKUP(D3934,'taxonomy map'!$A$1:$C$107,2,FALSE),"")</f>
        <v/>
      </c>
      <c r="F3934" s="49" t="str">
        <f>IFERROR(VLOOKUP(E3934,'Condensed Specialty Crosswalk'!$A$2:$C$106,2,FALSE),"")</f>
        <v/>
      </c>
      <c r="G3934" s="49" t="str">
        <f>IFERROR(VLOOKUP(E3934,'Condensed Specialty Crosswalk'!$A$2:$C$106,3,FALSE),"")</f>
        <v/>
      </c>
    </row>
    <row r="3935" spans="5:7" ht="15" customHeight="1">
      <c r="E3935" s="49" t="str">
        <f>IFERROR(VLOOKUP(D3935,'taxonomy map'!$A$1:$C$107,2,FALSE),"")</f>
        <v/>
      </c>
      <c r="F3935" s="49" t="str">
        <f>IFERROR(VLOOKUP(E3935,'Condensed Specialty Crosswalk'!$A$2:$C$106,2,FALSE),"")</f>
        <v/>
      </c>
      <c r="G3935" s="49" t="str">
        <f>IFERROR(VLOOKUP(E3935,'Condensed Specialty Crosswalk'!$A$2:$C$106,3,FALSE),"")</f>
        <v/>
      </c>
    </row>
    <row r="3936" spans="5:7" ht="15" customHeight="1">
      <c r="E3936" s="49" t="str">
        <f>IFERROR(VLOOKUP(D3936,'taxonomy map'!$A$1:$C$107,2,FALSE),"")</f>
        <v/>
      </c>
      <c r="F3936" s="49" t="str">
        <f>IFERROR(VLOOKUP(E3936,'Condensed Specialty Crosswalk'!$A$2:$C$106,2,FALSE),"")</f>
        <v/>
      </c>
      <c r="G3936" s="49" t="str">
        <f>IFERROR(VLOOKUP(E3936,'Condensed Specialty Crosswalk'!$A$2:$C$106,3,FALSE),"")</f>
        <v/>
      </c>
    </row>
    <row r="3937" spans="5:7" ht="15" customHeight="1">
      <c r="E3937" s="49" t="str">
        <f>IFERROR(VLOOKUP(D3937,'taxonomy map'!$A$1:$C$107,2,FALSE),"")</f>
        <v/>
      </c>
      <c r="F3937" s="49" t="str">
        <f>IFERROR(VLOOKUP(E3937,'Condensed Specialty Crosswalk'!$A$2:$C$106,2,FALSE),"")</f>
        <v/>
      </c>
      <c r="G3937" s="49" t="str">
        <f>IFERROR(VLOOKUP(E3937,'Condensed Specialty Crosswalk'!$A$2:$C$106,3,FALSE),"")</f>
        <v/>
      </c>
    </row>
    <row r="3938" spans="5:7" ht="15" customHeight="1">
      <c r="E3938" s="49" t="str">
        <f>IFERROR(VLOOKUP(D3938,'taxonomy map'!$A$1:$C$107,2,FALSE),"")</f>
        <v/>
      </c>
      <c r="F3938" s="49" t="str">
        <f>IFERROR(VLOOKUP(E3938,'Condensed Specialty Crosswalk'!$A$2:$C$106,2,FALSE),"")</f>
        <v/>
      </c>
      <c r="G3938" s="49" t="str">
        <f>IFERROR(VLOOKUP(E3938,'Condensed Specialty Crosswalk'!$A$2:$C$106,3,FALSE),"")</f>
        <v/>
      </c>
    </row>
    <row r="3939" spans="5:7" ht="15" customHeight="1">
      <c r="E3939" s="49" t="str">
        <f>IFERROR(VLOOKUP(D3939,'taxonomy map'!$A$1:$C$107,2,FALSE),"")</f>
        <v/>
      </c>
      <c r="F3939" s="49" t="str">
        <f>IFERROR(VLOOKUP(E3939,'Condensed Specialty Crosswalk'!$A$2:$C$106,2,FALSE),"")</f>
        <v/>
      </c>
      <c r="G3939" s="49" t="str">
        <f>IFERROR(VLOOKUP(E3939,'Condensed Specialty Crosswalk'!$A$2:$C$106,3,FALSE),"")</f>
        <v/>
      </c>
    </row>
    <row r="3940" spans="5:7" ht="15" customHeight="1">
      <c r="E3940" s="49" t="str">
        <f>IFERROR(VLOOKUP(D3940,'taxonomy map'!$A$1:$C$107,2,FALSE),"")</f>
        <v/>
      </c>
      <c r="F3940" s="49" t="str">
        <f>IFERROR(VLOOKUP(E3940,'Condensed Specialty Crosswalk'!$A$2:$C$106,2,FALSE),"")</f>
        <v/>
      </c>
      <c r="G3940" s="49" t="str">
        <f>IFERROR(VLOOKUP(E3940,'Condensed Specialty Crosswalk'!$A$2:$C$106,3,FALSE),"")</f>
        <v/>
      </c>
    </row>
    <row r="3941" spans="5:7" ht="15" customHeight="1">
      <c r="E3941" s="49" t="str">
        <f>IFERROR(VLOOKUP(D3941,'taxonomy map'!$A$1:$C$107,2,FALSE),"")</f>
        <v/>
      </c>
      <c r="F3941" s="49" t="str">
        <f>IFERROR(VLOOKUP(E3941,'Condensed Specialty Crosswalk'!$A$2:$C$106,2,FALSE),"")</f>
        <v/>
      </c>
      <c r="G3941" s="49" t="str">
        <f>IFERROR(VLOOKUP(E3941,'Condensed Specialty Crosswalk'!$A$2:$C$106,3,FALSE),"")</f>
        <v/>
      </c>
    </row>
    <row r="3942" spans="5:7" ht="15" customHeight="1">
      <c r="E3942" s="49" t="str">
        <f>IFERROR(VLOOKUP(D3942,'taxonomy map'!$A$1:$C$107,2,FALSE),"")</f>
        <v/>
      </c>
      <c r="F3942" s="49" t="str">
        <f>IFERROR(VLOOKUP(E3942,'Condensed Specialty Crosswalk'!$A$2:$C$106,2,FALSE),"")</f>
        <v/>
      </c>
      <c r="G3942" s="49" t="str">
        <f>IFERROR(VLOOKUP(E3942,'Condensed Specialty Crosswalk'!$A$2:$C$106,3,FALSE),"")</f>
        <v/>
      </c>
    </row>
    <row r="3943" spans="5:7" ht="15" customHeight="1">
      <c r="E3943" s="49" t="str">
        <f>IFERROR(VLOOKUP(D3943,'taxonomy map'!$A$1:$C$107,2,FALSE),"")</f>
        <v/>
      </c>
      <c r="F3943" s="49" t="str">
        <f>IFERROR(VLOOKUP(E3943,'Condensed Specialty Crosswalk'!$A$2:$C$106,2,FALSE),"")</f>
        <v/>
      </c>
      <c r="G3943" s="49" t="str">
        <f>IFERROR(VLOOKUP(E3943,'Condensed Specialty Crosswalk'!$A$2:$C$106,3,FALSE),"")</f>
        <v/>
      </c>
    </row>
    <row r="3944" spans="5:7" ht="15" customHeight="1">
      <c r="E3944" s="49" t="str">
        <f>IFERROR(VLOOKUP(D3944,'taxonomy map'!$A$1:$C$107,2,FALSE),"")</f>
        <v/>
      </c>
      <c r="F3944" s="49" t="str">
        <f>IFERROR(VLOOKUP(E3944,'Condensed Specialty Crosswalk'!$A$2:$C$106,2,FALSE),"")</f>
        <v/>
      </c>
      <c r="G3944" s="49" t="str">
        <f>IFERROR(VLOOKUP(E3944,'Condensed Specialty Crosswalk'!$A$2:$C$106,3,FALSE),"")</f>
        <v/>
      </c>
    </row>
    <row r="3945" spans="5:7" ht="15" customHeight="1">
      <c r="E3945" s="49" t="str">
        <f>IFERROR(VLOOKUP(D3945,'taxonomy map'!$A$1:$C$107,2,FALSE),"")</f>
        <v/>
      </c>
      <c r="F3945" s="49" t="str">
        <f>IFERROR(VLOOKUP(E3945,'Condensed Specialty Crosswalk'!$A$2:$C$106,2,FALSE),"")</f>
        <v/>
      </c>
      <c r="G3945" s="49" t="str">
        <f>IFERROR(VLOOKUP(E3945,'Condensed Specialty Crosswalk'!$A$2:$C$106,3,FALSE),"")</f>
        <v/>
      </c>
    </row>
    <row r="3946" spans="5:7" ht="15" customHeight="1">
      <c r="E3946" s="49" t="str">
        <f>IFERROR(VLOOKUP(D3946,'taxonomy map'!$A$1:$C$107,2,FALSE),"")</f>
        <v/>
      </c>
      <c r="F3946" s="49" t="str">
        <f>IFERROR(VLOOKUP(E3946,'Condensed Specialty Crosswalk'!$A$2:$C$106,2,FALSE),"")</f>
        <v/>
      </c>
      <c r="G3946" s="49" t="str">
        <f>IFERROR(VLOOKUP(E3946,'Condensed Specialty Crosswalk'!$A$2:$C$106,3,FALSE),"")</f>
        <v/>
      </c>
    </row>
    <row r="3947" spans="5:7" ht="15" customHeight="1">
      <c r="E3947" s="49" t="str">
        <f>IFERROR(VLOOKUP(D3947,'taxonomy map'!$A$1:$C$107,2,FALSE),"")</f>
        <v/>
      </c>
      <c r="F3947" s="49" t="str">
        <f>IFERROR(VLOOKUP(E3947,'Condensed Specialty Crosswalk'!$A$2:$C$106,2,FALSE),"")</f>
        <v/>
      </c>
      <c r="G3947" s="49" t="str">
        <f>IFERROR(VLOOKUP(E3947,'Condensed Specialty Crosswalk'!$A$2:$C$106,3,FALSE),"")</f>
        <v/>
      </c>
    </row>
    <row r="3948" spans="5:7" ht="15" customHeight="1">
      <c r="E3948" s="49" t="str">
        <f>IFERROR(VLOOKUP(D3948,'taxonomy map'!$A$1:$C$107,2,FALSE),"")</f>
        <v/>
      </c>
      <c r="F3948" s="49" t="str">
        <f>IFERROR(VLOOKUP(E3948,'Condensed Specialty Crosswalk'!$A$2:$C$106,2,FALSE),"")</f>
        <v/>
      </c>
      <c r="G3948" s="49" t="str">
        <f>IFERROR(VLOOKUP(E3948,'Condensed Specialty Crosswalk'!$A$2:$C$106,3,FALSE),"")</f>
        <v/>
      </c>
    </row>
    <row r="3949" spans="5:7" ht="15" customHeight="1">
      <c r="E3949" s="49" t="str">
        <f>IFERROR(VLOOKUP(D3949,'taxonomy map'!$A$1:$C$107,2,FALSE),"")</f>
        <v/>
      </c>
      <c r="F3949" s="49" t="str">
        <f>IFERROR(VLOOKUP(E3949,'Condensed Specialty Crosswalk'!$A$2:$C$106,2,FALSE),"")</f>
        <v/>
      </c>
      <c r="G3949" s="49" t="str">
        <f>IFERROR(VLOOKUP(E3949,'Condensed Specialty Crosswalk'!$A$2:$C$106,3,FALSE),"")</f>
        <v/>
      </c>
    </row>
    <row r="3950" spans="5:7" ht="15" customHeight="1">
      <c r="E3950" s="49" t="str">
        <f>IFERROR(VLOOKUP(D3950,'taxonomy map'!$A$1:$C$107,2,FALSE),"")</f>
        <v/>
      </c>
      <c r="F3950" s="49" t="str">
        <f>IFERROR(VLOOKUP(E3950,'Condensed Specialty Crosswalk'!$A$2:$C$106,2,FALSE),"")</f>
        <v/>
      </c>
      <c r="G3950" s="49" t="str">
        <f>IFERROR(VLOOKUP(E3950,'Condensed Specialty Crosswalk'!$A$2:$C$106,3,FALSE),"")</f>
        <v/>
      </c>
    </row>
    <row r="3951" spans="5:7" ht="15" customHeight="1">
      <c r="E3951" s="49" t="str">
        <f>IFERROR(VLOOKUP(D3951,'taxonomy map'!$A$1:$C$107,2,FALSE),"")</f>
        <v/>
      </c>
      <c r="F3951" s="49" t="str">
        <f>IFERROR(VLOOKUP(E3951,'Condensed Specialty Crosswalk'!$A$2:$C$106,2,FALSE),"")</f>
        <v/>
      </c>
      <c r="G3951" s="49" t="str">
        <f>IFERROR(VLOOKUP(E3951,'Condensed Specialty Crosswalk'!$A$2:$C$106,3,FALSE),"")</f>
        <v/>
      </c>
    </row>
    <row r="3952" spans="5:7" ht="15" customHeight="1">
      <c r="E3952" s="49" t="str">
        <f>IFERROR(VLOOKUP(D3952,'taxonomy map'!$A$1:$C$107,2,FALSE),"")</f>
        <v/>
      </c>
      <c r="F3952" s="49" t="str">
        <f>IFERROR(VLOOKUP(E3952,'Condensed Specialty Crosswalk'!$A$2:$C$106,2,FALSE),"")</f>
        <v/>
      </c>
      <c r="G3952" s="49" t="str">
        <f>IFERROR(VLOOKUP(E3952,'Condensed Specialty Crosswalk'!$A$2:$C$106,3,FALSE),"")</f>
        <v/>
      </c>
    </row>
    <row r="3953" spans="5:7" ht="15" customHeight="1">
      <c r="E3953" s="49" t="str">
        <f>IFERROR(VLOOKUP(D3953,'taxonomy map'!$A$1:$C$107,2,FALSE),"")</f>
        <v/>
      </c>
      <c r="F3953" s="49" t="str">
        <f>IFERROR(VLOOKUP(E3953,'Condensed Specialty Crosswalk'!$A$2:$C$106,2,FALSE),"")</f>
        <v/>
      </c>
      <c r="G3953" s="49" t="str">
        <f>IFERROR(VLOOKUP(E3953,'Condensed Specialty Crosswalk'!$A$2:$C$106,3,FALSE),"")</f>
        <v/>
      </c>
    </row>
    <row r="3954" spans="5:7" ht="15" customHeight="1">
      <c r="E3954" s="49" t="str">
        <f>IFERROR(VLOOKUP(D3954,'taxonomy map'!$A$1:$C$107,2,FALSE),"")</f>
        <v/>
      </c>
      <c r="F3954" s="49" t="str">
        <f>IFERROR(VLOOKUP(E3954,'Condensed Specialty Crosswalk'!$A$2:$C$106,2,FALSE),"")</f>
        <v/>
      </c>
      <c r="G3954" s="49" t="str">
        <f>IFERROR(VLOOKUP(E3954,'Condensed Specialty Crosswalk'!$A$2:$C$106,3,FALSE),"")</f>
        <v/>
      </c>
    </row>
    <row r="3955" spans="5:7" ht="15" customHeight="1">
      <c r="E3955" s="49" t="str">
        <f>IFERROR(VLOOKUP(D3955,'taxonomy map'!$A$1:$C$107,2,FALSE),"")</f>
        <v/>
      </c>
      <c r="F3955" s="49" t="str">
        <f>IFERROR(VLOOKUP(E3955,'Condensed Specialty Crosswalk'!$A$2:$C$106,2,FALSE),"")</f>
        <v/>
      </c>
      <c r="G3955" s="49" t="str">
        <f>IFERROR(VLOOKUP(E3955,'Condensed Specialty Crosswalk'!$A$2:$C$106,3,FALSE),"")</f>
        <v/>
      </c>
    </row>
    <row r="3956" spans="5:7" ht="15" customHeight="1">
      <c r="E3956" s="49" t="str">
        <f>IFERROR(VLOOKUP(D3956,'taxonomy map'!$A$1:$C$107,2,FALSE),"")</f>
        <v/>
      </c>
      <c r="F3956" s="49" t="str">
        <f>IFERROR(VLOOKUP(E3956,'Condensed Specialty Crosswalk'!$A$2:$C$106,2,FALSE),"")</f>
        <v/>
      </c>
      <c r="G3956" s="49" t="str">
        <f>IFERROR(VLOOKUP(E3956,'Condensed Specialty Crosswalk'!$A$2:$C$106,3,FALSE),"")</f>
        <v/>
      </c>
    </row>
    <row r="3957" spans="5:7" ht="15" customHeight="1">
      <c r="E3957" s="49" t="str">
        <f>IFERROR(VLOOKUP(D3957,'taxonomy map'!$A$1:$C$107,2,FALSE),"")</f>
        <v/>
      </c>
      <c r="F3957" s="49" t="str">
        <f>IFERROR(VLOOKUP(E3957,'Condensed Specialty Crosswalk'!$A$2:$C$106,2,FALSE),"")</f>
        <v/>
      </c>
      <c r="G3957" s="49" t="str">
        <f>IFERROR(VLOOKUP(E3957,'Condensed Specialty Crosswalk'!$A$2:$C$106,3,FALSE),"")</f>
        <v/>
      </c>
    </row>
    <row r="3958" spans="5:7" ht="15" customHeight="1">
      <c r="E3958" s="49" t="str">
        <f>IFERROR(VLOOKUP(D3958,'taxonomy map'!$A$1:$C$107,2,FALSE),"")</f>
        <v/>
      </c>
      <c r="F3958" s="49" t="str">
        <f>IFERROR(VLOOKUP(E3958,'Condensed Specialty Crosswalk'!$A$2:$C$106,2,FALSE),"")</f>
        <v/>
      </c>
      <c r="G3958" s="49" t="str">
        <f>IFERROR(VLOOKUP(E3958,'Condensed Specialty Crosswalk'!$A$2:$C$106,3,FALSE),"")</f>
        <v/>
      </c>
    </row>
    <row r="3959" spans="5:7" ht="15" customHeight="1">
      <c r="E3959" s="49" t="str">
        <f>IFERROR(VLOOKUP(D3959,'taxonomy map'!$A$1:$C$107,2,FALSE),"")</f>
        <v/>
      </c>
      <c r="F3959" s="49" t="str">
        <f>IFERROR(VLOOKUP(E3959,'Condensed Specialty Crosswalk'!$A$2:$C$106,2,FALSE),"")</f>
        <v/>
      </c>
      <c r="G3959" s="49" t="str">
        <f>IFERROR(VLOOKUP(E3959,'Condensed Specialty Crosswalk'!$A$2:$C$106,3,FALSE),"")</f>
        <v/>
      </c>
    </row>
    <row r="3960" spans="5:7" ht="15" customHeight="1">
      <c r="E3960" s="49" t="str">
        <f>IFERROR(VLOOKUP(D3960,'taxonomy map'!$A$1:$C$107,2,FALSE),"")</f>
        <v/>
      </c>
      <c r="F3960" s="49" t="str">
        <f>IFERROR(VLOOKUP(E3960,'Condensed Specialty Crosswalk'!$A$2:$C$106,2,FALSE),"")</f>
        <v/>
      </c>
      <c r="G3960" s="49" t="str">
        <f>IFERROR(VLOOKUP(E3960,'Condensed Specialty Crosswalk'!$A$2:$C$106,3,FALSE),"")</f>
        <v/>
      </c>
    </row>
    <row r="3961" spans="5:7" ht="15" customHeight="1">
      <c r="E3961" s="49" t="str">
        <f>IFERROR(VLOOKUP(D3961,'taxonomy map'!$A$1:$C$107,2,FALSE),"")</f>
        <v/>
      </c>
      <c r="F3961" s="49" t="str">
        <f>IFERROR(VLOOKUP(E3961,'Condensed Specialty Crosswalk'!$A$2:$C$106,2,FALSE),"")</f>
        <v/>
      </c>
      <c r="G3961" s="49" t="str">
        <f>IFERROR(VLOOKUP(E3961,'Condensed Specialty Crosswalk'!$A$2:$C$106,3,FALSE),"")</f>
        <v/>
      </c>
    </row>
    <row r="3962" spans="5:7" ht="15" customHeight="1">
      <c r="E3962" s="49" t="str">
        <f>IFERROR(VLOOKUP(D3962,'taxonomy map'!$A$1:$C$107,2,FALSE),"")</f>
        <v/>
      </c>
      <c r="F3962" s="49" t="str">
        <f>IFERROR(VLOOKUP(E3962,'Condensed Specialty Crosswalk'!$A$2:$C$106,2,FALSE),"")</f>
        <v/>
      </c>
      <c r="G3962" s="49" t="str">
        <f>IFERROR(VLOOKUP(E3962,'Condensed Specialty Crosswalk'!$A$2:$C$106,3,FALSE),"")</f>
        <v/>
      </c>
    </row>
    <row r="3963" spans="5:7" ht="15" customHeight="1">
      <c r="E3963" s="49" t="str">
        <f>IFERROR(VLOOKUP(D3963,'taxonomy map'!$A$1:$C$107,2,FALSE),"")</f>
        <v/>
      </c>
      <c r="F3963" s="49" t="str">
        <f>IFERROR(VLOOKUP(E3963,'Condensed Specialty Crosswalk'!$A$2:$C$106,2,FALSE),"")</f>
        <v/>
      </c>
      <c r="G3963" s="49" t="str">
        <f>IFERROR(VLOOKUP(E3963,'Condensed Specialty Crosswalk'!$A$2:$C$106,3,FALSE),"")</f>
        <v/>
      </c>
    </row>
    <row r="3964" spans="5:7" ht="15" customHeight="1">
      <c r="E3964" s="49" t="str">
        <f>IFERROR(VLOOKUP(D3964,'taxonomy map'!$A$1:$C$107,2,FALSE),"")</f>
        <v/>
      </c>
      <c r="F3964" s="49" t="str">
        <f>IFERROR(VLOOKUP(E3964,'Condensed Specialty Crosswalk'!$A$2:$C$106,2,FALSE),"")</f>
        <v/>
      </c>
      <c r="G3964" s="49" t="str">
        <f>IFERROR(VLOOKUP(E3964,'Condensed Specialty Crosswalk'!$A$2:$C$106,3,FALSE),"")</f>
        <v/>
      </c>
    </row>
    <row r="3965" spans="5:7" ht="15" customHeight="1">
      <c r="E3965" s="49" t="str">
        <f>IFERROR(VLOOKUP(D3965,'taxonomy map'!$A$1:$C$107,2,FALSE),"")</f>
        <v/>
      </c>
      <c r="F3965" s="49" t="str">
        <f>IFERROR(VLOOKUP(E3965,'Condensed Specialty Crosswalk'!$A$2:$C$106,2,FALSE),"")</f>
        <v/>
      </c>
      <c r="G3965" s="49" t="str">
        <f>IFERROR(VLOOKUP(E3965,'Condensed Specialty Crosswalk'!$A$2:$C$106,3,FALSE),"")</f>
        <v/>
      </c>
    </row>
    <row r="3966" spans="5:7" ht="15" customHeight="1">
      <c r="E3966" s="49" t="str">
        <f>IFERROR(VLOOKUP(D3966,'taxonomy map'!$A$1:$C$107,2,FALSE),"")</f>
        <v/>
      </c>
      <c r="F3966" s="49" t="str">
        <f>IFERROR(VLOOKUP(E3966,'Condensed Specialty Crosswalk'!$A$2:$C$106,2,FALSE),"")</f>
        <v/>
      </c>
      <c r="G3966" s="49" t="str">
        <f>IFERROR(VLOOKUP(E3966,'Condensed Specialty Crosswalk'!$A$2:$C$106,3,FALSE),"")</f>
        <v/>
      </c>
    </row>
    <row r="3967" spans="5:7" ht="15" customHeight="1">
      <c r="E3967" s="49" t="str">
        <f>IFERROR(VLOOKUP(D3967,'taxonomy map'!$A$1:$C$107,2,FALSE),"")</f>
        <v/>
      </c>
      <c r="F3967" s="49" t="str">
        <f>IFERROR(VLOOKUP(E3967,'Condensed Specialty Crosswalk'!$A$2:$C$106,2,FALSE),"")</f>
        <v/>
      </c>
      <c r="G3967" s="49" t="str">
        <f>IFERROR(VLOOKUP(E3967,'Condensed Specialty Crosswalk'!$A$2:$C$106,3,FALSE),"")</f>
        <v/>
      </c>
    </row>
    <row r="3968" spans="5:7" ht="15" customHeight="1">
      <c r="E3968" s="49" t="str">
        <f>IFERROR(VLOOKUP(D3968,'taxonomy map'!$A$1:$C$107,2,FALSE),"")</f>
        <v/>
      </c>
      <c r="F3968" s="49" t="str">
        <f>IFERROR(VLOOKUP(E3968,'Condensed Specialty Crosswalk'!$A$2:$C$106,2,FALSE),"")</f>
        <v/>
      </c>
      <c r="G3968" s="49" t="str">
        <f>IFERROR(VLOOKUP(E3968,'Condensed Specialty Crosswalk'!$A$2:$C$106,3,FALSE),"")</f>
        <v/>
      </c>
    </row>
    <row r="3969" spans="5:7" ht="15" customHeight="1">
      <c r="E3969" s="49" t="str">
        <f>IFERROR(VLOOKUP(D3969,'taxonomy map'!$A$1:$C$107,2,FALSE),"")</f>
        <v/>
      </c>
      <c r="F3969" s="49" t="str">
        <f>IFERROR(VLOOKUP(E3969,'Condensed Specialty Crosswalk'!$A$2:$C$106,2,FALSE),"")</f>
        <v/>
      </c>
      <c r="G3969" s="49" t="str">
        <f>IFERROR(VLOOKUP(E3969,'Condensed Specialty Crosswalk'!$A$2:$C$106,3,FALSE),"")</f>
        <v/>
      </c>
    </row>
    <row r="3970" spans="5:7" ht="15" customHeight="1">
      <c r="E3970" s="49" t="str">
        <f>IFERROR(VLOOKUP(D3970,'taxonomy map'!$A$1:$C$107,2,FALSE),"")</f>
        <v/>
      </c>
      <c r="F3970" s="49" t="str">
        <f>IFERROR(VLOOKUP(E3970,'Condensed Specialty Crosswalk'!$A$2:$C$106,2,FALSE),"")</f>
        <v/>
      </c>
      <c r="G3970" s="49" t="str">
        <f>IFERROR(VLOOKUP(E3970,'Condensed Specialty Crosswalk'!$A$2:$C$106,3,FALSE),"")</f>
        <v/>
      </c>
    </row>
    <row r="3971" spans="5:7" ht="15" customHeight="1">
      <c r="E3971" s="49" t="str">
        <f>IFERROR(VLOOKUP(D3971,'taxonomy map'!$A$1:$C$107,2,FALSE),"")</f>
        <v/>
      </c>
      <c r="F3971" s="49" t="str">
        <f>IFERROR(VLOOKUP(E3971,'Condensed Specialty Crosswalk'!$A$2:$C$106,2,FALSE),"")</f>
        <v/>
      </c>
      <c r="G3971" s="49" t="str">
        <f>IFERROR(VLOOKUP(E3971,'Condensed Specialty Crosswalk'!$A$2:$C$106,3,FALSE),"")</f>
        <v/>
      </c>
    </row>
    <row r="3972" spans="5:7" ht="15" customHeight="1">
      <c r="E3972" s="49" t="str">
        <f>IFERROR(VLOOKUP(D3972,'taxonomy map'!$A$1:$C$107,2,FALSE),"")</f>
        <v/>
      </c>
      <c r="F3972" s="49" t="str">
        <f>IFERROR(VLOOKUP(E3972,'Condensed Specialty Crosswalk'!$A$2:$C$106,2,FALSE),"")</f>
        <v/>
      </c>
      <c r="G3972" s="49" t="str">
        <f>IFERROR(VLOOKUP(E3972,'Condensed Specialty Crosswalk'!$A$2:$C$106,3,FALSE),"")</f>
        <v/>
      </c>
    </row>
    <row r="3973" spans="5:7" ht="15" customHeight="1">
      <c r="E3973" s="49" t="str">
        <f>IFERROR(VLOOKUP(D3973,'taxonomy map'!$A$1:$C$107,2,FALSE),"")</f>
        <v/>
      </c>
      <c r="F3973" s="49" t="str">
        <f>IFERROR(VLOOKUP(E3973,'Condensed Specialty Crosswalk'!$A$2:$C$106,2,FALSE),"")</f>
        <v/>
      </c>
      <c r="G3973" s="49" t="str">
        <f>IFERROR(VLOOKUP(E3973,'Condensed Specialty Crosswalk'!$A$2:$C$106,3,FALSE),"")</f>
        <v/>
      </c>
    </row>
    <row r="3974" spans="5:7" ht="15" customHeight="1">
      <c r="E3974" s="49" t="str">
        <f>IFERROR(VLOOKUP(D3974,'taxonomy map'!$A$1:$C$107,2,FALSE),"")</f>
        <v/>
      </c>
      <c r="F3974" s="49" t="str">
        <f>IFERROR(VLOOKUP(E3974,'Condensed Specialty Crosswalk'!$A$2:$C$106,2,FALSE),"")</f>
        <v/>
      </c>
      <c r="G3974" s="49" t="str">
        <f>IFERROR(VLOOKUP(E3974,'Condensed Specialty Crosswalk'!$A$2:$C$106,3,FALSE),"")</f>
        <v/>
      </c>
    </row>
    <row r="3975" spans="5:7" ht="15" customHeight="1">
      <c r="E3975" s="49" t="str">
        <f>IFERROR(VLOOKUP(D3975,'taxonomy map'!$A$1:$C$107,2,FALSE),"")</f>
        <v/>
      </c>
      <c r="F3975" s="49" t="str">
        <f>IFERROR(VLOOKUP(E3975,'Condensed Specialty Crosswalk'!$A$2:$C$106,2,FALSE),"")</f>
        <v/>
      </c>
      <c r="G3975" s="49" t="str">
        <f>IFERROR(VLOOKUP(E3975,'Condensed Specialty Crosswalk'!$A$2:$C$106,3,FALSE),"")</f>
        <v/>
      </c>
    </row>
    <row r="3976" spans="5:7" ht="15" customHeight="1">
      <c r="E3976" s="49" t="str">
        <f>IFERROR(VLOOKUP(D3976,'taxonomy map'!$A$1:$C$107,2,FALSE),"")</f>
        <v/>
      </c>
      <c r="F3976" s="49" t="str">
        <f>IFERROR(VLOOKUP(E3976,'Condensed Specialty Crosswalk'!$A$2:$C$106,2,FALSE),"")</f>
        <v/>
      </c>
      <c r="G3976" s="49" t="str">
        <f>IFERROR(VLOOKUP(E3976,'Condensed Specialty Crosswalk'!$A$2:$C$106,3,FALSE),"")</f>
        <v/>
      </c>
    </row>
    <row r="3977" spans="5:7" ht="15" customHeight="1">
      <c r="E3977" s="49" t="str">
        <f>IFERROR(VLOOKUP(D3977,'taxonomy map'!$A$1:$C$107,2,FALSE),"")</f>
        <v/>
      </c>
      <c r="F3977" s="49" t="str">
        <f>IFERROR(VLOOKUP(E3977,'Condensed Specialty Crosswalk'!$A$2:$C$106,2,FALSE),"")</f>
        <v/>
      </c>
      <c r="G3977" s="49" t="str">
        <f>IFERROR(VLOOKUP(E3977,'Condensed Specialty Crosswalk'!$A$2:$C$106,3,FALSE),"")</f>
        <v/>
      </c>
    </row>
    <row r="3978" spans="5:7" ht="15" customHeight="1">
      <c r="E3978" s="49" t="str">
        <f>IFERROR(VLOOKUP(D3978,'taxonomy map'!$A$1:$C$107,2,FALSE),"")</f>
        <v/>
      </c>
      <c r="F3978" s="49" t="str">
        <f>IFERROR(VLOOKUP(E3978,'Condensed Specialty Crosswalk'!$A$2:$C$106,2,FALSE),"")</f>
        <v/>
      </c>
      <c r="G3978" s="49" t="str">
        <f>IFERROR(VLOOKUP(E3978,'Condensed Specialty Crosswalk'!$A$2:$C$106,3,FALSE),"")</f>
        <v/>
      </c>
    </row>
    <row r="3979" spans="5:7" ht="15" customHeight="1">
      <c r="E3979" s="49" t="str">
        <f>IFERROR(VLOOKUP(D3979,'taxonomy map'!$A$1:$C$107,2,FALSE),"")</f>
        <v/>
      </c>
      <c r="F3979" s="49" t="str">
        <f>IFERROR(VLOOKUP(E3979,'Condensed Specialty Crosswalk'!$A$2:$C$106,2,FALSE),"")</f>
        <v/>
      </c>
      <c r="G3979" s="49" t="str">
        <f>IFERROR(VLOOKUP(E3979,'Condensed Specialty Crosswalk'!$A$2:$C$106,3,FALSE),"")</f>
        <v/>
      </c>
    </row>
    <row r="3980" spans="5:7" ht="15" customHeight="1">
      <c r="E3980" s="49" t="str">
        <f>IFERROR(VLOOKUP(D3980,'taxonomy map'!$A$1:$C$107,2,FALSE),"")</f>
        <v/>
      </c>
      <c r="F3980" s="49" t="str">
        <f>IFERROR(VLOOKUP(E3980,'Condensed Specialty Crosswalk'!$A$2:$C$106,2,FALSE),"")</f>
        <v/>
      </c>
      <c r="G3980" s="49" t="str">
        <f>IFERROR(VLOOKUP(E3980,'Condensed Specialty Crosswalk'!$A$2:$C$106,3,FALSE),"")</f>
        <v/>
      </c>
    </row>
    <row r="3981" spans="5:7" ht="15" customHeight="1">
      <c r="E3981" s="49" t="str">
        <f>IFERROR(VLOOKUP(D3981,'taxonomy map'!$A$1:$C$107,2,FALSE),"")</f>
        <v/>
      </c>
      <c r="F3981" s="49" t="str">
        <f>IFERROR(VLOOKUP(E3981,'Condensed Specialty Crosswalk'!$A$2:$C$106,2,FALSE),"")</f>
        <v/>
      </c>
      <c r="G3981" s="49" t="str">
        <f>IFERROR(VLOOKUP(E3981,'Condensed Specialty Crosswalk'!$A$2:$C$106,3,FALSE),"")</f>
        <v/>
      </c>
    </row>
    <row r="3982" spans="5:7" ht="15" customHeight="1">
      <c r="E3982" s="49" t="str">
        <f>IFERROR(VLOOKUP(D3982,'taxonomy map'!$A$1:$C$107,2,FALSE),"")</f>
        <v/>
      </c>
      <c r="F3982" s="49" t="str">
        <f>IFERROR(VLOOKUP(E3982,'Condensed Specialty Crosswalk'!$A$2:$C$106,2,FALSE),"")</f>
        <v/>
      </c>
      <c r="G3982" s="49" t="str">
        <f>IFERROR(VLOOKUP(E3982,'Condensed Specialty Crosswalk'!$A$2:$C$106,3,FALSE),"")</f>
        <v/>
      </c>
    </row>
    <row r="3983" spans="5:7" ht="15" customHeight="1">
      <c r="E3983" s="49" t="str">
        <f>IFERROR(VLOOKUP(D3983,'taxonomy map'!$A$1:$C$107,2,FALSE),"")</f>
        <v/>
      </c>
      <c r="F3983" s="49" t="str">
        <f>IFERROR(VLOOKUP(E3983,'Condensed Specialty Crosswalk'!$A$2:$C$106,2,FALSE),"")</f>
        <v/>
      </c>
      <c r="G3983" s="49" t="str">
        <f>IFERROR(VLOOKUP(E3983,'Condensed Specialty Crosswalk'!$A$2:$C$106,3,FALSE),"")</f>
        <v/>
      </c>
    </row>
    <row r="3984" spans="5:7" ht="15" customHeight="1">
      <c r="E3984" s="49" t="str">
        <f>IFERROR(VLOOKUP(D3984,'taxonomy map'!$A$1:$C$107,2,FALSE),"")</f>
        <v/>
      </c>
      <c r="F3984" s="49" t="str">
        <f>IFERROR(VLOOKUP(E3984,'Condensed Specialty Crosswalk'!$A$2:$C$106,2,FALSE),"")</f>
        <v/>
      </c>
      <c r="G3984" s="49" t="str">
        <f>IFERROR(VLOOKUP(E3984,'Condensed Specialty Crosswalk'!$A$2:$C$106,3,FALSE),"")</f>
        <v/>
      </c>
    </row>
    <row r="3985" spans="5:7" ht="15" customHeight="1">
      <c r="E3985" s="49" t="str">
        <f>IFERROR(VLOOKUP(D3985,'taxonomy map'!$A$1:$C$107,2,FALSE),"")</f>
        <v/>
      </c>
      <c r="F3985" s="49" t="str">
        <f>IFERROR(VLOOKUP(E3985,'Condensed Specialty Crosswalk'!$A$2:$C$106,2,FALSE),"")</f>
        <v/>
      </c>
      <c r="G3985" s="49" t="str">
        <f>IFERROR(VLOOKUP(E3985,'Condensed Specialty Crosswalk'!$A$2:$C$106,3,FALSE),"")</f>
        <v/>
      </c>
    </row>
    <row r="3986" spans="5:7" ht="15" customHeight="1">
      <c r="E3986" s="49" t="str">
        <f>IFERROR(VLOOKUP(D3986,'taxonomy map'!$A$1:$C$107,2,FALSE),"")</f>
        <v/>
      </c>
      <c r="F3986" s="49" t="str">
        <f>IFERROR(VLOOKUP(E3986,'Condensed Specialty Crosswalk'!$A$2:$C$106,2,FALSE),"")</f>
        <v/>
      </c>
      <c r="G3986" s="49" t="str">
        <f>IFERROR(VLOOKUP(E3986,'Condensed Specialty Crosswalk'!$A$2:$C$106,3,FALSE),"")</f>
        <v/>
      </c>
    </row>
    <row r="3987" spans="5:7" ht="15" customHeight="1">
      <c r="E3987" s="49" t="str">
        <f>IFERROR(VLOOKUP(D3987,'taxonomy map'!$A$1:$C$107,2,FALSE),"")</f>
        <v/>
      </c>
      <c r="F3987" s="49" t="str">
        <f>IFERROR(VLOOKUP(E3987,'Condensed Specialty Crosswalk'!$A$2:$C$106,2,FALSE),"")</f>
        <v/>
      </c>
      <c r="G3987" s="49" t="str">
        <f>IFERROR(VLOOKUP(E3987,'Condensed Specialty Crosswalk'!$A$2:$C$106,3,FALSE),"")</f>
        <v/>
      </c>
    </row>
    <row r="3988" spans="5:7" ht="15" customHeight="1">
      <c r="E3988" s="49" t="str">
        <f>IFERROR(VLOOKUP(D3988,'taxonomy map'!$A$1:$C$107,2,FALSE),"")</f>
        <v/>
      </c>
      <c r="F3988" s="49" t="str">
        <f>IFERROR(VLOOKUP(E3988,'Condensed Specialty Crosswalk'!$A$2:$C$106,2,FALSE),"")</f>
        <v/>
      </c>
      <c r="G3988" s="49" t="str">
        <f>IFERROR(VLOOKUP(E3988,'Condensed Specialty Crosswalk'!$A$2:$C$106,3,FALSE),"")</f>
        <v/>
      </c>
    </row>
    <row r="3989" spans="5:7" ht="15" customHeight="1">
      <c r="E3989" s="49" t="str">
        <f>IFERROR(VLOOKUP(D3989,'taxonomy map'!$A$1:$C$107,2,FALSE),"")</f>
        <v/>
      </c>
      <c r="F3989" s="49" t="str">
        <f>IFERROR(VLOOKUP(E3989,'Condensed Specialty Crosswalk'!$A$2:$C$106,2,FALSE),"")</f>
        <v/>
      </c>
      <c r="G3989" s="49" t="str">
        <f>IFERROR(VLOOKUP(E3989,'Condensed Specialty Crosswalk'!$A$2:$C$106,3,FALSE),"")</f>
        <v/>
      </c>
    </row>
    <row r="3990" spans="5:7" ht="15" customHeight="1">
      <c r="E3990" s="49" t="str">
        <f>IFERROR(VLOOKUP(D3990,'taxonomy map'!$A$1:$C$107,2,FALSE),"")</f>
        <v/>
      </c>
      <c r="F3990" s="49" t="str">
        <f>IFERROR(VLOOKUP(E3990,'Condensed Specialty Crosswalk'!$A$2:$C$106,2,FALSE),"")</f>
        <v/>
      </c>
      <c r="G3990" s="49" t="str">
        <f>IFERROR(VLOOKUP(E3990,'Condensed Specialty Crosswalk'!$A$2:$C$106,3,FALSE),"")</f>
        <v/>
      </c>
    </row>
    <row r="3991" spans="5:7" ht="15" customHeight="1">
      <c r="E3991" s="49" t="str">
        <f>IFERROR(VLOOKUP(D3991,'taxonomy map'!$A$1:$C$107,2,FALSE),"")</f>
        <v/>
      </c>
      <c r="F3991" s="49" t="str">
        <f>IFERROR(VLOOKUP(E3991,'Condensed Specialty Crosswalk'!$A$2:$C$106,2,FALSE),"")</f>
        <v/>
      </c>
      <c r="G3991" s="49" t="str">
        <f>IFERROR(VLOOKUP(E3991,'Condensed Specialty Crosswalk'!$A$2:$C$106,3,FALSE),"")</f>
        <v/>
      </c>
    </row>
    <row r="3992" spans="5:7" ht="15" customHeight="1">
      <c r="E3992" s="49" t="str">
        <f>IFERROR(VLOOKUP(D3992,'taxonomy map'!$A$1:$C$107,2,FALSE),"")</f>
        <v/>
      </c>
      <c r="F3992" s="49" t="str">
        <f>IFERROR(VLOOKUP(E3992,'Condensed Specialty Crosswalk'!$A$2:$C$106,2,FALSE),"")</f>
        <v/>
      </c>
      <c r="G3992" s="49" t="str">
        <f>IFERROR(VLOOKUP(E3992,'Condensed Specialty Crosswalk'!$A$2:$C$106,3,FALSE),"")</f>
        <v/>
      </c>
    </row>
    <row r="3993" spans="5:7" ht="15" customHeight="1">
      <c r="E3993" s="49" t="str">
        <f>IFERROR(VLOOKUP(D3993,'taxonomy map'!$A$1:$C$107,2,FALSE),"")</f>
        <v/>
      </c>
      <c r="F3993" s="49" t="str">
        <f>IFERROR(VLOOKUP(E3993,'Condensed Specialty Crosswalk'!$A$2:$C$106,2,FALSE),"")</f>
        <v/>
      </c>
      <c r="G3993" s="49" t="str">
        <f>IFERROR(VLOOKUP(E3993,'Condensed Specialty Crosswalk'!$A$2:$C$106,3,FALSE),"")</f>
        <v/>
      </c>
    </row>
    <row r="3994" spans="5:7" ht="15" customHeight="1">
      <c r="E3994" s="49" t="str">
        <f>IFERROR(VLOOKUP(D3994,'taxonomy map'!$A$1:$C$107,2,FALSE),"")</f>
        <v/>
      </c>
      <c r="F3994" s="49" t="str">
        <f>IFERROR(VLOOKUP(E3994,'Condensed Specialty Crosswalk'!$A$2:$C$106,2,FALSE),"")</f>
        <v/>
      </c>
      <c r="G3994" s="49" t="str">
        <f>IFERROR(VLOOKUP(E3994,'Condensed Specialty Crosswalk'!$A$2:$C$106,3,FALSE),"")</f>
        <v/>
      </c>
    </row>
    <row r="3995" spans="5:7" ht="15" customHeight="1">
      <c r="E3995" s="49" t="str">
        <f>IFERROR(VLOOKUP(D3995,'taxonomy map'!$A$1:$C$107,2,FALSE),"")</f>
        <v/>
      </c>
      <c r="F3995" s="49" t="str">
        <f>IFERROR(VLOOKUP(E3995,'Condensed Specialty Crosswalk'!$A$2:$C$106,2,FALSE),"")</f>
        <v/>
      </c>
      <c r="G3995" s="49" t="str">
        <f>IFERROR(VLOOKUP(E3995,'Condensed Specialty Crosswalk'!$A$2:$C$106,3,FALSE),"")</f>
        <v/>
      </c>
    </row>
    <row r="3996" spans="5:7" ht="15" customHeight="1">
      <c r="E3996" s="49" t="str">
        <f>IFERROR(VLOOKUP(D3996,'taxonomy map'!$A$1:$C$107,2,FALSE),"")</f>
        <v/>
      </c>
      <c r="F3996" s="49" t="str">
        <f>IFERROR(VLOOKUP(E3996,'Condensed Specialty Crosswalk'!$A$2:$C$106,2,FALSE),"")</f>
        <v/>
      </c>
      <c r="G3996" s="49" t="str">
        <f>IFERROR(VLOOKUP(E3996,'Condensed Specialty Crosswalk'!$A$2:$C$106,3,FALSE),"")</f>
        <v/>
      </c>
    </row>
    <row r="3997" spans="5:7" ht="15" customHeight="1">
      <c r="E3997" s="49" t="str">
        <f>IFERROR(VLOOKUP(D3997,'taxonomy map'!$A$1:$C$107,2,FALSE),"")</f>
        <v/>
      </c>
      <c r="F3997" s="49" t="str">
        <f>IFERROR(VLOOKUP(E3997,'Condensed Specialty Crosswalk'!$A$2:$C$106,2,FALSE),"")</f>
        <v/>
      </c>
      <c r="G3997" s="49" t="str">
        <f>IFERROR(VLOOKUP(E3997,'Condensed Specialty Crosswalk'!$A$2:$C$106,3,FALSE),"")</f>
        <v/>
      </c>
    </row>
    <row r="3998" spans="5:7" ht="15" customHeight="1">
      <c r="E3998" s="49" t="str">
        <f>IFERROR(VLOOKUP(D3998,'taxonomy map'!$A$1:$C$107,2,FALSE),"")</f>
        <v/>
      </c>
      <c r="F3998" s="49" t="str">
        <f>IFERROR(VLOOKUP(E3998,'Condensed Specialty Crosswalk'!$A$2:$C$106,2,FALSE),"")</f>
        <v/>
      </c>
      <c r="G3998" s="49" t="str">
        <f>IFERROR(VLOOKUP(E3998,'Condensed Specialty Crosswalk'!$A$2:$C$106,3,FALSE),"")</f>
        <v/>
      </c>
    </row>
    <row r="3999" spans="5:7" ht="15" customHeight="1">
      <c r="E3999" s="49" t="str">
        <f>IFERROR(VLOOKUP(D3999,'taxonomy map'!$A$1:$C$107,2,FALSE),"")</f>
        <v/>
      </c>
      <c r="F3999" s="49" t="str">
        <f>IFERROR(VLOOKUP(E3999,'Condensed Specialty Crosswalk'!$A$2:$C$106,2,FALSE),"")</f>
        <v/>
      </c>
      <c r="G3999" s="49" t="str">
        <f>IFERROR(VLOOKUP(E3999,'Condensed Specialty Crosswalk'!$A$2:$C$106,3,FALSE),"")</f>
        <v/>
      </c>
    </row>
    <row r="4000" spans="5:7" ht="15" customHeight="1">
      <c r="E4000" s="49" t="str">
        <f>IFERROR(VLOOKUP(D4000,'taxonomy map'!$A$1:$C$107,2,FALSE),"")</f>
        <v/>
      </c>
      <c r="F4000" s="49" t="str">
        <f>IFERROR(VLOOKUP(E4000,'Condensed Specialty Crosswalk'!$A$2:$C$106,2,FALSE),"")</f>
        <v/>
      </c>
      <c r="G4000" s="49" t="str">
        <f>IFERROR(VLOOKUP(E4000,'Condensed Specialty Crosswalk'!$A$2:$C$106,3,FALSE),"")</f>
        <v/>
      </c>
    </row>
    <row r="4001" spans="5:7" ht="15" customHeight="1">
      <c r="E4001" s="49" t="str">
        <f>IFERROR(VLOOKUP(D4001,'taxonomy map'!$A$1:$C$107,2,FALSE),"")</f>
        <v/>
      </c>
      <c r="F4001" s="49" t="str">
        <f>IFERROR(VLOOKUP(E4001,'Condensed Specialty Crosswalk'!$A$2:$C$106,2,FALSE),"")</f>
        <v/>
      </c>
      <c r="G4001" s="49" t="str">
        <f>IFERROR(VLOOKUP(E4001,'Condensed Specialty Crosswalk'!$A$2:$C$106,3,FALSE),"")</f>
        <v/>
      </c>
    </row>
    <row r="4002" spans="5:7" ht="15" customHeight="1">
      <c r="E4002" s="49" t="str">
        <f>IFERROR(VLOOKUP(D4002,'taxonomy map'!$A$1:$C$107,2,FALSE),"")</f>
        <v/>
      </c>
      <c r="F4002" s="49" t="str">
        <f>IFERROR(VLOOKUP(E4002,'Condensed Specialty Crosswalk'!$A$2:$C$106,2,FALSE),"")</f>
        <v/>
      </c>
      <c r="G4002" s="49" t="str">
        <f>IFERROR(VLOOKUP(E4002,'Condensed Specialty Crosswalk'!$A$2:$C$106,3,FALSE),"")</f>
        <v/>
      </c>
    </row>
    <row r="4003" spans="5:7" ht="15" customHeight="1">
      <c r="E4003" s="49" t="str">
        <f>IFERROR(VLOOKUP(D4003,'taxonomy map'!$A$1:$C$107,2,FALSE),"")</f>
        <v/>
      </c>
      <c r="F4003" s="49" t="str">
        <f>IFERROR(VLOOKUP(E4003,'Condensed Specialty Crosswalk'!$A$2:$C$106,2,FALSE),"")</f>
        <v/>
      </c>
      <c r="G4003" s="49" t="str">
        <f>IFERROR(VLOOKUP(E4003,'Condensed Specialty Crosswalk'!$A$2:$C$106,3,FALSE),"")</f>
        <v/>
      </c>
    </row>
    <row r="4004" spans="5:7" ht="15" customHeight="1">
      <c r="E4004" s="49" t="str">
        <f>IFERROR(VLOOKUP(D4004,'taxonomy map'!$A$1:$C$107,2,FALSE),"")</f>
        <v/>
      </c>
      <c r="F4004" s="49" t="str">
        <f>IFERROR(VLOOKUP(E4004,'Condensed Specialty Crosswalk'!$A$2:$C$106,2,FALSE),"")</f>
        <v/>
      </c>
      <c r="G4004" s="49" t="str">
        <f>IFERROR(VLOOKUP(E4004,'Condensed Specialty Crosswalk'!$A$2:$C$106,3,FALSE),"")</f>
        <v/>
      </c>
    </row>
    <row r="4005" spans="5:7" ht="15" customHeight="1">
      <c r="E4005" s="49" t="str">
        <f>IFERROR(VLOOKUP(D4005,'taxonomy map'!$A$1:$C$107,2,FALSE),"")</f>
        <v/>
      </c>
      <c r="F4005" s="49" t="str">
        <f>IFERROR(VLOOKUP(E4005,'Condensed Specialty Crosswalk'!$A$2:$C$106,2,FALSE),"")</f>
        <v/>
      </c>
      <c r="G4005" s="49" t="str">
        <f>IFERROR(VLOOKUP(E4005,'Condensed Specialty Crosswalk'!$A$2:$C$106,3,FALSE),"")</f>
        <v/>
      </c>
    </row>
    <row r="4006" spans="5:7" ht="15" customHeight="1">
      <c r="E4006" s="49" t="str">
        <f>IFERROR(VLOOKUP(D4006,'taxonomy map'!$A$1:$C$107,2,FALSE),"")</f>
        <v/>
      </c>
      <c r="F4006" s="49" t="str">
        <f>IFERROR(VLOOKUP(E4006,'Condensed Specialty Crosswalk'!$A$2:$C$106,2,FALSE),"")</f>
        <v/>
      </c>
      <c r="G4006" s="49" t="str">
        <f>IFERROR(VLOOKUP(E4006,'Condensed Specialty Crosswalk'!$A$2:$C$106,3,FALSE),"")</f>
        <v/>
      </c>
    </row>
    <row r="4007" spans="5:7" ht="15" customHeight="1">
      <c r="E4007" s="49" t="str">
        <f>IFERROR(VLOOKUP(D4007,'taxonomy map'!$A$1:$C$107,2,FALSE),"")</f>
        <v/>
      </c>
      <c r="F4007" s="49" t="str">
        <f>IFERROR(VLOOKUP(E4007,'Condensed Specialty Crosswalk'!$A$2:$C$106,2,FALSE),"")</f>
        <v/>
      </c>
      <c r="G4007" s="49" t="str">
        <f>IFERROR(VLOOKUP(E4007,'Condensed Specialty Crosswalk'!$A$2:$C$106,3,FALSE),"")</f>
        <v/>
      </c>
    </row>
    <row r="4008" spans="5:7" ht="15" customHeight="1">
      <c r="E4008" s="49" t="str">
        <f>IFERROR(VLOOKUP(D4008,'taxonomy map'!$A$1:$C$107,2,FALSE),"")</f>
        <v/>
      </c>
      <c r="F4008" s="49" t="str">
        <f>IFERROR(VLOOKUP(E4008,'Condensed Specialty Crosswalk'!$A$2:$C$106,2,FALSE),"")</f>
        <v/>
      </c>
      <c r="G4008" s="49" t="str">
        <f>IFERROR(VLOOKUP(E4008,'Condensed Specialty Crosswalk'!$A$2:$C$106,3,FALSE),"")</f>
        <v/>
      </c>
    </row>
    <row r="4009" spans="5:7" ht="15" customHeight="1">
      <c r="E4009" s="49" t="str">
        <f>IFERROR(VLOOKUP(D4009,'taxonomy map'!$A$1:$C$107,2,FALSE),"")</f>
        <v/>
      </c>
      <c r="F4009" s="49" t="str">
        <f>IFERROR(VLOOKUP(E4009,'Condensed Specialty Crosswalk'!$A$2:$C$106,2,FALSE),"")</f>
        <v/>
      </c>
      <c r="G4009" s="49" t="str">
        <f>IFERROR(VLOOKUP(E4009,'Condensed Specialty Crosswalk'!$A$2:$C$106,3,FALSE),"")</f>
        <v/>
      </c>
    </row>
    <row r="4010" spans="5:7" ht="15" customHeight="1">
      <c r="E4010" s="49" t="str">
        <f>IFERROR(VLOOKUP(D4010,'taxonomy map'!$A$1:$C$107,2,FALSE),"")</f>
        <v/>
      </c>
      <c r="F4010" s="49" t="str">
        <f>IFERROR(VLOOKUP(E4010,'Condensed Specialty Crosswalk'!$A$2:$C$106,2,FALSE),"")</f>
        <v/>
      </c>
      <c r="G4010" s="49" t="str">
        <f>IFERROR(VLOOKUP(E4010,'Condensed Specialty Crosswalk'!$A$2:$C$106,3,FALSE),"")</f>
        <v/>
      </c>
    </row>
    <row r="4011" spans="5:7" ht="15" customHeight="1">
      <c r="E4011" s="49" t="str">
        <f>IFERROR(VLOOKUP(D4011,'taxonomy map'!$A$1:$C$107,2,FALSE),"")</f>
        <v/>
      </c>
      <c r="F4011" s="49" t="str">
        <f>IFERROR(VLOOKUP(E4011,'Condensed Specialty Crosswalk'!$A$2:$C$106,2,FALSE),"")</f>
        <v/>
      </c>
      <c r="G4011" s="49" t="str">
        <f>IFERROR(VLOOKUP(E4011,'Condensed Specialty Crosswalk'!$A$2:$C$106,3,FALSE),"")</f>
        <v/>
      </c>
    </row>
    <row r="4012" spans="5:7" ht="15" customHeight="1">
      <c r="E4012" s="49" t="str">
        <f>IFERROR(VLOOKUP(D4012,'taxonomy map'!$A$1:$C$107,2,FALSE),"")</f>
        <v/>
      </c>
      <c r="F4012" s="49" t="str">
        <f>IFERROR(VLOOKUP(E4012,'Condensed Specialty Crosswalk'!$A$2:$C$106,2,FALSE),"")</f>
        <v/>
      </c>
      <c r="G4012" s="49" t="str">
        <f>IFERROR(VLOOKUP(E4012,'Condensed Specialty Crosswalk'!$A$2:$C$106,3,FALSE),"")</f>
        <v/>
      </c>
    </row>
    <row r="4013" spans="5:7" ht="15" customHeight="1">
      <c r="E4013" s="49" t="str">
        <f>IFERROR(VLOOKUP(D4013,'taxonomy map'!$A$1:$C$107,2,FALSE),"")</f>
        <v/>
      </c>
      <c r="F4013" s="49" t="str">
        <f>IFERROR(VLOOKUP(E4013,'Condensed Specialty Crosswalk'!$A$2:$C$106,2,FALSE),"")</f>
        <v/>
      </c>
      <c r="G4013" s="49" t="str">
        <f>IFERROR(VLOOKUP(E4013,'Condensed Specialty Crosswalk'!$A$2:$C$106,3,FALSE),"")</f>
        <v/>
      </c>
    </row>
    <row r="4014" spans="5:7" ht="15" customHeight="1">
      <c r="E4014" s="49" t="str">
        <f>IFERROR(VLOOKUP(D4014,'taxonomy map'!$A$1:$C$107,2,FALSE),"")</f>
        <v/>
      </c>
      <c r="F4014" s="49" t="str">
        <f>IFERROR(VLOOKUP(E4014,'Condensed Specialty Crosswalk'!$A$2:$C$106,2,FALSE),"")</f>
        <v/>
      </c>
      <c r="G4014" s="49" t="str">
        <f>IFERROR(VLOOKUP(E4014,'Condensed Specialty Crosswalk'!$A$2:$C$106,3,FALSE),"")</f>
        <v/>
      </c>
    </row>
    <row r="4015" spans="5:7" ht="15" customHeight="1">
      <c r="E4015" s="49" t="str">
        <f>IFERROR(VLOOKUP(D4015,'taxonomy map'!$A$1:$C$107,2,FALSE),"")</f>
        <v/>
      </c>
      <c r="F4015" s="49" t="str">
        <f>IFERROR(VLOOKUP(E4015,'Condensed Specialty Crosswalk'!$A$2:$C$106,2,FALSE),"")</f>
        <v/>
      </c>
      <c r="G4015" s="49" t="str">
        <f>IFERROR(VLOOKUP(E4015,'Condensed Specialty Crosswalk'!$A$2:$C$106,3,FALSE),"")</f>
        <v/>
      </c>
    </row>
    <row r="4016" spans="5:7" ht="15" customHeight="1">
      <c r="E4016" s="49" t="str">
        <f>IFERROR(VLOOKUP(D4016,'taxonomy map'!$A$1:$C$107,2,FALSE),"")</f>
        <v/>
      </c>
      <c r="F4016" s="49" t="str">
        <f>IFERROR(VLOOKUP(E4016,'Condensed Specialty Crosswalk'!$A$2:$C$106,2,FALSE),"")</f>
        <v/>
      </c>
      <c r="G4016" s="49" t="str">
        <f>IFERROR(VLOOKUP(E4016,'Condensed Specialty Crosswalk'!$A$2:$C$106,3,FALSE),"")</f>
        <v/>
      </c>
    </row>
    <row r="4017" spans="5:7" ht="15" customHeight="1">
      <c r="E4017" s="49" t="str">
        <f>IFERROR(VLOOKUP(D4017,'taxonomy map'!$A$1:$C$107,2,FALSE),"")</f>
        <v/>
      </c>
      <c r="F4017" s="49" t="str">
        <f>IFERROR(VLOOKUP(E4017,'Condensed Specialty Crosswalk'!$A$2:$C$106,2,FALSE),"")</f>
        <v/>
      </c>
      <c r="G4017" s="49" t="str">
        <f>IFERROR(VLOOKUP(E4017,'Condensed Specialty Crosswalk'!$A$2:$C$106,3,FALSE),"")</f>
        <v/>
      </c>
    </row>
    <row r="4018" spans="5:7" ht="15" customHeight="1">
      <c r="E4018" s="49" t="str">
        <f>IFERROR(VLOOKUP(D4018,'taxonomy map'!$A$1:$C$107,2,FALSE),"")</f>
        <v/>
      </c>
      <c r="F4018" s="49" t="str">
        <f>IFERROR(VLOOKUP(E4018,'Condensed Specialty Crosswalk'!$A$2:$C$106,2,FALSE),"")</f>
        <v/>
      </c>
      <c r="G4018" s="49" t="str">
        <f>IFERROR(VLOOKUP(E4018,'Condensed Specialty Crosswalk'!$A$2:$C$106,3,FALSE),"")</f>
        <v/>
      </c>
    </row>
    <row r="4019" spans="5:7" ht="15" customHeight="1">
      <c r="E4019" s="49" t="str">
        <f>IFERROR(VLOOKUP(D4019,'taxonomy map'!$A$1:$C$107,2,FALSE),"")</f>
        <v/>
      </c>
      <c r="F4019" s="49" t="str">
        <f>IFERROR(VLOOKUP(E4019,'Condensed Specialty Crosswalk'!$A$2:$C$106,2,FALSE),"")</f>
        <v/>
      </c>
      <c r="G4019" s="49" t="str">
        <f>IFERROR(VLOOKUP(E4019,'Condensed Specialty Crosswalk'!$A$2:$C$106,3,FALSE),"")</f>
        <v/>
      </c>
    </row>
    <row r="4020" spans="5:7" ht="15" customHeight="1">
      <c r="E4020" s="49" t="str">
        <f>IFERROR(VLOOKUP(D4020,'taxonomy map'!$A$1:$C$107,2,FALSE),"")</f>
        <v/>
      </c>
      <c r="F4020" s="49" t="str">
        <f>IFERROR(VLOOKUP(E4020,'Condensed Specialty Crosswalk'!$A$2:$C$106,2,FALSE),"")</f>
        <v/>
      </c>
      <c r="G4020" s="49" t="str">
        <f>IFERROR(VLOOKUP(E4020,'Condensed Specialty Crosswalk'!$A$2:$C$106,3,FALSE),"")</f>
        <v/>
      </c>
    </row>
    <row r="4021" spans="5:7" ht="15" customHeight="1">
      <c r="E4021" s="49" t="str">
        <f>IFERROR(VLOOKUP(D4021,'taxonomy map'!$A$1:$C$107,2,FALSE),"")</f>
        <v/>
      </c>
      <c r="F4021" s="49" t="str">
        <f>IFERROR(VLOOKUP(E4021,'Condensed Specialty Crosswalk'!$A$2:$C$106,2,FALSE),"")</f>
        <v/>
      </c>
      <c r="G4021" s="49" t="str">
        <f>IFERROR(VLOOKUP(E4021,'Condensed Specialty Crosswalk'!$A$2:$C$106,3,FALSE),"")</f>
        <v/>
      </c>
    </row>
    <row r="4022" spans="5:7" ht="15" customHeight="1">
      <c r="E4022" s="49" t="str">
        <f>IFERROR(VLOOKUP(D4022,'taxonomy map'!$A$1:$C$107,2,FALSE),"")</f>
        <v/>
      </c>
      <c r="F4022" s="49" t="str">
        <f>IFERROR(VLOOKUP(E4022,'Condensed Specialty Crosswalk'!$A$2:$C$106,2,FALSE),"")</f>
        <v/>
      </c>
      <c r="G4022" s="49" t="str">
        <f>IFERROR(VLOOKUP(E4022,'Condensed Specialty Crosswalk'!$A$2:$C$106,3,FALSE),"")</f>
        <v/>
      </c>
    </row>
    <row r="4023" spans="5:7" ht="15" customHeight="1">
      <c r="E4023" s="49" t="str">
        <f>IFERROR(VLOOKUP(D4023,'taxonomy map'!$A$1:$C$107,2,FALSE),"")</f>
        <v/>
      </c>
      <c r="F4023" s="49" t="str">
        <f>IFERROR(VLOOKUP(E4023,'Condensed Specialty Crosswalk'!$A$2:$C$106,2,FALSE),"")</f>
        <v/>
      </c>
      <c r="G4023" s="49" t="str">
        <f>IFERROR(VLOOKUP(E4023,'Condensed Specialty Crosswalk'!$A$2:$C$106,3,FALSE),"")</f>
        <v/>
      </c>
    </row>
    <row r="4024" spans="5:7" ht="15" customHeight="1">
      <c r="E4024" s="49" t="str">
        <f>IFERROR(VLOOKUP(D4024,'taxonomy map'!$A$1:$C$107,2,FALSE),"")</f>
        <v/>
      </c>
      <c r="F4024" s="49" t="str">
        <f>IFERROR(VLOOKUP(E4024,'Condensed Specialty Crosswalk'!$A$2:$C$106,2,FALSE),"")</f>
        <v/>
      </c>
      <c r="G4024" s="49" t="str">
        <f>IFERROR(VLOOKUP(E4024,'Condensed Specialty Crosswalk'!$A$2:$C$106,3,FALSE),"")</f>
        <v/>
      </c>
    </row>
    <row r="4025" spans="5:7" ht="15" customHeight="1">
      <c r="E4025" s="49" t="str">
        <f>IFERROR(VLOOKUP(D4025,'taxonomy map'!$A$1:$C$107,2,FALSE),"")</f>
        <v/>
      </c>
      <c r="F4025" s="49" t="str">
        <f>IFERROR(VLOOKUP(E4025,'Condensed Specialty Crosswalk'!$A$2:$C$106,2,FALSE),"")</f>
        <v/>
      </c>
      <c r="G4025" s="49" t="str">
        <f>IFERROR(VLOOKUP(E4025,'Condensed Specialty Crosswalk'!$A$2:$C$106,3,FALSE),"")</f>
        <v/>
      </c>
    </row>
    <row r="4026" spans="5:7" ht="15" customHeight="1">
      <c r="E4026" s="49" t="str">
        <f>IFERROR(VLOOKUP(D4026,'taxonomy map'!$A$1:$C$107,2,FALSE),"")</f>
        <v/>
      </c>
      <c r="F4026" s="49" t="str">
        <f>IFERROR(VLOOKUP(E4026,'Condensed Specialty Crosswalk'!$A$2:$C$106,2,FALSE),"")</f>
        <v/>
      </c>
      <c r="G4026" s="49" t="str">
        <f>IFERROR(VLOOKUP(E4026,'Condensed Specialty Crosswalk'!$A$2:$C$106,3,FALSE),"")</f>
        <v/>
      </c>
    </row>
    <row r="4027" spans="5:7" ht="15" customHeight="1">
      <c r="E4027" s="49" t="str">
        <f>IFERROR(VLOOKUP(D4027,'taxonomy map'!$A$1:$C$107,2,FALSE),"")</f>
        <v/>
      </c>
      <c r="F4027" s="49" t="str">
        <f>IFERROR(VLOOKUP(E4027,'Condensed Specialty Crosswalk'!$A$2:$C$106,2,FALSE),"")</f>
        <v/>
      </c>
      <c r="G4027" s="49" t="str">
        <f>IFERROR(VLOOKUP(E4027,'Condensed Specialty Crosswalk'!$A$2:$C$106,3,FALSE),"")</f>
        <v/>
      </c>
    </row>
    <row r="4028" spans="5:7" ht="15" customHeight="1">
      <c r="E4028" s="49" t="str">
        <f>IFERROR(VLOOKUP(D4028,'taxonomy map'!$A$1:$C$107,2,FALSE),"")</f>
        <v/>
      </c>
      <c r="F4028" s="49" t="str">
        <f>IFERROR(VLOOKUP(E4028,'Condensed Specialty Crosswalk'!$A$2:$C$106,2,FALSE),"")</f>
        <v/>
      </c>
      <c r="G4028" s="49" t="str">
        <f>IFERROR(VLOOKUP(E4028,'Condensed Specialty Crosswalk'!$A$2:$C$106,3,FALSE),"")</f>
        <v/>
      </c>
    </row>
    <row r="4029" spans="5:7" ht="15" customHeight="1">
      <c r="E4029" s="49" t="str">
        <f>IFERROR(VLOOKUP(D4029,'taxonomy map'!$A$1:$C$107,2,FALSE),"")</f>
        <v/>
      </c>
      <c r="F4029" s="49" t="str">
        <f>IFERROR(VLOOKUP(E4029,'Condensed Specialty Crosswalk'!$A$2:$C$106,2,FALSE),"")</f>
        <v/>
      </c>
      <c r="G4029" s="49" t="str">
        <f>IFERROR(VLOOKUP(E4029,'Condensed Specialty Crosswalk'!$A$2:$C$106,3,FALSE),"")</f>
        <v/>
      </c>
    </row>
    <row r="4030" spans="5:7" ht="15" customHeight="1">
      <c r="E4030" s="49" t="str">
        <f>IFERROR(VLOOKUP(D4030,'taxonomy map'!$A$1:$C$107,2,FALSE),"")</f>
        <v/>
      </c>
      <c r="F4030" s="49" t="str">
        <f>IFERROR(VLOOKUP(E4030,'Condensed Specialty Crosswalk'!$A$2:$C$106,2,FALSE),"")</f>
        <v/>
      </c>
      <c r="G4030" s="49" t="str">
        <f>IFERROR(VLOOKUP(E4030,'Condensed Specialty Crosswalk'!$A$2:$C$106,3,FALSE),"")</f>
        <v/>
      </c>
    </row>
    <row r="4031" spans="5:7" ht="15" customHeight="1">
      <c r="E4031" s="49" t="str">
        <f>IFERROR(VLOOKUP(D4031,'taxonomy map'!$A$1:$C$107,2,FALSE),"")</f>
        <v/>
      </c>
      <c r="F4031" s="49" t="str">
        <f>IFERROR(VLOOKUP(E4031,'Condensed Specialty Crosswalk'!$A$2:$C$106,2,FALSE),"")</f>
        <v/>
      </c>
      <c r="G4031" s="49" t="str">
        <f>IFERROR(VLOOKUP(E4031,'Condensed Specialty Crosswalk'!$A$2:$C$106,3,FALSE),"")</f>
        <v/>
      </c>
    </row>
    <row r="4032" spans="5:7" ht="15" customHeight="1">
      <c r="E4032" s="49" t="str">
        <f>IFERROR(VLOOKUP(D4032,'taxonomy map'!$A$1:$C$107,2,FALSE),"")</f>
        <v/>
      </c>
      <c r="F4032" s="49" t="str">
        <f>IFERROR(VLOOKUP(E4032,'Condensed Specialty Crosswalk'!$A$2:$C$106,2,FALSE),"")</f>
        <v/>
      </c>
      <c r="G4032" s="49" t="str">
        <f>IFERROR(VLOOKUP(E4032,'Condensed Specialty Crosswalk'!$A$2:$C$106,3,FALSE),"")</f>
        <v/>
      </c>
    </row>
    <row r="4033" spans="5:7" ht="15" customHeight="1">
      <c r="E4033" s="49" t="str">
        <f>IFERROR(VLOOKUP(D4033,'taxonomy map'!$A$1:$C$107,2,FALSE),"")</f>
        <v/>
      </c>
      <c r="F4033" s="49" t="str">
        <f>IFERROR(VLOOKUP(E4033,'Condensed Specialty Crosswalk'!$A$2:$C$106,2,FALSE),"")</f>
        <v/>
      </c>
      <c r="G4033" s="49" t="str">
        <f>IFERROR(VLOOKUP(E4033,'Condensed Specialty Crosswalk'!$A$2:$C$106,3,FALSE),"")</f>
        <v/>
      </c>
    </row>
    <row r="4034" spans="5:7" ht="15" customHeight="1">
      <c r="E4034" s="49" t="str">
        <f>IFERROR(VLOOKUP(D4034,'taxonomy map'!$A$1:$C$107,2,FALSE),"")</f>
        <v/>
      </c>
      <c r="F4034" s="49" t="str">
        <f>IFERROR(VLOOKUP(E4034,'Condensed Specialty Crosswalk'!$A$2:$C$106,2,FALSE),"")</f>
        <v/>
      </c>
      <c r="G4034" s="49" t="str">
        <f>IFERROR(VLOOKUP(E4034,'Condensed Specialty Crosswalk'!$A$2:$C$106,3,FALSE),"")</f>
        <v/>
      </c>
    </row>
    <row r="4035" spans="5:7" ht="15" customHeight="1">
      <c r="E4035" s="49" t="str">
        <f>IFERROR(VLOOKUP(D4035,'taxonomy map'!$A$1:$C$107,2,FALSE),"")</f>
        <v/>
      </c>
      <c r="F4035" s="49" t="str">
        <f>IFERROR(VLOOKUP(E4035,'Condensed Specialty Crosswalk'!$A$2:$C$106,2,FALSE),"")</f>
        <v/>
      </c>
      <c r="G4035" s="49" t="str">
        <f>IFERROR(VLOOKUP(E4035,'Condensed Specialty Crosswalk'!$A$2:$C$106,3,FALSE),"")</f>
        <v/>
      </c>
    </row>
    <row r="4036" spans="5:7" ht="15" customHeight="1">
      <c r="E4036" s="49" t="str">
        <f>IFERROR(VLOOKUP(D4036,'taxonomy map'!$A$1:$C$107,2,FALSE),"")</f>
        <v/>
      </c>
      <c r="F4036" s="49" t="str">
        <f>IFERROR(VLOOKUP(E4036,'Condensed Specialty Crosswalk'!$A$2:$C$106,2,FALSE),"")</f>
        <v/>
      </c>
      <c r="G4036" s="49" t="str">
        <f>IFERROR(VLOOKUP(E4036,'Condensed Specialty Crosswalk'!$A$2:$C$106,3,FALSE),"")</f>
        <v/>
      </c>
    </row>
    <row r="4037" spans="5:7" ht="15" customHeight="1">
      <c r="E4037" s="49" t="str">
        <f>IFERROR(VLOOKUP(D4037,'taxonomy map'!$A$1:$C$107,2,FALSE),"")</f>
        <v/>
      </c>
      <c r="F4037" s="49" t="str">
        <f>IFERROR(VLOOKUP(E4037,'Condensed Specialty Crosswalk'!$A$2:$C$106,2,FALSE),"")</f>
        <v/>
      </c>
      <c r="G4037" s="49" t="str">
        <f>IFERROR(VLOOKUP(E4037,'Condensed Specialty Crosswalk'!$A$2:$C$106,3,FALSE),"")</f>
        <v/>
      </c>
    </row>
    <row r="4038" spans="5:7" ht="15" customHeight="1">
      <c r="E4038" s="49" t="str">
        <f>IFERROR(VLOOKUP(D4038,'taxonomy map'!$A$1:$C$107,2,FALSE),"")</f>
        <v/>
      </c>
      <c r="F4038" s="49" t="str">
        <f>IFERROR(VLOOKUP(E4038,'Condensed Specialty Crosswalk'!$A$2:$C$106,2,FALSE),"")</f>
        <v/>
      </c>
      <c r="G4038" s="49" t="str">
        <f>IFERROR(VLOOKUP(E4038,'Condensed Specialty Crosswalk'!$A$2:$C$106,3,FALSE),"")</f>
        <v/>
      </c>
    </row>
    <row r="4039" spans="5:7" ht="15" customHeight="1">
      <c r="E4039" s="49" t="str">
        <f>IFERROR(VLOOKUP(D4039,'taxonomy map'!$A$1:$C$107,2,FALSE),"")</f>
        <v/>
      </c>
      <c r="F4039" s="49" t="str">
        <f>IFERROR(VLOOKUP(E4039,'Condensed Specialty Crosswalk'!$A$2:$C$106,2,FALSE),"")</f>
        <v/>
      </c>
      <c r="G4039" s="49" t="str">
        <f>IFERROR(VLOOKUP(E4039,'Condensed Specialty Crosswalk'!$A$2:$C$106,3,FALSE),"")</f>
        <v/>
      </c>
    </row>
    <row r="4040" spans="5:7" ht="15" customHeight="1">
      <c r="E4040" s="49" t="str">
        <f>IFERROR(VLOOKUP(D4040,'taxonomy map'!$A$1:$C$107,2,FALSE),"")</f>
        <v/>
      </c>
      <c r="F4040" s="49" t="str">
        <f>IFERROR(VLOOKUP(E4040,'Condensed Specialty Crosswalk'!$A$2:$C$106,2,FALSE),"")</f>
        <v/>
      </c>
      <c r="G4040" s="49" t="str">
        <f>IFERROR(VLOOKUP(E4040,'Condensed Specialty Crosswalk'!$A$2:$C$106,3,FALSE),"")</f>
        <v/>
      </c>
    </row>
    <row r="4041" spans="5:7" ht="15" customHeight="1">
      <c r="E4041" s="49" t="str">
        <f>IFERROR(VLOOKUP(D4041,'taxonomy map'!$A$1:$C$107,2,FALSE),"")</f>
        <v/>
      </c>
      <c r="F4041" s="49" t="str">
        <f>IFERROR(VLOOKUP(E4041,'Condensed Specialty Crosswalk'!$A$2:$C$106,2,FALSE),"")</f>
        <v/>
      </c>
      <c r="G4041" s="49" t="str">
        <f>IFERROR(VLOOKUP(E4041,'Condensed Specialty Crosswalk'!$A$2:$C$106,3,FALSE),"")</f>
        <v/>
      </c>
    </row>
    <row r="4042" spans="5:7" ht="15" customHeight="1">
      <c r="E4042" s="49" t="str">
        <f>IFERROR(VLOOKUP(D4042,'taxonomy map'!$A$1:$C$107,2,FALSE),"")</f>
        <v/>
      </c>
      <c r="F4042" s="49" t="str">
        <f>IFERROR(VLOOKUP(E4042,'Condensed Specialty Crosswalk'!$A$2:$C$106,2,FALSE),"")</f>
        <v/>
      </c>
      <c r="G4042" s="49" t="str">
        <f>IFERROR(VLOOKUP(E4042,'Condensed Specialty Crosswalk'!$A$2:$C$106,3,FALSE),"")</f>
        <v/>
      </c>
    </row>
    <row r="4043" spans="5:7" ht="15" customHeight="1">
      <c r="E4043" s="49" t="str">
        <f>IFERROR(VLOOKUP(D4043,'taxonomy map'!$A$1:$C$107,2,FALSE),"")</f>
        <v/>
      </c>
      <c r="F4043" s="49" t="str">
        <f>IFERROR(VLOOKUP(E4043,'Condensed Specialty Crosswalk'!$A$2:$C$106,2,FALSE),"")</f>
        <v/>
      </c>
      <c r="G4043" s="49" t="str">
        <f>IFERROR(VLOOKUP(E4043,'Condensed Specialty Crosswalk'!$A$2:$C$106,3,FALSE),"")</f>
        <v/>
      </c>
    </row>
    <row r="4044" spans="5:7" ht="15" customHeight="1">
      <c r="E4044" s="49" t="str">
        <f>IFERROR(VLOOKUP(D4044,'taxonomy map'!$A$1:$C$107,2,FALSE),"")</f>
        <v/>
      </c>
      <c r="F4044" s="49" t="str">
        <f>IFERROR(VLOOKUP(E4044,'Condensed Specialty Crosswalk'!$A$2:$C$106,2,FALSE),"")</f>
        <v/>
      </c>
      <c r="G4044" s="49" t="str">
        <f>IFERROR(VLOOKUP(E4044,'Condensed Specialty Crosswalk'!$A$2:$C$106,3,FALSE),"")</f>
        <v/>
      </c>
    </row>
    <row r="4045" spans="5:7" ht="15" customHeight="1">
      <c r="E4045" s="49" t="str">
        <f>IFERROR(VLOOKUP(D4045,'taxonomy map'!$A$1:$C$107,2,FALSE),"")</f>
        <v/>
      </c>
      <c r="F4045" s="49" t="str">
        <f>IFERROR(VLOOKUP(E4045,'Condensed Specialty Crosswalk'!$A$2:$C$106,2,FALSE),"")</f>
        <v/>
      </c>
      <c r="G4045" s="49" t="str">
        <f>IFERROR(VLOOKUP(E4045,'Condensed Specialty Crosswalk'!$A$2:$C$106,3,FALSE),"")</f>
        <v/>
      </c>
    </row>
    <row r="4046" spans="5:7" ht="15" customHeight="1">
      <c r="E4046" s="49" t="str">
        <f>IFERROR(VLOOKUP(D4046,'taxonomy map'!$A$1:$C$107,2,FALSE),"")</f>
        <v/>
      </c>
      <c r="F4046" s="49" t="str">
        <f>IFERROR(VLOOKUP(E4046,'Condensed Specialty Crosswalk'!$A$2:$C$106,2,FALSE),"")</f>
        <v/>
      </c>
      <c r="G4046" s="49" t="str">
        <f>IFERROR(VLOOKUP(E4046,'Condensed Specialty Crosswalk'!$A$2:$C$106,3,FALSE),"")</f>
        <v/>
      </c>
    </row>
    <row r="4047" spans="5:7" ht="15" customHeight="1">
      <c r="E4047" s="49" t="str">
        <f>IFERROR(VLOOKUP(D4047,'taxonomy map'!$A$1:$C$107,2,FALSE),"")</f>
        <v/>
      </c>
      <c r="F4047" s="49" t="str">
        <f>IFERROR(VLOOKUP(E4047,'Condensed Specialty Crosswalk'!$A$2:$C$106,2,FALSE),"")</f>
        <v/>
      </c>
      <c r="G4047" s="49" t="str">
        <f>IFERROR(VLOOKUP(E4047,'Condensed Specialty Crosswalk'!$A$2:$C$106,3,FALSE),"")</f>
        <v/>
      </c>
    </row>
    <row r="4048" spans="5:7" ht="15" customHeight="1">
      <c r="E4048" s="49" t="str">
        <f>IFERROR(VLOOKUP(D4048,'taxonomy map'!$A$1:$C$107,2,FALSE),"")</f>
        <v/>
      </c>
      <c r="F4048" s="49" t="str">
        <f>IFERROR(VLOOKUP(E4048,'Condensed Specialty Crosswalk'!$A$2:$C$106,2,FALSE),"")</f>
        <v/>
      </c>
      <c r="G4048" s="49" t="str">
        <f>IFERROR(VLOOKUP(E4048,'Condensed Specialty Crosswalk'!$A$2:$C$106,3,FALSE),"")</f>
        <v/>
      </c>
    </row>
    <row r="4049" spans="5:7" ht="15" customHeight="1">
      <c r="E4049" s="49" t="str">
        <f>IFERROR(VLOOKUP(D4049,'taxonomy map'!$A$1:$C$107,2,FALSE),"")</f>
        <v/>
      </c>
      <c r="F4049" s="49" t="str">
        <f>IFERROR(VLOOKUP(E4049,'Condensed Specialty Crosswalk'!$A$2:$C$106,2,FALSE),"")</f>
        <v/>
      </c>
      <c r="G4049" s="49" t="str">
        <f>IFERROR(VLOOKUP(E4049,'Condensed Specialty Crosswalk'!$A$2:$C$106,3,FALSE),"")</f>
        <v/>
      </c>
    </row>
    <row r="4050" spans="5:7" ht="15" customHeight="1">
      <c r="E4050" s="49" t="str">
        <f>IFERROR(VLOOKUP(D4050,'taxonomy map'!$A$1:$C$107,2,FALSE),"")</f>
        <v/>
      </c>
      <c r="F4050" s="49" t="str">
        <f>IFERROR(VLOOKUP(E4050,'Condensed Specialty Crosswalk'!$A$2:$C$106,2,FALSE),"")</f>
        <v/>
      </c>
      <c r="G4050" s="49" t="str">
        <f>IFERROR(VLOOKUP(E4050,'Condensed Specialty Crosswalk'!$A$2:$C$106,3,FALSE),"")</f>
        <v/>
      </c>
    </row>
    <row r="4051" spans="5:7" ht="15" customHeight="1">
      <c r="E4051" s="49" t="str">
        <f>IFERROR(VLOOKUP(D4051,'taxonomy map'!$A$1:$C$107,2,FALSE),"")</f>
        <v/>
      </c>
      <c r="F4051" s="49" t="str">
        <f>IFERROR(VLOOKUP(E4051,'Condensed Specialty Crosswalk'!$A$2:$C$106,2,FALSE),"")</f>
        <v/>
      </c>
      <c r="G4051" s="49" t="str">
        <f>IFERROR(VLOOKUP(E4051,'Condensed Specialty Crosswalk'!$A$2:$C$106,3,FALSE),"")</f>
        <v/>
      </c>
    </row>
    <row r="4052" spans="5:7" ht="15" customHeight="1">
      <c r="E4052" s="49" t="str">
        <f>IFERROR(VLOOKUP(D4052,'taxonomy map'!$A$1:$C$107,2,FALSE),"")</f>
        <v/>
      </c>
      <c r="F4052" s="49" t="str">
        <f>IFERROR(VLOOKUP(E4052,'Condensed Specialty Crosswalk'!$A$2:$C$106,2,FALSE),"")</f>
        <v/>
      </c>
      <c r="G4052" s="49" t="str">
        <f>IFERROR(VLOOKUP(E4052,'Condensed Specialty Crosswalk'!$A$2:$C$106,3,FALSE),"")</f>
        <v/>
      </c>
    </row>
    <row r="4053" spans="5:7" ht="15" customHeight="1">
      <c r="E4053" s="49" t="str">
        <f>IFERROR(VLOOKUP(D4053,'taxonomy map'!$A$1:$C$107,2,FALSE),"")</f>
        <v/>
      </c>
      <c r="F4053" s="49" t="str">
        <f>IFERROR(VLOOKUP(E4053,'Condensed Specialty Crosswalk'!$A$2:$C$106,2,FALSE),"")</f>
        <v/>
      </c>
      <c r="G4053" s="49" t="str">
        <f>IFERROR(VLOOKUP(E4053,'Condensed Specialty Crosswalk'!$A$2:$C$106,3,FALSE),"")</f>
        <v/>
      </c>
    </row>
    <row r="4054" spans="5:7" ht="15" customHeight="1">
      <c r="E4054" s="49" t="str">
        <f>IFERROR(VLOOKUP(D4054,'taxonomy map'!$A$1:$C$107,2,FALSE),"")</f>
        <v/>
      </c>
      <c r="F4054" s="49" t="str">
        <f>IFERROR(VLOOKUP(E4054,'Condensed Specialty Crosswalk'!$A$2:$C$106,2,FALSE),"")</f>
        <v/>
      </c>
      <c r="G4054" s="49" t="str">
        <f>IFERROR(VLOOKUP(E4054,'Condensed Specialty Crosswalk'!$A$2:$C$106,3,FALSE),"")</f>
        <v/>
      </c>
    </row>
    <row r="4055" spans="5:7" ht="15" customHeight="1">
      <c r="E4055" s="49" t="str">
        <f>IFERROR(VLOOKUP(D4055,'taxonomy map'!$A$1:$C$107,2,FALSE),"")</f>
        <v/>
      </c>
      <c r="F4055" s="49" t="str">
        <f>IFERROR(VLOOKUP(E4055,'Condensed Specialty Crosswalk'!$A$2:$C$106,2,FALSE),"")</f>
        <v/>
      </c>
      <c r="G4055" s="49" t="str">
        <f>IFERROR(VLOOKUP(E4055,'Condensed Specialty Crosswalk'!$A$2:$C$106,3,FALSE),"")</f>
        <v/>
      </c>
    </row>
    <row r="4056" spans="5:7" ht="15" customHeight="1">
      <c r="E4056" s="49" t="str">
        <f>IFERROR(VLOOKUP(D4056,'taxonomy map'!$A$1:$C$107,2,FALSE),"")</f>
        <v/>
      </c>
      <c r="F4056" s="49" t="str">
        <f>IFERROR(VLOOKUP(E4056,'Condensed Specialty Crosswalk'!$A$2:$C$106,2,FALSE),"")</f>
        <v/>
      </c>
      <c r="G4056" s="49" t="str">
        <f>IFERROR(VLOOKUP(E4056,'Condensed Specialty Crosswalk'!$A$2:$C$106,3,FALSE),"")</f>
        <v/>
      </c>
    </row>
    <row r="4057" spans="5:7" ht="15" customHeight="1">
      <c r="E4057" s="49" t="str">
        <f>IFERROR(VLOOKUP(D4057,'taxonomy map'!$A$1:$C$107,2,FALSE),"")</f>
        <v/>
      </c>
      <c r="F4057" s="49" t="str">
        <f>IFERROR(VLOOKUP(E4057,'Condensed Specialty Crosswalk'!$A$2:$C$106,2,FALSE),"")</f>
        <v/>
      </c>
      <c r="G4057" s="49" t="str">
        <f>IFERROR(VLOOKUP(E4057,'Condensed Specialty Crosswalk'!$A$2:$C$106,3,FALSE),"")</f>
        <v/>
      </c>
    </row>
    <row r="4058" spans="5:7" ht="15" customHeight="1">
      <c r="E4058" s="49" t="str">
        <f>IFERROR(VLOOKUP(D4058,'taxonomy map'!$A$1:$C$107,2,FALSE),"")</f>
        <v/>
      </c>
      <c r="F4058" s="49" t="str">
        <f>IFERROR(VLOOKUP(E4058,'Condensed Specialty Crosswalk'!$A$2:$C$106,2,FALSE),"")</f>
        <v/>
      </c>
      <c r="G4058" s="49" t="str">
        <f>IFERROR(VLOOKUP(E4058,'Condensed Specialty Crosswalk'!$A$2:$C$106,3,FALSE),"")</f>
        <v/>
      </c>
    </row>
    <row r="4059" spans="5:7" ht="15" customHeight="1">
      <c r="E4059" s="49" t="str">
        <f>IFERROR(VLOOKUP(D4059,'taxonomy map'!$A$1:$C$107,2,FALSE),"")</f>
        <v/>
      </c>
      <c r="F4059" s="49" t="str">
        <f>IFERROR(VLOOKUP(E4059,'Condensed Specialty Crosswalk'!$A$2:$C$106,2,FALSE),"")</f>
        <v/>
      </c>
      <c r="G4059" s="49" t="str">
        <f>IFERROR(VLOOKUP(E4059,'Condensed Specialty Crosswalk'!$A$2:$C$106,3,FALSE),"")</f>
        <v/>
      </c>
    </row>
    <row r="4060" spans="5:7" ht="15" customHeight="1">
      <c r="E4060" s="49" t="str">
        <f>IFERROR(VLOOKUP(D4060,'taxonomy map'!$A$1:$C$107,2,FALSE),"")</f>
        <v/>
      </c>
      <c r="F4060" s="49" t="str">
        <f>IFERROR(VLOOKUP(E4060,'Condensed Specialty Crosswalk'!$A$2:$C$106,2,FALSE),"")</f>
        <v/>
      </c>
      <c r="G4060" s="49" t="str">
        <f>IFERROR(VLOOKUP(E4060,'Condensed Specialty Crosswalk'!$A$2:$C$106,3,FALSE),"")</f>
        <v/>
      </c>
    </row>
    <row r="4061" spans="5:7" ht="15" customHeight="1">
      <c r="E4061" s="49" t="str">
        <f>IFERROR(VLOOKUP(D4061,'taxonomy map'!$A$1:$C$107,2,FALSE),"")</f>
        <v/>
      </c>
      <c r="F4061" s="49" t="str">
        <f>IFERROR(VLOOKUP(E4061,'Condensed Specialty Crosswalk'!$A$2:$C$106,2,FALSE),"")</f>
        <v/>
      </c>
      <c r="G4061" s="49" t="str">
        <f>IFERROR(VLOOKUP(E4061,'Condensed Specialty Crosswalk'!$A$2:$C$106,3,FALSE),"")</f>
        <v/>
      </c>
    </row>
    <row r="4062" spans="5:7" ht="15" customHeight="1">
      <c r="E4062" s="49" t="str">
        <f>IFERROR(VLOOKUP(D4062,'taxonomy map'!$A$1:$C$107,2,FALSE),"")</f>
        <v/>
      </c>
      <c r="F4062" s="49" t="str">
        <f>IFERROR(VLOOKUP(E4062,'Condensed Specialty Crosswalk'!$A$2:$C$106,2,FALSE),"")</f>
        <v/>
      </c>
      <c r="G4062" s="49" t="str">
        <f>IFERROR(VLOOKUP(E4062,'Condensed Specialty Crosswalk'!$A$2:$C$106,3,FALSE),"")</f>
        <v/>
      </c>
    </row>
    <row r="4063" spans="5:7" ht="15" customHeight="1">
      <c r="E4063" s="49" t="str">
        <f>IFERROR(VLOOKUP(D4063,'taxonomy map'!$A$1:$C$107,2,FALSE),"")</f>
        <v/>
      </c>
      <c r="F4063" s="49" t="str">
        <f>IFERROR(VLOOKUP(E4063,'Condensed Specialty Crosswalk'!$A$2:$C$106,2,FALSE),"")</f>
        <v/>
      </c>
      <c r="G4063" s="49" t="str">
        <f>IFERROR(VLOOKUP(E4063,'Condensed Specialty Crosswalk'!$A$2:$C$106,3,FALSE),"")</f>
        <v/>
      </c>
    </row>
    <row r="4064" spans="5:7" ht="15" customHeight="1">
      <c r="E4064" s="49" t="str">
        <f>IFERROR(VLOOKUP(D4064,'taxonomy map'!$A$1:$C$107,2,FALSE),"")</f>
        <v/>
      </c>
      <c r="F4064" s="49" t="str">
        <f>IFERROR(VLOOKUP(E4064,'Condensed Specialty Crosswalk'!$A$2:$C$106,2,FALSE),"")</f>
        <v/>
      </c>
      <c r="G4064" s="49" t="str">
        <f>IFERROR(VLOOKUP(E4064,'Condensed Specialty Crosswalk'!$A$2:$C$106,3,FALSE),"")</f>
        <v/>
      </c>
    </row>
    <row r="4065" spans="5:7" ht="15" customHeight="1">
      <c r="E4065" s="49" t="str">
        <f>IFERROR(VLOOKUP(D4065,'taxonomy map'!$A$1:$C$107,2,FALSE),"")</f>
        <v/>
      </c>
      <c r="F4065" s="49" t="str">
        <f>IFERROR(VLOOKUP(E4065,'Condensed Specialty Crosswalk'!$A$2:$C$106,2,FALSE),"")</f>
        <v/>
      </c>
      <c r="G4065" s="49" t="str">
        <f>IFERROR(VLOOKUP(E4065,'Condensed Specialty Crosswalk'!$A$2:$C$106,3,FALSE),"")</f>
        <v/>
      </c>
    </row>
    <row r="4066" spans="5:7" ht="15" customHeight="1">
      <c r="E4066" s="49" t="str">
        <f>IFERROR(VLOOKUP(D4066,'taxonomy map'!$A$1:$C$107,2,FALSE),"")</f>
        <v/>
      </c>
      <c r="F4066" s="49" t="str">
        <f>IFERROR(VLOOKUP(E4066,'Condensed Specialty Crosswalk'!$A$2:$C$106,2,FALSE),"")</f>
        <v/>
      </c>
      <c r="G4066" s="49" t="str">
        <f>IFERROR(VLOOKUP(E4066,'Condensed Specialty Crosswalk'!$A$2:$C$106,3,FALSE),"")</f>
        <v/>
      </c>
    </row>
    <row r="4067" spans="5:7" ht="15" customHeight="1">
      <c r="E4067" s="49" t="str">
        <f>IFERROR(VLOOKUP(D4067,'taxonomy map'!$A$1:$C$107,2,FALSE),"")</f>
        <v/>
      </c>
      <c r="F4067" s="49" t="str">
        <f>IFERROR(VLOOKUP(E4067,'Condensed Specialty Crosswalk'!$A$2:$C$106,2,FALSE),"")</f>
        <v/>
      </c>
      <c r="G4067" s="49" t="str">
        <f>IFERROR(VLOOKUP(E4067,'Condensed Specialty Crosswalk'!$A$2:$C$106,3,FALSE),"")</f>
        <v/>
      </c>
    </row>
    <row r="4068" spans="5:7" ht="15" customHeight="1">
      <c r="E4068" s="49" t="str">
        <f>IFERROR(VLOOKUP(D4068,'taxonomy map'!$A$1:$C$107,2,FALSE),"")</f>
        <v/>
      </c>
      <c r="F4068" s="49" t="str">
        <f>IFERROR(VLOOKUP(E4068,'Condensed Specialty Crosswalk'!$A$2:$C$106,2,FALSE),"")</f>
        <v/>
      </c>
      <c r="G4068" s="49" t="str">
        <f>IFERROR(VLOOKUP(E4068,'Condensed Specialty Crosswalk'!$A$2:$C$106,3,FALSE),"")</f>
        <v/>
      </c>
    </row>
    <row r="4069" spans="5:7" ht="15" customHeight="1">
      <c r="E4069" s="49" t="str">
        <f>IFERROR(VLOOKUP(D4069,'taxonomy map'!$A$1:$C$107,2,FALSE),"")</f>
        <v/>
      </c>
      <c r="F4069" s="49" t="str">
        <f>IFERROR(VLOOKUP(E4069,'Condensed Specialty Crosswalk'!$A$2:$C$106,2,FALSE),"")</f>
        <v/>
      </c>
      <c r="G4069" s="49" t="str">
        <f>IFERROR(VLOOKUP(E4069,'Condensed Specialty Crosswalk'!$A$2:$C$106,3,FALSE),"")</f>
        <v/>
      </c>
    </row>
    <row r="4070" spans="5:7" ht="15" customHeight="1">
      <c r="E4070" s="49" t="str">
        <f>IFERROR(VLOOKUP(D4070,'taxonomy map'!$A$1:$C$107,2,FALSE),"")</f>
        <v/>
      </c>
      <c r="F4070" s="49" t="str">
        <f>IFERROR(VLOOKUP(E4070,'Condensed Specialty Crosswalk'!$A$2:$C$106,2,FALSE),"")</f>
        <v/>
      </c>
      <c r="G4070" s="49" t="str">
        <f>IFERROR(VLOOKUP(E4070,'Condensed Specialty Crosswalk'!$A$2:$C$106,3,FALSE),"")</f>
        <v/>
      </c>
    </row>
    <row r="4071" spans="5:7" ht="15" customHeight="1">
      <c r="E4071" s="49" t="str">
        <f>IFERROR(VLOOKUP(D4071,'taxonomy map'!$A$1:$C$107,2,FALSE),"")</f>
        <v/>
      </c>
      <c r="F4071" s="49" t="str">
        <f>IFERROR(VLOOKUP(E4071,'Condensed Specialty Crosswalk'!$A$2:$C$106,2,FALSE),"")</f>
        <v/>
      </c>
      <c r="G4071" s="49" t="str">
        <f>IFERROR(VLOOKUP(E4071,'Condensed Specialty Crosswalk'!$A$2:$C$106,3,FALSE),"")</f>
        <v/>
      </c>
    </row>
    <row r="4072" spans="5:7" ht="15" customHeight="1">
      <c r="E4072" s="49" t="str">
        <f>IFERROR(VLOOKUP(D4072,'taxonomy map'!$A$1:$C$107,2,FALSE),"")</f>
        <v/>
      </c>
      <c r="F4072" s="49" t="str">
        <f>IFERROR(VLOOKUP(E4072,'Condensed Specialty Crosswalk'!$A$2:$C$106,2,FALSE),"")</f>
        <v/>
      </c>
      <c r="G4072" s="49" t="str">
        <f>IFERROR(VLOOKUP(E4072,'Condensed Specialty Crosswalk'!$A$2:$C$106,3,FALSE),"")</f>
        <v/>
      </c>
    </row>
    <row r="4073" spans="5:7" ht="15" customHeight="1">
      <c r="E4073" s="49" t="str">
        <f>IFERROR(VLOOKUP(D4073,'taxonomy map'!$A$1:$C$107,2,FALSE),"")</f>
        <v/>
      </c>
      <c r="F4073" s="49" t="str">
        <f>IFERROR(VLOOKUP(E4073,'Condensed Specialty Crosswalk'!$A$2:$C$106,2,FALSE),"")</f>
        <v/>
      </c>
      <c r="G4073" s="49" t="str">
        <f>IFERROR(VLOOKUP(E4073,'Condensed Specialty Crosswalk'!$A$2:$C$106,3,FALSE),"")</f>
        <v/>
      </c>
    </row>
    <row r="4074" spans="5:7" ht="15" customHeight="1">
      <c r="E4074" s="49" t="str">
        <f>IFERROR(VLOOKUP(D4074,'taxonomy map'!$A$1:$C$107,2,FALSE),"")</f>
        <v/>
      </c>
      <c r="F4074" s="49" t="str">
        <f>IFERROR(VLOOKUP(E4074,'Condensed Specialty Crosswalk'!$A$2:$C$106,2,FALSE),"")</f>
        <v/>
      </c>
      <c r="G4074" s="49" t="str">
        <f>IFERROR(VLOOKUP(E4074,'Condensed Specialty Crosswalk'!$A$2:$C$106,3,FALSE),"")</f>
        <v/>
      </c>
    </row>
    <row r="4075" spans="5:7" ht="15" customHeight="1">
      <c r="E4075" s="49" t="str">
        <f>IFERROR(VLOOKUP(D4075,'taxonomy map'!$A$1:$C$107,2,FALSE),"")</f>
        <v/>
      </c>
      <c r="F4075" s="49" t="str">
        <f>IFERROR(VLOOKUP(E4075,'Condensed Specialty Crosswalk'!$A$2:$C$106,2,FALSE),"")</f>
        <v/>
      </c>
      <c r="G4075" s="49" t="str">
        <f>IFERROR(VLOOKUP(E4075,'Condensed Specialty Crosswalk'!$A$2:$C$106,3,FALSE),"")</f>
        <v/>
      </c>
    </row>
    <row r="4076" spans="5:7" ht="15" customHeight="1">
      <c r="E4076" s="49" t="str">
        <f>IFERROR(VLOOKUP(D4076,'taxonomy map'!$A$1:$C$107,2,FALSE),"")</f>
        <v/>
      </c>
      <c r="F4076" s="49" t="str">
        <f>IFERROR(VLOOKUP(E4076,'Condensed Specialty Crosswalk'!$A$2:$C$106,2,FALSE),"")</f>
        <v/>
      </c>
      <c r="G4076" s="49" t="str">
        <f>IFERROR(VLOOKUP(E4076,'Condensed Specialty Crosswalk'!$A$2:$C$106,3,FALSE),"")</f>
        <v/>
      </c>
    </row>
    <row r="4077" spans="5:7" ht="15" customHeight="1">
      <c r="E4077" s="49" t="str">
        <f>IFERROR(VLOOKUP(D4077,'taxonomy map'!$A$1:$C$107,2,FALSE),"")</f>
        <v/>
      </c>
      <c r="F4077" s="49" t="str">
        <f>IFERROR(VLOOKUP(E4077,'Condensed Specialty Crosswalk'!$A$2:$C$106,2,FALSE),"")</f>
        <v/>
      </c>
      <c r="G4077" s="49" t="str">
        <f>IFERROR(VLOOKUP(E4077,'Condensed Specialty Crosswalk'!$A$2:$C$106,3,FALSE),"")</f>
        <v/>
      </c>
    </row>
    <row r="4078" spans="5:7" ht="15" customHeight="1">
      <c r="E4078" s="49" t="str">
        <f>IFERROR(VLOOKUP(D4078,'taxonomy map'!$A$1:$C$107,2,FALSE),"")</f>
        <v/>
      </c>
      <c r="F4078" s="49" t="str">
        <f>IFERROR(VLOOKUP(E4078,'Condensed Specialty Crosswalk'!$A$2:$C$106,2,FALSE),"")</f>
        <v/>
      </c>
      <c r="G4078" s="49" t="str">
        <f>IFERROR(VLOOKUP(E4078,'Condensed Specialty Crosswalk'!$A$2:$C$106,3,FALSE),"")</f>
        <v/>
      </c>
    </row>
    <row r="4079" spans="5:7" ht="15" customHeight="1">
      <c r="E4079" s="49" t="str">
        <f>IFERROR(VLOOKUP(D4079,'taxonomy map'!$A$1:$C$107,2,FALSE),"")</f>
        <v/>
      </c>
      <c r="F4079" s="49" t="str">
        <f>IFERROR(VLOOKUP(E4079,'Condensed Specialty Crosswalk'!$A$2:$C$106,2,FALSE),"")</f>
        <v/>
      </c>
      <c r="G4079" s="49" t="str">
        <f>IFERROR(VLOOKUP(E4079,'Condensed Specialty Crosswalk'!$A$2:$C$106,3,FALSE),"")</f>
        <v/>
      </c>
    </row>
    <row r="4080" spans="5:7" ht="15" customHeight="1">
      <c r="E4080" s="49" t="str">
        <f>IFERROR(VLOOKUP(D4080,'taxonomy map'!$A$1:$C$107,2,FALSE),"")</f>
        <v/>
      </c>
      <c r="F4080" s="49" t="str">
        <f>IFERROR(VLOOKUP(E4080,'Condensed Specialty Crosswalk'!$A$2:$C$106,2,FALSE),"")</f>
        <v/>
      </c>
      <c r="G4080" s="49" t="str">
        <f>IFERROR(VLOOKUP(E4080,'Condensed Specialty Crosswalk'!$A$2:$C$106,3,FALSE),"")</f>
        <v/>
      </c>
    </row>
    <row r="4081" spans="5:7" ht="15" customHeight="1">
      <c r="E4081" s="49" t="str">
        <f>IFERROR(VLOOKUP(D4081,'taxonomy map'!$A$1:$C$107,2,FALSE),"")</f>
        <v/>
      </c>
      <c r="F4081" s="49" t="str">
        <f>IFERROR(VLOOKUP(E4081,'Condensed Specialty Crosswalk'!$A$2:$C$106,2,FALSE),"")</f>
        <v/>
      </c>
      <c r="G4081" s="49" t="str">
        <f>IFERROR(VLOOKUP(E4081,'Condensed Specialty Crosswalk'!$A$2:$C$106,3,FALSE),"")</f>
        <v/>
      </c>
    </row>
    <row r="4082" spans="5:7" ht="15" customHeight="1">
      <c r="E4082" s="49" t="str">
        <f>IFERROR(VLOOKUP(D4082,'taxonomy map'!$A$1:$C$107,2,FALSE),"")</f>
        <v/>
      </c>
      <c r="F4082" s="49" t="str">
        <f>IFERROR(VLOOKUP(E4082,'Condensed Specialty Crosswalk'!$A$2:$C$106,2,FALSE),"")</f>
        <v/>
      </c>
      <c r="G4082" s="49" t="str">
        <f>IFERROR(VLOOKUP(E4082,'Condensed Specialty Crosswalk'!$A$2:$C$106,3,FALSE),"")</f>
        <v/>
      </c>
    </row>
    <row r="4083" spans="5:7" ht="15" customHeight="1">
      <c r="E4083" s="49" t="str">
        <f>IFERROR(VLOOKUP(D4083,'taxonomy map'!$A$1:$C$107,2,FALSE),"")</f>
        <v/>
      </c>
      <c r="F4083" s="49" t="str">
        <f>IFERROR(VLOOKUP(E4083,'Condensed Specialty Crosswalk'!$A$2:$C$106,2,FALSE),"")</f>
        <v/>
      </c>
      <c r="G4083" s="49" t="str">
        <f>IFERROR(VLOOKUP(E4083,'Condensed Specialty Crosswalk'!$A$2:$C$106,3,FALSE),"")</f>
        <v/>
      </c>
    </row>
    <row r="4084" spans="5:7" ht="15" customHeight="1">
      <c r="E4084" s="49" t="str">
        <f>IFERROR(VLOOKUP(D4084,'taxonomy map'!$A$1:$C$107,2,FALSE),"")</f>
        <v/>
      </c>
      <c r="F4084" s="49" t="str">
        <f>IFERROR(VLOOKUP(E4084,'Condensed Specialty Crosswalk'!$A$2:$C$106,2,FALSE),"")</f>
        <v/>
      </c>
      <c r="G4084" s="49" t="str">
        <f>IFERROR(VLOOKUP(E4084,'Condensed Specialty Crosswalk'!$A$2:$C$106,3,FALSE),"")</f>
        <v/>
      </c>
    </row>
    <row r="4085" spans="5:7" ht="15" customHeight="1">
      <c r="E4085" s="49" t="str">
        <f>IFERROR(VLOOKUP(D4085,'taxonomy map'!$A$1:$C$107,2,FALSE),"")</f>
        <v/>
      </c>
      <c r="F4085" s="49" t="str">
        <f>IFERROR(VLOOKUP(E4085,'Condensed Specialty Crosswalk'!$A$2:$C$106,2,FALSE),"")</f>
        <v/>
      </c>
      <c r="G4085" s="49" t="str">
        <f>IFERROR(VLOOKUP(E4085,'Condensed Specialty Crosswalk'!$A$2:$C$106,3,FALSE),"")</f>
        <v/>
      </c>
    </row>
    <row r="4086" spans="5:7" ht="15" customHeight="1">
      <c r="E4086" s="49" t="str">
        <f>IFERROR(VLOOKUP(D4086,'taxonomy map'!$A$1:$C$107,2,FALSE),"")</f>
        <v/>
      </c>
      <c r="F4086" s="49" t="str">
        <f>IFERROR(VLOOKUP(E4086,'Condensed Specialty Crosswalk'!$A$2:$C$106,2,FALSE),"")</f>
        <v/>
      </c>
      <c r="G4086" s="49" t="str">
        <f>IFERROR(VLOOKUP(E4086,'Condensed Specialty Crosswalk'!$A$2:$C$106,3,FALSE),"")</f>
        <v/>
      </c>
    </row>
    <row r="4087" spans="5:7" ht="15" customHeight="1">
      <c r="E4087" s="49" t="str">
        <f>IFERROR(VLOOKUP(D4087,'taxonomy map'!$A$1:$C$107,2,FALSE),"")</f>
        <v/>
      </c>
      <c r="F4087" s="49" t="str">
        <f>IFERROR(VLOOKUP(E4087,'Condensed Specialty Crosswalk'!$A$2:$C$106,2,FALSE),"")</f>
        <v/>
      </c>
      <c r="G4087" s="49" t="str">
        <f>IFERROR(VLOOKUP(E4087,'Condensed Specialty Crosswalk'!$A$2:$C$106,3,FALSE),"")</f>
        <v/>
      </c>
    </row>
    <row r="4088" spans="5:7" ht="15" customHeight="1">
      <c r="E4088" s="49" t="str">
        <f>IFERROR(VLOOKUP(D4088,'taxonomy map'!$A$1:$C$107,2,FALSE),"")</f>
        <v/>
      </c>
      <c r="F4088" s="49" t="str">
        <f>IFERROR(VLOOKUP(E4088,'Condensed Specialty Crosswalk'!$A$2:$C$106,2,FALSE),"")</f>
        <v/>
      </c>
      <c r="G4088" s="49" t="str">
        <f>IFERROR(VLOOKUP(E4088,'Condensed Specialty Crosswalk'!$A$2:$C$106,3,FALSE),"")</f>
        <v/>
      </c>
    </row>
    <row r="4089" spans="5:7" ht="15" customHeight="1">
      <c r="E4089" s="49" t="str">
        <f>IFERROR(VLOOKUP(D4089,'taxonomy map'!$A$1:$C$107,2,FALSE),"")</f>
        <v/>
      </c>
      <c r="F4089" s="49" t="str">
        <f>IFERROR(VLOOKUP(E4089,'Condensed Specialty Crosswalk'!$A$2:$C$106,2,FALSE),"")</f>
        <v/>
      </c>
      <c r="G4089" s="49" t="str">
        <f>IFERROR(VLOOKUP(E4089,'Condensed Specialty Crosswalk'!$A$2:$C$106,3,FALSE),"")</f>
        <v/>
      </c>
    </row>
    <row r="4090" spans="5:7" ht="15" customHeight="1">
      <c r="E4090" s="49" t="str">
        <f>IFERROR(VLOOKUP(D4090,'taxonomy map'!$A$1:$C$107,2,FALSE),"")</f>
        <v/>
      </c>
      <c r="F4090" s="49" t="str">
        <f>IFERROR(VLOOKUP(E4090,'Condensed Specialty Crosswalk'!$A$2:$C$106,2,FALSE),"")</f>
        <v/>
      </c>
      <c r="G4090" s="49" t="str">
        <f>IFERROR(VLOOKUP(E4090,'Condensed Specialty Crosswalk'!$A$2:$C$106,3,FALSE),"")</f>
        <v/>
      </c>
    </row>
    <row r="4091" spans="5:7" ht="15" customHeight="1">
      <c r="E4091" s="49" t="str">
        <f>IFERROR(VLOOKUP(D4091,'taxonomy map'!$A$1:$C$107,2,FALSE),"")</f>
        <v/>
      </c>
      <c r="F4091" s="49" t="str">
        <f>IFERROR(VLOOKUP(E4091,'Condensed Specialty Crosswalk'!$A$2:$C$106,2,FALSE),"")</f>
        <v/>
      </c>
      <c r="G4091" s="49" t="str">
        <f>IFERROR(VLOOKUP(E4091,'Condensed Specialty Crosswalk'!$A$2:$C$106,3,FALSE),"")</f>
        <v/>
      </c>
    </row>
    <row r="4092" spans="5:7" ht="15" customHeight="1">
      <c r="E4092" s="49" t="str">
        <f>IFERROR(VLOOKUP(D4092,'taxonomy map'!$A$1:$C$107,2,FALSE),"")</f>
        <v/>
      </c>
      <c r="F4092" s="49" t="str">
        <f>IFERROR(VLOOKUP(E4092,'Condensed Specialty Crosswalk'!$A$2:$C$106,2,FALSE),"")</f>
        <v/>
      </c>
      <c r="G4092" s="49" t="str">
        <f>IFERROR(VLOOKUP(E4092,'Condensed Specialty Crosswalk'!$A$2:$C$106,3,FALSE),"")</f>
        <v/>
      </c>
    </row>
    <row r="4093" spans="5:7" ht="15" customHeight="1">
      <c r="E4093" s="49" t="str">
        <f>IFERROR(VLOOKUP(D4093,'taxonomy map'!$A$1:$C$107,2,FALSE),"")</f>
        <v/>
      </c>
      <c r="F4093" s="49" t="str">
        <f>IFERROR(VLOOKUP(E4093,'Condensed Specialty Crosswalk'!$A$2:$C$106,2,FALSE),"")</f>
        <v/>
      </c>
      <c r="G4093" s="49" t="str">
        <f>IFERROR(VLOOKUP(E4093,'Condensed Specialty Crosswalk'!$A$2:$C$106,3,FALSE),"")</f>
        <v/>
      </c>
    </row>
    <row r="4094" spans="5:7" ht="15" customHeight="1">
      <c r="E4094" s="49" t="str">
        <f>IFERROR(VLOOKUP(D4094,'taxonomy map'!$A$1:$C$107,2,FALSE),"")</f>
        <v/>
      </c>
      <c r="F4094" s="49" t="str">
        <f>IFERROR(VLOOKUP(E4094,'Condensed Specialty Crosswalk'!$A$2:$C$106,2,FALSE),"")</f>
        <v/>
      </c>
      <c r="G4094" s="49" t="str">
        <f>IFERROR(VLOOKUP(E4094,'Condensed Specialty Crosswalk'!$A$2:$C$106,3,FALSE),"")</f>
        <v/>
      </c>
    </row>
    <row r="4095" spans="5:7" ht="15" customHeight="1">
      <c r="E4095" s="49" t="str">
        <f>IFERROR(VLOOKUP(D4095,'taxonomy map'!$A$1:$C$107,2,FALSE),"")</f>
        <v/>
      </c>
      <c r="F4095" s="49" t="str">
        <f>IFERROR(VLOOKUP(E4095,'Condensed Specialty Crosswalk'!$A$2:$C$106,2,FALSE),"")</f>
        <v/>
      </c>
      <c r="G4095" s="49" t="str">
        <f>IFERROR(VLOOKUP(E4095,'Condensed Specialty Crosswalk'!$A$2:$C$106,3,FALSE),"")</f>
        <v/>
      </c>
    </row>
    <row r="4096" spans="5:7" ht="15" customHeight="1">
      <c r="E4096" s="49" t="str">
        <f>IFERROR(VLOOKUP(D4096,'taxonomy map'!$A$1:$C$107,2,FALSE),"")</f>
        <v/>
      </c>
      <c r="F4096" s="49" t="str">
        <f>IFERROR(VLOOKUP(E4096,'Condensed Specialty Crosswalk'!$A$2:$C$106,2,FALSE),"")</f>
        <v/>
      </c>
      <c r="G4096" s="49" t="str">
        <f>IFERROR(VLOOKUP(E4096,'Condensed Specialty Crosswalk'!$A$2:$C$106,3,FALSE),"")</f>
        <v/>
      </c>
    </row>
    <row r="4097" spans="5:7" ht="15" customHeight="1">
      <c r="E4097" s="49" t="str">
        <f>IFERROR(VLOOKUP(D4097,'taxonomy map'!$A$1:$C$107,2,FALSE),"")</f>
        <v/>
      </c>
      <c r="F4097" s="49" t="str">
        <f>IFERROR(VLOOKUP(E4097,'Condensed Specialty Crosswalk'!$A$2:$C$106,2,FALSE),"")</f>
        <v/>
      </c>
      <c r="G4097" s="49" t="str">
        <f>IFERROR(VLOOKUP(E4097,'Condensed Specialty Crosswalk'!$A$2:$C$106,3,FALSE),"")</f>
        <v/>
      </c>
    </row>
    <row r="4098" spans="5:7" ht="15" customHeight="1">
      <c r="E4098" s="49" t="str">
        <f>IFERROR(VLOOKUP(D4098,'taxonomy map'!$A$1:$C$107,2,FALSE),"")</f>
        <v/>
      </c>
      <c r="F4098" s="49" t="str">
        <f>IFERROR(VLOOKUP(E4098,'Condensed Specialty Crosswalk'!$A$2:$C$106,2,FALSE),"")</f>
        <v/>
      </c>
      <c r="G4098" s="49" t="str">
        <f>IFERROR(VLOOKUP(E4098,'Condensed Specialty Crosswalk'!$A$2:$C$106,3,FALSE),"")</f>
        <v/>
      </c>
    </row>
    <row r="4099" spans="5:7" ht="15" customHeight="1">
      <c r="E4099" s="49" t="str">
        <f>IFERROR(VLOOKUP(D4099,'taxonomy map'!$A$1:$C$107,2,FALSE),"")</f>
        <v/>
      </c>
      <c r="F4099" s="49" t="str">
        <f>IFERROR(VLOOKUP(E4099,'Condensed Specialty Crosswalk'!$A$2:$C$106,2,FALSE),"")</f>
        <v/>
      </c>
      <c r="G4099" s="49" t="str">
        <f>IFERROR(VLOOKUP(E4099,'Condensed Specialty Crosswalk'!$A$2:$C$106,3,FALSE),"")</f>
        <v/>
      </c>
    </row>
    <row r="4100" spans="5:7" ht="15" customHeight="1">
      <c r="E4100" s="49" t="str">
        <f>IFERROR(VLOOKUP(D4100,'taxonomy map'!$A$1:$C$107,2,FALSE),"")</f>
        <v/>
      </c>
      <c r="F4100" s="49" t="str">
        <f>IFERROR(VLOOKUP(E4100,'Condensed Specialty Crosswalk'!$A$2:$C$106,2,FALSE),"")</f>
        <v/>
      </c>
      <c r="G4100" s="49" t="str">
        <f>IFERROR(VLOOKUP(E4100,'Condensed Specialty Crosswalk'!$A$2:$C$106,3,FALSE),"")</f>
        <v/>
      </c>
    </row>
    <row r="4101" spans="5:7" ht="15" customHeight="1">
      <c r="E4101" s="49" t="str">
        <f>IFERROR(VLOOKUP(D4101,'taxonomy map'!$A$1:$C$107,2,FALSE),"")</f>
        <v/>
      </c>
      <c r="F4101" s="49" t="str">
        <f>IFERROR(VLOOKUP(E4101,'Condensed Specialty Crosswalk'!$A$2:$C$106,2,FALSE),"")</f>
        <v/>
      </c>
      <c r="G4101" s="49" t="str">
        <f>IFERROR(VLOOKUP(E4101,'Condensed Specialty Crosswalk'!$A$2:$C$106,3,FALSE),"")</f>
        <v/>
      </c>
    </row>
    <row r="4102" spans="5:7" ht="15" customHeight="1">
      <c r="E4102" s="49" t="str">
        <f>IFERROR(VLOOKUP(D4102,'taxonomy map'!$A$1:$C$107,2,FALSE),"")</f>
        <v/>
      </c>
      <c r="F4102" s="49" t="str">
        <f>IFERROR(VLOOKUP(E4102,'Condensed Specialty Crosswalk'!$A$2:$C$106,2,FALSE),"")</f>
        <v/>
      </c>
      <c r="G4102" s="49" t="str">
        <f>IFERROR(VLOOKUP(E4102,'Condensed Specialty Crosswalk'!$A$2:$C$106,3,FALSE),"")</f>
        <v/>
      </c>
    </row>
    <row r="4103" spans="5:7" ht="15" customHeight="1">
      <c r="E4103" s="49" t="str">
        <f>IFERROR(VLOOKUP(D4103,'taxonomy map'!$A$1:$C$107,2,FALSE),"")</f>
        <v/>
      </c>
      <c r="F4103" s="49" t="str">
        <f>IFERROR(VLOOKUP(E4103,'Condensed Specialty Crosswalk'!$A$2:$C$106,2,FALSE),"")</f>
        <v/>
      </c>
      <c r="G4103" s="49" t="str">
        <f>IFERROR(VLOOKUP(E4103,'Condensed Specialty Crosswalk'!$A$2:$C$106,3,FALSE),"")</f>
        <v/>
      </c>
    </row>
    <row r="4104" spans="5:7" ht="15" customHeight="1">
      <c r="E4104" s="49" t="str">
        <f>IFERROR(VLOOKUP(D4104,'taxonomy map'!$A$1:$C$107,2,FALSE),"")</f>
        <v/>
      </c>
      <c r="F4104" s="49" t="str">
        <f>IFERROR(VLOOKUP(E4104,'Condensed Specialty Crosswalk'!$A$2:$C$106,2,FALSE),"")</f>
        <v/>
      </c>
      <c r="G4104" s="49" t="str">
        <f>IFERROR(VLOOKUP(E4104,'Condensed Specialty Crosswalk'!$A$2:$C$106,3,FALSE),"")</f>
        <v/>
      </c>
    </row>
    <row r="4105" spans="5:7" ht="15" customHeight="1">
      <c r="E4105" s="49" t="str">
        <f>IFERROR(VLOOKUP(D4105,'taxonomy map'!$A$1:$C$107,2,FALSE),"")</f>
        <v/>
      </c>
      <c r="F4105" s="49" t="str">
        <f>IFERROR(VLOOKUP(E4105,'Condensed Specialty Crosswalk'!$A$2:$C$106,2,FALSE),"")</f>
        <v/>
      </c>
      <c r="G4105" s="49" t="str">
        <f>IFERROR(VLOOKUP(E4105,'Condensed Specialty Crosswalk'!$A$2:$C$106,3,FALSE),"")</f>
        <v/>
      </c>
    </row>
    <row r="4106" spans="5:7" ht="15" customHeight="1">
      <c r="E4106" s="49" t="str">
        <f>IFERROR(VLOOKUP(D4106,'taxonomy map'!$A$1:$C$107,2,FALSE),"")</f>
        <v/>
      </c>
      <c r="F4106" s="49" t="str">
        <f>IFERROR(VLOOKUP(E4106,'Condensed Specialty Crosswalk'!$A$2:$C$106,2,FALSE),"")</f>
        <v/>
      </c>
      <c r="G4106" s="49" t="str">
        <f>IFERROR(VLOOKUP(E4106,'Condensed Specialty Crosswalk'!$A$2:$C$106,3,FALSE),"")</f>
        <v/>
      </c>
    </row>
    <row r="4107" spans="5:7" ht="15" customHeight="1">
      <c r="E4107" s="49" t="str">
        <f>IFERROR(VLOOKUP(D4107,'taxonomy map'!$A$1:$C$107,2,FALSE),"")</f>
        <v/>
      </c>
      <c r="F4107" s="49" t="str">
        <f>IFERROR(VLOOKUP(E4107,'Condensed Specialty Crosswalk'!$A$2:$C$106,2,FALSE),"")</f>
        <v/>
      </c>
      <c r="G4107" s="49" t="str">
        <f>IFERROR(VLOOKUP(E4107,'Condensed Specialty Crosswalk'!$A$2:$C$106,3,FALSE),"")</f>
        <v/>
      </c>
    </row>
    <row r="4108" spans="5:7" ht="15" customHeight="1">
      <c r="E4108" s="49" t="str">
        <f>IFERROR(VLOOKUP(D4108,'taxonomy map'!$A$1:$C$107,2,FALSE),"")</f>
        <v/>
      </c>
      <c r="F4108" s="49" t="str">
        <f>IFERROR(VLOOKUP(E4108,'Condensed Specialty Crosswalk'!$A$2:$C$106,2,FALSE),"")</f>
        <v/>
      </c>
      <c r="G4108" s="49" t="str">
        <f>IFERROR(VLOOKUP(E4108,'Condensed Specialty Crosswalk'!$A$2:$C$106,3,FALSE),"")</f>
        <v/>
      </c>
    </row>
    <row r="4109" spans="5:7" ht="15" customHeight="1">
      <c r="E4109" s="49" t="str">
        <f>IFERROR(VLOOKUP(D4109,'taxonomy map'!$A$1:$C$107,2,FALSE),"")</f>
        <v/>
      </c>
      <c r="F4109" s="49" t="str">
        <f>IFERROR(VLOOKUP(E4109,'Condensed Specialty Crosswalk'!$A$2:$C$106,2,FALSE),"")</f>
        <v/>
      </c>
      <c r="G4109" s="49" t="str">
        <f>IFERROR(VLOOKUP(E4109,'Condensed Specialty Crosswalk'!$A$2:$C$106,3,FALSE),"")</f>
        <v/>
      </c>
    </row>
    <row r="4110" spans="5:7" ht="15" customHeight="1">
      <c r="E4110" s="49" t="str">
        <f>IFERROR(VLOOKUP(D4110,'taxonomy map'!$A$1:$C$107,2,FALSE),"")</f>
        <v/>
      </c>
      <c r="F4110" s="49" t="str">
        <f>IFERROR(VLOOKUP(E4110,'Condensed Specialty Crosswalk'!$A$2:$C$106,2,FALSE),"")</f>
        <v/>
      </c>
      <c r="G4110" s="49" t="str">
        <f>IFERROR(VLOOKUP(E4110,'Condensed Specialty Crosswalk'!$A$2:$C$106,3,FALSE),"")</f>
        <v/>
      </c>
    </row>
    <row r="4111" spans="5:7" ht="15" customHeight="1">
      <c r="E4111" s="49" t="str">
        <f>IFERROR(VLOOKUP(D4111,'taxonomy map'!$A$1:$C$107,2,FALSE),"")</f>
        <v/>
      </c>
      <c r="F4111" s="49" t="str">
        <f>IFERROR(VLOOKUP(E4111,'Condensed Specialty Crosswalk'!$A$2:$C$106,2,FALSE),"")</f>
        <v/>
      </c>
      <c r="G4111" s="49" t="str">
        <f>IFERROR(VLOOKUP(E4111,'Condensed Specialty Crosswalk'!$A$2:$C$106,3,FALSE),"")</f>
        <v/>
      </c>
    </row>
    <row r="4112" spans="5:7" ht="15" customHeight="1">
      <c r="E4112" s="49" t="str">
        <f>IFERROR(VLOOKUP(D4112,'taxonomy map'!$A$1:$C$107,2,FALSE),"")</f>
        <v/>
      </c>
      <c r="F4112" s="49" t="str">
        <f>IFERROR(VLOOKUP(E4112,'Condensed Specialty Crosswalk'!$A$2:$C$106,2,FALSE),"")</f>
        <v/>
      </c>
      <c r="G4112" s="49" t="str">
        <f>IFERROR(VLOOKUP(E4112,'Condensed Specialty Crosswalk'!$A$2:$C$106,3,FALSE),"")</f>
        <v/>
      </c>
    </row>
    <row r="4113" spans="5:7" ht="15" customHeight="1">
      <c r="E4113" s="49" t="str">
        <f>IFERROR(VLOOKUP(D4113,'taxonomy map'!$A$1:$C$107,2,FALSE),"")</f>
        <v/>
      </c>
      <c r="F4113" s="49" t="str">
        <f>IFERROR(VLOOKUP(E4113,'Condensed Specialty Crosswalk'!$A$2:$C$106,2,FALSE),"")</f>
        <v/>
      </c>
      <c r="G4113" s="49" t="str">
        <f>IFERROR(VLOOKUP(E4113,'Condensed Specialty Crosswalk'!$A$2:$C$106,3,FALSE),"")</f>
        <v/>
      </c>
    </row>
    <row r="4114" spans="5:7" ht="15" customHeight="1">
      <c r="E4114" s="49" t="str">
        <f>IFERROR(VLOOKUP(D4114,'taxonomy map'!$A$1:$C$107,2,FALSE),"")</f>
        <v/>
      </c>
      <c r="F4114" s="49" t="str">
        <f>IFERROR(VLOOKUP(E4114,'Condensed Specialty Crosswalk'!$A$2:$C$106,2,FALSE),"")</f>
        <v/>
      </c>
      <c r="G4114" s="49" t="str">
        <f>IFERROR(VLOOKUP(E4114,'Condensed Specialty Crosswalk'!$A$2:$C$106,3,FALSE),"")</f>
        <v/>
      </c>
    </row>
    <row r="4115" spans="5:7" ht="15" customHeight="1">
      <c r="E4115" s="49" t="str">
        <f>IFERROR(VLOOKUP(D4115,'taxonomy map'!$A$1:$C$107,2,FALSE),"")</f>
        <v/>
      </c>
      <c r="F4115" s="49" t="str">
        <f>IFERROR(VLOOKUP(E4115,'Condensed Specialty Crosswalk'!$A$2:$C$106,2,FALSE),"")</f>
        <v/>
      </c>
      <c r="G4115" s="49" t="str">
        <f>IFERROR(VLOOKUP(E4115,'Condensed Specialty Crosswalk'!$A$2:$C$106,3,FALSE),"")</f>
        <v/>
      </c>
    </row>
    <row r="4116" spans="5:7" ht="15" customHeight="1">
      <c r="E4116" s="49" t="str">
        <f>IFERROR(VLOOKUP(D4116,'taxonomy map'!$A$1:$C$107,2,FALSE),"")</f>
        <v/>
      </c>
      <c r="F4116" s="49" t="str">
        <f>IFERROR(VLOOKUP(E4116,'Condensed Specialty Crosswalk'!$A$2:$C$106,2,FALSE),"")</f>
        <v/>
      </c>
      <c r="G4116" s="49" t="str">
        <f>IFERROR(VLOOKUP(E4116,'Condensed Specialty Crosswalk'!$A$2:$C$106,3,FALSE),"")</f>
        <v/>
      </c>
    </row>
    <row r="4117" spans="5:7" ht="15" customHeight="1">
      <c r="E4117" s="49" t="str">
        <f>IFERROR(VLOOKUP(D4117,'taxonomy map'!$A$1:$C$107,2,FALSE),"")</f>
        <v/>
      </c>
      <c r="F4117" s="49" t="str">
        <f>IFERROR(VLOOKUP(E4117,'Condensed Specialty Crosswalk'!$A$2:$C$106,2,FALSE),"")</f>
        <v/>
      </c>
      <c r="G4117" s="49" t="str">
        <f>IFERROR(VLOOKUP(E4117,'Condensed Specialty Crosswalk'!$A$2:$C$106,3,FALSE),"")</f>
        <v/>
      </c>
    </row>
    <row r="4118" spans="5:7" ht="15" customHeight="1">
      <c r="E4118" s="49" t="str">
        <f>IFERROR(VLOOKUP(D4118,'taxonomy map'!$A$1:$C$107,2,FALSE),"")</f>
        <v/>
      </c>
      <c r="F4118" s="49" t="str">
        <f>IFERROR(VLOOKUP(E4118,'Condensed Specialty Crosswalk'!$A$2:$C$106,2,FALSE),"")</f>
        <v/>
      </c>
      <c r="G4118" s="49" t="str">
        <f>IFERROR(VLOOKUP(E4118,'Condensed Specialty Crosswalk'!$A$2:$C$106,3,FALSE),"")</f>
        <v/>
      </c>
    </row>
    <row r="4119" spans="5:7" ht="15" customHeight="1">
      <c r="E4119" s="49" t="str">
        <f>IFERROR(VLOOKUP(D4119,'taxonomy map'!$A$1:$C$107,2,FALSE),"")</f>
        <v/>
      </c>
      <c r="F4119" s="49" t="str">
        <f>IFERROR(VLOOKUP(E4119,'Condensed Specialty Crosswalk'!$A$2:$C$106,2,FALSE),"")</f>
        <v/>
      </c>
      <c r="G4119" s="49" t="str">
        <f>IFERROR(VLOOKUP(E4119,'Condensed Specialty Crosswalk'!$A$2:$C$106,3,FALSE),"")</f>
        <v/>
      </c>
    </row>
    <row r="4120" spans="5:7" ht="15" customHeight="1">
      <c r="E4120" s="49" t="str">
        <f>IFERROR(VLOOKUP(D4120,'taxonomy map'!$A$1:$C$107,2,FALSE),"")</f>
        <v/>
      </c>
      <c r="F4120" s="49" t="str">
        <f>IFERROR(VLOOKUP(E4120,'Condensed Specialty Crosswalk'!$A$2:$C$106,2,FALSE),"")</f>
        <v/>
      </c>
      <c r="G4120" s="49" t="str">
        <f>IFERROR(VLOOKUP(E4120,'Condensed Specialty Crosswalk'!$A$2:$C$106,3,FALSE),"")</f>
        <v/>
      </c>
    </row>
    <row r="4121" spans="5:7" ht="15" customHeight="1">
      <c r="E4121" s="49" t="str">
        <f>IFERROR(VLOOKUP(D4121,'taxonomy map'!$A$1:$C$107,2,FALSE),"")</f>
        <v/>
      </c>
      <c r="F4121" s="49" t="str">
        <f>IFERROR(VLOOKUP(E4121,'Condensed Specialty Crosswalk'!$A$2:$C$106,2,FALSE),"")</f>
        <v/>
      </c>
      <c r="G4121" s="49" t="str">
        <f>IFERROR(VLOOKUP(E4121,'Condensed Specialty Crosswalk'!$A$2:$C$106,3,FALSE),"")</f>
        <v/>
      </c>
    </row>
    <row r="4122" spans="5:7" ht="15" customHeight="1">
      <c r="E4122" s="49" t="str">
        <f>IFERROR(VLOOKUP(D4122,'taxonomy map'!$A$1:$C$107,2,FALSE),"")</f>
        <v/>
      </c>
      <c r="F4122" s="49" t="str">
        <f>IFERROR(VLOOKUP(E4122,'Condensed Specialty Crosswalk'!$A$2:$C$106,2,FALSE),"")</f>
        <v/>
      </c>
      <c r="G4122" s="49" t="str">
        <f>IFERROR(VLOOKUP(E4122,'Condensed Specialty Crosswalk'!$A$2:$C$106,3,FALSE),"")</f>
        <v/>
      </c>
    </row>
    <row r="4123" spans="5:7" ht="15" customHeight="1">
      <c r="E4123" s="49" t="str">
        <f>IFERROR(VLOOKUP(D4123,'taxonomy map'!$A$1:$C$107,2,FALSE),"")</f>
        <v/>
      </c>
      <c r="F4123" s="49" t="str">
        <f>IFERROR(VLOOKUP(E4123,'Condensed Specialty Crosswalk'!$A$2:$C$106,2,FALSE),"")</f>
        <v/>
      </c>
      <c r="G4123" s="49" t="str">
        <f>IFERROR(VLOOKUP(E4123,'Condensed Specialty Crosswalk'!$A$2:$C$106,3,FALSE),"")</f>
        <v/>
      </c>
    </row>
    <row r="4124" spans="5:7" ht="15" customHeight="1">
      <c r="E4124" s="49" t="str">
        <f>IFERROR(VLOOKUP(D4124,'taxonomy map'!$A$1:$C$107,2,FALSE),"")</f>
        <v/>
      </c>
      <c r="F4124" s="49" t="str">
        <f>IFERROR(VLOOKUP(E4124,'Condensed Specialty Crosswalk'!$A$2:$C$106,2,FALSE),"")</f>
        <v/>
      </c>
      <c r="G4124" s="49" t="str">
        <f>IFERROR(VLOOKUP(E4124,'Condensed Specialty Crosswalk'!$A$2:$C$106,3,FALSE),"")</f>
        <v/>
      </c>
    </row>
    <row r="4125" spans="5:7" ht="15" customHeight="1">
      <c r="E4125" s="49" t="str">
        <f>IFERROR(VLOOKUP(D4125,'taxonomy map'!$A$1:$C$107,2,FALSE),"")</f>
        <v/>
      </c>
      <c r="F4125" s="49" t="str">
        <f>IFERROR(VLOOKUP(E4125,'Condensed Specialty Crosswalk'!$A$2:$C$106,2,FALSE),"")</f>
        <v/>
      </c>
      <c r="G4125" s="49" t="str">
        <f>IFERROR(VLOOKUP(E4125,'Condensed Specialty Crosswalk'!$A$2:$C$106,3,FALSE),"")</f>
        <v/>
      </c>
    </row>
    <row r="4126" spans="5:7" ht="15" customHeight="1">
      <c r="E4126" s="49" t="str">
        <f>IFERROR(VLOOKUP(D4126,'taxonomy map'!$A$1:$C$107,2,FALSE),"")</f>
        <v/>
      </c>
      <c r="F4126" s="49" t="str">
        <f>IFERROR(VLOOKUP(E4126,'Condensed Specialty Crosswalk'!$A$2:$C$106,2,FALSE),"")</f>
        <v/>
      </c>
      <c r="G4126" s="49" t="str">
        <f>IFERROR(VLOOKUP(E4126,'Condensed Specialty Crosswalk'!$A$2:$C$106,3,FALSE),"")</f>
        <v/>
      </c>
    </row>
    <row r="4127" spans="5:7" ht="15" customHeight="1">
      <c r="E4127" s="49" t="str">
        <f>IFERROR(VLOOKUP(D4127,'taxonomy map'!$A$1:$C$107,2,FALSE),"")</f>
        <v/>
      </c>
      <c r="F4127" s="49" t="str">
        <f>IFERROR(VLOOKUP(E4127,'Condensed Specialty Crosswalk'!$A$2:$C$106,2,FALSE),"")</f>
        <v/>
      </c>
      <c r="G4127" s="49" t="str">
        <f>IFERROR(VLOOKUP(E4127,'Condensed Specialty Crosswalk'!$A$2:$C$106,3,FALSE),"")</f>
        <v/>
      </c>
    </row>
    <row r="4128" spans="5:7" ht="15" customHeight="1">
      <c r="E4128" s="49" t="str">
        <f>IFERROR(VLOOKUP(D4128,'taxonomy map'!$A$1:$C$107,2,FALSE),"")</f>
        <v/>
      </c>
      <c r="F4128" s="49" t="str">
        <f>IFERROR(VLOOKUP(E4128,'Condensed Specialty Crosswalk'!$A$2:$C$106,2,FALSE),"")</f>
        <v/>
      </c>
      <c r="G4128" s="49" t="str">
        <f>IFERROR(VLOOKUP(E4128,'Condensed Specialty Crosswalk'!$A$2:$C$106,3,FALSE),"")</f>
        <v/>
      </c>
    </row>
    <row r="4129" spans="5:7" ht="15" customHeight="1">
      <c r="E4129" s="49" t="str">
        <f>IFERROR(VLOOKUP(D4129,'taxonomy map'!$A$1:$C$107,2,FALSE),"")</f>
        <v/>
      </c>
      <c r="F4129" s="49" t="str">
        <f>IFERROR(VLOOKUP(E4129,'Condensed Specialty Crosswalk'!$A$2:$C$106,2,FALSE),"")</f>
        <v/>
      </c>
      <c r="G4129" s="49" t="str">
        <f>IFERROR(VLOOKUP(E4129,'Condensed Specialty Crosswalk'!$A$2:$C$106,3,FALSE),"")</f>
        <v/>
      </c>
    </row>
    <row r="4130" spans="5:7" ht="15" customHeight="1">
      <c r="E4130" s="49" t="str">
        <f>IFERROR(VLOOKUP(D4130,'taxonomy map'!$A$1:$C$107,2,FALSE),"")</f>
        <v/>
      </c>
      <c r="F4130" s="49" t="str">
        <f>IFERROR(VLOOKUP(E4130,'Condensed Specialty Crosswalk'!$A$2:$C$106,2,FALSE),"")</f>
        <v/>
      </c>
      <c r="G4130" s="49" t="str">
        <f>IFERROR(VLOOKUP(E4130,'Condensed Specialty Crosswalk'!$A$2:$C$106,3,FALSE),"")</f>
        <v/>
      </c>
    </row>
    <row r="4131" spans="5:7" ht="15" customHeight="1">
      <c r="E4131" s="49" t="str">
        <f>IFERROR(VLOOKUP(D4131,'taxonomy map'!$A$1:$C$107,2,FALSE),"")</f>
        <v/>
      </c>
      <c r="F4131" s="49" t="str">
        <f>IFERROR(VLOOKUP(E4131,'Condensed Specialty Crosswalk'!$A$2:$C$106,2,FALSE),"")</f>
        <v/>
      </c>
      <c r="G4131" s="49" t="str">
        <f>IFERROR(VLOOKUP(E4131,'Condensed Specialty Crosswalk'!$A$2:$C$106,3,FALSE),"")</f>
        <v/>
      </c>
    </row>
    <row r="4132" spans="5:7" ht="15" customHeight="1">
      <c r="E4132" s="49" t="str">
        <f>IFERROR(VLOOKUP(D4132,'taxonomy map'!$A$1:$C$107,2,FALSE),"")</f>
        <v/>
      </c>
      <c r="F4132" s="49" t="str">
        <f>IFERROR(VLOOKUP(E4132,'Condensed Specialty Crosswalk'!$A$2:$C$106,2,FALSE),"")</f>
        <v/>
      </c>
      <c r="G4132" s="49" t="str">
        <f>IFERROR(VLOOKUP(E4132,'Condensed Specialty Crosswalk'!$A$2:$C$106,3,FALSE),"")</f>
        <v/>
      </c>
    </row>
    <row r="4133" spans="5:7" ht="15" customHeight="1">
      <c r="E4133" s="49" t="str">
        <f>IFERROR(VLOOKUP(D4133,'taxonomy map'!$A$1:$C$107,2,FALSE),"")</f>
        <v/>
      </c>
      <c r="F4133" s="49" t="str">
        <f>IFERROR(VLOOKUP(E4133,'Condensed Specialty Crosswalk'!$A$2:$C$106,2,FALSE),"")</f>
        <v/>
      </c>
      <c r="G4133" s="49" t="str">
        <f>IFERROR(VLOOKUP(E4133,'Condensed Specialty Crosswalk'!$A$2:$C$106,3,FALSE),"")</f>
        <v/>
      </c>
    </row>
    <row r="4134" spans="5:7" ht="15" customHeight="1">
      <c r="E4134" s="49" t="str">
        <f>IFERROR(VLOOKUP(D4134,'taxonomy map'!$A$1:$C$107,2,FALSE),"")</f>
        <v/>
      </c>
      <c r="F4134" s="49" t="str">
        <f>IFERROR(VLOOKUP(E4134,'Condensed Specialty Crosswalk'!$A$2:$C$106,2,FALSE),"")</f>
        <v/>
      </c>
      <c r="G4134" s="49" t="str">
        <f>IFERROR(VLOOKUP(E4134,'Condensed Specialty Crosswalk'!$A$2:$C$106,3,FALSE),"")</f>
        <v/>
      </c>
    </row>
    <row r="4135" spans="5:7" ht="15" customHeight="1">
      <c r="E4135" s="49" t="str">
        <f>IFERROR(VLOOKUP(D4135,'taxonomy map'!$A$1:$C$107,2,FALSE),"")</f>
        <v/>
      </c>
      <c r="F4135" s="49" t="str">
        <f>IFERROR(VLOOKUP(E4135,'Condensed Specialty Crosswalk'!$A$2:$C$106,2,FALSE),"")</f>
        <v/>
      </c>
      <c r="G4135" s="49" t="str">
        <f>IFERROR(VLOOKUP(E4135,'Condensed Specialty Crosswalk'!$A$2:$C$106,3,FALSE),"")</f>
        <v/>
      </c>
    </row>
    <row r="4136" spans="5:7" ht="15" customHeight="1">
      <c r="E4136" s="49" t="str">
        <f>IFERROR(VLOOKUP(D4136,'taxonomy map'!$A$1:$C$107,2,FALSE),"")</f>
        <v/>
      </c>
      <c r="F4136" s="49" t="str">
        <f>IFERROR(VLOOKUP(E4136,'Condensed Specialty Crosswalk'!$A$2:$C$106,2,FALSE),"")</f>
        <v/>
      </c>
      <c r="G4136" s="49" t="str">
        <f>IFERROR(VLOOKUP(E4136,'Condensed Specialty Crosswalk'!$A$2:$C$106,3,FALSE),"")</f>
        <v/>
      </c>
    </row>
    <row r="4137" spans="5:7" ht="15" customHeight="1">
      <c r="E4137" s="49" t="str">
        <f>IFERROR(VLOOKUP(D4137,'taxonomy map'!$A$1:$C$107,2,FALSE),"")</f>
        <v/>
      </c>
      <c r="F4137" s="49" t="str">
        <f>IFERROR(VLOOKUP(E4137,'Condensed Specialty Crosswalk'!$A$2:$C$106,2,FALSE),"")</f>
        <v/>
      </c>
      <c r="G4137" s="49" t="str">
        <f>IFERROR(VLOOKUP(E4137,'Condensed Specialty Crosswalk'!$A$2:$C$106,3,FALSE),"")</f>
        <v/>
      </c>
    </row>
    <row r="4138" spans="5:7" ht="15" customHeight="1">
      <c r="E4138" s="49" t="str">
        <f>IFERROR(VLOOKUP(D4138,'taxonomy map'!$A$1:$C$107,2,FALSE),"")</f>
        <v/>
      </c>
      <c r="F4138" s="49" t="str">
        <f>IFERROR(VLOOKUP(E4138,'Condensed Specialty Crosswalk'!$A$2:$C$106,2,FALSE),"")</f>
        <v/>
      </c>
      <c r="G4138" s="49" t="str">
        <f>IFERROR(VLOOKUP(E4138,'Condensed Specialty Crosswalk'!$A$2:$C$106,3,FALSE),"")</f>
        <v/>
      </c>
    </row>
    <row r="4139" spans="5:7" ht="15" customHeight="1">
      <c r="E4139" s="49" t="str">
        <f>IFERROR(VLOOKUP(D4139,'taxonomy map'!$A$1:$C$107,2,FALSE),"")</f>
        <v/>
      </c>
      <c r="F4139" s="49" t="str">
        <f>IFERROR(VLOOKUP(E4139,'Condensed Specialty Crosswalk'!$A$2:$C$106,2,FALSE),"")</f>
        <v/>
      </c>
      <c r="G4139" s="49" t="str">
        <f>IFERROR(VLOOKUP(E4139,'Condensed Specialty Crosswalk'!$A$2:$C$106,3,FALSE),"")</f>
        <v/>
      </c>
    </row>
    <row r="4140" spans="5:7" ht="15" customHeight="1">
      <c r="E4140" s="49" t="str">
        <f>IFERROR(VLOOKUP(D4140,'taxonomy map'!$A$1:$C$107,2,FALSE),"")</f>
        <v/>
      </c>
      <c r="F4140" s="49" t="str">
        <f>IFERROR(VLOOKUP(E4140,'Condensed Specialty Crosswalk'!$A$2:$C$106,2,FALSE),"")</f>
        <v/>
      </c>
      <c r="G4140" s="49" t="str">
        <f>IFERROR(VLOOKUP(E4140,'Condensed Specialty Crosswalk'!$A$2:$C$106,3,FALSE),"")</f>
        <v/>
      </c>
    </row>
    <row r="4141" spans="5:7" ht="15" customHeight="1">
      <c r="E4141" s="49" t="str">
        <f>IFERROR(VLOOKUP(D4141,'taxonomy map'!$A$1:$C$107,2,FALSE),"")</f>
        <v/>
      </c>
      <c r="F4141" s="49" t="str">
        <f>IFERROR(VLOOKUP(E4141,'Condensed Specialty Crosswalk'!$A$2:$C$106,2,FALSE),"")</f>
        <v/>
      </c>
      <c r="G4141" s="49" t="str">
        <f>IFERROR(VLOOKUP(E4141,'Condensed Specialty Crosswalk'!$A$2:$C$106,3,FALSE),"")</f>
        <v/>
      </c>
    </row>
    <row r="4142" spans="5:7" ht="15" customHeight="1">
      <c r="E4142" s="49" t="str">
        <f>IFERROR(VLOOKUP(D4142,'taxonomy map'!$A$1:$C$107,2,FALSE),"")</f>
        <v/>
      </c>
      <c r="F4142" s="49" t="str">
        <f>IFERROR(VLOOKUP(E4142,'Condensed Specialty Crosswalk'!$A$2:$C$106,2,FALSE),"")</f>
        <v/>
      </c>
      <c r="G4142" s="49" t="str">
        <f>IFERROR(VLOOKUP(E4142,'Condensed Specialty Crosswalk'!$A$2:$C$106,3,FALSE),"")</f>
        <v/>
      </c>
    </row>
    <row r="4143" spans="5:7" ht="15" customHeight="1">
      <c r="E4143" s="49" t="str">
        <f>IFERROR(VLOOKUP(D4143,'taxonomy map'!$A$1:$C$107,2,FALSE),"")</f>
        <v/>
      </c>
      <c r="F4143" s="49" t="str">
        <f>IFERROR(VLOOKUP(E4143,'Condensed Specialty Crosswalk'!$A$2:$C$106,2,FALSE),"")</f>
        <v/>
      </c>
      <c r="G4143" s="49" t="str">
        <f>IFERROR(VLOOKUP(E4143,'Condensed Specialty Crosswalk'!$A$2:$C$106,3,FALSE),"")</f>
        <v/>
      </c>
    </row>
    <row r="4144" spans="5:7" ht="15" customHeight="1">
      <c r="E4144" s="49" t="str">
        <f>IFERROR(VLOOKUP(D4144,'taxonomy map'!$A$1:$C$107,2,FALSE),"")</f>
        <v/>
      </c>
      <c r="F4144" s="49" t="str">
        <f>IFERROR(VLOOKUP(E4144,'Condensed Specialty Crosswalk'!$A$2:$C$106,2,FALSE),"")</f>
        <v/>
      </c>
      <c r="G4144" s="49" t="str">
        <f>IFERROR(VLOOKUP(E4144,'Condensed Specialty Crosswalk'!$A$2:$C$106,3,FALSE),"")</f>
        <v/>
      </c>
    </row>
    <row r="4145" spans="5:7" ht="15" customHeight="1">
      <c r="E4145" s="49" t="str">
        <f>IFERROR(VLOOKUP(D4145,'taxonomy map'!$A$1:$C$107,2,FALSE),"")</f>
        <v/>
      </c>
      <c r="F4145" s="49" t="str">
        <f>IFERROR(VLOOKUP(E4145,'Condensed Specialty Crosswalk'!$A$2:$C$106,2,FALSE),"")</f>
        <v/>
      </c>
      <c r="G4145" s="49" t="str">
        <f>IFERROR(VLOOKUP(E4145,'Condensed Specialty Crosswalk'!$A$2:$C$106,3,FALSE),"")</f>
        <v/>
      </c>
    </row>
    <row r="4146" spans="5:7" ht="15" customHeight="1">
      <c r="E4146" s="49" t="str">
        <f>IFERROR(VLOOKUP(D4146,'taxonomy map'!$A$1:$C$107,2,FALSE),"")</f>
        <v/>
      </c>
      <c r="F4146" s="49" t="str">
        <f>IFERROR(VLOOKUP(E4146,'Condensed Specialty Crosswalk'!$A$2:$C$106,2,FALSE),"")</f>
        <v/>
      </c>
      <c r="G4146" s="49" t="str">
        <f>IFERROR(VLOOKUP(E4146,'Condensed Specialty Crosswalk'!$A$2:$C$106,3,FALSE),"")</f>
        <v/>
      </c>
    </row>
    <row r="4147" spans="5:7" ht="15" customHeight="1">
      <c r="E4147" s="49" t="str">
        <f>IFERROR(VLOOKUP(D4147,'taxonomy map'!$A$1:$C$107,2,FALSE),"")</f>
        <v/>
      </c>
      <c r="F4147" s="49" t="str">
        <f>IFERROR(VLOOKUP(E4147,'Condensed Specialty Crosswalk'!$A$2:$C$106,2,FALSE),"")</f>
        <v/>
      </c>
      <c r="G4147" s="49" t="str">
        <f>IFERROR(VLOOKUP(E4147,'Condensed Specialty Crosswalk'!$A$2:$C$106,3,FALSE),"")</f>
        <v/>
      </c>
    </row>
    <row r="4148" spans="5:7" ht="15" customHeight="1">
      <c r="E4148" s="49" t="str">
        <f>IFERROR(VLOOKUP(D4148,'taxonomy map'!$A$1:$C$107,2,FALSE),"")</f>
        <v/>
      </c>
      <c r="F4148" s="49" t="str">
        <f>IFERROR(VLOOKUP(E4148,'Condensed Specialty Crosswalk'!$A$2:$C$106,2,FALSE),"")</f>
        <v/>
      </c>
      <c r="G4148" s="49" t="str">
        <f>IFERROR(VLOOKUP(E4148,'Condensed Specialty Crosswalk'!$A$2:$C$106,3,FALSE),"")</f>
        <v/>
      </c>
    </row>
    <row r="4149" spans="5:7" ht="15" customHeight="1">
      <c r="E4149" s="49" t="str">
        <f>IFERROR(VLOOKUP(D4149,'taxonomy map'!$A$1:$C$107,2,FALSE),"")</f>
        <v/>
      </c>
      <c r="F4149" s="49" t="str">
        <f>IFERROR(VLOOKUP(E4149,'Condensed Specialty Crosswalk'!$A$2:$C$106,2,FALSE),"")</f>
        <v/>
      </c>
      <c r="G4149" s="49" t="str">
        <f>IFERROR(VLOOKUP(E4149,'Condensed Specialty Crosswalk'!$A$2:$C$106,3,FALSE),"")</f>
        <v/>
      </c>
    </row>
    <row r="4150" spans="5:7" ht="15" customHeight="1">
      <c r="E4150" s="49" t="str">
        <f>IFERROR(VLOOKUP(D4150,'taxonomy map'!$A$1:$C$107,2,FALSE),"")</f>
        <v/>
      </c>
      <c r="F4150" s="49" t="str">
        <f>IFERROR(VLOOKUP(E4150,'Condensed Specialty Crosswalk'!$A$2:$C$106,2,FALSE),"")</f>
        <v/>
      </c>
      <c r="G4150" s="49" t="str">
        <f>IFERROR(VLOOKUP(E4150,'Condensed Specialty Crosswalk'!$A$2:$C$106,3,FALSE),"")</f>
        <v/>
      </c>
    </row>
    <row r="4151" spans="5:7" ht="15" customHeight="1">
      <c r="E4151" s="49" t="str">
        <f>IFERROR(VLOOKUP(D4151,'taxonomy map'!$A$1:$C$107,2,FALSE),"")</f>
        <v/>
      </c>
      <c r="F4151" s="49" t="str">
        <f>IFERROR(VLOOKUP(E4151,'Condensed Specialty Crosswalk'!$A$2:$C$106,2,FALSE),"")</f>
        <v/>
      </c>
      <c r="G4151" s="49" t="str">
        <f>IFERROR(VLOOKUP(E4151,'Condensed Specialty Crosswalk'!$A$2:$C$106,3,FALSE),"")</f>
        <v/>
      </c>
    </row>
    <row r="4152" spans="5:7" ht="15" customHeight="1">
      <c r="E4152" s="49" t="str">
        <f>IFERROR(VLOOKUP(D4152,'taxonomy map'!$A$1:$C$107,2,FALSE),"")</f>
        <v/>
      </c>
      <c r="F4152" s="49" t="str">
        <f>IFERROR(VLOOKUP(E4152,'Condensed Specialty Crosswalk'!$A$2:$C$106,2,FALSE),"")</f>
        <v/>
      </c>
      <c r="G4152" s="49" t="str">
        <f>IFERROR(VLOOKUP(E4152,'Condensed Specialty Crosswalk'!$A$2:$C$106,3,FALSE),"")</f>
        <v/>
      </c>
    </row>
    <row r="4153" spans="5:7" ht="15" customHeight="1">
      <c r="E4153" s="49" t="str">
        <f>IFERROR(VLOOKUP(D4153,'taxonomy map'!$A$1:$C$107,2,FALSE),"")</f>
        <v/>
      </c>
      <c r="F4153" s="49" t="str">
        <f>IFERROR(VLOOKUP(E4153,'Condensed Specialty Crosswalk'!$A$2:$C$106,2,FALSE),"")</f>
        <v/>
      </c>
      <c r="G4153" s="49" t="str">
        <f>IFERROR(VLOOKUP(E4153,'Condensed Specialty Crosswalk'!$A$2:$C$106,3,FALSE),"")</f>
        <v/>
      </c>
    </row>
    <row r="4154" spans="5:7" ht="15" customHeight="1">
      <c r="E4154" s="49" t="str">
        <f>IFERROR(VLOOKUP(D4154,'taxonomy map'!$A$1:$C$107,2,FALSE),"")</f>
        <v/>
      </c>
      <c r="F4154" s="49" t="str">
        <f>IFERROR(VLOOKUP(E4154,'Condensed Specialty Crosswalk'!$A$2:$C$106,2,FALSE),"")</f>
        <v/>
      </c>
      <c r="G4154" s="49" t="str">
        <f>IFERROR(VLOOKUP(E4154,'Condensed Specialty Crosswalk'!$A$2:$C$106,3,FALSE),"")</f>
        <v/>
      </c>
    </row>
    <row r="4155" spans="5:7" ht="15" customHeight="1">
      <c r="E4155" s="49" t="str">
        <f>IFERROR(VLOOKUP(D4155,'taxonomy map'!$A$1:$C$107,2,FALSE),"")</f>
        <v/>
      </c>
      <c r="F4155" s="49" t="str">
        <f>IFERROR(VLOOKUP(E4155,'Condensed Specialty Crosswalk'!$A$2:$C$106,2,FALSE),"")</f>
        <v/>
      </c>
      <c r="G4155" s="49" t="str">
        <f>IFERROR(VLOOKUP(E4155,'Condensed Specialty Crosswalk'!$A$2:$C$106,3,FALSE),"")</f>
        <v/>
      </c>
    </row>
    <row r="4156" spans="5:7" ht="15" customHeight="1">
      <c r="E4156" s="49" t="str">
        <f>IFERROR(VLOOKUP(D4156,'taxonomy map'!$A$1:$C$107,2,FALSE),"")</f>
        <v/>
      </c>
      <c r="F4156" s="49" t="str">
        <f>IFERROR(VLOOKUP(E4156,'Condensed Specialty Crosswalk'!$A$2:$C$106,2,FALSE),"")</f>
        <v/>
      </c>
      <c r="G4156" s="49" t="str">
        <f>IFERROR(VLOOKUP(E4156,'Condensed Specialty Crosswalk'!$A$2:$C$106,3,FALSE),"")</f>
        <v/>
      </c>
    </row>
    <row r="4157" spans="5:7" ht="15" customHeight="1">
      <c r="E4157" s="49" t="str">
        <f>IFERROR(VLOOKUP(D4157,'taxonomy map'!$A$1:$C$107,2,FALSE),"")</f>
        <v/>
      </c>
      <c r="F4157" s="49" t="str">
        <f>IFERROR(VLOOKUP(E4157,'Condensed Specialty Crosswalk'!$A$2:$C$106,2,FALSE),"")</f>
        <v/>
      </c>
      <c r="G4157" s="49" t="str">
        <f>IFERROR(VLOOKUP(E4157,'Condensed Specialty Crosswalk'!$A$2:$C$106,3,FALSE),"")</f>
        <v/>
      </c>
    </row>
    <row r="4158" spans="5:7" ht="15" customHeight="1">
      <c r="E4158" s="49" t="str">
        <f>IFERROR(VLOOKUP(D4158,'taxonomy map'!$A$1:$C$107,2,FALSE),"")</f>
        <v/>
      </c>
      <c r="F4158" s="49" t="str">
        <f>IFERROR(VLOOKUP(E4158,'Condensed Specialty Crosswalk'!$A$2:$C$106,2,FALSE),"")</f>
        <v/>
      </c>
      <c r="G4158" s="49" t="str">
        <f>IFERROR(VLOOKUP(E4158,'Condensed Specialty Crosswalk'!$A$2:$C$106,3,FALSE),"")</f>
        <v/>
      </c>
    </row>
    <row r="4159" spans="5:7" ht="15" customHeight="1">
      <c r="E4159" s="49" t="str">
        <f>IFERROR(VLOOKUP(D4159,'taxonomy map'!$A$1:$C$107,2,FALSE),"")</f>
        <v/>
      </c>
      <c r="F4159" s="49" t="str">
        <f>IFERROR(VLOOKUP(E4159,'Condensed Specialty Crosswalk'!$A$2:$C$106,2,FALSE),"")</f>
        <v/>
      </c>
      <c r="G4159" s="49" t="str">
        <f>IFERROR(VLOOKUP(E4159,'Condensed Specialty Crosswalk'!$A$2:$C$106,3,FALSE),"")</f>
        <v/>
      </c>
    </row>
    <row r="4160" spans="5:7" ht="15" customHeight="1">
      <c r="E4160" s="49" t="str">
        <f>IFERROR(VLOOKUP(D4160,'taxonomy map'!$A$1:$C$107,2,FALSE),"")</f>
        <v/>
      </c>
      <c r="F4160" s="49" t="str">
        <f>IFERROR(VLOOKUP(E4160,'Condensed Specialty Crosswalk'!$A$2:$C$106,2,FALSE),"")</f>
        <v/>
      </c>
      <c r="G4160" s="49" t="str">
        <f>IFERROR(VLOOKUP(E4160,'Condensed Specialty Crosswalk'!$A$2:$C$106,3,FALSE),"")</f>
        <v/>
      </c>
    </row>
    <row r="4161" spans="5:7" ht="15" customHeight="1">
      <c r="E4161" s="49" t="str">
        <f>IFERROR(VLOOKUP(D4161,'taxonomy map'!$A$1:$C$107,2,FALSE),"")</f>
        <v/>
      </c>
      <c r="F4161" s="49" t="str">
        <f>IFERROR(VLOOKUP(E4161,'Condensed Specialty Crosswalk'!$A$2:$C$106,2,FALSE),"")</f>
        <v/>
      </c>
      <c r="G4161" s="49" t="str">
        <f>IFERROR(VLOOKUP(E4161,'Condensed Specialty Crosswalk'!$A$2:$C$106,3,FALSE),"")</f>
        <v/>
      </c>
    </row>
    <row r="4162" spans="5:7" ht="15" customHeight="1">
      <c r="E4162" s="49" t="str">
        <f>IFERROR(VLOOKUP(D4162,'taxonomy map'!$A$1:$C$107,2,FALSE),"")</f>
        <v/>
      </c>
      <c r="F4162" s="49" t="str">
        <f>IFERROR(VLOOKUP(E4162,'Condensed Specialty Crosswalk'!$A$2:$C$106,2,FALSE),"")</f>
        <v/>
      </c>
      <c r="G4162" s="49" t="str">
        <f>IFERROR(VLOOKUP(E4162,'Condensed Specialty Crosswalk'!$A$2:$C$106,3,FALSE),"")</f>
        <v/>
      </c>
    </row>
    <row r="4163" spans="5:7" ht="15" customHeight="1">
      <c r="E4163" s="49" t="str">
        <f>IFERROR(VLOOKUP(D4163,'taxonomy map'!$A$1:$C$107,2,FALSE),"")</f>
        <v/>
      </c>
      <c r="F4163" s="49" t="str">
        <f>IFERROR(VLOOKUP(E4163,'Condensed Specialty Crosswalk'!$A$2:$C$106,2,FALSE),"")</f>
        <v/>
      </c>
      <c r="G4163" s="49" t="str">
        <f>IFERROR(VLOOKUP(E4163,'Condensed Specialty Crosswalk'!$A$2:$C$106,3,FALSE),"")</f>
        <v/>
      </c>
    </row>
    <row r="4164" spans="5:7" ht="15" customHeight="1">
      <c r="E4164" s="49" t="str">
        <f>IFERROR(VLOOKUP(D4164,'taxonomy map'!$A$1:$C$107,2,FALSE),"")</f>
        <v/>
      </c>
      <c r="F4164" s="49" t="str">
        <f>IFERROR(VLOOKUP(E4164,'Condensed Specialty Crosswalk'!$A$2:$C$106,2,FALSE),"")</f>
        <v/>
      </c>
      <c r="G4164" s="49" t="str">
        <f>IFERROR(VLOOKUP(E4164,'Condensed Specialty Crosswalk'!$A$2:$C$106,3,FALSE),"")</f>
        <v/>
      </c>
    </row>
    <row r="4165" spans="5:7" ht="15" customHeight="1">
      <c r="E4165" s="49" t="str">
        <f>IFERROR(VLOOKUP(D4165,'taxonomy map'!$A$1:$C$107,2,FALSE),"")</f>
        <v/>
      </c>
      <c r="F4165" s="49" t="str">
        <f>IFERROR(VLOOKUP(E4165,'Condensed Specialty Crosswalk'!$A$2:$C$106,2,FALSE),"")</f>
        <v/>
      </c>
      <c r="G4165" s="49" t="str">
        <f>IFERROR(VLOOKUP(E4165,'Condensed Specialty Crosswalk'!$A$2:$C$106,3,FALSE),"")</f>
        <v/>
      </c>
    </row>
    <row r="4166" spans="5:7" ht="15" customHeight="1">
      <c r="E4166" s="49" t="str">
        <f>IFERROR(VLOOKUP(D4166,'taxonomy map'!$A$1:$C$107,2,FALSE),"")</f>
        <v/>
      </c>
      <c r="F4166" s="49" t="str">
        <f>IFERROR(VLOOKUP(E4166,'Condensed Specialty Crosswalk'!$A$2:$C$106,2,FALSE),"")</f>
        <v/>
      </c>
      <c r="G4166" s="49" t="str">
        <f>IFERROR(VLOOKUP(E4166,'Condensed Specialty Crosswalk'!$A$2:$C$106,3,FALSE),"")</f>
        <v/>
      </c>
    </row>
    <row r="4167" spans="5:7" ht="15" customHeight="1">
      <c r="E4167" s="49" t="str">
        <f>IFERROR(VLOOKUP(D4167,'taxonomy map'!$A$1:$C$107,2,FALSE),"")</f>
        <v/>
      </c>
      <c r="F4167" s="49" t="str">
        <f>IFERROR(VLOOKUP(E4167,'Condensed Specialty Crosswalk'!$A$2:$C$106,2,FALSE),"")</f>
        <v/>
      </c>
      <c r="G4167" s="49" t="str">
        <f>IFERROR(VLOOKUP(E4167,'Condensed Specialty Crosswalk'!$A$2:$C$106,3,FALSE),"")</f>
        <v/>
      </c>
    </row>
    <row r="4168" spans="5:7" ht="15" customHeight="1">
      <c r="E4168" s="49" t="str">
        <f>IFERROR(VLOOKUP(D4168,'taxonomy map'!$A$1:$C$107,2,FALSE),"")</f>
        <v/>
      </c>
      <c r="F4168" s="49" t="str">
        <f>IFERROR(VLOOKUP(E4168,'Condensed Specialty Crosswalk'!$A$2:$C$106,2,FALSE),"")</f>
        <v/>
      </c>
      <c r="G4168" s="49" t="str">
        <f>IFERROR(VLOOKUP(E4168,'Condensed Specialty Crosswalk'!$A$2:$C$106,3,FALSE),"")</f>
        <v/>
      </c>
    </row>
    <row r="4169" spans="5:7" ht="15" customHeight="1">
      <c r="E4169" s="49" t="str">
        <f>IFERROR(VLOOKUP(D4169,'taxonomy map'!$A$1:$C$107,2,FALSE),"")</f>
        <v/>
      </c>
      <c r="F4169" s="49" t="str">
        <f>IFERROR(VLOOKUP(E4169,'Condensed Specialty Crosswalk'!$A$2:$C$106,2,FALSE),"")</f>
        <v/>
      </c>
      <c r="G4169" s="49" t="str">
        <f>IFERROR(VLOOKUP(E4169,'Condensed Specialty Crosswalk'!$A$2:$C$106,3,FALSE),"")</f>
        <v/>
      </c>
    </row>
    <row r="4170" spans="5:7" ht="15" customHeight="1">
      <c r="E4170" s="49" t="str">
        <f>IFERROR(VLOOKUP(D4170,'taxonomy map'!$A$1:$C$107,2,FALSE),"")</f>
        <v/>
      </c>
      <c r="F4170" s="49" t="str">
        <f>IFERROR(VLOOKUP(E4170,'Condensed Specialty Crosswalk'!$A$2:$C$106,2,FALSE),"")</f>
        <v/>
      </c>
      <c r="G4170" s="49" t="str">
        <f>IFERROR(VLOOKUP(E4170,'Condensed Specialty Crosswalk'!$A$2:$C$106,3,FALSE),"")</f>
        <v/>
      </c>
    </row>
    <row r="4171" spans="5:7" ht="15" customHeight="1">
      <c r="E4171" s="49" t="str">
        <f>IFERROR(VLOOKUP(D4171,'taxonomy map'!$A$1:$C$107,2,FALSE),"")</f>
        <v/>
      </c>
      <c r="F4171" s="49" t="str">
        <f>IFERROR(VLOOKUP(E4171,'Condensed Specialty Crosswalk'!$A$2:$C$106,2,FALSE),"")</f>
        <v/>
      </c>
      <c r="G4171" s="49" t="str">
        <f>IFERROR(VLOOKUP(E4171,'Condensed Specialty Crosswalk'!$A$2:$C$106,3,FALSE),"")</f>
        <v/>
      </c>
    </row>
    <row r="4172" spans="5:7" ht="15" customHeight="1">
      <c r="E4172" s="49" t="str">
        <f>IFERROR(VLOOKUP(D4172,'taxonomy map'!$A$1:$C$107,2,FALSE),"")</f>
        <v/>
      </c>
      <c r="F4172" s="49" t="str">
        <f>IFERROR(VLOOKUP(E4172,'Condensed Specialty Crosswalk'!$A$2:$C$106,2,FALSE),"")</f>
        <v/>
      </c>
      <c r="G4172" s="49" t="str">
        <f>IFERROR(VLOOKUP(E4172,'Condensed Specialty Crosswalk'!$A$2:$C$106,3,FALSE),"")</f>
        <v/>
      </c>
    </row>
    <row r="4173" spans="5:7" ht="15" customHeight="1">
      <c r="E4173" s="49" t="str">
        <f>IFERROR(VLOOKUP(D4173,'taxonomy map'!$A$1:$C$107,2,FALSE),"")</f>
        <v/>
      </c>
      <c r="F4173" s="49" t="str">
        <f>IFERROR(VLOOKUP(E4173,'Condensed Specialty Crosswalk'!$A$2:$C$106,2,FALSE),"")</f>
        <v/>
      </c>
      <c r="G4173" s="49" t="str">
        <f>IFERROR(VLOOKUP(E4173,'Condensed Specialty Crosswalk'!$A$2:$C$106,3,FALSE),"")</f>
        <v/>
      </c>
    </row>
    <row r="4174" spans="5:7" ht="15" customHeight="1">
      <c r="E4174" s="49" t="str">
        <f>IFERROR(VLOOKUP(D4174,'taxonomy map'!$A$1:$C$107,2,FALSE),"")</f>
        <v/>
      </c>
      <c r="F4174" s="49" t="str">
        <f>IFERROR(VLOOKUP(E4174,'Condensed Specialty Crosswalk'!$A$2:$C$106,2,FALSE),"")</f>
        <v/>
      </c>
      <c r="G4174" s="49" t="str">
        <f>IFERROR(VLOOKUP(E4174,'Condensed Specialty Crosswalk'!$A$2:$C$106,3,FALSE),"")</f>
        <v/>
      </c>
    </row>
    <row r="4175" spans="5:7" ht="15" customHeight="1">
      <c r="E4175" s="49" t="str">
        <f>IFERROR(VLOOKUP(D4175,'taxonomy map'!$A$1:$C$107,2,FALSE),"")</f>
        <v/>
      </c>
      <c r="F4175" s="49" t="str">
        <f>IFERROR(VLOOKUP(E4175,'Condensed Specialty Crosswalk'!$A$2:$C$106,2,FALSE),"")</f>
        <v/>
      </c>
      <c r="G4175" s="49" t="str">
        <f>IFERROR(VLOOKUP(E4175,'Condensed Specialty Crosswalk'!$A$2:$C$106,3,FALSE),"")</f>
        <v/>
      </c>
    </row>
    <row r="4176" spans="5:7" ht="15" customHeight="1">
      <c r="E4176" s="49" t="str">
        <f>IFERROR(VLOOKUP(D4176,'taxonomy map'!$A$1:$C$107,2,FALSE),"")</f>
        <v/>
      </c>
      <c r="F4176" s="49" t="str">
        <f>IFERROR(VLOOKUP(E4176,'Condensed Specialty Crosswalk'!$A$2:$C$106,2,FALSE),"")</f>
        <v/>
      </c>
      <c r="G4176" s="49" t="str">
        <f>IFERROR(VLOOKUP(E4176,'Condensed Specialty Crosswalk'!$A$2:$C$106,3,FALSE),"")</f>
        <v/>
      </c>
    </row>
    <row r="4177" spans="5:7" ht="15" customHeight="1">
      <c r="E4177" s="49" t="str">
        <f>IFERROR(VLOOKUP(D4177,'taxonomy map'!$A$1:$C$107,2,FALSE),"")</f>
        <v/>
      </c>
      <c r="F4177" s="49" t="str">
        <f>IFERROR(VLOOKUP(E4177,'Condensed Specialty Crosswalk'!$A$2:$C$106,2,FALSE),"")</f>
        <v/>
      </c>
      <c r="G4177" s="49" t="str">
        <f>IFERROR(VLOOKUP(E4177,'Condensed Specialty Crosswalk'!$A$2:$C$106,3,FALSE),"")</f>
        <v/>
      </c>
    </row>
    <row r="4178" spans="5:7" ht="15" customHeight="1">
      <c r="E4178" s="49" t="str">
        <f>IFERROR(VLOOKUP(D4178,'taxonomy map'!$A$1:$C$107,2,FALSE),"")</f>
        <v/>
      </c>
      <c r="F4178" s="49" t="str">
        <f>IFERROR(VLOOKUP(E4178,'Condensed Specialty Crosswalk'!$A$2:$C$106,2,FALSE),"")</f>
        <v/>
      </c>
      <c r="G4178" s="49" t="str">
        <f>IFERROR(VLOOKUP(E4178,'Condensed Specialty Crosswalk'!$A$2:$C$106,3,FALSE),"")</f>
        <v/>
      </c>
    </row>
    <row r="4179" spans="5:7" ht="15" customHeight="1">
      <c r="E4179" s="49" t="str">
        <f>IFERROR(VLOOKUP(D4179,'taxonomy map'!$A$1:$C$107,2,FALSE),"")</f>
        <v/>
      </c>
      <c r="F4179" s="49" t="str">
        <f>IFERROR(VLOOKUP(E4179,'Condensed Specialty Crosswalk'!$A$2:$C$106,2,FALSE),"")</f>
        <v/>
      </c>
      <c r="G4179" s="49" t="str">
        <f>IFERROR(VLOOKUP(E4179,'Condensed Specialty Crosswalk'!$A$2:$C$106,3,FALSE),"")</f>
        <v/>
      </c>
    </row>
    <row r="4180" spans="5:7" ht="15" customHeight="1">
      <c r="E4180" s="49" t="str">
        <f>IFERROR(VLOOKUP(D4180,'taxonomy map'!$A$1:$C$107,2,FALSE),"")</f>
        <v/>
      </c>
      <c r="F4180" s="49" t="str">
        <f>IFERROR(VLOOKUP(E4180,'Condensed Specialty Crosswalk'!$A$2:$C$106,2,FALSE),"")</f>
        <v/>
      </c>
      <c r="G4180" s="49" t="str">
        <f>IFERROR(VLOOKUP(E4180,'Condensed Specialty Crosswalk'!$A$2:$C$106,3,FALSE),"")</f>
        <v/>
      </c>
    </row>
    <row r="4181" spans="5:7" ht="15" customHeight="1">
      <c r="E4181" s="49" t="str">
        <f>IFERROR(VLOOKUP(D4181,'taxonomy map'!$A$1:$C$107,2,FALSE),"")</f>
        <v/>
      </c>
      <c r="F4181" s="49" t="str">
        <f>IFERROR(VLOOKUP(E4181,'Condensed Specialty Crosswalk'!$A$2:$C$106,2,FALSE),"")</f>
        <v/>
      </c>
      <c r="G4181" s="49" t="str">
        <f>IFERROR(VLOOKUP(E4181,'Condensed Specialty Crosswalk'!$A$2:$C$106,3,FALSE),"")</f>
        <v/>
      </c>
    </row>
    <row r="4182" spans="5:7" ht="15" customHeight="1">
      <c r="E4182" s="49" t="str">
        <f>IFERROR(VLOOKUP(D4182,'taxonomy map'!$A$1:$C$107,2,FALSE),"")</f>
        <v/>
      </c>
      <c r="F4182" s="49" t="str">
        <f>IFERROR(VLOOKUP(E4182,'Condensed Specialty Crosswalk'!$A$2:$C$106,2,FALSE),"")</f>
        <v/>
      </c>
      <c r="G4182" s="49" t="str">
        <f>IFERROR(VLOOKUP(E4182,'Condensed Specialty Crosswalk'!$A$2:$C$106,3,FALSE),"")</f>
        <v/>
      </c>
    </row>
    <row r="4183" spans="5:7" ht="15" customHeight="1">
      <c r="E4183" s="49" t="str">
        <f>IFERROR(VLOOKUP(D4183,'taxonomy map'!$A$1:$C$107,2,FALSE),"")</f>
        <v/>
      </c>
      <c r="F4183" s="49" t="str">
        <f>IFERROR(VLOOKUP(E4183,'Condensed Specialty Crosswalk'!$A$2:$C$106,2,FALSE),"")</f>
        <v/>
      </c>
      <c r="G4183" s="49" t="str">
        <f>IFERROR(VLOOKUP(E4183,'Condensed Specialty Crosswalk'!$A$2:$C$106,3,FALSE),"")</f>
        <v/>
      </c>
    </row>
    <row r="4184" spans="5:7" ht="15" customHeight="1">
      <c r="E4184" s="49" t="str">
        <f>IFERROR(VLOOKUP(D4184,'taxonomy map'!$A$1:$C$107,2,FALSE),"")</f>
        <v/>
      </c>
      <c r="F4184" s="49" t="str">
        <f>IFERROR(VLOOKUP(E4184,'Condensed Specialty Crosswalk'!$A$2:$C$106,2,FALSE),"")</f>
        <v/>
      </c>
      <c r="G4184" s="49" t="str">
        <f>IFERROR(VLOOKUP(E4184,'Condensed Specialty Crosswalk'!$A$2:$C$106,3,FALSE),"")</f>
        <v/>
      </c>
    </row>
    <row r="4185" spans="5:7" ht="15" customHeight="1">
      <c r="E4185" s="49" t="str">
        <f>IFERROR(VLOOKUP(D4185,'taxonomy map'!$A$1:$C$107,2,FALSE),"")</f>
        <v/>
      </c>
      <c r="F4185" s="49" t="str">
        <f>IFERROR(VLOOKUP(E4185,'Condensed Specialty Crosswalk'!$A$2:$C$106,2,FALSE),"")</f>
        <v/>
      </c>
      <c r="G4185" s="49" t="str">
        <f>IFERROR(VLOOKUP(E4185,'Condensed Specialty Crosswalk'!$A$2:$C$106,3,FALSE),"")</f>
        <v/>
      </c>
    </row>
    <row r="4186" spans="5:7" ht="15" customHeight="1">
      <c r="E4186" s="49" t="str">
        <f>IFERROR(VLOOKUP(D4186,'taxonomy map'!$A$1:$C$107,2,FALSE),"")</f>
        <v/>
      </c>
      <c r="F4186" s="49" t="str">
        <f>IFERROR(VLOOKUP(E4186,'Condensed Specialty Crosswalk'!$A$2:$C$106,2,FALSE),"")</f>
        <v/>
      </c>
      <c r="G4186" s="49" t="str">
        <f>IFERROR(VLOOKUP(E4186,'Condensed Specialty Crosswalk'!$A$2:$C$106,3,FALSE),"")</f>
        <v/>
      </c>
    </row>
    <row r="4187" spans="5:7" ht="15" customHeight="1">
      <c r="E4187" s="49" t="str">
        <f>IFERROR(VLOOKUP(D4187,'taxonomy map'!$A$1:$C$107,2,FALSE),"")</f>
        <v/>
      </c>
      <c r="F4187" s="49" t="str">
        <f>IFERROR(VLOOKUP(E4187,'Condensed Specialty Crosswalk'!$A$2:$C$106,2,FALSE),"")</f>
        <v/>
      </c>
      <c r="G4187" s="49" t="str">
        <f>IFERROR(VLOOKUP(E4187,'Condensed Specialty Crosswalk'!$A$2:$C$106,3,FALSE),"")</f>
        <v/>
      </c>
    </row>
    <row r="4188" spans="5:7" ht="15" customHeight="1">
      <c r="E4188" s="49" t="str">
        <f>IFERROR(VLOOKUP(D4188,'taxonomy map'!$A$1:$C$107,2,FALSE),"")</f>
        <v/>
      </c>
      <c r="F4188" s="49" t="str">
        <f>IFERROR(VLOOKUP(E4188,'Condensed Specialty Crosswalk'!$A$2:$C$106,2,FALSE),"")</f>
        <v/>
      </c>
      <c r="G4188" s="49" t="str">
        <f>IFERROR(VLOOKUP(E4188,'Condensed Specialty Crosswalk'!$A$2:$C$106,3,FALSE),"")</f>
        <v/>
      </c>
    </row>
    <row r="4189" spans="5:7" ht="15" customHeight="1">
      <c r="E4189" s="49" t="str">
        <f>IFERROR(VLOOKUP(D4189,'taxonomy map'!$A$1:$C$107,2,FALSE),"")</f>
        <v/>
      </c>
      <c r="F4189" s="49" t="str">
        <f>IFERROR(VLOOKUP(E4189,'Condensed Specialty Crosswalk'!$A$2:$C$106,2,FALSE),"")</f>
        <v/>
      </c>
      <c r="G4189" s="49" t="str">
        <f>IFERROR(VLOOKUP(E4189,'Condensed Specialty Crosswalk'!$A$2:$C$106,3,FALSE),"")</f>
        <v/>
      </c>
    </row>
    <row r="4190" spans="5:7" ht="15" customHeight="1">
      <c r="E4190" s="49" t="str">
        <f>IFERROR(VLOOKUP(D4190,'taxonomy map'!$A$1:$C$107,2,FALSE),"")</f>
        <v/>
      </c>
      <c r="F4190" s="49" t="str">
        <f>IFERROR(VLOOKUP(E4190,'Condensed Specialty Crosswalk'!$A$2:$C$106,2,FALSE),"")</f>
        <v/>
      </c>
      <c r="G4190" s="49" t="str">
        <f>IFERROR(VLOOKUP(E4190,'Condensed Specialty Crosswalk'!$A$2:$C$106,3,FALSE),"")</f>
        <v/>
      </c>
    </row>
    <row r="4191" spans="5:7" ht="15" customHeight="1">
      <c r="E4191" s="49" t="str">
        <f>IFERROR(VLOOKUP(D4191,'taxonomy map'!$A$1:$C$107,2,FALSE),"")</f>
        <v/>
      </c>
      <c r="F4191" s="49" t="str">
        <f>IFERROR(VLOOKUP(E4191,'Condensed Specialty Crosswalk'!$A$2:$C$106,2,FALSE),"")</f>
        <v/>
      </c>
      <c r="G4191" s="49" t="str">
        <f>IFERROR(VLOOKUP(E4191,'Condensed Specialty Crosswalk'!$A$2:$C$106,3,FALSE),"")</f>
        <v/>
      </c>
    </row>
    <row r="4192" spans="5:7" ht="15" customHeight="1">
      <c r="E4192" s="49" t="str">
        <f>IFERROR(VLOOKUP(D4192,'taxonomy map'!$A$1:$C$107,2,FALSE),"")</f>
        <v/>
      </c>
      <c r="F4192" s="49" t="str">
        <f>IFERROR(VLOOKUP(E4192,'Condensed Specialty Crosswalk'!$A$2:$C$106,2,FALSE),"")</f>
        <v/>
      </c>
      <c r="G4192" s="49" t="str">
        <f>IFERROR(VLOOKUP(E4192,'Condensed Specialty Crosswalk'!$A$2:$C$106,3,FALSE),"")</f>
        <v/>
      </c>
    </row>
    <row r="4193" spans="5:7" ht="15" customHeight="1">
      <c r="E4193" s="49" t="str">
        <f>IFERROR(VLOOKUP(D4193,'taxonomy map'!$A$1:$C$107,2,FALSE),"")</f>
        <v/>
      </c>
      <c r="F4193" s="49" t="str">
        <f>IFERROR(VLOOKUP(E4193,'Condensed Specialty Crosswalk'!$A$2:$C$106,2,FALSE),"")</f>
        <v/>
      </c>
      <c r="G4193" s="49" t="str">
        <f>IFERROR(VLOOKUP(E4193,'Condensed Specialty Crosswalk'!$A$2:$C$106,3,FALSE),"")</f>
        <v/>
      </c>
    </row>
    <row r="4194" spans="5:7" ht="15" customHeight="1">
      <c r="E4194" s="49" t="str">
        <f>IFERROR(VLOOKUP(D4194,'taxonomy map'!$A$1:$C$107,2,FALSE),"")</f>
        <v/>
      </c>
      <c r="F4194" s="49" t="str">
        <f>IFERROR(VLOOKUP(E4194,'Condensed Specialty Crosswalk'!$A$2:$C$106,2,FALSE),"")</f>
        <v/>
      </c>
      <c r="G4194" s="49" t="str">
        <f>IFERROR(VLOOKUP(E4194,'Condensed Specialty Crosswalk'!$A$2:$C$106,3,FALSE),"")</f>
        <v/>
      </c>
    </row>
    <row r="4195" spans="5:7" ht="15" customHeight="1">
      <c r="E4195" s="49" t="str">
        <f>IFERROR(VLOOKUP(D4195,'taxonomy map'!$A$1:$C$107,2,FALSE),"")</f>
        <v/>
      </c>
      <c r="F4195" s="49" t="str">
        <f>IFERROR(VLOOKUP(E4195,'Condensed Specialty Crosswalk'!$A$2:$C$106,2,FALSE),"")</f>
        <v/>
      </c>
      <c r="G4195" s="49" t="str">
        <f>IFERROR(VLOOKUP(E4195,'Condensed Specialty Crosswalk'!$A$2:$C$106,3,FALSE),"")</f>
        <v/>
      </c>
    </row>
    <row r="4196" spans="5:7" ht="15" customHeight="1">
      <c r="E4196" s="49" t="str">
        <f>IFERROR(VLOOKUP(D4196,'taxonomy map'!$A$1:$C$107,2,FALSE),"")</f>
        <v/>
      </c>
      <c r="F4196" s="49" t="str">
        <f>IFERROR(VLOOKUP(E4196,'Condensed Specialty Crosswalk'!$A$2:$C$106,2,FALSE),"")</f>
        <v/>
      </c>
      <c r="G4196" s="49" t="str">
        <f>IFERROR(VLOOKUP(E4196,'Condensed Specialty Crosswalk'!$A$2:$C$106,3,FALSE),"")</f>
        <v/>
      </c>
    </row>
    <row r="4197" spans="5:7" ht="15" customHeight="1">
      <c r="E4197" s="49" t="str">
        <f>IFERROR(VLOOKUP(D4197,'taxonomy map'!$A$1:$C$107,2,FALSE),"")</f>
        <v/>
      </c>
      <c r="F4197" s="49" t="str">
        <f>IFERROR(VLOOKUP(E4197,'Condensed Specialty Crosswalk'!$A$2:$C$106,2,FALSE),"")</f>
        <v/>
      </c>
      <c r="G4197" s="49" t="str">
        <f>IFERROR(VLOOKUP(E4197,'Condensed Specialty Crosswalk'!$A$2:$C$106,3,FALSE),"")</f>
        <v/>
      </c>
    </row>
    <row r="4198" spans="5:7" ht="15" customHeight="1">
      <c r="E4198" s="49" t="str">
        <f>IFERROR(VLOOKUP(D4198,'taxonomy map'!$A$1:$C$107,2,FALSE),"")</f>
        <v/>
      </c>
      <c r="F4198" s="49" t="str">
        <f>IFERROR(VLOOKUP(E4198,'Condensed Specialty Crosswalk'!$A$2:$C$106,2,FALSE),"")</f>
        <v/>
      </c>
      <c r="G4198" s="49" t="str">
        <f>IFERROR(VLOOKUP(E4198,'Condensed Specialty Crosswalk'!$A$2:$C$106,3,FALSE),"")</f>
        <v/>
      </c>
    </row>
    <row r="4199" spans="5:7" ht="15" customHeight="1">
      <c r="E4199" s="49" t="str">
        <f>IFERROR(VLOOKUP(D4199,'taxonomy map'!$A$1:$C$107,2,FALSE),"")</f>
        <v/>
      </c>
      <c r="F4199" s="49" t="str">
        <f>IFERROR(VLOOKUP(E4199,'Condensed Specialty Crosswalk'!$A$2:$C$106,2,FALSE),"")</f>
        <v/>
      </c>
      <c r="G4199" s="49" t="str">
        <f>IFERROR(VLOOKUP(E4199,'Condensed Specialty Crosswalk'!$A$2:$C$106,3,FALSE),"")</f>
        <v/>
      </c>
    </row>
    <row r="4200" spans="5:7" ht="15" customHeight="1">
      <c r="E4200" s="49" t="str">
        <f>IFERROR(VLOOKUP(D4200,'taxonomy map'!$A$1:$C$107,2,FALSE),"")</f>
        <v/>
      </c>
      <c r="F4200" s="49" t="str">
        <f>IFERROR(VLOOKUP(E4200,'Condensed Specialty Crosswalk'!$A$2:$C$106,2,FALSE),"")</f>
        <v/>
      </c>
      <c r="G4200" s="49" t="str">
        <f>IFERROR(VLOOKUP(E4200,'Condensed Specialty Crosswalk'!$A$2:$C$106,3,FALSE),"")</f>
        <v/>
      </c>
    </row>
    <row r="4201" spans="5:7" ht="15" customHeight="1">
      <c r="E4201" s="49" t="str">
        <f>IFERROR(VLOOKUP(D4201,'taxonomy map'!$A$1:$C$107,2,FALSE),"")</f>
        <v/>
      </c>
      <c r="F4201" s="49" t="str">
        <f>IFERROR(VLOOKUP(E4201,'Condensed Specialty Crosswalk'!$A$2:$C$106,2,FALSE),"")</f>
        <v/>
      </c>
      <c r="G4201" s="49" t="str">
        <f>IFERROR(VLOOKUP(E4201,'Condensed Specialty Crosswalk'!$A$2:$C$106,3,FALSE),"")</f>
        <v/>
      </c>
    </row>
    <row r="4202" spans="5:7" ht="15" customHeight="1">
      <c r="E4202" s="49" t="str">
        <f>IFERROR(VLOOKUP(D4202,'taxonomy map'!$A$1:$C$107,2,FALSE),"")</f>
        <v/>
      </c>
      <c r="F4202" s="49" t="str">
        <f>IFERROR(VLOOKUP(E4202,'Condensed Specialty Crosswalk'!$A$2:$C$106,2,FALSE),"")</f>
        <v/>
      </c>
      <c r="G4202" s="49" t="str">
        <f>IFERROR(VLOOKUP(E4202,'Condensed Specialty Crosswalk'!$A$2:$C$106,3,FALSE),"")</f>
        <v/>
      </c>
    </row>
    <row r="4203" spans="5:7" ht="15" customHeight="1">
      <c r="E4203" s="49" t="str">
        <f>IFERROR(VLOOKUP(D4203,'taxonomy map'!$A$1:$C$107,2,FALSE),"")</f>
        <v/>
      </c>
      <c r="F4203" s="49" t="str">
        <f>IFERROR(VLOOKUP(E4203,'Condensed Specialty Crosswalk'!$A$2:$C$106,2,FALSE),"")</f>
        <v/>
      </c>
      <c r="G4203" s="49" t="str">
        <f>IFERROR(VLOOKUP(E4203,'Condensed Specialty Crosswalk'!$A$2:$C$106,3,FALSE),"")</f>
        <v/>
      </c>
    </row>
    <row r="4204" spans="5:7" ht="15" customHeight="1">
      <c r="E4204" s="49" t="str">
        <f>IFERROR(VLOOKUP(D4204,'taxonomy map'!$A$1:$C$107,2,FALSE),"")</f>
        <v/>
      </c>
      <c r="F4204" s="49" t="str">
        <f>IFERROR(VLOOKUP(E4204,'Condensed Specialty Crosswalk'!$A$2:$C$106,2,FALSE),"")</f>
        <v/>
      </c>
      <c r="G4204" s="49" t="str">
        <f>IFERROR(VLOOKUP(E4204,'Condensed Specialty Crosswalk'!$A$2:$C$106,3,FALSE),"")</f>
        <v/>
      </c>
    </row>
    <row r="4205" spans="5:7" ht="15" customHeight="1">
      <c r="E4205" s="49" t="str">
        <f>IFERROR(VLOOKUP(D4205,'taxonomy map'!$A$1:$C$107,2,FALSE),"")</f>
        <v/>
      </c>
      <c r="F4205" s="49" t="str">
        <f>IFERROR(VLOOKUP(E4205,'Condensed Specialty Crosswalk'!$A$2:$C$106,2,FALSE),"")</f>
        <v/>
      </c>
      <c r="G4205" s="49" t="str">
        <f>IFERROR(VLOOKUP(E4205,'Condensed Specialty Crosswalk'!$A$2:$C$106,3,FALSE),"")</f>
        <v/>
      </c>
    </row>
    <row r="4206" spans="5:7" ht="15" customHeight="1">
      <c r="E4206" s="49" t="str">
        <f>IFERROR(VLOOKUP(D4206,'taxonomy map'!$A$1:$C$107,2,FALSE),"")</f>
        <v/>
      </c>
      <c r="F4206" s="49" t="str">
        <f>IFERROR(VLOOKUP(E4206,'Condensed Specialty Crosswalk'!$A$2:$C$106,2,FALSE),"")</f>
        <v/>
      </c>
      <c r="G4206" s="49" t="str">
        <f>IFERROR(VLOOKUP(E4206,'Condensed Specialty Crosswalk'!$A$2:$C$106,3,FALSE),"")</f>
        <v/>
      </c>
    </row>
    <row r="4207" spans="5:7" ht="15" customHeight="1">
      <c r="E4207" s="49" t="str">
        <f>IFERROR(VLOOKUP(D4207,'taxonomy map'!$A$1:$C$107,2,FALSE),"")</f>
        <v/>
      </c>
      <c r="F4207" s="49" t="str">
        <f>IFERROR(VLOOKUP(E4207,'Condensed Specialty Crosswalk'!$A$2:$C$106,2,FALSE),"")</f>
        <v/>
      </c>
      <c r="G4207" s="49" t="str">
        <f>IFERROR(VLOOKUP(E4207,'Condensed Specialty Crosswalk'!$A$2:$C$106,3,FALSE),"")</f>
        <v/>
      </c>
    </row>
    <row r="4208" spans="5:7" ht="15" customHeight="1">
      <c r="E4208" s="49" t="str">
        <f>IFERROR(VLOOKUP(D4208,'taxonomy map'!$A$1:$C$107,2,FALSE),"")</f>
        <v/>
      </c>
      <c r="F4208" s="49" t="str">
        <f>IFERROR(VLOOKUP(E4208,'Condensed Specialty Crosswalk'!$A$2:$C$106,2,FALSE),"")</f>
        <v/>
      </c>
      <c r="G4208" s="49" t="str">
        <f>IFERROR(VLOOKUP(E4208,'Condensed Specialty Crosswalk'!$A$2:$C$106,3,FALSE),"")</f>
        <v/>
      </c>
    </row>
    <row r="4209" spans="5:7" ht="15" customHeight="1">
      <c r="E4209" s="49" t="str">
        <f>IFERROR(VLOOKUP(D4209,'taxonomy map'!$A$1:$C$107,2,FALSE),"")</f>
        <v/>
      </c>
      <c r="F4209" s="49" t="str">
        <f>IFERROR(VLOOKUP(E4209,'Condensed Specialty Crosswalk'!$A$2:$C$106,2,FALSE),"")</f>
        <v/>
      </c>
      <c r="G4209" s="49" t="str">
        <f>IFERROR(VLOOKUP(E4209,'Condensed Specialty Crosswalk'!$A$2:$C$106,3,FALSE),"")</f>
        <v/>
      </c>
    </row>
    <row r="4210" spans="5:7" ht="15" customHeight="1">
      <c r="E4210" s="49" t="str">
        <f>IFERROR(VLOOKUP(D4210,'taxonomy map'!$A$1:$C$107,2,FALSE),"")</f>
        <v/>
      </c>
      <c r="F4210" s="49" t="str">
        <f>IFERROR(VLOOKUP(E4210,'Condensed Specialty Crosswalk'!$A$2:$C$106,2,FALSE),"")</f>
        <v/>
      </c>
      <c r="G4210" s="49" t="str">
        <f>IFERROR(VLOOKUP(E4210,'Condensed Specialty Crosswalk'!$A$2:$C$106,3,FALSE),"")</f>
        <v/>
      </c>
    </row>
    <row r="4211" spans="5:7" ht="15" customHeight="1">
      <c r="E4211" s="49" t="str">
        <f>IFERROR(VLOOKUP(D4211,'taxonomy map'!$A$1:$C$107,2,FALSE),"")</f>
        <v/>
      </c>
      <c r="F4211" s="49" t="str">
        <f>IFERROR(VLOOKUP(E4211,'Condensed Specialty Crosswalk'!$A$2:$C$106,2,FALSE),"")</f>
        <v/>
      </c>
      <c r="G4211" s="49" t="str">
        <f>IFERROR(VLOOKUP(E4211,'Condensed Specialty Crosswalk'!$A$2:$C$106,3,FALSE),"")</f>
        <v/>
      </c>
    </row>
    <row r="4212" spans="5:7" ht="15" customHeight="1">
      <c r="E4212" s="49" t="str">
        <f>IFERROR(VLOOKUP(D4212,'taxonomy map'!$A$1:$C$107,2,FALSE),"")</f>
        <v/>
      </c>
      <c r="F4212" s="49" t="str">
        <f>IFERROR(VLOOKUP(E4212,'Condensed Specialty Crosswalk'!$A$2:$C$106,2,FALSE),"")</f>
        <v/>
      </c>
      <c r="G4212" s="49" t="str">
        <f>IFERROR(VLOOKUP(E4212,'Condensed Specialty Crosswalk'!$A$2:$C$106,3,FALSE),"")</f>
        <v/>
      </c>
    </row>
    <row r="4213" spans="5:7" ht="15" customHeight="1">
      <c r="E4213" s="49" t="str">
        <f>IFERROR(VLOOKUP(D4213,'taxonomy map'!$A$1:$C$107,2,FALSE),"")</f>
        <v/>
      </c>
      <c r="F4213" s="49" t="str">
        <f>IFERROR(VLOOKUP(E4213,'Condensed Specialty Crosswalk'!$A$2:$C$106,2,FALSE),"")</f>
        <v/>
      </c>
      <c r="G4213" s="49" t="str">
        <f>IFERROR(VLOOKUP(E4213,'Condensed Specialty Crosswalk'!$A$2:$C$106,3,FALSE),"")</f>
        <v/>
      </c>
    </row>
    <row r="4214" spans="5:7" ht="15" customHeight="1">
      <c r="E4214" s="49" t="str">
        <f>IFERROR(VLOOKUP(D4214,'taxonomy map'!$A$1:$C$107,2,FALSE),"")</f>
        <v/>
      </c>
      <c r="F4214" s="49" t="str">
        <f>IFERROR(VLOOKUP(E4214,'Condensed Specialty Crosswalk'!$A$2:$C$106,2,FALSE),"")</f>
        <v/>
      </c>
      <c r="G4214" s="49" t="str">
        <f>IFERROR(VLOOKUP(E4214,'Condensed Specialty Crosswalk'!$A$2:$C$106,3,FALSE),"")</f>
        <v/>
      </c>
    </row>
    <row r="4215" spans="5:7" ht="15" customHeight="1">
      <c r="E4215" s="49" t="str">
        <f>IFERROR(VLOOKUP(D4215,'taxonomy map'!$A$1:$C$107,2,FALSE),"")</f>
        <v/>
      </c>
      <c r="F4215" s="49" t="str">
        <f>IFERROR(VLOOKUP(E4215,'Condensed Specialty Crosswalk'!$A$2:$C$106,2,FALSE),"")</f>
        <v/>
      </c>
      <c r="G4215" s="49" t="str">
        <f>IFERROR(VLOOKUP(E4215,'Condensed Specialty Crosswalk'!$A$2:$C$106,3,FALSE),"")</f>
        <v/>
      </c>
    </row>
    <row r="4216" spans="5:7" ht="15" customHeight="1">
      <c r="E4216" s="49" t="str">
        <f>IFERROR(VLOOKUP(D4216,'taxonomy map'!$A$1:$C$107,2,FALSE),"")</f>
        <v/>
      </c>
      <c r="F4216" s="49" t="str">
        <f>IFERROR(VLOOKUP(E4216,'Condensed Specialty Crosswalk'!$A$2:$C$106,2,FALSE),"")</f>
        <v/>
      </c>
      <c r="G4216" s="49" t="str">
        <f>IFERROR(VLOOKUP(E4216,'Condensed Specialty Crosswalk'!$A$2:$C$106,3,FALSE),"")</f>
        <v/>
      </c>
    </row>
    <row r="4217" spans="5:7" ht="15" customHeight="1">
      <c r="E4217" s="49" t="str">
        <f>IFERROR(VLOOKUP(D4217,'taxonomy map'!$A$1:$C$107,2,FALSE),"")</f>
        <v/>
      </c>
      <c r="F4217" s="49" t="str">
        <f>IFERROR(VLOOKUP(E4217,'Condensed Specialty Crosswalk'!$A$2:$C$106,2,FALSE),"")</f>
        <v/>
      </c>
      <c r="G4217" s="49" t="str">
        <f>IFERROR(VLOOKUP(E4217,'Condensed Specialty Crosswalk'!$A$2:$C$106,3,FALSE),"")</f>
        <v/>
      </c>
    </row>
    <row r="4218" spans="5:7" ht="15" customHeight="1">
      <c r="E4218" s="49" t="str">
        <f>IFERROR(VLOOKUP(D4218,'taxonomy map'!$A$1:$C$107,2,FALSE),"")</f>
        <v/>
      </c>
      <c r="F4218" s="49" t="str">
        <f>IFERROR(VLOOKUP(E4218,'Condensed Specialty Crosswalk'!$A$2:$C$106,2,FALSE),"")</f>
        <v/>
      </c>
      <c r="G4218" s="49" t="str">
        <f>IFERROR(VLOOKUP(E4218,'Condensed Specialty Crosswalk'!$A$2:$C$106,3,FALSE),"")</f>
        <v/>
      </c>
    </row>
    <row r="4219" spans="5:7" ht="15" customHeight="1">
      <c r="E4219" s="49" t="str">
        <f>IFERROR(VLOOKUP(D4219,'taxonomy map'!$A$1:$C$107,2,FALSE),"")</f>
        <v/>
      </c>
      <c r="F4219" s="49" t="str">
        <f>IFERROR(VLOOKUP(E4219,'Condensed Specialty Crosswalk'!$A$2:$C$106,2,FALSE),"")</f>
        <v/>
      </c>
      <c r="G4219" s="49" t="str">
        <f>IFERROR(VLOOKUP(E4219,'Condensed Specialty Crosswalk'!$A$2:$C$106,3,FALSE),"")</f>
        <v/>
      </c>
    </row>
    <row r="4220" spans="5:7" ht="15" customHeight="1">
      <c r="E4220" s="49" t="str">
        <f>IFERROR(VLOOKUP(D4220,'taxonomy map'!$A$1:$C$107,2,FALSE),"")</f>
        <v/>
      </c>
      <c r="F4220" s="49" t="str">
        <f>IFERROR(VLOOKUP(E4220,'Condensed Specialty Crosswalk'!$A$2:$C$106,2,FALSE),"")</f>
        <v/>
      </c>
      <c r="G4220" s="49" t="str">
        <f>IFERROR(VLOOKUP(E4220,'Condensed Specialty Crosswalk'!$A$2:$C$106,3,FALSE),"")</f>
        <v/>
      </c>
    </row>
    <row r="4221" spans="5:7" ht="15" customHeight="1">
      <c r="E4221" s="49" t="str">
        <f>IFERROR(VLOOKUP(D4221,'taxonomy map'!$A$1:$C$107,2,FALSE),"")</f>
        <v/>
      </c>
      <c r="F4221" s="49" t="str">
        <f>IFERROR(VLOOKUP(E4221,'Condensed Specialty Crosswalk'!$A$2:$C$106,2,FALSE),"")</f>
        <v/>
      </c>
      <c r="G4221" s="49" t="str">
        <f>IFERROR(VLOOKUP(E4221,'Condensed Specialty Crosswalk'!$A$2:$C$106,3,FALSE),"")</f>
        <v/>
      </c>
    </row>
    <row r="4222" spans="5:7" ht="15" customHeight="1">
      <c r="E4222" s="49" t="str">
        <f>IFERROR(VLOOKUP(D4222,'taxonomy map'!$A$1:$C$107,2,FALSE),"")</f>
        <v/>
      </c>
      <c r="F4222" s="49" t="str">
        <f>IFERROR(VLOOKUP(E4222,'Condensed Specialty Crosswalk'!$A$2:$C$106,2,FALSE),"")</f>
        <v/>
      </c>
      <c r="G4222" s="49" t="str">
        <f>IFERROR(VLOOKUP(E4222,'Condensed Specialty Crosswalk'!$A$2:$C$106,3,FALSE),"")</f>
        <v/>
      </c>
    </row>
    <row r="4223" spans="5:7" ht="15" customHeight="1">
      <c r="E4223" s="49" t="str">
        <f>IFERROR(VLOOKUP(D4223,'taxonomy map'!$A$1:$C$107,2,FALSE),"")</f>
        <v/>
      </c>
      <c r="F4223" s="49" t="str">
        <f>IFERROR(VLOOKUP(E4223,'Condensed Specialty Crosswalk'!$A$2:$C$106,2,FALSE),"")</f>
        <v/>
      </c>
      <c r="G4223" s="49" t="str">
        <f>IFERROR(VLOOKUP(E4223,'Condensed Specialty Crosswalk'!$A$2:$C$106,3,FALSE),"")</f>
        <v/>
      </c>
    </row>
    <row r="4224" spans="5:7" ht="15" customHeight="1">
      <c r="E4224" s="49" t="str">
        <f>IFERROR(VLOOKUP(D4224,'taxonomy map'!$A$1:$C$107,2,FALSE),"")</f>
        <v/>
      </c>
      <c r="F4224" s="49" t="str">
        <f>IFERROR(VLOOKUP(E4224,'Condensed Specialty Crosswalk'!$A$2:$C$106,2,FALSE),"")</f>
        <v/>
      </c>
      <c r="G4224" s="49" t="str">
        <f>IFERROR(VLOOKUP(E4224,'Condensed Specialty Crosswalk'!$A$2:$C$106,3,FALSE),"")</f>
        <v/>
      </c>
    </row>
    <row r="4225" spans="5:7" ht="15" customHeight="1">
      <c r="E4225" s="49" t="str">
        <f>IFERROR(VLOOKUP(D4225,'taxonomy map'!$A$1:$C$107,2,FALSE),"")</f>
        <v/>
      </c>
      <c r="F4225" s="49" t="str">
        <f>IFERROR(VLOOKUP(E4225,'Condensed Specialty Crosswalk'!$A$2:$C$106,2,FALSE),"")</f>
        <v/>
      </c>
      <c r="G4225" s="49" t="str">
        <f>IFERROR(VLOOKUP(E4225,'Condensed Specialty Crosswalk'!$A$2:$C$106,3,FALSE),"")</f>
        <v/>
      </c>
    </row>
    <row r="4226" spans="5:7" ht="15" customHeight="1">
      <c r="E4226" s="49" t="str">
        <f>IFERROR(VLOOKUP(D4226,'taxonomy map'!$A$1:$C$107,2,FALSE),"")</f>
        <v/>
      </c>
      <c r="F4226" s="49" t="str">
        <f>IFERROR(VLOOKUP(E4226,'Condensed Specialty Crosswalk'!$A$2:$C$106,2,FALSE),"")</f>
        <v/>
      </c>
      <c r="G4226" s="49" t="str">
        <f>IFERROR(VLOOKUP(E4226,'Condensed Specialty Crosswalk'!$A$2:$C$106,3,FALSE),"")</f>
        <v/>
      </c>
    </row>
    <row r="4227" spans="5:7" ht="15" customHeight="1">
      <c r="E4227" s="49" t="str">
        <f>IFERROR(VLOOKUP(D4227,'taxonomy map'!$A$1:$C$107,2,FALSE),"")</f>
        <v/>
      </c>
      <c r="F4227" s="49" t="str">
        <f>IFERROR(VLOOKUP(E4227,'Condensed Specialty Crosswalk'!$A$2:$C$106,2,FALSE),"")</f>
        <v/>
      </c>
      <c r="G4227" s="49" t="str">
        <f>IFERROR(VLOOKUP(E4227,'Condensed Specialty Crosswalk'!$A$2:$C$106,3,FALSE),"")</f>
        <v/>
      </c>
    </row>
    <row r="4228" spans="5:7" ht="15" customHeight="1">
      <c r="E4228" s="49" t="str">
        <f>IFERROR(VLOOKUP(D4228,'taxonomy map'!$A$1:$C$107,2,FALSE),"")</f>
        <v/>
      </c>
      <c r="F4228" s="49" t="str">
        <f>IFERROR(VLOOKUP(E4228,'Condensed Specialty Crosswalk'!$A$2:$C$106,2,FALSE),"")</f>
        <v/>
      </c>
      <c r="G4228" s="49" t="str">
        <f>IFERROR(VLOOKUP(E4228,'Condensed Specialty Crosswalk'!$A$2:$C$106,3,FALSE),"")</f>
        <v/>
      </c>
    </row>
    <row r="4229" spans="5:7" ht="15" customHeight="1">
      <c r="E4229" s="49" t="str">
        <f>IFERROR(VLOOKUP(D4229,'taxonomy map'!$A$1:$C$107,2,FALSE),"")</f>
        <v/>
      </c>
      <c r="F4229" s="49" t="str">
        <f>IFERROR(VLOOKUP(E4229,'Condensed Specialty Crosswalk'!$A$2:$C$106,2,FALSE),"")</f>
        <v/>
      </c>
      <c r="G4229" s="49" t="str">
        <f>IFERROR(VLOOKUP(E4229,'Condensed Specialty Crosswalk'!$A$2:$C$106,3,FALSE),"")</f>
        <v/>
      </c>
    </row>
    <row r="4230" spans="5:7" ht="15" customHeight="1">
      <c r="E4230" s="49" t="str">
        <f>IFERROR(VLOOKUP(D4230,'taxonomy map'!$A$1:$C$107,2,FALSE),"")</f>
        <v/>
      </c>
      <c r="F4230" s="49" t="str">
        <f>IFERROR(VLOOKUP(E4230,'Condensed Specialty Crosswalk'!$A$2:$C$106,2,FALSE),"")</f>
        <v/>
      </c>
      <c r="G4230" s="49" t="str">
        <f>IFERROR(VLOOKUP(E4230,'Condensed Specialty Crosswalk'!$A$2:$C$106,3,FALSE),"")</f>
        <v/>
      </c>
    </row>
    <row r="4231" spans="5:7" ht="15" customHeight="1">
      <c r="E4231" s="49" t="str">
        <f>IFERROR(VLOOKUP(D4231,'taxonomy map'!$A$1:$C$107,2,FALSE),"")</f>
        <v/>
      </c>
      <c r="F4231" s="49" t="str">
        <f>IFERROR(VLOOKUP(E4231,'Condensed Specialty Crosswalk'!$A$2:$C$106,2,FALSE),"")</f>
        <v/>
      </c>
      <c r="G4231" s="49" t="str">
        <f>IFERROR(VLOOKUP(E4231,'Condensed Specialty Crosswalk'!$A$2:$C$106,3,FALSE),"")</f>
        <v/>
      </c>
    </row>
    <row r="4232" spans="5:7" ht="15" customHeight="1">
      <c r="E4232" s="49" t="str">
        <f>IFERROR(VLOOKUP(D4232,'taxonomy map'!$A$1:$C$107,2,FALSE),"")</f>
        <v/>
      </c>
      <c r="F4232" s="49" t="str">
        <f>IFERROR(VLOOKUP(E4232,'Condensed Specialty Crosswalk'!$A$2:$C$106,2,FALSE),"")</f>
        <v/>
      </c>
      <c r="G4232" s="49" t="str">
        <f>IFERROR(VLOOKUP(E4232,'Condensed Specialty Crosswalk'!$A$2:$C$106,3,FALSE),"")</f>
        <v/>
      </c>
    </row>
    <row r="4233" spans="5:7" ht="15" customHeight="1">
      <c r="E4233" s="49" t="str">
        <f>IFERROR(VLOOKUP(D4233,'taxonomy map'!$A$1:$C$107,2,FALSE),"")</f>
        <v/>
      </c>
      <c r="F4233" s="49" t="str">
        <f>IFERROR(VLOOKUP(E4233,'Condensed Specialty Crosswalk'!$A$2:$C$106,2,FALSE),"")</f>
        <v/>
      </c>
      <c r="G4233" s="49" t="str">
        <f>IFERROR(VLOOKUP(E4233,'Condensed Specialty Crosswalk'!$A$2:$C$106,3,FALSE),"")</f>
        <v/>
      </c>
    </row>
    <row r="4234" spans="5:7" ht="15" customHeight="1">
      <c r="E4234" s="49" t="str">
        <f>IFERROR(VLOOKUP(D4234,'taxonomy map'!$A$1:$C$107,2,FALSE),"")</f>
        <v/>
      </c>
      <c r="F4234" s="49" t="str">
        <f>IFERROR(VLOOKUP(E4234,'Condensed Specialty Crosswalk'!$A$2:$C$106,2,FALSE),"")</f>
        <v/>
      </c>
      <c r="G4234" s="49" t="str">
        <f>IFERROR(VLOOKUP(E4234,'Condensed Specialty Crosswalk'!$A$2:$C$106,3,FALSE),"")</f>
        <v/>
      </c>
    </row>
    <row r="4235" spans="5:7" ht="15" customHeight="1">
      <c r="E4235" s="49" t="str">
        <f>IFERROR(VLOOKUP(D4235,'taxonomy map'!$A$1:$C$107,2,FALSE),"")</f>
        <v/>
      </c>
      <c r="F4235" s="49" t="str">
        <f>IFERROR(VLOOKUP(E4235,'Condensed Specialty Crosswalk'!$A$2:$C$106,2,FALSE),"")</f>
        <v/>
      </c>
      <c r="G4235" s="49" t="str">
        <f>IFERROR(VLOOKUP(E4235,'Condensed Specialty Crosswalk'!$A$2:$C$106,3,FALSE),"")</f>
        <v/>
      </c>
    </row>
    <row r="4236" spans="5:7" ht="15" customHeight="1">
      <c r="E4236" s="49" t="str">
        <f>IFERROR(VLOOKUP(D4236,'taxonomy map'!$A$1:$C$107,2,FALSE),"")</f>
        <v/>
      </c>
      <c r="F4236" s="49" t="str">
        <f>IFERROR(VLOOKUP(E4236,'Condensed Specialty Crosswalk'!$A$2:$C$106,2,FALSE),"")</f>
        <v/>
      </c>
      <c r="G4236" s="49" t="str">
        <f>IFERROR(VLOOKUP(E4236,'Condensed Specialty Crosswalk'!$A$2:$C$106,3,FALSE),"")</f>
        <v/>
      </c>
    </row>
    <row r="4237" spans="5:7" ht="15" customHeight="1">
      <c r="E4237" s="49" t="str">
        <f>IFERROR(VLOOKUP(D4237,'taxonomy map'!$A$1:$C$107,2,FALSE),"")</f>
        <v/>
      </c>
      <c r="F4237" s="49" t="str">
        <f>IFERROR(VLOOKUP(E4237,'Condensed Specialty Crosswalk'!$A$2:$C$106,2,FALSE),"")</f>
        <v/>
      </c>
      <c r="G4237" s="49" t="str">
        <f>IFERROR(VLOOKUP(E4237,'Condensed Specialty Crosswalk'!$A$2:$C$106,3,FALSE),"")</f>
        <v/>
      </c>
    </row>
    <row r="4238" spans="5:7" ht="15" customHeight="1">
      <c r="E4238" s="49" t="str">
        <f>IFERROR(VLOOKUP(D4238,'taxonomy map'!$A$1:$C$107,2,FALSE),"")</f>
        <v/>
      </c>
      <c r="F4238" s="49" t="str">
        <f>IFERROR(VLOOKUP(E4238,'Condensed Specialty Crosswalk'!$A$2:$C$106,2,FALSE),"")</f>
        <v/>
      </c>
      <c r="G4238" s="49" t="str">
        <f>IFERROR(VLOOKUP(E4238,'Condensed Specialty Crosswalk'!$A$2:$C$106,3,FALSE),"")</f>
        <v/>
      </c>
    </row>
    <row r="4239" spans="5:7" ht="15" customHeight="1">
      <c r="E4239" s="49" t="str">
        <f>IFERROR(VLOOKUP(D4239,'taxonomy map'!$A$1:$C$107,2,FALSE),"")</f>
        <v/>
      </c>
      <c r="F4239" s="49" t="str">
        <f>IFERROR(VLOOKUP(E4239,'Condensed Specialty Crosswalk'!$A$2:$C$106,2,FALSE),"")</f>
        <v/>
      </c>
      <c r="G4239" s="49" t="str">
        <f>IFERROR(VLOOKUP(E4239,'Condensed Specialty Crosswalk'!$A$2:$C$106,3,FALSE),"")</f>
        <v/>
      </c>
    </row>
    <row r="4240" spans="5:7" ht="15" customHeight="1">
      <c r="E4240" s="49" t="str">
        <f>IFERROR(VLOOKUP(D4240,'taxonomy map'!$A$1:$C$107,2,FALSE),"")</f>
        <v/>
      </c>
      <c r="F4240" s="49" t="str">
        <f>IFERROR(VLOOKUP(E4240,'Condensed Specialty Crosswalk'!$A$2:$C$106,2,FALSE),"")</f>
        <v/>
      </c>
      <c r="G4240" s="49" t="str">
        <f>IFERROR(VLOOKUP(E4240,'Condensed Specialty Crosswalk'!$A$2:$C$106,3,FALSE),"")</f>
        <v/>
      </c>
    </row>
    <row r="4241" spans="5:7" ht="15" customHeight="1">
      <c r="E4241" s="49" t="str">
        <f>IFERROR(VLOOKUP(D4241,'taxonomy map'!$A$1:$C$107,2,FALSE),"")</f>
        <v/>
      </c>
      <c r="F4241" s="49" t="str">
        <f>IFERROR(VLOOKUP(E4241,'Condensed Specialty Crosswalk'!$A$2:$C$106,2,FALSE),"")</f>
        <v/>
      </c>
      <c r="G4241" s="49" t="str">
        <f>IFERROR(VLOOKUP(E4241,'Condensed Specialty Crosswalk'!$A$2:$C$106,3,FALSE),"")</f>
        <v/>
      </c>
    </row>
    <row r="4242" spans="5:7" ht="15" customHeight="1">
      <c r="E4242" s="49" t="str">
        <f>IFERROR(VLOOKUP(D4242,'taxonomy map'!$A$1:$C$107,2,FALSE),"")</f>
        <v/>
      </c>
      <c r="F4242" s="49" t="str">
        <f>IFERROR(VLOOKUP(E4242,'Condensed Specialty Crosswalk'!$A$2:$C$106,2,FALSE),"")</f>
        <v/>
      </c>
      <c r="G4242" s="49" t="str">
        <f>IFERROR(VLOOKUP(E4242,'Condensed Specialty Crosswalk'!$A$2:$C$106,3,FALSE),"")</f>
        <v/>
      </c>
    </row>
    <row r="4243" spans="5:7" ht="15" customHeight="1">
      <c r="E4243" s="49" t="str">
        <f>IFERROR(VLOOKUP(D4243,'taxonomy map'!$A$1:$C$107,2,FALSE),"")</f>
        <v/>
      </c>
      <c r="F4243" s="49" t="str">
        <f>IFERROR(VLOOKUP(E4243,'Condensed Specialty Crosswalk'!$A$2:$C$106,2,FALSE),"")</f>
        <v/>
      </c>
      <c r="G4243" s="49" t="str">
        <f>IFERROR(VLOOKUP(E4243,'Condensed Specialty Crosswalk'!$A$2:$C$106,3,FALSE),"")</f>
        <v/>
      </c>
    </row>
    <row r="4244" spans="5:7" ht="15" customHeight="1">
      <c r="E4244" s="49" t="str">
        <f>IFERROR(VLOOKUP(D4244,'taxonomy map'!$A$1:$C$107,2,FALSE),"")</f>
        <v/>
      </c>
      <c r="F4244" s="49" t="str">
        <f>IFERROR(VLOOKUP(E4244,'Condensed Specialty Crosswalk'!$A$2:$C$106,2,FALSE),"")</f>
        <v/>
      </c>
      <c r="G4244" s="49" t="str">
        <f>IFERROR(VLOOKUP(E4244,'Condensed Specialty Crosswalk'!$A$2:$C$106,3,FALSE),"")</f>
        <v/>
      </c>
    </row>
    <row r="4245" spans="5:7" ht="15" customHeight="1">
      <c r="E4245" s="49" t="str">
        <f>IFERROR(VLOOKUP(D4245,'taxonomy map'!$A$1:$C$107,2,FALSE),"")</f>
        <v/>
      </c>
      <c r="F4245" s="49" t="str">
        <f>IFERROR(VLOOKUP(E4245,'Condensed Specialty Crosswalk'!$A$2:$C$106,2,FALSE),"")</f>
        <v/>
      </c>
      <c r="G4245" s="49" t="str">
        <f>IFERROR(VLOOKUP(E4245,'Condensed Specialty Crosswalk'!$A$2:$C$106,3,FALSE),"")</f>
        <v/>
      </c>
    </row>
    <row r="4246" spans="5:7" ht="15" customHeight="1">
      <c r="E4246" s="49" t="str">
        <f>IFERROR(VLOOKUP(D4246,'taxonomy map'!$A$1:$C$107,2,FALSE),"")</f>
        <v/>
      </c>
      <c r="F4246" s="49" t="str">
        <f>IFERROR(VLOOKUP(E4246,'Condensed Specialty Crosswalk'!$A$2:$C$106,2,FALSE),"")</f>
        <v/>
      </c>
      <c r="G4246" s="49" t="str">
        <f>IFERROR(VLOOKUP(E4246,'Condensed Specialty Crosswalk'!$A$2:$C$106,3,FALSE),"")</f>
        <v/>
      </c>
    </row>
    <row r="4247" spans="5:7" ht="15" customHeight="1">
      <c r="E4247" s="49" t="str">
        <f>IFERROR(VLOOKUP(D4247,'taxonomy map'!$A$1:$C$107,2,FALSE),"")</f>
        <v/>
      </c>
      <c r="F4247" s="49" t="str">
        <f>IFERROR(VLOOKUP(E4247,'Condensed Specialty Crosswalk'!$A$2:$C$106,2,FALSE),"")</f>
        <v/>
      </c>
      <c r="G4247" s="49" t="str">
        <f>IFERROR(VLOOKUP(E4247,'Condensed Specialty Crosswalk'!$A$2:$C$106,3,FALSE),"")</f>
        <v/>
      </c>
    </row>
    <row r="4248" spans="5:7" ht="15" customHeight="1">
      <c r="E4248" s="49" t="str">
        <f>IFERROR(VLOOKUP(D4248,'taxonomy map'!$A$1:$C$107,2,FALSE),"")</f>
        <v/>
      </c>
      <c r="F4248" s="49" t="str">
        <f>IFERROR(VLOOKUP(E4248,'Condensed Specialty Crosswalk'!$A$2:$C$106,2,FALSE),"")</f>
        <v/>
      </c>
      <c r="G4248" s="49" t="str">
        <f>IFERROR(VLOOKUP(E4248,'Condensed Specialty Crosswalk'!$A$2:$C$106,3,FALSE),"")</f>
        <v/>
      </c>
    </row>
    <row r="4249" spans="5:7" ht="15" customHeight="1">
      <c r="E4249" s="49" t="str">
        <f>IFERROR(VLOOKUP(D4249,'taxonomy map'!$A$1:$C$107,2,FALSE),"")</f>
        <v/>
      </c>
      <c r="F4249" s="49" t="str">
        <f>IFERROR(VLOOKUP(E4249,'Condensed Specialty Crosswalk'!$A$2:$C$106,2,FALSE),"")</f>
        <v/>
      </c>
      <c r="G4249" s="49" t="str">
        <f>IFERROR(VLOOKUP(E4249,'Condensed Specialty Crosswalk'!$A$2:$C$106,3,FALSE),"")</f>
        <v/>
      </c>
    </row>
    <row r="4250" spans="5:7" ht="15" customHeight="1">
      <c r="E4250" s="49" t="str">
        <f>IFERROR(VLOOKUP(D4250,'taxonomy map'!$A$1:$C$107,2,FALSE),"")</f>
        <v/>
      </c>
      <c r="F4250" s="49" t="str">
        <f>IFERROR(VLOOKUP(E4250,'Condensed Specialty Crosswalk'!$A$2:$C$106,2,FALSE),"")</f>
        <v/>
      </c>
      <c r="G4250" s="49" t="str">
        <f>IFERROR(VLOOKUP(E4250,'Condensed Specialty Crosswalk'!$A$2:$C$106,3,FALSE),"")</f>
        <v/>
      </c>
    </row>
    <row r="4251" spans="5:7" ht="15" customHeight="1">
      <c r="E4251" s="49" t="str">
        <f>IFERROR(VLOOKUP(D4251,'taxonomy map'!$A$1:$C$107,2,FALSE),"")</f>
        <v/>
      </c>
      <c r="F4251" s="49" t="str">
        <f>IFERROR(VLOOKUP(E4251,'Condensed Specialty Crosswalk'!$A$2:$C$106,2,FALSE),"")</f>
        <v/>
      </c>
      <c r="G4251" s="49" t="str">
        <f>IFERROR(VLOOKUP(E4251,'Condensed Specialty Crosswalk'!$A$2:$C$106,3,FALSE),"")</f>
        <v/>
      </c>
    </row>
    <row r="4252" spans="5:7" ht="15" customHeight="1">
      <c r="E4252" s="49" t="str">
        <f>IFERROR(VLOOKUP(D4252,'taxonomy map'!$A$1:$C$107,2,FALSE),"")</f>
        <v/>
      </c>
      <c r="F4252" s="49" t="str">
        <f>IFERROR(VLOOKUP(E4252,'Condensed Specialty Crosswalk'!$A$2:$C$106,2,FALSE),"")</f>
        <v/>
      </c>
      <c r="G4252" s="49" t="str">
        <f>IFERROR(VLOOKUP(E4252,'Condensed Specialty Crosswalk'!$A$2:$C$106,3,FALSE),"")</f>
        <v/>
      </c>
    </row>
    <row r="4253" spans="5:7" ht="15" customHeight="1">
      <c r="E4253" s="49" t="str">
        <f>IFERROR(VLOOKUP(D4253,'taxonomy map'!$A$1:$C$107,2,FALSE),"")</f>
        <v/>
      </c>
      <c r="F4253" s="49" t="str">
        <f>IFERROR(VLOOKUP(E4253,'Condensed Specialty Crosswalk'!$A$2:$C$106,2,FALSE),"")</f>
        <v/>
      </c>
      <c r="G4253" s="49" t="str">
        <f>IFERROR(VLOOKUP(E4253,'Condensed Specialty Crosswalk'!$A$2:$C$106,3,FALSE),"")</f>
        <v/>
      </c>
    </row>
    <row r="4254" spans="5:7" ht="15" customHeight="1">
      <c r="E4254" s="49" t="str">
        <f>IFERROR(VLOOKUP(D4254,'taxonomy map'!$A$1:$C$107,2,FALSE),"")</f>
        <v/>
      </c>
      <c r="F4254" s="49" t="str">
        <f>IFERROR(VLOOKUP(E4254,'Condensed Specialty Crosswalk'!$A$2:$C$106,2,FALSE),"")</f>
        <v/>
      </c>
      <c r="G4254" s="49" t="str">
        <f>IFERROR(VLOOKUP(E4254,'Condensed Specialty Crosswalk'!$A$2:$C$106,3,FALSE),"")</f>
        <v/>
      </c>
    </row>
    <row r="4255" spans="5:7" ht="15" customHeight="1">
      <c r="E4255" s="49" t="str">
        <f>IFERROR(VLOOKUP(D4255,'taxonomy map'!$A$1:$C$107,2,FALSE),"")</f>
        <v/>
      </c>
      <c r="F4255" s="49" t="str">
        <f>IFERROR(VLOOKUP(E4255,'Condensed Specialty Crosswalk'!$A$2:$C$106,2,FALSE),"")</f>
        <v/>
      </c>
      <c r="G4255" s="49" t="str">
        <f>IFERROR(VLOOKUP(E4255,'Condensed Specialty Crosswalk'!$A$2:$C$106,3,FALSE),"")</f>
        <v/>
      </c>
    </row>
    <row r="4256" spans="5:7" ht="15" customHeight="1">
      <c r="E4256" s="49" t="str">
        <f>IFERROR(VLOOKUP(D4256,'taxonomy map'!$A$1:$C$107,2,FALSE),"")</f>
        <v/>
      </c>
      <c r="F4256" s="49" t="str">
        <f>IFERROR(VLOOKUP(E4256,'Condensed Specialty Crosswalk'!$A$2:$C$106,2,FALSE),"")</f>
        <v/>
      </c>
      <c r="G4256" s="49" t="str">
        <f>IFERROR(VLOOKUP(E4256,'Condensed Specialty Crosswalk'!$A$2:$C$106,3,FALSE),"")</f>
        <v/>
      </c>
    </row>
    <row r="4257" spans="5:7" ht="15" customHeight="1">
      <c r="E4257" s="49" t="str">
        <f>IFERROR(VLOOKUP(D4257,'taxonomy map'!$A$1:$C$107,2,FALSE),"")</f>
        <v/>
      </c>
      <c r="F4257" s="49" t="str">
        <f>IFERROR(VLOOKUP(E4257,'Condensed Specialty Crosswalk'!$A$2:$C$106,2,FALSE),"")</f>
        <v/>
      </c>
      <c r="G4257" s="49" t="str">
        <f>IFERROR(VLOOKUP(E4257,'Condensed Specialty Crosswalk'!$A$2:$C$106,3,FALSE),"")</f>
        <v/>
      </c>
    </row>
    <row r="4258" spans="5:7" ht="15" customHeight="1">
      <c r="E4258" s="49" t="str">
        <f>IFERROR(VLOOKUP(D4258,'taxonomy map'!$A$1:$C$107,2,FALSE),"")</f>
        <v/>
      </c>
      <c r="F4258" s="49" t="str">
        <f>IFERROR(VLOOKUP(E4258,'Condensed Specialty Crosswalk'!$A$2:$C$106,2,FALSE),"")</f>
        <v/>
      </c>
      <c r="G4258" s="49" t="str">
        <f>IFERROR(VLOOKUP(E4258,'Condensed Specialty Crosswalk'!$A$2:$C$106,3,FALSE),"")</f>
        <v/>
      </c>
    </row>
    <row r="4259" spans="5:7" ht="15" customHeight="1">
      <c r="E4259" s="49" t="str">
        <f>IFERROR(VLOOKUP(D4259,'taxonomy map'!$A$1:$C$107,2,FALSE),"")</f>
        <v/>
      </c>
      <c r="F4259" s="49" t="str">
        <f>IFERROR(VLOOKUP(E4259,'Condensed Specialty Crosswalk'!$A$2:$C$106,2,FALSE),"")</f>
        <v/>
      </c>
      <c r="G4259" s="49" t="str">
        <f>IFERROR(VLOOKUP(E4259,'Condensed Specialty Crosswalk'!$A$2:$C$106,3,FALSE),"")</f>
        <v/>
      </c>
    </row>
    <row r="4260" spans="5:7" ht="15" customHeight="1">
      <c r="E4260" s="49" t="str">
        <f>IFERROR(VLOOKUP(D4260,'taxonomy map'!$A$1:$C$107,2,FALSE),"")</f>
        <v/>
      </c>
      <c r="F4260" s="49" t="str">
        <f>IFERROR(VLOOKUP(E4260,'Condensed Specialty Crosswalk'!$A$2:$C$106,2,FALSE),"")</f>
        <v/>
      </c>
      <c r="G4260" s="49" t="str">
        <f>IFERROR(VLOOKUP(E4260,'Condensed Specialty Crosswalk'!$A$2:$C$106,3,FALSE),"")</f>
        <v/>
      </c>
    </row>
    <row r="4261" spans="5:7" ht="15" customHeight="1">
      <c r="E4261" s="49" t="str">
        <f>IFERROR(VLOOKUP(D4261,'taxonomy map'!$A$1:$C$107,2,FALSE),"")</f>
        <v/>
      </c>
      <c r="F4261" s="49" t="str">
        <f>IFERROR(VLOOKUP(E4261,'Condensed Specialty Crosswalk'!$A$2:$C$106,2,FALSE),"")</f>
        <v/>
      </c>
      <c r="G4261" s="49" t="str">
        <f>IFERROR(VLOOKUP(E4261,'Condensed Specialty Crosswalk'!$A$2:$C$106,3,FALSE),"")</f>
        <v/>
      </c>
    </row>
    <row r="4262" spans="5:7" ht="15" customHeight="1">
      <c r="E4262" s="49" t="str">
        <f>IFERROR(VLOOKUP(D4262,'taxonomy map'!$A$1:$C$107,2,FALSE),"")</f>
        <v/>
      </c>
      <c r="F4262" s="49" t="str">
        <f>IFERROR(VLOOKUP(E4262,'Condensed Specialty Crosswalk'!$A$2:$C$106,2,FALSE),"")</f>
        <v/>
      </c>
      <c r="G4262" s="49" t="str">
        <f>IFERROR(VLOOKUP(E4262,'Condensed Specialty Crosswalk'!$A$2:$C$106,3,FALSE),"")</f>
        <v/>
      </c>
    </row>
    <row r="4263" spans="5:7" ht="15" customHeight="1">
      <c r="E4263" s="49" t="str">
        <f>IFERROR(VLOOKUP(D4263,'taxonomy map'!$A$1:$C$107,2,FALSE),"")</f>
        <v/>
      </c>
      <c r="F4263" s="49" t="str">
        <f>IFERROR(VLOOKUP(E4263,'Condensed Specialty Crosswalk'!$A$2:$C$106,2,FALSE),"")</f>
        <v/>
      </c>
      <c r="G4263" s="49" t="str">
        <f>IFERROR(VLOOKUP(E4263,'Condensed Specialty Crosswalk'!$A$2:$C$106,3,FALSE),"")</f>
        <v/>
      </c>
    </row>
    <row r="4264" spans="5:7" ht="15" customHeight="1">
      <c r="E4264" s="49" t="str">
        <f>IFERROR(VLOOKUP(D4264,'taxonomy map'!$A$1:$C$107,2,FALSE),"")</f>
        <v/>
      </c>
      <c r="F4264" s="49" t="str">
        <f>IFERROR(VLOOKUP(E4264,'Condensed Specialty Crosswalk'!$A$2:$C$106,2,FALSE),"")</f>
        <v/>
      </c>
      <c r="G4264" s="49" t="str">
        <f>IFERROR(VLOOKUP(E4264,'Condensed Specialty Crosswalk'!$A$2:$C$106,3,FALSE),"")</f>
        <v/>
      </c>
    </row>
    <row r="4265" spans="5:7" ht="15" customHeight="1">
      <c r="E4265" s="49" t="str">
        <f>IFERROR(VLOOKUP(D4265,'taxonomy map'!$A$1:$C$107,2,FALSE),"")</f>
        <v/>
      </c>
      <c r="F4265" s="49" t="str">
        <f>IFERROR(VLOOKUP(E4265,'Condensed Specialty Crosswalk'!$A$2:$C$106,2,FALSE),"")</f>
        <v/>
      </c>
      <c r="G4265" s="49" t="str">
        <f>IFERROR(VLOOKUP(E4265,'Condensed Specialty Crosswalk'!$A$2:$C$106,3,FALSE),"")</f>
        <v/>
      </c>
    </row>
    <row r="4266" spans="5:7" ht="15" customHeight="1">
      <c r="E4266" s="49" t="str">
        <f>IFERROR(VLOOKUP(D4266,'taxonomy map'!$A$1:$C$107,2,FALSE),"")</f>
        <v/>
      </c>
      <c r="F4266" s="49" t="str">
        <f>IFERROR(VLOOKUP(E4266,'Condensed Specialty Crosswalk'!$A$2:$C$106,2,FALSE),"")</f>
        <v/>
      </c>
      <c r="G4266" s="49" t="str">
        <f>IFERROR(VLOOKUP(E4266,'Condensed Specialty Crosswalk'!$A$2:$C$106,3,FALSE),"")</f>
        <v/>
      </c>
    </row>
    <row r="4267" spans="5:7" ht="15" customHeight="1">
      <c r="E4267" s="49" t="str">
        <f>IFERROR(VLOOKUP(D4267,'taxonomy map'!$A$1:$C$107,2,FALSE),"")</f>
        <v/>
      </c>
      <c r="F4267" s="49" t="str">
        <f>IFERROR(VLOOKUP(E4267,'Condensed Specialty Crosswalk'!$A$2:$C$106,2,FALSE),"")</f>
        <v/>
      </c>
      <c r="G4267" s="49" t="str">
        <f>IFERROR(VLOOKUP(E4267,'Condensed Specialty Crosswalk'!$A$2:$C$106,3,FALSE),"")</f>
        <v/>
      </c>
    </row>
    <row r="4268" spans="5:7" ht="15" customHeight="1">
      <c r="E4268" s="49" t="str">
        <f>IFERROR(VLOOKUP(D4268,'taxonomy map'!$A$1:$C$107,2,FALSE),"")</f>
        <v/>
      </c>
      <c r="F4268" s="49" t="str">
        <f>IFERROR(VLOOKUP(E4268,'Condensed Specialty Crosswalk'!$A$2:$C$106,2,FALSE),"")</f>
        <v/>
      </c>
      <c r="G4268" s="49" t="str">
        <f>IFERROR(VLOOKUP(E4268,'Condensed Specialty Crosswalk'!$A$2:$C$106,3,FALSE),"")</f>
        <v/>
      </c>
    </row>
    <row r="4269" spans="5:7" ht="15" customHeight="1">
      <c r="E4269" s="49" t="str">
        <f>IFERROR(VLOOKUP(D4269,'taxonomy map'!$A$1:$C$107,2,FALSE),"")</f>
        <v/>
      </c>
      <c r="F4269" s="49" t="str">
        <f>IFERROR(VLOOKUP(E4269,'Condensed Specialty Crosswalk'!$A$2:$C$106,2,FALSE),"")</f>
        <v/>
      </c>
      <c r="G4269" s="49" t="str">
        <f>IFERROR(VLOOKUP(E4269,'Condensed Specialty Crosswalk'!$A$2:$C$106,3,FALSE),"")</f>
        <v/>
      </c>
    </row>
    <row r="4270" spans="5:7" ht="15" customHeight="1">
      <c r="E4270" s="49" t="str">
        <f>IFERROR(VLOOKUP(D4270,'taxonomy map'!$A$1:$C$107,2,FALSE),"")</f>
        <v/>
      </c>
      <c r="F4270" s="49" t="str">
        <f>IFERROR(VLOOKUP(E4270,'Condensed Specialty Crosswalk'!$A$2:$C$106,2,FALSE),"")</f>
        <v/>
      </c>
      <c r="G4270" s="49" t="str">
        <f>IFERROR(VLOOKUP(E4270,'Condensed Specialty Crosswalk'!$A$2:$C$106,3,FALSE),"")</f>
        <v/>
      </c>
    </row>
    <row r="4271" spans="5:7" ht="15" customHeight="1">
      <c r="E4271" s="49" t="str">
        <f>IFERROR(VLOOKUP(D4271,'taxonomy map'!$A$1:$C$107,2,FALSE),"")</f>
        <v/>
      </c>
      <c r="F4271" s="49" t="str">
        <f>IFERROR(VLOOKUP(E4271,'Condensed Specialty Crosswalk'!$A$2:$C$106,2,FALSE),"")</f>
        <v/>
      </c>
      <c r="G4271" s="49" t="str">
        <f>IFERROR(VLOOKUP(E4271,'Condensed Specialty Crosswalk'!$A$2:$C$106,3,FALSE),"")</f>
        <v/>
      </c>
    </row>
    <row r="4272" spans="5:7" ht="15" customHeight="1">
      <c r="E4272" s="49" t="str">
        <f>IFERROR(VLOOKUP(D4272,'taxonomy map'!$A$1:$C$107,2,FALSE),"")</f>
        <v/>
      </c>
      <c r="F4272" s="49" t="str">
        <f>IFERROR(VLOOKUP(E4272,'Condensed Specialty Crosswalk'!$A$2:$C$106,2,FALSE),"")</f>
        <v/>
      </c>
      <c r="G4272" s="49" t="str">
        <f>IFERROR(VLOOKUP(E4272,'Condensed Specialty Crosswalk'!$A$2:$C$106,3,FALSE),"")</f>
        <v/>
      </c>
    </row>
    <row r="4273" spans="5:7" ht="15" customHeight="1">
      <c r="E4273" s="49" t="str">
        <f>IFERROR(VLOOKUP(D4273,'taxonomy map'!$A$1:$C$107,2,FALSE),"")</f>
        <v/>
      </c>
      <c r="F4273" s="49" t="str">
        <f>IFERROR(VLOOKUP(E4273,'Condensed Specialty Crosswalk'!$A$2:$C$106,2,FALSE),"")</f>
        <v/>
      </c>
      <c r="G4273" s="49" t="str">
        <f>IFERROR(VLOOKUP(E4273,'Condensed Specialty Crosswalk'!$A$2:$C$106,3,FALSE),"")</f>
        <v/>
      </c>
    </row>
    <row r="4274" spans="5:7" ht="15" customHeight="1">
      <c r="E4274" s="49" t="str">
        <f>IFERROR(VLOOKUP(D4274,'taxonomy map'!$A$1:$C$107,2,FALSE),"")</f>
        <v/>
      </c>
      <c r="F4274" s="49" t="str">
        <f>IFERROR(VLOOKUP(E4274,'Condensed Specialty Crosswalk'!$A$2:$C$106,2,FALSE),"")</f>
        <v/>
      </c>
      <c r="G4274" s="49" t="str">
        <f>IFERROR(VLOOKUP(E4274,'Condensed Specialty Crosswalk'!$A$2:$C$106,3,FALSE),"")</f>
        <v/>
      </c>
    </row>
    <row r="4275" spans="5:7" ht="15" customHeight="1">
      <c r="E4275" s="49" t="str">
        <f>IFERROR(VLOOKUP(D4275,'taxonomy map'!$A$1:$C$107,2,FALSE),"")</f>
        <v/>
      </c>
      <c r="F4275" s="49" t="str">
        <f>IFERROR(VLOOKUP(E4275,'Condensed Specialty Crosswalk'!$A$2:$C$106,2,FALSE),"")</f>
        <v/>
      </c>
      <c r="G4275" s="49" t="str">
        <f>IFERROR(VLOOKUP(E4275,'Condensed Specialty Crosswalk'!$A$2:$C$106,3,FALSE),"")</f>
        <v/>
      </c>
    </row>
    <row r="4276" spans="5:7" ht="15" customHeight="1">
      <c r="E4276" s="49" t="str">
        <f>IFERROR(VLOOKUP(D4276,'taxonomy map'!$A$1:$C$107,2,FALSE),"")</f>
        <v/>
      </c>
      <c r="F4276" s="49" t="str">
        <f>IFERROR(VLOOKUP(E4276,'Condensed Specialty Crosswalk'!$A$2:$C$106,2,FALSE),"")</f>
        <v/>
      </c>
      <c r="G4276" s="49" t="str">
        <f>IFERROR(VLOOKUP(E4276,'Condensed Specialty Crosswalk'!$A$2:$C$106,3,FALSE),"")</f>
        <v/>
      </c>
    </row>
    <row r="4277" spans="5:7" ht="15" customHeight="1">
      <c r="E4277" s="49" t="str">
        <f>IFERROR(VLOOKUP(D4277,'taxonomy map'!$A$1:$C$107,2,FALSE),"")</f>
        <v/>
      </c>
      <c r="F4277" s="49" t="str">
        <f>IFERROR(VLOOKUP(E4277,'Condensed Specialty Crosswalk'!$A$2:$C$106,2,FALSE),"")</f>
        <v/>
      </c>
      <c r="G4277" s="49" t="str">
        <f>IFERROR(VLOOKUP(E4277,'Condensed Specialty Crosswalk'!$A$2:$C$106,3,FALSE),"")</f>
        <v/>
      </c>
    </row>
    <row r="4278" spans="5:7" ht="15" customHeight="1">
      <c r="E4278" s="49" t="str">
        <f>IFERROR(VLOOKUP(D4278,'taxonomy map'!$A$1:$C$107,2,FALSE),"")</f>
        <v/>
      </c>
      <c r="F4278" s="49" t="str">
        <f>IFERROR(VLOOKUP(E4278,'Condensed Specialty Crosswalk'!$A$2:$C$106,2,FALSE),"")</f>
        <v/>
      </c>
      <c r="G4278" s="49" t="str">
        <f>IFERROR(VLOOKUP(E4278,'Condensed Specialty Crosswalk'!$A$2:$C$106,3,FALSE),"")</f>
        <v/>
      </c>
    </row>
    <row r="4279" spans="5:7" ht="15" customHeight="1">
      <c r="E4279" s="49" t="str">
        <f>IFERROR(VLOOKUP(D4279,'taxonomy map'!$A$1:$C$107,2,FALSE),"")</f>
        <v/>
      </c>
      <c r="F4279" s="49" t="str">
        <f>IFERROR(VLOOKUP(E4279,'Condensed Specialty Crosswalk'!$A$2:$C$106,2,FALSE),"")</f>
        <v/>
      </c>
      <c r="G4279" s="49" t="str">
        <f>IFERROR(VLOOKUP(E4279,'Condensed Specialty Crosswalk'!$A$2:$C$106,3,FALSE),"")</f>
        <v/>
      </c>
    </row>
    <row r="4280" spans="5:7" ht="15" customHeight="1">
      <c r="E4280" s="49" t="str">
        <f>IFERROR(VLOOKUP(D4280,'taxonomy map'!$A$1:$C$107,2,FALSE),"")</f>
        <v/>
      </c>
      <c r="F4280" s="49" t="str">
        <f>IFERROR(VLOOKUP(E4280,'Condensed Specialty Crosswalk'!$A$2:$C$106,2,FALSE),"")</f>
        <v/>
      </c>
      <c r="G4280" s="49" t="str">
        <f>IFERROR(VLOOKUP(E4280,'Condensed Specialty Crosswalk'!$A$2:$C$106,3,FALSE),"")</f>
        <v/>
      </c>
    </row>
    <row r="4281" spans="5:7" ht="15" customHeight="1">
      <c r="E4281" s="49" t="str">
        <f>IFERROR(VLOOKUP(D4281,'taxonomy map'!$A$1:$C$107,2,FALSE),"")</f>
        <v/>
      </c>
      <c r="F4281" s="49" t="str">
        <f>IFERROR(VLOOKUP(E4281,'Condensed Specialty Crosswalk'!$A$2:$C$106,2,FALSE),"")</f>
        <v/>
      </c>
      <c r="G4281" s="49" t="str">
        <f>IFERROR(VLOOKUP(E4281,'Condensed Specialty Crosswalk'!$A$2:$C$106,3,FALSE),"")</f>
        <v/>
      </c>
    </row>
    <row r="4282" spans="5:7" ht="15" customHeight="1">
      <c r="E4282" s="49" t="str">
        <f>IFERROR(VLOOKUP(D4282,'taxonomy map'!$A$1:$C$107,2,FALSE),"")</f>
        <v/>
      </c>
      <c r="F4282" s="49" t="str">
        <f>IFERROR(VLOOKUP(E4282,'Condensed Specialty Crosswalk'!$A$2:$C$106,2,FALSE),"")</f>
        <v/>
      </c>
      <c r="G4282" s="49" t="str">
        <f>IFERROR(VLOOKUP(E4282,'Condensed Specialty Crosswalk'!$A$2:$C$106,3,FALSE),"")</f>
        <v/>
      </c>
    </row>
    <row r="4283" spans="5:7" ht="15" customHeight="1">
      <c r="E4283" s="49" t="str">
        <f>IFERROR(VLOOKUP(D4283,'taxonomy map'!$A$1:$C$107,2,FALSE),"")</f>
        <v/>
      </c>
      <c r="F4283" s="49" t="str">
        <f>IFERROR(VLOOKUP(E4283,'Condensed Specialty Crosswalk'!$A$2:$C$106,2,FALSE),"")</f>
        <v/>
      </c>
      <c r="G4283" s="49" t="str">
        <f>IFERROR(VLOOKUP(E4283,'Condensed Specialty Crosswalk'!$A$2:$C$106,3,FALSE),"")</f>
        <v/>
      </c>
    </row>
    <row r="4284" spans="5:7" ht="15" customHeight="1">
      <c r="E4284" s="49" t="str">
        <f>IFERROR(VLOOKUP(D4284,'taxonomy map'!$A$1:$C$107,2,FALSE),"")</f>
        <v/>
      </c>
      <c r="F4284" s="49" t="str">
        <f>IFERROR(VLOOKUP(E4284,'Condensed Specialty Crosswalk'!$A$2:$C$106,2,FALSE),"")</f>
        <v/>
      </c>
      <c r="G4284" s="49" t="str">
        <f>IFERROR(VLOOKUP(E4284,'Condensed Specialty Crosswalk'!$A$2:$C$106,3,FALSE),"")</f>
        <v/>
      </c>
    </row>
    <row r="4285" spans="5:7" ht="15" customHeight="1">
      <c r="E4285" s="49" t="str">
        <f>IFERROR(VLOOKUP(D4285,'taxonomy map'!$A$1:$C$107,2,FALSE),"")</f>
        <v/>
      </c>
      <c r="F4285" s="49" t="str">
        <f>IFERROR(VLOOKUP(E4285,'Condensed Specialty Crosswalk'!$A$2:$C$106,2,FALSE),"")</f>
        <v/>
      </c>
      <c r="G4285" s="49" t="str">
        <f>IFERROR(VLOOKUP(E4285,'Condensed Specialty Crosswalk'!$A$2:$C$106,3,FALSE),"")</f>
        <v/>
      </c>
    </row>
    <row r="4286" spans="5:7" ht="15" customHeight="1">
      <c r="E4286" s="49" t="str">
        <f>IFERROR(VLOOKUP(D4286,'taxonomy map'!$A$1:$C$107,2,FALSE),"")</f>
        <v/>
      </c>
      <c r="F4286" s="49" t="str">
        <f>IFERROR(VLOOKUP(E4286,'Condensed Specialty Crosswalk'!$A$2:$C$106,2,FALSE),"")</f>
        <v/>
      </c>
      <c r="G4286" s="49" t="str">
        <f>IFERROR(VLOOKUP(E4286,'Condensed Specialty Crosswalk'!$A$2:$C$106,3,FALSE),"")</f>
        <v/>
      </c>
    </row>
    <row r="4287" spans="5:7" ht="15" customHeight="1">
      <c r="E4287" s="49" t="str">
        <f>IFERROR(VLOOKUP(D4287,'taxonomy map'!$A$1:$C$107,2,FALSE),"")</f>
        <v/>
      </c>
      <c r="F4287" s="49" t="str">
        <f>IFERROR(VLOOKUP(E4287,'Condensed Specialty Crosswalk'!$A$2:$C$106,2,FALSE),"")</f>
        <v/>
      </c>
      <c r="G4287" s="49" t="str">
        <f>IFERROR(VLOOKUP(E4287,'Condensed Specialty Crosswalk'!$A$2:$C$106,3,FALSE),"")</f>
        <v/>
      </c>
    </row>
    <row r="4288" spans="5:7" ht="15" customHeight="1">
      <c r="E4288" s="49" t="str">
        <f>IFERROR(VLOOKUP(D4288,'taxonomy map'!$A$1:$C$107,2,FALSE),"")</f>
        <v/>
      </c>
      <c r="F4288" s="49" t="str">
        <f>IFERROR(VLOOKUP(E4288,'Condensed Specialty Crosswalk'!$A$2:$C$106,2,FALSE),"")</f>
        <v/>
      </c>
      <c r="G4288" s="49" t="str">
        <f>IFERROR(VLOOKUP(E4288,'Condensed Specialty Crosswalk'!$A$2:$C$106,3,FALSE),"")</f>
        <v/>
      </c>
    </row>
    <row r="4289" spans="5:7" ht="15" customHeight="1">
      <c r="E4289" s="49" t="str">
        <f>IFERROR(VLOOKUP(D4289,'taxonomy map'!$A$1:$C$107,2,FALSE),"")</f>
        <v/>
      </c>
      <c r="F4289" s="49" t="str">
        <f>IFERROR(VLOOKUP(E4289,'Condensed Specialty Crosswalk'!$A$2:$C$106,2,FALSE),"")</f>
        <v/>
      </c>
      <c r="G4289" s="49" t="str">
        <f>IFERROR(VLOOKUP(E4289,'Condensed Specialty Crosswalk'!$A$2:$C$106,3,FALSE),"")</f>
        <v/>
      </c>
    </row>
    <row r="4290" spans="5:7" ht="15" customHeight="1">
      <c r="E4290" s="49" t="str">
        <f>IFERROR(VLOOKUP(D4290,'taxonomy map'!$A$1:$C$107,2,FALSE),"")</f>
        <v/>
      </c>
      <c r="F4290" s="49" t="str">
        <f>IFERROR(VLOOKUP(E4290,'Condensed Specialty Crosswalk'!$A$2:$C$106,2,FALSE),"")</f>
        <v/>
      </c>
      <c r="G4290" s="49" t="str">
        <f>IFERROR(VLOOKUP(E4290,'Condensed Specialty Crosswalk'!$A$2:$C$106,3,FALSE),"")</f>
        <v/>
      </c>
    </row>
    <row r="4291" spans="5:7" ht="15" customHeight="1">
      <c r="E4291" s="49" t="str">
        <f>IFERROR(VLOOKUP(D4291,'taxonomy map'!$A$1:$C$107,2,FALSE),"")</f>
        <v/>
      </c>
      <c r="F4291" s="49" t="str">
        <f>IFERROR(VLOOKUP(E4291,'Condensed Specialty Crosswalk'!$A$2:$C$106,2,FALSE),"")</f>
        <v/>
      </c>
      <c r="G4291" s="49" t="str">
        <f>IFERROR(VLOOKUP(E4291,'Condensed Specialty Crosswalk'!$A$2:$C$106,3,FALSE),"")</f>
        <v/>
      </c>
    </row>
    <row r="4292" spans="5:7" ht="15" customHeight="1">
      <c r="E4292" s="49" t="str">
        <f>IFERROR(VLOOKUP(D4292,'taxonomy map'!$A$1:$C$107,2,FALSE),"")</f>
        <v/>
      </c>
      <c r="F4292" s="49" t="str">
        <f>IFERROR(VLOOKUP(E4292,'Condensed Specialty Crosswalk'!$A$2:$C$106,2,FALSE),"")</f>
        <v/>
      </c>
      <c r="G4292" s="49" t="str">
        <f>IFERROR(VLOOKUP(E4292,'Condensed Specialty Crosswalk'!$A$2:$C$106,3,FALSE),"")</f>
        <v/>
      </c>
    </row>
    <row r="4293" spans="5:7" ht="15" customHeight="1">
      <c r="E4293" s="49" t="str">
        <f>IFERROR(VLOOKUP(D4293,'taxonomy map'!$A$1:$C$107,2,FALSE),"")</f>
        <v/>
      </c>
      <c r="F4293" s="49" t="str">
        <f>IFERROR(VLOOKUP(E4293,'Condensed Specialty Crosswalk'!$A$2:$C$106,2,FALSE),"")</f>
        <v/>
      </c>
      <c r="G4293" s="49" t="str">
        <f>IFERROR(VLOOKUP(E4293,'Condensed Specialty Crosswalk'!$A$2:$C$106,3,FALSE),"")</f>
        <v/>
      </c>
    </row>
    <row r="4294" spans="5:7" ht="15" customHeight="1">
      <c r="E4294" s="49" t="str">
        <f>IFERROR(VLOOKUP(D4294,'taxonomy map'!$A$1:$C$107,2,FALSE),"")</f>
        <v/>
      </c>
      <c r="F4294" s="49" t="str">
        <f>IFERROR(VLOOKUP(E4294,'Condensed Specialty Crosswalk'!$A$2:$C$106,2,FALSE),"")</f>
        <v/>
      </c>
      <c r="G4294" s="49" t="str">
        <f>IFERROR(VLOOKUP(E4294,'Condensed Specialty Crosswalk'!$A$2:$C$106,3,FALSE),"")</f>
        <v/>
      </c>
    </row>
    <row r="4295" spans="5:7" ht="15" customHeight="1">
      <c r="E4295" s="49" t="str">
        <f>IFERROR(VLOOKUP(D4295,'taxonomy map'!$A$1:$C$107,2,FALSE),"")</f>
        <v/>
      </c>
      <c r="F4295" s="49" t="str">
        <f>IFERROR(VLOOKUP(E4295,'Condensed Specialty Crosswalk'!$A$2:$C$106,2,FALSE),"")</f>
        <v/>
      </c>
      <c r="G4295" s="49" t="str">
        <f>IFERROR(VLOOKUP(E4295,'Condensed Specialty Crosswalk'!$A$2:$C$106,3,FALSE),"")</f>
        <v/>
      </c>
    </row>
    <row r="4296" spans="5:7" ht="15" customHeight="1">
      <c r="E4296" s="49" t="str">
        <f>IFERROR(VLOOKUP(D4296,'taxonomy map'!$A$1:$C$107,2,FALSE),"")</f>
        <v/>
      </c>
      <c r="F4296" s="49" t="str">
        <f>IFERROR(VLOOKUP(E4296,'Condensed Specialty Crosswalk'!$A$2:$C$106,2,FALSE),"")</f>
        <v/>
      </c>
      <c r="G4296" s="49" t="str">
        <f>IFERROR(VLOOKUP(E4296,'Condensed Specialty Crosswalk'!$A$2:$C$106,3,FALSE),"")</f>
        <v/>
      </c>
    </row>
    <row r="4297" spans="5:7" ht="15" customHeight="1">
      <c r="E4297" s="49" t="str">
        <f>IFERROR(VLOOKUP(D4297,'taxonomy map'!$A$1:$C$107,2,FALSE),"")</f>
        <v/>
      </c>
      <c r="F4297" s="49" t="str">
        <f>IFERROR(VLOOKUP(E4297,'Condensed Specialty Crosswalk'!$A$2:$C$106,2,FALSE),"")</f>
        <v/>
      </c>
      <c r="G4297" s="49" t="str">
        <f>IFERROR(VLOOKUP(E4297,'Condensed Specialty Crosswalk'!$A$2:$C$106,3,FALSE),"")</f>
        <v/>
      </c>
    </row>
    <row r="4298" spans="5:7" ht="15" customHeight="1">
      <c r="E4298" s="49" t="str">
        <f>IFERROR(VLOOKUP(D4298,'taxonomy map'!$A$1:$C$107,2,FALSE),"")</f>
        <v/>
      </c>
      <c r="F4298" s="49" t="str">
        <f>IFERROR(VLOOKUP(E4298,'Condensed Specialty Crosswalk'!$A$2:$C$106,2,FALSE),"")</f>
        <v/>
      </c>
      <c r="G4298" s="49" t="str">
        <f>IFERROR(VLOOKUP(E4298,'Condensed Specialty Crosswalk'!$A$2:$C$106,3,FALSE),"")</f>
        <v/>
      </c>
    </row>
    <row r="4299" spans="5:7" ht="15" customHeight="1">
      <c r="E4299" s="49" t="str">
        <f>IFERROR(VLOOKUP(D4299,'taxonomy map'!$A$1:$C$107,2,FALSE),"")</f>
        <v/>
      </c>
      <c r="F4299" s="49" t="str">
        <f>IFERROR(VLOOKUP(E4299,'Condensed Specialty Crosswalk'!$A$2:$C$106,2,FALSE),"")</f>
        <v/>
      </c>
      <c r="G4299" s="49" t="str">
        <f>IFERROR(VLOOKUP(E4299,'Condensed Specialty Crosswalk'!$A$2:$C$106,3,FALSE),"")</f>
        <v/>
      </c>
    </row>
    <row r="4300" spans="5:7" ht="15" customHeight="1">
      <c r="E4300" s="49" t="str">
        <f>IFERROR(VLOOKUP(D4300,'taxonomy map'!$A$1:$C$107,2,FALSE),"")</f>
        <v/>
      </c>
      <c r="F4300" s="49" t="str">
        <f>IFERROR(VLOOKUP(E4300,'Condensed Specialty Crosswalk'!$A$2:$C$106,2,FALSE),"")</f>
        <v/>
      </c>
      <c r="G4300" s="49" t="str">
        <f>IFERROR(VLOOKUP(E4300,'Condensed Specialty Crosswalk'!$A$2:$C$106,3,FALSE),"")</f>
        <v/>
      </c>
    </row>
    <row r="4301" spans="5:7" ht="15" customHeight="1">
      <c r="E4301" s="49" t="str">
        <f>IFERROR(VLOOKUP(D4301,'taxonomy map'!$A$1:$C$107,2,FALSE),"")</f>
        <v/>
      </c>
      <c r="F4301" s="49" t="str">
        <f>IFERROR(VLOOKUP(E4301,'Condensed Specialty Crosswalk'!$A$2:$C$106,2,FALSE),"")</f>
        <v/>
      </c>
      <c r="G4301" s="49" t="str">
        <f>IFERROR(VLOOKUP(E4301,'Condensed Specialty Crosswalk'!$A$2:$C$106,3,FALSE),"")</f>
        <v/>
      </c>
    </row>
    <row r="4302" spans="5:7" ht="15" customHeight="1">
      <c r="E4302" s="49" t="str">
        <f>IFERROR(VLOOKUP(D4302,'taxonomy map'!$A$1:$C$107,2,FALSE),"")</f>
        <v/>
      </c>
      <c r="F4302" s="49" t="str">
        <f>IFERROR(VLOOKUP(E4302,'Condensed Specialty Crosswalk'!$A$2:$C$106,2,FALSE),"")</f>
        <v/>
      </c>
      <c r="G4302" s="49" t="str">
        <f>IFERROR(VLOOKUP(E4302,'Condensed Specialty Crosswalk'!$A$2:$C$106,3,FALSE),"")</f>
        <v/>
      </c>
    </row>
    <row r="4303" spans="5:7" ht="15" customHeight="1">
      <c r="E4303" s="49" t="str">
        <f>IFERROR(VLOOKUP(D4303,'taxonomy map'!$A$1:$C$107,2,FALSE),"")</f>
        <v/>
      </c>
      <c r="F4303" s="49" t="str">
        <f>IFERROR(VLOOKUP(E4303,'Condensed Specialty Crosswalk'!$A$2:$C$106,2,FALSE),"")</f>
        <v/>
      </c>
      <c r="G4303" s="49" t="str">
        <f>IFERROR(VLOOKUP(E4303,'Condensed Specialty Crosswalk'!$A$2:$C$106,3,FALSE),"")</f>
        <v/>
      </c>
    </row>
    <row r="4304" spans="5:7" ht="15" customHeight="1">
      <c r="E4304" s="49" t="str">
        <f>IFERROR(VLOOKUP(D4304,'taxonomy map'!$A$1:$C$107,2,FALSE),"")</f>
        <v/>
      </c>
      <c r="F4304" s="49" t="str">
        <f>IFERROR(VLOOKUP(E4304,'Condensed Specialty Crosswalk'!$A$2:$C$106,2,FALSE),"")</f>
        <v/>
      </c>
      <c r="G4304" s="49" t="str">
        <f>IFERROR(VLOOKUP(E4304,'Condensed Specialty Crosswalk'!$A$2:$C$106,3,FALSE),"")</f>
        <v/>
      </c>
    </row>
    <row r="4305" spans="5:7" ht="15" customHeight="1">
      <c r="E4305" s="49" t="str">
        <f>IFERROR(VLOOKUP(D4305,'taxonomy map'!$A$1:$C$107,2,FALSE),"")</f>
        <v/>
      </c>
      <c r="F4305" s="49" t="str">
        <f>IFERROR(VLOOKUP(E4305,'Condensed Specialty Crosswalk'!$A$2:$C$106,2,FALSE),"")</f>
        <v/>
      </c>
      <c r="G4305" s="49" t="str">
        <f>IFERROR(VLOOKUP(E4305,'Condensed Specialty Crosswalk'!$A$2:$C$106,3,FALSE),"")</f>
        <v/>
      </c>
    </row>
    <row r="4306" spans="5:7" ht="15" customHeight="1">
      <c r="E4306" s="49" t="str">
        <f>IFERROR(VLOOKUP(D4306,'taxonomy map'!$A$1:$C$107,2,FALSE),"")</f>
        <v/>
      </c>
      <c r="F4306" s="49" t="str">
        <f>IFERROR(VLOOKUP(E4306,'Condensed Specialty Crosswalk'!$A$2:$C$106,2,FALSE),"")</f>
        <v/>
      </c>
      <c r="G4306" s="49" t="str">
        <f>IFERROR(VLOOKUP(E4306,'Condensed Specialty Crosswalk'!$A$2:$C$106,3,FALSE),"")</f>
        <v/>
      </c>
    </row>
    <row r="4307" spans="5:7" ht="15" customHeight="1">
      <c r="E4307" s="49" t="str">
        <f>IFERROR(VLOOKUP(D4307,'taxonomy map'!$A$1:$C$107,2,FALSE),"")</f>
        <v/>
      </c>
      <c r="F4307" s="49" t="str">
        <f>IFERROR(VLOOKUP(E4307,'Condensed Specialty Crosswalk'!$A$2:$C$106,2,FALSE),"")</f>
        <v/>
      </c>
      <c r="G4307" s="49" t="str">
        <f>IFERROR(VLOOKUP(E4307,'Condensed Specialty Crosswalk'!$A$2:$C$106,3,FALSE),"")</f>
        <v/>
      </c>
    </row>
    <row r="4308" spans="5:7" ht="15" customHeight="1">
      <c r="E4308" s="49" t="str">
        <f>IFERROR(VLOOKUP(D4308,'taxonomy map'!$A$1:$C$107,2,FALSE),"")</f>
        <v/>
      </c>
      <c r="F4308" s="49" t="str">
        <f>IFERROR(VLOOKUP(E4308,'Condensed Specialty Crosswalk'!$A$2:$C$106,2,FALSE),"")</f>
        <v/>
      </c>
      <c r="G4308" s="49" t="str">
        <f>IFERROR(VLOOKUP(E4308,'Condensed Specialty Crosswalk'!$A$2:$C$106,3,FALSE),"")</f>
        <v/>
      </c>
    </row>
    <row r="4309" spans="5:7" ht="15" customHeight="1">
      <c r="E4309" s="49" t="str">
        <f>IFERROR(VLOOKUP(D4309,'taxonomy map'!$A$1:$C$107,2,FALSE),"")</f>
        <v/>
      </c>
      <c r="F4309" s="49" t="str">
        <f>IFERROR(VLOOKUP(E4309,'Condensed Specialty Crosswalk'!$A$2:$C$106,2,FALSE),"")</f>
        <v/>
      </c>
      <c r="G4309" s="49" t="str">
        <f>IFERROR(VLOOKUP(E4309,'Condensed Specialty Crosswalk'!$A$2:$C$106,3,FALSE),"")</f>
        <v/>
      </c>
    </row>
    <row r="4310" spans="5:7" ht="15" customHeight="1">
      <c r="E4310" s="49" t="str">
        <f>IFERROR(VLOOKUP(D4310,'taxonomy map'!$A$1:$C$107,2,FALSE),"")</f>
        <v/>
      </c>
      <c r="F4310" s="49" t="str">
        <f>IFERROR(VLOOKUP(E4310,'Condensed Specialty Crosswalk'!$A$2:$C$106,2,FALSE),"")</f>
        <v/>
      </c>
      <c r="G4310" s="49" t="str">
        <f>IFERROR(VLOOKUP(E4310,'Condensed Specialty Crosswalk'!$A$2:$C$106,3,FALSE),"")</f>
        <v/>
      </c>
    </row>
    <row r="4311" spans="5:7" ht="15" customHeight="1">
      <c r="E4311" s="49" t="str">
        <f>IFERROR(VLOOKUP(D4311,'taxonomy map'!$A$1:$C$107,2,FALSE),"")</f>
        <v/>
      </c>
      <c r="F4311" s="49" t="str">
        <f>IFERROR(VLOOKUP(E4311,'Condensed Specialty Crosswalk'!$A$2:$C$106,2,FALSE),"")</f>
        <v/>
      </c>
      <c r="G4311" s="49" t="str">
        <f>IFERROR(VLOOKUP(E4311,'Condensed Specialty Crosswalk'!$A$2:$C$106,3,FALSE),"")</f>
        <v/>
      </c>
    </row>
    <row r="4312" spans="5:7" ht="15" customHeight="1">
      <c r="E4312" s="49" t="str">
        <f>IFERROR(VLOOKUP(D4312,'taxonomy map'!$A$1:$C$107,2,FALSE),"")</f>
        <v/>
      </c>
      <c r="F4312" s="49" t="str">
        <f>IFERROR(VLOOKUP(E4312,'Condensed Specialty Crosswalk'!$A$2:$C$106,2,FALSE),"")</f>
        <v/>
      </c>
      <c r="G4312" s="49" t="str">
        <f>IFERROR(VLOOKUP(E4312,'Condensed Specialty Crosswalk'!$A$2:$C$106,3,FALSE),"")</f>
        <v/>
      </c>
    </row>
    <row r="4313" spans="5:7" ht="15" customHeight="1">
      <c r="E4313" s="49" t="str">
        <f>IFERROR(VLOOKUP(D4313,'taxonomy map'!$A$1:$C$107,2,FALSE),"")</f>
        <v/>
      </c>
      <c r="F4313" s="49" t="str">
        <f>IFERROR(VLOOKUP(E4313,'Condensed Specialty Crosswalk'!$A$2:$C$106,2,FALSE),"")</f>
        <v/>
      </c>
      <c r="G4313" s="49" t="str">
        <f>IFERROR(VLOOKUP(E4313,'Condensed Specialty Crosswalk'!$A$2:$C$106,3,FALSE),"")</f>
        <v/>
      </c>
    </row>
    <row r="4314" spans="5:7" ht="15" customHeight="1">
      <c r="E4314" s="49" t="str">
        <f>IFERROR(VLOOKUP(D4314,'taxonomy map'!$A$1:$C$107,2,FALSE),"")</f>
        <v/>
      </c>
      <c r="F4314" s="49" t="str">
        <f>IFERROR(VLOOKUP(E4314,'Condensed Specialty Crosswalk'!$A$2:$C$106,2,FALSE),"")</f>
        <v/>
      </c>
      <c r="G4314" s="49" t="str">
        <f>IFERROR(VLOOKUP(E4314,'Condensed Specialty Crosswalk'!$A$2:$C$106,3,FALSE),"")</f>
        <v/>
      </c>
    </row>
    <row r="4315" spans="5:7" ht="15" customHeight="1">
      <c r="E4315" s="49" t="str">
        <f>IFERROR(VLOOKUP(D4315,'taxonomy map'!$A$1:$C$107,2,FALSE),"")</f>
        <v/>
      </c>
      <c r="F4315" s="49" t="str">
        <f>IFERROR(VLOOKUP(E4315,'Condensed Specialty Crosswalk'!$A$2:$C$106,2,FALSE),"")</f>
        <v/>
      </c>
      <c r="G4315" s="49" t="str">
        <f>IFERROR(VLOOKUP(E4315,'Condensed Specialty Crosswalk'!$A$2:$C$106,3,FALSE),"")</f>
        <v/>
      </c>
    </row>
    <row r="4316" spans="5:7" ht="15" customHeight="1">
      <c r="E4316" s="49" t="str">
        <f>IFERROR(VLOOKUP(D4316,'taxonomy map'!$A$1:$C$107,2,FALSE),"")</f>
        <v/>
      </c>
      <c r="F4316" s="49" t="str">
        <f>IFERROR(VLOOKUP(E4316,'Condensed Specialty Crosswalk'!$A$2:$C$106,2,FALSE),"")</f>
        <v/>
      </c>
      <c r="G4316" s="49" t="str">
        <f>IFERROR(VLOOKUP(E4316,'Condensed Specialty Crosswalk'!$A$2:$C$106,3,FALSE),"")</f>
        <v/>
      </c>
    </row>
    <row r="4317" spans="5:7" ht="15" customHeight="1">
      <c r="E4317" s="49" t="str">
        <f>IFERROR(VLOOKUP(D4317,'taxonomy map'!$A$1:$C$107,2,FALSE),"")</f>
        <v/>
      </c>
      <c r="F4317" s="49" t="str">
        <f>IFERROR(VLOOKUP(E4317,'Condensed Specialty Crosswalk'!$A$2:$C$106,2,FALSE),"")</f>
        <v/>
      </c>
      <c r="G4317" s="49" t="str">
        <f>IFERROR(VLOOKUP(E4317,'Condensed Specialty Crosswalk'!$A$2:$C$106,3,FALSE),"")</f>
        <v/>
      </c>
    </row>
    <row r="4318" spans="5:7" ht="15" customHeight="1">
      <c r="E4318" s="49" t="str">
        <f>IFERROR(VLOOKUP(D4318,'taxonomy map'!$A$1:$C$107,2,FALSE),"")</f>
        <v/>
      </c>
      <c r="F4318" s="49" t="str">
        <f>IFERROR(VLOOKUP(E4318,'Condensed Specialty Crosswalk'!$A$2:$C$106,2,FALSE),"")</f>
        <v/>
      </c>
      <c r="G4318" s="49" t="str">
        <f>IFERROR(VLOOKUP(E4318,'Condensed Specialty Crosswalk'!$A$2:$C$106,3,FALSE),"")</f>
        <v/>
      </c>
    </row>
    <row r="4319" spans="5:7" ht="15" customHeight="1">
      <c r="E4319" s="49" t="str">
        <f>IFERROR(VLOOKUP(D4319,'taxonomy map'!$A$1:$C$107,2,FALSE),"")</f>
        <v/>
      </c>
      <c r="F4319" s="49" t="str">
        <f>IFERROR(VLOOKUP(E4319,'Condensed Specialty Crosswalk'!$A$2:$C$106,2,FALSE),"")</f>
        <v/>
      </c>
      <c r="G4319" s="49" t="str">
        <f>IFERROR(VLOOKUP(E4319,'Condensed Specialty Crosswalk'!$A$2:$C$106,3,FALSE),"")</f>
        <v/>
      </c>
    </row>
    <row r="4320" spans="5:7" ht="15" customHeight="1">
      <c r="E4320" s="49" t="str">
        <f>IFERROR(VLOOKUP(D4320,'taxonomy map'!$A$1:$C$107,2,FALSE),"")</f>
        <v/>
      </c>
      <c r="F4320" s="49" t="str">
        <f>IFERROR(VLOOKUP(E4320,'Condensed Specialty Crosswalk'!$A$2:$C$106,2,FALSE),"")</f>
        <v/>
      </c>
      <c r="G4320" s="49" t="str">
        <f>IFERROR(VLOOKUP(E4320,'Condensed Specialty Crosswalk'!$A$2:$C$106,3,FALSE),"")</f>
        <v/>
      </c>
    </row>
    <row r="4321" spans="5:7" ht="15" customHeight="1">
      <c r="E4321" s="49" t="str">
        <f>IFERROR(VLOOKUP(D4321,'taxonomy map'!$A$1:$C$107,2,FALSE),"")</f>
        <v/>
      </c>
      <c r="F4321" s="49" t="str">
        <f>IFERROR(VLOOKUP(E4321,'Condensed Specialty Crosswalk'!$A$2:$C$106,2,FALSE),"")</f>
        <v/>
      </c>
      <c r="G4321" s="49" t="str">
        <f>IFERROR(VLOOKUP(E4321,'Condensed Specialty Crosswalk'!$A$2:$C$106,3,FALSE),"")</f>
        <v/>
      </c>
    </row>
    <row r="4322" spans="5:7" ht="15" customHeight="1">
      <c r="E4322" s="49" t="str">
        <f>IFERROR(VLOOKUP(D4322,'taxonomy map'!$A$1:$C$107,2,FALSE),"")</f>
        <v/>
      </c>
      <c r="F4322" s="49" t="str">
        <f>IFERROR(VLOOKUP(E4322,'Condensed Specialty Crosswalk'!$A$2:$C$106,2,FALSE),"")</f>
        <v/>
      </c>
      <c r="G4322" s="49" t="str">
        <f>IFERROR(VLOOKUP(E4322,'Condensed Specialty Crosswalk'!$A$2:$C$106,3,FALSE),"")</f>
        <v/>
      </c>
    </row>
    <row r="4323" spans="5:7" ht="15" customHeight="1">
      <c r="E4323" s="49" t="str">
        <f>IFERROR(VLOOKUP(D4323,'taxonomy map'!$A$1:$C$107,2,FALSE),"")</f>
        <v/>
      </c>
      <c r="F4323" s="49" t="str">
        <f>IFERROR(VLOOKUP(E4323,'Condensed Specialty Crosswalk'!$A$2:$C$106,2,FALSE),"")</f>
        <v/>
      </c>
      <c r="G4323" s="49" t="str">
        <f>IFERROR(VLOOKUP(E4323,'Condensed Specialty Crosswalk'!$A$2:$C$106,3,FALSE),"")</f>
        <v/>
      </c>
    </row>
    <row r="4324" spans="5:7" ht="15" customHeight="1">
      <c r="E4324" s="49" t="str">
        <f>IFERROR(VLOOKUP(D4324,'taxonomy map'!$A$1:$C$107,2,FALSE),"")</f>
        <v/>
      </c>
      <c r="F4324" s="49" t="str">
        <f>IFERROR(VLOOKUP(E4324,'Condensed Specialty Crosswalk'!$A$2:$C$106,2,FALSE),"")</f>
        <v/>
      </c>
      <c r="G4324" s="49" t="str">
        <f>IFERROR(VLOOKUP(E4324,'Condensed Specialty Crosswalk'!$A$2:$C$106,3,FALSE),"")</f>
        <v/>
      </c>
    </row>
    <row r="4325" spans="5:7" ht="15" customHeight="1">
      <c r="E4325" s="49" t="str">
        <f>IFERROR(VLOOKUP(D4325,'taxonomy map'!$A$1:$C$107,2,FALSE),"")</f>
        <v/>
      </c>
      <c r="F4325" s="49" t="str">
        <f>IFERROR(VLOOKUP(E4325,'Condensed Specialty Crosswalk'!$A$2:$C$106,2,FALSE),"")</f>
        <v/>
      </c>
      <c r="G4325" s="49" t="str">
        <f>IFERROR(VLOOKUP(E4325,'Condensed Specialty Crosswalk'!$A$2:$C$106,3,FALSE),"")</f>
        <v/>
      </c>
    </row>
    <row r="4326" spans="5:7" ht="15" customHeight="1">
      <c r="E4326" s="49" t="str">
        <f>IFERROR(VLOOKUP(D4326,'taxonomy map'!$A$1:$C$107,2,FALSE),"")</f>
        <v/>
      </c>
      <c r="F4326" s="49" t="str">
        <f>IFERROR(VLOOKUP(E4326,'Condensed Specialty Crosswalk'!$A$2:$C$106,2,FALSE),"")</f>
        <v/>
      </c>
      <c r="G4326" s="49" t="str">
        <f>IFERROR(VLOOKUP(E4326,'Condensed Specialty Crosswalk'!$A$2:$C$106,3,FALSE),"")</f>
        <v/>
      </c>
    </row>
    <row r="4327" spans="5:7" ht="15" customHeight="1">
      <c r="E4327" s="49" t="str">
        <f>IFERROR(VLOOKUP(D4327,'taxonomy map'!$A$1:$C$107,2,FALSE),"")</f>
        <v/>
      </c>
      <c r="F4327" s="49" t="str">
        <f>IFERROR(VLOOKUP(E4327,'Condensed Specialty Crosswalk'!$A$2:$C$106,2,FALSE),"")</f>
        <v/>
      </c>
      <c r="G4327" s="49" t="str">
        <f>IFERROR(VLOOKUP(E4327,'Condensed Specialty Crosswalk'!$A$2:$C$106,3,FALSE),"")</f>
        <v/>
      </c>
    </row>
    <row r="4328" spans="5:7" ht="15" customHeight="1">
      <c r="E4328" s="49" t="str">
        <f>IFERROR(VLOOKUP(D4328,'taxonomy map'!$A$1:$C$107,2,FALSE),"")</f>
        <v/>
      </c>
      <c r="F4328" s="49" t="str">
        <f>IFERROR(VLOOKUP(E4328,'Condensed Specialty Crosswalk'!$A$2:$C$106,2,FALSE),"")</f>
        <v/>
      </c>
      <c r="G4328" s="49" t="str">
        <f>IFERROR(VLOOKUP(E4328,'Condensed Specialty Crosswalk'!$A$2:$C$106,3,FALSE),"")</f>
        <v/>
      </c>
    </row>
    <row r="4329" spans="5:7" ht="15" customHeight="1">
      <c r="E4329" s="49" t="str">
        <f>IFERROR(VLOOKUP(D4329,'taxonomy map'!$A$1:$C$107,2,FALSE),"")</f>
        <v/>
      </c>
      <c r="F4329" s="49" t="str">
        <f>IFERROR(VLOOKUP(E4329,'Condensed Specialty Crosswalk'!$A$2:$C$106,2,FALSE),"")</f>
        <v/>
      </c>
      <c r="G4329" s="49" t="str">
        <f>IFERROR(VLOOKUP(E4329,'Condensed Specialty Crosswalk'!$A$2:$C$106,3,FALSE),"")</f>
        <v/>
      </c>
    </row>
    <row r="4330" spans="5:7" ht="15" customHeight="1">
      <c r="E4330" s="49" t="str">
        <f>IFERROR(VLOOKUP(D4330,'taxonomy map'!$A$1:$C$107,2,FALSE),"")</f>
        <v/>
      </c>
      <c r="F4330" s="49" t="str">
        <f>IFERROR(VLOOKUP(E4330,'Condensed Specialty Crosswalk'!$A$2:$C$106,2,FALSE),"")</f>
        <v/>
      </c>
      <c r="G4330" s="49" t="str">
        <f>IFERROR(VLOOKUP(E4330,'Condensed Specialty Crosswalk'!$A$2:$C$106,3,FALSE),"")</f>
        <v/>
      </c>
    </row>
    <row r="4331" spans="5:7" ht="15" customHeight="1">
      <c r="E4331" s="49" t="str">
        <f>IFERROR(VLOOKUP(D4331,'taxonomy map'!$A$1:$C$107,2,FALSE),"")</f>
        <v/>
      </c>
      <c r="F4331" s="49" t="str">
        <f>IFERROR(VLOOKUP(E4331,'Condensed Specialty Crosswalk'!$A$2:$C$106,2,FALSE),"")</f>
        <v/>
      </c>
      <c r="G4331" s="49" t="str">
        <f>IFERROR(VLOOKUP(E4331,'Condensed Specialty Crosswalk'!$A$2:$C$106,3,FALSE),"")</f>
        <v/>
      </c>
    </row>
    <row r="4332" spans="5:7" ht="15" customHeight="1">
      <c r="E4332" s="49" t="str">
        <f>IFERROR(VLOOKUP(D4332,'taxonomy map'!$A$1:$C$107,2,FALSE),"")</f>
        <v/>
      </c>
      <c r="F4332" s="49" t="str">
        <f>IFERROR(VLOOKUP(E4332,'Condensed Specialty Crosswalk'!$A$2:$C$106,2,FALSE),"")</f>
        <v/>
      </c>
      <c r="G4332" s="49" t="str">
        <f>IFERROR(VLOOKUP(E4332,'Condensed Specialty Crosswalk'!$A$2:$C$106,3,FALSE),"")</f>
        <v/>
      </c>
    </row>
    <row r="4333" spans="5:7" ht="15" customHeight="1">
      <c r="E4333" s="49" t="str">
        <f>IFERROR(VLOOKUP(D4333,'taxonomy map'!$A$1:$C$107,2,FALSE),"")</f>
        <v/>
      </c>
      <c r="F4333" s="49" t="str">
        <f>IFERROR(VLOOKUP(E4333,'Condensed Specialty Crosswalk'!$A$2:$C$106,2,FALSE),"")</f>
        <v/>
      </c>
      <c r="G4333" s="49" t="str">
        <f>IFERROR(VLOOKUP(E4333,'Condensed Specialty Crosswalk'!$A$2:$C$106,3,FALSE),"")</f>
        <v/>
      </c>
    </row>
    <row r="4334" spans="5:7" ht="15" customHeight="1">
      <c r="E4334" s="49" t="str">
        <f>IFERROR(VLOOKUP(D4334,'taxonomy map'!$A$1:$C$107,2,FALSE),"")</f>
        <v/>
      </c>
      <c r="F4334" s="49" t="str">
        <f>IFERROR(VLOOKUP(E4334,'Condensed Specialty Crosswalk'!$A$2:$C$106,2,FALSE),"")</f>
        <v/>
      </c>
      <c r="G4334" s="49" t="str">
        <f>IFERROR(VLOOKUP(E4334,'Condensed Specialty Crosswalk'!$A$2:$C$106,3,FALSE),"")</f>
        <v/>
      </c>
    </row>
    <row r="4335" spans="5:7" ht="15" customHeight="1">
      <c r="E4335" s="49" t="str">
        <f>IFERROR(VLOOKUP(D4335,'taxonomy map'!$A$1:$C$107,2,FALSE),"")</f>
        <v/>
      </c>
      <c r="F4335" s="49" t="str">
        <f>IFERROR(VLOOKUP(E4335,'Condensed Specialty Crosswalk'!$A$2:$C$106,2,FALSE),"")</f>
        <v/>
      </c>
      <c r="G4335" s="49" t="str">
        <f>IFERROR(VLOOKUP(E4335,'Condensed Specialty Crosswalk'!$A$2:$C$106,3,FALSE),"")</f>
        <v/>
      </c>
    </row>
    <row r="4336" spans="5:7" ht="15" customHeight="1">
      <c r="E4336" s="49" t="str">
        <f>IFERROR(VLOOKUP(D4336,'taxonomy map'!$A$1:$C$107,2,FALSE),"")</f>
        <v/>
      </c>
      <c r="F4336" s="49" t="str">
        <f>IFERROR(VLOOKUP(E4336,'Condensed Specialty Crosswalk'!$A$2:$C$106,2,FALSE),"")</f>
        <v/>
      </c>
      <c r="G4336" s="49" t="str">
        <f>IFERROR(VLOOKUP(E4336,'Condensed Specialty Crosswalk'!$A$2:$C$106,3,FALSE),"")</f>
        <v/>
      </c>
    </row>
    <row r="4337" spans="5:7" ht="15" customHeight="1">
      <c r="E4337" s="49" t="str">
        <f>IFERROR(VLOOKUP(D4337,'taxonomy map'!$A$1:$C$107,2,FALSE),"")</f>
        <v/>
      </c>
      <c r="F4337" s="49" t="str">
        <f>IFERROR(VLOOKUP(E4337,'Condensed Specialty Crosswalk'!$A$2:$C$106,2,FALSE),"")</f>
        <v/>
      </c>
      <c r="G4337" s="49" t="str">
        <f>IFERROR(VLOOKUP(E4337,'Condensed Specialty Crosswalk'!$A$2:$C$106,3,FALSE),"")</f>
        <v/>
      </c>
    </row>
    <row r="4338" spans="5:7" ht="15" customHeight="1">
      <c r="E4338" s="49" t="str">
        <f>IFERROR(VLOOKUP(D4338,'taxonomy map'!$A$1:$C$107,2,FALSE),"")</f>
        <v/>
      </c>
      <c r="F4338" s="49" t="str">
        <f>IFERROR(VLOOKUP(E4338,'Condensed Specialty Crosswalk'!$A$2:$C$106,2,FALSE),"")</f>
        <v/>
      </c>
      <c r="G4338" s="49" t="str">
        <f>IFERROR(VLOOKUP(E4338,'Condensed Specialty Crosswalk'!$A$2:$C$106,3,FALSE),"")</f>
        <v/>
      </c>
    </row>
    <row r="4339" spans="5:7" ht="15" customHeight="1">
      <c r="E4339" s="49" t="str">
        <f>IFERROR(VLOOKUP(D4339,'taxonomy map'!$A$1:$C$107,2,FALSE),"")</f>
        <v/>
      </c>
      <c r="F4339" s="49" t="str">
        <f>IFERROR(VLOOKUP(E4339,'Condensed Specialty Crosswalk'!$A$2:$C$106,2,FALSE),"")</f>
        <v/>
      </c>
      <c r="G4339" s="49" t="str">
        <f>IFERROR(VLOOKUP(E4339,'Condensed Specialty Crosswalk'!$A$2:$C$106,3,FALSE),"")</f>
        <v/>
      </c>
    </row>
    <row r="4340" spans="5:7" ht="15" customHeight="1">
      <c r="E4340" s="49" t="str">
        <f>IFERROR(VLOOKUP(D4340,'taxonomy map'!$A$1:$C$107,2,FALSE),"")</f>
        <v/>
      </c>
      <c r="F4340" s="49" t="str">
        <f>IFERROR(VLOOKUP(E4340,'Condensed Specialty Crosswalk'!$A$2:$C$106,2,FALSE),"")</f>
        <v/>
      </c>
      <c r="G4340" s="49" t="str">
        <f>IFERROR(VLOOKUP(E4340,'Condensed Specialty Crosswalk'!$A$2:$C$106,3,FALSE),"")</f>
        <v/>
      </c>
    </row>
    <row r="4341" spans="5:7" ht="15" customHeight="1">
      <c r="E4341" s="49" t="str">
        <f>IFERROR(VLOOKUP(D4341,'taxonomy map'!$A$1:$C$107,2,FALSE),"")</f>
        <v/>
      </c>
      <c r="F4341" s="49" t="str">
        <f>IFERROR(VLOOKUP(E4341,'Condensed Specialty Crosswalk'!$A$2:$C$106,2,FALSE),"")</f>
        <v/>
      </c>
      <c r="G4341" s="49" t="str">
        <f>IFERROR(VLOOKUP(E4341,'Condensed Specialty Crosswalk'!$A$2:$C$106,3,FALSE),"")</f>
        <v/>
      </c>
    </row>
    <row r="4342" spans="5:7" ht="15" customHeight="1">
      <c r="E4342" s="49" t="str">
        <f>IFERROR(VLOOKUP(D4342,'taxonomy map'!$A$1:$C$107,2,FALSE),"")</f>
        <v/>
      </c>
      <c r="F4342" s="49" t="str">
        <f>IFERROR(VLOOKUP(E4342,'Condensed Specialty Crosswalk'!$A$2:$C$106,2,FALSE),"")</f>
        <v/>
      </c>
      <c r="G4342" s="49" t="str">
        <f>IFERROR(VLOOKUP(E4342,'Condensed Specialty Crosswalk'!$A$2:$C$106,3,FALSE),"")</f>
        <v/>
      </c>
    </row>
    <row r="4343" spans="5:7" ht="15" customHeight="1">
      <c r="E4343" s="49" t="str">
        <f>IFERROR(VLOOKUP(D4343,'taxonomy map'!$A$1:$C$107,2,FALSE),"")</f>
        <v/>
      </c>
      <c r="F4343" s="49" t="str">
        <f>IFERROR(VLOOKUP(E4343,'Condensed Specialty Crosswalk'!$A$2:$C$106,2,FALSE),"")</f>
        <v/>
      </c>
      <c r="G4343" s="49" t="str">
        <f>IFERROR(VLOOKUP(E4343,'Condensed Specialty Crosswalk'!$A$2:$C$106,3,FALSE),"")</f>
        <v/>
      </c>
    </row>
    <row r="4344" spans="5:7" ht="15" customHeight="1">
      <c r="E4344" s="49" t="str">
        <f>IFERROR(VLOOKUP(D4344,'taxonomy map'!$A$1:$C$107,2,FALSE),"")</f>
        <v/>
      </c>
      <c r="F4344" s="49" t="str">
        <f>IFERROR(VLOOKUP(E4344,'Condensed Specialty Crosswalk'!$A$2:$C$106,2,FALSE),"")</f>
        <v/>
      </c>
      <c r="G4344" s="49" t="str">
        <f>IFERROR(VLOOKUP(E4344,'Condensed Specialty Crosswalk'!$A$2:$C$106,3,FALSE),"")</f>
        <v/>
      </c>
    </row>
    <row r="4345" spans="5:7" ht="15" customHeight="1">
      <c r="E4345" s="49" t="str">
        <f>IFERROR(VLOOKUP(D4345,'taxonomy map'!$A$1:$C$107,2,FALSE),"")</f>
        <v/>
      </c>
      <c r="F4345" s="49" t="str">
        <f>IFERROR(VLOOKUP(E4345,'Condensed Specialty Crosswalk'!$A$2:$C$106,2,FALSE),"")</f>
        <v/>
      </c>
      <c r="G4345" s="49" t="str">
        <f>IFERROR(VLOOKUP(E4345,'Condensed Specialty Crosswalk'!$A$2:$C$106,3,FALSE),"")</f>
        <v/>
      </c>
    </row>
    <row r="4346" spans="5:7" ht="15" customHeight="1">
      <c r="E4346" s="49" t="str">
        <f>IFERROR(VLOOKUP(D4346,'taxonomy map'!$A$1:$C$107,2,FALSE),"")</f>
        <v/>
      </c>
      <c r="F4346" s="49" t="str">
        <f>IFERROR(VLOOKUP(E4346,'Condensed Specialty Crosswalk'!$A$2:$C$106,2,FALSE),"")</f>
        <v/>
      </c>
      <c r="G4346" s="49" t="str">
        <f>IFERROR(VLOOKUP(E4346,'Condensed Specialty Crosswalk'!$A$2:$C$106,3,FALSE),"")</f>
        <v/>
      </c>
    </row>
    <row r="4347" spans="5:7" ht="15" customHeight="1">
      <c r="E4347" s="49" t="str">
        <f>IFERROR(VLOOKUP(D4347,'taxonomy map'!$A$1:$C$107,2,FALSE),"")</f>
        <v/>
      </c>
      <c r="F4347" s="49" t="str">
        <f>IFERROR(VLOOKUP(E4347,'Condensed Specialty Crosswalk'!$A$2:$C$106,2,FALSE),"")</f>
        <v/>
      </c>
      <c r="G4347" s="49" t="str">
        <f>IFERROR(VLOOKUP(E4347,'Condensed Specialty Crosswalk'!$A$2:$C$106,3,FALSE),"")</f>
        <v/>
      </c>
    </row>
    <row r="4348" spans="5:7" ht="15" customHeight="1">
      <c r="E4348" s="49" t="str">
        <f>IFERROR(VLOOKUP(D4348,'taxonomy map'!$A$1:$C$107,2,FALSE),"")</f>
        <v/>
      </c>
      <c r="F4348" s="49" t="str">
        <f>IFERROR(VLOOKUP(E4348,'Condensed Specialty Crosswalk'!$A$2:$C$106,2,FALSE),"")</f>
        <v/>
      </c>
      <c r="G4348" s="49" t="str">
        <f>IFERROR(VLOOKUP(E4348,'Condensed Specialty Crosswalk'!$A$2:$C$106,3,FALSE),"")</f>
        <v/>
      </c>
    </row>
    <row r="4349" spans="5:7" ht="15" customHeight="1">
      <c r="E4349" s="49" t="str">
        <f>IFERROR(VLOOKUP(D4349,'taxonomy map'!$A$1:$C$107,2,FALSE),"")</f>
        <v/>
      </c>
      <c r="F4349" s="49" t="str">
        <f>IFERROR(VLOOKUP(E4349,'Condensed Specialty Crosswalk'!$A$2:$C$106,2,FALSE),"")</f>
        <v/>
      </c>
      <c r="G4349" s="49" t="str">
        <f>IFERROR(VLOOKUP(E4349,'Condensed Specialty Crosswalk'!$A$2:$C$106,3,FALSE),"")</f>
        <v/>
      </c>
    </row>
    <row r="4350" spans="5:7" ht="15" customHeight="1">
      <c r="E4350" s="49" t="str">
        <f>IFERROR(VLOOKUP(D4350,'taxonomy map'!$A$1:$C$107,2,FALSE),"")</f>
        <v/>
      </c>
      <c r="F4350" s="49" t="str">
        <f>IFERROR(VLOOKUP(E4350,'Condensed Specialty Crosswalk'!$A$2:$C$106,2,FALSE),"")</f>
        <v/>
      </c>
      <c r="G4350" s="49" t="str">
        <f>IFERROR(VLOOKUP(E4350,'Condensed Specialty Crosswalk'!$A$2:$C$106,3,FALSE),"")</f>
        <v/>
      </c>
    </row>
    <row r="4351" spans="5:7" ht="15" customHeight="1">
      <c r="E4351" s="49" t="str">
        <f>IFERROR(VLOOKUP(D4351,'taxonomy map'!$A$1:$C$107,2,FALSE),"")</f>
        <v/>
      </c>
      <c r="F4351" s="49" t="str">
        <f>IFERROR(VLOOKUP(E4351,'Condensed Specialty Crosswalk'!$A$2:$C$106,2,FALSE),"")</f>
        <v/>
      </c>
      <c r="G4351" s="49" t="str">
        <f>IFERROR(VLOOKUP(E4351,'Condensed Specialty Crosswalk'!$A$2:$C$106,3,FALSE),"")</f>
        <v/>
      </c>
    </row>
    <row r="4352" spans="5:7" ht="15" customHeight="1">
      <c r="E4352" s="49" t="str">
        <f>IFERROR(VLOOKUP(D4352,'taxonomy map'!$A$1:$C$107,2,FALSE),"")</f>
        <v/>
      </c>
      <c r="F4352" s="49" t="str">
        <f>IFERROR(VLOOKUP(E4352,'Condensed Specialty Crosswalk'!$A$2:$C$106,2,FALSE),"")</f>
        <v/>
      </c>
      <c r="G4352" s="49" t="str">
        <f>IFERROR(VLOOKUP(E4352,'Condensed Specialty Crosswalk'!$A$2:$C$106,3,FALSE),"")</f>
        <v/>
      </c>
    </row>
    <row r="4353" spans="5:7" ht="15" customHeight="1">
      <c r="E4353" s="49" t="str">
        <f>IFERROR(VLOOKUP(D4353,'taxonomy map'!$A$1:$C$107,2,FALSE),"")</f>
        <v/>
      </c>
      <c r="F4353" s="49" t="str">
        <f>IFERROR(VLOOKUP(E4353,'Condensed Specialty Crosswalk'!$A$2:$C$106,2,FALSE),"")</f>
        <v/>
      </c>
      <c r="G4353" s="49" t="str">
        <f>IFERROR(VLOOKUP(E4353,'Condensed Specialty Crosswalk'!$A$2:$C$106,3,FALSE),"")</f>
        <v/>
      </c>
    </row>
    <row r="4354" spans="5:7" ht="15" customHeight="1">
      <c r="E4354" s="49" t="str">
        <f>IFERROR(VLOOKUP(D4354,'taxonomy map'!$A$1:$C$107,2,FALSE),"")</f>
        <v/>
      </c>
      <c r="F4354" s="49" t="str">
        <f>IFERROR(VLOOKUP(E4354,'Condensed Specialty Crosswalk'!$A$2:$C$106,2,FALSE),"")</f>
        <v/>
      </c>
      <c r="G4354" s="49" t="str">
        <f>IFERROR(VLOOKUP(E4354,'Condensed Specialty Crosswalk'!$A$2:$C$106,3,FALSE),"")</f>
        <v/>
      </c>
    </row>
    <row r="4355" spans="5:7" ht="15" customHeight="1">
      <c r="E4355" s="49" t="str">
        <f>IFERROR(VLOOKUP(D4355,'taxonomy map'!$A$1:$C$107,2,FALSE),"")</f>
        <v/>
      </c>
      <c r="F4355" s="49" t="str">
        <f>IFERROR(VLOOKUP(E4355,'Condensed Specialty Crosswalk'!$A$2:$C$106,2,FALSE),"")</f>
        <v/>
      </c>
      <c r="G4355" s="49" t="str">
        <f>IFERROR(VLOOKUP(E4355,'Condensed Specialty Crosswalk'!$A$2:$C$106,3,FALSE),"")</f>
        <v/>
      </c>
    </row>
    <row r="4356" spans="5:7" ht="15" customHeight="1">
      <c r="E4356" s="49" t="str">
        <f>IFERROR(VLOOKUP(D4356,'taxonomy map'!$A$1:$C$107,2,FALSE),"")</f>
        <v/>
      </c>
      <c r="F4356" s="49" t="str">
        <f>IFERROR(VLOOKUP(E4356,'Condensed Specialty Crosswalk'!$A$2:$C$106,2,FALSE),"")</f>
        <v/>
      </c>
      <c r="G4356" s="49" t="str">
        <f>IFERROR(VLOOKUP(E4356,'Condensed Specialty Crosswalk'!$A$2:$C$106,3,FALSE),"")</f>
        <v/>
      </c>
    </row>
    <row r="4357" spans="5:7" ht="15" customHeight="1">
      <c r="E4357" s="49" t="str">
        <f>IFERROR(VLOOKUP(D4357,'taxonomy map'!$A$1:$C$107,2,FALSE),"")</f>
        <v/>
      </c>
      <c r="F4357" s="49" t="str">
        <f>IFERROR(VLOOKUP(E4357,'Condensed Specialty Crosswalk'!$A$2:$C$106,2,FALSE),"")</f>
        <v/>
      </c>
      <c r="G4357" s="49" t="str">
        <f>IFERROR(VLOOKUP(E4357,'Condensed Specialty Crosswalk'!$A$2:$C$106,3,FALSE),"")</f>
        <v/>
      </c>
    </row>
    <row r="4358" spans="5:7" ht="15" customHeight="1">
      <c r="E4358" s="49" t="str">
        <f>IFERROR(VLOOKUP(D4358,'taxonomy map'!$A$1:$C$107,2,FALSE),"")</f>
        <v/>
      </c>
      <c r="F4358" s="49" t="str">
        <f>IFERROR(VLOOKUP(E4358,'Condensed Specialty Crosswalk'!$A$2:$C$106,2,FALSE),"")</f>
        <v/>
      </c>
      <c r="G4358" s="49" t="str">
        <f>IFERROR(VLOOKUP(E4358,'Condensed Specialty Crosswalk'!$A$2:$C$106,3,FALSE),"")</f>
        <v/>
      </c>
    </row>
    <row r="4359" spans="5:7" ht="15" customHeight="1">
      <c r="E4359" s="49" t="str">
        <f>IFERROR(VLOOKUP(D4359,'taxonomy map'!$A$1:$C$107,2,FALSE),"")</f>
        <v/>
      </c>
      <c r="F4359" s="49" t="str">
        <f>IFERROR(VLOOKUP(E4359,'Condensed Specialty Crosswalk'!$A$2:$C$106,2,FALSE),"")</f>
        <v/>
      </c>
      <c r="G4359" s="49" t="str">
        <f>IFERROR(VLOOKUP(E4359,'Condensed Specialty Crosswalk'!$A$2:$C$106,3,FALSE),"")</f>
        <v/>
      </c>
    </row>
    <row r="4360" spans="5:7" ht="15" customHeight="1">
      <c r="E4360" s="49" t="str">
        <f>IFERROR(VLOOKUP(D4360,'taxonomy map'!$A$1:$C$107,2,FALSE),"")</f>
        <v/>
      </c>
      <c r="F4360" s="49" t="str">
        <f>IFERROR(VLOOKUP(E4360,'Condensed Specialty Crosswalk'!$A$2:$C$106,2,FALSE),"")</f>
        <v/>
      </c>
      <c r="G4360" s="49" t="str">
        <f>IFERROR(VLOOKUP(E4360,'Condensed Specialty Crosswalk'!$A$2:$C$106,3,FALSE),"")</f>
        <v/>
      </c>
    </row>
    <row r="4361" spans="5:7" ht="15" customHeight="1">
      <c r="E4361" s="49" t="str">
        <f>IFERROR(VLOOKUP(D4361,'taxonomy map'!$A$1:$C$107,2,FALSE),"")</f>
        <v/>
      </c>
      <c r="F4361" s="49" t="str">
        <f>IFERROR(VLOOKUP(E4361,'Condensed Specialty Crosswalk'!$A$2:$C$106,2,FALSE),"")</f>
        <v/>
      </c>
      <c r="G4361" s="49" t="str">
        <f>IFERROR(VLOOKUP(E4361,'Condensed Specialty Crosswalk'!$A$2:$C$106,3,FALSE),"")</f>
        <v/>
      </c>
    </row>
    <row r="4362" spans="5:7" ht="15" customHeight="1">
      <c r="E4362" s="49" t="str">
        <f>IFERROR(VLOOKUP(D4362,'taxonomy map'!$A$1:$C$107,2,FALSE),"")</f>
        <v/>
      </c>
      <c r="F4362" s="49" t="str">
        <f>IFERROR(VLOOKUP(E4362,'Condensed Specialty Crosswalk'!$A$2:$C$106,2,FALSE),"")</f>
        <v/>
      </c>
      <c r="G4362" s="49" t="str">
        <f>IFERROR(VLOOKUP(E4362,'Condensed Specialty Crosswalk'!$A$2:$C$106,3,FALSE),"")</f>
        <v/>
      </c>
    </row>
    <row r="4363" spans="5:7" ht="15" customHeight="1">
      <c r="E4363" s="49" t="str">
        <f>IFERROR(VLOOKUP(D4363,'taxonomy map'!$A$1:$C$107,2,FALSE),"")</f>
        <v/>
      </c>
      <c r="F4363" s="49" t="str">
        <f>IFERROR(VLOOKUP(E4363,'Condensed Specialty Crosswalk'!$A$2:$C$106,2,FALSE),"")</f>
        <v/>
      </c>
      <c r="G4363" s="49" t="str">
        <f>IFERROR(VLOOKUP(E4363,'Condensed Specialty Crosswalk'!$A$2:$C$106,3,FALSE),"")</f>
        <v/>
      </c>
    </row>
    <row r="4364" spans="5:7" ht="15" customHeight="1">
      <c r="E4364" s="49" t="str">
        <f>IFERROR(VLOOKUP(D4364,'taxonomy map'!$A$1:$C$107,2,FALSE),"")</f>
        <v/>
      </c>
      <c r="F4364" s="49" t="str">
        <f>IFERROR(VLOOKUP(E4364,'Condensed Specialty Crosswalk'!$A$2:$C$106,2,FALSE),"")</f>
        <v/>
      </c>
      <c r="G4364" s="49" t="str">
        <f>IFERROR(VLOOKUP(E4364,'Condensed Specialty Crosswalk'!$A$2:$C$106,3,FALSE),"")</f>
        <v/>
      </c>
    </row>
    <row r="4365" spans="5:7" ht="15" customHeight="1">
      <c r="E4365" s="49" t="str">
        <f>IFERROR(VLOOKUP(D4365,'taxonomy map'!$A$1:$C$107,2,FALSE),"")</f>
        <v/>
      </c>
      <c r="F4365" s="49" t="str">
        <f>IFERROR(VLOOKUP(E4365,'Condensed Specialty Crosswalk'!$A$2:$C$106,2,FALSE),"")</f>
        <v/>
      </c>
      <c r="G4365" s="49" t="str">
        <f>IFERROR(VLOOKUP(E4365,'Condensed Specialty Crosswalk'!$A$2:$C$106,3,FALSE),"")</f>
        <v/>
      </c>
    </row>
    <row r="4366" spans="5:7" ht="15" customHeight="1">
      <c r="E4366" s="49" t="str">
        <f>IFERROR(VLOOKUP(D4366,'taxonomy map'!$A$1:$C$107,2,FALSE),"")</f>
        <v/>
      </c>
      <c r="F4366" s="49" t="str">
        <f>IFERROR(VLOOKUP(E4366,'Condensed Specialty Crosswalk'!$A$2:$C$106,2,FALSE),"")</f>
        <v/>
      </c>
      <c r="G4366" s="49" t="str">
        <f>IFERROR(VLOOKUP(E4366,'Condensed Specialty Crosswalk'!$A$2:$C$106,3,FALSE),"")</f>
        <v/>
      </c>
    </row>
    <row r="4367" spans="5:7" ht="15" customHeight="1">
      <c r="E4367" s="49" t="str">
        <f>IFERROR(VLOOKUP(D4367,'taxonomy map'!$A$1:$C$107,2,FALSE),"")</f>
        <v/>
      </c>
      <c r="F4367" s="49" t="str">
        <f>IFERROR(VLOOKUP(E4367,'Condensed Specialty Crosswalk'!$A$2:$C$106,2,FALSE),"")</f>
        <v/>
      </c>
      <c r="G4367" s="49" t="str">
        <f>IFERROR(VLOOKUP(E4367,'Condensed Specialty Crosswalk'!$A$2:$C$106,3,FALSE),"")</f>
        <v/>
      </c>
    </row>
    <row r="4368" spans="5:7" ht="15" customHeight="1">
      <c r="E4368" s="49" t="str">
        <f>IFERROR(VLOOKUP(D4368,'taxonomy map'!$A$1:$C$107,2,FALSE),"")</f>
        <v/>
      </c>
      <c r="F4368" s="49" t="str">
        <f>IFERROR(VLOOKUP(E4368,'Condensed Specialty Crosswalk'!$A$2:$C$106,2,FALSE),"")</f>
        <v/>
      </c>
      <c r="G4368" s="49" t="str">
        <f>IFERROR(VLOOKUP(E4368,'Condensed Specialty Crosswalk'!$A$2:$C$106,3,FALSE),"")</f>
        <v/>
      </c>
    </row>
    <row r="4369" spans="5:7" ht="15" customHeight="1">
      <c r="E4369" s="49" t="str">
        <f>IFERROR(VLOOKUP(D4369,'taxonomy map'!$A$1:$C$107,2,FALSE),"")</f>
        <v/>
      </c>
      <c r="F4369" s="49" t="str">
        <f>IFERROR(VLOOKUP(E4369,'Condensed Specialty Crosswalk'!$A$2:$C$106,2,FALSE),"")</f>
        <v/>
      </c>
      <c r="G4369" s="49" t="str">
        <f>IFERROR(VLOOKUP(E4369,'Condensed Specialty Crosswalk'!$A$2:$C$106,3,FALSE),"")</f>
        <v/>
      </c>
    </row>
    <row r="4370" spans="5:7" ht="15" customHeight="1">
      <c r="E4370" s="49" t="str">
        <f>IFERROR(VLOOKUP(D4370,'taxonomy map'!$A$1:$C$107,2,FALSE),"")</f>
        <v/>
      </c>
      <c r="F4370" s="49" t="str">
        <f>IFERROR(VLOOKUP(E4370,'Condensed Specialty Crosswalk'!$A$2:$C$106,2,FALSE),"")</f>
        <v/>
      </c>
      <c r="G4370" s="49" t="str">
        <f>IFERROR(VLOOKUP(E4370,'Condensed Specialty Crosswalk'!$A$2:$C$106,3,FALSE),"")</f>
        <v/>
      </c>
    </row>
    <row r="4371" spans="5:7" ht="15" customHeight="1">
      <c r="E4371" s="49" t="str">
        <f>IFERROR(VLOOKUP(D4371,'taxonomy map'!$A$1:$C$107,2,FALSE),"")</f>
        <v/>
      </c>
      <c r="F4371" s="49" t="str">
        <f>IFERROR(VLOOKUP(E4371,'Condensed Specialty Crosswalk'!$A$2:$C$106,2,FALSE),"")</f>
        <v/>
      </c>
      <c r="G4371" s="49" t="str">
        <f>IFERROR(VLOOKUP(E4371,'Condensed Specialty Crosswalk'!$A$2:$C$106,3,FALSE),"")</f>
        <v/>
      </c>
    </row>
    <row r="4372" spans="5:7" ht="15" customHeight="1">
      <c r="E4372" s="49" t="str">
        <f>IFERROR(VLOOKUP(D4372,'taxonomy map'!$A$1:$C$107,2,FALSE),"")</f>
        <v/>
      </c>
      <c r="F4372" s="49" t="str">
        <f>IFERROR(VLOOKUP(E4372,'Condensed Specialty Crosswalk'!$A$2:$C$106,2,FALSE),"")</f>
        <v/>
      </c>
      <c r="G4372" s="49" t="str">
        <f>IFERROR(VLOOKUP(E4372,'Condensed Specialty Crosswalk'!$A$2:$C$106,3,FALSE),"")</f>
        <v/>
      </c>
    </row>
    <row r="4373" spans="5:7" ht="15" customHeight="1">
      <c r="E4373" s="49" t="str">
        <f>IFERROR(VLOOKUP(D4373,'taxonomy map'!$A$1:$C$107,2,FALSE),"")</f>
        <v/>
      </c>
      <c r="F4373" s="49" t="str">
        <f>IFERROR(VLOOKUP(E4373,'Condensed Specialty Crosswalk'!$A$2:$C$106,2,FALSE),"")</f>
        <v/>
      </c>
      <c r="G4373" s="49" t="str">
        <f>IFERROR(VLOOKUP(E4373,'Condensed Specialty Crosswalk'!$A$2:$C$106,3,FALSE),"")</f>
        <v/>
      </c>
    </row>
    <row r="4374" spans="5:7" ht="15" customHeight="1">
      <c r="E4374" s="49" t="str">
        <f>IFERROR(VLOOKUP(D4374,'taxonomy map'!$A$1:$C$107,2,FALSE),"")</f>
        <v/>
      </c>
      <c r="F4374" s="49" t="str">
        <f>IFERROR(VLOOKUP(E4374,'Condensed Specialty Crosswalk'!$A$2:$C$106,2,FALSE),"")</f>
        <v/>
      </c>
      <c r="G4374" s="49" t="str">
        <f>IFERROR(VLOOKUP(E4374,'Condensed Specialty Crosswalk'!$A$2:$C$106,3,FALSE),"")</f>
        <v/>
      </c>
    </row>
    <row r="4375" spans="5:7" ht="15" customHeight="1">
      <c r="E4375" s="49" t="str">
        <f>IFERROR(VLOOKUP(D4375,'taxonomy map'!$A$1:$C$107,2,FALSE),"")</f>
        <v/>
      </c>
      <c r="F4375" s="49" t="str">
        <f>IFERROR(VLOOKUP(E4375,'Condensed Specialty Crosswalk'!$A$2:$C$106,2,FALSE),"")</f>
        <v/>
      </c>
      <c r="G4375" s="49" t="str">
        <f>IFERROR(VLOOKUP(E4375,'Condensed Specialty Crosswalk'!$A$2:$C$106,3,FALSE),"")</f>
        <v/>
      </c>
    </row>
    <row r="4376" spans="5:7" ht="15" customHeight="1">
      <c r="E4376" s="49" t="str">
        <f>IFERROR(VLOOKUP(D4376,'taxonomy map'!$A$1:$C$107,2,FALSE),"")</f>
        <v/>
      </c>
      <c r="F4376" s="49" t="str">
        <f>IFERROR(VLOOKUP(E4376,'Condensed Specialty Crosswalk'!$A$2:$C$106,2,FALSE),"")</f>
        <v/>
      </c>
      <c r="G4376" s="49" t="str">
        <f>IFERROR(VLOOKUP(E4376,'Condensed Specialty Crosswalk'!$A$2:$C$106,3,FALSE),"")</f>
        <v/>
      </c>
    </row>
    <row r="4377" spans="5:7" ht="15" customHeight="1">
      <c r="E4377" s="49" t="str">
        <f>IFERROR(VLOOKUP(D4377,'taxonomy map'!$A$1:$C$107,2,FALSE),"")</f>
        <v/>
      </c>
      <c r="F4377" s="49" t="str">
        <f>IFERROR(VLOOKUP(E4377,'Condensed Specialty Crosswalk'!$A$2:$C$106,2,FALSE),"")</f>
        <v/>
      </c>
      <c r="G4377" s="49" t="str">
        <f>IFERROR(VLOOKUP(E4377,'Condensed Specialty Crosswalk'!$A$2:$C$106,3,FALSE),"")</f>
        <v/>
      </c>
    </row>
    <row r="4378" spans="5:7" ht="15" customHeight="1">
      <c r="E4378" s="49" t="str">
        <f>IFERROR(VLOOKUP(D4378,'taxonomy map'!$A$1:$C$107,2,FALSE),"")</f>
        <v/>
      </c>
      <c r="F4378" s="49" t="str">
        <f>IFERROR(VLOOKUP(E4378,'Condensed Specialty Crosswalk'!$A$2:$C$106,2,FALSE),"")</f>
        <v/>
      </c>
      <c r="G4378" s="49" t="str">
        <f>IFERROR(VLOOKUP(E4378,'Condensed Specialty Crosswalk'!$A$2:$C$106,3,FALSE),"")</f>
        <v/>
      </c>
    </row>
    <row r="4379" spans="5:7" ht="15" customHeight="1">
      <c r="E4379" s="49" t="str">
        <f>IFERROR(VLOOKUP(D4379,'taxonomy map'!$A$1:$C$107,2,FALSE),"")</f>
        <v/>
      </c>
      <c r="F4379" s="49" t="str">
        <f>IFERROR(VLOOKUP(E4379,'Condensed Specialty Crosswalk'!$A$2:$C$106,2,FALSE),"")</f>
        <v/>
      </c>
      <c r="G4379" s="49" t="str">
        <f>IFERROR(VLOOKUP(E4379,'Condensed Specialty Crosswalk'!$A$2:$C$106,3,FALSE),"")</f>
        <v/>
      </c>
    </row>
    <row r="4380" spans="5:7" ht="15" customHeight="1">
      <c r="E4380" s="49" t="str">
        <f>IFERROR(VLOOKUP(D4380,'taxonomy map'!$A$1:$C$107,2,FALSE),"")</f>
        <v/>
      </c>
      <c r="F4380" s="49" t="str">
        <f>IFERROR(VLOOKUP(E4380,'Condensed Specialty Crosswalk'!$A$2:$C$106,2,FALSE),"")</f>
        <v/>
      </c>
      <c r="G4380" s="49" t="str">
        <f>IFERROR(VLOOKUP(E4380,'Condensed Specialty Crosswalk'!$A$2:$C$106,3,FALSE),"")</f>
        <v/>
      </c>
    </row>
    <row r="4381" spans="5:7" ht="15" customHeight="1">
      <c r="E4381" s="49" t="str">
        <f>IFERROR(VLOOKUP(D4381,'taxonomy map'!$A$1:$C$107,2,FALSE),"")</f>
        <v/>
      </c>
      <c r="F4381" s="49" t="str">
        <f>IFERROR(VLOOKUP(E4381,'Condensed Specialty Crosswalk'!$A$2:$C$106,2,FALSE),"")</f>
        <v/>
      </c>
      <c r="G4381" s="49" t="str">
        <f>IFERROR(VLOOKUP(E4381,'Condensed Specialty Crosswalk'!$A$2:$C$106,3,FALSE),"")</f>
        <v/>
      </c>
    </row>
    <row r="4382" spans="5:7" ht="15" customHeight="1">
      <c r="E4382" s="49" t="str">
        <f>IFERROR(VLOOKUP(D4382,'taxonomy map'!$A$1:$C$107,2,FALSE),"")</f>
        <v/>
      </c>
      <c r="F4382" s="49" t="str">
        <f>IFERROR(VLOOKUP(E4382,'Condensed Specialty Crosswalk'!$A$2:$C$106,2,FALSE),"")</f>
        <v/>
      </c>
      <c r="G4382" s="49" t="str">
        <f>IFERROR(VLOOKUP(E4382,'Condensed Specialty Crosswalk'!$A$2:$C$106,3,FALSE),"")</f>
        <v/>
      </c>
    </row>
    <row r="4383" spans="5:7" ht="15" customHeight="1">
      <c r="E4383" s="49" t="str">
        <f>IFERROR(VLOOKUP(D4383,'taxonomy map'!$A$1:$C$107,2,FALSE),"")</f>
        <v/>
      </c>
      <c r="F4383" s="49" t="str">
        <f>IFERROR(VLOOKUP(E4383,'Condensed Specialty Crosswalk'!$A$2:$C$106,2,FALSE),"")</f>
        <v/>
      </c>
      <c r="G4383" s="49" t="str">
        <f>IFERROR(VLOOKUP(E4383,'Condensed Specialty Crosswalk'!$A$2:$C$106,3,FALSE),"")</f>
        <v/>
      </c>
    </row>
    <row r="4384" spans="5:7" ht="15" customHeight="1">
      <c r="E4384" s="49" t="str">
        <f>IFERROR(VLOOKUP(D4384,'taxonomy map'!$A$1:$C$107,2,FALSE),"")</f>
        <v/>
      </c>
      <c r="F4384" s="49" t="str">
        <f>IFERROR(VLOOKUP(E4384,'Condensed Specialty Crosswalk'!$A$2:$C$106,2,FALSE),"")</f>
        <v/>
      </c>
      <c r="G4384" s="49" t="str">
        <f>IFERROR(VLOOKUP(E4384,'Condensed Specialty Crosswalk'!$A$2:$C$106,3,FALSE),"")</f>
        <v/>
      </c>
    </row>
    <row r="4385" spans="5:7" ht="15" customHeight="1">
      <c r="E4385" s="49" t="str">
        <f>IFERROR(VLOOKUP(D4385,'taxonomy map'!$A$1:$C$107,2,FALSE),"")</f>
        <v/>
      </c>
      <c r="F4385" s="49" t="str">
        <f>IFERROR(VLOOKUP(E4385,'Condensed Specialty Crosswalk'!$A$2:$C$106,2,FALSE),"")</f>
        <v/>
      </c>
      <c r="G4385" s="49" t="str">
        <f>IFERROR(VLOOKUP(E4385,'Condensed Specialty Crosswalk'!$A$2:$C$106,3,FALSE),"")</f>
        <v/>
      </c>
    </row>
    <row r="4386" spans="5:7" ht="15" customHeight="1">
      <c r="E4386" s="49" t="str">
        <f>IFERROR(VLOOKUP(D4386,'taxonomy map'!$A$1:$C$107,2,FALSE),"")</f>
        <v/>
      </c>
      <c r="F4386" s="49" t="str">
        <f>IFERROR(VLOOKUP(E4386,'Condensed Specialty Crosswalk'!$A$2:$C$106,2,FALSE),"")</f>
        <v/>
      </c>
      <c r="G4386" s="49" t="str">
        <f>IFERROR(VLOOKUP(E4386,'Condensed Specialty Crosswalk'!$A$2:$C$106,3,FALSE),"")</f>
        <v/>
      </c>
    </row>
    <row r="4387" spans="5:7" ht="15" customHeight="1">
      <c r="E4387" s="49" t="str">
        <f>IFERROR(VLOOKUP(D4387,'taxonomy map'!$A$1:$C$107,2,FALSE),"")</f>
        <v/>
      </c>
      <c r="F4387" s="49" t="str">
        <f>IFERROR(VLOOKUP(E4387,'Condensed Specialty Crosswalk'!$A$2:$C$106,2,FALSE),"")</f>
        <v/>
      </c>
      <c r="G4387" s="49" t="str">
        <f>IFERROR(VLOOKUP(E4387,'Condensed Specialty Crosswalk'!$A$2:$C$106,3,FALSE),"")</f>
        <v/>
      </c>
    </row>
    <row r="4388" spans="5:7" ht="15" customHeight="1">
      <c r="E4388" s="49" t="str">
        <f>IFERROR(VLOOKUP(D4388,'taxonomy map'!$A$1:$C$107,2,FALSE),"")</f>
        <v/>
      </c>
      <c r="F4388" s="49" t="str">
        <f>IFERROR(VLOOKUP(E4388,'Condensed Specialty Crosswalk'!$A$2:$C$106,2,FALSE),"")</f>
        <v/>
      </c>
      <c r="G4388" s="49" t="str">
        <f>IFERROR(VLOOKUP(E4388,'Condensed Specialty Crosswalk'!$A$2:$C$106,3,FALSE),"")</f>
        <v/>
      </c>
    </row>
    <row r="4389" spans="5:7" ht="15" customHeight="1">
      <c r="E4389" s="49" t="str">
        <f>IFERROR(VLOOKUP(D4389,'taxonomy map'!$A$1:$C$107,2,FALSE),"")</f>
        <v/>
      </c>
      <c r="F4389" s="49" t="str">
        <f>IFERROR(VLOOKUP(E4389,'Condensed Specialty Crosswalk'!$A$2:$C$106,2,FALSE),"")</f>
        <v/>
      </c>
      <c r="G4389" s="49" t="str">
        <f>IFERROR(VLOOKUP(E4389,'Condensed Specialty Crosswalk'!$A$2:$C$106,3,FALSE),"")</f>
        <v/>
      </c>
    </row>
    <row r="4390" spans="5:7" ht="15" customHeight="1">
      <c r="E4390" s="49" t="str">
        <f>IFERROR(VLOOKUP(D4390,'taxonomy map'!$A$1:$C$107,2,FALSE),"")</f>
        <v/>
      </c>
      <c r="F4390" s="49" t="str">
        <f>IFERROR(VLOOKUP(E4390,'Condensed Specialty Crosswalk'!$A$2:$C$106,2,FALSE),"")</f>
        <v/>
      </c>
      <c r="G4390" s="49" t="str">
        <f>IFERROR(VLOOKUP(E4390,'Condensed Specialty Crosswalk'!$A$2:$C$106,3,FALSE),"")</f>
        <v/>
      </c>
    </row>
    <row r="4391" spans="5:7" ht="15" customHeight="1">
      <c r="E4391" s="49" t="str">
        <f>IFERROR(VLOOKUP(D4391,'taxonomy map'!$A$1:$C$107,2,FALSE),"")</f>
        <v/>
      </c>
      <c r="F4391" s="49" t="str">
        <f>IFERROR(VLOOKUP(E4391,'Condensed Specialty Crosswalk'!$A$2:$C$106,2,FALSE),"")</f>
        <v/>
      </c>
      <c r="G4391" s="49" t="str">
        <f>IFERROR(VLOOKUP(E4391,'Condensed Specialty Crosswalk'!$A$2:$C$106,3,FALSE),"")</f>
        <v/>
      </c>
    </row>
    <row r="4392" spans="5:7" ht="15" customHeight="1">
      <c r="E4392" s="49" t="str">
        <f>IFERROR(VLOOKUP(D4392,'taxonomy map'!$A$1:$C$107,2,FALSE),"")</f>
        <v/>
      </c>
      <c r="F4392" s="49" t="str">
        <f>IFERROR(VLOOKUP(E4392,'Condensed Specialty Crosswalk'!$A$2:$C$106,2,FALSE),"")</f>
        <v/>
      </c>
      <c r="G4392" s="49" t="str">
        <f>IFERROR(VLOOKUP(E4392,'Condensed Specialty Crosswalk'!$A$2:$C$106,3,FALSE),"")</f>
        <v/>
      </c>
    </row>
    <row r="4393" spans="5:7" ht="15" customHeight="1">
      <c r="E4393" s="49" t="str">
        <f>IFERROR(VLOOKUP(D4393,'taxonomy map'!$A$1:$C$107,2,FALSE),"")</f>
        <v/>
      </c>
      <c r="F4393" s="49" t="str">
        <f>IFERROR(VLOOKUP(E4393,'Condensed Specialty Crosswalk'!$A$2:$C$106,2,FALSE),"")</f>
        <v/>
      </c>
      <c r="G4393" s="49" t="str">
        <f>IFERROR(VLOOKUP(E4393,'Condensed Specialty Crosswalk'!$A$2:$C$106,3,FALSE),"")</f>
        <v/>
      </c>
    </row>
    <row r="4394" spans="5:7" ht="15" customHeight="1">
      <c r="E4394" s="49" t="str">
        <f>IFERROR(VLOOKUP(D4394,'taxonomy map'!$A$1:$C$107,2,FALSE),"")</f>
        <v/>
      </c>
      <c r="F4394" s="49" t="str">
        <f>IFERROR(VLOOKUP(E4394,'Condensed Specialty Crosswalk'!$A$2:$C$106,2,FALSE),"")</f>
        <v/>
      </c>
      <c r="G4394" s="49" t="str">
        <f>IFERROR(VLOOKUP(E4394,'Condensed Specialty Crosswalk'!$A$2:$C$106,3,FALSE),"")</f>
        <v/>
      </c>
    </row>
    <row r="4395" spans="5:7" ht="15" customHeight="1">
      <c r="E4395" s="49" t="str">
        <f>IFERROR(VLOOKUP(D4395,'taxonomy map'!$A$1:$C$107,2,FALSE),"")</f>
        <v/>
      </c>
      <c r="F4395" s="49" t="str">
        <f>IFERROR(VLOOKUP(E4395,'Condensed Specialty Crosswalk'!$A$2:$C$106,2,FALSE),"")</f>
        <v/>
      </c>
      <c r="G4395" s="49" t="str">
        <f>IFERROR(VLOOKUP(E4395,'Condensed Specialty Crosswalk'!$A$2:$C$106,3,FALSE),"")</f>
        <v/>
      </c>
    </row>
    <row r="4396" spans="5:7" ht="15" customHeight="1">
      <c r="E4396" s="49" t="str">
        <f>IFERROR(VLOOKUP(D4396,'taxonomy map'!$A$1:$C$107,2,FALSE),"")</f>
        <v/>
      </c>
      <c r="F4396" s="49" t="str">
        <f>IFERROR(VLOOKUP(E4396,'Condensed Specialty Crosswalk'!$A$2:$C$106,2,FALSE),"")</f>
        <v/>
      </c>
      <c r="G4396" s="49" t="str">
        <f>IFERROR(VLOOKUP(E4396,'Condensed Specialty Crosswalk'!$A$2:$C$106,3,FALSE),"")</f>
        <v/>
      </c>
    </row>
    <row r="4397" spans="5:7" ht="15" customHeight="1">
      <c r="E4397" s="49" t="str">
        <f>IFERROR(VLOOKUP(D4397,'taxonomy map'!$A$1:$C$107,2,FALSE),"")</f>
        <v/>
      </c>
      <c r="F4397" s="49" t="str">
        <f>IFERROR(VLOOKUP(E4397,'Condensed Specialty Crosswalk'!$A$2:$C$106,2,FALSE),"")</f>
        <v/>
      </c>
      <c r="G4397" s="49" t="str">
        <f>IFERROR(VLOOKUP(E4397,'Condensed Specialty Crosswalk'!$A$2:$C$106,3,FALSE),"")</f>
        <v/>
      </c>
    </row>
    <row r="4398" spans="5:7" ht="15" customHeight="1">
      <c r="E4398" s="49" t="str">
        <f>IFERROR(VLOOKUP(D4398,'taxonomy map'!$A$1:$C$107,2,FALSE),"")</f>
        <v/>
      </c>
      <c r="F4398" s="49" t="str">
        <f>IFERROR(VLOOKUP(E4398,'Condensed Specialty Crosswalk'!$A$2:$C$106,2,FALSE),"")</f>
        <v/>
      </c>
      <c r="G4398" s="49" t="str">
        <f>IFERROR(VLOOKUP(E4398,'Condensed Specialty Crosswalk'!$A$2:$C$106,3,FALSE),"")</f>
        <v/>
      </c>
    </row>
    <row r="4399" spans="5:7" ht="15" customHeight="1">
      <c r="E4399" s="49" t="str">
        <f>IFERROR(VLOOKUP(D4399,'taxonomy map'!$A$1:$C$107,2,FALSE),"")</f>
        <v/>
      </c>
      <c r="F4399" s="49" t="str">
        <f>IFERROR(VLOOKUP(E4399,'Condensed Specialty Crosswalk'!$A$2:$C$106,2,FALSE),"")</f>
        <v/>
      </c>
      <c r="G4399" s="49" t="str">
        <f>IFERROR(VLOOKUP(E4399,'Condensed Specialty Crosswalk'!$A$2:$C$106,3,FALSE),"")</f>
        <v/>
      </c>
    </row>
    <row r="4400" spans="5:7" ht="15" customHeight="1">
      <c r="E4400" s="49" t="str">
        <f>IFERROR(VLOOKUP(D4400,'taxonomy map'!$A$1:$C$107,2,FALSE),"")</f>
        <v/>
      </c>
      <c r="F4400" s="49" t="str">
        <f>IFERROR(VLOOKUP(E4400,'Condensed Specialty Crosswalk'!$A$2:$C$106,2,FALSE),"")</f>
        <v/>
      </c>
      <c r="G4400" s="49" t="str">
        <f>IFERROR(VLOOKUP(E4400,'Condensed Specialty Crosswalk'!$A$2:$C$106,3,FALSE),"")</f>
        <v/>
      </c>
    </row>
    <row r="4401" spans="5:7" ht="15" customHeight="1">
      <c r="E4401" s="49" t="str">
        <f>IFERROR(VLOOKUP(D4401,'taxonomy map'!$A$1:$C$107,2,FALSE),"")</f>
        <v/>
      </c>
      <c r="F4401" s="49" t="str">
        <f>IFERROR(VLOOKUP(E4401,'Condensed Specialty Crosswalk'!$A$2:$C$106,2,FALSE),"")</f>
        <v/>
      </c>
      <c r="G4401" s="49" t="str">
        <f>IFERROR(VLOOKUP(E4401,'Condensed Specialty Crosswalk'!$A$2:$C$106,3,FALSE),"")</f>
        <v/>
      </c>
    </row>
    <row r="4402" spans="5:7" ht="15" customHeight="1">
      <c r="E4402" s="49" t="str">
        <f>IFERROR(VLOOKUP(D4402,'taxonomy map'!$A$1:$C$107,2,FALSE),"")</f>
        <v/>
      </c>
      <c r="F4402" s="49" t="str">
        <f>IFERROR(VLOOKUP(E4402,'Condensed Specialty Crosswalk'!$A$2:$C$106,2,FALSE),"")</f>
        <v/>
      </c>
      <c r="G4402" s="49" t="str">
        <f>IFERROR(VLOOKUP(E4402,'Condensed Specialty Crosswalk'!$A$2:$C$106,3,FALSE),"")</f>
        <v/>
      </c>
    </row>
    <row r="4403" spans="5:7" ht="15" customHeight="1">
      <c r="E4403" s="49" t="str">
        <f>IFERROR(VLOOKUP(D4403,'taxonomy map'!$A$1:$C$107,2,FALSE),"")</f>
        <v/>
      </c>
      <c r="F4403" s="49" t="str">
        <f>IFERROR(VLOOKUP(E4403,'Condensed Specialty Crosswalk'!$A$2:$C$106,2,FALSE),"")</f>
        <v/>
      </c>
      <c r="G4403" s="49" t="str">
        <f>IFERROR(VLOOKUP(E4403,'Condensed Specialty Crosswalk'!$A$2:$C$106,3,FALSE),"")</f>
        <v/>
      </c>
    </row>
    <row r="4404" spans="5:7" ht="15" customHeight="1">
      <c r="E4404" s="49" t="str">
        <f>IFERROR(VLOOKUP(D4404,'taxonomy map'!$A$1:$C$107,2,FALSE),"")</f>
        <v/>
      </c>
      <c r="F4404" s="49" t="str">
        <f>IFERROR(VLOOKUP(E4404,'Condensed Specialty Crosswalk'!$A$2:$C$106,2,FALSE),"")</f>
        <v/>
      </c>
      <c r="G4404" s="49" t="str">
        <f>IFERROR(VLOOKUP(E4404,'Condensed Specialty Crosswalk'!$A$2:$C$106,3,FALSE),"")</f>
        <v/>
      </c>
    </row>
    <row r="4405" spans="5:7" ht="15" customHeight="1">
      <c r="E4405" s="49" t="str">
        <f>IFERROR(VLOOKUP(D4405,'taxonomy map'!$A$1:$C$107,2,FALSE),"")</f>
        <v/>
      </c>
      <c r="F4405" s="49" t="str">
        <f>IFERROR(VLOOKUP(E4405,'Condensed Specialty Crosswalk'!$A$2:$C$106,2,FALSE),"")</f>
        <v/>
      </c>
      <c r="G4405" s="49" t="str">
        <f>IFERROR(VLOOKUP(E4405,'Condensed Specialty Crosswalk'!$A$2:$C$106,3,FALSE),"")</f>
        <v/>
      </c>
    </row>
    <row r="4406" spans="5:7" ht="15" customHeight="1">
      <c r="E4406" s="49" t="str">
        <f>IFERROR(VLOOKUP(D4406,'taxonomy map'!$A$1:$C$107,2,FALSE),"")</f>
        <v/>
      </c>
      <c r="F4406" s="49" t="str">
        <f>IFERROR(VLOOKUP(E4406,'Condensed Specialty Crosswalk'!$A$2:$C$106,2,FALSE),"")</f>
        <v/>
      </c>
      <c r="G4406" s="49" t="str">
        <f>IFERROR(VLOOKUP(E4406,'Condensed Specialty Crosswalk'!$A$2:$C$106,3,FALSE),"")</f>
        <v/>
      </c>
    </row>
    <row r="4407" spans="5:7" ht="15" customHeight="1">
      <c r="E4407" s="49" t="str">
        <f>IFERROR(VLOOKUP(D4407,'taxonomy map'!$A$1:$C$107,2,FALSE),"")</f>
        <v/>
      </c>
      <c r="F4407" s="49" t="str">
        <f>IFERROR(VLOOKUP(E4407,'Condensed Specialty Crosswalk'!$A$2:$C$106,2,FALSE),"")</f>
        <v/>
      </c>
      <c r="G4407" s="49" t="str">
        <f>IFERROR(VLOOKUP(E4407,'Condensed Specialty Crosswalk'!$A$2:$C$106,3,FALSE),"")</f>
        <v/>
      </c>
    </row>
    <row r="4408" spans="5:7" ht="15" customHeight="1">
      <c r="E4408" s="49" t="str">
        <f>IFERROR(VLOOKUP(D4408,'taxonomy map'!$A$1:$C$107,2,FALSE),"")</f>
        <v/>
      </c>
      <c r="F4408" s="49" t="str">
        <f>IFERROR(VLOOKUP(E4408,'Condensed Specialty Crosswalk'!$A$2:$C$106,2,FALSE),"")</f>
        <v/>
      </c>
      <c r="G4408" s="49" t="str">
        <f>IFERROR(VLOOKUP(E4408,'Condensed Specialty Crosswalk'!$A$2:$C$106,3,FALSE),"")</f>
        <v/>
      </c>
    </row>
    <row r="4409" spans="5:7" ht="15" customHeight="1">
      <c r="E4409" s="49" t="str">
        <f>IFERROR(VLOOKUP(D4409,'taxonomy map'!$A$1:$C$107,2,FALSE),"")</f>
        <v/>
      </c>
      <c r="F4409" s="49" t="str">
        <f>IFERROR(VLOOKUP(E4409,'Condensed Specialty Crosswalk'!$A$2:$C$106,2,FALSE),"")</f>
        <v/>
      </c>
      <c r="G4409" s="49" t="str">
        <f>IFERROR(VLOOKUP(E4409,'Condensed Specialty Crosswalk'!$A$2:$C$106,3,FALSE),"")</f>
        <v/>
      </c>
    </row>
    <row r="4410" spans="5:7" ht="15" customHeight="1">
      <c r="E4410" s="49" t="str">
        <f>IFERROR(VLOOKUP(D4410,'taxonomy map'!$A$1:$C$107,2,FALSE),"")</f>
        <v/>
      </c>
      <c r="F4410" s="49" t="str">
        <f>IFERROR(VLOOKUP(E4410,'Condensed Specialty Crosswalk'!$A$2:$C$106,2,FALSE),"")</f>
        <v/>
      </c>
      <c r="G4410" s="49" t="str">
        <f>IFERROR(VLOOKUP(E4410,'Condensed Specialty Crosswalk'!$A$2:$C$106,3,FALSE),"")</f>
        <v/>
      </c>
    </row>
    <row r="4411" spans="5:7" ht="15" customHeight="1">
      <c r="E4411" s="49" t="str">
        <f>IFERROR(VLOOKUP(D4411,'taxonomy map'!$A$1:$C$107,2,FALSE),"")</f>
        <v/>
      </c>
      <c r="F4411" s="49" t="str">
        <f>IFERROR(VLOOKUP(E4411,'Condensed Specialty Crosswalk'!$A$2:$C$106,2,FALSE),"")</f>
        <v/>
      </c>
      <c r="G4411" s="49" t="str">
        <f>IFERROR(VLOOKUP(E4411,'Condensed Specialty Crosswalk'!$A$2:$C$106,3,FALSE),"")</f>
        <v/>
      </c>
    </row>
    <row r="4412" spans="5:7" ht="15" customHeight="1">
      <c r="E4412" s="49" t="str">
        <f>IFERROR(VLOOKUP(D4412,'taxonomy map'!$A$1:$C$107,2,FALSE),"")</f>
        <v/>
      </c>
      <c r="F4412" s="49" t="str">
        <f>IFERROR(VLOOKUP(E4412,'Condensed Specialty Crosswalk'!$A$2:$C$106,2,FALSE),"")</f>
        <v/>
      </c>
      <c r="G4412" s="49" t="str">
        <f>IFERROR(VLOOKUP(E4412,'Condensed Specialty Crosswalk'!$A$2:$C$106,3,FALSE),"")</f>
        <v/>
      </c>
    </row>
    <row r="4413" spans="5:7" ht="15" customHeight="1">
      <c r="E4413" s="49" t="str">
        <f>IFERROR(VLOOKUP(D4413,'taxonomy map'!$A$1:$C$107,2,FALSE),"")</f>
        <v/>
      </c>
      <c r="F4413" s="49" t="str">
        <f>IFERROR(VLOOKUP(E4413,'Condensed Specialty Crosswalk'!$A$2:$C$106,2,FALSE),"")</f>
        <v/>
      </c>
      <c r="G4413" s="49" t="str">
        <f>IFERROR(VLOOKUP(E4413,'Condensed Specialty Crosswalk'!$A$2:$C$106,3,FALSE),"")</f>
        <v/>
      </c>
    </row>
    <row r="4414" spans="5:7" ht="15" customHeight="1">
      <c r="E4414" s="49" t="str">
        <f>IFERROR(VLOOKUP(D4414,'taxonomy map'!$A$1:$C$107,2,FALSE),"")</f>
        <v/>
      </c>
      <c r="F4414" s="49" t="str">
        <f>IFERROR(VLOOKUP(E4414,'Condensed Specialty Crosswalk'!$A$2:$C$106,2,FALSE),"")</f>
        <v/>
      </c>
      <c r="G4414" s="49" t="str">
        <f>IFERROR(VLOOKUP(E4414,'Condensed Specialty Crosswalk'!$A$2:$C$106,3,FALSE),"")</f>
        <v/>
      </c>
    </row>
    <row r="4415" spans="5:7" ht="15" customHeight="1">
      <c r="E4415" s="49" t="str">
        <f>IFERROR(VLOOKUP(D4415,'taxonomy map'!$A$1:$C$107,2,FALSE),"")</f>
        <v/>
      </c>
      <c r="F4415" s="49" t="str">
        <f>IFERROR(VLOOKUP(E4415,'Condensed Specialty Crosswalk'!$A$2:$C$106,2,FALSE),"")</f>
        <v/>
      </c>
      <c r="G4415" s="49" t="str">
        <f>IFERROR(VLOOKUP(E4415,'Condensed Specialty Crosswalk'!$A$2:$C$106,3,FALSE),"")</f>
        <v/>
      </c>
    </row>
    <row r="4416" spans="5:7" ht="15" customHeight="1">
      <c r="E4416" s="49" t="str">
        <f>IFERROR(VLOOKUP(D4416,'taxonomy map'!$A$1:$C$107,2,FALSE),"")</f>
        <v/>
      </c>
      <c r="F4416" s="49" t="str">
        <f>IFERROR(VLOOKUP(E4416,'Condensed Specialty Crosswalk'!$A$2:$C$106,2,FALSE),"")</f>
        <v/>
      </c>
      <c r="G4416" s="49" t="str">
        <f>IFERROR(VLOOKUP(E4416,'Condensed Specialty Crosswalk'!$A$2:$C$106,3,FALSE),"")</f>
        <v/>
      </c>
    </row>
    <row r="4417" spans="5:7" ht="15" customHeight="1">
      <c r="E4417" s="49" t="str">
        <f>IFERROR(VLOOKUP(D4417,'taxonomy map'!$A$1:$C$107,2,FALSE),"")</f>
        <v/>
      </c>
      <c r="F4417" s="49" t="str">
        <f>IFERROR(VLOOKUP(E4417,'Condensed Specialty Crosswalk'!$A$2:$C$106,2,FALSE),"")</f>
        <v/>
      </c>
      <c r="G4417" s="49" t="str">
        <f>IFERROR(VLOOKUP(E4417,'Condensed Specialty Crosswalk'!$A$2:$C$106,3,FALSE),"")</f>
        <v/>
      </c>
    </row>
    <row r="4418" spans="5:7" ht="15" customHeight="1">
      <c r="E4418" s="49" t="str">
        <f>IFERROR(VLOOKUP(D4418,'taxonomy map'!$A$1:$C$107,2,FALSE),"")</f>
        <v/>
      </c>
      <c r="F4418" s="49" t="str">
        <f>IFERROR(VLOOKUP(E4418,'Condensed Specialty Crosswalk'!$A$2:$C$106,2,FALSE),"")</f>
        <v/>
      </c>
      <c r="G4418" s="49" t="str">
        <f>IFERROR(VLOOKUP(E4418,'Condensed Specialty Crosswalk'!$A$2:$C$106,3,FALSE),"")</f>
        <v/>
      </c>
    </row>
    <row r="4419" spans="5:7" ht="15" customHeight="1">
      <c r="E4419" s="49" t="str">
        <f>IFERROR(VLOOKUP(D4419,'taxonomy map'!$A$1:$C$107,2,FALSE),"")</f>
        <v/>
      </c>
      <c r="F4419" s="49" t="str">
        <f>IFERROR(VLOOKUP(E4419,'Condensed Specialty Crosswalk'!$A$2:$C$106,2,FALSE),"")</f>
        <v/>
      </c>
      <c r="G4419" s="49" t="str">
        <f>IFERROR(VLOOKUP(E4419,'Condensed Specialty Crosswalk'!$A$2:$C$106,3,FALSE),"")</f>
        <v/>
      </c>
    </row>
    <row r="4420" spans="5:7" ht="15" customHeight="1">
      <c r="E4420" s="49" t="str">
        <f>IFERROR(VLOOKUP(D4420,'taxonomy map'!$A$1:$C$107,2,FALSE),"")</f>
        <v/>
      </c>
      <c r="F4420" s="49" t="str">
        <f>IFERROR(VLOOKUP(E4420,'Condensed Specialty Crosswalk'!$A$2:$C$106,2,FALSE),"")</f>
        <v/>
      </c>
      <c r="G4420" s="49" t="str">
        <f>IFERROR(VLOOKUP(E4420,'Condensed Specialty Crosswalk'!$A$2:$C$106,3,FALSE),"")</f>
        <v/>
      </c>
    </row>
    <row r="4421" spans="5:7" ht="15" customHeight="1">
      <c r="E4421" s="49" t="str">
        <f>IFERROR(VLOOKUP(D4421,'taxonomy map'!$A$1:$C$107,2,FALSE),"")</f>
        <v/>
      </c>
      <c r="F4421" s="49" t="str">
        <f>IFERROR(VLOOKUP(E4421,'Condensed Specialty Crosswalk'!$A$2:$C$106,2,FALSE),"")</f>
        <v/>
      </c>
      <c r="G4421" s="49" t="str">
        <f>IFERROR(VLOOKUP(E4421,'Condensed Specialty Crosswalk'!$A$2:$C$106,3,FALSE),"")</f>
        <v/>
      </c>
    </row>
    <row r="4422" spans="5:7" ht="15" customHeight="1">
      <c r="E4422" s="49" t="str">
        <f>IFERROR(VLOOKUP(D4422,'taxonomy map'!$A$1:$C$107,2,FALSE),"")</f>
        <v/>
      </c>
      <c r="F4422" s="49" t="str">
        <f>IFERROR(VLOOKUP(E4422,'Condensed Specialty Crosswalk'!$A$2:$C$106,2,FALSE),"")</f>
        <v/>
      </c>
      <c r="G4422" s="49" t="str">
        <f>IFERROR(VLOOKUP(E4422,'Condensed Specialty Crosswalk'!$A$2:$C$106,3,FALSE),"")</f>
        <v/>
      </c>
    </row>
    <row r="4423" spans="5:7" ht="15" customHeight="1">
      <c r="E4423" s="49" t="str">
        <f>IFERROR(VLOOKUP(D4423,'taxonomy map'!$A$1:$C$107,2,FALSE),"")</f>
        <v/>
      </c>
      <c r="F4423" s="49" t="str">
        <f>IFERROR(VLOOKUP(E4423,'Condensed Specialty Crosswalk'!$A$2:$C$106,2,FALSE),"")</f>
        <v/>
      </c>
      <c r="G4423" s="49" t="str">
        <f>IFERROR(VLOOKUP(E4423,'Condensed Specialty Crosswalk'!$A$2:$C$106,3,FALSE),"")</f>
        <v/>
      </c>
    </row>
    <row r="4424" spans="5:7" ht="15" customHeight="1">
      <c r="E4424" s="49" t="str">
        <f>IFERROR(VLOOKUP(D4424,'taxonomy map'!$A$1:$C$107,2,FALSE),"")</f>
        <v/>
      </c>
      <c r="F4424" s="49" t="str">
        <f>IFERROR(VLOOKUP(E4424,'Condensed Specialty Crosswalk'!$A$2:$C$106,2,FALSE),"")</f>
        <v/>
      </c>
      <c r="G4424" s="49" t="str">
        <f>IFERROR(VLOOKUP(E4424,'Condensed Specialty Crosswalk'!$A$2:$C$106,3,FALSE),"")</f>
        <v/>
      </c>
    </row>
    <row r="4425" spans="5:7" ht="15" customHeight="1">
      <c r="E4425" s="49" t="str">
        <f>IFERROR(VLOOKUP(D4425,'taxonomy map'!$A$1:$C$107,2,FALSE),"")</f>
        <v/>
      </c>
      <c r="F4425" s="49" t="str">
        <f>IFERROR(VLOOKUP(E4425,'Condensed Specialty Crosswalk'!$A$2:$C$106,2,FALSE),"")</f>
        <v/>
      </c>
      <c r="G4425" s="49" t="str">
        <f>IFERROR(VLOOKUP(E4425,'Condensed Specialty Crosswalk'!$A$2:$C$106,3,FALSE),"")</f>
        <v/>
      </c>
    </row>
    <row r="4426" spans="5:7" ht="15" customHeight="1">
      <c r="E4426" s="49" t="str">
        <f>IFERROR(VLOOKUP(D4426,'taxonomy map'!$A$1:$C$107,2,FALSE),"")</f>
        <v/>
      </c>
      <c r="F4426" s="49" t="str">
        <f>IFERROR(VLOOKUP(E4426,'Condensed Specialty Crosswalk'!$A$2:$C$106,2,FALSE),"")</f>
        <v/>
      </c>
      <c r="G4426" s="49" t="str">
        <f>IFERROR(VLOOKUP(E4426,'Condensed Specialty Crosswalk'!$A$2:$C$106,3,FALSE),"")</f>
        <v/>
      </c>
    </row>
    <row r="4427" spans="5:7" ht="15" customHeight="1">
      <c r="E4427" s="49" t="str">
        <f>IFERROR(VLOOKUP(D4427,'taxonomy map'!$A$1:$C$107,2,FALSE),"")</f>
        <v/>
      </c>
      <c r="F4427" s="49" t="str">
        <f>IFERROR(VLOOKUP(E4427,'Condensed Specialty Crosswalk'!$A$2:$C$106,2,FALSE),"")</f>
        <v/>
      </c>
      <c r="G4427" s="49" t="str">
        <f>IFERROR(VLOOKUP(E4427,'Condensed Specialty Crosswalk'!$A$2:$C$106,3,FALSE),"")</f>
        <v/>
      </c>
    </row>
    <row r="4428" spans="5:7" ht="15" customHeight="1">
      <c r="E4428" s="49" t="str">
        <f>IFERROR(VLOOKUP(D4428,'taxonomy map'!$A$1:$C$107,2,FALSE),"")</f>
        <v/>
      </c>
      <c r="F4428" s="49" t="str">
        <f>IFERROR(VLOOKUP(E4428,'Condensed Specialty Crosswalk'!$A$2:$C$106,2,FALSE),"")</f>
        <v/>
      </c>
      <c r="G4428" s="49" t="str">
        <f>IFERROR(VLOOKUP(E4428,'Condensed Specialty Crosswalk'!$A$2:$C$106,3,FALSE),"")</f>
        <v/>
      </c>
    </row>
    <row r="4429" spans="5:7" ht="15" customHeight="1">
      <c r="E4429" s="49" t="str">
        <f>IFERROR(VLOOKUP(D4429,'taxonomy map'!$A$1:$C$107,2,FALSE),"")</f>
        <v/>
      </c>
      <c r="F4429" s="49" t="str">
        <f>IFERROR(VLOOKUP(E4429,'Condensed Specialty Crosswalk'!$A$2:$C$106,2,FALSE),"")</f>
        <v/>
      </c>
      <c r="G4429" s="49" t="str">
        <f>IFERROR(VLOOKUP(E4429,'Condensed Specialty Crosswalk'!$A$2:$C$106,3,FALSE),"")</f>
        <v/>
      </c>
    </row>
    <row r="4430" spans="5:7" ht="15" customHeight="1">
      <c r="E4430" s="49" t="str">
        <f>IFERROR(VLOOKUP(D4430,'taxonomy map'!$A$1:$C$107,2,FALSE),"")</f>
        <v/>
      </c>
      <c r="F4430" s="49" t="str">
        <f>IFERROR(VLOOKUP(E4430,'Condensed Specialty Crosswalk'!$A$2:$C$106,2,FALSE),"")</f>
        <v/>
      </c>
      <c r="G4430" s="49" t="str">
        <f>IFERROR(VLOOKUP(E4430,'Condensed Specialty Crosswalk'!$A$2:$C$106,3,FALSE),"")</f>
        <v/>
      </c>
    </row>
    <row r="4431" spans="5:7" ht="15" customHeight="1">
      <c r="E4431" s="49" t="str">
        <f>IFERROR(VLOOKUP(D4431,'taxonomy map'!$A$1:$C$107,2,FALSE),"")</f>
        <v/>
      </c>
      <c r="F4431" s="49" t="str">
        <f>IFERROR(VLOOKUP(E4431,'Condensed Specialty Crosswalk'!$A$2:$C$106,2,FALSE),"")</f>
        <v/>
      </c>
      <c r="G4431" s="49" t="str">
        <f>IFERROR(VLOOKUP(E4431,'Condensed Specialty Crosswalk'!$A$2:$C$106,3,FALSE),"")</f>
        <v/>
      </c>
    </row>
    <row r="4432" spans="5:7" ht="15" customHeight="1">
      <c r="E4432" s="49" t="str">
        <f>IFERROR(VLOOKUP(D4432,'taxonomy map'!$A$1:$C$107,2,FALSE),"")</f>
        <v/>
      </c>
      <c r="F4432" s="49" t="str">
        <f>IFERROR(VLOOKUP(E4432,'Condensed Specialty Crosswalk'!$A$2:$C$106,2,FALSE),"")</f>
        <v/>
      </c>
      <c r="G4432" s="49" t="str">
        <f>IFERROR(VLOOKUP(E4432,'Condensed Specialty Crosswalk'!$A$2:$C$106,3,FALSE),"")</f>
        <v/>
      </c>
    </row>
    <row r="4433" spans="5:7" ht="15" customHeight="1">
      <c r="E4433" s="49" t="str">
        <f>IFERROR(VLOOKUP(D4433,'taxonomy map'!$A$1:$C$107,2,FALSE),"")</f>
        <v/>
      </c>
      <c r="F4433" s="49" t="str">
        <f>IFERROR(VLOOKUP(E4433,'Condensed Specialty Crosswalk'!$A$2:$C$106,2,FALSE),"")</f>
        <v/>
      </c>
      <c r="G4433" s="49" t="str">
        <f>IFERROR(VLOOKUP(E4433,'Condensed Specialty Crosswalk'!$A$2:$C$106,3,FALSE),"")</f>
        <v/>
      </c>
    </row>
    <row r="4434" spans="5:7" ht="15" customHeight="1">
      <c r="E4434" s="49" t="str">
        <f>IFERROR(VLOOKUP(D4434,'taxonomy map'!$A$1:$C$107,2,FALSE),"")</f>
        <v/>
      </c>
      <c r="F4434" s="49" t="str">
        <f>IFERROR(VLOOKUP(E4434,'Condensed Specialty Crosswalk'!$A$2:$C$106,2,FALSE),"")</f>
        <v/>
      </c>
      <c r="G4434" s="49" t="str">
        <f>IFERROR(VLOOKUP(E4434,'Condensed Specialty Crosswalk'!$A$2:$C$106,3,FALSE),"")</f>
        <v/>
      </c>
    </row>
    <row r="4435" spans="5:7" ht="15" customHeight="1">
      <c r="E4435" s="49" t="str">
        <f>IFERROR(VLOOKUP(D4435,'taxonomy map'!$A$1:$C$107,2,FALSE),"")</f>
        <v/>
      </c>
      <c r="F4435" s="49" t="str">
        <f>IFERROR(VLOOKUP(E4435,'Condensed Specialty Crosswalk'!$A$2:$C$106,2,FALSE),"")</f>
        <v/>
      </c>
      <c r="G4435" s="49" t="str">
        <f>IFERROR(VLOOKUP(E4435,'Condensed Specialty Crosswalk'!$A$2:$C$106,3,FALSE),"")</f>
        <v/>
      </c>
    </row>
    <row r="4436" spans="5:7" ht="15" customHeight="1">
      <c r="E4436" s="49" t="str">
        <f>IFERROR(VLOOKUP(D4436,'taxonomy map'!$A$1:$C$107,2,FALSE),"")</f>
        <v/>
      </c>
      <c r="F4436" s="49" t="str">
        <f>IFERROR(VLOOKUP(E4436,'Condensed Specialty Crosswalk'!$A$2:$C$106,2,FALSE),"")</f>
        <v/>
      </c>
      <c r="G4436" s="49" t="str">
        <f>IFERROR(VLOOKUP(E4436,'Condensed Specialty Crosswalk'!$A$2:$C$106,3,FALSE),"")</f>
        <v/>
      </c>
    </row>
    <row r="4437" spans="5:7" ht="15" customHeight="1">
      <c r="E4437" s="49" t="str">
        <f>IFERROR(VLOOKUP(D4437,'taxonomy map'!$A$1:$C$107,2,FALSE),"")</f>
        <v/>
      </c>
      <c r="F4437" s="49" t="str">
        <f>IFERROR(VLOOKUP(E4437,'Condensed Specialty Crosswalk'!$A$2:$C$106,2,FALSE),"")</f>
        <v/>
      </c>
      <c r="G4437" s="49" t="str">
        <f>IFERROR(VLOOKUP(E4437,'Condensed Specialty Crosswalk'!$A$2:$C$106,3,FALSE),"")</f>
        <v/>
      </c>
    </row>
    <row r="4438" spans="5:7" ht="15" customHeight="1">
      <c r="E4438" s="49" t="str">
        <f>IFERROR(VLOOKUP(D4438,'taxonomy map'!$A$1:$C$107,2,FALSE),"")</f>
        <v/>
      </c>
      <c r="F4438" s="49" t="str">
        <f>IFERROR(VLOOKUP(E4438,'Condensed Specialty Crosswalk'!$A$2:$C$106,2,FALSE),"")</f>
        <v/>
      </c>
      <c r="G4438" s="49" t="str">
        <f>IFERROR(VLOOKUP(E4438,'Condensed Specialty Crosswalk'!$A$2:$C$106,3,FALSE),"")</f>
        <v/>
      </c>
    </row>
    <row r="4439" spans="5:7" ht="15" customHeight="1">
      <c r="E4439" s="49" t="str">
        <f>IFERROR(VLOOKUP(D4439,'taxonomy map'!$A$1:$C$107,2,FALSE),"")</f>
        <v/>
      </c>
      <c r="F4439" s="49" t="str">
        <f>IFERROR(VLOOKUP(E4439,'Condensed Specialty Crosswalk'!$A$2:$C$106,2,FALSE),"")</f>
        <v/>
      </c>
      <c r="G4439" s="49" t="str">
        <f>IFERROR(VLOOKUP(E4439,'Condensed Specialty Crosswalk'!$A$2:$C$106,3,FALSE),"")</f>
        <v/>
      </c>
    </row>
    <row r="4440" spans="5:7" ht="15" customHeight="1">
      <c r="E4440" s="49" t="str">
        <f>IFERROR(VLOOKUP(D4440,'taxonomy map'!$A$1:$C$107,2,FALSE),"")</f>
        <v/>
      </c>
      <c r="F4440" s="49" t="str">
        <f>IFERROR(VLOOKUP(E4440,'Condensed Specialty Crosswalk'!$A$2:$C$106,2,FALSE),"")</f>
        <v/>
      </c>
      <c r="G4440" s="49" t="str">
        <f>IFERROR(VLOOKUP(E4440,'Condensed Specialty Crosswalk'!$A$2:$C$106,3,FALSE),"")</f>
        <v/>
      </c>
    </row>
    <row r="4441" spans="5:7" ht="15" customHeight="1">
      <c r="E4441" s="49" t="str">
        <f>IFERROR(VLOOKUP(D4441,'taxonomy map'!$A$1:$C$107,2,FALSE),"")</f>
        <v/>
      </c>
      <c r="F4441" s="49" t="str">
        <f>IFERROR(VLOOKUP(E4441,'Condensed Specialty Crosswalk'!$A$2:$C$106,2,FALSE),"")</f>
        <v/>
      </c>
      <c r="G4441" s="49" t="str">
        <f>IFERROR(VLOOKUP(E4441,'Condensed Specialty Crosswalk'!$A$2:$C$106,3,FALSE),"")</f>
        <v/>
      </c>
    </row>
    <row r="4442" spans="5:7" ht="15" customHeight="1">
      <c r="E4442" s="49" t="str">
        <f>IFERROR(VLOOKUP(D4442,'taxonomy map'!$A$1:$C$107,2,FALSE),"")</f>
        <v/>
      </c>
      <c r="F4442" s="49" t="str">
        <f>IFERROR(VLOOKUP(E4442,'Condensed Specialty Crosswalk'!$A$2:$C$106,2,FALSE),"")</f>
        <v/>
      </c>
      <c r="G4442" s="49" t="str">
        <f>IFERROR(VLOOKUP(E4442,'Condensed Specialty Crosswalk'!$A$2:$C$106,3,FALSE),"")</f>
        <v/>
      </c>
    </row>
    <row r="4443" spans="5:7" ht="15" customHeight="1">
      <c r="E4443" s="49" t="str">
        <f>IFERROR(VLOOKUP(D4443,'taxonomy map'!$A$1:$C$107,2,FALSE),"")</f>
        <v/>
      </c>
      <c r="F4443" s="49" t="str">
        <f>IFERROR(VLOOKUP(E4443,'Condensed Specialty Crosswalk'!$A$2:$C$106,2,FALSE),"")</f>
        <v/>
      </c>
      <c r="G4443" s="49" t="str">
        <f>IFERROR(VLOOKUP(E4443,'Condensed Specialty Crosswalk'!$A$2:$C$106,3,FALSE),"")</f>
        <v/>
      </c>
    </row>
    <row r="4444" spans="5:7" ht="15" customHeight="1">
      <c r="E4444" s="49" t="str">
        <f>IFERROR(VLOOKUP(D4444,'taxonomy map'!$A$1:$C$107,2,FALSE),"")</f>
        <v/>
      </c>
      <c r="F4444" s="49" t="str">
        <f>IFERROR(VLOOKUP(E4444,'Condensed Specialty Crosswalk'!$A$2:$C$106,2,FALSE),"")</f>
        <v/>
      </c>
      <c r="G4444" s="49" t="str">
        <f>IFERROR(VLOOKUP(E4444,'Condensed Specialty Crosswalk'!$A$2:$C$106,3,FALSE),"")</f>
        <v/>
      </c>
    </row>
    <row r="4445" spans="5:7" ht="15" customHeight="1">
      <c r="E4445" s="49" t="str">
        <f>IFERROR(VLOOKUP(D4445,'taxonomy map'!$A$1:$C$107,2,FALSE),"")</f>
        <v/>
      </c>
      <c r="F4445" s="49" t="str">
        <f>IFERROR(VLOOKUP(E4445,'Condensed Specialty Crosswalk'!$A$2:$C$106,2,FALSE),"")</f>
        <v/>
      </c>
      <c r="G4445" s="49" t="str">
        <f>IFERROR(VLOOKUP(E4445,'Condensed Specialty Crosswalk'!$A$2:$C$106,3,FALSE),"")</f>
        <v/>
      </c>
    </row>
    <row r="4446" spans="5:7" ht="15" customHeight="1">
      <c r="E4446" s="49" t="str">
        <f>IFERROR(VLOOKUP(D4446,'taxonomy map'!$A$1:$C$107,2,FALSE),"")</f>
        <v/>
      </c>
      <c r="F4446" s="49" t="str">
        <f>IFERROR(VLOOKUP(E4446,'Condensed Specialty Crosswalk'!$A$2:$C$106,2,FALSE),"")</f>
        <v/>
      </c>
      <c r="G4446" s="49" t="str">
        <f>IFERROR(VLOOKUP(E4446,'Condensed Specialty Crosswalk'!$A$2:$C$106,3,FALSE),"")</f>
        <v/>
      </c>
    </row>
    <row r="4447" spans="5:7" ht="15" customHeight="1">
      <c r="E4447" s="49" t="str">
        <f>IFERROR(VLOOKUP(D4447,'taxonomy map'!$A$1:$C$107,2,FALSE),"")</f>
        <v/>
      </c>
      <c r="F4447" s="49" t="str">
        <f>IFERROR(VLOOKUP(E4447,'Condensed Specialty Crosswalk'!$A$2:$C$106,2,FALSE),"")</f>
        <v/>
      </c>
      <c r="G4447" s="49" t="str">
        <f>IFERROR(VLOOKUP(E4447,'Condensed Specialty Crosswalk'!$A$2:$C$106,3,FALSE),"")</f>
        <v/>
      </c>
    </row>
    <row r="4448" spans="5:7" ht="15" customHeight="1">
      <c r="E4448" s="49" t="str">
        <f>IFERROR(VLOOKUP(D4448,'taxonomy map'!$A$1:$C$107,2,FALSE),"")</f>
        <v/>
      </c>
      <c r="F4448" s="49" t="str">
        <f>IFERROR(VLOOKUP(E4448,'Condensed Specialty Crosswalk'!$A$2:$C$106,2,FALSE),"")</f>
        <v/>
      </c>
      <c r="G4448" s="49" t="str">
        <f>IFERROR(VLOOKUP(E4448,'Condensed Specialty Crosswalk'!$A$2:$C$106,3,FALSE),"")</f>
        <v/>
      </c>
    </row>
    <row r="4449" spans="5:7" ht="15" customHeight="1">
      <c r="E4449" s="49" t="str">
        <f>IFERROR(VLOOKUP(D4449,'taxonomy map'!$A$1:$C$107,2,FALSE),"")</f>
        <v/>
      </c>
      <c r="F4449" s="49" t="str">
        <f>IFERROR(VLOOKUP(E4449,'Condensed Specialty Crosswalk'!$A$2:$C$106,2,FALSE),"")</f>
        <v/>
      </c>
      <c r="G4449" s="49" t="str">
        <f>IFERROR(VLOOKUP(E4449,'Condensed Specialty Crosswalk'!$A$2:$C$106,3,FALSE),"")</f>
        <v/>
      </c>
    </row>
    <row r="4450" spans="5:7" ht="15" customHeight="1">
      <c r="E4450" s="49" t="str">
        <f>IFERROR(VLOOKUP(D4450,'taxonomy map'!$A$1:$C$107,2,FALSE),"")</f>
        <v/>
      </c>
      <c r="F4450" s="49" t="str">
        <f>IFERROR(VLOOKUP(E4450,'Condensed Specialty Crosswalk'!$A$2:$C$106,2,FALSE),"")</f>
        <v/>
      </c>
      <c r="G4450" s="49" t="str">
        <f>IFERROR(VLOOKUP(E4450,'Condensed Specialty Crosswalk'!$A$2:$C$106,3,FALSE),"")</f>
        <v/>
      </c>
    </row>
    <row r="4451" spans="5:7" ht="15" customHeight="1">
      <c r="E4451" s="49" t="str">
        <f>IFERROR(VLOOKUP(D4451,'taxonomy map'!$A$1:$C$107,2,FALSE),"")</f>
        <v/>
      </c>
      <c r="F4451" s="49" t="str">
        <f>IFERROR(VLOOKUP(E4451,'Condensed Specialty Crosswalk'!$A$2:$C$106,2,FALSE),"")</f>
        <v/>
      </c>
      <c r="G4451" s="49" t="str">
        <f>IFERROR(VLOOKUP(E4451,'Condensed Specialty Crosswalk'!$A$2:$C$106,3,FALSE),"")</f>
        <v/>
      </c>
    </row>
    <row r="4452" spans="5:7" ht="15" customHeight="1">
      <c r="E4452" s="49" t="str">
        <f>IFERROR(VLOOKUP(D4452,'taxonomy map'!$A$1:$C$107,2,FALSE),"")</f>
        <v/>
      </c>
      <c r="F4452" s="49" t="str">
        <f>IFERROR(VLOOKUP(E4452,'Condensed Specialty Crosswalk'!$A$2:$C$106,2,FALSE),"")</f>
        <v/>
      </c>
      <c r="G4452" s="49" t="str">
        <f>IFERROR(VLOOKUP(E4452,'Condensed Specialty Crosswalk'!$A$2:$C$106,3,FALSE),"")</f>
        <v/>
      </c>
    </row>
    <row r="4453" spans="5:7" ht="15" customHeight="1">
      <c r="E4453" s="49" t="str">
        <f>IFERROR(VLOOKUP(D4453,'taxonomy map'!$A$1:$C$107,2,FALSE),"")</f>
        <v/>
      </c>
      <c r="F4453" s="49" t="str">
        <f>IFERROR(VLOOKUP(E4453,'Condensed Specialty Crosswalk'!$A$2:$C$106,2,FALSE),"")</f>
        <v/>
      </c>
      <c r="G4453" s="49" t="str">
        <f>IFERROR(VLOOKUP(E4453,'Condensed Specialty Crosswalk'!$A$2:$C$106,3,FALSE),"")</f>
        <v/>
      </c>
    </row>
    <row r="4454" spans="5:7" ht="15" customHeight="1">
      <c r="E4454" s="49" t="str">
        <f>IFERROR(VLOOKUP(D4454,'taxonomy map'!$A$1:$C$107,2,FALSE),"")</f>
        <v/>
      </c>
      <c r="F4454" s="49" t="str">
        <f>IFERROR(VLOOKUP(E4454,'Condensed Specialty Crosswalk'!$A$2:$C$106,2,FALSE),"")</f>
        <v/>
      </c>
      <c r="G4454" s="49" t="str">
        <f>IFERROR(VLOOKUP(E4454,'Condensed Specialty Crosswalk'!$A$2:$C$106,3,FALSE),"")</f>
        <v/>
      </c>
    </row>
    <row r="4455" spans="5:7" ht="15" customHeight="1">
      <c r="E4455" s="49" t="str">
        <f>IFERROR(VLOOKUP(D4455,'taxonomy map'!$A$1:$C$107,2,FALSE),"")</f>
        <v/>
      </c>
      <c r="F4455" s="49" t="str">
        <f>IFERROR(VLOOKUP(E4455,'Condensed Specialty Crosswalk'!$A$2:$C$106,2,FALSE),"")</f>
        <v/>
      </c>
      <c r="G4455" s="49" t="str">
        <f>IFERROR(VLOOKUP(E4455,'Condensed Specialty Crosswalk'!$A$2:$C$106,3,FALSE),"")</f>
        <v/>
      </c>
    </row>
    <row r="4456" spans="5:7" ht="15" customHeight="1">
      <c r="E4456" s="49" t="str">
        <f>IFERROR(VLOOKUP(D4456,'taxonomy map'!$A$1:$C$107,2,FALSE),"")</f>
        <v/>
      </c>
      <c r="F4456" s="49" t="str">
        <f>IFERROR(VLOOKUP(E4456,'Condensed Specialty Crosswalk'!$A$2:$C$106,2,FALSE),"")</f>
        <v/>
      </c>
      <c r="G4456" s="49" t="str">
        <f>IFERROR(VLOOKUP(E4456,'Condensed Specialty Crosswalk'!$A$2:$C$106,3,FALSE),"")</f>
        <v/>
      </c>
    </row>
    <row r="4457" spans="5:7" ht="15" customHeight="1">
      <c r="E4457" s="49" t="str">
        <f>IFERROR(VLOOKUP(D4457,'taxonomy map'!$A$1:$C$107,2,FALSE),"")</f>
        <v/>
      </c>
      <c r="F4457" s="49" t="str">
        <f>IFERROR(VLOOKUP(E4457,'Condensed Specialty Crosswalk'!$A$2:$C$106,2,FALSE),"")</f>
        <v/>
      </c>
      <c r="G4457" s="49" t="str">
        <f>IFERROR(VLOOKUP(E4457,'Condensed Specialty Crosswalk'!$A$2:$C$106,3,FALSE),"")</f>
        <v/>
      </c>
    </row>
    <row r="4458" spans="5:7" ht="15" customHeight="1">
      <c r="E4458" s="49" t="str">
        <f>IFERROR(VLOOKUP(D4458,'taxonomy map'!$A$1:$C$107,2,FALSE),"")</f>
        <v/>
      </c>
      <c r="F4458" s="49" t="str">
        <f>IFERROR(VLOOKUP(E4458,'Condensed Specialty Crosswalk'!$A$2:$C$106,2,FALSE),"")</f>
        <v/>
      </c>
      <c r="G4458" s="49" t="str">
        <f>IFERROR(VLOOKUP(E4458,'Condensed Specialty Crosswalk'!$A$2:$C$106,3,FALSE),"")</f>
        <v/>
      </c>
    </row>
    <row r="4459" spans="5:7" ht="15" customHeight="1">
      <c r="E4459" s="49" t="str">
        <f>IFERROR(VLOOKUP(D4459,'taxonomy map'!$A$1:$C$107,2,FALSE),"")</f>
        <v/>
      </c>
      <c r="F4459" s="49" t="str">
        <f>IFERROR(VLOOKUP(E4459,'Condensed Specialty Crosswalk'!$A$2:$C$106,2,FALSE),"")</f>
        <v/>
      </c>
      <c r="G4459" s="49" t="str">
        <f>IFERROR(VLOOKUP(E4459,'Condensed Specialty Crosswalk'!$A$2:$C$106,3,FALSE),"")</f>
        <v/>
      </c>
    </row>
    <row r="4460" spans="5:7" ht="15" customHeight="1">
      <c r="E4460" s="49" t="str">
        <f>IFERROR(VLOOKUP(D4460,'taxonomy map'!$A$1:$C$107,2,FALSE),"")</f>
        <v/>
      </c>
      <c r="F4460" s="49" t="str">
        <f>IFERROR(VLOOKUP(E4460,'Condensed Specialty Crosswalk'!$A$2:$C$106,2,FALSE),"")</f>
        <v/>
      </c>
      <c r="G4460" s="49" t="str">
        <f>IFERROR(VLOOKUP(E4460,'Condensed Specialty Crosswalk'!$A$2:$C$106,3,FALSE),"")</f>
        <v/>
      </c>
    </row>
    <row r="4461" spans="5:7" ht="15" customHeight="1">
      <c r="E4461" s="49" t="str">
        <f>IFERROR(VLOOKUP(D4461,'taxonomy map'!$A$1:$C$107,2,FALSE),"")</f>
        <v/>
      </c>
      <c r="F4461" s="49" t="str">
        <f>IFERROR(VLOOKUP(E4461,'Condensed Specialty Crosswalk'!$A$2:$C$106,2,FALSE),"")</f>
        <v/>
      </c>
      <c r="G4461" s="49" t="str">
        <f>IFERROR(VLOOKUP(E4461,'Condensed Specialty Crosswalk'!$A$2:$C$106,3,FALSE),"")</f>
        <v/>
      </c>
    </row>
    <row r="4462" spans="5:7" ht="15" customHeight="1">
      <c r="E4462" s="49" t="str">
        <f>IFERROR(VLOOKUP(D4462,'taxonomy map'!$A$1:$C$107,2,FALSE),"")</f>
        <v/>
      </c>
      <c r="F4462" s="49" t="str">
        <f>IFERROR(VLOOKUP(E4462,'Condensed Specialty Crosswalk'!$A$2:$C$106,2,FALSE),"")</f>
        <v/>
      </c>
      <c r="G4462" s="49" t="str">
        <f>IFERROR(VLOOKUP(E4462,'Condensed Specialty Crosswalk'!$A$2:$C$106,3,FALSE),"")</f>
        <v/>
      </c>
    </row>
    <row r="4463" spans="5:7" ht="15" customHeight="1">
      <c r="E4463" s="49" t="str">
        <f>IFERROR(VLOOKUP(D4463,'taxonomy map'!$A$1:$C$107,2,FALSE),"")</f>
        <v/>
      </c>
      <c r="F4463" s="49" t="str">
        <f>IFERROR(VLOOKUP(E4463,'Condensed Specialty Crosswalk'!$A$2:$C$106,2,FALSE),"")</f>
        <v/>
      </c>
      <c r="G4463" s="49" t="str">
        <f>IFERROR(VLOOKUP(E4463,'Condensed Specialty Crosswalk'!$A$2:$C$106,3,FALSE),"")</f>
        <v/>
      </c>
    </row>
    <row r="4464" spans="5:7" ht="15" customHeight="1">
      <c r="E4464" s="49" t="str">
        <f>IFERROR(VLOOKUP(D4464,'taxonomy map'!$A$1:$C$107,2,FALSE),"")</f>
        <v/>
      </c>
      <c r="F4464" s="49" t="str">
        <f>IFERROR(VLOOKUP(E4464,'Condensed Specialty Crosswalk'!$A$2:$C$106,2,FALSE),"")</f>
        <v/>
      </c>
      <c r="G4464" s="49" t="str">
        <f>IFERROR(VLOOKUP(E4464,'Condensed Specialty Crosswalk'!$A$2:$C$106,3,FALSE),"")</f>
        <v/>
      </c>
    </row>
    <row r="4465" spans="5:7" ht="15" customHeight="1">
      <c r="E4465" s="49" t="str">
        <f>IFERROR(VLOOKUP(D4465,'taxonomy map'!$A$1:$C$107,2,FALSE),"")</f>
        <v/>
      </c>
      <c r="F4465" s="49" t="str">
        <f>IFERROR(VLOOKUP(E4465,'Condensed Specialty Crosswalk'!$A$2:$C$106,2,FALSE),"")</f>
        <v/>
      </c>
      <c r="G4465" s="49" t="str">
        <f>IFERROR(VLOOKUP(E4465,'Condensed Specialty Crosswalk'!$A$2:$C$106,3,FALSE),"")</f>
        <v/>
      </c>
    </row>
    <row r="4466" spans="5:7" ht="15" customHeight="1">
      <c r="E4466" s="49" t="str">
        <f>IFERROR(VLOOKUP(D4466,'taxonomy map'!$A$1:$C$107,2,FALSE),"")</f>
        <v/>
      </c>
      <c r="F4466" s="49" t="str">
        <f>IFERROR(VLOOKUP(E4466,'Condensed Specialty Crosswalk'!$A$2:$C$106,2,FALSE),"")</f>
        <v/>
      </c>
      <c r="G4466" s="49" t="str">
        <f>IFERROR(VLOOKUP(E4466,'Condensed Specialty Crosswalk'!$A$2:$C$106,3,FALSE),"")</f>
        <v/>
      </c>
    </row>
    <row r="4467" spans="5:7" ht="15" customHeight="1">
      <c r="E4467" s="49" t="str">
        <f>IFERROR(VLOOKUP(D4467,'taxonomy map'!$A$1:$C$107,2,FALSE),"")</f>
        <v/>
      </c>
      <c r="F4467" s="49" t="str">
        <f>IFERROR(VLOOKUP(E4467,'Condensed Specialty Crosswalk'!$A$2:$C$106,2,FALSE),"")</f>
        <v/>
      </c>
      <c r="G4467" s="49" t="str">
        <f>IFERROR(VLOOKUP(E4467,'Condensed Specialty Crosswalk'!$A$2:$C$106,3,FALSE),"")</f>
        <v/>
      </c>
    </row>
    <row r="4468" spans="5:7" ht="15" customHeight="1">
      <c r="E4468" s="49" t="str">
        <f>IFERROR(VLOOKUP(D4468,'taxonomy map'!$A$1:$C$107,2,FALSE),"")</f>
        <v/>
      </c>
      <c r="F4468" s="49" t="str">
        <f>IFERROR(VLOOKUP(E4468,'Condensed Specialty Crosswalk'!$A$2:$C$106,2,FALSE),"")</f>
        <v/>
      </c>
      <c r="G4468" s="49" t="str">
        <f>IFERROR(VLOOKUP(E4468,'Condensed Specialty Crosswalk'!$A$2:$C$106,3,FALSE),"")</f>
        <v/>
      </c>
    </row>
    <row r="4469" spans="5:7" ht="15" customHeight="1">
      <c r="E4469" s="49" t="str">
        <f>IFERROR(VLOOKUP(D4469,'taxonomy map'!$A$1:$C$107,2,FALSE),"")</f>
        <v/>
      </c>
      <c r="F4469" s="49" t="str">
        <f>IFERROR(VLOOKUP(E4469,'Condensed Specialty Crosswalk'!$A$2:$C$106,2,FALSE),"")</f>
        <v/>
      </c>
      <c r="G4469" s="49" t="str">
        <f>IFERROR(VLOOKUP(E4469,'Condensed Specialty Crosswalk'!$A$2:$C$106,3,FALSE),"")</f>
        <v/>
      </c>
    </row>
    <row r="4470" spans="5:7" ht="15" customHeight="1">
      <c r="E4470" s="49" t="str">
        <f>IFERROR(VLOOKUP(D4470,'taxonomy map'!$A$1:$C$107,2,FALSE),"")</f>
        <v/>
      </c>
      <c r="F4470" s="49" t="str">
        <f>IFERROR(VLOOKUP(E4470,'Condensed Specialty Crosswalk'!$A$2:$C$106,2,FALSE),"")</f>
        <v/>
      </c>
      <c r="G4470" s="49" t="str">
        <f>IFERROR(VLOOKUP(E4470,'Condensed Specialty Crosswalk'!$A$2:$C$106,3,FALSE),"")</f>
        <v/>
      </c>
    </row>
    <row r="4471" spans="5:7" ht="15" customHeight="1">
      <c r="E4471" s="49" t="str">
        <f>IFERROR(VLOOKUP(D4471,'taxonomy map'!$A$1:$C$107,2,FALSE),"")</f>
        <v/>
      </c>
      <c r="F4471" s="49" t="str">
        <f>IFERROR(VLOOKUP(E4471,'Condensed Specialty Crosswalk'!$A$2:$C$106,2,FALSE),"")</f>
        <v/>
      </c>
      <c r="G4471" s="49" t="str">
        <f>IFERROR(VLOOKUP(E4471,'Condensed Specialty Crosswalk'!$A$2:$C$106,3,FALSE),"")</f>
        <v/>
      </c>
    </row>
    <row r="4472" spans="5:7" ht="15" customHeight="1">
      <c r="E4472" s="49" t="str">
        <f>IFERROR(VLOOKUP(D4472,'taxonomy map'!$A$1:$C$107,2,FALSE),"")</f>
        <v/>
      </c>
      <c r="F4472" s="49" t="str">
        <f>IFERROR(VLOOKUP(E4472,'Condensed Specialty Crosswalk'!$A$2:$C$106,2,FALSE),"")</f>
        <v/>
      </c>
      <c r="G4472" s="49" t="str">
        <f>IFERROR(VLOOKUP(E4472,'Condensed Specialty Crosswalk'!$A$2:$C$106,3,FALSE),"")</f>
        <v/>
      </c>
    </row>
    <row r="4473" spans="5:7" ht="15" customHeight="1">
      <c r="E4473" s="49" t="str">
        <f>IFERROR(VLOOKUP(D4473,'taxonomy map'!$A$1:$C$107,2,FALSE),"")</f>
        <v/>
      </c>
      <c r="F4473" s="49" t="str">
        <f>IFERROR(VLOOKUP(E4473,'Condensed Specialty Crosswalk'!$A$2:$C$106,2,FALSE),"")</f>
        <v/>
      </c>
      <c r="G4473" s="49" t="str">
        <f>IFERROR(VLOOKUP(E4473,'Condensed Specialty Crosswalk'!$A$2:$C$106,3,FALSE),"")</f>
        <v/>
      </c>
    </row>
    <row r="4474" spans="5:7" ht="15" customHeight="1">
      <c r="E4474" s="49" t="str">
        <f>IFERROR(VLOOKUP(D4474,'taxonomy map'!$A$1:$C$107,2,FALSE),"")</f>
        <v/>
      </c>
      <c r="F4474" s="49" t="str">
        <f>IFERROR(VLOOKUP(E4474,'Condensed Specialty Crosswalk'!$A$2:$C$106,2,FALSE),"")</f>
        <v/>
      </c>
      <c r="G4474" s="49" t="str">
        <f>IFERROR(VLOOKUP(E4474,'Condensed Specialty Crosswalk'!$A$2:$C$106,3,FALSE),"")</f>
        <v/>
      </c>
    </row>
    <row r="4475" spans="5:7" ht="15" customHeight="1">
      <c r="E4475" s="49" t="str">
        <f>IFERROR(VLOOKUP(D4475,'taxonomy map'!$A$1:$C$107,2,FALSE),"")</f>
        <v/>
      </c>
      <c r="F4475" s="49" t="str">
        <f>IFERROR(VLOOKUP(E4475,'Condensed Specialty Crosswalk'!$A$2:$C$106,2,FALSE),"")</f>
        <v/>
      </c>
      <c r="G4475" s="49" t="str">
        <f>IFERROR(VLOOKUP(E4475,'Condensed Specialty Crosswalk'!$A$2:$C$106,3,FALSE),"")</f>
        <v/>
      </c>
    </row>
    <row r="4476" spans="5:7" ht="15" customHeight="1">
      <c r="E4476" s="49" t="str">
        <f>IFERROR(VLOOKUP(D4476,'taxonomy map'!$A$1:$C$107,2,FALSE),"")</f>
        <v/>
      </c>
      <c r="F4476" s="49" t="str">
        <f>IFERROR(VLOOKUP(E4476,'Condensed Specialty Crosswalk'!$A$2:$C$106,2,FALSE),"")</f>
        <v/>
      </c>
      <c r="G4476" s="49" t="str">
        <f>IFERROR(VLOOKUP(E4476,'Condensed Specialty Crosswalk'!$A$2:$C$106,3,FALSE),"")</f>
        <v/>
      </c>
    </row>
    <row r="4477" spans="5:7" ht="15" customHeight="1">
      <c r="E4477" s="49" t="str">
        <f>IFERROR(VLOOKUP(D4477,'taxonomy map'!$A$1:$C$107,2,FALSE),"")</f>
        <v/>
      </c>
      <c r="F4477" s="49" t="str">
        <f>IFERROR(VLOOKUP(E4477,'Condensed Specialty Crosswalk'!$A$2:$C$106,2,FALSE),"")</f>
        <v/>
      </c>
      <c r="G4477" s="49" t="str">
        <f>IFERROR(VLOOKUP(E4477,'Condensed Specialty Crosswalk'!$A$2:$C$106,3,FALSE),"")</f>
        <v/>
      </c>
    </row>
    <row r="4478" spans="5:7" ht="15" customHeight="1">
      <c r="E4478" s="49" t="str">
        <f>IFERROR(VLOOKUP(D4478,'taxonomy map'!$A$1:$C$107,2,FALSE),"")</f>
        <v/>
      </c>
      <c r="F4478" s="49" t="str">
        <f>IFERROR(VLOOKUP(E4478,'Condensed Specialty Crosswalk'!$A$2:$C$106,2,FALSE),"")</f>
        <v/>
      </c>
      <c r="G4478" s="49" t="str">
        <f>IFERROR(VLOOKUP(E4478,'Condensed Specialty Crosswalk'!$A$2:$C$106,3,FALSE),"")</f>
        <v/>
      </c>
    </row>
    <row r="4479" spans="5:7" ht="15" customHeight="1">
      <c r="E4479" s="49" t="str">
        <f>IFERROR(VLOOKUP(D4479,'taxonomy map'!$A$1:$C$107,2,FALSE),"")</f>
        <v/>
      </c>
      <c r="F4479" s="49" t="str">
        <f>IFERROR(VLOOKUP(E4479,'Condensed Specialty Crosswalk'!$A$2:$C$106,2,FALSE),"")</f>
        <v/>
      </c>
      <c r="G4479" s="49" t="str">
        <f>IFERROR(VLOOKUP(E4479,'Condensed Specialty Crosswalk'!$A$2:$C$106,3,FALSE),"")</f>
        <v/>
      </c>
    </row>
    <row r="4480" spans="5:7" ht="15" customHeight="1">
      <c r="E4480" s="49" t="str">
        <f>IFERROR(VLOOKUP(D4480,'taxonomy map'!$A$1:$C$107,2,FALSE),"")</f>
        <v/>
      </c>
      <c r="F4480" s="49" t="str">
        <f>IFERROR(VLOOKUP(E4480,'Condensed Specialty Crosswalk'!$A$2:$C$106,2,FALSE),"")</f>
        <v/>
      </c>
      <c r="G4480" s="49" t="str">
        <f>IFERROR(VLOOKUP(E4480,'Condensed Specialty Crosswalk'!$A$2:$C$106,3,FALSE),"")</f>
        <v/>
      </c>
    </row>
    <row r="4481" spans="5:7" ht="15" customHeight="1">
      <c r="E4481" s="49" t="str">
        <f>IFERROR(VLOOKUP(D4481,'taxonomy map'!$A$1:$C$107,2,FALSE),"")</f>
        <v/>
      </c>
      <c r="F4481" s="49" t="str">
        <f>IFERROR(VLOOKUP(E4481,'Condensed Specialty Crosswalk'!$A$2:$C$106,2,FALSE),"")</f>
        <v/>
      </c>
      <c r="G4481" s="49" t="str">
        <f>IFERROR(VLOOKUP(E4481,'Condensed Specialty Crosswalk'!$A$2:$C$106,3,FALSE),"")</f>
        <v/>
      </c>
    </row>
    <row r="4482" spans="5:7" ht="15" customHeight="1">
      <c r="E4482" s="49" t="str">
        <f>IFERROR(VLOOKUP(D4482,'taxonomy map'!$A$1:$C$107,2,FALSE),"")</f>
        <v/>
      </c>
      <c r="F4482" s="49" t="str">
        <f>IFERROR(VLOOKUP(E4482,'Condensed Specialty Crosswalk'!$A$2:$C$106,2,FALSE),"")</f>
        <v/>
      </c>
      <c r="G4482" s="49" t="str">
        <f>IFERROR(VLOOKUP(E4482,'Condensed Specialty Crosswalk'!$A$2:$C$106,3,FALSE),"")</f>
        <v/>
      </c>
    </row>
    <row r="4483" spans="5:7" ht="15" customHeight="1">
      <c r="E4483" s="49" t="str">
        <f>IFERROR(VLOOKUP(D4483,'taxonomy map'!$A$1:$C$107,2,FALSE),"")</f>
        <v/>
      </c>
      <c r="F4483" s="49" t="str">
        <f>IFERROR(VLOOKUP(E4483,'Condensed Specialty Crosswalk'!$A$2:$C$106,2,FALSE),"")</f>
        <v/>
      </c>
      <c r="G4483" s="49" t="str">
        <f>IFERROR(VLOOKUP(E4483,'Condensed Specialty Crosswalk'!$A$2:$C$106,3,FALSE),"")</f>
        <v/>
      </c>
    </row>
    <row r="4484" spans="5:7" ht="15" customHeight="1">
      <c r="E4484" s="49" t="str">
        <f>IFERROR(VLOOKUP(D4484,'taxonomy map'!$A$1:$C$107,2,FALSE),"")</f>
        <v/>
      </c>
      <c r="F4484" s="49" t="str">
        <f>IFERROR(VLOOKUP(E4484,'Condensed Specialty Crosswalk'!$A$2:$C$106,2,FALSE),"")</f>
        <v/>
      </c>
      <c r="G4484" s="49" t="str">
        <f>IFERROR(VLOOKUP(E4484,'Condensed Specialty Crosswalk'!$A$2:$C$106,3,FALSE),"")</f>
        <v/>
      </c>
    </row>
    <row r="4485" spans="5:7" ht="15" customHeight="1">
      <c r="E4485" s="49" t="str">
        <f>IFERROR(VLOOKUP(D4485,'taxonomy map'!$A$1:$C$107,2,FALSE),"")</f>
        <v/>
      </c>
      <c r="F4485" s="49" t="str">
        <f>IFERROR(VLOOKUP(E4485,'Condensed Specialty Crosswalk'!$A$2:$C$106,2,FALSE),"")</f>
        <v/>
      </c>
      <c r="G4485" s="49" t="str">
        <f>IFERROR(VLOOKUP(E4485,'Condensed Specialty Crosswalk'!$A$2:$C$106,3,FALSE),"")</f>
        <v/>
      </c>
    </row>
    <row r="4486" spans="5:7" ht="15" customHeight="1">
      <c r="E4486" s="49" t="str">
        <f>IFERROR(VLOOKUP(D4486,'taxonomy map'!$A$1:$C$107,2,FALSE),"")</f>
        <v/>
      </c>
      <c r="F4486" s="49" t="str">
        <f>IFERROR(VLOOKUP(E4486,'Condensed Specialty Crosswalk'!$A$2:$C$106,2,FALSE),"")</f>
        <v/>
      </c>
      <c r="G4486" s="49" t="str">
        <f>IFERROR(VLOOKUP(E4486,'Condensed Specialty Crosswalk'!$A$2:$C$106,3,FALSE),"")</f>
        <v/>
      </c>
    </row>
    <row r="4487" spans="5:7" ht="15" customHeight="1">
      <c r="E4487" s="49" t="str">
        <f>IFERROR(VLOOKUP(D4487,'taxonomy map'!$A$1:$C$107,2,FALSE),"")</f>
        <v/>
      </c>
      <c r="F4487" s="49" t="str">
        <f>IFERROR(VLOOKUP(E4487,'Condensed Specialty Crosswalk'!$A$2:$C$106,2,FALSE),"")</f>
        <v/>
      </c>
      <c r="G4487" s="49" t="str">
        <f>IFERROR(VLOOKUP(E4487,'Condensed Specialty Crosswalk'!$A$2:$C$106,3,FALSE),"")</f>
        <v/>
      </c>
    </row>
    <row r="4488" spans="5:7" ht="15" customHeight="1">
      <c r="E4488" s="49" t="str">
        <f>IFERROR(VLOOKUP(D4488,'taxonomy map'!$A$1:$C$107,2,FALSE),"")</f>
        <v/>
      </c>
      <c r="F4488" s="49" t="str">
        <f>IFERROR(VLOOKUP(E4488,'Condensed Specialty Crosswalk'!$A$2:$C$106,2,FALSE),"")</f>
        <v/>
      </c>
      <c r="G4488" s="49" t="str">
        <f>IFERROR(VLOOKUP(E4488,'Condensed Specialty Crosswalk'!$A$2:$C$106,3,FALSE),"")</f>
        <v/>
      </c>
    </row>
    <row r="4489" spans="5:7" ht="15" customHeight="1">
      <c r="E4489" s="49" t="str">
        <f>IFERROR(VLOOKUP(D4489,'taxonomy map'!$A$1:$C$107,2,FALSE),"")</f>
        <v/>
      </c>
      <c r="F4489" s="49" t="str">
        <f>IFERROR(VLOOKUP(E4489,'Condensed Specialty Crosswalk'!$A$2:$C$106,2,FALSE),"")</f>
        <v/>
      </c>
      <c r="G4489" s="49" t="str">
        <f>IFERROR(VLOOKUP(E4489,'Condensed Specialty Crosswalk'!$A$2:$C$106,3,FALSE),"")</f>
        <v/>
      </c>
    </row>
    <row r="4490" spans="5:7" ht="15" customHeight="1">
      <c r="E4490" s="49" t="str">
        <f>IFERROR(VLOOKUP(D4490,'taxonomy map'!$A$1:$C$107,2,FALSE),"")</f>
        <v/>
      </c>
      <c r="F4490" s="49" t="str">
        <f>IFERROR(VLOOKUP(E4490,'Condensed Specialty Crosswalk'!$A$2:$C$106,2,FALSE),"")</f>
        <v/>
      </c>
      <c r="G4490" s="49" t="str">
        <f>IFERROR(VLOOKUP(E4490,'Condensed Specialty Crosswalk'!$A$2:$C$106,3,FALSE),"")</f>
        <v/>
      </c>
    </row>
    <row r="4491" spans="5:7" ht="15" customHeight="1">
      <c r="E4491" s="49" t="str">
        <f>IFERROR(VLOOKUP(D4491,'taxonomy map'!$A$1:$C$107,2,FALSE),"")</f>
        <v/>
      </c>
      <c r="F4491" s="49" t="str">
        <f>IFERROR(VLOOKUP(E4491,'Condensed Specialty Crosswalk'!$A$2:$C$106,2,FALSE),"")</f>
        <v/>
      </c>
      <c r="G4491" s="49" t="str">
        <f>IFERROR(VLOOKUP(E4491,'Condensed Specialty Crosswalk'!$A$2:$C$106,3,FALSE),"")</f>
        <v/>
      </c>
    </row>
    <row r="4492" spans="5:7" ht="15" customHeight="1">
      <c r="E4492" s="49" t="str">
        <f>IFERROR(VLOOKUP(D4492,'taxonomy map'!$A$1:$C$107,2,FALSE),"")</f>
        <v/>
      </c>
      <c r="F4492" s="49" t="str">
        <f>IFERROR(VLOOKUP(E4492,'Condensed Specialty Crosswalk'!$A$2:$C$106,2,FALSE),"")</f>
        <v/>
      </c>
      <c r="G4492" s="49" t="str">
        <f>IFERROR(VLOOKUP(E4492,'Condensed Specialty Crosswalk'!$A$2:$C$106,3,FALSE),"")</f>
        <v/>
      </c>
    </row>
    <row r="4493" spans="5:7" ht="15" customHeight="1">
      <c r="E4493" s="49" t="str">
        <f>IFERROR(VLOOKUP(D4493,'taxonomy map'!$A$1:$C$107,2,FALSE),"")</f>
        <v/>
      </c>
      <c r="F4493" s="49" t="str">
        <f>IFERROR(VLOOKUP(E4493,'Condensed Specialty Crosswalk'!$A$2:$C$106,2,FALSE),"")</f>
        <v/>
      </c>
      <c r="G4493" s="49" t="str">
        <f>IFERROR(VLOOKUP(E4493,'Condensed Specialty Crosswalk'!$A$2:$C$106,3,FALSE),"")</f>
        <v/>
      </c>
    </row>
    <row r="4494" spans="5:7" ht="15" customHeight="1">
      <c r="E4494" s="49" t="str">
        <f>IFERROR(VLOOKUP(D4494,'taxonomy map'!$A$1:$C$107,2,FALSE),"")</f>
        <v/>
      </c>
      <c r="F4494" s="49" t="str">
        <f>IFERROR(VLOOKUP(E4494,'Condensed Specialty Crosswalk'!$A$2:$C$106,2,FALSE),"")</f>
        <v/>
      </c>
      <c r="G4494" s="49" t="str">
        <f>IFERROR(VLOOKUP(E4494,'Condensed Specialty Crosswalk'!$A$2:$C$106,3,FALSE),"")</f>
        <v/>
      </c>
    </row>
    <row r="4495" spans="5:7" ht="15" customHeight="1">
      <c r="E4495" s="49" t="str">
        <f>IFERROR(VLOOKUP(D4495,'taxonomy map'!$A$1:$C$107,2,FALSE),"")</f>
        <v/>
      </c>
      <c r="F4495" s="49" t="str">
        <f>IFERROR(VLOOKUP(E4495,'Condensed Specialty Crosswalk'!$A$2:$C$106,2,FALSE),"")</f>
        <v/>
      </c>
      <c r="G4495" s="49" t="str">
        <f>IFERROR(VLOOKUP(E4495,'Condensed Specialty Crosswalk'!$A$2:$C$106,3,FALSE),"")</f>
        <v/>
      </c>
    </row>
    <row r="4496" spans="5:7" ht="15" customHeight="1">
      <c r="E4496" s="49" t="str">
        <f>IFERROR(VLOOKUP(D4496,'taxonomy map'!$A$1:$C$107,2,FALSE),"")</f>
        <v/>
      </c>
      <c r="F4496" s="49" t="str">
        <f>IFERROR(VLOOKUP(E4496,'Condensed Specialty Crosswalk'!$A$2:$C$106,2,FALSE),"")</f>
        <v/>
      </c>
      <c r="G4496" s="49" t="str">
        <f>IFERROR(VLOOKUP(E4496,'Condensed Specialty Crosswalk'!$A$2:$C$106,3,FALSE),"")</f>
        <v/>
      </c>
    </row>
    <row r="4497" spans="5:7" ht="15" customHeight="1">
      <c r="E4497" s="49" t="str">
        <f>IFERROR(VLOOKUP(D4497,'taxonomy map'!$A$1:$C$107,2,FALSE),"")</f>
        <v/>
      </c>
      <c r="F4497" s="49" t="str">
        <f>IFERROR(VLOOKUP(E4497,'Condensed Specialty Crosswalk'!$A$2:$C$106,2,FALSE),"")</f>
        <v/>
      </c>
      <c r="G4497" s="49" t="str">
        <f>IFERROR(VLOOKUP(E4497,'Condensed Specialty Crosswalk'!$A$2:$C$106,3,FALSE),"")</f>
        <v/>
      </c>
    </row>
    <row r="4498" spans="5:7" ht="15" customHeight="1">
      <c r="E4498" s="49" t="str">
        <f>IFERROR(VLOOKUP(D4498,'taxonomy map'!$A$1:$C$107,2,FALSE),"")</f>
        <v/>
      </c>
      <c r="F4498" s="49" t="str">
        <f>IFERROR(VLOOKUP(E4498,'Condensed Specialty Crosswalk'!$A$2:$C$106,2,FALSE),"")</f>
        <v/>
      </c>
      <c r="G4498" s="49" t="str">
        <f>IFERROR(VLOOKUP(E4498,'Condensed Specialty Crosswalk'!$A$2:$C$106,3,FALSE),"")</f>
        <v/>
      </c>
    </row>
    <row r="4499" spans="5:7" ht="15" customHeight="1">
      <c r="E4499" s="49" t="str">
        <f>IFERROR(VLOOKUP(D4499,'taxonomy map'!$A$1:$C$107,2,FALSE),"")</f>
        <v/>
      </c>
      <c r="F4499" s="49" t="str">
        <f>IFERROR(VLOOKUP(E4499,'Condensed Specialty Crosswalk'!$A$2:$C$106,2,FALSE),"")</f>
        <v/>
      </c>
      <c r="G4499" s="49" t="str">
        <f>IFERROR(VLOOKUP(E4499,'Condensed Specialty Crosswalk'!$A$2:$C$106,3,FALSE),"")</f>
        <v/>
      </c>
    </row>
    <row r="4500" spans="5:7" ht="15" customHeight="1">
      <c r="E4500" s="49" t="str">
        <f>IFERROR(VLOOKUP(D4500,'taxonomy map'!$A$1:$C$107,2,FALSE),"")</f>
        <v/>
      </c>
      <c r="F4500" s="49" t="str">
        <f>IFERROR(VLOOKUP(E4500,'Condensed Specialty Crosswalk'!$A$2:$C$106,2,FALSE),"")</f>
        <v/>
      </c>
      <c r="G4500" s="49" t="str">
        <f>IFERROR(VLOOKUP(E4500,'Condensed Specialty Crosswalk'!$A$2:$C$106,3,FALSE),"")</f>
        <v/>
      </c>
    </row>
    <row r="4501" spans="5:7" ht="15" customHeight="1">
      <c r="E4501" s="49" t="str">
        <f>IFERROR(VLOOKUP(D4501,'taxonomy map'!$A$1:$C$107,2,FALSE),"")</f>
        <v/>
      </c>
      <c r="F4501" s="49" t="str">
        <f>IFERROR(VLOOKUP(E4501,'Condensed Specialty Crosswalk'!$A$2:$C$106,2,FALSE),"")</f>
        <v/>
      </c>
      <c r="G4501" s="49" t="str">
        <f>IFERROR(VLOOKUP(E4501,'Condensed Specialty Crosswalk'!$A$2:$C$106,3,FALSE),"")</f>
        <v/>
      </c>
    </row>
    <row r="4502" spans="5:7" ht="15" customHeight="1">
      <c r="E4502" s="49" t="str">
        <f>IFERROR(VLOOKUP(D4502,'taxonomy map'!$A$1:$C$107,2,FALSE),"")</f>
        <v/>
      </c>
      <c r="F4502" s="49" t="str">
        <f>IFERROR(VLOOKUP(E4502,'Condensed Specialty Crosswalk'!$A$2:$C$106,2,FALSE),"")</f>
        <v/>
      </c>
      <c r="G4502" s="49" t="str">
        <f>IFERROR(VLOOKUP(E4502,'Condensed Specialty Crosswalk'!$A$2:$C$106,3,FALSE),"")</f>
        <v/>
      </c>
    </row>
    <row r="4503" spans="5:7" ht="15" customHeight="1">
      <c r="E4503" s="49" t="str">
        <f>IFERROR(VLOOKUP(D4503,'taxonomy map'!$A$1:$C$107,2,FALSE),"")</f>
        <v/>
      </c>
      <c r="F4503" s="49" t="str">
        <f>IFERROR(VLOOKUP(E4503,'Condensed Specialty Crosswalk'!$A$2:$C$106,2,FALSE),"")</f>
        <v/>
      </c>
      <c r="G4503" s="49" t="str">
        <f>IFERROR(VLOOKUP(E4503,'Condensed Specialty Crosswalk'!$A$2:$C$106,3,FALSE),"")</f>
        <v/>
      </c>
    </row>
    <row r="4504" spans="5:7" ht="15" customHeight="1">
      <c r="E4504" s="49" t="str">
        <f>IFERROR(VLOOKUP(D4504,'taxonomy map'!$A$1:$C$107,2,FALSE),"")</f>
        <v/>
      </c>
      <c r="F4504" s="49" t="str">
        <f>IFERROR(VLOOKUP(E4504,'Condensed Specialty Crosswalk'!$A$2:$C$106,2,FALSE),"")</f>
        <v/>
      </c>
      <c r="G4504" s="49" t="str">
        <f>IFERROR(VLOOKUP(E4504,'Condensed Specialty Crosswalk'!$A$2:$C$106,3,FALSE),"")</f>
        <v/>
      </c>
    </row>
    <row r="4505" spans="5:7" ht="15" customHeight="1">
      <c r="E4505" s="49" t="str">
        <f>IFERROR(VLOOKUP(D4505,'taxonomy map'!$A$1:$C$107,2,FALSE),"")</f>
        <v/>
      </c>
      <c r="F4505" s="49" t="str">
        <f>IFERROR(VLOOKUP(E4505,'Condensed Specialty Crosswalk'!$A$2:$C$106,2,FALSE),"")</f>
        <v/>
      </c>
      <c r="G4505" s="49" t="str">
        <f>IFERROR(VLOOKUP(E4505,'Condensed Specialty Crosswalk'!$A$2:$C$106,3,FALSE),"")</f>
        <v/>
      </c>
    </row>
    <row r="4506" spans="5:7" ht="15" customHeight="1">
      <c r="E4506" s="49" t="str">
        <f>IFERROR(VLOOKUP(D4506,'taxonomy map'!$A$1:$C$107,2,FALSE),"")</f>
        <v/>
      </c>
      <c r="F4506" s="49" t="str">
        <f>IFERROR(VLOOKUP(E4506,'Condensed Specialty Crosswalk'!$A$2:$C$106,2,FALSE),"")</f>
        <v/>
      </c>
      <c r="G4506" s="49" t="str">
        <f>IFERROR(VLOOKUP(E4506,'Condensed Specialty Crosswalk'!$A$2:$C$106,3,FALSE),"")</f>
        <v/>
      </c>
    </row>
    <row r="4507" spans="5:7" ht="15" customHeight="1">
      <c r="E4507" s="49" t="str">
        <f>IFERROR(VLOOKUP(D4507,'taxonomy map'!$A$1:$C$107,2,FALSE),"")</f>
        <v/>
      </c>
      <c r="F4507" s="49" t="str">
        <f>IFERROR(VLOOKUP(E4507,'Condensed Specialty Crosswalk'!$A$2:$C$106,2,FALSE),"")</f>
        <v/>
      </c>
      <c r="G4507" s="49" t="str">
        <f>IFERROR(VLOOKUP(E4507,'Condensed Specialty Crosswalk'!$A$2:$C$106,3,FALSE),"")</f>
        <v/>
      </c>
    </row>
    <row r="4508" spans="5:7" ht="15" customHeight="1">
      <c r="E4508" s="49" t="str">
        <f>IFERROR(VLOOKUP(D4508,'taxonomy map'!$A$1:$C$107,2,FALSE),"")</f>
        <v/>
      </c>
      <c r="F4508" s="49" t="str">
        <f>IFERROR(VLOOKUP(E4508,'Condensed Specialty Crosswalk'!$A$2:$C$106,2,FALSE),"")</f>
        <v/>
      </c>
      <c r="G4508" s="49" t="str">
        <f>IFERROR(VLOOKUP(E4508,'Condensed Specialty Crosswalk'!$A$2:$C$106,3,FALSE),"")</f>
        <v/>
      </c>
    </row>
    <row r="4509" spans="5:7" ht="15" customHeight="1">
      <c r="E4509" s="49" t="str">
        <f>IFERROR(VLOOKUP(D4509,'taxonomy map'!$A$1:$C$107,2,FALSE),"")</f>
        <v/>
      </c>
      <c r="F4509" s="49" t="str">
        <f>IFERROR(VLOOKUP(E4509,'Condensed Specialty Crosswalk'!$A$2:$C$106,2,FALSE),"")</f>
        <v/>
      </c>
      <c r="G4509" s="49" t="str">
        <f>IFERROR(VLOOKUP(E4509,'Condensed Specialty Crosswalk'!$A$2:$C$106,3,FALSE),"")</f>
        <v/>
      </c>
    </row>
    <row r="4510" spans="5:7" ht="15" customHeight="1">
      <c r="E4510" s="49" t="str">
        <f>IFERROR(VLOOKUP(D4510,'taxonomy map'!$A$1:$C$107,2,FALSE),"")</f>
        <v/>
      </c>
      <c r="F4510" s="49" t="str">
        <f>IFERROR(VLOOKUP(E4510,'Condensed Specialty Crosswalk'!$A$2:$C$106,2,FALSE),"")</f>
        <v/>
      </c>
      <c r="G4510" s="49" t="str">
        <f>IFERROR(VLOOKUP(E4510,'Condensed Specialty Crosswalk'!$A$2:$C$106,3,FALSE),"")</f>
        <v/>
      </c>
    </row>
    <row r="4511" spans="5:7" ht="15" customHeight="1">
      <c r="E4511" s="49" t="str">
        <f>IFERROR(VLOOKUP(D4511,'taxonomy map'!$A$1:$C$107,2,FALSE),"")</f>
        <v/>
      </c>
      <c r="F4511" s="49" t="str">
        <f>IFERROR(VLOOKUP(E4511,'Condensed Specialty Crosswalk'!$A$2:$C$106,2,FALSE),"")</f>
        <v/>
      </c>
      <c r="G4511" s="49" t="str">
        <f>IFERROR(VLOOKUP(E4511,'Condensed Specialty Crosswalk'!$A$2:$C$106,3,FALSE),"")</f>
        <v/>
      </c>
    </row>
    <row r="4512" spans="5:7" ht="15" customHeight="1">
      <c r="E4512" s="49" t="str">
        <f>IFERROR(VLOOKUP(D4512,'taxonomy map'!$A$1:$C$107,2,FALSE),"")</f>
        <v/>
      </c>
      <c r="F4512" s="49" t="str">
        <f>IFERROR(VLOOKUP(E4512,'Condensed Specialty Crosswalk'!$A$2:$C$106,2,FALSE),"")</f>
        <v/>
      </c>
      <c r="G4512" s="49" t="str">
        <f>IFERROR(VLOOKUP(E4512,'Condensed Specialty Crosswalk'!$A$2:$C$106,3,FALSE),"")</f>
        <v/>
      </c>
    </row>
    <row r="4513" spans="5:7" ht="15" customHeight="1">
      <c r="E4513" s="49" t="str">
        <f>IFERROR(VLOOKUP(D4513,'taxonomy map'!$A$1:$C$107,2,FALSE),"")</f>
        <v/>
      </c>
      <c r="F4513" s="49" t="str">
        <f>IFERROR(VLOOKUP(E4513,'Condensed Specialty Crosswalk'!$A$2:$C$106,2,FALSE),"")</f>
        <v/>
      </c>
      <c r="G4513" s="49" t="str">
        <f>IFERROR(VLOOKUP(E4513,'Condensed Specialty Crosswalk'!$A$2:$C$106,3,FALSE),"")</f>
        <v/>
      </c>
    </row>
    <row r="4514" spans="5:7" ht="15" customHeight="1">
      <c r="E4514" s="49" t="str">
        <f>IFERROR(VLOOKUP(D4514,'taxonomy map'!$A$1:$C$107,2,FALSE),"")</f>
        <v/>
      </c>
      <c r="F4514" s="49" t="str">
        <f>IFERROR(VLOOKUP(E4514,'Condensed Specialty Crosswalk'!$A$2:$C$106,2,FALSE),"")</f>
        <v/>
      </c>
      <c r="G4514" s="49" t="str">
        <f>IFERROR(VLOOKUP(E4514,'Condensed Specialty Crosswalk'!$A$2:$C$106,3,FALSE),"")</f>
        <v/>
      </c>
    </row>
    <row r="4515" spans="5:7" ht="15" customHeight="1">
      <c r="E4515" s="49" t="str">
        <f>IFERROR(VLOOKUP(D4515,'taxonomy map'!$A$1:$C$107,2,FALSE),"")</f>
        <v/>
      </c>
      <c r="F4515" s="49" t="str">
        <f>IFERROR(VLOOKUP(E4515,'Condensed Specialty Crosswalk'!$A$2:$C$106,2,FALSE),"")</f>
        <v/>
      </c>
      <c r="G4515" s="49" t="str">
        <f>IFERROR(VLOOKUP(E4515,'Condensed Specialty Crosswalk'!$A$2:$C$106,3,FALSE),"")</f>
        <v/>
      </c>
    </row>
    <row r="4516" spans="5:7" ht="15" customHeight="1">
      <c r="E4516" s="49" t="str">
        <f>IFERROR(VLOOKUP(D4516,'taxonomy map'!$A$1:$C$107,2,FALSE),"")</f>
        <v/>
      </c>
      <c r="F4516" s="49" t="str">
        <f>IFERROR(VLOOKUP(E4516,'Condensed Specialty Crosswalk'!$A$2:$C$106,2,FALSE),"")</f>
        <v/>
      </c>
      <c r="G4516" s="49" t="str">
        <f>IFERROR(VLOOKUP(E4516,'Condensed Specialty Crosswalk'!$A$2:$C$106,3,FALSE),"")</f>
        <v/>
      </c>
    </row>
    <row r="4517" spans="5:7" ht="15" customHeight="1">
      <c r="E4517" s="49" t="str">
        <f>IFERROR(VLOOKUP(D4517,'taxonomy map'!$A$1:$C$107,2,FALSE),"")</f>
        <v/>
      </c>
      <c r="F4517" s="49" t="str">
        <f>IFERROR(VLOOKUP(E4517,'Condensed Specialty Crosswalk'!$A$2:$C$106,2,FALSE),"")</f>
        <v/>
      </c>
      <c r="G4517" s="49" t="str">
        <f>IFERROR(VLOOKUP(E4517,'Condensed Specialty Crosswalk'!$A$2:$C$106,3,FALSE),"")</f>
        <v/>
      </c>
    </row>
    <row r="4518" spans="5:7" ht="15" customHeight="1">
      <c r="E4518" s="49" t="str">
        <f>IFERROR(VLOOKUP(D4518,'taxonomy map'!$A$1:$C$107,2,FALSE),"")</f>
        <v/>
      </c>
      <c r="F4518" s="49" t="str">
        <f>IFERROR(VLOOKUP(E4518,'Condensed Specialty Crosswalk'!$A$2:$C$106,2,FALSE),"")</f>
        <v/>
      </c>
      <c r="G4518" s="49" t="str">
        <f>IFERROR(VLOOKUP(E4518,'Condensed Specialty Crosswalk'!$A$2:$C$106,3,FALSE),"")</f>
        <v/>
      </c>
    </row>
    <row r="4519" spans="5:7" ht="15" customHeight="1">
      <c r="E4519" s="49" t="str">
        <f>IFERROR(VLOOKUP(D4519,'taxonomy map'!$A$1:$C$107,2,FALSE),"")</f>
        <v/>
      </c>
      <c r="F4519" s="49" t="str">
        <f>IFERROR(VLOOKUP(E4519,'Condensed Specialty Crosswalk'!$A$2:$C$106,2,FALSE),"")</f>
        <v/>
      </c>
      <c r="G4519" s="49" t="str">
        <f>IFERROR(VLOOKUP(E4519,'Condensed Specialty Crosswalk'!$A$2:$C$106,3,FALSE),"")</f>
        <v/>
      </c>
    </row>
    <row r="4520" spans="5:7" ht="15" customHeight="1">
      <c r="E4520" s="49" t="str">
        <f>IFERROR(VLOOKUP(D4520,'taxonomy map'!$A$1:$C$107,2,FALSE),"")</f>
        <v/>
      </c>
      <c r="F4520" s="49" t="str">
        <f>IFERROR(VLOOKUP(E4520,'Condensed Specialty Crosswalk'!$A$2:$C$106,2,FALSE),"")</f>
        <v/>
      </c>
      <c r="G4520" s="49" t="str">
        <f>IFERROR(VLOOKUP(E4520,'Condensed Specialty Crosswalk'!$A$2:$C$106,3,FALSE),"")</f>
        <v/>
      </c>
    </row>
    <row r="4521" spans="5:7" ht="15" customHeight="1">
      <c r="E4521" s="49" t="str">
        <f>IFERROR(VLOOKUP(D4521,'taxonomy map'!$A$1:$C$107,2,FALSE),"")</f>
        <v/>
      </c>
      <c r="F4521" s="49" t="str">
        <f>IFERROR(VLOOKUP(E4521,'Condensed Specialty Crosswalk'!$A$2:$C$106,2,FALSE),"")</f>
        <v/>
      </c>
      <c r="G4521" s="49" t="str">
        <f>IFERROR(VLOOKUP(E4521,'Condensed Specialty Crosswalk'!$A$2:$C$106,3,FALSE),"")</f>
        <v/>
      </c>
    </row>
    <row r="4522" spans="5:7" ht="15" customHeight="1">
      <c r="E4522" s="49" t="str">
        <f>IFERROR(VLOOKUP(D4522,'taxonomy map'!$A$1:$C$107,2,FALSE),"")</f>
        <v/>
      </c>
      <c r="F4522" s="49" t="str">
        <f>IFERROR(VLOOKUP(E4522,'Condensed Specialty Crosswalk'!$A$2:$C$106,2,FALSE),"")</f>
        <v/>
      </c>
      <c r="G4522" s="49" t="str">
        <f>IFERROR(VLOOKUP(E4522,'Condensed Specialty Crosswalk'!$A$2:$C$106,3,FALSE),"")</f>
        <v/>
      </c>
    </row>
    <row r="4523" spans="5:7" ht="15" customHeight="1">
      <c r="E4523" s="49" t="str">
        <f>IFERROR(VLOOKUP(D4523,'taxonomy map'!$A$1:$C$107,2,FALSE),"")</f>
        <v/>
      </c>
      <c r="F4523" s="49" t="str">
        <f>IFERROR(VLOOKUP(E4523,'Condensed Specialty Crosswalk'!$A$2:$C$106,2,FALSE),"")</f>
        <v/>
      </c>
      <c r="G4523" s="49" t="str">
        <f>IFERROR(VLOOKUP(E4523,'Condensed Specialty Crosswalk'!$A$2:$C$106,3,FALSE),"")</f>
        <v/>
      </c>
    </row>
    <row r="4524" spans="5:7" ht="15" customHeight="1">
      <c r="E4524" s="49" t="str">
        <f>IFERROR(VLOOKUP(D4524,'taxonomy map'!$A$1:$C$107,2,FALSE),"")</f>
        <v/>
      </c>
      <c r="F4524" s="49" t="str">
        <f>IFERROR(VLOOKUP(E4524,'Condensed Specialty Crosswalk'!$A$2:$C$106,2,FALSE),"")</f>
        <v/>
      </c>
      <c r="G4524" s="49" t="str">
        <f>IFERROR(VLOOKUP(E4524,'Condensed Specialty Crosswalk'!$A$2:$C$106,3,FALSE),"")</f>
        <v/>
      </c>
    </row>
    <row r="4525" spans="5:7" ht="15" customHeight="1">
      <c r="E4525" s="49" t="str">
        <f>IFERROR(VLOOKUP(D4525,'taxonomy map'!$A$1:$C$107,2,FALSE),"")</f>
        <v/>
      </c>
      <c r="F4525" s="49" t="str">
        <f>IFERROR(VLOOKUP(E4525,'Condensed Specialty Crosswalk'!$A$2:$C$106,2,FALSE),"")</f>
        <v/>
      </c>
      <c r="G4525" s="49" t="str">
        <f>IFERROR(VLOOKUP(E4525,'Condensed Specialty Crosswalk'!$A$2:$C$106,3,FALSE),"")</f>
        <v/>
      </c>
    </row>
    <row r="4526" spans="5:7" ht="15" customHeight="1">
      <c r="E4526" s="49" t="str">
        <f>IFERROR(VLOOKUP(D4526,'taxonomy map'!$A$1:$C$107,2,FALSE),"")</f>
        <v/>
      </c>
      <c r="F4526" s="49" t="str">
        <f>IFERROR(VLOOKUP(E4526,'Condensed Specialty Crosswalk'!$A$2:$C$106,2,FALSE),"")</f>
        <v/>
      </c>
      <c r="G4526" s="49" t="str">
        <f>IFERROR(VLOOKUP(E4526,'Condensed Specialty Crosswalk'!$A$2:$C$106,3,FALSE),"")</f>
        <v/>
      </c>
    </row>
    <row r="4527" spans="5:7" ht="15" customHeight="1">
      <c r="E4527" s="49" t="str">
        <f>IFERROR(VLOOKUP(D4527,'taxonomy map'!$A$1:$C$107,2,FALSE),"")</f>
        <v/>
      </c>
      <c r="F4527" s="49" t="str">
        <f>IFERROR(VLOOKUP(E4527,'Condensed Specialty Crosswalk'!$A$2:$C$106,2,FALSE),"")</f>
        <v/>
      </c>
      <c r="G4527" s="49" t="str">
        <f>IFERROR(VLOOKUP(E4527,'Condensed Specialty Crosswalk'!$A$2:$C$106,3,FALSE),"")</f>
        <v/>
      </c>
    </row>
    <row r="4528" spans="5:7" ht="15" customHeight="1">
      <c r="E4528" s="49" t="str">
        <f>IFERROR(VLOOKUP(D4528,'taxonomy map'!$A$1:$C$107,2,FALSE),"")</f>
        <v/>
      </c>
      <c r="F4528" s="49" t="str">
        <f>IFERROR(VLOOKUP(E4528,'Condensed Specialty Crosswalk'!$A$2:$C$106,2,FALSE),"")</f>
        <v/>
      </c>
      <c r="G4528" s="49" t="str">
        <f>IFERROR(VLOOKUP(E4528,'Condensed Specialty Crosswalk'!$A$2:$C$106,3,FALSE),"")</f>
        <v/>
      </c>
    </row>
    <row r="4529" spans="5:7" ht="15" customHeight="1">
      <c r="E4529" s="49" t="str">
        <f>IFERROR(VLOOKUP(D4529,'taxonomy map'!$A$1:$C$107,2,FALSE),"")</f>
        <v/>
      </c>
      <c r="F4529" s="49" t="str">
        <f>IFERROR(VLOOKUP(E4529,'Condensed Specialty Crosswalk'!$A$2:$C$106,2,FALSE),"")</f>
        <v/>
      </c>
      <c r="G4529" s="49" t="str">
        <f>IFERROR(VLOOKUP(E4529,'Condensed Specialty Crosswalk'!$A$2:$C$106,3,FALSE),"")</f>
        <v/>
      </c>
    </row>
    <row r="4530" spans="5:7" ht="15" customHeight="1">
      <c r="E4530" s="49" t="str">
        <f>IFERROR(VLOOKUP(D4530,'taxonomy map'!$A$1:$C$107,2,FALSE),"")</f>
        <v/>
      </c>
      <c r="F4530" s="49" t="str">
        <f>IFERROR(VLOOKUP(E4530,'Condensed Specialty Crosswalk'!$A$2:$C$106,2,FALSE),"")</f>
        <v/>
      </c>
      <c r="G4530" s="49" t="str">
        <f>IFERROR(VLOOKUP(E4530,'Condensed Specialty Crosswalk'!$A$2:$C$106,3,FALSE),"")</f>
        <v/>
      </c>
    </row>
    <row r="4531" spans="5:7" ht="15" customHeight="1">
      <c r="E4531" s="49" t="str">
        <f>IFERROR(VLOOKUP(D4531,'taxonomy map'!$A$1:$C$107,2,FALSE),"")</f>
        <v/>
      </c>
      <c r="F4531" s="49" t="str">
        <f>IFERROR(VLOOKUP(E4531,'Condensed Specialty Crosswalk'!$A$2:$C$106,2,FALSE),"")</f>
        <v/>
      </c>
      <c r="G4531" s="49" t="str">
        <f>IFERROR(VLOOKUP(E4531,'Condensed Specialty Crosswalk'!$A$2:$C$106,3,FALSE),"")</f>
        <v/>
      </c>
    </row>
    <row r="4532" spans="5:7" ht="15" customHeight="1">
      <c r="E4532" s="49" t="str">
        <f>IFERROR(VLOOKUP(D4532,'taxonomy map'!$A$1:$C$107,2,FALSE),"")</f>
        <v/>
      </c>
      <c r="F4532" s="49" t="str">
        <f>IFERROR(VLOOKUP(E4532,'Condensed Specialty Crosswalk'!$A$2:$C$106,2,FALSE),"")</f>
        <v/>
      </c>
      <c r="G4532" s="49" t="str">
        <f>IFERROR(VLOOKUP(E4532,'Condensed Specialty Crosswalk'!$A$2:$C$106,3,FALSE),"")</f>
        <v/>
      </c>
    </row>
    <row r="4533" spans="5:7" ht="15" customHeight="1">
      <c r="E4533" s="49" t="str">
        <f>IFERROR(VLOOKUP(D4533,'taxonomy map'!$A$1:$C$107,2,FALSE),"")</f>
        <v/>
      </c>
      <c r="F4533" s="49" t="str">
        <f>IFERROR(VLOOKUP(E4533,'Condensed Specialty Crosswalk'!$A$2:$C$106,2,FALSE),"")</f>
        <v/>
      </c>
      <c r="G4533" s="49" t="str">
        <f>IFERROR(VLOOKUP(E4533,'Condensed Specialty Crosswalk'!$A$2:$C$106,3,FALSE),"")</f>
        <v/>
      </c>
    </row>
    <row r="4534" spans="5:7" ht="15" customHeight="1">
      <c r="E4534" s="49" t="str">
        <f>IFERROR(VLOOKUP(D4534,'taxonomy map'!$A$1:$C$107,2,FALSE),"")</f>
        <v/>
      </c>
      <c r="F4534" s="49" t="str">
        <f>IFERROR(VLOOKUP(E4534,'Condensed Specialty Crosswalk'!$A$2:$C$106,2,FALSE),"")</f>
        <v/>
      </c>
      <c r="G4534" s="49" t="str">
        <f>IFERROR(VLOOKUP(E4534,'Condensed Specialty Crosswalk'!$A$2:$C$106,3,FALSE),"")</f>
        <v/>
      </c>
    </row>
    <row r="4535" spans="5:7" ht="15" customHeight="1">
      <c r="E4535" s="49" t="str">
        <f>IFERROR(VLOOKUP(D4535,'taxonomy map'!$A$1:$C$107,2,FALSE),"")</f>
        <v/>
      </c>
      <c r="F4535" s="49" t="str">
        <f>IFERROR(VLOOKUP(E4535,'Condensed Specialty Crosswalk'!$A$2:$C$106,2,FALSE),"")</f>
        <v/>
      </c>
      <c r="G4535" s="49" t="str">
        <f>IFERROR(VLOOKUP(E4535,'Condensed Specialty Crosswalk'!$A$2:$C$106,3,FALSE),"")</f>
        <v/>
      </c>
    </row>
    <row r="4536" spans="5:7" ht="15" customHeight="1">
      <c r="E4536" s="49" t="str">
        <f>IFERROR(VLOOKUP(D4536,'taxonomy map'!$A$1:$C$107,2,FALSE),"")</f>
        <v/>
      </c>
      <c r="F4536" s="49" t="str">
        <f>IFERROR(VLOOKUP(E4536,'Condensed Specialty Crosswalk'!$A$2:$C$106,2,FALSE),"")</f>
        <v/>
      </c>
      <c r="G4536" s="49" t="str">
        <f>IFERROR(VLOOKUP(E4536,'Condensed Specialty Crosswalk'!$A$2:$C$106,3,FALSE),"")</f>
        <v/>
      </c>
    </row>
    <row r="4537" spans="5:7" ht="15" customHeight="1">
      <c r="E4537" s="49" t="str">
        <f>IFERROR(VLOOKUP(D4537,'taxonomy map'!$A$1:$C$107,2,FALSE),"")</f>
        <v/>
      </c>
      <c r="F4537" s="49" t="str">
        <f>IFERROR(VLOOKUP(E4537,'Condensed Specialty Crosswalk'!$A$2:$C$106,2,FALSE),"")</f>
        <v/>
      </c>
      <c r="G4537" s="49" t="str">
        <f>IFERROR(VLOOKUP(E4537,'Condensed Specialty Crosswalk'!$A$2:$C$106,3,FALSE),"")</f>
        <v/>
      </c>
    </row>
    <row r="4538" spans="5:7" ht="15" customHeight="1">
      <c r="E4538" s="49" t="str">
        <f>IFERROR(VLOOKUP(D4538,'taxonomy map'!$A$1:$C$107,2,FALSE),"")</f>
        <v/>
      </c>
      <c r="F4538" s="49" t="str">
        <f>IFERROR(VLOOKUP(E4538,'Condensed Specialty Crosswalk'!$A$2:$C$106,2,FALSE),"")</f>
        <v/>
      </c>
      <c r="G4538" s="49" t="str">
        <f>IFERROR(VLOOKUP(E4538,'Condensed Specialty Crosswalk'!$A$2:$C$106,3,FALSE),"")</f>
        <v/>
      </c>
    </row>
    <row r="4539" spans="5:7" ht="15" customHeight="1">
      <c r="E4539" s="49" t="str">
        <f>IFERROR(VLOOKUP(D4539,'taxonomy map'!$A$1:$C$107,2,FALSE),"")</f>
        <v/>
      </c>
      <c r="F4539" s="49" t="str">
        <f>IFERROR(VLOOKUP(E4539,'Condensed Specialty Crosswalk'!$A$2:$C$106,2,FALSE),"")</f>
        <v/>
      </c>
      <c r="G4539" s="49" t="str">
        <f>IFERROR(VLOOKUP(E4539,'Condensed Specialty Crosswalk'!$A$2:$C$106,3,FALSE),"")</f>
        <v/>
      </c>
    </row>
    <row r="4540" spans="5:7" ht="15" customHeight="1">
      <c r="E4540" s="49" t="str">
        <f>IFERROR(VLOOKUP(D4540,'taxonomy map'!$A$1:$C$107,2,FALSE),"")</f>
        <v/>
      </c>
      <c r="F4540" s="49" t="str">
        <f>IFERROR(VLOOKUP(E4540,'Condensed Specialty Crosswalk'!$A$2:$C$106,2,FALSE),"")</f>
        <v/>
      </c>
      <c r="G4540" s="49" t="str">
        <f>IFERROR(VLOOKUP(E4540,'Condensed Specialty Crosswalk'!$A$2:$C$106,3,FALSE),"")</f>
        <v/>
      </c>
    </row>
    <row r="4541" spans="5:7" ht="15" customHeight="1">
      <c r="E4541" s="49" t="str">
        <f>IFERROR(VLOOKUP(D4541,'taxonomy map'!$A$1:$C$107,2,FALSE),"")</f>
        <v/>
      </c>
      <c r="F4541" s="49" t="str">
        <f>IFERROR(VLOOKUP(E4541,'Condensed Specialty Crosswalk'!$A$2:$C$106,2,FALSE),"")</f>
        <v/>
      </c>
      <c r="G4541" s="49" t="str">
        <f>IFERROR(VLOOKUP(E4541,'Condensed Specialty Crosswalk'!$A$2:$C$106,3,FALSE),"")</f>
        <v/>
      </c>
    </row>
    <row r="4542" spans="5:7" ht="15" customHeight="1">
      <c r="E4542" s="49" t="str">
        <f>IFERROR(VLOOKUP(D4542,'taxonomy map'!$A$1:$C$107,2,FALSE),"")</f>
        <v/>
      </c>
      <c r="F4542" s="49" t="str">
        <f>IFERROR(VLOOKUP(E4542,'Condensed Specialty Crosswalk'!$A$2:$C$106,2,FALSE),"")</f>
        <v/>
      </c>
      <c r="G4542" s="49" t="str">
        <f>IFERROR(VLOOKUP(E4542,'Condensed Specialty Crosswalk'!$A$2:$C$106,3,FALSE),"")</f>
        <v/>
      </c>
    </row>
    <row r="4543" spans="5:7" ht="15" customHeight="1">
      <c r="E4543" s="49" t="str">
        <f>IFERROR(VLOOKUP(D4543,'taxonomy map'!$A$1:$C$107,2,FALSE),"")</f>
        <v/>
      </c>
      <c r="F4543" s="49" t="str">
        <f>IFERROR(VLOOKUP(E4543,'Condensed Specialty Crosswalk'!$A$2:$C$106,2,FALSE),"")</f>
        <v/>
      </c>
      <c r="G4543" s="49" t="str">
        <f>IFERROR(VLOOKUP(E4543,'Condensed Specialty Crosswalk'!$A$2:$C$106,3,FALSE),"")</f>
        <v/>
      </c>
    </row>
    <row r="4544" spans="5:7" ht="15" customHeight="1">
      <c r="E4544" s="49" t="str">
        <f>IFERROR(VLOOKUP(D4544,'taxonomy map'!$A$1:$C$107,2,FALSE),"")</f>
        <v/>
      </c>
      <c r="F4544" s="49" t="str">
        <f>IFERROR(VLOOKUP(E4544,'Condensed Specialty Crosswalk'!$A$2:$C$106,2,FALSE),"")</f>
        <v/>
      </c>
      <c r="G4544" s="49" t="str">
        <f>IFERROR(VLOOKUP(E4544,'Condensed Specialty Crosswalk'!$A$2:$C$106,3,FALSE),"")</f>
        <v/>
      </c>
    </row>
    <row r="4545" spans="5:7" ht="15" customHeight="1">
      <c r="E4545" s="49" t="str">
        <f>IFERROR(VLOOKUP(D4545,'taxonomy map'!$A$1:$C$107,2,FALSE),"")</f>
        <v/>
      </c>
      <c r="F4545" s="49" t="str">
        <f>IFERROR(VLOOKUP(E4545,'Condensed Specialty Crosswalk'!$A$2:$C$106,2,FALSE),"")</f>
        <v/>
      </c>
      <c r="G4545" s="49" t="str">
        <f>IFERROR(VLOOKUP(E4545,'Condensed Specialty Crosswalk'!$A$2:$C$106,3,FALSE),"")</f>
        <v/>
      </c>
    </row>
    <row r="4546" spans="5:7" ht="15" customHeight="1">
      <c r="E4546" s="49" t="str">
        <f>IFERROR(VLOOKUP(D4546,'taxonomy map'!$A$1:$C$107,2,FALSE),"")</f>
        <v/>
      </c>
      <c r="F4546" s="49" t="str">
        <f>IFERROR(VLOOKUP(E4546,'Condensed Specialty Crosswalk'!$A$2:$C$106,2,FALSE),"")</f>
        <v/>
      </c>
      <c r="G4546" s="49" t="str">
        <f>IFERROR(VLOOKUP(E4546,'Condensed Specialty Crosswalk'!$A$2:$C$106,3,FALSE),"")</f>
        <v/>
      </c>
    </row>
    <row r="4547" spans="5:7" ht="15" customHeight="1">
      <c r="E4547" s="49" t="str">
        <f>IFERROR(VLOOKUP(D4547,'taxonomy map'!$A$1:$C$107,2,FALSE),"")</f>
        <v/>
      </c>
      <c r="F4547" s="49" t="str">
        <f>IFERROR(VLOOKUP(E4547,'Condensed Specialty Crosswalk'!$A$2:$C$106,2,FALSE),"")</f>
        <v/>
      </c>
      <c r="G4547" s="49" t="str">
        <f>IFERROR(VLOOKUP(E4547,'Condensed Specialty Crosswalk'!$A$2:$C$106,3,FALSE),"")</f>
        <v/>
      </c>
    </row>
    <row r="4548" spans="5:7" ht="15" customHeight="1">
      <c r="E4548" s="49" t="str">
        <f>IFERROR(VLOOKUP(D4548,'taxonomy map'!$A$1:$C$107,2,FALSE),"")</f>
        <v/>
      </c>
      <c r="F4548" s="49" t="str">
        <f>IFERROR(VLOOKUP(E4548,'Condensed Specialty Crosswalk'!$A$2:$C$106,2,FALSE),"")</f>
        <v/>
      </c>
      <c r="G4548" s="49" t="str">
        <f>IFERROR(VLOOKUP(E4548,'Condensed Specialty Crosswalk'!$A$2:$C$106,3,FALSE),"")</f>
        <v/>
      </c>
    </row>
    <row r="4549" spans="5:7" ht="15" customHeight="1">
      <c r="E4549" s="49" t="str">
        <f>IFERROR(VLOOKUP(D4549,'taxonomy map'!$A$1:$C$107,2,FALSE),"")</f>
        <v/>
      </c>
      <c r="F4549" s="49" t="str">
        <f>IFERROR(VLOOKUP(E4549,'Condensed Specialty Crosswalk'!$A$2:$C$106,2,FALSE),"")</f>
        <v/>
      </c>
      <c r="G4549" s="49" t="str">
        <f>IFERROR(VLOOKUP(E4549,'Condensed Specialty Crosswalk'!$A$2:$C$106,3,FALSE),"")</f>
        <v/>
      </c>
    </row>
    <row r="4550" spans="5:7" ht="15" customHeight="1">
      <c r="E4550" s="49" t="str">
        <f>IFERROR(VLOOKUP(D4550,'taxonomy map'!$A$1:$C$107,2,FALSE),"")</f>
        <v/>
      </c>
      <c r="F4550" s="49" t="str">
        <f>IFERROR(VLOOKUP(E4550,'Condensed Specialty Crosswalk'!$A$2:$C$106,2,FALSE),"")</f>
        <v/>
      </c>
      <c r="G4550" s="49" t="str">
        <f>IFERROR(VLOOKUP(E4550,'Condensed Specialty Crosswalk'!$A$2:$C$106,3,FALSE),"")</f>
        <v/>
      </c>
    </row>
    <row r="4551" spans="5:7" ht="15" customHeight="1">
      <c r="E4551" s="49" t="str">
        <f>IFERROR(VLOOKUP(D4551,'taxonomy map'!$A$1:$C$107,2,FALSE),"")</f>
        <v/>
      </c>
      <c r="F4551" s="49" t="str">
        <f>IFERROR(VLOOKUP(E4551,'Condensed Specialty Crosswalk'!$A$2:$C$106,2,FALSE),"")</f>
        <v/>
      </c>
      <c r="G4551" s="49" t="str">
        <f>IFERROR(VLOOKUP(E4551,'Condensed Specialty Crosswalk'!$A$2:$C$106,3,FALSE),"")</f>
        <v/>
      </c>
    </row>
    <row r="4552" spans="5:7" ht="15" customHeight="1">
      <c r="E4552" s="49" t="str">
        <f>IFERROR(VLOOKUP(D4552,'taxonomy map'!$A$1:$C$107,2,FALSE),"")</f>
        <v/>
      </c>
      <c r="F4552" s="49" t="str">
        <f>IFERROR(VLOOKUP(E4552,'Condensed Specialty Crosswalk'!$A$2:$C$106,2,FALSE),"")</f>
        <v/>
      </c>
      <c r="G4552" s="49" t="str">
        <f>IFERROR(VLOOKUP(E4552,'Condensed Specialty Crosswalk'!$A$2:$C$106,3,FALSE),"")</f>
        <v/>
      </c>
    </row>
    <row r="4553" spans="5:7" ht="15" customHeight="1">
      <c r="E4553" s="49" t="str">
        <f>IFERROR(VLOOKUP(D4553,'taxonomy map'!$A$1:$C$107,2,FALSE),"")</f>
        <v/>
      </c>
      <c r="F4553" s="49" t="str">
        <f>IFERROR(VLOOKUP(E4553,'Condensed Specialty Crosswalk'!$A$2:$C$106,2,FALSE),"")</f>
        <v/>
      </c>
      <c r="G4553" s="49" t="str">
        <f>IFERROR(VLOOKUP(E4553,'Condensed Specialty Crosswalk'!$A$2:$C$106,3,FALSE),"")</f>
        <v/>
      </c>
    </row>
    <row r="4554" spans="5:7" ht="15" customHeight="1">
      <c r="E4554" s="49" t="str">
        <f>IFERROR(VLOOKUP(D4554,'taxonomy map'!$A$1:$C$107,2,FALSE),"")</f>
        <v/>
      </c>
      <c r="F4554" s="49" t="str">
        <f>IFERROR(VLOOKUP(E4554,'Condensed Specialty Crosswalk'!$A$2:$C$106,2,FALSE),"")</f>
        <v/>
      </c>
      <c r="G4554" s="49" t="str">
        <f>IFERROR(VLOOKUP(E4554,'Condensed Specialty Crosswalk'!$A$2:$C$106,3,FALSE),"")</f>
        <v/>
      </c>
    </row>
    <row r="4555" spans="5:7" ht="15" customHeight="1">
      <c r="E4555" s="49" t="str">
        <f>IFERROR(VLOOKUP(D4555,'taxonomy map'!$A$1:$C$107,2,FALSE),"")</f>
        <v/>
      </c>
      <c r="F4555" s="49" t="str">
        <f>IFERROR(VLOOKUP(E4555,'Condensed Specialty Crosswalk'!$A$2:$C$106,2,FALSE),"")</f>
        <v/>
      </c>
      <c r="G4555" s="49" t="str">
        <f>IFERROR(VLOOKUP(E4555,'Condensed Specialty Crosswalk'!$A$2:$C$106,3,FALSE),"")</f>
        <v/>
      </c>
    </row>
    <row r="4556" spans="5:7" ht="15" customHeight="1">
      <c r="E4556" s="49" t="str">
        <f>IFERROR(VLOOKUP(D4556,'taxonomy map'!$A$1:$C$107,2,FALSE),"")</f>
        <v/>
      </c>
      <c r="F4556" s="49" t="str">
        <f>IFERROR(VLOOKUP(E4556,'Condensed Specialty Crosswalk'!$A$2:$C$106,2,FALSE),"")</f>
        <v/>
      </c>
      <c r="G4556" s="49" t="str">
        <f>IFERROR(VLOOKUP(E4556,'Condensed Specialty Crosswalk'!$A$2:$C$106,3,FALSE),"")</f>
        <v/>
      </c>
    </row>
    <row r="4557" spans="5:7" ht="15" customHeight="1">
      <c r="E4557" s="49" t="str">
        <f>IFERROR(VLOOKUP(D4557,'taxonomy map'!$A$1:$C$107,2,FALSE),"")</f>
        <v/>
      </c>
      <c r="F4557" s="49" t="str">
        <f>IFERROR(VLOOKUP(E4557,'Condensed Specialty Crosswalk'!$A$2:$C$106,2,FALSE),"")</f>
        <v/>
      </c>
      <c r="G4557" s="49" t="str">
        <f>IFERROR(VLOOKUP(E4557,'Condensed Specialty Crosswalk'!$A$2:$C$106,3,FALSE),"")</f>
        <v/>
      </c>
    </row>
    <row r="4558" spans="5:7" ht="15" customHeight="1">
      <c r="E4558" s="49" t="str">
        <f>IFERROR(VLOOKUP(D4558,'taxonomy map'!$A$1:$C$107,2,FALSE),"")</f>
        <v/>
      </c>
      <c r="F4558" s="49" t="str">
        <f>IFERROR(VLOOKUP(E4558,'Condensed Specialty Crosswalk'!$A$2:$C$106,2,FALSE),"")</f>
        <v/>
      </c>
      <c r="G4558" s="49" t="str">
        <f>IFERROR(VLOOKUP(E4558,'Condensed Specialty Crosswalk'!$A$2:$C$106,3,FALSE),"")</f>
        <v/>
      </c>
    </row>
    <row r="4559" spans="5:7" ht="15" customHeight="1">
      <c r="E4559" s="49" t="str">
        <f>IFERROR(VLOOKUP(D4559,'taxonomy map'!$A$1:$C$107,2,FALSE),"")</f>
        <v/>
      </c>
      <c r="F4559" s="49" t="str">
        <f>IFERROR(VLOOKUP(E4559,'Condensed Specialty Crosswalk'!$A$2:$C$106,2,FALSE),"")</f>
        <v/>
      </c>
      <c r="G4559" s="49" t="str">
        <f>IFERROR(VLOOKUP(E4559,'Condensed Specialty Crosswalk'!$A$2:$C$106,3,FALSE),"")</f>
        <v/>
      </c>
    </row>
    <row r="4560" spans="5:7" ht="15" customHeight="1">
      <c r="E4560" s="49" t="str">
        <f>IFERROR(VLOOKUP(D4560,'taxonomy map'!$A$1:$C$107,2,FALSE),"")</f>
        <v/>
      </c>
      <c r="F4560" s="49" t="str">
        <f>IFERROR(VLOOKUP(E4560,'Condensed Specialty Crosswalk'!$A$2:$C$106,2,FALSE),"")</f>
        <v/>
      </c>
      <c r="G4560" s="49" t="str">
        <f>IFERROR(VLOOKUP(E4560,'Condensed Specialty Crosswalk'!$A$2:$C$106,3,FALSE),"")</f>
        <v/>
      </c>
    </row>
    <row r="4561" spans="5:7" ht="15" customHeight="1">
      <c r="E4561" s="49" t="str">
        <f>IFERROR(VLOOKUP(D4561,'taxonomy map'!$A$1:$C$107,2,FALSE),"")</f>
        <v/>
      </c>
      <c r="F4561" s="49" t="str">
        <f>IFERROR(VLOOKUP(E4561,'Condensed Specialty Crosswalk'!$A$2:$C$106,2,FALSE),"")</f>
        <v/>
      </c>
      <c r="G4561" s="49" t="str">
        <f>IFERROR(VLOOKUP(E4561,'Condensed Specialty Crosswalk'!$A$2:$C$106,3,FALSE),"")</f>
        <v/>
      </c>
    </row>
    <row r="4562" spans="5:7" ht="15" customHeight="1">
      <c r="E4562" s="49" t="str">
        <f>IFERROR(VLOOKUP(D4562,'taxonomy map'!$A$1:$C$107,2,FALSE),"")</f>
        <v/>
      </c>
      <c r="F4562" s="49" t="str">
        <f>IFERROR(VLOOKUP(E4562,'Condensed Specialty Crosswalk'!$A$2:$C$106,2,FALSE),"")</f>
        <v/>
      </c>
      <c r="G4562" s="49" t="str">
        <f>IFERROR(VLOOKUP(E4562,'Condensed Specialty Crosswalk'!$A$2:$C$106,3,FALSE),"")</f>
        <v/>
      </c>
    </row>
    <row r="4563" spans="5:7" ht="15" customHeight="1">
      <c r="E4563" s="49" t="str">
        <f>IFERROR(VLOOKUP(D4563,'taxonomy map'!$A$1:$C$107,2,FALSE),"")</f>
        <v/>
      </c>
      <c r="F4563" s="49" t="str">
        <f>IFERROR(VLOOKUP(E4563,'Condensed Specialty Crosswalk'!$A$2:$C$106,2,FALSE),"")</f>
        <v/>
      </c>
      <c r="G4563" s="49" t="str">
        <f>IFERROR(VLOOKUP(E4563,'Condensed Specialty Crosswalk'!$A$2:$C$106,3,FALSE),"")</f>
        <v/>
      </c>
    </row>
    <row r="4564" spans="5:7" ht="15" customHeight="1">
      <c r="E4564" s="49" t="str">
        <f>IFERROR(VLOOKUP(D4564,'taxonomy map'!$A$1:$C$107,2,FALSE),"")</f>
        <v/>
      </c>
      <c r="F4564" s="49" t="str">
        <f>IFERROR(VLOOKUP(E4564,'Condensed Specialty Crosswalk'!$A$2:$C$106,2,FALSE),"")</f>
        <v/>
      </c>
      <c r="G4564" s="49" t="str">
        <f>IFERROR(VLOOKUP(E4564,'Condensed Specialty Crosswalk'!$A$2:$C$106,3,FALSE),"")</f>
        <v/>
      </c>
    </row>
    <row r="4565" spans="5:7" ht="15" customHeight="1">
      <c r="E4565" s="49" t="str">
        <f>IFERROR(VLOOKUP(D4565,'taxonomy map'!$A$1:$C$107,2,FALSE),"")</f>
        <v/>
      </c>
      <c r="F4565" s="49" t="str">
        <f>IFERROR(VLOOKUP(E4565,'Condensed Specialty Crosswalk'!$A$2:$C$106,2,FALSE),"")</f>
        <v/>
      </c>
      <c r="G4565" s="49" t="str">
        <f>IFERROR(VLOOKUP(E4565,'Condensed Specialty Crosswalk'!$A$2:$C$106,3,FALSE),"")</f>
        <v/>
      </c>
    </row>
    <row r="4566" spans="5:7" ht="15" customHeight="1">
      <c r="E4566" s="49" t="str">
        <f>IFERROR(VLOOKUP(D4566,'taxonomy map'!$A$1:$C$107,2,FALSE),"")</f>
        <v/>
      </c>
      <c r="F4566" s="49" t="str">
        <f>IFERROR(VLOOKUP(E4566,'Condensed Specialty Crosswalk'!$A$2:$C$106,2,FALSE),"")</f>
        <v/>
      </c>
      <c r="G4566" s="49" t="str">
        <f>IFERROR(VLOOKUP(E4566,'Condensed Specialty Crosswalk'!$A$2:$C$106,3,FALSE),"")</f>
        <v/>
      </c>
    </row>
    <row r="4567" spans="5:7" ht="15" customHeight="1">
      <c r="E4567" s="49" t="str">
        <f>IFERROR(VLOOKUP(D4567,'taxonomy map'!$A$1:$C$107,2,FALSE),"")</f>
        <v/>
      </c>
      <c r="F4567" s="49" t="str">
        <f>IFERROR(VLOOKUP(E4567,'Condensed Specialty Crosswalk'!$A$2:$C$106,2,FALSE),"")</f>
        <v/>
      </c>
      <c r="G4567" s="49" t="str">
        <f>IFERROR(VLOOKUP(E4567,'Condensed Specialty Crosswalk'!$A$2:$C$106,3,FALSE),"")</f>
        <v/>
      </c>
    </row>
    <row r="4568" spans="5:7" ht="15" customHeight="1">
      <c r="E4568" s="49" t="str">
        <f>IFERROR(VLOOKUP(D4568,'taxonomy map'!$A$1:$C$107,2,FALSE),"")</f>
        <v/>
      </c>
      <c r="F4568" s="49" t="str">
        <f>IFERROR(VLOOKUP(E4568,'Condensed Specialty Crosswalk'!$A$2:$C$106,2,FALSE),"")</f>
        <v/>
      </c>
      <c r="G4568" s="49" t="str">
        <f>IFERROR(VLOOKUP(E4568,'Condensed Specialty Crosswalk'!$A$2:$C$106,3,FALSE),"")</f>
        <v/>
      </c>
    </row>
    <row r="4569" spans="5:7" ht="15" customHeight="1">
      <c r="E4569" s="49" t="str">
        <f>IFERROR(VLOOKUP(D4569,'taxonomy map'!$A$1:$C$107,2,FALSE),"")</f>
        <v/>
      </c>
      <c r="F4569" s="49" t="str">
        <f>IFERROR(VLOOKUP(E4569,'Condensed Specialty Crosswalk'!$A$2:$C$106,2,FALSE),"")</f>
        <v/>
      </c>
      <c r="G4569" s="49" t="str">
        <f>IFERROR(VLOOKUP(E4569,'Condensed Specialty Crosswalk'!$A$2:$C$106,3,FALSE),"")</f>
        <v/>
      </c>
    </row>
    <row r="4570" spans="5:7" ht="15" customHeight="1">
      <c r="E4570" s="49" t="str">
        <f>IFERROR(VLOOKUP(D4570,'taxonomy map'!$A$1:$C$107,2,FALSE),"")</f>
        <v/>
      </c>
      <c r="F4570" s="49" t="str">
        <f>IFERROR(VLOOKUP(E4570,'Condensed Specialty Crosswalk'!$A$2:$C$106,2,FALSE),"")</f>
        <v/>
      </c>
      <c r="G4570" s="49" t="str">
        <f>IFERROR(VLOOKUP(E4570,'Condensed Specialty Crosswalk'!$A$2:$C$106,3,FALSE),"")</f>
        <v/>
      </c>
    </row>
    <row r="4571" spans="5:7" ht="15" customHeight="1">
      <c r="E4571" s="49" t="str">
        <f>IFERROR(VLOOKUP(D4571,'taxonomy map'!$A$1:$C$107,2,FALSE),"")</f>
        <v/>
      </c>
      <c r="F4571" s="49" t="str">
        <f>IFERROR(VLOOKUP(E4571,'Condensed Specialty Crosswalk'!$A$2:$C$106,2,FALSE),"")</f>
        <v/>
      </c>
      <c r="G4571" s="49" t="str">
        <f>IFERROR(VLOOKUP(E4571,'Condensed Specialty Crosswalk'!$A$2:$C$106,3,FALSE),"")</f>
        <v/>
      </c>
    </row>
    <row r="4572" spans="5:7" ht="15" customHeight="1">
      <c r="E4572" s="49" t="str">
        <f>IFERROR(VLOOKUP(D4572,'taxonomy map'!$A$1:$C$107,2,FALSE),"")</f>
        <v/>
      </c>
      <c r="F4572" s="49" t="str">
        <f>IFERROR(VLOOKUP(E4572,'Condensed Specialty Crosswalk'!$A$2:$C$106,2,FALSE),"")</f>
        <v/>
      </c>
      <c r="G4572" s="49" t="str">
        <f>IFERROR(VLOOKUP(E4572,'Condensed Specialty Crosswalk'!$A$2:$C$106,3,FALSE),"")</f>
        <v/>
      </c>
    </row>
    <row r="4573" spans="5:7" ht="15" customHeight="1">
      <c r="E4573" s="49" t="str">
        <f>IFERROR(VLOOKUP(D4573,'taxonomy map'!$A$1:$C$107,2,FALSE),"")</f>
        <v/>
      </c>
      <c r="F4573" s="49" t="str">
        <f>IFERROR(VLOOKUP(E4573,'Condensed Specialty Crosswalk'!$A$2:$C$106,2,FALSE),"")</f>
        <v/>
      </c>
      <c r="G4573" s="49" t="str">
        <f>IFERROR(VLOOKUP(E4573,'Condensed Specialty Crosswalk'!$A$2:$C$106,3,FALSE),"")</f>
        <v/>
      </c>
    </row>
    <row r="4574" spans="5:7" ht="15" customHeight="1">
      <c r="E4574" s="49" t="str">
        <f>IFERROR(VLOOKUP(D4574,'taxonomy map'!$A$1:$C$107,2,FALSE),"")</f>
        <v/>
      </c>
      <c r="F4574" s="49" t="str">
        <f>IFERROR(VLOOKUP(E4574,'Condensed Specialty Crosswalk'!$A$2:$C$106,2,FALSE),"")</f>
        <v/>
      </c>
      <c r="G4574" s="49" t="str">
        <f>IFERROR(VLOOKUP(E4574,'Condensed Specialty Crosswalk'!$A$2:$C$106,3,FALSE),"")</f>
        <v/>
      </c>
    </row>
    <row r="4575" spans="5:7" ht="15" customHeight="1">
      <c r="E4575" s="49" t="str">
        <f>IFERROR(VLOOKUP(D4575,'taxonomy map'!$A$1:$C$107,2,FALSE),"")</f>
        <v/>
      </c>
      <c r="F4575" s="49" t="str">
        <f>IFERROR(VLOOKUP(E4575,'Condensed Specialty Crosswalk'!$A$2:$C$106,2,FALSE),"")</f>
        <v/>
      </c>
      <c r="G4575" s="49" t="str">
        <f>IFERROR(VLOOKUP(E4575,'Condensed Specialty Crosswalk'!$A$2:$C$106,3,FALSE),"")</f>
        <v/>
      </c>
    </row>
    <row r="4576" spans="5:7" ht="15" customHeight="1">
      <c r="E4576" s="49" t="str">
        <f>IFERROR(VLOOKUP(D4576,'taxonomy map'!$A$1:$C$107,2,FALSE),"")</f>
        <v/>
      </c>
      <c r="F4576" s="49" t="str">
        <f>IFERROR(VLOOKUP(E4576,'Condensed Specialty Crosswalk'!$A$2:$C$106,2,FALSE),"")</f>
        <v/>
      </c>
      <c r="G4576" s="49" t="str">
        <f>IFERROR(VLOOKUP(E4576,'Condensed Specialty Crosswalk'!$A$2:$C$106,3,FALSE),"")</f>
        <v/>
      </c>
    </row>
    <row r="4577" spans="5:7" ht="15" customHeight="1">
      <c r="E4577" s="49" t="str">
        <f>IFERROR(VLOOKUP(D4577,'taxonomy map'!$A$1:$C$107,2,FALSE),"")</f>
        <v/>
      </c>
      <c r="F4577" s="49" t="str">
        <f>IFERROR(VLOOKUP(E4577,'Condensed Specialty Crosswalk'!$A$2:$C$106,2,FALSE),"")</f>
        <v/>
      </c>
      <c r="G4577" s="49" t="str">
        <f>IFERROR(VLOOKUP(E4577,'Condensed Specialty Crosswalk'!$A$2:$C$106,3,FALSE),"")</f>
        <v/>
      </c>
    </row>
    <row r="4578" spans="5:7" ht="15" customHeight="1">
      <c r="E4578" s="49" t="str">
        <f>IFERROR(VLOOKUP(D4578,'taxonomy map'!$A$1:$C$107,2,FALSE),"")</f>
        <v/>
      </c>
      <c r="F4578" s="49" t="str">
        <f>IFERROR(VLOOKUP(E4578,'Condensed Specialty Crosswalk'!$A$2:$C$106,2,FALSE),"")</f>
        <v/>
      </c>
      <c r="G4578" s="49" t="str">
        <f>IFERROR(VLOOKUP(E4578,'Condensed Specialty Crosswalk'!$A$2:$C$106,3,FALSE),"")</f>
        <v/>
      </c>
    </row>
    <row r="4579" spans="5:7" ht="15" customHeight="1">
      <c r="E4579" s="49" t="str">
        <f>IFERROR(VLOOKUP(D4579,'taxonomy map'!$A$1:$C$107,2,FALSE),"")</f>
        <v/>
      </c>
      <c r="F4579" s="49" t="str">
        <f>IFERROR(VLOOKUP(E4579,'Condensed Specialty Crosswalk'!$A$2:$C$106,2,FALSE),"")</f>
        <v/>
      </c>
      <c r="G4579" s="49" t="str">
        <f>IFERROR(VLOOKUP(E4579,'Condensed Specialty Crosswalk'!$A$2:$C$106,3,FALSE),"")</f>
        <v/>
      </c>
    </row>
    <row r="4580" spans="5:7" ht="15" customHeight="1">
      <c r="E4580" s="49" t="str">
        <f>IFERROR(VLOOKUP(D4580,'taxonomy map'!$A$1:$C$107,2,FALSE),"")</f>
        <v/>
      </c>
      <c r="F4580" s="49" t="str">
        <f>IFERROR(VLOOKUP(E4580,'Condensed Specialty Crosswalk'!$A$2:$C$106,2,FALSE),"")</f>
        <v/>
      </c>
      <c r="G4580" s="49" t="str">
        <f>IFERROR(VLOOKUP(E4580,'Condensed Specialty Crosswalk'!$A$2:$C$106,3,FALSE),"")</f>
        <v/>
      </c>
    </row>
    <row r="4581" spans="5:7" ht="15" customHeight="1">
      <c r="E4581" s="49" t="str">
        <f>IFERROR(VLOOKUP(D4581,'taxonomy map'!$A$1:$C$107,2,FALSE),"")</f>
        <v/>
      </c>
      <c r="F4581" s="49" t="str">
        <f>IFERROR(VLOOKUP(E4581,'Condensed Specialty Crosswalk'!$A$2:$C$106,2,FALSE),"")</f>
        <v/>
      </c>
      <c r="G4581" s="49" t="str">
        <f>IFERROR(VLOOKUP(E4581,'Condensed Specialty Crosswalk'!$A$2:$C$106,3,FALSE),"")</f>
        <v/>
      </c>
    </row>
    <row r="4582" spans="5:7" ht="15" customHeight="1">
      <c r="E4582" s="49" t="str">
        <f>IFERROR(VLOOKUP(D4582,'taxonomy map'!$A$1:$C$107,2,FALSE),"")</f>
        <v/>
      </c>
      <c r="F4582" s="49" t="str">
        <f>IFERROR(VLOOKUP(E4582,'Condensed Specialty Crosswalk'!$A$2:$C$106,2,FALSE),"")</f>
        <v/>
      </c>
      <c r="G4582" s="49" t="str">
        <f>IFERROR(VLOOKUP(E4582,'Condensed Specialty Crosswalk'!$A$2:$C$106,3,FALSE),"")</f>
        <v/>
      </c>
    </row>
    <row r="4583" spans="5:7" ht="15" customHeight="1">
      <c r="E4583" s="49" t="str">
        <f>IFERROR(VLOOKUP(D4583,'taxonomy map'!$A$1:$C$107,2,FALSE),"")</f>
        <v/>
      </c>
      <c r="F4583" s="49" t="str">
        <f>IFERROR(VLOOKUP(E4583,'Condensed Specialty Crosswalk'!$A$2:$C$106,2,FALSE),"")</f>
        <v/>
      </c>
      <c r="G4583" s="49" t="str">
        <f>IFERROR(VLOOKUP(E4583,'Condensed Specialty Crosswalk'!$A$2:$C$106,3,FALSE),"")</f>
        <v/>
      </c>
    </row>
    <row r="4584" spans="5:7" ht="15" customHeight="1">
      <c r="E4584" s="49" t="str">
        <f>IFERROR(VLOOKUP(D4584,'taxonomy map'!$A$1:$C$107,2,FALSE),"")</f>
        <v/>
      </c>
      <c r="F4584" s="49" t="str">
        <f>IFERROR(VLOOKUP(E4584,'Condensed Specialty Crosswalk'!$A$2:$C$106,2,FALSE),"")</f>
        <v/>
      </c>
      <c r="G4584" s="49" t="str">
        <f>IFERROR(VLOOKUP(E4584,'Condensed Specialty Crosswalk'!$A$2:$C$106,3,FALSE),"")</f>
        <v/>
      </c>
    </row>
    <row r="4585" spans="5:7" ht="15" customHeight="1">
      <c r="E4585" s="49" t="str">
        <f>IFERROR(VLOOKUP(D4585,'taxonomy map'!$A$1:$C$107,2,FALSE),"")</f>
        <v/>
      </c>
      <c r="F4585" s="49" t="str">
        <f>IFERROR(VLOOKUP(E4585,'Condensed Specialty Crosswalk'!$A$2:$C$106,2,FALSE),"")</f>
        <v/>
      </c>
      <c r="G4585" s="49" t="str">
        <f>IFERROR(VLOOKUP(E4585,'Condensed Specialty Crosswalk'!$A$2:$C$106,3,FALSE),"")</f>
        <v/>
      </c>
    </row>
    <row r="4586" spans="5:7" ht="15" customHeight="1">
      <c r="E4586" s="49" t="str">
        <f>IFERROR(VLOOKUP(D4586,'taxonomy map'!$A$1:$C$107,2,FALSE),"")</f>
        <v/>
      </c>
      <c r="F4586" s="49" t="str">
        <f>IFERROR(VLOOKUP(E4586,'Condensed Specialty Crosswalk'!$A$2:$C$106,2,FALSE),"")</f>
        <v/>
      </c>
      <c r="G4586" s="49" t="str">
        <f>IFERROR(VLOOKUP(E4586,'Condensed Specialty Crosswalk'!$A$2:$C$106,3,FALSE),"")</f>
        <v/>
      </c>
    </row>
    <row r="4587" spans="5:7" ht="15" customHeight="1">
      <c r="E4587" s="49" t="str">
        <f>IFERROR(VLOOKUP(D4587,'taxonomy map'!$A$1:$C$107,2,FALSE),"")</f>
        <v/>
      </c>
      <c r="F4587" s="49" t="str">
        <f>IFERROR(VLOOKUP(E4587,'Condensed Specialty Crosswalk'!$A$2:$C$106,2,FALSE),"")</f>
        <v/>
      </c>
      <c r="G4587" s="49" t="str">
        <f>IFERROR(VLOOKUP(E4587,'Condensed Specialty Crosswalk'!$A$2:$C$106,3,FALSE),"")</f>
        <v/>
      </c>
    </row>
    <row r="4588" spans="5:7" ht="15" customHeight="1">
      <c r="E4588" s="49" t="str">
        <f>IFERROR(VLOOKUP(D4588,'taxonomy map'!$A$1:$C$107,2,FALSE),"")</f>
        <v/>
      </c>
      <c r="F4588" s="49" t="str">
        <f>IFERROR(VLOOKUP(E4588,'Condensed Specialty Crosswalk'!$A$2:$C$106,2,FALSE),"")</f>
        <v/>
      </c>
      <c r="G4588" s="49" t="str">
        <f>IFERROR(VLOOKUP(E4588,'Condensed Specialty Crosswalk'!$A$2:$C$106,3,FALSE),"")</f>
        <v/>
      </c>
    </row>
    <row r="4589" spans="5:7" ht="15" customHeight="1">
      <c r="E4589" s="49" t="str">
        <f>IFERROR(VLOOKUP(D4589,'taxonomy map'!$A$1:$C$107,2,FALSE),"")</f>
        <v/>
      </c>
      <c r="F4589" s="49" t="str">
        <f>IFERROR(VLOOKUP(E4589,'Condensed Specialty Crosswalk'!$A$2:$C$106,2,FALSE),"")</f>
        <v/>
      </c>
      <c r="G4589" s="49" t="str">
        <f>IFERROR(VLOOKUP(E4589,'Condensed Specialty Crosswalk'!$A$2:$C$106,3,FALSE),"")</f>
        <v/>
      </c>
    </row>
    <row r="4590" spans="5:7" ht="15" customHeight="1">
      <c r="E4590" s="49" t="str">
        <f>IFERROR(VLOOKUP(D4590,'taxonomy map'!$A$1:$C$107,2,FALSE),"")</f>
        <v/>
      </c>
      <c r="F4590" s="49" t="str">
        <f>IFERROR(VLOOKUP(E4590,'Condensed Specialty Crosswalk'!$A$2:$C$106,2,FALSE),"")</f>
        <v/>
      </c>
      <c r="G4590" s="49" t="str">
        <f>IFERROR(VLOOKUP(E4590,'Condensed Specialty Crosswalk'!$A$2:$C$106,3,FALSE),"")</f>
        <v/>
      </c>
    </row>
    <row r="4591" spans="5:7" ht="15" customHeight="1">
      <c r="E4591" s="49" t="str">
        <f>IFERROR(VLOOKUP(D4591,'taxonomy map'!$A$1:$C$107,2,FALSE),"")</f>
        <v/>
      </c>
      <c r="F4591" s="49" t="str">
        <f>IFERROR(VLOOKUP(E4591,'Condensed Specialty Crosswalk'!$A$2:$C$106,2,FALSE),"")</f>
        <v/>
      </c>
      <c r="G4591" s="49" t="str">
        <f>IFERROR(VLOOKUP(E4591,'Condensed Specialty Crosswalk'!$A$2:$C$106,3,FALSE),"")</f>
        <v/>
      </c>
    </row>
    <row r="4592" spans="5:7" ht="15" customHeight="1">
      <c r="E4592" s="49" t="str">
        <f>IFERROR(VLOOKUP(D4592,'taxonomy map'!$A$1:$C$107,2,FALSE),"")</f>
        <v/>
      </c>
      <c r="F4592" s="49" t="str">
        <f>IFERROR(VLOOKUP(E4592,'Condensed Specialty Crosswalk'!$A$2:$C$106,2,FALSE),"")</f>
        <v/>
      </c>
      <c r="G4592" s="49" t="str">
        <f>IFERROR(VLOOKUP(E4592,'Condensed Specialty Crosswalk'!$A$2:$C$106,3,FALSE),"")</f>
        <v/>
      </c>
    </row>
    <row r="4593" spans="5:7" ht="15" customHeight="1">
      <c r="E4593" s="49" t="str">
        <f>IFERROR(VLOOKUP(D4593,'taxonomy map'!$A$1:$C$107,2,FALSE),"")</f>
        <v/>
      </c>
      <c r="F4593" s="49" t="str">
        <f>IFERROR(VLOOKUP(E4593,'Condensed Specialty Crosswalk'!$A$2:$C$106,2,FALSE),"")</f>
        <v/>
      </c>
      <c r="G4593" s="49" t="str">
        <f>IFERROR(VLOOKUP(E4593,'Condensed Specialty Crosswalk'!$A$2:$C$106,3,FALSE),"")</f>
        <v/>
      </c>
    </row>
    <row r="4594" spans="5:7" ht="15" customHeight="1">
      <c r="E4594" s="49" t="str">
        <f>IFERROR(VLOOKUP(D4594,'taxonomy map'!$A$1:$C$107,2,FALSE),"")</f>
        <v/>
      </c>
      <c r="F4594" s="49" t="str">
        <f>IFERROR(VLOOKUP(E4594,'Condensed Specialty Crosswalk'!$A$2:$C$106,2,FALSE),"")</f>
        <v/>
      </c>
      <c r="G4594" s="49" t="str">
        <f>IFERROR(VLOOKUP(E4594,'Condensed Specialty Crosswalk'!$A$2:$C$106,3,FALSE),"")</f>
        <v/>
      </c>
    </row>
    <row r="4595" spans="5:7" ht="15" customHeight="1">
      <c r="E4595" s="49" t="str">
        <f>IFERROR(VLOOKUP(D4595,'taxonomy map'!$A$1:$C$107,2,FALSE),"")</f>
        <v/>
      </c>
      <c r="F4595" s="49" t="str">
        <f>IFERROR(VLOOKUP(E4595,'Condensed Specialty Crosswalk'!$A$2:$C$106,2,FALSE),"")</f>
        <v/>
      </c>
      <c r="G4595" s="49" t="str">
        <f>IFERROR(VLOOKUP(E4595,'Condensed Specialty Crosswalk'!$A$2:$C$106,3,FALSE),"")</f>
        <v/>
      </c>
    </row>
    <row r="4596" spans="5:7" ht="15" customHeight="1">
      <c r="E4596" s="49" t="str">
        <f>IFERROR(VLOOKUP(D4596,'taxonomy map'!$A$1:$C$107,2,FALSE),"")</f>
        <v/>
      </c>
      <c r="F4596" s="49" t="str">
        <f>IFERROR(VLOOKUP(E4596,'Condensed Specialty Crosswalk'!$A$2:$C$106,2,FALSE),"")</f>
        <v/>
      </c>
      <c r="G4596" s="49" t="str">
        <f>IFERROR(VLOOKUP(E4596,'Condensed Specialty Crosswalk'!$A$2:$C$106,3,FALSE),"")</f>
        <v/>
      </c>
    </row>
    <row r="4597" spans="5:7" ht="15" customHeight="1">
      <c r="E4597" s="49" t="str">
        <f>IFERROR(VLOOKUP(D4597,'taxonomy map'!$A$1:$C$107,2,FALSE),"")</f>
        <v/>
      </c>
      <c r="F4597" s="49" t="str">
        <f>IFERROR(VLOOKUP(E4597,'Condensed Specialty Crosswalk'!$A$2:$C$106,2,FALSE),"")</f>
        <v/>
      </c>
      <c r="G4597" s="49" t="str">
        <f>IFERROR(VLOOKUP(E4597,'Condensed Specialty Crosswalk'!$A$2:$C$106,3,FALSE),"")</f>
        <v/>
      </c>
    </row>
    <row r="4598" spans="5:7" ht="15" customHeight="1">
      <c r="E4598" s="49" t="str">
        <f>IFERROR(VLOOKUP(D4598,'taxonomy map'!$A$1:$C$107,2,FALSE),"")</f>
        <v/>
      </c>
      <c r="F4598" s="49" t="str">
        <f>IFERROR(VLOOKUP(E4598,'Condensed Specialty Crosswalk'!$A$2:$C$106,2,FALSE),"")</f>
        <v/>
      </c>
      <c r="G4598" s="49" t="str">
        <f>IFERROR(VLOOKUP(E4598,'Condensed Specialty Crosswalk'!$A$2:$C$106,3,FALSE),"")</f>
        <v/>
      </c>
    </row>
    <row r="4599" spans="5:7" ht="15" customHeight="1">
      <c r="E4599" s="49" t="str">
        <f>IFERROR(VLOOKUP(D4599,'taxonomy map'!$A$1:$C$107,2,FALSE),"")</f>
        <v/>
      </c>
      <c r="F4599" s="49" t="str">
        <f>IFERROR(VLOOKUP(E4599,'Condensed Specialty Crosswalk'!$A$2:$C$106,2,FALSE),"")</f>
        <v/>
      </c>
      <c r="G4599" s="49" t="str">
        <f>IFERROR(VLOOKUP(E4599,'Condensed Specialty Crosswalk'!$A$2:$C$106,3,FALSE),"")</f>
        <v/>
      </c>
    </row>
    <row r="4600" spans="5:7" ht="15" customHeight="1">
      <c r="E4600" s="49" t="str">
        <f>IFERROR(VLOOKUP(D4600,'taxonomy map'!$A$1:$C$107,2,FALSE),"")</f>
        <v/>
      </c>
      <c r="F4600" s="49" t="str">
        <f>IFERROR(VLOOKUP(E4600,'Condensed Specialty Crosswalk'!$A$2:$C$106,2,FALSE),"")</f>
        <v/>
      </c>
      <c r="G4600" s="49" t="str">
        <f>IFERROR(VLOOKUP(E4600,'Condensed Specialty Crosswalk'!$A$2:$C$106,3,FALSE),"")</f>
        <v/>
      </c>
    </row>
    <row r="4601" spans="5:7" ht="15" customHeight="1">
      <c r="E4601" s="49" t="str">
        <f>IFERROR(VLOOKUP(D4601,'taxonomy map'!$A$1:$C$107,2,FALSE),"")</f>
        <v/>
      </c>
      <c r="F4601" s="49" t="str">
        <f>IFERROR(VLOOKUP(E4601,'Condensed Specialty Crosswalk'!$A$2:$C$106,2,FALSE),"")</f>
        <v/>
      </c>
      <c r="G4601" s="49" t="str">
        <f>IFERROR(VLOOKUP(E4601,'Condensed Specialty Crosswalk'!$A$2:$C$106,3,FALSE),"")</f>
        <v/>
      </c>
    </row>
    <row r="4602" spans="5:7" ht="15" customHeight="1">
      <c r="E4602" s="49" t="str">
        <f>IFERROR(VLOOKUP(D4602,'taxonomy map'!$A$1:$C$107,2,FALSE),"")</f>
        <v/>
      </c>
      <c r="F4602" s="49" t="str">
        <f>IFERROR(VLOOKUP(E4602,'Condensed Specialty Crosswalk'!$A$2:$C$106,2,FALSE),"")</f>
        <v/>
      </c>
      <c r="G4602" s="49" t="str">
        <f>IFERROR(VLOOKUP(E4602,'Condensed Specialty Crosswalk'!$A$2:$C$106,3,FALSE),"")</f>
        <v/>
      </c>
    </row>
    <row r="4603" spans="5:7" ht="15" customHeight="1">
      <c r="E4603" s="49" t="str">
        <f>IFERROR(VLOOKUP(D4603,'taxonomy map'!$A$1:$C$107,2,FALSE),"")</f>
        <v/>
      </c>
      <c r="F4603" s="49" t="str">
        <f>IFERROR(VLOOKUP(E4603,'Condensed Specialty Crosswalk'!$A$2:$C$106,2,FALSE),"")</f>
        <v/>
      </c>
      <c r="G4603" s="49" t="str">
        <f>IFERROR(VLOOKUP(E4603,'Condensed Specialty Crosswalk'!$A$2:$C$106,3,FALSE),"")</f>
        <v/>
      </c>
    </row>
    <row r="4604" spans="5:7" ht="15" customHeight="1">
      <c r="E4604" s="49" t="str">
        <f>IFERROR(VLOOKUP(D4604,'taxonomy map'!$A$1:$C$107,2,FALSE),"")</f>
        <v/>
      </c>
      <c r="F4604" s="49" t="str">
        <f>IFERROR(VLOOKUP(E4604,'Condensed Specialty Crosswalk'!$A$2:$C$106,2,FALSE),"")</f>
        <v/>
      </c>
      <c r="G4604" s="49" t="str">
        <f>IFERROR(VLOOKUP(E4604,'Condensed Specialty Crosswalk'!$A$2:$C$106,3,FALSE),"")</f>
        <v/>
      </c>
    </row>
    <row r="4605" spans="5:7" ht="15" customHeight="1">
      <c r="E4605" s="49" t="str">
        <f>IFERROR(VLOOKUP(D4605,'taxonomy map'!$A$1:$C$107,2,FALSE),"")</f>
        <v/>
      </c>
      <c r="F4605" s="49" t="str">
        <f>IFERROR(VLOOKUP(E4605,'Condensed Specialty Crosswalk'!$A$2:$C$106,2,FALSE),"")</f>
        <v/>
      </c>
      <c r="G4605" s="49" t="str">
        <f>IFERROR(VLOOKUP(E4605,'Condensed Specialty Crosswalk'!$A$2:$C$106,3,FALSE),"")</f>
        <v/>
      </c>
    </row>
    <row r="4606" spans="5:7" ht="15" customHeight="1">
      <c r="E4606" s="49" t="str">
        <f>IFERROR(VLOOKUP(D4606,'taxonomy map'!$A$1:$C$107,2,FALSE),"")</f>
        <v/>
      </c>
      <c r="F4606" s="49" t="str">
        <f>IFERROR(VLOOKUP(E4606,'Condensed Specialty Crosswalk'!$A$2:$C$106,2,FALSE),"")</f>
        <v/>
      </c>
      <c r="G4606" s="49" t="str">
        <f>IFERROR(VLOOKUP(E4606,'Condensed Specialty Crosswalk'!$A$2:$C$106,3,FALSE),"")</f>
        <v/>
      </c>
    </row>
    <row r="4607" spans="5:7" ht="15" customHeight="1">
      <c r="E4607" s="49" t="str">
        <f>IFERROR(VLOOKUP(D4607,'taxonomy map'!$A$1:$C$107,2,FALSE),"")</f>
        <v/>
      </c>
      <c r="F4607" s="49" t="str">
        <f>IFERROR(VLOOKUP(E4607,'Condensed Specialty Crosswalk'!$A$2:$C$106,2,FALSE),"")</f>
        <v/>
      </c>
      <c r="G4607" s="49" t="str">
        <f>IFERROR(VLOOKUP(E4607,'Condensed Specialty Crosswalk'!$A$2:$C$106,3,FALSE),"")</f>
        <v/>
      </c>
    </row>
    <row r="4608" spans="5:7" ht="15" customHeight="1">
      <c r="E4608" s="49" t="str">
        <f>IFERROR(VLOOKUP(D4608,'taxonomy map'!$A$1:$C$107,2,FALSE),"")</f>
        <v/>
      </c>
      <c r="F4608" s="49" t="str">
        <f>IFERROR(VLOOKUP(E4608,'Condensed Specialty Crosswalk'!$A$2:$C$106,2,FALSE),"")</f>
        <v/>
      </c>
      <c r="G4608" s="49" t="str">
        <f>IFERROR(VLOOKUP(E4608,'Condensed Specialty Crosswalk'!$A$2:$C$106,3,FALSE),"")</f>
        <v/>
      </c>
    </row>
    <row r="4609" spans="5:7" ht="15" customHeight="1">
      <c r="E4609" s="49" t="str">
        <f>IFERROR(VLOOKUP(D4609,'taxonomy map'!$A$1:$C$107,2,FALSE),"")</f>
        <v/>
      </c>
      <c r="F4609" s="49" t="str">
        <f>IFERROR(VLOOKUP(E4609,'Condensed Specialty Crosswalk'!$A$2:$C$106,2,FALSE),"")</f>
        <v/>
      </c>
      <c r="G4609" s="49" t="str">
        <f>IFERROR(VLOOKUP(E4609,'Condensed Specialty Crosswalk'!$A$2:$C$106,3,FALSE),"")</f>
        <v/>
      </c>
    </row>
    <row r="4610" spans="5:7" ht="15" customHeight="1">
      <c r="E4610" s="49" t="str">
        <f>IFERROR(VLOOKUP(D4610,'taxonomy map'!$A$1:$C$107,2,FALSE),"")</f>
        <v/>
      </c>
      <c r="F4610" s="49" t="str">
        <f>IFERROR(VLOOKUP(E4610,'Condensed Specialty Crosswalk'!$A$2:$C$106,2,FALSE),"")</f>
        <v/>
      </c>
      <c r="G4610" s="49" t="str">
        <f>IFERROR(VLOOKUP(E4610,'Condensed Specialty Crosswalk'!$A$2:$C$106,3,FALSE),"")</f>
        <v/>
      </c>
    </row>
    <row r="4611" spans="5:7" ht="15" customHeight="1">
      <c r="E4611" s="49" t="str">
        <f>IFERROR(VLOOKUP(D4611,'taxonomy map'!$A$1:$C$107,2,FALSE),"")</f>
        <v/>
      </c>
      <c r="F4611" s="49" t="str">
        <f>IFERROR(VLOOKUP(E4611,'Condensed Specialty Crosswalk'!$A$2:$C$106,2,FALSE),"")</f>
        <v/>
      </c>
      <c r="G4611" s="49" t="str">
        <f>IFERROR(VLOOKUP(E4611,'Condensed Specialty Crosswalk'!$A$2:$C$106,3,FALSE),"")</f>
        <v/>
      </c>
    </row>
    <row r="4612" spans="5:7" ht="15" customHeight="1">
      <c r="E4612" s="49" t="str">
        <f>IFERROR(VLOOKUP(D4612,'taxonomy map'!$A$1:$C$107,2,FALSE),"")</f>
        <v/>
      </c>
      <c r="F4612" s="49" t="str">
        <f>IFERROR(VLOOKUP(E4612,'Condensed Specialty Crosswalk'!$A$2:$C$106,2,FALSE),"")</f>
        <v/>
      </c>
      <c r="G4612" s="49" t="str">
        <f>IFERROR(VLOOKUP(E4612,'Condensed Specialty Crosswalk'!$A$2:$C$106,3,FALSE),"")</f>
        <v/>
      </c>
    </row>
    <row r="4613" spans="5:7" ht="15" customHeight="1">
      <c r="E4613" s="49" t="str">
        <f>IFERROR(VLOOKUP(D4613,'taxonomy map'!$A$1:$C$107,2,FALSE),"")</f>
        <v/>
      </c>
      <c r="F4613" s="49" t="str">
        <f>IFERROR(VLOOKUP(E4613,'Condensed Specialty Crosswalk'!$A$2:$C$106,2,FALSE),"")</f>
        <v/>
      </c>
      <c r="G4613" s="49" t="str">
        <f>IFERROR(VLOOKUP(E4613,'Condensed Specialty Crosswalk'!$A$2:$C$106,3,FALSE),"")</f>
        <v/>
      </c>
    </row>
    <row r="4614" spans="5:7" ht="15" customHeight="1">
      <c r="E4614" s="49" t="str">
        <f>IFERROR(VLOOKUP(D4614,'taxonomy map'!$A$1:$C$107,2,FALSE),"")</f>
        <v/>
      </c>
      <c r="F4614" s="49" t="str">
        <f>IFERROR(VLOOKUP(E4614,'Condensed Specialty Crosswalk'!$A$2:$C$106,2,FALSE),"")</f>
        <v/>
      </c>
      <c r="G4614" s="49" t="str">
        <f>IFERROR(VLOOKUP(E4614,'Condensed Specialty Crosswalk'!$A$2:$C$106,3,FALSE),"")</f>
        <v/>
      </c>
    </row>
    <row r="4615" spans="5:7" ht="15" customHeight="1">
      <c r="E4615" s="49" t="str">
        <f>IFERROR(VLOOKUP(D4615,'taxonomy map'!$A$1:$C$107,2,FALSE),"")</f>
        <v/>
      </c>
      <c r="F4615" s="49" t="str">
        <f>IFERROR(VLOOKUP(E4615,'Condensed Specialty Crosswalk'!$A$2:$C$106,2,FALSE),"")</f>
        <v/>
      </c>
      <c r="G4615" s="49" t="str">
        <f>IFERROR(VLOOKUP(E4615,'Condensed Specialty Crosswalk'!$A$2:$C$106,3,FALSE),"")</f>
        <v/>
      </c>
    </row>
    <row r="4616" spans="5:7" ht="15" customHeight="1">
      <c r="E4616" s="49" t="str">
        <f>IFERROR(VLOOKUP(D4616,'taxonomy map'!$A$1:$C$107,2,FALSE),"")</f>
        <v/>
      </c>
      <c r="F4616" s="49" t="str">
        <f>IFERROR(VLOOKUP(E4616,'Condensed Specialty Crosswalk'!$A$2:$C$106,2,FALSE),"")</f>
        <v/>
      </c>
      <c r="G4616" s="49" t="str">
        <f>IFERROR(VLOOKUP(E4616,'Condensed Specialty Crosswalk'!$A$2:$C$106,3,FALSE),"")</f>
        <v/>
      </c>
    </row>
    <row r="4617" spans="5:7" ht="15" customHeight="1">
      <c r="E4617" s="49" t="str">
        <f>IFERROR(VLOOKUP(D4617,'taxonomy map'!$A$1:$C$107,2,FALSE),"")</f>
        <v/>
      </c>
      <c r="F4617" s="49" t="str">
        <f>IFERROR(VLOOKUP(E4617,'Condensed Specialty Crosswalk'!$A$2:$C$106,2,FALSE),"")</f>
        <v/>
      </c>
      <c r="G4617" s="49" t="str">
        <f>IFERROR(VLOOKUP(E4617,'Condensed Specialty Crosswalk'!$A$2:$C$106,3,FALSE),"")</f>
        <v/>
      </c>
    </row>
    <row r="4618" spans="5:7" ht="15" customHeight="1">
      <c r="E4618" s="49" t="str">
        <f>IFERROR(VLOOKUP(D4618,'taxonomy map'!$A$1:$C$107,2,FALSE),"")</f>
        <v/>
      </c>
      <c r="F4618" s="49" t="str">
        <f>IFERROR(VLOOKUP(E4618,'Condensed Specialty Crosswalk'!$A$2:$C$106,2,FALSE),"")</f>
        <v/>
      </c>
      <c r="G4618" s="49" t="str">
        <f>IFERROR(VLOOKUP(E4618,'Condensed Specialty Crosswalk'!$A$2:$C$106,3,FALSE),"")</f>
        <v/>
      </c>
    </row>
    <row r="4619" spans="5:7" ht="15" customHeight="1">
      <c r="E4619" s="49" t="str">
        <f>IFERROR(VLOOKUP(D4619,'taxonomy map'!$A$1:$C$107,2,FALSE),"")</f>
        <v/>
      </c>
      <c r="F4619" s="49" t="str">
        <f>IFERROR(VLOOKUP(E4619,'Condensed Specialty Crosswalk'!$A$2:$C$106,2,FALSE),"")</f>
        <v/>
      </c>
      <c r="G4619" s="49" t="str">
        <f>IFERROR(VLOOKUP(E4619,'Condensed Specialty Crosswalk'!$A$2:$C$106,3,FALSE),"")</f>
        <v/>
      </c>
    </row>
    <row r="4620" spans="5:7" ht="15" customHeight="1">
      <c r="E4620" s="49" t="str">
        <f>IFERROR(VLOOKUP(D4620,'taxonomy map'!$A$1:$C$107,2,FALSE),"")</f>
        <v/>
      </c>
      <c r="F4620" s="49" t="str">
        <f>IFERROR(VLOOKUP(E4620,'Condensed Specialty Crosswalk'!$A$2:$C$106,2,FALSE),"")</f>
        <v/>
      </c>
      <c r="G4620" s="49" t="str">
        <f>IFERROR(VLOOKUP(E4620,'Condensed Specialty Crosswalk'!$A$2:$C$106,3,FALSE),"")</f>
        <v/>
      </c>
    </row>
    <row r="4621" spans="5:7" ht="15" customHeight="1">
      <c r="E4621" s="49" t="str">
        <f>IFERROR(VLOOKUP(D4621,'taxonomy map'!$A$1:$C$107,2,FALSE),"")</f>
        <v/>
      </c>
      <c r="F4621" s="49" t="str">
        <f>IFERROR(VLOOKUP(E4621,'Condensed Specialty Crosswalk'!$A$2:$C$106,2,FALSE),"")</f>
        <v/>
      </c>
      <c r="G4621" s="49" t="str">
        <f>IFERROR(VLOOKUP(E4621,'Condensed Specialty Crosswalk'!$A$2:$C$106,3,FALSE),"")</f>
        <v/>
      </c>
    </row>
    <row r="4622" spans="5:7" ht="15" customHeight="1">
      <c r="E4622" s="49" t="str">
        <f>IFERROR(VLOOKUP(D4622,'taxonomy map'!$A$1:$C$107,2,FALSE),"")</f>
        <v/>
      </c>
      <c r="F4622" s="49" t="str">
        <f>IFERROR(VLOOKUP(E4622,'Condensed Specialty Crosswalk'!$A$2:$C$106,2,FALSE),"")</f>
        <v/>
      </c>
      <c r="G4622" s="49" t="str">
        <f>IFERROR(VLOOKUP(E4622,'Condensed Specialty Crosswalk'!$A$2:$C$106,3,FALSE),"")</f>
        <v/>
      </c>
    </row>
    <row r="4623" spans="5:7" ht="15" customHeight="1">
      <c r="E4623" s="49" t="str">
        <f>IFERROR(VLOOKUP(D4623,'taxonomy map'!$A$1:$C$107,2,FALSE),"")</f>
        <v/>
      </c>
      <c r="F4623" s="49" t="str">
        <f>IFERROR(VLOOKUP(E4623,'Condensed Specialty Crosswalk'!$A$2:$C$106,2,FALSE),"")</f>
        <v/>
      </c>
      <c r="G4623" s="49" t="str">
        <f>IFERROR(VLOOKUP(E4623,'Condensed Specialty Crosswalk'!$A$2:$C$106,3,FALSE),"")</f>
        <v/>
      </c>
    </row>
    <row r="4624" spans="5:7" ht="15" customHeight="1">
      <c r="E4624" s="49" t="str">
        <f>IFERROR(VLOOKUP(D4624,'taxonomy map'!$A$1:$C$107,2,FALSE),"")</f>
        <v/>
      </c>
      <c r="F4624" s="49" t="str">
        <f>IFERROR(VLOOKUP(E4624,'Condensed Specialty Crosswalk'!$A$2:$C$106,2,FALSE),"")</f>
        <v/>
      </c>
      <c r="G4624" s="49" t="str">
        <f>IFERROR(VLOOKUP(E4624,'Condensed Specialty Crosswalk'!$A$2:$C$106,3,FALSE),"")</f>
        <v/>
      </c>
    </row>
    <row r="4625" spans="5:7" ht="15" customHeight="1">
      <c r="E4625" s="49" t="str">
        <f>IFERROR(VLOOKUP(D4625,'taxonomy map'!$A$1:$C$107,2,FALSE),"")</f>
        <v/>
      </c>
      <c r="F4625" s="49" t="str">
        <f>IFERROR(VLOOKUP(E4625,'Condensed Specialty Crosswalk'!$A$2:$C$106,2,FALSE),"")</f>
        <v/>
      </c>
      <c r="G4625" s="49" t="str">
        <f>IFERROR(VLOOKUP(E4625,'Condensed Specialty Crosswalk'!$A$2:$C$106,3,FALSE),"")</f>
        <v/>
      </c>
    </row>
    <row r="4626" spans="5:7" ht="15" customHeight="1">
      <c r="E4626" s="49" t="str">
        <f>IFERROR(VLOOKUP(D4626,'taxonomy map'!$A$1:$C$107,2,FALSE),"")</f>
        <v/>
      </c>
      <c r="F4626" s="49" t="str">
        <f>IFERROR(VLOOKUP(E4626,'Condensed Specialty Crosswalk'!$A$2:$C$106,2,FALSE),"")</f>
        <v/>
      </c>
      <c r="G4626" s="49" t="str">
        <f>IFERROR(VLOOKUP(E4626,'Condensed Specialty Crosswalk'!$A$2:$C$106,3,FALSE),"")</f>
        <v/>
      </c>
    </row>
    <row r="4627" spans="5:7" ht="15" customHeight="1">
      <c r="E4627" s="49" t="str">
        <f>IFERROR(VLOOKUP(D4627,'taxonomy map'!$A$1:$C$107,2,FALSE),"")</f>
        <v/>
      </c>
      <c r="F4627" s="49" t="str">
        <f>IFERROR(VLOOKUP(E4627,'Condensed Specialty Crosswalk'!$A$2:$C$106,2,FALSE),"")</f>
        <v/>
      </c>
      <c r="G4627" s="49" t="str">
        <f>IFERROR(VLOOKUP(E4627,'Condensed Specialty Crosswalk'!$A$2:$C$106,3,FALSE),"")</f>
        <v/>
      </c>
    </row>
    <row r="4628" spans="5:7" ht="15" customHeight="1">
      <c r="E4628" s="49" t="str">
        <f>IFERROR(VLOOKUP(D4628,'taxonomy map'!$A$1:$C$107,2,FALSE),"")</f>
        <v/>
      </c>
      <c r="F4628" s="49" t="str">
        <f>IFERROR(VLOOKUP(E4628,'Condensed Specialty Crosswalk'!$A$2:$C$106,2,FALSE),"")</f>
        <v/>
      </c>
      <c r="G4628" s="49" t="str">
        <f>IFERROR(VLOOKUP(E4628,'Condensed Specialty Crosswalk'!$A$2:$C$106,3,FALSE),"")</f>
        <v/>
      </c>
    </row>
    <row r="4629" spans="5:7" ht="15" customHeight="1">
      <c r="E4629" s="49" t="str">
        <f>IFERROR(VLOOKUP(D4629,'taxonomy map'!$A$1:$C$107,2,FALSE),"")</f>
        <v/>
      </c>
      <c r="F4629" s="49" t="str">
        <f>IFERROR(VLOOKUP(E4629,'Condensed Specialty Crosswalk'!$A$2:$C$106,2,FALSE),"")</f>
        <v/>
      </c>
      <c r="G4629" s="49" t="str">
        <f>IFERROR(VLOOKUP(E4629,'Condensed Specialty Crosswalk'!$A$2:$C$106,3,FALSE),"")</f>
        <v/>
      </c>
    </row>
    <row r="4630" spans="5:7" ht="15" customHeight="1">
      <c r="E4630" s="49" t="str">
        <f>IFERROR(VLOOKUP(D4630,'taxonomy map'!$A$1:$C$107,2,FALSE),"")</f>
        <v/>
      </c>
      <c r="F4630" s="49" t="str">
        <f>IFERROR(VLOOKUP(E4630,'Condensed Specialty Crosswalk'!$A$2:$C$106,2,FALSE),"")</f>
        <v/>
      </c>
      <c r="G4630" s="49" t="str">
        <f>IFERROR(VLOOKUP(E4630,'Condensed Specialty Crosswalk'!$A$2:$C$106,3,FALSE),"")</f>
        <v/>
      </c>
    </row>
    <row r="4631" spans="5:7" ht="15" customHeight="1">
      <c r="E4631" s="49" t="str">
        <f>IFERROR(VLOOKUP(D4631,'taxonomy map'!$A$1:$C$107,2,FALSE),"")</f>
        <v/>
      </c>
      <c r="F4631" s="49" t="str">
        <f>IFERROR(VLOOKUP(E4631,'Condensed Specialty Crosswalk'!$A$2:$C$106,2,FALSE),"")</f>
        <v/>
      </c>
      <c r="G4631" s="49" t="str">
        <f>IFERROR(VLOOKUP(E4631,'Condensed Specialty Crosswalk'!$A$2:$C$106,3,FALSE),"")</f>
        <v/>
      </c>
    </row>
    <row r="4632" spans="5:7" ht="15" customHeight="1">
      <c r="E4632" s="49" t="str">
        <f>IFERROR(VLOOKUP(D4632,'taxonomy map'!$A$1:$C$107,2,FALSE),"")</f>
        <v/>
      </c>
      <c r="F4632" s="49" t="str">
        <f>IFERROR(VLOOKUP(E4632,'Condensed Specialty Crosswalk'!$A$2:$C$106,2,FALSE),"")</f>
        <v/>
      </c>
      <c r="G4632" s="49" t="str">
        <f>IFERROR(VLOOKUP(E4632,'Condensed Specialty Crosswalk'!$A$2:$C$106,3,FALSE),"")</f>
        <v/>
      </c>
    </row>
    <row r="4633" spans="5:7" ht="15" customHeight="1">
      <c r="E4633" s="49" t="str">
        <f>IFERROR(VLOOKUP(D4633,'taxonomy map'!$A$1:$C$107,2,FALSE),"")</f>
        <v/>
      </c>
      <c r="F4633" s="49" t="str">
        <f>IFERROR(VLOOKUP(E4633,'Condensed Specialty Crosswalk'!$A$2:$C$106,2,FALSE),"")</f>
        <v/>
      </c>
      <c r="G4633" s="49" t="str">
        <f>IFERROR(VLOOKUP(E4633,'Condensed Specialty Crosswalk'!$A$2:$C$106,3,FALSE),"")</f>
        <v/>
      </c>
    </row>
    <row r="4634" spans="5:7" ht="15" customHeight="1">
      <c r="E4634" s="49" t="str">
        <f>IFERROR(VLOOKUP(D4634,'taxonomy map'!$A$1:$C$107,2,FALSE),"")</f>
        <v/>
      </c>
      <c r="F4634" s="49" t="str">
        <f>IFERROR(VLOOKUP(E4634,'Condensed Specialty Crosswalk'!$A$2:$C$106,2,FALSE),"")</f>
        <v/>
      </c>
      <c r="G4634" s="49" t="str">
        <f>IFERROR(VLOOKUP(E4634,'Condensed Specialty Crosswalk'!$A$2:$C$106,3,FALSE),"")</f>
        <v/>
      </c>
    </row>
    <row r="4635" spans="5:7" ht="15" customHeight="1">
      <c r="E4635" s="49" t="str">
        <f>IFERROR(VLOOKUP(D4635,'taxonomy map'!$A$1:$C$107,2,FALSE),"")</f>
        <v/>
      </c>
      <c r="F4635" s="49" t="str">
        <f>IFERROR(VLOOKUP(E4635,'Condensed Specialty Crosswalk'!$A$2:$C$106,2,FALSE),"")</f>
        <v/>
      </c>
      <c r="G4635" s="49" t="str">
        <f>IFERROR(VLOOKUP(E4635,'Condensed Specialty Crosswalk'!$A$2:$C$106,3,FALSE),"")</f>
        <v/>
      </c>
    </row>
    <row r="4636" spans="5:7" ht="15" customHeight="1">
      <c r="E4636" s="49" t="str">
        <f>IFERROR(VLOOKUP(D4636,'taxonomy map'!$A$1:$C$107,2,FALSE),"")</f>
        <v/>
      </c>
      <c r="F4636" s="49" t="str">
        <f>IFERROR(VLOOKUP(E4636,'Condensed Specialty Crosswalk'!$A$2:$C$106,2,FALSE),"")</f>
        <v/>
      </c>
      <c r="G4636" s="49" t="str">
        <f>IFERROR(VLOOKUP(E4636,'Condensed Specialty Crosswalk'!$A$2:$C$106,3,FALSE),"")</f>
        <v/>
      </c>
    </row>
    <row r="4637" spans="5:7" ht="15" customHeight="1">
      <c r="E4637" s="49" t="str">
        <f>IFERROR(VLOOKUP(D4637,'taxonomy map'!$A$1:$C$107,2,FALSE),"")</f>
        <v/>
      </c>
      <c r="F4637" s="49" t="str">
        <f>IFERROR(VLOOKUP(E4637,'Condensed Specialty Crosswalk'!$A$2:$C$106,2,FALSE),"")</f>
        <v/>
      </c>
      <c r="G4637" s="49" t="str">
        <f>IFERROR(VLOOKUP(E4637,'Condensed Specialty Crosswalk'!$A$2:$C$106,3,FALSE),"")</f>
        <v/>
      </c>
    </row>
    <row r="4638" spans="5:7" ht="15" customHeight="1">
      <c r="E4638" s="49" t="str">
        <f>IFERROR(VLOOKUP(D4638,'taxonomy map'!$A$1:$C$107,2,FALSE),"")</f>
        <v/>
      </c>
      <c r="F4638" s="49" t="str">
        <f>IFERROR(VLOOKUP(E4638,'Condensed Specialty Crosswalk'!$A$2:$C$106,2,FALSE),"")</f>
        <v/>
      </c>
      <c r="G4638" s="49" t="str">
        <f>IFERROR(VLOOKUP(E4638,'Condensed Specialty Crosswalk'!$A$2:$C$106,3,FALSE),"")</f>
        <v/>
      </c>
    </row>
    <row r="4639" spans="5:7" ht="15" customHeight="1">
      <c r="E4639" s="49" t="str">
        <f>IFERROR(VLOOKUP(D4639,'taxonomy map'!$A$1:$C$107,2,FALSE),"")</f>
        <v/>
      </c>
      <c r="F4639" s="49" t="str">
        <f>IFERROR(VLOOKUP(E4639,'Condensed Specialty Crosswalk'!$A$2:$C$106,2,FALSE),"")</f>
        <v/>
      </c>
      <c r="G4639" s="49" t="str">
        <f>IFERROR(VLOOKUP(E4639,'Condensed Specialty Crosswalk'!$A$2:$C$106,3,FALSE),"")</f>
        <v/>
      </c>
    </row>
    <row r="4640" spans="5:7" ht="15" customHeight="1">
      <c r="E4640" s="49" t="str">
        <f>IFERROR(VLOOKUP(D4640,'taxonomy map'!$A$1:$C$107,2,FALSE),"")</f>
        <v/>
      </c>
      <c r="F4640" s="49" t="str">
        <f>IFERROR(VLOOKUP(E4640,'Condensed Specialty Crosswalk'!$A$2:$C$106,2,FALSE),"")</f>
        <v/>
      </c>
      <c r="G4640" s="49" t="str">
        <f>IFERROR(VLOOKUP(E4640,'Condensed Specialty Crosswalk'!$A$2:$C$106,3,FALSE),"")</f>
        <v/>
      </c>
    </row>
    <row r="4641" spans="5:7" ht="15" customHeight="1">
      <c r="E4641" s="49" t="str">
        <f>IFERROR(VLOOKUP(D4641,'taxonomy map'!$A$1:$C$107,2,FALSE),"")</f>
        <v/>
      </c>
      <c r="F4641" s="49" t="str">
        <f>IFERROR(VLOOKUP(E4641,'Condensed Specialty Crosswalk'!$A$2:$C$106,2,FALSE),"")</f>
        <v/>
      </c>
      <c r="G4641" s="49" t="str">
        <f>IFERROR(VLOOKUP(E4641,'Condensed Specialty Crosswalk'!$A$2:$C$106,3,FALSE),"")</f>
        <v/>
      </c>
    </row>
    <row r="4642" spans="5:7" ht="15" customHeight="1">
      <c r="E4642" s="49" t="str">
        <f>IFERROR(VLOOKUP(D4642,'taxonomy map'!$A$1:$C$107,2,FALSE),"")</f>
        <v/>
      </c>
      <c r="F4642" s="49" t="str">
        <f>IFERROR(VLOOKUP(E4642,'Condensed Specialty Crosswalk'!$A$2:$C$106,2,FALSE),"")</f>
        <v/>
      </c>
      <c r="G4642" s="49" t="str">
        <f>IFERROR(VLOOKUP(E4642,'Condensed Specialty Crosswalk'!$A$2:$C$106,3,FALSE),"")</f>
        <v/>
      </c>
    </row>
    <row r="4643" spans="5:7" ht="15" customHeight="1">
      <c r="E4643" s="49" t="str">
        <f>IFERROR(VLOOKUP(D4643,'taxonomy map'!$A$1:$C$107,2,FALSE),"")</f>
        <v/>
      </c>
      <c r="F4643" s="49" t="str">
        <f>IFERROR(VLOOKUP(E4643,'Condensed Specialty Crosswalk'!$A$2:$C$106,2,FALSE),"")</f>
        <v/>
      </c>
      <c r="G4643" s="49" t="str">
        <f>IFERROR(VLOOKUP(E4643,'Condensed Specialty Crosswalk'!$A$2:$C$106,3,FALSE),"")</f>
        <v/>
      </c>
    </row>
    <row r="4644" spans="5:7" ht="15" customHeight="1">
      <c r="E4644" s="49" t="str">
        <f>IFERROR(VLOOKUP(D4644,'taxonomy map'!$A$1:$C$107,2,FALSE),"")</f>
        <v/>
      </c>
      <c r="F4644" s="49" t="str">
        <f>IFERROR(VLOOKUP(E4644,'Condensed Specialty Crosswalk'!$A$2:$C$106,2,FALSE),"")</f>
        <v/>
      </c>
      <c r="G4644" s="49" t="str">
        <f>IFERROR(VLOOKUP(E4644,'Condensed Specialty Crosswalk'!$A$2:$C$106,3,FALSE),"")</f>
        <v/>
      </c>
    </row>
    <row r="4645" spans="5:7" ht="15" customHeight="1">
      <c r="E4645" s="49" t="str">
        <f>IFERROR(VLOOKUP(D4645,'taxonomy map'!$A$1:$C$107,2,FALSE),"")</f>
        <v/>
      </c>
      <c r="F4645" s="49" t="str">
        <f>IFERROR(VLOOKUP(E4645,'Condensed Specialty Crosswalk'!$A$2:$C$106,2,FALSE),"")</f>
        <v/>
      </c>
      <c r="G4645" s="49" t="str">
        <f>IFERROR(VLOOKUP(E4645,'Condensed Specialty Crosswalk'!$A$2:$C$106,3,FALSE),"")</f>
        <v/>
      </c>
    </row>
    <row r="4646" spans="5:7" ht="15" customHeight="1">
      <c r="E4646" s="49" t="str">
        <f>IFERROR(VLOOKUP(D4646,'taxonomy map'!$A$1:$C$107,2,FALSE),"")</f>
        <v/>
      </c>
      <c r="F4646" s="49" t="str">
        <f>IFERROR(VLOOKUP(E4646,'Condensed Specialty Crosswalk'!$A$2:$C$106,2,FALSE),"")</f>
        <v/>
      </c>
      <c r="G4646" s="49" t="str">
        <f>IFERROR(VLOOKUP(E4646,'Condensed Specialty Crosswalk'!$A$2:$C$106,3,FALSE),"")</f>
        <v/>
      </c>
    </row>
    <row r="4647" spans="5:7" ht="15" customHeight="1">
      <c r="E4647" s="49" t="str">
        <f>IFERROR(VLOOKUP(D4647,'taxonomy map'!$A$1:$C$107,2,FALSE),"")</f>
        <v/>
      </c>
      <c r="F4647" s="49" t="str">
        <f>IFERROR(VLOOKUP(E4647,'Condensed Specialty Crosswalk'!$A$2:$C$106,2,FALSE),"")</f>
        <v/>
      </c>
      <c r="G4647" s="49" t="str">
        <f>IFERROR(VLOOKUP(E4647,'Condensed Specialty Crosswalk'!$A$2:$C$106,3,FALSE),"")</f>
        <v/>
      </c>
    </row>
    <row r="4648" spans="5:7" ht="15" customHeight="1">
      <c r="E4648" s="49" t="str">
        <f>IFERROR(VLOOKUP(D4648,'taxonomy map'!$A$1:$C$107,2,FALSE),"")</f>
        <v/>
      </c>
      <c r="F4648" s="49" t="str">
        <f>IFERROR(VLOOKUP(E4648,'Condensed Specialty Crosswalk'!$A$2:$C$106,2,FALSE),"")</f>
        <v/>
      </c>
      <c r="G4648" s="49" t="str">
        <f>IFERROR(VLOOKUP(E4648,'Condensed Specialty Crosswalk'!$A$2:$C$106,3,FALSE),"")</f>
        <v/>
      </c>
    </row>
    <row r="4649" spans="5:7" ht="15" customHeight="1">
      <c r="E4649" s="49" t="str">
        <f>IFERROR(VLOOKUP(D4649,'taxonomy map'!$A$1:$C$107,2,FALSE),"")</f>
        <v/>
      </c>
      <c r="F4649" s="49" t="str">
        <f>IFERROR(VLOOKUP(E4649,'Condensed Specialty Crosswalk'!$A$2:$C$106,2,FALSE),"")</f>
        <v/>
      </c>
      <c r="G4649" s="49" t="str">
        <f>IFERROR(VLOOKUP(E4649,'Condensed Specialty Crosswalk'!$A$2:$C$106,3,FALSE),"")</f>
        <v/>
      </c>
    </row>
    <row r="4650" spans="5:7" ht="15" customHeight="1">
      <c r="E4650" s="49" t="str">
        <f>IFERROR(VLOOKUP(D4650,'taxonomy map'!$A$1:$C$107,2,FALSE),"")</f>
        <v/>
      </c>
      <c r="F4650" s="49" t="str">
        <f>IFERROR(VLOOKUP(E4650,'Condensed Specialty Crosswalk'!$A$2:$C$106,2,FALSE),"")</f>
        <v/>
      </c>
      <c r="G4650" s="49" t="str">
        <f>IFERROR(VLOOKUP(E4650,'Condensed Specialty Crosswalk'!$A$2:$C$106,3,FALSE),"")</f>
        <v/>
      </c>
    </row>
    <row r="4651" spans="5:7" ht="15" customHeight="1">
      <c r="E4651" s="49" t="str">
        <f>IFERROR(VLOOKUP(D4651,'taxonomy map'!$A$1:$C$107,2,FALSE),"")</f>
        <v/>
      </c>
      <c r="F4651" s="49" t="str">
        <f>IFERROR(VLOOKUP(E4651,'Condensed Specialty Crosswalk'!$A$2:$C$106,2,FALSE),"")</f>
        <v/>
      </c>
      <c r="G4651" s="49" t="str">
        <f>IFERROR(VLOOKUP(E4651,'Condensed Specialty Crosswalk'!$A$2:$C$106,3,FALSE),"")</f>
        <v/>
      </c>
    </row>
    <row r="4652" spans="5:7" ht="15" customHeight="1">
      <c r="E4652" s="49" t="str">
        <f>IFERROR(VLOOKUP(D4652,'taxonomy map'!$A$1:$C$107,2,FALSE),"")</f>
        <v/>
      </c>
      <c r="F4652" s="49" t="str">
        <f>IFERROR(VLOOKUP(E4652,'Condensed Specialty Crosswalk'!$A$2:$C$106,2,FALSE),"")</f>
        <v/>
      </c>
      <c r="G4652" s="49" t="str">
        <f>IFERROR(VLOOKUP(E4652,'Condensed Specialty Crosswalk'!$A$2:$C$106,3,FALSE),"")</f>
        <v/>
      </c>
    </row>
    <row r="4653" spans="5:7" ht="15" customHeight="1">
      <c r="E4653" s="49" t="str">
        <f>IFERROR(VLOOKUP(D4653,'taxonomy map'!$A$1:$C$107,2,FALSE),"")</f>
        <v/>
      </c>
      <c r="F4653" s="49" t="str">
        <f>IFERROR(VLOOKUP(E4653,'Condensed Specialty Crosswalk'!$A$2:$C$106,2,FALSE),"")</f>
        <v/>
      </c>
      <c r="G4653" s="49" t="str">
        <f>IFERROR(VLOOKUP(E4653,'Condensed Specialty Crosswalk'!$A$2:$C$106,3,FALSE),"")</f>
        <v/>
      </c>
    </row>
    <row r="4654" spans="5:7" ht="15" customHeight="1">
      <c r="E4654" s="49" t="str">
        <f>IFERROR(VLOOKUP(D4654,'taxonomy map'!$A$1:$C$107,2,FALSE),"")</f>
        <v/>
      </c>
      <c r="F4654" s="49" t="str">
        <f>IFERROR(VLOOKUP(E4654,'Condensed Specialty Crosswalk'!$A$2:$C$106,2,FALSE),"")</f>
        <v/>
      </c>
      <c r="G4654" s="49" t="str">
        <f>IFERROR(VLOOKUP(E4654,'Condensed Specialty Crosswalk'!$A$2:$C$106,3,FALSE),"")</f>
        <v/>
      </c>
    </row>
    <row r="4655" spans="5:7" ht="15" customHeight="1">
      <c r="E4655" s="49" t="str">
        <f>IFERROR(VLOOKUP(D4655,'taxonomy map'!$A$1:$C$107,2,FALSE),"")</f>
        <v/>
      </c>
      <c r="F4655" s="49" t="str">
        <f>IFERROR(VLOOKUP(E4655,'Condensed Specialty Crosswalk'!$A$2:$C$106,2,FALSE),"")</f>
        <v/>
      </c>
      <c r="G4655" s="49" t="str">
        <f>IFERROR(VLOOKUP(E4655,'Condensed Specialty Crosswalk'!$A$2:$C$106,3,FALSE),"")</f>
        <v/>
      </c>
    </row>
    <row r="4656" spans="5:7" ht="15" customHeight="1">
      <c r="E4656" s="49" t="str">
        <f>IFERROR(VLOOKUP(D4656,'taxonomy map'!$A$1:$C$107,2,FALSE),"")</f>
        <v/>
      </c>
      <c r="F4656" s="49" t="str">
        <f>IFERROR(VLOOKUP(E4656,'Condensed Specialty Crosswalk'!$A$2:$C$106,2,FALSE),"")</f>
        <v/>
      </c>
      <c r="G4656" s="49" t="str">
        <f>IFERROR(VLOOKUP(E4656,'Condensed Specialty Crosswalk'!$A$2:$C$106,3,FALSE),"")</f>
        <v/>
      </c>
    </row>
    <row r="4657" spans="5:7" ht="15" customHeight="1">
      <c r="E4657" s="49" t="str">
        <f>IFERROR(VLOOKUP(D4657,'taxonomy map'!$A$1:$C$107,2,FALSE),"")</f>
        <v/>
      </c>
      <c r="F4657" s="49" t="str">
        <f>IFERROR(VLOOKUP(E4657,'Condensed Specialty Crosswalk'!$A$2:$C$106,2,FALSE),"")</f>
        <v/>
      </c>
      <c r="G4657" s="49" t="str">
        <f>IFERROR(VLOOKUP(E4657,'Condensed Specialty Crosswalk'!$A$2:$C$106,3,FALSE),"")</f>
        <v/>
      </c>
    </row>
    <row r="4658" spans="5:7" ht="15" customHeight="1">
      <c r="E4658" s="49" t="str">
        <f>IFERROR(VLOOKUP(D4658,'taxonomy map'!$A$1:$C$107,2,FALSE),"")</f>
        <v/>
      </c>
      <c r="F4658" s="49" t="str">
        <f>IFERROR(VLOOKUP(E4658,'Condensed Specialty Crosswalk'!$A$2:$C$106,2,FALSE),"")</f>
        <v/>
      </c>
      <c r="G4658" s="49" t="str">
        <f>IFERROR(VLOOKUP(E4658,'Condensed Specialty Crosswalk'!$A$2:$C$106,3,FALSE),"")</f>
        <v/>
      </c>
    </row>
    <row r="4659" spans="5:7" ht="15" customHeight="1">
      <c r="E4659" s="49" t="str">
        <f>IFERROR(VLOOKUP(D4659,'taxonomy map'!$A$1:$C$107,2,FALSE),"")</f>
        <v/>
      </c>
      <c r="F4659" s="49" t="str">
        <f>IFERROR(VLOOKUP(E4659,'Condensed Specialty Crosswalk'!$A$2:$C$106,2,FALSE),"")</f>
        <v/>
      </c>
      <c r="G4659" s="49" t="str">
        <f>IFERROR(VLOOKUP(E4659,'Condensed Specialty Crosswalk'!$A$2:$C$106,3,FALSE),"")</f>
        <v/>
      </c>
    </row>
    <row r="4660" spans="5:7" ht="15" customHeight="1">
      <c r="E4660" s="49" t="str">
        <f>IFERROR(VLOOKUP(D4660,'taxonomy map'!$A$1:$C$107,2,FALSE),"")</f>
        <v/>
      </c>
      <c r="F4660" s="49" t="str">
        <f>IFERROR(VLOOKUP(E4660,'Condensed Specialty Crosswalk'!$A$2:$C$106,2,FALSE),"")</f>
        <v/>
      </c>
      <c r="G4660" s="49" t="str">
        <f>IFERROR(VLOOKUP(E4660,'Condensed Specialty Crosswalk'!$A$2:$C$106,3,FALSE),"")</f>
        <v/>
      </c>
    </row>
    <row r="4661" spans="5:7" ht="15" customHeight="1">
      <c r="E4661" s="49" t="str">
        <f>IFERROR(VLOOKUP(D4661,'taxonomy map'!$A$1:$C$107,2,FALSE),"")</f>
        <v/>
      </c>
      <c r="F4661" s="49" t="str">
        <f>IFERROR(VLOOKUP(E4661,'Condensed Specialty Crosswalk'!$A$2:$C$106,2,FALSE),"")</f>
        <v/>
      </c>
      <c r="G4661" s="49" t="str">
        <f>IFERROR(VLOOKUP(E4661,'Condensed Specialty Crosswalk'!$A$2:$C$106,3,FALSE),"")</f>
        <v/>
      </c>
    </row>
    <row r="4662" spans="5:7" ht="15" customHeight="1">
      <c r="E4662" s="49" t="str">
        <f>IFERROR(VLOOKUP(D4662,'taxonomy map'!$A$1:$C$107,2,FALSE),"")</f>
        <v/>
      </c>
      <c r="F4662" s="49" t="str">
        <f>IFERROR(VLOOKUP(E4662,'Condensed Specialty Crosswalk'!$A$2:$C$106,2,FALSE),"")</f>
        <v/>
      </c>
      <c r="G4662" s="49" t="str">
        <f>IFERROR(VLOOKUP(E4662,'Condensed Specialty Crosswalk'!$A$2:$C$106,3,FALSE),"")</f>
        <v/>
      </c>
    </row>
    <row r="4663" spans="5:7" ht="15" customHeight="1">
      <c r="E4663" s="49" t="str">
        <f>IFERROR(VLOOKUP(D4663,'taxonomy map'!$A$1:$C$107,2,FALSE),"")</f>
        <v/>
      </c>
      <c r="F4663" s="49" t="str">
        <f>IFERROR(VLOOKUP(E4663,'Condensed Specialty Crosswalk'!$A$2:$C$106,2,FALSE),"")</f>
        <v/>
      </c>
      <c r="G4663" s="49" t="str">
        <f>IFERROR(VLOOKUP(E4663,'Condensed Specialty Crosswalk'!$A$2:$C$106,3,FALSE),"")</f>
        <v/>
      </c>
    </row>
    <row r="4664" spans="5:7" ht="15" customHeight="1">
      <c r="E4664" s="49" t="str">
        <f>IFERROR(VLOOKUP(D4664,'taxonomy map'!$A$1:$C$107,2,FALSE),"")</f>
        <v/>
      </c>
      <c r="F4664" s="49" t="str">
        <f>IFERROR(VLOOKUP(E4664,'Condensed Specialty Crosswalk'!$A$2:$C$106,2,FALSE),"")</f>
        <v/>
      </c>
      <c r="G4664" s="49" t="str">
        <f>IFERROR(VLOOKUP(E4664,'Condensed Specialty Crosswalk'!$A$2:$C$106,3,FALSE),"")</f>
        <v/>
      </c>
    </row>
    <row r="4665" spans="5:7" ht="15" customHeight="1">
      <c r="E4665" s="49" t="str">
        <f>IFERROR(VLOOKUP(D4665,'taxonomy map'!$A$1:$C$107,2,FALSE),"")</f>
        <v/>
      </c>
      <c r="F4665" s="49" t="str">
        <f>IFERROR(VLOOKUP(E4665,'Condensed Specialty Crosswalk'!$A$2:$C$106,2,FALSE),"")</f>
        <v/>
      </c>
      <c r="G4665" s="49" t="str">
        <f>IFERROR(VLOOKUP(E4665,'Condensed Specialty Crosswalk'!$A$2:$C$106,3,FALSE),"")</f>
        <v/>
      </c>
    </row>
    <row r="4666" spans="5:7" ht="15" customHeight="1">
      <c r="E4666" s="49" t="str">
        <f>IFERROR(VLOOKUP(D4666,'taxonomy map'!$A$1:$C$107,2,FALSE),"")</f>
        <v/>
      </c>
      <c r="F4666" s="49" t="str">
        <f>IFERROR(VLOOKUP(E4666,'Condensed Specialty Crosswalk'!$A$2:$C$106,2,FALSE),"")</f>
        <v/>
      </c>
      <c r="G4666" s="49" t="str">
        <f>IFERROR(VLOOKUP(E4666,'Condensed Specialty Crosswalk'!$A$2:$C$106,3,FALSE),"")</f>
        <v/>
      </c>
    </row>
    <row r="4667" spans="5:7" ht="15" customHeight="1">
      <c r="E4667" s="49" t="str">
        <f>IFERROR(VLOOKUP(D4667,'taxonomy map'!$A$1:$C$107,2,FALSE),"")</f>
        <v/>
      </c>
      <c r="F4667" s="49" t="str">
        <f>IFERROR(VLOOKUP(E4667,'Condensed Specialty Crosswalk'!$A$2:$C$106,2,FALSE),"")</f>
        <v/>
      </c>
      <c r="G4667" s="49" t="str">
        <f>IFERROR(VLOOKUP(E4667,'Condensed Specialty Crosswalk'!$A$2:$C$106,3,FALSE),"")</f>
        <v/>
      </c>
    </row>
    <row r="4668" spans="5:7" ht="15" customHeight="1">
      <c r="E4668" s="49" t="str">
        <f>IFERROR(VLOOKUP(D4668,'taxonomy map'!$A$1:$C$107,2,FALSE),"")</f>
        <v/>
      </c>
      <c r="F4668" s="49" t="str">
        <f>IFERROR(VLOOKUP(E4668,'Condensed Specialty Crosswalk'!$A$2:$C$106,2,FALSE),"")</f>
        <v/>
      </c>
      <c r="G4668" s="49" t="str">
        <f>IFERROR(VLOOKUP(E4668,'Condensed Specialty Crosswalk'!$A$2:$C$106,3,FALSE),"")</f>
        <v/>
      </c>
    </row>
    <row r="4669" spans="5:7" ht="15" customHeight="1">
      <c r="E4669" s="49" t="str">
        <f>IFERROR(VLOOKUP(D4669,'taxonomy map'!$A$1:$C$107,2,FALSE),"")</f>
        <v/>
      </c>
      <c r="F4669" s="49" t="str">
        <f>IFERROR(VLOOKUP(E4669,'Condensed Specialty Crosswalk'!$A$2:$C$106,2,FALSE),"")</f>
        <v/>
      </c>
      <c r="G4669" s="49" t="str">
        <f>IFERROR(VLOOKUP(E4669,'Condensed Specialty Crosswalk'!$A$2:$C$106,3,FALSE),"")</f>
        <v/>
      </c>
    </row>
    <row r="4670" spans="5:7" ht="15" customHeight="1">
      <c r="E4670" s="49" t="str">
        <f>IFERROR(VLOOKUP(D4670,'taxonomy map'!$A$1:$C$107,2,FALSE),"")</f>
        <v/>
      </c>
      <c r="F4670" s="49" t="str">
        <f>IFERROR(VLOOKUP(E4670,'Condensed Specialty Crosswalk'!$A$2:$C$106,2,FALSE),"")</f>
        <v/>
      </c>
      <c r="G4670" s="49" t="str">
        <f>IFERROR(VLOOKUP(E4670,'Condensed Specialty Crosswalk'!$A$2:$C$106,3,FALSE),"")</f>
        <v/>
      </c>
    </row>
    <row r="4671" spans="5:7" ht="15" customHeight="1">
      <c r="E4671" s="49" t="str">
        <f>IFERROR(VLOOKUP(D4671,'taxonomy map'!$A$1:$C$107,2,FALSE),"")</f>
        <v/>
      </c>
      <c r="F4671" s="49" t="str">
        <f>IFERROR(VLOOKUP(E4671,'Condensed Specialty Crosswalk'!$A$2:$C$106,2,FALSE),"")</f>
        <v/>
      </c>
      <c r="G4671" s="49" t="str">
        <f>IFERROR(VLOOKUP(E4671,'Condensed Specialty Crosswalk'!$A$2:$C$106,3,FALSE),"")</f>
        <v/>
      </c>
    </row>
    <row r="4672" spans="5:7" ht="15" customHeight="1">
      <c r="E4672" s="49" t="str">
        <f>IFERROR(VLOOKUP(D4672,'taxonomy map'!$A$1:$C$107,2,FALSE),"")</f>
        <v/>
      </c>
      <c r="F4672" s="49" t="str">
        <f>IFERROR(VLOOKUP(E4672,'Condensed Specialty Crosswalk'!$A$2:$C$106,2,FALSE),"")</f>
        <v/>
      </c>
      <c r="G4672" s="49" t="str">
        <f>IFERROR(VLOOKUP(E4672,'Condensed Specialty Crosswalk'!$A$2:$C$106,3,FALSE),"")</f>
        <v/>
      </c>
    </row>
    <row r="4673" spans="5:7" ht="15" customHeight="1">
      <c r="E4673" s="49" t="str">
        <f>IFERROR(VLOOKUP(D4673,'taxonomy map'!$A$1:$C$107,2,FALSE),"")</f>
        <v/>
      </c>
      <c r="F4673" s="49" t="str">
        <f>IFERROR(VLOOKUP(E4673,'Condensed Specialty Crosswalk'!$A$2:$C$106,2,FALSE),"")</f>
        <v/>
      </c>
      <c r="G4673" s="49" t="str">
        <f>IFERROR(VLOOKUP(E4673,'Condensed Specialty Crosswalk'!$A$2:$C$106,3,FALSE),"")</f>
        <v/>
      </c>
    </row>
    <row r="4674" spans="5:7" ht="15" customHeight="1">
      <c r="E4674" s="49" t="str">
        <f>IFERROR(VLOOKUP(D4674,'taxonomy map'!$A$1:$C$107,2,FALSE),"")</f>
        <v/>
      </c>
      <c r="F4674" s="49" t="str">
        <f>IFERROR(VLOOKUP(E4674,'Condensed Specialty Crosswalk'!$A$2:$C$106,2,FALSE),"")</f>
        <v/>
      </c>
      <c r="G4674" s="49" t="str">
        <f>IFERROR(VLOOKUP(E4674,'Condensed Specialty Crosswalk'!$A$2:$C$106,3,FALSE),"")</f>
        <v/>
      </c>
    </row>
    <row r="4675" spans="5:7" ht="15" customHeight="1">
      <c r="E4675" s="49" t="str">
        <f>IFERROR(VLOOKUP(D4675,'taxonomy map'!$A$1:$C$107,2,FALSE),"")</f>
        <v/>
      </c>
      <c r="F4675" s="49" t="str">
        <f>IFERROR(VLOOKUP(E4675,'Condensed Specialty Crosswalk'!$A$2:$C$106,2,FALSE),"")</f>
        <v/>
      </c>
      <c r="G4675" s="49" t="str">
        <f>IFERROR(VLOOKUP(E4675,'Condensed Specialty Crosswalk'!$A$2:$C$106,3,FALSE),"")</f>
        <v/>
      </c>
    </row>
    <row r="4676" spans="5:7" ht="15" customHeight="1">
      <c r="E4676" s="49" t="str">
        <f>IFERROR(VLOOKUP(D4676,'taxonomy map'!$A$1:$C$107,2,FALSE),"")</f>
        <v/>
      </c>
      <c r="F4676" s="49" t="str">
        <f>IFERROR(VLOOKUP(E4676,'Condensed Specialty Crosswalk'!$A$2:$C$106,2,FALSE),"")</f>
        <v/>
      </c>
      <c r="G4676" s="49" t="str">
        <f>IFERROR(VLOOKUP(E4676,'Condensed Specialty Crosswalk'!$A$2:$C$106,3,FALSE),"")</f>
        <v/>
      </c>
    </row>
    <row r="4677" spans="5:7" ht="15" customHeight="1">
      <c r="E4677" s="49" t="str">
        <f>IFERROR(VLOOKUP(D4677,'taxonomy map'!$A$1:$C$107,2,FALSE),"")</f>
        <v/>
      </c>
      <c r="F4677" s="49" t="str">
        <f>IFERROR(VLOOKUP(E4677,'Condensed Specialty Crosswalk'!$A$2:$C$106,2,FALSE),"")</f>
        <v/>
      </c>
      <c r="G4677" s="49" t="str">
        <f>IFERROR(VLOOKUP(E4677,'Condensed Specialty Crosswalk'!$A$2:$C$106,3,FALSE),"")</f>
        <v/>
      </c>
    </row>
    <row r="4678" spans="5:7" ht="15" customHeight="1">
      <c r="E4678" s="49" t="str">
        <f>IFERROR(VLOOKUP(D4678,'taxonomy map'!$A$1:$C$107,2,FALSE),"")</f>
        <v/>
      </c>
      <c r="F4678" s="49" t="str">
        <f>IFERROR(VLOOKUP(E4678,'Condensed Specialty Crosswalk'!$A$2:$C$106,2,FALSE),"")</f>
        <v/>
      </c>
      <c r="G4678" s="49" t="str">
        <f>IFERROR(VLOOKUP(E4678,'Condensed Specialty Crosswalk'!$A$2:$C$106,3,FALSE),"")</f>
        <v/>
      </c>
    </row>
    <row r="4679" spans="5:7" ht="15" customHeight="1">
      <c r="E4679" s="49" t="str">
        <f>IFERROR(VLOOKUP(D4679,'taxonomy map'!$A$1:$C$107,2,FALSE),"")</f>
        <v/>
      </c>
      <c r="F4679" s="49" t="str">
        <f>IFERROR(VLOOKUP(E4679,'Condensed Specialty Crosswalk'!$A$2:$C$106,2,FALSE),"")</f>
        <v/>
      </c>
      <c r="G4679" s="49" t="str">
        <f>IFERROR(VLOOKUP(E4679,'Condensed Specialty Crosswalk'!$A$2:$C$106,3,FALSE),"")</f>
        <v/>
      </c>
    </row>
    <row r="4680" spans="5:7" ht="15" customHeight="1">
      <c r="E4680" s="49" t="str">
        <f>IFERROR(VLOOKUP(D4680,'taxonomy map'!$A$1:$C$107,2,FALSE),"")</f>
        <v/>
      </c>
      <c r="F4680" s="49" t="str">
        <f>IFERROR(VLOOKUP(E4680,'Condensed Specialty Crosswalk'!$A$2:$C$106,2,FALSE),"")</f>
        <v/>
      </c>
      <c r="G4680" s="49" t="str">
        <f>IFERROR(VLOOKUP(E4680,'Condensed Specialty Crosswalk'!$A$2:$C$106,3,FALSE),"")</f>
        <v/>
      </c>
    </row>
    <row r="4681" spans="5:7" ht="15" customHeight="1">
      <c r="E4681" s="49" t="str">
        <f>IFERROR(VLOOKUP(D4681,'taxonomy map'!$A$1:$C$107,2,FALSE),"")</f>
        <v/>
      </c>
      <c r="F4681" s="49" t="str">
        <f>IFERROR(VLOOKUP(E4681,'Condensed Specialty Crosswalk'!$A$2:$C$106,2,FALSE),"")</f>
        <v/>
      </c>
      <c r="G4681" s="49" t="str">
        <f>IFERROR(VLOOKUP(E4681,'Condensed Specialty Crosswalk'!$A$2:$C$106,3,FALSE),"")</f>
        <v/>
      </c>
    </row>
    <row r="4682" spans="5:7" ht="15" customHeight="1">
      <c r="E4682" s="49" t="str">
        <f>IFERROR(VLOOKUP(D4682,'taxonomy map'!$A$1:$C$107,2,FALSE),"")</f>
        <v/>
      </c>
      <c r="F4682" s="49" t="str">
        <f>IFERROR(VLOOKUP(E4682,'Condensed Specialty Crosswalk'!$A$2:$C$106,2,FALSE),"")</f>
        <v/>
      </c>
      <c r="G4682" s="49" t="str">
        <f>IFERROR(VLOOKUP(E4682,'Condensed Specialty Crosswalk'!$A$2:$C$106,3,FALSE),"")</f>
        <v/>
      </c>
    </row>
    <row r="4683" spans="5:7" ht="15" customHeight="1">
      <c r="E4683" s="49" t="str">
        <f>IFERROR(VLOOKUP(D4683,'taxonomy map'!$A$1:$C$107,2,FALSE),"")</f>
        <v/>
      </c>
      <c r="F4683" s="49" t="str">
        <f>IFERROR(VLOOKUP(E4683,'Condensed Specialty Crosswalk'!$A$2:$C$106,2,FALSE),"")</f>
        <v/>
      </c>
      <c r="G4683" s="49" t="str">
        <f>IFERROR(VLOOKUP(E4683,'Condensed Specialty Crosswalk'!$A$2:$C$106,3,FALSE),"")</f>
        <v/>
      </c>
    </row>
    <row r="4684" spans="5:7" ht="15" customHeight="1">
      <c r="E4684" s="49" t="str">
        <f>IFERROR(VLOOKUP(D4684,'taxonomy map'!$A$1:$C$107,2,FALSE),"")</f>
        <v/>
      </c>
      <c r="F4684" s="49" t="str">
        <f>IFERROR(VLOOKUP(E4684,'Condensed Specialty Crosswalk'!$A$2:$C$106,2,FALSE),"")</f>
        <v/>
      </c>
      <c r="G4684" s="49" t="str">
        <f>IFERROR(VLOOKUP(E4684,'Condensed Specialty Crosswalk'!$A$2:$C$106,3,FALSE),"")</f>
        <v/>
      </c>
    </row>
    <row r="4685" spans="5:7" ht="15" customHeight="1">
      <c r="E4685" s="49" t="str">
        <f>IFERROR(VLOOKUP(D4685,'taxonomy map'!$A$1:$C$107,2,FALSE),"")</f>
        <v/>
      </c>
      <c r="F4685" s="49" t="str">
        <f>IFERROR(VLOOKUP(E4685,'Condensed Specialty Crosswalk'!$A$2:$C$106,2,FALSE),"")</f>
        <v/>
      </c>
      <c r="G4685" s="49" t="str">
        <f>IFERROR(VLOOKUP(E4685,'Condensed Specialty Crosswalk'!$A$2:$C$106,3,FALSE),"")</f>
        <v/>
      </c>
    </row>
    <row r="4686" spans="5:7" ht="15" customHeight="1">
      <c r="E4686" s="49" t="str">
        <f>IFERROR(VLOOKUP(D4686,'taxonomy map'!$A$1:$C$107,2,FALSE),"")</f>
        <v/>
      </c>
      <c r="F4686" s="49" t="str">
        <f>IFERROR(VLOOKUP(E4686,'Condensed Specialty Crosswalk'!$A$2:$C$106,2,FALSE),"")</f>
        <v/>
      </c>
      <c r="G4686" s="49" t="str">
        <f>IFERROR(VLOOKUP(E4686,'Condensed Specialty Crosswalk'!$A$2:$C$106,3,FALSE),"")</f>
        <v/>
      </c>
    </row>
    <row r="4687" spans="5:7" ht="15" customHeight="1">
      <c r="E4687" s="49" t="str">
        <f>IFERROR(VLOOKUP(D4687,'taxonomy map'!$A$1:$C$107,2,FALSE),"")</f>
        <v/>
      </c>
      <c r="F4687" s="49" t="str">
        <f>IFERROR(VLOOKUP(E4687,'Condensed Specialty Crosswalk'!$A$2:$C$106,2,FALSE),"")</f>
        <v/>
      </c>
      <c r="G4687" s="49" t="str">
        <f>IFERROR(VLOOKUP(E4687,'Condensed Specialty Crosswalk'!$A$2:$C$106,3,FALSE),"")</f>
        <v/>
      </c>
    </row>
    <row r="4688" spans="5:7" ht="15" customHeight="1">
      <c r="E4688" s="49" t="str">
        <f>IFERROR(VLOOKUP(D4688,'taxonomy map'!$A$1:$C$107,2,FALSE),"")</f>
        <v/>
      </c>
      <c r="F4688" s="49" t="str">
        <f>IFERROR(VLOOKUP(E4688,'Condensed Specialty Crosswalk'!$A$2:$C$106,2,FALSE),"")</f>
        <v/>
      </c>
      <c r="G4688" s="49" t="str">
        <f>IFERROR(VLOOKUP(E4688,'Condensed Specialty Crosswalk'!$A$2:$C$106,3,FALSE),"")</f>
        <v/>
      </c>
    </row>
    <row r="4689" spans="5:7" ht="15" customHeight="1">
      <c r="E4689" s="49" t="str">
        <f>IFERROR(VLOOKUP(D4689,'taxonomy map'!$A$1:$C$107,2,FALSE),"")</f>
        <v/>
      </c>
      <c r="F4689" s="49" t="str">
        <f>IFERROR(VLOOKUP(E4689,'Condensed Specialty Crosswalk'!$A$2:$C$106,2,FALSE),"")</f>
        <v/>
      </c>
      <c r="G4689" s="49" t="str">
        <f>IFERROR(VLOOKUP(E4689,'Condensed Specialty Crosswalk'!$A$2:$C$106,3,FALSE),"")</f>
        <v/>
      </c>
    </row>
    <row r="4690" spans="5:7" ht="15" customHeight="1">
      <c r="E4690" s="49" t="str">
        <f>IFERROR(VLOOKUP(D4690,'taxonomy map'!$A$1:$C$107,2,FALSE),"")</f>
        <v/>
      </c>
      <c r="F4690" s="49" t="str">
        <f>IFERROR(VLOOKUP(E4690,'Condensed Specialty Crosswalk'!$A$2:$C$106,2,FALSE),"")</f>
        <v/>
      </c>
      <c r="G4690" s="49" t="str">
        <f>IFERROR(VLOOKUP(E4690,'Condensed Specialty Crosswalk'!$A$2:$C$106,3,FALSE),"")</f>
        <v/>
      </c>
    </row>
    <row r="4691" spans="5:7" ht="15" customHeight="1">
      <c r="E4691" s="49" t="str">
        <f>IFERROR(VLOOKUP(D4691,'taxonomy map'!$A$1:$C$107,2,FALSE),"")</f>
        <v/>
      </c>
      <c r="F4691" s="49" t="str">
        <f>IFERROR(VLOOKUP(E4691,'Condensed Specialty Crosswalk'!$A$2:$C$106,2,FALSE),"")</f>
        <v/>
      </c>
      <c r="G4691" s="49" t="str">
        <f>IFERROR(VLOOKUP(E4691,'Condensed Specialty Crosswalk'!$A$2:$C$106,3,FALSE),"")</f>
        <v/>
      </c>
    </row>
    <row r="4692" spans="5:7" ht="15" customHeight="1">
      <c r="E4692" s="49" t="str">
        <f>IFERROR(VLOOKUP(D4692,'taxonomy map'!$A$1:$C$107,2,FALSE),"")</f>
        <v/>
      </c>
      <c r="F4692" s="49" t="str">
        <f>IFERROR(VLOOKUP(E4692,'Condensed Specialty Crosswalk'!$A$2:$C$106,2,FALSE),"")</f>
        <v/>
      </c>
      <c r="G4692" s="49" t="str">
        <f>IFERROR(VLOOKUP(E4692,'Condensed Specialty Crosswalk'!$A$2:$C$106,3,FALSE),"")</f>
        <v/>
      </c>
    </row>
    <row r="4693" spans="5:7" ht="15" customHeight="1">
      <c r="E4693" s="49" t="str">
        <f>IFERROR(VLOOKUP(D4693,'taxonomy map'!$A$1:$C$107,2,FALSE),"")</f>
        <v/>
      </c>
      <c r="F4693" s="49" t="str">
        <f>IFERROR(VLOOKUP(E4693,'Condensed Specialty Crosswalk'!$A$2:$C$106,2,FALSE),"")</f>
        <v/>
      </c>
      <c r="G4693" s="49" t="str">
        <f>IFERROR(VLOOKUP(E4693,'Condensed Specialty Crosswalk'!$A$2:$C$106,3,FALSE),"")</f>
        <v/>
      </c>
    </row>
    <row r="4694" spans="5:7" ht="15" customHeight="1">
      <c r="E4694" s="49" t="str">
        <f>IFERROR(VLOOKUP(D4694,'taxonomy map'!$A$1:$C$107,2,FALSE),"")</f>
        <v/>
      </c>
      <c r="F4694" s="49" t="str">
        <f>IFERROR(VLOOKUP(E4694,'Condensed Specialty Crosswalk'!$A$2:$C$106,2,FALSE),"")</f>
        <v/>
      </c>
      <c r="G4694" s="49" t="str">
        <f>IFERROR(VLOOKUP(E4694,'Condensed Specialty Crosswalk'!$A$2:$C$106,3,FALSE),"")</f>
        <v/>
      </c>
    </row>
    <row r="4695" spans="5:7" ht="15" customHeight="1">
      <c r="E4695" s="49" t="str">
        <f>IFERROR(VLOOKUP(D4695,'taxonomy map'!$A$1:$C$107,2,FALSE),"")</f>
        <v/>
      </c>
      <c r="F4695" s="49" t="str">
        <f>IFERROR(VLOOKUP(E4695,'Condensed Specialty Crosswalk'!$A$2:$C$106,2,FALSE),"")</f>
        <v/>
      </c>
      <c r="G4695" s="49" t="str">
        <f>IFERROR(VLOOKUP(E4695,'Condensed Specialty Crosswalk'!$A$2:$C$106,3,FALSE),"")</f>
        <v/>
      </c>
    </row>
    <row r="4696" spans="5:7" ht="15" customHeight="1">
      <c r="E4696" s="49" t="str">
        <f>IFERROR(VLOOKUP(D4696,'taxonomy map'!$A$1:$C$107,2,FALSE),"")</f>
        <v/>
      </c>
      <c r="F4696" s="49" t="str">
        <f>IFERROR(VLOOKUP(E4696,'Condensed Specialty Crosswalk'!$A$2:$C$106,2,FALSE),"")</f>
        <v/>
      </c>
      <c r="G4696" s="49" t="str">
        <f>IFERROR(VLOOKUP(E4696,'Condensed Specialty Crosswalk'!$A$2:$C$106,3,FALSE),"")</f>
        <v/>
      </c>
    </row>
    <row r="4697" spans="5:7" ht="15" customHeight="1">
      <c r="E4697" s="49" t="str">
        <f>IFERROR(VLOOKUP(D4697,'taxonomy map'!$A$1:$C$107,2,FALSE),"")</f>
        <v/>
      </c>
      <c r="F4697" s="49" t="str">
        <f>IFERROR(VLOOKUP(E4697,'Condensed Specialty Crosswalk'!$A$2:$C$106,2,FALSE),"")</f>
        <v/>
      </c>
      <c r="G4697" s="49" t="str">
        <f>IFERROR(VLOOKUP(E4697,'Condensed Specialty Crosswalk'!$A$2:$C$106,3,FALSE),"")</f>
        <v/>
      </c>
    </row>
    <row r="4698" spans="5:7" ht="15" customHeight="1">
      <c r="E4698" s="49" t="str">
        <f>IFERROR(VLOOKUP(D4698,'taxonomy map'!$A$1:$C$107,2,FALSE),"")</f>
        <v/>
      </c>
      <c r="F4698" s="49" t="str">
        <f>IFERROR(VLOOKUP(E4698,'Condensed Specialty Crosswalk'!$A$2:$C$106,2,FALSE),"")</f>
        <v/>
      </c>
      <c r="G4698" s="49" t="str">
        <f>IFERROR(VLOOKUP(E4698,'Condensed Specialty Crosswalk'!$A$2:$C$106,3,FALSE),"")</f>
        <v/>
      </c>
    </row>
    <row r="4699" spans="5:7" ht="15" customHeight="1">
      <c r="E4699" s="49" t="str">
        <f>IFERROR(VLOOKUP(D4699,'taxonomy map'!$A$1:$C$107,2,FALSE),"")</f>
        <v/>
      </c>
      <c r="F4699" s="49" t="str">
        <f>IFERROR(VLOOKUP(E4699,'Condensed Specialty Crosswalk'!$A$2:$C$106,2,FALSE),"")</f>
        <v/>
      </c>
      <c r="G4699" s="49" t="str">
        <f>IFERROR(VLOOKUP(E4699,'Condensed Specialty Crosswalk'!$A$2:$C$106,3,FALSE),"")</f>
        <v/>
      </c>
    </row>
    <row r="4700" spans="5:7" ht="15" customHeight="1">
      <c r="E4700" s="49" t="str">
        <f>IFERROR(VLOOKUP(D4700,'taxonomy map'!$A$1:$C$107,2,FALSE),"")</f>
        <v/>
      </c>
      <c r="F4700" s="49" t="str">
        <f>IFERROR(VLOOKUP(E4700,'Condensed Specialty Crosswalk'!$A$2:$C$106,2,FALSE),"")</f>
        <v/>
      </c>
      <c r="G4700" s="49" t="str">
        <f>IFERROR(VLOOKUP(E4700,'Condensed Specialty Crosswalk'!$A$2:$C$106,3,FALSE),"")</f>
        <v/>
      </c>
    </row>
    <row r="4701" spans="5:7" ht="15" customHeight="1">
      <c r="E4701" s="49" t="str">
        <f>IFERROR(VLOOKUP(D4701,'taxonomy map'!$A$1:$C$107,2,FALSE),"")</f>
        <v/>
      </c>
      <c r="F4701" s="49" t="str">
        <f>IFERROR(VLOOKUP(E4701,'Condensed Specialty Crosswalk'!$A$2:$C$106,2,FALSE),"")</f>
        <v/>
      </c>
      <c r="G4701" s="49" t="str">
        <f>IFERROR(VLOOKUP(E4701,'Condensed Specialty Crosswalk'!$A$2:$C$106,3,FALSE),"")</f>
        <v/>
      </c>
    </row>
    <row r="4702" spans="5:7" ht="15" customHeight="1">
      <c r="E4702" s="49" t="str">
        <f>IFERROR(VLOOKUP(D4702,'taxonomy map'!$A$1:$C$107,2,FALSE),"")</f>
        <v/>
      </c>
      <c r="F4702" s="49" t="str">
        <f>IFERROR(VLOOKUP(E4702,'Condensed Specialty Crosswalk'!$A$2:$C$106,2,FALSE),"")</f>
        <v/>
      </c>
      <c r="G4702" s="49" t="str">
        <f>IFERROR(VLOOKUP(E4702,'Condensed Specialty Crosswalk'!$A$2:$C$106,3,FALSE),"")</f>
        <v/>
      </c>
    </row>
    <row r="4703" spans="5:7" ht="15" customHeight="1">
      <c r="E4703" s="49" t="str">
        <f>IFERROR(VLOOKUP(D4703,'taxonomy map'!$A$1:$C$107,2,FALSE),"")</f>
        <v/>
      </c>
      <c r="F4703" s="49" t="str">
        <f>IFERROR(VLOOKUP(E4703,'Condensed Specialty Crosswalk'!$A$2:$C$106,2,FALSE),"")</f>
        <v/>
      </c>
      <c r="G4703" s="49" t="str">
        <f>IFERROR(VLOOKUP(E4703,'Condensed Specialty Crosswalk'!$A$2:$C$106,3,FALSE),"")</f>
        <v/>
      </c>
    </row>
    <row r="4704" spans="5:7" ht="15" customHeight="1">
      <c r="E4704" s="49" t="str">
        <f>IFERROR(VLOOKUP(D4704,'taxonomy map'!$A$1:$C$107,2,FALSE),"")</f>
        <v/>
      </c>
      <c r="F4704" s="49" t="str">
        <f>IFERROR(VLOOKUP(E4704,'Condensed Specialty Crosswalk'!$A$2:$C$106,2,FALSE),"")</f>
        <v/>
      </c>
      <c r="G4704" s="49" t="str">
        <f>IFERROR(VLOOKUP(E4704,'Condensed Specialty Crosswalk'!$A$2:$C$106,3,FALSE),"")</f>
        <v/>
      </c>
    </row>
    <row r="4705" spans="5:7" ht="15" customHeight="1">
      <c r="E4705" s="49" t="str">
        <f>IFERROR(VLOOKUP(D4705,'taxonomy map'!$A$1:$C$107,2,FALSE),"")</f>
        <v/>
      </c>
      <c r="F4705" s="49" t="str">
        <f>IFERROR(VLOOKUP(E4705,'Condensed Specialty Crosswalk'!$A$2:$C$106,2,FALSE),"")</f>
        <v/>
      </c>
      <c r="G4705" s="49" t="str">
        <f>IFERROR(VLOOKUP(E4705,'Condensed Specialty Crosswalk'!$A$2:$C$106,3,FALSE),"")</f>
        <v/>
      </c>
    </row>
    <row r="4706" spans="5:7" ht="15" customHeight="1">
      <c r="E4706" s="49" t="str">
        <f>IFERROR(VLOOKUP(D4706,'taxonomy map'!$A$1:$C$107,2,FALSE),"")</f>
        <v/>
      </c>
      <c r="F4706" s="49" t="str">
        <f>IFERROR(VLOOKUP(E4706,'Condensed Specialty Crosswalk'!$A$2:$C$106,2,FALSE),"")</f>
        <v/>
      </c>
      <c r="G4706" s="49" t="str">
        <f>IFERROR(VLOOKUP(E4706,'Condensed Specialty Crosswalk'!$A$2:$C$106,3,FALSE),"")</f>
        <v/>
      </c>
    </row>
    <row r="4707" spans="5:7" ht="15" customHeight="1">
      <c r="E4707" s="49" t="str">
        <f>IFERROR(VLOOKUP(D4707,'taxonomy map'!$A$1:$C$107,2,FALSE),"")</f>
        <v/>
      </c>
      <c r="F4707" s="49" t="str">
        <f>IFERROR(VLOOKUP(E4707,'Condensed Specialty Crosswalk'!$A$2:$C$106,2,FALSE),"")</f>
        <v/>
      </c>
      <c r="G4707" s="49" t="str">
        <f>IFERROR(VLOOKUP(E4707,'Condensed Specialty Crosswalk'!$A$2:$C$106,3,FALSE),"")</f>
        <v/>
      </c>
    </row>
    <row r="4708" spans="5:7" ht="15" customHeight="1">
      <c r="E4708" s="49" t="str">
        <f>IFERROR(VLOOKUP(D4708,'taxonomy map'!$A$1:$C$107,2,FALSE),"")</f>
        <v/>
      </c>
      <c r="F4708" s="49" t="str">
        <f>IFERROR(VLOOKUP(E4708,'Condensed Specialty Crosswalk'!$A$2:$C$106,2,FALSE),"")</f>
        <v/>
      </c>
      <c r="G4708" s="49" t="str">
        <f>IFERROR(VLOOKUP(E4708,'Condensed Specialty Crosswalk'!$A$2:$C$106,3,FALSE),"")</f>
        <v/>
      </c>
    </row>
    <row r="4709" spans="5:7" ht="15" customHeight="1">
      <c r="E4709" s="49" t="str">
        <f>IFERROR(VLOOKUP(D4709,'taxonomy map'!$A$1:$C$107,2,FALSE),"")</f>
        <v/>
      </c>
      <c r="F4709" s="49" t="str">
        <f>IFERROR(VLOOKUP(E4709,'Condensed Specialty Crosswalk'!$A$2:$C$106,2,FALSE),"")</f>
        <v/>
      </c>
      <c r="G4709" s="49" t="str">
        <f>IFERROR(VLOOKUP(E4709,'Condensed Specialty Crosswalk'!$A$2:$C$106,3,FALSE),"")</f>
        <v/>
      </c>
    </row>
    <row r="4710" spans="5:7" ht="15" customHeight="1">
      <c r="E4710" s="49" t="str">
        <f>IFERROR(VLOOKUP(D4710,'taxonomy map'!$A$1:$C$107,2,FALSE),"")</f>
        <v/>
      </c>
      <c r="F4710" s="49" t="str">
        <f>IFERROR(VLOOKUP(E4710,'Condensed Specialty Crosswalk'!$A$2:$C$106,2,FALSE),"")</f>
        <v/>
      </c>
      <c r="G4710" s="49" t="str">
        <f>IFERROR(VLOOKUP(E4710,'Condensed Specialty Crosswalk'!$A$2:$C$106,3,FALSE),"")</f>
        <v/>
      </c>
    </row>
    <row r="4711" spans="5:7" ht="15" customHeight="1">
      <c r="E4711" s="49" t="str">
        <f>IFERROR(VLOOKUP(D4711,'taxonomy map'!$A$1:$C$107,2,FALSE),"")</f>
        <v/>
      </c>
      <c r="F4711" s="49" t="str">
        <f>IFERROR(VLOOKUP(E4711,'Condensed Specialty Crosswalk'!$A$2:$C$106,2,FALSE),"")</f>
        <v/>
      </c>
      <c r="G4711" s="49" t="str">
        <f>IFERROR(VLOOKUP(E4711,'Condensed Specialty Crosswalk'!$A$2:$C$106,3,FALSE),"")</f>
        <v/>
      </c>
    </row>
    <row r="4712" spans="5:7" ht="15" customHeight="1">
      <c r="E4712" s="49" t="str">
        <f>IFERROR(VLOOKUP(D4712,'taxonomy map'!$A$1:$C$107,2,FALSE),"")</f>
        <v/>
      </c>
      <c r="F4712" s="49" t="str">
        <f>IFERROR(VLOOKUP(E4712,'Condensed Specialty Crosswalk'!$A$2:$C$106,2,FALSE),"")</f>
        <v/>
      </c>
      <c r="G4712" s="49" t="str">
        <f>IFERROR(VLOOKUP(E4712,'Condensed Specialty Crosswalk'!$A$2:$C$106,3,FALSE),"")</f>
        <v/>
      </c>
    </row>
    <row r="4713" spans="5:7" ht="15" customHeight="1">
      <c r="E4713" s="49" t="str">
        <f>IFERROR(VLOOKUP(D4713,'taxonomy map'!$A$1:$C$107,2,FALSE),"")</f>
        <v/>
      </c>
      <c r="F4713" s="49" t="str">
        <f>IFERROR(VLOOKUP(E4713,'Condensed Specialty Crosswalk'!$A$2:$C$106,2,FALSE),"")</f>
        <v/>
      </c>
      <c r="G4713" s="49" t="str">
        <f>IFERROR(VLOOKUP(E4713,'Condensed Specialty Crosswalk'!$A$2:$C$106,3,FALSE),"")</f>
        <v/>
      </c>
    </row>
    <row r="4714" spans="5:7" ht="15" customHeight="1">
      <c r="E4714" s="49" t="str">
        <f>IFERROR(VLOOKUP(D4714,'taxonomy map'!$A$1:$C$107,2,FALSE),"")</f>
        <v/>
      </c>
      <c r="F4714" s="49" t="str">
        <f>IFERROR(VLOOKUP(E4714,'Condensed Specialty Crosswalk'!$A$2:$C$106,2,FALSE),"")</f>
        <v/>
      </c>
      <c r="G4714" s="49" t="str">
        <f>IFERROR(VLOOKUP(E4714,'Condensed Specialty Crosswalk'!$A$2:$C$106,3,FALSE),"")</f>
        <v/>
      </c>
    </row>
    <row r="4715" spans="5:7" ht="15" customHeight="1">
      <c r="E4715" s="49" t="str">
        <f>IFERROR(VLOOKUP(D4715,'taxonomy map'!$A$1:$C$107,2,FALSE),"")</f>
        <v/>
      </c>
      <c r="F4715" s="49" t="str">
        <f>IFERROR(VLOOKUP(E4715,'Condensed Specialty Crosswalk'!$A$2:$C$106,2,FALSE),"")</f>
        <v/>
      </c>
      <c r="G4715" s="49" t="str">
        <f>IFERROR(VLOOKUP(E4715,'Condensed Specialty Crosswalk'!$A$2:$C$106,3,FALSE),"")</f>
        <v/>
      </c>
    </row>
    <row r="4716" spans="5:7" ht="15" customHeight="1">
      <c r="E4716" s="49" t="str">
        <f>IFERROR(VLOOKUP(D4716,'taxonomy map'!$A$1:$C$107,2,FALSE),"")</f>
        <v/>
      </c>
      <c r="F4716" s="49" t="str">
        <f>IFERROR(VLOOKUP(E4716,'Condensed Specialty Crosswalk'!$A$2:$C$106,2,FALSE),"")</f>
        <v/>
      </c>
      <c r="G4716" s="49" t="str">
        <f>IFERROR(VLOOKUP(E4716,'Condensed Specialty Crosswalk'!$A$2:$C$106,3,FALSE),"")</f>
        <v/>
      </c>
    </row>
    <row r="4717" spans="5:7" ht="15" customHeight="1">
      <c r="E4717" s="49" t="str">
        <f>IFERROR(VLOOKUP(D4717,'taxonomy map'!$A$1:$C$107,2,FALSE),"")</f>
        <v/>
      </c>
      <c r="F4717" s="49" t="str">
        <f>IFERROR(VLOOKUP(E4717,'Condensed Specialty Crosswalk'!$A$2:$C$106,2,FALSE),"")</f>
        <v/>
      </c>
      <c r="G4717" s="49" t="str">
        <f>IFERROR(VLOOKUP(E4717,'Condensed Specialty Crosswalk'!$A$2:$C$106,3,FALSE),"")</f>
        <v/>
      </c>
    </row>
    <row r="4718" spans="5:7" ht="15" customHeight="1">
      <c r="E4718" s="49" t="str">
        <f>IFERROR(VLOOKUP(D4718,'taxonomy map'!$A$1:$C$107,2,FALSE),"")</f>
        <v/>
      </c>
      <c r="F4718" s="49" t="str">
        <f>IFERROR(VLOOKUP(E4718,'Condensed Specialty Crosswalk'!$A$2:$C$106,2,FALSE),"")</f>
        <v/>
      </c>
      <c r="G4718" s="49" t="str">
        <f>IFERROR(VLOOKUP(E4718,'Condensed Specialty Crosswalk'!$A$2:$C$106,3,FALSE),"")</f>
        <v/>
      </c>
    </row>
    <row r="4719" spans="5:7" ht="15" customHeight="1">
      <c r="E4719" s="49" t="str">
        <f>IFERROR(VLOOKUP(D4719,'taxonomy map'!$A$1:$C$107,2,FALSE),"")</f>
        <v/>
      </c>
      <c r="F4719" s="49" t="str">
        <f>IFERROR(VLOOKUP(E4719,'Condensed Specialty Crosswalk'!$A$2:$C$106,2,FALSE),"")</f>
        <v/>
      </c>
      <c r="G4719" s="49" t="str">
        <f>IFERROR(VLOOKUP(E4719,'Condensed Specialty Crosswalk'!$A$2:$C$106,3,FALSE),"")</f>
        <v/>
      </c>
    </row>
    <row r="4720" spans="5:7" ht="15" customHeight="1">
      <c r="E4720" s="49" t="str">
        <f>IFERROR(VLOOKUP(D4720,'taxonomy map'!$A$1:$C$107,2,FALSE),"")</f>
        <v/>
      </c>
      <c r="F4720" s="49" t="str">
        <f>IFERROR(VLOOKUP(E4720,'Condensed Specialty Crosswalk'!$A$2:$C$106,2,FALSE),"")</f>
        <v/>
      </c>
      <c r="G4720" s="49" t="str">
        <f>IFERROR(VLOOKUP(E4720,'Condensed Specialty Crosswalk'!$A$2:$C$106,3,FALSE),"")</f>
        <v/>
      </c>
    </row>
    <row r="4721" spans="5:7" ht="15" customHeight="1">
      <c r="E4721" s="49" t="str">
        <f>IFERROR(VLOOKUP(D4721,'taxonomy map'!$A$1:$C$107,2,FALSE),"")</f>
        <v/>
      </c>
      <c r="F4721" s="49" t="str">
        <f>IFERROR(VLOOKUP(E4721,'Condensed Specialty Crosswalk'!$A$2:$C$106,2,FALSE),"")</f>
        <v/>
      </c>
      <c r="G4721" s="49" t="str">
        <f>IFERROR(VLOOKUP(E4721,'Condensed Specialty Crosswalk'!$A$2:$C$106,3,FALSE),"")</f>
        <v/>
      </c>
    </row>
    <row r="4722" spans="5:7" ht="15" customHeight="1">
      <c r="E4722" s="49" t="str">
        <f>IFERROR(VLOOKUP(D4722,'taxonomy map'!$A$1:$C$107,2,FALSE),"")</f>
        <v/>
      </c>
      <c r="F4722" s="49" t="str">
        <f>IFERROR(VLOOKUP(E4722,'Condensed Specialty Crosswalk'!$A$2:$C$106,2,FALSE),"")</f>
        <v/>
      </c>
      <c r="G4722" s="49" t="str">
        <f>IFERROR(VLOOKUP(E4722,'Condensed Specialty Crosswalk'!$A$2:$C$106,3,FALSE),"")</f>
        <v/>
      </c>
    </row>
    <row r="4723" spans="5:7" ht="15" customHeight="1">
      <c r="E4723" s="49" t="str">
        <f>IFERROR(VLOOKUP(D4723,'taxonomy map'!$A$1:$C$107,2,FALSE),"")</f>
        <v/>
      </c>
      <c r="F4723" s="49" t="str">
        <f>IFERROR(VLOOKUP(E4723,'Condensed Specialty Crosswalk'!$A$2:$C$106,2,FALSE),"")</f>
        <v/>
      </c>
      <c r="G4723" s="49" t="str">
        <f>IFERROR(VLOOKUP(E4723,'Condensed Specialty Crosswalk'!$A$2:$C$106,3,FALSE),"")</f>
        <v/>
      </c>
    </row>
    <row r="4724" spans="5:7" ht="15" customHeight="1">
      <c r="E4724" s="49" t="str">
        <f>IFERROR(VLOOKUP(D4724,'taxonomy map'!$A$1:$C$107,2,FALSE),"")</f>
        <v/>
      </c>
      <c r="F4724" s="49" t="str">
        <f>IFERROR(VLOOKUP(E4724,'Condensed Specialty Crosswalk'!$A$2:$C$106,2,FALSE),"")</f>
        <v/>
      </c>
      <c r="G4724" s="49" t="str">
        <f>IFERROR(VLOOKUP(E4724,'Condensed Specialty Crosswalk'!$A$2:$C$106,3,FALSE),"")</f>
        <v/>
      </c>
    </row>
    <row r="4725" spans="5:7" ht="15" customHeight="1">
      <c r="E4725" s="49" t="str">
        <f>IFERROR(VLOOKUP(D4725,'taxonomy map'!$A$1:$C$107,2,FALSE),"")</f>
        <v/>
      </c>
      <c r="F4725" s="49" t="str">
        <f>IFERROR(VLOOKUP(E4725,'Condensed Specialty Crosswalk'!$A$2:$C$106,2,FALSE),"")</f>
        <v/>
      </c>
      <c r="G4725" s="49" t="str">
        <f>IFERROR(VLOOKUP(E4725,'Condensed Specialty Crosswalk'!$A$2:$C$106,3,FALSE),"")</f>
        <v/>
      </c>
    </row>
    <row r="4726" spans="5:7" ht="15" customHeight="1">
      <c r="E4726" s="49" t="str">
        <f>IFERROR(VLOOKUP(D4726,'taxonomy map'!$A$1:$C$107,2,FALSE),"")</f>
        <v/>
      </c>
      <c r="F4726" s="49" t="str">
        <f>IFERROR(VLOOKUP(E4726,'Condensed Specialty Crosswalk'!$A$2:$C$106,2,FALSE),"")</f>
        <v/>
      </c>
      <c r="G4726" s="49" t="str">
        <f>IFERROR(VLOOKUP(E4726,'Condensed Specialty Crosswalk'!$A$2:$C$106,3,FALSE),"")</f>
        <v/>
      </c>
    </row>
    <row r="4727" spans="5:7" ht="15" customHeight="1">
      <c r="E4727" s="49" t="str">
        <f>IFERROR(VLOOKUP(D4727,'taxonomy map'!$A$1:$C$107,2,FALSE),"")</f>
        <v/>
      </c>
      <c r="F4727" s="49" t="str">
        <f>IFERROR(VLOOKUP(E4727,'Condensed Specialty Crosswalk'!$A$2:$C$106,2,FALSE),"")</f>
        <v/>
      </c>
      <c r="G4727" s="49" t="str">
        <f>IFERROR(VLOOKUP(E4727,'Condensed Specialty Crosswalk'!$A$2:$C$106,3,FALSE),"")</f>
        <v/>
      </c>
    </row>
    <row r="4728" spans="5:7" ht="15" customHeight="1">
      <c r="E4728" s="49" t="str">
        <f>IFERROR(VLOOKUP(D4728,'taxonomy map'!$A$1:$C$107,2,FALSE),"")</f>
        <v/>
      </c>
      <c r="F4728" s="49" t="str">
        <f>IFERROR(VLOOKUP(E4728,'Condensed Specialty Crosswalk'!$A$2:$C$106,2,FALSE),"")</f>
        <v/>
      </c>
      <c r="G4728" s="49" t="str">
        <f>IFERROR(VLOOKUP(E4728,'Condensed Specialty Crosswalk'!$A$2:$C$106,3,FALSE),"")</f>
        <v/>
      </c>
    </row>
    <row r="4729" spans="5:7" ht="15" customHeight="1">
      <c r="E4729" s="49" t="str">
        <f>IFERROR(VLOOKUP(D4729,'taxonomy map'!$A$1:$C$107,2,FALSE),"")</f>
        <v/>
      </c>
      <c r="F4729" s="49" t="str">
        <f>IFERROR(VLOOKUP(E4729,'Condensed Specialty Crosswalk'!$A$2:$C$106,2,FALSE),"")</f>
        <v/>
      </c>
      <c r="G4729" s="49" t="str">
        <f>IFERROR(VLOOKUP(E4729,'Condensed Specialty Crosswalk'!$A$2:$C$106,3,FALSE),"")</f>
        <v/>
      </c>
    </row>
    <row r="4730" spans="5:7" ht="15" customHeight="1">
      <c r="E4730" s="49" t="str">
        <f>IFERROR(VLOOKUP(D4730,'taxonomy map'!$A$1:$C$107,2,FALSE),"")</f>
        <v/>
      </c>
      <c r="F4730" s="49" t="str">
        <f>IFERROR(VLOOKUP(E4730,'Condensed Specialty Crosswalk'!$A$2:$C$106,2,FALSE),"")</f>
        <v/>
      </c>
      <c r="G4730" s="49" t="str">
        <f>IFERROR(VLOOKUP(E4730,'Condensed Specialty Crosswalk'!$A$2:$C$106,3,FALSE),"")</f>
        <v/>
      </c>
    </row>
    <row r="4731" spans="5:7" ht="15" customHeight="1">
      <c r="E4731" s="49" t="str">
        <f>IFERROR(VLOOKUP(D4731,'taxonomy map'!$A$1:$C$107,2,FALSE),"")</f>
        <v/>
      </c>
      <c r="F4731" s="49" t="str">
        <f>IFERROR(VLOOKUP(E4731,'Condensed Specialty Crosswalk'!$A$2:$C$106,2,FALSE),"")</f>
        <v/>
      </c>
      <c r="G4731" s="49" t="str">
        <f>IFERROR(VLOOKUP(E4731,'Condensed Specialty Crosswalk'!$A$2:$C$106,3,FALSE),"")</f>
        <v/>
      </c>
    </row>
    <row r="4732" spans="5:7" ht="15" customHeight="1">
      <c r="E4732" s="49" t="str">
        <f>IFERROR(VLOOKUP(D4732,'taxonomy map'!$A$1:$C$107,2,FALSE),"")</f>
        <v/>
      </c>
      <c r="F4732" s="49" t="str">
        <f>IFERROR(VLOOKUP(E4732,'Condensed Specialty Crosswalk'!$A$2:$C$106,2,FALSE),"")</f>
        <v/>
      </c>
      <c r="G4732" s="49" t="str">
        <f>IFERROR(VLOOKUP(E4732,'Condensed Specialty Crosswalk'!$A$2:$C$106,3,FALSE),"")</f>
        <v/>
      </c>
    </row>
    <row r="4733" spans="5:7" ht="15" customHeight="1">
      <c r="E4733" s="49" t="str">
        <f>IFERROR(VLOOKUP(D4733,'taxonomy map'!$A$1:$C$107,2,FALSE),"")</f>
        <v/>
      </c>
      <c r="F4733" s="49" t="str">
        <f>IFERROR(VLOOKUP(E4733,'Condensed Specialty Crosswalk'!$A$2:$C$106,2,FALSE),"")</f>
        <v/>
      </c>
      <c r="G4733" s="49" t="str">
        <f>IFERROR(VLOOKUP(E4733,'Condensed Specialty Crosswalk'!$A$2:$C$106,3,FALSE),"")</f>
        <v/>
      </c>
    </row>
    <row r="4734" spans="5:7" ht="15" customHeight="1">
      <c r="E4734" s="49" t="str">
        <f>IFERROR(VLOOKUP(D4734,'taxonomy map'!$A$1:$C$107,2,FALSE),"")</f>
        <v/>
      </c>
      <c r="F4734" s="49" t="str">
        <f>IFERROR(VLOOKUP(E4734,'Condensed Specialty Crosswalk'!$A$2:$C$106,2,FALSE),"")</f>
        <v/>
      </c>
      <c r="G4734" s="49" t="str">
        <f>IFERROR(VLOOKUP(E4734,'Condensed Specialty Crosswalk'!$A$2:$C$106,3,FALSE),"")</f>
        <v/>
      </c>
    </row>
    <row r="4735" spans="5:7" ht="15" customHeight="1">
      <c r="E4735" s="49" t="str">
        <f>IFERROR(VLOOKUP(D4735,'taxonomy map'!$A$1:$C$107,2,FALSE),"")</f>
        <v/>
      </c>
      <c r="F4735" s="49" t="str">
        <f>IFERROR(VLOOKUP(E4735,'Condensed Specialty Crosswalk'!$A$2:$C$106,2,FALSE),"")</f>
        <v/>
      </c>
      <c r="G4735" s="49" t="str">
        <f>IFERROR(VLOOKUP(E4735,'Condensed Specialty Crosswalk'!$A$2:$C$106,3,FALSE),"")</f>
        <v/>
      </c>
    </row>
    <row r="4736" spans="5:7" ht="15" customHeight="1">
      <c r="E4736" s="49" t="str">
        <f>IFERROR(VLOOKUP(D4736,'taxonomy map'!$A$1:$C$107,2,FALSE),"")</f>
        <v/>
      </c>
      <c r="F4736" s="49" t="str">
        <f>IFERROR(VLOOKUP(E4736,'Condensed Specialty Crosswalk'!$A$2:$C$106,2,FALSE),"")</f>
        <v/>
      </c>
      <c r="G4736" s="49" t="str">
        <f>IFERROR(VLOOKUP(E4736,'Condensed Specialty Crosswalk'!$A$2:$C$106,3,FALSE),"")</f>
        <v/>
      </c>
    </row>
    <row r="4737" spans="5:7" ht="15" customHeight="1">
      <c r="E4737" s="49" t="str">
        <f>IFERROR(VLOOKUP(D4737,'taxonomy map'!$A$1:$C$107,2,FALSE),"")</f>
        <v/>
      </c>
      <c r="F4737" s="49" t="str">
        <f>IFERROR(VLOOKUP(E4737,'Condensed Specialty Crosswalk'!$A$2:$C$106,2,FALSE),"")</f>
        <v/>
      </c>
      <c r="G4737" s="49" t="str">
        <f>IFERROR(VLOOKUP(E4737,'Condensed Specialty Crosswalk'!$A$2:$C$106,3,FALSE),"")</f>
        <v/>
      </c>
    </row>
    <row r="4738" spans="5:7" ht="15" customHeight="1">
      <c r="E4738" s="49" t="str">
        <f>IFERROR(VLOOKUP(D4738,'taxonomy map'!$A$1:$C$107,2,FALSE),"")</f>
        <v/>
      </c>
      <c r="F4738" s="49" t="str">
        <f>IFERROR(VLOOKUP(E4738,'Condensed Specialty Crosswalk'!$A$2:$C$106,2,FALSE),"")</f>
        <v/>
      </c>
      <c r="G4738" s="49" t="str">
        <f>IFERROR(VLOOKUP(E4738,'Condensed Specialty Crosswalk'!$A$2:$C$106,3,FALSE),"")</f>
        <v/>
      </c>
    </row>
    <row r="4739" spans="5:7" ht="15" customHeight="1">
      <c r="E4739" s="49" t="str">
        <f>IFERROR(VLOOKUP(D4739,'taxonomy map'!$A$1:$C$107,2,FALSE),"")</f>
        <v/>
      </c>
      <c r="F4739" s="49" t="str">
        <f>IFERROR(VLOOKUP(E4739,'Condensed Specialty Crosswalk'!$A$2:$C$106,2,FALSE),"")</f>
        <v/>
      </c>
      <c r="G4739" s="49" t="str">
        <f>IFERROR(VLOOKUP(E4739,'Condensed Specialty Crosswalk'!$A$2:$C$106,3,FALSE),"")</f>
        <v/>
      </c>
    </row>
    <row r="4740" spans="5:7" ht="15" customHeight="1">
      <c r="E4740" s="49" t="str">
        <f>IFERROR(VLOOKUP(D4740,'taxonomy map'!$A$1:$C$107,2,FALSE),"")</f>
        <v/>
      </c>
      <c r="F4740" s="49" t="str">
        <f>IFERROR(VLOOKUP(E4740,'Condensed Specialty Crosswalk'!$A$2:$C$106,2,FALSE),"")</f>
        <v/>
      </c>
      <c r="G4740" s="49" t="str">
        <f>IFERROR(VLOOKUP(E4740,'Condensed Specialty Crosswalk'!$A$2:$C$106,3,FALSE),"")</f>
        <v/>
      </c>
    </row>
    <row r="4741" spans="5:7" ht="15" customHeight="1">
      <c r="E4741" s="49" t="str">
        <f>IFERROR(VLOOKUP(D4741,'taxonomy map'!$A$1:$C$107,2,FALSE),"")</f>
        <v/>
      </c>
      <c r="F4741" s="49" t="str">
        <f>IFERROR(VLOOKUP(E4741,'Condensed Specialty Crosswalk'!$A$2:$C$106,2,FALSE),"")</f>
        <v/>
      </c>
      <c r="G4741" s="49" t="str">
        <f>IFERROR(VLOOKUP(E4741,'Condensed Specialty Crosswalk'!$A$2:$C$106,3,FALSE),"")</f>
        <v/>
      </c>
    </row>
    <row r="4742" spans="5:7" ht="15" customHeight="1">
      <c r="E4742" s="49" t="str">
        <f>IFERROR(VLOOKUP(D4742,'taxonomy map'!$A$1:$C$107,2,FALSE),"")</f>
        <v/>
      </c>
      <c r="F4742" s="49" t="str">
        <f>IFERROR(VLOOKUP(E4742,'Condensed Specialty Crosswalk'!$A$2:$C$106,2,FALSE),"")</f>
        <v/>
      </c>
      <c r="G4742" s="49" t="str">
        <f>IFERROR(VLOOKUP(E4742,'Condensed Specialty Crosswalk'!$A$2:$C$106,3,FALSE),"")</f>
        <v/>
      </c>
    </row>
    <row r="4743" spans="5:7" ht="15" customHeight="1">
      <c r="E4743" s="49" t="str">
        <f>IFERROR(VLOOKUP(D4743,'taxonomy map'!$A$1:$C$107,2,FALSE),"")</f>
        <v/>
      </c>
      <c r="F4743" s="49" t="str">
        <f>IFERROR(VLOOKUP(E4743,'Condensed Specialty Crosswalk'!$A$2:$C$106,2,FALSE),"")</f>
        <v/>
      </c>
      <c r="G4743" s="49" t="str">
        <f>IFERROR(VLOOKUP(E4743,'Condensed Specialty Crosswalk'!$A$2:$C$106,3,FALSE),"")</f>
        <v/>
      </c>
    </row>
    <row r="4744" spans="5:7" ht="15" customHeight="1">
      <c r="E4744" s="49" t="str">
        <f>IFERROR(VLOOKUP(D4744,'taxonomy map'!$A$1:$C$107,2,FALSE),"")</f>
        <v/>
      </c>
      <c r="F4744" s="49" t="str">
        <f>IFERROR(VLOOKUP(E4744,'Condensed Specialty Crosswalk'!$A$2:$C$106,2,FALSE),"")</f>
        <v/>
      </c>
      <c r="G4744" s="49" t="str">
        <f>IFERROR(VLOOKUP(E4744,'Condensed Specialty Crosswalk'!$A$2:$C$106,3,FALSE),"")</f>
        <v/>
      </c>
    </row>
    <row r="4745" spans="5:7" ht="15" customHeight="1">
      <c r="E4745" s="49" t="str">
        <f>IFERROR(VLOOKUP(D4745,'taxonomy map'!$A$1:$C$107,2,FALSE),"")</f>
        <v/>
      </c>
      <c r="F4745" s="49" t="str">
        <f>IFERROR(VLOOKUP(E4745,'Condensed Specialty Crosswalk'!$A$2:$C$106,2,FALSE),"")</f>
        <v/>
      </c>
      <c r="G4745" s="49" t="str">
        <f>IFERROR(VLOOKUP(E4745,'Condensed Specialty Crosswalk'!$A$2:$C$106,3,FALSE),"")</f>
        <v/>
      </c>
    </row>
    <row r="4746" spans="5:7" ht="15" customHeight="1">
      <c r="E4746" s="49" t="str">
        <f>IFERROR(VLOOKUP(D4746,'taxonomy map'!$A$1:$C$107,2,FALSE),"")</f>
        <v/>
      </c>
      <c r="F4746" s="49" t="str">
        <f>IFERROR(VLOOKUP(E4746,'Condensed Specialty Crosswalk'!$A$2:$C$106,2,FALSE),"")</f>
        <v/>
      </c>
      <c r="G4746" s="49" t="str">
        <f>IFERROR(VLOOKUP(E4746,'Condensed Specialty Crosswalk'!$A$2:$C$106,3,FALSE),"")</f>
        <v/>
      </c>
    </row>
    <row r="4747" spans="5:7" ht="15" customHeight="1">
      <c r="E4747" s="49" t="str">
        <f>IFERROR(VLOOKUP(D4747,'taxonomy map'!$A$1:$C$107,2,FALSE),"")</f>
        <v/>
      </c>
      <c r="F4747" s="49" t="str">
        <f>IFERROR(VLOOKUP(E4747,'Condensed Specialty Crosswalk'!$A$2:$C$106,2,FALSE),"")</f>
        <v/>
      </c>
      <c r="G4747" s="49" t="str">
        <f>IFERROR(VLOOKUP(E4747,'Condensed Specialty Crosswalk'!$A$2:$C$106,3,FALSE),"")</f>
        <v/>
      </c>
    </row>
    <row r="4748" spans="5:7" ht="15" customHeight="1">
      <c r="E4748" s="49" t="str">
        <f>IFERROR(VLOOKUP(D4748,'taxonomy map'!$A$1:$C$107,2,FALSE),"")</f>
        <v/>
      </c>
      <c r="F4748" s="49" t="str">
        <f>IFERROR(VLOOKUP(E4748,'Condensed Specialty Crosswalk'!$A$2:$C$106,2,FALSE),"")</f>
        <v/>
      </c>
      <c r="G4748" s="49" t="str">
        <f>IFERROR(VLOOKUP(E4748,'Condensed Specialty Crosswalk'!$A$2:$C$106,3,FALSE),"")</f>
        <v/>
      </c>
    </row>
    <row r="4749" spans="5:7" ht="15" customHeight="1">
      <c r="E4749" s="49" t="str">
        <f>IFERROR(VLOOKUP(D4749,'taxonomy map'!$A$1:$C$107,2,FALSE),"")</f>
        <v/>
      </c>
      <c r="F4749" s="49" t="str">
        <f>IFERROR(VLOOKUP(E4749,'Condensed Specialty Crosswalk'!$A$2:$C$106,2,FALSE),"")</f>
        <v/>
      </c>
      <c r="G4749" s="49" t="str">
        <f>IFERROR(VLOOKUP(E4749,'Condensed Specialty Crosswalk'!$A$2:$C$106,3,FALSE),"")</f>
        <v/>
      </c>
    </row>
    <row r="4750" spans="5:7" ht="15" customHeight="1">
      <c r="E4750" s="49" t="str">
        <f>IFERROR(VLOOKUP(D4750,'taxonomy map'!$A$1:$C$107,2,FALSE),"")</f>
        <v/>
      </c>
      <c r="F4750" s="49" t="str">
        <f>IFERROR(VLOOKUP(E4750,'Condensed Specialty Crosswalk'!$A$2:$C$106,2,FALSE),"")</f>
        <v/>
      </c>
      <c r="G4750" s="49" t="str">
        <f>IFERROR(VLOOKUP(E4750,'Condensed Specialty Crosswalk'!$A$2:$C$106,3,FALSE),"")</f>
        <v/>
      </c>
    </row>
    <row r="4751" spans="5:7" ht="15" customHeight="1">
      <c r="E4751" s="49" t="str">
        <f>IFERROR(VLOOKUP(D4751,'taxonomy map'!$A$1:$C$107,2,FALSE),"")</f>
        <v/>
      </c>
      <c r="F4751" s="49" t="str">
        <f>IFERROR(VLOOKUP(E4751,'Condensed Specialty Crosswalk'!$A$2:$C$106,2,FALSE),"")</f>
        <v/>
      </c>
      <c r="G4751" s="49" t="str">
        <f>IFERROR(VLOOKUP(E4751,'Condensed Specialty Crosswalk'!$A$2:$C$106,3,FALSE),"")</f>
        <v/>
      </c>
    </row>
    <row r="4752" spans="5:7" ht="15" customHeight="1">
      <c r="E4752" s="49" t="str">
        <f>IFERROR(VLOOKUP(D4752,'taxonomy map'!$A$1:$C$107,2,FALSE),"")</f>
        <v/>
      </c>
      <c r="F4752" s="49" t="str">
        <f>IFERROR(VLOOKUP(E4752,'Condensed Specialty Crosswalk'!$A$2:$C$106,2,FALSE),"")</f>
        <v/>
      </c>
      <c r="G4752" s="49" t="str">
        <f>IFERROR(VLOOKUP(E4752,'Condensed Specialty Crosswalk'!$A$2:$C$106,3,FALSE),"")</f>
        <v/>
      </c>
    </row>
    <row r="4753" spans="5:7" ht="15" customHeight="1">
      <c r="E4753" s="49" t="str">
        <f>IFERROR(VLOOKUP(D4753,'taxonomy map'!$A$1:$C$107,2,FALSE),"")</f>
        <v/>
      </c>
      <c r="F4753" s="49" t="str">
        <f>IFERROR(VLOOKUP(E4753,'Condensed Specialty Crosswalk'!$A$2:$C$106,2,FALSE),"")</f>
        <v/>
      </c>
      <c r="G4753" s="49" t="str">
        <f>IFERROR(VLOOKUP(E4753,'Condensed Specialty Crosswalk'!$A$2:$C$106,3,FALSE),"")</f>
        <v/>
      </c>
    </row>
    <row r="4754" spans="5:7" ht="15" customHeight="1">
      <c r="E4754" s="49" t="str">
        <f>IFERROR(VLOOKUP(D4754,'taxonomy map'!$A$1:$C$107,2,FALSE),"")</f>
        <v/>
      </c>
      <c r="F4754" s="49" t="str">
        <f>IFERROR(VLOOKUP(E4754,'Condensed Specialty Crosswalk'!$A$2:$C$106,2,FALSE),"")</f>
        <v/>
      </c>
      <c r="G4754" s="49" t="str">
        <f>IFERROR(VLOOKUP(E4754,'Condensed Specialty Crosswalk'!$A$2:$C$106,3,FALSE),"")</f>
        <v/>
      </c>
    </row>
    <row r="4755" spans="5:7" ht="15" customHeight="1">
      <c r="E4755" s="49" t="str">
        <f>IFERROR(VLOOKUP(D4755,'taxonomy map'!$A$1:$C$107,2,FALSE),"")</f>
        <v/>
      </c>
      <c r="F4755" s="49" t="str">
        <f>IFERROR(VLOOKUP(E4755,'Condensed Specialty Crosswalk'!$A$2:$C$106,2,FALSE),"")</f>
        <v/>
      </c>
      <c r="G4755" s="49" t="str">
        <f>IFERROR(VLOOKUP(E4755,'Condensed Specialty Crosswalk'!$A$2:$C$106,3,FALSE),"")</f>
        <v/>
      </c>
    </row>
    <row r="4756" spans="5:7" ht="15" customHeight="1">
      <c r="E4756" s="49" t="str">
        <f>IFERROR(VLOOKUP(D4756,'taxonomy map'!$A$1:$C$107,2,FALSE),"")</f>
        <v/>
      </c>
      <c r="F4756" s="49" t="str">
        <f>IFERROR(VLOOKUP(E4756,'Condensed Specialty Crosswalk'!$A$2:$C$106,2,FALSE),"")</f>
        <v/>
      </c>
      <c r="G4756" s="49" t="str">
        <f>IFERROR(VLOOKUP(E4756,'Condensed Specialty Crosswalk'!$A$2:$C$106,3,FALSE),"")</f>
        <v/>
      </c>
    </row>
    <row r="4757" spans="5:7" ht="15" customHeight="1">
      <c r="E4757" s="49" t="str">
        <f>IFERROR(VLOOKUP(D4757,'taxonomy map'!$A$1:$C$107,2,FALSE),"")</f>
        <v/>
      </c>
      <c r="F4757" s="49" t="str">
        <f>IFERROR(VLOOKUP(E4757,'Condensed Specialty Crosswalk'!$A$2:$C$106,2,FALSE),"")</f>
        <v/>
      </c>
      <c r="G4757" s="49" t="str">
        <f>IFERROR(VLOOKUP(E4757,'Condensed Specialty Crosswalk'!$A$2:$C$106,3,FALSE),"")</f>
        <v/>
      </c>
    </row>
    <row r="4758" spans="5:7" ht="15" customHeight="1">
      <c r="E4758" s="49" t="str">
        <f>IFERROR(VLOOKUP(D4758,'taxonomy map'!$A$1:$C$107,2,FALSE),"")</f>
        <v/>
      </c>
      <c r="F4758" s="49" t="str">
        <f>IFERROR(VLOOKUP(E4758,'Condensed Specialty Crosswalk'!$A$2:$C$106,2,FALSE),"")</f>
        <v/>
      </c>
      <c r="G4758" s="49" t="str">
        <f>IFERROR(VLOOKUP(E4758,'Condensed Specialty Crosswalk'!$A$2:$C$106,3,FALSE),"")</f>
        <v/>
      </c>
    </row>
    <row r="4759" spans="5:7" ht="15" customHeight="1">
      <c r="E4759" s="49" t="str">
        <f>IFERROR(VLOOKUP(D4759,'taxonomy map'!$A$1:$C$107,2,FALSE),"")</f>
        <v/>
      </c>
      <c r="F4759" s="49" t="str">
        <f>IFERROR(VLOOKUP(E4759,'Condensed Specialty Crosswalk'!$A$2:$C$106,2,FALSE),"")</f>
        <v/>
      </c>
      <c r="G4759" s="49" t="str">
        <f>IFERROR(VLOOKUP(E4759,'Condensed Specialty Crosswalk'!$A$2:$C$106,3,FALSE),"")</f>
        <v/>
      </c>
    </row>
    <row r="4760" spans="5:7" ht="15" customHeight="1">
      <c r="E4760" s="49" t="str">
        <f>IFERROR(VLOOKUP(D4760,'taxonomy map'!$A$1:$C$107,2,FALSE),"")</f>
        <v/>
      </c>
      <c r="F4760" s="49" t="str">
        <f>IFERROR(VLOOKUP(E4760,'Condensed Specialty Crosswalk'!$A$2:$C$106,2,FALSE),"")</f>
        <v/>
      </c>
      <c r="G4760" s="49" t="str">
        <f>IFERROR(VLOOKUP(E4760,'Condensed Specialty Crosswalk'!$A$2:$C$106,3,FALSE),"")</f>
        <v/>
      </c>
    </row>
    <row r="4761" spans="5:7" ht="15" customHeight="1">
      <c r="E4761" s="49" t="str">
        <f>IFERROR(VLOOKUP(D4761,'taxonomy map'!$A$1:$C$107,2,FALSE),"")</f>
        <v/>
      </c>
      <c r="F4761" s="49" t="str">
        <f>IFERROR(VLOOKUP(E4761,'Condensed Specialty Crosswalk'!$A$2:$C$106,2,FALSE),"")</f>
        <v/>
      </c>
      <c r="G4761" s="49" t="str">
        <f>IFERROR(VLOOKUP(E4761,'Condensed Specialty Crosswalk'!$A$2:$C$106,3,FALSE),"")</f>
        <v/>
      </c>
    </row>
    <row r="4762" spans="5:7" ht="15" customHeight="1">
      <c r="E4762" s="49" t="str">
        <f>IFERROR(VLOOKUP(D4762,'taxonomy map'!$A$1:$C$107,2,FALSE),"")</f>
        <v/>
      </c>
      <c r="F4762" s="49" t="str">
        <f>IFERROR(VLOOKUP(E4762,'Condensed Specialty Crosswalk'!$A$2:$C$106,2,FALSE),"")</f>
        <v/>
      </c>
      <c r="G4762" s="49" t="str">
        <f>IFERROR(VLOOKUP(E4762,'Condensed Specialty Crosswalk'!$A$2:$C$106,3,FALSE),"")</f>
        <v/>
      </c>
    </row>
    <row r="4763" spans="5:7" ht="15" customHeight="1">
      <c r="E4763" s="49" t="str">
        <f>IFERROR(VLOOKUP(D4763,'taxonomy map'!$A$1:$C$107,2,FALSE),"")</f>
        <v/>
      </c>
      <c r="F4763" s="49" t="str">
        <f>IFERROR(VLOOKUP(E4763,'Condensed Specialty Crosswalk'!$A$2:$C$106,2,FALSE),"")</f>
        <v/>
      </c>
      <c r="G4763" s="49" t="str">
        <f>IFERROR(VLOOKUP(E4763,'Condensed Specialty Crosswalk'!$A$2:$C$106,3,FALSE),"")</f>
        <v/>
      </c>
    </row>
    <row r="4764" spans="5:7" ht="15" customHeight="1">
      <c r="E4764" s="49" t="str">
        <f>IFERROR(VLOOKUP(D4764,'taxonomy map'!$A$1:$C$107,2,FALSE),"")</f>
        <v/>
      </c>
      <c r="F4764" s="49" t="str">
        <f>IFERROR(VLOOKUP(E4764,'Condensed Specialty Crosswalk'!$A$2:$C$106,2,FALSE),"")</f>
        <v/>
      </c>
      <c r="G4764" s="49" t="str">
        <f>IFERROR(VLOOKUP(E4764,'Condensed Specialty Crosswalk'!$A$2:$C$106,3,FALSE),"")</f>
        <v/>
      </c>
    </row>
    <row r="4765" spans="5:7" ht="15" customHeight="1">
      <c r="E4765" s="49" t="str">
        <f>IFERROR(VLOOKUP(D4765,'taxonomy map'!$A$1:$C$107,2,FALSE),"")</f>
        <v/>
      </c>
      <c r="F4765" s="49" t="str">
        <f>IFERROR(VLOOKUP(E4765,'Condensed Specialty Crosswalk'!$A$2:$C$106,2,FALSE),"")</f>
        <v/>
      </c>
      <c r="G4765" s="49" t="str">
        <f>IFERROR(VLOOKUP(E4765,'Condensed Specialty Crosswalk'!$A$2:$C$106,3,FALSE),"")</f>
        <v/>
      </c>
    </row>
    <row r="4766" spans="5:7" ht="15" customHeight="1">
      <c r="E4766" s="49" t="str">
        <f>IFERROR(VLOOKUP(D4766,'taxonomy map'!$A$1:$C$107,2,FALSE),"")</f>
        <v/>
      </c>
      <c r="F4766" s="49" t="str">
        <f>IFERROR(VLOOKUP(E4766,'Condensed Specialty Crosswalk'!$A$2:$C$106,2,FALSE),"")</f>
        <v/>
      </c>
      <c r="G4766" s="49" t="str">
        <f>IFERROR(VLOOKUP(E4766,'Condensed Specialty Crosswalk'!$A$2:$C$106,3,FALSE),"")</f>
        <v/>
      </c>
    </row>
    <row r="4767" spans="5:7" ht="15" customHeight="1">
      <c r="E4767" s="49" t="str">
        <f>IFERROR(VLOOKUP(D4767,'taxonomy map'!$A$1:$C$107,2,FALSE),"")</f>
        <v/>
      </c>
      <c r="F4767" s="49" t="str">
        <f>IFERROR(VLOOKUP(E4767,'Condensed Specialty Crosswalk'!$A$2:$C$106,2,FALSE),"")</f>
        <v/>
      </c>
      <c r="G4767" s="49" t="str">
        <f>IFERROR(VLOOKUP(E4767,'Condensed Specialty Crosswalk'!$A$2:$C$106,3,FALSE),"")</f>
        <v/>
      </c>
    </row>
    <row r="4768" spans="5:7" ht="15" customHeight="1">
      <c r="E4768" s="49" t="str">
        <f>IFERROR(VLOOKUP(D4768,'taxonomy map'!$A$1:$C$107,2,FALSE),"")</f>
        <v/>
      </c>
      <c r="F4768" s="49" t="str">
        <f>IFERROR(VLOOKUP(E4768,'Condensed Specialty Crosswalk'!$A$2:$C$106,2,FALSE),"")</f>
        <v/>
      </c>
      <c r="G4768" s="49" t="str">
        <f>IFERROR(VLOOKUP(E4768,'Condensed Specialty Crosswalk'!$A$2:$C$106,3,FALSE),"")</f>
        <v/>
      </c>
    </row>
    <row r="4769" spans="5:7" ht="15" customHeight="1">
      <c r="E4769" s="49" t="str">
        <f>IFERROR(VLOOKUP(D4769,'taxonomy map'!$A$1:$C$107,2,FALSE),"")</f>
        <v/>
      </c>
      <c r="F4769" s="49" t="str">
        <f>IFERROR(VLOOKUP(E4769,'Condensed Specialty Crosswalk'!$A$2:$C$106,2,FALSE),"")</f>
        <v/>
      </c>
      <c r="G4769" s="49" t="str">
        <f>IFERROR(VLOOKUP(E4769,'Condensed Specialty Crosswalk'!$A$2:$C$106,3,FALSE),"")</f>
        <v/>
      </c>
    </row>
    <row r="4770" spans="5:7" ht="15" customHeight="1">
      <c r="E4770" s="49" t="str">
        <f>IFERROR(VLOOKUP(D4770,'taxonomy map'!$A$1:$C$107,2,FALSE),"")</f>
        <v/>
      </c>
      <c r="F4770" s="49" t="str">
        <f>IFERROR(VLOOKUP(E4770,'Condensed Specialty Crosswalk'!$A$2:$C$106,2,FALSE),"")</f>
        <v/>
      </c>
      <c r="G4770" s="49" t="str">
        <f>IFERROR(VLOOKUP(E4770,'Condensed Specialty Crosswalk'!$A$2:$C$106,3,FALSE),"")</f>
        <v/>
      </c>
    </row>
    <row r="4771" spans="5:7" ht="15" customHeight="1">
      <c r="E4771" s="49" t="str">
        <f>IFERROR(VLOOKUP(D4771,'taxonomy map'!$A$1:$C$107,2,FALSE),"")</f>
        <v/>
      </c>
      <c r="F4771" s="49" t="str">
        <f>IFERROR(VLOOKUP(E4771,'Condensed Specialty Crosswalk'!$A$2:$C$106,2,FALSE),"")</f>
        <v/>
      </c>
      <c r="G4771" s="49" t="str">
        <f>IFERROR(VLOOKUP(E4771,'Condensed Specialty Crosswalk'!$A$2:$C$106,3,FALSE),"")</f>
        <v/>
      </c>
    </row>
    <row r="4772" spans="5:7" ht="15" customHeight="1">
      <c r="E4772" s="49" t="str">
        <f>IFERROR(VLOOKUP(D4772,'taxonomy map'!$A$1:$C$107,2,FALSE),"")</f>
        <v/>
      </c>
      <c r="F4772" s="49" t="str">
        <f>IFERROR(VLOOKUP(E4772,'Condensed Specialty Crosswalk'!$A$2:$C$106,2,FALSE),"")</f>
        <v/>
      </c>
      <c r="G4772" s="49" t="str">
        <f>IFERROR(VLOOKUP(E4772,'Condensed Specialty Crosswalk'!$A$2:$C$106,3,FALSE),"")</f>
        <v/>
      </c>
    </row>
    <row r="4773" spans="5:7" ht="15" customHeight="1">
      <c r="E4773" s="49" t="str">
        <f>IFERROR(VLOOKUP(D4773,'taxonomy map'!$A$1:$C$107,2,FALSE),"")</f>
        <v/>
      </c>
      <c r="F4773" s="49" t="str">
        <f>IFERROR(VLOOKUP(E4773,'Condensed Specialty Crosswalk'!$A$2:$C$106,2,FALSE),"")</f>
        <v/>
      </c>
      <c r="G4773" s="49" t="str">
        <f>IFERROR(VLOOKUP(E4773,'Condensed Specialty Crosswalk'!$A$2:$C$106,3,FALSE),"")</f>
        <v/>
      </c>
    </row>
    <row r="4774" spans="5:7" ht="15" customHeight="1">
      <c r="E4774" s="49" t="str">
        <f>IFERROR(VLOOKUP(D4774,'taxonomy map'!$A$1:$C$107,2,FALSE),"")</f>
        <v/>
      </c>
      <c r="F4774" s="49" t="str">
        <f>IFERROR(VLOOKUP(E4774,'Condensed Specialty Crosswalk'!$A$2:$C$106,2,FALSE),"")</f>
        <v/>
      </c>
      <c r="G4774" s="49" t="str">
        <f>IFERROR(VLOOKUP(E4774,'Condensed Specialty Crosswalk'!$A$2:$C$106,3,FALSE),"")</f>
        <v/>
      </c>
    </row>
    <row r="4775" spans="5:7" ht="15" customHeight="1">
      <c r="E4775" s="49" t="str">
        <f>IFERROR(VLOOKUP(D4775,'taxonomy map'!$A$1:$C$107,2,FALSE),"")</f>
        <v/>
      </c>
      <c r="F4775" s="49" t="str">
        <f>IFERROR(VLOOKUP(E4775,'Condensed Specialty Crosswalk'!$A$2:$C$106,2,FALSE),"")</f>
        <v/>
      </c>
      <c r="G4775" s="49" t="str">
        <f>IFERROR(VLOOKUP(E4775,'Condensed Specialty Crosswalk'!$A$2:$C$106,3,FALSE),"")</f>
        <v/>
      </c>
    </row>
    <row r="4776" spans="5:7" ht="15" customHeight="1">
      <c r="E4776" s="49" t="str">
        <f>IFERROR(VLOOKUP(D4776,'taxonomy map'!$A$1:$C$107,2,FALSE),"")</f>
        <v/>
      </c>
      <c r="F4776" s="49" t="str">
        <f>IFERROR(VLOOKUP(E4776,'Condensed Specialty Crosswalk'!$A$2:$C$106,2,FALSE),"")</f>
        <v/>
      </c>
      <c r="G4776" s="49" t="str">
        <f>IFERROR(VLOOKUP(E4776,'Condensed Specialty Crosswalk'!$A$2:$C$106,3,FALSE),"")</f>
        <v/>
      </c>
    </row>
    <row r="4777" spans="5:7" ht="15" customHeight="1">
      <c r="E4777" s="49" t="str">
        <f>IFERROR(VLOOKUP(D4777,'taxonomy map'!$A$1:$C$107,2,FALSE),"")</f>
        <v/>
      </c>
      <c r="F4777" s="49" t="str">
        <f>IFERROR(VLOOKUP(E4777,'Condensed Specialty Crosswalk'!$A$2:$C$106,2,FALSE),"")</f>
        <v/>
      </c>
      <c r="G4777" s="49" t="str">
        <f>IFERROR(VLOOKUP(E4777,'Condensed Specialty Crosswalk'!$A$2:$C$106,3,FALSE),"")</f>
        <v/>
      </c>
    </row>
    <row r="4778" spans="5:7" ht="15" customHeight="1">
      <c r="E4778" s="49" t="str">
        <f>IFERROR(VLOOKUP(D4778,'taxonomy map'!$A$1:$C$107,2,FALSE),"")</f>
        <v/>
      </c>
      <c r="F4778" s="49" t="str">
        <f>IFERROR(VLOOKUP(E4778,'Condensed Specialty Crosswalk'!$A$2:$C$106,2,FALSE),"")</f>
        <v/>
      </c>
      <c r="G4778" s="49" t="str">
        <f>IFERROR(VLOOKUP(E4778,'Condensed Specialty Crosswalk'!$A$2:$C$106,3,FALSE),"")</f>
        <v/>
      </c>
    </row>
    <row r="4779" spans="5:7" ht="15" customHeight="1">
      <c r="E4779" s="49" t="str">
        <f>IFERROR(VLOOKUP(D4779,'taxonomy map'!$A$1:$C$107,2,FALSE),"")</f>
        <v/>
      </c>
      <c r="F4779" s="49" t="str">
        <f>IFERROR(VLOOKUP(E4779,'Condensed Specialty Crosswalk'!$A$2:$C$106,2,FALSE),"")</f>
        <v/>
      </c>
      <c r="G4779" s="49" t="str">
        <f>IFERROR(VLOOKUP(E4779,'Condensed Specialty Crosswalk'!$A$2:$C$106,3,FALSE),"")</f>
        <v/>
      </c>
    </row>
    <row r="4780" spans="5:7" ht="15" customHeight="1">
      <c r="E4780" s="49" t="str">
        <f>IFERROR(VLOOKUP(D4780,'taxonomy map'!$A$1:$C$107,2,FALSE),"")</f>
        <v/>
      </c>
      <c r="F4780" s="49" t="str">
        <f>IFERROR(VLOOKUP(E4780,'Condensed Specialty Crosswalk'!$A$2:$C$106,2,FALSE),"")</f>
        <v/>
      </c>
      <c r="G4780" s="49" t="str">
        <f>IFERROR(VLOOKUP(E4780,'Condensed Specialty Crosswalk'!$A$2:$C$106,3,FALSE),"")</f>
        <v/>
      </c>
    </row>
    <row r="4781" spans="5:7" ht="15" customHeight="1">
      <c r="E4781" s="49" t="str">
        <f>IFERROR(VLOOKUP(D4781,'taxonomy map'!$A$1:$C$107,2,FALSE),"")</f>
        <v/>
      </c>
      <c r="F4781" s="49" t="str">
        <f>IFERROR(VLOOKUP(E4781,'Condensed Specialty Crosswalk'!$A$2:$C$106,2,FALSE),"")</f>
        <v/>
      </c>
      <c r="G4781" s="49" t="str">
        <f>IFERROR(VLOOKUP(E4781,'Condensed Specialty Crosswalk'!$A$2:$C$106,3,FALSE),"")</f>
        <v/>
      </c>
    </row>
    <row r="4782" spans="5:7" ht="15" customHeight="1">
      <c r="E4782" s="49" t="str">
        <f>IFERROR(VLOOKUP(D4782,'taxonomy map'!$A$1:$C$107,2,FALSE),"")</f>
        <v/>
      </c>
      <c r="F4782" s="49" t="str">
        <f>IFERROR(VLOOKUP(E4782,'Condensed Specialty Crosswalk'!$A$2:$C$106,2,FALSE),"")</f>
        <v/>
      </c>
      <c r="G4782" s="49" t="str">
        <f>IFERROR(VLOOKUP(E4782,'Condensed Specialty Crosswalk'!$A$2:$C$106,3,FALSE),"")</f>
        <v/>
      </c>
    </row>
    <row r="4783" spans="5:7" ht="15" customHeight="1">
      <c r="E4783" s="49" t="str">
        <f>IFERROR(VLOOKUP(D4783,'taxonomy map'!$A$1:$C$107,2,FALSE),"")</f>
        <v/>
      </c>
      <c r="F4783" s="49" t="str">
        <f>IFERROR(VLOOKUP(E4783,'Condensed Specialty Crosswalk'!$A$2:$C$106,2,FALSE),"")</f>
        <v/>
      </c>
      <c r="G4783" s="49" t="str">
        <f>IFERROR(VLOOKUP(E4783,'Condensed Specialty Crosswalk'!$A$2:$C$106,3,FALSE),"")</f>
        <v/>
      </c>
    </row>
    <row r="4784" spans="5:7" ht="15" customHeight="1">
      <c r="E4784" s="49" t="str">
        <f>IFERROR(VLOOKUP(D4784,'taxonomy map'!$A$1:$C$107,2,FALSE),"")</f>
        <v/>
      </c>
      <c r="F4784" s="49" t="str">
        <f>IFERROR(VLOOKUP(E4784,'Condensed Specialty Crosswalk'!$A$2:$C$106,2,FALSE),"")</f>
        <v/>
      </c>
      <c r="G4784" s="49" t="str">
        <f>IFERROR(VLOOKUP(E4784,'Condensed Specialty Crosswalk'!$A$2:$C$106,3,FALSE),"")</f>
        <v/>
      </c>
    </row>
    <row r="4785" spans="5:7" ht="15" customHeight="1">
      <c r="E4785" s="49" t="str">
        <f>IFERROR(VLOOKUP(D4785,'taxonomy map'!$A$1:$C$107,2,FALSE),"")</f>
        <v/>
      </c>
      <c r="F4785" s="49" t="str">
        <f>IFERROR(VLOOKUP(E4785,'Condensed Specialty Crosswalk'!$A$2:$C$106,2,FALSE),"")</f>
        <v/>
      </c>
      <c r="G4785" s="49" t="str">
        <f>IFERROR(VLOOKUP(E4785,'Condensed Specialty Crosswalk'!$A$2:$C$106,3,FALSE),"")</f>
        <v/>
      </c>
    </row>
    <row r="4786" spans="5:7" ht="15" customHeight="1">
      <c r="E4786" s="49" t="str">
        <f>IFERROR(VLOOKUP(D4786,'taxonomy map'!$A$1:$C$107,2,FALSE),"")</f>
        <v/>
      </c>
      <c r="F4786" s="49" t="str">
        <f>IFERROR(VLOOKUP(E4786,'Condensed Specialty Crosswalk'!$A$2:$C$106,2,FALSE),"")</f>
        <v/>
      </c>
      <c r="G4786" s="49" t="str">
        <f>IFERROR(VLOOKUP(E4786,'Condensed Specialty Crosswalk'!$A$2:$C$106,3,FALSE),"")</f>
        <v/>
      </c>
    </row>
    <row r="4787" spans="5:7" ht="15" customHeight="1">
      <c r="E4787" s="49" t="str">
        <f>IFERROR(VLOOKUP(D4787,'taxonomy map'!$A$1:$C$107,2,FALSE),"")</f>
        <v/>
      </c>
      <c r="F4787" s="49" t="str">
        <f>IFERROR(VLOOKUP(E4787,'Condensed Specialty Crosswalk'!$A$2:$C$106,2,FALSE),"")</f>
        <v/>
      </c>
      <c r="G4787" s="49" t="str">
        <f>IFERROR(VLOOKUP(E4787,'Condensed Specialty Crosswalk'!$A$2:$C$106,3,FALSE),"")</f>
        <v/>
      </c>
    </row>
    <row r="4788" spans="5:7" ht="15" customHeight="1">
      <c r="E4788" s="49" t="str">
        <f>IFERROR(VLOOKUP(D4788,'taxonomy map'!$A$1:$C$107,2,FALSE),"")</f>
        <v/>
      </c>
      <c r="F4788" s="49" t="str">
        <f>IFERROR(VLOOKUP(E4788,'Condensed Specialty Crosswalk'!$A$2:$C$106,2,FALSE),"")</f>
        <v/>
      </c>
      <c r="G4788" s="49" t="str">
        <f>IFERROR(VLOOKUP(E4788,'Condensed Specialty Crosswalk'!$A$2:$C$106,3,FALSE),"")</f>
        <v/>
      </c>
    </row>
    <row r="4789" spans="5:7" ht="15" customHeight="1">
      <c r="E4789" s="49" t="str">
        <f>IFERROR(VLOOKUP(D4789,'taxonomy map'!$A$1:$C$107,2,FALSE),"")</f>
        <v/>
      </c>
      <c r="F4789" s="49" t="str">
        <f>IFERROR(VLOOKUP(E4789,'Condensed Specialty Crosswalk'!$A$2:$C$106,2,FALSE),"")</f>
        <v/>
      </c>
      <c r="G4789" s="49" t="str">
        <f>IFERROR(VLOOKUP(E4789,'Condensed Specialty Crosswalk'!$A$2:$C$106,3,FALSE),"")</f>
        <v/>
      </c>
    </row>
    <row r="4790" spans="5:7" ht="15" customHeight="1">
      <c r="E4790" s="49" t="str">
        <f>IFERROR(VLOOKUP(D4790,'taxonomy map'!$A$1:$C$107,2,FALSE),"")</f>
        <v/>
      </c>
      <c r="F4790" s="49" t="str">
        <f>IFERROR(VLOOKUP(E4790,'Condensed Specialty Crosswalk'!$A$2:$C$106,2,FALSE),"")</f>
        <v/>
      </c>
      <c r="G4790" s="49" t="str">
        <f>IFERROR(VLOOKUP(E4790,'Condensed Specialty Crosswalk'!$A$2:$C$106,3,FALSE),"")</f>
        <v/>
      </c>
    </row>
    <row r="4791" spans="5:7" ht="15" customHeight="1">
      <c r="E4791" s="49" t="str">
        <f>IFERROR(VLOOKUP(D4791,'taxonomy map'!$A$1:$C$107,2,FALSE),"")</f>
        <v/>
      </c>
      <c r="F4791" s="49" t="str">
        <f>IFERROR(VLOOKUP(E4791,'Condensed Specialty Crosswalk'!$A$2:$C$106,2,FALSE),"")</f>
        <v/>
      </c>
      <c r="G4791" s="49" t="str">
        <f>IFERROR(VLOOKUP(E4791,'Condensed Specialty Crosswalk'!$A$2:$C$106,3,FALSE),"")</f>
        <v/>
      </c>
    </row>
    <row r="4792" spans="5:7" ht="15" customHeight="1">
      <c r="E4792" s="49" t="str">
        <f>IFERROR(VLOOKUP(D4792,'taxonomy map'!$A$1:$C$107,2,FALSE),"")</f>
        <v/>
      </c>
      <c r="F4792" s="49" t="str">
        <f>IFERROR(VLOOKUP(E4792,'Condensed Specialty Crosswalk'!$A$2:$C$106,2,FALSE),"")</f>
        <v/>
      </c>
      <c r="G4792" s="49" t="str">
        <f>IFERROR(VLOOKUP(E4792,'Condensed Specialty Crosswalk'!$A$2:$C$106,3,FALSE),"")</f>
        <v/>
      </c>
    </row>
    <row r="4793" spans="5:7" ht="15" customHeight="1">
      <c r="E4793" s="49" t="str">
        <f>IFERROR(VLOOKUP(D4793,'taxonomy map'!$A$1:$C$107,2,FALSE),"")</f>
        <v/>
      </c>
      <c r="F4793" s="49" t="str">
        <f>IFERROR(VLOOKUP(E4793,'Condensed Specialty Crosswalk'!$A$2:$C$106,2,FALSE),"")</f>
        <v/>
      </c>
      <c r="G4793" s="49" t="str">
        <f>IFERROR(VLOOKUP(E4793,'Condensed Specialty Crosswalk'!$A$2:$C$106,3,FALSE),"")</f>
        <v/>
      </c>
    </row>
    <row r="4794" spans="5:7" ht="15" customHeight="1">
      <c r="E4794" s="49" t="str">
        <f>IFERROR(VLOOKUP(D4794,'taxonomy map'!$A$1:$C$107,2,FALSE),"")</f>
        <v/>
      </c>
      <c r="F4794" s="49" t="str">
        <f>IFERROR(VLOOKUP(E4794,'Condensed Specialty Crosswalk'!$A$2:$C$106,2,FALSE),"")</f>
        <v/>
      </c>
      <c r="G4794" s="49" t="str">
        <f>IFERROR(VLOOKUP(E4794,'Condensed Specialty Crosswalk'!$A$2:$C$106,3,FALSE),"")</f>
        <v/>
      </c>
    </row>
    <row r="4795" spans="5:7" ht="15" customHeight="1">
      <c r="E4795" s="49" t="str">
        <f>IFERROR(VLOOKUP(D4795,'taxonomy map'!$A$1:$C$107,2,FALSE),"")</f>
        <v/>
      </c>
      <c r="F4795" s="49" t="str">
        <f>IFERROR(VLOOKUP(E4795,'Condensed Specialty Crosswalk'!$A$2:$C$106,2,FALSE),"")</f>
        <v/>
      </c>
      <c r="G4795" s="49" t="str">
        <f>IFERROR(VLOOKUP(E4795,'Condensed Specialty Crosswalk'!$A$2:$C$106,3,FALSE),"")</f>
        <v/>
      </c>
    </row>
    <row r="4796" spans="5:7" ht="15" customHeight="1">
      <c r="E4796" s="49" t="str">
        <f>IFERROR(VLOOKUP(D4796,'taxonomy map'!$A$1:$C$107,2,FALSE),"")</f>
        <v/>
      </c>
      <c r="F4796" s="49" t="str">
        <f>IFERROR(VLOOKUP(E4796,'Condensed Specialty Crosswalk'!$A$2:$C$106,2,FALSE),"")</f>
        <v/>
      </c>
      <c r="G4796" s="49" t="str">
        <f>IFERROR(VLOOKUP(E4796,'Condensed Specialty Crosswalk'!$A$2:$C$106,3,FALSE),"")</f>
        <v/>
      </c>
    </row>
    <row r="4797" spans="5:7" ht="15" customHeight="1">
      <c r="E4797" s="49" t="str">
        <f>IFERROR(VLOOKUP(D4797,'taxonomy map'!$A$1:$C$107,2,FALSE),"")</f>
        <v/>
      </c>
      <c r="F4797" s="49" t="str">
        <f>IFERROR(VLOOKUP(E4797,'Condensed Specialty Crosswalk'!$A$2:$C$106,2,FALSE),"")</f>
        <v/>
      </c>
      <c r="G4797" s="49" t="str">
        <f>IFERROR(VLOOKUP(E4797,'Condensed Specialty Crosswalk'!$A$2:$C$106,3,FALSE),"")</f>
        <v/>
      </c>
    </row>
    <row r="4798" spans="5:7" ht="15" customHeight="1">
      <c r="E4798" s="49" t="str">
        <f>IFERROR(VLOOKUP(D4798,'taxonomy map'!$A$1:$C$107,2,FALSE),"")</f>
        <v/>
      </c>
      <c r="F4798" s="49" t="str">
        <f>IFERROR(VLOOKUP(E4798,'Condensed Specialty Crosswalk'!$A$2:$C$106,2,FALSE),"")</f>
        <v/>
      </c>
      <c r="G4798" s="49" t="str">
        <f>IFERROR(VLOOKUP(E4798,'Condensed Specialty Crosswalk'!$A$2:$C$106,3,FALSE),"")</f>
        <v/>
      </c>
    </row>
    <row r="4799" spans="5:7" ht="15" customHeight="1">
      <c r="E4799" s="49" t="str">
        <f>IFERROR(VLOOKUP(D4799,'taxonomy map'!$A$1:$C$107,2,FALSE),"")</f>
        <v/>
      </c>
      <c r="F4799" s="49" t="str">
        <f>IFERROR(VLOOKUP(E4799,'Condensed Specialty Crosswalk'!$A$2:$C$106,2,FALSE),"")</f>
        <v/>
      </c>
      <c r="G4799" s="49" t="str">
        <f>IFERROR(VLOOKUP(E4799,'Condensed Specialty Crosswalk'!$A$2:$C$106,3,FALSE),"")</f>
        <v/>
      </c>
    </row>
    <row r="4800" spans="5:7" ht="15" customHeight="1">
      <c r="E4800" s="49" t="str">
        <f>IFERROR(VLOOKUP(D4800,'taxonomy map'!$A$1:$C$107,2,FALSE),"")</f>
        <v/>
      </c>
      <c r="F4800" s="49" t="str">
        <f>IFERROR(VLOOKUP(E4800,'Condensed Specialty Crosswalk'!$A$2:$C$106,2,FALSE),"")</f>
        <v/>
      </c>
      <c r="G4800" s="49" t="str">
        <f>IFERROR(VLOOKUP(E4800,'Condensed Specialty Crosswalk'!$A$2:$C$106,3,FALSE),"")</f>
        <v/>
      </c>
    </row>
    <row r="4801" spans="5:7" ht="15" customHeight="1">
      <c r="E4801" s="49" t="str">
        <f>IFERROR(VLOOKUP(D4801,'taxonomy map'!$A$1:$C$107,2,FALSE),"")</f>
        <v/>
      </c>
      <c r="F4801" s="49" t="str">
        <f>IFERROR(VLOOKUP(E4801,'Condensed Specialty Crosswalk'!$A$2:$C$106,2,FALSE),"")</f>
        <v/>
      </c>
      <c r="G4801" s="49" t="str">
        <f>IFERROR(VLOOKUP(E4801,'Condensed Specialty Crosswalk'!$A$2:$C$106,3,FALSE),"")</f>
        <v/>
      </c>
    </row>
    <row r="4802" spans="5:7" ht="15" customHeight="1">
      <c r="E4802" s="49" t="str">
        <f>IFERROR(VLOOKUP(D4802,'taxonomy map'!$A$1:$C$107,2,FALSE),"")</f>
        <v/>
      </c>
      <c r="F4802" s="49" t="str">
        <f>IFERROR(VLOOKUP(E4802,'Condensed Specialty Crosswalk'!$A$2:$C$106,2,FALSE),"")</f>
        <v/>
      </c>
      <c r="G4802" s="49" t="str">
        <f>IFERROR(VLOOKUP(E4802,'Condensed Specialty Crosswalk'!$A$2:$C$106,3,FALSE),"")</f>
        <v/>
      </c>
    </row>
    <row r="4803" spans="5:7" ht="15" customHeight="1">
      <c r="E4803" s="49" t="str">
        <f>IFERROR(VLOOKUP(D4803,'taxonomy map'!$A$1:$C$107,2,FALSE),"")</f>
        <v/>
      </c>
      <c r="F4803" s="49" t="str">
        <f>IFERROR(VLOOKUP(E4803,'Condensed Specialty Crosswalk'!$A$2:$C$106,2,FALSE),"")</f>
        <v/>
      </c>
      <c r="G4803" s="49" t="str">
        <f>IFERROR(VLOOKUP(E4803,'Condensed Specialty Crosswalk'!$A$2:$C$106,3,FALSE),"")</f>
        <v/>
      </c>
    </row>
    <row r="4804" spans="5:7" ht="15" customHeight="1">
      <c r="E4804" s="49" t="str">
        <f>IFERROR(VLOOKUP(D4804,'taxonomy map'!$A$1:$C$107,2,FALSE),"")</f>
        <v/>
      </c>
      <c r="F4804" s="49" t="str">
        <f>IFERROR(VLOOKUP(E4804,'Condensed Specialty Crosswalk'!$A$2:$C$106,2,FALSE),"")</f>
        <v/>
      </c>
      <c r="G4804" s="49" t="str">
        <f>IFERROR(VLOOKUP(E4804,'Condensed Specialty Crosswalk'!$A$2:$C$106,3,FALSE),"")</f>
        <v/>
      </c>
    </row>
    <row r="4805" spans="5:7" ht="15" customHeight="1">
      <c r="E4805" s="49" t="str">
        <f>IFERROR(VLOOKUP(D4805,'taxonomy map'!$A$1:$C$107,2,FALSE),"")</f>
        <v/>
      </c>
      <c r="F4805" s="49" t="str">
        <f>IFERROR(VLOOKUP(E4805,'Condensed Specialty Crosswalk'!$A$2:$C$106,2,FALSE),"")</f>
        <v/>
      </c>
      <c r="G4805" s="49" t="str">
        <f>IFERROR(VLOOKUP(E4805,'Condensed Specialty Crosswalk'!$A$2:$C$106,3,FALSE),"")</f>
        <v/>
      </c>
    </row>
    <row r="4806" spans="5:7" ht="15" customHeight="1">
      <c r="E4806" s="49" t="str">
        <f>IFERROR(VLOOKUP(D4806,'taxonomy map'!$A$1:$C$107,2,FALSE),"")</f>
        <v/>
      </c>
      <c r="F4806" s="49" t="str">
        <f>IFERROR(VLOOKUP(E4806,'Condensed Specialty Crosswalk'!$A$2:$C$106,2,FALSE),"")</f>
        <v/>
      </c>
      <c r="G4806" s="49" t="str">
        <f>IFERROR(VLOOKUP(E4806,'Condensed Specialty Crosswalk'!$A$2:$C$106,3,FALSE),"")</f>
        <v/>
      </c>
    </row>
    <row r="4807" spans="5:7" ht="15" customHeight="1">
      <c r="E4807" s="49" t="str">
        <f>IFERROR(VLOOKUP(D4807,'taxonomy map'!$A$1:$C$107,2,FALSE),"")</f>
        <v/>
      </c>
      <c r="F4807" s="49" t="str">
        <f>IFERROR(VLOOKUP(E4807,'Condensed Specialty Crosswalk'!$A$2:$C$106,2,FALSE),"")</f>
        <v/>
      </c>
      <c r="G4807" s="49" t="str">
        <f>IFERROR(VLOOKUP(E4807,'Condensed Specialty Crosswalk'!$A$2:$C$106,3,FALSE),"")</f>
        <v/>
      </c>
    </row>
    <row r="4808" spans="5:7" ht="15" customHeight="1">
      <c r="E4808" s="49" t="str">
        <f>IFERROR(VLOOKUP(D4808,'taxonomy map'!$A$1:$C$107,2,FALSE),"")</f>
        <v/>
      </c>
      <c r="F4808" s="49" t="str">
        <f>IFERROR(VLOOKUP(E4808,'Condensed Specialty Crosswalk'!$A$2:$C$106,2,FALSE),"")</f>
        <v/>
      </c>
      <c r="G4808" s="49" t="str">
        <f>IFERROR(VLOOKUP(E4808,'Condensed Specialty Crosswalk'!$A$2:$C$106,3,FALSE),"")</f>
        <v/>
      </c>
    </row>
    <row r="4809" spans="5:7" ht="15" customHeight="1">
      <c r="E4809" s="49" t="str">
        <f>IFERROR(VLOOKUP(D4809,'taxonomy map'!$A$1:$C$107,2,FALSE),"")</f>
        <v/>
      </c>
      <c r="F4809" s="49" t="str">
        <f>IFERROR(VLOOKUP(E4809,'Condensed Specialty Crosswalk'!$A$2:$C$106,2,FALSE),"")</f>
        <v/>
      </c>
      <c r="G4809" s="49" t="str">
        <f>IFERROR(VLOOKUP(E4809,'Condensed Specialty Crosswalk'!$A$2:$C$106,3,FALSE),"")</f>
        <v/>
      </c>
    </row>
    <row r="4810" spans="5:7" ht="15" customHeight="1">
      <c r="E4810" s="49" t="str">
        <f>IFERROR(VLOOKUP(D4810,'taxonomy map'!$A$1:$C$107,2,FALSE),"")</f>
        <v/>
      </c>
      <c r="F4810" s="49" t="str">
        <f>IFERROR(VLOOKUP(E4810,'Condensed Specialty Crosswalk'!$A$2:$C$106,2,FALSE),"")</f>
        <v/>
      </c>
      <c r="G4810" s="49" t="str">
        <f>IFERROR(VLOOKUP(E4810,'Condensed Specialty Crosswalk'!$A$2:$C$106,3,FALSE),"")</f>
        <v/>
      </c>
    </row>
    <row r="4811" spans="5:7" ht="15" customHeight="1">
      <c r="E4811" s="49" t="str">
        <f>IFERROR(VLOOKUP(D4811,'taxonomy map'!$A$1:$C$107,2,FALSE),"")</f>
        <v/>
      </c>
      <c r="F4811" s="49" t="str">
        <f>IFERROR(VLOOKUP(E4811,'Condensed Specialty Crosswalk'!$A$2:$C$106,2,FALSE),"")</f>
        <v/>
      </c>
      <c r="G4811" s="49" t="str">
        <f>IFERROR(VLOOKUP(E4811,'Condensed Specialty Crosswalk'!$A$2:$C$106,3,FALSE),"")</f>
        <v/>
      </c>
    </row>
    <row r="4812" spans="5:7" ht="15" customHeight="1">
      <c r="E4812" s="49" t="str">
        <f>IFERROR(VLOOKUP(D4812,'taxonomy map'!$A$1:$C$107,2,FALSE),"")</f>
        <v/>
      </c>
      <c r="F4812" s="49" t="str">
        <f>IFERROR(VLOOKUP(E4812,'Condensed Specialty Crosswalk'!$A$2:$C$106,2,FALSE),"")</f>
        <v/>
      </c>
      <c r="G4812" s="49" t="str">
        <f>IFERROR(VLOOKUP(E4812,'Condensed Specialty Crosswalk'!$A$2:$C$106,3,FALSE),"")</f>
        <v/>
      </c>
    </row>
    <row r="4813" spans="5:7" ht="15" customHeight="1">
      <c r="E4813" s="49" t="str">
        <f>IFERROR(VLOOKUP(D4813,'taxonomy map'!$A$1:$C$107,2,FALSE),"")</f>
        <v/>
      </c>
      <c r="F4813" s="49" t="str">
        <f>IFERROR(VLOOKUP(E4813,'Condensed Specialty Crosswalk'!$A$2:$C$106,2,FALSE),"")</f>
        <v/>
      </c>
      <c r="G4813" s="49" t="str">
        <f>IFERROR(VLOOKUP(E4813,'Condensed Specialty Crosswalk'!$A$2:$C$106,3,FALSE),"")</f>
        <v/>
      </c>
    </row>
    <row r="4814" spans="5:7" ht="15" customHeight="1">
      <c r="E4814" s="49" t="str">
        <f>IFERROR(VLOOKUP(D4814,'taxonomy map'!$A$1:$C$107,2,FALSE),"")</f>
        <v/>
      </c>
      <c r="F4814" s="49" t="str">
        <f>IFERROR(VLOOKUP(E4814,'Condensed Specialty Crosswalk'!$A$2:$C$106,2,FALSE),"")</f>
        <v/>
      </c>
      <c r="G4814" s="49" t="str">
        <f>IFERROR(VLOOKUP(E4814,'Condensed Specialty Crosswalk'!$A$2:$C$106,3,FALSE),"")</f>
        <v/>
      </c>
    </row>
    <row r="4815" spans="5:7" ht="15" customHeight="1">
      <c r="E4815" s="49" t="str">
        <f>IFERROR(VLOOKUP(D4815,'taxonomy map'!$A$1:$C$107,2,FALSE),"")</f>
        <v/>
      </c>
      <c r="F4815" s="49" t="str">
        <f>IFERROR(VLOOKUP(E4815,'Condensed Specialty Crosswalk'!$A$2:$C$106,2,FALSE),"")</f>
        <v/>
      </c>
      <c r="G4815" s="49" t="str">
        <f>IFERROR(VLOOKUP(E4815,'Condensed Specialty Crosswalk'!$A$2:$C$106,3,FALSE),"")</f>
        <v/>
      </c>
    </row>
    <row r="4816" spans="5:7" ht="15" customHeight="1">
      <c r="E4816" s="49" t="str">
        <f>IFERROR(VLOOKUP(D4816,'taxonomy map'!$A$1:$C$107,2,FALSE),"")</f>
        <v/>
      </c>
      <c r="F4816" s="49" t="str">
        <f>IFERROR(VLOOKUP(E4816,'Condensed Specialty Crosswalk'!$A$2:$C$106,2,FALSE),"")</f>
        <v/>
      </c>
      <c r="G4816" s="49" t="str">
        <f>IFERROR(VLOOKUP(E4816,'Condensed Specialty Crosswalk'!$A$2:$C$106,3,FALSE),"")</f>
        <v/>
      </c>
    </row>
    <row r="4817" spans="5:7" ht="15" customHeight="1">
      <c r="E4817" s="49" t="str">
        <f>IFERROR(VLOOKUP(D4817,'taxonomy map'!$A$1:$C$107,2,FALSE),"")</f>
        <v/>
      </c>
      <c r="F4817" s="49" t="str">
        <f>IFERROR(VLOOKUP(E4817,'Condensed Specialty Crosswalk'!$A$2:$C$106,2,FALSE),"")</f>
        <v/>
      </c>
      <c r="G4817" s="49" t="str">
        <f>IFERROR(VLOOKUP(E4817,'Condensed Specialty Crosswalk'!$A$2:$C$106,3,FALSE),"")</f>
        <v/>
      </c>
    </row>
    <row r="4818" spans="5:7" ht="15" customHeight="1">
      <c r="E4818" s="49" t="str">
        <f>IFERROR(VLOOKUP(D4818,'taxonomy map'!$A$1:$C$107,2,FALSE),"")</f>
        <v/>
      </c>
      <c r="F4818" s="49" t="str">
        <f>IFERROR(VLOOKUP(E4818,'Condensed Specialty Crosswalk'!$A$2:$C$106,2,FALSE),"")</f>
        <v/>
      </c>
      <c r="G4818" s="49" t="str">
        <f>IFERROR(VLOOKUP(E4818,'Condensed Specialty Crosswalk'!$A$2:$C$106,3,FALSE),"")</f>
        <v/>
      </c>
    </row>
    <row r="4819" spans="5:7" ht="15" customHeight="1">
      <c r="E4819" s="49" t="str">
        <f>IFERROR(VLOOKUP(D4819,'taxonomy map'!$A$1:$C$107,2,FALSE),"")</f>
        <v/>
      </c>
      <c r="F4819" s="49" t="str">
        <f>IFERROR(VLOOKUP(E4819,'Condensed Specialty Crosswalk'!$A$2:$C$106,2,FALSE),"")</f>
        <v/>
      </c>
      <c r="G4819" s="49" t="str">
        <f>IFERROR(VLOOKUP(E4819,'Condensed Specialty Crosswalk'!$A$2:$C$106,3,FALSE),"")</f>
        <v/>
      </c>
    </row>
    <row r="4820" spans="5:7" ht="15" customHeight="1">
      <c r="E4820" s="49" t="str">
        <f>IFERROR(VLOOKUP(D4820,'taxonomy map'!$A$1:$C$107,2,FALSE),"")</f>
        <v/>
      </c>
      <c r="F4820" s="49" t="str">
        <f>IFERROR(VLOOKUP(E4820,'Condensed Specialty Crosswalk'!$A$2:$C$106,2,FALSE),"")</f>
        <v/>
      </c>
      <c r="G4820" s="49" t="str">
        <f>IFERROR(VLOOKUP(E4820,'Condensed Specialty Crosswalk'!$A$2:$C$106,3,FALSE),"")</f>
        <v/>
      </c>
    </row>
    <row r="4821" spans="5:7" ht="15" customHeight="1">
      <c r="E4821" s="49" t="str">
        <f>IFERROR(VLOOKUP(D4821,'taxonomy map'!$A$1:$C$107,2,FALSE),"")</f>
        <v/>
      </c>
      <c r="F4821" s="49" t="str">
        <f>IFERROR(VLOOKUP(E4821,'Condensed Specialty Crosswalk'!$A$2:$C$106,2,FALSE),"")</f>
        <v/>
      </c>
      <c r="G4821" s="49" t="str">
        <f>IFERROR(VLOOKUP(E4821,'Condensed Specialty Crosswalk'!$A$2:$C$106,3,FALSE),"")</f>
        <v/>
      </c>
    </row>
    <row r="4822" spans="5:7" ht="15" customHeight="1">
      <c r="E4822" s="49" t="str">
        <f>IFERROR(VLOOKUP(D4822,'taxonomy map'!$A$1:$C$107,2,FALSE),"")</f>
        <v/>
      </c>
      <c r="F4822" s="49" t="str">
        <f>IFERROR(VLOOKUP(E4822,'Condensed Specialty Crosswalk'!$A$2:$C$106,2,FALSE),"")</f>
        <v/>
      </c>
      <c r="G4822" s="49" t="str">
        <f>IFERROR(VLOOKUP(E4822,'Condensed Specialty Crosswalk'!$A$2:$C$106,3,FALSE),"")</f>
        <v/>
      </c>
    </row>
    <row r="4823" spans="5:7" ht="15" customHeight="1">
      <c r="E4823" s="49" t="str">
        <f>IFERROR(VLOOKUP(D4823,'taxonomy map'!$A$1:$C$107,2,FALSE),"")</f>
        <v/>
      </c>
      <c r="F4823" s="49" t="str">
        <f>IFERROR(VLOOKUP(E4823,'Condensed Specialty Crosswalk'!$A$2:$C$106,2,FALSE),"")</f>
        <v/>
      </c>
      <c r="G4823" s="49" t="str">
        <f>IFERROR(VLOOKUP(E4823,'Condensed Specialty Crosswalk'!$A$2:$C$106,3,FALSE),"")</f>
        <v/>
      </c>
    </row>
    <row r="4824" spans="5:7" ht="15" customHeight="1">
      <c r="E4824" s="49" t="str">
        <f>IFERROR(VLOOKUP(D4824,'taxonomy map'!$A$1:$C$107,2,FALSE),"")</f>
        <v/>
      </c>
      <c r="F4824" s="49" t="str">
        <f>IFERROR(VLOOKUP(E4824,'Condensed Specialty Crosswalk'!$A$2:$C$106,2,FALSE),"")</f>
        <v/>
      </c>
      <c r="G4824" s="49" t="str">
        <f>IFERROR(VLOOKUP(E4824,'Condensed Specialty Crosswalk'!$A$2:$C$106,3,FALSE),"")</f>
        <v/>
      </c>
    </row>
    <row r="4825" spans="5:7" ht="15" customHeight="1">
      <c r="E4825" s="49" t="str">
        <f>IFERROR(VLOOKUP(D4825,'taxonomy map'!$A$1:$C$107,2,FALSE),"")</f>
        <v/>
      </c>
      <c r="F4825" s="49" t="str">
        <f>IFERROR(VLOOKUP(E4825,'Condensed Specialty Crosswalk'!$A$2:$C$106,2,FALSE),"")</f>
        <v/>
      </c>
      <c r="G4825" s="49" t="str">
        <f>IFERROR(VLOOKUP(E4825,'Condensed Specialty Crosswalk'!$A$2:$C$106,3,FALSE),"")</f>
        <v/>
      </c>
    </row>
    <row r="4826" spans="5:7" ht="15" customHeight="1">
      <c r="E4826" s="49" t="str">
        <f>IFERROR(VLOOKUP(D4826,'taxonomy map'!$A$1:$C$107,2,FALSE),"")</f>
        <v/>
      </c>
      <c r="F4826" s="49" t="str">
        <f>IFERROR(VLOOKUP(E4826,'Condensed Specialty Crosswalk'!$A$2:$C$106,2,FALSE),"")</f>
        <v/>
      </c>
      <c r="G4826" s="49" t="str">
        <f>IFERROR(VLOOKUP(E4826,'Condensed Specialty Crosswalk'!$A$2:$C$106,3,FALSE),"")</f>
        <v/>
      </c>
    </row>
    <row r="4827" spans="5:7" ht="15" customHeight="1">
      <c r="E4827" s="49" t="str">
        <f>IFERROR(VLOOKUP(D4827,'taxonomy map'!$A$1:$C$107,2,FALSE),"")</f>
        <v/>
      </c>
      <c r="F4827" s="49" t="str">
        <f>IFERROR(VLOOKUP(E4827,'Condensed Specialty Crosswalk'!$A$2:$C$106,2,FALSE),"")</f>
        <v/>
      </c>
      <c r="G4827" s="49" t="str">
        <f>IFERROR(VLOOKUP(E4827,'Condensed Specialty Crosswalk'!$A$2:$C$106,3,FALSE),"")</f>
        <v/>
      </c>
    </row>
    <row r="4828" spans="5:7" ht="15" customHeight="1">
      <c r="E4828" s="49" t="str">
        <f>IFERROR(VLOOKUP(D4828,'taxonomy map'!$A$1:$C$107,2,FALSE),"")</f>
        <v/>
      </c>
      <c r="F4828" s="49" t="str">
        <f>IFERROR(VLOOKUP(E4828,'Condensed Specialty Crosswalk'!$A$2:$C$106,2,FALSE),"")</f>
        <v/>
      </c>
      <c r="G4828" s="49" t="str">
        <f>IFERROR(VLOOKUP(E4828,'Condensed Specialty Crosswalk'!$A$2:$C$106,3,FALSE),"")</f>
        <v/>
      </c>
    </row>
    <row r="4829" spans="5:7" ht="15" customHeight="1">
      <c r="E4829" s="49" t="str">
        <f>IFERROR(VLOOKUP(D4829,'taxonomy map'!$A$1:$C$107,2,FALSE),"")</f>
        <v/>
      </c>
      <c r="F4829" s="49" t="str">
        <f>IFERROR(VLOOKUP(E4829,'Condensed Specialty Crosswalk'!$A$2:$C$106,2,FALSE),"")</f>
        <v/>
      </c>
      <c r="G4829" s="49" t="str">
        <f>IFERROR(VLOOKUP(E4829,'Condensed Specialty Crosswalk'!$A$2:$C$106,3,FALSE),"")</f>
        <v/>
      </c>
    </row>
    <row r="4830" spans="5:7" ht="15" customHeight="1">
      <c r="E4830" s="49" t="str">
        <f>IFERROR(VLOOKUP(D4830,'taxonomy map'!$A$1:$C$107,2,FALSE),"")</f>
        <v/>
      </c>
      <c r="F4830" s="49" t="str">
        <f>IFERROR(VLOOKUP(E4830,'Condensed Specialty Crosswalk'!$A$2:$C$106,2,FALSE),"")</f>
        <v/>
      </c>
      <c r="G4830" s="49" t="str">
        <f>IFERROR(VLOOKUP(E4830,'Condensed Specialty Crosswalk'!$A$2:$C$106,3,FALSE),"")</f>
        <v/>
      </c>
    </row>
    <row r="4831" spans="5:7" ht="15" customHeight="1">
      <c r="E4831" s="49" t="str">
        <f>IFERROR(VLOOKUP(D4831,'taxonomy map'!$A$1:$C$107,2,FALSE),"")</f>
        <v/>
      </c>
      <c r="F4831" s="49" t="str">
        <f>IFERROR(VLOOKUP(E4831,'Condensed Specialty Crosswalk'!$A$2:$C$106,2,FALSE),"")</f>
        <v/>
      </c>
      <c r="G4831" s="49" t="str">
        <f>IFERROR(VLOOKUP(E4831,'Condensed Specialty Crosswalk'!$A$2:$C$106,3,FALSE),"")</f>
        <v/>
      </c>
    </row>
    <row r="4832" spans="5:7" ht="15" customHeight="1">
      <c r="E4832" s="49" t="str">
        <f>IFERROR(VLOOKUP(D4832,'taxonomy map'!$A$1:$C$107,2,FALSE),"")</f>
        <v/>
      </c>
      <c r="F4832" s="49" t="str">
        <f>IFERROR(VLOOKUP(E4832,'Condensed Specialty Crosswalk'!$A$2:$C$106,2,FALSE),"")</f>
        <v/>
      </c>
      <c r="G4832" s="49" t="str">
        <f>IFERROR(VLOOKUP(E4832,'Condensed Specialty Crosswalk'!$A$2:$C$106,3,FALSE),"")</f>
        <v/>
      </c>
    </row>
    <row r="4833" spans="5:7" ht="15" customHeight="1">
      <c r="E4833" s="49" t="str">
        <f>IFERROR(VLOOKUP(D4833,'taxonomy map'!$A$1:$C$107,2,FALSE),"")</f>
        <v/>
      </c>
      <c r="F4833" s="49" t="str">
        <f>IFERROR(VLOOKUP(E4833,'Condensed Specialty Crosswalk'!$A$2:$C$106,2,FALSE),"")</f>
        <v/>
      </c>
      <c r="G4833" s="49" t="str">
        <f>IFERROR(VLOOKUP(E4833,'Condensed Specialty Crosswalk'!$A$2:$C$106,3,FALSE),"")</f>
        <v/>
      </c>
    </row>
    <row r="4834" spans="5:7" ht="15" customHeight="1">
      <c r="E4834" s="49" t="str">
        <f>IFERROR(VLOOKUP(D4834,'taxonomy map'!$A$1:$C$107,2,FALSE),"")</f>
        <v/>
      </c>
      <c r="F4834" s="49" t="str">
        <f>IFERROR(VLOOKUP(E4834,'Condensed Specialty Crosswalk'!$A$2:$C$106,2,FALSE),"")</f>
        <v/>
      </c>
      <c r="G4834" s="49" t="str">
        <f>IFERROR(VLOOKUP(E4834,'Condensed Specialty Crosswalk'!$A$2:$C$106,3,FALSE),"")</f>
        <v/>
      </c>
    </row>
    <row r="4835" spans="5:7" ht="15" customHeight="1">
      <c r="E4835" s="49" t="str">
        <f>IFERROR(VLOOKUP(D4835,'taxonomy map'!$A$1:$C$107,2,FALSE),"")</f>
        <v/>
      </c>
      <c r="F4835" s="49" t="str">
        <f>IFERROR(VLOOKUP(E4835,'Condensed Specialty Crosswalk'!$A$2:$C$106,2,FALSE),"")</f>
        <v/>
      </c>
      <c r="G4835" s="49" t="str">
        <f>IFERROR(VLOOKUP(E4835,'Condensed Specialty Crosswalk'!$A$2:$C$106,3,FALSE),"")</f>
        <v/>
      </c>
    </row>
    <row r="4836" spans="5:7" ht="15" customHeight="1">
      <c r="E4836" s="49" t="str">
        <f>IFERROR(VLOOKUP(D4836,'taxonomy map'!$A$1:$C$107,2,FALSE),"")</f>
        <v/>
      </c>
      <c r="F4836" s="49" t="str">
        <f>IFERROR(VLOOKUP(E4836,'Condensed Specialty Crosswalk'!$A$2:$C$106,2,FALSE),"")</f>
        <v/>
      </c>
      <c r="G4836" s="49" t="str">
        <f>IFERROR(VLOOKUP(E4836,'Condensed Specialty Crosswalk'!$A$2:$C$106,3,FALSE),"")</f>
        <v/>
      </c>
    </row>
    <row r="4837" spans="5:7" ht="15" customHeight="1">
      <c r="E4837" s="49" t="str">
        <f>IFERROR(VLOOKUP(D4837,'taxonomy map'!$A$1:$C$107,2,FALSE),"")</f>
        <v/>
      </c>
      <c r="F4837" s="49" t="str">
        <f>IFERROR(VLOOKUP(E4837,'Condensed Specialty Crosswalk'!$A$2:$C$106,2,FALSE),"")</f>
        <v/>
      </c>
      <c r="G4837" s="49" t="str">
        <f>IFERROR(VLOOKUP(E4837,'Condensed Specialty Crosswalk'!$A$2:$C$106,3,FALSE),"")</f>
        <v/>
      </c>
    </row>
    <row r="4838" spans="5:7" ht="15" customHeight="1">
      <c r="E4838" s="49" t="str">
        <f>IFERROR(VLOOKUP(D4838,'taxonomy map'!$A$1:$C$107,2,FALSE),"")</f>
        <v/>
      </c>
      <c r="F4838" s="49" t="str">
        <f>IFERROR(VLOOKUP(E4838,'Condensed Specialty Crosswalk'!$A$2:$C$106,2,FALSE),"")</f>
        <v/>
      </c>
      <c r="G4838" s="49" t="str">
        <f>IFERROR(VLOOKUP(E4838,'Condensed Specialty Crosswalk'!$A$2:$C$106,3,FALSE),"")</f>
        <v/>
      </c>
    </row>
    <row r="4839" spans="5:7" ht="15" customHeight="1">
      <c r="E4839" s="49" t="str">
        <f>IFERROR(VLOOKUP(D4839,'taxonomy map'!$A$1:$C$107,2,FALSE),"")</f>
        <v/>
      </c>
      <c r="F4839" s="49" t="str">
        <f>IFERROR(VLOOKUP(E4839,'Condensed Specialty Crosswalk'!$A$2:$C$106,2,FALSE),"")</f>
        <v/>
      </c>
      <c r="G4839" s="49" t="str">
        <f>IFERROR(VLOOKUP(E4839,'Condensed Specialty Crosswalk'!$A$2:$C$106,3,FALSE),"")</f>
        <v/>
      </c>
    </row>
    <row r="4840" spans="5:7" ht="15" customHeight="1">
      <c r="E4840" s="49" t="str">
        <f>IFERROR(VLOOKUP(D4840,'taxonomy map'!$A$1:$C$107,2,FALSE),"")</f>
        <v/>
      </c>
      <c r="F4840" s="49" t="str">
        <f>IFERROR(VLOOKUP(E4840,'Condensed Specialty Crosswalk'!$A$2:$C$106,2,FALSE),"")</f>
        <v/>
      </c>
      <c r="G4840" s="49" t="str">
        <f>IFERROR(VLOOKUP(E4840,'Condensed Specialty Crosswalk'!$A$2:$C$106,3,FALSE),"")</f>
        <v/>
      </c>
    </row>
    <row r="4841" spans="5:7" ht="15" customHeight="1">
      <c r="E4841" s="49" t="str">
        <f>IFERROR(VLOOKUP(D4841,'taxonomy map'!$A$1:$C$107,2,FALSE),"")</f>
        <v/>
      </c>
      <c r="F4841" s="49" t="str">
        <f>IFERROR(VLOOKUP(E4841,'Condensed Specialty Crosswalk'!$A$2:$C$106,2,FALSE),"")</f>
        <v/>
      </c>
      <c r="G4841" s="49" t="str">
        <f>IFERROR(VLOOKUP(E4841,'Condensed Specialty Crosswalk'!$A$2:$C$106,3,FALSE),"")</f>
        <v/>
      </c>
    </row>
    <row r="4842" spans="5:7" ht="15" customHeight="1">
      <c r="E4842" s="49" t="str">
        <f>IFERROR(VLOOKUP(D4842,'taxonomy map'!$A$1:$C$107,2,FALSE),"")</f>
        <v/>
      </c>
      <c r="F4842" s="49" t="str">
        <f>IFERROR(VLOOKUP(E4842,'Condensed Specialty Crosswalk'!$A$2:$C$106,2,FALSE),"")</f>
        <v/>
      </c>
      <c r="G4842" s="49" t="str">
        <f>IFERROR(VLOOKUP(E4842,'Condensed Specialty Crosswalk'!$A$2:$C$106,3,FALSE),"")</f>
        <v/>
      </c>
    </row>
    <row r="4843" spans="5:7" ht="15" customHeight="1">
      <c r="E4843" s="49" t="str">
        <f>IFERROR(VLOOKUP(D4843,'taxonomy map'!$A$1:$C$107,2,FALSE),"")</f>
        <v/>
      </c>
      <c r="F4843" s="49" t="str">
        <f>IFERROR(VLOOKUP(E4843,'Condensed Specialty Crosswalk'!$A$2:$C$106,2,FALSE),"")</f>
        <v/>
      </c>
      <c r="G4843" s="49" t="str">
        <f>IFERROR(VLOOKUP(E4843,'Condensed Specialty Crosswalk'!$A$2:$C$106,3,FALSE),"")</f>
        <v/>
      </c>
    </row>
    <row r="4844" spans="5:7" ht="15" customHeight="1">
      <c r="E4844" s="49" t="str">
        <f>IFERROR(VLOOKUP(D4844,'taxonomy map'!$A$1:$C$107,2,FALSE),"")</f>
        <v/>
      </c>
      <c r="F4844" s="49" t="str">
        <f>IFERROR(VLOOKUP(E4844,'Condensed Specialty Crosswalk'!$A$2:$C$106,2,FALSE),"")</f>
        <v/>
      </c>
      <c r="G4844" s="49" t="str">
        <f>IFERROR(VLOOKUP(E4844,'Condensed Specialty Crosswalk'!$A$2:$C$106,3,FALSE),"")</f>
        <v/>
      </c>
    </row>
    <row r="4845" spans="5:7" ht="15" customHeight="1">
      <c r="E4845" s="49" t="str">
        <f>IFERROR(VLOOKUP(D4845,'taxonomy map'!$A$1:$C$107,2,FALSE),"")</f>
        <v/>
      </c>
      <c r="F4845" s="49" t="str">
        <f>IFERROR(VLOOKUP(E4845,'Condensed Specialty Crosswalk'!$A$2:$C$106,2,FALSE),"")</f>
        <v/>
      </c>
      <c r="G4845" s="49" t="str">
        <f>IFERROR(VLOOKUP(E4845,'Condensed Specialty Crosswalk'!$A$2:$C$106,3,FALSE),"")</f>
        <v/>
      </c>
    </row>
    <row r="4846" spans="5:7" ht="15" customHeight="1">
      <c r="E4846" s="49" t="str">
        <f>IFERROR(VLOOKUP(D4846,'taxonomy map'!$A$1:$C$107,2,FALSE),"")</f>
        <v/>
      </c>
      <c r="F4846" s="49" t="str">
        <f>IFERROR(VLOOKUP(E4846,'Condensed Specialty Crosswalk'!$A$2:$C$106,2,FALSE),"")</f>
        <v/>
      </c>
      <c r="G4846" s="49" t="str">
        <f>IFERROR(VLOOKUP(E4846,'Condensed Specialty Crosswalk'!$A$2:$C$106,3,FALSE),"")</f>
        <v/>
      </c>
    </row>
    <row r="4847" spans="5:7" ht="15" customHeight="1">
      <c r="E4847" s="49" t="str">
        <f>IFERROR(VLOOKUP(D4847,'taxonomy map'!$A$1:$C$107,2,FALSE),"")</f>
        <v/>
      </c>
      <c r="F4847" s="49" t="str">
        <f>IFERROR(VLOOKUP(E4847,'Condensed Specialty Crosswalk'!$A$2:$C$106,2,FALSE),"")</f>
        <v/>
      </c>
      <c r="G4847" s="49" t="str">
        <f>IFERROR(VLOOKUP(E4847,'Condensed Specialty Crosswalk'!$A$2:$C$106,3,FALSE),"")</f>
        <v/>
      </c>
    </row>
    <row r="4848" spans="5:7" ht="15" customHeight="1">
      <c r="E4848" s="49" t="str">
        <f>IFERROR(VLOOKUP(D4848,'taxonomy map'!$A$1:$C$107,2,FALSE),"")</f>
        <v/>
      </c>
      <c r="F4848" s="49" t="str">
        <f>IFERROR(VLOOKUP(E4848,'Condensed Specialty Crosswalk'!$A$2:$C$106,2,FALSE),"")</f>
        <v/>
      </c>
      <c r="G4848" s="49" t="str">
        <f>IFERROR(VLOOKUP(E4848,'Condensed Specialty Crosswalk'!$A$2:$C$106,3,FALSE),"")</f>
        <v/>
      </c>
    </row>
    <row r="4849" spans="5:7" ht="15" customHeight="1">
      <c r="E4849" s="49" t="str">
        <f>IFERROR(VLOOKUP(D4849,'taxonomy map'!$A$1:$C$107,2,FALSE),"")</f>
        <v/>
      </c>
      <c r="F4849" s="49" t="str">
        <f>IFERROR(VLOOKUP(E4849,'Condensed Specialty Crosswalk'!$A$2:$C$106,2,FALSE),"")</f>
        <v/>
      </c>
      <c r="G4849" s="49" t="str">
        <f>IFERROR(VLOOKUP(E4849,'Condensed Specialty Crosswalk'!$A$2:$C$106,3,FALSE),"")</f>
        <v/>
      </c>
    </row>
    <row r="4850" spans="5:7" ht="15" customHeight="1">
      <c r="E4850" s="49" t="str">
        <f>IFERROR(VLOOKUP(D4850,'taxonomy map'!$A$1:$C$107,2,FALSE),"")</f>
        <v/>
      </c>
      <c r="F4850" s="49" t="str">
        <f>IFERROR(VLOOKUP(E4850,'Condensed Specialty Crosswalk'!$A$2:$C$106,2,FALSE),"")</f>
        <v/>
      </c>
      <c r="G4850" s="49" t="str">
        <f>IFERROR(VLOOKUP(E4850,'Condensed Specialty Crosswalk'!$A$2:$C$106,3,FALSE),"")</f>
        <v/>
      </c>
    </row>
    <row r="4851" spans="5:7" ht="15" customHeight="1">
      <c r="E4851" s="49" t="str">
        <f>IFERROR(VLOOKUP(D4851,'taxonomy map'!$A$1:$C$107,2,FALSE),"")</f>
        <v/>
      </c>
      <c r="F4851" s="49" t="str">
        <f>IFERROR(VLOOKUP(E4851,'Condensed Specialty Crosswalk'!$A$2:$C$106,2,FALSE),"")</f>
        <v/>
      </c>
      <c r="G4851" s="49" t="str">
        <f>IFERROR(VLOOKUP(E4851,'Condensed Specialty Crosswalk'!$A$2:$C$106,3,FALSE),"")</f>
        <v/>
      </c>
    </row>
    <row r="4852" spans="5:7" ht="15" customHeight="1">
      <c r="E4852" s="49" t="str">
        <f>IFERROR(VLOOKUP(D4852,'taxonomy map'!$A$1:$C$107,2,FALSE),"")</f>
        <v/>
      </c>
      <c r="F4852" s="49" t="str">
        <f>IFERROR(VLOOKUP(E4852,'Condensed Specialty Crosswalk'!$A$2:$C$106,2,FALSE),"")</f>
        <v/>
      </c>
      <c r="G4852" s="49" t="str">
        <f>IFERROR(VLOOKUP(E4852,'Condensed Specialty Crosswalk'!$A$2:$C$106,3,FALSE),"")</f>
        <v/>
      </c>
    </row>
    <row r="4853" spans="5:7" ht="15" customHeight="1">
      <c r="E4853" s="49" t="str">
        <f>IFERROR(VLOOKUP(D4853,'taxonomy map'!$A$1:$C$107,2,FALSE),"")</f>
        <v/>
      </c>
      <c r="F4853" s="49" t="str">
        <f>IFERROR(VLOOKUP(E4853,'Condensed Specialty Crosswalk'!$A$2:$C$106,2,FALSE),"")</f>
        <v/>
      </c>
      <c r="G4853" s="49" t="str">
        <f>IFERROR(VLOOKUP(E4853,'Condensed Specialty Crosswalk'!$A$2:$C$106,3,FALSE),"")</f>
        <v/>
      </c>
    </row>
    <row r="4854" spans="5:7" ht="15" customHeight="1">
      <c r="E4854" s="49" t="str">
        <f>IFERROR(VLOOKUP(D4854,'taxonomy map'!$A$1:$C$107,2,FALSE),"")</f>
        <v/>
      </c>
      <c r="F4854" s="49" t="str">
        <f>IFERROR(VLOOKUP(E4854,'Condensed Specialty Crosswalk'!$A$2:$C$106,2,FALSE),"")</f>
        <v/>
      </c>
      <c r="G4854" s="49" t="str">
        <f>IFERROR(VLOOKUP(E4854,'Condensed Specialty Crosswalk'!$A$2:$C$106,3,FALSE),"")</f>
        <v/>
      </c>
    </row>
    <row r="4855" spans="5:7" ht="15" customHeight="1">
      <c r="E4855" s="49" t="str">
        <f>IFERROR(VLOOKUP(D4855,'taxonomy map'!$A$1:$C$107,2,FALSE),"")</f>
        <v/>
      </c>
      <c r="F4855" s="49" t="str">
        <f>IFERROR(VLOOKUP(E4855,'Condensed Specialty Crosswalk'!$A$2:$C$106,2,FALSE),"")</f>
        <v/>
      </c>
      <c r="G4855" s="49" t="str">
        <f>IFERROR(VLOOKUP(E4855,'Condensed Specialty Crosswalk'!$A$2:$C$106,3,FALSE),"")</f>
        <v/>
      </c>
    </row>
    <row r="4856" spans="5:7" ht="15" customHeight="1">
      <c r="E4856" s="49" t="str">
        <f>IFERROR(VLOOKUP(D4856,'taxonomy map'!$A$1:$C$107,2,FALSE),"")</f>
        <v/>
      </c>
      <c r="F4856" s="49" t="str">
        <f>IFERROR(VLOOKUP(E4856,'Condensed Specialty Crosswalk'!$A$2:$C$106,2,FALSE),"")</f>
        <v/>
      </c>
      <c r="G4856" s="49" t="str">
        <f>IFERROR(VLOOKUP(E4856,'Condensed Specialty Crosswalk'!$A$2:$C$106,3,FALSE),"")</f>
        <v/>
      </c>
    </row>
    <row r="4857" spans="5:7" ht="15" customHeight="1">
      <c r="E4857" s="49" t="str">
        <f>IFERROR(VLOOKUP(D4857,'taxonomy map'!$A$1:$C$107,2,FALSE),"")</f>
        <v/>
      </c>
      <c r="F4857" s="49" t="str">
        <f>IFERROR(VLOOKUP(E4857,'Condensed Specialty Crosswalk'!$A$2:$C$106,2,FALSE),"")</f>
        <v/>
      </c>
      <c r="G4857" s="49" t="str">
        <f>IFERROR(VLOOKUP(E4857,'Condensed Specialty Crosswalk'!$A$2:$C$106,3,FALSE),"")</f>
        <v/>
      </c>
    </row>
    <row r="4858" spans="5:7" ht="15" customHeight="1">
      <c r="E4858" s="49" t="str">
        <f>IFERROR(VLOOKUP(D4858,'taxonomy map'!$A$1:$C$107,2,FALSE),"")</f>
        <v/>
      </c>
      <c r="F4858" s="49" t="str">
        <f>IFERROR(VLOOKUP(E4858,'Condensed Specialty Crosswalk'!$A$2:$C$106,2,FALSE),"")</f>
        <v/>
      </c>
      <c r="G4858" s="49" t="str">
        <f>IFERROR(VLOOKUP(E4858,'Condensed Specialty Crosswalk'!$A$2:$C$106,3,FALSE),"")</f>
        <v/>
      </c>
    </row>
    <row r="4859" spans="5:7" ht="15" customHeight="1">
      <c r="E4859" s="49" t="str">
        <f>IFERROR(VLOOKUP(D4859,'taxonomy map'!$A$1:$C$107,2,FALSE),"")</f>
        <v/>
      </c>
      <c r="F4859" s="49" t="str">
        <f>IFERROR(VLOOKUP(E4859,'Condensed Specialty Crosswalk'!$A$2:$C$106,2,FALSE),"")</f>
        <v/>
      </c>
      <c r="G4859" s="49" t="str">
        <f>IFERROR(VLOOKUP(E4859,'Condensed Specialty Crosswalk'!$A$2:$C$106,3,FALSE),"")</f>
        <v/>
      </c>
    </row>
    <row r="4860" spans="5:7" ht="15" customHeight="1">
      <c r="E4860" s="49" t="str">
        <f>IFERROR(VLOOKUP(D4860,'taxonomy map'!$A$1:$C$107,2,FALSE),"")</f>
        <v/>
      </c>
      <c r="F4860" s="49" t="str">
        <f>IFERROR(VLOOKUP(E4860,'Condensed Specialty Crosswalk'!$A$2:$C$106,2,FALSE),"")</f>
        <v/>
      </c>
      <c r="G4860" s="49" t="str">
        <f>IFERROR(VLOOKUP(E4860,'Condensed Specialty Crosswalk'!$A$2:$C$106,3,FALSE),"")</f>
        <v/>
      </c>
    </row>
    <row r="4861" spans="5:7" ht="15" customHeight="1">
      <c r="E4861" s="49" t="str">
        <f>IFERROR(VLOOKUP(D4861,'taxonomy map'!$A$1:$C$107,2,FALSE),"")</f>
        <v/>
      </c>
      <c r="F4861" s="49" t="str">
        <f>IFERROR(VLOOKUP(E4861,'Condensed Specialty Crosswalk'!$A$2:$C$106,2,FALSE),"")</f>
        <v/>
      </c>
      <c r="G4861" s="49" t="str">
        <f>IFERROR(VLOOKUP(E4861,'Condensed Specialty Crosswalk'!$A$2:$C$106,3,FALSE),"")</f>
        <v/>
      </c>
    </row>
    <row r="4862" spans="5:7" ht="15" customHeight="1">
      <c r="E4862" s="49" t="str">
        <f>IFERROR(VLOOKUP(D4862,'taxonomy map'!$A$1:$C$107,2,FALSE),"")</f>
        <v/>
      </c>
      <c r="F4862" s="49" t="str">
        <f>IFERROR(VLOOKUP(E4862,'Condensed Specialty Crosswalk'!$A$2:$C$106,2,FALSE),"")</f>
        <v/>
      </c>
      <c r="G4862" s="49" t="str">
        <f>IFERROR(VLOOKUP(E4862,'Condensed Specialty Crosswalk'!$A$2:$C$106,3,FALSE),"")</f>
        <v/>
      </c>
    </row>
    <row r="4863" spans="5:7" ht="15" customHeight="1">
      <c r="E4863" s="49" t="str">
        <f>IFERROR(VLOOKUP(D4863,'taxonomy map'!$A$1:$C$107,2,FALSE),"")</f>
        <v/>
      </c>
      <c r="F4863" s="49" t="str">
        <f>IFERROR(VLOOKUP(E4863,'Condensed Specialty Crosswalk'!$A$2:$C$106,2,FALSE),"")</f>
        <v/>
      </c>
      <c r="G4863" s="49" t="str">
        <f>IFERROR(VLOOKUP(E4863,'Condensed Specialty Crosswalk'!$A$2:$C$106,3,FALSE),"")</f>
        <v/>
      </c>
    </row>
    <row r="4864" spans="5:7" ht="15" customHeight="1">
      <c r="E4864" s="49" t="str">
        <f>IFERROR(VLOOKUP(D4864,'taxonomy map'!$A$1:$C$107,2,FALSE),"")</f>
        <v/>
      </c>
      <c r="F4864" s="49" t="str">
        <f>IFERROR(VLOOKUP(E4864,'Condensed Specialty Crosswalk'!$A$2:$C$106,2,FALSE),"")</f>
        <v/>
      </c>
      <c r="G4864" s="49" t="str">
        <f>IFERROR(VLOOKUP(E4864,'Condensed Specialty Crosswalk'!$A$2:$C$106,3,FALSE),"")</f>
        <v/>
      </c>
    </row>
    <row r="4865" spans="5:7" ht="15" customHeight="1">
      <c r="E4865" s="49" t="str">
        <f>IFERROR(VLOOKUP(D4865,'taxonomy map'!$A$1:$C$107,2,FALSE),"")</f>
        <v/>
      </c>
      <c r="F4865" s="49" t="str">
        <f>IFERROR(VLOOKUP(E4865,'Condensed Specialty Crosswalk'!$A$2:$C$106,2,FALSE),"")</f>
        <v/>
      </c>
      <c r="G4865" s="49" t="str">
        <f>IFERROR(VLOOKUP(E4865,'Condensed Specialty Crosswalk'!$A$2:$C$106,3,FALSE),"")</f>
        <v/>
      </c>
    </row>
    <row r="4866" spans="5:7" ht="15" customHeight="1">
      <c r="E4866" s="49" t="str">
        <f>IFERROR(VLOOKUP(D4866,'taxonomy map'!$A$1:$C$107,2,FALSE),"")</f>
        <v/>
      </c>
      <c r="F4866" s="49" t="str">
        <f>IFERROR(VLOOKUP(E4866,'Condensed Specialty Crosswalk'!$A$2:$C$106,2,FALSE),"")</f>
        <v/>
      </c>
      <c r="G4866" s="49" t="str">
        <f>IFERROR(VLOOKUP(E4866,'Condensed Specialty Crosswalk'!$A$2:$C$106,3,FALSE),"")</f>
        <v/>
      </c>
    </row>
    <row r="4867" spans="5:7" ht="15" customHeight="1">
      <c r="E4867" s="49" t="str">
        <f>IFERROR(VLOOKUP(D4867,'taxonomy map'!$A$1:$C$107,2,FALSE),"")</f>
        <v/>
      </c>
      <c r="F4867" s="49" t="str">
        <f>IFERROR(VLOOKUP(E4867,'Condensed Specialty Crosswalk'!$A$2:$C$106,2,FALSE),"")</f>
        <v/>
      </c>
      <c r="G4867" s="49" t="str">
        <f>IFERROR(VLOOKUP(E4867,'Condensed Specialty Crosswalk'!$A$2:$C$106,3,FALSE),"")</f>
        <v/>
      </c>
    </row>
    <row r="4868" spans="5:7" ht="15" customHeight="1">
      <c r="E4868" s="49" t="str">
        <f>IFERROR(VLOOKUP(D4868,'taxonomy map'!$A$1:$C$107,2,FALSE),"")</f>
        <v/>
      </c>
      <c r="F4868" s="49" t="str">
        <f>IFERROR(VLOOKUP(E4868,'Condensed Specialty Crosswalk'!$A$2:$C$106,2,FALSE),"")</f>
        <v/>
      </c>
      <c r="G4868" s="49" t="str">
        <f>IFERROR(VLOOKUP(E4868,'Condensed Specialty Crosswalk'!$A$2:$C$106,3,FALSE),"")</f>
        <v/>
      </c>
    </row>
    <row r="4869" spans="5:7" ht="15" customHeight="1">
      <c r="E4869" s="49" t="str">
        <f>IFERROR(VLOOKUP(D4869,'taxonomy map'!$A$1:$C$107,2,FALSE),"")</f>
        <v/>
      </c>
      <c r="F4869" s="49" t="str">
        <f>IFERROR(VLOOKUP(E4869,'Condensed Specialty Crosswalk'!$A$2:$C$106,2,FALSE),"")</f>
        <v/>
      </c>
      <c r="G4869" s="49" t="str">
        <f>IFERROR(VLOOKUP(E4869,'Condensed Specialty Crosswalk'!$A$2:$C$106,3,FALSE),"")</f>
        <v/>
      </c>
    </row>
    <row r="4870" spans="5:7" ht="15" customHeight="1">
      <c r="E4870" s="49" t="str">
        <f>IFERROR(VLOOKUP(D4870,'taxonomy map'!$A$1:$C$107,2,FALSE),"")</f>
        <v/>
      </c>
      <c r="F4870" s="49" t="str">
        <f>IFERROR(VLOOKUP(E4870,'Condensed Specialty Crosswalk'!$A$2:$C$106,2,FALSE),"")</f>
        <v/>
      </c>
      <c r="G4870" s="49" t="str">
        <f>IFERROR(VLOOKUP(E4870,'Condensed Specialty Crosswalk'!$A$2:$C$106,3,FALSE),"")</f>
        <v/>
      </c>
    </row>
    <row r="4871" spans="5:7" ht="15" customHeight="1">
      <c r="E4871" s="49" t="str">
        <f>IFERROR(VLOOKUP(D4871,'taxonomy map'!$A$1:$C$107,2,FALSE),"")</f>
        <v/>
      </c>
      <c r="F4871" s="49" t="str">
        <f>IFERROR(VLOOKUP(E4871,'Condensed Specialty Crosswalk'!$A$2:$C$106,2,FALSE),"")</f>
        <v/>
      </c>
      <c r="G4871" s="49" t="str">
        <f>IFERROR(VLOOKUP(E4871,'Condensed Specialty Crosswalk'!$A$2:$C$106,3,FALSE),"")</f>
        <v/>
      </c>
    </row>
    <row r="4872" spans="5:7" ht="15" customHeight="1">
      <c r="E4872" s="49" t="str">
        <f>IFERROR(VLOOKUP(D4872,'taxonomy map'!$A$1:$C$107,2,FALSE),"")</f>
        <v/>
      </c>
      <c r="F4872" s="49" t="str">
        <f>IFERROR(VLOOKUP(E4872,'Condensed Specialty Crosswalk'!$A$2:$C$106,2,FALSE),"")</f>
        <v/>
      </c>
      <c r="G4872" s="49" t="str">
        <f>IFERROR(VLOOKUP(E4872,'Condensed Specialty Crosswalk'!$A$2:$C$106,3,FALSE),"")</f>
        <v/>
      </c>
    </row>
    <row r="4873" spans="5:7" ht="15" customHeight="1">
      <c r="E4873" s="49" t="str">
        <f>IFERROR(VLOOKUP(D4873,'taxonomy map'!$A$1:$C$107,2,FALSE),"")</f>
        <v/>
      </c>
      <c r="F4873" s="49" t="str">
        <f>IFERROR(VLOOKUP(E4873,'Condensed Specialty Crosswalk'!$A$2:$C$106,2,FALSE),"")</f>
        <v/>
      </c>
      <c r="G4873" s="49" t="str">
        <f>IFERROR(VLOOKUP(E4873,'Condensed Specialty Crosswalk'!$A$2:$C$106,3,FALSE),"")</f>
        <v/>
      </c>
    </row>
    <row r="4874" spans="5:7" ht="15" customHeight="1">
      <c r="E4874" s="49" t="str">
        <f>IFERROR(VLOOKUP(D4874,'taxonomy map'!$A$1:$C$107,2,FALSE),"")</f>
        <v/>
      </c>
      <c r="F4874" s="49" t="str">
        <f>IFERROR(VLOOKUP(E4874,'Condensed Specialty Crosswalk'!$A$2:$C$106,2,FALSE),"")</f>
        <v/>
      </c>
      <c r="G4874" s="49" t="str">
        <f>IFERROR(VLOOKUP(E4874,'Condensed Specialty Crosswalk'!$A$2:$C$106,3,FALSE),"")</f>
        <v/>
      </c>
    </row>
    <row r="4875" spans="5:7" ht="15" customHeight="1">
      <c r="E4875" s="49" t="str">
        <f>IFERROR(VLOOKUP(D4875,'taxonomy map'!$A$1:$C$107,2,FALSE),"")</f>
        <v/>
      </c>
      <c r="F4875" s="49" t="str">
        <f>IFERROR(VLOOKUP(E4875,'Condensed Specialty Crosswalk'!$A$2:$C$106,2,FALSE),"")</f>
        <v/>
      </c>
      <c r="G4875" s="49" t="str">
        <f>IFERROR(VLOOKUP(E4875,'Condensed Specialty Crosswalk'!$A$2:$C$106,3,FALSE),"")</f>
        <v/>
      </c>
    </row>
    <row r="4876" spans="5:7" ht="15" customHeight="1">
      <c r="E4876" s="49" t="str">
        <f>IFERROR(VLOOKUP(D4876,'taxonomy map'!$A$1:$C$107,2,FALSE),"")</f>
        <v/>
      </c>
      <c r="F4876" s="49" t="str">
        <f>IFERROR(VLOOKUP(E4876,'Condensed Specialty Crosswalk'!$A$2:$C$106,2,FALSE),"")</f>
        <v/>
      </c>
      <c r="G4876" s="49" t="str">
        <f>IFERROR(VLOOKUP(E4876,'Condensed Specialty Crosswalk'!$A$2:$C$106,3,FALSE),"")</f>
        <v/>
      </c>
    </row>
    <row r="4877" spans="5:7" ht="15" customHeight="1">
      <c r="E4877" s="49" t="str">
        <f>IFERROR(VLOOKUP(D4877,'taxonomy map'!$A$1:$C$107,2,FALSE),"")</f>
        <v/>
      </c>
      <c r="F4877" s="49" t="str">
        <f>IFERROR(VLOOKUP(E4877,'Condensed Specialty Crosswalk'!$A$2:$C$106,2,FALSE),"")</f>
        <v/>
      </c>
      <c r="G4877" s="49" t="str">
        <f>IFERROR(VLOOKUP(E4877,'Condensed Specialty Crosswalk'!$A$2:$C$106,3,FALSE),"")</f>
        <v/>
      </c>
    </row>
    <row r="4878" spans="5:7" ht="15" customHeight="1">
      <c r="E4878" s="49" t="str">
        <f>IFERROR(VLOOKUP(D4878,'taxonomy map'!$A$1:$C$107,2,FALSE),"")</f>
        <v/>
      </c>
      <c r="F4878" s="49" t="str">
        <f>IFERROR(VLOOKUP(E4878,'Condensed Specialty Crosswalk'!$A$2:$C$106,2,FALSE),"")</f>
        <v/>
      </c>
      <c r="G4878" s="49" t="str">
        <f>IFERROR(VLOOKUP(E4878,'Condensed Specialty Crosswalk'!$A$2:$C$106,3,FALSE),"")</f>
        <v/>
      </c>
    </row>
    <row r="4879" spans="5:7" ht="15" customHeight="1">
      <c r="E4879" s="49" t="str">
        <f>IFERROR(VLOOKUP(D4879,'taxonomy map'!$A$1:$C$107,2,FALSE),"")</f>
        <v/>
      </c>
      <c r="F4879" s="49" t="str">
        <f>IFERROR(VLOOKUP(E4879,'Condensed Specialty Crosswalk'!$A$2:$C$106,2,FALSE),"")</f>
        <v/>
      </c>
      <c r="G4879" s="49" t="str">
        <f>IFERROR(VLOOKUP(E4879,'Condensed Specialty Crosswalk'!$A$2:$C$106,3,FALSE),"")</f>
        <v/>
      </c>
    </row>
    <row r="4880" spans="5:7" ht="15" customHeight="1">
      <c r="E4880" s="49" t="str">
        <f>IFERROR(VLOOKUP(D4880,'taxonomy map'!$A$1:$C$107,2,FALSE),"")</f>
        <v/>
      </c>
      <c r="F4880" s="49" t="str">
        <f>IFERROR(VLOOKUP(E4880,'Condensed Specialty Crosswalk'!$A$2:$C$106,2,FALSE),"")</f>
        <v/>
      </c>
      <c r="G4880" s="49" t="str">
        <f>IFERROR(VLOOKUP(E4880,'Condensed Specialty Crosswalk'!$A$2:$C$106,3,FALSE),"")</f>
        <v/>
      </c>
    </row>
    <row r="4881" spans="5:7" ht="15" customHeight="1">
      <c r="E4881" s="49" t="str">
        <f>IFERROR(VLOOKUP(D4881,'taxonomy map'!$A$1:$C$107,2,FALSE),"")</f>
        <v/>
      </c>
      <c r="F4881" s="49" t="str">
        <f>IFERROR(VLOOKUP(E4881,'Condensed Specialty Crosswalk'!$A$2:$C$106,2,FALSE),"")</f>
        <v/>
      </c>
      <c r="G4881" s="49" t="str">
        <f>IFERROR(VLOOKUP(E4881,'Condensed Specialty Crosswalk'!$A$2:$C$106,3,FALSE),"")</f>
        <v/>
      </c>
    </row>
    <row r="4882" spans="5:7" ht="15" customHeight="1">
      <c r="E4882" s="49" t="str">
        <f>IFERROR(VLOOKUP(D4882,'taxonomy map'!$A$1:$C$107,2,FALSE),"")</f>
        <v/>
      </c>
      <c r="F4882" s="49" t="str">
        <f>IFERROR(VLOOKUP(E4882,'Condensed Specialty Crosswalk'!$A$2:$C$106,2,FALSE),"")</f>
        <v/>
      </c>
      <c r="G4882" s="49" t="str">
        <f>IFERROR(VLOOKUP(E4882,'Condensed Specialty Crosswalk'!$A$2:$C$106,3,FALSE),"")</f>
        <v/>
      </c>
    </row>
    <row r="4883" spans="5:7" ht="15" customHeight="1">
      <c r="E4883" s="49" t="str">
        <f>IFERROR(VLOOKUP(D4883,'taxonomy map'!$A$1:$C$107,2,FALSE),"")</f>
        <v/>
      </c>
      <c r="F4883" s="49" t="str">
        <f>IFERROR(VLOOKUP(E4883,'Condensed Specialty Crosswalk'!$A$2:$C$106,2,FALSE),"")</f>
        <v/>
      </c>
      <c r="G4883" s="49" t="str">
        <f>IFERROR(VLOOKUP(E4883,'Condensed Specialty Crosswalk'!$A$2:$C$106,3,FALSE),"")</f>
        <v/>
      </c>
    </row>
    <row r="4884" spans="5:7" ht="15" customHeight="1">
      <c r="E4884" s="49" t="str">
        <f>IFERROR(VLOOKUP(D4884,'taxonomy map'!$A$1:$C$107,2,FALSE),"")</f>
        <v/>
      </c>
      <c r="F4884" s="49" t="str">
        <f>IFERROR(VLOOKUP(E4884,'Condensed Specialty Crosswalk'!$A$2:$C$106,2,FALSE),"")</f>
        <v/>
      </c>
      <c r="G4884" s="49" t="str">
        <f>IFERROR(VLOOKUP(E4884,'Condensed Specialty Crosswalk'!$A$2:$C$106,3,FALSE),"")</f>
        <v/>
      </c>
    </row>
    <row r="4885" spans="5:7" ht="15" customHeight="1">
      <c r="E4885" s="49" t="str">
        <f>IFERROR(VLOOKUP(D4885,'taxonomy map'!$A$1:$C$107,2,FALSE),"")</f>
        <v/>
      </c>
      <c r="F4885" s="49" t="str">
        <f>IFERROR(VLOOKUP(E4885,'Condensed Specialty Crosswalk'!$A$2:$C$106,2,FALSE),"")</f>
        <v/>
      </c>
      <c r="G4885" s="49" t="str">
        <f>IFERROR(VLOOKUP(E4885,'Condensed Specialty Crosswalk'!$A$2:$C$106,3,FALSE),"")</f>
        <v/>
      </c>
    </row>
    <row r="4886" spans="5:7" ht="15" customHeight="1">
      <c r="E4886" s="49" t="str">
        <f>IFERROR(VLOOKUP(D4886,'taxonomy map'!$A$1:$C$107,2,FALSE),"")</f>
        <v/>
      </c>
      <c r="F4886" s="49" t="str">
        <f>IFERROR(VLOOKUP(E4886,'Condensed Specialty Crosswalk'!$A$2:$C$106,2,FALSE),"")</f>
        <v/>
      </c>
      <c r="G4886" s="49" t="str">
        <f>IFERROR(VLOOKUP(E4886,'Condensed Specialty Crosswalk'!$A$2:$C$106,3,FALSE),"")</f>
        <v/>
      </c>
    </row>
    <row r="4887" spans="5:7" ht="15" customHeight="1">
      <c r="E4887" s="49" t="str">
        <f>IFERROR(VLOOKUP(D4887,'taxonomy map'!$A$1:$C$107,2,FALSE),"")</f>
        <v/>
      </c>
      <c r="F4887" s="49" t="str">
        <f>IFERROR(VLOOKUP(E4887,'Condensed Specialty Crosswalk'!$A$2:$C$106,2,FALSE),"")</f>
        <v/>
      </c>
      <c r="G4887" s="49" t="str">
        <f>IFERROR(VLOOKUP(E4887,'Condensed Specialty Crosswalk'!$A$2:$C$106,3,FALSE),"")</f>
        <v/>
      </c>
    </row>
    <row r="4888" spans="5:7" ht="15" customHeight="1">
      <c r="E4888" s="49" t="str">
        <f>IFERROR(VLOOKUP(D4888,'taxonomy map'!$A$1:$C$107,2,FALSE),"")</f>
        <v/>
      </c>
      <c r="F4888" s="49" t="str">
        <f>IFERROR(VLOOKUP(E4888,'Condensed Specialty Crosswalk'!$A$2:$C$106,2,FALSE),"")</f>
        <v/>
      </c>
      <c r="G4888" s="49" t="str">
        <f>IFERROR(VLOOKUP(E4888,'Condensed Specialty Crosswalk'!$A$2:$C$106,3,FALSE),"")</f>
        <v/>
      </c>
    </row>
    <row r="4889" spans="5:7" ht="15" customHeight="1">
      <c r="E4889" s="49" t="str">
        <f>IFERROR(VLOOKUP(D4889,'taxonomy map'!$A$1:$C$107,2,FALSE),"")</f>
        <v/>
      </c>
      <c r="F4889" s="49" t="str">
        <f>IFERROR(VLOOKUP(E4889,'Condensed Specialty Crosswalk'!$A$2:$C$106,2,FALSE),"")</f>
        <v/>
      </c>
      <c r="G4889" s="49" t="str">
        <f>IFERROR(VLOOKUP(E4889,'Condensed Specialty Crosswalk'!$A$2:$C$106,3,FALSE),"")</f>
        <v/>
      </c>
    </row>
    <row r="4890" spans="5:7" ht="15" customHeight="1">
      <c r="E4890" s="49" t="str">
        <f>IFERROR(VLOOKUP(D4890,'taxonomy map'!$A$1:$C$107,2,FALSE),"")</f>
        <v/>
      </c>
      <c r="F4890" s="49" t="str">
        <f>IFERROR(VLOOKUP(E4890,'Condensed Specialty Crosswalk'!$A$2:$C$106,2,FALSE),"")</f>
        <v/>
      </c>
      <c r="G4890" s="49" t="str">
        <f>IFERROR(VLOOKUP(E4890,'Condensed Specialty Crosswalk'!$A$2:$C$106,3,FALSE),"")</f>
        <v/>
      </c>
    </row>
    <row r="4891" spans="5:7" ht="15" customHeight="1">
      <c r="E4891" s="49" t="str">
        <f>IFERROR(VLOOKUP(D4891,'taxonomy map'!$A$1:$C$107,2,FALSE),"")</f>
        <v/>
      </c>
      <c r="F4891" s="49" t="str">
        <f>IFERROR(VLOOKUP(E4891,'Condensed Specialty Crosswalk'!$A$2:$C$106,2,FALSE),"")</f>
        <v/>
      </c>
      <c r="G4891" s="49" t="str">
        <f>IFERROR(VLOOKUP(E4891,'Condensed Specialty Crosswalk'!$A$2:$C$106,3,FALSE),"")</f>
        <v/>
      </c>
    </row>
    <row r="4892" spans="5:7" ht="15" customHeight="1">
      <c r="E4892" s="49" t="str">
        <f>IFERROR(VLOOKUP(D4892,'taxonomy map'!$A$1:$C$107,2,FALSE),"")</f>
        <v/>
      </c>
      <c r="F4892" s="49" t="str">
        <f>IFERROR(VLOOKUP(E4892,'Condensed Specialty Crosswalk'!$A$2:$C$106,2,FALSE),"")</f>
        <v/>
      </c>
      <c r="G4892" s="49" t="str">
        <f>IFERROR(VLOOKUP(E4892,'Condensed Specialty Crosswalk'!$A$2:$C$106,3,FALSE),"")</f>
        <v/>
      </c>
    </row>
    <row r="4893" spans="5:7" ht="15" customHeight="1">
      <c r="E4893" s="49" t="str">
        <f>IFERROR(VLOOKUP(D4893,'taxonomy map'!$A$1:$C$107,2,FALSE),"")</f>
        <v/>
      </c>
      <c r="F4893" s="49" t="str">
        <f>IFERROR(VLOOKUP(E4893,'Condensed Specialty Crosswalk'!$A$2:$C$106,2,FALSE),"")</f>
        <v/>
      </c>
      <c r="G4893" s="49" t="str">
        <f>IFERROR(VLOOKUP(E4893,'Condensed Specialty Crosswalk'!$A$2:$C$106,3,FALSE),"")</f>
        <v/>
      </c>
    </row>
    <row r="4894" spans="5:7" ht="15" customHeight="1">
      <c r="E4894" s="49" t="str">
        <f>IFERROR(VLOOKUP(D4894,'taxonomy map'!$A$1:$C$107,2,FALSE),"")</f>
        <v/>
      </c>
      <c r="F4894" s="49" t="str">
        <f>IFERROR(VLOOKUP(E4894,'Condensed Specialty Crosswalk'!$A$2:$C$106,2,FALSE),"")</f>
        <v/>
      </c>
      <c r="G4894" s="49" t="str">
        <f>IFERROR(VLOOKUP(E4894,'Condensed Specialty Crosswalk'!$A$2:$C$106,3,FALSE),"")</f>
        <v/>
      </c>
    </row>
    <row r="4895" spans="5:7" ht="15" customHeight="1">
      <c r="E4895" s="49" t="str">
        <f>IFERROR(VLOOKUP(D4895,'taxonomy map'!$A$1:$C$107,2,FALSE),"")</f>
        <v/>
      </c>
      <c r="F4895" s="49" t="str">
        <f>IFERROR(VLOOKUP(E4895,'Condensed Specialty Crosswalk'!$A$2:$C$106,2,FALSE),"")</f>
        <v/>
      </c>
      <c r="G4895" s="49" t="str">
        <f>IFERROR(VLOOKUP(E4895,'Condensed Specialty Crosswalk'!$A$2:$C$106,3,FALSE),"")</f>
        <v/>
      </c>
    </row>
    <row r="4896" spans="5:7" ht="15" customHeight="1">
      <c r="E4896" s="49" t="str">
        <f>IFERROR(VLOOKUP(D4896,'taxonomy map'!$A$1:$C$107,2,FALSE),"")</f>
        <v/>
      </c>
      <c r="F4896" s="49" t="str">
        <f>IFERROR(VLOOKUP(E4896,'Condensed Specialty Crosswalk'!$A$2:$C$106,2,FALSE),"")</f>
        <v/>
      </c>
      <c r="G4896" s="49" t="str">
        <f>IFERROR(VLOOKUP(E4896,'Condensed Specialty Crosswalk'!$A$2:$C$106,3,FALSE),"")</f>
        <v/>
      </c>
    </row>
    <row r="4897" spans="5:7" ht="15" customHeight="1">
      <c r="E4897" s="49" t="str">
        <f>IFERROR(VLOOKUP(D4897,'taxonomy map'!$A$1:$C$107,2,FALSE),"")</f>
        <v/>
      </c>
      <c r="F4897" s="49" t="str">
        <f>IFERROR(VLOOKUP(E4897,'Condensed Specialty Crosswalk'!$A$2:$C$106,2,FALSE),"")</f>
        <v/>
      </c>
      <c r="G4897" s="49" t="str">
        <f>IFERROR(VLOOKUP(E4897,'Condensed Specialty Crosswalk'!$A$2:$C$106,3,FALSE),"")</f>
        <v/>
      </c>
    </row>
    <row r="4898" spans="5:7" ht="15" customHeight="1">
      <c r="E4898" s="49" t="str">
        <f>IFERROR(VLOOKUP(D4898,'taxonomy map'!$A$1:$C$107,2,FALSE),"")</f>
        <v/>
      </c>
      <c r="F4898" s="49" t="str">
        <f>IFERROR(VLOOKUP(E4898,'Condensed Specialty Crosswalk'!$A$2:$C$106,2,FALSE),"")</f>
        <v/>
      </c>
      <c r="G4898" s="49" t="str">
        <f>IFERROR(VLOOKUP(E4898,'Condensed Specialty Crosswalk'!$A$2:$C$106,3,FALSE),"")</f>
        <v/>
      </c>
    </row>
    <row r="4899" spans="5:7" ht="15" customHeight="1">
      <c r="E4899" s="49" t="str">
        <f>IFERROR(VLOOKUP(D4899,'taxonomy map'!$A$1:$C$107,2,FALSE),"")</f>
        <v/>
      </c>
      <c r="F4899" s="49" t="str">
        <f>IFERROR(VLOOKUP(E4899,'Condensed Specialty Crosswalk'!$A$2:$C$106,2,FALSE),"")</f>
        <v/>
      </c>
      <c r="G4899" s="49" t="str">
        <f>IFERROR(VLOOKUP(E4899,'Condensed Specialty Crosswalk'!$A$2:$C$106,3,FALSE),"")</f>
        <v/>
      </c>
    </row>
    <row r="4900" spans="5:7" ht="15" customHeight="1">
      <c r="E4900" s="49" t="str">
        <f>IFERROR(VLOOKUP(D4900,'taxonomy map'!$A$1:$C$107,2,FALSE),"")</f>
        <v/>
      </c>
      <c r="F4900" s="49" t="str">
        <f>IFERROR(VLOOKUP(E4900,'Condensed Specialty Crosswalk'!$A$2:$C$106,2,FALSE),"")</f>
        <v/>
      </c>
      <c r="G4900" s="49" t="str">
        <f>IFERROR(VLOOKUP(E4900,'Condensed Specialty Crosswalk'!$A$2:$C$106,3,FALSE),"")</f>
        <v/>
      </c>
    </row>
    <row r="4901" spans="5:7" ht="15" customHeight="1">
      <c r="E4901" s="49" t="str">
        <f>IFERROR(VLOOKUP(D4901,'taxonomy map'!$A$1:$C$107,2,FALSE),"")</f>
        <v/>
      </c>
      <c r="F4901" s="49" t="str">
        <f>IFERROR(VLOOKUP(E4901,'Condensed Specialty Crosswalk'!$A$2:$C$106,2,FALSE),"")</f>
        <v/>
      </c>
      <c r="G4901" s="49" t="str">
        <f>IFERROR(VLOOKUP(E4901,'Condensed Specialty Crosswalk'!$A$2:$C$106,3,FALSE),"")</f>
        <v/>
      </c>
    </row>
    <row r="4902" spans="5:7" ht="15" customHeight="1">
      <c r="E4902" s="49" t="str">
        <f>IFERROR(VLOOKUP(D4902,'taxonomy map'!$A$1:$C$107,2,FALSE),"")</f>
        <v/>
      </c>
      <c r="F4902" s="49" t="str">
        <f>IFERROR(VLOOKUP(E4902,'Condensed Specialty Crosswalk'!$A$2:$C$106,2,FALSE),"")</f>
        <v/>
      </c>
      <c r="G4902" s="49" t="str">
        <f>IFERROR(VLOOKUP(E4902,'Condensed Specialty Crosswalk'!$A$2:$C$106,3,FALSE),"")</f>
        <v/>
      </c>
    </row>
    <row r="4903" spans="5:7" ht="15" customHeight="1">
      <c r="E4903" s="49" t="str">
        <f>IFERROR(VLOOKUP(D4903,'taxonomy map'!$A$1:$C$107,2,FALSE),"")</f>
        <v/>
      </c>
      <c r="F4903" s="49" t="str">
        <f>IFERROR(VLOOKUP(E4903,'Condensed Specialty Crosswalk'!$A$2:$C$106,2,FALSE),"")</f>
        <v/>
      </c>
      <c r="G4903" s="49" t="str">
        <f>IFERROR(VLOOKUP(E4903,'Condensed Specialty Crosswalk'!$A$2:$C$106,3,FALSE),"")</f>
        <v/>
      </c>
    </row>
    <row r="4904" spans="5:7" ht="15" customHeight="1">
      <c r="E4904" s="49" t="str">
        <f>IFERROR(VLOOKUP(D4904,'taxonomy map'!$A$1:$C$107,2,FALSE),"")</f>
        <v/>
      </c>
      <c r="F4904" s="49" t="str">
        <f>IFERROR(VLOOKUP(E4904,'Condensed Specialty Crosswalk'!$A$2:$C$106,2,FALSE),"")</f>
        <v/>
      </c>
      <c r="G4904" s="49" t="str">
        <f>IFERROR(VLOOKUP(E4904,'Condensed Specialty Crosswalk'!$A$2:$C$106,3,FALSE),"")</f>
        <v/>
      </c>
    </row>
    <row r="4905" spans="5:7" ht="15" customHeight="1">
      <c r="E4905" s="49" t="str">
        <f>IFERROR(VLOOKUP(D4905,'taxonomy map'!$A$1:$C$107,2,FALSE),"")</f>
        <v/>
      </c>
      <c r="F4905" s="49" t="str">
        <f>IFERROR(VLOOKUP(E4905,'Condensed Specialty Crosswalk'!$A$2:$C$106,2,FALSE),"")</f>
        <v/>
      </c>
      <c r="G4905" s="49" t="str">
        <f>IFERROR(VLOOKUP(E4905,'Condensed Specialty Crosswalk'!$A$2:$C$106,3,FALSE),"")</f>
        <v/>
      </c>
    </row>
    <row r="4906" spans="5:7" ht="15" customHeight="1">
      <c r="E4906" s="49" t="str">
        <f>IFERROR(VLOOKUP(D4906,'taxonomy map'!$A$1:$C$107,2,FALSE),"")</f>
        <v/>
      </c>
      <c r="F4906" s="49" t="str">
        <f>IFERROR(VLOOKUP(E4906,'Condensed Specialty Crosswalk'!$A$2:$C$106,2,FALSE),"")</f>
        <v/>
      </c>
      <c r="G4906" s="49" t="str">
        <f>IFERROR(VLOOKUP(E4906,'Condensed Specialty Crosswalk'!$A$2:$C$106,3,FALSE),"")</f>
        <v/>
      </c>
    </row>
    <row r="4907" spans="5:7" ht="15" customHeight="1">
      <c r="E4907" s="49" t="str">
        <f>IFERROR(VLOOKUP(D4907,'taxonomy map'!$A$1:$C$107,2,FALSE),"")</f>
        <v/>
      </c>
      <c r="F4907" s="49" t="str">
        <f>IFERROR(VLOOKUP(E4907,'Condensed Specialty Crosswalk'!$A$2:$C$106,2,FALSE),"")</f>
        <v/>
      </c>
      <c r="G4907" s="49" t="str">
        <f>IFERROR(VLOOKUP(E4907,'Condensed Specialty Crosswalk'!$A$2:$C$106,3,FALSE),"")</f>
        <v/>
      </c>
    </row>
    <row r="4908" spans="5:7" ht="15" customHeight="1">
      <c r="E4908" s="49" t="str">
        <f>IFERROR(VLOOKUP(D4908,'taxonomy map'!$A$1:$C$107,2,FALSE),"")</f>
        <v/>
      </c>
      <c r="F4908" s="49" t="str">
        <f>IFERROR(VLOOKUP(E4908,'Condensed Specialty Crosswalk'!$A$2:$C$106,2,FALSE),"")</f>
        <v/>
      </c>
      <c r="G4908" s="49" t="str">
        <f>IFERROR(VLOOKUP(E4908,'Condensed Specialty Crosswalk'!$A$2:$C$106,3,FALSE),"")</f>
        <v/>
      </c>
    </row>
    <row r="4909" spans="5:7" ht="15" customHeight="1">
      <c r="E4909" s="49" t="str">
        <f>IFERROR(VLOOKUP(D4909,'taxonomy map'!$A$1:$C$107,2,FALSE),"")</f>
        <v/>
      </c>
      <c r="F4909" s="49" t="str">
        <f>IFERROR(VLOOKUP(E4909,'Condensed Specialty Crosswalk'!$A$2:$C$106,2,FALSE),"")</f>
        <v/>
      </c>
      <c r="G4909" s="49" t="str">
        <f>IFERROR(VLOOKUP(E4909,'Condensed Specialty Crosswalk'!$A$2:$C$106,3,FALSE),"")</f>
        <v/>
      </c>
    </row>
    <row r="4910" spans="5:7" ht="15" customHeight="1">
      <c r="E4910" s="49" t="str">
        <f>IFERROR(VLOOKUP(D4910,'taxonomy map'!$A$1:$C$107,2,FALSE),"")</f>
        <v/>
      </c>
      <c r="F4910" s="49" t="str">
        <f>IFERROR(VLOOKUP(E4910,'Condensed Specialty Crosswalk'!$A$2:$C$106,2,FALSE),"")</f>
        <v/>
      </c>
      <c r="G4910" s="49" t="str">
        <f>IFERROR(VLOOKUP(E4910,'Condensed Specialty Crosswalk'!$A$2:$C$106,3,FALSE),"")</f>
        <v/>
      </c>
    </row>
    <row r="4911" spans="5:7" ht="15" customHeight="1">
      <c r="E4911" s="49" t="str">
        <f>IFERROR(VLOOKUP(D4911,'taxonomy map'!$A$1:$C$107,2,FALSE),"")</f>
        <v/>
      </c>
      <c r="F4911" s="49" t="str">
        <f>IFERROR(VLOOKUP(E4911,'Condensed Specialty Crosswalk'!$A$2:$C$106,2,FALSE),"")</f>
        <v/>
      </c>
      <c r="G4911" s="49" t="str">
        <f>IFERROR(VLOOKUP(E4911,'Condensed Specialty Crosswalk'!$A$2:$C$106,3,FALSE),"")</f>
        <v/>
      </c>
    </row>
    <row r="4912" spans="5:7" ht="15" customHeight="1">
      <c r="E4912" s="49" t="str">
        <f>IFERROR(VLOOKUP(D4912,'taxonomy map'!$A$1:$C$107,2,FALSE),"")</f>
        <v/>
      </c>
      <c r="F4912" s="49" t="str">
        <f>IFERROR(VLOOKUP(E4912,'Condensed Specialty Crosswalk'!$A$2:$C$106,2,FALSE),"")</f>
        <v/>
      </c>
      <c r="G4912" s="49" t="str">
        <f>IFERROR(VLOOKUP(E4912,'Condensed Specialty Crosswalk'!$A$2:$C$106,3,FALSE),"")</f>
        <v/>
      </c>
    </row>
    <row r="4913" spans="5:7" ht="15" customHeight="1">
      <c r="E4913" s="49" t="str">
        <f>IFERROR(VLOOKUP(D4913,'taxonomy map'!$A$1:$C$107,2,FALSE),"")</f>
        <v/>
      </c>
      <c r="F4913" s="49" t="str">
        <f>IFERROR(VLOOKUP(E4913,'Condensed Specialty Crosswalk'!$A$2:$C$106,2,FALSE),"")</f>
        <v/>
      </c>
      <c r="G4913" s="49" t="str">
        <f>IFERROR(VLOOKUP(E4913,'Condensed Specialty Crosswalk'!$A$2:$C$106,3,FALSE),"")</f>
        <v/>
      </c>
    </row>
    <row r="4914" spans="5:7" ht="15" customHeight="1">
      <c r="E4914" s="49" t="str">
        <f>IFERROR(VLOOKUP(D4914,'taxonomy map'!$A$1:$C$107,2,FALSE),"")</f>
        <v/>
      </c>
      <c r="F4914" s="49" t="str">
        <f>IFERROR(VLOOKUP(E4914,'Condensed Specialty Crosswalk'!$A$2:$C$106,2,FALSE),"")</f>
        <v/>
      </c>
      <c r="G4914" s="49" t="str">
        <f>IFERROR(VLOOKUP(E4914,'Condensed Specialty Crosswalk'!$A$2:$C$106,3,FALSE),"")</f>
        <v/>
      </c>
    </row>
    <row r="4915" spans="5:7" ht="15" customHeight="1">
      <c r="E4915" s="49" t="str">
        <f>IFERROR(VLOOKUP(D4915,'taxonomy map'!$A$1:$C$107,2,FALSE),"")</f>
        <v/>
      </c>
      <c r="F4915" s="49" t="str">
        <f>IFERROR(VLOOKUP(E4915,'Condensed Specialty Crosswalk'!$A$2:$C$106,2,FALSE),"")</f>
        <v/>
      </c>
      <c r="G4915" s="49" t="str">
        <f>IFERROR(VLOOKUP(E4915,'Condensed Specialty Crosswalk'!$A$2:$C$106,3,FALSE),"")</f>
        <v/>
      </c>
    </row>
    <row r="4916" spans="5:7" ht="15" customHeight="1">
      <c r="E4916" s="49" t="str">
        <f>IFERROR(VLOOKUP(D4916,'taxonomy map'!$A$1:$C$107,2,FALSE),"")</f>
        <v/>
      </c>
      <c r="F4916" s="49" t="str">
        <f>IFERROR(VLOOKUP(E4916,'Condensed Specialty Crosswalk'!$A$2:$C$106,2,FALSE),"")</f>
        <v/>
      </c>
      <c r="G4916" s="49" t="str">
        <f>IFERROR(VLOOKUP(E4916,'Condensed Specialty Crosswalk'!$A$2:$C$106,3,FALSE),"")</f>
        <v/>
      </c>
    </row>
    <row r="4917" spans="5:7" ht="15" customHeight="1">
      <c r="E4917" s="49" t="str">
        <f>IFERROR(VLOOKUP(D4917,'taxonomy map'!$A$1:$C$107,2,FALSE),"")</f>
        <v/>
      </c>
      <c r="F4917" s="49" t="str">
        <f>IFERROR(VLOOKUP(E4917,'Condensed Specialty Crosswalk'!$A$2:$C$106,2,FALSE),"")</f>
        <v/>
      </c>
      <c r="G4917" s="49" t="str">
        <f>IFERROR(VLOOKUP(E4917,'Condensed Specialty Crosswalk'!$A$2:$C$106,3,FALSE),"")</f>
        <v/>
      </c>
    </row>
    <row r="4918" spans="5:7" ht="15" customHeight="1">
      <c r="E4918" s="49" t="str">
        <f>IFERROR(VLOOKUP(D4918,'taxonomy map'!$A$1:$C$107,2,FALSE),"")</f>
        <v/>
      </c>
      <c r="F4918" s="49" t="str">
        <f>IFERROR(VLOOKUP(E4918,'Condensed Specialty Crosswalk'!$A$2:$C$106,2,FALSE),"")</f>
        <v/>
      </c>
      <c r="G4918" s="49" t="str">
        <f>IFERROR(VLOOKUP(E4918,'Condensed Specialty Crosswalk'!$A$2:$C$106,3,FALSE),"")</f>
        <v/>
      </c>
    </row>
    <row r="4919" spans="5:7" ht="15" customHeight="1">
      <c r="E4919" s="49" t="str">
        <f>IFERROR(VLOOKUP(D4919,'taxonomy map'!$A$1:$C$107,2,FALSE),"")</f>
        <v/>
      </c>
      <c r="F4919" s="49" t="str">
        <f>IFERROR(VLOOKUP(E4919,'Condensed Specialty Crosswalk'!$A$2:$C$106,2,FALSE),"")</f>
        <v/>
      </c>
      <c r="G4919" s="49" t="str">
        <f>IFERROR(VLOOKUP(E4919,'Condensed Specialty Crosswalk'!$A$2:$C$106,3,FALSE),"")</f>
        <v/>
      </c>
    </row>
    <row r="4920" spans="5:7" ht="15" customHeight="1">
      <c r="E4920" s="49" t="str">
        <f>IFERROR(VLOOKUP(D4920,'taxonomy map'!$A$1:$C$107,2,FALSE),"")</f>
        <v/>
      </c>
      <c r="F4920" s="49" t="str">
        <f>IFERROR(VLOOKUP(E4920,'Condensed Specialty Crosswalk'!$A$2:$C$106,2,FALSE),"")</f>
        <v/>
      </c>
      <c r="G4920" s="49" t="str">
        <f>IFERROR(VLOOKUP(E4920,'Condensed Specialty Crosswalk'!$A$2:$C$106,3,FALSE),"")</f>
        <v/>
      </c>
    </row>
    <row r="4921" spans="5:7" ht="15" customHeight="1">
      <c r="E4921" s="49" t="str">
        <f>IFERROR(VLOOKUP(D4921,'taxonomy map'!$A$1:$C$107,2,FALSE),"")</f>
        <v/>
      </c>
      <c r="F4921" s="49" t="str">
        <f>IFERROR(VLOOKUP(E4921,'Condensed Specialty Crosswalk'!$A$2:$C$106,2,FALSE),"")</f>
        <v/>
      </c>
      <c r="G4921" s="49" t="str">
        <f>IFERROR(VLOOKUP(E4921,'Condensed Specialty Crosswalk'!$A$2:$C$106,3,FALSE),"")</f>
        <v/>
      </c>
    </row>
    <row r="4922" spans="5:7" ht="15" customHeight="1">
      <c r="E4922" s="49" t="str">
        <f>IFERROR(VLOOKUP(D4922,'taxonomy map'!$A$1:$C$107,2,FALSE),"")</f>
        <v/>
      </c>
      <c r="F4922" s="49" t="str">
        <f>IFERROR(VLOOKUP(E4922,'Condensed Specialty Crosswalk'!$A$2:$C$106,2,FALSE),"")</f>
        <v/>
      </c>
      <c r="G4922" s="49" t="str">
        <f>IFERROR(VLOOKUP(E4922,'Condensed Specialty Crosswalk'!$A$2:$C$106,3,FALSE),"")</f>
        <v/>
      </c>
    </row>
    <row r="4923" spans="5:7" ht="15" customHeight="1">
      <c r="E4923" s="49" t="str">
        <f>IFERROR(VLOOKUP(D4923,'taxonomy map'!$A$1:$C$107,2,FALSE),"")</f>
        <v/>
      </c>
      <c r="F4923" s="49" t="str">
        <f>IFERROR(VLOOKUP(E4923,'Condensed Specialty Crosswalk'!$A$2:$C$106,2,FALSE),"")</f>
        <v/>
      </c>
      <c r="G4923" s="49" t="str">
        <f>IFERROR(VLOOKUP(E4923,'Condensed Specialty Crosswalk'!$A$2:$C$106,3,FALSE),"")</f>
        <v/>
      </c>
    </row>
    <row r="4924" spans="5:7" ht="15" customHeight="1">
      <c r="E4924" s="49" t="str">
        <f>IFERROR(VLOOKUP(D4924,'taxonomy map'!$A$1:$C$107,2,FALSE),"")</f>
        <v/>
      </c>
      <c r="F4924" s="49" t="str">
        <f>IFERROR(VLOOKUP(E4924,'Condensed Specialty Crosswalk'!$A$2:$C$106,2,FALSE),"")</f>
        <v/>
      </c>
      <c r="G4924" s="49" t="str">
        <f>IFERROR(VLOOKUP(E4924,'Condensed Specialty Crosswalk'!$A$2:$C$106,3,FALSE),"")</f>
        <v/>
      </c>
    </row>
    <row r="4925" spans="5:7" ht="15" customHeight="1">
      <c r="E4925" s="49" t="str">
        <f>IFERROR(VLOOKUP(D4925,'taxonomy map'!$A$1:$C$107,2,FALSE),"")</f>
        <v/>
      </c>
      <c r="F4925" s="49" t="str">
        <f>IFERROR(VLOOKUP(E4925,'Condensed Specialty Crosswalk'!$A$2:$C$106,2,FALSE),"")</f>
        <v/>
      </c>
      <c r="G4925" s="49" t="str">
        <f>IFERROR(VLOOKUP(E4925,'Condensed Specialty Crosswalk'!$A$2:$C$106,3,FALSE),"")</f>
        <v/>
      </c>
    </row>
    <row r="4926" spans="5:7" ht="15" customHeight="1">
      <c r="E4926" s="49" t="str">
        <f>IFERROR(VLOOKUP(D4926,'taxonomy map'!$A$1:$C$107,2,FALSE),"")</f>
        <v/>
      </c>
      <c r="F4926" s="49" t="str">
        <f>IFERROR(VLOOKUP(E4926,'Condensed Specialty Crosswalk'!$A$2:$C$106,2,FALSE),"")</f>
        <v/>
      </c>
      <c r="G4926" s="49" t="str">
        <f>IFERROR(VLOOKUP(E4926,'Condensed Specialty Crosswalk'!$A$2:$C$106,3,FALSE),"")</f>
        <v/>
      </c>
    </row>
    <row r="4927" spans="5:7" ht="15" customHeight="1">
      <c r="E4927" s="49" t="str">
        <f>IFERROR(VLOOKUP(D4927,'taxonomy map'!$A$1:$C$107,2,FALSE),"")</f>
        <v/>
      </c>
      <c r="F4927" s="49" t="str">
        <f>IFERROR(VLOOKUP(E4927,'Condensed Specialty Crosswalk'!$A$2:$C$106,2,FALSE),"")</f>
        <v/>
      </c>
      <c r="G4927" s="49" t="str">
        <f>IFERROR(VLOOKUP(E4927,'Condensed Specialty Crosswalk'!$A$2:$C$106,3,FALSE),"")</f>
        <v/>
      </c>
    </row>
    <row r="4928" spans="5:7" ht="15" customHeight="1">
      <c r="E4928" s="49" t="str">
        <f>IFERROR(VLOOKUP(D4928,'taxonomy map'!$A$1:$C$107,2,FALSE),"")</f>
        <v/>
      </c>
      <c r="F4928" s="49" t="str">
        <f>IFERROR(VLOOKUP(E4928,'Condensed Specialty Crosswalk'!$A$2:$C$106,2,FALSE),"")</f>
        <v/>
      </c>
      <c r="G4928" s="49" t="str">
        <f>IFERROR(VLOOKUP(E4928,'Condensed Specialty Crosswalk'!$A$2:$C$106,3,FALSE),"")</f>
        <v/>
      </c>
    </row>
    <row r="4929" spans="5:7" ht="15" customHeight="1">
      <c r="E4929" s="49" t="str">
        <f>IFERROR(VLOOKUP(D4929,'taxonomy map'!$A$1:$C$107,2,FALSE),"")</f>
        <v/>
      </c>
      <c r="F4929" s="49" t="str">
        <f>IFERROR(VLOOKUP(E4929,'Condensed Specialty Crosswalk'!$A$2:$C$106,2,FALSE),"")</f>
        <v/>
      </c>
      <c r="G4929" s="49" t="str">
        <f>IFERROR(VLOOKUP(E4929,'Condensed Specialty Crosswalk'!$A$2:$C$106,3,FALSE),"")</f>
        <v/>
      </c>
    </row>
    <row r="4930" spans="5:7" ht="15" customHeight="1">
      <c r="E4930" s="49" t="str">
        <f>IFERROR(VLOOKUP(D4930,'taxonomy map'!$A$1:$C$107,2,FALSE),"")</f>
        <v/>
      </c>
      <c r="F4930" s="49" t="str">
        <f>IFERROR(VLOOKUP(E4930,'Condensed Specialty Crosswalk'!$A$2:$C$106,2,FALSE),"")</f>
        <v/>
      </c>
      <c r="G4930" s="49" t="str">
        <f>IFERROR(VLOOKUP(E4930,'Condensed Specialty Crosswalk'!$A$2:$C$106,3,FALSE),"")</f>
        <v/>
      </c>
    </row>
    <row r="4931" spans="5:7" ht="15" customHeight="1">
      <c r="E4931" s="49" t="str">
        <f>IFERROR(VLOOKUP(D4931,'taxonomy map'!$A$1:$C$107,2,FALSE),"")</f>
        <v/>
      </c>
      <c r="F4931" s="49" t="str">
        <f>IFERROR(VLOOKUP(E4931,'Condensed Specialty Crosswalk'!$A$2:$C$106,2,FALSE),"")</f>
        <v/>
      </c>
      <c r="G4931" s="49" t="str">
        <f>IFERROR(VLOOKUP(E4931,'Condensed Specialty Crosswalk'!$A$2:$C$106,3,FALSE),"")</f>
        <v/>
      </c>
    </row>
    <row r="4932" spans="5:7" ht="15" customHeight="1">
      <c r="E4932" s="49" t="str">
        <f>IFERROR(VLOOKUP(D4932,'taxonomy map'!$A$1:$C$107,2,FALSE),"")</f>
        <v/>
      </c>
      <c r="F4932" s="49" t="str">
        <f>IFERROR(VLOOKUP(E4932,'Condensed Specialty Crosswalk'!$A$2:$C$106,2,FALSE),"")</f>
        <v/>
      </c>
      <c r="G4932" s="49" t="str">
        <f>IFERROR(VLOOKUP(E4932,'Condensed Specialty Crosswalk'!$A$2:$C$106,3,FALSE),"")</f>
        <v/>
      </c>
    </row>
    <row r="4933" spans="5:7" ht="15" customHeight="1">
      <c r="E4933" s="49" t="str">
        <f>IFERROR(VLOOKUP(D4933,'taxonomy map'!$A$1:$C$107,2,FALSE),"")</f>
        <v/>
      </c>
      <c r="F4933" s="49" t="str">
        <f>IFERROR(VLOOKUP(E4933,'Condensed Specialty Crosswalk'!$A$2:$C$106,2,FALSE),"")</f>
        <v/>
      </c>
      <c r="G4933" s="49" t="str">
        <f>IFERROR(VLOOKUP(E4933,'Condensed Specialty Crosswalk'!$A$2:$C$106,3,FALSE),"")</f>
        <v/>
      </c>
    </row>
    <row r="4934" spans="5:7" ht="15" customHeight="1">
      <c r="E4934" s="49" t="str">
        <f>IFERROR(VLOOKUP(D4934,'taxonomy map'!$A$1:$C$107,2,FALSE),"")</f>
        <v/>
      </c>
      <c r="F4934" s="49" t="str">
        <f>IFERROR(VLOOKUP(E4934,'Condensed Specialty Crosswalk'!$A$2:$C$106,2,FALSE),"")</f>
        <v/>
      </c>
      <c r="G4934" s="49" t="str">
        <f>IFERROR(VLOOKUP(E4934,'Condensed Specialty Crosswalk'!$A$2:$C$106,3,FALSE),"")</f>
        <v/>
      </c>
    </row>
    <row r="4935" spans="5:7" ht="15" customHeight="1">
      <c r="E4935" s="49" t="str">
        <f>IFERROR(VLOOKUP(D4935,'taxonomy map'!$A$1:$C$107,2,FALSE),"")</f>
        <v/>
      </c>
      <c r="F4935" s="49" t="str">
        <f>IFERROR(VLOOKUP(E4935,'Condensed Specialty Crosswalk'!$A$2:$C$106,2,FALSE),"")</f>
        <v/>
      </c>
      <c r="G4935" s="49" t="str">
        <f>IFERROR(VLOOKUP(E4935,'Condensed Specialty Crosswalk'!$A$2:$C$106,3,FALSE),"")</f>
        <v/>
      </c>
    </row>
    <row r="4936" spans="5:7" ht="15" customHeight="1">
      <c r="E4936" s="49" t="str">
        <f>IFERROR(VLOOKUP(D4936,'taxonomy map'!$A$1:$C$107,2,FALSE),"")</f>
        <v/>
      </c>
      <c r="F4936" s="49" t="str">
        <f>IFERROR(VLOOKUP(E4936,'Condensed Specialty Crosswalk'!$A$2:$C$106,2,FALSE),"")</f>
        <v/>
      </c>
      <c r="G4936" s="49" t="str">
        <f>IFERROR(VLOOKUP(E4936,'Condensed Specialty Crosswalk'!$A$2:$C$106,3,FALSE),"")</f>
        <v/>
      </c>
    </row>
    <row r="4937" spans="5:7" ht="15" customHeight="1">
      <c r="E4937" s="49" t="str">
        <f>IFERROR(VLOOKUP(D4937,'taxonomy map'!$A$1:$C$107,2,FALSE),"")</f>
        <v/>
      </c>
      <c r="F4937" s="49" t="str">
        <f>IFERROR(VLOOKUP(E4937,'Condensed Specialty Crosswalk'!$A$2:$C$106,2,FALSE),"")</f>
        <v/>
      </c>
      <c r="G4937" s="49" t="str">
        <f>IFERROR(VLOOKUP(E4937,'Condensed Specialty Crosswalk'!$A$2:$C$106,3,FALSE),"")</f>
        <v/>
      </c>
    </row>
    <row r="4938" spans="5:7" ht="15" customHeight="1">
      <c r="E4938" s="49" t="str">
        <f>IFERROR(VLOOKUP(D4938,'taxonomy map'!$A$1:$C$107,2,FALSE),"")</f>
        <v/>
      </c>
      <c r="F4938" s="49" t="str">
        <f>IFERROR(VLOOKUP(E4938,'Condensed Specialty Crosswalk'!$A$2:$C$106,2,FALSE),"")</f>
        <v/>
      </c>
      <c r="G4938" s="49" t="str">
        <f>IFERROR(VLOOKUP(E4938,'Condensed Specialty Crosswalk'!$A$2:$C$106,3,FALSE),"")</f>
        <v/>
      </c>
    </row>
    <row r="4939" spans="5:7" ht="15" customHeight="1">
      <c r="E4939" s="49" t="str">
        <f>IFERROR(VLOOKUP(D4939,'taxonomy map'!$A$1:$C$107,2,FALSE),"")</f>
        <v/>
      </c>
      <c r="F4939" s="49" t="str">
        <f>IFERROR(VLOOKUP(E4939,'Condensed Specialty Crosswalk'!$A$2:$C$106,2,FALSE),"")</f>
        <v/>
      </c>
      <c r="G4939" s="49" t="str">
        <f>IFERROR(VLOOKUP(E4939,'Condensed Specialty Crosswalk'!$A$2:$C$106,3,FALSE),"")</f>
        <v/>
      </c>
    </row>
    <row r="4940" spans="5:7" ht="15" customHeight="1">
      <c r="E4940" s="49" t="str">
        <f>IFERROR(VLOOKUP(D4940,'taxonomy map'!$A$1:$C$107,2,FALSE),"")</f>
        <v/>
      </c>
      <c r="F4940" s="49" t="str">
        <f>IFERROR(VLOOKUP(E4940,'Condensed Specialty Crosswalk'!$A$2:$C$106,2,FALSE),"")</f>
        <v/>
      </c>
      <c r="G4940" s="49" t="str">
        <f>IFERROR(VLOOKUP(E4940,'Condensed Specialty Crosswalk'!$A$2:$C$106,3,FALSE),"")</f>
        <v/>
      </c>
    </row>
    <row r="4941" spans="5:7" ht="15" customHeight="1">
      <c r="E4941" s="49" t="str">
        <f>IFERROR(VLOOKUP(D4941,'taxonomy map'!$A$1:$C$107,2,FALSE),"")</f>
        <v/>
      </c>
      <c r="F4941" s="49" t="str">
        <f>IFERROR(VLOOKUP(E4941,'Condensed Specialty Crosswalk'!$A$2:$C$106,2,FALSE),"")</f>
        <v/>
      </c>
      <c r="G4941" s="49" t="str">
        <f>IFERROR(VLOOKUP(E4941,'Condensed Specialty Crosswalk'!$A$2:$C$106,3,FALSE),"")</f>
        <v/>
      </c>
    </row>
    <row r="4942" spans="5:7" ht="15" customHeight="1">
      <c r="E4942" s="49" t="str">
        <f>IFERROR(VLOOKUP(D4942,'taxonomy map'!$A$1:$C$107,2,FALSE),"")</f>
        <v/>
      </c>
      <c r="F4942" s="49" t="str">
        <f>IFERROR(VLOOKUP(E4942,'Condensed Specialty Crosswalk'!$A$2:$C$106,2,FALSE),"")</f>
        <v/>
      </c>
      <c r="G4942" s="49" t="str">
        <f>IFERROR(VLOOKUP(E4942,'Condensed Specialty Crosswalk'!$A$2:$C$106,3,FALSE),"")</f>
        <v/>
      </c>
    </row>
    <row r="4943" spans="5:7" ht="15" customHeight="1">
      <c r="E4943" s="49" t="str">
        <f>IFERROR(VLOOKUP(D4943,'taxonomy map'!$A$1:$C$107,2,FALSE),"")</f>
        <v/>
      </c>
      <c r="F4943" s="49" t="str">
        <f>IFERROR(VLOOKUP(E4943,'Condensed Specialty Crosswalk'!$A$2:$C$106,2,FALSE),"")</f>
        <v/>
      </c>
      <c r="G4943" s="49" t="str">
        <f>IFERROR(VLOOKUP(E4943,'Condensed Specialty Crosswalk'!$A$2:$C$106,3,FALSE),"")</f>
        <v/>
      </c>
    </row>
    <row r="4944" spans="5:7" ht="15" customHeight="1">
      <c r="E4944" s="49" t="str">
        <f>IFERROR(VLOOKUP(D4944,'taxonomy map'!$A$1:$C$107,2,FALSE),"")</f>
        <v/>
      </c>
      <c r="F4944" s="49" t="str">
        <f>IFERROR(VLOOKUP(E4944,'Condensed Specialty Crosswalk'!$A$2:$C$106,2,FALSE),"")</f>
        <v/>
      </c>
      <c r="G4944" s="49" t="str">
        <f>IFERROR(VLOOKUP(E4944,'Condensed Specialty Crosswalk'!$A$2:$C$106,3,FALSE),"")</f>
        <v/>
      </c>
    </row>
    <row r="4945" spans="5:7" ht="15" customHeight="1">
      <c r="E4945" s="49" t="str">
        <f>IFERROR(VLOOKUP(D4945,'taxonomy map'!$A$1:$C$107,2,FALSE),"")</f>
        <v/>
      </c>
      <c r="F4945" s="49" t="str">
        <f>IFERROR(VLOOKUP(E4945,'Condensed Specialty Crosswalk'!$A$2:$C$106,2,FALSE),"")</f>
        <v/>
      </c>
      <c r="G4945" s="49" t="str">
        <f>IFERROR(VLOOKUP(E4945,'Condensed Specialty Crosswalk'!$A$2:$C$106,3,FALSE),"")</f>
        <v/>
      </c>
    </row>
    <row r="4946" spans="5:7" ht="15" customHeight="1">
      <c r="E4946" s="49" t="str">
        <f>IFERROR(VLOOKUP(D4946,'taxonomy map'!$A$1:$C$107,2,FALSE),"")</f>
        <v/>
      </c>
      <c r="F4946" s="49" t="str">
        <f>IFERROR(VLOOKUP(E4946,'Condensed Specialty Crosswalk'!$A$2:$C$106,2,FALSE),"")</f>
        <v/>
      </c>
      <c r="G4946" s="49" t="str">
        <f>IFERROR(VLOOKUP(E4946,'Condensed Specialty Crosswalk'!$A$2:$C$106,3,FALSE),"")</f>
        <v/>
      </c>
    </row>
    <row r="4947" spans="5:7" ht="15" customHeight="1">
      <c r="E4947" s="49" t="str">
        <f>IFERROR(VLOOKUP(D4947,'taxonomy map'!$A$1:$C$107,2,FALSE),"")</f>
        <v/>
      </c>
      <c r="F4947" s="49" t="str">
        <f>IFERROR(VLOOKUP(E4947,'Condensed Specialty Crosswalk'!$A$2:$C$106,2,FALSE),"")</f>
        <v/>
      </c>
      <c r="G4947" s="49" t="str">
        <f>IFERROR(VLOOKUP(E4947,'Condensed Specialty Crosswalk'!$A$2:$C$106,3,FALSE),"")</f>
        <v/>
      </c>
    </row>
    <row r="4948" spans="5:7" ht="15" customHeight="1">
      <c r="E4948" s="49" t="str">
        <f>IFERROR(VLOOKUP(D4948,'taxonomy map'!$A$1:$C$107,2,FALSE),"")</f>
        <v/>
      </c>
      <c r="F4948" s="49" t="str">
        <f>IFERROR(VLOOKUP(E4948,'Condensed Specialty Crosswalk'!$A$2:$C$106,2,FALSE),"")</f>
        <v/>
      </c>
      <c r="G4948" s="49" t="str">
        <f>IFERROR(VLOOKUP(E4948,'Condensed Specialty Crosswalk'!$A$2:$C$106,3,FALSE),"")</f>
        <v/>
      </c>
    </row>
    <row r="4949" spans="5:7" ht="15" customHeight="1">
      <c r="E4949" s="49" t="str">
        <f>IFERROR(VLOOKUP(D4949,'taxonomy map'!$A$1:$C$107,2,FALSE),"")</f>
        <v/>
      </c>
      <c r="F4949" s="49" t="str">
        <f>IFERROR(VLOOKUP(E4949,'Condensed Specialty Crosswalk'!$A$2:$C$106,2,FALSE),"")</f>
        <v/>
      </c>
      <c r="G4949" s="49" t="str">
        <f>IFERROR(VLOOKUP(E4949,'Condensed Specialty Crosswalk'!$A$2:$C$106,3,FALSE),"")</f>
        <v/>
      </c>
    </row>
    <row r="4950" spans="5:7" ht="15" customHeight="1">
      <c r="E4950" s="49" t="str">
        <f>IFERROR(VLOOKUP(D4950,'taxonomy map'!$A$1:$C$107,2,FALSE),"")</f>
        <v/>
      </c>
      <c r="F4950" s="49" t="str">
        <f>IFERROR(VLOOKUP(E4950,'Condensed Specialty Crosswalk'!$A$2:$C$106,2,FALSE),"")</f>
        <v/>
      </c>
      <c r="G4950" s="49" t="str">
        <f>IFERROR(VLOOKUP(E4950,'Condensed Specialty Crosswalk'!$A$2:$C$106,3,FALSE),"")</f>
        <v/>
      </c>
    </row>
    <row r="4951" spans="5:7" ht="15" customHeight="1">
      <c r="E4951" s="49" t="str">
        <f>IFERROR(VLOOKUP(D4951,'taxonomy map'!$A$1:$C$107,2,FALSE),"")</f>
        <v/>
      </c>
      <c r="F4951" s="49" t="str">
        <f>IFERROR(VLOOKUP(E4951,'Condensed Specialty Crosswalk'!$A$2:$C$106,2,FALSE),"")</f>
        <v/>
      </c>
      <c r="G4951" s="49" t="str">
        <f>IFERROR(VLOOKUP(E4951,'Condensed Specialty Crosswalk'!$A$2:$C$106,3,FALSE),"")</f>
        <v/>
      </c>
    </row>
    <row r="4952" spans="5:7" ht="15" customHeight="1">
      <c r="E4952" s="49" t="str">
        <f>IFERROR(VLOOKUP(D4952,'taxonomy map'!$A$1:$C$107,2,FALSE),"")</f>
        <v/>
      </c>
      <c r="F4952" s="49" t="str">
        <f>IFERROR(VLOOKUP(E4952,'Condensed Specialty Crosswalk'!$A$2:$C$106,2,FALSE),"")</f>
        <v/>
      </c>
      <c r="G4952" s="49" t="str">
        <f>IFERROR(VLOOKUP(E4952,'Condensed Specialty Crosswalk'!$A$2:$C$106,3,FALSE),"")</f>
        <v/>
      </c>
    </row>
    <row r="4953" spans="5:7" ht="15" customHeight="1">
      <c r="E4953" s="49" t="str">
        <f>IFERROR(VLOOKUP(D4953,'taxonomy map'!$A$1:$C$107,2,FALSE),"")</f>
        <v/>
      </c>
      <c r="F4953" s="49" t="str">
        <f>IFERROR(VLOOKUP(E4953,'Condensed Specialty Crosswalk'!$A$2:$C$106,2,FALSE),"")</f>
        <v/>
      </c>
      <c r="G4953" s="49" t="str">
        <f>IFERROR(VLOOKUP(E4953,'Condensed Specialty Crosswalk'!$A$2:$C$106,3,FALSE),"")</f>
        <v/>
      </c>
    </row>
    <row r="4954" spans="5:7" ht="15" customHeight="1">
      <c r="E4954" s="49" t="str">
        <f>IFERROR(VLOOKUP(D4954,'taxonomy map'!$A$1:$C$107,2,FALSE),"")</f>
        <v/>
      </c>
      <c r="F4954" s="49" t="str">
        <f>IFERROR(VLOOKUP(E4954,'Condensed Specialty Crosswalk'!$A$2:$C$106,2,FALSE),"")</f>
        <v/>
      </c>
      <c r="G4954" s="49" t="str">
        <f>IFERROR(VLOOKUP(E4954,'Condensed Specialty Crosswalk'!$A$2:$C$106,3,FALSE),"")</f>
        <v/>
      </c>
    </row>
    <row r="4955" spans="5:7" ht="15" customHeight="1">
      <c r="E4955" s="49" t="str">
        <f>IFERROR(VLOOKUP(D4955,'taxonomy map'!$A$1:$C$107,2,FALSE),"")</f>
        <v/>
      </c>
      <c r="F4955" s="49" t="str">
        <f>IFERROR(VLOOKUP(E4955,'Condensed Specialty Crosswalk'!$A$2:$C$106,2,FALSE),"")</f>
        <v/>
      </c>
      <c r="G4955" s="49" t="str">
        <f>IFERROR(VLOOKUP(E4955,'Condensed Specialty Crosswalk'!$A$2:$C$106,3,FALSE),"")</f>
        <v/>
      </c>
    </row>
    <row r="4956" spans="5:7" ht="15" customHeight="1">
      <c r="E4956" s="49" t="str">
        <f>IFERROR(VLOOKUP(D4956,'taxonomy map'!$A$1:$C$107,2,FALSE),"")</f>
        <v/>
      </c>
      <c r="F4956" s="49" t="str">
        <f>IFERROR(VLOOKUP(E4956,'Condensed Specialty Crosswalk'!$A$2:$C$106,2,FALSE),"")</f>
        <v/>
      </c>
      <c r="G4956" s="49" t="str">
        <f>IFERROR(VLOOKUP(E4956,'Condensed Specialty Crosswalk'!$A$2:$C$106,3,FALSE),"")</f>
        <v/>
      </c>
    </row>
    <row r="4957" spans="5:7" ht="15" customHeight="1">
      <c r="E4957" s="49" t="str">
        <f>IFERROR(VLOOKUP(D4957,'taxonomy map'!$A$1:$C$107,2,FALSE),"")</f>
        <v/>
      </c>
      <c r="F4957" s="49" t="str">
        <f>IFERROR(VLOOKUP(E4957,'Condensed Specialty Crosswalk'!$A$2:$C$106,2,FALSE),"")</f>
        <v/>
      </c>
      <c r="G4957" s="49" t="str">
        <f>IFERROR(VLOOKUP(E4957,'Condensed Specialty Crosswalk'!$A$2:$C$106,3,FALSE),"")</f>
        <v/>
      </c>
    </row>
    <row r="4958" spans="5:7" ht="15" customHeight="1">
      <c r="E4958" s="49" t="str">
        <f>IFERROR(VLOOKUP(D4958,'taxonomy map'!$A$1:$C$107,2,FALSE),"")</f>
        <v/>
      </c>
      <c r="F4958" s="49" t="str">
        <f>IFERROR(VLOOKUP(E4958,'Condensed Specialty Crosswalk'!$A$2:$C$106,2,FALSE),"")</f>
        <v/>
      </c>
      <c r="G4958" s="49" t="str">
        <f>IFERROR(VLOOKUP(E4958,'Condensed Specialty Crosswalk'!$A$2:$C$106,3,FALSE),"")</f>
        <v/>
      </c>
    </row>
    <row r="4959" spans="5:7" ht="15" customHeight="1">
      <c r="E4959" s="49" t="str">
        <f>IFERROR(VLOOKUP(D4959,'taxonomy map'!$A$1:$C$107,2,FALSE),"")</f>
        <v/>
      </c>
      <c r="F4959" s="49" t="str">
        <f>IFERROR(VLOOKUP(E4959,'Condensed Specialty Crosswalk'!$A$2:$C$106,2,FALSE),"")</f>
        <v/>
      </c>
      <c r="G4959" s="49" t="str">
        <f>IFERROR(VLOOKUP(E4959,'Condensed Specialty Crosswalk'!$A$2:$C$106,3,FALSE),"")</f>
        <v/>
      </c>
    </row>
    <row r="4960" spans="5:7" ht="15" customHeight="1">
      <c r="E4960" s="49" t="str">
        <f>IFERROR(VLOOKUP(D4960,'taxonomy map'!$A$1:$C$107,2,FALSE),"")</f>
        <v/>
      </c>
      <c r="F4960" s="49" t="str">
        <f>IFERROR(VLOOKUP(E4960,'Condensed Specialty Crosswalk'!$A$2:$C$106,2,FALSE),"")</f>
        <v/>
      </c>
      <c r="G4960" s="49" t="str">
        <f>IFERROR(VLOOKUP(E4960,'Condensed Specialty Crosswalk'!$A$2:$C$106,3,FALSE),"")</f>
        <v/>
      </c>
    </row>
    <row r="4961" spans="5:7" ht="15" customHeight="1">
      <c r="E4961" s="49" t="str">
        <f>IFERROR(VLOOKUP(D4961,'taxonomy map'!$A$1:$C$107,2,FALSE),"")</f>
        <v/>
      </c>
      <c r="F4961" s="49" t="str">
        <f>IFERROR(VLOOKUP(E4961,'Condensed Specialty Crosswalk'!$A$2:$C$106,2,FALSE),"")</f>
        <v/>
      </c>
      <c r="G4961" s="49" t="str">
        <f>IFERROR(VLOOKUP(E4961,'Condensed Specialty Crosswalk'!$A$2:$C$106,3,FALSE),"")</f>
        <v/>
      </c>
    </row>
    <row r="4962" spans="5:7" ht="15" customHeight="1">
      <c r="E4962" s="49" t="str">
        <f>IFERROR(VLOOKUP(D4962,'taxonomy map'!$A$1:$C$107,2,FALSE),"")</f>
        <v/>
      </c>
      <c r="F4962" s="49" t="str">
        <f>IFERROR(VLOOKUP(E4962,'Condensed Specialty Crosswalk'!$A$2:$C$106,2,FALSE),"")</f>
        <v/>
      </c>
      <c r="G4962" s="49" t="str">
        <f>IFERROR(VLOOKUP(E4962,'Condensed Specialty Crosswalk'!$A$2:$C$106,3,FALSE),"")</f>
        <v/>
      </c>
    </row>
    <row r="4963" spans="5:7" ht="15" customHeight="1">
      <c r="E4963" s="49" t="str">
        <f>IFERROR(VLOOKUP(D4963,'taxonomy map'!$A$1:$C$107,2,FALSE),"")</f>
        <v/>
      </c>
      <c r="F4963" s="49" t="str">
        <f>IFERROR(VLOOKUP(E4963,'Condensed Specialty Crosswalk'!$A$2:$C$106,2,FALSE),"")</f>
        <v/>
      </c>
      <c r="G4963" s="49" t="str">
        <f>IFERROR(VLOOKUP(E4963,'Condensed Specialty Crosswalk'!$A$2:$C$106,3,FALSE),"")</f>
        <v/>
      </c>
    </row>
    <row r="4964" spans="5:7" ht="15" customHeight="1">
      <c r="E4964" s="49" t="str">
        <f>IFERROR(VLOOKUP(D4964,'taxonomy map'!$A$1:$C$107,2,FALSE),"")</f>
        <v/>
      </c>
      <c r="F4964" s="49" t="str">
        <f>IFERROR(VLOOKUP(E4964,'Condensed Specialty Crosswalk'!$A$2:$C$106,2,FALSE),"")</f>
        <v/>
      </c>
      <c r="G4964" s="49" t="str">
        <f>IFERROR(VLOOKUP(E4964,'Condensed Specialty Crosswalk'!$A$2:$C$106,3,FALSE),"")</f>
        <v/>
      </c>
    </row>
    <row r="4965" spans="5:7" ht="15" customHeight="1">
      <c r="E4965" s="49" t="str">
        <f>IFERROR(VLOOKUP(D4965,'taxonomy map'!$A$1:$C$107,2,FALSE),"")</f>
        <v/>
      </c>
      <c r="F4965" s="49" t="str">
        <f>IFERROR(VLOOKUP(E4965,'Condensed Specialty Crosswalk'!$A$2:$C$106,2,FALSE),"")</f>
        <v/>
      </c>
      <c r="G4965" s="49" t="str">
        <f>IFERROR(VLOOKUP(E4965,'Condensed Specialty Crosswalk'!$A$2:$C$106,3,FALSE),"")</f>
        <v/>
      </c>
    </row>
    <row r="4966" spans="5:7" ht="15" customHeight="1">
      <c r="E4966" s="49" t="str">
        <f>IFERROR(VLOOKUP(D4966,'taxonomy map'!$A$1:$C$107,2,FALSE),"")</f>
        <v/>
      </c>
      <c r="F4966" s="49" t="str">
        <f>IFERROR(VLOOKUP(E4966,'Condensed Specialty Crosswalk'!$A$2:$C$106,2,FALSE),"")</f>
        <v/>
      </c>
      <c r="G4966" s="49" t="str">
        <f>IFERROR(VLOOKUP(E4966,'Condensed Specialty Crosswalk'!$A$2:$C$106,3,FALSE),"")</f>
        <v/>
      </c>
    </row>
    <row r="4967" spans="5:7" ht="15" customHeight="1">
      <c r="E4967" s="49" t="str">
        <f>IFERROR(VLOOKUP(D4967,'taxonomy map'!$A$1:$C$107,2,FALSE),"")</f>
        <v/>
      </c>
      <c r="F4967" s="49" t="str">
        <f>IFERROR(VLOOKUP(E4967,'Condensed Specialty Crosswalk'!$A$2:$C$106,2,FALSE),"")</f>
        <v/>
      </c>
      <c r="G4967" s="49" t="str">
        <f>IFERROR(VLOOKUP(E4967,'Condensed Specialty Crosswalk'!$A$2:$C$106,3,FALSE),"")</f>
        <v/>
      </c>
    </row>
    <row r="4968" spans="5:7" ht="15" customHeight="1">
      <c r="E4968" s="49" t="str">
        <f>IFERROR(VLOOKUP(D4968,'taxonomy map'!$A$1:$C$107,2,FALSE),"")</f>
        <v/>
      </c>
      <c r="F4968" s="49" t="str">
        <f>IFERROR(VLOOKUP(E4968,'Condensed Specialty Crosswalk'!$A$2:$C$106,2,FALSE),"")</f>
        <v/>
      </c>
      <c r="G4968" s="49" t="str">
        <f>IFERROR(VLOOKUP(E4968,'Condensed Specialty Crosswalk'!$A$2:$C$106,3,FALSE),"")</f>
        <v/>
      </c>
    </row>
    <row r="4969" spans="5:7" ht="15" customHeight="1">
      <c r="E4969" s="49" t="str">
        <f>IFERROR(VLOOKUP(D4969,'taxonomy map'!$A$1:$C$107,2,FALSE),"")</f>
        <v/>
      </c>
      <c r="F4969" s="49" t="str">
        <f>IFERROR(VLOOKUP(E4969,'Condensed Specialty Crosswalk'!$A$2:$C$106,2,FALSE),"")</f>
        <v/>
      </c>
      <c r="G4969" s="49" t="str">
        <f>IFERROR(VLOOKUP(E4969,'Condensed Specialty Crosswalk'!$A$2:$C$106,3,FALSE),"")</f>
        <v/>
      </c>
    </row>
    <row r="4970" spans="5:7" ht="15" customHeight="1">
      <c r="E4970" s="49" t="str">
        <f>IFERROR(VLOOKUP(D4970,'taxonomy map'!$A$1:$C$107,2,FALSE),"")</f>
        <v/>
      </c>
      <c r="F4970" s="49" t="str">
        <f>IFERROR(VLOOKUP(E4970,'Condensed Specialty Crosswalk'!$A$2:$C$106,2,FALSE),"")</f>
        <v/>
      </c>
      <c r="G4970" s="49" t="str">
        <f>IFERROR(VLOOKUP(E4970,'Condensed Specialty Crosswalk'!$A$2:$C$106,3,FALSE),"")</f>
        <v/>
      </c>
    </row>
    <row r="4971" spans="5:7" ht="15" customHeight="1">
      <c r="E4971" s="49" t="str">
        <f>IFERROR(VLOOKUP(D4971,'taxonomy map'!$A$1:$C$107,2,FALSE),"")</f>
        <v/>
      </c>
      <c r="F4971" s="49" t="str">
        <f>IFERROR(VLOOKUP(E4971,'Condensed Specialty Crosswalk'!$A$2:$C$106,2,FALSE),"")</f>
        <v/>
      </c>
      <c r="G4971" s="49" t="str">
        <f>IFERROR(VLOOKUP(E4971,'Condensed Specialty Crosswalk'!$A$2:$C$106,3,FALSE),"")</f>
        <v/>
      </c>
    </row>
    <row r="4972" spans="5:7" ht="15" customHeight="1">
      <c r="E4972" s="49" t="str">
        <f>IFERROR(VLOOKUP(D4972,'taxonomy map'!$A$1:$C$107,2,FALSE),"")</f>
        <v/>
      </c>
      <c r="F4972" s="49" t="str">
        <f>IFERROR(VLOOKUP(E4972,'Condensed Specialty Crosswalk'!$A$2:$C$106,2,FALSE),"")</f>
        <v/>
      </c>
      <c r="G4972" s="49" t="str">
        <f>IFERROR(VLOOKUP(E4972,'Condensed Specialty Crosswalk'!$A$2:$C$106,3,FALSE),"")</f>
        <v/>
      </c>
    </row>
    <row r="4973" spans="5:7" ht="15" customHeight="1">
      <c r="E4973" s="49" t="str">
        <f>IFERROR(VLOOKUP(D4973,'taxonomy map'!$A$1:$C$107,2,FALSE),"")</f>
        <v/>
      </c>
      <c r="F4973" s="49" t="str">
        <f>IFERROR(VLOOKUP(E4973,'Condensed Specialty Crosswalk'!$A$2:$C$106,2,FALSE),"")</f>
        <v/>
      </c>
      <c r="G4973" s="49" t="str">
        <f>IFERROR(VLOOKUP(E4973,'Condensed Specialty Crosswalk'!$A$2:$C$106,3,FALSE),"")</f>
        <v/>
      </c>
    </row>
    <row r="4974" spans="5:7" ht="15" customHeight="1">
      <c r="E4974" s="49" t="str">
        <f>IFERROR(VLOOKUP(D4974,'taxonomy map'!$A$1:$C$107,2,FALSE),"")</f>
        <v/>
      </c>
      <c r="F4974" s="49" t="str">
        <f>IFERROR(VLOOKUP(E4974,'Condensed Specialty Crosswalk'!$A$2:$C$106,2,FALSE),"")</f>
        <v/>
      </c>
      <c r="G4974" s="49" t="str">
        <f>IFERROR(VLOOKUP(E4974,'Condensed Specialty Crosswalk'!$A$2:$C$106,3,FALSE),"")</f>
        <v/>
      </c>
    </row>
    <row r="4975" spans="5:7" ht="15" customHeight="1">
      <c r="E4975" s="49" t="str">
        <f>IFERROR(VLOOKUP(D4975,'taxonomy map'!$A$1:$C$107,2,FALSE),"")</f>
        <v/>
      </c>
      <c r="F4975" s="49" t="str">
        <f>IFERROR(VLOOKUP(E4975,'Condensed Specialty Crosswalk'!$A$2:$C$106,2,FALSE),"")</f>
        <v/>
      </c>
      <c r="G4975" s="49" t="str">
        <f>IFERROR(VLOOKUP(E4975,'Condensed Specialty Crosswalk'!$A$2:$C$106,3,FALSE),"")</f>
        <v/>
      </c>
    </row>
    <row r="4976" spans="5:7" ht="15" customHeight="1">
      <c r="E4976" s="49" t="str">
        <f>IFERROR(VLOOKUP(D4976,'taxonomy map'!$A$1:$C$107,2,FALSE),"")</f>
        <v/>
      </c>
      <c r="F4976" s="49" t="str">
        <f>IFERROR(VLOOKUP(E4976,'Condensed Specialty Crosswalk'!$A$2:$C$106,2,FALSE),"")</f>
        <v/>
      </c>
      <c r="G4976" s="49" t="str">
        <f>IFERROR(VLOOKUP(E4976,'Condensed Specialty Crosswalk'!$A$2:$C$106,3,FALSE),"")</f>
        <v/>
      </c>
    </row>
    <row r="4977" spans="5:7" ht="15" customHeight="1">
      <c r="E4977" s="49" t="str">
        <f>IFERROR(VLOOKUP(D4977,'taxonomy map'!$A$1:$C$107,2,FALSE),"")</f>
        <v/>
      </c>
      <c r="F4977" s="49" t="str">
        <f>IFERROR(VLOOKUP(E4977,'Condensed Specialty Crosswalk'!$A$2:$C$106,2,FALSE),"")</f>
        <v/>
      </c>
      <c r="G4977" s="49" t="str">
        <f>IFERROR(VLOOKUP(E4977,'Condensed Specialty Crosswalk'!$A$2:$C$106,3,FALSE),"")</f>
        <v/>
      </c>
    </row>
    <row r="4978" spans="5:7" ht="15" customHeight="1">
      <c r="E4978" s="49" t="str">
        <f>IFERROR(VLOOKUP(D4978,'taxonomy map'!$A$1:$C$107,2,FALSE),"")</f>
        <v/>
      </c>
      <c r="F4978" s="49" t="str">
        <f>IFERROR(VLOOKUP(E4978,'Condensed Specialty Crosswalk'!$A$2:$C$106,2,FALSE),"")</f>
        <v/>
      </c>
      <c r="G4978" s="49" t="str">
        <f>IFERROR(VLOOKUP(E4978,'Condensed Specialty Crosswalk'!$A$2:$C$106,3,FALSE),"")</f>
        <v/>
      </c>
    </row>
    <row r="4979" spans="5:7" ht="15" customHeight="1">
      <c r="E4979" s="49" t="str">
        <f>IFERROR(VLOOKUP(D4979,'taxonomy map'!$A$1:$C$107,2,FALSE),"")</f>
        <v/>
      </c>
      <c r="F4979" s="49" t="str">
        <f>IFERROR(VLOOKUP(E4979,'Condensed Specialty Crosswalk'!$A$2:$C$106,2,FALSE),"")</f>
        <v/>
      </c>
      <c r="G4979" s="49" t="str">
        <f>IFERROR(VLOOKUP(E4979,'Condensed Specialty Crosswalk'!$A$2:$C$106,3,FALSE),"")</f>
        <v/>
      </c>
    </row>
    <row r="4980" spans="5:7" ht="15" customHeight="1">
      <c r="E4980" s="49" t="str">
        <f>IFERROR(VLOOKUP(D4980,'taxonomy map'!$A$1:$C$107,2,FALSE),"")</f>
        <v/>
      </c>
      <c r="F4980" s="49" t="str">
        <f>IFERROR(VLOOKUP(E4980,'Condensed Specialty Crosswalk'!$A$2:$C$106,2,FALSE),"")</f>
        <v/>
      </c>
      <c r="G4980" s="49" t="str">
        <f>IFERROR(VLOOKUP(E4980,'Condensed Specialty Crosswalk'!$A$2:$C$106,3,FALSE),"")</f>
        <v/>
      </c>
    </row>
    <row r="4981" spans="5:7" ht="15" customHeight="1">
      <c r="E4981" s="49" t="str">
        <f>IFERROR(VLOOKUP(D4981,'taxonomy map'!$A$1:$C$107,2,FALSE),"")</f>
        <v/>
      </c>
      <c r="F4981" s="49" t="str">
        <f>IFERROR(VLOOKUP(E4981,'Condensed Specialty Crosswalk'!$A$2:$C$106,2,FALSE),"")</f>
        <v/>
      </c>
      <c r="G4981" s="49" t="str">
        <f>IFERROR(VLOOKUP(E4981,'Condensed Specialty Crosswalk'!$A$2:$C$106,3,FALSE),"")</f>
        <v/>
      </c>
    </row>
    <row r="4982" spans="5:7" ht="15" customHeight="1">
      <c r="E4982" s="49" t="str">
        <f>IFERROR(VLOOKUP(D4982,'taxonomy map'!$A$1:$C$107,2,FALSE),"")</f>
        <v/>
      </c>
      <c r="F4982" s="49" t="str">
        <f>IFERROR(VLOOKUP(E4982,'Condensed Specialty Crosswalk'!$A$2:$C$106,2,FALSE),"")</f>
        <v/>
      </c>
      <c r="G4982" s="49" t="str">
        <f>IFERROR(VLOOKUP(E4982,'Condensed Specialty Crosswalk'!$A$2:$C$106,3,FALSE),"")</f>
        <v/>
      </c>
    </row>
    <row r="4983" spans="5:7" ht="15" customHeight="1">
      <c r="E4983" s="49" t="str">
        <f>IFERROR(VLOOKUP(D4983,'taxonomy map'!$A$1:$C$107,2,FALSE),"")</f>
        <v/>
      </c>
      <c r="F4983" s="49" t="str">
        <f>IFERROR(VLOOKUP(E4983,'Condensed Specialty Crosswalk'!$A$2:$C$106,2,FALSE),"")</f>
        <v/>
      </c>
      <c r="G4983" s="49" t="str">
        <f>IFERROR(VLOOKUP(E4983,'Condensed Specialty Crosswalk'!$A$2:$C$106,3,FALSE),"")</f>
        <v/>
      </c>
    </row>
    <row r="4984" spans="5:7" ht="15" customHeight="1">
      <c r="E4984" s="49" t="str">
        <f>IFERROR(VLOOKUP(D4984,'taxonomy map'!$A$1:$C$107,2,FALSE),"")</f>
        <v/>
      </c>
      <c r="F4984" s="49" t="str">
        <f>IFERROR(VLOOKUP(E4984,'Condensed Specialty Crosswalk'!$A$2:$C$106,2,FALSE),"")</f>
        <v/>
      </c>
      <c r="G4984" s="49" t="str">
        <f>IFERROR(VLOOKUP(E4984,'Condensed Specialty Crosswalk'!$A$2:$C$106,3,FALSE),"")</f>
        <v/>
      </c>
    </row>
    <row r="4985" spans="5:7" ht="15" customHeight="1">
      <c r="E4985" s="49" t="str">
        <f>IFERROR(VLOOKUP(D4985,'taxonomy map'!$A$1:$C$107,2,FALSE),"")</f>
        <v/>
      </c>
      <c r="F4985" s="49" t="str">
        <f>IFERROR(VLOOKUP(E4985,'Condensed Specialty Crosswalk'!$A$2:$C$106,2,FALSE),"")</f>
        <v/>
      </c>
      <c r="G4985" s="49" t="str">
        <f>IFERROR(VLOOKUP(E4985,'Condensed Specialty Crosswalk'!$A$2:$C$106,3,FALSE),"")</f>
        <v/>
      </c>
    </row>
    <row r="4986" spans="5:7" ht="15" customHeight="1">
      <c r="E4986" s="49" t="str">
        <f>IFERROR(VLOOKUP(D4986,'taxonomy map'!$A$1:$C$107,2,FALSE),"")</f>
        <v/>
      </c>
      <c r="F4986" s="49" t="str">
        <f>IFERROR(VLOOKUP(E4986,'Condensed Specialty Crosswalk'!$A$2:$C$106,2,FALSE),"")</f>
        <v/>
      </c>
      <c r="G4986" s="49" t="str">
        <f>IFERROR(VLOOKUP(E4986,'Condensed Specialty Crosswalk'!$A$2:$C$106,3,FALSE),"")</f>
        <v/>
      </c>
    </row>
    <row r="4987" spans="5:7" ht="15" customHeight="1">
      <c r="E4987" s="49" t="str">
        <f>IFERROR(VLOOKUP(D4987,'taxonomy map'!$A$1:$C$107,2,FALSE),"")</f>
        <v/>
      </c>
      <c r="F4987" s="49" t="str">
        <f>IFERROR(VLOOKUP(E4987,'Condensed Specialty Crosswalk'!$A$2:$C$106,2,FALSE),"")</f>
        <v/>
      </c>
      <c r="G4987" s="49" t="str">
        <f>IFERROR(VLOOKUP(E4987,'Condensed Specialty Crosswalk'!$A$2:$C$106,3,FALSE),"")</f>
        <v/>
      </c>
    </row>
    <row r="4988" spans="5:7" ht="15" customHeight="1">
      <c r="E4988" s="49" t="str">
        <f>IFERROR(VLOOKUP(D4988,'taxonomy map'!$A$1:$C$107,2,FALSE),"")</f>
        <v/>
      </c>
      <c r="F4988" s="49" t="str">
        <f>IFERROR(VLOOKUP(E4988,'Condensed Specialty Crosswalk'!$A$2:$C$106,2,FALSE),"")</f>
        <v/>
      </c>
      <c r="G4988" s="49" t="str">
        <f>IFERROR(VLOOKUP(E4988,'Condensed Specialty Crosswalk'!$A$2:$C$106,3,FALSE),"")</f>
        <v/>
      </c>
    </row>
    <row r="4989" spans="5:7" ht="15" customHeight="1">
      <c r="E4989" s="49" t="str">
        <f>IFERROR(VLOOKUP(D4989,'taxonomy map'!$A$1:$C$107,2,FALSE),"")</f>
        <v/>
      </c>
      <c r="F4989" s="49" t="str">
        <f>IFERROR(VLOOKUP(E4989,'Condensed Specialty Crosswalk'!$A$2:$C$106,2,FALSE),"")</f>
        <v/>
      </c>
      <c r="G4989" s="49" t="str">
        <f>IFERROR(VLOOKUP(E4989,'Condensed Specialty Crosswalk'!$A$2:$C$106,3,FALSE),"")</f>
        <v/>
      </c>
    </row>
    <row r="4990" spans="5:7" ht="15" customHeight="1">
      <c r="E4990" s="49" t="str">
        <f>IFERROR(VLOOKUP(D4990,'taxonomy map'!$A$1:$C$107,2,FALSE),"")</f>
        <v/>
      </c>
      <c r="F4990" s="49" t="str">
        <f>IFERROR(VLOOKUP(E4990,'Condensed Specialty Crosswalk'!$A$2:$C$106,2,FALSE),"")</f>
        <v/>
      </c>
      <c r="G4990" s="49" t="str">
        <f>IFERROR(VLOOKUP(E4990,'Condensed Specialty Crosswalk'!$A$2:$C$106,3,FALSE),"")</f>
        <v/>
      </c>
    </row>
    <row r="4991" spans="5:7" ht="15" customHeight="1">
      <c r="E4991" s="49" t="str">
        <f>IFERROR(VLOOKUP(D4991,'taxonomy map'!$A$1:$C$107,2,FALSE),"")</f>
        <v/>
      </c>
      <c r="F4991" s="49" t="str">
        <f>IFERROR(VLOOKUP(E4991,'Condensed Specialty Crosswalk'!$A$2:$C$106,2,FALSE),"")</f>
        <v/>
      </c>
      <c r="G4991" s="49" t="str">
        <f>IFERROR(VLOOKUP(E4991,'Condensed Specialty Crosswalk'!$A$2:$C$106,3,FALSE),"")</f>
        <v/>
      </c>
    </row>
    <row r="4992" spans="5:7" ht="15" customHeight="1">
      <c r="E4992" s="49" t="str">
        <f>IFERROR(VLOOKUP(D4992,'taxonomy map'!$A$1:$C$107,2,FALSE),"")</f>
        <v/>
      </c>
      <c r="F4992" s="49" t="str">
        <f>IFERROR(VLOOKUP(E4992,'Condensed Specialty Crosswalk'!$A$2:$C$106,2,FALSE),"")</f>
        <v/>
      </c>
      <c r="G4992" s="49" t="str">
        <f>IFERROR(VLOOKUP(E4992,'Condensed Specialty Crosswalk'!$A$2:$C$106,3,FALSE),"")</f>
        <v/>
      </c>
    </row>
    <row r="4993" spans="5:7" ht="15" customHeight="1">
      <c r="E4993" s="49" t="str">
        <f>IFERROR(VLOOKUP(D4993,'taxonomy map'!$A$1:$C$107,2,FALSE),"")</f>
        <v/>
      </c>
      <c r="F4993" s="49" t="str">
        <f>IFERROR(VLOOKUP(E4993,'Condensed Specialty Crosswalk'!$A$2:$C$106,2,FALSE),"")</f>
        <v/>
      </c>
      <c r="G4993" s="49" t="str">
        <f>IFERROR(VLOOKUP(E4993,'Condensed Specialty Crosswalk'!$A$2:$C$106,3,FALSE),"")</f>
        <v/>
      </c>
    </row>
    <row r="4994" spans="5:7" ht="15" customHeight="1">
      <c r="E4994" s="49" t="str">
        <f>IFERROR(VLOOKUP(D4994,'taxonomy map'!$A$1:$C$107,2,FALSE),"")</f>
        <v/>
      </c>
      <c r="F4994" s="49" t="str">
        <f>IFERROR(VLOOKUP(E4994,'Condensed Specialty Crosswalk'!$A$2:$C$106,2,FALSE),"")</f>
        <v/>
      </c>
      <c r="G4994" s="49" t="str">
        <f>IFERROR(VLOOKUP(E4994,'Condensed Specialty Crosswalk'!$A$2:$C$106,3,FALSE),"")</f>
        <v/>
      </c>
    </row>
    <row r="4995" spans="5:7" ht="15" customHeight="1">
      <c r="E4995" s="49" t="str">
        <f>IFERROR(VLOOKUP(D4995,'taxonomy map'!$A$1:$C$107,2,FALSE),"")</f>
        <v/>
      </c>
      <c r="F4995" s="49" t="str">
        <f>IFERROR(VLOOKUP(E4995,'Condensed Specialty Crosswalk'!$A$2:$C$106,2,FALSE),"")</f>
        <v/>
      </c>
      <c r="G4995" s="49" t="str">
        <f>IFERROR(VLOOKUP(E4995,'Condensed Specialty Crosswalk'!$A$2:$C$106,3,FALSE),"")</f>
        <v/>
      </c>
    </row>
    <row r="4996" spans="5:7" ht="15" customHeight="1">
      <c r="E4996" s="49" t="str">
        <f>IFERROR(VLOOKUP(D4996,'taxonomy map'!$A$1:$C$107,2,FALSE),"")</f>
        <v/>
      </c>
      <c r="F4996" s="49" t="str">
        <f>IFERROR(VLOOKUP(E4996,'Condensed Specialty Crosswalk'!$A$2:$C$106,2,FALSE),"")</f>
        <v/>
      </c>
      <c r="G4996" s="49" t="str">
        <f>IFERROR(VLOOKUP(E4996,'Condensed Specialty Crosswalk'!$A$2:$C$106,3,FALSE),"")</f>
        <v/>
      </c>
    </row>
    <row r="4997" spans="5:7" ht="15" customHeight="1">
      <c r="E4997" s="49" t="str">
        <f>IFERROR(VLOOKUP(D4997,'taxonomy map'!$A$1:$C$107,2,FALSE),"")</f>
        <v/>
      </c>
      <c r="F4997" s="49" t="str">
        <f>IFERROR(VLOOKUP(E4997,'Condensed Specialty Crosswalk'!$A$2:$C$106,2,FALSE),"")</f>
        <v/>
      </c>
      <c r="G4997" s="49" t="str">
        <f>IFERROR(VLOOKUP(E4997,'Condensed Specialty Crosswalk'!$A$2:$C$106,3,FALSE),"")</f>
        <v/>
      </c>
    </row>
    <row r="4998" spans="5:7" ht="15" customHeight="1">
      <c r="E4998" s="49" t="str">
        <f>IFERROR(VLOOKUP(D4998,'taxonomy map'!$A$1:$C$107,2,FALSE),"")</f>
        <v/>
      </c>
      <c r="F4998" s="49" t="str">
        <f>IFERROR(VLOOKUP(E4998,'Condensed Specialty Crosswalk'!$A$2:$C$106,2,FALSE),"")</f>
        <v/>
      </c>
      <c r="G4998" s="49" t="str">
        <f>IFERROR(VLOOKUP(E4998,'Condensed Specialty Crosswalk'!$A$2:$C$106,3,FALSE),"")</f>
        <v/>
      </c>
    </row>
    <row r="4999" spans="5:7" ht="15" customHeight="1">
      <c r="E4999" s="49" t="str">
        <f>IFERROR(VLOOKUP(D4999,'taxonomy map'!$A$1:$C$107,2,FALSE),"")</f>
        <v/>
      </c>
      <c r="F4999" s="49" t="str">
        <f>IFERROR(VLOOKUP(E4999,'Condensed Specialty Crosswalk'!$A$2:$C$106,2,FALSE),"")</f>
        <v/>
      </c>
      <c r="G4999" s="49" t="str">
        <f>IFERROR(VLOOKUP(E4999,'Condensed Specialty Crosswalk'!$A$2:$C$106,3,FALSE),"")</f>
        <v/>
      </c>
    </row>
    <row r="5000" spans="5:7" ht="15" customHeight="1">
      <c r="E5000" s="49" t="str">
        <f>IFERROR(VLOOKUP(D5000,'taxonomy map'!$A$1:$C$107,2,FALSE),"")</f>
        <v/>
      </c>
      <c r="F5000" s="49" t="str">
        <f>IFERROR(VLOOKUP(E5000,'Condensed Specialty Crosswalk'!$A$2:$C$106,2,FALSE),"")</f>
        <v/>
      </c>
      <c r="G5000" s="49" t="str">
        <f>IFERROR(VLOOKUP(E5000,'Condensed Specialty Crosswalk'!$A$2:$C$106,3,FALSE),"")</f>
        <v/>
      </c>
    </row>
    <row r="5001" spans="5:7" ht="15" customHeight="1">
      <c r="E5001" s="49" t="str">
        <f>IFERROR(VLOOKUP(D5001,'taxonomy map'!$A$1:$C$107,2,FALSE),"")</f>
        <v/>
      </c>
      <c r="F5001" s="49" t="str">
        <f>IFERROR(VLOOKUP(E5001,'Condensed Specialty Crosswalk'!$A$2:$C$106,2,FALSE),"")</f>
        <v/>
      </c>
      <c r="G5001" s="49" t="str">
        <f>IFERROR(VLOOKUP(E5001,'Condensed Specialty Crosswalk'!$A$2:$C$106,3,FALSE),"")</f>
        <v/>
      </c>
    </row>
    <row r="5002" spans="5:7" ht="15" customHeight="1">
      <c r="E5002" s="49" t="str">
        <f>IFERROR(VLOOKUP(D5002,'taxonomy map'!$A$1:$C$107,2,FALSE),"")</f>
        <v/>
      </c>
      <c r="F5002" s="49" t="str">
        <f>IFERROR(VLOOKUP(E5002,'Condensed Specialty Crosswalk'!$A$2:$C$106,2,FALSE),"")</f>
        <v/>
      </c>
      <c r="G5002" s="49" t="str">
        <f>IFERROR(VLOOKUP(E5002,'Condensed Specialty Crosswalk'!$A$2:$C$106,3,FALSE),"")</f>
        <v/>
      </c>
    </row>
    <row r="5003" spans="5:7" ht="15" customHeight="1">
      <c r="E5003" s="49" t="str">
        <f>IFERROR(VLOOKUP(D5003,'taxonomy map'!$A$1:$C$107,2,FALSE),"")</f>
        <v/>
      </c>
      <c r="F5003" s="49" t="str">
        <f>IFERROR(VLOOKUP(E5003,'Condensed Specialty Crosswalk'!$A$2:$C$106,2,FALSE),"")</f>
        <v/>
      </c>
      <c r="G5003" s="49" t="str">
        <f>IFERROR(VLOOKUP(E5003,'Condensed Specialty Crosswalk'!$A$2:$C$106,3,FALSE),"")</f>
        <v/>
      </c>
    </row>
    <row r="5004" spans="5:7" ht="15" customHeight="1">
      <c r="E5004" s="49" t="str">
        <f>IFERROR(VLOOKUP(D5004,'taxonomy map'!$A$1:$C$107,2,FALSE),"")</f>
        <v/>
      </c>
      <c r="F5004" s="49" t="str">
        <f>IFERROR(VLOOKUP(E5004,'Condensed Specialty Crosswalk'!$A$2:$C$106,2,FALSE),"")</f>
        <v/>
      </c>
      <c r="G5004" s="49" t="str">
        <f>IFERROR(VLOOKUP(E5004,'Condensed Specialty Crosswalk'!$A$2:$C$106,3,FALSE),"")</f>
        <v/>
      </c>
    </row>
    <row r="5005" spans="5:7" ht="15" customHeight="1">
      <c r="E5005" s="49" t="str">
        <f>IFERROR(VLOOKUP(D5005,'taxonomy map'!$A$1:$C$107,2,FALSE),"")</f>
        <v/>
      </c>
      <c r="F5005" s="49" t="str">
        <f>IFERROR(VLOOKUP(E5005,'Condensed Specialty Crosswalk'!$A$2:$C$106,2,FALSE),"")</f>
        <v/>
      </c>
      <c r="G5005" s="49" t="str">
        <f>IFERROR(VLOOKUP(E5005,'Condensed Specialty Crosswalk'!$A$2:$C$106,3,FALSE),"")</f>
        <v/>
      </c>
    </row>
    <row r="5006" spans="5:7" ht="15" customHeight="1">
      <c r="E5006" s="49" t="str">
        <f>IFERROR(VLOOKUP(D5006,'taxonomy map'!$A$1:$C$107,2,FALSE),"")</f>
        <v/>
      </c>
      <c r="F5006" s="49" t="str">
        <f>IFERROR(VLOOKUP(E5006,'Condensed Specialty Crosswalk'!$A$2:$C$106,2,FALSE),"")</f>
        <v/>
      </c>
      <c r="G5006" s="49" t="str">
        <f>IFERROR(VLOOKUP(E5006,'Condensed Specialty Crosswalk'!$A$2:$C$106,3,FALSE),"")</f>
        <v/>
      </c>
    </row>
    <row r="5007" spans="5:7" ht="15" customHeight="1">
      <c r="E5007" s="49" t="str">
        <f>IFERROR(VLOOKUP(D5007,'taxonomy map'!$A$1:$C$107,2,FALSE),"")</f>
        <v/>
      </c>
      <c r="F5007" s="49" t="str">
        <f>IFERROR(VLOOKUP(E5007,'Condensed Specialty Crosswalk'!$A$2:$C$106,2,FALSE),"")</f>
        <v/>
      </c>
      <c r="G5007" s="49" t="str">
        <f>IFERROR(VLOOKUP(E5007,'Condensed Specialty Crosswalk'!$A$2:$C$106,3,FALSE),"")</f>
        <v/>
      </c>
    </row>
    <row r="5008" spans="5:7" ht="15" customHeight="1">
      <c r="E5008" s="49" t="str">
        <f>IFERROR(VLOOKUP(D5008,'taxonomy map'!$A$1:$C$107,2,FALSE),"")</f>
        <v/>
      </c>
      <c r="F5008" s="49" t="str">
        <f>IFERROR(VLOOKUP(E5008,'Condensed Specialty Crosswalk'!$A$2:$C$106,2,FALSE),"")</f>
        <v/>
      </c>
      <c r="G5008" s="49" t="str">
        <f>IFERROR(VLOOKUP(E5008,'Condensed Specialty Crosswalk'!$A$2:$C$106,3,FALSE),"")</f>
        <v/>
      </c>
    </row>
    <row r="5009" spans="5:7" ht="15" customHeight="1">
      <c r="E5009" s="49" t="str">
        <f>IFERROR(VLOOKUP(D5009,'taxonomy map'!$A$1:$C$107,2,FALSE),"")</f>
        <v/>
      </c>
      <c r="F5009" s="49" t="str">
        <f>IFERROR(VLOOKUP(E5009,'Condensed Specialty Crosswalk'!$A$2:$C$106,2,FALSE),"")</f>
        <v/>
      </c>
      <c r="G5009" s="49" t="str">
        <f>IFERROR(VLOOKUP(E5009,'Condensed Specialty Crosswalk'!$A$2:$C$106,3,FALSE),"")</f>
        <v/>
      </c>
    </row>
    <row r="5010" spans="5:7" ht="15" customHeight="1">
      <c r="E5010" s="49" t="str">
        <f>IFERROR(VLOOKUP(D5010,'taxonomy map'!$A$1:$C$107,2,FALSE),"")</f>
        <v/>
      </c>
      <c r="F5010" s="49" t="str">
        <f>IFERROR(VLOOKUP(E5010,'Condensed Specialty Crosswalk'!$A$2:$C$106,2,FALSE),"")</f>
        <v/>
      </c>
      <c r="G5010" s="49" t="str">
        <f>IFERROR(VLOOKUP(E5010,'Condensed Specialty Crosswalk'!$A$2:$C$106,3,FALSE),"")</f>
        <v/>
      </c>
    </row>
    <row r="5011" spans="5:7" ht="15" customHeight="1">
      <c r="E5011" s="49" t="str">
        <f>IFERROR(VLOOKUP(D5011,'taxonomy map'!$A$1:$C$107,2,FALSE),"")</f>
        <v/>
      </c>
      <c r="F5011" s="49" t="str">
        <f>IFERROR(VLOOKUP(E5011,'Condensed Specialty Crosswalk'!$A$2:$C$106,2,FALSE),"")</f>
        <v/>
      </c>
      <c r="G5011" s="49" t="str">
        <f>IFERROR(VLOOKUP(E5011,'Condensed Specialty Crosswalk'!$A$2:$C$106,3,FALSE),"")</f>
        <v/>
      </c>
    </row>
    <row r="5012" spans="5:7" ht="15" customHeight="1">
      <c r="E5012" s="49" t="str">
        <f>IFERROR(VLOOKUP(D5012,'taxonomy map'!$A$1:$C$107,2,FALSE),"")</f>
        <v/>
      </c>
      <c r="F5012" s="49" t="str">
        <f>IFERROR(VLOOKUP(E5012,'Condensed Specialty Crosswalk'!$A$2:$C$106,2,FALSE),"")</f>
        <v/>
      </c>
      <c r="G5012" s="49" t="str">
        <f>IFERROR(VLOOKUP(E5012,'Condensed Specialty Crosswalk'!$A$2:$C$106,3,FALSE),"")</f>
        <v/>
      </c>
    </row>
    <row r="5013" spans="5:7" ht="15" customHeight="1">
      <c r="E5013" s="49" t="str">
        <f>IFERROR(VLOOKUP(D5013,'taxonomy map'!$A$1:$C$107,2,FALSE),"")</f>
        <v/>
      </c>
      <c r="F5013" s="49" t="str">
        <f>IFERROR(VLOOKUP(E5013,'Condensed Specialty Crosswalk'!$A$2:$C$106,2,FALSE),"")</f>
        <v/>
      </c>
      <c r="G5013" s="49" t="str">
        <f>IFERROR(VLOOKUP(E5013,'Condensed Specialty Crosswalk'!$A$2:$C$106,3,FALSE),"")</f>
        <v/>
      </c>
    </row>
    <row r="5014" spans="5:7" ht="15" customHeight="1">
      <c r="E5014" s="49" t="str">
        <f>IFERROR(VLOOKUP(D5014,'taxonomy map'!$A$1:$C$107,2,FALSE),"")</f>
        <v/>
      </c>
      <c r="F5014" s="49" t="str">
        <f>IFERROR(VLOOKUP(E5014,'Condensed Specialty Crosswalk'!$A$2:$C$106,2,FALSE),"")</f>
        <v/>
      </c>
      <c r="G5014" s="49" t="str">
        <f>IFERROR(VLOOKUP(E5014,'Condensed Specialty Crosswalk'!$A$2:$C$106,3,FALSE),"")</f>
        <v/>
      </c>
    </row>
    <row r="5015" spans="5:7" ht="15" customHeight="1">
      <c r="E5015" s="49" t="str">
        <f>IFERROR(VLOOKUP(D5015,'taxonomy map'!$A$1:$C$107,2,FALSE),"")</f>
        <v/>
      </c>
      <c r="F5015" s="49" t="str">
        <f>IFERROR(VLOOKUP(E5015,'Condensed Specialty Crosswalk'!$A$2:$C$106,2,FALSE),"")</f>
        <v/>
      </c>
      <c r="G5015" s="49" t="str">
        <f>IFERROR(VLOOKUP(E5015,'Condensed Specialty Crosswalk'!$A$2:$C$106,3,FALSE),"")</f>
        <v/>
      </c>
    </row>
    <row r="5016" spans="5:7" ht="15" customHeight="1">
      <c r="E5016" s="49" t="str">
        <f>IFERROR(VLOOKUP(D5016,'taxonomy map'!$A$1:$C$107,2,FALSE),"")</f>
        <v/>
      </c>
      <c r="F5016" s="49" t="str">
        <f>IFERROR(VLOOKUP(E5016,'Condensed Specialty Crosswalk'!$A$2:$C$106,2,FALSE),"")</f>
        <v/>
      </c>
      <c r="G5016" s="49" t="str">
        <f>IFERROR(VLOOKUP(E5016,'Condensed Specialty Crosswalk'!$A$2:$C$106,3,FALSE),"")</f>
        <v/>
      </c>
    </row>
    <row r="5017" spans="5:7" ht="15" customHeight="1">
      <c r="E5017" s="49" t="str">
        <f>IFERROR(VLOOKUP(D5017,'taxonomy map'!$A$1:$C$107,2,FALSE),"")</f>
        <v/>
      </c>
      <c r="F5017" s="49" t="str">
        <f>IFERROR(VLOOKUP(E5017,'Condensed Specialty Crosswalk'!$A$2:$C$106,2,FALSE),"")</f>
        <v/>
      </c>
      <c r="G5017" s="49" t="str">
        <f>IFERROR(VLOOKUP(E5017,'Condensed Specialty Crosswalk'!$A$2:$C$106,3,FALSE),"")</f>
        <v/>
      </c>
    </row>
    <row r="5018" spans="5:7" ht="15" customHeight="1">
      <c r="E5018" s="49" t="str">
        <f>IFERROR(VLOOKUP(D5018,'taxonomy map'!$A$1:$C$107,2,FALSE),"")</f>
        <v/>
      </c>
      <c r="F5018" s="49" t="str">
        <f>IFERROR(VLOOKUP(E5018,'Condensed Specialty Crosswalk'!$A$2:$C$106,2,FALSE),"")</f>
        <v/>
      </c>
      <c r="G5018" s="49" t="str">
        <f>IFERROR(VLOOKUP(E5018,'Condensed Specialty Crosswalk'!$A$2:$C$106,3,FALSE),"")</f>
        <v/>
      </c>
    </row>
    <row r="5019" spans="5:7" ht="15" customHeight="1">
      <c r="E5019" s="49" t="str">
        <f>IFERROR(VLOOKUP(D5019,'taxonomy map'!$A$1:$C$107,2,FALSE),"")</f>
        <v/>
      </c>
      <c r="F5019" s="49" t="str">
        <f>IFERROR(VLOOKUP(E5019,'Condensed Specialty Crosswalk'!$A$2:$C$106,2,FALSE),"")</f>
        <v/>
      </c>
      <c r="G5019" s="49" t="str">
        <f>IFERROR(VLOOKUP(E5019,'Condensed Specialty Crosswalk'!$A$2:$C$106,3,FALSE),"")</f>
        <v/>
      </c>
    </row>
    <row r="5020" spans="5:7" ht="15" customHeight="1">
      <c r="E5020" s="49" t="str">
        <f>IFERROR(VLOOKUP(D5020,'taxonomy map'!$A$1:$C$107,2,FALSE),"")</f>
        <v/>
      </c>
      <c r="F5020" s="49" t="str">
        <f>IFERROR(VLOOKUP(E5020,'Condensed Specialty Crosswalk'!$A$2:$C$106,2,FALSE),"")</f>
        <v/>
      </c>
      <c r="G5020" s="49" t="str">
        <f>IFERROR(VLOOKUP(E5020,'Condensed Specialty Crosswalk'!$A$2:$C$106,3,FALSE),"")</f>
        <v/>
      </c>
    </row>
    <row r="5021" spans="5:7" ht="15" customHeight="1">
      <c r="E5021" s="49" t="str">
        <f>IFERROR(VLOOKUP(D5021,'taxonomy map'!$A$1:$C$107,2,FALSE),"")</f>
        <v/>
      </c>
      <c r="F5021" s="49" t="str">
        <f>IFERROR(VLOOKUP(E5021,'Condensed Specialty Crosswalk'!$A$2:$C$106,2,FALSE),"")</f>
        <v/>
      </c>
      <c r="G5021" s="49" t="str">
        <f>IFERROR(VLOOKUP(E5021,'Condensed Specialty Crosswalk'!$A$2:$C$106,3,FALSE),"")</f>
        <v/>
      </c>
    </row>
    <row r="5022" spans="5:7" ht="15" customHeight="1">
      <c r="E5022" s="49" t="str">
        <f>IFERROR(VLOOKUP(D5022,'taxonomy map'!$A$1:$C$107,2,FALSE),"")</f>
        <v/>
      </c>
      <c r="F5022" s="49" t="str">
        <f>IFERROR(VLOOKUP(E5022,'Condensed Specialty Crosswalk'!$A$2:$C$106,2,FALSE),"")</f>
        <v/>
      </c>
      <c r="G5022" s="49" t="str">
        <f>IFERROR(VLOOKUP(E5022,'Condensed Specialty Crosswalk'!$A$2:$C$106,3,FALSE),"")</f>
        <v/>
      </c>
    </row>
    <row r="5023" spans="5:7" ht="15" customHeight="1">
      <c r="E5023" s="49" t="str">
        <f>IFERROR(VLOOKUP(D5023,'taxonomy map'!$A$1:$C$107,2,FALSE),"")</f>
        <v/>
      </c>
      <c r="F5023" s="49" t="str">
        <f>IFERROR(VLOOKUP(E5023,'Condensed Specialty Crosswalk'!$A$2:$C$106,2,FALSE),"")</f>
        <v/>
      </c>
      <c r="G5023" s="49" t="str">
        <f>IFERROR(VLOOKUP(E5023,'Condensed Specialty Crosswalk'!$A$2:$C$106,3,FALSE),"")</f>
        <v/>
      </c>
    </row>
    <row r="5024" spans="5:7" ht="15" customHeight="1">
      <c r="E5024" s="49" t="str">
        <f>IFERROR(VLOOKUP(D5024,'taxonomy map'!$A$1:$C$107,2,FALSE),"")</f>
        <v/>
      </c>
      <c r="F5024" s="49" t="str">
        <f>IFERROR(VLOOKUP(E5024,'Condensed Specialty Crosswalk'!$A$2:$C$106,2,FALSE),"")</f>
        <v/>
      </c>
      <c r="G5024" s="49" t="str">
        <f>IFERROR(VLOOKUP(E5024,'Condensed Specialty Crosswalk'!$A$2:$C$106,3,FALSE),"")</f>
        <v/>
      </c>
    </row>
    <row r="5025" spans="5:7" ht="15" customHeight="1">
      <c r="E5025" s="49" t="str">
        <f>IFERROR(VLOOKUP(D5025,'taxonomy map'!$A$1:$C$107,2,FALSE),"")</f>
        <v/>
      </c>
      <c r="F5025" s="49" t="str">
        <f>IFERROR(VLOOKUP(E5025,'Condensed Specialty Crosswalk'!$A$2:$C$106,2,FALSE),"")</f>
        <v/>
      </c>
      <c r="G5025" s="49" t="str">
        <f>IFERROR(VLOOKUP(E5025,'Condensed Specialty Crosswalk'!$A$2:$C$106,3,FALSE),"")</f>
        <v/>
      </c>
    </row>
    <row r="5026" spans="5:7" ht="15" customHeight="1">
      <c r="E5026" s="49" t="str">
        <f>IFERROR(VLOOKUP(D5026,'taxonomy map'!$A$1:$C$107,2,FALSE),"")</f>
        <v/>
      </c>
      <c r="F5026" s="49" t="str">
        <f>IFERROR(VLOOKUP(E5026,'Condensed Specialty Crosswalk'!$A$2:$C$106,2,FALSE),"")</f>
        <v/>
      </c>
      <c r="G5026" s="49" t="str">
        <f>IFERROR(VLOOKUP(E5026,'Condensed Specialty Crosswalk'!$A$2:$C$106,3,FALSE),"")</f>
        <v/>
      </c>
    </row>
    <row r="5027" spans="5:7" ht="15" customHeight="1">
      <c r="E5027" s="49" t="str">
        <f>IFERROR(VLOOKUP(D5027,'taxonomy map'!$A$1:$C$107,2,FALSE),"")</f>
        <v/>
      </c>
      <c r="F5027" s="49" t="str">
        <f>IFERROR(VLOOKUP(E5027,'Condensed Specialty Crosswalk'!$A$2:$C$106,2,FALSE),"")</f>
        <v/>
      </c>
      <c r="G5027" s="49" t="str">
        <f>IFERROR(VLOOKUP(E5027,'Condensed Specialty Crosswalk'!$A$2:$C$106,3,FALSE),"")</f>
        <v/>
      </c>
    </row>
    <row r="5028" spans="5:7" ht="15" customHeight="1">
      <c r="E5028" s="49" t="str">
        <f>IFERROR(VLOOKUP(D5028,'taxonomy map'!$A$1:$C$107,2,FALSE),"")</f>
        <v/>
      </c>
      <c r="F5028" s="49" t="str">
        <f>IFERROR(VLOOKUP(E5028,'Condensed Specialty Crosswalk'!$A$2:$C$106,2,FALSE),"")</f>
        <v/>
      </c>
      <c r="G5028" s="49" t="str">
        <f>IFERROR(VLOOKUP(E5028,'Condensed Specialty Crosswalk'!$A$2:$C$106,3,FALSE),"")</f>
        <v/>
      </c>
    </row>
    <row r="5029" spans="5:7" ht="15" customHeight="1">
      <c r="E5029" s="49" t="str">
        <f>IFERROR(VLOOKUP(D5029,'taxonomy map'!$A$1:$C$107,2,FALSE),"")</f>
        <v/>
      </c>
      <c r="F5029" s="49" t="str">
        <f>IFERROR(VLOOKUP(E5029,'Condensed Specialty Crosswalk'!$A$2:$C$106,2,FALSE),"")</f>
        <v/>
      </c>
      <c r="G5029" s="49" t="str">
        <f>IFERROR(VLOOKUP(E5029,'Condensed Specialty Crosswalk'!$A$2:$C$106,3,FALSE),"")</f>
        <v/>
      </c>
    </row>
    <row r="5030" spans="5:7" ht="15" customHeight="1">
      <c r="E5030" s="49" t="str">
        <f>IFERROR(VLOOKUP(D5030,'taxonomy map'!$A$1:$C$107,2,FALSE),"")</f>
        <v/>
      </c>
      <c r="F5030" s="49" t="str">
        <f>IFERROR(VLOOKUP(E5030,'Condensed Specialty Crosswalk'!$A$2:$C$106,2,FALSE),"")</f>
        <v/>
      </c>
      <c r="G5030" s="49" t="str">
        <f>IFERROR(VLOOKUP(E5030,'Condensed Specialty Crosswalk'!$A$2:$C$106,3,FALSE),"")</f>
        <v/>
      </c>
    </row>
    <row r="5031" spans="5:7" ht="15" customHeight="1">
      <c r="E5031" s="49" t="str">
        <f>IFERROR(VLOOKUP(D5031,'taxonomy map'!$A$1:$C$107,2,FALSE),"")</f>
        <v/>
      </c>
      <c r="F5031" s="49" t="str">
        <f>IFERROR(VLOOKUP(E5031,'Condensed Specialty Crosswalk'!$A$2:$C$106,2,FALSE),"")</f>
        <v/>
      </c>
      <c r="G5031" s="49" t="str">
        <f>IFERROR(VLOOKUP(E5031,'Condensed Specialty Crosswalk'!$A$2:$C$106,3,FALSE),"")</f>
        <v/>
      </c>
    </row>
    <row r="5032" spans="5:7" ht="15" customHeight="1">
      <c r="E5032" s="49" t="str">
        <f>IFERROR(VLOOKUP(D5032,'taxonomy map'!$A$1:$C$107,2,FALSE),"")</f>
        <v/>
      </c>
      <c r="F5032" s="49" t="str">
        <f>IFERROR(VLOOKUP(E5032,'Condensed Specialty Crosswalk'!$A$2:$C$106,2,FALSE),"")</f>
        <v/>
      </c>
      <c r="G5032" s="49" t="str">
        <f>IFERROR(VLOOKUP(E5032,'Condensed Specialty Crosswalk'!$A$2:$C$106,3,FALSE),"")</f>
        <v/>
      </c>
    </row>
    <row r="5033" spans="5:7" ht="15" customHeight="1">
      <c r="E5033" s="49" t="str">
        <f>IFERROR(VLOOKUP(D5033,'taxonomy map'!$A$1:$C$107,2,FALSE),"")</f>
        <v/>
      </c>
      <c r="F5033" s="49" t="str">
        <f>IFERROR(VLOOKUP(E5033,'Condensed Specialty Crosswalk'!$A$2:$C$106,2,FALSE),"")</f>
        <v/>
      </c>
      <c r="G5033" s="49" t="str">
        <f>IFERROR(VLOOKUP(E5033,'Condensed Specialty Crosswalk'!$A$2:$C$106,3,FALSE),"")</f>
        <v/>
      </c>
    </row>
    <row r="5034" spans="5:7" ht="15" customHeight="1">
      <c r="E5034" s="49" t="str">
        <f>IFERROR(VLOOKUP(D5034,'taxonomy map'!$A$1:$C$107,2,FALSE),"")</f>
        <v/>
      </c>
      <c r="F5034" s="49" t="str">
        <f>IFERROR(VLOOKUP(E5034,'Condensed Specialty Crosswalk'!$A$2:$C$106,2,FALSE),"")</f>
        <v/>
      </c>
      <c r="G5034" s="49" t="str">
        <f>IFERROR(VLOOKUP(E5034,'Condensed Specialty Crosswalk'!$A$2:$C$106,3,FALSE),"")</f>
        <v/>
      </c>
    </row>
    <row r="5035" spans="5:7" ht="15" customHeight="1">
      <c r="E5035" s="49" t="str">
        <f>IFERROR(VLOOKUP(D5035,'taxonomy map'!$A$1:$C$107,2,FALSE),"")</f>
        <v/>
      </c>
      <c r="F5035" s="49" t="str">
        <f>IFERROR(VLOOKUP(E5035,'Condensed Specialty Crosswalk'!$A$2:$C$106,2,FALSE),"")</f>
        <v/>
      </c>
      <c r="G5035" s="49" t="str">
        <f>IFERROR(VLOOKUP(E5035,'Condensed Specialty Crosswalk'!$A$2:$C$106,3,FALSE),"")</f>
        <v/>
      </c>
    </row>
    <row r="5036" spans="5:7" ht="15" customHeight="1">
      <c r="E5036" s="49" t="str">
        <f>IFERROR(VLOOKUP(D5036,'taxonomy map'!$A$1:$C$107,2,FALSE),"")</f>
        <v/>
      </c>
      <c r="F5036" s="49" t="str">
        <f>IFERROR(VLOOKUP(E5036,'Condensed Specialty Crosswalk'!$A$2:$C$106,2,FALSE),"")</f>
        <v/>
      </c>
      <c r="G5036" s="49" t="str">
        <f>IFERROR(VLOOKUP(E5036,'Condensed Specialty Crosswalk'!$A$2:$C$106,3,FALSE),"")</f>
        <v/>
      </c>
    </row>
    <row r="5037" spans="5:7" ht="15" customHeight="1">
      <c r="E5037" s="49" t="str">
        <f>IFERROR(VLOOKUP(D5037,'taxonomy map'!$A$1:$C$107,2,FALSE),"")</f>
        <v/>
      </c>
      <c r="F5037" s="49" t="str">
        <f>IFERROR(VLOOKUP(E5037,'Condensed Specialty Crosswalk'!$A$2:$C$106,2,FALSE),"")</f>
        <v/>
      </c>
      <c r="G5037" s="49" t="str">
        <f>IFERROR(VLOOKUP(E5037,'Condensed Specialty Crosswalk'!$A$2:$C$106,3,FALSE),"")</f>
        <v/>
      </c>
    </row>
    <row r="5038" spans="5:7" ht="15" customHeight="1">
      <c r="E5038" s="49" t="str">
        <f>IFERROR(VLOOKUP(D5038,'taxonomy map'!$A$1:$C$107,2,FALSE),"")</f>
        <v/>
      </c>
      <c r="F5038" s="49" t="str">
        <f>IFERROR(VLOOKUP(E5038,'Condensed Specialty Crosswalk'!$A$2:$C$106,2,FALSE),"")</f>
        <v/>
      </c>
      <c r="G5038" s="49" t="str">
        <f>IFERROR(VLOOKUP(E5038,'Condensed Specialty Crosswalk'!$A$2:$C$106,3,FALSE),"")</f>
        <v/>
      </c>
    </row>
    <row r="5039" spans="5:7" ht="15" customHeight="1">
      <c r="E5039" s="49" t="str">
        <f>IFERROR(VLOOKUP(D5039,'taxonomy map'!$A$1:$C$107,2,FALSE),"")</f>
        <v/>
      </c>
      <c r="F5039" s="49" t="str">
        <f>IFERROR(VLOOKUP(E5039,'Condensed Specialty Crosswalk'!$A$2:$C$106,2,FALSE),"")</f>
        <v/>
      </c>
      <c r="G5039" s="49" t="str">
        <f>IFERROR(VLOOKUP(E5039,'Condensed Specialty Crosswalk'!$A$2:$C$106,3,FALSE),"")</f>
        <v/>
      </c>
    </row>
    <row r="5040" spans="5:7" ht="15" customHeight="1">
      <c r="E5040" s="49" t="str">
        <f>IFERROR(VLOOKUP(D5040,'taxonomy map'!$A$1:$C$107,2,FALSE),"")</f>
        <v/>
      </c>
      <c r="F5040" s="49" t="str">
        <f>IFERROR(VLOOKUP(E5040,'Condensed Specialty Crosswalk'!$A$2:$C$106,2,FALSE),"")</f>
        <v/>
      </c>
      <c r="G5040" s="49" t="str">
        <f>IFERROR(VLOOKUP(E5040,'Condensed Specialty Crosswalk'!$A$2:$C$106,3,FALSE),"")</f>
        <v/>
      </c>
    </row>
    <row r="5041" spans="5:7" ht="15" customHeight="1">
      <c r="E5041" s="49" t="str">
        <f>IFERROR(VLOOKUP(D5041,'taxonomy map'!$A$1:$C$107,2,FALSE),"")</f>
        <v/>
      </c>
      <c r="F5041" s="49" t="str">
        <f>IFERROR(VLOOKUP(E5041,'Condensed Specialty Crosswalk'!$A$2:$C$106,2,FALSE),"")</f>
        <v/>
      </c>
      <c r="G5041" s="49" t="str">
        <f>IFERROR(VLOOKUP(E5041,'Condensed Specialty Crosswalk'!$A$2:$C$106,3,FALSE),"")</f>
        <v/>
      </c>
    </row>
    <row r="5042" spans="5:7" ht="15" customHeight="1">
      <c r="E5042" s="49" t="str">
        <f>IFERROR(VLOOKUP(D5042,'taxonomy map'!$A$1:$C$107,2,FALSE),"")</f>
        <v/>
      </c>
      <c r="F5042" s="49" t="str">
        <f>IFERROR(VLOOKUP(E5042,'Condensed Specialty Crosswalk'!$A$2:$C$106,2,FALSE),"")</f>
        <v/>
      </c>
      <c r="G5042" s="49" t="str">
        <f>IFERROR(VLOOKUP(E5042,'Condensed Specialty Crosswalk'!$A$2:$C$106,3,FALSE),"")</f>
        <v/>
      </c>
    </row>
    <row r="5043" spans="5:7" ht="15" customHeight="1">
      <c r="E5043" s="49" t="str">
        <f>IFERROR(VLOOKUP(D5043,'taxonomy map'!$A$1:$C$107,2,FALSE),"")</f>
        <v/>
      </c>
      <c r="F5043" s="49" t="str">
        <f>IFERROR(VLOOKUP(E5043,'Condensed Specialty Crosswalk'!$A$2:$C$106,2,FALSE),"")</f>
        <v/>
      </c>
      <c r="G5043" s="49" t="str">
        <f>IFERROR(VLOOKUP(E5043,'Condensed Specialty Crosswalk'!$A$2:$C$106,3,FALSE),"")</f>
        <v/>
      </c>
    </row>
    <row r="5044" spans="5:7" ht="15" customHeight="1">
      <c r="E5044" s="49" t="str">
        <f>IFERROR(VLOOKUP(D5044,'taxonomy map'!$A$1:$C$107,2,FALSE),"")</f>
        <v/>
      </c>
      <c r="F5044" s="49" t="str">
        <f>IFERROR(VLOOKUP(E5044,'Condensed Specialty Crosswalk'!$A$2:$C$106,2,FALSE),"")</f>
        <v/>
      </c>
      <c r="G5044" s="49" t="str">
        <f>IFERROR(VLOOKUP(E5044,'Condensed Specialty Crosswalk'!$A$2:$C$106,3,FALSE),"")</f>
        <v/>
      </c>
    </row>
    <row r="5045" spans="5:7" ht="15" customHeight="1">
      <c r="E5045" s="49" t="str">
        <f>IFERROR(VLOOKUP(D5045,'taxonomy map'!$A$1:$C$107,2,FALSE),"")</f>
        <v/>
      </c>
      <c r="F5045" s="49" t="str">
        <f>IFERROR(VLOOKUP(E5045,'Condensed Specialty Crosswalk'!$A$2:$C$106,2,FALSE),"")</f>
        <v/>
      </c>
      <c r="G5045" s="49" t="str">
        <f>IFERROR(VLOOKUP(E5045,'Condensed Specialty Crosswalk'!$A$2:$C$106,3,FALSE),"")</f>
        <v/>
      </c>
    </row>
    <row r="5046" spans="5:7" ht="15" customHeight="1">
      <c r="E5046" s="49" t="str">
        <f>IFERROR(VLOOKUP(D5046,'taxonomy map'!$A$1:$C$107,2,FALSE),"")</f>
        <v/>
      </c>
      <c r="F5046" s="49" t="str">
        <f>IFERROR(VLOOKUP(E5046,'Condensed Specialty Crosswalk'!$A$2:$C$106,2,FALSE),"")</f>
        <v/>
      </c>
      <c r="G5046" s="49" t="str">
        <f>IFERROR(VLOOKUP(E5046,'Condensed Specialty Crosswalk'!$A$2:$C$106,3,FALSE),"")</f>
        <v/>
      </c>
    </row>
    <row r="5047" spans="5:7" ht="15" customHeight="1">
      <c r="E5047" s="49" t="str">
        <f>IFERROR(VLOOKUP(D5047,'taxonomy map'!$A$1:$C$107,2,FALSE),"")</f>
        <v/>
      </c>
      <c r="F5047" s="49" t="str">
        <f>IFERROR(VLOOKUP(E5047,'Condensed Specialty Crosswalk'!$A$2:$C$106,2,FALSE),"")</f>
        <v/>
      </c>
      <c r="G5047" s="49" t="str">
        <f>IFERROR(VLOOKUP(E5047,'Condensed Specialty Crosswalk'!$A$2:$C$106,3,FALSE),"")</f>
        <v/>
      </c>
    </row>
    <row r="5048" spans="5:7" ht="15" customHeight="1">
      <c r="E5048" s="49" t="str">
        <f>IFERROR(VLOOKUP(D5048,'taxonomy map'!$A$1:$C$107,2,FALSE),"")</f>
        <v/>
      </c>
      <c r="F5048" s="49" t="str">
        <f>IFERROR(VLOOKUP(E5048,'Condensed Specialty Crosswalk'!$A$2:$C$106,2,FALSE),"")</f>
        <v/>
      </c>
      <c r="G5048" s="49" t="str">
        <f>IFERROR(VLOOKUP(E5048,'Condensed Specialty Crosswalk'!$A$2:$C$106,3,FALSE),"")</f>
        <v/>
      </c>
    </row>
    <row r="5049" spans="5:7" ht="15" customHeight="1">
      <c r="E5049" s="49" t="str">
        <f>IFERROR(VLOOKUP(D5049,'taxonomy map'!$A$1:$C$107,2,FALSE),"")</f>
        <v/>
      </c>
      <c r="F5049" s="49" t="str">
        <f>IFERROR(VLOOKUP(E5049,'Condensed Specialty Crosswalk'!$A$2:$C$106,2,FALSE),"")</f>
        <v/>
      </c>
      <c r="G5049" s="49" t="str">
        <f>IFERROR(VLOOKUP(E5049,'Condensed Specialty Crosswalk'!$A$2:$C$106,3,FALSE),"")</f>
        <v/>
      </c>
    </row>
    <row r="5050" spans="5:7" ht="15" customHeight="1">
      <c r="E5050" s="49" t="str">
        <f>IFERROR(VLOOKUP(D5050,'taxonomy map'!$A$1:$C$107,2,FALSE),"")</f>
        <v/>
      </c>
      <c r="F5050" s="49" t="str">
        <f>IFERROR(VLOOKUP(E5050,'Condensed Specialty Crosswalk'!$A$2:$C$106,2,FALSE),"")</f>
        <v/>
      </c>
      <c r="G5050" s="49" t="str">
        <f>IFERROR(VLOOKUP(E5050,'Condensed Specialty Crosswalk'!$A$2:$C$106,3,FALSE),"")</f>
        <v/>
      </c>
    </row>
    <row r="5051" spans="5:7" ht="15" customHeight="1">
      <c r="E5051" s="49" t="str">
        <f>IFERROR(VLOOKUP(D5051,'taxonomy map'!$A$1:$C$107,2,FALSE),"")</f>
        <v/>
      </c>
      <c r="F5051" s="49" t="str">
        <f>IFERROR(VLOOKUP(E5051,'Condensed Specialty Crosswalk'!$A$2:$C$106,2,FALSE),"")</f>
        <v/>
      </c>
      <c r="G5051" s="49" t="str">
        <f>IFERROR(VLOOKUP(E5051,'Condensed Specialty Crosswalk'!$A$2:$C$106,3,FALSE),"")</f>
        <v/>
      </c>
    </row>
    <row r="5052" spans="5:7" ht="15" customHeight="1">
      <c r="E5052" s="49" t="str">
        <f>IFERROR(VLOOKUP(D5052,'taxonomy map'!$A$1:$C$107,2,FALSE),"")</f>
        <v/>
      </c>
      <c r="F5052" s="49" t="str">
        <f>IFERROR(VLOOKUP(E5052,'Condensed Specialty Crosswalk'!$A$2:$C$106,2,FALSE),"")</f>
        <v/>
      </c>
      <c r="G5052" s="49" t="str">
        <f>IFERROR(VLOOKUP(E5052,'Condensed Specialty Crosswalk'!$A$2:$C$106,3,FALSE),"")</f>
        <v/>
      </c>
    </row>
    <row r="5053" spans="5:7" ht="15" customHeight="1">
      <c r="E5053" s="49" t="str">
        <f>IFERROR(VLOOKUP(D5053,'taxonomy map'!$A$1:$C$107,2,FALSE),"")</f>
        <v/>
      </c>
      <c r="F5053" s="49" t="str">
        <f>IFERROR(VLOOKUP(E5053,'Condensed Specialty Crosswalk'!$A$2:$C$106,2,FALSE),"")</f>
        <v/>
      </c>
      <c r="G5053" s="49" t="str">
        <f>IFERROR(VLOOKUP(E5053,'Condensed Specialty Crosswalk'!$A$2:$C$106,3,FALSE),"")</f>
        <v/>
      </c>
    </row>
    <row r="5054" spans="5:7" ht="15" customHeight="1">
      <c r="E5054" s="49" t="str">
        <f>IFERROR(VLOOKUP(D5054,'taxonomy map'!$A$1:$C$107,2,FALSE),"")</f>
        <v/>
      </c>
      <c r="F5054" s="49" t="str">
        <f>IFERROR(VLOOKUP(E5054,'Condensed Specialty Crosswalk'!$A$2:$C$106,2,FALSE),"")</f>
        <v/>
      </c>
      <c r="G5054" s="49" t="str">
        <f>IFERROR(VLOOKUP(E5054,'Condensed Specialty Crosswalk'!$A$2:$C$106,3,FALSE),"")</f>
        <v/>
      </c>
    </row>
    <row r="5055" spans="5:7" ht="15" customHeight="1">
      <c r="E5055" s="49" t="str">
        <f>IFERROR(VLOOKUP(D5055,'taxonomy map'!$A$1:$C$107,2,FALSE),"")</f>
        <v/>
      </c>
      <c r="F5055" s="49" t="str">
        <f>IFERROR(VLOOKUP(E5055,'Condensed Specialty Crosswalk'!$A$2:$C$106,2,FALSE),"")</f>
        <v/>
      </c>
      <c r="G5055" s="49" t="str">
        <f>IFERROR(VLOOKUP(E5055,'Condensed Specialty Crosswalk'!$A$2:$C$106,3,FALSE),"")</f>
        <v/>
      </c>
    </row>
    <row r="5056" spans="5:7" ht="15" customHeight="1">
      <c r="E5056" s="49" t="str">
        <f>IFERROR(VLOOKUP(D5056,'taxonomy map'!$A$1:$C$107,2,FALSE),"")</f>
        <v/>
      </c>
      <c r="F5056" s="49" t="str">
        <f>IFERROR(VLOOKUP(E5056,'Condensed Specialty Crosswalk'!$A$2:$C$106,2,FALSE),"")</f>
        <v/>
      </c>
      <c r="G5056" s="49" t="str">
        <f>IFERROR(VLOOKUP(E5056,'Condensed Specialty Crosswalk'!$A$2:$C$106,3,FALSE),"")</f>
        <v/>
      </c>
    </row>
    <row r="5057" spans="5:7" ht="15" customHeight="1">
      <c r="E5057" s="49" t="str">
        <f>IFERROR(VLOOKUP(D5057,'taxonomy map'!$A$1:$C$107,2,FALSE),"")</f>
        <v/>
      </c>
      <c r="F5057" s="49" t="str">
        <f>IFERROR(VLOOKUP(E5057,'Condensed Specialty Crosswalk'!$A$2:$C$106,2,FALSE),"")</f>
        <v/>
      </c>
      <c r="G5057" s="49" t="str">
        <f>IFERROR(VLOOKUP(E5057,'Condensed Specialty Crosswalk'!$A$2:$C$106,3,FALSE),"")</f>
        <v/>
      </c>
    </row>
    <row r="5058" spans="5:7" ht="15" customHeight="1">
      <c r="E5058" s="49" t="str">
        <f>IFERROR(VLOOKUP(D5058,'taxonomy map'!$A$1:$C$107,2,FALSE),"")</f>
        <v/>
      </c>
      <c r="F5058" s="49" t="str">
        <f>IFERROR(VLOOKUP(E5058,'Condensed Specialty Crosswalk'!$A$2:$C$106,2,FALSE),"")</f>
        <v/>
      </c>
      <c r="G5058" s="49" t="str">
        <f>IFERROR(VLOOKUP(E5058,'Condensed Specialty Crosswalk'!$A$2:$C$106,3,FALSE),"")</f>
        <v/>
      </c>
    </row>
    <row r="5059" spans="5:7" ht="15" customHeight="1">
      <c r="E5059" s="49" t="str">
        <f>IFERROR(VLOOKUP(D5059,'taxonomy map'!$A$1:$C$107,2,FALSE),"")</f>
        <v/>
      </c>
      <c r="F5059" s="49" t="str">
        <f>IFERROR(VLOOKUP(E5059,'Condensed Specialty Crosswalk'!$A$2:$C$106,2,FALSE),"")</f>
        <v/>
      </c>
      <c r="G5059" s="49" t="str">
        <f>IFERROR(VLOOKUP(E5059,'Condensed Specialty Crosswalk'!$A$2:$C$106,3,FALSE),"")</f>
        <v/>
      </c>
    </row>
    <row r="5060" spans="5:7" ht="15" customHeight="1">
      <c r="E5060" s="49" t="str">
        <f>IFERROR(VLOOKUP(D5060,'taxonomy map'!$A$1:$C$107,2,FALSE),"")</f>
        <v/>
      </c>
      <c r="F5060" s="49" t="str">
        <f>IFERROR(VLOOKUP(E5060,'Condensed Specialty Crosswalk'!$A$2:$C$106,2,FALSE),"")</f>
        <v/>
      </c>
      <c r="G5060" s="49" t="str">
        <f>IFERROR(VLOOKUP(E5060,'Condensed Specialty Crosswalk'!$A$2:$C$106,3,FALSE),"")</f>
        <v/>
      </c>
    </row>
    <row r="5061" spans="5:7" ht="15" customHeight="1">
      <c r="E5061" s="49" t="str">
        <f>IFERROR(VLOOKUP(D5061,'taxonomy map'!$A$1:$C$107,2,FALSE),"")</f>
        <v/>
      </c>
      <c r="F5061" s="49" t="str">
        <f>IFERROR(VLOOKUP(E5061,'Condensed Specialty Crosswalk'!$A$2:$C$106,2,FALSE),"")</f>
        <v/>
      </c>
      <c r="G5061" s="49" t="str">
        <f>IFERROR(VLOOKUP(E5061,'Condensed Specialty Crosswalk'!$A$2:$C$106,3,FALSE),"")</f>
        <v/>
      </c>
    </row>
    <row r="5062" spans="5:7" ht="15" customHeight="1">
      <c r="E5062" s="49" t="str">
        <f>IFERROR(VLOOKUP(D5062,'taxonomy map'!$A$1:$C$107,2,FALSE),"")</f>
        <v/>
      </c>
      <c r="F5062" s="49" t="str">
        <f>IFERROR(VLOOKUP(E5062,'Condensed Specialty Crosswalk'!$A$2:$C$106,2,FALSE),"")</f>
        <v/>
      </c>
      <c r="G5062" s="49" t="str">
        <f>IFERROR(VLOOKUP(E5062,'Condensed Specialty Crosswalk'!$A$2:$C$106,3,FALSE),"")</f>
        <v/>
      </c>
    </row>
    <row r="5063" spans="5:7" ht="15" customHeight="1">
      <c r="E5063" s="49" t="str">
        <f>IFERROR(VLOOKUP(D5063,'taxonomy map'!$A$1:$C$107,2,FALSE),"")</f>
        <v/>
      </c>
      <c r="F5063" s="49" t="str">
        <f>IFERROR(VLOOKUP(E5063,'Condensed Specialty Crosswalk'!$A$2:$C$106,2,FALSE),"")</f>
        <v/>
      </c>
      <c r="G5063" s="49" t="str">
        <f>IFERROR(VLOOKUP(E5063,'Condensed Specialty Crosswalk'!$A$2:$C$106,3,FALSE),"")</f>
        <v/>
      </c>
    </row>
    <row r="5064" spans="5:7" ht="15" customHeight="1">
      <c r="E5064" s="49" t="str">
        <f>IFERROR(VLOOKUP(D5064,'taxonomy map'!$A$1:$C$107,2,FALSE),"")</f>
        <v/>
      </c>
      <c r="F5064" s="49" t="str">
        <f>IFERROR(VLOOKUP(E5064,'Condensed Specialty Crosswalk'!$A$2:$C$106,2,FALSE),"")</f>
        <v/>
      </c>
      <c r="G5064" s="49" t="str">
        <f>IFERROR(VLOOKUP(E5064,'Condensed Specialty Crosswalk'!$A$2:$C$106,3,FALSE),"")</f>
        <v/>
      </c>
    </row>
    <row r="5065" spans="5:7" ht="15" customHeight="1">
      <c r="E5065" s="49" t="str">
        <f>IFERROR(VLOOKUP(D5065,'taxonomy map'!$A$1:$C$107,2,FALSE),"")</f>
        <v/>
      </c>
      <c r="F5065" s="49" t="str">
        <f>IFERROR(VLOOKUP(E5065,'Condensed Specialty Crosswalk'!$A$2:$C$106,2,FALSE),"")</f>
        <v/>
      </c>
      <c r="G5065" s="49" t="str">
        <f>IFERROR(VLOOKUP(E5065,'Condensed Specialty Crosswalk'!$A$2:$C$106,3,FALSE),"")</f>
        <v/>
      </c>
    </row>
    <row r="5066" spans="5:7" ht="15" customHeight="1">
      <c r="E5066" s="49" t="str">
        <f>IFERROR(VLOOKUP(D5066,'taxonomy map'!$A$1:$C$107,2,FALSE),"")</f>
        <v/>
      </c>
      <c r="F5066" s="49" t="str">
        <f>IFERROR(VLOOKUP(E5066,'Condensed Specialty Crosswalk'!$A$2:$C$106,2,FALSE),"")</f>
        <v/>
      </c>
      <c r="G5066" s="49" t="str">
        <f>IFERROR(VLOOKUP(E5066,'Condensed Specialty Crosswalk'!$A$2:$C$106,3,FALSE),"")</f>
        <v/>
      </c>
    </row>
    <row r="5067" spans="5:7" ht="15" customHeight="1">
      <c r="E5067" s="49" t="str">
        <f>IFERROR(VLOOKUP(D5067,'taxonomy map'!$A$1:$C$107,2,FALSE),"")</f>
        <v/>
      </c>
      <c r="F5067" s="49" t="str">
        <f>IFERROR(VLOOKUP(E5067,'Condensed Specialty Crosswalk'!$A$2:$C$106,2,FALSE),"")</f>
        <v/>
      </c>
      <c r="G5067" s="49" t="str">
        <f>IFERROR(VLOOKUP(E5067,'Condensed Specialty Crosswalk'!$A$2:$C$106,3,FALSE),"")</f>
        <v/>
      </c>
    </row>
    <row r="5068" spans="5:7" ht="15" customHeight="1">
      <c r="E5068" s="49" t="str">
        <f>IFERROR(VLOOKUP(D5068,'taxonomy map'!$A$1:$C$107,2,FALSE),"")</f>
        <v/>
      </c>
      <c r="F5068" s="49" t="str">
        <f>IFERROR(VLOOKUP(E5068,'Condensed Specialty Crosswalk'!$A$2:$C$106,2,FALSE),"")</f>
        <v/>
      </c>
      <c r="G5068" s="49" t="str">
        <f>IFERROR(VLOOKUP(E5068,'Condensed Specialty Crosswalk'!$A$2:$C$106,3,FALSE),"")</f>
        <v/>
      </c>
    </row>
    <row r="5069" spans="5:7" ht="15" customHeight="1">
      <c r="E5069" s="49" t="str">
        <f>IFERROR(VLOOKUP(D5069,'taxonomy map'!$A$1:$C$107,2,FALSE),"")</f>
        <v/>
      </c>
      <c r="F5069" s="49" t="str">
        <f>IFERROR(VLOOKUP(E5069,'Condensed Specialty Crosswalk'!$A$2:$C$106,2,FALSE),"")</f>
        <v/>
      </c>
      <c r="G5069" s="49" t="str">
        <f>IFERROR(VLOOKUP(E5069,'Condensed Specialty Crosswalk'!$A$2:$C$106,3,FALSE),"")</f>
        <v/>
      </c>
    </row>
    <row r="5070" spans="5:7" ht="15" customHeight="1">
      <c r="E5070" s="49" t="str">
        <f>IFERROR(VLOOKUP(D5070,'taxonomy map'!$A$1:$C$107,2,FALSE),"")</f>
        <v/>
      </c>
      <c r="F5070" s="49" t="str">
        <f>IFERROR(VLOOKUP(E5070,'Condensed Specialty Crosswalk'!$A$2:$C$106,2,FALSE),"")</f>
        <v/>
      </c>
      <c r="G5070" s="49" t="str">
        <f>IFERROR(VLOOKUP(E5070,'Condensed Specialty Crosswalk'!$A$2:$C$106,3,FALSE),"")</f>
        <v/>
      </c>
    </row>
    <row r="5071" spans="5:7" ht="15" customHeight="1">
      <c r="E5071" s="49" t="str">
        <f>IFERROR(VLOOKUP(D5071,'taxonomy map'!$A$1:$C$107,2,FALSE),"")</f>
        <v/>
      </c>
      <c r="F5071" s="49" t="str">
        <f>IFERROR(VLOOKUP(E5071,'Condensed Specialty Crosswalk'!$A$2:$C$106,2,FALSE),"")</f>
        <v/>
      </c>
      <c r="G5071" s="49" t="str">
        <f>IFERROR(VLOOKUP(E5071,'Condensed Specialty Crosswalk'!$A$2:$C$106,3,FALSE),"")</f>
        <v/>
      </c>
    </row>
    <row r="5072" spans="5:7" ht="15" customHeight="1">
      <c r="E5072" s="49" t="str">
        <f>IFERROR(VLOOKUP(D5072,'taxonomy map'!$A$1:$C$107,2,FALSE),"")</f>
        <v/>
      </c>
      <c r="F5072" s="49" t="str">
        <f>IFERROR(VLOOKUP(E5072,'Condensed Specialty Crosswalk'!$A$2:$C$106,2,FALSE),"")</f>
        <v/>
      </c>
      <c r="G5072" s="49" t="str">
        <f>IFERROR(VLOOKUP(E5072,'Condensed Specialty Crosswalk'!$A$2:$C$106,3,FALSE),"")</f>
        <v/>
      </c>
    </row>
    <row r="5073" spans="5:7" ht="15" customHeight="1">
      <c r="E5073" s="49" t="str">
        <f>IFERROR(VLOOKUP(D5073,'taxonomy map'!$A$1:$C$107,2,FALSE),"")</f>
        <v/>
      </c>
      <c r="F5073" s="49" t="str">
        <f>IFERROR(VLOOKUP(E5073,'Condensed Specialty Crosswalk'!$A$2:$C$106,2,FALSE),"")</f>
        <v/>
      </c>
      <c r="G5073" s="49" t="str">
        <f>IFERROR(VLOOKUP(E5073,'Condensed Specialty Crosswalk'!$A$2:$C$106,3,FALSE),"")</f>
        <v/>
      </c>
    </row>
    <row r="5074" spans="5:7" ht="15" customHeight="1">
      <c r="E5074" s="49" t="str">
        <f>IFERROR(VLOOKUP(D5074,'taxonomy map'!$A$1:$C$107,2,FALSE),"")</f>
        <v/>
      </c>
      <c r="F5074" s="49" t="str">
        <f>IFERROR(VLOOKUP(E5074,'Condensed Specialty Crosswalk'!$A$2:$C$106,2,FALSE),"")</f>
        <v/>
      </c>
      <c r="G5074" s="49" t="str">
        <f>IFERROR(VLOOKUP(E5074,'Condensed Specialty Crosswalk'!$A$2:$C$106,3,FALSE),"")</f>
        <v/>
      </c>
    </row>
    <row r="5075" spans="5:7" ht="15" customHeight="1">
      <c r="E5075" s="49" t="str">
        <f>IFERROR(VLOOKUP(D5075,'taxonomy map'!$A$1:$C$107,2,FALSE),"")</f>
        <v/>
      </c>
      <c r="F5075" s="49" t="str">
        <f>IFERROR(VLOOKUP(E5075,'Condensed Specialty Crosswalk'!$A$2:$C$106,2,FALSE),"")</f>
        <v/>
      </c>
      <c r="G5075" s="49" t="str">
        <f>IFERROR(VLOOKUP(E5075,'Condensed Specialty Crosswalk'!$A$2:$C$106,3,FALSE),"")</f>
        <v/>
      </c>
    </row>
    <row r="5076" spans="5:7" ht="15" customHeight="1">
      <c r="E5076" s="49" t="str">
        <f>IFERROR(VLOOKUP(D5076,'taxonomy map'!$A$1:$C$107,2,FALSE),"")</f>
        <v/>
      </c>
      <c r="F5076" s="49" t="str">
        <f>IFERROR(VLOOKUP(E5076,'Condensed Specialty Crosswalk'!$A$2:$C$106,2,FALSE),"")</f>
        <v/>
      </c>
      <c r="G5076" s="49" t="str">
        <f>IFERROR(VLOOKUP(E5076,'Condensed Specialty Crosswalk'!$A$2:$C$106,3,FALSE),"")</f>
        <v/>
      </c>
    </row>
    <row r="5077" spans="5:7" ht="15" customHeight="1">
      <c r="E5077" s="49" t="str">
        <f>IFERROR(VLOOKUP(D5077,'taxonomy map'!$A$1:$C$107,2,FALSE),"")</f>
        <v/>
      </c>
      <c r="F5077" s="49" t="str">
        <f>IFERROR(VLOOKUP(E5077,'Condensed Specialty Crosswalk'!$A$2:$C$106,2,FALSE),"")</f>
        <v/>
      </c>
      <c r="G5077" s="49" t="str">
        <f>IFERROR(VLOOKUP(E5077,'Condensed Specialty Crosswalk'!$A$2:$C$106,3,FALSE),"")</f>
        <v/>
      </c>
    </row>
    <row r="5078" spans="5:7" ht="15" customHeight="1">
      <c r="E5078" s="49" t="str">
        <f>IFERROR(VLOOKUP(D5078,'taxonomy map'!$A$1:$C$107,2,FALSE),"")</f>
        <v/>
      </c>
      <c r="F5078" s="49" t="str">
        <f>IFERROR(VLOOKUP(E5078,'Condensed Specialty Crosswalk'!$A$2:$C$106,2,FALSE),"")</f>
        <v/>
      </c>
      <c r="G5078" s="49" t="str">
        <f>IFERROR(VLOOKUP(E5078,'Condensed Specialty Crosswalk'!$A$2:$C$106,3,FALSE),"")</f>
        <v/>
      </c>
    </row>
    <row r="5079" spans="5:7" ht="15" customHeight="1">
      <c r="E5079" s="49" t="str">
        <f>IFERROR(VLOOKUP(D5079,'taxonomy map'!$A$1:$C$107,2,FALSE),"")</f>
        <v/>
      </c>
      <c r="F5079" s="49" t="str">
        <f>IFERROR(VLOOKUP(E5079,'Condensed Specialty Crosswalk'!$A$2:$C$106,2,FALSE),"")</f>
        <v/>
      </c>
      <c r="G5079" s="49" t="str">
        <f>IFERROR(VLOOKUP(E5079,'Condensed Specialty Crosswalk'!$A$2:$C$106,3,FALSE),"")</f>
        <v/>
      </c>
    </row>
    <row r="5080" spans="5:7" ht="15" customHeight="1">
      <c r="E5080" s="49" t="str">
        <f>IFERROR(VLOOKUP(D5080,'taxonomy map'!$A$1:$C$107,2,FALSE),"")</f>
        <v/>
      </c>
      <c r="F5080" s="49" t="str">
        <f>IFERROR(VLOOKUP(E5080,'Condensed Specialty Crosswalk'!$A$2:$C$106,2,FALSE),"")</f>
        <v/>
      </c>
      <c r="G5080" s="49" t="str">
        <f>IFERROR(VLOOKUP(E5080,'Condensed Specialty Crosswalk'!$A$2:$C$106,3,FALSE),"")</f>
        <v/>
      </c>
    </row>
    <row r="5081" spans="5:7" ht="15" customHeight="1">
      <c r="E5081" s="49" t="str">
        <f>IFERROR(VLOOKUP(D5081,'taxonomy map'!$A$1:$C$107,2,FALSE),"")</f>
        <v/>
      </c>
      <c r="F5081" s="49" t="str">
        <f>IFERROR(VLOOKUP(E5081,'Condensed Specialty Crosswalk'!$A$2:$C$106,2,FALSE),"")</f>
        <v/>
      </c>
      <c r="G5081" s="49" t="str">
        <f>IFERROR(VLOOKUP(E5081,'Condensed Specialty Crosswalk'!$A$2:$C$106,3,FALSE),"")</f>
        <v/>
      </c>
    </row>
    <row r="5082" spans="5:7" ht="15" customHeight="1">
      <c r="E5082" s="49" t="str">
        <f>IFERROR(VLOOKUP(D5082,'taxonomy map'!$A$1:$C$107,2,FALSE),"")</f>
        <v/>
      </c>
      <c r="F5082" s="49" t="str">
        <f>IFERROR(VLOOKUP(E5082,'Condensed Specialty Crosswalk'!$A$2:$C$106,2,FALSE),"")</f>
        <v/>
      </c>
      <c r="G5082" s="49" t="str">
        <f>IFERROR(VLOOKUP(E5082,'Condensed Specialty Crosswalk'!$A$2:$C$106,3,FALSE),"")</f>
        <v/>
      </c>
    </row>
    <row r="5083" spans="5:7" ht="15" customHeight="1">
      <c r="E5083" s="49" t="str">
        <f>IFERROR(VLOOKUP(D5083,'taxonomy map'!$A$1:$C$107,2,FALSE),"")</f>
        <v/>
      </c>
      <c r="F5083" s="49" t="str">
        <f>IFERROR(VLOOKUP(E5083,'Condensed Specialty Crosswalk'!$A$2:$C$106,2,FALSE),"")</f>
        <v/>
      </c>
      <c r="G5083" s="49" t="str">
        <f>IFERROR(VLOOKUP(E5083,'Condensed Specialty Crosswalk'!$A$2:$C$106,3,FALSE),"")</f>
        <v/>
      </c>
    </row>
    <row r="5084" spans="5:7" ht="15" customHeight="1">
      <c r="E5084" s="49" t="str">
        <f>IFERROR(VLOOKUP(D5084,'taxonomy map'!$A$1:$C$107,2,FALSE),"")</f>
        <v/>
      </c>
      <c r="F5084" s="49" t="str">
        <f>IFERROR(VLOOKUP(E5084,'Condensed Specialty Crosswalk'!$A$2:$C$106,2,FALSE),"")</f>
        <v/>
      </c>
      <c r="G5084" s="49" t="str">
        <f>IFERROR(VLOOKUP(E5084,'Condensed Specialty Crosswalk'!$A$2:$C$106,3,FALSE),"")</f>
        <v/>
      </c>
    </row>
    <row r="5085" spans="5:7" ht="15" customHeight="1">
      <c r="E5085" s="49" t="str">
        <f>IFERROR(VLOOKUP(D5085,'taxonomy map'!$A$1:$C$107,2,FALSE),"")</f>
        <v/>
      </c>
      <c r="F5085" s="49" t="str">
        <f>IFERROR(VLOOKUP(E5085,'Condensed Specialty Crosswalk'!$A$2:$C$106,2,FALSE),"")</f>
        <v/>
      </c>
      <c r="G5085" s="49" t="str">
        <f>IFERROR(VLOOKUP(E5085,'Condensed Specialty Crosswalk'!$A$2:$C$106,3,FALSE),"")</f>
        <v/>
      </c>
    </row>
    <row r="5086" spans="5:7" ht="15" customHeight="1">
      <c r="E5086" s="49" t="str">
        <f>IFERROR(VLOOKUP(D5086,'taxonomy map'!$A$1:$C$107,2,FALSE),"")</f>
        <v/>
      </c>
      <c r="F5086" s="49" t="str">
        <f>IFERROR(VLOOKUP(E5086,'Condensed Specialty Crosswalk'!$A$2:$C$106,2,FALSE),"")</f>
        <v/>
      </c>
      <c r="G5086" s="49" t="str">
        <f>IFERROR(VLOOKUP(E5086,'Condensed Specialty Crosswalk'!$A$2:$C$106,3,FALSE),"")</f>
        <v/>
      </c>
    </row>
    <row r="5087" spans="5:7" ht="15" customHeight="1">
      <c r="E5087" s="49" t="str">
        <f>IFERROR(VLOOKUP(D5087,'taxonomy map'!$A$1:$C$107,2,FALSE),"")</f>
        <v/>
      </c>
      <c r="F5087" s="49" t="str">
        <f>IFERROR(VLOOKUP(E5087,'Condensed Specialty Crosswalk'!$A$2:$C$106,2,FALSE),"")</f>
        <v/>
      </c>
      <c r="G5087" s="49" t="str">
        <f>IFERROR(VLOOKUP(E5087,'Condensed Specialty Crosswalk'!$A$2:$C$106,3,FALSE),"")</f>
        <v/>
      </c>
    </row>
    <row r="5088" spans="5:7" ht="15" customHeight="1">
      <c r="E5088" s="49" t="str">
        <f>IFERROR(VLOOKUP(D5088,'taxonomy map'!$A$1:$C$107,2,FALSE),"")</f>
        <v/>
      </c>
      <c r="F5088" s="49" t="str">
        <f>IFERROR(VLOOKUP(E5088,'Condensed Specialty Crosswalk'!$A$2:$C$106,2,FALSE),"")</f>
        <v/>
      </c>
      <c r="G5088" s="49" t="str">
        <f>IFERROR(VLOOKUP(E5088,'Condensed Specialty Crosswalk'!$A$2:$C$106,3,FALSE),"")</f>
        <v/>
      </c>
    </row>
    <row r="5089" spans="5:7" ht="15" customHeight="1">
      <c r="E5089" s="49" t="str">
        <f>IFERROR(VLOOKUP(D5089,'taxonomy map'!$A$1:$C$107,2,FALSE),"")</f>
        <v/>
      </c>
      <c r="F5089" s="49" t="str">
        <f>IFERROR(VLOOKUP(E5089,'Condensed Specialty Crosswalk'!$A$2:$C$106,2,FALSE),"")</f>
        <v/>
      </c>
      <c r="G5089" s="49" t="str">
        <f>IFERROR(VLOOKUP(E5089,'Condensed Specialty Crosswalk'!$A$2:$C$106,3,FALSE),"")</f>
        <v/>
      </c>
    </row>
    <row r="5090" spans="5:7" ht="15" customHeight="1">
      <c r="E5090" s="49" t="str">
        <f>IFERROR(VLOOKUP(D5090,'taxonomy map'!$A$1:$C$107,2,FALSE),"")</f>
        <v/>
      </c>
      <c r="F5090" s="49" t="str">
        <f>IFERROR(VLOOKUP(E5090,'Condensed Specialty Crosswalk'!$A$2:$C$106,2,FALSE),"")</f>
        <v/>
      </c>
      <c r="G5090" s="49" t="str">
        <f>IFERROR(VLOOKUP(E5090,'Condensed Specialty Crosswalk'!$A$2:$C$106,3,FALSE),"")</f>
        <v/>
      </c>
    </row>
    <row r="5091" spans="5:7" ht="15" customHeight="1">
      <c r="E5091" s="49" t="str">
        <f>IFERROR(VLOOKUP(D5091,'taxonomy map'!$A$1:$C$107,2,FALSE),"")</f>
        <v/>
      </c>
      <c r="F5091" s="49" t="str">
        <f>IFERROR(VLOOKUP(E5091,'Condensed Specialty Crosswalk'!$A$2:$C$106,2,FALSE),"")</f>
        <v/>
      </c>
      <c r="G5091" s="49" t="str">
        <f>IFERROR(VLOOKUP(E5091,'Condensed Specialty Crosswalk'!$A$2:$C$106,3,FALSE),"")</f>
        <v/>
      </c>
    </row>
    <row r="5092" spans="5:7" ht="15" customHeight="1">
      <c r="E5092" s="49" t="str">
        <f>IFERROR(VLOOKUP(D5092,'taxonomy map'!$A$1:$C$107,2,FALSE),"")</f>
        <v/>
      </c>
      <c r="F5092" s="49" t="str">
        <f>IFERROR(VLOOKUP(E5092,'Condensed Specialty Crosswalk'!$A$2:$C$106,2,FALSE),"")</f>
        <v/>
      </c>
      <c r="G5092" s="49" t="str">
        <f>IFERROR(VLOOKUP(E5092,'Condensed Specialty Crosswalk'!$A$2:$C$106,3,FALSE),"")</f>
        <v/>
      </c>
    </row>
    <row r="5093" spans="5:7" ht="15" customHeight="1">
      <c r="E5093" s="49" t="str">
        <f>IFERROR(VLOOKUP(D5093,'taxonomy map'!$A$1:$C$107,2,FALSE),"")</f>
        <v/>
      </c>
      <c r="F5093" s="49" t="str">
        <f>IFERROR(VLOOKUP(E5093,'Condensed Specialty Crosswalk'!$A$2:$C$106,2,FALSE),"")</f>
        <v/>
      </c>
      <c r="G5093" s="49" t="str">
        <f>IFERROR(VLOOKUP(E5093,'Condensed Specialty Crosswalk'!$A$2:$C$106,3,FALSE),"")</f>
        <v/>
      </c>
    </row>
    <row r="5094" spans="5:7" ht="15" customHeight="1">
      <c r="E5094" s="49" t="str">
        <f>IFERROR(VLOOKUP(D5094,'taxonomy map'!$A$1:$C$107,2,FALSE),"")</f>
        <v/>
      </c>
      <c r="F5094" s="49" t="str">
        <f>IFERROR(VLOOKUP(E5094,'Condensed Specialty Crosswalk'!$A$2:$C$106,2,FALSE),"")</f>
        <v/>
      </c>
      <c r="G5094" s="49" t="str">
        <f>IFERROR(VLOOKUP(E5094,'Condensed Specialty Crosswalk'!$A$2:$C$106,3,FALSE),"")</f>
        <v/>
      </c>
    </row>
    <row r="5095" spans="5:7" ht="15" customHeight="1">
      <c r="E5095" s="49" t="str">
        <f>IFERROR(VLOOKUP(D5095,'taxonomy map'!$A$1:$C$107,2,FALSE),"")</f>
        <v/>
      </c>
      <c r="F5095" s="49" t="str">
        <f>IFERROR(VLOOKUP(E5095,'Condensed Specialty Crosswalk'!$A$2:$C$106,2,FALSE),"")</f>
        <v/>
      </c>
      <c r="G5095" s="49" t="str">
        <f>IFERROR(VLOOKUP(E5095,'Condensed Specialty Crosswalk'!$A$2:$C$106,3,FALSE),"")</f>
        <v/>
      </c>
    </row>
    <row r="5096" spans="5:7" ht="15" customHeight="1">
      <c r="E5096" s="49" t="str">
        <f>IFERROR(VLOOKUP(D5096,'taxonomy map'!$A$1:$C$107,2,FALSE),"")</f>
        <v/>
      </c>
      <c r="F5096" s="49" t="str">
        <f>IFERROR(VLOOKUP(E5096,'Condensed Specialty Crosswalk'!$A$2:$C$106,2,FALSE),"")</f>
        <v/>
      </c>
      <c r="G5096" s="49" t="str">
        <f>IFERROR(VLOOKUP(E5096,'Condensed Specialty Crosswalk'!$A$2:$C$106,3,FALSE),"")</f>
        <v/>
      </c>
    </row>
    <row r="5097" spans="5:7" ht="15" customHeight="1">
      <c r="E5097" s="49" t="str">
        <f>IFERROR(VLOOKUP(D5097,'taxonomy map'!$A$1:$C$107,2,FALSE),"")</f>
        <v/>
      </c>
      <c r="F5097" s="49" t="str">
        <f>IFERROR(VLOOKUP(E5097,'Condensed Specialty Crosswalk'!$A$2:$C$106,2,FALSE),"")</f>
        <v/>
      </c>
      <c r="G5097" s="49" t="str">
        <f>IFERROR(VLOOKUP(E5097,'Condensed Specialty Crosswalk'!$A$2:$C$106,3,FALSE),"")</f>
        <v/>
      </c>
    </row>
    <row r="5098" spans="5:7" ht="15" customHeight="1">
      <c r="E5098" s="49" t="str">
        <f>IFERROR(VLOOKUP(D5098,'taxonomy map'!$A$1:$C$107,2,FALSE),"")</f>
        <v/>
      </c>
      <c r="F5098" s="49" t="str">
        <f>IFERROR(VLOOKUP(E5098,'Condensed Specialty Crosswalk'!$A$2:$C$106,2,FALSE),"")</f>
        <v/>
      </c>
      <c r="G5098" s="49" t="str">
        <f>IFERROR(VLOOKUP(E5098,'Condensed Specialty Crosswalk'!$A$2:$C$106,3,FALSE),"")</f>
        <v/>
      </c>
    </row>
    <row r="5099" spans="5:7" ht="15" customHeight="1">
      <c r="E5099" s="49" t="str">
        <f>IFERROR(VLOOKUP(D5099,'taxonomy map'!$A$1:$C$107,2,FALSE),"")</f>
        <v/>
      </c>
      <c r="F5099" s="49" t="str">
        <f>IFERROR(VLOOKUP(E5099,'Condensed Specialty Crosswalk'!$A$2:$C$106,2,FALSE),"")</f>
        <v/>
      </c>
      <c r="G5099" s="49" t="str">
        <f>IFERROR(VLOOKUP(E5099,'Condensed Specialty Crosswalk'!$A$2:$C$106,3,FALSE),"")</f>
        <v/>
      </c>
    </row>
    <row r="5100" spans="5:7" ht="15" customHeight="1">
      <c r="E5100" s="49" t="str">
        <f>IFERROR(VLOOKUP(D5100,'taxonomy map'!$A$1:$C$107,2,FALSE),"")</f>
        <v/>
      </c>
      <c r="F5100" s="49" t="str">
        <f>IFERROR(VLOOKUP(E5100,'Condensed Specialty Crosswalk'!$A$2:$C$106,2,FALSE),"")</f>
        <v/>
      </c>
      <c r="G5100" s="49" t="str">
        <f>IFERROR(VLOOKUP(E5100,'Condensed Specialty Crosswalk'!$A$2:$C$106,3,FALSE),"")</f>
        <v/>
      </c>
    </row>
    <row r="5101" spans="5:7" ht="15" customHeight="1">
      <c r="E5101" s="49" t="str">
        <f>IFERROR(VLOOKUP(D5101,'taxonomy map'!$A$1:$C$107,2,FALSE),"")</f>
        <v/>
      </c>
      <c r="F5101" s="49" t="str">
        <f>IFERROR(VLOOKUP(E5101,'Condensed Specialty Crosswalk'!$A$2:$C$106,2,FALSE),"")</f>
        <v/>
      </c>
      <c r="G5101" s="49" t="str">
        <f>IFERROR(VLOOKUP(E5101,'Condensed Specialty Crosswalk'!$A$2:$C$106,3,FALSE),"")</f>
        <v/>
      </c>
    </row>
    <row r="5102" spans="5:7" ht="15" customHeight="1">
      <c r="E5102" s="49" t="str">
        <f>IFERROR(VLOOKUP(D5102,'taxonomy map'!$A$1:$C$107,2,FALSE),"")</f>
        <v/>
      </c>
      <c r="F5102" s="49" t="str">
        <f>IFERROR(VLOOKUP(E5102,'Condensed Specialty Crosswalk'!$A$2:$C$106,2,FALSE),"")</f>
        <v/>
      </c>
      <c r="G5102" s="49" t="str">
        <f>IFERROR(VLOOKUP(E5102,'Condensed Specialty Crosswalk'!$A$2:$C$106,3,FALSE),"")</f>
        <v/>
      </c>
    </row>
    <row r="5103" spans="5:7" ht="15" customHeight="1">
      <c r="E5103" s="49" t="str">
        <f>IFERROR(VLOOKUP(D5103,'taxonomy map'!$A$1:$C$107,2,FALSE),"")</f>
        <v/>
      </c>
      <c r="F5103" s="49" t="str">
        <f>IFERROR(VLOOKUP(E5103,'Condensed Specialty Crosswalk'!$A$2:$C$106,2,FALSE),"")</f>
        <v/>
      </c>
      <c r="G5103" s="49" t="str">
        <f>IFERROR(VLOOKUP(E5103,'Condensed Specialty Crosswalk'!$A$2:$C$106,3,FALSE),"")</f>
        <v/>
      </c>
    </row>
    <row r="5104" spans="5:7" ht="15" customHeight="1">
      <c r="E5104" s="49" t="str">
        <f>IFERROR(VLOOKUP(D5104,'taxonomy map'!$A$1:$C$107,2,FALSE),"")</f>
        <v/>
      </c>
      <c r="F5104" s="49" t="str">
        <f>IFERROR(VLOOKUP(E5104,'Condensed Specialty Crosswalk'!$A$2:$C$106,2,FALSE),"")</f>
        <v/>
      </c>
      <c r="G5104" s="49" t="str">
        <f>IFERROR(VLOOKUP(E5104,'Condensed Specialty Crosswalk'!$A$2:$C$106,3,FALSE),"")</f>
        <v/>
      </c>
    </row>
    <row r="5105" spans="5:7" ht="15" customHeight="1">
      <c r="E5105" s="49" t="str">
        <f>IFERROR(VLOOKUP(D5105,'taxonomy map'!$A$1:$C$107,2,FALSE),"")</f>
        <v/>
      </c>
      <c r="F5105" s="49" t="str">
        <f>IFERROR(VLOOKUP(E5105,'Condensed Specialty Crosswalk'!$A$2:$C$106,2,FALSE),"")</f>
        <v/>
      </c>
      <c r="G5105" s="49" t="str">
        <f>IFERROR(VLOOKUP(E5105,'Condensed Specialty Crosswalk'!$A$2:$C$106,3,FALSE),"")</f>
        <v/>
      </c>
    </row>
    <row r="5106" spans="5:7" ht="15" customHeight="1">
      <c r="E5106" s="49" t="str">
        <f>IFERROR(VLOOKUP(D5106,'taxonomy map'!$A$1:$C$107,2,FALSE),"")</f>
        <v/>
      </c>
      <c r="F5106" s="49" t="str">
        <f>IFERROR(VLOOKUP(E5106,'Condensed Specialty Crosswalk'!$A$2:$C$106,2,FALSE),"")</f>
        <v/>
      </c>
      <c r="G5106" s="49" t="str">
        <f>IFERROR(VLOOKUP(E5106,'Condensed Specialty Crosswalk'!$A$2:$C$106,3,FALSE),"")</f>
        <v/>
      </c>
    </row>
    <row r="5107" spans="5:7" ht="15" customHeight="1">
      <c r="E5107" s="49" t="str">
        <f>IFERROR(VLOOKUP(D5107,'taxonomy map'!$A$1:$C$107,2,FALSE),"")</f>
        <v/>
      </c>
      <c r="F5107" s="49" t="str">
        <f>IFERROR(VLOOKUP(E5107,'Condensed Specialty Crosswalk'!$A$2:$C$106,2,FALSE),"")</f>
        <v/>
      </c>
      <c r="G5107" s="49" t="str">
        <f>IFERROR(VLOOKUP(E5107,'Condensed Specialty Crosswalk'!$A$2:$C$106,3,FALSE),"")</f>
        <v/>
      </c>
    </row>
    <row r="5108" spans="5:7" ht="15" customHeight="1">
      <c r="E5108" s="49" t="str">
        <f>IFERROR(VLOOKUP(D5108,'taxonomy map'!$A$1:$C$107,2,FALSE),"")</f>
        <v/>
      </c>
      <c r="F5108" s="49" t="str">
        <f>IFERROR(VLOOKUP(E5108,'Condensed Specialty Crosswalk'!$A$2:$C$106,2,FALSE),"")</f>
        <v/>
      </c>
      <c r="G5108" s="49" t="str">
        <f>IFERROR(VLOOKUP(E5108,'Condensed Specialty Crosswalk'!$A$2:$C$106,3,FALSE),"")</f>
        <v/>
      </c>
    </row>
    <row r="5109" spans="5:7" ht="15" customHeight="1">
      <c r="E5109" s="49" t="str">
        <f>IFERROR(VLOOKUP(D5109,'taxonomy map'!$A$1:$C$107,2,FALSE),"")</f>
        <v/>
      </c>
      <c r="F5109" s="49" t="str">
        <f>IFERROR(VLOOKUP(E5109,'Condensed Specialty Crosswalk'!$A$2:$C$106,2,FALSE),"")</f>
        <v/>
      </c>
      <c r="G5109" s="49" t="str">
        <f>IFERROR(VLOOKUP(E5109,'Condensed Specialty Crosswalk'!$A$2:$C$106,3,FALSE),"")</f>
        <v/>
      </c>
    </row>
    <row r="5110" spans="5:7" ht="15" customHeight="1">
      <c r="E5110" s="49" t="str">
        <f>IFERROR(VLOOKUP(D5110,'taxonomy map'!$A$1:$C$107,2,FALSE),"")</f>
        <v/>
      </c>
      <c r="F5110" s="49" t="str">
        <f>IFERROR(VLOOKUP(E5110,'Condensed Specialty Crosswalk'!$A$2:$C$106,2,FALSE),"")</f>
        <v/>
      </c>
      <c r="G5110" s="49" t="str">
        <f>IFERROR(VLOOKUP(E5110,'Condensed Specialty Crosswalk'!$A$2:$C$106,3,FALSE),"")</f>
        <v/>
      </c>
    </row>
    <row r="5111" spans="5:7" ht="15" customHeight="1">
      <c r="E5111" s="49" t="str">
        <f>IFERROR(VLOOKUP(D5111,'taxonomy map'!$A$1:$C$107,2,FALSE),"")</f>
        <v/>
      </c>
      <c r="F5111" s="49" t="str">
        <f>IFERROR(VLOOKUP(E5111,'Condensed Specialty Crosswalk'!$A$2:$C$106,2,FALSE),"")</f>
        <v/>
      </c>
      <c r="G5111" s="49" t="str">
        <f>IFERROR(VLOOKUP(E5111,'Condensed Specialty Crosswalk'!$A$2:$C$106,3,FALSE),"")</f>
        <v/>
      </c>
    </row>
    <row r="5112" spans="5:7" ht="15" customHeight="1">
      <c r="E5112" s="49" t="str">
        <f>IFERROR(VLOOKUP(D5112,'taxonomy map'!$A$1:$C$107,2,FALSE),"")</f>
        <v/>
      </c>
      <c r="F5112" s="49" t="str">
        <f>IFERROR(VLOOKUP(E5112,'Condensed Specialty Crosswalk'!$A$2:$C$106,2,FALSE),"")</f>
        <v/>
      </c>
      <c r="G5112" s="49" t="str">
        <f>IFERROR(VLOOKUP(E5112,'Condensed Specialty Crosswalk'!$A$2:$C$106,3,FALSE),"")</f>
        <v/>
      </c>
    </row>
    <row r="5113" spans="5:7" ht="15" customHeight="1">
      <c r="E5113" s="49" t="str">
        <f>IFERROR(VLOOKUP(D5113,'taxonomy map'!$A$1:$C$107,2,FALSE),"")</f>
        <v/>
      </c>
      <c r="F5113" s="49" t="str">
        <f>IFERROR(VLOOKUP(E5113,'Condensed Specialty Crosswalk'!$A$2:$C$106,2,FALSE),"")</f>
        <v/>
      </c>
      <c r="G5113" s="49" t="str">
        <f>IFERROR(VLOOKUP(E5113,'Condensed Specialty Crosswalk'!$A$2:$C$106,3,FALSE),"")</f>
        <v/>
      </c>
    </row>
    <row r="5114" spans="5:7" ht="15" customHeight="1">
      <c r="E5114" s="49" t="str">
        <f>IFERROR(VLOOKUP(D5114,'taxonomy map'!$A$1:$C$107,2,FALSE),"")</f>
        <v/>
      </c>
      <c r="F5114" s="49" t="str">
        <f>IFERROR(VLOOKUP(E5114,'Condensed Specialty Crosswalk'!$A$2:$C$106,2,FALSE),"")</f>
        <v/>
      </c>
      <c r="G5114" s="49" t="str">
        <f>IFERROR(VLOOKUP(E5114,'Condensed Specialty Crosswalk'!$A$2:$C$106,3,FALSE),"")</f>
        <v/>
      </c>
    </row>
    <row r="5115" spans="5:7" ht="15" customHeight="1">
      <c r="E5115" s="49" t="str">
        <f>IFERROR(VLOOKUP(D5115,'taxonomy map'!$A$1:$C$107,2,FALSE),"")</f>
        <v/>
      </c>
      <c r="F5115" s="49" t="str">
        <f>IFERROR(VLOOKUP(E5115,'Condensed Specialty Crosswalk'!$A$2:$C$106,2,FALSE),"")</f>
        <v/>
      </c>
      <c r="G5115" s="49" t="str">
        <f>IFERROR(VLOOKUP(E5115,'Condensed Specialty Crosswalk'!$A$2:$C$106,3,FALSE),"")</f>
        <v/>
      </c>
    </row>
    <row r="5116" spans="5:7" ht="15" customHeight="1">
      <c r="E5116" s="49" t="str">
        <f>IFERROR(VLOOKUP(D5116,'taxonomy map'!$A$1:$C$107,2,FALSE),"")</f>
        <v/>
      </c>
      <c r="F5116" s="49" t="str">
        <f>IFERROR(VLOOKUP(E5116,'Condensed Specialty Crosswalk'!$A$2:$C$106,2,FALSE),"")</f>
        <v/>
      </c>
      <c r="G5116" s="49" t="str">
        <f>IFERROR(VLOOKUP(E5116,'Condensed Specialty Crosswalk'!$A$2:$C$106,3,FALSE),"")</f>
        <v/>
      </c>
    </row>
    <row r="5117" spans="5:7" ht="15" customHeight="1">
      <c r="E5117" s="49" t="str">
        <f>IFERROR(VLOOKUP(D5117,'taxonomy map'!$A$1:$C$107,2,FALSE),"")</f>
        <v/>
      </c>
      <c r="F5117" s="49" t="str">
        <f>IFERROR(VLOOKUP(E5117,'Condensed Specialty Crosswalk'!$A$2:$C$106,2,FALSE),"")</f>
        <v/>
      </c>
      <c r="G5117" s="49" t="str">
        <f>IFERROR(VLOOKUP(E5117,'Condensed Specialty Crosswalk'!$A$2:$C$106,3,FALSE),"")</f>
        <v/>
      </c>
    </row>
    <row r="5118" spans="5:7" ht="15" customHeight="1">
      <c r="E5118" s="49" t="str">
        <f>IFERROR(VLOOKUP(D5118,'taxonomy map'!$A$1:$C$107,2,FALSE),"")</f>
        <v/>
      </c>
      <c r="F5118" s="49" t="str">
        <f>IFERROR(VLOOKUP(E5118,'Condensed Specialty Crosswalk'!$A$2:$C$106,2,FALSE),"")</f>
        <v/>
      </c>
      <c r="G5118" s="49" t="str">
        <f>IFERROR(VLOOKUP(E5118,'Condensed Specialty Crosswalk'!$A$2:$C$106,3,FALSE),"")</f>
        <v/>
      </c>
    </row>
    <row r="5119" spans="5:7" ht="15" customHeight="1">
      <c r="E5119" s="49" t="str">
        <f>IFERROR(VLOOKUP(D5119,'taxonomy map'!$A$1:$C$107,2,FALSE),"")</f>
        <v/>
      </c>
      <c r="F5119" s="49" t="str">
        <f>IFERROR(VLOOKUP(E5119,'Condensed Specialty Crosswalk'!$A$2:$C$106,2,FALSE),"")</f>
        <v/>
      </c>
      <c r="G5119" s="49" t="str">
        <f>IFERROR(VLOOKUP(E5119,'Condensed Specialty Crosswalk'!$A$2:$C$106,3,FALSE),"")</f>
        <v/>
      </c>
    </row>
    <row r="5120" spans="5:7" ht="15" customHeight="1">
      <c r="E5120" s="49" t="str">
        <f>IFERROR(VLOOKUP(D5120,'taxonomy map'!$A$1:$C$107,2,FALSE),"")</f>
        <v/>
      </c>
      <c r="F5120" s="49" t="str">
        <f>IFERROR(VLOOKUP(E5120,'Condensed Specialty Crosswalk'!$A$2:$C$106,2,FALSE),"")</f>
        <v/>
      </c>
      <c r="G5120" s="49" t="str">
        <f>IFERROR(VLOOKUP(E5120,'Condensed Specialty Crosswalk'!$A$2:$C$106,3,FALSE),"")</f>
        <v/>
      </c>
    </row>
    <row r="5121" spans="5:7" ht="15" customHeight="1">
      <c r="E5121" s="49" t="str">
        <f>IFERROR(VLOOKUP(D5121,'taxonomy map'!$A$1:$C$107,2,FALSE),"")</f>
        <v/>
      </c>
      <c r="F5121" s="49" t="str">
        <f>IFERROR(VLOOKUP(E5121,'Condensed Specialty Crosswalk'!$A$2:$C$106,2,FALSE),"")</f>
        <v/>
      </c>
      <c r="G5121" s="49" t="str">
        <f>IFERROR(VLOOKUP(E5121,'Condensed Specialty Crosswalk'!$A$2:$C$106,3,FALSE),"")</f>
        <v/>
      </c>
    </row>
    <row r="5122" spans="5:7" ht="15" customHeight="1">
      <c r="E5122" s="49" t="str">
        <f>IFERROR(VLOOKUP(D5122,'taxonomy map'!$A$1:$C$107,2,FALSE),"")</f>
        <v/>
      </c>
      <c r="F5122" s="49" t="str">
        <f>IFERROR(VLOOKUP(E5122,'Condensed Specialty Crosswalk'!$A$2:$C$106,2,FALSE),"")</f>
        <v/>
      </c>
      <c r="G5122" s="49" t="str">
        <f>IFERROR(VLOOKUP(E5122,'Condensed Specialty Crosswalk'!$A$2:$C$106,3,FALSE),"")</f>
        <v/>
      </c>
    </row>
    <row r="5123" spans="5:7" ht="15" customHeight="1">
      <c r="E5123" s="49" t="str">
        <f>IFERROR(VLOOKUP(D5123,'taxonomy map'!$A$1:$C$107,2,FALSE),"")</f>
        <v/>
      </c>
      <c r="F5123" s="49" t="str">
        <f>IFERROR(VLOOKUP(E5123,'Condensed Specialty Crosswalk'!$A$2:$C$106,2,FALSE),"")</f>
        <v/>
      </c>
      <c r="G5123" s="49" t="str">
        <f>IFERROR(VLOOKUP(E5123,'Condensed Specialty Crosswalk'!$A$2:$C$106,3,FALSE),"")</f>
        <v/>
      </c>
    </row>
    <row r="5124" spans="5:7" ht="15" customHeight="1">
      <c r="E5124" s="49" t="str">
        <f>IFERROR(VLOOKUP(D5124,'taxonomy map'!$A$1:$C$107,2,FALSE),"")</f>
        <v/>
      </c>
      <c r="F5124" s="49" t="str">
        <f>IFERROR(VLOOKUP(E5124,'Condensed Specialty Crosswalk'!$A$2:$C$106,2,FALSE),"")</f>
        <v/>
      </c>
      <c r="G5124" s="49" t="str">
        <f>IFERROR(VLOOKUP(E5124,'Condensed Specialty Crosswalk'!$A$2:$C$106,3,FALSE),"")</f>
        <v/>
      </c>
    </row>
    <row r="5125" spans="5:7" ht="15" customHeight="1">
      <c r="E5125" s="49" t="str">
        <f>IFERROR(VLOOKUP(D5125,'taxonomy map'!$A$1:$C$107,2,FALSE),"")</f>
        <v/>
      </c>
      <c r="F5125" s="49" t="str">
        <f>IFERROR(VLOOKUP(E5125,'Condensed Specialty Crosswalk'!$A$2:$C$106,2,FALSE),"")</f>
        <v/>
      </c>
      <c r="G5125" s="49" t="str">
        <f>IFERROR(VLOOKUP(E5125,'Condensed Specialty Crosswalk'!$A$2:$C$106,3,FALSE),"")</f>
        <v/>
      </c>
    </row>
    <row r="5126" spans="5:7" ht="15" customHeight="1">
      <c r="E5126" s="49" t="str">
        <f>IFERROR(VLOOKUP(D5126,'taxonomy map'!$A$1:$C$107,2,FALSE),"")</f>
        <v/>
      </c>
      <c r="F5126" s="49" t="str">
        <f>IFERROR(VLOOKUP(E5126,'Condensed Specialty Crosswalk'!$A$2:$C$106,2,FALSE),"")</f>
        <v/>
      </c>
      <c r="G5126" s="49" t="str">
        <f>IFERROR(VLOOKUP(E5126,'Condensed Specialty Crosswalk'!$A$2:$C$106,3,FALSE),"")</f>
        <v/>
      </c>
    </row>
    <row r="5127" spans="5:7" ht="15" customHeight="1">
      <c r="E5127" s="49" t="str">
        <f>IFERROR(VLOOKUP(D5127,'taxonomy map'!$A$1:$C$107,2,FALSE),"")</f>
        <v/>
      </c>
      <c r="F5127" s="49" t="str">
        <f>IFERROR(VLOOKUP(E5127,'Condensed Specialty Crosswalk'!$A$2:$C$106,2,FALSE),"")</f>
        <v/>
      </c>
      <c r="G5127" s="49" t="str">
        <f>IFERROR(VLOOKUP(E5127,'Condensed Specialty Crosswalk'!$A$2:$C$106,3,FALSE),"")</f>
        <v/>
      </c>
    </row>
    <row r="5128" spans="5:7" ht="15" customHeight="1">
      <c r="E5128" s="49" t="str">
        <f>IFERROR(VLOOKUP(D5128,'taxonomy map'!$A$1:$C$107,2,FALSE),"")</f>
        <v/>
      </c>
      <c r="F5128" s="49" t="str">
        <f>IFERROR(VLOOKUP(E5128,'Condensed Specialty Crosswalk'!$A$2:$C$106,2,FALSE),"")</f>
        <v/>
      </c>
      <c r="G5128" s="49" t="str">
        <f>IFERROR(VLOOKUP(E5128,'Condensed Specialty Crosswalk'!$A$2:$C$106,3,FALSE),"")</f>
        <v/>
      </c>
    </row>
    <row r="5129" spans="5:7" ht="15" customHeight="1">
      <c r="E5129" s="49" t="str">
        <f>IFERROR(VLOOKUP(D5129,'taxonomy map'!$A$1:$C$107,2,FALSE),"")</f>
        <v/>
      </c>
      <c r="F5129" s="49" t="str">
        <f>IFERROR(VLOOKUP(E5129,'Condensed Specialty Crosswalk'!$A$2:$C$106,2,FALSE),"")</f>
        <v/>
      </c>
      <c r="G5129" s="49" t="str">
        <f>IFERROR(VLOOKUP(E5129,'Condensed Specialty Crosswalk'!$A$2:$C$106,3,FALSE),"")</f>
        <v/>
      </c>
    </row>
    <row r="5130" spans="5:7" ht="15" customHeight="1">
      <c r="E5130" s="49" t="str">
        <f>IFERROR(VLOOKUP(D5130,'taxonomy map'!$A$1:$C$107,2,FALSE),"")</f>
        <v/>
      </c>
      <c r="F5130" s="49" t="str">
        <f>IFERROR(VLOOKUP(E5130,'Condensed Specialty Crosswalk'!$A$2:$C$106,2,FALSE),"")</f>
        <v/>
      </c>
      <c r="G5130" s="49" t="str">
        <f>IFERROR(VLOOKUP(E5130,'Condensed Specialty Crosswalk'!$A$2:$C$106,3,FALSE),"")</f>
        <v/>
      </c>
    </row>
    <row r="5131" spans="5:7" ht="15" customHeight="1">
      <c r="E5131" s="49" t="str">
        <f>IFERROR(VLOOKUP(D5131,'taxonomy map'!$A$1:$C$107,2,FALSE),"")</f>
        <v/>
      </c>
      <c r="F5131" s="49" t="str">
        <f>IFERROR(VLOOKUP(E5131,'Condensed Specialty Crosswalk'!$A$2:$C$106,2,FALSE),"")</f>
        <v/>
      </c>
      <c r="G5131" s="49" t="str">
        <f>IFERROR(VLOOKUP(E5131,'Condensed Specialty Crosswalk'!$A$2:$C$106,3,FALSE),"")</f>
        <v/>
      </c>
    </row>
    <row r="5132" spans="5:7" ht="15" customHeight="1">
      <c r="E5132" s="49" t="str">
        <f>IFERROR(VLOOKUP(D5132,'taxonomy map'!$A$1:$C$107,2,FALSE),"")</f>
        <v/>
      </c>
      <c r="F5132" s="49" t="str">
        <f>IFERROR(VLOOKUP(E5132,'Condensed Specialty Crosswalk'!$A$2:$C$106,2,FALSE),"")</f>
        <v/>
      </c>
      <c r="G5132" s="49" t="str">
        <f>IFERROR(VLOOKUP(E5132,'Condensed Specialty Crosswalk'!$A$2:$C$106,3,FALSE),"")</f>
        <v/>
      </c>
    </row>
    <row r="5133" spans="5:7" ht="15" customHeight="1">
      <c r="E5133" s="49" t="str">
        <f>IFERROR(VLOOKUP(D5133,'taxonomy map'!$A$1:$C$107,2,FALSE),"")</f>
        <v/>
      </c>
      <c r="F5133" s="49" t="str">
        <f>IFERROR(VLOOKUP(E5133,'Condensed Specialty Crosswalk'!$A$2:$C$106,2,FALSE),"")</f>
        <v/>
      </c>
      <c r="G5133" s="49" t="str">
        <f>IFERROR(VLOOKUP(E5133,'Condensed Specialty Crosswalk'!$A$2:$C$106,3,FALSE),"")</f>
        <v/>
      </c>
    </row>
    <row r="5134" spans="5:7" ht="15" customHeight="1">
      <c r="E5134" s="49" t="str">
        <f>IFERROR(VLOOKUP(D5134,'taxonomy map'!$A$1:$C$107,2,FALSE),"")</f>
        <v/>
      </c>
      <c r="F5134" s="49" t="str">
        <f>IFERROR(VLOOKUP(E5134,'Condensed Specialty Crosswalk'!$A$2:$C$106,2,FALSE),"")</f>
        <v/>
      </c>
      <c r="G5134" s="49" t="str">
        <f>IFERROR(VLOOKUP(E5134,'Condensed Specialty Crosswalk'!$A$2:$C$106,3,FALSE),"")</f>
        <v/>
      </c>
    </row>
    <row r="5135" spans="5:7" ht="15" customHeight="1">
      <c r="E5135" s="49" t="str">
        <f>IFERROR(VLOOKUP(D5135,'taxonomy map'!$A$1:$C$107,2,FALSE),"")</f>
        <v/>
      </c>
      <c r="F5135" s="49" t="str">
        <f>IFERROR(VLOOKUP(E5135,'Condensed Specialty Crosswalk'!$A$2:$C$106,2,FALSE),"")</f>
        <v/>
      </c>
      <c r="G5135" s="49" t="str">
        <f>IFERROR(VLOOKUP(E5135,'Condensed Specialty Crosswalk'!$A$2:$C$106,3,FALSE),"")</f>
        <v/>
      </c>
    </row>
    <row r="5136" spans="5:7" ht="15" customHeight="1">
      <c r="E5136" s="49" t="str">
        <f>IFERROR(VLOOKUP(D5136,'taxonomy map'!$A$1:$C$107,2,FALSE),"")</f>
        <v/>
      </c>
      <c r="F5136" s="49" t="str">
        <f>IFERROR(VLOOKUP(E5136,'Condensed Specialty Crosswalk'!$A$2:$C$106,2,FALSE),"")</f>
        <v/>
      </c>
      <c r="G5136" s="49" t="str">
        <f>IFERROR(VLOOKUP(E5136,'Condensed Specialty Crosswalk'!$A$2:$C$106,3,FALSE),"")</f>
        <v/>
      </c>
    </row>
    <row r="5137" spans="5:7" ht="15" customHeight="1">
      <c r="E5137" s="49" t="str">
        <f>IFERROR(VLOOKUP(D5137,'taxonomy map'!$A$1:$C$107,2,FALSE),"")</f>
        <v/>
      </c>
      <c r="F5137" s="49" t="str">
        <f>IFERROR(VLOOKUP(E5137,'Condensed Specialty Crosswalk'!$A$2:$C$106,2,FALSE),"")</f>
        <v/>
      </c>
      <c r="G5137" s="49" t="str">
        <f>IFERROR(VLOOKUP(E5137,'Condensed Specialty Crosswalk'!$A$2:$C$106,3,FALSE),"")</f>
        <v/>
      </c>
    </row>
    <row r="5138" spans="5:7" ht="15" customHeight="1">
      <c r="E5138" s="49" t="str">
        <f>IFERROR(VLOOKUP(D5138,'taxonomy map'!$A$1:$C$107,2,FALSE),"")</f>
        <v/>
      </c>
      <c r="F5138" s="49" t="str">
        <f>IFERROR(VLOOKUP(E5138,'Condensed Specialty Crosswalk'!$A$2:$C$106,2,FALSE),"")</f>
        <v/>
      </c>
      <c r="G5138" s="49" t="str">
        <f>IFERROR(VLOOKUP(E5138,'Condensed Specialty Crosswalk'!$A$2:$C$106,3,FALSE),"")</f>
        <v/>
      </c>
    </row>
    <row r="5139" spans="5:7" ht="15" customHeight="1">
      <c r="E5139" s="49" t="str">
        <f>IFERROR(VLOOKUP(D5139,'taxonomy map'!$A$1:$C$107,2,FALSE),"")</f>
        <v/>
      </c>
      <c r="F5139" s="49" t="str">
        <f>IFERROR(VLOOKUP(E5139,'Condensed Specialty Crosswalk'!$A$2:$C$106,2,FALSE),"")</f>
        <v/>
      </c>
      <c r="G5139" s="49" t="str">
        <f>IFERROR(VLOOKUP(E5139,'Condensed Specialty Crosswalk'!$A$2:$C$106,3,FALSE),"")</f>
        <v/>
      </c>
    </row>
    <row r="5140" spans="5:7" ht="15" customHeight="1">
      <c r="E5140" s="49" t="str">
        <f>IFERROR(VLOOKUP(D5140,'taxonomy map'!$A$1:$C$107,2,FALSE),"")</f>
        <v/>
      </c>
      <c r="F5140" s="49" t="str">
        <f>IFERROR(VLOOKUP(E5140,'Condensed Specialty Crosswalk'!$A$2:$C$106,2,FALSE),"")</f>
        <v/>
      </c>
      <c r="G5140" s="49" t="str">
        <f>IFERROR(VLOOKUP(E5140,'Condensed Specialty Crosswalk'!$A$2:$C$106,3,FALSE),"")</f>
        <v/>
      </c>
    </row>
    <row r="5141" spans="5:7" ht="15" customHeight="1">
      <c r="E5141" s="49" t="str">
        <f>IFERROR(VLOOKUP(D5141,'taxonomy map'!$A$1:$C$107,2,FALSE),"")</f>
        <v/>
      </c>
      <c r="F5141" s="49" t="str">
        <f>IFERROR(VLOOKUP(E5141,'Condensed Specialty Crosswalk'!$A$2:$C$106,2,FALSE),"")</f>
        <v/>
      </c>
      <c r="G5141" s="49" t="str">
        <f>IFERROR(VLOOKUP(E5141,'Condensed Specialty Crosswalk'!$A$2:$C$106,3,FALSE),"")</f>
        <v/>
      </c>
    </row>
    <row r="5142" spans="5:7" ht="15" customHeight="1">
      <c r="E5142" s="49" t="str">
        <f>IFERROR(VLOOKUP(D5142,'taxonomy map'!$A$1:$C$107,2,FALSE),"")</f>
        <v/>
      </c>
      <c r="F5142" s="49" t="str">
        <f>IFERROR(VLOOKUP(E5142,'Condensed Specialty Crosswalk'!$A$2:$C$106,2,FALSE),"")</f>
        <v/>
      </c>
      <c r="G5142" s="49" t="str">
        <f>IFERROR(VLOOKUP(E5142,'Condensed Specialty Crosswalk'!$A$2:$C$106,3,FALSE),"")</f>
        <v/>
      </c>
    </row>
    <row r="5143" spans="5:7" ht="15" customHeight="1">
      <c r="E5143" s="49" t="str">
        <f>IFERROR(VLOOKUP(D5143,'taxonomy map'!$A$1:$C$107,2,FALSE),"")</f>
        <v/>
      </c>
      <c r="F5143" s="49" t="str">
        <f>IFERROR(VLOOKUP(E5143,'Condensed Specialty Crosswalk'!$A$2:$C$106,2,FALSE),"")</f>
        <v/>
      </c>
      <c r="G5143" s="49" t="str">
        <f>IFERROR(VLOOKUP(E5143,'Condensed Specialty Crosswalk'!$A$2:$C$106,3,FALSE),"")</f>
        <v/>
      </c>
    </row>
    <row r="5144" spans="5:7" ht="15" customHeight="1">
      <c r="E5144" s="49" t="str">
        <f>IFERROR(VLOOKUP(D5144,'taxonomy map'!$A$1:$C$107,2,FALSE),"")</f>
        <v/>
      </c>
      <c r="F5144" s="49" t="str">
        <f>IFERROR(VLOOKUP(E5144,'Condensed Specialty Crosswalk'!$A$2:$C$106,2,FALSE),"")</f>
        <v/>
      </c>
      <c r="G5144" s="49" t="str">
        <f>IFERROR(VLOOKUP(E5144,'Condensed Specialty Crosswalk'!$A$2:$C$106,3,FALSE),"")</f>
        <v/>
      </c>
    </row>
    <row r="5145" spans="5:7" ht="15" customHeight="1">
      <c r="E5145" s="49" t="str">
        <f>IFERROR(VLOOKUP(D5145,'taxonomy map'!$A$1:$C$107,2,FALSE),"")</f>
        <v/>
      </c>
      <c r="F5145" s="49" t="str">
        <f>IFERROR(VLOOKUP(E5145,'Condensed Specialty Crosswalk'!$A$2:$C$106,2,FALSE),"")</f>
        <v/>
      </c>
      <c r="G5145" s="49" t="str">
        <f>IFERROR(VLOOKUP(E5145,'Condensed Specialty Crosswalk'!$A$2:$C$106,3,FALSE),"")</f>
        <v/>
      </c>
    </row>
    <row r="5146" spans="5:7" ht="15" customHeight="1">
      <c r="E5146" s="49" t="str">
        <f>IFERROR(VLOOKUP(D5146,'taxonomy map'!$A$1:$C$107,2,FALSE),"")</f>
        <v/>
      </c>
      <c r="F5146" s="49" t="str">
        <f>IFERROR(VLOOKUP(E5146,'Condensed Specialty Crosswalk'!$A$2:$C$106,2,FALSE),"")</f>
        <v/>
      </c>
      <c r="G5146" s="49" t="str">
        <f>IFERROR(VLOOKUP(E5146,'Condensed Specialty Crosswalk'!$A$2:$C$106,3,FALSE),"")</f>
        <v/>
      </c>
    </row>
    <row r="5147" spans="5:7" ht="15" customHeight="1">
      <c r="E5147" s="49" t="str">
        <f>IFERROR(VLOOKUP(D5147,'taxonomy map'!$A$1:$C$107,2,FALSE),"")</f>
        <v/>
      </c>
      <c r="F5147" s="49" t="str">
        <f>IFERROR(VLOOKUP(E5147,'Condensed Specialty Crosswalk'!$A$2:$C$106,2,FALSE),"")</f>
        <v/>
      </c>
      <c r="G5147" s="49" t="str">
        <f>IFERROR(VLOOKUP(E5147,'Condensed Specialty Crosswalk'!$A$2:$C$106,3,FALSE),"")</f>
        <v/>
      </c>
    </row>
    <row r="5148" spans="5:7" ht="15" customHeight="1">
      <c r="E5148" s="49" t="str">
        <f>IFERROR(VLOOKUP(D5148,'taxonomy map'!$A$1:$C$107,2,FALSE),"")</f>
        <v/>
      </c>
      <c r="F5148" s="49" t="str">
        <f>IFERROR(VLOOKUP(E5148,'Condensed Specialty Crosswalk'!$A$2:$C$106,2,FALSE),"")</f>
        <v/>
      </c>
      <c r="G5148" s="49" t="str">
        <f>IFERROR(VLOOKUP(E5148,'Condensed Specialty Crosswalk'!$A$2:$C$106,3,FALSE),"")</f>
        <v/>
      </c>
    </row>
    <row r="5149" spans="5:7" ht="15" customHeight="1">
      <c r="E5149" s="49" t="str">
        <f>IFERROR(VLOOKUP(D5149,'taxonomy map'!$A$1:$C$107,2,FALSE),"")</f>
        <v/>
      </c>
      <c r="F5149" s="49" t="str">
        <f>IFERROR(VLOOKUP(E5149,'Condensed Specialty Crosswalk'!$A$2:$C$106,2,FALSE),"")</f>
        <v/>
      </c>
      <c r="G5149" s="49" t="str">
        <f>IFERROR(VLOOKUP(E5149,'Condensed Specialty Crosswalk'!$A$2:$C$106,3,FALSE),"")</f>
        <v/>
      </c>
    </row>
    <row r="5150" spans="5:7" ht="15" customHeight="1">
      <c r="E5150" s="49" t="str">
        <f>IFERROR(VLOOKUP(D5150,'taxonomy map'!$A$1:$C$107,2,FALSE),"")</f>
        <v/>
      </c>
      <c r="F5150" s="49" t="str">
        <f>IFERROR(VLOOKUP(E5150,'Condensed Specialty Crosswalk'!$A$2:$C$106,2,FALSE),"")</f>
        <v/>
      </c>
      <c r="G5150" s="49" t="str">
        <f>IFERROR(VLOOKUP(E5150,'Condensed Specialty Crosswalk'!$A$2:$C$106,3,FALSE),"")</f>
        <v/>
      </c>
    </row>
    <row r="5151" spans="5:7" ht="15" customHeight="1">
      <c r="E5151" s="49" t="str">
        <f>IFERROR(VLOOKUP(D5151,'taxonomy map'!$A$1:$C$107,2,FALSE),"")</f>
        <v/>
      </c>
      <c r="F5151" s="49" t="str">
        <f>IFERROR(VLOOKUP(E5151,'Condensed Specialty Crosswalk'!$A$2:$C$106,2,FALSE),"")</f>
        <v/>
      </c>
      <c r="G5151" s="49" t="str">
        <f>IFERROR(VLOOKUP(E5151,'Condensed Specialty Crosswalk'!$A$2:$C$106,3,FALSE),"")</f>
        <v/>
      </c>
    </row>
    <row r="5152" spans="5:7" ht="15" customHeight="1">
      <c r="E5152" s="49" t="str">
        <f>IFERROR(VLOOKUP(D5152,'taxonomy map'!$A$1:$C$107,2,FALSE),"")</f>
        <v/>
      </c>
      <c r="F5152" s="49" t="str">
        <f>IFERROR(VLOOKUP(E5152,'Condensed Specialty Crosswalk'!$A$2:$C$106,2,FALSE),"")</f>
        <v/>
      </c>
      <c r="G5152" s="49" t="str">
        <f>IFERROR(VLOOKUP(E5152,'Condensed Specialty Crosswalk'!$A$2:$C$106,3,FALSE),"")</f>
        <v/>
      </c>
    </row>
    <row r="5153" spans="5:7" ht="15" customHeight="1">
      <c r="E5153" s="49" t="str">
        <f>IFERROR(VLOOKUP(D5153,'taxonomy map'!$A$1:$C$107,2,FALSE),"")</f>
        <v/>
      </c>
      <c r="F5153" s="49" t="str">
        <f>IFERROR(VLOOKUP(E5153,'Condensed Specialty Crosswalk'!$A$2:$C$106,2,FALSE),"")</f>
        <v/>
      </c>
      <c r="G5153" s="49" t="str">
        <f>IFERROR(VLOOKUP(E5153,'Condensed Specialty Crosswalk'!$A$2:$C$106,3,FALSE),"")</f>
        <v/>
      </c>
    </row>
    <row r="5154" spans="5:7" ht="15" customHeight="1">
      <c r="E5154" s="49" t="str">
        <f>IFERROR(VLOOKUP(D5154,'taxonomy map'!$A$1:$C$107,2,FALSE),"")</f>
        <v/>
      </c>
      <c r="F5154" s="49" t="str">
        <f>IFERROR(VLOOKUP(E5154,'Condensed Specialty Crosswalk'!$A$2:$C$106,2,FALSE),"")</f>
        <v/>
      </c>
      <c r="G5154" s="49" t="str">
        <f>IFERROR(VLOOKUP(E5154,'Condensed Specialty Crosswalk'!$A$2:$C$106,3,FALSE),"")</f>
        <v/>
      </c>
    </row>
    <row r="5155" spans="5:7" ht="15" customHeight="1">
      <c r="E5155" s="49" t="str">
        <f>IFERROR(VLOOKUP(D5155,'taxonomy map'!$A$1:$C$107,2,FALSE),"")</f>
        <v/>
      </c>
      <c r="F5155" s="49" t="str">
        <f>IFERROR(VLOOKUP(E5155,'Condensed Specialty Crosswalk'!$A$2:$C$106,2,FALSE),"")</f>
        <v/>
      </c>
      <c r="G5155" s="49" t="str">
        <f>IFERROR(VLOOKUP(E5155,'Condensed Specialty Crosswalk'!$A$2:$C$106,3,FALSE),"")</f>
        <v/>
      </c>
    </row>
    <row r="5156" spans="5:7" ht="15" customHeight="1">
      <c r="E5156" s="49" t="str">
        <f>IFERROR(VLOOKUP(D5156,'taxonomy map'!$A$1:$C$107,2,FALSE),"")</f>
        <v/>
      </c>
      <c r="F5156" s="49" t="str">
        <f>IFERROR(VLOOKUP(E5156,'Condensed Specialty Crosswalk'!$A$2:$C$106,2,FALSE),"")</f>
        <v/>
      </c>
      <c r="G5156" s="49" t="str">
        <f>IFERROR(VLOOKUP(E5156,'Condensed Specialty Crosswalk'!$A$2:$C$106,3,FALSE),"")</f>
        <v/>
      </c>
    </row>
    <row r="5157" spans="5:7" ht="15" customHeight="1">
      <c r="E5157" s="49" t="str">
        <f>IFERROR(VLOOKUP(D5157,'taxonomy map'!$A$1:$C$107,2,FALSE),"")</f>
        <v/>
      </c>
      <c r="F5157" s="49" t="str">
        <f>IFERROR(VLOOKUP(E5157,'Condensed Specialty Crosswalk'!$A$2:$C$106,2,FALSE),"")</f>
        <v/>
      </c>
      <c r="G5157" s="49" t="str">
        <f>IFERROR(VLOOKUP(E5157,'Condensed Specialty Crosswalk'!$A$2:$C$106,3,FALSE),"")</f>
        <v/>
      </c>
    </row>
    <row r="5158" spans="5:7" ht="15" customHeight="1">
      <c r="E5158" s="49" t="str">
        <f>IFERROR(VLOOKUP(D5158,'taxonomy map'!$A$1:$C$107,2,FALSE),"")</f>
        <v/>
      </c>
      <c r="F5158" s="49" t="str">
        <f>IFERROR(VLOOKUP(E5158,'Condensed Specialty Crosswalk'!$A$2:$C$106,2,FALSE),"")</f>
        <v/>
      </c>
      <c r="G5158" s="49" t="str">
        <f>IFERROR(VLOOKUP(E5158,'Condensed Specialty Crosswalk'!$A$2:$C$106,3,FALSE),"")</f>
        <v/>
      </c>
    </row>
    <row r="5159" spans="5:7" ht="15" customHeight="1">
      <c r="E5159" s="49" t="str">
        <f>IFERROR(VLOOKUP(D5159,'taxonomy map'!$A$1:$C$107,2,FALSE),"")</f>
        <v/>
      </c>
      <c r="F5159" s="49" t="str">
        <f>IFERROR(VLOOKUP(E5159,'Condensed Specialty Crosswalk'!$A$2:$C$106,2,FALSE),"")</f>
        <v/>
      </c>
      <c r="G5159" s="49" t="str">
        <f>IFERROR(VLOOKUP(E5159,'Condensed Specialty Crosswalk'!$A$2:$C$106,3,FALSE),"")</f>
        <v/>
      </c>
    </row>
    <row r="5160" spans="5:7" ht="15" customHeight="1">
      <c r="E5160" s="49" t="str">
        <f>IFERROR(VLOOKUP(D5160,'taxonomy map'!$A$1:$C$107,2,FALSE),"")</f>
        <v/>
      </c>
      <c r="F5160" s="49" t="str">
        <f>IFERROR(VLOOKUP(E5160,'Condensed Specialty Crosswalk'!$A$2:$C$106,2,FALSE),"")</f>
        <v/>
      </c>
      <c r="G5160" s="49" t="str">
        <f>IFERROR(VLOOKUP(E5160,'Condensed Specialty Crosswalk'!$A$2:$C$106,3,FALSE),"")</f>
        <v/>
      </c>
    </row>
    <row r="5161" spans="5:7" ht="15" customHeight="1">
      <c r="E5161" s="49" t="str">
        <f>IFERROR(VLOOKUP(D5161,'taxonomy map'!$A$1:$C$107,2,FALSE),"")</f>
        <v/>
      </c>
      <c r="F5161" s="49" t="str">
        <f>IFERROR(VLOOKUP(E5161,'Condensed Specialty Crosswalk'!$A$2:$C$106,2,FALSE),"")</f>
        <v/>
      </c>
      <c r="G5161" s="49" t="str">
        <f>IFERROR(VLOOKUP(E5161,'Condensed Specialty Crosswalk'!$A$2:$C$106,3,FALSE),"")</f>
        <v/>
      </c>
    </row>
    <row r="5162" spans="5:7" ht="15" customHeight="1">
      <c r="E5162" s="49" t="str">
        <f>IFERROR(VLOOKUP(D5162,'taxonomy map'!$A$1:$C$107,2,FALSE),"")</f>
        <v/>
      </c>
      <c r="F5162" s="49" t="str">
        <f>IFERROR(VLOOKUP(E5162,'Condensed Specialty Crosswalk'!$A$2:$C$106,2,FALSE),"")</f>
        <v/>
      </c>
      <c r="G5162" s="49" t="str">
        <f>IFERROR(VLOOKUP(E5162,'Condensed Specialty Crosswalk'!$A$2:$C$106,3,FALSE),"")</f>
        <v/>
      </c>
    </row>
    <row r="5163" spans="5:7" ht="15" customHeight="1">
      <c r="E5163" s="49" t="str">
        <f>IFERROR(VLOOKUP(D5163,'taxonomy map'!$A$1:$C$107,2,FALSE),"")</f>
        <v/>
      </c>
      <c r="F5163" s="49" t="str">
        <f>IFERROR(VLOOKUP(E5163,'Condensed Specialty Crosswalk'!$A$2:$C$106,2,FALSE),"")</f>
        <v/>
      </c>
      <c r="G5163" s="49" t="str">
        <f>IFERROR(VLOOKUP(E5163,'Condensed Specialty Crosswalk'!$A$2:$C$106,3,FALSE),"")</f>
        <v/>
      </c>
    </row>
    <row r="5164" spans="5:7" ht="15" customHeight="1">
      <c r="E5164" s="49" t="str">
        <f>IFERROR(VLOOKUP(D5164,'taxonomy map'!$A$1:$C$107,2,FALSE),"")</f>
        <v/>
      </c>
      <c r="F5164" s="49" t="str">
        <f>IFERROR(VLOOKUP(E5164,'Condensed Specialty Crosswalk'!$A$2:$C$106,2,FALSE),"")</f>
        <v/>
      </c>
      <c r="G5164" s="49" t="str">
        <f>IFERROR(VLOOKUP(E5164,'Condensed Specialty Crosswalk'!$A$2:$C$106,3,FALSE),"")</f>
        <v/>
      </c>
    </row>
    <row r="5165" spans="5:7" ht="15" customHeight="1">
      <c r="E5165" s="49" t="str">
        <f>IFERROR(VLOOKUP(D5165,'taxonomy map'!$A$1:$C$107,2,FALSE),"")</f>
        <v/>
      </c>
      <c r="F5165" s="49" t="str">
        <f>IFERROR(VLOOKUP(E5165,'Condensed Specialty Crosswalk'!$A$2:$C$106,2,FALSE),"")</f>
        <v/>
      </c>
      <c r="G5165" s="49" t="str">
        <f>IFERROR(VLOOKUP(E5165,'Condensed Specialty Crosswalk'!$A$2:$C$106,3,FALSE),"")</f>
        <v/>
      </c>
    </row>
    <row r="5166" spans="5:7" ht="15" customHeight="1">
      <c r="E5166" s="49" t="str">
        <f>IFERROR(VLOOKUP(D5166,'taxonomy map'!$A$1:$C$107,2,FALSE),"")</f>
        <v/>
      </c>
      <c r="F5166" s="49" t="str">
        <f>IFERROR(VLOOKUP(E5166,'Condensed Specialty Crosswalk'!$A$2:$C$106,2,FALSE),"")</f>
        <v/>
      </c>
      <c r="G5166" s="49" t="str">
        <f>IFERROR(VLOOKUP(E5166,'Condensed Specialty Crosswalk'!$A$2:$C$106,3,FALSE),"")</f>
        <v/>
      </c>
    </row>
    <row r="5167" spans="5:7" ht="15" customHeight="1">
      <c r="E5167" s="49" t="str">
        <f>IFERROR(VLOOKUP(D5167,'taxonomy map'!$A$1:$C$107,2,FALSE),"")</f>
        <v/>
      </c>
      <c r="F5167" s="49" t="str">
        <f>IFERROR(VLOOKUP(E5167,'Condensed Specialty Crosswalk'!$A$2:$C$106,2,FALSE),"")</f>
        <v/>
      </c>
      <c r="G5167" s="49" t="str">
        <f>IFERROR(VLOOKUP(E5167,'Condensed Specialty Crosswalk'!$A$2:$C$106,3,FALSE),"")</f>
        <v/>
      </c>
    </row>
    <row r="5168" spans="5:7" ht="15" customHeight="1">
      <c r="E5168" s="49" t="str">
        <f>IFERROR(VLOOKUP(D5168,'taxonomy map'!$A$1:$C$107,2,FALSE),"")</f>
        <v/>
      </c>
      <c r="F5168" s="49" t="str">
        <f>IFERROR(VLOOKUP(E5168,'Condensed Specialty Crosswalk'!$A$2:$C$106,2,FALSE),"")</f>
        <v/>
      </c>
      <c r="G5168" s="49" t="str">
        <f>IFERROR(VLOOKUP(E5168,'Condensed Specialty Crosswalk'!$A$2:$C$106,3,FALSE),"")</f>
        <v/>
      </c>
    </row>
    <row r="5169" spans="5:7" ht="15" customHeight="1">
      <c r="E5169" s="49" t="str">
        <f>IFERROR(VLOOKUP(D5169,'taxonomy map'!$A$1:$C$107,2,FALSE),"")</f>
        <v/>
      </c>
      <c r="F5169" s="49" t="str">
        <f>IFERROR(VLOOKUP(E5169,'Condensed Specialty Crosswalk'!$A$2:$C$106,2,FALSE),"")</f>
        <v/>
      </c>
      <c r="G5169" s="49" t="str">
        <f>IFERROR(VLOOKUP(E5169,'Condensed Specialty Crosswalk'!$A$2:$C$106,3,FALSE),"")</f>
        <v/>
      </c>
    </row>
    <row r="5170" spans="5:7" ht="15" customHeight="1">
      <c r="E5170" s="49" t="str">
        <f>IFERROR(VLOOKUP(D5170,'taxonomy map'!$A$1:$C$107,2,FALSE),"")</f>
        <v/>
      </c>
      <c r="F5170" s="49" t="str">
        <f>IFERROR(VLOOKUP(E5170,'Condensed Specialty Crosswalk'!$A$2:$C$106,2,FALSE),"")</f>
        <v/>
      </c>
      <c r="G5170" s="49" t="str">
        <f>IFERROR(VLOOKUP(E5170,'Condensed Specialty Crosswalk'!$A$2:$C$106,3,FALSE),"")</f>
        <v/>
      </c>
    </row>
    <row r="5171" spans="5:7" ht="15" customHeight="1">
      <c r="E5171" s="49" t="str">
        <f>IFERROR(VLOOKUP(D5171,'taxonomy map'!$A$1:$C$107,2,FALSE),"")</f>
        <v/>
      </c>
      <c r="F5171" s="49" t="str">
        <f>IFERROR(VLOOKUP(E5171,'Condensed Specialty Crosswalk'!$A$2:$C$106,2,FALSE),"")</f>
        <v/>
      </c>
      <c r="G5171" s="49" t="str">
        <f>IFERROR(VLOOKUP(E5171,'Condensed Specialty Crosswalk'!$A$2:$C$106,3,FALSE),"")</f>
        <v/>
      </c>
    </row>
    <row r="5172" spans="5:7" ht="15" customHeight="1">
      <c r="E5172" s="49" t="str">
        <f>IFERROR(VLOOKUP(D5172,'taxonomy map'!$A$1:$C$107,2,FALSE),"")</f>
        <v/>
      </c>
      <c r="F5172" s="49" t="str">
        <f>IFERROR(VLOOKUP(E5172,'Condensed Specialty Crosswalk'!$A$2:$C$106,2,FALSE),"")</f>
        <v/>
      </c>
      <c r="G5172" s="49" t="str">
        <f>IFERROR(VLOOKUP(E5172,'Condensed Specialty Crosswalk'!$A$2:$C$106,3,FALSE),"")</f>
        <v/>
      </c>
    </row>
    <row r="5173" spans="5:7" ht="15" customHeight="1">
      <c r="E5173" s="49" t="str">
        <f>IFERROR(VLOOKUP(D5173,'taxonomy map'!$A$1:$C$107,2,FALSE),"")</f>
        <v/>
      </c>
      <c r="F5173" s="49" t="str">
        <f>IFERROR(VLOOKUP(E5173,'Condensed Specialty Crosswalk'!$A$2:$C$106,2,FALSE),"")</f>
        <v/>
      </c>
      <c r="G5173" s="49" t="str">
        <f>IFERROR(VLOOKUP(E5173,'Condensed Specialty Crosswalk'!$A$2:$C$106,3,FALSE),"")</f>
        <v/>
      </c>
    </row>
    <row r="5174" spans="5:7" ht="15" customHeight="1">
      <c r="E5174" s="49" t="str">
        <f>IFERROR(VLOOKUP(D5174,'taxonomy map'!$A$1:$C$107,2,FALSE),"")</f>
        <v/>
      </c>
      <c r="F5174" s="49" t="str">
        <f>IFERROR(VLOOKUP(E5174,'Condensed Specialty Crosswalk'!$A$2:$C$106,2,FALSE),"")</f>
        <v/>
      </c>
      <c r="G5174" s="49" t="str">
        <f>IFERROR(VLOOKUP(E5174,'Condensed Specialty Crosswalk'!$A$2:$C$106,3,FALSE),"")</f>
        <v/>
      </c>
    </row>
    <row r="5175" spans="5:7" ht="15" customHeight="1">
      <c r="E5175" s="49" t="str">
        <f>IFERROR(VLOOKUP(D5175,'taxonomy map'!$A$1:$C$107,2,FALSE),"")</f>
        <v/>
      </c>
      <c r="F5175" s="49" t="str">
        <f>IFERROR(VLOOKUP(E5175,'Condensed Specialty Crosswalk'!$A$2:$C$106,2,FALSE),"")</f>
        <v/>
      </c>
      <c r="G5175" s="49" t="str">
        <f>IFERROR(VLOOKUP(E5175,'Condensed Specialty Crosswalk'!$A$2:$C$106,3,FALSE),"")</f>
        <v/>
      </c>
    </row>
    <row r="5176" spans="5:7" ht="15" customHeight="1">
      <c r="E5176" s="49" t="str">
        <f>IFERROR(VLOOKUP(D5176,'taxonomy map'!$A$1:$C$107,2,FALSE),"")</f>
        <v/>
      </c>
      <c r="F5176" s="49" t="str">
        <f>IFERROR(VLOOKUP(E5176,'Condensed Specialty Crosswalk'!$A$2:$C$106,2,FALSE),"")</f>
        <v/>
      </c>
      <c r="G5176" s="49" t="str">
        <f>IFERROR(VLOOKUP(E5176,'Condensed Specialty Crosswalk'!$A$2:$C$106,3,FALSE),"")</f>
        <v/>
      </c>
    </row>
    <row r="5177" spans="5:7" ht="15" customHeight="1">
      <c r="E5177" s="49" t="str">
        <f>IFERROR(VLOOKUP(D5177,'taxonomy map'!$A$1:$C$107,2,FALSE),"")</f>
        <v/>
      </c>
      <c r="F5177" s="49" t="str">
        <f>IFERROR(VLOOKUP(E5177,'Condensed Specialty Crosswalk'!$A$2:$C$106,2,FALSE),"")</f>
        <v/>
      </c>
      <c r="G5177" s="49" t="str">
        <f>IFERROR(VLOOKUP(E5177,'Condensed Specialty Crosswalk'!$A$2:$C$106,3,FALSE),"")</f>
        <v/>
      </c>
    </row>
    <row r="5178" spans="5:7" ht="15" customHeight="1">
      <c r="E5178" s="49" t="str">
        <f>IFERROR(VLOOKUP(D5178,'taxonomy map'!$A$1:$C$107,2,FALSE),"")</f>
        <v/>
      </c>
      <c r="F5178" s="49" t="str">
        <f>IFERROR(VLOOKUP(E5178,'Condensed Specialty Crosswalk'!$A$2:$C$106,2,FALSE),"")</f>
        <v/>
      </c>
      <c r="G5178" s="49" t="str">
        <f>IFERROR(VLOOKUP(E5178,'Condensed Specialty Crosswalk'!$A$2:$C$106,3,FALSE),"")</f>
        <v/>
      </c>
    </row>
    <row r="5179" spans="5:7" ht="15" customHeight="1">
      <c r="E5179" s="49" t="str">
        <f>IFERROR(VLOOKUP(D5179,'taxonomy map'!$A$1:$C$107,2,FALSE),"")</f>
        <v/>
      </c>
      <c r="F5179" s="49" t="str">
        <f>IFERROR(VLOOKUP(E5179,'Condensed Specialty Crosswalk'!$A$2:$C$106,2,FALSE),"")</f>
        <v/>
      </c>
      <c r="G5179" s="49" t="str">
        <f>IFERROR(VLOOKUP(E5179,'Condensed Specialty Crosswalk'!$A$2:$C$106,3,FALSE),"")</f>
        <v/>
      </c>
    </row>
    <row r="5180" spans="5:7" ht="15" customHeight="1">
      <c r="E5180" s="49" t="str">
        <f>IFERROR(VLOOKUP(D5180,'taxonomy map'!$A$1:$C$107,2,FALSE),"")</f>
        <v/>
      </c>
      <c r="F5180" s="49" t="str">
        <f>IFERROR(VLOOKUP(E5180,'Condensed Specialty Crosswalk'!$A$2:$C$106,2,FALSE),"")</f>
        <v/>
      </c>
      <c r="G5180" s="49" t="str">
        <f>IFERROR(VLOOKUP(E5180,'Condensed Specialty Crosswalk'!$A$2:$C$106,3,FALSE),"")</f>
        <v/>
      </c>
    </row>
    <row r="5181" spans="5:7" ht="15" customHeight="1">
      <c r="E5181" s="49" t="str">
        <f>IFERROR(VLOOKUP(D5181,'taxonomy map'!$A$1:$C$107,2,FALSE),"")</f>
        <v/>
      </c>
      <c r="F5181" s="49" t="str">
        <f>IFERROR(VLOOKUP(E5181,'Condensed Specialty Crosswalk'!$A$2:$C$106,2,FALSE),"")</f>
        <v/>
      </c>
      <c r="G5181" s="49" t="str">
        <f>IFERROR(VLOOKUP(E5181,'Condensed Specialty Crosswalk'!$A$2:$C$106,3,FALSE),"")</f>
        <v/>
      </c>
    </row>
    <row r="5182" spans="5:7" ht="15" customHeight="1">
      <c r="E5182" s="49" t="str">
        <f>IFERROR(VLOOKUP(D5182,'taxonomy map'!$A$1:$C$107,2,FALSE),"")</f>
        <v/>
      </c>
      <c r="F5182" s="49" t="str">
        <f>IFERROR(VLOOKUP(E5182,'Condensed Specialty Crosswalk'!$A$2:$C$106,2,FALSE),"")</f>
        <v/>
      </c>
      <c r="G5182" s="49" t="str">
        <f>IFERROR(VLOOKUP(E5182,'Condensed Specialty Crosswalk'!$A$2:$C$106,3,FALSE),"")</f>
        <v/>
      </c>
    </row>
    <row r="5183" spans="5:7" ht="15" customHeight="1">
      <c r="E5183" s="49" t="str">
        <f>IFERROR(VLOOKUP(D5183,'taxonomy map'!$A$1:$C$107,2,FALSE),"")</f>
        <v/>
      </c>
      <c r="F5183" s="49" t="str">
        <f>IFERROR(VLOOKUP(E5183,'Condensed Specialty Crosswalk'!$A$2:$C$106,2,FALSE),"")</f>
        <v/>
      </c>
      <c r="G5183" s="49" t="str">
        <f>IFERROR(VLOOKUP(E5183,'Condensed Specialty Crosswalk'!$A$2:$C$106,3,FALSE),"")</f>
        <v/>
      </c>
    </row>
    <row r="5184" spans="5:7" ht="15" customHeight="1">
      <c r="E5184" s="49" t="str">
        <f>IFERROR(VLOOKUP(D5184,'taxonomy map'!$A$1:$C$107,2,FALSE),"")</f>
        <v/>
      </c>
      <c r="F5184" s="49" t="str">
        <f>IFERROR(VLOOKUP(E5184,'Condensed Specialty Crosswalk'!$A$2:$C$106,2,FALSE),"")</f>
        <v/>
      </c>
      <c r="G5184" s="49" t="str">
        <f>IFERROR(VLOOKUP(E5184,'Condensed Specialty Crosswalk'!$A$2:$C$106,3,FALSE),"")</f>
        <v/>
      </c>
    </row>
    <row r="5185" spans="5:7" ht="15" customHeight="1">
      <c r="E5185" s="49" t="str">
        <f>IFERROR(VLOOKUP(D5185,'taxonomy map'!$A$1:$C$107,2,FALSE),"")</f>
        <v/>
      </c>
      <c r="F5185" s="49" t="str">
        <f>IFERROR(VLOOKUP(E5185,'Condensed Specialty Crosswalk'!$A$2:$C$106,2,FALSE),"")</f>
        <v/>
      </c>
      <c r="G5185" s="49" t="str">
        <f>IFERROR(VLOOKUP(E5185,'Condensed Specialty Crosswalk'!$A$2:$C$106,3,FALSE),"")</f>
        <v/>
      </c>
    </row>
    <row r="5186" spans="5:7" ht="15" customHeight="1">
      <c r="E5186" s="49" t="str">
        <f>IFERROR(VLOOKUP(D5186,'taxonomy map'!$A$1:$C$107,2,FALSE),"")</f>
        <v/>
      </c>
      <c r="F5186" s="49" t="str">
        <f>IFERROR(VLOOKUP(E5186,'Condensed Specialty Crosswalk'!$A$2:$C$106,2,FALSE),"")</f>
        <v/>
      </c>
      <c r="G5186" s="49" t="str">
        <f>IFERROR(VLOOKUP(E5186,'Condensed Specialty Crosswalk'!$A$2:$C$106,3,FALSE),"")</f>
        <v/>
      </c>
    </row>
    <row r="5187" spans="5:7" ht="15" customHeight="1">
      <c r="E5187" s="49" t="str">
        <f>IFERROR(VLOOKUP(D5187,'taxonomy map'!$A$1:$C$107,2,FALSE),"")</f>
        <v/>
      </c>
      <c r="F5187" s="49" t="str">
        <f>IFERROR(VLOOKUP(E5187,'Condensed Specialty Crosswalk'!$A$2:$C$106,2,FALSE),"")</f>
        <v/>
      </c>
      <c r="G5187" s="49" t="str">
        <f>IFERROR(VLOOKUP(E5187,'Condensed Specialty Crosswalk'!$A$2:$C$106,3,FALSE),"")</f>
        <v/>
      </c>
    </row>
    <row r="5188" spans="5:7" ht="15" customHeight="1">
      <c r="E5188" s="49" t="str">
        <f>IFERROR(VLOOKUP(D5188,'taxonomy map'!$A$1:$C$107,2,FALSE),"")</f>
        <v/>
      </c>
      <c r="F5188" s="49" t="str">
        <f>IFERROR(VLOOKUP(E5188,'Condensed Specialty Crosswalk'!$A$2:$C$106,2,FALSE),"")</f>
        <v/>
      </c>
      <c r="G5188" s="49" t="str">
        <f>IFERROR(VLOOKUP(E5188,'Condensed Specialty Crosswalk'!$A$2:$C$106,3,FALSE),"")</f>
        <v/>
      </c>
    </row>
    <row r="5189" spans="5:7" ht="15" customHeight="1">
      <c r="E5189" s="49" t="str">
        <f>IFERROR(VLOOKUP(D5189,'taxonomy map'!$A$1:$C$107,2,FALSE),"")</f>
        <v/>
      </c>
      <c r="F5189" s="49" t="str">
        <f>IFERROR(VLOOKUP(E5189,'Condensed Specialty Crosswalk'!$A$2:$C$106,2,FALSE),"")</f>
        <v/>
      </c>
      <c r="G5189" s="49" t="str">
        <f>IFERROR(VLOOKUP(E5189,'Condensed Specialty Crosswalk'!$A$2:$C$106,3,FALSE),"")</f>
        <v/>
      </c>
    </row>
    <row r="5190" spans="5:7" ht="15" customHeight="1">
      <c r="E5190" s="49" t="str">
        <f>IFERROR(VLOOKUP(D5190,'taxonomy map'!$A$1:$C$107,2,FALSE),"")</f>
        <v/>
      </c>
      <c r="F5190" s="49" t="str">
        <f>IFERROR(VLOOKUP(E5190,'Condensed Specialty Crosswalk'!$A$2:$C$106,2,FALSE),"")</f>
        <v/>
      </c>
      <c r="G5190" s="49" t="str">
        <f>IFERROR(VLOOKUP(E5190,'Condensed Specialty Crosswalk'!$A$2:$C$106,3,FALSE),"")</f>
        <v/>
      </c>
    </row>
    <row r="5191" spans="5:7" ht="15" customHeight="1">
      <c r="E5191" s="49" t="str">
        <f>IFERROR(VLOOKUP(D5191,'taxonomy map'!$A$1:$C$107,2,FALSE),"")</f>
        <v/>
      </c>
      <c r="F5191" s="49" t="str">
        <f>IFERROR(VLOOKUP(E5191,'Condensed Specialty Crosswalk'!$A$2:$C$106,2,FALSE),"")</f>
        <v/>
      </c>
      <c r="G5191" s="49" t="str">
        <f>IFERROR(VLOOKUP(E5191,'Condensed Specialty Crosswalk'!$A$2:$C$106,3,FALSE),"")</f>
        <v/>
      </c>
    </row>
    <row r="5192" spans="5:7" ht="15" customHeight="1">
      <c r="E5192" s="49" t="str">
        <f>IFERROR(VLOOKUP(D5192,'taxonomy map'!$A$1:$C$107,2,FALSE),"")</f>
        <v/>
      </c>
      <c r="F5192" s="49" t="str">
        <f>IFERROR(VLOOKUP(E5192,'Condensed Specialty Crosswalk'!$A$2:$C$106,2,FALSE),"")</f>
        <v/>
      </c>
      <c r="G5192" s="49" t="str">
        <f>IFERROR(VLOOKUP(E5192,'Condensed Specialty Crosswalk'!$A$2:$C$106,3,FALSE),"")</f>
        <v/>
      </c>
    </row>
    <row r="5193" spans="5:7" ht="15" customHeight="1">
      <c r="E5193" s="49" t="str">
        <f>IFERROR(VLOOKUP(D5193,'taxonomy map'!$A$1:$C$107,2,FALSE),"")</f>
        <v/>
      </c>
      <c r="F5193" s="49" t="str">
        <f>IFERROR(VLOOKUP(E5193,'Condensed Specialty Crosswalk'!$A$2:$C$106,2,FALSE),"")</f>
        <v/>
      </c>
      <c r="G5193" s="49" t="str">
        <f>IFERROR(VLOOKUP(E5193,'Condensed Specialty Crosswalk'!$A$2:$C$106,3,FALSE),"")</f>
        <v/>
      </c>
    </row>
    <row r="5194" spans="5:7" ht="15" customHeight="1">
      <c r="E5194" s="49" t="str">
        <f>IFERROR(VLOOKUP(D5194,'taxonomy map'!$A$1:$C$107,2,FALSE),"")</f>
        <v/>
      </c>
      <c r="F5194" s="49" t="str">
        <f>IFERROR(VLOOKUP(E5194,'Condensed Specialty Crosswalk'!$A$2:$C$106,2,FALSE),"")</f>
        <v/>
      </c>
      <c r="G5194" s="49" t="str">
        <f>IFERROR(VLOOKUP(E5194,'Condensed Specialty Crosswalk'!$A$2:$C$106,3,FALSE),"")</f>
        <v/>
      </c>
    </row>
    <row r="5195" spans="5:7" ht="15" customHeight="1">
      <c r="E5195" s="49" t="str">
        <f>IFERROR(VLOOKUP(D5195,'taxonomy map'!$A$1:$C$107,2,FALSE),"")</f>
        <v/>
      </c>
      <c r="F5195" s="49" t="str">
        <f>IFERROR(VLOOKUP(E5195,'Condensed Specialty Crosswalk'!$A$2:$C$106,2,FALSE),"")</f>
        <v/>
      </c>
      <c r="G5195" s="49" t="str">
        <f>IFERROR(VLOOKUP(E5195,'Condensed Specialty Crosswalk'!$A$2:$C$106,3,FALSE),"")</f>
        <v/>
      </c>
    </row>
    <row r="5196" spans="5:7" ht="15" customHeight="1">
      <c r="E5196" s="49" t="str">
        <f>IFERROR(VLOOKUP(D5196,'taxonomy map'!$A$1:$C$107,2,FALSE),"")</f>
        <v/>
      </c>
      <c r="F5196" s="49" t="str">
        <f>IFERROR(VLOOKUP(E5196,'Condensed Specialty Crosswalk'!$A$2:$C$106,2,FALSE),"")</f>
        <v/>
      </c>
      <c r="G5196" s="49" t="str">
        <f>IFERROR(VLOOKUP(E5196,'Condensed Specialty Crosswalk'!$A$2:$C$106,3,FALSE),"")</f>
        <v/>
      </c>
    </row>
    <row r="5197" spans="5:7" ht="15" customHeight="1">
      <c r="E5197" s="49" t="str">
        <f>IFERROR(VLOOKUP(D5197,'taxonomy map'!$A$1:$C$107,2,FALSE),"")</f>
        <v/>
      </c>
      <c r="F5197" s="49" t="str">
        <f>IFERROR(VLOOKUP(E5197,'Condensed Specialty Crosswalk'!$A$2:$C$106,2,FALSE),"")</f>
        <v/>
      </c>
      <c r="G5197" s="49" t="str">
        <f>IFERROR(VLOOKUP(E5197,'Condensed Specialty Crosswalk'!$A$2:$C$106,3,FALSE),"")</f>
        <v/>
      </c>
    </row>
    <row r="5198" spans="5:7" ht="15" customHeight="1">
      <c r="E5198" s="49" t="str">
        <f>IFERROR(VLOOKUP(D5198,'taxonomy map'!$A$1:$C$107,2,FALSE),"")</f>
        <v/>
      </c>
      <c r="F5198" s="49" t="str">
        <f>IFERROR(VLOOKUP(E5198,'Condensed Specialty Crosswalk'!$A$2:$C$106,2,FALSE),"")</f>
        <v/>
      </c>
      <c r="G5198" s="49" t="str">
        <f>IFERROR(VLOOKUP(E5198,'Condensed Specialty Crosswalk'!$A$2:$C$106,3,FALSE),"")</f>
        <v/>
      </c>
    </row>
    <row r="5199" spans="5:7" ht="15" customHeight="1">
      <c r="E5199" s="49" t="str">
        <f>IFERROR(VLOOKUP(D5199,'taxonomy map'!$A$1:$C$107,2,FALSE),"")</f>
        <v/>
      </c>
      <c r="F5199" s="49" t="str">
        <f>IFERROR(VLOOKUP(E5199,'Condensed Specialty Crosswalk'!$A$2:$C$106,2,FALSE),"")</f>
        <v/>
      </c>
      <c r="G5199" s="49" t="str">
        <f>IFERROR(VLOOKUP(E5199,'Condensed Specialty Crosswalk'!$A$2:$C$106,3,FALSE),"")</f>
        <v/>
      </c>
    </row>
    <row r="5200" spans="5:7" ht="15" customHeight="1">
      <c r="E5200" s="49" t="str">
        <f>IFERROR(VLOOKUP(D5200,'taxonomy map'!$A$1:$C$107,2,FALSE),"")</f>
        <v/>
      </c>
      <c r="F5200" s="49" t="str">
        <f>IFERROR(VLOOKUP(E5200,'Condensed Specialty Crosswalk'!$A$2:$C$106,2,FALSE),"")</f>
        <v/>
      </c>
      <c r="G5200" s="49" t="str">
        <f>IFERROR(VLOOKUP(E5200,'Condensed Specialty Crosswalk'!$A$2:$C$106,3,FALSE),"")</f>
        <v/>
      </c>
    </row>
    <row r="5201" spans="5:7" ht="15" customHeight="1">
      <c r="E5201" s="49" t="str">
        <f>IFERROR(VLOOKUP(D5201,'taxonomy map'!$A$1:$C$107,2,FALSE),"")</f>
        <v/>
      </c>
      <c r="F5201" s="49" t="str">
        <f>IFERROR(VLOOKUP(E5201,'Condensed Specialty Crosswalk'!$A$2:$C$106,2,FALSE),"")</f>
        <v/>
      </c>
      <c r="G5201" s="49" t="str">
        <f>IFERROR(VLOOKUP(E5201,'Condensed Specialty Crosswalk'!$A$2:$C$106,3,FALSE),"")</f>
        <v/>
      </c>
    </row>
    <row r="5202" spans="5:7" ht="15" customHeight="1">
      <c r="E5202" s="49" t="str">
        <f>IFERROR(VLOOKUP(D5202,'taxonomy map'!$A$1:$C$107,2,FALSE),"")</f>
        <v/>
      </c>
      <c r="F5202" s="49" t="str">
        <f>IFERROR(VLOOKUP(E5202,'Condensed Specialty Crosswalk'!$A$2:$C$106,2,FALSE),"")</f>
        <v/>
      </c>
      <c r="G5202" s="49" t="str">
        <f>IFERROR(VLOOKUP(E5202,'Condensed Specialty Crosswalk'!$A$2:$C$106,3,FALSE),"")</f>
        <v/>
      </c>
    </row>
    <row r="5203" spans="5:7" ht="15" customHeight="1">
      <c r="E5203" s="49" t="str">
        <f>IFERROR(VLOOKUP(D5203,'taxonomy map'!$A$1:$C$107,2,FALSE),"")</f>
        <v/>
      </c>
      <c r="F5203" s="49" t="str">
        <f>IFERROR(VLOOKUP(E5203,'Condensed Specialty Crosswalk'!$A$2:$C$106,2,FALSE),"")</f>
        <v/>
      </c>
      <c r="G5203" s="49" t="str">
        <f>IFERROR(VLOOKUP(E5203,'Condensed Specialty Crosswalk'!$A$2:$C$106,3,FALSE),"")</f>
        <v/>
      </c>
    </row>
    <row r="5204" spans="5:7" ht="15" customHeight="1">
      <c r="E5204" s="49" t="str">
        <f>IFERROR(VLOOKUP(D5204,'taxonomy map'!$A$1:$C$107,2,FALSE),"")</f>
        <v/>
      </c>
      <c r="F5204" s="49" t="str">
        <f>IFERROR(VLOOKUP(E5204,'Condensed Specialty Crosswalk'!$A$2:$C$106,2,FALSE),"")</f>
        <v/>
      </c>
      <c r="G5204" s="49" t="str">
        <f>IFERROR(VLOOKUP(E5204,'Condensed Specialty Crosswalk'!$A$2:$C$106,3,FALSE),"")</f>
        <v/>
      </c>
    </row>
    <row r="5205" spans="5:7" ht="15" customHeight="1">
      <c r="E5205" s="49" t="str">
        <f>IFERROR(VLOOKUP(D5205,'taxonomy map'!$A$1:$C$107,2,FALSE),"")</f>
        <v/>
      </c>
      <c r="F5205" s="49" t="str">
        <f>IFERROR(VLOOKUP(E5205,'Condensed Specialty Crosswalk'!$A$2:$C$106,2,FALSE),"")</f>
        <v/>
      </c>
      <c r="G5205" s="49" t="str">
        <f>IFERROR(VLOOKUP(E5205,'Condensed Specialty Crosswalk'!$A$2:$C$106,3,FALSE),"")</f>
        <v/>
      </c>
    </row>
    <row r="5206" spans="5:7" ht="15" customHeight="1">
      <c r="E5206" s="49" t="str">
        <f>IFERROR(VLOOKUP(D5206,'taxonomy map'!$A$1:$C$107,2,FALSE),"")</f>
        <v/>
      </c>
      <c r="F5206" s="49" t="str">
        <f>IFERROR(VLOOKUP(E5206,'Condensed Specialty Crosswalk'!$A$2:$C$106,2,FALSE),"")</f>
        <v/>
      </c>
      <c r="G5206" s="49" t="str">
        <f>IFERROR(VLOOKUP(E5206,'Condensed Specialty Crosswalk'!$A$2:$C$106,3,FALSE),"")</f>
        <v/>
      </c>
    </row>
    <row r="5207" spans="5:7" ht="15" customHeight="1">
      <c r="E5207" s="49" t="str">
        <f>IFERROR(VLOOKUP(D5207,'taxonomy map'!$A$1:$C$107,2,FALSE),"")</f>
        <v/>
      </c>
      <c r="F5207" s="49" t="str">
        <f>IFERROR(VLOOKUP(E5207,'Condensed Specialty Crosswalk'!$A$2:$C$106,2,FALSE),"")</f>
        <v/>
      </c>
      <c r="G5207" s="49" t="str">
        <f>IFERROR(VLOOKUP(E5207,'Condensed Specialty Crosswalk'!$A$2:$C$106,3,FALSE),"")</f>
        <v/>
      </c>
    </row>
    <row r="5208" spans="5:7" ht="15" customHeight="1">
      <c r="E5208" s="49" t="str">
        <f>IFERROR(VLOOKUP(D5208,'taxonomy map'!$A$1:$C$107,2,FALSE),"")</f>
        <v/>
      </c>
      <c r="F5208" s="49" t="str">
        <f>IFERROR(VLOOKUP(E5208,'Condensed Specialty Crosswalk'!$A$2:$C$106,2,FALSE),"")</f>
        <v/>
      </c>
      <c r="G5208" s="49" t="str">
        <f>IFERROR(VLOOKUP(E5208,'Condensed Specialty Crosswalk'!$A$2:$C$106,3,FALSE),"")</f>
        <v/>
      </c>
    </row>
    <row r="5209" spans="5:7" ht="15" customHeight="1">
      <c r="E5209" s="49" t="str">
        <f>IFERROR(VLOOKUP(D5209,'taxonomy map'!$A$1:$C$107,2,FALSE),"")</f>
        <v/>
      </c>
      <c r="F5209" s="49" t="str">
        <f>IFERROR(VLOOKUP(E5209,'Condensed Specialty Crosswalk'!$A$2:$C$106,2,FALSE),"")</f>
        <v/>
      </c>
      <c r="G5209" s="49" t="str">
        <f>IFERROR(VLOOKUP(E5209,'Condensed Specialty Crosswalk'!$A$2:$C$106,3,FALSE),"")</f>
        <v/>
      </c>
    </row>
    <row r="5210" spans="5:7" ht="15" customHeight="1">
      <c r="E5210" s="49" t="str">
        <f>IFERROR(VLOOKUP(D5210,'taxonomy map'!$A$1:$C$107,2,FALSE),"")</f>
        <v/>
      </c>
      <c r="F5210" s="49" t="str">
        <f>IFERROR(VLOOKUP(E5210,'Condensed Specialty Crosswalk'!$A$2:$C$106,2,FALSE),"")</f>
        <v/>
      </c>
      <c r="G5210" s="49" t="str">
        <f>IFERROR(VLOOKUP(E5210,'Condensed Specialty Crosswalk'!$A$2:$C$106,3,FALSE),"")</f>
        <v/>
      </c>
    </row>
    <row r="5211" spans="5:7" ht="15" customHeight="1">
      <c r="E5211" s="49" t="str">
        <f>IFERROR(VLOOKUP(D5211,'taxonomy map'!$A$1:$C$107,2,FALSE),"")</f>
        <v/>
      </c>
      <c r="F5211" s="49" t="str">
        <f>IFERROR(VLOOKUP(E5211,'Condensed Specialty Crosswalk'!$A$2:$C$106,2,FALSE),"")</f>
        <v/>
      </c>
      <c r="G5211" s="49" t="str">
        <f>IFERROR(VLOOKUP(E5211,'Condensed Specialty Crosswalk'!$A$2:$C$106,3,FALSE),"")</f>
        <v/>
      </c>
    </row>
    <row r="5212" spans="5:7" ht="15" customHeight="1">
      <c r="E5212" s="49" t="str">
        <f>IFERROR(VLOOKUP(D5212,'taxonomy map'!$A$1:$C$107,2,FALSE),"")</f>
        <v/>
      </c>
      <c r="F5212" s="49" t="str">
        <f>IFERROR(VLOOKUP(E5212,'Condensed Specialty Crosswalk'!$A$2:$C$106,2,FALSE),"")</f>
        <v/>
      </c>
      <c r="G5212" s="49" t="str">
        <f>IFERROR(VLOOKUP(E5212,'Condensed Specialty Crosswalk'!$A$2:$C$106,3,FALSE),"")</f>
        <v/>
      </c>
    </row>
    <row r="5213" spans="5:7" ht="15" customHeight="1">
      <c r="E5213" s="49" t="str">
        <f>IFERROR(VLOOKUP(D5213,'taxonomy map'!$A$1:$C$107,2,FALSE),"")</f>
        <v/>
      </c>
      <c r="F5213" s="49" t="str">
        <f>IFERROR(VLOOKUP(E5213,'Condensed Specialty Crosswalk'!$A$2:$C$106,2,FALSE),"")</f>
        <v/>
      </c>
      <c r="G5213" s="49" t="str">
        <f>IFERROR(VLOOKUP(E5213,'Condensed Specialty Crosswalk'!$A$2:$C$106,3,FALSE),"")</f>
        <v/>
      </c>
    </row>
    <row r="5214" spans="5:7" ht="15" customHeight="1">
      <c r="E5214" s="49" t="str">
        <f>IFERROR(VLOOKUP(D5214,'taxonomy map'!$A$1:$C$107,2,FALSE),"")</f>
        <v/>
      </c>
      <c r="F5214" s="49" t="str">
        <f>IFERROR(VLOOKUP(E5214,'Condensed Specialty Crosswalk'!$A$2:$C$106,2,FALSE),"")</f>
        <v/>
      </c>
      <c r="G5214" s="49" t="str">
        <f>IFERROR(VLOOKUP(E5214,'Condensed Specialty Crosswalk'!$A$2:$C$106,3,FALSE),"")</f>
        <v/>
      </c>
    </row>
    <row r="5215" spans="5:7" ht="15" customHeight="1">
      <c r="E5215" s="49" t="str">
        <f>IFERROR(VLOOKUP(D5215,'taxonomy map'!$A$1:$C$107,2,FALSE),"")</f>
        <v/>
      </c>
      <c r="F5215" s="49" t="str">
        <f>IFERROR(VLOOKUP(E5215,'Condensed Specialty Crosswalk'!$A$2:$C$106,2,FALSE),"")</f>
        <v/>
      </c>
      <c r="G5215" s="49" t="str">
        <f>IFERROR(VLOOKUP(E5215,'Condensed Specialty Crosswalk'!$A$2:$C$106,3,FALSE),"")</f>
        <v/>
      </c>
    </row>
    <row r="5216" spans="5:7" ht="15" customHeight="1">
      <c r="E5216" s="49" t="str">
        <f>IFERROR(VLOOKUP(D5216,'taxonomy map'!$A$1:$C$107,2,FALSE),"")</f>
        <v/>
      </c>
      <c r="F5216" s="49" t="str">
        <f>IFERROR(VLOOKUP(E5216,'Condensed Specialty Crosswalk'!$A$2:$C$106,2,FALSE),"")</f>
        <v/>
      </c>
      <c r="G5216" s="49" t="str">
        <f>IFERROR(VLOOKUP(E5216,'Condensed Specialty Crosswalk'!$A$2:$C$106,3,FALSE),"")</f>
        <v/>
      </c>
    </row>
    <row r="5217" spans="5:7" ht="15" customHeight="1">
      <c r="E5217" s="49" t="str">
        <f>IFERROR(VLOOKUP(D5217,'taxonomy map'!$A$1:$C$107,2,FALSE),"")</f>
        <v/>
      </c>
      <c r="F5217" s="49" t="str">
        <f>IFERROR(VLOOKUP(E5217,'Condensed Specialty Crosswalk'!$A$2:$C$106,2,FALSE),"")</f>
        <v/>
      </c>
      <c r="G5217" s="49" t="str">
        <f>IFERROR(VLOOKUP(E5217,'Condensed Specialty Crosswalk'!$A$2:$C$106,3,FALSE),"")</f>
        <v/>
      </c>
    </row>
    <row r="5218" spans="5:7" ht="15" customHeight="1">
      <c r="E5218" s="49" t="str">
        <f>IFERROR(VLOOKUP(D5218,'taxonomy map'!$A$1:$C$107,2,FALSE),"")</f>
        <v/>
      </c>
      <c r="F5218" s="49" t="str">
        <f>IFERROR(VLOOKUP(E5218,'Condensed Specialty Crosswalk'!$A$2:$C$106,2,FALSE),"")</f>
        <v/>
      </c>
      <c r="G5218" s="49" t="str">
        <f>IFERROR(VLOOKUP(E5218,'Condensed Specialty Crosswalk'!$A$2:$C$106,3,FALSE),"")</f>
        <v/>
      </c>
    </row>
    <row r="5219" spans="5:7" ht="15" customHeight="1">
      <c r="E5219" s="49" t="str">
        <f>IFERROR(VLOOKUP(D5219,'taxonomy map'!$A$1:$C$107,2,FALSE),"")</f>
        <v/>
      </c>
      <c r="F5219" s="49" t="str">
        <f>IFERROR(VLOOKUP(E5219,'Condensed Specialty Crosswalk'!$A$2:$C$106,2,FALSE),"")</f>
        <v/>
      </c>
      <c r="G5219" s="49" t="str">
        <f>IFERROR(VLOOKUP(E5219,'Condensed Specialty Crosswalk'!$A$2:$C$106,3,FALSE),"")</f>
        <v/>
      </c>
    </row>
    <row r="5220" spans="5:7" ht="15" customHeight="1">
      <c r="E5220" s="49" t="str">
        <f>IFERROR(VLOOKUP(D5220,'taxonomy map'!$A$1:$C$107,2,FALSE),"")</f>
        <v/>
      </c>
      <c r="F5220" s="49" t="str">
        <f>IFERROR(VLOOKUP(E5220,'Condensed Specialty Crosswalk'!$A$2:$C$106,2,FALSE),"")</f>
        <v/>
      </c>
      <c r="G5220" s="49" t="str">
        <f>IFERROR(VLOOKUP(E5220,'Condensed Specialty Crosswalk'!$A$2:$C$106,3,FALSE),"")</f>
        <v/>
      </c>
    </row>
    <row r="5221" spans="5:7" ht="15" customHeight="1">
      <c r="E5221" s="49" t="str">
        <f>IFERROR(VLOOKUP(D5221,'taxonomy map'!$A$1:$C$107,2,FALSE),"")</f>
        <v/>
      </c>
      <c r="F5221" s="49" t="str">
        <f>IFERROR(VLOOKUP(E5221,'Condensed Specialty Crosswalk'!$A$2:$C$106,2,FALSE),"")</f>
        <v/>
      </c>
      <c r="G5221" s="49" t="str">
        <f>IFERROR(VLOOKUP(E5221,'Condensed Specialty Crosswalk'!$A$2:$C$106,3,FALSE),"")</f>
        <v/>
      </c>
    </row>
    <row r="5222" spans="5:7" ht="15" customHeight="1">
      <c r="E5222" s="49" t="str">
        <f>IFERROR(VLOOKUP(D5222,'taxonomy map'!$A$1:$C$107,2,FALSE),"")</f>
        <v/>
      </c>
      <c r="F5222" s="49" t="str">
        <f>IFERROR(VLOOKUP(E5222,'Condensed Specialty Crosswalk'!$A$2:$C$106,2,FALSE),"")</f>
        <v/>
      </c>
      <c r="G5222" s="49" t="str">
        <f>IFERROR(VLOOKUP(E5222,'Condensed Specialty Crosswalk'!$A$2:$C$106,3,FALSE),"")</f>
        <v/>
      </c>
    </row>
    <row r="5223" spans="5:7" ht="15" customHeight="1">
      <c r="E5223" s="49" t="str">
        <f>IFERROR(VLOOKUP(D5223,'taxonomy map'!$A$1:$C$107,2,FALSE),"")</f>
        <v/>
      </c>
      <c r="F5223" s="49" t="str">
        <f>IFERROR(VLOOKUP(E5223,'Condensed Specialty Crosswalk'!$A$2:$C$106,2,FALSE),"")</f>
        <v/>
      </c>
      <c r="G5223" s="49" t="str">
        <f>IFERROR(VLOOKUP(E5223,'Condensed Specialty Crosswalk'!$A$2:$C$106,3,FALSE),"")</f>
        <v/>
      </c>
    </row>
    <row r="5224" spans="5:7" ht="15" customHeight="1">
      <c r="E5224" s="49" t="str">
        <f>IFERROR(VLOOKUP(D5224,'taxonomy map'!$A$1:$C$107,2,FALSE),"")</f>
        <v/>
      </c>
      <c r="F5224" s="49" t="str">
        <f>IFERROR(VLOOKUP(E5224,'Condensed Specialty Crosswalk'!$A$2:$C$106,2,FALSE),"")</f>
        <v/>
      </c>
      <c r="G5224" s="49" t="str">
        <f>IFERROR(VLOOKUP(E5224,'Condensed Specialty Crosswalk'!$A$2:$C$106,3,FALSE),"")</f>
        <v/>
      </c>
    </row>
    <row r="5225" spans="5:7" ht="15" customHeight="1">
      <c r="E5225" s="49" t="str">
        <f>IFERROR(VLOOKUP(D5225,'taxonomy map'!$A$1:$C$107,2,FALSE),"")</f>
        <v/>
      </c>
      <c r="F5225" s="49" t="str">
        <f>IFERROR(VLOOKUP(E5225,'Condensed Specialty Crosswalk'!$A$2:$C$106,2,FALSE),"")</f>
        <v/>
      </c>
      <c r="G5225" s="49" t="str">
        <f>IFERROR(VLOOKUP(E5225,'Condensed Specialty Crosswalk'!$A$2:$C$106,3,FALSE),"")</f>
        <v/>
      </c>
    </row>
    <row r="5226" spans="5:7" ht="15" customHeight="1">
      <c r="E5226" s="49" t="str">
        <f>IFERROR(VLOOKUP(D5226,'taxonomy map'!$A$1:$C$107,2,FALSE),"")</f>
        <v/>
      </c>
      <c r="F5226" s="49" t="str">
        <f>IFERROR(VLOOKUP(E5226,'Condensed Specialty Crosswalk'!$A$2:$C$106,2,FALSE),"")</f>
        <v/>
      </c>
      <c r="G5226" s="49" t="str">
        <f>IFERROR(VLOOKUP(E5226,'Condensed Specialty Crosswalk'!$A$2:$C$106,3,FALSE),"")</f>
        <v/>
      </c>
    </row>
    <row r="5227" spans="5:7" ht="15" customHeight="1">
      <c r="E5227" s="49" t="str">
        <f>IFERROR(VLOOKUP(D5227,'taxonomy map'!$A$1:$C$107,2,FALSE),"")</f>
        <v/>
      </c>
      <c r="F5227" s="49" t="str">
        <f>IFERROR(VLOOKUP(E5227,'Condensed Specialty Crosswalk'!$A$2:$C$106,2,FALSE),"")</f>
        <v/>
      </c>
      <c r="G5227" s="49" t="str">
        <f>IFERROR(VLOOKUP(E5227,'Condensed Specialty Crosswalk'!$A$2:$C$106,3,FALSE),"")</f>
        <v/>
      </c>
    </row>
    <row r="5228" spans="5:7" ht="15" customHeight="1">
      <c r="E5228" s="49" t="str">
        <f>IFERROR(VLOOKUP(D5228,'taxonomy map'!$A$1:$C$107,2,FALSE),"")</f>
        <v/>
      </c>
      <c r="F5228" s="49" t="str">
        <f>IFERROR(VLOOKUP(E5228,'Condensed Specialty Crosswalk'!$A$2:$C$106,2,FALSE),"")</f>
        <v/>
      </c>
      <c r="G5228" s="49" t="str">
        <f>IFERROR(VLOOKUP(E5228,'Condensed Specialty Crosswalk'!$A$2:$C$106,3,FALSE),"")</f>
        <v/>
      </c>
    </row>
    <row r="5229" spans="5:7" ht="15" customHeight="1">
      <c r="E5229" s="49" t="str">
        <f>IFERROR(VLOOKUP(D5229,'taxonomy map'!$A$1:$C$107,2,FALSE),"")</f>
        <v/>
      </c>
      <c r="F5229" s="49" t="str">
        <f>IFERROR(VLOOKUP(E5229,'Condensed Specialty Crosswalk'!$A$2:$C$106,2,FALSE),"")</f>
        <v/>
      </c>
      <c r="G5229" s="49" t="str">
        <f>IFERROR(VLOOKUP(E5229,'Condensed Specialty Crosswalk'!$A$2:$C$106,3,FALSE),"")</f>
        <v/>
      </c>
    </row>
    <row r="5230" spans="5:7" ht="15" customHeight="1">
      <c r="E5230" s="49" t="str">
        <f>IFERROR(VLOOKUP(D5230,'taxonomy map'!$A$1:$C$107,2,FALSE),"")</f>
        <v/>
      </c>
      <c r="F5230" s="49" t="str">
        <f>IFERROR(VLOOKUP(E5230,'Condensed Specialty Crosswalk'!$A$2:$C$106,2,FALSE),"")</f>
        <v/>
      </c>
      <c r="G5230" s="49" t="str">
        <f>IFERROR(VLOOKUP(E5230,'Condensed Specialty Crosswalk'!$A$2:$C$106,3,FALSE),"")</f>
        <v/>
      </c>
    </row>
    <row r="5231" spans="5:7" ht="15" customHeight="1">
      <c r="E5231" s="49" t="str">
        <f>IFERROR(VLOOKUP(D5231,'taxonomy map'!$A$1:$C$107,2,FALSE),"")</f>
        <v/>
      </c>
      <c r="F5231" s="49" t="str">
        <f>IFERROR(VLOOKUP(E5231,'Condensed Specialty Crosswalk'!$A$2:$C$106,2,FALSE),"")</f>
        <v/>
      </c>
      <c r="G5231" s="49" t="str">
        <f>IFERROR(VLOOKUP(E5231,'Condensed Specialty Crosswalk'!$A$2:$C$106,3,FALSE),"")</f>
        <v/>
      </c>
    </row>
    <row r="5232" spans="5:7" ht="15" customHeight="1">
      <c r="E5232" s="49" t="str">
        <f>IFERROR(VLOOKUP(D5232,'taxonomy map'!$A$1:$C$107,2,FALSE),"")</f>
        <v/>
      </c>
      <c r="F5232" s="49" t="str">
        <f>IFERROR(VLOOKUP(E5232,'Condensed Specialty Crosswalk'!$A$2:$C$106,2,FALSE),"")</f>
        <v/>
      </c>
      <c r="G5232" s="49" t="str">
        <f>IFERROR(VLOOKUP(E5232,'Condensed Specialty Crosswalk'!$A$2:$C$106,3,FALSE),"")</f>
        <v/>
      </c>
    </row>
    <row r="5233" spans="5:7" ht="15" customHeight="1">
      <c r="E5233" s="49" t="str">
        <f>IFERROR(VLOOKUP(D5233,'taxonomy map'!$A$1:$C$107,2,FALSE),"")</f>
        <v/>
      </c>
      <c r="F5233" s="49" t="str">
        <f>IFERROR(VLOOKUP(E5233,'Condensed Specialty Crosswalk'!$A$2:$C$106,2,FALSE),"")</f>
        <v/>
      </c>
      <c r="G5233" s="49" t="str">
        <f>IFERROR(VLOOKUP(E5233,'Condensed Specialty Crosswalk'!$A$2:$C$106,3,FALSE),"")</f>
        <v/>
      </c>
    </row>
    <row r="5234" spans="5:7" ht="15" customHeight="1">
      <c r="E5234" s="49" t="str">
        <f>IFERROR(VLOOKUP(D5234,'taxonomy map'!$A$1:$C$107,2,FALSE),"")</f>
        <v/>
      </c>
      <c r="F5234" s="49" t="str">
        <f>IFERROR(VLOOKUP(E5234,'Condensed Specialty Crosswalk'!$A$2:$C$106,2,FALSE),"")</f>
        <v/>
      </c>
      <c r="G5234" s="49" t="str">
        <f>IFERROR(VLOOKUP(E5234,'Condensed Specialty Crosswalk'!$A$2:$C$106,3,FALSE),"")</f>
        <v/>
      </c>
    </row>
    <row r="5235" spans="5:7" ht="15" customHeight="1">
      <c r="E5235" s="49" t="str">
        <f>IFERROR(VLOOKUP(D5235,'taxonomy map'!$A$1:$C$107,2,FALSE),"")</f>
        <v/>
      </c>
      <c r="F5235" s="49" t="str">
        <f>IFERROR(VLOOKUP(E5235,'Condensed Specialty Crosswalk'!$A$2:$C$106,2,FALSE),"")</f>
        <v/>
      </c>
      <c r="G5235" s="49" t="str">
        <f>IFERROR(VLOOKUP(E5235,'Condensed Specialty Crosswalk'!$A$2:$C$106,3,FALSE),"")</f>
        <v/>
      </c>
    </row>
    <row r="5236" spans="5:7" ht="15" customHeight="1">
      <c r="E5236" s="49" t="str">
        <f>IFERROR(VLOOKUP(D5236,'taxonomy map'!$A$1:$C$107,2,FALSE),"")</f>
        <v/>
      </c>
      <c r="F5236" s="49" t="str">
        <f>IFERROR(VLOOKUP(E5236,'Condensed Specialty Crosswalk'!$A$2:$C$106,2,FALSE),"")</f>
        <v/>
      </c>
      <c r="G5236" s="49" t="str">
        <f>IFERROR(VLOOKUP(E5236,'Condensed Specialty Crosswalk'!$A$2:$C$106,3,FALSE),"")</f>
        <v/>
      </c>
    </row>
    <row r="5237" spans="5:7" ht="15" customHeight="1">
      <c r="E5237" s="49" t="str">
        <f>IFERROR(VLOOKUP(D5237,'taxonomy map'!$A$1:$C$107,2,FALSE),"")</f>
        <v/>
      </c>
      <c r="F5237" s="49" t="str">
        <f>IFERROR(VLOOKUP(E5237,'Condensed Specialty Crosswalk'!$A$2:$C$106,2,FALSE),"")</f>
        <v/>
      </c>
      <c r="G5237" s="49" t="str">
        <f>IFERROR(VLOOKUP(E5237,'Condensed Specialty Crosswalk'!$A$2:$C$106,3,FALSE),"")</f>
        <v/>
      </c>
    </row>
    <row r="5238" spans="5:7" ht="15" customHeight="1">
      <c r="E5238" s="49" t="str">
        <f>IFERROR(VLOOKUP(D5238,'taxonomy map'!$A$1:$C$107,2,FALSE),"")</f>
        <v/>
      </c>
      <c r="F5238" s="49" t="str">
        <f>IFERROR(VLOOKUP(E5238,'Condensed Specialty Crosswalk'!$A$2:$C$106,2,FALSE),"")</f>
        <v/>
      </c>
      <c r="G5238" s="49" t="str">
        <f>IFERROR(VLOOKUP(E5238,'Condensed Specialty Crosswalk'!$A$2:$C$106,3,FALSE),"")</f>
        <v/>
      </c>
    </row>
    <row r="5239" spans="5:7" ht="15" customHeight="1">
      <c r="E5239" s="49" t="str">
        <f>IFERROR(VLOOKUP(D5239,'taxonomy map'!$A$1:$C$107,2,FALSE),"")</f>
        <v/>
      </c>
      <c r="F5239" s="49" t="str">
        <f>IFERROR(VLOOKUP(E5239,'Condensed Specialty Crosswalk'!$A$2:$C$106,2,FALSE),"")</f>
        <v/>
      </c>
      <c r="G5239" s="49" t="str">
        <f>IFERROR(VLOOKUP(E5239,'Condensed Specialty Crosswalk'!$A$2:$C$106,3,FALSE),"")</f>
        <v/>
      </c>
    </row>
    <row r="5240" spans="5:7" ht="15" customHeight="1">
      <c r="E5240" s="49" t="str">
        <f>IFERROR(VLOOKUP(D5240,'taxonomy map'!$A$1:$C$107,2,FALSE),"")</f>
        <v/>
      </c>
      <c r="F5240" s="49" t="str">
        <f>IFERROR(VLOOKUP(E5240,'Condensed Specialty Crosswalk'!$A$2:$C$106,2,FALSE),"")</f>
        <v/>
      </c>
      <c r="G5240" s="49" t="str">
        <f>IFERROR(VLOOKUP(E5240,'Condensed Specialty Crosswalk'!$A$2:$C$106,3,FALSE),"")</f>
        <v/>
      </c>
    </row>
    <row r="5241" spans="5:7" ht="15" customHeight="1">
      <c r="E5241" s="49" t="str">
        <f>IFERROR(VLOOKUP(D5241,'taxonomy map'!$A$1:$C$107,2,FALSE),"")</f>
        <v/>
      </c>
      <c r="F5241" s="49" t="str">
        <f>IFERROR(VLOOKUP(E5241,'Condensed Specialty Crosswalk'!$A$2:$C$106,2,FALSE),"")</f>
        <v/>
      </c>
      <c r="G5241" s="49" t="str">
        <f>IFERROR(VLOOKUP(E5241,'Condensed Specialty Crosswalk'!$A$2:$C$106,3,FALSE),"")</f>
        <v/>
      </c>
    </row>
    <row r="5242" spans="5:7" ht="15" customHeight="1">
      <c r="E5242" s="49" t="str">
        <f>IFERROR(VLOOKUP(D5242,'taxonomy map'!$A$1:$C$107,2,FALSE),"")</f>
        <v/>
      </c>
      <c r="F5242" s="49" t="str">
        <f>IFERROR(VLOOKUP(E5242,'Condensed Specialty Crosswalk'!$A$2:$C$106,2,FALSE),"")</f>
        <v/>
      </c>
      <c r="G5242" s="49" t="str">
        <f>IFERROR(VLOOKUP(E5242,'Condensed Specialty Crosswalk'!$A$2:$C$106,3,FALSE),"")</f>
        <v/>
      </c>
    </row>
    <row r="5243" spans="5:7" ht="15" customHeight="1">
      <c r="E5243" s="49" t="str">
        <f>IFERROR(VLOOKUP(D5243,'taxonomy map'!$A$1:$C$107,2,FALSE),"")</f>
        <v/>
      </c>
      <c r="F5243" s="49" t="str">
        <f>IFERROR(VLOOKUP(E5243,'Condensed Specialty Crosswalk'!$A$2:$C$106,2,FALSE),"")</f>
        <v/>
      </c>
      <c r="G5243" s="49" t="str">
        <f>IFERROR(VLOOKUP(E5243,'Condensed Specialty Crosswalk'!$A$2:$C$106,3,FALSE),"")</f>
        <v/>
      </c>
    </row>
    <row r="5244" spans="5:7" ht="15" customHeight="1">
      <c r="E5244" s="49" t="str">
        <f>IFERROR(VLOOKUP(D5244,'taxonomy map'!$A$1:$C$107,2,FALSE),"")</f>
        <v/>
      </c>
      <c r="F5244" s="49" t="str">
        <f>IFERROR(VLOOKUP(E5244,'Condensed Specialty Crosswalk'!$A$2:$C$106,2,FALSE),"")</f>
        <v/>
      </c>
      <c r="G5244" s="49" t="str">
        <f>IFERROR(VLOOKUP(E5244,'Condensed Specialty Crosswalk'!$A$2:$C$106,3,FALSE),"")</f>
        <v/>
      </c>
    </row>
    <row r="5245" spans="5:7" ht="15" customHeight="1">
      <c r="E5245" s="49" t="str">
        <f>IFERROR(VLOOKUP(D5245,'taxonomy map'!$A$1:$C$107,2,FALSE),"")</f>
        <v/>
      </c>
      <c r="F5245" s="49" t="str">
        <f>IFERROR(VLOOKUP(E5245,'Condensed Specialty Crosswalk'!$A$2:$C$106,2,FALSE),"")</f>
        <v/>
      </c>
      <c r="G5245" s="49" t="str">
        <f>IFERROR(VLOOKUP(E5245,'Condensed Specialty Crosswalk'!$A$2:$C$106,3,FALSE),"")</f>
        <v/>
      </c>
    </row>
    <row r="5246" spans="5:7" ht="15" customHeight="1">
      <c r="E5246" s="49" t="str">
        <f>IFERROR(VLOOKUP(D5246,'taxonomy map'!$A$1:$C$107,2,FALSE),"")</f>
        <v/>
      </c>
      <c r="F5246" s="49" t="str">
        <f>IFERROR(VLOOKUP(E5246,'Condensed Specialty Crosswalk'!$A$2:$C$106,2,FALSE),"")</f>
        <v/>
      </c>
      <c r="G5246" s="49" t="str">
        <f>IFERROR(VLOOKUP(E5246,'Condensed Specialty Crosswalk'!$A$2:$C$106,3,FALSE),"")</f>
        <v/>
      </c>
    </row>
    <row r="5247" spans="5:7" ht="15" customHeight="1">
      <c r="E5247" s="49" t="str">
        <f>IFERROR(VLOOKUP(D5247,'taxonomy map'!$A$1:$C$107,2,FALSE),"")</f>
        <v/>
      </c>
      <c r="F5247" s="49" t="str">
        <f>IFERROR(VLOOKUP(E5247,'Condensed Specialty Crosswalk'!$A$2:$C$106,2,FALSE),"")</f>
        <v/>
      </c>
      <c r="G5247" s="49" t="str">
        <f>IFERROR(VLOOKUP(E5247,'Condensed Specialty Crosswalk'!$A$2:$C$106,3,FALSE),"")</f>
        <v/>
      </c>
    </row>
    <row r="5248" spans="5:7" ht="15" customHeight="1">
      <c r="E5248" s="49" t="str">
        <f>IFERROR(VLOOKUP(D5248,'taxonomy map'!$A$1:$C$107,2,FALSE),"")</f>
        <v/>
      </c>
      <c r="F5248" s="49" t="str">
        <f>IFERROR(VLOOKUP(E5248,'Condensed Specialty Crosswalk'!$A$2:$C$106,2,FALSE),"")</f>
        <v/>
      </c>
      <c r="G5248" s="49" t="str">
        <f>IFERROR(VLOOKUP(E5248,'Condensed Specialty Crosswalk'!$A$2:$C$106,3,FALSE),"")</f>
        <v/>
      </c>
    </row>
    <row r="5249" spans="5:7" ht="15" customHeight="1">
      <c r="E5249" s="49" t="str">
        <f>IFERROR(VLOOKUP(D5249,'taxonomy map'!$A$1:$C$107,2,FALSE),"")</f>
        <v/>
      </c>
      <c r="F5249" s="49" t="str">
        <f>IFERROR(VLOOKUP(E5249,'Condensed Specialty Crosswalk'!$A$2:$C$106,2,FALSE),"")</f>
        <v/>
      </c>
      <c r="G5249" s="49" t="str">
        <f>IFERROR(VLOOKUP(E5249,'Condensed Specialty Crosswalk'!$A$2:$C$106,3,FALSE),"")</f>
        <v/>
      </c>
    </row>
    <row r="5250" spans="5:7" ht="15" customHeight="1">
      <c r="E5250" s="49" t="str">
        <f>IFERROR(VLOOKUP(D5250,'taxonomy map'!$A$1:$C$107,2,FALSE),"")</f>
        <v/>
      </c>
      <c r="F5250" s="49" t="str">
        <f>IFERROR(VLOOKUP(E5250,'Condensed Specialty Crosswalk'!$A$2:$C$106,2,FALSE),"")</f>
        <v/>
      </c>
      <c r="G5250" s="49" t="str">
        <f>IFERROR(VLOOKUP(E5250,'Condensed Specialty Crosswalk'!$A$2:$C$106,3,FALSE),"")</f>
        <v/>
      </c>
    </row>
    <row r="5251" spans="5:7" ht="15" customHeight="1">
      <c r="E5251" s="49" t="str">
        <f>IFERROR(VLOOKUP(D5251,'taxonomy map'!$A$1:$C$107,2,FALSE),"")</f>
        <v/>
      </c>
      <c r="F5251" s="49" t="str">
        <f>IFERROR(VLOOKUP(E5251,'Condensed Specialty Crosswalk'!$A$2:$C$106,2,FALSE),"")</f>
        <v/>
      </c>
      <c r="G5251" s="49" t="str">
        <f>IFERROR(VLOOKUP(E5251,'Condensed Specialty Crosswalk'!$A$2:$C$106,3,FALSE),"")</f>
        <v/>
      </c>
    </row>
    <row r="5252" spans="5:7" ht="15" customHeight="1">
      <c r="E5252" s="49" t="str">
        <f>IFERROR(VLOOKUP(D5252,'taxonomy map'!$A$1:$C$107,2,FALSE),"")</f>
        <v/>
      </c>
      <c r="F5252" s="49" t="str">
        <f>IFERROR(VLOOKUP(E5252,'Condensed Specialty Crosswalk'!$A$2:$C$106,2,FALSE),"")</f>
        <v/>
      </c>
      <c r="G5252" s="49" t="str">
        <f>IFERROR(VLOOKUP(E5252,'Condensed Specialty Crosswalk'!$A$2:$C$106,3,FALSE),"")</f>
        <v/>
      </c>
    </row>
    <row r="5253" spans="5:7" ht="15" customHeight="1">
      <c r="E5253" s="49" t="str">
        <f>IFERROR(VLOOKUP(D5253,'taxonomy map'!$A$1:$C$107,2,FALSE),"")</f>
        <v/>
      </c>
      <c r="F5253" s="49" t="str">
        <f>IFERROR(VLOOKUP(E5253,'Condensed Specialty Crosswalk'!$A$2:$C$106,2,FALSE),"")</f>
        <v/>
      </c>
      <c r="G5253" s="49" t="str">
        <f>IFERROR(VLOOKUP(E5253,'Condensed Specialty Crosswalk'!$A$2:$C$106,3,FALSE),"")</f>
        <v/>
      </c>
    </row>
    <row r="5254" spans="5:7" ht="15" customHeight="1">
      <c r="E5254" s="49" t="str">
        <f>IFERROR(VLOOKUP(D5254,'taxonomy map'!$A$1:$C$107,2,FALSE),"")</f>
        <v/>
      </c>
      <c r="F5254" s="49" t="str">
        <f>IFERROR(VLOOKUP(E5254,'Condensed Specialty Crosswalk'!$A$2:$C$106,2,FALSE),"")</f>
        <v/>
      </c>
      <c r="G5254" s="49" t="str">
        <f>IFERROR(VLOOKUP(E5254,'Condensed Specialty Crosswalk'!$A$2:$C$106,3,FALSE),"")</f>
        <v/>
      </c>
    </row>
    <row r="5255" spans="5:7" ht="15" customHeight="1">
      <c r="E5255" s="49" t="str">
        <f>IFERROR(VLOOKUP(D5255,'taxonomy map'!$A$1:$C$107,2,FALSE),"")</f>
        <v/>
      </c>
      <c r="F5255" s="49" t="str">
        <f>IFERROR(VLOOKUP(E5255,'Condensed Specialty Crosswalk'!$A$2:$C$106,2,FALSE),"")</f>
        <v/>
      </c>
      <c r="G5255" s="49" t="str">
        <f>IFERROR(VLOOKUP(E5255,'Condensed Specialty Crosswalk'!$A$2:$C$106,3,FALSE),"")</f>
        <v/>
      </c>
    </row>
    <row r="5256" spans="5:7" ht="15" customHeight="1">
      <c r="E5256" s="49" t="str">
        <f>IFERROR(VLOOKUP(D5256,'taxonomy map'!$A$1:$C$107,2,FALSE),"")</f>
        <v/>
      </c>
      <c r="F5256" s="49" t="str">
        <f>IFERROR(VLOOKUP(E5256,'Condensed Specialty Crosswalk'!$A$2:$C$106,2,FALSE),"")</f>
        <v/>
      </c>
      <c r="G5256" s="49" t="str">
        <f>IFERROR(VLOOKUP(E5256,'Condensed Specialty Crosswalk'!$A$2:$C$106,3,FALSE),"")</f>
        <v/>
      </c>
    </row>
    <row r="5257" spans="5:7" ht="15" customHeight="1">
      <c r="E5257" s="49" t="str">
        <f>IFERROR(VLOOKUP(D5257,'taxonomy map'!$A$1:$C$107,2,FALSE),"")</f>
        <v/>
      </c>
      <c r="F5257" s="49" t="str">
        <f>IFERROR(VLOOKUP(E5257,'Condensed Specialty Crosswalk'!$A$2:$C$106,2,FALSE),"")</f>
        <v/>
      </c>
      <c r="G5257" s="49" t="str">
        <f>IFERROR(VLOOKUP(E5257,'Condensed Specialty Crosswalk'!$A$2:$C$106,3,FALSE),"")</f>
        <v/>
      </c>
    </row>
    <row r="5258" spans="5:7" ht="15" customHeight="1">
      <c r="E5258" s="49" t="str">
        <f>IFERROR(VLOOKUP(D5258,'taxonomy map'!$A$1:$C$107,2,FALSE),"")</f>
        <v/>
      </c>
      <c r="F5258" s="49" t="str">
        <f>IFERROR(VLOOKUP(E5258,'Condensed Specialty Crosswalk'!$A$2:$C$106,2,FALSE),"")</f>
        <v/>
      </c>
      <c r="G5258" s="49" t="str">
        <f>IFERROR(VLOOKUP(E5258,'Condensed Specialty Crosswalk'!$A$2:$C$106,3,FALSE),"")</f>
        <v/>
      </c>
    </row>
    <row r="5259" spans="5:7" ht="15" customHeight="1">
      <c r="E5259" s="49" t="str">
        <f>IFERROR(VLOOKUP(D5259,'taxonomy map'!$A$1:$C$107,2,FALSE),"")</f>
        <v/>
      </c>
      <c r="F5259" s="49" t="str">
        <f>IFERROR(VLOOKUP(E5259,'Condensed Specialty Crosswalk'!$A$2:$C$106,2,FALSE),"")</f>
        <v/>
      </c>
      <c r="G5259" s="49" t="str">
        <f>IFERROR(VLOOKUP(E5259,'Condensed Specialty Crosswalk'!$A$2:$C$106,3,FALSE),"")</f>
        <v/>
      </c>
    </row>
    <row r="5260" spans="5:7" ht="15" customHeight="1">
      <c r="E5260" s="49" t="str">
        <f>IFERROR(VLOOKUP(D5260,'taxonomy map'!$A$1:$C$107,2,FALSE),"")</f>
        <v/>
      </c>
      <c r="F5260" s="49" t="str">
        <f>IFERROR(VLOOKUP(E5260,'Condensed Specialty Crosswalk'!$A$2:$C$106,2,FALSE),"")</f>
        <v/>
      </c>
      <c r="G5260" s="49" t="str">
        <f>IFERROR(VLOOKUP(E5260,'Condensed Specialty Crosswalk'!$A$2:$C$106,3,FALSE),"")</f>
        <v/>
      </c>
    </row>
    <row r="5261" spans="5:7" ht="15" customHeight="1">
      <c r="E5261" s="49" t="str">
        <f>IFERROR(VLOOKUP(D5261,'taxonomy map'!$A$1:$C$107,2,FALSE),"")</f>
        <v/>
      </c>
      <c r="F5261" s="49" t="str">
        <f>IFERROR(VLOOKUP(E5261,'Condensed Specialty Crosswalk'!$A$2:$C$106,2,FALSE),"")</f>
        <v/>
      </c>
      <c r="G5261" s="49" t="str">
        <f>IFERROR(VLOOKUP(E5261,'Condensed Specialty Crosswalk'!$A$2:$C$106,3,FALSE),"")</f>
        <v/>
      </c>
    </row>
    <row r="5262" spans="5:7" ht="15" customHeight="1">
      <c r="E5262" s="49" t="str">
        <f>IFERROR(VLOOKUP(D5262,'taxonomy map'!$A$1:$C$107,2,FALSE),"")</f>
        <v/>
      </c>
      <c r="F5262" s="49" t="str">
        <f>IFERROR(VLOOKUP(E5262,'Condensed Specialty Crosswalk'!$A$2:$C$106,2,FALSE),"")</f>
        <v/>
      </c>
      <c r="G5262" s="49" t="str">
        <f>IFERROR(VLOOKUP(E5262,'Condensed Specialty Crosswalk'!$A$2:$C$106,3,FALSE),"")</f>
        <v/>
      </c>
    </row>
    <row r="5263" spans="5:7" ht="15" customHeight="1">
      <c r="E5263" s="49" t="str">
        <f>IFERROR(VLOOKUP(D5263,'taxonomy map'!$A$1:$C$107,2,FALSE),"")</f>
        <v/>
      </c>
      <c r="F5263" s="49" t="str">
        <f>IFERROR(VLOOKUP(E5263,'Condensed Specialty Crosswalk'!$A$2:$C$106,2,FALSE),"")</f>
        <v/>
      </c>
      <c r="G5263" s="49" t="str">
        <f>IFERROR(VLOOKUP(E5263,'Condensed Specialty Crosswalk'!$A$2:$C$106,3,FALSE),"")</f>
        <v/>
      </c>
    </row>
    <row r="5264" spans="5:7" ht="15" customHeight="1">
      <c r="E5264" s="49" t="str">
        <f>IFERROR(VLOOKUP(D5264,'taxonomy map'!$A$1:$C$107,2,FALSE),"")</f>
        <v/>
      </c>
      <c r="F5264" s="49" t="str">
        <f>IFERROR(VLOOKUP(E5264,'Condensed Specialty Crosswalk'!$A$2:$C$106,2,FALSE),"")</f>
        <v/>
      </c>
      <c r="G5264" s="49" t="str">
        <f>IFERROR(VLOOKUP(E5264,'Condensed Specialty Crosswalk'!$A$2:$C$106,3,FALSE),"")</f>
        <v/>
      </c>
    </row>
    <row r="5265" spans="5:7" ht="15" customHeight="1">
      <c r="E5265" s="49" t="str">
        <f>IFERROR(VLOOKUP(D5265,'taxonomy map'!$A$1:$C$107,2,FALSE),"")</f>
        <v/>
      </c>
      <c r="F5265" s="49" t="str">
        <f>IFERROR(VLOOKUP(E5265,'Condensed Specialty Crosswalk'!$A$2:$C$106,2,FALSE),"")</f>
        <v/>
      </c>
      <c r="G5265" s="49" t="str">
        <f>IFERROR(VLOOKUP(E5265,'Condensed Specialty Crosswalk'!$A$2:$C$106,3,FALSE),"")</f>
        <v/>
      </c>
    </row>
    <row r="5266" spans="5:7" ht="15" customHeight="1">
      <c r="E5266" s="49" t="str">
        <f>IFERROR(VLOOKUP(D5266,'taxonomy map'!$A$1:$C$107,2,FALSE),"")</f>
        <v/>
      </c>
      <c r="F5266" s="49" t="str">
        <f>IFERROR(VLOOKUP(E5266,'Condensed Specialty Crosswalk'!$A$2:$C$106,2,FALSE),"")</f>
        <v/>
      </c>
      <c r="G5266" s="49" t="str">
        <f>IFERROR(VLOOKUP(E5266,'Condensed Specialty Crosswalk'!$A$2:$C$106,3,FALSE),"")</f>
        <v/>
      </c>
    </row>
    <row r="5267" spans="5:7" ht="15" customHeight="1">
      <c r="E5267" s="49" t="str">
        <f>IFERROR(VLOOKUP(D5267,'taxonomy map'!$A$1:$C$107,2,FALSE),"")</f>
        <v/>
      </c>
      <c r="F5267" s="49" t="str">
        <f>IFERROR(VLOOKUP(E5267,'Condensed Specialty Crosswalk'!$A$2:$C$106,2,FALSE),"")</f>
        <v/>
      </c>
      <c r="G5267" s="49" t="str">
        <f>IFERROR(VLOOKUP(E5267,'Condensed Specialty Crosswalk'!$A$2:$C$106,3,FALSE),"")</f>
        <v/>
      </c>
    </row>
    <row r="5268" spans="5:7" ht="15" customHeight="1">
      <c r="E5268" s="49" t="str">
        <f>IFERROR(VLOOKUP(D5268,'taxonomy map'!$A$1:$C$107,2,FALSE),"")</f>
        <v/>
      </c>
      <c r="F5268" s="49" t="str">
        <f>IFERROR(VLOOKUP(E5268,'Condensed Specialty Crosswalk'!$A$2:$C$106,2,FALSE),"")</f>
        <v/>
      </c>
      <c r="G5268" s="49" t="str">
        <f>IFERROR(VLOOKUP(E5268,'Condensed Specialty Crosswalk'!$A$2:$C$106,3,FALSE),"")</f>
        <v/>
      </c>
    </row>
    <row r="5269" spans="5:7" ht="15" customHeight="1">
      <c r="E5269" s="49" t="str">
        <f>IFERROR(VLOOKUP(D5269,'taxonomy map'!$A$1:$C$107,2,FALSE),"")</f>
        <v/>
      </c>
      <c r="F5269" s="49" t="str">
        <f>IFERROR(VLOOKUP(E5269,'Condensed Specialty Crosswalk'!$A$2:$C$106,2,FALSE),"")</f>
        <v/>
      </c>
      <c r="G5269" s="49" t="str">
        <f>IFERROR(VLOOKUP(E5269,'Condensed Specialty Crosswalk'!$A$2:$C$106,3,FALSE),"")</f>
        <v/>
      </c>
    </row>
    <row r="5270" spans="5:7" ht="15" customHeight="1">
      <c r="E5270" s="49" t="str">
        <f>IFERROR(VLOOKUP(D5270,'taxonomy map'!$A$1:$C$107,2,FALSE),"")</f>
        <v/>
      </c>
      <c r="F5270" s="49" t="str">
        <f>IFERROR(VLOOKUP(E5270,'Condensed Specialty Crosswalk'!$A$2:$C$106,2,FALSE),"")</f>
        <v/>
      </c>
      <c r="G5270" s="49" t="str">
        <f>IFERROR(VLOOKUP(E5270,'Condensed Specialty Crosswalk'!$A$2:$C$106,3,FALSE),"")</f>
        <v/>
      </c>
    </row>
    <row r="5271" spans="5:7" ht="15" customHeight="1">
      <c r="E5271" s="49" t="str">
        <f>IFERROR(VLOOKUP(D5271,'taxonomy map'!$A$1:$C$107,2,FALSE),"")</f>
        <v/>
      </c>
      <c r="F5271" s="49" t="str">
        <f>IFERROR(VLOOKUP(E5271,'Condensed Specialty Crosswalk'!$A$2:$C$106,2,FALSE),"")</f>
        <v/>
      </c>
      <c r="G5271" s="49" t="str">
        <f>IFERROR(VLOOKUP(E5271,'Condensed Specialty Crosswalk'!$A$2:$C$106,3,FALSE),"")</f>
        <v/>
      </c>
    </row>
    <row r="5272" spans="5:7" ht="15" customHeight="1">
      <c r="E5272" s="49" t="str">
        <f>IFERROR(VLOOKUP(D5272,'taxonomy map'!$A$1:$C$107,2,FALSE),"")</f>
        <v/>
      </c>
      <c r="F5272" s="49" t="str">
        <f>IFERROR(VLOOKUP(E5272,'Condensed Specialty Crosswalk'!$A$2:$C$106,2,FALSE),"")</f>
        <v/>
      </c>
      <c r="G5272" s="49" t="str">
        <f>IFERROR(VLOOKUP(E5272,'Condensed Specialty Crosswalk'!$A$2:$C$106,3,FALSE),"")</f>
        <v/>
      </c>
    </row>
    <row r="5273" spans="5:7" ht="15" customHeight="1">
      <c r="E5273" s="49" t="str">
        <f>IFERROR(VLOOKUP(D5273,'taxonomy map'!$A$1:$C$107,2,FALSE),"")</f>
        <v/>
      </c>
      <c r="F5273" s="49" t="str">
        <f>IFERROR(VLOOKUP(E5273,'Condensed Specialty Crosswalk'!$A$2:$C$106,2,FALSE),"")</f>
        <v/>
      </c>
      <c r="G5273" s="49" t="str">
        <f>IFERROR(VLOOKUP(E5273,'Condensed Specialty Crosswalk'!$A$2:$C$106,3,FALSE),"")</f>
        <v/>
      </c>
    </row>
    <row r="5274" spans="5:7" ht="15" customHeight="1">
      <c r="E5274" s="49" t="str">
        <f>IFERROR(VLOOKUP(D5274,'taxonomy map'!$A$1:$C$107,2,FALSE),"")</f>
        <v/>
      </c>
      <c r="F5274" s="49" t="str">
        <f>IFERROR(VLOOKUP(E5274,'Condensed Specialty Crosswalk'!$A$2:$C$106,2,FALSE),"")</f>
        <v/>
      </c>
      <c r="G5274" s="49" t="str">
        <f>IFERROR(VLOOKUP(E5274,'Condensed Specialty Crosswalk'!$A$2:$C$106,3,FALSE),"")</f>
        <v/>
      </c>
    </row>
    <row r="5275" spans="5:7" ht="15" customHeight="1">
      <c r="E5275" s="49" t="str">
        <f>IFERROR(VLOOKUP(D5275,'taxonomy map'!$A$1:$C$107,2,FALSE),"")</f>
        <v/>
      </c>
      <c r="F5275" s="49" t="str">
        <f>IFERROR(VLOOKUP(E5275,'Condensed Specialty Crosswalk'!$A$2:$C$106,2,FALSE),"")</f>
        <v/>
      </c>
      <c r="G5275" s="49" t="str">
        <f>IFERROR(VLOOKUP(E5275,'Condensed Specialty Crosswalk'!$A$2:$C$106,3,FALSE),"")</f>
        <v/>
      </c>
    </row>
    <row r="5276" spans="5:7" ht="15" customHeight="1">
      <c r="E5276" s="49" t="str">
        <f>IFERROR(VLOOKUP(D5276,'taxonomy map'!$A$1:$C$107,2,FALSE),"")</f>
        <v/>
      </c>
      <c r="F5276" s="49" t="str">
        <f>IFERROR(VLOOKUP(E5276,'Condensed Specialty Crosswalk'!$A$2:$C$106,2,FALSE),"")</f>
        <v/>
      </c>
      <c r="G5276" s="49" t="str">
        <f>IFERROR(VLOOKUP(E5276,'Condensed Specialty Crosswalk'!$A$2:$C$106,3,FALSE),"")</f>
        <v/>
      </c>
    </row>
    <row r="5277" spans="5:7" ht="15" customHeight="1">
      <c r="E5277" s="49" t="str">
        <f>IFERROR(VLOOKUP(D5277,'taxonomy map'!$A$1:$C$107,2,FALSE),"")</f>
        <v/>
      </c>
      <c r="F5277" s="49" t="str">
        <f>IFERROR(VLOOKUP(E5277,'Condensed Specialty Crosswalk'!$A$2:$C$106,2,FALSE),"")</f>
        <v/>
      </c>
      <c r="G5277" s="49" t="str">
        <f>IFERROR(VLOOKUP(E5277,'Condensed Specialty Crosswalk'!$A$2:$C$106,3,FALSE),"")</f>
        <v/>
      </c>
    </row>
    <row r="5278" spans="5:7" ht="15" customHeight="1">
      <c r="E5278" s="49" t="str">
        <f>IFERROR(VLOOKUP(D5278,'taxonomy map'!$A$1:$C$107,2,FALSE),"")</f>
        <v/>
      </c>
      <c r="F5278" s="49" t="str">
        <f>IFERROR(VLOOKUP(E5278,'Condensed Specialty Crosswalk'!$A$2:$C$106,2,FALSE),"")</f>
        <v/>
      </c>
      <c r="G5278" s="49" t="str">
        <f>IFERROR(VLOOKUP(E5278,'Condensed Specialty Crosswalk'!$A$2:$C$106,3,FALSE),"")</f>
        <v/>
      </c>
    </row>
    <row r="5279" spans="5:7" ht="15" customHeight="1">
      <c r="E5279" s="49" t="str">
        <f>IFERROR(VLOOKUP(D5279,'taxonomy map'!$A$1:$C$107,2,FALSE),"")</f>
        <v/>
      </c>
      <c r="F5279" s="49" t="str">
        <f>IFERROR(VLOOKUP(E5279,'Condensed Specialty Crosswalk'!$A$2:$C$106,2,FALSE),"")</f>
        <v/>
      </c>
      <c r="G5279" s="49" t="str">
        <f>IFERROR(VLOOKUP(E5279,'Condensed Specialty Crosswalk'!$A$2:$C$106,3,FALSE),"")</f>
        <v/>
      </c>
    </row>
    <row r="5280" spans="5:7" ht="15" customHeight="1">
      <c r="E5280" s="49" t="str">
        <f>IFERROR(VLOOKUP(D5280,'taxonomy map'!$A$1:$C$107,2,FALSE),"")</f>
        <v/>
      </c>
      <c r="F5280" s="49" t="str">
        <f>IFERROR(VLOOKUP(E5280,'Condensed Specialty Crosswalk'!$A$2:$C$106,2,FALSE),"")</f>
        <v/>
      </c>
      <c r="G5280" s="49" t="str">
        <f>IFERROR(VLOOKUP(E5280,'Condensed Specialty Crosswalk'!$A$2:$C$106,3,FALSE),"")</f>
        <v/>
      </c>
    </row>
    <row r="5281" spans="5:7" ht="15" customHeight="1">
      <c r="E5281" s="49" t="str">
        <f>IFERROR(VLOOKUP(D5281,'taxonomy map'!$A$1:$C$107,2,FALSE),"")</f>
        <v/>
      </c>
      <c r="F5281" s="49" t="str">
        <f>IFERROR(VLOOKUP(E5281,'Condensed Specialty Crosswalk'!$A$2:$C$106,2,FALSE),"")</f>
        <v/>
      </c>
      <c r="G5281" s="49" t="str">
        <f>IFERROR(VLOOKUP(E5281,'Condensed Specialty Crosswalk'!$A$2:$C$106,3,FALSE),"")</f>
        <v/>
      </c>
    </row>
    <row r="5282" spans="5:7" ht="15" customHeight="1">
      <c r="E5282" s="49" t="str">
        <f>IFERROR(VLOOKUP(D5282,'taxonomy map'!$A$1:$C$107,2,FALSE),"")</f>
        <v/>
      </c>
      <c r="F5282" s="49" t="str">
        <f>IFERROR(VLOOKUP(E5282,'Condensed Specialty Crosswalk'!$A$2:$C$106,2,FALSE),"")</f>
        <v/>
      </c>
      <c r="G5282" s="49" t="str">
        <f>IFERROR(VLOOKUP(E5282,'Condensed Specialty Crosswalk'!$A$2:$C$106,3,FALSE),"")</f>
        <v/>
      </c>
    </row>
    <row r="5283" spans="5:7" ht="15" customHeight="1">
      <c r="E5283" s="49" t="str">
        <f>IFERROR(VLOOKUP(D5283,'taxonomy map'!$A$1:$C$107,2,FALSE),"")</f>
        <v/>
      </c>
      <c r="F5283" s="49" t="str">
        <f>IFERROR(VLOOKUP(E5283,'Condensed Specialty Crosswalk'!$A$2:$C$106,2,FALSE),"")</f>
        <v/>
      </c>
      <c r="G5283" s="49" t="str">
        <f>IFERROR(VLOOKUP(E5283,'Condensed Specialty Crosswalk'!$A$2:$C$106,3,FALSE),"")</f>
        <v/>
      </c>
    </row>
    <row r="5284" spans="5:7" ht="15" customHeight="1">
      <c r="E5284" s="49" t="str">
        <f>IFERROR(VLOOKUP(D5284,'taxonomy map'!$A$1:$C$107,2,FALSE),"")</f>
        <v/>
      </c>
      <c r="F5284" s="49" t="str">
        <f>IFERROR(VLOOKUP(E5284,'Condensed Specialty Crosswalk'!$A$2:$C$106,2,FALSE),"")</f>
        <v/>
      </c>
      <c r="G5284" s="49" t="str">
        <f>IFERROR(VLOOKUP(E5284,'Condensed Specialty Crosswalk'!$A$2:$C$106,3,FALSE),"")</f>
        <v/>
      </c>
    </row>
    <row r="5285" spans="5:7" ht="15" customHeight="1">
      <c r="E5285" s="49" t="str">
        <f>IFERROR(VLOOKUP(D5285,'taxonomy map'!$A$1:$C$107,2,FALSE),"")</f>
        <v/>
      </c>
      <c r="F5285" s="49" t="str">
        <f>IFERROR(VLOOKUP(E5285,'Condensed Specialty Crosswalk'!$A$2:$C$106,2,FALSE),"")</f>
        <v/>
      </c>
      <c r="G5285" s="49" t="str">
        <f>IFERROR(VLOOKUP(E5285,'Condensed Specialty Crosswalk'!$A$2:$C$106,3,FALSE),"")</f>
        <v/>
      </c>
    </row>
    <row r="5286" spans="5:7" ht="15" customHeight="1">
      <c r="E5286" s="49" t="str">
        <f>IFERROR(VLOOKUP(D5286,'taxonomy map'!$A$1:$C$107,2,FALSE),"")</f>
        <v/>
      </c>
      <c r="F5286" s="49" t="str">
        <f>IFERROR(VLOOKUP(E5286,'Condensed Specialty Crosswalk'!$A$2:$C$106,2,FALSE),"")</f>
        <v/>
      </c>
      <c r="G5286" s="49" t="str">
        <f>IFERROR(VLOOKUP(E5286,'Condensed Specialty Crosswalk'!$A$2:$C$106,3,FALSE),"")</f>
        <v/>
      </c>
    </row>
    <row r="5287" spans="5:7" ht="15" customHeight="1">
      <c r="E5287" s="49" t="str">
        <f>IFERROR(VLOOKUP(D5287,'taxonomy map'!$A$1:$C$107,2,FALSE),"")</f>
        <v/>
      </c>
      <c r="F5287" s="49" t="str">
        <f>IFERROR(VLOOKUP(E5287,'Condensed Specialty Crosswalk'!$A$2:$C$106,2,FALSE),"")</f>
        <v/>
      </c>
      <c r="G5287" s="49" t="str">
        <f>IFERROR(VLOOKUP(E5287,'Condensed Specialty Crosswalk'!$A$2:$C$106,3,FALSE),"")</f>
        <v/>
      </c>
    </row>
    <row r="5288" spans="5:7" ht="15" customHeight="1">
      <c r="E5288" s="49" t="str">
        <f>IFERROR(VLOOKUP(D5288,'taxonomy map'!$A$1:$C$107,2,FALSE),"")</f>
        <v/>
      </c>
      <c r="F5288" s="49" t="str">
        <f>IFERROR(VLOOKUP(E5288,'Condensed Specialty Crosswalk'!$A$2:$C$106,2,FALSE),"")</f>
        <v/>
      </c>
      <c r="G5288" s="49" t="str">
        <f>IFERROR(VLOOKUP(E5288,'Condensed Specialty Crosswalk'!$A$2:$C$106,3,FALSE),"")</f>
        <v/>
      </c>
    </row>
    <row r="5289" spans="5:7" ht="15" customHeight="1">
      <c r="E5289" s="49" t="str">
        <f>IFERROR(VLOOKUP(D5289,'taxonomy map'!$A$1:$C$107,2,FALSE),"")</f>
        <v/>
      </c>
      <c r="F5289" s="49" t="str">
        <f>IFERROR(VLOOKUP(E5289,'Condensed Specialty Crosswalk'!$A$2:$C$106,2,FALSE),"")</f>
        <v/>
      </c>
      <c r="G5289" s="49" t="str">
        <f>IFERROR(VLOOKUP(E5289,'Condensed Specialty Crosswalk'!$A$2:$C$106,3,FALSE),"")</f>
        <v/>
      </c>
    </row>
    <row r="5290" spans="5:7" ht="15" customHeight="1">
      <c r="E5290" s="49" t="str">
        <f>IFERROR(VLOOKUP(D5290,'taxonomy map'!$A$1:$C$107,2,FALSE),"")</f>
        <v/>
      </c>
      <c r="F5290" s="49" t="str">
        <f>IFERROR(VLOOKUP(E5290,'Condensed Specialty Crosswalk'!$A$2:$C$106,2,FALSE),"")</f>
        <v/>
      </c>
      <c r="G5290" s="49" t="str">
        <f>IFERROR(VLOOKUP(E5290,'Condensed Specialty Crosswalk'!$A$2:$C$106,3,FALSE),"")</f>
        <v/>
      </c>
    </row>
    <row r="5291" spans="5:7" ht="15" customHeight="1">
      <c r="E5291" s="49" t="str">
        <f>IFERROR(VLOOKUP(D5291,'taxonomy map'!$A$1:$C$107,2,FALSE),"")</f>
        <v/>
      </c>
      <c r="F5291" s="49" t="str">
        <f>IFERROR(VLOOKUP(E5291,'Condensed Specialty Crosswalk'!$A$2:$C$106,2,FALSE),"")</f>
        <v/>
      </c>
      <c r="G5291" s="49" t="str">
        <f>IFERROR(VLOOKUP(E5291,'Condensed Specialty Crosswalk'!$A$2:$C$106,3,FALSE),"")</f>
        <v/>
      </c>
    </row>
    <row r="5292" spans="5:7" ht="15" customHeight="1">
      <c r="E5292" s="49" t="str">
        <f>IFERROR(VLOOKUP(D5292,'taxonomy map'!$A$1:$C$107,2,FALSE),"")</f>
        <v/>
      </c>
      <c r="F5292" s="49" t="str">
        <f>IFERROR(VLOOKUP(E5292,'Condensed Specialty Crosswalk'!$A$2:$C$106,2,FALSE),"")</f>
        <v/>
      </c>
      <c r="G5292" s="49" t="str">
        <f>IFERROR(VLOOKUP(E5292,'Condensed Specialty Crosswalk'!$A$2:$C$106,3,FALSE),"")</f>
        <v/>
      </c>
    </row>
    <row r="5293" spans="5:7" ht="15" customHeight="1">
      <c r="E5293" s="49" t="str">
        <f>IFERROR(VLOOKUP(D5293,'taxonomy map'!$A$1:$C$107,2,FALSE),"")</f>
        <v/>
      </c>
      <c r="F5293" s="49" t="str">
        <f>IFERROR(VLOOKUP(E5293,'Condensed Specialty Crosswalk'!$A$2:$C$106,2,FALSE),"")</f>
        <v/>
      </c>
      <c r="G5293" s="49" t="str">
        <f>IFERROR(VLOOKUP(E5293,'Condensed Specialty Crosswalk'!$A$2:$C$106,3,FALSE),"")</f>
        <v/>
      </c>
    </row>
    <row r="5294" spans="5:7" ht="15" customHeight="1">
      <c r="E5294" s="49" t="str">
        <f>IFERROR(VLOOKUP(D5294,'taxonomy map'!$A$1:$C$107,2,FALSE),"")</f>
        <v/>
      </c>
      <c r="F5294" s="49" t="str">
        <f>IFERROR(VLOOKUP(E5294,'Condensed Specialty Crosswalk'!$A$2:$C$106,2,FALSE),"")</f>
        <v/>
      </c>
      <c r="G5294" s="49" t="str">
        <f>IFERROR(VLOOKUP(E5294,'Condensed Specialty Crosswalk'!$A$2:$C$106,3,FALSE),"")</f>
        <v/>
      </c>
    </row>
    <row r="5295" spans="5:7" ht="15" customHeight="1">
      <c r="E5295" s="49" t="str">
        <f>IFERROR(VLOOKUP(D5295,'taxonomy map'!$A$1:$C$107,2,FALSE),"")</f>
        <v/>
      </c>
      <c r="F5295" s="49" t="str">
        <f>IFERROR(VLOOKUP(E5295,'Condensed Specialty Crosswalk'!$A$2:$C$106,2,FALSE),"")</f>
        <v/>
      </c>
      <c r="G5295" s="49" t="str">
        <f>IFERROR(VLOOKUP(E5295,'Condensed Specialty Crosswalk'!$A$2:$C$106,3,FALSE),"")</f>
        <v/>
      </c>
    </row>
    <row r="5296" spans="5:7" ht="15" customHeight="1">
      <c r="E5296" s="49" t="str">
        <f>IFERROR(VLOOKUP(D5296,'taxonomy map'!$A$1:$C$107,2,FALSE),"")</f>
        <v/>
      </c>
      <c r="F5296" s="49" t="str">
        <f>IFERROR(VLOOKUP(E5296,'Condensed Specialty Crosswalk'!$A$2:$C$106,2,FALSE),"")</f>
        <v/>
      </c>
      <c r="G5296" s="49" t="str">
        <f>IFERROR(VLOOKUP(E5296,'Condensed Specialty Crosswalk'!$A$2:$C$106,3,FALSE),"")</f>
        <v/>
      </c>
    </row>
    <row r="5297" spans="5:7" ht="15" customHeight="1">
      <c r="E5297" s="49" t="str">
        <f>IFERROR(VLOOKUP(D5297,'taxonomy map'!$A$1:$C$107,2,FALSE),"")</f>
        <v/>
      </c>
      <c r="F5297" s="49" t="str">
        <f>IFERROR(VLOOKUP(E5297,'Condensed Specialty Crosswalk'!$A$2:$C$106,2,FALSE),"")</f>
        <v/>
      </c>
      <c r="G5297" s="49" t="str">
        <f>IFERROR(VLOOKUP(E5297,'Condensed Specialty Crosswalk'!$A$2:$C$106,3,FALSE),"")</f>
        <v/>
      </c>
    </row>
    <row r="5298" spans="5:7" ht="15" customHeight="1">
      <c r="E5298" s="49" t="str">
        <f>IFERROR(VLOOKUP(D5298,'taxonomy map'!$A$1:$C$107,2,FALSE),"")</f>
        <v/>
      </c>
      <c r="F5298" s="49" t="str">
        <f>IFERROR(VLOOKUP(E5298,'Condensed Specialty Crosswalk'!$A$2:$C$106,2,FALSE),"")</f>
        <v/>
      </c>
      <c r="G5298" s="49" t="str">
        <f>IFERROR(VLOOKUP(E5298,'Condensed Specialty Crosswalk'!$A$2:$C$106,3,FALSE),"")</f>
        <v/>
      </c>
    </row>
    <row r="5299" spans="5:7" ht="15" customHeight="1">
      <c r="E5299" s="49" t="str">
        <f>IFERROR(VLOOKUP(D5299,'taxonomy map'!$A$1:$C$107,2,FALSE),"")</f>
        <v/>
      </c>
      <c r="F5299" s="49" t="str">
        <f>IFERROR(VLOOKUP(E5299,'Condensed Specialty Crosswalk'!$A$2:$C$106,2,FALSE),"")</f>
        <v/>
      </c>
      <c r="G5299" s="49" t="str">
        <f>IFERROR(VLOOKUP(E5299,'Condensed Specialty Crosswalk'!$A$2:$C$106,3,FALSE),"")</f>
        <v/>
      </c>
    </row>
    <row r="5300" spans="5:7" ht="15" customHeight="1">
      <c r="E5300" s="49" t="str">
        <f>IFERROR(VLOOKUP(D5300,'taxonomy map'!$A$1:$C$107,2,FALSE),"")</f>
        <v/>
      </c>
      <c r="F5300" s="49" t="str">
        <f>IFERROR(VLOOKUP(E5300,'Condensed Specialty Crosswalk'!$A$2:$C$106,2,FALSE),"")</f>
        <v/>
      </c>
      <c r="G5300" s="49" t="str">
        <f>IFERROR(VLOOKUP(E5300,'Condensed Specialty Crosswalk'!$A$2:$C$106,3,FALSE),"")</f>
        <v/>
      </c>
    </row>
    <row r="5301" spans="5:7" ht="15" customHeight="1">
      <c r="E5301" s="49" t="str">
        <f>IFERROR(VLOOKUP(D5301,'taxonomy map'!$A$1:$C$107,2,FALSE),"")</f>
        <v/>
      </c>
      <c r="F5301" s="49" t="str">
        <f>IFERROR(VLOOKUP(E5301,'Condensed Specialty Crosswalk'!$A$2:$C$106,2,FALSE),"")</f>
        <v/>
      </c>
      <c r="G5301" s="49" t="str">
        <f>IFERROR(VLOOKUP(E5301,'Condensed Specialty Crosswalk'!$A$2:$C$106,3,FALSE),"")</f>
        <v/>
      </c>
    </row>
    <row r="5302" spans="5:7" ht="15" customHeight="1">
      <c r="E5302" s="49" t="str">
        <f>IFERROR(VLOOKUP(D5302,'taxonomy map'!$A$1:$C$107,2,FALSE),"")</f>
        <v/>
      </c>
      <c r="F5302" s="49" t="str">
        <f>IFERROR(VLOOKUP(E5302,'Condensed Specialty Crosswalk'!$A$2:$C$106,2,FALSE),"")</f>
        <v/>
      </c>
      <c r="G5302" s="49" t="str">
        <f>IFERROR(VLOOKUP(E5302,'Condensed Specialty Crosswalk'!$A$2:$C$106,3,FALSE),"")</f>
        <v/>
      </c>
    </row>
    <row r="5303" spans="5:7" ht="15" customHeight="1">
      <c r="E5303" s="49" t="str">
        <f>IFERROR(VLOOKUP(D5303,'taxonomy map'!$A$1:$C$107,2,FALSE),"")</f>
        <v/>
      </c>
      <c r="F5303" s="49" t="str">
        <f>IFERROR(VLOOKUP(E5303,'Condensed Specialty Crosswalk'!$A$2:$C$106,2,FALSE),"")</f>
        <v/>
      </c>
      <c r="G5303" s="49" t="str">
        <f>IFERROR(VLOOKUP(E5303,'Condensed Specialty Crosswalk'!$A$2:$C$106,3,FALSE),"")</f>
        <v/>
      </c>
    </row>
    <row r="5304" spans="5:7" ht="15" customHeight="1">
      <c r="E5304" s="49" t="str">
        <f>IFERROR(VLOOKUP(D5304,'taxonomy map'!$A$1:$C$107,2,FALSE),"")</f>
        <v/>
      </c>
      <c r="F5304" s="49" t="str">
        <f>IFERROR(VLOOKUP(E5304,'Condensed Specialty Crosswalk'!$A$2:$C$106,2,FALSE),"")</f>
        <v/>
      </c>
      <c r="G5304" s="49" t="str">
        <f>IFERROR(VLOOKUP(E5304,'Condensed Specialty Crosswalk'!$A$2:$C$106,3,FALSE),"")</f>
        <v/>
      </c>
    </row>
    <row r="5305" spans="5:7" ht="15" customHeight="1">
      <c r="E5305" s="49" t="str">
        <f>IFERROR(VLOOKUP(D5305,'taxonomy map'!$A$1:$C$107,2,FALSE),"")</f>
        <v/>
      </c>
      <c r="F5305" s="49" t="str">
        <f>IFERROR(VLOOKUP(E5305,'Condensed Specialty Crosswalk'!$A$2:$C$106,2,FALSE),"")</f>
        <v/>
      </c>
      <c r="G5305" s="49" t="str">
        <f>IFERROR(VLOOKUP(E5305,'Condensed Specialty Crosswalk'!$A$2:$C$106,3,FALSE),"")</f>
        <v/>
      </c>
    </row>
    <row r="5306" spans="5:7" ht="15" customHeight="1">
      <c r="E5306" s="49" t="str">
        <f>IFERROR(VLOOKUP(D5306,'taxonomy map'!$A$1:$C$107,2,FALSE),"")</f>
        <v/>
      </c>
      <c r="F5306" s="49" t="str">
        <f>IFERROR(VLOOKUP(E5306,'Condensed Specialty Crosswalk'!$A$2:$C$106,2,FALSE),"")</f>
        <v/>
      </c>
      <c r="G5306" s="49" t="str">
        <f>IFERROR(VLOOKUP(E5306,'Condensed Specialty Crosswalk'!$A$2:$C$106,3,FALSE),"")</f>
        <v/>
      </c>
    </row>
    <row r="5307" spans="5:7" ht="15" customHeight="1">
      <c r="E5307" s="49" t="str">
        <f>IFERROR(VLOOKUP(D5307,'taxonomy map'!$A$1:$C$107,2,FALSE),"")</f>
        <v/>
      </c>
      <c r="F5307" s="49" t="str">
        <f>IFERROR(VLOOKUP(E5307,'Condensed Specialty Crosswalk'!$A$2:$C$106,2,FALSE),"")</f>
        <v/>
      </c>
      <c r="G5307" s="49" t="str">
        <f>IFERROR(VLOOKUP(E5307,'Condensed Specialty Crosswalk'!$A$2:$C$106,3,FALSE),"")</f>
        <v/>
      </c>
    </row>
    <row r="5308" spans="5:7" ht="15" customHeight="1">
      <c r="E5308" s="49" t="str">
        <f>IFERROR(VLOOKUP(D5308,'taxonomy map'!$A$1:$C$107,2,FALSE),"")</f>
        <v/>
      </c>
      <c r="F5308" s="49" t="str">
        <f>IFERROR(VLOOKUP(E5308,'Condensed Specialty Crosswalk'!$A$2:$C$106,2,FALSE),"")</f>
        <v/>
      </c>
      <c r="G5308" s="49" t="str">
        <f>IFERROR(VLOOKUP(E5308,'Condensed Specialty Crosswalk'!$A$2:$C$106,3,FALSE),"")</f>
        <v/>
      </c>
    </row>
    <row r="5309" spans="5:7" ht="15" customHeight="1">
      <c r="E5309" s="49" t="str">
        <f>IFERROR(VLOOKUP(D5309,'taxonomy map'!$A$1:$C$107,2,FALSE),"")</f>
        <v/>
      </c>
      <c r="F5309" s="49" t="str">
        <f>IFERROR(VLOOKUP(E5309,'Condensed Specialty Crosswalk'!$A$2:$C$106,2,FALSE),"")</f>
        <v/>
      </c>
      <c r="G5309" s="49" t="str">
        <f>IFERROR(VLOOKUP(E5309,'Condensed Specialty Crosswalk'!$A$2:$C$106,3,FALSE),"")</f>
        <v/>
      </c>
    </row>
    <row r="5310" spans="5:7" ht="15" customHeight="1">
      <c r="E5310" s="49" t="str">
        <f>IFERROR(VLOOKUP(D5310,'taxonomy map'!$A$1:$C$107,2,FALSE),"")</f>
        <v/>
      </c>
      <c r="F5310" s="49" t="str">
        <f>IFERROR(VLOOKUP(E5310,'Condensed Specialty Crosswalk'!$A$2:$C$106,2,FALSE),"")</f>
        <v/>
      </c>
      <c r="G5310" s="49" t="str">
        <f>IFERROR(VLOOKUP(E5310,'Condensed Specialty Crosswalk'!$A$2:$C$106,3,FALSE),"")</f>
        <v/>
      </c>
    </row>
    <row r="5311" spans="5:7" ht="15" customHeight="1">
      <c r="E5311" s="49" t="str">
        <f>IFERROR(VLOOKUP(D5311,'taxonomy map'!$A$1:$C$107,2,FALSE),"")</f>
        <v/>
      </c>
      <c r="F5311" s="49" t="str">
        <f>IFERROR(VLOOKUP(E5311,'Condensed Specialty Crosswalk'!$A$2:$C$106,2,FALSE),"")</f>
        <v/>
      </c>
      <c r="G5311" s="49" t="str">
        <f>IFERROR(VLOOKUP(E5311,'Condensed Specialty Crosswalk'!$A$2:$C$106,3,FALSE),"")</f>
        <v/>
      </c>
    </row>
    <row r="5312" spans="5:7" ht="15" customHeight="1">
      <c r="E5312" s="49" t="str">
        <f>IFERROR(VLOOKUP(D5312,'taxonomy map'!$A$1:$C$107,2,FALSE),"")</f>
        <v/>
      </c>
      <c r="F5312" s="49" t="str">
        <f>IFERROR(VLOOKUP(E5312,'Condensed Specialty Crosswalk'!$A$2:$C$106,2,FALSE),"")</f>
        <v/>
      </c>
      <c r="G5312" s="49" t="str">
        <f>IFERROR(VLOOKUP(E5312,'Condensed Specialty Crosswalk'!$A$2:$C$106,3,FALSE),"")</f>
        <v/>
      </c>
    </row>
    <row r="5313" spans="5:7" ht="15" customHeight="1">
      <c r="E5313" s="49" t="str">
        <f>IFERROR(VLOOKUP(D5313,'taxonomy map'!$A$1:$C$107,2,FALSE),"")</f>
        <v/>
      </c>
      <c r="F5313" s="49" t="str">
        <f>IFERROR(VLOOKUP(E5313,'Condensed Specialty Crosswalk'!$A$2:$C$106,2,FALSE),"")</f>
        <v/>
      </c>
      <c r="G5313" s="49" t="str">
        <f>IFERROR(VLOOKUP(E5313,'Condensed Specialty Crosswalk'!$A$2:$C$106,3,FALSE),"")</f>
        <v/>
      </c>
    </row>
    <row r="5314" spans="5:7" ht="15" customHeight="1">
      <c r="E5314" s="49" t="str">
        <f>IFERROR(VLOOKUP(D5314,'taxonomy map'!$A$1:$C$107,2,FALSE),"")</f>
        <v/>
      </c>
      <c r="F5314" s="49" t="str">
        <f>IFERROR(VLOOKUP(E5314,'Condensed Specialty Crosswalk'!$A$2:$C$106,2,FALSE),"")</f>
        <v/>
      </c>
      <c r="G5314" s="49" t="str">
        <f>IFERROR(VLOOKUP(E5314,'Condensed Specialty Crosswalk'!$A$2:$C$106,3,FALSE),"")</f>
        <v/>
      </c>
    </row>
    <row r="5315" spans="5:7" ht="15" customHeight="1">
      <c r="E5315" s="49" t="str">
        <f>IFERROR(VLOOKUP(D5315,'taxonomy map'!$A$1:$C$107,2,FALSE),"")</f>
        <v/>
      </c>
      <c r="F5315" s="49" t="str">
        <f>IFERROR(VLOOKUP(E5315,'Condensed Specialty Crosswalk'!$A$2:$C$106,2,FALSE),"")</f>
        <v/>
      </c>
      <c r="G5315" s="49" t="str">
        <f>IFERROR(VLOOKUP(E5315,'Condensed Specialty Crosswalk'!$A$2:$C$106,3,FALSE),"")</f>
        <v/>
      </c>
    </row>
    <row r="5316" spans="5:7" ht="15" customHeight="1">
      <c r="E5316" s="49" t="str">
        <f>IFERROR(VLOOKUP(D5316,'taxonomy map'!$A$1:$C$107,2,FALSE),"")</f>
        <v/>
      </c>
      <c r="F5316" s="49" t="str">
        <f>IFERROR(VLOOKUP(E5316,'Condensed Specialty Crosswalk'!$A$2:$C$106,2,FALSE),"")</f>
        <v/>
      </c>
      <c r="G5316" s="49" t="str">
        <f>IFERROR(VLOOKUP(E5316,'Condensed Specialty Crosswalk'!$A$2:$C$106,3,FALSE),"")</f>
        <v/>
      </c>
    </row>
    <row r="5317" spans="5:7" ht="15" customHeight="1">
      <c r="E5317" s="49" t="str">
        <f>IFERROR(VLOOKUP(D5317,'taxonomy map'!$A$1:$C$107,2,FALSE),"")</f>
        <v/>
      </c>
      <c r="F5317" s="49" t="str">
        <f>IFERROR(VLOOKUP(E5317,'Condensed Specialty Crosswalk'!$A$2:$C$106,2,FALSE),"")</f>
        <v/>
      </c>
      <c r="G5317" s="49" t="str">
        <f>IFERROR(VLOOKUP(E5317,'Condensed Specialty Crosswalk'!$A$2:$C$106,3,FALSE),"")</f>
        <v/>
      </c>
    </row>
    <row r="5318" spans="5:7" ht="15" customHeight="1">
      <c r="E5318" s="49" t="str">
        <f>IFERROR(VLOOKUP(D5318,'taxonomy map'!$A$1:$C$107,2,FALSE),"")</f>
        <v/>
      </c>
      <c r="F5318" s="49" t="str">
        <f>IFERROR(VLOOKUP(E5318,'Condensed Specialty Crosswalk'!$A$2:$C$106,2,FALSE),"")</f>
        <v/>
      </c>
      <c r="G5318" s="49" t="str">
        <f>IFERROR(VLOOKUP(E5318,'Condensed Specialty Crosswalk'!$A$2:$C$106,3,FALSE),"")</f>
        <v/>
      </c>
    </row>
    <row r="5319" spans="5:7" ht="15" customHeight="1">
      <c r="E5319" s="49" t="str">
        <f>IFERROR(VLOOKUP(D5319,'taxonomy map'!$A$1:$C$107,2,FALSE),"")</f>
        <v/>
      </c>
      <c r="F5319" s="49" t="str">
        <f>IFERROR(VLOOKUP(E5319,'Condensed Specialty Crosswalk'!$A$2:$C$106,2,FALSE),"")</f>
        <v/>
      </c>
      <c r="G5319" s="49" t="str">
        <f>IFERROR(VLOOKUP(E5319,'Condensed Specialty Crosswalk'!$A$2:$C$106,3,FALSE),"")</f>
        <v/>
      </c>
    </row>
    <row r="5320" spans="5:7" ht="15" customHeight="1">
      <c r="E5320" s="49" t="str">
        <f>IFERROR(VLOOKUP(D5320,'taxonomy map'!$A$1:$C$107,2,FALSE),"")</f>
        <v/>
      </c>
      <c r="F5320" s="49" t="str">
        <f>IFERROR(VLOOKUP(E5320,'Condensed Specialty Crosswalk'!$A$2:$C$106,2,FALSE),"")</f>
        <v/>
      </c>
      <c r="G5320" s="49" t="str">
        <f>IFERROR(VLOOKUP(E5320,'Condensed Specialty Crosswalk'!$A$2:$C$106,3,FALSE),"")</f>
        <v/>
      </c>
    </row>
    <row r="5321" spans="5:7" ht="15" customHeight="1">
      <c r="E5321" s="49" t="str">
        <f>IFERROR(VLOOKUP(D5321,'taxonomy map'!$A$1:$C$107,2,FALSE),"")</f>
        <v/>
      </c>
      <c r="F5321" s="49" t="str">
        <f>IFERROR(VLOOKUP(E5321,'Condensed Specialty Crosswalk'!$A$2:$C$106,2,FALSE),"")</f>
        <v/>
      </c>
      <c r="G5321" s="49" t="str">
        <f>IFERROR(VLOOKUP(E5321,'Condensed Specialty Crosswalk'!$A$2:$C$106,3,FALSE),"")</f>
        <v/>
      </c>
    </row>
    <row r="5322" spans="5:7" ht="15" customHeight="1">
      <c r="E5322" s="49" t="str">
        <f>IFERROR(VLOOKUP(D5322,'taxonomy map'!$A$1:$C$107,2,FALSE),"")</f>
        <v/>
      </c>
      <c r="F5322" s="49" t="str">
        <f>IFERROR(VLOOKUP(E5322,'Condensed Specialty Crosswalk'!$A$2:$C$106,2,FALSE),"")</f>
        <v/>
      </c>
      <c r="G5322" s="49" t="str">
        <f>IFERROR(VLOOKUP(E5322,'Condensed Specialty Crosswalk'!$A$2:$C$106,3,FALSE),"")</f>
        <v/>
      </c>
    </row>
    <row r="5323" spans="5:7" ht="15" customHeight="1">
      <c r="E5323" s="49" t="str">
        <f>IFERROR(VLOOKUP(D5323,'taxonomy map'!$A$1:$C$107,2,FALSE),"")</f>
        <v/>
      </c>
      <c r="F5323" s="49" t="str">
        <f>IFERROR(VLOOKUP(E5323,'Condensed Specialty Crosswalk'!$A$2:$C$106,2,FALSE),"")</f>
        <v/>
      </c>
      <c r="G5323" s="49" t="str">
        <f>IFERROR(VLOOKUP(E5323,'Condensed Specialty Crosswalk'!$A$2:$C$106,3,FALSE),"")</f>
        <v/>
      </c>
    </row>
    <row r="5324" spans="5:7" ht="15" customHeight="1">
      <c r="E5324" s="49" t="str">
        <f>IFERROR(VLOOKUP(D5324,'taxonomy map'!$A$1:$C$107,2,FALSE),"")</f>
        <v/>
      </c>
      <c r="F5324" s="49" t="str">
        <f>IFERROR(VLOOKUP(E5324,'Condensed Specialty Crosswalk'!$A$2:$C$106,2,FALSE),"")</f>
        <v/>
      </c>
      <c r="G5324" s="49" t="str">
        <f>IFERROR(VLOOKUP(E5324,'Condensed Specialty Crosswalk'!$A$2:$C$106,3,FALSE),"")</f>
        <v/>
      </c>
    </row>
    <row r="5325" spans="5:7" ht="15" customHeight="1">
      <c r="E5325" s="49" t="str">
        <f>IFERROR(VLOOKUP(D5325,'taxonomy map'!$A$1:$C$107,2,FALSE),"")</f>
        <v/>
      </c>
      <c r="F5325" s="49" t="str">
        <f>IFERROR(VLOOKUP(E5325,'Condensed Specialty Crosswalk'!$A$2:$C$106,2,FALSE),"")</f>
        <v/>
      </c>
      <c r="G5325" s="49" t="str">
        <f>IFERROR(VLOOKUP(E5325,'Condensed Specialty Crosswalk'!$A$2:$C$106,3,FALSE),"")</f>
        <v/>
      </c>
    </row>
    <row r="5326" spans="5:7" ht="15" customHeight="1">
      <c r="E5326" s="49" t="str">
        <f>IFERROR(VLOOKUP(D5326,'taxonomy map'!$A$1:$C$107,2,FALSE),"")</f>
        <v/>
      </c>
      <c r="F5326" s="49" t="str">
        <f>IFERROR(VLOOKUP(E5326,'Condensed Specialty Crosswalk'!$A$2:$C$106,2,FALSE),"")</f>
        <v/>
      </c>
      <c r="G5326" s="49" t="str">
        <f>IFERROR(VLOOKUP(E5326,'Condensed Specialty Crosswalk'!$A$2:$C$106,3,FALSE),"")</f>
        <v/>
      </c>
    </row>
    <row r="5327" spans="5:7" ht="15" customHeight="1">
      <c r="E5327" s="49" t="str">
        <f>IFERROR(VLOOKUP(D5327,'taxonomy map'!$A$1:$C$107,2,FALSE),"")</f>
        <v/>
      </c>
      <c r="F5327" s="49" t="str">
        <f>IFERROR(VLOOKUP(E5327,'Condensed Specialty Crosswalk'!$A$2:$C$106,2,FALSE),"")</f>
        <v/>
      </c>
      <c r="G5327" s="49" t="str">
        <f>IFERROR(VLOOKUP(E5327,'Condensed Specialty Crosswalk'!$A$2:$C$106,3,FALSE),"")</f>
        <v/>
      </c>
    </row>
    <row r="5328" spans="5:7" ht="15" customHeight="1">
      <c r="E5328" s="49" t="str">
        <f>IFERROR(VLOOKUP(D5328,'taxonomy map'!$A$1:$C$107,2,FALSE),"")</f>
        <v/>
      </c>
      <c r="F5328" s="49" t="str">
        <f>IFERROR(VLOOKUP(E5328,'Condensed Specialty Crosswalk'!$A$2:$C$106,2,FALSE),"")</f>
        <v/>
      </c>
      <c r="G5328" s="49" t="str">
        <f>IFERROR(VLOOKUP(E5328,'Condensed Specialty Crosswalk'!$A$2:$C$106,3,FALSE),"")</f>
        <v/>
      </c>
    </row>
    <row r="5329" spans="5:7" ht="15" customHeight="1">
      <c r="E5329" s="49" t="str">
        <f>IFERROR(VLOOKUP(D5329,'taxonomy map'!$A$1:$C$107,2,FALSE),"")</f>
        <v/>
      </c>
      <c r="F5329" s="49" t="str">
        <f>IFERROR(VLOOKUP(E5329,'Condensed Specialty Crosswalk'!$A$2:$C$106,2,FALSE),"")</f>
        <v/>
      </c>
      <c r="G5329" s="49" t="str">
        <f>IFERROR(VLOOKUP(E5329,'Condensed Specialty Crosswalk'!$A$2:$C$106,3,FALSE),"")</f>
        <v/>
      </c>
    </row>
    <row r="5330" spans="5:7" ht="15" customHeight="1">
      <c r="E5330" s="49" t="str">
        <f>IFERROR(VLOOKUP(D5330,'taxonomy map'!$A$1:$C$107,2,FALSE),"")</f>
        <v/>
      </c>
      <c r="F5330" s="49" t="str">
        <f>IFERROR(VLOOKUP(E5330,'Condensed Specialty Crosswalk'!$A$2:$C$106,2,FALSE),"")</f>
        <v/>
      </c>
      <c r="G5330" s="49" t="str">
        <f>IFERROR(VLOOKUP(E5330,'Condensed Specialty Crosswalk'!$A$2:$C$106,3,FALSE),"")</f>
        <v/>
      </c>
    </row>
    <row r="5331" spans="5:7" ht="15" customHeight="1">
      <c r="E5331" s="49" t="str">
        <f>IFERROR(VLOOKUP(D5331,'taxonomy map'!$A$1:$C$107,2,FALSE),"")</f>
        <v/>
      </c>
      <c r="F5331" s="49" t="str">
        <f>IFERROR(VLOOKUP(E5331,'Condensed Specialty Crosswalk'!$A$2:$C$106,2,FALSE),"")</f>
        <v/>
      </c>
      <c r="G5331" s="49" t="str">
        <f>IFERROR(VLOOKUP(E5331,'Condensed Specialty Crosswalk'!$A$2:$C$106,3,FALSE),"")</f>
        <v/>
      </c>
    </row>
    <row r="5332" spans="5:7" ht="15" customHeight="1">
      <c r="E5332" s="49" t="str">
        <f>IFERROR(VLOOKUP(D5332,'taxonomy map'!$A$1:$C$107,2,FALSE),"")</f>
        <v/>
      </c>
      <c r="F5332" s="49" t="str">
        <f>IFERROR(VLOOKUP(E5332,'Condensed Specialty Crosswalk'!$A$2:$C$106,2,FALSE),"")</f>
        <v/>
      </c>
      <c r="G5332" s="49" t="str">
        <f>IFERROR(VLOOKUP(E5332,'Condensed Specialty Crosswalk'!$A$2:$C$106,3,FALSE),"")</f>
        <v/>
      </c>
    </row>
    <row r="5333" spans="5:7" ht="15" customHeight="1">
      <c r="E5333" s="49" t="str">
        <f>IFERROR(VLOOKUP(D5333,'taxonomy map'!$A$1:$C$107,2,FALSE),"")</f>
        <v/>
      </c>
      <c r="F5333" s="49" t="str">
        <f>IFERROR(VLOOKUP(E5333,'Condensed Specialty Crosswalk'!$A$2:$C$106,2,FALSE),"")</f>
        <v/>
      </c>
      <c r="G5333" s="49" t="str">
        <f>IFERROR(VLOOKUP(E5333,'Condensed Specialty Crosswalk'!$A$2:$C$106,3,FALSE),"")</f>
        <v/>
      </c>
    </row>
    <row r="5334" spans="5:7" ht="15" customHeight="1">
      <c r="E5334" s="49" t="str">
        <f>IFERROR(VLOOKUP(D5334,'taxonomy map'!$A$1:$C$107,2,FALSE),"")</f>
        <v/>
      </c>
      <c r="F5334" s="49" t="str">
        <f>IFERROR(VLOOKUP(E5334,'Condensed Specialty Crosswalk'!$A$2:$C$106,2,FALSE),"")</f>
        <v/>
      </c>
      <c r="G5334" s="49" t="str">
        <f>IFERROR(VLOOKUP(E5334,'Condensed Specialty Crosswalk'!$A$2:$C$106,3,FALSE),"")</f>
        <v/>
      </c>
    </row>
    <row r="5335" spans="5:7" ht="15" customHeight="1">
      <c r="E5335" s="49" t="str">
        <f>IFERROR(VLOOKUP(D5335,'taxonomy map'!$A$1:$C$107,2,FALSE),"")</f>
        <v/>
      </c>
      <c r="F5335" s="49" t="str">
        <f>IFERROR(VLOOKUP(E5335,'Condensed Specialty Crosswalk'!$A$2:$C$106,2,FALSE),"")</f>
        <v/>
      </c>
      <c r="G5335" s="49" t="str">
        <f>IFERROR(VLOOKUP(E5335,'Condensed Specialty Crosswalk'!$A$2:$C$106,3,FALSE),"")</f>
        <v/>
      </c>
    </row>
    <row r="5336" spans="5:7" ht="15" customHeight="1">
      <c r="E5336" s="49" t="str">
        <f>IFERROR(VLOOKUP(D5336,'taxonomy map'!$A$1:$C$107,2,FALSE),"")</f>
        <v/>
      </c>
      <c r="F5336" s="49" t="str">
        <f>IFERROR(VLOOKUP(E5336,'Condensed Specialty Crosswalk'!$A$2:$C$106,2,FALSE),"")</f>
        <v/>
      </c>
      <c r="G5336" s="49" t="str">
        <f>IFERROR(VLOOKUP(E5336,'Condensed Specialty Crosswalk'!$A$2:$C$106,3,FALSE),"")</f>
        <v/>
      </c>
    </row>
    <row r="5337" spans="5:7" ht="15" customHeight="1">
      <c r="E5337" s="49" t="str">
        <f>IFERROR(VLOOKUP(D5337,'taxonomy map'!$A$1:$C$107,2,FALSE),"")</f>
        <v/>
      </c>
      <c r="F5337" s="49" t="str">
        <f>IFERROR(VLOOKUP(E5337,'Condensed Specialty Crosswalk'!$A$2:$C$106,2,FALSE),"")</f>
        <v/>
      </c>
      <c r="G5337" s="49" t="str">
        <f>IFERROR(VLOOKUP(E5337,'Condensed Specialty Crosswalk'!$A$2:$C$106,3,FALSE),"")</f>
        <v/>
      </c>
    </row>
    <row r="5338" spans="5:7" ht="15" customHeight="1">
      <c r="E5338" s="49" t="str">
        <f>IFERROR(VLOOKUP(D5338,'taxonomy map'!$A$1:$C$107,2,FALSE),"")</f>
        <v/>
      </c>
      <c r="F5338" s="49" t="str">
        <f>IFERROR(VLOOKUP(E5338,'Condensed Specialty Crosswalk'!$A$2:$C$106,2,FALSE),"")</f>
        <v/>
      </c>
      <c r="G5338" s="49" t="str">
        <f>IFERROR(VLOOKUP(E5338,'Condensed Specialty Crosswalk'!$A$2:$C$106,3,FALSE),"")</f>
        <v/>
      </c>
    </row>
    <row r="5339" spans="5:7" ht="15" customHeight="1">
      <c r="E5339" s="49" t="str">
        <f>IFERROR(VLOOKUP(D5339,'taxonomy map'!$A$1:$C$107,2,FALSE),"")</f>
        <v/>
      </c>
      <c r="F5339" s="49" t="str">
        <f>IFERROR(VLOOKUP(E5339,'Condensed Specialty Crosswalk'!$A$2:$C$106,2,FALSE),"")</f>
        <v/>
      </c>
      <c r="G5339" s="49" t="str">
        <f>IFERROR(VLOOKUP(E5339,'Condensed Specialty Crosswalk'!$A$2:$C$106,3,FALSE),"")</f>
        <v/>
      </c>
    </row>
    <row r="5340" spans="5:7" ht="15" customHeight="1">
      <c r="E5340" s="49" t="str">
        <f>IFERROR(VLOOKUP(D5340,'taxonomy map'!$A$1:$C$107,2,FALSE),"")</f>
        <v/>
      </c>
      <c r="F5340" s="49" t="str">
        <f>IFERROR(VLOOKUP(E5340,'Condensed Specialty Crosswalk'!$A$2:$C$106,2,FALSE),"")</f>
        <v/>
      </c>
      <c r="G5340" s="49" t="str">
        <f>IFERROR(VLOOKUP(E5340,'Condensed Specialty Crosswalk'!$A$2:$C$106,3,FALSE),"")</f>
        <v/>
      </c>
    </row>
    <row r="5341" spans="5:7" ht="15" customHeight="1">
      <c r="E5341" s="49" t="str">
        <f>IFERROR(VLOOKUP(D5341,'taxonomy map'!$A$1:$C$107,2,FALSE),"")</f>
        <v/>
      </c>
      <c r="F5341" s="49" t="str">
        <f>IFERROR(VLOOKUP(E5341,'Condensed Specialty Crosswalk'!$A$2:$C$106,2,FALSE),"")</f>
        <v/>
      </c>
      <c r="G5341" s="49" t="str">
        <f>IFERROR(VLOOKUP(E5341,'Condensed Specialty Crosswalk'!$A$2:$C$106,3,FALSE),"")</f>
        <v/>
      </c>
    </row>
    <row r="5342" spans="5:7" ht="15" customHeight="1">
      <c r="E5342" s="49" t="str">
        <f>IFERROR(VLOOKUP(D5342,'taxonomy map'!$A$1:$C$107,2,FALSE),"")</f>
        <v/>
      </c>
      <c r="F5342" s="49" t="str">
        <f>IFERROR(VLOOKUP(E5342,'Condensed Specialty Crosswalk'!$A$2:$C$106,2,FALSE),"")</f>
        <v/>
      </c>
      <c r="G5342" s="49" t="str">
        <f>IFERROR(VLOOKUP(E5342,'Condensed Specialty Crosswalk'!$A$2:$C$106,3,FALSE),"")</f>
        <v/>
      </c>
    </row>
    <row r="5343" spans="5:7" ht="15" customHeight="1">
      <c r="E5343" s="49" t="str">
        <f>IFERROR(VLOOKUP(D5343,'taxonomy map'!$A$1:$C$107,2,FALSE),"")</f>
        <v/>
      </c>
      <c r="F5343" s="49" t="str">
        <f>IFERROR(VLOOKUP(E5343,'Condensed Specialty Crosswalk'!$A$2:$C$106,2,FALSE),"")</f>
        <v/>
      </c>
      <c r="G5343" s="49" t="str">
        <f>IFERROR(VLOOKUP(E5343,'Condensed Specialty Crosswalk'!$A$2:$C$106,3,FALSE),"")</f>
        <v/>
      </c>
    </row>
    <row r="5344" spans="5:7" ht="15" customHeight="1">
      <c r="E5344" s="49" t="str">
        <f>IFERROR(VLOOKUP(D5344,'taxonomy map'!$A$1:$C$107,2,FALSE),"")</f>
        <v/>
      </c>
      <c r="F5344" s="49" t="str">
        <f>IFERROR(VLOOKUP(E5344,'Condensed Specialty Crosswalk'!$A$2:$C$106,2,FALSE),"")</f>
        <v/>
      </c>
      <c r="G5344" s="49" t="str">
        <f>IFERROR(VLOOKUP(E5344,'Condensed Specialty Crosswalk'!$A$2:$C$106,3,FALSE),"")</f>
        <v/>
      </c>
    </row>
    <row r="5345" spans="5:7" ht="15" customHeight="1">
      <c r="E5345" s="49" t="str">
        <f>IFERROR(VLOOKUP(D5345,'taxonomy map'!$A$1:$C$107,2,FALSE),"")</f>
        <v/>
      </c>
      <c r="F5345" s="49" t="str">
        <f>IFERROR(VLOOKUP(E5345,'Condensed Specialty Crosswalk'!$A$2:$C$106,2,FALSE),"")</f>
        <v/>
      </c>
      <c r="G5345" s="49" t="str">
        <f>IFERROR(VLOOKUP(E5345,'Condensed Specialty Crosswalk'!$A$2:$C$106,3,FALSE),"")</f>
        <v/>
      </c>
    </row>
    <row r="5346" spans="5:7" ht="15" customHeight="1">
      <c r="E5346" s="49" t="str">
        <f>IFERROR(VLOOKUP(D5346,'taxonomy map'!$A$1:$C$107,2,FALSE),"")</f>
        <v/>
      </c>
      <c r="F5346" s="49" t="str">
        <f>IFERROR(VLOOKUP(E5346,'Condensed Specialty Crosswalk'!$A$2:$C$106,2,FALSE),"")</f>
        <v/>
      </c>
      <c r="G5346" s="49" t="str">
        <f>IFERROR(VLOOKUP(E5346,'Condensed Specialty Crosswalk'!$A$2:$C$106,3,FALSE),"")</f>
        <v/>
      </c>
    </row>
    <row r="5347" spans="5:7" ht="15" customHeight="1">
      <c r="E5347" s="49" t="str">
        <f>IFERROR(VLOOKUP(D5347,'taxonomy map'!$A$1:$C$107,2,FALSE),"")</f>
        <v/>
      </c>
      <c r="F5347" s="49" t="str">
        <f>IFERROR(VLOOKUP(E5347,'Condensed Specialty Crosswalk'!$A$2:$C$106,2,FALSE),"")</f>
        <v/>
      </c>
      <c r="G5347" s="49" t="str">
        <f>IFERROR(VLOOKUP(E5347,'Condensed Specialty Crosswalk'!$A$2:$C$106,3,FALSE),"")</f>
        <v/>
      </c>
    </row>
    <row r="5348" spans="5:7" ht="15" customHeight="1">
      <c r="E5348" s="49" t="str">
        <f>IFERROR(VLOOKUP(D5348,'taxonomy map'!$A$1:$C$107,2,FALSE),"")</f>
        <v/>
      </c>
      <c r="F5348" s="49" t="str">
        <f>IFERROR(VLOOKUP(E5348,'Condensed Specialty Crosswalk'!$A$2:$C$106,2,FALSE),"")</f>
        <v/>
      </c>
      <c r="G5348" s="49" t="str">
        <f>IFERROR(VLOOKUP(E5348,'Condensed Specialty Crosswalk'!$A$2:$C$106,3,FALSE),"")</f>
        <v/>
      </c>
    </row>
    <row r="5349" spans="5:7" ht="15" customHeight="1">
      <c r="E5349" s="49" t="str">
        <f>IFERROR(VLOOKUP(D5349,'taxonomy map'!$A$1:$C$107,2,FALSE),"")</f>
        <v/>
      </c>
      <c r="F5349" s="49" t="str">
        <f>IFERROR(VLOOKUP(E5349,'Condensed Specialty Crosswalk'!$A$2:$C$106,2,FALSE),"")</f>
        <v/>
      </c>
      <c r="G5349" s="49" t="str">
        <f>IFERROR(VLOOKUP(E5349,'Condensed Specialty Crosswalk'!$A$2:$C$106,3,FALSE),"")</f>
        <v/>
      </c>
    </row>
    <row r="5350" spans="5:7" ht="15" customHeight="1">
      <c r="E5350" s="49" t="str">
        <f>IFERROR(VLOOKUP(D5350,'taxonomy map'!$A$1:$C$107,2,FALSE),"")</f>
        <v/>
      </c>
      <c r="F5350" s="49" t="str">
        <f>IFERROR(VLOOKUP(E5350,'Condensed Specialty Crosswalk'!$A$2:$C$106,2,FALSE),"")</f>
        <v/>
      </c>
      <c r="G5350" s="49" t="str">
        <f>IFERROR(VLOOKUP(E5350,'Condensed Specialty Crosswalk'!$A$2:$C$106,3,FALSE),"")</f>
        <v/>
      </c>
    </row>
    <row r="5351" spans="5:7" ht="15" customHeight="1">
      <c r="E5351" s="49" t="str">
        <f>IFERROR(VLOOKUP(D5351,'taxonomy map'!$A$1:$C$107,2,FALSE),"")</f>
        <v/>
      </c>
      <c r="F5351" s="49" t="str">
        <f>IFERROR(VLOOKUP(E5351,'Condensed Specialty Crosswalk'!$A$2:$C$106,2,FALSE),"")</f>
        <v/>
      </c>
      <c r="G5351" s="49" t="str">
        <f>IFERROR(VLOOKUP(E5351,'Condensed Specialty Crosswalk'!$A$2:$C$106,3,FALSE),"")</f>
        <v/>
      </c>
    </row>
    <row r="5352" spans="5:7" ht="15" customHeight="1">
      <c r="E5352" s="49" t="str">
        <f>IFERROR(VLOOKUP(D5352,'taxonomy map'!$A$1:$C$107,2,FALSE),"")</f>
        <v/>
      </c>
      <c r="F5352" s="49" t="str">
        <f>IFERROR(VLOOKUP(E5352,'Condensed Specialty Crosswalk'!$A$2:$C$106,2,FALSE),"")</f>
        <v/>
      </c>
      <c r="G5352" s="49" t="str">
        <f>IFERROR(VLOOKUP(E5352,'Condensed Specialty Crosswalk'!$A$2:$C$106,3,FALSE),"")</f>
        <v/>
      </c>
    </row>
    <row r="5353" spans="5:7" ht="15" customHeight="1">
      <c r="E5353" s="49" t="str">
        <f>IFERROR(VLOOKUP(D5353,'taxonomy map'!$A$1:$C$107,2,FALSE),"")</f>
        <v/>
      </c>
      <c r="F5353" s="49" t="str">
        <f>IFERROR(VLOOKUP(E5353,'Condensed Specialty Crosswalk'!$A$2:$C$106,2,FALSE),"")</f>
        <v/>
      </c>
      <c r="G5353" s="49" t="str">
        <f>IFERROR(VLOOKUP(E5353,'Condensed Specialty Crosswalk'!$A$2:$C$106,3,FALSE),"")</f>
        <v/>
      </c>
    </row>
    <row r="5354" spans="5:7" ht="15" customHeight="1">
      <c r="E5354" s="49" t="str">
        <f>IFERROR(VLOOKUP(D5354,'taxonomy map'!$A$1:$C$107,2,FALSE),"")</f>
        <v/>
      </c>
      <c r="F5354" s="49" t="str">
        <f>IFERROR(VLOOKUP(E5354,'Condensed Specialty Crosswalk'!$A$2:$C$106,2,FALSE),"")</f>
        <v/>
      </c>
      <c r="G5354" s="49" t="str">
        <f>IFERROR(VLOOKUP(E5354,'Condensed Specialty Crosswalk'!$A$2:$C$106,3,FALSE),"")</f>
        <v/>
      </c>
    </row>
    <row r="5355" spans="5:7" ht="15" customHeight="1">
      <c r="E5355" s="49" t="str">
        <f>IFERROR(VLOOKUP(D5355,'taxonomy map'!$A$1:$C$107,2,FALSE),"")</f>
        <v/>
      </c>
      <c r="F5355" s="49" t="str">
        <f>IFERROR(VLOOKUP(E5355,'Condensed Specialty Crosswalk'!$A$2:$C$106,2,FALSE),"")</f>
        <v/>
      </c>
      <c r="G5355" s="49" t="str">
        <f>IFERROR(VLOOKUP(E5355,'Condensed Specialty Crosswalk'!$A$2:$C$106,3,FALSE),"")</f>
        <v/>
      </c>
    </row>
    <row r="5356" spans="5:7" ht="15" customHeight="1">
      <c r="E5356" s="49" t="str">
        <f>IFERROR(VLOOKUP(D5356,'taxonomy map'!$A$1:$C$107,2,FALSE),"")</f>
        <v/>
      </c>
      <c r="F5356" s="49" t="str">
        <f>IFERROR(VLOOKUP(E5356,'Condensed Specialty Crosswalk'!$A$2:$C$106,2,FALSE),"")</f>
        <v/>
      </c>
      <c r="G5356" s="49" t="str">
        <f>IFERROR(VLOOKUP(E5356,'Condensed Specialty Crosswalk'!$A$2:$C$106,3,FALSE),"")</f>
        <v/>
      </c>
    </row>
    <row r="5357" spans="5:7" ht="15" customHeight="1">
      <c r="E5357" s="49" t="str">
        <f>IFERROR(VLOOKUP(D5357,'taxonomy map'!$A$1:$C$107,2,FALSE),"")</f>
        <v/>
      </c>
      <c r="F5357" s="49" t="str">
        <f>IFERROR(VLOOKUP(E5357,'Condensed Specialty Crosswalk'!$A$2:$C$106,2,FALSE),"")</f>
        <v/>
      </c>
      <c r="G5357" s="49" t="str">
        <f>IFERROR(VLOOKUP(E5357,'Condensed Specialty Crosswalk'!$A$2:$C$106,3,FALSE),"")</f>
        <v/>
      </c>
    </row>
    <row r="5358" spans="5:7" ht="15" customHeight="1">
      <c r="E5358" s="49" t="str">
        <f>IFERROR(VLOOKUP(D5358,'taxonomy map'!$A$1:$C$107,2,FALSE),"")</f>
        <v/>
      </c>
      <c r="F5358" s="49" t="str">
        <f>IFERROR(VLOOKUP(E5358,'Condensed Specialty Crosswalk'!$A$2:$C$106,2,FALSE),"")</f>
        <v/>
      </c>
      <c r="G5358" s="49" t="str">
        <f>IFERROR(VLOOKUP(E5358,'Condensed Specialty Crosswalk'!$A$2:$C$106,3,FALSE),"")</f>
        <v/>
      </c>
    </row>
    <row r="5359" spans="5:7" ht="15" customHeight="1">
      <c r="E5359" s="49" t="str">
        <f>IFERROR(VLOOKUP(D5359,'taxonomy map'!$A$1:$C$107,2,FALSE),"")</f>
        <v/>
      </c>
      <c r="F5359" s="49" t="str">
        <f>IFERROR(VLOOKUP(E5359,'Condensed Specialty Crosswalk'!$A$2:$C$106,2,FALSE),"")</f>
        <v/>
      </c>
      <c r="G5359" s="49" t="str">
        <f>IFERROR(VLOOKUP(E5359,'Condensed Specialty Crosswalk'!$A$2:$C$106,3,FALSE),"")</f>
        <v/>
      </c>
    </row>
    <row r="5360" spans="5:7" ht="15" customHeight="1">
      <c r="E5360" s="49" t="str">
        <f>IFERROR(VLOOKUP(D5360,'taxonomy map'!$A$1:$C$107,2,FALSE),"")</f>
        <v/>
      </c>
      <c r="F5360" s="49" t="str">
        <f>IFERROR(VLOOKUP(E5360,'Condensed Specialty Crosswalk'!$A$2:$C$106,2,FALSE),"")</f>
        <v/>
      </c>
      <c r="G5360" s="49" t="str">
        <f>IFERROR(VLOOKUP(E5360,'Condensed Specialty Crosswalk'!$A$2:$C$106,3,FALSE),"")</f>
        <v/>
      </c>
    </row>
    <row r="5361" spans="5:7" ht="15" customHeight="1">
      <c r="E5361" s="49" t="str">
        <f>IFERROR(VLOOKUP(D5361,'taxonomy map'!$A$1:$C$107,2,FALSE),"")</f>
        <v/>
      </c>
      <c r="F5361" s="49" t="str">
        <f>IFERROR(VLOOKUP(E5361,'Condensed Specialty Crosswalk'!$A$2:$C$106,2,FALSE),"")</f>
        <v/>
      </c>
      <c r="G5361" s="49" t="str">
        <f>IFERROR(VLOOKUP(E5361,'Condensed Specialty Crosswalk'!$A$2:$C$106,3,FALSE),"")</f>
        <v/>
      </c>
    </row>
    <row r="5362" spans="5:7" ht="15" customHeight="1">
      <c r="E5362" s="49" t="str">
        <f>IFERROR(VLOOKUP(D5362,'taxonomy map'!$A$1:$C$107,2,FALSE),"")</f>
        <v/>
      </c>
      <c r="F5362" s="49" t="str">
        <f>IFERROR(VLOOKUP(E5362,'Condensed Specialty Crosswalk'!$A$2:$C$106,2,FALSE),"")</f>
        <v/>
      </c>
      <c r="G5362" s="49" t="str">
        <f>IFERROR(VLOOKUP(E5362,'Condensed Specialty Crosswalk'!$A$2:$C$106,3,FALSE),"")</f>
        <v/>
      </c>
    </row>
    <row r="5363" spans="5:7" ht="15" customHeight="1">
      <c r="E5363" s="49" t="str">
        <f>IFERROR(VLOOKUP(D5363,'taxonomy map'!$A$1:$C$107,2,FALSE),"")</f>
        <v/>
      </c>
      <c r="F5363" s="49" t="str">
        <f>IFERROR(VLOOKUP(E5363,'Condensed Specialty Crosswalk'!$A$2:$C$106,2,FALSE),"")</f>
        <v/>
      </c>
      <c r="G5363" s="49" t="str">
        <f>IFERROR(VLOOKUP(E5363,'Condensed Specialty Crosswalk'!$A$2:$C$106,3,FALSE),"")</f>
        <v/>
      </c>
    </row>
    <row r="5364" spans="5:7" ht="15" customHeight="1">
      <c r="E5364" s="49" t="str">
        <f>IFERROR(VLOOKUP(D5364,'taxonomy map'!$A$1:$C$107,2,FALSE),"")</f>
        <v/>
      </c>
      <c r="F5364" s="49" t="str">
        <f>IFERROR(VLOOKUP(E5364,'Condensed Specialty Crosswalk'!$A$2:$C$106,2,FALSE),"")</f>
        <v/>
      </c>
      <c r="G5364" s="49" t="str">
        <f>IFERROR(VLOOKUP(E5364,'Condensed Specialty Crosswalk'!$A$2:$C$106,3,FALSE),"")</f>
        <v/>
      </c>
    </row>
    <row r="5365" spans="5:7" ht="15" customHeight="1">
      <c r="E5365" s="49" t="str">
        <f>IFERROR(VLOOKUP(D5365,'taxonomy map'!$A$1:$C$107,2,FALSE),"")</f>
        <v/>
      </c>
      <c r="F5365" s="49" t="str">
        <f>IFERROR(VLOOKUP(E5365,'Condensed Specialty Crosswalk'!$A$2:$C$106,2,FALSE),"")</f>
        <v/>
      </c>
      <c r="G5365" s="49" t="str">
        <f>IFERROR(VLOOKUP(E5365,'Condensed Specialty Crosswalk'!$A$2:$C$106,3,FALSE),"")</f>
        <v/>
      </c>
    </row>
    <row r="5366" spans="5:7" ht="15" customHeight="1">
      <c r="E5366" s="49" t="str">
        <f>IFERROR(VLOOKUP(D5366,'taxonomy map'!$A$1:$C$107,2,FALSE),"")</f>
        <v/>
      </c>
      <c r="F5366" s="49" t="str">
        <f>IFERROR(VLOOKUP(E5366,'Condensed Specialty Crosswalk'!$A$2:$C$106,2,FALSE),"")</f>
        <v/>
      </c>
      <c r="G5366" s="49" t="str">
        <f>IFERROR(VLOOKUP(E5366,'Condensed Specialty Crosswalk'!$A$2:$C$106,3,FALSE),"")</f>
        <v/>
      </c>
    </row>
    <row r="5367" spans="5:7" ht="15" customHeight="1">
      <c r="E5367" s="49" t="str">
        <f>IFERROR(VLOOKUP(D5367,'taxonomy map'!$A$1:$C$107,2,FALSE),"")</f>
        <v/>
      </c>
      <c r="F5367" s="49" t="str">
        <f>IFERROR(VLOOKUP(E5367,'Condensed Specialty Crosswalk'!$A$2:$C$106,2,FALSE),"")</f>
        <v/>
      </c>
      <c r="G5367" s="49" t="str">
        <f>IFERROR(VLOOKUP(E5367,'Condensed Specialty Crosswalk'!$A$2:$C$106,3,FALSE),"")</f>
        <v/>
      </c>
    </row>
    <row r="5368" spans="5:7" ht="15" customHeight="1">
      <c r="E5368" s="49" t="str">
        <f>IFERROR(VLOOKUP(D5368,'taxonomy map'!$A$1:$C$107,2,FALSE),"")</f>
        <v/>
      </c>
      <c r="F5368" s="49" t="str">
        <f>IFERROR(VLOOKUP(E5368,'Condensed Specialty Crosswalk'!$A$2:$C$106,2,FALSE),"")</f>
        <v/>
      </c>
      <c r="G5368" s="49" t="str">
        <f>IFERROR(VLOOKUP(E5368,'Condensed Specialty Crosswalk'!$A$2:$C$106,3,FALSE),"")</f>
        <v/>
      </c>
    </row>
    <row r="5369" spans="5:7" ht="15" customHeight="1">
      <c r="E5369" s="49" t="str">
        <f>IFERROR(VLOOKUP(D5369,'taxonomy map'!$A$1:$C$107,2,FALSE),"")</f>
        <v/>
      </c>
      <c r="F5369" s="49" t="str">
        <f>IFERROR(VLOOKUP(E5369,'Condensed Specialty Crosswalk'!$A$2:$C$106,2,FALSE),"")</f>
        <v/>
      </c>
      <c r="G5369" s="49" t="str">
        <f>IFERROR(VLOOKUP(E5369,'Condensed Specialty Crosswalk'!$A$2:$C$106,3,FALSE),"")</f>
        <v/>
      </c>
    </row>
    <row r="5370" spans="5:7" ht="15" customHeight="1">
      <c r="E5370" s="49" t="str">
        <f>IFERROR(VLOOKUP(D5370,'taxonomy map'!$A$1:$C$107,2,FALSE),"")</f>
        <v/>
      </c>
      <c r="F5370" s="49" t="str">
        <f>IFERROR(VLOOKUP(E5370,'Condensed Specialty Crosswalk'!$A$2:$C$106,2,FALSE),"")</f>
        <v/>
      </c>
      <c r="G5370" s="49" t="str">
        <f>IFERROR(VLOOKUP(E5370,'Condensed Specialty Crosswalk'!$A$2:$C$106,3,FALSE),"")</f>
        <v/>
      </c>
    </row>
    <row r="5371" spans="5:7" ht="15" customHeight="1">
      <c r="E5371" s="49" t="str">
        <f>IFERROR(VLOOKUP(D5371,'taxonomy map'!$A$1:$C$107,2,FALSE),"")</f>
        <v/>
      </c>
      <c r="F5371" s="49" t="str">
        <f>IFERROR(VLOOKUP(E5371,'Condensed Specialty Crosswalk'!$A$2:$C$106,2,FALSE),"")</f>
        <v/>
      </c>
      <c r="G5371" s="49" t="str">
        <f>IFERROR(VLOOKUP(E5371,'Condensed Specialty Crosswalk'!$A$2:$C$106,3,FALSE),"")</f>
        <v/>
      </c>
    </row>
    <row r="5372" spans="5:7" ht="15" customHeight="1">
      <c r="E5372" s="49" t="str">
        <f>IFERROR(VLOOKUP(D5372,'taxonomy map'!$A$1:$C$107,2,FALSE),"")</f>
        <v/>
      </c>
      <c r="F5372" s="49" t="str">
        <f>IFERROR(VLOOKUP(E5372,'Condensed Specialty Crosswalk'!$A$2:$C$106,2,FALSE),"")</f>
        <v/>
      </c>
      <c r="G5372" s="49" t="str">
        <f>IFERROR(VLOOKUP(E5372,'Condensed Specialty Crosswalk'!$A$2:$C$106,3,FALSE),"")</f>
        <v/>
      </c>
    </row>
    <row r="5373" spans="5:7" ht="15" customHeight="1">
      <c r="E5373" s="49" t="str">
        <f>IFERROR(VLOOKUP(D5373,'taxonomy map'!$A$1:$C$107,2,FALSE),"")</f>
        <v/>
      </c>
      <c r="F5373" s="49" t="str">
        <f>IFERROR(VLOOKUP(E5373,'Condensed Specialty Crosswalk'!$A$2:$C$106,2,FALSE),"")</f>
        <v/>
      </c>
      <c r="G5373" s="49" t="str">
        <f>IFERROR(VLOOKUP(E5373,'Condensed Specialty Crosswalk'!$A$2:$C$106,3,FALSE),"")</f>
        <v/>
      </c>
    </row>
    <row r="5374" spans="5:7" ht="15" customHeight="1">
      <c r="E5374" s="49" t="str">
        <f>IFERROR(VLOOKUP(D5374,'taxonomy map'!$A$1:$C$107,2,FALSE),"")</f>
        <v/>
      </c>
      <c r="F5374" s="49" t="str">
        <f>IFERROR(VLOOKUP(E5374,'Condensed Specialty Crosswalk'!$A$2:$C$106,2,FALSE),"")</f>
        <v/>
      </c>
      <c r="G5374" s="49" t="str">
        <f>IFERROR(VLOOKUP(E5374,'Condensed Specialty Crosswalk'!$A$2:$C$106,3,FALSE),"")</f>
        <v/>
      </c>
    </row>
    <row r="5375" spans="5:7" ht="15" customHeight="1">
      <c r="E5375" s="49" t="str">
        <f>IFERROR(VLOOKUP(D5375,'taxonomy map'!$A$1:$C$107,2,FALSE),"")</f>
        <v/>
      </c>
      <c r="F5375" s="49" t="str">
        <f>IFERROR(VLOOKUP(E5375,'Condensed Specialty Crosswalk'!$A$2:$C$106,2,FALSE),"")</f>
        <v/>
      </c>
      <c r="G5375" s="49" t="str">
        <f>IFERROR(VLOOKUP(E5375,'Condensed Specialty Crosswalk'!$A$2:$C$106,3,FALSE),"")</f>
        <v/>
      </c>
    </row>
    <row r="5376" spans="5:7" ht="15" customHeight="1">
      <c r="E5376" s="49" t="str">
        <f>IFERROR(VLOOKUP(D5376,'taxonomy map'!$A$1:$C$107,2,FALSE),"")</f>
        <v/>
      </c>
      <c r="F5376" s="49" t="str">
        <f>IFERROR(VLOOKUP(E5376,'Condensed Specialty Crosswalk'!$A$2:$C$106,2,FALSE),"")</f>
        <v/>
      </c>
      <c r="G5376" s="49" t="str">
        <f>IFERROR(VLOOKUP(E5376,'Condensed Specialty Crosswalk'!$A$2:$C$106,3,FALSE),"")</f>
        <v/>
      </c>
    </row>
    <row r="5377" spans="5:7" ht="15" customHeight="1">
      <c r="E5377" s="49" t="str">
        <f>IFERROR(VLOOKUP(D5377,'taxonomy map'!$A$1:$C$107,2,FALSE),"")</f>
        <v/>
      </c>
      <c r="F5377" s="49" t="str">
        <f>IFERROR(VLOOKUP(E5377,'Condensed Specialty Crosswalk'!$A$2:$C$106,2,FALSE),"")</f>
        <v/>
      </c>
      <c r="G5377" s="49" t="str">
        <f>IFERROR(VLOOKUP(E5377,'Condensed Specialty Crosswalk'!$A$2:$C$106,3,FALSE),"")</f>
        <v/>
      </c>
    </row>
    <row r="5378" spans="5:7" ht="15" customHeight="1">
      <c r="E5378" s="49" t="str">
        <f>IFERROR(VLOOKUP(D5378,'taxonomy map'!$A$1:$C$107,2,FALSE),"")</f>
        <v/>
      </c>
      <c r="F5378" s="49" t="str">
        <f>IFERROR(VLOOKUP(E5378,'Condensed Specialty Crosswalk'!$A$2:$C$106,2,FALSE),"")</f>
        <v/>
      </c>
      <c r="G5378" s="49" t="str">
        <f>IFERROR(VLOOKUP(E5378,'Condensed Specialty Crosswalk'!$A$2:$C$106,3,FALSE),"")</f>
        <v/>
      </c>
    </row>
    <row r="5379" spans="5:7" ht="15" customHeight="1">
      <c r="E5379" s="49" t="str">
        <f>IFERROR(VLOOKUP(D5379,'taxonomy map'!$A$1:$C$107,2,FALSE),"")</f>
        <v/>
      </c>
      <c r="F5379" s="49" t="str">
        <f>IFERROR(VLOOKUP(E5379,'Condensed Specialty Crosswalk'!$A$2:$C$106,2,FALSE),"")</f>
        <v/>
      </c>
      <c r="G5379" s="49" t="str">
        <f>IFERROR(VLOOKUP(E5379,'Condensed Specialty Crosswalk'!$A$2:$C$106,3,FALSE),"")</f>
        <v/>
      </c>
    </row>
    <row r="5380" spans="5:7" ht="15" customHeight="1">
      <c r="E5380" s="49" t="str">
        <f>IFERROR(VLOOKUP(D5380,'taxonomy map'!$A$1:$C$107,2,FALSE),"")</f>
        <v/>
      </c>
      <c r="F5380" s="49" t="str">
        <f>IFERROR(VLOOKUP(E5380,'Condensed Specialty Crosswalk'!$A$2:$C$106,2,FALSE),"")</f>
        <v/>
      </c>
      <c r="G5380" s="49" t="str">
        <f>IFERROR(VLOOKUP(E5380,'Condensed Specialty Crosswalk'!$A$2:$C$106,3,FALSE),"")</f>
        <v/>
      </c>
    </row>
    <row r="5381" spans="5:7" ht="15" customHeight="1">
      <c r="E5381" s="49" t="str">
        <f>IFERROR(VLOOKUP(D5381,'taxonomy map'!$A$1:$C$107,2,FALSE),"")</f>
        <v/>
      </c>
      <c r="F5381" s="49" t="str">
        <f>IFERROR(VLOOKUP(E5381,'Condensed Specialty Crosswalk'!$A$2:$C$106,2,FALSE),"")</f>
        <v/>
      </c>
      <c r="G5381" s="49" t="str">
        <f>IFERROR(VLOOKUP(E5381,'Condensed Specialty Crosswalk'!$A$2:$C$106,3,FALSE),"")</f>
        <v/>
      </c>
    </row>
    <row r="5382" spans="5:7" ht="15" customHeight="1">
      <c r="E5382" s="49" t="str">
        <f>IFERROR(VLOOKUP(D5382,'taxonomy map'!$A$1:$C$107,2,FALSE),"")</f>
        <v/>
      </c>
      <c r="F5382" s="49" t="str">
        <f>IFERROR(VLOOKUP(E5382,'Condensed Specialty Crosswalk'!$A$2:$C$106,2,FALSE),"")</f>
        <v/>
      </c>
      <c r="G5382" s="49" t="str">
        <f>IFERROR(VLOOKUP(E5382,'Condensed Specialty Crosswalk'!$A$2:$C$106,3,FALSE),"")</f>
        <v/>
      </c>
    </row>
    <row r="5383" spans="5:7" ht="15" customHeight="1">
      <c r="E5383" s="49" t="str">
        <f>IFERROR(VLOOKUP(D5383,'taxonomy map'!$A$1:$C$107,2,FALSE),"")</f>
        <v/>
      </c>
      <c r="F5383" s="49" t="str">
        <f>IFERROR(VLOOKUP(E5383,'Condensed Specialty Crosswalk'!$A$2:$C$106,2,FALSE),"")</f>
        <v/>
      </c>
      <c r="G5383" s="49" t="str">
        <f>IFERROR(VLOOKUP(E5383,'Condensed Specialty Crosswalk'!$A$2:$C$106,3,FALSE),"")</f>
        <v/>
      </c>
    </row>
    <row r="5384" spans="5:7" ht="15" customHeight="1">
      <c r="E5384" s="49" t="str">
        <f>IFERROR(VLOOKUP(D5384,'taxonomy map'!$A$1:$C$107,2,FALSE),"")</f>
        <v/>
      </c>
      <c r="F5384" s="49" t="str">
        <f>IFERROR(VLOOKUP(E5384,'Condensed Specialty Crosswalk'!$A$2:$C$106,2,FALSE),"")</f>
        <v/>
      </c>
      <c r="G5384" s="49" t="str">
        <f>IFERROR(VLOOKUP(E5384,'Condensed Specialty Crosswalk'!$A$2:$C$106,3,FALSE),"")</f>
        <v/>
      </c>
    </row>
    <row r="5385" spans="5:7" ht="15" customHeight="1">
      <c r="E5385" s="49" t="str">
        <f>IFERROR(VLOOKUP(D5385,'taxonomy map'!$A$1:$C$107,2,FALSE),"")</f>
        <v/>
      </c>
      <c r="F5385" s="49" t="str">
        <f>IFERROR(VLOOKUP(E5385,'Condensed Specialty Crosswalk'!$A$2:$C$106,2,FALSE),"")</f>
        <v/>
      </c>
      <c r="G5385" s="49" t="str">
        <f>IFERROR(VLOOKUP(E5385,'Condensed Specialty Crosswalk'!$A$2:$C$106,3,FALSE),"")</f>
        <v/>
      </c>
    </row>
    <row r="5386" spans="5:7" ht="15" customHeight="1">
      <c r="E5386" s="49" t="str">
        <f>IFERROR(VLOOKUP(D5386,'taxonomy map'!$A$1:$C$107,2,FALSE),"")</f>
        <v/>
      </c>
      <c r="F5386" s="49" t="str">
        <f>IFERROR(VLOOKUP(E5386,'Condensed Specialty Crosswalk'!$A$2:$C$106,2,FALSE),"")</f>
        <v/>
      </c>
      <c r="G5386" s="49" t="str">
        <f>IFERROR(VLOOKUP(E5386,'Condensed Specialty Crosswalk'!$A$2:$C$106,3,FALSE),"")</f>
        <v/>
      </c>
    </row>
    <row r="5387" spans="5:7" ht="15" customHeight="1">
      <c r="E5387" s="49" t="str">
        <f>IFERROR(VLOOKUP(D5387,'taxonomy map'!$A$1:$C$107,2,FALSE),"")</f>
        <v/>
      </c>
      <c r="F5387" s="49" t="str">
        <f>IFERROR(VLOOKUP(E5387,'Condensed Specialty Crosswalk'!$A$2:$C$106,2,FALSE),"")</f>
        <v/>
      </c>
      <c r="G5387" s="49" t="str">
        <f>IFERROR(VLOOKUP(E5387,'Condensed Specialty Crosswalk'!$A$2:$C$106,3,FALSE),"")</f>
        <v/>
      </c>
    </row>
    <row r="5388" spans="5:7" ht="15" customHeight="1">
      <c r="E5388" s="49" t="str">
        <f>IFERROR(VLOOKUP(D5388,'taxonomy map'!$A$1:$C$107,2,FALSE),"")</f>
        <v/>
      </c>
      <c r="F5388" s="49" t="str">
        <f>IFERROR(VLOOKUP(E5388,'Condensed Specialty Crosswalk'!$A$2:$C$106,2,FALSE),"")</f>
        <v/>
      </c>
      <c r="G5388" s="49" t="str">
        <f>IFERROR(VLOOKUP(E5388,'Condensed Specialty Crosswalk'!$A$2:$C$106,3,FALSE),"")</f>
        <v/>
      </c>
    </row>
    <row r="5389" spans="5:7" ht="15" customHeight="1">
      <c r="E5389" s="49" t="str">
        <f>IFERROR(VLOOKUP(D5389,'taxonomy map'!$A$1:$C$107,2,FALSE),"")</f>
        <v/>
      </c>
      <c r="F5389" s="49" t="str">
        <f>IFERROR(VLOOKUP(E5389,'Condensed Specialty Crosswalk'!$A$2:$C$106,2,FALSE),"")</f>
        <v/>
      </c>
      <c r="G5389" s="49" t="str">
        <f>IFERROR(VLOOKUP(E5389,'Condensed Specialty Crosswalk'!$A$2:$C$106,3,FALSE),"")</f>
        <v/>
      </c>
    </row>
    <row r="5390" spans="5:7" ht="15" customHeight="1">
      <c r="E5390" s="49" t="str">
        <f>IFERROR(VLOOKUP(D5390,'taxonomy map'!$A$1:$C$107,2,FALSE),"")</f>
        <v/>
      </c>
      <c r="F5390" s="49" t="str">
        <f>IFERROR(VLOOKUP(E5390,'Condensed Specialty Crosswalk'!$A$2:$C$106,2,FALSE),"")</f>
        <v/>
      </c>
      <c r="G5390" s="49" t="str">
        <f>IFERROR(VLOOKUP(E5390,'Condensed Specialty Crosswalk'!$A$2:$C$106,3,FALSE),"")</f>
        <v/>
      </c>
    </row>
    <row r="5391" spans="5:7" ht="15" customHeight="1">
      <c r="E5391" s="49" t="str">
        <f>IFERROR(VLOOKUP(D5391,'taxonomy map'!$A$1:$C$107,2,FALSE),"")</f>
        <v/>
      </c>
      <c r="F5391" s="49" t="str">
        <f>IFERROR(VLOOKUP(E5391,'Condensed Specialty Crosswalk'!$A$2:$C$106,2,FALSE),"")</f>
        <v/>
      </c>
      <c r="G5391" s="49" t="str">
        <f>IFERROR(VLOOKUP(E5391,'Condensed Specialty Crosswalk'!$A$2:$C$106,3,FALSE),"")</f>
        <v/>
      </c>
    </row>
    <row r="5392" spans="5:7" ht="15" customHeight="1">
      <c r="E5392" s="49" t="str">
        <f>IFERROR(VLOOKUP(D5392,'taxonomy map'!$A$1:$C$107,2,FALSE),"")</f>
        <v/>
      </c>
      <c r="F5392" s="49" t="str">
        <f>IFERROR(VLOOKUP(E5392,'Condensed Specialty Crosswalk'!$A$2:$C$106,2,FALSE),"")</f>
        <v/>
      </c>
      <c r="G5392" s="49" t="str">
        <f>IFERROR(VLOOKUP(E5392,'Condensed Specialty Crosswalk'!$A$2:$C$106,3,FALSE),"")</f>
        <v/>
      </c>
    </row>
    <row r="5393" spans="5:7" ht="15" customHeight="1">
      <c r="E5393" s="49" t="str">
        <f>IFERROR(VLOOKUP(D5393,'taxonomy map'!$A$1:$C$107,2,FALSE),"")</f>
        <v/>
      </c>
      <c r="F5393" s="49" t="str">
        <f>IFERROR(VLOOKUP(E5393,'Condensed Specialty Crosswalk'!$A$2:$C$106,2,FALSE),"")</f>
        <v/>
      </c>
      <c r="G5393" s="49" t="str">
        <f>IFERROR(VLOOKUP(E5393,'Condensed Specialty Crosswalk'!$A$2:$C$106,3,FALSE),"")</f>
        <v/>
      </c>
    </row>
    <row r="5394" spans="5:7" ht="15" customHeight="1">
      <c r="E5394" s="49" t="str">
        <f>IFERROR(VLOOKUP(D5394,'taxonomy map'!$A$1:$C$107,2,FALSE),"")</f>
        <v/>
      </c>
      <c r="F5394" s="49" t="str">
        <f>IFERROR(VLOOKUP(E5394,'Condensed Specialty Crosswalk'!$A$2:$C$106,2,FALSE),"")</f>
        <v/>
      </c>
      <c r="G5394" s="49" t="str">
        <f>IFERROR(VLOOKUP(E5394,'Condensed Specialty Crosswalk'!$A$2:$C$106,3,FALSE),"")</f>
        <v/>
      </c>
    </row>
    <row r="5395" spans="5:7" ht="15" customHeight="1">
      <c r="E5395" s="49" t="str">
        <f>IFERROR(VLOOKUP(D5395,'taxonomy map'!$A$1:$C$107,2,FALSE),"")</f>
        <v/>
      </c>
      <c r="F5395" s="49" t="str">
        <f>IFERROR(VLOOKUP(E5395,'Condensed Specialty Crosswalk'!$A$2:$C$106,2,FALSE),"")</f>
        <v/>
      </c>
      <c r="G5395" s="49" t="str">
        <f>IFERROR(VLOOKUP(E5395,'Condensed Specialty Crosswalk'!$A$2:$C$106,3,FALSE),"")</f>
        <v/>
      </c>
    </row>
    <row r="5396" spans="5:7" ht="15" customHeight="1">
      <c r="E5396" s="49" t="str">
        <f>IFERROR(VLOOKUP(D5396,'taxonomy map'!$A$1:$C$107,2,FALSE),"")</f>
        <v/>
      </c>
      <c r="F5396" s="49" t="str">
        <f>IFERROR(VLOOKUP(E5396,'Condensed Specialty Crosswalk'!$A$2:$C$106,2,FALSE),"")</f>
        <v/>
      </c>
      <c r="G5396" s="49" t="str">
        <f>IFERROR(VLOOKUP(E5396,'Condensed Specialty Crosswalk'!$A$2:$C$106,3,FALSE),"")</f>
        <v/>
      </c>
    </row>
    <row r="5397" spans="5:7" ht="15" customHeight="1">
      <c r="E5397" s="49" t="str">
        <f>IFERROR(VLOOKUP(D5397,'taxonomy map'!$A$1:$C$107,2,FALSE),"")</f>
        <v/>
      </c>
      <c r="F5397" s="49" t="str">
        <f>IFERROR(VLOOKUP(E5397,'Condensed Specialty Crosswalk'!$A$2:$C$106,2,FALSE),"")</f>
        <v/>
      </c>
      <c r="G5397" s="49" t="str">
        <f>IFERROR(VLOOKUP(E5397,'Condensed Specialty Crosswalk'!$A$2:$C$106,3,FALSE),"")</f>
        <v/>
      </c>
    </row>
    <row r="5398" spans="5:7" ht="15" customHeight="1">
      <c r="E5398" s="49" t="str">
        <f>IFERROR(VLOOKUP(D5398,'taxonomy map'!$A$1:$C$107,2,FALSE),"")</f>
        <v/>
      </c>
      <c r="F5398" s="49" t="str">
        <f>IFERROR(VLOOKUP(E5398,'Condensed Specialty Crosswalk'!$A$2:$C$106,2,FALSE),"")</f>
        <v/>
      </c>
      <c r="G5398" s="49" t="str">
        <f>IFERROR(VLOOKUP(E5398,'Condensed Specialty Crosswalk'!$A$2:$C$106,3,FALSE),"")</f>
        <v/>
      </c>
    </row>
    <row r="5399" spans="5:7" ht="15" customHeight="1">
      <c r="E5399" s="49" t="str">
        <f>IFERROR(VLOOKUP(D5399,'taxonomy map'!$A$1:$C$107,2,FALSE),"")</f>
        <v/>
      </c>
      <c r="F5399" s="49" t="str">
        <f>IFERROR(VLOOKUP(E5399,'Condensed Specialty Crosswalk'!$A$2:$C$106,2,FALSE),"")</f>
        <v/>
      </c>
      <c r="G5399" s="49" t="str">
        <f>IFERROR(VLOOKUP(E5399,'Condensed Specialty Crosswalk'!$A$2:$C$106,3,FALSE),"")</f>
        <v/>
      </c>
    </row>
    <row r="5400" spans="5:7" ht="15" customHeight="1">
      <c r="E5400" s="49" t="str">
        <f>IFERROR(VLOOKUP(D5400,'taxonomy map'!$A$1:$C$107,2,FALSE),"")</f>
        <v/>
      </c>
      <c r="F5400" s="49" t="str">
        <f>IFERROR(VLOOKUP(E5400,'Condensed Specialty Crosswalk'!$A$2:$C$106,2,FALSE),"")</f>
        <v/>
      </c>
      <c r="G5400" s="49" t="str">
        <f>IFERROR(VLOOKUP(E5400,'Condensed Specialty Crosswalk'!$A$2:$C$106,3,FALSE),"")</f>
        <v/>
      </c>
    </row>
    <row r="5401" spans="5:7" ht="15" customHeight="1">
      <c r="E5401" s="49" t="str">
        <f>IFERROR(VLOOKUP(D5401,'taxonomy map'!$A$1:$C$107,2,FALSE),"")</f>
        <v/>
      </c>
      <c r="F5401" s="49" t="str">
        <f>IFERROR(VLOOKUP(E5401,'Condensed Specialty Crosswalk'!$A$2:$C$106,2,FALSE),"")</f>
        <v/>
      </c>
      <c r="G5401" s="49" t="str">
        <f>IFERROR(VLOOKUP(E5401,'Condensed Specialty Crosswalk'!$A$2:$C$106,3,FALSE),"")</f>
        <v/>
      </c>
    </row>
    <row r="5402" spans="5:7" ht="15" customHeight="1">
      <c r="E5402" s="49" t="str">
        <f>IFERROR(VLOOKUP(D5402,'taxonomy map'!$A$1:$C$107,2,FALSE),"")</f>
        <v/>
      </c>
      <c r="F5402" s="49" t="str">
        <f>IFERROR(VLOOKUP(E5402,'Condensed Specialty Crosswalk'!$A$2:$C$106,2,FALSE),"")</f>
        <v/>
      </c>
      <c r="G5402" s="49" t="str">
        <f>IFERROR(VLOOKUP(E5402,'Condensed Specialty Crosswalk'!$A$2:$C$106,3,FALSE),"")</f>
        <v/>
      </c>
    </row>
    <row r="5403" spans="5:7" ht="15" customHeight="1">
      <c r="E5403" s="49" t="str">
        <f>IFERROR(VLOOKUP(D5403,'taxonomy map'!$A$1:$C$107,2,FALSE),"")</f>
        <v/>
      </c>
      <c r="F5403" s="49" t="str">
        <f>IFERROR(VLOOKUP(E5403,'Condensed Specialty Crosswalk'!$A$2:$C$106,2,FALSE),"")</f>
        <v/>
      </c>
      <c r="G5403" s="49" t="str">
        <f>IFERROR(VLOOKUP(E5403,'Condensed Specialty Crosswalk'!$A$2:$C$106,3,FALSE),"")</f>
        <v/>
      </c>
    </row>
    <row r="5404" spans="5:7" ht="15" customHeight="1">
      <c r="E5404" s="49" t="str">
        <f>IFERROR(VLOOKUP(D5404,'taxonomy map'!$A$1:$C$107,2,FALSE),"")</f>
        <v/>
      </c>
      <c r="F5404" s="49" t="str">
        <f>IFERROR(VLOOKUP(E5404,'Condensed Specialty Crosswalk'!$A$2:$C$106,2,FALSE),"")</f>
        <v/>
      </c>
      <c r="G5404" s="49" t="str">
        <f>IFERROR(VLOOKUP(E5404,'Condensed Specialty Crosswalk'!$A$2:$C$106,3,FALSE),"")</f>
        <v/>
      </c>
    </row>
    <row r="5405" spans="5:7" ht="15" customHeight="1">
      <c r="E5405" s="49" t="str">
        <f>IFERROR(VLOOKUP(D5405,'taxonomy map'!$A$1:$C$107,2,FALSE),"")</f>
        <v/>
      </c>
      <c r="F5405" s="49" t="str">
        <f>IFERROR(VLOOKUP(E5405,'Condensed Specialty Crosswalk'!$A$2:$C$106,2,FALSE),"")</f>
        <v/>
      </c>
      <c r="G5405" s="49" t="str">
        <f>IFERROR(VLOOKUP(E5405,'Condensed Specialty Crosswalk'!$A$2:$C$106,3,FALSE),"")</f>
        <v/>
      </c>
    </row>
    <row r="5406" spans="5:7" ht="15" customHeight="1">
      <c r="E5406" s="49" t="str">
        <f>IFERROR(VLOOKUP(D5406,'taxonomy map'!$A$1:$C$107,2,FALSE),"")</f>
        <v/>
      </c>
      <c r="F5406" s="49" t="str">
        <f>IFERROR(VLOOKUP(E5406,'Condensed Specialty Crosswalk'!$A$2:$C$106,2,FALSE),"")</f>
        <v/>
      </c>
      <c r="G5406" s="49" t="str">
        <f>IFERROR(VLOOKUP(E5406,'Condensed Specialty Crosswalk'!$A$2:$C$106,3,FALSE),"")</f>
        <v/>
      </c>
    </row>
    <row r="5407" spans="5:7" ht="15" customHeight="1">
      <c r="E5407" s="49" t="str">
        <f>IFERROR(VLOOKUP(D5407,'taxonomy map'!$A$1:$C$107,2,FALSE),"")</f>
        <v/>
      </c>
      <c r="F5407" s="49" t="str">
        <f>IFERROR(VLOOKUP(E5407,'Condensed Specialty Crosswalk'!$A$2:$C$106,2,FALSE),"")</f>
        <v/>
      </c>
      <c r="G5407" s="49" t="str">
        <f>IFERROR(VLOOKUP(E5407,'Condensed Specialty Crosswalk'!$A$2:$C$106,3,FALSE),"")</f>
        <v/>
      </c>
    </row>
    <row r="5408" spans="5:7" ht="15" customHeight="1">
      <c r="E5408" s="49" t="str">
        <f>IFERROR(VLOOKUP(D5408,'taxonomy map'!$A$1:$C$107,2,FALSE),"")</f>
        <v/>
      </c>
      <c r="F5408" s="49" t="str">
        <f>IFERROR(VLOOKUP(E5408,'Condensed Specialty Crosswalk'!$A$2:$C$106,2,FALSE),"")</f>
        <v/>
      </c>
      <c r="G5408" s="49" t="str">
        <f>IFERROR(VLOOKUP(E5408,'Condensed Specialty Crosswalk'!$A$2:$C$106,3,FALSE),"")</f>
        <v/>
      </c>
    </row>
    <row r="5409" spans="5:7" ht="15" customHeight="1">
      <c r="E5409" s="49" t="str">
        <f>IFERROR(VLOOKUP(D5409,'taxonomy map'!$A$1:$C$107,2,FALSE),"")</f>
        <v/>
      </c>
      <c r="F5409" s="49" t="str">
        <f>IFERROR(VLOOKUP(E5409,'Condensed Specialty Crosswalk'!$A$2:$C$106,2,FALSE),"")</f>
        <v/>
      </c>
      <c r="G5409" s="49" t="str">
        <f>IFERROR(VLOOKUP(E5409,'Condensed Specialty Crosswalk'!$A$2:$C$106,3,FALSE),"")</f>
        <v/>
      </c>
    </row>
    <row r="5410" spans="5:7" ht="15" customHeight="1">
      <c r="E5410" s="49" t="str">
        <f>IFERROR(VLOOKUP(D5410,'taxonomy map'!$A$1:$C$107,2,FALSE),"")</f>
        <v/>
      </c>
      <c r="F5410" s="49" t="str">
        <f>IFERROR(VLOOKUP(E5410,'Condensed Specialty Crosswalk'!$A$2:$C$106,2,FALSE),"")</f>
        <v/>
      </c>
      <c r="G5410" s="49" t="str">
        <f>IFERROR(VLOOKUP(E5410,'Condensed Specialty Crosswalk'!$A$2:$C$106,3,FALSE),"")</f>
        <v/>
      </c>
    </row>
    <row r="5411" spans="5:7" ht="15" customHeight="1">
      <c r="E5411" s="49" t="str">
        <f>IFERROR(VLOOKUP(D5411,'taxonomy map'!$A$1:$C$107,2,FALSE),"")</f>
        <v/>
      </c>
      <c r="F5411" s="49" t="str">
        <f>IFERROR(VLOOKUP(E5411,'Condensed Specialty Crosswalk'!$A$2:$C$106,2,FALSE),"")</f>
        <v/>
      </c>
      <c r="G5411" s="49" t="str">
        <f>IFERROR(VLOOKUP(E5411,'Condensed Specialty Crosswalk'!$A$2:$C$106,3,FALSE),"")</f>
        <v/>
      </c>
    </row>
    <row r="5412" spans="5:7" ht="15" customHeight="1">
      <c r="E5412" s="49" t="str">
        <f>IFERROR(VLOOKUP(D5412,'taxonomy map'!$A$1:$C$107,2,FALSE),"")</f>
        <v/>
      </c>
      <c r="F5412" s="49" t="str">
        <f>IFERROR(VLOOKUP(E5412,'Condensed Specialty Crosswalk'!$A$2:$C$106,2,FALSE),"")</f>
        <v/>
      </c>
      <c r="G5412" s="49" t="str">
        <f>IFERROR(VLOOKUP(E5412,'Condensed Specialty Crosswalk'!$A$2:$C$106,3,FALSE),"")</f>
        <v/>
      </c>
    </row>
    <row r="5413" spans="5:7" ht="15" customHeight="1">
      <c r="E5413" s="49" t="str">
        <f>IFERROR(VLOOKUP(D5413,'taxonomy map'!$A$1:$C$107,2,FALSE),"")</f>
        <v/>
      </c>
      <c r="F5413" s="49" t="str">
        <f>IFERROR(VLOOKUP(E5413,'Condensed Specialty Crosswalk'!$A$2:$C$106,2,FALSE),"")</f>
        <v/>
      </c>
      <c r="G5413" s="49" t="str">
        <f>IFERROR(VLOOKUP(E5413,'Condensed Specialty Crosswalk'!$A$2:$C$106,3,FALSE),"")</f>
        <v/>
      </c>
    </row>
    <row r="5414" spans="5:7" ht="15" customHeight="1">
      <c r="E5414" s="49" t="str">
        <f>IFERROR(VLOOKUP(D5414,'taxonomy map'!$A$1:$C$107,2,FALSE),"")</f>
        <v/>
      </c>
      <c r="F5414" s="49" t="str">
        <f>IFERROR(VLOOKUP(E5414,'Condensed Specialty Crosswalk'!$A$2:$C$106,2,FALSE),"")</f>
        <v/>
      </c>
      <c r="G5414" s="49" t="str">
        <f>IFERROR(VLOOKUP(E5414,'Condensed Specialty Crosswalk'!$A$2:$C$106,3,FALSE),"")</f>
        <v/>
      </c>
    </row>
    <row r="5415" spans="5:7" ht="15" customHeight="1">
      <c r="E5415" s="49" t="str">
        <f>IFERROR(VLOOKUP(D5415,'taxonomy map'!$A$1:$C$107,2,FALSE),"")</f>
        <v/>
      </c>
      <c r="F5415" s="49" t="str">
        <f>IFERROR(VLOOKUP(E5415,'Condensed Specialty Crosswalk'!$A$2:$C$106,2,FALSE),"")</f>
        <v/>
      </c>
      <c r="G5415" s="49" t="str">
        <f>IFERROR(VLOOKUP(E5415,'Condensed Specialty Crosswalk'!$A$2:$C$106,3,FALSE),"")</f>
        <v/>
      </c>
    </row>
    <row r="5416" spans="5:7" ht="15" customHeight="1">
      <c r="E5416" s="49" t="str">
        <f>IFERROR(VLOOKUP(D5416,'taxonomy map'!$A$1:$C$107,2,FALSE),"")</f>
        <v/>
      </c>
      <c r="F5416" s="49" t="str">
        <f>IFERROR(VLOOKUP(E5416,'Condensed Specialty Crosswalk'!$A$2:$C$106,2,FALSE),"")</f>
        <v/>
      </c>
      <c r="G5416" s="49" t="str">
        <f>IFERROR(VLOOKUP(E5416,'Condensed Specialty Crosswalk'!$A$2:$C$106,3,FALSE),"")</f>
        <v/>
      </c>
    </row>
    <row r="5417" spans="5:7" ht="15" customHeight="1">
      <c r="E5417" s="49" t="str">
        <f>IFERROR(VLOOKUP(D5417,'taxonomy map'!$A$1:$C$107,2,FALSE),"")</f>
        <v/>
      </c>
      <c r="F5417" s="49" t="str">
        <f>IFERROR(VLOOKUP(E5417,'Condensed Specialty Crosswalk'!$A$2:$C$106,2,FALSE),"")</f>
        <v/>
      </c>
      <c r="G5417" s="49" t="str">
        <f>IFERROR(VLOOKUP(E5417,'Condensed Specialty Crosswalk'!$A$2:$C$106,3,FALSE),"")</f>
        <v/>
      </c>
    </row>
    <row r="5418" spans="5:7" ht="15" customHeight="1">
      <c r="E5418" s="49" t="str">
        <f>IFERROR(VLOOKUP(D5418,'taxonomy map'!$A$1:$C$107,2,FALSE),"")</f>
        <v/>
      </c>
      <c r="F5418" s="49" t="str">
        <f>IFERROR(VLOOKUP(E5418,'Condensed Specialty Crosswalk'!$A$2:$C$106,2,FALSE),"")</f>
        <v/>
      </c>
      <c r="G5418" s="49" t="str">
        <f>IFERROR(VLOOKUP(E5418,'Condensed Specialty Crosswalk'!$A$2:$C$106,3,FALSE),"")</f>
        <v/>
      </c>
    </row>
    <row r="5419" spans="5:7" ht="15" customHeight="1">
      <c r="E5419" s="49" t="str">
        <f>IFERROR(VLOOKUP(D5419,'taxonomy map'!$A$1:$C$107,2,FALSE),"")</f>
        <v/>
      </c>
      <c r="F5419" s="49" t="str">
        <f>IFERROR(VLOOKUP(E5419,'Condensed Specialty Crosswalk'!$A$2:$C$106,2,FALSE),"")</f>
        <v/>
      </c>
      <c r="G5419" s="49" t="str">
        <f>IFERROR(VLOOKUP(E5419,'Condensed Specialty Crosswalk'!$A$2:$C$106,3,FALSE),"")</f>
        <v/>
      </c>
    </row>
    <row r="5420" spans="5:7" ht="15" customHeight="1">
      <c r="E5420" s="49" t="str">
        <f>IFERROR(VLOOKUP(D5420,'taxonomy map'!$A$1:$C$107,2,FALSE),"")</f>
        <v/>
      </c>
      <c r="F5420" s="49" t="str">
        <f>IFERROR(VLOOKUP(E5420,'Condensed Specialty Crosswalk'!$A$2:$C$106,2,FALSE),"")</f>
        <v/>
      </c>
      <c r="G5420" s="49" t="str">
        <f>IFERROR(VLOOKUP(E5420,'Condensed Specialty Crosswalk'!$A$2:$C$106,3,FALSE),"")</f>
        <v/>
      </c>
    </row>
    <row r="5421" spans="5:7" ht="15" customHeight="1">
      <c r="E5421" s="49" t="str">
        <f>IFERROR(VLOOKUP(D5421,'taxonomy map'!$A$1:$C$107,2,FALSE),"")</f>
        <v/>
      </c>
      <c r="F5421" s="49" t="str">
        <f>IFERROR(VLOOKUP(E5421,'Condensed Specialty Crosswalk'!$A$2:$C$106,2,FALSE),"")</f>
        <v/>
      </c>
      <c r="G5421" s="49" t="str">
        <f>IFERROR(VLOOKUP(E5421,'Condensed Specialty Crosswalk'!$A$2:$C$106,3,FALSE),"")</f>
        <v/>
      </c>
    </row>
    <row r="5422" spans="5:7" ht="15" customHeight="1">
      <c r="E5422" s="49" t="str">
        <f>IFERROR(VLOOKUP(D5422,'taxonomy map'!$A$1:$C$107,2,FALSE),"")</f>
        <v/>
      </c>
      <c r="F5422" s="49" t="str">
        <f>IFERROR(VLOOKUP(E5422,'Condensed Specialty Crosswalk'!$A$2:$C$106,2,FALSE),"")</f>
        <v/>
      </c>
      <c r="G5422" s="49" t="str">
        <f>IFERROR(VLOOKUP(E5422,'Condensed Specialty Crosswalk'!$A$2:$C$106,3,FALSE),"")</f>
        <v/>
      </c>
    </row>
    <row r="5423" spans="5:7" ht="15" customHeight="1">
      <c r="E5423" s="49" t="str">
        <f>IFERROR(VLOOKUP(D5423,'taxonomy map'!$A$1:$C$107,2,FALSE),"")</f>
        <v/>
      </c>
      <c r="F5423" s="49" t="str">
        <f>IFERROR(VLOOKUP(E5423,'Condensed Specialty Crosswalk'!$A$2:$C$106,2,FALSE),"")</f>
        <v/>
      </c>
      <c r="G5423" s="49" t="str">
        <f>IFERROR(VLOOKUP(E5423,'Condensed Specialty Crosswalk'!$A$2:$C$106,3,FALSE),"")</f>
        <v/>
      </c>
    </row>
    <row r="5424" spans="5:7" ht="15" customHeight="1">
      <c r="E5424" s="49" t="str">
        <f>IFERROR(VLOOKUP(D5424,'taxonomy map'!$A$1:$C$107,2,FALSE),"")</f>
        <v/>
      </c>
      <c r="F5424" s="49" t="str">
        <f>IFERROR(VLOOKUP(E5424,'Condensed Specialty Crosswalk'!$A$2:$C$106,2,FALSE),"")</f>
        <v/>
      </c>
      <c r="G5424" s="49" t="str">
        <f>IFERROR(VLOOKUP(E5424,'Condensed Specialty Crosswalk'!$A$2:$C$106,3,FALSE),"")</f>
        <v/>
      </c>
    </row>
    <row r="5425" spans="5:7" ht="15" customHeight="1">
      <c r="E5425" s="49" t="str">
        <f>IFERROR(VLOOKUP(D5425,'taxonomy map'!$A$1:$C$107,2,FALSE),"")</f>
        <v/>
      </c>
      <c r="F5425" s="49" t="str">
        <f>IFERROR(VLOOKUP(E5425,'Condensed Specialty Crosswalk'!$A$2:$C$106,2,FALSE),"")</f>
        <v/>
      </c>
      <c r="G5425" s="49" t="str">
        <f>IFERROR(VLOOKUP(E5425,'Condensed Specialty Crosswalk'!$A$2:$C$106,3,FALSE),"")</f>
        <v/>
      </c>
    </row>
    <row r="5426" spans="5:7" ht="15" customHeight="1">
      <c r="E5426" s="49" t="str">
        <f>IFERROR(VLOOKUP(D5426,'taxonomy map'!$A$1:$C$107,2,FALSE),"")</f>
        <v/>
      </c>
      <c r="F5426" s="49" t="str">
        <f>IFERROR(VLOOKUP(E5426,'Condensed Specialty Crosswalk'!$A$2:$C$106,2,FALSE),"")</f>
        <v/>
      </c>
      <c r="G5426" s="49" t="str">
        <f>IFERROR(VLOOKUP(E5426,'Condensed Specialty Crosswalk'!$A$2:$C$106,3,FALSE),"")</f>
        <v/>
      </c>
    </row>
    <row r="5427" spans="5:7" ht="15" customHeight="1">
      <c r="E5427" s="49" t="str">
        <f>IFERROR(VLOOKUP(D5427,'taxonomy map'!$A$1:$C$107,2,FALSE),"")</f>
        <v/>
      </c>
      <c r="F5427" s="49" t="str">
        <f>IFERROR(VLOOKUP(E5427,'Condensed Specialty Crosswalk'!$A$2:$C$106,2,FALSE),"")</f>
        <v/>
      </c>
      <c r="G5427" s="49" t="str">
        <f>IFERROR(VLOOKUP(E5427,'Condensed Specialty Crosswalk'!$A$2:$C$106,3,FALSE),"")</f>
        <v/>
      </c>
    </row>
    <row r="5428" spans="5:7" ht="15" customHeight="1">
      <c r="E5428" s="49" t="str">
        <f>IFERROR(VLOOKUP(D5428,'taxonomy map'!$A$1:$C$107,2,FALSE),"")</f>
        <v/>
      </c>
      <c r="F5428" s="49" t="str">
        <f>IFERROR(VLOOKUP(E5428,'Condensed Specialty Crosswalk'!$A$2:$C$106,2,FALSE),"")</f>
        <v/>
      </c>
      <c r="G5428" s="49" t="str">
        <f>IFERROR(VLOOKUP(E5428,'Condensed Specialty Crosswalk'!$A$2:$C$106,3,FALSE),"")</f>
        <v/>
      </c>
    </row>
    <row r="5429" spans="5:7" ht="15" customHeight="1">
      <c r="E5429" s="49" t="str">
        <f>IFERROR(VLOOKUP(D5429,'taxonomy map'!$A$1:$C$107,2,FALSE),"")</f>
        <v/>
      </c>
      <c r="F5429" s="49" t="str">
        <f>IFERROR(VLOOKUP(E5429,'Condensed Specialty Crosswalk'!$A$2:$C$106,2,FALSE),"")</f>
        <v/>
      </c>
      <c r="G5429" s="49" t="str">
        <f>IFERROR(VLOOKUP(E5429,'Condensed Specialty Crosswalk'!$A$2:$C$106,3,FALSE),"")</f>
        <v/>
      </c>
    </row>
    <row r="5430" spans="5:7" ht="15" customHeight="1">
      <c r="E5430" s="49" t="str">
        <f>IFERROR(VLOOKUP(D5430,'taxonomy map'!$A$1:$C$107,2,FALSE),"")</f>
        <v/>
      </c>
      <c r="F5430" s="49" t="str">
        <f>IFERROR(VLOOKUP(E5430,'Condensed Specialty Crosswalk'!$A$2:$C$106,2,FALSE),"")</f>
        <v/>
      </c>
      <c r="G5430" s="49" t="str">
        <f>IFERROR(VLOOKUP(E5430,'Condensed Specialty Crosswalk'!$A$2:$C$106,3,FALSE),"")</f>
        <v/>
      </c>
    </row>
    <row r="5431" spans="5:7" ht="15" customHeight="1">
      <c r="E5431" s="49" t="str">
        <f>IFERROR(VLOOKUP(D5431,'taxonomy map'!$A$1:$C$107,2,FALSE),"")</f>
        <v/>
      </c>
      <c r="F5431" s="49" t="str">
        <f>IFERROR(VLOOKUP(E5431,'Condensed Specialty Crosswalk'!$A$2:$C$106,2,FALSE),"")</f>
        <v/>
      </c>
      <c r="G5431" s="49" t="str">
        <f>IFERROR(VLOOKUP(E5431,'Condensed Specialty Crosswalk'!$A$2:$C$106,3,FALSE),"")</f>
        <v/>
      </c>
    </row>
    <row r="5432" spans="5:7" ht="15" customHeight="1">
      <c r="E5432" s="49" t="str">
        <f>IFERROR(VLOOKUP(D5432,'taxonomy map'!$A$1:$C$107,2,FALSE),"")</f>
        <v/>
      </c>
      <c r="F5432" s="49" t="str">
        <f>IFERROR(VLOOKUP(E5432,'Condensed Specialty Crosswalk'!$A$2:$C$106,2,FALSE),"")</f>
        <v/>
      </c>
      <c r="G5432" s="49" t="str">
        <f>IFERROR(VLOOKUP(E5432,'Condensed Specialty Crosswalk'!$A$2:$C$106,3,FALSE),"")</f>
        <v/>
      </c>
    </row>
    <row r="5433" spans="5:7" ht="15" customHeight="1">
      <c r="E5433" s="49" t="str">
        <f>IFERROR(VLOOKUP(D5433,'taxonomy map'!$A$1:$C$107,2,FALSE),"")</f>
        <v/>
      </c>
      <c r="F5433" s="49" t="str">
        <f>IFERROR(VLOOKUP(E5433,'Condensed Specialty Crosswalk'!$A$2:$C$106,2,FALSE),"")</f>
        <v/>
      </c>
      <c r="G5433" s="49" t="str">
        <f>IFERROR(VLOOKUP(E5433,'Condensed Specialty Crosswalk'!$A$2:$C$106,3,FALSE),"")</f>
        <v/>
      </c>
    </row>
    <row r="5434" spans="5:7" ht="15" customHeight="1">
      <c r="E5434" s="49" t="str">
        <f>IFERROR(VLOOKUP(D5434,'taxonomy map'!$A$1:$C$107,2,FALSE),"")</f>
        <v/>
      </c>
      <c r="F5434" s="49" t="str">
        <f>IFERROR(VLOOKUP(E5434,'Condensed Specialty Crosswalk'!$A$2:$C$106,2,FALSE),"")</f>
        <v/>
      </c>
      <c r="G5434" s="49" t="str">
        <f>IFERROR(VLOOKUP(E5434,'Condensed Specialty Crosswalk'!$A$2:$C$106,3,FALSE),"")</f>
        <v/>
      </c>
    </row>
    <row r="5435" spans="5:7" ht="15" customHeight="1">
      <c r="E5435" s="49" t="str">
        <f>IFERROR(VLOOKUP(D5435,'taxonomy map'!$A$1:$C$107,2,FALSE),"")</f>
        <v/>
      </c>
      <c r="F5435" s="49" t="str">
        <f>IFERROR(VLOOKUP(E5435,'Condensed Specialty Crosswalk'!$A$2:$C$106,2,FALSE),"")</f>
        <v/>
      </c>
      <c r="G5435" s="49" t="str">
        <f>IFERROR(VLOOKUP(E5435,'Condensed Specialty Crosswalk'!$A$2:$C$106,3,FALSE),"")</f>
        <v/>
      </c>
    </row>
    <row r="5436" spans="5:7" ht="15" customHeight="1">
      <c r="E5436" s="49" t="str">
        <f>IFERROR(VLOOKUP(D5436,'taxonomy map'!$A$1:$C$107,2,FALSE),"")</f>
        <v/>
      </c>
      <c r="F5436" s="49" t="str">
        <f>IFERROR(VLOOKUP(E5436,'Condensed Specialty Crosswalk'!$A$2:$C$106,2,FALSE),"")</f>
        <v/>
      </c>
      <c r="G5436" s="49" t="str">
        <f>IFERROR(VLOOKUP(E5436,'Condensed Specialty Crosswalk'!$A$2:$C$106,3,FALSE),"")</f>
        <v/>
      </c>
    </row>
    <row r="5437" spans="5:7" ht="15" customHeight="1">
      <c r="E5437" s="49" t="str">
        <f>IFERROR(VLOOKUP(D5437,'taxonomy map'!$A$1:$C$107,2,FALSE),"")</f>
        <v/>
      </c>
      <c r="F5437" s="49" t="str">
        <f>IFERROR(VLOOKUP(E5437,'Condensed Specialty Crosswalk'!$A$2:$C$106,2,FALSE),"")</f>
        <v/>
      </c>
      <c r="G5437" s="49" t="str">
        <f>IFERROR(VLOOKUP(E5437,'Condensed Specialty Crosswalk'!$A$2:$C$106,3,FALSE),"")</f>
        <v/>
      </c>
    </row>
    <row r="5438" spans="5:7" ht="15" customHeight="1">
      <c r="E5438" s="49" t="str">
        <f>IFERROR(VLOOKUP(D5438,'taxonomy map'!$A$1:$C$107,2,FALSE),"")</f>
        <v/>
      </c>
      <c r="F5438" s="49" t="str">
        <f>IFERROR(VLOOKUP(E5438,'Condensed Specialty Crosswalk'!$A$2:$C$106,2,FALSE),"")</f>
        <v/>
      </c>
      <c r="G5438" s="49" t="str">
        <f>IFERROR(VLOOKUP(E5438,'Condensed Specialty Crosswalk'!$A$2:$C$106,3,FALSE),"")</f>
        <v/>
      </c>
    </row>
    <row r="5439" spans="5:7" ht="15" customHeight="1">
      <c r="E5439" s="49" t="str">
        <f>IFERROR(VLOOKUP(D5439,'taxonomy map'!$A$1:$C$107,2,FALSE),"")</f>
        <v/>
      </c>
      <c r="F5439" s="49" t="str">
        <f>IFERROR(VLOOKUP(E5439,'Condensed Specialty Crosswalk'!$A$2:$C$106,2,FALSE),"")</f>
        <v/>
      </c>
      <c r="G5439" s="49" t="str">
        <f>IFERROR(VLOOKUP(E5439,'Condensed Specialty Crosswalk'!$A$2:$C$106,3,FALSE),"")</f>
        <v/>
      </c>
    </row>
    <row r="5440" spans="5:7" ht="15" customHeight="1">
      <c r="E5440" s="49" t="str">
        <f>IFERROR(VLOOKUP(D5440,'taxonomy map'!$A$1:$C$107,2,FALSE),"")</f>
        <v/>
      </c>
      <c r="F5440" s="49" t="str">
        <f>IFERROR(VLOOKUP(E5440,'Condensed Specialty Crosswalk'!$A$2:$C$106,2,FALSE),"")</f>
        <v/>
      </c>
      <c r="G5440" s="49" t="str">
        <f>IFERROR(VLOOKUP(E5440,'Condensed Specialty Crosswalk'!$A$2:$C$106,3,FALSE),"")</f>
        <v/>
      </c>
    </row>
    <row r="5441" spans="5:7" ht="15" customHeight="1">
      <c r="E5441" s="49" t="str">
        <f>IFERROR(VLOOKUP(D5441,'taxonomy map'!$A$1:$C$107,2,FALSE),"")</f>
        <v/>
      </c>
      <c r="F5441" s="49" t="str">
        <f>IFERROR(VLOOKUP(E5441,'Condensed Specialty Crosswalk'!$A$2:$C$106,2,FALSE),"")</f>
        <v/>
      </c>
      <c r="G5441" s="49" t="str">
        <f>IFERROR(VLOOKUP(E5441,'Condensed Specialty Crosswalk'!$A$2:$C$106,3,FALSE),"")</f>
        <v/>
      </c>
    </row>
    <row r="5442" spans="5:7" ht="15" customHeight="1">
      <c r="E5442" s="49" t="str">
        <f>IFERROR(VLOOKUP(D5442,'taxonomy map'!$A$1:$C$107,2,FALSE),"")</f>
        <v/>
      </c>
      <c r="F5442" s="49" t="str">
        <f>IFERROR(VLOOKUP(E5442,'Condensed Specialty Crosswalk'!$A$2:$C$106,2,FALSE),"")</f>
        <v/>
      </c>
      <c r="G5442" s="49" t="str">
        <f>IFERROR(VLOOKUP(E5442,'Condensed Specialty Crosswalk'!$A$2:$C$106,3,FALSE),"")</f>
        <v/>
      </c>
    </row>
    <row r="5443" spans="5:7" ht="15" customHeight="1">
      <c r="E5443" s="49" t="str">
        <f>IFERROR(VLOOKUP(D5443,'taxonomy map'!$A$1:$C$107,2,FALSE),"")</f>
        <v/>
      </c>
      <c r="F5443" s="49" t="str">
        <f>IFERROR(VLOOKUP(E5443,'Condensed Specialty Crosswalk'!$A$2:$C$106,2,FALSE),"")</f>
        <v/>
      </c>
      <c r="G5443" s="49" t="str">
        <f>IFERROR(VLOOKUP(E5443,'Condensed Specialty Crosswalk'!$A$2:$C$106,3,FALSE),"")</f>
        <v/>
      </c>
    </row>
    <row r="5444" spans="5:7" ht="15" customHeight="1">
      <c r="E5444" s="49" t="str">
        <f>IFERROR(VLOOKUP(D5444,'taxonomy map'!$A$1:$C$107,2,FALSE),"")</f>
        <v/>
      </c>
      <c r="F5444" s="49" t="str">
        <f>IFERROR(VLOOKUP(E5444,'Condensed Specialty Crosswalk'!$A$2:$C$106,2,FALSE),"")</f>
        <v/>
      </c>
      <c r="G5444" s="49" t="str">
        <f>IFERROR(VLOOKUP(E5444,'Condensed Specialty Crosswalk'!$A$2:$C$106,3,FALSE),"")</f>
        <v/>
      </c>
    </row>
    <row r="5445" spans="5:7" ht="15" customHeight="1">
      <c r="E5445" s="49" t="str">
        <f>IFERROR(VLOOKUP(D5445,'taxonomy map'!$A$1:$C$107,2,FALSE),"")</f>
        <v/>
      </c>
      <c r="F5445" s="49" t="str">
        <f>IFERROR(VLOOKUP(E5445,'Condensed Specialty Crosswalk'!$A$2:$C$106,2,FALSE),"")</f>
        <v/>
      </c>
      <c r="G5445" s="49" t="str">
        <f>IFERROR(VLOOKUP(E5445,'Condensed Specialty Crosswalk'!$A$2:$C$106,3,FALSE),"")</f>
        <v/>
      </c>
    </row>
    <row r="5446" spans="5:7" ht="15" customHeight="1">
      <c r="E5446" s="49" t="str">
        <f>IFERROR(VLOOKUP(D5446,'taxonomy map'!$A$1:$C$107,2,FALSE),"")</f>
        <v/>
      </c>
      <c r="F5446" s="49" t="str">
        <f>IFERROR(VLOOKUP(E5446,'Condensed Specialty Crosswalk'!$A$2:$C$106,2,FALSE),"")</f>
        <v/>
      </c>
      <c r="G5446" s="49" t="str">
        <f>IFERROR(VLOOKUP(E5446,'Condensed Specialty Crosswalk'!$A$2:$C$106,3,FALSE),"")</f>
        <v/>
      </c>
    </row>
    <row r="5447" spans="5:7" ht="15" customHeight="1">
      <c r="E5447" s="49" t="str">
        <f>IFERROR(VLOOKUP(D5447,'taxonomy map'!$A$1:$C$107,2,FALSE),"")</f>
        <v/>
      </c>
      <c r="F5447" s="49" t="str">
        <f>IFERROR(VLOOKUP(E5447,'Condensed Specialty Crosswalk'!$A$2:$C$106,2,FALSE),"")</f>
        <v/>
      </c>
      <c r="G5447" s="49" t="str">
        <f>IFERROR(VLOOKUP(E5447,'Condensed Specialty Crosswalk'!$A$2:$C$106,3,FALSE),"")</f>
        <v/>
      </c>
    </row>
    <row r="5448" spans="5:7" ht="15" customHeight="1">
      <c r="E5448" s="49" t="str">
        <f>IFERROR(VLOOKUP(D5448,'taxonomy map'!$A$1:$C$107,2,FALSE),"")</f>
        <v/>
      </c>
      <c r="F5448" s="49" t="str">
        <f>IFERROR(VLOOKUP(E5448,'Condensed Specialty Crosswalk'!$A$2:$C$106,2,FALSE),"")</f>
        <v/>
      </c>
      <c r="G5448" s="49" t="str">
        <f>IFERROR(VLOOKUP(E5448,'Condensed Specialty Crosswalk'!$A$2:$C$106,3,FALSE),"")</f>
        <v/>
      </c>
    </row>
    <row r="5449" spans="5:7" ht="15" customHeight="1">
      <c r="E5449" s="49" t="str">
        <f>IFERROR(VLOOKUP(D5449,'taxonomy map'!$A$1:$C$107,2,FALSE),"")</f>
        <v/>
      </c>
      <c r="F5449" s="49" t="str">
        <f>IFERROR(VLOOKUP(E5449,'Condensed Specialty Crosswalk'!$A$2:$C$106,2,FALSE),"")</f>
        <v/>
      </c>
      <c r="G5449" s="49" t="str">
        <f>IFERROR(VLOOKUP(E5449,'Condensed Specialty Crosswalk'!$A$2:$C$106,3,FALSE),"")</f>
        <v/>
      </c>
    </row>
    <row r="5450" spans="5:7" ht="15" customHeight="1">
      <c r="E5450" s="49" t="str">
        <f>IFERROR(VLOOKUP(D5450,'taxonomy map'!$A$1:$C$107,2,FALSE),"")</f>
        <v/>
      </c>
      <c r="F5450" s="49" t="str">
        <f>IFERROR(VLOOKUP(E5450,'Condensed Specialty Crosswalk'!$A$2:$C$106,2,FALSE),"")</f>
        <v/>
      </c>
      <c r="G5450" s="49" t="str">
        <f>IFERROR(VLOOKUP(E5450,'Condensed Specialty Crosswalk'!$A$2:$C$106,3,FALSE),"")</f>
        <v/>
      </c>
    </row>
    <row r="5451" spans="5:7" ht="15" customHeight="1">
      <c r="E5451" s="49" t="str">
        <f>IFERROR(VLOOKUP(D5451,'taxonomy map'!$A$1:$C$107,2,FALSE),"")</f>
        <v/>
      </c>
      <c r="F5451" s="49" t="str">
        <f>IFERROR(VLOOKUP(E5451,'Condensed Specialty Crosswalk'!$A$2:$C$106,2,FALSE),"")</f>
        <v/>
      </c>
      <c r="G5451" s="49" t="str">
        <f>IFERROR(VLOOKUP(E5451,'Condensed Specialty Crosswalk'!$A$2:$C$106,3,FALSE),"")</f>
        <v/>
      </c>
    </row>
    <row r="5452" spans="5:7" ht="15" customHeight="1">
      <c r="E5452" s="49" t="str">
        <f>IFERROR(VLOOKUP(D5452,'taxonomy map'!$A$1:$C$107,2,FALSE),"")</f>
        <v/>
      </c>
      <c r="F5452" s="49" t="str">
        <f>IFERROR(VLOOKUP(E5452,'Condensed Specialty Crosswalk'!$A$2:$C$106,2,FALSE),"")</f>
        <v/>
      </c>
      <c r="G5452" s="49" t="str">
        <f>IFERROR(VLOOKUP(E5452,'Condensed Specialty Crosswalk'!$A$2:$C$106,3,FALSE),"")</f>
        <v/>
      </c>
    </row>
    <row r="5453" spans="5:7" ht="15" customHeight="1">
      <c r="E5453" s="49" t="str">
        <f>IFERROR(VLOOKUP(D5453,'taxonomy map'!$A$1:$C$107,2,FALSE),"")</f>
        <v/>
      </c>
      <c r="F5453" s="49" t="str">
        <f>IFERROR(VLOOKUP(E5453,'Condensed Specialty Crosswalk'!$A$2:$C$106,2,FALSE),"")</f>
        <v/>
      </c>
      <c r="G5453" s="49" t="str">
        <f>IFERROR(VLOOKUP(E5453,'Condensed Specialty Crosswalk'!$A$2:$C$106,3,FALSE),"")</f>
        <v/>
      </c>
    </row>
    <row r="5454" spans="5:7" ht="15" customHeight="1">
      <c r="E5454" s="49" t="str">
        <f>IFERROR(VLOOKUP(D5454,'taxonomy map'!$A$1:$C$107,2,FALSE),"")</f>
        <v/>
      </c>
      <c r="F5454" s="49" t="str">
        <f>IFERROR(VLOOKUP(E5454,'Condensed Specialty Crosswalk'!$A$2:$C$106,2,FALSE),"")</f>
        <v/>
      </c>
      <c r="G5454" s="49" t="str">
        <f>IFERROR(VLOOKUP(E5454,'Condensed Specialty Crosswalk'!$A$2:$C$106,3,FALSE),"")</f>
        <v/>
      </c>
    </row>
    <row r="5455" spans="5:7" ht="15" customHeight="1">
      <c r="E5455" s="49" t="str">
        <f>IFERROR(VLOOKUP(D5455,'taxonomy map'!$A$1:$C$107,2,FALSE),"")</f>
        <v/>
      </c>
      <c r="F5455" s="49" t="str">
        <f>IFERROR(VLOOKUP(E5455,'Condensed Specialty Crosswalk'!$A$2:$C$106,2,FALSE),"")</f>
        <v/>
      </c>
      <c r="G5455" s="49" t="str">
        <f>IFERROR(VLOOKUP(E5455,'Condensed Specialty Crosswalk'!$A$2:$C$106,3,FALSE),"")</f>
        <v/>
      </c>
    </row>
    <row r="5456" spans="5:7" ht="15" customHeight="1">
      <c r="E5456" s="49" t="str">
        <f>IFERROR(VLOOKUP(D5456,'taxonomy map'!$A$1:$C$107,2,FALSE),"")</f>
        <v/>
      </c>
      <c r="F5456" s="49" t="str">
        <f>IFERROR(VLOOKUP(E5456,'Condensed Specialty Crosswalk'!$A$2:$C$106,2,FALSE),"")</f>
        <v/>
      </c>
      <c r="G5456" s="49" t="str">
        <f>IFERROR(VLOOKUP(E5456,'Condensed Specialty Crosswalk'!$A$2:$C$106,3,FALSE),"")</f>
        <v/>
      </c>
    </row>
    <row r="5457" spans="5:7" ht="15" customHeight="1">
      <c r="E5457" s="49" t="str">
        <f>IFERROR(VLOOKUP(D5457,'taxonomy map'!$A$1:$C$107,2,FALSE),"")</f>
        <v/>
      </c>
      <c r="F5457" s="49" t="str">
        <f>IFERROR(VLOOKUP(E5457,'Condensed Specialty Crosswalk'!$A$2:$C$106,2,FALSE),"")</f>
        <v/>
      </c>
      <c r="G5457" s="49" t="str">
        <f>IFERROR(VLOOKUP(E5457,'Condensed Specialty Crosswalk'!$A$2:$C$106,3,FALSE),"")</f>
        <v/>
      </c>
    </row>
    <row r="5458" spans="5:7" ht="15" customHeight="1">
      <c r="E5458" s="49" t="str">
        <f>IFERROR(VLOOKUP(D5458,'taxonomy map'!$A$1:$C$107,2,FALSE),"")</f>
        <v/>
      </c>
      <c r="F5458" s="49" t="str">
        <f>IFERROR(VLOOKUP(E5458,'Condensed Specialty Crosswalk'!$A$2:$C$106,2,FALSE),"")</f>
        <v/>
      </c>
      <c r="G5458" s="49" t="str">
        <f>IFERROR(VLOOKUP(E5458,'Condensed Specialty Crosswalk'!$A$2:$C$106,3,FALSE),"")</f>
        <v/>
      </c>
    </row>
    <row r="5459" spans="5:7" ht="15" customHeight="1">
      <c r="E5459" s="49" t="str">
        <f>IFERROR(VLOOKUP(D5459,'taxonomy map'!$A$1:$C$107,2,FALSE),"")</f>
        <v/>
      </c>
      <c r="F5459" s="49" t="str">
        <f>IFERROR(VLOOKUP(E5459,'Condensed Specialty Crosswalk'!$A$2:$C$106,2,FALSE),"")</f>
        <v/>
      </c>
      <c r="G5459" s="49" t="str">
        <f>IFERROR(VLOOKUP(E5459,'Condensed Specialty Crosswalk'!$A$2:$C$106,3,FALSE),"")</f>
        <v/>
      </c>
    </row>
    <row r="5460" spans="5:7" ht="15" customHeight="1">
      <c r="E5460" s="49" t="str">
        <f>IFERROR(VLOOKUP(D5460,'taxonomy map'!$A$1:$C$107,2,FALSE),"")</f>
        <v/>
      </c>
      <c r="F5460" s="49" t="str">
        <f>IFERROR(VLOOKUP(E5460,'Condensed Specialty Crosswalk'!$A$2:$C$106,2,FALSE),"")</f>
        <v/>
      </c>
      <c r="G5460" s="49" t="str">
        <f>IFERROR(VLOOKUP(E5460,'Condensed Specialty Crosswalk'!$A$2:$C$106,3,FALSE),"")</f>
        <v/>
      </c>
    </row>
    <row r="5461" spans="5:7" ht="15" customHeight="1">
      <c r="E5461" s="49" t="str">
        <f>IFERROR(VLOOKUP(D5461,'taxonomy map'!$A$1:$C$107,2,FALSE),"")</f>
        <v/>
      </c>
      <c r="F5461" s="49" t="str">
        <f>IFERROR(VLOOKUP(E5461,'Condensed Specialty Crosswalk'!$A$2:$C$106,2,FALSE),"")</f>
        <v/>
      </c>
      <c r="G5461" s="49" t="str">
        <f>IFERROR(VLOOKUP(E5461,'Condensed Specialty Crosswalk'!$A$2:$C$106,3,FALSE),"")</f>
        <v/>
      </c>
    </row>
    <row r="5462" spans="5:7" ht="15" customHeight="1">
      <c r="E5462" s="49" t="str">
        <f>IFERROR(VLOOKUP(D5462,'taxonomy map'!$A$1:$C$107,2,FALSE),"")</f>
        <v/>
      </c>
      <c r="F5462" s="49" t="str">
        <f>IFERROR(VLOOKUP(E5462,'Condensed Specialty Crosswalk'!$A$2:$C$106,2,FALSE),"")</f>
        <v/>
      </c>
      <c r="G5462" s="49" t="str">
        <f>IFERROR(VLOOKUP(E5462,'Condensed Specialty Crosswalk'!$A$2:$C$106,3,FALSE),"")</f>
        <v/>
      </c>
    </row>
    <row r="5463" spans="5:7" ht="15" customHeight="1">
      <c r="E5463" s="49" t="str">
        <f>IFERROR(VLOOKUP(D5463,'taxonomy map'!$A$1:$C$107,2,FALSE),"")</f>
        <v/>
      </c>
      <c r="F5463" s="49" t="str">
        <f>IFERROR(VLOOKUP(E5463,'Condensed Specialty Crosswalk'!$A$2:$C$106,2,FALSE),"")</f>
        <v/>
      </c>
      <c r="G5463" s="49" t="str">
        <f>IFERROR(VLOOKUP(E5463,'Condensed Specialty Crosswalk'!$A$2:$C$106,3,FALSE),"")</f>
        <v/>
      </c>
    </row>
    <row r="5464" spans="5:7" ht="15" customHeight="1">
      <c r="E5464" s="49" t="str">
        <f>IFERROR(VLOOKUP(D5464,'taxonomy map'!$A$1:$C$107,2,FALSE),"")</f>
        <v/>
      </c>
      <c r="F5464" s="49" t="str">
        <f>IFERROR(VLOOKUP(E5464,'Condensed Specialty Crosswalk'!$A$2:$C$106,2,FALSE),"")</f>
        <v/>
      </c>
      <c r="G5464" s="49" t="str">
        <f>IFERROR(VLOOKUP(E5464,'Condensed Specialty Crosswalk'!$A$2:$C$106,3,FALSE),"")</f>
        <v/>
      </c>
    </row>
    <row r="5465" spans="5:7" ht="15" customHeight="1">
      <c r="E5465" s="49" t="str">
        <f>IFERROR(VLOOKUP(D5465,'taxonomy map'!$A$1:$C$107,2,FALSE),"")</f>
        <v/>
      </c>
      <c r="F5465" s="49" t="str">
        <f>IFERROR(VLOOKUP(E5465,'Condensed Specialty Crosswalk'!$A$2:$C$106,2,FALSE),"")</f>
        <v/>
      </c>
      <c r="G5465" s="49" t="str">
        <f>IFERROR(VLOOKUP(E5465,'Condensed Specialty Crosswalk'!$A$2:$C$106,3,FALSE),"")</f>
        <v/>
      </c>
    </row>
    <row r="5466" spans="5:7" ht="15" customHeight="1">
      <c r="E5466" s="49" t="str">
        <f>IFERROR(VLOOKUP(D5466,'taxonomy map'!$A$1:$C$107,2,FALSE),"")</f>
        <v/>
      </c>
      <c r="F5466" s="49" t="str">
        <f>IFERROR(VLOOKUP(E5466,'Condensed Specialty Crosswalk'!$A$2:$C$106,2,FALSE),"")</f>
        <v/>
      </c>
      <c r="G5466" s="49" t="str">
        <f>IFERROR(VLOOKUP(E5466,'Condensed Specialty Crosswalk'!$A$2:$C$106,3,FALSE),"")</f>
        <v/>
      </c>
    </row>
    <row r="5467" spans="5:7" ht="15" customHeight="1">
      <c r="E5467" s="49" t="str">
        <f>IFERROR(VLOOKUP(D5467,'taxonomy map'!$A$1:$C$107,2,FALSE),"")</f>
        <v/>
      </c>
      <c r="F5467" s="49" t="str">
        <f>IFERROR(VLOOKUP(E5467,'Condensed Specialty Crosswalk'!$A$2:$C$106,2,FALSE),"")</f>
        <v/>
      </c>
      <c r="G5467" s="49" t="str">
        <f>IFERROR(VLOOKUP(E5467,'Condensed Specialty Crosswalk'!$A$2:$C$106,3,FALSE),"")</f>
        <v/>
      </c>
    </row>
    <row r="5468" spans="5:7" ht="15" customHeight="1">
      <c r="E5468" s="49" t="str">
        <f>IFERROR(VLOOKUP(D5468,'taxonomy map'!$A$1:$C$107,2,FALSE),"")</f>
        <v/>
      </c>
      <c r="F5468" s="49" t="str">
        <f>IFERROR(VLOOKUP(E5468,'Condensed Specialty Crosswalk'!$A$2:$C$106,2,FALSE),"")</f>
        <v/>
      </c>
      <c r="G5468" s="49" t="str">
        <f>IFERROR(VLOOKUP(E5468,'Condensed Specialty Crosswalk'!$A$2:$C$106,3,FALSE),"")</f>
        <v/>
      </c>
    </row>
    <row r="5469" spans="5:7" ht="15" customHeight="1">
      <c r="E5469" s="49" t="str">
        <f>IFERROR(VLOOKUP(D5469,'taxonomy map'!$A$1:$C$107,2,FALSE),"")</f>
        <v/>
      </c>
      <c r="F5469" s="49" t="str">
        <f>IFERROR(VLOOKUP(E5469,'Condensed Specialty Crosswalk'!$A$2:$C$106,2,FALSE),"")</f>
        <v/>
      </c>
      <c r="G5469" s="49" t="str">
        <f>IFERROR(VLOOKUP(E5469,'Condensed Specialty Crosswalk'!$A$2:$C$106,3,FALSE),"")</f>
        <v/>
      </c>
    </row>
    <row r="5470" spans="5:7" ht="15" customHeight="1">
      <c r="E5470" s="49" t="str">
        <f>IFERROR(VLOOKUP(D5470,'taxonomy map'!$A$1:$C$107,2,FALSE),"")</f>
        <v/>
      </c>
      <c r="F5470" s="49" t="str">
        <f>IFERROR(VLOOKUP(E5470,'Condensed Specialty Crosswalk'!$A$2:$C$106,2,FALSE),"")</f>
        <v/>
      </c>
      <c r="G5470" s="49" t="str">
        <f>IFERROR(VLOOKUP(E5470,'Condensed Specialty Crosswalk'!$A$2:$C$106,3,FALSE),"")</f>
        <v/>
      </c>
    </row>
    <row r="5471" spans="5:7" ht="15" customHeight="1">
      <c r="E5471" s="49" t="str">
        <f>IFERROR(VLOOKUP(D5471,'taxonomy map'!$A$1:$C$107,2,FALSE),"")</f>
        <v/>
      </c>
      <c r="F5471" s="49" t="str">
        <f>IFERROR(VLOOKUP(E5471,'Condensed Specialty Crosswalk'!$A$2:$C$106,2,FALSE),"")</f>
        <v/>
      </c>
      <c r="G5471" s="49" t="str">
        <f>IFERROR(VLOOKUP(E5471,'Condensed Specialty Crosswalk'!$A$2:$C$106,3,FALSE),"")</f>
        <v/>
      </c>
    </row>
    <row r="5472" spans="5:7" ht="15" customHeight="1">
      <c r="E5472" s="49" t="str">
        <f>IFERROR(VLOOKUP(D5472,'taxonomy map'!$A$1:$C$107,2,FALSE),"")</f>
        <v/>
      </c>
      <c r="F5472" s="49" t="str">
        <f>IFERROR(VLOOKUP(E5472,'Condensed Specialty Crosswalk'!$A$2:$C$106,2,FALSE),"")</f>
        <v/>
      </c>
      <c r="G5472" s="49" t="str">
        <f>IFERROR(VLOOKUP(E5472,'Condensed Specialty Crosswalk'!$A$2:$C$106,3,FALSE),"")</f>
        <v/>
      </c>
    </row>
    <row r="5473" spans="5:7" ht="15" customHeight="1">
      <c r="E5473" s="49" t="str">
        <f>IFERROR(VLOOKUP(D5473,'taxonomy map'!$A$1:$C$107,2,FALSE),"")</f>
        <v/>
      </c>
      <c r="F5473" s="49" t="str">
        <f>IFERROR(VLOOKUP(E5473,'Condensed Specialty Crosswalk'!$A$2:$C$106,2,FALSE),"")</f>
        <v/>
      </c>
      <c r="G5473" s="49" t="str">
        <f>IFERROR(VLOOKUP(E5473,'Condensed Specialty Crosswalk'!$A$2:$C$106,3,FALSE),"")</f>
        <v/>
      </c>
    </row>
    <row r="5474" spans="5:7" ht="15" customHeight="1">
      <c r="E5474" s="49" t="str">
        <f>IFERROR(VLOOKUP(D5474,'taxonomy map'!$A$1:$C$107,2,FALSE),"")</f>
        <v/>
      </c>
      <c r="F5474" s="49" t="str">
        <f>IFERROR(VLOOKUP(E5474,'Condensed Specialty Crosswalk'!$A$2:$C$106,2,FALSE),"")</f>
        <v/>
      </c>
      <c r="G5474" s="49" t="str">
        <f>IFERROR(VLOOKUP(E5474,'Condensed Specialty Crosswalk'!$A$2:$C$106,3,FALSE),"")</f>
        <v/>
      </c>
    </row>
    <row r="5475" spans="5:7" ht="15" customHeight="1">
      <c r="E5475" s="49" t="str">
        <f>IFERROR(VLOOKUP(D5475,'taxonomy map'!$A$1:$C$107,2,FALSE),"")</f>
        <v/>
      </c>
      <c r="F5475" s="49" t="str">
        <f>IFERROR(VLOOKUP(E5475,'Condensed Specialty Crosswalk'!$A$2:$C$106,2,FALSE),"")</f>
        <v/>
      </c>
      <c r="G5475" s="49" t="str">
        <f>IFERROR(VLOOKUP(E5475,'Condensed Specialty Crosswalk'!$A$2:$C$106,3,FALSE),"")</f>
        <v/>
      </c>
    </row>
    <row r="5476" spans="5:7" ht="15" customHeight="1">
      <c r="E5476" s="49" t="str">
        <f>IFERROR(VLOOKUP(D5476,'taxonomy map'!$A$1:$C$107,2,FALSE),"")</f>
        <v/>
      </c>
      <c r="F5476" s="49" t="str">
        <f>IFERROR(VLOOKUP(E5476,'Condensed Specialty Crosswalk'!$A$2:$C$106,2,FALSE),"")</f>
        <v/>
      </c>
      <c r="G5476" s="49" t="str">
        <f>IFERROR(VLOOKUP(E5476,'Condensed Specialty Crosswalk'!$A$2:$C$106,3,FALSE),"")</f>
        <v/>
      </c>
    </row>
    <row r="5477" spans="5:7" ht="15" customHeight="1">
      <c r="E5477" s="49" t="str">
        <f>IFERROR(VLOOKUP(D5477,'taxonomy map'!$A$1:$C$107,2,FALSE),"")</f>
        <v/>
      </c>
      <c r="F5477" s="49" t="str">
        <f>IFERROR(VLOOKUP(E5477,'Condensed Specialty Crosswalk'!$A$2:$C$106,2,FALSE),"")</f>
        <v/>
      </c>
      <c r="G5477" s="49" t="str">
        <f>IFERROR(VLOOKUP(E5477,'Condensed Specialty Crosswalk'!$A$2:$C$106,3,FALSE),"")</f>
        <v/>
      </c>
    </row>
    <row r="5478" spans="5:7" ht="15" customHeight="1">
      <c r="E5478" s="49" t="str">
        <f>IFERROR(VLOOKUP(D5478,'taxonomy map'!$A$1:$C$107,2,FALSE),"")</f>
        <v/>
      </c>
      <c r="F5478" s="49" t="str">
        <f>IFERROR(VLOOKUP(E5478,'Condensed Specialty Crosswalk'!$A$2:$C$106,2,FALSE),"")</f>
        <v/>
      </c>
      <c r="G5478" s="49" t="str">
        <f>IFERROR(VLOOKUP(E5478,'Condensed Specialty Crosswalk'!$A$2:$C$106,3,FALSE),"")</f>
        <v/>
      </c>
    </row>
    <row r="5479" spans="5:7" ht="15" customHeight="1">
      <c r="E5479" s="49" t="str">
        <f>IFERROR(VLOOKUP(D5479,'taxonomy map'!$A$1:$C$107,2,FALSE),"")</f>
        <v/>
      </c>
      <c r="F5479" s="49" t="str">
        <f>IFERROR(VLOOKUP(E5479,'Condensed Specialty Crosswalk'!$A$2:$C$106,2,FALSE),"")</f>
        <v/>
      </c>
      <c r="G5479" s="49" t="str">
        <f>IFERROR(VLOOKUP(E5479,'Condensed Specialty Crosswalk'!$A$2:$C$106,3,FALSE),"")</f>
        <v/>
      </c>
    </row>
    <row r="5480" spans="5:7" ht="15" customHeight="1">
      <c r="E5480" s="49" t="str">
        <f>IFERROR(VLOOKUP(D5480,'taxonomy map'!$A$1:$C$107,2,FALSE),"")</f>
        <v/>
      </c>
      <c r="F5480" s="49" t="str">
        <f>IFERROR(VLOOKUP(E5480,'Condensed Specialty Crosswalk'!$A$2:$C$106,2,FALSE),"")</f>
        <v/>
      </c>
      <c r="G5480" s="49" t="str">
        <f>IFERROR(VLOOKUP(E5480,'Condensed Specialty Crosswalk'!$A$2:$C$106,3,FALSE),"")</f>
        <v/>
      </c>
    </row>
    <row r="5481" spans="5:7" ht="15" customHeight="1">
      <c r="E5481" s="49" t="str">
        <f>IFERROR(VLOOKUP(D5481,'taxonomy map'!$A$1:$C$107,2,FALSE),"")</f>
        <v/>
      </c>
      <c r="F5481" s="49" t="str">
        <f>IFERROR(VLOOKUP(E5481,'Condensed Specialty Crosswalk'!$A$2:$C$106,2,FALSE),"")</f>
        <v/>
      </c>
      <c r="G5481" s="49" t="str">
        <f>IFERROR(VLOOKUP(E5481,'Condensed Specialty Crosswalk'!$A$2:$C$106,3,FALSE),"")</f>
        <v/>
      </c>
    </row>
    <row r="5482" spans="5:7" ht="15" customHeight="1">
      <c r="E5482" s="49" t="str">
        <f>IFERROR(VLOOKUP(D5482,'taxonomy map'!$A$1:$C$107,2,FALSE),"")</f>
        <v/>
      </c>
      <c r="F5482" s="49" t="str">
        <f>IFERROR(VLOOKUP(E5482,'Condensed Specialty Crosswalk'!$A$2:$C$106,2,FALSE),"")</f>
        <v/>
      </c>
      <c r="G5482" s="49" t="str">
        <f>IFERROR(VLOOKUP(E5482,'Condensed Specialty Crosswalk'!$A$2:$C$106,3,FALSE),"")</f>
        <v/>
      </c>
    </row>
    <row r="5483" spans="5:7" ht="15" customHeight="1">
      <c r="E5483" s="49" t="str">
        <f>IFERROR(VLOOKUP(D5483,'taxonomy map'!$A$1:$C$107,2,FALSE),"")</f>
        <v/>
      </c>
      <c r="F5483" s="49" t="str">
        <f>IFERROR(VLOOKUP(E5483,'Condensed Specialty Crosswalk'!$A$2:$C$106,2,FALSE),"")</f>
        <v/>
      </c>
      <c r="G5483" s="49" t="str">
        <f>IFERROR(VLOOKUP(E5483,'Condensed Specialty Crosswalk'!$A$2:$C$106,3,FALSE),"")</f>
        <v/>
      </c>
    </row>
    <row r="5484" spans="5:7" ht="15" customHeight="1">
      <c r="E5484" s="49" t="str">
        <f>IFERROR(VLOOKUP(D5484,'taxonomy map'!$A$1:$C$107,2,FALSE),"")</f>
        <v/>
      </c>
      <c r="F5484" s="49" t="str">
        <f>IFERROR(VLOOKUP(E5484,'Condensed Specialty Crosswalk'!$A$2:$C$106,2,FALSE),"")</f>
        <v/>
      </c>
      <c r="G5484" s="49" t="str">
        <f>IFERROR(VLOOKUP(E5484,'Condensed Specialty Crosswalk'!$A$2:$C$106,3,FALSE),"")</f>
        <v/>
      </c>
    </row>
    <row r="5485" spans="5:7" ht="15" customHeight="1">
      <c r="E5485" s="49" t="str">
        <f>IFERROR(VLOOKUP(D5485,'taxonomy map'!$A$1:$C$107,2,FALSE),"")</f>
        <v/>
      </c>
      <c r="F5485" s="49" t="str">
        <f>IFERROR(VLOOKUP(E5485,'Condensed Specialty Crosswalk'!$A$2:$C$106,2,FALSE),"")</f>
        <v/>
      </c>
      <c r="G5485" s="49" t="str">
        <f>IFERROR(VLOOKUP(E5485,'Condensed Specialty Crosswalk'!$A$2:$C$106,3,FALSE),"")</f>
        <v/>
      </c>
    </row>
    <row r="5486" spans="5:7" ht="15" customHeight="1">
      <c r="E5486" s="49" t="str">
        <f>IFERROR(VLOOKUP(D5486,'taxonomy map'!$A$1:$C$107,2,FALSE),"")</f>
        <v/>
      </c>
      <c r="F5486" s="49" t="str">
        <f>IFERROR(VLOOKUP(E5486,'Condensed Specialty Crosswalk'!$A$2:$C$106,2,FALSE),"")</f>
        <v/>
      </c>
      <c r="G5486" s="49" t="str">
        <f>IFERROR(VLOOKUP(E5486,'Condensed Specialty Crosswalk'!$A$2:$C$106,3,FALSE),"")</f>
        <v/>
      </c>
    </row>
    <row r="5487" spans="5:7" ht="15" customHeight="1">
      <c r="E5487" s="49" t="str">
        <f>IFERROR(VLOOKUP(D5487,'taxonomy map'!$A$1:$C$107,2,FALSE),"")</f>
        <v/>
      </c>
      <c r="F5487" s="49" t="str">
        <f>IFERROR(VLOOKUP(E5487,'Condensed Specialty Crosswalk'!$A$2:$C$106,2,FALSE),"")</f>
        <v/>
      </c>
      <c r="G5487" s="49" t="str">
        <f>IFERROR(VLOOKUP(E5487,'Condensed Specialty Crosswalk'!$A$2:$C$106,3,FALSE),"")</f>
        <v/>
      </c>
    </row>
    <row r="5488" spans="5:7" ht="15" customHeight="1">
      <c r="E5488" s="49" t="str">
        <f>IFERROR(VLOOKUP(D5488,'taxonomy map'!$A$1:$C$107,2,FALSE),"")</f>
        <v/>
      </c>
      <c r="F5488" s="49" t="str">
        <f>IFERROR(VLOOKUP(E5488,'Condensed Specialty Crosswalk'!$A$2:$C$106,2,FALSE),"")</f>
        <v/>
      </c>
      <c r="G5488" s="49" t="str">
        <f>IFERROR(VLOOKUP(E5488,'Condensed Specialty Crosswalk'!$A$2:$C$106,3,FALSE),"")</f>
        <v/>
      </c>
    </row>
    <row r="5489" spans="5:7" ht="15" customHeight="1">
      <c r="E5489" s="49" t="str">
        <f>IFERROR(VLOOKUP(D5489,'taxonomy map'!$A$1:$C$107,2,FALSE),"")</f>
        <v/>
      </c>
      <c r="F5489" s="49" t="str">
        <f>IFERROR(VLOOKUP(E5489,'Condensed Specialty Crosswalk'!$A$2:$C$106,2,FALSE),"")</f>
        <v/>
      </c>
      <c r="G5489" s="49" t="str">
        <f>IFERROR(VLOOKUP(E5489,'Condensed Specialty Crosswalk'!$A$2:$C$106,3,FALSE),"")</f>
        <v/>
      </c>
    </row>
    <row r="5490" spans="5:7" ht="15" customHeight="1">
      <c r="E5490" s="49" t="str">
        <f>IFERROR(VLOOKUP(D5490,'taxonomy map'!$A$1:$C$107,2,FALSE),"")</f>
        <v/>
      </c>
      <c r="F5490" s="49" t="str">
        <f>IFERROR(VLOOKUP(E5490,'Condensed Specialty Crosswalk'!$A$2:$C$106,2,FALSE),"")</f>
        <v/>
      </c>
      <c r="G5490" s="49" t="str">
        <f>IFERROR(VLOOKUP(E5490,'Condensed Specialty Crosswalk'!$A$2:$C$106,3,FALSE),"")</f>
        <v/>
      </c>
    </row>
    <row r="5491" spans="5:7" ht="15" customHeight="1">
      <c r="E5491" s="49" t="str">
        <f>IFERROR(VLOOKUP(D5491,'taxonomy map'!$A$1:$C$107,2,FALSE),"")</f>
        <v/>
      </c>
      <c r="F5491" s="49" t="str">
        <f>IFERROR(VLOOKUP(E5491,'Condensed Specialty Crosswalk'!$A$2:$C$106,2,FALSE),"")</f>
        <v/>
      </c>
      <c r="G5491" s="49" t="str">
        <f>IFERROR(VLOOKUP(E5491,'Condensed Specialty Crosswalk'!$A$2:$C$106,3,FALSE),"")</f>
        <v/>
      </c>
    </row>
    <row r="5492" spans="5:7" ht="15" customHeight="1">
      <c r="E5492" s="49" t="str">
        <f>IFERROR(VLOOKUP(D5492,'taxonomy map'!$A$1:$C$107,2,FALSE),"")</f>
        <v/>
      </c>
      <c r="F5492" s="49" t="str">
        <f>IFERROR(VLOOKUP(E5492,'Condensed Specialty Crosswalk'!$A$2:$C$106,2,FALSE),"")</f>
        <v/>
      </c>
      <c r="G5492" s="49" t="str">
        <f>IFERROR(VLOOKUP(E5492,'Condensed Specialty Crosswalk'!$A$2:$C$106,3,FALSE),"")</f>
        <v/>
      </c>
    </row>
    <row r="5493" spans="5:7" ht="15" customHeight="1">
      <c r="E5493" s="49" t="str">
        <f>IFERROR(VLOOKUP(D5493,'taxonomy map'!$A$1:$C$107,2,FALSE),"")</f>
        <v/>
      </c>
      <c r="F5493" s="49" t="str">
        <f>IFERROR(VLOOKUP(E5493,'Condensed Specialty Crosswalk'!$A$2:$C$106,2,FALSE),"")</f>
        <v/>
      </c>
      <c r="G5493" s="49" t="str">
        <f>IFERROR(VLOOKUP(E5493,'Condensed Specialty Crosswalk'!$A$2:$C$106,3,FALSE),"")</f>
        <v/>
      </c>
    </row>
    <row r="5494" spans="5:7" ht="15" customHeight="1">
      <c r="E5494" s="49" t="str">
        <f>IFERROR(VLOOKUP(D5494,'taxonomy map'!$A$1:$C$107,2,FALSE),"")</f>
        <v/>
      </c>
      <c r="F5494" s="49" t="str">
        <f>IFERROR(VLOOKUP(E5494,'Condensed Specialty Crosswalk'!$A$2:$C$106,2,FALSE),"")</f>
        <v/>
      </c>
      <c r="G5494" s="49" t="str">
        <f>IFERROR(VLOOKUP(E5494,'Condensed Specialty Crosswalk'!$A$2:$C$106,3,FALSE),"")</f>
        <v/>
      </c>
    </row>
    <row r="5495" spans="5:7" ht="15" customHeight="1">
      <c r="E5495" s="49" t="str">
        <f>IFERROR(VLOOKUP(D5495,'taxonomy map'!$A$1:$C$107,2,FALSE),"")</f>
        <v/>
      </c>
      <c r="F5495" s="49" t="str">
        <f>IFERROR(VLOOKUP(E5495,'Condensed Specialty Crosswalk'!$A$2:$C$106,2,FALSE),"")</f>
        <v/>
      </c>
      <c r="G5495" s="49" t="str">
        <f>IFERROR(VLOOKUP(E5495,'Condensed Specialty Crosswalk'!$A$2:$C$106,3,FALSE),"")</f>
        <v/>
      </c>
    </row>
    <row r="5496" spans="5:7" ht="15" customHeight="1">
      <c r="E5496" s="49" t="str">
        <f>IFERROR(VLOOKUP(D5496,'taxonomy map'!$A$1:$C$107,2,FALSE),"")</f>
        <v/>
      </c>
      <c r="F5496" s="49" t="str">
        <f>IFERROR(VLOOKUP(E5496,'Condensed Specialty Crosswalk'!$A$2:$C$106,2,FALSE),"")</f>
        <v/>
      </c>
      <c r="G5496" s="49" t="str">
        <f>IFERROR(VLOOKUP(E5496,'Condensed Specialty Crosswalk'!$A$2:$C$106,3,FALSE),"")</f>
        <v/>
      </c>
    </row>
    <row r="5497" spans="5:7" ht="15" customHeight="1">
      <c r="E5497" s="49" t="str">
        <f>IFERROR(VLOOKUP(D5497,'taxonomy map'!$A$1:$C$107,2,FALSE),"")</f>
        <v/>
      </c>
      <c r="F5497" s="49" t="str">
        <f>IFERROR(VLOOKUP(E5497,'Condensed Specialty Crosswalk'!$A$2:$C$106,2,FALSE),"")</f>
        <v/>
      </c>
      <c r="G5497" s="49" t="str">
        <f>IFERROR(VLOOKUP(E5497,'Condensed Specialty Crosswalk'!$A$2:$C$106,3,FALSE),"")</f>
        <v/>
      </c>
    </row>
    <row r="5498" spans="5:7" ht="15" customHeight="1">
      <c r="E5498" s="49" t="str">
        <f>IFERROR(VLOOKUP(D5498,'taxonomy map'!$A$1:$C$107,2,FALSE),"")</f>
        <v/>
      </c>
      <c r="F5498" s="49" t="str">
        <f>IFERROR(VLOOKUP(E5498,'Condensed Specialty Crosswalk'!$A$2:$C$106,2,FALSE),"")</f>
        <v/>
      </c>
      <c r="G5498" s="49" t="str">
        <f>IFERROR(VLOOKUP(E5498,'Condensed Specialty Crosswalk'!$A$2:$C$106,3,FALSE),"")</f>
        <v/>
      </c>
    </row>
    <row r="5499" spans="5:7" ht="15" customHeight="1">
      <c r="E5499" s="49" t="str">
        <f>IFERROR(VLOOKUP(D5499,'taxonomy map'!$A$1:$C$107,2,FALSE),"")</f>
        <v/>
      </c>
      <c r="F5499" s="49" t="str">
        <f>IFERROR(VLOOKUP(E5499,'Condensed Specialty Crosswalk'!$A$2:$C$106,2,FALSE),"")</f>
        <v/>
      </c>
      <c r="G5499" s="49" t="str">
        <f>IFERROR(VLOOKUP(E5499,'Condensed Specialty Crosswalk'!$A$2:$C$106,3,FALSE),"")</f>
        <v/>
      </c>
    </row>
    <row r="5500" spans="5:7" ht="15" customHeight="1">
      <c r="E5500" s="49" t="str">
        <f>IFERROR(VLOOKUP(D5500,'taxonomy map'!$A$1:$C$107,2,FALSE),"")</f>
        <v/>
      </c>
      <c r="F5500" s="49" t="str">
        <f>IFERROR(VLOOKUP(E5500,'Condensed Specialty Crosswalk'!$A$2:$C$106,2,FALSE),"")</f>
        <v/>
      </c>
      <c r="G5500" s="49" t="str">
        <f>IFERROR(VLOOKUP(E5500,'Condensed Specialty Crosswalk'!$A$2:$C$106,3,FALSE),"")</f>
        <v/>
      </c>
    </row>
    <row r="5501" spans="5:7" ht="15" customHeight="1">
      <c r="E5501" s="49" t="str">
        <f>IFERROR(VLOOKUP(D5501,'taxonomy map'!$A$1:$C$107,2,FALSE),"")</f>
        <v/>
      </c>
      <c r="F5501" s="49" t="str">
        <f>IFERROR(VLOOKUP(E5501,'Condensed Specialty Crosswalk'!$A$2:$C$106,2,FALSE),"")</f>
        <v/>
      </c>
      <c r="G5501" s="49" t="str">
        <f>IFERROR(VLOOKUP(E5501,'Condensed Specialty Crosswalk'!$A$2:$C$106,3,FALSE),"")</f>
        <v/>
      </c>
    </row>
    <row r="5502" spans="5:7" ht="15" customHeight="1">
      <c r="E5502" s="49" t="str">
        <f>IFERROR(VLOOKUP(D5502,'taxonomy map'!$A$1:$C$107,2,FALSE),"")</f>
        <v/>
      </c>
      <c r="F5502" s="49" t="str">
        <f>IFERROR(VLOOKUP(E5502,'Condensed Specialty Crosswalk'!$A$2:$C$106,2,FALSE),"")</f>
        <v/>
      </c>
      <c r="G5502" s="49" t="str">
        <f>IFERROR(VLOOKUP(E5502,'Condensed Specialty Crosswalk'!$A$2:$C$106,3,FALSE),"")</f>
        <v/>
      </c>
    </row>
    <row r="5503" spans="5:7" ht="15" customHeight="1">
      <c r="E5503" s="49" t="str">
        <f>IFERROR(VLOOKUP(D5503,'taxonomy map'!$A$1:$C$107,2,FALSE),"")</f>
        <v/>
      </c>
      <c r="F5503" s="49" t="str">
        <f>IFERROR(VLOOKUP(E5503,'Condensed Specialty Crosswalk'!$A$2:$C$106,2,FALSE),"")</f>
        <v/>
      </c>
      <c r="G5503" s="49" t="str">
        <f>IFERROR(VLOOKUP(E5503,'Condensed Specialty Crosswalk'!$A$2:$C$106,3,FALSE),"")</f>
        <v/>
      </c>
    </row>
    <row r="5504" spans="5:7" ht="15" customHeight="1">
      <c r="E5504" s="49" t="str">
        <f>IFERROR(VLOOKUP(D5504,'taxonomy map'!$A$1:$C$107,2,FALSE),"")</f>
        <v/>
      </c>
      <c r="F5504" s="49" t="str">
        <f>IFERROR(VLOOKUP(E5504,'Condensed Specialty Crosswalk'!$A$2:$C$106,2,FALSE),"")</f>
        <v/>
      </c>
      <c r="G5504" s="49" t="str">
        <f>IFERROR(VLOOKUP(E5504,'Condensed Specialty Crosswalk'!$A$2:$C$106,3,FALSE),"")</f>
        <v/>
      </c>
    </row>
    <row r="5505" spans="5:7" ht="15" customHeight="1">
      <c r="E5505" s="49" t="str">
        <f>IFERROR(VLOOKUP(D5505,'taxonomy map'!$A$1:$C$107,2,FALSE),"")</f>
        <v/>
      </c>
      <c r="F5505" s="49" t="str">
        <f>IFERROR(VLOOKUP(E5505,'Condensed Specialty Crosswalk'!$A$2:$C$106,2,FALSE),"")</f>
        <v/>
      </c>
      <c r="G5505" s="49" t="str">
        <f>IFERROR(VLOOKUP(E5505,'Condensed Specialty Crosswalk'!$A$2:$C$106,3,FALSE),"")</f>
        <v/>
      </c>
    </row>
    <row r="5506" spans="5:7" ht="15" customHeight="1">
      <c r="E5506" s="49" t="str">
        <f>IFERROR(VLOOKUP(D5506,'taxonomy map'!$A$1:$C$107,2,FALSE),"")</f>
        <v/>
      </c>
      <c r="F5506" s="49" t="str">
        <f>IFERROR(VLOOKUP(E5506,'Condensed Specialty Crosswalk'!$A$2:$C$106,2,FALSE),"")</f>
        <v/>
      </c>
      <c r="G5506" s="49" t="str">
        <f>IFERROR(VLOOKUP(E5506,'Condensed Specialty Crosswalk'!$A$2:$C$106,3,FALSE),"")</f>
        <v/>
      </c>
    </row>
    <row r="5507" spans="5:7" ht="15" customHeight="1">
      <c r="E5507" s="49" t="str">
        <f>IFERROR(VLOOKUP(D5507,'taxonomy map'!$A$1:$C$107,2,FALSE),"")</f>
        <v/>
      </c>
      <c r="F5507" s="49" t="str">
        <f>IFERROR(VLOOKUP(E5507,'Condensed Specialty Crosswalk'!$A$2:$C$106,2,FALSE),"")</f>
        <v/>
      </c>
      <c r="G5507" s="49" t="str">
        <f>IFERROR(VLOOKUP(E5507,'Condensed Specialty Crosswalk'!$A$2:$C$106,3,FALSE),"")</f>
        <v/>
      </c>
    </row>
    <row r="5508" spans="5:7" ht="15" customHeight="1">
      <c r="E5508" s="49" t="str">
        <f>IFERROR(VLOOKUP(D5508,'taxonomy map'!$A$1:$C$107,2,FALSE),"")</f>
        <v/>
      </c>
      <c r="F5508" s="49" t="str">
        <f>IFERROR(VLOOKUP(E5508,'Condensed Specialty Crosswalk'!$A$2:$C$106,2,FALSE),"")</f>
        <v/>
      </c>
      <c r="G5508" s="49" t="str">
        <f>IFERROR(VLOOKUP(E5508,'Condensed Specialty Crosswalk'!$A$2:$C$106,3,FALSE),"")</f>
        <v/>
      </c>
    </row>
    <row r="5509" spans="5:7" ht="15" customHeight="1">
      <c r="E5509" s="49" t="str">
        <f>IFERROR(VLOOKUP(D5509,'taxonomy map'!$A$1:$C$107,2,FALSE),"")</f>
        <v/>
      </c>
      <c r="F5509" s="49" t="str">
        <f>IFERROR(VLOOKUP(E5509,'Condensed Specialty Crosswalk'!$A$2:$C$106,2,FALSE),"")</f>
        <v/>
      </c>
      <c r="G5509" s="49" t="str">
        <f>IFERROR(VLOOKUP(E5509,'Condensed Specialty Crosswalk'!$A$2:$C$106,3,FALSE),"")</f>
        <v/>
      </c>
    </row>
    <row r="5510" spans="5:7" ht="15" customHeight="1">
      <c r="E5510" s="49" t="str">
        <f>IFERROR(VLOOKUP(D5510,'taxonomy map'!$A$1:$C$107,2,FALSE),"")</f>
        <v/>
      </c>
      <c r="F5510" s="49" t="str">
        <f>IFERROR(VLOOKUP(E5510,'Condensed Specialty Crosswalk'!$A$2:$C$106,2,FALSE),"")</f>
        <v/>
      </c>
      <c r="G5510" s="49" t="str">
        <f>IFERROR(VLOOKUP(E5510,'Condensed Specialty Crosswalk'!$A$2:$C$106,3,FALSE),"")</f>
        <v/>
      </c>
    </row>
    <row r="5511" spans="5:7" ht="15" customHeight="1">
      <c r="E5511" s="49" t="str">
        <f>IFERROR(VLOOKUP(D5511,'taxonomy map'!$A$1:$C$107,2,FALSE),"")</f>
        <v/>
      </c>
      <c r="F5511" s="49" t="str">
        <f>IFERROR(VLOOKUP(E5511,'Condensed Specialty Crosswalk'!$A$2:$C$106,2,FALSE),"")</f>
        <v/>
      </c>
      <c r="G5511" s="49" t="str">
        <f>IFERROR(VLOOKUP(E5511,'Condensed Specialty Crosswalk'!$A$2:$C$106,3,FALSE),"")</f>
        <v/>
      </c>
    </row>
    <row r="5512" spans="5:7" ht="15" customHeight="1">
      <c r="E5512" s="49" t="str">
        <f>IFERROR(VLOOKUP(D5512,'taxonomy map'!$A$1:$C$107,2,FALSE),"")</f>
        <v/>
      </c>
      <c r="F5512" s="49" t="str">
        <f>IFERROR(VLOOKUP(E5512,'Condensed Specialty Crosswalk'!$A$2:$C$106,2,FALSE),"")</f>
        <v/>
      </c>
      <c r="G5512" s="49" t="str">
        <f>IFERROR(VLOOKUP(E5512,'Condensed Specialty Crosswalk'!$A$2:$C$106,3,FALSE),"")</f>
        <v/>
      </c>
    </row>
    <row r="5513" spans="5:7" ht="15" customHeight="1">
      <c r="E5513" s="49" t="str">
        <f>IFERROR(VLOOKUP(D5513,'taxonomy map'!$A$1:$C$107,2,FALSE),"")</f>
        <v/>
      </c>
      <c r="F5513" s="49" t="str">
        <f>IFERROR(VLOOKUP(E5513,'Condensed Specialty Crosswalk'!$A$2:$C$106,2,FALSE),"")</f>
        <v/>
      </c>
      <c r="G5513" s="49" t="str">
        <f>IFERROR(VLOOKUP(E5513,'Condensed Specialty Crosswalk'!$A$2:$C$106,3,FALSE),"")</f>
        <v/>
      </c>
    </row>
    <row r="5514" spans="5:7" ht="15" customHeight="1">
      <c r="E5514" s="49" t="str">
        <f>IFERROR(VLOOKUP(D5514,'taxonomy map'!$A$1:$C$107,2,FALSE),"")</f>
        <v/>
      </c>
      <c r="F5514" s="49" t="str">
        <f>IFERROR(VLOOKUP(E5514,'Condensed Specialty Crosswalk'!$A$2:$C$106,2,FALSE),"")</f>
        <v/>
      </c>
      <c r="G5514" s="49" t="str">
        <f>IFERROR(VLOOKUP(E5514,'Condensed Specialty Crosswalk'!$A$2:$C$106,3,FALSE),"")</f>
        <v/>
      </c>
    </row>
    <row r="5515" spans="5:7" ht="15" customHeight="1">
      <c r="E5515" s="49" t="str">
        <f>IFERROR(VLOOKUP(D5515,'taxonomy map'!$A$1:$C$107,2,FALSE),"")</f>
        <v/>
      </c>
      <c r="F5515" s="49" t="str">
        <f>IFERROR(VLOOKUP(E5515,'Condensed Specialty Crosswalk'!$A$2:$C$106,2,FALSE),"")</f>
        <v/>
      </c>
      <c r="G5515" s="49" t="str">
        <f>IFERROR(VLOOKUP(E5515,'Condensed Specialty Crosswalk'!$A$2:$C$106,3,FALSE),"")</f>
        <v/>
      </c>
    </row>
    <row r="5516" spans="5:7" ht="15" customHeight="1">
      <c r="E5516" s="49" t="str">
        <f>IFERROR(VLOOKUP(D5516,'taxonomy map'!$A$1:$C$107,2,FALSE),"")</f>
        <v/>
      </c>
      <c r="F5516" s="49" t="str">
        <f>IFERROR(VLOOKUP(E5516,'Condensed Specialty Crosswalk'!$A$2:$C$106,2,FALSE),"")</f>
        <v/>
      </c>
      <c r="G5516" s="49" t="str">
        <f>IFERROR(VLOOKUP(E5516,'Condensed Specialty Crosswalk'!$A$2:$C$106,3,FALSE),"")</f>
        <v/>
      </c>
    </row>
    <row r="5517" spans="5:7" ht="15" customHeight="1">
      <c r="E5517" s="49" t="str">
        <f>IFERROR(VLOOKUP(D5517,'taxonomy map'!$A$1:$C$107,2,FALSE),"")</f>
        <v/>
      </c>
      <c r="F5517" s="49" t="str">
        <f>IFERROR(VLOOKUP(E5517,'Condensed Specialty Crosswalk'!$A$2:$C$106,2,FALSE),"")</f>
        <v/>
      </c>
      <c r="G5517" s="49" t="str">
        <f>IFERROR(VLOOKUP(E5517,'Condensed Specialty Crosswalk'!$A$2:$C$106,3,FALSE),"")</f>
        <v/>
      </c>
    </row>
    <row r="5518" spans="5:7" ht="15" customHeight="1">
      <c r="E5518" s="49" t="str">
        <f>IFERROR(VLOOKUP(D5518,'taxonomy map'!$A$1:$C$107,2,FALSE),"")</f>
        <v/>
      </c>
      <c r="F5518" s="49" t="str">
        <f>IFERROR(VLOOKUP(E5518,'Condensed Specialty Crosswalk'!$A$2:$C$106,2,FALSE),"")</f>
        <v/>
      </c>
      <c r="G5518" s="49" t="str">
        <f>IFERROR(VLOOKUP(E5518,'Condensed Specialty Crosswalk'!$A$2:$C$106,3,FALSE),"")</f>
        <v/>
      </c>
    </row>
    <row r="5519" spans="5:7" ht="15" customHeight="1">
      <c r="E5519" s="49" t="str">
        <f>IFERROR(VLOOKUP(D5519,'taxonomy map'!$A$1:$C$107,2,FALSE),"")</f>
        <v/>
      </c>
      <c r="F5519" s="49" t="str">
        <f>IFERROR(VLOOKUP(E5519,'Condensed Specialty Crosswalk'!$A$2:$C$106,2,FALSE),"")</f>
        <v/>
      </c>
      <c r="G5519" s="49" t="str">
        <f>IFERROR(VLOOKUP(E5519,'Condensed Specialty Crosswalk'!$A$2:$C$106,3,FALSE),"")</f>
        <v/>
      </c>
    </row>
    <row r="5520" spans="5:7" ht="15" customHeight="1">
      <c r="E5520" s="49" t="str">
        <f>IFERROR(VLOOKUP(D5520,'taxonomy map'!$A$1:$C$107,2,FALSE),"")</f>
        <v/>
      </c>
      <c r="F5520" s="49" t="str">
        <f>IFERROR(VLOOKUP(E5520,'Condensed Specialty Crosswalk'!$A$2:$C$106,2,FALSE),"")</f>
        <v/>
      </c>
      <c r="G5520" s="49" t="str">
        <f>IFERROR(VLOOKUP(E5520,'Condensed Specialty Crosswalk'!$A$2:$C$106,3,FALSE),"")</f>
        <v/>
      </c>
    </row>
    <row r="5521" spans="5:7" ht="15" customHeight="1">
      <c r="E5521" s="49" t="str">
        <f>IFERROR(VLOOKUP(D5521,'taxonomy map'!$A$1:$C$107,2,FALSE),"")</f>
        <v/>
      </c>
      <c r="F5521" s="49" t="str">
        <f>IFERROR(VLOOKUP(E5521,'Condensed Specialty Crosswalk'!$A$2:$C$106,2,FALSE),"")</f>
        <v/>
      </c>
      <c r="G5521" s="49" t="str">
        <f>IFERROR(VLOOKUP(E5521,'Condensed Specialty Crosswalk'!$A$2:$C$106,3,FALSE),"")</f>
        <v/>
      </c>
    </row>
    <row r="5522" spans="5:7" ht="15" customHeight="1">
      <c r="E5522" s="49" t="str">
        <f>IFERROR(VLOOKUP(D5522,'taxonomy map'!$A$1:$C$107,2,FALSE),"")</f>
        <v/>
      </c>
      <c r="F5522" s="49" t="str">
        <f>IFERROR(VLOOKUP(E5522,'Condensed Specialty Crosswalk'!$A$2:$C$106,2,FALSE),"")</f>
        <v/>
      </c>
      <c r="G5522" s="49" t="str">
        <f>IFERROR(VLOOKUP(E5522,'Condensed Specialty Crosswalk'!$A$2:$C$106,3,FALSE),"")</f>
        <v/>
      </c>
    </row>
    <row r="5523" spans="5:7" ht="15" customHeight="1">
      <c r="E5523" s="49" t="str">
        <f>IFERROR(VLOOKUP(D5523,'taxonomy map'!$A$1:$C$107,2,FALSE),"")</f>
        <v/>
      </c>
      <c r="F5523" s="49" t="str">
        <f>IFERROR(VLOOKUP(E5523,'Condensed Specialty Crosswalk'!$A$2:$C$106,2,FALSE),"")</f>
        <v/>
      </c>
      <c r="G5523" s="49" t="str">
        <f>IFERROR(VLOOKUP(E5523,'Condensed Specialty Crosswalk'!$A$2:$C$106,3,FALSE),"")</f>
        <v/>
      </c>
    </row>
    <row r="5524" spans="5:7" ht="15" customHeight="1">
      <c r="E5524" s="49" t="str">
        <f>IFERROR(VLOOKUP(D5524,'taxonomy map'!$A$1:$C$107,2,FALSE),"")</f>
        <v/>
      </c>
      <c r="F5524" s="49" t="str">
        <f>IFERROR(VLOOKUP(E5524,'Condensed Specialty Crosswalk'!$A$2:$C$106,2,FALSE),"")</f>
        <v/>
      </c>
      <c r="G5524" s="49" t="str">
        <f>IFERROR(VLOOKUP(E5524,'Condensed Specialty Crosswalk'!$A$2:$C$106,3,FALSE),"")</f>
        <v/>
      </c>
    </row>
    <row r="5525" spans="5:7" ht="15" customHeight="1">
      <c r="E5525" s="49" t="str">
        <f>IFERROR(VLOOKUP(D5525,'taxonomy map'!$A$1:$C$107,2,FALSE),"")</f>
        <v/>
      </c>
      <c r="F5525" s="49" t="str">
        <f>IFERROR(VLOOKUP(E5525,'Condensed Specialty Crosswalk'!$A$2:$C$106,2,FALSE),"")</f>
        <v/>
      </c>
      <c r="G5525" s="49" t="str">
        <f>IFERROR(VLOOKUP(E5525,'Condensed Specialty Crosswalk'!$A$2:$C$106,3,FALSE),"")</f>
        <v/>
      </c>
    </row>
    <row r="5526" spans="5:7" ht="15" customHeight="1">
      <c r="E5526" s="49" t="str">
        <f>IFERROR(VLOOKUP(D5526,'taxonomy map'!$A$1:$C$107,2,FALSE),"")</f>
        <v/>
      </c>
      <c r="F5526" s="49" t="str">
        <f>IFERROR(VLOOKUP(E5526,'Condensed Specialty Crosswalk'!$A$2:$C$106,2,FALSE),"")</f>
        <v/>
      </c>
      <c r="G5526" s="49" t="str">
        <f>IFERROR(VLOOKUP(E5526,'Condensed Specialty Crosswalk'!$A$2:$C$106,3,FALSE),"")</f>
        <v/>
      </c>
    </row>
    <row r="5527" spans="5:7" ht="15" customHeight="1">
      <c r="E5527" s="49" t="str">
        <f>IFERROR(VLOOKUP(D5527,'taxonomy map'!$A$1:$C$107,2,FALSE),"")</f>
        <v/>
      </c>
      <c r="F5527" s="49" t="str">
        <f>IFERROR(VLOOKUP(E5527,'Condensed Specialty Crosswalk'!$A$2:$C$106,2,FALSE),"")</f>
        <v/>
      </c>
      <c r="G5527" s="49" t="str">
        <f>IFERROR(VLOOKUP(E5527,'Condensed Specialty Crosswalk'!$A$2:$C$106,3,FALSE),"")</f>
        <v/>
      </c>
    </row>
    <row r="5528" spans="5:7" ht="15" customHeight="1">
      <c r="E5528" s="49" t="str">
        <f>IFERROR(VLOOKUP(D5528,'taxonomy map'!$A$1:$C$107,2,FALSE),"")</f>
        <v/>
      </c>
      <c r="F5528" s="49" t="str">
        <f>IFERROR(VLOOKUP(E5528,'Condensed Specialty Crosswalk'!$A$2:$C$106,2,FALSE),"")</f>
        <v/>
      </c>
      <c r="G5528" s="49" t="str">
        <f>IFERROR(VLOOKUP(E5528,'Condensed Specialty Crosswalk'!$A$2:$C$106,3,FALSE),"")</f>
        <v/>
      </c>
    </row>
    <row r="5529" spans="5:7" ht="15" customHeight="1">
      <c r="E5529" s="49" t="str">
        <f>IFERROR(VLOOKUP(D5529,'taxonomy map'!$A$1:$C$107,2,FALSE),"")</f>
        <v/>
      </c>
      <c r="F5529" s="49" t="str">
        <f>IFERROR(VLOOKUP(E5529,'Condensed Specialty Crosswalk'!$A$2:$C$106,2,FALSE),"")</f>
        <v/>
      </c>
      <c r="G5529" s="49" t="str">
        <f>IFERROR(VLOOKUP(E5529,'Condensed Specialty Crosswalk'!$A$2:$C$106,3,FALSE),"")</f>
        <v/>
      </c>
    </row>
    <row r="5530" spans="5:7" ht="15" customHeight="1">
      <c r="E5530" s="49" t="str">
        <f>IFERROR(VLOOKUP(D5530,'taxonomy map'!$A$1:$C$107,2,FALSE),"")</f>
        <v/>
      </c>
      <c r="F5530" s="49" t="str">
        <f>IFERROR(VLOOKUP(E5530,'Condensed Specialty Crosswalk'!$A$2:$C$106,2,FALSE),"")</f>
        <v/>
      </c>
      <c r="G5530" s="49" t="str">
        <f>IFERROR(VLOOKUP(E5530,'Condensed Specialty Crosswalk'!$A$2:$C$106,3,FALSE),"")</f>
        <v/>
      </c>
    </row>
    <row r="5531" spans="5:7" ht="15" customHeight="1">
      <c r="E5531" s="49" t="str">
        <f>IFERROR(VLOOKUP(D5531,'taxonomy map'!$A$1:$C$107,2,FALSE),"")</f>
        <v/>
      </c>
      <c r="F5531" s="49" t="str">
        <f>IFERROR(VLOOKUP(E5531,'Condensed Specialty Crosswalk'!$A$2:$C$106,2,FALSE),"")</f>
        <v/>
      </c>
      <c r="G5531" s="49" t="str">
        <f>IFERROR(VLOOKUP(E5531,'Condensed Specialty Crosswalk'!$A$2:$C$106,3,FALSE),"")</f>
        <v/>
      </c>
    </row>
    <row r="5532" spans="5:7" ht="15" customHeight="1">
      <c r="E5532" s="49" t="str">
        <f>IFERROR(VLOOKUP(D5532,'taxonomy map'!$A$1:$C$107,2,FALSE),"")</f>
        <v/>
      </c>
      <c r="F5532" s="49" t="str">
        <f>IFERROR(VLOOKUP(E5532,'Condensed Specialty Crosswalk'!$A$2:$C$106,2,FALSE),"")</f>
        <v/>
      </c>
      <c r="G5532" s="49" t="str">
        <f>IFERROR(VLOOKUP(E5532,'Condensed Specialty Crosswalk'!$A$2:$C$106,3,FALSE),"")</f>
        <v/>
      </c>
    </row>
    <row r="5533" spans="5:7" ht="15" customHeight="1">
      <c r="E5533" s="49" t="str">
        <f>IFERROR(VLOOKUP(D5533,'taxonomy map'!$A$1:$C$107,2,FALSE),"")</f>
        <v/>
      </c>
      <c r="F5533" s="49" t="str">
        <f>IFERROR(VLOOKUP(E5533,'Condensed Specialty Crosswalk'!$A$2:$C$106,2,FALSE),"")</f>
        <v/>
      </c>
      <c r="G5533" s="49" t="str">
        <f>IFERROR(VLOOKUP(E5533,'Condensed Specialty Crosswalk'!$A$2:$C$106,3,FALSE),"")</f>
        <v/>
      </c>
    </row>
    <row r="5534" spans="5:7" ht="15" customHeight="1">
      <c r="E5534" s="49" t="str">
        <f>IFERROR(VLOOKUP(D5534,'taxonomy map'!$A$1:$C$107,2,FALSE),"")</f>
        <v/>
      </c>
      <c r="F5534" s="49" t="str">
        <f>IFERROR(VLOOKUP(E5534,'Condensed Specialty Crosswalk'!$A$2:$C$106,2,FALSE),"")</f>
        <v/>
      </c>
      <c r="G5534" s="49" t="str">
        <f>IFERROR(VLOOKUP(E5534,'Condensed Specialty Crosswalk'!$A$2:$C$106,3,FALSE),"")</f>
        <v/>
      </c>
    </row>
    <row r="5535" spans="5:7" ht="15" customHeight="1">
      <c r="E5535" s="49" t="str">
        <f>IFERROR(VLOOKUP(D5535,'taxonomy map'!$A$1:$C$107,2,FALSE),"")</f>
        <v/>
      </c>
      <c r="F5535" s="49" t="str">
        <f>IFERROR(VLOOKUP(E5535,'Condensed Specialty Crosswalk'!$A$2:$C$106,2,FALSE),"")</f>
        <v/>
      </c>
      <c r="G5535" s="49" t="str">
        <f>IFERROR(VLOOKUP(E5535,'Condensed Specialty Crosswalk'!$A$2:$C$106,3,FALSE),"")</f>
        <v/>
      </c>
    </row>
    <row r="5536" spans="5:7" ht="15" customHeight="1">
      <c r="E5536" s="49" t="str">
        <f>IFERROR(VLOOKUP(D5536,'taxonomy map'!$A$1:$C$107,2,FALSE),"")</f>
        <v/>
      </c>
      <c r="F5536" s="49" t="str">
        <f>IFERROR(VLOOKUP(E5536,'Condensed Specialty Crosswalk'!$A$2:$C$106,2,FALSE),"")</f>
        <v/>
      </c>
      <c r="G5536" s="49" t="str">
        <f>IFERROR(VLOOKUP(E5536,'Condensed Specialty Crosswalk'!$A$2:$C$106,3,FALSE),"")</f>
        <v/>
      </c>
    </row>
    <row r="5537" spans="5:7" ht="15" customHeight="1">
      <c r="E5537" s="49" t="str">
        <f>IFERROR(VLOOKUP(D5537,'taxonomy map'!$A$1:$C$107,2,FALSE),"")</f>
        <v/>
      </c>
      <c r="F5537" s="49" t="str">
        <f>IFERROR(VLOOKUP(E5537,'Condensed Specialty Crosswalk'!$A$2:$C$106,2,FALSE),"")</f>
        <v/>
      </c>
      <c r="G5537" s="49" t="str">
        <f>IFERROR(VLOOKUP(E5537,'Condensed Specialty Crosswalk'!$A$2:$C$106,3,FALSE),"")</f>
        <v/>
      </c>
    </row>
    <row r="5538" spans="5:7" ht="15" customHeight="1">
      <c r="E5538" s="49" t="str">
        <f>IFERROR(VLOOKUP(D5538,'taxonomy map'!$A$1:$C$107,2,FALSE),"")</f>
        <v/>
      </c>
      <c r="F5538" s="49" t="str">
        <f>IFERROR(VLOOKUP(E5538,'Condensed Specialty Crosswalk'!$A$2:$C$106,2,FALSE),"")</f>
        <v/>
      </c>
      <c r="G5538" s="49" t="str">
        <f>IFERROR(VLOOKUP(E5538,'Condensed Specialty Crosswalk'!$A$2:$C$106,3,FALSE),"")</f>
        <v/>
      </c>
    </row>
    <row r="5539" spans="5:7" ht="15" customHeight="1">
      <c r="E5539" s="49" t="str">
        <f>IFERROR(VLOOKUP(D5539,'taxonomy map'!$A$1:$C$107,2,FALSE),"")</f>
        <v/>
      </c>
      <c r="F5539" s="49" t="str">
        <f>IFERROR(VLOOKUP(E5539,'Condensed Specialty Crosswalk'!$A$2:$C$106,2,FALSE),"")</f>
        <v/>
      </c>
      <c r="G5539" s="49" t="str">
        <f>IFERROR(VLOOKUP(E5539,'Condensed Specialty Crosswalk'!$A$2:$C$106,3,FALSE),"")</f>
        <v/>
      </c>
    </row>
    <row r="5540" spans="5:7" ht="15" customHeight="1">
      <c r="E5540" s="49" t="str">
        <f>IFERROR(VLOOKUP(D5540,'taxonomy map'!$A$1:$C$107,2,FALSE),"")</f>
        <v/>
      </c>
      <c r="F5540" s="49" t="str">
        <f>IFERROR(VLOOKUP(E5540,'Condensed Specialty Crosswalk'!$A$2:$C$106,2,FALSE),"")</f>
        <v/>
      </c>
      <c r="G5540" s="49" t="str">
        <f>IFERROR(VLOOKUP(E5540,'Condensed Specialty Crosswalk'!$A$2:$C$106,3,FALSE),"")</f>
        <v/>
      </c>
    </row>
    <row r="5541" spans="5:7" ht="15" customHeight="1">
      <c r="E5541" s="49" t="str">
        <f>IFERROR(VLOOKUP(D5541,'taxonomy map'!$A$1:$C$107,2,FALSE),"")</f>
        <v/>
      </c>
      <c r="F5541" s="49" t="str">
        <f>IFERROR(VLOOKUP(E5541,'Condensed Specialty Crosswalk'!$A$2:$C$106,2,FALSE),"")</f>
        <v/>
      </c>
      <c r="G5541" s="49" t="str">
        <f>IFERROR(VLOOKUP(E5541,'Condensed Specialty Crosswalk'!$A$2:$C$106,3,FALSE),"")</f>
        <v/>
      </c>
    </row>
    <row r="5542" spans="5:7" ht="15" customHeight="1">
      <c r="E5542" s="49" t="str">
        <f>IFERROR(VLOOKUP(D5542,'taxonomy map'!$A$1:$C$107,2,FALSE),"")</f>
        <v/>
      </c>
      <c r="F5542" s="49" t="str">
        <f>IFERROR(VLOOKUP(E5542,'Condensed Specialty Crosswalk'!$A$2:$C$106,2,FALSE),"")</f>
        <v/>
      </c>
      <c r="G5542" s="49" t="str">
        <f>IFERROR(VLOOKUP(E5542,'Condensed Specialty Crosswalk'!$A$2:$C$106,3,FALSE),"")</f>
        <v/>
      </c>
    </row>
    <row r="5543" spans="5:7" ht="15" customHeight="1">
      <c r="E5543" s="49" t="str">
        <f>IFERROR(VLOOKUP(D5543,'taxonomy map'!$A$1:$C$107,2,FALSE),"")</f>
        <v/>
      </c>
      <c r="F5543" s="49" t="str">
        <f>IFERROR(VLOOKUP(E5543,'Condensed Specialty Crosswalk'!$A$2:$C$106,2,FALSE),"")</f>
        <v/>
      </c>
      <c r="G5543" s="49" t="str">
        <f>IFERROR(VLOOKUP(E5543,'Condensed Specialty Crosswalk'!$A$2:$C$106,3,FALSE),"")</f>
        <v/>
      </c>
    </row>
    <row r="5544" spans="5:7" ht="15" customHeight="1">
      <c r="E5544" s="49" t="str">
        <f>IFERROR(VLOOKUP(D5544,'taxonomy map'!$A$1:$C$107,2,FALSE),"")</f>
        <v/>
      </c>
      <c r="F5544" s="49" t="str">
        <f>IFERROR(VLOOKUP(E5544,'Condensed Specialty Crosswalk'!$A$2:$C$106,2,FALSE),"")</f>
        <v/>
      </c>
      <c r="G5544" s="49" t="str">
        <f>IFERROR(VLOOKUP(E5544,'Condensed Specialty Crosswalk'!$A$2:$C$106,3,FALSE),"")</f>
        <v/>
      </c>
    </row>
    <row r="5545" spans="5:7" ht="15" customHeight="1">
      <c r="E5545" s="49" t="str">
        <f>IFERROR(VLOOKUP(D5545,'taxonomy map'!$A$1:$C$107,2,FALSE),"")</f>
        <v/>
      </c>
      <c r="F5545" s="49" t="str">
        <f>IFERROR(VLOOKUP(E5545,'Condensed Specialty Crosswalk'!$A$2:$C$106,2,FALSE),"")</f>
        <v/>
      </c>
      <c r="G5545" s="49" t="str">
        <f>IFERROR(VLOOKUP(E5545,'Condensed Specialty Crosswalk'!$A$2:$C$106,3,FALSE),"")</f>
        <v/>
      </c>
    </row>
    <row r="5546" spans="5:7" ht="15" customHeight="1">
      <c r="E5546" s="49" t="str">
        <f>IFERROR(VLOOKUP(D5546,'taxonomy map'!$A$1:$C$107,2,FALSE),"")</f>
        <v/>
      </c>
      <c r="F5546" s="49" t="str">
        <f>IFERROR(VLOOKUP(E5546,'Condensed Specialty Crosswalk'!$A$2:$C$106,2,FALSE),"")</f>
        <v/>
      </c>
      <c r="G5546" s="49" t="str">
        <f>IFERROR(VLOOKUP(E5546,'Condensed Specialty Crosswalk'!$A$2:$C$106,3,FALSE),"")</f>
        <v/>
      </c>
    </row>
    <row r="5547" spans="5:7" ht="15" customHeight="1">
      <c r="E5547" s="49" t="str">
        <f>IFERROR(VLOOKUP(D5547,'taxonomy map'!$A$1:$C$107,2,FALSE),"")</f>
        <v/>
      </c>
      <c r="F5547" s="49" t="str">
        <f>IFERROR(VLOOKUP(E5547,'Condensed Specialty Crosswalk'!$A$2:$C$106,2,FALSE),"")</f>
        <v/>
      </c>
      <c r="G5547" s="49" t="str">
        <f>IFERROR(VLOOKUP(E5547,'Condensed Specialty Crosswalk'!$A$2:$C$106,3,FALSE),"")</f>
        <v/>
      </c>
    </row>
    <row r="5548" spans="5:7" ht="15" customHeight="1">
      <c r="E5548" s="49" t="str">
        <f>IFERROR(VLOOKUP(D5548,'taxonomy map'!$A$1:$C$107,2,FALSE),"")</f>
        <v/>
      </c>
      <c r="F5548" s="49" t="str">
        <f>IFERROR(VLOOKUP(E5548,'Condensed Specialty Crosswalk'!$A$2:$C$106,2,FALSE),"")</f>
        <v/>
      </c>
      <c r="G5548" s="49" t="str">
        <f>IFERROR(VLOOKUP(E5548,'Condensed Specialty Crosswalk'!$A$2:$C$106,3,FALSE),"")</f>
        <v/>
      </c>
    </row>
    <row r="5549" spans="5:7" ht="15" customHeight="1">
      <c r="E5549" s="49" t="str">
        <f>IFERROR(VLOOKUP(D5549,'taxonomy map'!$A$1:$C$107,2,FALSE),"")</f>
        <v/>
      </c>
      <c r="F5549" s="49" t="str">
        <f>IFERROR(VLOOKUP(E5549,'Condensed Specialty Crosswalk'!$A$2:$C$106,2,FALSE),"")</f>
        <v/>
      </c>
      <c r="G5549" s="49" t="str">
        <f>IFERROR(VLOOKUP(E5549,'Condensed Specialty Crosswalk'!$A$2:$C$106,3,FALSE),"")</f>
        <v/>
      </c>
    </row>
    <row r="5550" spans="5:7" ht="15" customHeight="1">
      <c r="E5550" s="49" t="str">
        <f>IFERROR(VLOOKUP(D5550,'taxonomy map'!$A$1:$C$107,2,FALSE),"")</f>
        <v/>
      </c>
      <c r="F5550" s="49" t="str">
        <f>IFERROR(VLOOKUP(E5550,'Condensed Specialty Crosswalk'!$A$2:$C$106,2,FALSE),"")</f>
        <v/>
      </c>
      <c r="G5550" s="49" t="str">
        <f>IFERROR(VLOOKUP(E5550,'Condensed Specialty Crosswalk'!$A$2:$C$106,3,FALSE),"")</f>
        <v/>
      </c>
    </row>
    <row r="5551" spans="5:7" ht="15" customHeight="1">
      <c r="E5551" s="49" t="str">
        <f>IFERROR(VLOOKUP(D5551,'taxonomy map'!$A$1:$C$107,2,FALSE),"")</f>
        <v/>
      </c>
      <c r="F5551" s="49" t="str">
        <f>IFERROR(VLOOKUP(E5551,'Condensed Specialty Crosswalk'!$A$2:$C$106,2,FALSE),"")</f>
        <v/>
      </c>
      <c r="G5551" s="49" t="str">
        <f>IFERROR(VLOOKUP(E5551,'Condensed Specialty Crosswalk'!$A$2:$C$106,3,FALSE),"")</f>
        <v/>
      </c>
    </row>
    <row r="5552" spans="5:7" ht="15" customHeight="1">
      <c r="E5552" s="49" t="str">
        <f>IFERROR(VLOOKUP(D5552,'taxonomy map'!$A$1:$C$107,2,FALSE),"")</f>
        <v/>
      </c>
      <c r="F5552" s="49" t="str">
        <f>IFERROR(VLOOKUP(E5552,'Condensed Specialty Crosswalk'!$A$2:$C$106,2,FALSE),"")</f>
        <v/>
      </c>
      <c r="G5552" s="49" t="str">
        <f>IFERROR(VLOOKUP(E5552,'Condensed Specialty Crosswalk'!$A$2:$C$106,3,FALSE),"")</f>
        <v/>
      </c>
    </row>
    <row r="5553" spans="5:7" ht="15" customHeight="1">
      <c r="E5553" s="49" t="str">
        <f>IFERROR(VLOOKUP(D5553,'taxonomy map'!$A$1:$C$107,2,FALSE),"")</f>
        <v/>
      </c>
      <c r="F5553" s="49" t="str">
        <f>IFERROR(VLOOKUP(E5553,'Condensed Specialty Crosswalk'!$A$2:$C$106,2,FALSE),"")</f>
        <v/>
      </c>
      <c r="G5553" s="49" t="str">
        <f>IFERROR(VLOOKUP(E5553,'Condensed Specialty Crosswalk'!$A$2:$C$106,3,FALSE),"")</f>
        <v/>
      </c>
    </row>
    <row r="5554" spans="5:7" ht="15" customHeight="1">
      <c r="E5554" s="49" t="str">
        <f>IFERROR(VLOOKUP(D5554,'taxonomy map'!$A$1:$C$107,2,FALSE),"")</f>
        <v/>
      </c>
      <c r="F5554" s="49" t="str">
        <f>IFERROR(VLOOKUP(E5554,'Condensed Specialty Crosswalk'!$A$2:$C$106,2,FALSE),"")</f>
        <v/>
      </c>
      <c r="G5554" s="49" t="str">
        <f>IFERROR(VLOOKUP(E5554,'Condensed Specialty Crosswalk'!$A$2:$C$106,3,FALSE),"")</f>
        <v/>
      </c>
    </row>
    <row r="5555" spans="5:7" ht="15" customHeight="1">
      <c r="E5555" s="49" t="str">
        <f>IFERROR(VLOOKUP(D5555,'taxonomy map'!$A$1:$C$107,2,FALSE),"")</f>
        <v/>
      </c>
      <c r="F5555" s="49" t="str">
        <f>IFERROR(VLOOKUP(E5555,'Condensed Specialty Crosswalk'!$A$2:$C$106,2,FALSE),"")</f>
        <v/>
      </c>
      <c r="G5555" s="49" t="str">
        <f>IFERROR(VLOOKUP(E5555,'Condensed Specialty Crosswalk'!$A$2:$C$106,3,FALSE),"")</f>
        <v/>
      </c>
    </row>
    <row r="5556" spans="5:7" ht="15" customHeight="1">
      <c r="E5556" s="49" t="str">
        <f>IFERROR(VLOOKUP(D5556,'taxonomy map'!$A$1:$C$107,2,FALSE),"")</f>
        <v/>
      </c>
      <c r="F5556" s="49" t="str">
        <f>IFERROR(VLOOKUP(E5556,'Condensed Specialty Crosswalk'!$A$2:$C$106,2,FALSE),"")</f>
        <v/>
      </c>
      <c r="G5556" s="49" t="str">
        <f>IFERROR(VLOOKUP(E5556,'Condensed Specialty Crosswalk'!$A$2:$C$106,3,FALSE),"")</f>
        <v/>
      </c>
    </row>
    <row r="5557" spans="5:7" ht="15" customHeight="1">
      <c r="E5557" s="49" t="str">
        <f>IFERROR(VLOOKUP(D5557,'taxonomy map'!$A$1:$C$107,2,FALSE),"")</f>
        <v/>
      </c>
      <c r="F5557" s="49" t="str">
        <f>IFERROR(VLOOKUP(E5557,'Condensed Specialty Crosswalk'!$A$2:$C$106,2,FALSE),"")</f>
        <v/>
      </c>
      <c r="G5557" s="49" t="str">
        <f>IFERROR(VLOOKUP(E5557,'Condensed Specialty Crosswalk'!$A$2:$C$106,3,FALSE),"")</f>
        <v/>
      </c>
    </row>
    <row r="5558" spans="5:7" ht="15" customHeight="1">
      <c r="E5558" s="49" t="str">
        <f>IFERROR(VLOOKUP(D5558,'taxonomy map'!$A$1:$C$107,2,FALSE),"")</f>
        <v/>
      </c>
      <c r="F5558" s="49" t="str">
        <f>IFERROR(VLOOKUP(E5558,'Condensed Specialty Crosswalk'!$A$2:$C$106,2,FALSE),"")</f>
        <v/>
      </c>
      <c r="G5558" s="49" t="str">
        <f>IFERROR(VLOOKUP(E5558,'Condensed Specialty Crosswalk'!$A$2:$C$106,3,FALSE),"")</f>
        <v/>
      </c>
    </row>
    <row r="5559" spans="5:7" ht="15" customHeight="1">
      <c r="E5559" s="49" t="str">
        <f>IFERROR(VLOOKUP(D5559,'taxonomy map'!$A$1:$C$107,2,FALSE),"")</f>
        <v/>
      </c>
      <c r="F5559" s="49" t="str">
        <f>IFERROR(VLOOKUP(E5559,'Condensed Specialty Crosswalk'!$A$2:$C$106,2,FALSE),"")</f>
        <v/>
      </c>
      <c r="G5559" s="49" t="str">
        <f>IFERROR(VLOOKUP(E5559,'Condensed Specialty Crosswalk'!$A$2:$C$106,3,FALSE),"")</f>
        <v/>
      </c>
    </row>
    <row r="5560" spans="5:7" ht="15" customHeight="1">
      <c r="E5560" s="49" t="str">
        <f>IFERROR(VLOOKUP(D5560,'taxonomy map'!$A$1:$C$107,2,FALSE),"")</f>
        <v/>
      </c>
      <c r="F5560" s="49" t="str">
        <f>IFERROR(VLOOKUP(E5560,'Condensed Specialty Crosswalk'!$A$2:$C$106,2,FALSE),"")</f>
        <v/>
      </c>
      <c r="G5560" s="49" t="str">
        <f>IFERROR(VLOOKUP(E5560,'Condensed Specialty Crosswalk'!$A$2:$C$106,3,FALSE),"")</f>
        <v/>
      </c>
    </row>
    <row r="5561" spans="5:7" ht="15" customHeight="1">
      <c r="E5561" s="49" t="str">
        <f>IFERROR(VLOOKUP(D5561,'taxonomy map'!$A$1:$C$107,2,FALSE),"")</f>
        <v/>
      </c>
      <c r="F5561" s="49" t="str">
        <f>IFERROR(VLOOKUP(E5561,'Condensed Specialty Crosswalk'!$A$2:$C$106,2,FALSE),"")</f>
        <v/>
      </c>
      <c r="G5561" s="49" t="str">
        <f>IFERROR(VLOOKUP(E5561,'Condensed Specialty Crosswalk'!$A$2:$C$106,3,FALSE),"")</f>
        <v/>
      </c>
    </row>
    <row r="5562" spans="5:7" ht="15" customHeight="1">
      <c r="E5562" s="49" t="str">
        <f>IFERROR(VLOOKUP(D5562,'taxonomy map'!$A$1:$C$107,2,FALSE),"")</f>
        <v/>
      </c>
      <c r="F5562" s="49" t="str">
        <f>IFERROR(VLOOKUP(E5562,'Condensed Specialty Crosswalk'!$A$2:$C$106,2,FALSE),"")</f>
        <v/>
      </c>
      <c r="G5562" s="49" t="str">
        <f>IFERROR(VLOOKUP(E5562,'Condensed Specialty Crosswalk'!$A$2:$C$106,3,FALSE),"")</f>
        <v/>
      </c>
    </row>
    <row r="5563" spans="5:7" ht="15" customHeight="1">
      <c r="E5563" s="49" t="str">
        <f>IFERROR(VLOOKUP(D5563,'taxonomy map'!$A$1:$C$107,2,FALSE),"")</f>
        <v/>
      </c>
      <c r="F5563" s="49" t="str">
        <f>IFERROR(VLOOKUP(E5563,'Condensed Specialty Crosswalk'!$A$2:$C$106,2,FALSE),"")</f>
        <v/>
      </c>
      <c r="G5563" s="49" t="str">
        <f>IFERROR(VLOOKUP(E5563,'Condensed Specialty Crosswalk'!$A$2:$C$106,3,FALSE),"")</f>
        <v/>
      </c>
    </row>
    <row r="5564" spans="5:7" ht="15" customHeight="1">
      <c r="E5564" s="49" t="str">
        <f>IFERROR(VLOOKUP(D5564,'taxonomy map'!$A$1:$C$107,2,FALSE),"")</f>
        <v/>
      </c>
      <c r="F5564" s="49" t="str">
        <f>IFERROR(VLOOKUP(E5564,'Condensed Specialty Crosswalk'!$A$2:$C$106,2,FALSE),"")</f>
        <v/>
      </c>
      <c r="G5564" s="49" t="str">
        <f>IFERROR(VLOOKUP(E5564,'Condensed Specialty Crosswalk'!$A$2:$C$106,3,FALSE),"")</f>
        <v/>
      </c>
    </row>
    <row r="5565" spans="5:7" ht="15" customHeight="1">
      <c r="E5565" s="49" t="str">
        <f>IFERROR(VLOOKUP(D5565,'taxonomy map'!$A$1:$C$107,2,FALSE),"")</f>
        <v/>
      </c>
      <c r="F5565" s="49" t="str">
        <f>IFERROR(VLOOKUP(E5565,'Condensed Specialty Crosswalk'!$A$2:$C$106,2,FALSE),"")</f>
        <v/>
      </c>
      <c r="G5565" s="49" t="str">
        <f>IFERROR(VLOOKUP(E5565,'Condensed Specialty Crosswalk'!$A$2:$C$106,3,FALSE),"")</f>
        <v/>
      </c>
    </row>
    <row r="5566" spans="5:7" ht="15" customHeight="1">
      <c r="E5566" s="49" t="str">
        <f>IFERROR(VLOOKUP(D5566,'taxonomy map'!$A$1:$C$107,2,FALSE),"")</f>
        <v/>
      </c>
      <c r="F5566" s="49" t="str">
        <f>IFERROR(VLOOKUP(E5566,'Condensed Specialty Crosswalk'!$A$2:$C$106,2,FALSE),"")</f>
        <v/>
      </c>
      <c r="G5566" s="49" t="str">
        <f>IFERROR(VLOOKUP(E5566,'Condensed Specialty Crosswalk'!$A$2:$C$106,3,FALSE),"")</f>
        <v/>
      </c>
    </row>
    <row r="5567" spans="5:7" ht="15" customHeight="1">
      <c r="E5567" s="49" t="str">
        <f>IFERROR(VLOOKUP(D5567,'taxonomy map'!$A$1:$C$107,2,FALSE),"")</f>
        <v/>
      </c>
      <c r="F5567" s="49" t="str">
        <f>IFERROR(VLOOKUP(E5567,'Condensed Specialty Crosswalk'!$A$2:$C$106,2,FALSE),"")</f>
        <v/>
      </c>
      <c r="G5567" s="49" t="str">
        <f>IFERROR(VLOOKUP(E5567,'Condensed Specialty Crosswalk'!$A$2:$C$106,3,FALSE),"")</f>
        <v/>
      </c>
    </row>
    <row r="5568" spans="5:7" ht="15" customHeight="1">
      <c r="E5568" s="49" t="str">
        <f>IFERROR(VLOOKUP(D5568,'taxonomy map'!$A$1:$C$107,2,FALSE),"")</f>
        <v/>
      </c>
      <c r="F5568" s="49" t="str">
        <f>IFERROR(VLOOKUP(E5568,'Condensed Specialty Crosswalk'!$A$2:$C$106,2,FALSE),"")</f>
        <v/>
      </c>
      <c r="G5568" s="49" t="str">
        <f>IFERROR(VLOOKUP(E5568,'Condensed Specialty Crosswalk'!$A$2:$C$106,3,FALSE),"")</f>
        <v/>
      </c>
    </row>
    <row r="5569" spans="5:7" ht="15" customHeight="1">
      <c r="E5569" s="49" t="str">
        <f>IFERROR(VLOOKUP(D5569,'taxonomy map'!$A$1:$C$107,2,FALSE),"")</f>
        <v/>
      </c>
      <c r="F5569" s="49" t="str">
        <f>IFERROR(VLOOKUP(E5569,'Condensed Specialty Crosswalk'!$A$2:$C$106,2,FALSE),"")</f>
        <v/>
      </c>
      <c r="G5569" s="49" t="str">
        <f>IFERROR(VLOOKUP(E5569,'Condensed Specialty Crosswalk'!$A$2:$C$106,3,FALSE),"")</f>
        <v/>
      </c>
    </row>
    <row r="5570" spans="5:7" ht="15" customHeight="1">
      <c r="E5570" s="49" t="str">
        <f>IFERROR(VLOOKUP(D5570,'taxonomy map'!$A$1:$C$107,2,FALSE),"")</f>
        <v/>
      </c>
      <c r="F5570" s="49" t="str">
        <f>IFERROR(VLOOKUP(E5570,'Condensed Specialty Crosswalk'!$A$2:$C$106,2,FALSE),"")</f>
        <v/>
      </c>
      <c r="G5570" s="49" t="str">
        <f>IFERROR(VLOOKUP(E5570,'Condensed Specialty Crosswalk'!$A$2:$C$106,3,FALSE),"")</f>
        <v/>
      </c>
    </row>
    <row r="5571" spans="5:7" ht="15" customHeight="1">
      <c r="E5571" s="49" t="str">
        <f>IFERROR(VLOOKUP(D5571,'taxonomy map'!$A$1:$C$107,2,FALSE),"")</f>
        <v/>
      </c>
      <c r="F5571" s="49" t="str">
        <f>IFERROR(VLOOKUP(E5571,'Condensed Specialty Crosswalk'!$A$2:$C$106,2,FALSE),"")</f>
        <v/>
      </c>
      <c r="G5571" s="49" t="str">
        <f>IFERROR(VLOOKUP(E5571,'Condensed Specialty Crosswalk'!$A$2:$C$106,3,FALSE),"")</f>
        <v/>
      </c>
    </row>
    <row r="5572" spans="5:7" ht="15" customHeight="1">
      <c r="E5572" s="49" t="str">
        <f>IFERROR(VLOOKUP(D5572,'taxonomy map'!$A$1:$C$107,2,FALSE),"")</f>
        <v/>
      </c>
      <c r="F5572" s="49" t="str">
        <f>IFERROR(VLOOKUP(E5572,'Condensed Specialty Crosswalk'!$A$2:$C$106,2,FALSE),"")</f>
        <v/>
      </c>
      <c r="G5572" s="49" t="str">
        <f>IFERROR(VLOOKUP(E5572,'Condensed Specialty Crosswalk'!$A$2:$C$106,3,FALSE),"")</f>
        <v/>
      </c>
    </row>
    <row r="5573" spans="5:7" ht="15" customHeight="1">
      <c r="E5573" s="49" t="str">
        <f>IFERROR(VLOOKUP(D5573,'taxonomy map'!$A$1:$C$107,2,FALSE),"")</f>
        <v/>
      </c>
      <c r="F5573" s="49" t="str">
        <f>IFERROR(VLOOKUP(E5573,'Condensed Specialty Crosswalk'!$A$2:$C$106,2,FALSE),"")</f>
        <v/>
      </c>
      <c r="G5573" s="49" t="str">
        <f>IFERROR(VLOOKUP(E5573,'Condensed Specialty Crosswalk'!$A$2:$C$106,3,FALSE),"")</f>
        <v/>
      </c>
    </row>
    <row r="5574" spans="5:7" ht="15" customHeight="1">
      <c r="E5574" s="49" t="str">
        <f>IFERROR(VLOOKUP(D5574,'taxonomy map'!$A$1:$C$107,2,FALSE),"")</f>
        <v/>
      </c>
      <c r="F5574" s="49" t="str">
        <f>IFERROR(VLOOKUP(E5574,'Condensed Specialty Crosswalk'!$A$2:$C$106,2,FALSE),"")</f>
        <v/>
      </c>
      <c r="G5574" s="49" t="str">
        <f>IFERROR(VLOOKUP(E5574,'Condensed Specialty Crosswalk'!$A$2:$C$106,3,FALSE),"")</f>
        <v/>
      </c>
    </row>
    <row r="5575" spans="5:7" ht="15" customHeight="1">
      <c r="E5575" s="49" t="str">
        <f>IFERROR(VLOOKUP(D5575,'taxonomy map'!$A$1:$C$107,2,FALSE),"")</f>
        <v/>
      </c>
      <c r="F5575" s="49" t="str">
        <f>IFERROR(VLOOKUP(E5575,'Condensed Specialty Crosswalk'!$A$2:$C$106,2,FALSE),"")</f>
        <v/>
      </c>
      <c r="G5575" s="49" t="str">
        <f>IFERROR(VLOOKUP(E5575,'Condensed Specialty Crosswalk'!$A$2:$C$106,3,FALSE),"")</f>
        <v/>
      </c>
    </row>
    <row r="5576" spans="5:7" ht="15" customHeight="1">
      <c r="E5576" s="49" t="str">
        <f>IFERROR(VLOOKUP(D5576,'taxonomy map'!$A$1:$C$107,2,FALSE),"")</f>
        <v/>
      </c>
      <c r="F5576" s="49" t="str">
        <f>IFERROR(VLOOKUP(E5576,'Condensed Specialty Crosswalk'!$A$2:$C$106,2,FALSE),"")</f>
        <v/>
      </c>
      <c r="G5576" s="49" t="str">
        <f>IFERROR(VLOOKUP(E5576,'Condensed Specialty Crosswalk'!$A$2:$C$106,3,FALSE),"")</f>
        <v/>
      </c>
    </row>
    <row r="5577" spans="5:7" ht="15" customHeight="1">
      <c r="E5577" s="49" t="str">
        <f>IFERROR(VLOOKUP(D5577,'taxonomy map'!$A$1:$C$107,2,FALSE),"")</f>
        <v/>
      </c>
      <c r="F5577" s="49" t="str">
        <f>IFERROR(VLOOKUP(E5577,'Condensed Specialty Crosswalk'!$A$2:$C$106,2,FALSE),"")</f>
        <v/>
      </c>
      <c r="G5577" s="49" t="str">
        <f>IFERROR(VLOOKUP(E5577,'Condensed Specialty Crosswalk'!$A$2:$C$106,3,FALSE),"")</f>
        <v/>
      </c>
    </row>
    <row r="5578" spans="5:7" ht="15" customHeight="1">
      <c r="E5578" s="49" t="str">
        <f>IFERROR(VLOOKUP(D5578,'taxonomy map'!$A$1:$C$107,2,FALSE),"")</f>
        <v/>
      </c>
      <c r="F5578" s="49" t="str">
        <f>IFERROR(VLOOKUP(E5578,'Condensed Specialty Crosswalk'!$A$2:$C$106,2,FALSE),"")</f>
        <v/>
      </c>
      <c r="G5578" s="49" t="str">
        <f>IFERROR(VLOOKUP(E5578,'Condensed Specialty Crosswalk'!$A$2:$C$106,3,FALSE),"")</f>
        <v/>
      </c>
    </row>
    <row r="5579" spans="5:7" ht="15" customHeight="1">
      <c r="E5579" s="49" t="str">
        <f>IFERROR(VLOOKUP(D5579,'taxonomy map'!$A$1:$C$107,2,FALSE),"")</f>
        <v/>
      </c>
      <c r="F5579" s="49" t="str">
        <f>IFERROR(VLOOKUP(E5579,'Condensed Specialty Crosswalk'!$A$2:$C$106,2,FALSE),"")</f>
        <v/>
      </c>
      <c r="G5579" s="49" t="str">
        <f>IFERROR(VLOOKUP(E5579,'Condensed Specialty Crosswalk'!$A$2:$C$106,3,FALSE),"")</f>
        <v/>
      </c>
    </row>
    <row r="5580" spans="5:7" ht="15" customHeight="1">
      <c r="E5580" s="49" t="str">
        <f>IFERROR(VLOOKUP(D5580,'taxonomy map'!$A$1:$C$107,2,FALSE),"")</f>
        <v/>
      </c>
      <c r="F5580" s="49" t="str">
        <f>IFERROR(VLOOKUP(E5580,'Condensed Specialty Crosswalk'!$A$2:$C$106,2,FALSE),"")</f>
        <v/>
      </c>
      <c r="G5580" s="49" t="str">
        <f>IFERROR(VLOOKUP(E5580,'Condensed Specialty Crosswalk'!$A$2:$C$106,3,FALSE),"")</f>
        <v/>
      </c>
    </row>
    <row r="5581" spans="5:7" ht="15" customHeight="1">
      <c r="E5581" s="49" t="str">
        <f>IFERROR(VLOOKUP(D5581,'taxonomy map'!$A$1:$C$107,2,FALSE),"")</f>
        <v/>
      </c>
      <c r="F5581" s="49" t="str">
        <f>IFERROR(VLOOKUP(E5581,'Condensed Specialty Crosswalk'!$A$2:$C$106,2,FALSE),"")</f>
        <v/>
      </c>
      <c r="G5581" s="49" t="str">
        <f>IFERROR(VLOOKUP(E5581,'Condensed Specialty Crosswalk'!$A$2:$C$106,3,FALSE),"")</f>
        <v/>
      </c>
    </row>
    <row r="5582" spans="5:7" ht="15" customHeight="1">
      <c r="E5582" s="49" t="str">
        <f>IFERROR(VLOOKUP(D5582,'taxonomy map'!$A$1:$C$107,2,FALSE),"")</f>
        <v/>
      </c>
      <c r="F5582" s="49" t="str">
        <f>IFERROR(VLOOKUP(E5582,'Condensed Specialty Crosswalk'!$A$2:$C$106,2,FALSE),"")</f>
        <v/>
      </c>
      <c r="G5582" s="49" t="str">
        <f>IFERROR(VLOOKUP(E5582,'Condensed Specialty Crosswalk'!$A$2:$C$106,3,FALSE),"")</f>
        <v/>
      </c>
    </row>
    <row r="5583" spans="5:7" ht="15" customHeight="1">
      <c r="E5583" s="49" t="str">
        <f>IFERROR(VLOOKUP(D5583,'taxonomy map'!$A$1:$C$107,2,FALSE),"")</f>
        <v/>
      </c>
      <c r="F5583" s="49" t="str">
        <f>IFERROR(VLOOKUP(E5583,'Condensed Specialty Crosswalk'!$A$2:$C$106,2,FALSE),"")</f>
        <v/>
      </c>
      <c r="G5583" s="49" t="str">
        <f>IFERROR(VLOOKUP(E5583,'Condensed Specialty Crosswalk'!$A$2:$C$106,3,FALSE),"")</f>
        <v/>
      </c>
    </row>
    <row r="5584" spans="5:7" ht="15" customHeight="1">
      <c r="E5584" s="49" t="str">
        <f>IFERROR(VLOOKUP(D5584,'taxonomy map'!$A$1:$C$107,2,FALSE),"")</f>
        <v/>
      </c>
      <c r="F5584" s="49" t="str">
        <f>IFERROR(VLOOKUP(E5584,'Condensed Specialty Crosswalk'!$A$2:$C$106,2,FALSE),"")</f>
        <v/>
      </c>
      <c r="G5584" s="49" t="str">
        <f>IFERROR(VLOOKUP(E5584,'Condensed Specialty Crosswalk'!$A$2:$C$106,3,FALSE),"")</f>
        <v/>
      </c>
    </row>
    <row r="5585" spans="5:7" ht="15" customHeight="1">
      <c r="E5585" s="49" t="str">
        <f>IFERROR(VLOOKUP(D5585,'taxonomy map'!$A$1:$C$107,2,FALSE),"")</f>
        <v/>
      </c>
      <c r="F5585" s="49" t="str">
        <f>IFERROR(VLOOKUP(E5585,'Condensed Specialty Crosswalk'!$A$2:$C$106,2,FALSE),"")</f>
        <v/>
      </c>
      <c r="G5585" s="49" t="str">
        <f>IFERROR(VLOOKUP(E5585,'Condensed Specialty Crosswalk'!$A$2:$C$106,3,FALSE),"")</f>
        <v/>
      </c>
    </row>
    <row r="5586" spans="5:7" ht="15" customHeight="1">
      <c r="E5586" s="49" t="str">
        <f>IFERROR(VLOOKUP(D5586,'taxonomy map'!$A$1:$C$107,2,FALSE),"")</f>
        <v/>
      </c>
      <c r="F5586" s="49" t="str">
        <f>IFERROR(VLOOKUP(E5586,'Condensed Specialty Crosswalk'!$A$2:$C$106,2,FALSE),"")</f>
        <v/>
      </c>
      <c r="G5586" s="49" t="str">
        <f>IFERROR(VLOOKUP(E5586,'Condensed Specialty Crosswalk'!$A$2:$C$106,3,FALSE),"")</f>
        <v/>
      </c>
    </row>
    <row r="5587" spans="5:7" ht="15" customHeight="1">
      <c r="E5587" s="49" t="str">
        <f>IFERROR(VLOOKUP(D5587,'taxonomy map'!$A$1:$C$107,2,FALSE),"")</f>
        <v/>
      </c>
      <c r="F5587" s="49" t="str">
        <f>IFERROR(VLOOKUP(E5587,'Condensed Specialty Crosswalk'!$A$2:$C$106,2,FALSE),"")</f>
        <v/>
      </c>
      <c r="G5587" s="49" t="str">
        <f>IFERROR(VLOOKUP(E5587,'Condensed Specialty Crosswalk'!$A$2:$C$106,3,FALSE),"")</f>
        <v/>
      </c>
    </row>
    <row r="5588" spans="5:7" ht="15" customHeight="1">
      <c r="E5588" s="49" t="str">
        <f>IFERROR(VLOOKUP(D5588,'taxonomy map'!$A$1:$C$107,2,FALSE),"")</f>
        <v/>
      </c>
      <c r="F5588" s="49" t="str">
        <f>IFERROR(VLOOKUP(E5588,'Condensed Specialty Crosswalk'!$A$2:$C$106,2,FALSE),"")</f>
        <v/>
      </c>
      <c r="G5588" s="49" t="str">
        <f>IFERROR(VLOOKUP(E5588,'Condensed Specialty Crosswalk'!$A$2:$C$106,3,FALSE),"")</f>
        <v/>
      </c>
    </row>
    <row r="5589" spans="5:7" ht="15" customHeight="1">
      <c r="E5589" s="49" t="str">
        <f>IFERROR(VLOOKUP(D5589,'taxonomy map'!$A$1:$C$107,2,FALSE),"")</f>
        <v/>
      </c>
      <c r="F5589" s="49" t="str">
        <f>IFERROR(VLOOKUP(E5589,'Condensed Specialty Crosswalk'!$A$2:$C$106,2,FALSE),"")</f>
        <v/>
      </c>
      <c r="G5589" s="49" t="str">
        <f>IFERROR(VLOOKUP(E5589,'Condensed Specialty Crosswalk'!$A$2:$C$106,3,FALSE),"")</f>
        <v/>
      </c>
    </row>
    <row r="5590" spans="5:7" ht="15" customHeight="1">
      <c r="E5590" s="49" t="str">
        <f>IFERROR(VLOOKUP(D5590,'taxonomy map'!$A$1:$C$107,2,FALSE),"")</f>
        <v/>
      </c>
      <c r="F5590" s="49" t="str">
        <f>IFERROR(VLOOKUP(E5590,'Condensed Specialty Crosswalk'!$A$2:$C$106,2,FALSE),"")</f>
        <v/>
      </c>
      <c r="G5590" s="49" t="str">
        <f>IFERROR(VLOOKUP(E5590,'Condensed Specialty Crosswalk'!$A$2:$C$106,3,FALSE),"")</f>
        <v/>
      </c>
    </row>
    <row r="5591" spans="5:7" ht="15" customHeight="1">
      <c r="E5591" s="49" t="str">
        <f>IFERROR(VLOOKUP(D5591,'taxonomy map'!$A$1:$C$107,2,FALSE),"")</f>
        <v/>
      </c>
      <c r="F5591" s="49" t="str">
        <f>IFERROR(VLOOKUP(E5591,'Condensed Specialty Crosswalk'!$A$2:$C$106,2,FALSE),"")</f>
        <v/>
      </c>
      <c r="G5591" s="49" t="str">
        <f>IFERROR(VLOOKUP(E5591,'Condensed Specialty Crosswalk'!$A$2:$C$106,3,FALSE),"")</f>
        <v/>
      </c>
    </row>
    <row r="5592" spans="5:7" ht="15" customHeight="1">
      <c r="E5592" s="49" t="str">
        <f>IFERROR(VLOOKUP(D5592,'taxonomy map'!$A$1:$C$107,2,FALSE),"")</f>
        <v/>
      </c>
      <c r="F5592" s="49" t="str">
        <f>IFERROR(VLOOKUP(E5592,'Condensed Specialty Crosswalk'!$A$2:$C$106,2,FALSE),"")</f>
        <v/>
      </c>
      <c r="G5592" s="49" t="str">
        <f>IFERROR(VLOOKUP(E5592,'Condensed Specialty Crosswalk'!$A$2:$C$106,3,FALSE),"")</f>
        <v/>
      </c>
    </row>
    <row r="5593" spans="5:7" ht="15" customHeight="1">
      <c r="E5593" s="49" t="str">
        <f>IFERROR(VLOOKUP(D5593,'taxonomy map'!$A$1:$C$107,2,FALSE),"")</f>
        <v/>
      </c>
      <c r="F5593" s="49" t="str">
        <f>IFERROR(VLOOKUP(E5593,'Condensed Specialty Crosswalk'!$A$2:$C$106,2,FALSE),"")</f>
        <v/>
      </c>
      <c r="G5593" s="49" t="str">
        <f>IFERROR(VLOOKUP(E5593,'Condensed Specialty Crosswalk'!$A$2:$C$106,3,FALSE),"")</f>
        <v/>
      </c>
    </row>
    <row r="5594" spans="5:7" ht="15" customHeight="1">
      <c r="E5594" s="49" t="str">
        <f>IFERROR(VLOOKUP(D5594,'taxonomy map'!$A$1:$C$107,2,FALSE),"")</f>
        <v/>
      </c>
      <c r="F5594" s="49" t="str">
        <f>IFERROR(VLOOKUP(E5594,'Condensed Specialty Crosswalk'!$A$2:$C$106,2,FALSE),"")</f>
        <v/>
      </c>
      <c r="G5594" s="49" t="str">
        <f>IFERROR(VLOOKUP(E5594,'Condensed Specialty Crosswalk'!$A$2:$C$106,3,FALSE),"")</f>
        <v/>
      </c>
    </row>
    <row r="5595" spans="5:7" ht="15" customHeight="1">
      <c r="E5595" s="49" t="str">
        <f>IFERROR(VLOOKUP(D5595,'taxonomy map'!$A$1:$C$107,2,FALSE),"")</f>
        <v/>
      </c>
      <c r="F5595" s="49" t="str">
        <f>IFERROR(VLOOKUP(E5595,'Condensed Specialty Crosswalk'!$A$2:$C$106,2,FALSE),"")</f>
        <v/>
      </c>
      <c r="G5595" s="49" t="str">
        <f>IFERROR(VLOOKUP(E5595,'Condensed Specialty Crosswalk'!$A$2:$C$106,3,FALSE),"")</f>
        <v/>
      </c>
    </row>
    <row r="5596" spans="5:7" ht="15" customHeight="1">
      <c r="E5596" s="49" t="str">
        <f>IFERROR(VLOOKUP(D5596,'taxonomy map'!$A$1:$C$107,2,FALSE),"")</f>
        <v/>
      </c>
      <c r="F5596" s="49" t="str">
        <f>IFERROR(VLOOKUP(E5596,'Condensed Specialty Crosswalk'!$A$2:$C$106,2,FALSE),"")</f>
        <v/>
      </c>
      <c r="G5596" s="49" t="str">
        <f>IFERROR(VLOOKUP(E5596,'Condensed Specialty Crosswalk'!$A$2:$C$106,3,FALSE),"")</f>
        <v/>
      </c>
    </row>
    <row r="5597" spans="5:7" ht="15" customHeight="1">
      <c r="E5597" s="49" t="str">
        <f>IFERROR(VLOOKUP(D5597,'taxonomy map'!$A$1:$C$107,2,FALSE),"")</f>
        <v/>
      </c>
      <c r="F5597" s="49" t="str">
        <f>IFERROR(VLOOKUP(E5597,'Condensed Specialty Crosswalk'!$A$2:$C$106,2,FALSE),"")</f>
        <v/>
      </c>
      <c r="G5597" s="49" t="str">
        <f>IFERROR(VLOOKUP(E5597,'Condensed Specialty Crosswalk'!$A$2:$C$106,3,FALSE),"")</f>
        <v/>
      </c>
    </row>
    <row r="5598" spans="5:7" ht="15" customHeight="1">
      <c r="E5598" s="49" t="str">
        <f>IFERROR(VLOOKUP(D5598,'taxonomy map'!$A$1:$C$107,2,FALSE),"")</f>
        <v/>
      </c>
      <c r="F5598" s="49" t="str">
        <f>IFERROR(VLOOKUP(E5598,'Condensed Specialty Crosswalk'!$A$2:$C$106,2,FALSE),"")</f>
        <v/>
      </c>
      <c r="G5598" s="49" t="str">
        <f>IFERROR(VLOOKUP(E5598,'Condensed Specialty Crosswalk'!$A$2:$C$106,3,FALSE),"")</f>
        <v/>
      </c>
    </row>
    <row r="5599" spans="5:7" ht="15" customHeight="1">
      <c r="E5599" s="49" t="str">
        <f>IFERROR(VLOOKUP(D5599,'taxonomy map'!$A$1:$C$107,2,FALSE),"")</f>
        <v/>
      </c>
      <c r="F5599" s="49" t="str">
        <f>IFERROR(VLOOKUP(E5599,'Condensed Specialty Crosswalk'!$A$2:$C$106,2,FALSE),"")</f>
        <v/>
      </c>
      <c r="G5599" s="49" t="str">
        <f>IFERROR(VLOOKUP(E5599,'Condensed Specialty Crosswalk'!$A$2:$C$106,3,FALSE),"")</f>
        <v/>
      </c>
    </row>
    <row r="5600" spans="5:7" ht="15" customHeight="1">
      <c r="E5600" s="49" t="str">
        <f>IFERROR(VLOOKUP(D5600,'taxonomy map'!$A$1:$C$107,2,FALSE),"")</f>
        <v/>
      </c>
      <c r="F5600" s="49" t="str">
        <f>IFERROR(VLOOKUP(E5600,'Condensed Specialty Crosswalk'!$A$2:$C$106,2,FALSE),"")</f>
        <v/>
      </c>
      <c r="G5600" s="49" t="str">
        <f>IFERROR(VLOOKUP(E5600,'Condensed Specialty Crosswalk'!$A$2:$C$106,3,FALSE),"")</f>
        <v/>
      </c>
    </row>
    <row r="5601" spans="5:7" ht="15" customHeight="1">
      <c r="E5601" s="49" t="str">
        <f>IFERROR(VLOOKUP(D5601,'taxonomy map'!$A$1:$C$107,2,FALSE),"")</f>
        <v/>
      </c>
      <c r="F5601" s="49" t="str">
        <f>IFERROR(VLOOKUP(E5601,'Condensed Specialty Crosswalk'!$A$2:$C$106,2,FALSE),"")</f>
        <v/>
      </c>
      <c r="G5601" s="49" t="str">
        <f>IFERROR(VLOOKUP(E5601,'Condensed Specialty Crosswalk'!$A$2:$C$106,3,FALSE),"")</f>
        <v/>
      </c>
    </row>
    <row r="5602" spans="5:7" ht="15" customHeight="1">
      <c r="E5602" s="49" t="str">
        <f>IFERROR(VLOOKUP(D5602,'taxonomy map'!$A$1:$C$107,2,FALSE),"")</f>
        <v/>
      </c>
      <c r="F5602" s="49" t="str">
        <f>IFERROR(VLOOKUP(E5602,'Condensed Specialty Crosswalk'!$A$2:$C$106,2,FALSE),"")</f>
        <v/>
      </c>
      <c r="G5602" s="49" t="str">
        <f>IFERROR(VLOOKUP(E5602,'Condensed Specialty Crosswalk'!$A$2:$C$106,3,FALSE),"")</f>
        <v/>
      </c>
    </row>
    <row r="5603" spans="5:7" ht="15" customHeight="1">
      <c r="E5603" s="49" t="str">
        <f>IFERROR(VLOOKUP(D5603,'taxonomy map'!$A$1:$C$107,2,FALSE),"")</f>
        <v/>
      </c>
      <c r="F5603" s="49" t="str">
        <f>IFERROR(VLOOKUP(E5603,'Condensed Specialty Crosswalk'!$A$2:$C$106,2,FALSE),"")</f>
        <v/>
      </c>
      <c r="G5603" s="49" t="str">
        <f>IFERROR(VLOOKUP(E5603,'Condensed Specialty Crosswalk'!$A$2:$C$106,3,FALSE),"")</f>
        <v/>
      </c>
    </row>
    <row r="5604" spans="5:7" ht="15" customHeight="1">
      <c r="E5604" s="49" t="str">
        <f>IFERROR(VLOOKUP(D5604,'taxonomy map'!$A$1:$C$107,2,FALSE),"")</f>
        <v/>
      </c>
      <c r="F5604" s="49" t="str">
        <f>IFERROR(VLOOKUP(E5604,'Condensed Specialty Crosswalk'!$A$2:$C$106,2,FALSE),"")</f>
        <v/>
      </c>
      <c r="G5604" s="49" t="str">
        <f>IFERROR(VLOOKUP(E5604,'Condensed Specialty Crosswalk'!$A$2:$C$106,3,FALSE),"")</f>
        <v/>
      </c>
    </row>
    <row r="5605" spans="5:7" ht="15" customHeight="1">
      <c r="E5605" s="49" t="str">
        <f>IFERROR(VLOOKUP(D5605,'taxonomy map'!$A$1:$C$107,2,FALSE),"")</f>
        <v/>
      </c>
      <c r="F5605" s="49" t="str">
        <f>IFERROR(VLOOKUP(E5605,'Condensed Specialty Crosswalk'!$A$2:$C$106,2,FALSE),"")</f>
        <v/>
      </c>
      <c r="G5605" s="49" t="str">
        <f>IFERROR(VLOOKUP(E5605,'Condensed Specialty Crosswalk'!$A$2:$C$106,3,FALSE),"")</f>
        <v/>
      </c>
    </row>
    <row r="5606" spans="5:7" ht="15" customHeight="1">
      <c r="E5606" s="49" t="str">
        <f>IFERROR(VLOOKUP(D5606,'taxonomy map'!$A$1:$C$107,2,FALSE),"")</f>
        <v/>
      </c>
      <c r="F5606" s="49" t="str">
        <f>IFERROR(VLOOKUP(E5606,'Condensed Specialty Crosswalk'!$A$2:$C$106,2,FALSE),"")</f>
        <v/>
      </c>
      <c r="G5606" s="49" t="str">
        <f>IFERROR(VLOOKUP(E5606,'Condensed Specialty Crosswalk'!$A$2:$C$106,3,FALSE),"")</f>
        <v/>
      </c>
    </row>
    <row r="5607" spans="5:7" ht="15" customHeight="1">
      <c r="E5607" s="49" t="str">
        <f>IFERROR(VLOOKUP(D5607,'taxonomy map'!$A$1:$C$107,2,FALSE),"")</f>
        <v/>
      </c>
      <c r="F5607" s="49" t="str">
        <f>IFERROR(VLOOKUP(E5607,'Condensed Specialty Crosswalk'!$A$2:$C$106,2,FALSE),"")</f>
        <v/>
      </c>
      <c r="G5607" s="49" t="str">
        <f>IFERROR(VLOOKUP(E5607,'Condensed Specialty Crosswalk'!$A$2:$C$106,3,FALSE),"")</f>
        <v/>
      </c>
    </row>
    <row r="5608" spans="5:7" ht="15" customHeight="1">
      <c r="E5608" s="49" t="str">
        <f>IFERROR(VLOOKUP(D5608,'taxonomy map'!$A$1:$C$107,2,FALSE),"")</f>
        <v/>
      </c>
      <c r="F5608" s="49" t="str">
        <f>IFERROR(VLOOKUP(E5608,'Condensed Specialty Crosswalk'!$A$2:$C$106,2,FALSE),"")</f>
        <v/>
      </c>
      <c r="G5608" s="49" t="str">
        <f>IFERROR(VLOOKUP(E5608,'Condensed Specialty Crosswalk'!$A$2:$C$106,3,FALSE),"")</f>
        <v/>
      </c>
    </row>
    <row r="5609" spans="5:7" ht="15" customHeight="1">
      <c r="E5609" s="49" t="str">
        <f>IFERROR(VLOOKUP(D5609,'taxonomy map'!$A$1:$C$107,2,FALSE),"")</f>
        <v/>
      </c>
      <c r="F5609" s="49" t="str">
        <f>IFERROR(VLOOKUP(E5609,'Condensed Specialty Crosswalk'!$A$2:$C$106,2,FALSE),"")</f>
        <v/>
      </c>
      <c r="G5609" s="49" t="str">
        <f>IFERROR(VLOOKUP(E5609,'Condensed Specialty Crosswalk'!$A$2:$C$106,3,FALSE),"")</f>
        <v/>
      </c>
    </row>
    <row r="5610" spans="5:7" ht="15" customHeight="1">
      <c r="E5610" s="49" t="str">
        <f>IFERROR(VLOOKUP(D5610,'taxonomy map'!$A$1:$C$107,2,FALSE),"")</f>
        <v/>
      </c>
      <c r="F5610" s="49" t="str">
        <f>IFERROR(VLOOKUP(E5610,'Condensed Specialty Crosswalk'!$A$2:$C$106,2,FALSE),"")</f>
        <v/>
      </c>
      <c r="G5610" s="49" t="str">
        <f>IFERROR(VLOOKUP(E5610,'Condensed Specialty Crosswalk'!$A$2:$C$106,3,FALSE),"")</f>
        <v/>
      </c>
    </row>
    <row r="5611" spans="5:7" ht="15" customHeight="1">
      <c r="E5611" s="49" t="str">
        <f>IFERROR(VLOOKUP(D5611,'taxonomy map'!$A$1:$C$107,2,FALSE),"")</f>
        <v/>
      </c>
      <c r="F5611" s="49" t="str">
        <f>IFERROR(VLOOKUP(E5611,'Condensed Specialty Crosswalk'!$A$2:$C$106,2,FALSE),"")</f>
        <v/>
      </c>
      <c r="G5611" s="49" t="str">
        <f>IFERROR(VLOOKUP(E5611,'Condensed Specialty Crosswalk'!$A$2:$C$106,3,FALSE),"")</f>
        <v/>
      </c>
    </row>
    <row r="5612" spans="5:7" ht="15" customHeight="1">
      <c r="E5612" s="49" t="str">
        <f>IFERROR(VLOOKUP(D5612,'taxonomy map'!$A$1:$C$107,2,FALSE),"")</f>
        <v/>
      </c>
      <c r="F5612" s="49" t="str">
        <f>IFERROR(VLOOKUP(E5612,'Condensed Specialty Crosswalk'!$A$2:$C$106,2,FALSE),"")</f>
        <v/>
      </c>
      <c r="G5612" s="49" t="str">
        <f>IFERROR(VLOOKUP(E5612,'Condensed Specialty Crosswalk'!$A$2:$C$106,3,FALSE),"")</f>
        <v/>
      </c>
    </row>
    <row r="5613" spans="5:7" ht="15" customHeight="1">
      <c r="E5613" s="49" t="str">
        <f>IFERROR(VLOOKUP(D5613,'taxonomy map'!$A$1:$C$107,2,FALSE),"")</f>
        <v/>
      </c>
      <c r="F5613" s="49" t="str">
        <f>IFERROR(VLOOKUP(E5613,'Condensed Specialty Crosswalk'!$A$2:$C$106,2,FALSE),"")</f>
        <v/>
      </c>
      <c r="G5613" s="49" t="str">
        <f>IFERROR(VLOOKUP(E5613,'Condensed Specialty Crosswalk'!$A$2:$C$106,3,FALSE),"")</f>
        <v/>
      </c>
    </row>
    <row r="5614" spans="5:7" ht="15" customHeight="1">
      <c r="E5614" s="49" t="str">
        <f>IFERROR(VLOOKUP(D5614,'taxonomy map'!$A$1:$C$107,2,FALSE),"")</f>
        <v/>
      </c>
      <c r="F5614" s="49" t="str">
        <f>IFERROR(VLOOKUP(E5614,'Condensed Specialty Crosswalk'!$A$2:$C$106,2,FALSE),"")</f>
        <v/>
      </c>
      <c r="G5614" s="49" t="str">
        <f>IFERROR(VLOOKUP(E5614,'Condensed Specialty Crosswalk'!$A$2:$C$106,3,FALSE),"")</f>
        <v/>
      </c>
    </row>
    <row r="5615" spans="5:7" ht="15" customHeight="1">
      <c r="E5615" s="49" t="str">
        <f>IFERROR(VLOOKUP(D5615,'taxonomy map'!$A$1:$C$107,2,FALSE),"")</f>
        <v/>
      </c>
      <c r="F5615" s="49" t="str">
        <f>IFERROR(VLOOKUP(E5615,'Condensed Specialty Crosswalk'!$A$2:$C$106,2,FALSE),"")</f>
        <v/>
      </c>
      <c r="G5615" s="49" t="str">
        <f>IFERROR(VLOOKUP(E5615,'Condensed Specialty Crosswalk'!$A$2:$C$106,3,FALSE),"")</f>
        <v/>
      </c>
    </row>
    <row r="5616" spans="5:7" ht="15" customHeight="1">
      <c r="E5616" s="49" t="str">
        <f>IFERROR(VLOOKUP(D5616,'taxonomy map'!$A$1:$C$107,2,FALSE),"")</f>
        <v/>
      </c>
      <c r="F5616" s="49" t="str">
        <f>IFERROR(VLOOKUP(E5616,'Condensed Specialty Crosswalk'!$A$2:$C$106,2,FALSE),"")</f>
        <v/>
      </c>
      <c r="G5616" s="49" t="str">
        <f>IFERROR(VLOOKUP(E5616,'Condensed Specialty Crosswalk'!$A$2:$C$106,3,FALSE),"")</f>
        <v/>
      </c>
    </row>
    <row r="5617" spans="5:7" ht="15" customHeight="1">
      <c r="E5617" s="49" t="str">
        <f>IFERROR(VLOOKUP(D5617,'taxonomy map'!$A$1:$C$107,2,FALSE),"")</f>
        <v/>
      </c>
      <c r="F5617" s="49" t="str">
        <f>IFERROR(VLOOKUP(E5617,'Condensed Specialty Crosswalk'!$A$2:$C$106,2,FALSE),"")</f>
        <v/>
      </c>
      <c r="G5617" s="49" t="str">
        <f>IFERROR(VLOOKUP(E5617,'Condensed Specialty Crosswalk'!$A$2:$C$106,3,FALSE),"")</f>
        <v/>
      </c>
    </row>
    <row r="5618" spans="5:7" ht="15" customHeight="1">
      <c r="E5618" s="49" t="str">
        <f>IFERROR(VLOOKUP(D5618,'taxonomy map'!$A$1:$C$107,2,FALSE),"")</f>
        <v/>
      </c>
      <c r="F5618" s="49" t="str">
        <f>IFERROR(VLOOKUP(E5618,'Condensed Specialty Crosswalk'!$A$2:$C$106,2,FALSE),"")</f>
        <v/>
      </c>
      <c r="G5618" s="49" t="str">
        <f>IFERROR(VLOOKUP(E5618,'Condensed Specialty Crosswalk'!$A$2:$C$106,3,FALSE),"")</f>
        <v/>
      </c>
    </row>
    <row r="5619" spans="5:7" ht="15" customHeight="1">
      <c r="E5619" s="49" t="str">
        <f>IFERROR(VLOOKUP(D5619,'taxonomy map'!$A$1:$C$107,2,FALSE),"")</f>
        <v/>
      </c>
      <c r="F5619" s="49" t="str">
        <f>IFERROR(VLOOKUP(E5619,'Condensed Specialty Crosswalk'!$A$2:$C$106,2,FALSE),"")</f>
        <v/>
      </c>
      <c r="G5619" s="49" t="str">
        <f>IFERROR(VLOOKUP(E5619,'Condensed Specialty Crosswalk'!$A$2:$C$106,3,FALSE),"")</f>
        <v/>
      </c>
    </row>
    <row r="5620" spans="5:7" ht="15" customHeight="1">
      <c r="E5620" s="49" t="str">
        <f>IFERROR(VLOOKUP(D5620,'taxonomy map'!$A$1:$C$107,2,FALSE),"")</f>
        <v/>
      </c>
      <c r="F5620" s="49" t="str">
        <f>IFERROR(VLOOKUP(E5620,'Condensed Specialty Crosswalk'!$A$2:$C$106,2,FALSE),"")</f>
        <v/>
      </c>
      <c r="G5620" s="49" t="str">
        <f>IFERROR(VLOOKUP(E5620,'Condensed Specialty Crosswalk'!$A$2:$C$106,3,FALSE),"")</f>
        <v/>
      </c>
    </row>
    <row r="5621" spans="5:7" ht="15" customHeight="1">
      <c r="E5621" s="49" t="str">
        <f>IFERROR(VLOOKUP(D5621,'taxonomy map'!$A$1:$C$107,2,FALSE),"")</f>
        <v/>
      </c>
      <c r="F5621" s="49" t="str">
        <f>IFERROR(VLOOKUP(E5621,'Condensed Specialty Crosswalk'!$A$2:$C$106,2,FALSE),"")</f>
        <v/>
      </c>
      <c r="G5621" s="49" t="str">
        <f>IFERROR(VLOOKUP(E5621,'Condensed Specialty Crosswalk'!$A$2:$C$106,3,FALSE),"")</f>
        <v/>
      </c>
    </row>
    <row r="5622" spans="5:7" ht="15" customHeight="1">
      <c r="E5622" s="49" t="str">
        <f>IFERROR(VLOOKUP(D5622,'taxonomy map'!$A$1:$C$107,2,FALSE),"")</f>
        <v/>
      </c>
      <c r="F5622" s="49" t="str">
        <f>IFERROR(VLOOKUP(E5622,'Condensed Specialty Crosswalk'!$A$2:$C$106,2,FALSE),"")</f>
        <v/>
      </c>
      <c r="G5622" s="49" t="str">
        <f>IFERROR(VLOOKUP(E5622,'Condensed Specialty Crosswalk'!$A$2:$C$106,3,FALSE),"")</f>
        <v/>
      </c>
    </row>
    <row r="5623" spans="5:7" ht="15" customHeight="1">
      <c r="E5623" s="49" t="str">
        <f>IFERROR(VLOOKUP(D5623,'taxonomy map'!$A$1:$C$107,2,FALSE),"")</f>
        <v/>
      </c>
      <c r="F5623" s="49" t="str">
        <f>IFERROR(VLOOKUP(E5623,'Condensed Specialty Crosswalk'!$A$2:$C$106,2,FALSE),"")</f>
        <v/>
      </c>
      <c r="G5623" s="49" t="str">
        <f>IFERROR(VLOOKUP(E5623,'Condensed Specialty Crosswalk'!$A$2:$C$106,3,FALSE),"")</f>
        <v/>
      </c>
    </row>
    <row r="5624" spans="5:7" ht="15" customHeight="1">
      <c r="E5624" s="49" t="str">
        <f>IFERROR(VLOOKUP(D5624,'taxonomy map'!$A$1:$C$107,2,FALSE),"")</f>
        <v/>
      </c>
      <c r="F5624" s="49" t="str">
        <f>IFERROR(VLOOKUP(E5624,'Condensed Specialty Crosswalk'!$A$2:$C$106,2,FALSE),"")</f>
        <v/>
      </c>
      <c r="G5624" s="49" t="str">
        <f>IFERROR(VLOOKUP(E5624,'Condensed Specialty Crosswalk'!$A$2:$C$106,3,FALSE),"")</f>
        <v/>
      </c>
    </row>
    <row r="5625" spans="5:7" ht="15" customHeight="1">
      <c r="E5625" s="49" t="str">
        <f>IFERROR(VLOOKUP(D5625,'taxonomy map'!$A$1:$C$107,2,FALSE),"")</f>
        <v/>
      </c>
      <c r="F5625" s="49" t="str">
        <f>IFERROR(VLOOKUP(E5625,'Condensed Specialty Crosswalk'!$A$2:$C$106,2,FALSE),"")</f>
        <v/>
      </c>
      <c r="G5625" s="49" t="str">
        <f>IFERROR(VLOOKUP(E5625,'Condensed Specialty Crosswalk'!$A$2:$C$106,3,FALSE),"")</f>
        <v/>
      </c>
    </row>
    <row r="5626" spans="5:7" ht="15" customHeight="1">
      <c r="E5626" s="49" t="str">
        <f>IFERROR(VLOOKUP(D5626,'taxonomy map'!$A$1:$C$107,2,FALSE),"")</f>
        <v/>
      </c>
      <c r="F5626" s="49" t="str">
        <f>IFERROR(VLOOKUP(E5626,'Condensed Specialty Crosswalk'!$A$2:$C$106,2,FALSE),"")</f>
        <v/>
      </c>
      <c r="G5626" s="49" t="str">
        <f>IFERROR(VLOOKUP(E5626,'Condensed Specialty Crosswalk'!$A$2:$C$106,3,FALSE),"")</f>
        <v/>
      </c>
    </row>
    <row r="5627" spans="5:7" ht="15" customHeight="1">
      <c r="E5627" s="49" t="str">
        <f>IFERROR(VLOOKUP(D5627,'taxonomy map'!$A$1:$C$107,2,FALSE),"")</f>
        <v/>
      </c>
      <c r="F5627" s="49" t="str">
        <f>IFERROR(VLOOKUP(E5627,'Condensed Specialty Crosswalk'!$A$2:$C$106,2,FALSE),"")</f>
        <v/>
      </c>
      <c r="G5627" s="49" t="str">
        <f>IFERROR(VLOOKUP(E5627,'Condensed Specialty Crosswalk'!$A$2:$C$106,3,FALSE),"")</f>
        <v/>
      </c>
    </row>
    <row r="5628" spans="5:7" ht="15" customHeight="1">
      <c r="E5628" s="49" t="str">
        <f>IFERROR(VLOOKUP(D5628,'taxonomy map'!$A$1:$C$107,2,FALSE),"")</f>
        <v/>
      </c>
      <c r="F5628" s="49" t="str">
        <f>IFERROR(VLOOKUP(E5628,'Condensed Specialty Crosswalk'!$A$2:$C$106,2,FALSE),"")</f>
        <v/>
      </c>
      <c r="G5628" s="49" t="str">
        <f>IFERROR(VLOOKUP(E5628,'Condensed Specialty Crosswalk'!$A$2:$C$106,3,FALSE),"")</f>
        <v/>
      </c>
    </row>
    <row r="5629" spans="5:7" ht="15" customHeight="1">
      <c r="E5629" s="49" t="str">
        <f>IFERROR(VLOOKUP(D5629,'taxonomy map'!$A$1:$C$107,2,FALSE),"")</f>
        <v/>
      </c>
      <c r="F5629" s="49" t="str">
        <f>IFERROR(VLOOKUP(E5629,'Condensed Specialty Crosswalk'!$A$2:$C$106,2,FALSE),"")</f>
        <v/>
      </c>
      <c r="G5629" s="49" t="str">
        <f>IFERROR(VLOOKUP(E5629,'Condensed Specialty Crosswalk'!$A$2:$C$106,3,FALSE),"")</f>
        <v/>
      </c>
    </row>
    <row r="5630" spans="5:7" ht="15" customHeight="1">
      <c r="E5630" s="49" t="str">
        <f>IFERROR(VLOOKUP(D5630,'taxonomy map'!$A$1:$C$107,2,FALSE),"")</f>
        <v/>
      </c>
      <c r="F5630" s="49" t="str">
        <f>IFERROR(VLOOKUP(E5630,'Condensed Specialty Crosswalk'!$A$2:$C$106,2,FALSE),"")</f>
        <v/>
      </c>
      <c r="G5630" s="49" t="str">
        <f>IFERROR(VLOOKUP(E5630,'Condensed Specialty Crosswalk'!$A$2:$C$106,3,FALSE),"")</f>
        <v/>
      </c>
    </row>
    <row r="5631" spans="5:7" ht="15" customHeight="1">
      <c r="E5631" s="49" t="str">
        <f>IFERROR(VLOOKUP(D5631,'taxonomy map'!$A$1:$C$107,2,FALSE),"")</f>
        <v/>
      </c>
      <c r="F5631" s="49" t="str">
        <f>IFERROR(VLOOKUP(E5631,'Condensed Specialty Crosswalk'!$A$2:$C$106,2,FALSE),"")</f>
        <v/>
      </c>
      <c r="G5631" s="49" t="str">
        <f>IFERROR(VLOOKUP(E5631,'Condensed Specialty Crosswalk'!$A$2:$C$106,3,FALSE),"")</f>
        <v/>
      </c>
    </row>
    <row r="5632" spans="5:7" ht="15" customHeight="1">
      <c r="E5632" s="49" t="str">
        <f>IFERROR(VLOOKUP(D5632,'taxonomy map'!$A$1:$C$107,2,FALSE),"")</f>
        <v/>
      </c>
      <c r="F5632" s="49" t="str">
        <f>IFERROR(VLOOKUP(E5632,'Condensed Specialty Crosswalk'!$A$2:$C$106,2,FALSE),"")</f>
        <v/>
      </c>
      <c r="G5632" s="49" t="str">
        <f>IFERROR(VLOOKUP(E5632,'Condensed Specialty Crosswalk'!$A$2:$C$106,3,FALSE),"")</f>
        <v/>
      </c>
    </row>
    <row r="5633" spans="5:7" ht="15" customHeight="1">
      <c r="E5633" s="49" t="str">
        <f>IFERROR(VLOOKUP(D5633,'taxonomy map'!$A$1:$C$107,2,FALSE),"")</f>
        <v/>
      </c>
      <c r="F5633" s="49" t="str">
        <f>IFERROR(VLOOKUP(E5633,'Condensed Specialty Crosswalk'!$A$2:$C$106,2,FALSE),"")</f>
        <v/>
      </c>
      <c r="G5633" s="49" t="str">
        <f>IFERROR(VLOOKUP(E5633,'Condensed Specialty Crosswalk'!$A$2:$C$106,3,FALSE),"")</f>
        <v/>
      </c>
    </row>
    <row r="5634" spans="5:7" ht="15" customHeight="1">
      <c r="E5634" s="49" t="str">
        <f>IFERROR(VLOOKUP(D5634,'taxonomy map'!$A$1:$C$107,2,FALSE),"")</f>
        <v/>
      </c>
      <c r="F5634" s="49" t="str">
        <f>IFERROR(VLOOKUP(E5634,'Condensed Specialty Crosswalk'!$A$2:$C$106,2,FALSE),"")</f>
        <v/>
      </c>
      <c r="G5634" s="49" t="str">
        <f>IFERROR(VLOOKUP(E5634,'Condensed Specialty Crosswalk'!$A$2:$C$106,3,FALSE),"")</f>
        <v/>
      </c>
    </row>
    <row r="5635" spans="5:7" ht="15" customHeight="1">
      <c r="E5635" s="49" t="str">
        <f>IFERROR(VLOOKUP(D5635,'taxonomy map'!$A$1:$C$107,2,FALSE),"")</f>
        <v/>
      </c>
      <c r="F5635" s="49" t="str">
        <f>IFERROR(VLOOKUP(E5635,'Condensed Specialty Crosswalk'!$A$2:$C$106,2,FALSE),"")</f>
        <v/>
      </c>
      <c r="G5635" s="49" t="str">
        <f>IFERROR(VLOOKUP(E5635,'Condensed Specialty Crosswalk'!$A$2:$C$106,3,FALSE),"")</f>
        <v/>
      </c>
    </row>
    <row r="5636" spans="5:7" ht="15" customHeight="1">
      <c r="E5636" s="49" t="str">
        <f>IFERROR(VLOOKUP(D5636,'taxonomy map'!$A$1:$C$107,2,FALSE),"")</f>
        <v/>
      </c>
      <c r="F5636" s="49" t="str">
        <f>IFERROR(VLOOKUP(E5636,'Condensed Specialty Crosswalk'!$A$2:$C$106,2,FALSE),"")</f>
        <v/>
      </c>
      <c r="G5636" s="49" t="str">
        <f>IFERROR(VLOOKUP(E5636,'Condensed Specialty Crosswalk'!$A$2:$C$106,3,FALSE),"")</f>
        <v/>
      </c>
    </row>
    <row r="5637" spans="5:7" ht="15" customHeight="1">
      <c r="E5637" s="49" t="str">
        <f>IFERROR(VLOOKUP(D5637,'taxonomy map'!$A$1:$C$107,2,FALSE),"")</f>
        <v/>
      </c>
      <c r="F5637" s="49" t="str">
        <f>IFERROR(VLOOKUP(E5637,'Condensed Specialty Crosswalk'!$A$2:$C$106,2,FALSE),"")</f>
        <v/>
      </c>
      <c r="G5637" s="49" t="str">
        <f>IFERROR(VLOOKUP(E5637,'Condensed Specialty Crosswalk'!$A$2:$C$106,3,FALSE),"")</f>
        <v/>
      </c>
    </row>
    <row r="5638" spans="5:7" ht="15" customHeight="1">
      <c r="E5638" s="49" t="str">
        <f>IFERROR(VLOOKUP(D5638,'taxonomy map'!$A$1:$C$107,2,FALSE),"")</f>
        <v/>
      </c>
      <c r="F5638" s="49" t="str">
        <f>IFERROR(VLOOKUP(E5638,'Condensed Specialty Crosswalk'!$A$2:$C$106,2,FALSE),"")</f>
        <v/>
      </c>
      <c r="G5638" s="49" t="str">
        <f>IFERROR(VLOOKUP(E5638,'Condensed Specialty Crosswalk'!$A$2:$C$106,3,FALSE),"")</f>
        <v/>
      </c>
    </row>
    <row r="5639" spans="5:7" ht="15" customHeight="1">
      <c r="E5639" s="49" t="str">
        <f>IFERROR(VLOOKUP(D5639,'taxonomy map'!$A$1:$C$107,2,FALSE),"")</f>
        <v/>
      </c>
      <c r="F5639" s="49" t="str">
        <f>IFERROR(VLOOKUP(E5639,'Condensed Specialty Crosswalk'!$A$2:$C$106,2,FALSE),"")</f>
        <v/>
      </c>
      <c r="G5639" s="49" t="str">
        <f>IFERROR(VLOOKUP(E5639,'Condensed Specialty Crosswalk'!$A$2:$C$106,3,FALSE),"")</f>
        <v/>
      </c>
    </row>
    <row r="5640" spans="5:7" ht="15" customHeight="1">
      <c r="E5640" s="49" t="str">
        <f>IFERROR(VLOOKUP(D5640,'taxonomy map'!$A$1:$C$107,2,FALSE),"")</f>
        <v/>
      </c>
      <c r="F5640" s="49" t="str">
        <f>IFERROR(VLOOKUP(E5640,'Condensed Specialty Crosswalk'!$A$2:$C$106,2,FALSE),"")</f>
        <v/>
      </c>
      <c r="G5640" s="49" t="str">
        <f>IFERROR(VLOOKUP(E5640,'Condensed Specialty Crosswalk'!$A$2:$C$106,3,FALSE),"")</f>
        <v/>
      </c>
    </row>
    <row r="5641" spans="5:7" ht="15" customHeight="1">
      <c r="E5641" s="49" t="str">
        <f>IFERROR(VLOOKUP(D5641,'taxonomy map'!$A$1:$C$107,2,FALSE),"")</f>
        <v/>
      </c>
      <c r="F5641" s="49" t="str">
        <f>IFERROR(VLOOKUP(E5641,'Condensed Specialty Crosswalk'!$A$2:$C$106,2,FALSE),"")</f>
        <v/>
      </c>
      <c r="G5641" s="49" t="str">
        <f>IFERROR(VLOOKUP(E5641,'Condensed Specialty Crosswalk'!$A$2:$C$106,3,FALSE),"")</f>
        <v/>
      </c>
    </row>
    <row r="5642" spans="5:7" ht="15" customHeight="1">
      <c r="E5642" s="49" t="str">
        <f>IFERROR(VLOOKUP(D5642,'taxonomy map'!$A$1:$C$107,2,FALSE),"")</f>
        <v/>
      </c>
      <c r="F5642" s="49" t="str">
        <f>IFERROR(VLOOKUP(E5642,'Condensed Specialty Crosswalk'!$A$2:$C$106,2,FALSE),"")</f>
        <v/>
      </c>
      <c r="G5642" s="49" t="str">
        <f>IFERROR(VLOOKUP(E5642,'Condensed Specialty Crosswalk'!$A$2:$C$106,3,FALSE),"")</f>
        <v/>
      </c>
    </row>
    <row r="5643" spans="5:7" ht="15" customHeight="1">
      <c r="E5643" s="49" t="str">
        <f>IFERROR(VLOOKUP(D5643,'taxonomy map'!$A$1:$C$107,2,FALSE),"")</f>
        <v/>
      </c>
      <c r="F5643" s="49" t="str">
        <f>IFERROR(VLOOKUP(E5643,'Condensed Specialty Crosswalk'!$A$2:$C$106,2,FALSE),"")</f>
        <v/>
      </c>
      <c r="G5643" s="49" t="str">
        <f>IFERROR(VLOOKUP(E5643,'Condensed Specialty Crosswalk'!$A$2:$C$106,3,FALSE),"")</f>
        <v/>
      </c>
    </row>
    <row r="5644" spans="5:7" ht="15" customHeight="1">
      <c r="E5644" s="49" t="str">
        <f>IFERROR(VLOOKUP(D5644,'taxonomy map'!$A$1:$C$107,2,FALSE),"")</f>
        <v/>
      </c>
      <c r="F5644" s="49" t="str">
        <f>IFERROR(VLOOKUP(E5644,'Condensed Specialty Crosswalk'!$A$2:$C$106,2,FALSE),"")</f>
        <v/>
      </c>
      <c r="G5644" s="49" t="str">
        <f>IFERROR(VLOOKUP(E5644,'Condensed Specialty Crosswalk'!$A$2:$C$106,3,FALSE),"")</f>
        <v/>
      </c>
    </row>
    <row r="5645" spans="5:7" ht="15" customHeight="1">
      <c r="E5645" s="49" t="str">
        <f>IFERROR(VLOOKUP(D5645,'taxonomy map'!$A$1:$C$107,2,FALSE),"")</f>
        <v/>
      </c>
      <c r="F5645" s="49" t="str">
        <f>IFERROR(VLOOKUP(E5645,'Condensed Specialty Crosswalk'!$A$2:$C$106,2,FALSE),"")</f>
        <v/>
      </c>
      <c r="G5645" s="49" t="str">
        <f>IFERROR(VLOOKUP(E5645,'Condensed Specialty Crosswalk'!$A$2:$C$106,3,FALSE),"")</f>
        <v/>
      </c>
    </row>
    <row r="5646" spans="5:7" ht="15" customHeight="1">
      <c r="E5646" s="49" t="str">
        <f>IFERROR(VLOOKUP(D5646,'taxonomy map'!$A$1:$C$107,2,FALSE),"")</f>
        <v/>
      </c>
      <c r="F5646" s="49" t="str">
        <f>IFERROR(VLOOKUP(E5646,'Condensed Specialty Crosswalk'!$A$2:$C$106,2,FALSE),"")</f>
        <v/>
      </c>
      <c r="G5646" s="49" t="str">
        <f>IFERROR(VLOOKUP(E5646,'Condensed Specialty Crosswalk'!$A$2:$C$106,3,FALSE),"")</f>
        <v/>
      </c>
    </row>
    <row r="5647" spans="5:7" ht="15" customHeight="1">
      <c r="E5647" s="49" t="str">
        <f>IFERROR(VLOOKUP(D5647,'taxonomy map'!$A$1:$C$107,2,FALSE),"")</f>
        <v/>
      </c>
      <c r="F5647" s="49" t="str">
        <f>IFERROR(VLOOKUP(E5647,'Condensed Specialty Crosswalk'!$A$2:$C$106,2,FALSE),"")</f>
        <v/>
      </c>
      <c r="G5647" s="49" t="str">
        <f>IFERROR(VLOOKUP(E5647,'Condensed Specialty Crosswalk'!$A$2:$C$106,3,FALSE),"")</f>
        <v/>
      </c>
    </row>
    <row r="5648" spans="5:7" ht="15" customHeight="1">
      <c r="E5648" s="49" t="str">
        <f>IFERROR(VLOOKUP(D5648,'taxonomy map'!$A$1:$C$107,2,FALSE),"")</f>
        <v/>
      </c>
      <c r="F5648" s="49" t="str">
        <f>IFERROR(VLOOKUP(E5648,'Condensed Specialty Crosswalk'!$A$2:$C$106,2,FALSE),"")</f>
        <v/>
      </c>
      <c r="G5648" s="49" t="str">
        <f>IFERROR(VLOOKUP(E5648,'Condensed Specialty Crosswalk'!$A$2:$C$106,3,FALSE),"")</f>
        <v/>
      </c>
    </row>
    <row r="5649" spans="5:7" ht="15" customHeight="1">
      <c r="E5649" s="49" t="str">
        <f>IFERROR(VLOOKUP(D5649,'taxonomy map'!$A$1:$C$107,2,FALSE),"")</f>
        <v/>
      </c>
      <c r="F5649" s="49" t="str">
        <f>IFERROR(VLOOKUP(E5649,'Condensed Specialty Crosswalk'!$A$2:$C$106,2,FALSE),"")</f>
        <v/>
      </c>
      <c r="G5649" s="49" t="str">
        <f>IFERROR(VLOOKUP(E5649,'Condensed Specialty Crosswalk'!$A$2:$C$106,3,FALSE),"")</f>
        <v/>
      </c>
    </row>
    <row r="5650" spans="5:7" ht="15" customHeight="1">
      <c r="E5650" s="49" t="str">
        <f>IFERROR(VLOOKUP(D5650,'taxonomy map'!$A$1:$C$107,2,FALSE),"")</f>
        <v/>
      </c>
      <c r="F5650" s="49" t="str">
        <f>IFERROR(VLOOKUP(E5650,'Condensed Specialty Crosswalk'!$A$2:$C$106,2,FALSE),"")</f>
        <v/>
      </c>
      <c r="G5650" s="49" t="str">
        <f>IFERROR(VLOOKUP(E5650,'Condensed Specialty Crosswalk'!$A$2:$C$106,3,FALSE),"")</f>
        <v/>
      </c>
    </row>
    <row r="5651" spans="5:7" ht="15" customHeight="1">
      <c r="E5651" s="49" t="str">
        <f>IFERROR(VLOOKUP(D5651,'taxonomy map'!$A$1:$C$107,2,FALSE),"")</f>
        <v/>
      </c>
      <c r="F5651" s="49" t="str">
        <f>IFERROR(VLOOKUP(E5651,'Condensed Specialty Crosswalk'!$A$2:$C$106,2,FALSE),"")</f>
        <v/>
      </c>
      <c r="G5651" s="49" t="str">
        <f>IFERROR(VLOOKUP(E5651,'Condensed Specialty Crosswalk'!$A$2:$C$106,3,FALSE),"")</f>
        <v/>
      </c>
    </row>
    <row r="5652" spans="5:7" ht="15" customHeight="1">
      <c r="E5652" s="49" t="str">
        <f>IFERROR(VLOOKUP(D5652,'taxonomy map'!$A$1:$C$107,2,FALSE),"")</f>
        <v/>
      </c>
      <c r="F5652" s="49" t="str">
        <f>IFERROR(VLOOKUP(E5652,'Condensed Specialty Crosswalk'!$A$2:$C$106,2,FALSE),"")</f>
        <v/>
      </c>
      <c r="G5652" s="49" t="str">
        <f>IFERROR(VLOOKUP(E5652,'Condensed Specialty Crosswalk'!$A$2:$C$106,3,FALSE),"")</f>
        <v/>
      </c>
    </row>
    <row r="5653" spans="5:7" ht="15" customHeight="1">
      <c r="E5653" s="49" t="str">
        <f>IFERROR(VLOOKUP(D5653,'taxonomy map'!$A$1:$C$107,2,FALSE),"")</f>
        <v/>
      </c>
      <c r="F5653" s="49" t="str">
        <f>IFERROR(VLOOKUP(E5653,'Condensed Specialty Crosswalk'!$A$2:$C$106,2,FALSE),"")</f>
        <v/>
      </c>
      <c r="G5653" s="49" t="str">
        <f>IFERROR(VLOOKUP(E5653,'Condensed Specialty Crosswalk'!$A$2:$C$106,3,FALSE),"")</f>
        <v/>
      </c>
    </row>
    <row r="5654" spans="5:7" ht="15" customHeight="1">
      <c r="E5654" s="49" t="str">
        <f>IFERROR(VLOOKUP(D5654,'taxonomy map'!$A$1:$C$107,2,FALSE),"")</f>
        <v/>
      </c>
      <c r="F5654" s="49" t="str">
        <f>IFERROR(VLOOKUP(E5654,'Condensed Specialty Crosswalk'!$A$2:$C$106,2,FALSE),"")</f>
        <v/>
      </c>
      <c r="G5654" s="49" t="str">
        <f>IFERROR(VLOOKUP(E5654,'Condensed Specialty Crosswalk'!$A$2:$C$106,3,FALSE),"")</f>
        <v/>
      </c>
    </row>
    <row r="5655" spans="5:7" ht="15" customHeight="1">
      <c r="E5655" s="49" t="str">
        <f>IFERROR(VLOOKUP(D5655,'taxonomy map'!$A$1:$C$107,2,FALSE),"")</f>
        <v/>
      </c>
      <c r="F5655" s="49" t="str">
        <f>IFERROR(VLOOKUP(E5655,'Condensed Specialty Crosswalk'!$A$2:$C$106,2,FALSE),"")</f>
        <v/>
      </c>
      <c r="G5655" s="49" t="str">
        <f>IFERROR(VLOOKUP(E5655,'Condensed Specialty Crosswalk'!$A$2:$C$106,3,FALSE),"")</f>
        <v/>
      </c>
    </row>
    <row r="5656" spans="5:7" ht="15" customHeight="1">
      <c r="E5656" s="49" t="str">
        <f>IFERROR(VLOOKUP(D5656,'taxonomy map'!$A$1:$C$107,2,FALSE),"")</f>
        <v/>
      </c>
      <c r="F5656" s="49" t="str">
        <f>IFERROR(VLOOKUP(E5656,'Condensed Specialty Crosswalk'!$A$2:$C$106,2,FALSE),"")</f>
        <v/>
      </c>
      <c r="G5656" s="49" t="str">
        <f>IFERROR(VLOOKUP(E5656,'Condensed Specialty Crosswalk'!$A$2:$C$106,3,FALSE),"")</f>
        <v/>
      </c>
    </row>
    <row r="5657" spans="5:7" ht="15" customHeight="1">
      <c r="E5657" s="49" t="str">
        <f>IFERROR(VLOOKUP(D5657,'taxonomy map'!$A$1:$C$107,2,FALSE),"")</f>
        <v/>
      </c>
      <c r="F5657" s="49" t="str">
        <f>IFERROR(VLOOKUP(E5657,'Condensed Specialty Crosswalk'!$A$2:$C$106,2,FALSE),"")</f>
        <v/>
      </c>
      <c r="G5657" s="49" t="str">
        <f>IFERROR(VLOOKUP(E5657,'Condensed Specialty Crosswalk'!$A$2:$C$106,3,FALSE),"")</f>
        <v/>
      </c>
    </row>
    <row r="5658" spans="5:7" ht="15" customHeight="1">
      <c r="E5658" s="49" t="str">
        <f>IFERROR(VLOOKUP(D5658,'taxonomy map'!$A$1:$C$107,2,FALSE),"")</f>
        <v/>
      </c>
      <c r="F5658" s="49" t="str">
        <f>IFERROR(VLOOKUP(E5658,'Condensed Specialty Crosswalk'!$A$2:$C$106,2,FALSE),"")</f>
        <v/>
      </c>
      <c r="G5658" s="49" t="str">
        <f>IFERROR(VLOOKUP(E5658,'Condensed Specialty Crosswalk'!$A$2:$C$106,3,FALSE),"")</f>
        <v/>
      </c>
    </row>
    <row r="5659" spans="5:7" ht="15" customHeight="1">
      <c r="E5659" s="49" t="str">
        <f>IFERROR(VLOOKUP(D5659,'taxonomy map'!$A$1:$C$107,2,FALSE),"")</f>
        <v/>
      </c>
      <c r="F5659" s="49" t="str">
        <f>IFERROR(VLOOKUP(E5659,'Condensed Specialty Crosswalk'!$A$2:$C$106,2,FALSE),"")</f>
        <v/>
      </c>
      <c r="G5659" s="49" t="str">
        <f>IFERROR(VLOOKUP(E5659,'Condensed Specialty Crosswalk'!$A$2:$C$106,3,FALSE),"")</f>
        <v/>
      </c>
    </row>
    <row r="5660" spans="5:7" ht="15" customHeight="1">
      <c r="E5660" s="49" t="str">
        <f>IFERROR(VLOOKUP(D5660,'taxonomy map'!$A$1:$C$107,2,FALSE),"")</f>
        <v/>
      </c>
      <c r="F5660" s="49" t="str">
        <f>IFERROR(VLOOKUP(E5660,'Condensed Specialty Crosswalk'!$A$2:$C$106,2,FALSE),"")</f>
        <v/>
      </c>
      <c r="G5660" s="49" t="str">
        <f>IFERROR(VLOOKUP(E5660,'Condensed Specialty Crosswalk'!$A$2:$C$106,3,FALSE),"")</f>
        <v/>
      </c>
    </row>
    <row r="5661" spans="5:7" ht="15" customHeight="1">
      <c r="E5661" s="49" t="str">
        <f>IFERROR(VLOOKUP(D5661,'taxonomy map'!$A$1:$C$107,2,FALSE),"")</f>
        <v/>
      </c>
      <c r="F5661" s="49" t="str">
        <f>IFERROR(VLOOKUP(E5661,'Condensed Specialty Crosswalk'!$A$2:$C$106,2,FALSE),"")</f>
        <v/>
      </c>
      <c r="G5661" s="49" t="str">
        <f>IFERROR(VLOOKUP(E5661,'Condensed Specialty Crosswalk'!$A$2:$C$106,3,FALSE),"")</f>
        <v/>
      </c>
    </row>
    <row r="5662" spans="5:7" ht="15" customHeight="1">
      <c r="E5662" s="49" t="str">
        <f>IFERROR(VLOOKUP(D5662,'taxonomy map'!$A$1:$C$107,2,FALSE),"")</f>
        <v/>
      </c>
      <c r="F5662" s="49" t="str">
        <f>IFERROR(VLOOKUP(E5662,'Condensed Specialty Crosswalk'!$A$2:$C$106,2,FALSE),"")</f>
        <v/>
      </c>
      <c r="G5662" s="49" t="str">
        <f>IFERROR(VLOOKUP(E5662,'Condensed Specialty Crosswalk'!$A$2:$C$106,3,FALSE),"")</f>
        <v/>
      </c>
    </row>
    <row r="5663" spans="5:7" ht="15" customHeight="1">
      <c r="E5663" s="49" t="str">
        <f>IFERROR(VLOOKUP(D5663,'taxonomy map'!$A$1:$C$107,2,FALSE),"")</f>
        <v/>
      </c>
      <c r="F5663" s="49" t="str">
        <f>IFERROR(VLOOKUP(E5663,'Condensed Specialty Crosswalk'!$A$2:$C$106,2,FALSE),"")</f>
        <v/>
      </c>
      <c r="G5663" s="49" t="str">
        <f>IFERROR(VLOOKUP(E5663,'Condensed Specialty Crosswalk'!$A$2:$C$106,3,FALSE),"")</f>
        <v/>
      </c>
    </row>
    <row r="5664" spans="5:7" ht="15" customHeight="1">
      <c r="E5664" s="49" t="str">
        <f>IFERROR(VLOOKUP(D5664,'taxonomy map'!$A$1:$C$107,2,FALSE),"")</f>
        <v/>
      </c>
      <c r="F5664" s="49" t="str">
        <f>IFERROR(VLOOKUP(E5664,'Condensed Specialty Crosswalk'!$A$2:$C$106,2,FALSE),"")</f>
        <v/>
      </c>
      <c r="G5664" s="49" t="str">
        <f>IFERROR(VLOOKUP(E5664,'Condensed Specialty Crosswalk'!$A$2:$C$106,3,FALSE),"")</f>
        <v/>
      </c>
    </row>
    <row r="5665" spans="5:7" ht="15" customHeight="1">
      <c r="E5665" s="49" t="str">
        <f>IFERROR(VLOOKUP(D5665,'taxonomy map'!$A$1:$C$107,2,FALSE),"")</f>
        <v/>
      </c>
      <c r="F5665" s="49" t="str">
        <f>IFERROR(VLOOKUP(E5665,'Condensed Specialty Crosswalk'!$A$2:$C$106,2,FALSE),"")</f>
        <v/>
      </c>
      <c r="G5665" s="49" t="str">
        <f>IFERROR(VLOOKUP(E5665,'Condensed Specialty Crosswalk'!$A$2:$C$106,3,FALSE),"")</f>
        <v/>
      </c>
    </row>
    <row r="5666" spans="5:7" ht="15" customHeight="1">
      <c r="E5666" s="49" t="str">
        <f>IFERROR(VLOOKUP(D5666,'taxonomy map'!$A$1:$C$107,2,FALSE),"")</f>
        <v/>
      </c>
      <c r="F5666" s="49" t="str">
        <f>IFERROR(VLOOKUP(E5666,'Condensed Specialty Crosswalk'!$A$2:$C$106,2,FALSE),"")</f>
        <v/>
      </c>
      <c r="G5666" s="49" t="str">
        <f>IFERROR(VLOOKUP(E5666,'Condensed Specialty Crosswalk'!$A$2:$C$106,3,FALSE),"")</f>
        <v/>
      </c>
    </row>
    <row r="5667" spans="5:7" ht="15" customHeight="1">
      <c r="E5667" s="49" t="str">
        <f>IFERROR(VLOOKUP(D5667,'taxonomy map'!$A$1:$C$107,2,FALSE),"")</f>
        <v/>
      </c>
      <c r="F5667" s="49" t="str">
        <f>IFERROR(VLOOKUP(E5667,'Condensed Specialty Crosswalk'!$A$2:$C$106,2,FALSE),"")</f>
        <v/>
      </c>
      <c r="G5667" s="49" t="str">
        <f>IFERROR(VLOOKUP(E5667,'Condensed Specialty Crosswalk'!$A$2:$C$106,3,FALSE),"")</f>
        <v/>
      </c>
    </row>
    <row r="5668" spans="5:7" ht="15" customHeight="1">
      <c r="E5668" s="49" t="str">
        <f>IFERROR(VLOOKUP(D5668,'taxonomy map'!$A$1:$C$107,2,FALSE),"")</f>
        <v/>
      </c>
      <c r="F5668" s="49" t="str">
        <f>IFERROR(VLOOKUP(E5668,'Condensed Specialty Crosswalk'!$A$2:$C$106,2,FALSE),"")</f>
        <v/>
      </c>
      <c r="G5668" s="49" t="str">
        <f>IFERROR(VLOOKUP(E5668,'Condensed Specialty Crosswalk'!$A$2:$C$106,3,FALSE),"")</f>
        <v/>
      </c>
    </row>
    <row r="5669" spans="5:7" ht="15" customHeight="1">
      <c r="E5669" s="49" t="str">
        <f>IFERROR(VLOOKUP(D5669,'taxonomy map'!$A$1:$C$107,2,FALSE),"")</f>
        <v/>
      </c>
      <c r="F5669" s="49" t="str">
        <f>IFERROR(VLOOKUP(E5669,'Condensed Specialty Crosswalk'!$A$2:$C$106,2,FALSE),"")</f>
        <v/>
      </c>
      <c r="G5669" s="49" t="str">
        <f>IFERROR(VLOOKUP(E5669,'Condensed Specialty Crosswalk'!$A$2:$C$106,3,FALSE),"")</f>
        <v/>
      </c>
    </row>
    <row r="5670" spans="5:7" ht="15" customHeight="1">
      <c r="E5670" s="49" t="str">
        <f>IFERROR(VLOOKUP(D5670,'taxonomy map'!$A$1:$C$107,2,FALSE),"")</f>
        <v/>
      </c>
      <c r="F5670" s="49" t="str">
        <f>IFERROR(VLOOKUP(E5670,'Condensed Specialty Crosswalk'!$A$2:$C$106,2,FALSE),"")</f>
        <v/>
      </c>
      <c r="G5670" s="49" t="str">
        <f>IFERROR(VLOOKUP(E5670,'Condensed Specialty Crosswalk'!$A$2:$C$106,3,FALSE),"")</f>
        <v/>
      </c>
    </row>
    <row r="5671" spans="5:7" ht="15" customHeight="1">
      <c r="E5671" s="49" t="str">
        <f>IFERROR(VLOOKUP(D5671,'taxonomy map'!$A$1:$C$107,2,FALSE),"")</f>
        <v/>
      </c>
      <c r="F5671" s="49" t="str">
        <f>IFERROR(VLOOKUP(E5671,'Condensed Specialty Crosswalk'!$A$2:$C$106,2,FALSE),"")</f>
        <v/>
      </c>
      <c r="G5671" s="49" t="str">
        <f>IFERROR(VLOOKUP(E5671,'Condensed Specialty Crosswalk'!$A$2:$C$106,3,FALSE),"")</f>
        <v/>
      </c>
    </row>
    <row r="5672" spans="5:7" ht="15" customHeight="1">
      <c r="E5672" s="49" t="str">
        <f>IFERROR(VLOOKUP(D5672,'taxonomy map'!$A$1:$C$107,2,FALSE),"")</f>
        <v/>
      </c>
      <c r="F5672" s="49" t="str">
        <f>IFERROR(VLOOKUP(E5672,'Condensed Specialty Crosswalk'!$A$2:$C$106,2,FALSE),"")</f>
        <v/>
      </c>
      <c r="G5672" s="49" t="str">
        <f>IFERROR(VLOOKUP(E5672,'Condensed Specialty Crosswalk'!$A$2:$C$106,3,FALSE),"")</f>
        <v/>
      </c>
    </row>
    <row r="5673" spans="5:7" ht="15" customHeight="1">
      <c r="E5673" s="49" t="str">
        <f>IFERROR(VLOOKUP(D5673,'taxonomy map'!$A$1:$C$107,2,FALSE),"")</f>
        <v/>
      </c>
      <c r="F5673" s="49" t="str">
        <f>IFERROR(VLOOKUP(E5673,'Condensed Specialty Crosswalk'!$A$2:$C$106,2,FALSE),"")</f>
        <v/>
      </c>
      <c r="G5673" s="49" t="str">
        <f>IFERROR(VLOOKUP(E5673,'Condensed Specialty Crosswalk'!$A$2:$C$106,3,FALSE),"")</f>
        <v/>
      </c>
    </row>
    <row r="5674" spans="5:7" ht="15" customHeight="1">
      <c r="E5674" s="49" t="str">
        <f>IFERROR(VLOOKUP(D5674,'taxonomy map'!$A$1:$C$107,2,FALSE),"")</f>
        <v/>
      </c>
      <c r="F5674" s="49" t="str">
        <f>IFERROR(VLOOKUP(E5674,'Condensed Specialty Crosswalk'!$A$2:$C$106,2,FALSE),"")</f>
        <v/>
      </c>
      <c r="G5674" s="49" t="str">
        <f>IFERROR(VLOOKUP(E5674,'Condensed Specialty Crosswalk'!$A$2:$C$106,3,FALSE),"")</f>
        <v/>
      </c>
    </row>
    <row r="5675" spans="5:7" ht="15" customHeight="1">
      <c r="E5675" s="49" t="str">
        <f>IFERROR(VLOOKUP(D5675,'taxonomy map'!$A$1:$C$107,2,FALSE),"")</f>
        <v/>
      </c>
      <c r="F5675" s="49" t="str">
        <f>IFERROR(VLOOKUP(E5675,'Condensed Specialty Crosswalk'!$A$2:$C$106,2,FALSE),"")</f>
        <v/>
      </c>
      <c r="G5675" s="49" t="str">
        <f>IFERROR(VLOOKUP(E5675,'Condensed Specialty Crosswalk'!$A$2:$C$106,3,FALSE),"")</f>
        <v/>
      </c>
    </row>
    <row r="5676" spans="5:7" ht="15" customHeight="1">
      <c r="E5676" s="49" t="str">
        <f>IFERROR(VLOOKUP(D5676,'taxonomy map'!$A$1:$C$107,2,FALSE),"")</f>
        <v/>
      </c>
      <c r="F5676" s="49" t="str">
        <f>IFERROR(VLOOKUP(E5676,'Condensed Specialty Crosswalk'!$A$2:$C$106,2,FALSE),"")</f>
        <v/>
      </c>
      <c r="G5676" s="49" t="str">
        <f>IFERROR(VLOOKUP(E5676,'Condensed Specialty Crosswalk'!$A$2:$C$106,3,FALSE),"")</f>
        <v/>
      </c>
    </row>
    <row r="5677" spans="5:7" ht="15" customHeight="1">
      <c r="E5677" s="49" t="str">
        <f>IFERROR(VLOOKUP(D5677,'taxonomy map'!$A$1:$C$107,2,FALSE),"")</f>
        <v/>
      </c>
      <c r="F5677" s="49" t="str">
        <f>IFERROR(VLOOKUP(E5677,'Condensed Specialty Crosswalk'!$A$2:$C$106,2,FALSE),"")</f>
        <v/>
      </c>
      <c r="G5677" s="49" t="str">
        <f>IFERROR(VLOOKUP(E5677,'Condensed Specialty Crosswalk'!$A$2:$C$106,3,FALSE),"")</f>
        <v/>
      </c>
    </row>
    <row r="5678" spans="5:7" ht="15" customHeight="1">
      <c r="E5678" s="49" t="str">
        <f>IFERROR(VLOOKUP(D5678,'taxonomy map'!$A$1:$C$107,2,FALSE),"")</f>
        <v/>
      </c>
      <c r="F5678" s="49" t="str">
        <f>IFERROR(VLOOKUP(E5678,'Condensed Specialty Crosswalk'!$A$2:$C$106,2,FALSE),"")</f>
        <v/>
      </c>
      <c r="G5678" s="49" t="str">
        <f>IFERROR(VLOOKUP(E5678,'Condensed Specialty Crosswalk'!$A$2:$C$106,3,FALSE),"")</f>
        <v/>
      </c>
    </row>
    <row r="5679" spans="5:7" ht="15" customHeight="1">
      <c r="E5679" s="49" t="str">
        <f>IFERROR(VLOOKUP(D5679,'taxonomy map'!$A$1:$C$107,2,FALSE),"")</f>
        <v/>
      </c>
      <c r="F5679" s="49" t="str">
        <f>IFERROR(VLOOKUP(E5679,'Condensed Specialty Crosswalk'!$A$2:$C$106,2,FALSE),"")</f>
        <v/>
      </c>
      <c r="G5679" s="49" t="str">
        <f>IFERROR(VLOOKUP(E5679,'Condensed Specialty Crosswalk'!$A$2:$C$106,3,FALSE),"")</f>
        <v/>
      </c>
    </row>
    <row r="5680" spans="5:7" ht="15" customHeight="1">
      <c r="E5680" s="49" t="str">
        <f>IFERROR(VLOOKUP(D5680,'taxonomy map'!$A$1:$C$107,2,FALSE),"")</f>
        <v/>
      </c>
      <c r="F5680" s="49" t="str">
        <f>IFERROR(VLOOKUP(E5680,'Condensed Specialty Crosswalk'!$A$2:$C$106,2,FALSE),"")</f>
        <v/>
      </c>
      <c r="G5680" s="49" t="str">
        <f>IFERROR(VLOOKUP(E5680,'Condensed Specialty Crosswalk'!$A$2:$C$106,3,FALSE),"")</f>
        <v/>
      </c>
    </row>
    <row r="5681" spans="5:7" ht="15" customHeight="1">
      <c r="E5681" s="49" t="str">
        <f>IFERROR(VLOOKUP(D5681,'taxonomy map'!$A$1:$C$107,2,FALSE),"")</f>
        <v/>
      </c>
      <c r="F5681" s="49" t="str">
        <f>IFERROR(VLOOKUP(E5681,'Condensed Specialty Crosswalk'!$A$2:$C$106,2,FALSE),"")</f>
        <v/>
      </c>
      <c r="G5681" s="49" t="str">
        <f>IFERROR(VLOOKUP(E5681,'Condensed Specialty Crosswalk'!$A$2:$C$106,3,FALSE),"")</f>
        <v/>
      </c>
    </row>
    <row r="5682" spans="5:7" ht="15" customHeight="1">
      <c r="E5682" s="49" t="str">
        <f>IFERROR(VLOOKUP(D5682,'taxonomy map'!$A$1:$C$107,2,FALSE),"")</f>
        <v/>
      </c>
      <c r="F5682" s="49" t="str">
        <f>IFERROR(VLOOKUP(E5682,'Condensed Specialty Crosswalk'!$A$2:$C$106,2,FALSE),"")</f>
        <v/>
      </c>
      <c r="G5682" s="49" t="str">
        <f>IFERROR(VLOOKUP(E5682,'Condensed Specialty Crosswalk'!$A$2:$C$106,3,FALSE),"")</f>
        <v/>
      </c>
    </row>
    <row r="5683" spans="5:7" ht="15" customHeight="1">
      <c r="E5683" s="49" t="str">
        <f>IFERROR(VLOOKUP(D5683,'taxonomy map'!$A$1:$C$107,2,FALSE),"")</f>
        <v/>
      </c>
      <c r="F5683" s="49" t="str">
        <f>IFERROR(VLOOKUP(E5683,'Condensed Specialty Crosswalk'!$A$2:$C$106,2,FALSE),"")</f>
        <v/>
      </c>
      <c r="G5683" s="49" t="str">
        <f>IFERROR(VLOOKUP(E5683,'Condensed Specialty Crosswalk'!$A$2:$C$106,3,FALSE),"")</f>
        <v/>
      </c>
    </row>
    <row r="5684" spans="5:7" ht="15" customHeight="1">
      <c r="E5684" s="49" t="str">
        <f>IFERROR(VLOOKUP(D5684,'taxonomy map'!$A$1:$C$107,2,FALSE),"")</f>
        <v/>
      </c>
      <c r="F5684" s="49" t="str">
        <f>IFERROR(VLOOKUP(E5684,'Condensed Specialty Crosswalk'!$A$2:$C$106,2,FALSE),"")</f>
        <v/>
      </c>
      <c r="G5684" s="49" t="str">
        <f>IFERROR(VLOOKUP(E5684,'Condensed Specialty Crosswalk'!$A$2:$C$106,3,FALSE),"")</f>
        <v/>
      </c>
    </row>
    <row r="5685" spans="5:7" ht="15" customHeight="1">
      <c r="E5685" s="49" t="str">
        <f>IFERROR(VLOOKUP(D5685,'taxonomy map'!$A$1:$C$107,2,FALSE),"")</f>
        <v/>
      </c>
      <c r="F5685" s="49" t="str">
        <f>IFERROR(VLOOKUP(E5685,'Condensed Specialty Crosswalk'!$A$2:$C$106,2,FALSE),"")</f>
        <v/>
      </c>
      <c r="G5685" s="49" t="str">
        <f>IFERROR(VLOOKUP(E5685,'Condensed Specialty Crosswalk'!$A$2:$C$106,3,FALSE),"")</f>
        <v/>
      </c>
    </row>
    <row r="5686" spans="5:7" ht="15" customHeight="1">
      <c r="E5686" s="49" t="str">
        <f>IFERROR(VLOOKUP(D5686,'taxonomy map'!$A$1:$C$107,2,FALSE),"")</f>
        <v/>
      </c>
      <c r="F5686" s="49" t="str">
        <f>IFERROR(VLOOKUP(E5686,'Condensed Specialty Crosswalk'!$A$2:$C$106,2,FALSE),"")</f>
        <v/>
      </c>
      <c r="G5686" s="49" t="str">
        <f>IFERROR(VLOOKUP(E5686,'Condensed Specialty Crosswalk'!$A$2:$C$106,3,FALSE),"")</f>
        <v/>
      </c>
    </row>
    <row r="5687" spans="5:7" ht="15" customHeight="1">
      <c r="E5687" s="49" t="str">
        <f>IFERROR(VLOOKUP(D5687,'taxonomy map'!$A$1:$C$107,2,FALSE),"")</f>
        <v/>
      </c>
      <c r="F5687" s="49" t="str">
        <f>IFERROR(VLOOKUP(E5687,'Condensed Specialty Crosswalk'!$A$2:$C$106,2,FALSE),"")</f>
        <v/>
      </c>
      <c r="G5687" s="49" t="str">
        <f>IFERROR(VLOOKUP(E5687,'Condensed Specialty Crosswalk'!$A$2:$C$106,3,FALSE),"")</f>
        <v/>
      </c>
    </row>
    <row r="5688" spans="5:7" ht="15" customHeight="1">
      <c r="E5688" s="49" t="str">
        <f>IFERROR(VLOOKUP(D5688,'taxonomy map'!$A$1:$C$107,2,FALSE),"")</f>
        <v/>
      </c>
      <c r="F5688" s="49" t="str">
        <f>IFERROR(VLOOKUP(E5688,'Condensed Specialty Crosswalk'!$A$2:$C$106,2,FALSE),"")</f>
        <v/>
      </c>
      <c r="G5688" s="49" t="str">
        <f>IFERROR(VLOOKUP(E5688,'Condensed Specialty Crosswalk'!$A$2:$C$106,3,FALSE),"")</f>
        <v/>
      </c>
    </row>
    <row r="5689" spans="5:7" ht="15" customHeight="1">
      <c r="E5689" s="49" t="str">
        <f>IFERROR(VLOOKUP(D5689,'taxonomy map'!$A$1:$C$107,2,FALSE),"")</f>
        <v/>
      </c>
      <c r="F5689" s="49" t="str">
        <f>IFERROR(VLOOKUP(E5689,'Condensed Specialty Crosswalk'!$A$2:$C$106,2,FALSE),"")</f>
        <v/>
      </c>
      <c r="G5689" s="49" t="str">
        <f>IFERROR(VLOOKUP(E5689,'Condensed Specialty Crosswalk'!$A$2:$C$106,3,FALSE),"")</f>
        <v/>
      </c>
    </row>
    <row r="5690" spans="5:7" ht="15" customHeight="1">
      <c r="E5690" s="49" t="str">
        <f>IFERROR(VLOOKUP(D5690,'taxonomy map'!$A$1:$C$107,2,FALSE),"")</f>
        <v/>
      </c>
      <c r="F5690" s="49" t="str">
        <f>IFERROR(VLOOKUP(E5690,'Condensed Specialty Crosswalk'!$A$2:$C$106,2,FALSE),"")</f>
        <v/>
      </c>
      <c r="G5690" s="49" t="str">
        <f>IFERROR(VLOOKUP(E5690,'Condensed Specialty Crosswalk'!$A$2:$C$106,3,FALSE),"")</f>
        <v/>
      </c>
    </row>
    <row r="5691" spans="5:7" ht="15" customHeight="1">
      <c r="E5691" s="49" t="str">
        <f>IFERROR(VLOOKUP(D5691,'taxonomy map'!$A$1:$C$107,2,FALSE),"")</f>
        <v/>
      </c>
      <c r="F5691" s="49" t="str">
        <f>IFERROR(VLOOKUP(E5691,'Condensed Specialty Crosswalk'!$A$2:$C$106,2,FALSE),"")</f>
        <v/>
      </c>
      <c r="G5691" s="49" t="str">
        <f>IFERROR(VLOOKUP(E5691,'Condensed Specialty Crosswalk'!$A$2:$C$106,3,FALSE),"")</f>
        <v/>
      </c>
    </row>
    <row r="5692" spans="5:7" ht="15" customHeight="1">
      <c r="E5692" s="49" t="str">
        <f>IFERROR(VLOOKUP(D5692,'taxonomy map'!$A$1:$C$107,2,FALSE),"")</f>
        <v/>
      </c>
      <c r="F5692" s="49" t="str">
        <f>IFERROR(VLOOKUP(E5692,'Condensed Specialty Crosswalk'!$A$2:$C$106,2,FALSE),"")</f>
        <v/>
      </c>
      <c r="G5692" s="49" t="str">
        <f>IFERROR(VLOOKUP(E5692,'Condensed Specialty Crosswalk'!$A$2:$C$106,3,FALSE),"")</f>
        <v/>
      </c>
    </row>
    <row r="5693" spans="5:7" ht="15" customHeight="1">
      <c r="E5693" s="49" t="str">
        <f>IFERROR(VLOOKUP(D5693,'taxonomy map'!$A$1:$C$107,2,FALSE),"")</f>
        <v/>
      </c>
      <c r="F5693" s="49" t="str">
        <f>IFERROR(VLOOKUP(E5693,'Condensed Specialty Crosswalk'!$A$2:$C$106,2,FALSE),"")</f>
        <v/>
      </c>
      <c r="G5693" s="49" t="str">
        <f>IFERROR(VLOOKUP(E5693,'Condensed Specialty Crosswalk'!$A$2:$C$106,3,FALSE),"")</f>
        <v/>
      </c>
    </row>
    <row r="5694" spans="5:7" ht="15" customHeight="1">
      <c r="E5694" s="49" t="str">
        <f>IFERROR(VLOOKUP(D5694,'taxonomy map'!$A$1:$C$107,2,FALSE),"")</f>
        <v/>
      </c>
      <c r="F5694" s="49" t="str">
        <f>IFERROR(VLOOKUP(E5694,'Condensed Specialty Crosswalk'!$A$2:$C$106,2,FALSE),"")</f>
        <v/>
      </c>
      <c r="G5694" s="49" t="str">
        <f>IFERROR(VLOOKUP(E5694,'Condensed Specialty Crosswalk'!$A$2:$C$106,3,FALSE),"")</f>
        <v/>
      </c>
    </row>
    <row r="5695" spans="5:7" ht="15" customHeight="1">
      <c r="E5695" s="49" t="str">
        <f>IFERROR(VLOOKUP(D5695,'taxonomy map'!$A$1:$C$107,2,FALSE),"")</f>
        <v/>
      </c>
      <c r="F5695" s="49" t="str">
        <f>IFERROR(VLOOKUP(E5695,'Condensed Specialty Crosswalk'!$A$2:$C$106,2,FALSE),"")</f>
        <v/>
      </c>
      <c r="G5695" s="49" t="str">
        <f>IFERROR(VLOOKUP(E5695,'Condensed Specialty Crosswalk'!$A$2:$C$106,3,FALSE),"")</f>
        <v/>
      </c>
    </row>
    <row r="5696" spans="5:7" ht="15" customHeight="1">
      <c r="E5696" s="49" t="str">
        <f>IFERROR(VLOOKUP(D5696,'taxonomy map'!$A$1:$C$107,2,FALSE),"")</f>
        <v/>
      </c>
      <c r="F5696" s="49" t="str">
        <f>IFERROR(VLOOKUP(E5696,'Condensed Specialty Crosswalk'!$A$2:$C$106,2,FALSE),"")</f>
        <v/>
      </c>
      <c r="G5696" s="49" t="str">
        <f>IFERROR(VLOOKUP(E5696,'Condensed Specialty Crosswalk'!$A$2:$C$106,3,FALSE),"")</f>
        <v/>
      </c>
    </row>
    <row r="5697" spans="5:7" ht="15" customHeight="1">
      <c r="E5697" s="49" t="str">
        <f>IFERROR(VLOOKUP(D5697,'taxonomy map'!$A$1:$C$107,2,FALSE),"")</f>
        <v/>
      </c>
      <c r="F5697" s="49" t="str">
        <f>IFERROR(VLOOKUP(E5697,'Condensed Specialty Crosswalk'!$A$2:$C$106,2,FALSE),"")</f>
        <v/>
      </c>
      <c r="G5697" s="49" t="str">
        <f>IFERROR(VLOOKUP(E5697,'Condensed Specialty Crosswalk'!$A$2:$C$106,3,FALSE),"")</f>
        <v/>
      </c>
    </row>
    <row r="5698" spans="5:7" ht="15" customHeight="1">
      <c r="E5698" s="49" t="str">
        <f>IFERROR(VLOOKUP(D5698,'taxonomy map'!$A$1:$C$107,2,FALSE),"")</f>
        <v/>
      </c>
      <c r="F5698" s="49" t="str">
        <f>IFERROR(VLOOKUP(E5698,'Condensed Specialty Crosswalk'!$A$2:$C$106,2,FALSE),"")</f>
        <v/>
      </c>
      <c r="G5698" s="49" t="str">
        <f>IFERROR(VLOOKUP(E5698,'Condensed Specialty Crosswalk'!$A$2:$C$106,3,FALSE),"")</f>
        <v/>
      </c>
    </row>
    <row r="5699" spans="5:7" ht="15" customHeight="1">
      <c r="E5699" s="49" t="str">
        <f>IFERROR(VLOOKUP(D5699,'taxonomy map'!$A$1:$C$107,2,FALSE),"")</f>
        <v/>
      </c>
      <c r="F5699" s="49" t="str">
        <f>IFERROR(VLOOKUP(E5699,'Condensed Specialty Crosswalk'!$A$2:$C$106,2,FALSE),"")</f>
        <v/>
      </c>
      <c r="G5699" s="49" t="str">
        <f>IFERROR(VLOOKUP(E5699,'Condensed Specialty Crosswalk'!$A$2:$C$106,3,FALSE),"")</f>
        <v/>
      </c>
    </row>
    <row r="5700" spans="5:7" ht="15" customHeight="1">
      <c r="E5700" s="49" t="str">
        <f>IFERROR(VLOOKUP(D5700,'taxonomy map'!$A$1:$C$107,2,FALSE),"")</f>
        <v/>
      </c>
      <c r="F5700" s="49" t="str">
        <f>IFERROR(VLOOKUP(E5700,'Condensed Specialty Crosswalk'!$A$2:$C$106,2,FALSE),"")</f>
        <v/>
      </c>
      <c r="G5700" s="49" t="str">
        <f>IFERROR(VLOOKUP(E5700,'Condensed Specialty Crosswalk'!$A$2:$C$106,3,FALSE),"")</f>
        <v/>
      </c>
    </row>
    <row r="5701" spans="5:7" ht="15" customHeight="1">
      <c r="E5701" s="49" t="str">
        <f>IFERROR(VLOOKUP(D5701,'taxonomy map'!$A$1:$C$107,2,FALSE),"")</f>
        <v/>
      </c>
      <c r="F5701" s="49" t="str">
        <f>IFERROR(VLOOKUP(E5701,'Condensed Specialty Crosswalk'!$A$2:$C$106,2,FALSE),"")</f>
        <v/>
      </c>
      <c r="G5701" s="49" t="str">
        <f>IFERROR(VLOOKUP(E5701,'Condensed Specialty Crosswalk'!$A$2:$C$106,3,FALSE),"")</f>
        <v/>
      </c>
    </row>
    <row r="5702" spans="5:7" ht="15" customHeight="1">
      <c r="E5702" s="49" t="str">
        <f>IFERROR(VLOOKUP(D5702,'taxonomy map'!$A$1:$C$107,2,FALSE),"")</f>
        <v/>
      </c>
      <c r="F5702" s="49" t="str">
        <f>IFERROR(VLOOKUP(E5702,'Condensed Specialty Crosswalk'!$A$2:$C$106,2,FALSE),"")</f>
        <v/>
      </c>
      <c r="G5702" s="49" t="str">
        <f>IFERROR(VLOOKUP(E5702,'Condensed Specialty Crosswalk'!$A$2:$C$106,3,FALSE),"")</f>
        <v/>
      </c>
    </row>
    <row r="5703" spans="5:7" ht="15" customHeight="1">
      <c r="E5703" s="49" t="str">
        <f>IFERROR(VLOOKUP(D5703,'taxonomy map'!$A$1:$C$107,2,FALSE),"")</f>
        <v/>
      </c>
      <c r="F5703" s="49" t="str">
        <f>IFERROR(VLOOKUP(E5703,'Condensed Specialty Crosswalk'!$A$2:$C$106,2,FALSE),"")</f>
        <v/>
      </c>
      <c r="G5703" s="49" t="str">
        <f>IFERROR(VLOOKUP(E5703,'Condensed Specialty Crosswalk'!$A$2:$C$106,3,FALSE),"")</f>
        <v/>
      </c>
    </row>
    <row r="5704" spans="5:7" ht="15" customHeight="1">
      <c r="E5704" s="49" t="str">
        <f>IFERROR(VLOOKUP(D5704,'taxonomy map'!$A$1:$C$107,2,FALSE),"")</f>
        <v/>
      </c>
      <c r="F5704" s="49" t="str">
        <f>IFERROR(VLOOKUP(E5704,'Condensed Specialty Crosswalk'!$A$2:$C$106,2,FALSE),"")</f>
        <v/>
      </c>
      <c r="G5704" s="49" t="str">
        <f>IFERROR(VLOOKUP(E5704,'Condensed Specialty Crosswalk'!$A$2:$C$106,3,FALSE),"")</f>
        <v/>
      </c>
    </row>
    <row r="5705" spans="5:7" ht="15" customHeight="1">
      <c r="E5705" s="49" t="str">
        <f>IFERROR(VLOOKUP(D5705,'taxonomy map'!$A$1:$C$107,2,FALSE),"")</f>
        <v/>
      </c>
      <c r="F5705" s="49" t="str">
        <f>IFERROR(VLOOKUP(E5705,'Condensed Specialty Crosswalk'!$A$2:$C$106,2,FALSE),"")</f>
        <v/>
      </c>
      <c r="G5705" s="49" t="str">
        <f>IFERROR(VLOOKUP(E5705,'Condensed Specialty Crosswalk'!$A$2:$C$106,3,FALSE),"")</f>
        <v/>
      </c>
    </row>
    <row r="5706" spans="5:7" ht="15" customHeight="1">
      <c r="E5706" s="49" t="str">
        <f>IFERROR(VLOOKUP(D5706,'taxonomy map'!$A$1:$C$107,2,FALSE),"")</f>
        <v/>
      </c>
      <c r="F5706" s="49" t="str">
        <f>IFERROR(VLOOKUP(E5706,'Condensed Specialty Crosswalk'!$A$2:$C$106,2,FALSE),"")</f>
        <v/>
      </c>
      <c r="G5706" s="49" t="str">
        <f>IFERROR(VLOOKUP(E5706,'Condensed Specialty Crosswalk'!$A$2:$C$106,3,FALSE),"")</f>
        <v/>
      </c>
    </row>
    <row r="5707" spans="5:7" ht="15" customHeight="1">
      <c r="E5707" s="49" t="str">
        <f>IFERROR(VLOOKUP(D5707,'taxonomy map'!$A$1:$C$107,2,FALSE),"")</f>
        <v/>
      </c>
      <c r="F5707" s="49" t="str">
        <f>IFERROR(VLOOKUP(E5707,'Condensed Specialty Crosswalk'!$A$2:$C$106,2,FALSE),"")</f>
        <v/>
      </c>
      <c r="G5707" s="49" t="str">
        <f>IFERROR(VLOOKUP(E5707,'Condensed Specialty Crosswalk'!$A$2:$C$106,3,FALSE),"")</f>
        <v/>
      </c>
    </row>
    <row r="5708" spans="5:7" ht="15" customHeight="1">
      <c r="E5708" s="49" t="str">
        <f>IFERROR(VLOOKUP(D5708,'taxonomy map'!$A$1:$C$107,2,FALSE),"")</f>
        <v/>
      </c>
      <c r="F5708" s="49" t="str">
        <f>IFERROR(VLOOKUP(E5708,'Condensed Specialty Crosswalk'!$A$2:$C$106,2,FALSE),"")</f>
        <v/>
      </c>
      <c r="G5708" s="49" t="str">
        <f>IFERROR(VLOOKUP(E5708,'Condensed Specialty Crosswalk'!$A$2:$C$106,3,FALSE),"")</f>
        <v/>
      </c>
    </row>
    <row r="5709" spans="5:7" ht="15" customHeight="1">
      <c r="E5709" s="49" t="str">
        <f>IFERROR(VLOOKUP(D5709,'taxonomy map'!$A$1:$C$107,2,FALSE),"")</f>
        <v/>
      </c>
      <c r="F5709" s="49" t="str">
        <f>IFERROR(VLOOKUP(E5709,'Condensed Specialty Crosswalk'!$A$2:$C$106,2,FALSE),"")</f>
        <v/>
      </c>
      <c r="G5709" s="49" t="str">
        <f>IFERROR(VLOOKUP(E5709,'Condensed Specialty Crosswalk'!$A$2:$C$106,3,FALSE),"")</f>
        <v/>
      </c>
    </row>
    <row r="5710" spans="5:7" ht="15" customHeight="1">
      <c r="E5710" s="49" t="str">
        <f>IFERROR(VLOOKUP(D5710,'taxonomy map'!$A$1:$C$107,2,FALSE),"")</f>
        <v/>
      </c>
      <c r="F5710" s="49" t="str">
        <f>IFERROR(VLOOKUP(E5710,'Condensed Specialty Crosswalk'!$A$2:$C$106,2,FALSE),"")</f>
        <v/>
      </c>
      <c r="G5710" s="49" t="str">
        <f>IFERROR(VLOOKUP(E5710,'Condensed Specialty Crosswalk'!$A$2:$C$106,3,FALSE),"")</f>
        <v/>
      </c>
    </row>
    <row r="5711" spans="5:7" ht="15" customHeight="1">
      <c r="E5711" s="49" t="str">
        <f>IFERROR(VLOOKUP(D5711,'taxonomy map'!$A$1:$C$107,2,FALSE),"")</f>
        <v/>
      </c>
      <c r="F5711" s="49" t="str">
        <f>IFERROR(VLOOKUP(E5711,'Condensed Specialty Crosswalk'!$A$2:$C$106,2,FALSE),"")</f>
        <v/>
      </c>
      <c r="G5711" s="49" t="str">
        <f>IFERROR(VLOOKUP(E5711,'Condensed Specialty Crosswalk'!$A$2:$C$106,3,FALSE),"")</f>
        <v/>
      </c>
    </row>
    <row r="5712" spans="5:7" ht="15" customHeight="1">
      <c r="E5712" s="49" t="str">
        <f>IFERROR(VLOOKUP(D5712,'taxonomy map'!$A$1:$C$107,2,FALSE),"")</f>
        <v/>
      </c>
      <c r="F5712" s="49" t="str">
        <f>IFERROR(VLOOKUP(E5712,'Condensed Specialty Crosswalk'!$A$2:$C$106,2,FALSE),"")</f>
        <v/>
      </c>
      <c r="G5712" s="49" t="str">
        <f>IFERROR(VLOOKUP(E5712,'Condensed Specialty Crosswalk'!$A$2:$C$106,3,FALSE),"")</f>
        <v/>
      </c>
    </row>
    <row r="5713" spans="5:7" ht="15" customHeight="1">
      <c r="E5713" s="49" t="str">
        <f>IFERROR(VLOOKUP(D5713,'taxonomy map'!$A$1:$C$107,2,FALSE),"")</f>
        <v/>
      </c>
      <c r="F5713" s="49" t="str">
        <f>IFERROR(VLOOKUP(E5713,'Condensed Specialty Crosswalk'!$A$2:$C$106,2,FALSE),"")</f>
        <v/>
      </c>
      <c r="G5713" s="49" t="str">
        <f>IFERROR(VLOOKUP(E5713,'Condensed Specialty Crosswalk'!$A$2:$C$106,3,FALSE),"")</f>
        <v/>
      </c>
    </row>
    <row r="5714" spans="5:7" ht="15" customHeight="1">
      <c r="E5714" s="49" t="str">
        <f>IFERROR(VLOOKUP(D5714,'taxonomy map'!$A$1:$C$107,2,FALSE),"")</f>
        <v/>
      </c>
      <c r="F5714" s="49" t="str">
        <f>IFERROR(VLOOKUP(E5714,'Condensed Specialty Crosswalk'!$A$2:$C$106,2,FALSE),"")</f>
        <v/>
      </c>
      <c r="G5714" s="49" t="str">
        <f>IFERROR(VLOOKUP(E5714,'Condensed Specialty Crosswalk'!$A$2:$C$106,3,FALSE),"")</f>
        <v/>
      </c>
    </row>
    <row r="5715" spans="5:7" ht="15" customHeight="1">
      <c r="E5715" s="49" t="str">
        <f>IFERROR(VLOOKUP(D5715,'taxonomy map'!$A$1:$C$107,2,FALSE),"")</f>
        <v/>
      </c>
      <c r="F5715" s="49" t="str">
        <f>IFERROR(VLOOKUP(E5715,'Condensed Specialty Crosswalk'!$A$2:$C$106,2,FALSE),"")</f>
        <v/>
      </c>
      <c r="G5715" s="49" t="str">
        <f>IFERROR(VLOOKUP(E5715,'Condensed Specialty Crosswalk'!$A$2:$C$106,3,FALSE),"")</f>
        <v/>
      </c>
    </row>
    <row r="5716" spans="5:7" ht="15" customHeight="1">
      <c r="E5716" s="49" t="str">
        <f>IFERROR(VLOOKUP(D5716,'taxonomy map'!$A$1:$C$107,2,FALSE),"")</f>
        <v/>
      </c>
      <c r="F5716" s="49" t="str">
        <f>IFERROR(VLOOKUP(E5716,'Condensed Specialty Crosswalk'!$A$2:$C$106,2,FALSE),"")</f>
        <v/>
      </c>
      <c r="G5716" s="49" t="str">
        <f>IFERROR(VLOOKUP(E5716,'Condensed Specialty Crosswalk'!$A$2:$C$106,3,FALSE),"")</f>
        <v/>
      </c>
    </row>
    <row r="5717" spans="5:7" ht="15" customHeight="1">
      <c r="E5717" s="49" t="str">
        <f>IFERROR(VLOOKUP(D5717,'taxonomy map'!$A$1:$C$107,2,FALSE),"")</f>
        <v/>
      </c>
      <c r="F5717" s="49" t="str">
        <f>IFERROR(VLOOKUP(E5717,'Condensed Specialty Crosswalk'!$A$2:$C$106,2,FALSE),"")</f>
        <v/>
      </c>
      <c r="G5717" s="49" t="str">
        <f>IFERROR(VLOOKUP(E5717,'Condensed Specialty Crosswalk'!$A$2:$C$106,3,FALSE),"")</f>
        <v/>
      </c>
    </row>
    <row r="5718" spans="5:7" ht="15" customHeight="1">
      <c r="E5718" s="49" t="str">
        <f>IFERROR(VLOOKUP(D5718,'taxonomy map'!$A$1:$C$107,2,FALSE),"")</f>
        <v/>
      </c>
      <c r="F5718" s="49" t="str">
        <f>IFERROR(VLOOKUP(E5718,'Condensed Specialty Crosswalk'!$A$2:$C$106,2,FALSE),"")</f>
        <v/>
      </c>
      <c r="G5718" s="49" t="str">
        <f>IFERROR(VLOOKUP(E5718,'Condensed Specialty Crosswalk'!$A$2:$C$106,3,FALSE),"")</f>
        <v/>
      </c>
    </row>
    <row r="5719" spans="5:7" ht="15" customHeight="1">
      <c r="E5719" s="49" t="str">
        <f>IFERROR(VLOOKUP(D5719,'taxonomy map'!$A$1:$C$107,2,FALSE),"")</f>
        <v/>
      </c>
      <c r="F5719" s="49" t="str">
        <f>IFERROR(VLOOKUP(E5719,'Condensed Specialty Crosswalk'!$A$2:$C$106,2,FALSE),"")</f>
        <v/>
      </c>
      <c r="G5719" s="49" t="str">
        <f>IFERROR(VLOOKUP(E5719,'Condensed Specialty Crosswalk'!$A$2:$C$106,3,FALSE),"")</f>
        <v/>
      </c>
    </row>
    <row r="5720" spans="5:7" ht="15" customHeight="1">
      <c r="E5720" s="49" t="str">
        <f>IFERROR(VLOOKUP(D5720,'taxonomy map'!$A$1:$C$107,2,FALSE),"")</f>
        <v/>
      </c>
      <c r="F5720" s="49" t="str">
        <f>IFERROR(VLOOKUP(E5720,'Condensed Specialty Crosswalk'!$A$2:$C$106,2,FALSE),"")</f>
        <v/>
      </c>
      <c r="G5720" s="49" t="str">
        <f>IFERROR(VLOOKUP(E5720,'Condensed Specialty Crosswalk'!$A$2:$C$106,3,FALSE),"")</f>
        <v/>
      </c>
    </row>
    <row r="5721" spans="5:7" ht="15" customHeight="1">
      <c r="E5721" s="49" t="str">
        <f>IFERROR(VLOOKUP(D5721,'taxonomy map'!$A$1:$C$107,2,FALSE),"")</f>
        <v/>
      </c>
      <c r="F5721" s="49" t="str">
        <f>IFERROR(VLOOKUP(E5721,'Condensed Specialty Crosswalk'!$A$2:$C$106,2,FALSE),"")</f>
        <v/>
      </c>
      <c r="G5721" s="49" t="str">
        <f>IFERROR(VLOOKUP(E5721,'Condensed Specialty Crosswalk'!$A$2:$C$106,3,FALSE),"")</f>
        <v/>
      </c>
    </row>
    <row r="5722" spans="5:7" ht="15" customHeight="1">
      <c r="E5722" s="49" t="str">
        <f>IFERROR(VLOOKUP(D5722,'taxonomy map'!$A$1:$C$107,2,FALSE),"")</f>
        <v/>
      </c>
      <c r="F5722" s="49" t="str">
        <f>IFERROR(VLOOKUP(E5722,'Condensed Specialty Crosswalk'!$A$2:$C$106,2,FALSE),"")</f>
        <v/>
      </c>
      <c r="G5722" s="49" t="str">
        <f>IFERROR(VLOOKUP(E5722,'Condensed Specialty Crosswalk'!$A$2:$C$106,3,FALSE),"")</f>
        <v/>
      </c>
    </row>
    <row r="5723" spans="5:7" ht="15" customHeight="1">
      <c r="E5723" s="49" t="str">
        <f>IFERROR(VLOOKUP(D5723,'taxonomy map'!$A$1:$C$107,2,FALSE),"")</f>
        <v/>
      </c>
      <c r="F5723" s="49" t="str">
        <f>IFERROR(VLOOKUP(E5723,'Condensed Specialty Crosswalk'!$A$2:$C$106,2,FALSE),"")</f>
        <v/>
      </c>
      <c r="G5723" s="49" t="str">
        <f>IFERROR(VLOOKUP(E5723,'Condensed Specialty Crosswalk'!$A$2:$C$106,3,FALSE),"")</f>
        <v/>
      </c>
    </row>
    <row r="5724" spans="5:7" ht="15" customHeight="1">
      <c r="E5724" s="49" t="str">
        <f>IFERROR(VLOOKUP(D5724,'taxonomy map'!$A$1:$C$107,2,FALSE),"")</f>
        <v/>
      </c>
      <c r="F5724" s="49" t="str">
        <f>IFERROR(VLOOKUP(E5724,'Condensed Specialty Crosswalk'!$A$2:$C$106,2,FALSE),"")</f>
        <v/>
      </c>
      <c r="G5724" s="49" t="str">
        <f>IFERROR(VLOOKUP(E5724,'Condensed Specialty Crosswalk'!$A$2:$C$106,3,FALSE),"")</f>
        <v/>
      </c>
    </row>
    <row r="5725" spans="5:7" ht="15" customHeight="1">
      <c r="E5725" s="49" t="str">
        <f>IFERROR(VLOOKUP(D5725,'taxonomy map'!$A$1:$C$107,2,FALSE),"")</f>
        <v/>
      </c>
      <c r="F5725" s="49" t="str">
        <f>IFERROR(VLOOKUP(E5725,'Condensed Specialty Crosswalk'!$A$2:$C$106,2,FALSE),"")</f>
        <v/>
      </c>
      <c r="G5725" s="49" t="str">
        <f>IFERROR(VLOOKUP(E5725,'Condensed Specialty Crosswalk'!$A$2:$C$106,3,FALSE),"")</f>
        <v/>
      </c>
    </row>
    <row r="5726" spans="5:7" ht="15" customHeight="1">
      <c r="E5726" s="49" t="str">
        <f>IFERROR(VLOOKUP(D5726,'taxonomy map'!$A$1:$C$107,2,FALSE),"")</f>
        <v/>
      </c>
      <c r="F5726" s="49" t="str">
        <f>IFERROR(VLOOKUP(E5726,'Condensed Specialty Crosswalk'!$A$2:$C$106,2,FALSE),"")</f>
        <v/>
      </c>
      <c r="G5726" s="49" t="str">
        <f>IFERROR(VLOOKUP(E5726,'Condensed Specialty Crosswalk'!$A$2:$C$106,3,FALSE),"")</f>
        <v/>
      </c>
    </row>
    <row r="5727" spans="5:7" ht="15" customHeight="1">
      <c r="E5727" s="49" t="str">
        <f>IFERROR(VLOOKUP(D5727,'taxonomy map'!$A$1:$C$107,2,FALSE),"")</f>
        <v/>
      </c>
      <c r="F5727" s="49" t="str">
        <f>IFERROR(VLOOKUP(E5727,'Condensed Specialty Crosswalk'!$A$2:$C$106,2,FALSE),"")</f>
        <v/>
      </c>
      <c r="G5727" s="49" t="str">
        <f>IFERROR(VLOOKUP(E5727,'Condensed Specialty Crosswalk'!$A$2:$C$106,3,FALSE),"")</f>
        <v/>
      </c>
    </row>
    <row r="5728" spans="5:7" ht="15" customHeight="1">
      <c r="E5728" s="49" t="str">
        <f>IFERROR(VLOOKUP(D5728,'taxonomy map'!$A$1:$C$107,2,FALSE),"")</f>
        <v/>
      </c>
      <c r="F5728" s="49" t="str">
        <f>IFERROR(VLOOKUP(E5728,'Condensed Specialty Crosswalk'!$A$2:$C$106,2,FALSE),"")</f>
        <v/>
      </c>
      <c r="G5728" s="49" t="str">
        <f>IFERROR(VLOOKUP(E5728,'Condensed Specialty Crosswalk'!$A$2:$C$106,3,FALSE),"")</f>
        <v/>
      </c>
    </row>
    <row r="5729" spans="5:7" ht="15" customHeight="1">
      <c r="E5729" s="49" t="str">
        <f>IFERROR(VLOOKUP(D5729,'taxonomy map'!$A$1:$C$107,2,FALSE),"")</f>
        <v/>
      </c>
      <c r="F5729" s="49" t="str">
        <f>IFERROR(VLOOKUP(E5729,'Condensed Specialty Crosswalk'!$A$2:$C$106,2,FALSE),"")</f>
        <v/>
      </c>
      <c r="G5729" s="49" t="str">
        <f>IFERROR(VLOOKUP(E5729,'Condensed Specialty Crosswalk'!$A$2:$C$106,3,FALSE),"")</f>
        <v/>
      </c>
    </row>
    <row r="5730" spans="5:7" ht="15" customHeight="1">
      <c r="E5730" s="49" t="str">
        <f>IFERROR(VLOOKUP(D5730,'taxonomy map'!$A$1:$C$107,2,FALSE),"")</f>
        <v/>
      </c>
      <c r="F5730" s="49" t="str">
        <f>IFERROR(VLOOKUP(E5730,'Condensed Specialty Crosswalk'!$A$2:$C$106,2,FALSE),"")</f>
        <v/>
      </c>
      <c r="G5730" s="49" t="str">
        <f>IFERROR(VLOOKUP(E5730,'Condensed Specialty Crosswalk'!$A$2:$C$106,3,FALSE),"")</f>
        <v/>
      </c>
    </row>
    <row r="5731" spans="5:7" ht="15" customHeight="1">
      <c r="E5731" s="49" t="str">
        <f>IFERROR(VLOOKUP(D5731,'taxonomy map'!$A$1:$C$107,2,FALSE),"")</f>
        <v/>
      </c>
      <c r="F5731" s="49" t="str">
        <f>IFERROR(VLOOKUP(E5731,'Condensed Specialty Crosswalk'!$A$2:$C$106,2,FALSE),"")</f>
        <v/>
      </c>
      <c r="G5731" s="49" t="str">
        <f>IFERROR(VLOOKUP(E5731,'Condensed Specialty Crosswalk'!$A$2:$C$106,3,FALSE),"")</f>
        <v/>
      </c>
    </row>
    <row r="5732" spans="5:7" ht="15" customHeight="1">
      <c r="E5732" s="49" t="str">
        <f>IFERROR(VLOOKUP(D5732,'taxonomy map'!$A$1:$C$107,2,FALSE),"")</f>
        <v/>
      </c>
      <c r="F5732" s="49" t="str">
        <f>IFERROR(VLOOKUP(E5732,'Condensed Specialty Crosswalk'!$A$2:$C$106,2,FALSE),"")</f>
        <v/>
      </c>
      <c r="G5732" s="49" t="str">
        <f>IFERROR(VLOOKUP(E5732,'Condensed Specialty Crosswalk'!$A$2:$C$106,3,FALSE),"")</f>
        <v/>
      </c>
    </row>
    <row r="5733" spans="5:7" ht="15" customHeight="1">
      <c r="E5733" s="49" t="str">
        <f>IFERROR(VLOOKUP(D5733,'taxonomy map'!$A$1:$C$107,2,FALSE),"")</f>
        <v/>
      </c>
      <c r="F5733" s="49" t="str">
        <f>IFERROR(VLOOKUP(E5733,'Condensed Specialty Crosswalk'!$A$2:$C$106,2,FALSE),"")</f>
        <v/>
      </c>
      <c r="G5733" s="49" t="str">
        <f>IFERROR(VLOOKUP(E5733,'Condensed Specialty Crosswalk'!$A$2:$C$106,3,FALSE),"")</f>
        <v/>
      </c>
    </row>
    <row r="5734" spans="5:7" ht="15" customHeight="1">
      <c r="E5734" s="49" t="str">
        <f>IFERROR(VLOOKUP(D5734,'taxonomy map'!$A$1:$C$107,2,FALSE),"")</f>
        <v/>
      </c>
      <c r="F5734" s="49" t="str">
        <f>IFERROR(VLOOKUP(E5734,'Condensed Specialty Crosswalk'!$A$2:$C$106,2,FALSE),"")</f>
        <v/>
      </c>
      <c r="G5734" s="49" t="str">
        <f>IFERROR(VLOOKUP(E5734,'Condensed Specialty Crosswalk'!$A$2:$C$106,3,FALSE),"")</f>
        <v/>
      </c>
    </row>
    <row r="5735" spans="5:7" ht="15" customHeight="1">
      <c r="E5735" s="49" t="str">
        <f>IFERROR(VLOOKUP(D5735,'taxonomy map'!$A$1:$C$107,2,FALSE),"")</f>
        <v/>
      </c>
      <c r="F5735" s="49" t="str">
        <f>IFERROR(VLOOKUP(E5735,'Condensed Specialty Crosswalk'!$A$2:$C$106,2,FALSE),"")</f>
        <v/>
      </c>
      <c r="G5735" s="49" t="str">
        <f>IFERROR(VLOOKUP(E5735,'Condensed Specialty Crosswalk'!$A$2:$C$106,3,FALSE),"")</f>
        <v/>
      </c>
    </row>
    <row r="5736" spans="5:7" ht="15" customHeight="1">
      <c r="E5736" s="49" t="str">
        <f>IFERROR(VLOOKUP(D5736,'taxonomy map'!$A$1:$C$107,2,FALSE),"")</f>
        <v/>
      </c>
      <c r="F5736" s="49" t="str">
        <f>IFERROR(VLOOKUP(E5736,'Condensed Specialty Crosswalk'!$A$2:$C$106,2,FALSE),"")</f>
        <v/>
      </c>
      <c r="G5736" s="49" t="str">
        <f>IFERROR(VLOOKUP(E5736,'Condensed Specialty Crosswalk'!$A$2:$C$106,3,FALSE),"")</f>
        <v/>
      </c>
    </row>
    <row r="5737" spans="5:7" ht="15" customHeight="1">
      <c r="E5737" s="49" t="str">
        <f>IFERROR(VLOOKUP(D5737,'taxonomy map'!$A$1:$C$107,2,FALSE),"")</f>
        <v/>
      </c>
      <c r="F5737" s="49" t="str">
        <f>IFERROR(VLOOKUP(E5737,'Condensed Specialty Crosswalk'!$A$2:$C$106,2,FALSE),"")</f>
        <v/>
      </c>
      <c r="G5737" s="49" t="str">
        <f>IFERROR(VLOOKUP(E5737,'Condensed Specialty Crosswalk'!$A$2:$C$106,3,FALSE),"")</f>
        <v/>
      </c>
    </row>
    <row r="5738" spans="5:7" ht="15" customHeight="1">
      <c r="E5738" s="49" t="str">
        <f>IFERROR(VLOOKUP(D5738,'taxonomy map'!$A$1:$C$107,2,FALSE),"")</f>
        <v/>
      </c>
      <c r="F5738" s="49" t="str">
        <f>IFERROR(VLOOKUP(E5738,'Condensed Specialty Crosswalk'!$A$2:$C$106,2,FALSE),"")</f>
        <v/>
      </c>
      <c r="G5738" s="49" t="str">
        <f>IFERROR(VLOOKUP(E5738,'Condensed Specialty Crosswalk'!$A$2:$C$106,3,FALSE),"")</f>
        <v/>
      </c>
    </row>
    <row r="5739" spans="5:7" ht="15" customHeight="1">
      <c r="E5739" s="49" t="str">
        <f>IFERROR(VLOOKUP(D5739,'taxonomy map'!$A$1:$C$107,2,FALSE),"")</f>
        <v/>
      </c>
      <c r="F5739" s="49" t="str">
        <f>IFERROR(VLOOKUP(E5739,'Condensed Specialty Crosswalk'!$A$2:$C$106,2,FALSE),"")</f>
        <v/>
      </c>
      <c r="G5739" s="49" t="str">
        <f>IFERROR(VLOOKUP(E5739,'Condensed Specialty Crosswalk'!$A$2:$C$106,3,FALSE),"")</f>
        <v/>
      </c>
    </row>
    <row r="5740" spans="5:7" ht="15" customHeight="1">
      <c r="E5740" s="49" t="str">
        <f>IFERROR(VLOOKUP(D5740,'taxonomy map'!$A$1:$C$107,2,FALSE),"")</f>
        <v/>
      </c>
      <c r="F5740" s="49" t="str">
        <f>IFERROR(VLOOKUP(E5740,'Condensed Specialty Crosswalk'!$A$2:$C$106,2,FALSE),"")</f>
        <v/>
      </c>
      <c r="G5740" s="49" t="str">
        <f>IFERROR(VLOOKUP(E5740,'Condensed Specialty Crosswalk'!$A$2:$C$106,3,FALSE),"")</f>
        <v/>
      </c>
    </row>
    <row r="5741" spans="5:7" ht="15" customHeight="1">
      <c r="E5741" s="49" t="str">
        <f>IFERROR(VLOOKUP(D5741,'taxonomy map'!$A$1:$C$107,2,FALSE),"")</f>
        <v/>
      </c>
      <c r="F5741" s="49" t="str">
        <f>IFERROR(VLOOKUP(E5741,'Condensed Specialty Crosswalk'!$A$2:$C$106,2,FALSE),"")</f>
        <v/>
      </c>
      <c r="G5741" s="49" t="str">
        <f>IFERROR(VLOOKUP(E5741,'Condensed Specialty Crosswalk'!$A$2:$C$106,3,FALSE),"")</f>
        <v/>
      </c>
    </row>
    <row r="5742" spans="5:7" ht="15" customHeight="1">
      <c r="E5742" s="49" t="str">
        <f>IFERROR(VLOOKUP(D5742,'taxonomy map'!$A$1:$C$107,2,FALSE),"")</f>
        <v/>
      </c>
      <c r="F5742" s="49" t="str">
        <f>IFERROR(VLOOKUP(E5742,'Condensed Specialty Crosswalk'!$A$2:$C$106,2,FALSE),"")</f>
        <v/>
      </c>
      <c r="G5742" s="49" t="str">
        <f>IFERROR(VLOOKUP(E5742,'Condensed Specialty Crosswalk'!$A$2:$C$106,3,FALSE),"")</f>
        <v/>
      </c>
    </row>
    <row r="5743" spans="5:7" ht="15" customHeight="1">
      <c r="E5743" s="49" t="str">
        <f>IFERROR(VLOOKUP(D5743,'taxonomy map'!$A$1:$C$107,2,FALSE),"")</f>
        <v/>
      </c>
      <c r="F5743" s="49" t="str">
        <f>IFERROR(VLOOKUP(E5743,'Condensed Specialty Crosswalk'!$A$2:$C$106,2,FALSE),"")</f>
        <v/>
      </c>
      <c r="G5743" s="49" t="str">
        <f>IFERROR(VLOOKUP(E5743,'Condensed Specialty Crosswalk'!$A$2:$C$106,3,FALSE),"")</f>
        <v/>
      </c>
    </row>
    <row r="5744" spans="5:7" ht="15" customHeight="1">
      <c r="E5744" s="49" t="str">
        <f>IFERROR(VLOOKUP(D5744,'taxonomy map'!$A$1:$C$107,2,FALSE),"")</f>
        <v/>
      </c>
      <c r="F5744" s="49" t="str">
        <f>IFERROR(VLOOKUP(E5744,'Condensed Specialty Crosswalk'!$A$2:$C$106,2,FALSE),"")</f>
        <v/>
      </c>
      <c r="G5744" s="49" t="str">
        <f>IFERROR(VLOOKUP(E5744,'Condensed Specialty Crosswalk'!$A$2:$C$106,3,FALSE),"")</f>
        <v/>
      </c>
    </row>
    <row r="5745" spans="5:7" ht="15" customHeight="1">
      <c r="E5745" s="49" t="str">
        <f>IFERROR(VLOOKUP(D5745,'taxonomy map'!$A$1:$C$107,2,FALSE),"")</f>
        <v/>
      </c>
      <c r="F5745" s="49" t="str">
        <f>IFERROR(VLOOKUP(E5745,'Condensed Specialty Crosswalk'!$A$2:$C$106,2,FALSE),"")</f>
        <v/>
      </c>
      <c r="G5745" s="49" t="str">
        <f>IFERROR(VLOOKUP(E5745,'Condensed Specialty Crosswalk'!$A$2:$C$106,3,FALSE),"")</f>
        <v/>
      </c>
    </row>
    <row r="5746" spans="5:7" ht="15" customHeight="1">
      <c r="E5746" s="49" t="str">
        <f>IFERROR(VLOOKUP(D5746,'taxonomy map'!$A$1:$C$107,2,FALSE),"")</f>
        <v/>
      </c>
      <c r="F5746" s="49" t="str">
        <f>IFERROR(VLOOKUP(E5746,'Condensed Specialty Crosswalk'!$A$2:$C$106,2,FALSE),"")</f>
        <v/>
      </c>
      <c r="G5746" s="49" t="str">
        <f>IFERROR(VLOOKUP(E5746,'Condensed Specialty Crosswalk'!$A$2:$C$106,3,FALSE),"")</f>
        <v/>
      </c>
    </row>
    <row r="5747" spans="5:7" ht="15" customHeight="1">
      <c r="E5747" s="49" t="str">
        <f>IFERROR(VLOOKUP(D5747,'taxonomy map'!$A$1:$C$107,2,FALSE),"")</f>
        <v/>
      </c>
      <c r="F5747" s="49" t="str">
        <f>IFERROR(VLOOKUP(E5747,'Condensed Specialty Crosswalk'!$A$2:$C$106,2,FALSE),"")</f>
        <v/>
      </c>
      <c r="G5747" s="49" t="str">
        <f>IFERROR(VLOOKUP(E5747,'Condensed Specialty Crosswalk'!$A$2:$C$106,3,FALSE),"")</f>
        <v/>
      </c>
    </row>
    <row r="5748" spans="5:7" ht="15" customHeight="1">
      <c r="E5748" s="49" t="str">
        <f>IFERROR(VLOOKUP(D5748,'taxonomy map'!$A$1:$C$107,2,FALSE),"")</f>
        <v/>
      </c>
      <c r="F5748" s="49" t="str">
        <f>IFERROR(VLOOKUP(E5748,'Condensed Specialty Crosswalk'!$A$2:$C$106,2,FALSE),"")</f>
        <v/>
      </c>
      <c r="G5748" s="49" t="str">
        <f>IFERROR(VLOOKUP(E5748,'Condensed Specialty Crosswalk'!$A$2:$C$106,3,FALSE),"")</f>
        <v/>
      </c>
    </row>
    <row r="5749" spans="5:7" ht="15" customHeight="1">
      <c r="E5749" s="49" t="str">
        <f>IFERROR(VLOOKUP(D5749,'taxonomy map'!$A$1:$C$107,2,FALSE),"")</f>
        <v/>
      </c>
      <c r="F5749" s="49" t="str">
        <f>IFERROR(VLOOKUP(E5749,'Condensed Specialty Crosswalk'!$A$2:$C$106,2,FALSE),"")</f>
        <v/>
      </c>
      <c r="G5749" s="49" t="str">
        <f>IFERROR(VLOOKUP(E5749,'Condensed Specialty Crosswalk'!$A$2:$C$106,3,FALSE),"")</f>
        <v/>
      </c>
    </row>
    <row r="5750" spans="5:7" ht="15" customHeight="1">
      <c r="E5750" s="49" t="str">
        <f>IFERROR(VLOOKUP(D5750,'taxonomy map'!$A$1:$C$107,2,FALSE),"")</f>
        <v/>
      </c>
      <c r="F5750" s="49" t="str">
        <f>IFERROR(VLOOKUP(E5750,'Condensed Specialty Crosswalk'!$A$2:$C$106,2,FALSE),"")</f>
        <v/>
      </c>
      <c r="G5750" s="49" t="str">
        <f>IFERROR(VLOOKUP(E5750,'Condensed Specialty Crosswalk'!$A$2:$C$106,3,FALSE),"")</f>
        <v/>
      </c>
    </row>
    <row r="5751" spans="5:7" ht="15" customHeight="1">
      <c r="E5751" s="49" t="str">
        <f>IFERROR(VLOOKUP(D5751,'taxonomy map'!$A$1:$C$107,2,FALSE),"")</f>
        <v/>
      </c>
      <c r="F5751" s="49" t="str">
        <f>IFERROR(VLOOKUP(E5751,'Condensed Specialty Crosswalk'!$A$2:$C$106,2,FALSE),"")</f>
        <v/>
      </c>
      <c r="G5751" s="49" t="str">
        <f>IFERROR(VLOOKUP(E5751,'Condensed Specialty Crosswalk'!$A$2:$C$106,3,FALSE),"")</f>
        <v/>
      </c>
    </row>
    <row r="5752" spans="5:7" ht="15" customHeight="1">
      <c r="E5752" s="49" t="str">
        <f>IFERROR(VLOOKUP(D5752,'taxonomy map'!$A$1:$C$107,2,FALSE),"")</f>
        <v/>
      </c>
      <c r="F5752" s="49" t="str">
        <f>IFERROR(VLOOKUP(E5752,'Condensed Specialty Crosswalk'!$A$2:$C$106,2,FALSE),"")</f>
        <v/>
      </c>
      <c r="G5752" s="49" t="str">
        <f>IFERROR(VLOOKUP(E5752,'Condensed Specialty Crosswalk'!$A$2:$C$106,3,FALSE),"")</f>
        <v/>
      </c>
    </row>
    <row r="5753" spans="5:7" ht="15" customHeight="1">
      <c r="E5753" s="49" t="str">
        <f>IFERROR(VLOOKUP(D5753,'taxonomy map'!$A$1:$C$107,2,FALSE),"")</f>
        <v/>
      </c>
      <c r="F5753" s="49" t="str">
        <f>IFERROR(VLOOKUP(E5753,'Condensed Specialty Crosswalk'!$A$2:$C$106,2,FALSE),"")</f>
        <v/>
      </c>
      <c r="G5753" s="49" t="str">
        <f>IFERROR(VLOOKUP(E5753,'Condensed Specialty Crosswalk'!$A$2:$C$106,3,FALSE),"")</f>
        <v/>
      </c>
    </row>
    <row r="5754" spans="5:7" ht="15" customHeight="1">
      <c r="E5754" s="49" t="str">
        <f>IFERROR(VLOOKUP(D5754,'taxonomy map'!$A$1:$C$107,2,FALSE),"")</f>
        <v/>
      </c>
      <c r="F5754" s="49" t="str">
        <f>IFERROR(VLOOKUP(E5754,'Condensed Specialty Crosswalk'!$A$2:$C$106,2,FALSE),"")</f>
        <v/>
      </c>
      <c r="G5754" s="49" t="str">
        <f>IFERROR(VLOOKUP(E5754,'Condensed Specialty Crosswalk'!$A$2:$C$106,3,FALSE),"")</f>
        <v/>
      </c>
    </row>
    <row r="5755" spans="5:7" ht="15" customHeight="1">
      <c r="E5755" s="49" t="str">
        <f>IFERROR(VLOOKUP(D5755,'taxonomy map'!$A$1:$C$107,2,FALSE),"")</f>
        <v/>
      </c>
      <c r="F5755" s="49" t="str">
        <f>IFERROR(VLOOKUP(E5755,'Condensed Specialty Crosswalk'!$A$2:$C$106,2,FALSE),"")</f>
        <v/>
      </c>
      <c r="G5755" s="49" t="str">
        <f>IFERROR(VLOOKUP(E5755,'Condensed Specialty Crosswalk'!$A$2:$C$106,3,FALSE),"")</f>
        <v/>
      </c>
    </row>
    <row r="5756" spans="5:7" ht="15" customHeight="1">
      <c r="E5756" s="49" t="str">
        <f>IFERROR(VLOOKUP(D5756,'taxonomy map'!$A$1:$C$107,2,FALSE),"")</f>
        <v/>
      </c>
      <c r="F5756" s="49" t="str">
        <f>IFERROR(VLOOKUP(E5756,'Condensed Specialty Crosswalk'!$A$2:$C$106,2,FALSE),"")</f>
        <v/>
      </c>
      <c r="G5756" s="49" t="str">
        <f>IFERROR(VLOOKUP(E5756,'Condensed Specialty Crosswalk'!$A$2:$C$106,3,FALSE),"")</f>
        <v/>
      </c>
    </row>
    <row r="5757" spans="5:7" ht="15" customHeight="1">
      <c r="E5757" s="49" t="str">
        <f>IFERROR(VLOOKUP(D5757,'taxonomy map'!$A$1:$C$107,2,FALSE),"")</f>
        <v/>
      </c>
      <c r="F5757" s="49" t="str">
        <f>IFERROR(VLOOKUP(E5757,'Condensed Specialty Crosswalk'!$A$2:$C$106,2,FALSE),"")</f>
        <v/>
      </c>
      <c r="G5757" s="49" t="str">
        <f>IFERROR(VLOOKUP(E5757,'Condensed Specialty Crosswalk'!$A$2:$C$106,3,FALSE),"")</f>
        <v/>
      </c>
    </row>
    <row r="5758" spans="5:7" ht="15" customHeight="1">
      <c r="E5758" s="49" t="str">
        <f>IFERROR(VLOOKUP(D5758,'taxonomy map'!$A$1:$C$107,2,FALSE),"")</f>
        <v/>
      </c>
      <c r="F5758" s="49" t="str">
        <f>IFERROR(VLOOKUP(E5758,'Condensed Specialty Crosswalk'!$A$2:$C$106,2,FALSE),"")</f>
        <v/>
      </c>
      <c r="G5758" s="49" t="str">
        <f>IFERROR(VLOOKUP(E5758,'Condensed Specialty Crosswalk'!$A$2:$C$106,3,FALSE),"")</f>
        <v/>
      </c>
    </row>
    <row r="5759" spans="5:7" ht="15" customHeight="1">
      <c r="E5759" s="49" t="str">
        <f>IFERROR(VLOOKUP(D5759,'taxonomy map'!$A$1:$C$107,2,FALSE),"")</f>
        <v/>
      </c>
      <c r="F5759" s="49" t="str">
        <f>IFERROR(VLOOKUP(E5759,'Condensed Specialty Crosswalk'!$A$2:$C$106,2,FALSE),"")</f>
        <v/>
      </c>
      <c r="G5759" s="49" t="str">
        <f>IFERROR(VLOOKUP(E5759,'Condensed Specialty Crosswalk'!$A$2:$C$106,3,FALSE),"")</f>
        <v/>
      </c>
    </row>
    <row r="5760" spans="5:7" ht="15" customHeight="1">
      <c r="E5760" s="49" t="str">
        <f>IFERROR(VLOOKUP(D5760,'taxonomy map'!$A$1:$C$107,2,FALSE),"")</f>
        <v/>
      </c>
      <c r="F5760" s="49" t="str">
        <f>IFERROR(VLOOKUP(E5760,'Condensed Specialty Crosswalk'!$A$2:$C$106,2,FALSE),"")</f>
        <v/>
      </c>
      <c r="G5760" s="49" t="str">
        <f>IFERROR(VLOOKUP(E5760,'Condensed Specialty Crosswalk'!$A$2:$C$106,3,FALSE),"")</f>
        <v/>
      </c>
    </row>
    <row r="5761" spans="5:7" ht="15" customHeight="1">
      <c r="E5761" s="49" t="str">
        <f>IFERROR(VLOOKUP(D5761,'taxonomy map'!$A$1:$C$107,2,FALSE),"")</f>
        <v/>
      </c>
      <c r="F5761" s="49" t="str">
        <f>IFERROR(VLOOKUP(E5761,'Condensed Specialty Crosswalk'!$A$2:$C$106,2,FALSE),"")</f>
        <v/>
      </c>
      <c r="G5761" s="49" t="str">
        <f>IFERROR(VLOOKUP(E5761,'Condensed Specialty Crosswalk'!$A$2:$C$106,3,FALSE),"")</f>
        <v/>
      </c>
    </row>
    <row r="5762" spans="5:7" ht="15" customHeight="1">
      <c r="E5762" s="49" t="str">
        <f>IFERROR(VLOOKUP(D5762,'taxonomy map'!$A$1:$C$107,2,FALSE),"")</f>
        <v/>
      </c>
      <c r="F5762" s="49" t="str">
        <f>IFERROR(VLOOKUP(E5762,'Condensed Specialty Crosswalk'!$A$2:$C$106,2,FALSE),"")</f>
        <v/>
      </c>
      <c r="G5762" s="49" t="str">
        <f>IFERROR(VLOOKUP(E5762,'Condensed Specialty Crosswalk'!$A$2:$C$106,3,FALSE),"")</f>
        <v/>
      </c>
    </row>
    <row r="5763" spans="5:7" ht="15" customHeight="1">
      <c r="E5763" s="49" t="str">
        <f>IFERROR(VLOOKUP(D5763,'taxonomy map'!$A$1:$C$107,2,FALSE),"")</f>
        <v/>
      </c>
      <c r="F5763" s="49" t="str">
        <f>IFERROR(VLOOKUP(E5763,'Condensed Specialty Crosswalk'!$A$2:$C$106,2,FALSE),"")</f>
        <v/>
      </c>
      <c r="G5763" s="49" t="str">
        <f>IFERROR(VLOOKUP(E5763,'Condensed Specialty Crosswalk'!$A$2:$C$106,3,FALSE),"")</f>
        <v/>
      </c>
    </row>
    <row r="5764" spans="5:7" ht="15" customHeight="1">
      <c r="E5764" s="49" t="str">
        <f>IFERROR(VLOOKUP(D5764,'taxonomy map'!$A$1:$C$107,2,FALSE),"")</f>
        <v/>
      </c>
      <c r="F5764" s="49" t="str">
        <f>IFERROR(VLOOKUP(E5764,'Condensed Specialty Crosswalk'!$A$2:$C$106,2,FALSE),"")</f>
        <v/>
      </c>
      <c r="G5764" s="49" t="str">
        <f>IFERROR(VLOOKUP(E5764,'Condensed Specialty Crosswalk'!$A$2:$C$106,3,FALSE),"")</f>
        <v/>
      </c>
    </row>
    <row r="5765" spans="5:7" ht="15" customHeight="1">
      <c r="E5765" s="49" t="str">
        <f>IFERROR(VLOOKUP(D5765,'taxonomy map'!$A$1:$C$107,2,FALSE),"")</f>
        <v/>
      </c>
      <c r="F5765" s="49" t="str">
        <f>IFERROR(VLOOKUP(E5765,'Condensed Specialty Crosswalk'!$A$2:$C$106,2,FALSE),"")</f>
        <v/>
      </c>
      <c r="G5765" s="49" t="str">
        <f>IFERROR(VLOOKUP(E5765,'Condensed Specialty Crosswalk'!$A$2:$C$106,3,FALSE),"")</f>
        <v/>
      </c>
    </row>
    <row r="5766" spans="5:7" ht="15" customHeight="1">
      <c r="E5766" s="49" t="str">
        <f>IFERROR(VLOOKUP(D5766,'taxonomy map'!$A$1:$C$107,2,FALSE),"")</f>
        <v/>
      </c>
      <c r="F5766" s="49" t="str">
        <f>IFERROR(VLOOKUP(E5766,'Condensed Specialty Crosswalk'!$A$2:$C$106,2,FALSE),"")</f>
        <v/>
      </c>
      <c r="G5766" s="49" t="str">
        <f>IFERROR(VLOOKUP(E5766,'Condensed Specialty Crosswalk'!$A$2:$C$106,3,FALSE),"")</f>
        <v/>
      </c>
    </row>
    <row r="5767" spans="5:7" ht="15" customHeight="1">
      <c r="E5767" s="49" t="str">
        <f>IFERROR(VLOOKUP(D5767,'taxonomy map'!$A$1:$C$107,2,FALSE),"")</f>
        <v/>
      </c>
      <c r="F5767" s="49" t="str">
        <f>IFERROR(VLOOKUP(E5767,'Condensed Specialty Crosswalk'!$A$2:$C$106,2,FALSE),"")</f>
        <v/>
      </c>
      <c r="G5767" s="49" t="str">
        <f>IFERROR(VLOOKUP(E5767,'Condensed Specialty Crosswalk'!$A$2:$C$106,3,FALSE),"")</f>
        <v/>
      </c>
    </row>
    <row r="5768" spans="5:7" ht="15" customHeight="1">
      <c r="E5768" s="49" t="str">
        <f>IFERROR(VLOOKUP(D5768,'taxonomy map'!$A$1:$C$107,2,FALSE),"")</f>
        <v/>
      </c>
      <c r="F5768" s="49" t="str">
        <f>IFERROR(VLOOKUP(E5768,'Condensed Specialty Crosswalk'!$A$2:$C$106,2,FALSE),"")</f>
        <v/>
      </c>
      <c r="G5768" s="49" t="str">
        <f>IFERROR(VLOOKUP(E5768,'Condensed Specialty Crosswalk'!$A$2:$C$106,3,FALSE),"")</f>
        <v/>
      </c>
    </row>
    <row r="5769" spans="5:7" ht="15" customHeight="1">
      <c r="E5769" s="49" t="str">
        <f>IFERROR(VLOOKUP(D5769,'taxonomy map'!$A$1:$C$107,2,FALSE),"")</f>
        <v/>
      </c>
      <c r="F5769" s="49" t="str">
        <f>IFERROR(VLOOKUP(E5769,'Condensed Specialty Crosswalk'!$A$2:$C$106,2,FALSE),"")</f>
        <v/>
      </c>
      <c r="G5769" s="49" t="str">
        <f>IFERROR(VLOOKUP(E5769,'Condensed Specialty Crosswalk'!$A$2:$C$106,3,FALSE),"")</f>
        <v/>
      </c>
    </row>
    <row r="5770" spans="5:7" ht="15" customHeight="1">
      <c r="E5770" s="49" t="str">
        <f>IFERROR(VLOOKUP(D5770,'taxonomy map'!$A$1:$C$107,2,FALSE),"")</f>
        <v/>
      </c>
      <c r="F5770" s="49" t="str">
        <f>IFERROR(VLOOKUP(E5770,'Condensed Specialty Crosswalk'!$A$2:$C$106,2,FALSE),"")</f>
        <v/>
      </c>
      <c r="G5770" s="49" t="str">
        <f>IFERROR(VLOOKUP(E5770,'Condensed Specialty Crosswalk'!$A$2:$C$106,3,FALSE),"")</f>
        <v/>
      </c>
    </row>
    <row r="5771" spans="5:7" ht="15" customHeight="1">
      <c r="E5771" s="49" t="str">
        <f>IFERROR(VLOOKUP(D5771,'taxonomy map'!$A$1:$C$107,2,FALSE),"")</f>
        <v/>
      </c>
      <c r="F5771" s="49" t="str">
        <f>IFERROR(VLOOKUP(E5771,'Condensed Specialty Crosswalk'!$A$2:$C$106,2,FALSE),"")</f>
        <v/>
      </c>
      <c r="G5771" s="49" t="str">
        <f>IFERROR(VLOOKUP(E5771,'Condensed Specialty Crosswalk'!$A$2:$C$106,3,FALSE),"")</f>
        <v/>
      </c>
    </row>
    <row r="5772" spans="5:7" ht="15" customHeight="1">
      <c r="E5772" s="49" t="str">
        <f>IFERROR(VLOOKUP(D5772,'taxonomy map'!$A$1:$C$107,2,FALSE),"")</f>
        <v/>
      </c>
      <c r="F5772" s="49" t="str">
        <f>IFERROR(VLOOKUP(E5772,'Condensed Specialty Crosswalk'!$A$2:$C$106,2,FALSE),"")</f>
        <v/>
      </c>
      <c r="G5772" s="49" t="str">
        <f>IFERROR(VLOOKUP(E5772,'Condensed Specialty Crosswalk'!$A$2:$C$106,3,FALSE),"")</f>
        <v/>
      </c>
    </row>
    <row r="5773" spans="5:7" ht="15" customHeight="1">
      <c r="E5773" s="49" t="str">
        <f>IFERROR(VLOOKUP(D5773,'taxonomy map'!$A$1:$C$107,2,FALSE),"")</f>
        <v/>
      </c>
      <c r="F5773" s="49" t="str">
        <f>IFERROR(VLOOKUP(E5773,'Condensed Specialty Crosswalk'!$A$2:$C$106,2,FALSE),"")</f>
        <v/>
      </c>
      <c r="G5773" s="49" t="str">
        <f>IFERROR(VLOOKUP(E5773,'Condensed Specialty Crosswalk'!$A$2:$C$106,3,FALSE),"")</f>
        <v/>
      </c>
    </row>
    <row r="5774" spans="5:7" ht="15" customHeight="1">
      <c r="E5774" s="49" t="str">
        <f>IFERROR(VLOOKUP(D5774,'taxonomy map'!$A$1:$C$107,2,FALSE),"")</f>
        <v/>
      </c>
      <c r="F5774" s="49" t="str">
        <f>IFERROR(VLOOKUP(E5774,'Condensed Specialty Crosswalk'!$A$2:$C$106,2,FALSE),"")</f>
        <v/>
      </c>
      <c r="G5774" s="49" t="str">
        <f>IFERROR(VLOOKUP(E5774,'Condensed Specialty Crosswalk'!$A$2:$C$106,3,FALSE),"")</f>
        <v/>
      </c>
    </row>
    <row r="5775" spans="5:7" ht="15" customHeight="1">
      <c r="E5775" s="49" t="str">
        <f>IFERROR(VLOOKUP(D5775,'taxonomy map'!$A$1:$C$107,2,FALSE),"")</f>
        <v/>
      </c>
      <c r="F5775" s="49" t="str">
        <f>IFERROR(VLOOKUP(E5775,'Condensed Specialty Crosswalk'!$A$2:$C$106,2,FALSE),"")</f>
        <v/>
      </c>
      <c r="G5775" s="49" t="str">
        <f>IFERROR(VLOOKUP(E5775,'Condensed Specialty Crosswalk'!$A$2:$C$106,3,FALSE),"")</f>
        <v/>
      </c>
    </row>
    <row r="5776" spans="5:7" ht="15" customHeight="1">
      <c r="E5776" s="49" t="str">
        <f>IFERROR(VLOOKUP(D5776,'taxonomy map'!$A$1:$C$107,2,FALSE),"")</f>
        <v/>
      </c>
      <c r="F5776" s="49" t="str">
        <f>IFERROR(VLOOKUP(E5776,'Condensed Specialty Crosswalk'!$A$2:$C$106,2,FALSE),"")</f>
        <v/>
      </c>
      <c r="G5776" s="49" t="str">
        <f>IFERROR(VLOOKUP(E5776,'Condensed Specialty Crosswalk'!$A$2:$C$106,3,FALSE),"")</f>
        <v/>
      </c>
    </row>
    <row r="5777" spans="5:7" ht="15" customHeight="1">
      <c r="E5777" s="49" t="str">
        <f>IFERROR(VLOOKUP(D5777,'taxonomy map'!$A$1:$C$107,2,FALSE),"")</f>
        <v/>
      </c>
      <c r="F5777" s="49" t="str">
        <f>IFERROR(VLOOKUP(E5777,'Condensed Specialty Crosswalk'!$A$2:$C$106,2,FALSE),"")</f>
        <v/>
      </c>
      <c r="G5777" s="49" t="str">
        <f>IFERROR(VLOOKUP(E5777,'Condensed Specialty Crosswalk'!$A$2:$C$106,3,FALSE),"")</f>
        <v/>
      </c>
    </row>
    <row r="5778" spans="5:7" ht="15" customHeight="1">
      <c r="E5778" s="49" t="str">
        <f>IFERROR(VLOOKUP(D5778,'taxonomy map'!$A$1:$C$107,2,FALSE),"")</f>
        <v/>
      </c>
      <c r="F5778" s="49" t="str">
        <f>IFERROR(VLOOKUP(E5778,'Condensed Specialty Crosswalk'!$A$2:$C$106,2,FALSE),"")</f>
        <v/>
      </c>
      <c r="G5778" s="49" t="str">
        <f>IFERROR(VLOOKUP(E5778,'Condensed Specialty Crosswalk'!$A$2:$C$106,3,FALSE),"")</f>
        <v/>
      </c>
    </row>
    <row r="5779" spans="5:7" ht="15" customHeight="1">
      <c r="E5779" s="49" t="str">
        <f>IFERROR(VLOOKUP(D5779,'taxonomy map'!$A$1:$C$107,2,FALSE),"")</f>
        <v/>
      </c>
      <c r="F5779" s="49" t="str">
        <f>IFERROR(VLOOKUP(E5779,'Condensed Specialty Crosswalk'!$A$2:$C$106,2,FALSE),"")</f>
        <v/>
      </c>
      <c r="G5779" s="49" t="str">
        <f>IFERROR(VLOOKUP(E5779,'Condensed Specialty Crosswalk'!$A$2:$C$106,3,FALSE),"")</f>
        <v/>
      </c>
    </row>
    <row r="5780" spans="5:7" ht="15" customHeight="1">
      <c r="E5780" s="49" t="str">
        <f>IFERROR(VLOOKUP(D5780,'taxonomy map'!$A$1:$C$107,2,FALSE),"")</f>
        <v/>
      </c>
      <c r="F5780" s="49" t="str">
        <f>IFERROR(VLOOKUP(E5780,'Condensed Specialty Crosswalk'!$A$2:$C$106,2,FALSE),"")</f>
        <v/>
      </c>
      <c r="G5780" s="49" t="str">
        <f>IFERROR(VLOOKUP(E5780,'Condensed Specialty Crosswalk'!$A$2:$C$106,3,FALSE),"")</f>
        <v/>
      </c>
    </row>
    <row r="5781" spans="5:7" ht="15" customHeight="1">
      <c r="E5781" s="49" t="str">
        <f>IFERROR(VLOOKUP(D5781,'taxonomy map'!$A$1:$C$107,2,FALSE),"")</f>
        <v/>
      </c>
      <c r="F5781" s="49" t="str">
        <f>IFERROR(VLOOKUP(E5781,'Condensed Specialty Crosswalk'!$A$2:$C$106,2,FALSE),"")</f>
        <v/>
      </c>
      <c r="G5781" s="49" t="str">
        <f>IFERROR(VLOOKUP(E5781,'Condensed Specialty Crosswalk'!$A$2:$C$106,3,FALSE),"")</f>
        <v/>
      </c>
    </row>
    <row r="5782" spans="5:7" ht="15" customHeight="1">
      <c r="E5782" s="49" t="str">
        <f>IFERROR(VLOOKUP(D5782,'taxonomy map'!$A$1:$C$107,2,FALSE),"")</f>
        <v/>
      </c>
      <c r="F5782" s="49" t="str">
        <f>IFERROR(VLOOKUP(E5782,'Condensed Specialty Crosswalk'!$A$2:$C$106,2,FALSE),"")</f>
        <v/>
      </c>
      <c r="G5782" s="49" t="str">
        <f>IFERROR(VLOOKUP(E5782,'Condensed Specialty Crosswalk'!$A$2:$C$106,3,FALSE),"")</f>
        <v/>
      </c>
    </row>
    <row r="5783" spans="5:7" ht="15" customHeight="1">
      <c r="E5783" s="49" t="str">
        <f>IFERROR(VLOOKUP(D5783,'taxonomy map'!$A$1:$C$107,2,FALSE),"")</f>
        <v/>
      </c>
      <c r="F5783" s="49" t="str">
        <f>IFERROR(VLOOKUP(E5783,'Condensed Specialty Crosswalk'!$A$2:$C$106,2,FALSE),"")</f>
        <v/>
      </c>
      <c r="G5783" s="49" t="str">
        <f>IFERROR(VLOOKUP(E5783,'Condensed Specialty Crosswalk'!$A$2:$C$106,3,FALSE),"")</f>
        <v/>
      </c>
    </row>
    <row r="5784" spans="5:7" ht="15" customHeight="1">
      <c r="E5784" s="49" t="str">
        <f>IFERROR(VLOOKUP(D5784,'taxonomy map'!$A$1:$C$107,2,FALSE),"")</f>
        <v/>
      </c>
      <c r="F5784" s="49" t="str">
        <f>IFERROR(VLOOKUP(E5784,'Condensed Specialty Crosswalk'!$A$2:$C$106,2,FALSE),"")</f>
        <v/>
      </c>
      <c r="G5784" s="49" t="str">
        <f>IFERROR(VLOOKUP(E5784,'Condensed Specialty Crosswalk'!$A$2:$C$106,3,FALSE),"")</f>
        <v/>
      </c>
    </row>
    <row r="5785" spans="5:7" ht="15" customHeight="1">
      <c r="E5785" s="49" t="str">
        <f>IFERROR(VLOOKUP(D5785,'taxonomy map'!$A$1:$C$107,2,FALSE),"")</f>
        <v/>
      </c>
      <c r="F5785" s="49" t="str">
        <f>IFERROR(VLOOKUP(E5785,'Condensed Specialty Crosswalk'!$A$2:$C$106,2,FALSE),"")</f>
        <v/>
      </c>
      <c r="G5785" s="49" t="str">
        <f>IFERROR(VLOOKUP(E5785,'Condensed Specialty Crosswalk'!$A$2:$C$106,3,FALSE),"")</f>
        <v/>
      </c>
    </row>
    <row r="5786" spans="5:7" ht="15" customHeight="1">
      <c r="E5786" s="49" t="str">
        <f>IFERROR(VLOOKUP(D5786,'taxonomy map'!$A$1:$C$107,2,FALSE),"")</f>
        <v/>
      </c>
      <c r="F5786" s="49" t="str">
        <f>IFERROR(VLOOKUP(E5786,'Condensed Specialty Crosswalk'!$A$2:$C$106,2,FALSE),"")</f>
        <v/>
      </c>
      <c r="G5786" s="49" t="str">
        <f>IFERROR(VLOOKUP(E5786,'Condensed Specialty Crosswalk'!$A$2:$C$106,3,FALSE),"")</f>
        <v/>
      </c>
    </row>
    <row r="5787" spans="5:7" ht="15" customHeight="1">
      <c r="E5787" s="49" t="str">
        <f>IFERROR(VLOOKUP(D5787,'taxonomy map'!$A$1:$C$107,2,FALSE),"")</f>
        <v/>
      </c>
      <c r="F5787" s="49" t="str">
        <f>IFERROR(VLOOKUP(E5787,'Condensed Specialty Crosswalk'!$A$2:$C$106,2,FALSE),"")</f>
        <v/>
      </c>
      <c r="G5787" s="49" t="str">
        <f>IFERROR(VLOOKUP(E5787,'Condensed Specialty Crosswalk'!$A$2:$C$106,3,FALSE),"")</f>
        <v/>
      </c>
    </row>
    <row r="5788" spans="5:7" ht="15" customHeight="1">
      <c r="E5788" s="49" t="str">
        <f>IFERROR(VLOOKUP(D5788,'taxonomy map'!$A$1:$C$107,2,FALSE),"")</f>
        <v/>
      </c>
      <c r="F5788" s="49" t="str">
        <f>IFERROR(VLOOKUP(E5788,'Condensed Specialty Crosswalk'!$A$2:$C$106,2,FALSE),"")</f>
        <v/>
      </c>
      <c r="G5788" s="49" t="str">
        <f>IFERROR(VLOOKUP(E5788,'Condensed Specialty Crosswalk'!$A$2:$C$106,3,FALSE),"")</f>
        <v/>
      </c>
    </row>
    <row r="5789" spans="5:7" ht="15" customHeight="1">
      <c r="E5789" s="49" t="str">
        <f>IFERROR(VLOOKUP(D5789,'taxonomy map'!$A$1:$C$107,2,FALSE),"")</f>
        <v/>
      </c>
      <c r="F5789" s="49" t="str">
        <f>IFERROR(VLOOKUP(E5789,'Condensed Specialty Crosswalk'!$A$2:$C$106,2,FALSE),"")</f>
        <v/>
      </c>
      <c r="G5789" s="49" t="str">
        <f>IFERROR(VLOOKUP(E5789,'Condensed Specialty Crosswalk'!$A$2:$C$106,3,FALSE),"")</f>
        <v/>
      </c>
    </row>
    <row r="5790" spans="5:7" ht="15" customHeight="1">
      <c r="E5790" s="49" t="str">
        <f>IFERROR(VLOOKUP(D5790,'taxonomy map'!$A$1:$C$107,2,FALSE),"")</f>
        <v/>
      </c>
      <c r="F5790" s="49" t="str">
        <f>IFERROR(VLOOKUP(E5790,'Condensed Specialty Crosswalk'!$A$2:$C$106,2,FALSE),"")</f>
        <v/>
      </c>
      <c r="G5790" s="49" t="str">
        <f>IFERROR(VLOOKUP(E5790,'Condensed Specialty Crosswalk'!$A$2:$C$106,3,FALSE),"")</f>
        <v/>
      </c>
    </row>
    <row r="5791" spans="5:7" ht="15" customHeight="1">
      <c r="E5791" s="49" t="str">
        <f>IFERROR(VLOOKUP(D5791,'taxonomy map'!$A$1:$C$107,2,FALSE),"")</f>
        <v/>
      </c>
      <c r="F5791" s="49" t="str">
        <f>IFERROR(VLOOKUP(E5791,'Condensed Specialty Crosswalk'!$A$2:$C$106,2,FALSE),"")</f>
        <v/>
      </c>
      <c r="G5791" s="49" t="str">
        <f>IFERROR(VLOOKUP(E5791,'Condensed Specialty Crosswalk'!$A$2:$C$106,3,FALSE),"")</f>
        <v/>
      </c>
    </row>
    <row r="5792" spans="5:7" ht="15" customHeight="1">
      <c r="E5792" s="49" t="str">
        <f>IFERROR(VLOOKUP(D5792,'taxonomy map'!$A$1:$C$107,2,FALSE),"")</f>
        <v/>
      </c>
      <c r="F5792" s="49" t="str">
        <f>IFERROR(VLOOKUP(E5792,'Condensed Specialty Crosswalk'!$A$2:$C$106,2,FALSE),"")</f>
        <v/>
      </c>
      <c r="G5792" s="49" t="str">
        <f>IFERROR(VLOOKUP(E5792,'Condensed Specialty Crosswalk'!$A$2:$C$106,3,FALSE),"")</f>
        <v/>
      </c>
    </row>
    <row r="5793" spans="5:7" ht="15" customHeight="1">
      <c r="E5793" s="49" t="str">
        <f>IFERROR(VLOOKUP(D5793,'taxonomy map'!$A$1:$C$107,2,FALSE),"")</f>
        <v/>
      </c>
      <c r="F5793" s="49" t="str">
        <f>IFERROR(VLOOKUP(E5793,'Condensed Specialty Crosswalk'!$A$2:$C$106,2,FALSE),"")</f>
        <v/>
      </c>
      <c r="G5793" s="49" t="str">
        <f>IFERROR(VLOOKUP(E5793,'Condensed Specialty Crosswalk'!$A$2:$C$106,3,FALSE),"")</f>
        <v/>
      </c>
    </row>
    <row r="5794" spans="5:7" ht="15" customHeight="1">
      <c r="E5794" s="49" t="str">
        <f>IFERROR(VLOOKUP(D5794,'taxonomy map'!$A$1:$C$107,2,FALSE),"")</f>
        <v/>
      </c>
      <c r="F5794" s="49" t="str">
        <f>IFERROR(VLOOKUP(E5794,'Condensed Specialty Crosswalk'!$A$2:$C$106,2,FALSE),"")</f>
        <v/>
      </c>
      <c r="G5794" s="49" t="str">
        <f>IFERROR(VLOOKUP(E5794,'Condensed Specialty Crosswalk'!$A$2:$C$106,3,FALSE),"")</f>
        <v/>
      </c>
    </row>
    <row r="5795" spans="5:7" ht="15" customHeight="1">
      <c r="E5795" s="49" t="str">
        <f>IFERROR(VLOOKUP(D5795,'taxonomy map'!$A$1:$C$107,2,FALSE),"")</f>
        <v/>
      </c>
      <c r="F5795" s="49" t="str">
        <f>IFERROR(VLOOKUP(E5795,'Condensed Specialty Crosswalk'!$A$2:$C$106,2,FALSE),"")</f>
        <v/>
      </c>
      <c r="G5795" s="49" t="str">
        <f>IFERROR(VLOOKUP(E5795,'Condensed Specialty Crosswalk'!$A$2:$C$106,3,FALSE),"")</f>
        <v/>
      </c>
    </row>
    <row r="5796" spans="5:7" ht="15" customHeight="1">
      <c r="E5796" s="49" t="str">
        <f>IFERROR(VLOOKUP(D5796,'taxonomy map'!$A$1:$C$107,2,FALSE),"")</f>
        <v/>
      </c>
      <c r="F5796" s="49" t="str">
        <f>IFERROR(VLOOKUP(E5796,'Condensed Specialty Crosswalk'!$A$2:$C$106,2,FALSE),"")</f>
        <v/>
      </c>
      <c r="G5796" s="49" t="str">
        <f>IFERROR(VLOOKUP(E5796,'Condensed Specialty Crosswalk'!$A$2:$C$106,3,FALSE),"")</f>
        <v/>
      </c>
    </row>
    <row r="5797" spans="5:7" ht="15" customHeight="1">
      <c r="E5797" s="49" t="str">
        <f>IFERROR(VLOOKUP(D5797,'taxonomy map'!$A$1:$C$107,2,FALSE),"")</f>
        <v/>
      </c>
      <c r="F5797" s="49" t="str">
        <f>IFERROR(VLOOKUP(E5797,'Condensed Specialty Crosswalk'!$A$2:$C$106,2,FALSE),"")</f>
        <v/>
      </c>
      <c r="G5797" s="49" t="str">
        <f>IFERROR(VLOOKUP(E5797,'Condensed Specialty Crosswalk'!$A$2:$C$106,3,FALSE),"")</f>
        <v/>
      </c>
    </row>
    <row r="5798" spans="5:7" ht="15" customHeight="1">
      <c r="E5798" s="49" t="str">
        <f>IFERROR(VLOOKUP(D5798,'taxonomy map'!$A$1:$C$107,2,FALSE),"")</f>
        <v/>
      </c>
      <c r="F5798" s="49" t="str">
        <f>IFERROR(VLOOKUP(E5798,'Condensed Specialty Crosswalk'!$A$2:$C$106,2,FALSE),"")</f>
        <v/>
      </c>
      <c r="G5798" s="49" t="str">
        <f>IFERROR(VLOOKUP(E5798,'Condensed Specialty Crosswalk'!$A$2:$C$106,3,FALSE),"")</f>
        <v/>
      </c>
    </row>
    <row r="5799" spans="5:7" ht="15" customHeight="1">
      <c r="E5799" s="49" t="str">
        <f>IFERROR(VLOOKUP(D5799,'taxonomy map'!$A$1:$C$107,2,FALSE),"")</f>
        <v/>
      </c>
      <c r="F5799" s="49" t="str">
        <f>IFERROR(VLOOKUP(E5799,'Condensed Specialty Crosswalk'!$A$2:$C$106,2,FALSE),"")</f>
        <v/>
      </c>
      <c r="G5799" s="49" t="str">
        <f>IFERROR(VLOOKUP(E5799,'Condensed Specialty Crosswalk'!$A$2:$C$106,3,FALSE),"")</f>
        <v/>
      </c>
    </row>
    <row r="5800" spans="5:7" ht="15" customHeight="1">
      <c r="E5800" s="49" t="str">
        <f>IFERROR(VLOOKUP(D5800,'taxonomy map'!$A$1:$C$107,2,FALSE),"")</f>
        <v/>
      </c>
      <c r="F5800" s="49" t="str">
        <f>IFERROR(VLOOKUP(E5800,'Condensed Specialty Crosswalk'!$A$2:$C$106,2,FALSE),"")</f>
        <v/>
      </c>
      <c r="G5800" s="49" t="str">
        <f>IFERROR(VLOOKUP(E5800,'Condensed Specialty Crosswalk'!$A$2:$C$106,3,FALSE),"")</f>
        <v/>
      </c>
    </row>
    <row r="5801" spans="5:7" ht="15" customHeight="1">
      <c r="E5801" s="49" t="str">
        <f>IFERROR(VLOOKUP(D5801,'taxonomy map'!$A$1:$C$107,2,FALSE),"")</f>
        <v/>
      </c>
      <c r="F5801" s="49" t="str">
        <f>IFERROR(VLOOKUP(E5801,'Condensed Specialty Crosswalk'!$A$2:$C$106,2,FALSE),"")</f>
        <v/>
      </c>
      <c r="G5801" s="49" t="str">
        <f>IFERROR(VLOOKUP(E5801,'Condensed Specialty Crosswalk'!$A$2:$C$106,3,FALSE),"")</f>
        <v/>
      </c>
    </row>
    <row r="5802" spans="5:7" ht="15" customHeight="1">
      <c r="E5802" s="49" t="str">
        <f>IFERROR(VLOOKUP(D5802,'taxonomy map'!$A$1:$C$107,2,FALSE),"")</f>
        <v/>
      </c>
      <c r="F5802" s="49" t="str">
        <f>IFERROR(VLOOKUP(E5802,'Condensed Specialty Crosswalk'!$A$2:$C$106,2,FALSE),"")</f>
        <v/>
      </c>
      <c r="G5802" s="49" t="str">
        <f>IFERROR(VLOOKUP(E5802,'Condensed Specialty Crosswalk'!$A$2:$C$106,3,FALSE),"")</f>
        <v/>
      </c>
    </row>
    <row r="5803" spans="5:7" ht="15" customHeight="1">
      <c r="E5803" s="49" t="str">
        <f>IFERROR(VLOOKUP(D5803,'taxonomy map'!$A$1:$C$107,2,FALSE),"")</f>
        <v/>
      </c>
      <c r="F5803" s="49" t="str">
        <f>IFERROR(VLOOKUP(E5803,'Condensed Specialty Crosswalk'!$A$2:$C$106,2,FALSE),"")</f>
        <v/>
      </c>
      <c r="G5803" s="49" t="str">
        <f>IFERROR(VLOOKUP(E5803,'Condensed Specialty Crosswalk'!$A$2:$C$106,3,FALSE),"")</f>
        <v/>
      </c>
    </row>
    <row r="5804" spans="5:7" ht="15" customHeight="1">
      <c r="E5804" s="49" t="str">
        <f>IFERROR(VLOOKUP(D5804,'taxonomy map'!$A$1:$C$107,2,FALSE),"")</f>
        <v/>
      </c>
      <c r="F5804" s="49" t="str">
        <f>IFERROR(VLOOKUP(E5804,'Condensed Specialty Crosswalk'!$A$2:$C$106,2,FALSE),"")</f>
        <v/>
      </c>
      <c r="G5804" s="49" t="str">
        <f>IFERROR(VLOOKUP(E5804,'Condensed Specialty Crosswalk'!$A$2:$C$106,3,FALSE),"")</f>
        <v/>
      </c>
    </row>
    <row r="5805" spans="5:7" ht="15" customHeight="1">
      <c r="E5805" s="49" t="str">
        <f>IFERROR(VLOOKUP(D5805,'taxonomy map'!$A$1:$C$107,2,FALSE),"")</f>
        <v/>
      </c>
      <c r="F5805" s="49" t="str">
        <f>IFERROR(VLOOKUP(E5805,'Condensed Specialty Crosswalk'!$A$2:$C$106,2,FALSE),"")</f>
        <v/>
      </c>
      <c r="G5805" s="49" t="str">
        <f>IFERROR(VLOOKUP(E5805,'Condensed Specialty Crosswalk'!$A$2:$C$106,3,FALSE),"")</f>
        <v/>
      </c>
    </row>
    <row r="5806" spans="5:7" ht="15" customHeight="1">
      <c r="E5806" s="49" t="str">
        <f>IFERROR(VLOOKUP(D5806,'taxonomy map'!$A$1:$C$107,2,FALSE),"")</f>
        <v/>
      </c>
      <c r="F5806" s="49" t="str">
        <f>IFERROR(VLOOKUP(E5806,'Condensed Specialty Crosswalk'!$A$2:$C$106,2,FALSE),"")</f>
        <v/>
      </c>
      <c r="G5806" s="49" t="str">
        <f>IFERROR(VLOOKUP(E5806,'Condensed Specialty Crosswalk'!$A$2:$C$106,3,FALSE),"")</f>
        <v/>
      </c>
    </row>
    <row r="5807" spans="5:7" ht="15" customHeight="1">
      <c r="E5807" s="49" t="str">
        <f>IFERROR(VLOOKUP(D5807,'taxonomy map'!$A$1:$C$107,2,FALSE),"")</f>
        <v/>
      </c>
      <c r="F5807" s="49" t="str">
        <f>IFERROR(VLOOKUP(E5807,'Condensed Specialty Crosswalk'!$A$2:$C$106,2,FALSE),"")</f>
        <v/>
      </c>
      <c r="G5807" s="49" t="str">
        <f>IFERROR(VLOOKUP(E5807,'Condensed Specialty Crosswalk'!$A$2:$C$106,3,FALSE),"")</f>
        <v/>
      </c>
    </row>
    <row r="5808" spans="5:7" ht="15" customHeight="1">
      <c r="E5808" s="49" t="str">
        <f>IFERROR(VLOOKUP(D5808,'taxonomy map'!$A$1:$C$107,2,FALSE),"")</f>
        <v/>
      </c>
      <c r="F5808" s="49" t="str">
        <f>IFERROR(VLOOKUP(E5808,'Condensed Specialty Crosswalk'!$A$2:$C$106,2,FALSE),"")</f>
        <v/>
      </c>
      <c r="G5808" s="49" t="str">
        <f>IFERROR(VLOOKUP(E5808,'Condensed Specialty Crosswalk'!$A$2:$C$106,3,FALSE),"")</f>
        <v/>
      </c>
    </row>
    <row r="5809" spans="5:7" ht="15" customHeight="1">
      <c r="E5809" s="49" t="str">
        <f>IFERROR(VLOOKUP(D5809,'taxonomy map'!$A$1:$C$107,2,FALSE),"")</f>
        <v/>
      </c>
      <c r="F5809" s="49" t="str">
        <f>IFERROR(VLOOKUP(E5809,'Condensed Specialty Crosswalk'!$A$2:$C$106,2,FALSE),"")</f>
        <v/>
      </c>
      <c r="G5809" s="49" t="str">
        <f>IFERROR(VLOOKUP(E5809,'Condensed Specialty Crosswalk'!$A$2:$C$106,3,FALSE),"")</f>
        <v/>
      </c>
    </row>
    <row r="5810" spans="5:7" ht="15" customHeight="1">
      <c r="E5810" s="49" t="str">
        <f>IFERROR(VLOOKUP(D5810,'taxonomy map'!$A$1:$C$107,2,FALSE),"")</f>
        <v/>
      </c>
      <c r="F5810" s="49" t="str">
        <f>IFERROR(VLOOKUP(E5810,'Condensed Specialty Crosswalk'!$A$2:$C$106,2,FALSE),"")</f>
        <v/>
      </c>
      <c r="G5810" s="49" t="str">
        <f>IFERROR(VLOOKUP(E5810,'Condensed Specialty Crosswalk'!$A$2:$C$106,3,FALSE),"")</f>
        <v/>
      </c>
    </row>
    <row r="5811" spans="5:7" ht="15" customHeight="1">
      <c r="E5811" s="49" t="str">
        <f>IFERROR(VLOOKUP(D5811,'taxonomy map'!$A$1:$C$107,2,FALSE),"")</f>
        <v/>
      </c>
      <c r="F5811" s="49" t="str">
        <f>IFERROR(VLOOKUP(E5811,'Condensed Specialty Crosswalk'!$A$2:$C$106,2,FALSE),"")</f>
        <v/>
      </c>
      <c r="G5811" s="49" t="str">
        <f>IFERROR(VLOOKUP(E5811,'Condensed Specialty Crosswalk'!$A$2:$C$106,3,FALSE),"")</f>
        <v/>
      </c>
    </row>
    <row r="5812" spans="5:7" ht="15" customHeight="1">
      <c r="E5812" s="49" t="str">
        <f>IFERROR(VLOOKUP(D5812,'taxonomy map'!$A$1:$C$107,2,FALSE),"")</f>
        <v/>
      </c>
      <c r="F5812" s="49" t="str">
        <f>IFERROR(VLOOKUP(E5812,'Condensed Specialty Crosswalk'!$A$2:$C$106,2,FALSE),"")</f>
        <v/>
      </c>
      <c r="G5812" s="49" t="str">
        <f>IFERROR(VLOOKUP(E5812,'Condensed Specialty Crosswalk'!$A$2:$C$106,3,FALSE),"")</f>
        <v/>
      </c>
    </row>
    <row r="5813" spans="5:7" ht="15" customHeight="1">
      <c r="E5813" s="49" t="str">
        <f>IFERROR(VLOOKUP(D5813,'taxonomy map'!$A$1:$C$107,2,FALSE),"")</f>
        <v/>
      </c>
      <c r="F5813" s="49" t="str">
        <f>IFERROR(VLOOKUP(E5813,'Condensed Specialty Crosswalk'!$A$2:$C$106,2,FALSE),"")</f>
        <v/>
      </c>
      <c r="G5813" s="49" t="str">
        <f>IFERROR(VLOOKUP(E5813,'Condensed Specialty Crosswalk'!$A$2:$C$106,3,FALSE),"")</f>
        <v/>
      </c>
    </row>
    <row r="5814" spans="5:7" ht="15" customHeight="1">
      <c r="E5814" s="49" t="str">
        <f>IFERROR(VLOOKUP(D5814,'taxonomy map'!$A$1:$C$107,2,FALSE),"")</f>
        <v/>
      </c>
      <c r="F5814" s="49" t="str">
        <f>IFERROR(VLOOKUP(E5814,'Condensed Specialty Crosswalk'!$A$2:$C$106,2,FALSE),"")</f>
        <v/>
      </c>
      <c r="G5814" s="49" t="str">
        <f>IFERROR(VLOOKUP(E5814,'Condensed Specialty Crosswalk'!$A$2:$C$106,3,FALSE),"")</f>
        <v/>
      </c>
    </row>
    <row r="5815" spans="5:7" ht="15" customHeight="1">
      <c r="E5815" s="49" t="str">
        <f>IFERROR(VLOOKUP(D5815,'taxonomy map'!$A$1:$C$107,2,FALSE),"")</f>
        <v/>
      </c>
      <c r="F5815" s="49" t="str">
        <f>IFERROR(VLOOKUP(E5815,'Condensed Specialty Crosswalk'!$A$2:$C$106,2,FALSE),"")</f>
        <v/>
      </c>
      <c r="G5815" s="49" t="str">
        <f>IFERROR(VLOOKUP(E5815,'Condensed Specialty Crosswalk'!$A$2:$C$106,3,FALSE),"")</f>
        <v/>
      </c>
    </row>
    <row r="5816" spans="5:7" ht="15" customHeight="1">
      <c r="E5816" s="49" t="str">
        <f>IFERROR(VLOOKUP(D5816,'taxonomy map'!$A$1:$C$107,2,FALSE),"")</f>
        <v/>
      </c>
      <c r="F5816" s="49" t="str">
        <f>IFERROR(VLOOKUP(E5816,'Condensed Specialty Crosswalk'!$A$2:$C$106,2,FALSE),"")</f>
        <v/>
      </c>
      <c r="G5816" s="49" t="str">
        <f>IFERROR(VLOOKUP(E5816,'Condensed Specialty Crosswalk'!$A$2:$C$106,3,FALSE),"")</f>
        <v/>
      </c>
    </row>
    <row r="5817" spans="5:7" ht="15" customHeight="1">
      <c r="E5817" s="49" t="str">
        <f>IFERROR(VLOOKUP(D5817,'taxonomy map'!$A$1:$C$107,2,FALSE),"")</f>
        <v/>
      </c>
      <c r="F5817" s="49" t="str">
        <f>IFERROR(VLOOKUP(E5817,'Condensed Specialty Crosswalk'!$A$2:$C$106,2,FALSE),"")</f>
        <v/>
      </c>
      <c r="G5817" s="49" t="str">
        <f>IFERROR(VLOOKUP(E5817,'Condensed Specialty Crosswalk'!$A$2:$C$106,3,FALSE),"")</f>
        <v/>
      </c>
    </row>
    <row r="5818" spans="5:7" ht="15" customHeight="1">
      <c r="E5818" s="49" t="str">
        <f>IFERROR(VLOOKUP(D5818,'taxonomy map'!$A$1:$C$107,2,FALSE),"")</f>
        <v/>
      </c>
      <c r="F5818" s="49" t="str">
        <f>IFERROR(VLOOKUP(E5818,'Condensed Specialty Crosswalk'!$A$2:$C$106,2,FALSE),"")</f>
        <v/>
      </c>
      <c r="G5818" s="49" t="str">
        <f>IFERROR(VLOOKUP(E5818,'Condensed Specialty Crosswalk'!$A$2:$C$106,3,FALSE),"")</f>
        <v/>
      </c>
    </row>
    <row r="5819" spans="5:7" ht="15" customHeight="1">
      <c r="E5819" s="49" t="str">
        <f>IFERROR(VLOOKUP(D5819,'taxonomy map'!$A$1:$C$107,2,FALSE),"")</f>
        <v/>
      </c>
      <c r="F5819" s="49" t="str">
        <f>IFERROR(VLOOKUP(E5819,'Condensed Specialty Crosswalk'!$A$2:$C$106,2,FALSE),"")</f>
        <v/>
      </c>
      <c r="G5819" s="49" t="str">
        <f>IFERROR(VLOOKUP(E5819,'Condensed Specialty Crosswalk'!$A$2:$C$106,3,FALSE),"")</f>
        <v/>
      </c>
    </row>
    <row r="5820" spans="5:7" ht="15" customHeight="1">
      <c r="E5820" s="49" t="str">
        <f>IFERROR(VLOOKUP(D5820,'taxonomy map'!$A$1:$C$107,2,FALSE),"")</f>
        <v/>
      </c>
      <c r="F5820" s="49" t="str">
        <f>IFERROR(VLOOKUP(E5820,'Condensed Specialty Crosswalk'!$A$2:$C$106,2,FALSE),"")</f>
        <v/>
      </c>
      <c r="G5820" s="49" t="str">
        <f>IFERROR(VLOOKUP(E5820,'Condensed Specialty Crosswalk'!$A$2:$C$106,3,FALSE),"")</f>
        <v/>
      </c>
    </row>
    <row r="5821" spans="5:7" ht="15" customHeight="1">
      <c r="E5821" s="49" t="str">
        <f>IFERROR(VLOOKUP(D5821,'taxonomy map'!$A$1:$C$107,2,FALSE),"")</f>
        <v/>
      </c>
      <c r="F5821" s="49" t="str">
        <f>IFERROR(VLOOKUP(E5821,'Condensed Specialty Crosswalk'!$A$2:$C$106,2,FALSE),"")</f>
        <v/>
      </c>
      <c r="G5821" s="49" t="str">
        <f>IFERROR(VLOOKUP(E5821,'Condensed Specialty Crosswalk'!$A$2:$C$106,3,FALSE),"")</f>
        <v/>
      </c>
    </row>
    <row r="5822" spans="5:7" ht="15" customHeight="1">
      <c r="E5822" s="49" t="str">
        <f>IFERROR(VLOOKUP(D5822,'taxonomy map'!$A$1:$C$107,2,FALSE),"")</f>
        <v/>
      </c>
      <c r="F5822" s="49" t="str">
        <f>IFERROR(VLOOKUP(E5822,'Condensed Specialty Crosswalk'!$A$2:$C$106,2,FALSE),"")</f>
        <v/>
      </c>
      <c r="G5822" s="49" t="str">
        <f>IFERROR(VLOOKUP(E5822,'Condensed Specialty Crosswalk'!$A$2:$C$106,3,FALSE),"")</f>
        <v/>
      </c>
    </row>
    <row r="5823" spans="5:7" ht="15" customHeight="1">
      <c r="E5823" s="49" t="str">
        <f>IFERROR(VLOOKUP(D5823,'taxonomy map'!$A$1:$C$107,2,FALSE),"")</f>
        <v/>
      </c>
      <c r="F5823" s="49" t="str">
        <f>IFERROR(VLOOKUP(E5823,'Condensed Specialty Crosswalk'!$A$2:$C$106,2,FALSE),"")</f>
        <v/>
      </c>
      <c r="G5823" s="49" t="str">
        <f>IFERROR(VLOOKUP(E5823,'Condensed Specialty Crosswalk'!$A$2:$C$106,3,FALSE),"")</f>
        <v/>
      </c>
    </row>
    <row r="5824" spans="5:7" ht="15" customHeight="1">
      <c r="E5824" s="49" t="str">
        <f>IFERROR(VLOOKUP(D5824,'taxonomy map'!$A$1:$C$107,2,FALSE),"")</f>
        <v/>
      </c>
      <c r="F5824" s="49" t="str">
        <f>IFERROR(VLOOKUP(E5824,'Condensed Specialty Crosswalk'!$A$2:$C$106,2,FALSE),"")</f>
        <v/>
      </c>
      <c r="G5824" s="49" t="str">
        <f>IFERROR(VLOOKUP(E5824,'Condensed Specialty Crosswalk'!$A$2:$C$106,3,FALSE),"")</f>
        <v/>
      </c>
    </row>
    <row r="5825" spans="5:7" ht="15" customHeight="1">
      <c r="E5825" s="49" t="str">
        <f>IFERROR(VLOOKUP(D5825,'taxonomy map'!$A$1:$C$107,2,FALSE),"")</f>
        <v/>
      </c>
      <c r="F5825" s="49" t="str">
        <f>IFERROR(VLOOKUP(E5825,'Condensed Specialty Crosswalk'!$A$2:$C$106,2,FALSE),"")</f>
        <v/>
      </c>
      <c r="G5825" s="49" t="str">
        <f>IFERROR(VLOOKUP(E5825,'Condensed Specialty Crosswalk'!$A$2:$C$106,3,FALSE),"")</f>
        <v/>
      </c>
    </row>
    <row r="5826" spans="5:7" ht="15" customHeight="1">
      <c r="E5826" s="49" t="str">
        <f>IFERROR(VLOOKUP(D5826,'taxonomy map'!$A$1:$C$107,2,FALSE),"")</f>
        <v/>
      </c>
      <c r="F5826" s="49" t="str">
        <f>IFERROR(VLOOKUP(E5826,'Condensed Specialty Crosswalk'!$A$2:$C$106,2,FALSE),"")</f>
        <v/>
      </c>
      <c r="G5826" s="49" t="str">
        <f>IFERROR(VLOOKUP(E5826,'Condensed Specialty Crosswalk'!$A$2:$C$106,3,FALSE),"")</f>
        <v/>
      </c>
    </row>
    <row r="5827" spans="5:7" ht="15" customHeight="1">
      <c r="E5827" s="49" t="str">
        <f>IFERROR(VLOOKUP(D5827,'taxonomy map'!$A$1:$C$107,2,FALSE),"")</f>
        <v/>
      </c>
      <c r="F5827" s="49" t="str">
        <f>IFERROR(VLOOKUP(E5827,'Condensed Specialty Crosswalk'!$A$2:$C$106,2,FALSE),"")</f>
        <v/>
      </c>
      <c r="G5827" s="49" t="str">
        <f>IFERROR(VLOOKUP(E5827,'Condensed Specialty Crosswalk'!$A$2:$C$106,3,FALSE),"")</f>
        <v/>
      </c>
    </row>
    <row r="5828" spans="5:7" ht="15" customHeight="1">
      <c r="E5828" s="49" t="str">
        <f>IFERROR(VLOOKUP(D5828,'taxonomy map'!$A$1:$C$107,2,FALSE),"")</f>
        <v/>
      </c>
      <c r="F5828" s="49" t="str">
        <f>IFERROR(VLOOKUP(E5828,'Condensed Specialty Crosswalk'!$A$2:$C$106,2,FALSE),"")</f>
        <v/>
      </c>
      <c r="G5828" s="49" t="str">
        <f>IFERROR(VLOOKUP(E5828,'Condensed Specialty Crosswalk'!$A$2:$C$106,3,FALSE),"")</f>
        <v/>
      </c>
    </row>
    <row r="5829" spans="5:7" ht="15" customHeight="1">
      <c r="E5829" s="49" t="str">
        <f>IFERROR(VLOOKUP(D5829,'taxonomy map'!$A$1:$C$107,2,FALSE),"")</f>
        <v/>
      </c>
      <c r="F5829" s="49" t="str">
        <f>IFERROR(VLOOKUP(E5829,'Condensed Specialty Crosswalk'!$A$2:$C$106,2,FALSE),"")</f>
        <v/>
      </c>
      <c r="G5829" s="49" t="str">
        <f>IFERROR(VLOOKUP(E5829,'Condensed Specialty Crosswalk'!$A$2:$C$106,3,FALSE),"")</f>
        <v/>
      </c>
    </row>
    <row r="5830" spans="5:7" ht="15" customHeight="1">
      <c r="E5830" s="49" t="str">
        <f>IFERROR(VLOOKUP(D5830,'taxonomy map'!$A$1:$C$107,2,FALSE),"")</f>
        <v/>
      </c>
      <c r="F5830" s="49" t="str">
        <f>IFERROR(VLOOKUP(E5830,'Condensed Specialty Crosswalk'!$A$2:$C$106,2,FALSE),"")</f>
        <v/>
      </c>
      <c r="G5830" s="49" t="str">
        <f>IFERROR(VLOOKUP(E5830,'Condensed Specialty Crosswalk'!$A$2:$C$106,3,FALSE),"")</f>
        <v/>
      </c>
    </row>
    <row r="5831" spans="5:7" ht="15" customHeight="1">
      <c r="E5831" s="49" t="str">
        <f>IFERROR(VLOOKUP(D5831,'taxonomy map'!$A$1:$C$107,2,FALSE),"")</f>
        <v/>
      </c>
      <c r="F5831" s="49" t="str">
        <f>IFERROR(VLOOKUP(E5831,'Condensed Specialty Crosswalk'!$A$2:$C$106,2,FALSE),"")</f>
        <v/>
      </c>
      <c r="G5831" s="49" t="str">
        <f>IFERROR(VLOOKUP(E5831,'Condensed Specialty Crosswalk'!$A$2:$C$106,3,FALSE),"")</f>
        <v/>
      </c>
    </row>
    <row r="5832" spans="5:7" ht="15" customHeight="1">
      <c r="E5832" s="49" t="str">
        <f>IFERROR(VLOOKUP(D5832,'taxonomy map'!$A$1:$C$107,2,FALSE),"")</f>
        <v/>
      </c>
      <c r="F5832" s="49" t="str">
        <f>IFERROR(VLOOKUP(E5832,'Condensed Specialty Crosswalk'!$A$2:$C$106,2,FALSE),"")</f>
        <v/>
      </c>
      <c r="G5832" s="49" t="str">
        <f>IFERROR(VLOOKUP(E5832,'Condensed Specialty Crosswalk'!$A$2:$C$106,3,FALSE),"")</f>
        <v/>
      </c>
    </row>
    <row r="5833" spans="5:7" ht="15" customHeight="1">
      <c r="E5833" s="49" t="str">
        <f>IFERROR(VLOOKUP(D5833,'taxonomy map'!$A$1:$C$107,2,FALSE),"")</f>
        <v/>
      </c>
      <c r="F5833" s="49" t="str">
        <f>IFERROR(VLOOKUP(E5833,'Condensed Specialty Crosswalk'!$A$2:$C$106,2,FALSE),"")</f>
        <v/>
      </c>
      <c r="G5833" s="49" t="str">
        <f>IFERROR(VLOOKUP(E5833,'Condensed Specialty Crosswalk'!$A$2:$C$106,3,FALSE),"")</f>
        <v/>
      </c>
    </row>
    <row r="5834" spans="5:7" ht="15" customHeight="1">
      <c r="E5834" s="49" t="str">
        <f>IFERROR(VLOOKUP(D5834,'taxonomy map'!$A$1:$C$107,2,FALSE),"")</f>
        <v/>
      </c>
      <c r="F5834" s="49" t="str">
        <f>IFERROR(VLOOKUP(E5834,'Condensed Specialty Crosswalk'!$A$2:$C$106,2,FALSE),"")</f>
        <v/>
      </c>
      <c r="G5834" s="49" t="str">
        <f>IFERROR(VLOOKUP(E5834,'Condensed Specialty Crosswalk'!$A$2:$C$106,3,FALSE),"")</f>
        <v/>
      </c>
    </row>
    <row r="5835" spans="5:7" ht="15" customHeight="1">
      <c r="E5835" s="49" t="str">
        <f>IFERROR(VLOOKUP(D5835,'taxonomy map'!$A$1:$C$107,2,FALSE),"")</f>
        <v/>
      </c>
      <c r="F5835" s="49" t="str">
        <f>IFERROR(VLOOKUP(E5835,'Condensed Specialty Crosswalk'!$A$2:$C$106,2,FALSE),"")</f>
        <v/>
      </c>
      <c r="G5835" s="49" t="str">
        <f>IFERROR(VLOOKUP(E5835,'Condensed Specialty Crosswalk'!$A$2:$C$106,3,FALSE),"")</f>
        <v/>
      </c>
    </row>
    <row r="5836" spans="5:7" ht="15" customHeight="1">
      <c r="E5836" s="49" t="str">
        <f>IFERROR(VLOOKUP(D5836,'taxonomy map'!$A$1:$C$107,2,FALSE),"")</f>
        <v/>
      </c>
      <c r="F5836" s="49" t="str">
        <f>IFERROR(VLOOKUP(E5836,'Condensed Specialty Crosswalk'!$A$2:$C$106,2,FALSE),"")</f>
        <v/>
      </c>
      <c r="G5836" s="49" t="str">
        <f>IFERROR(VLOOKUP(E5836,'Condensed Specialty Crosswalk'!$A$2:$C$106,3,FALSE),"")</f>
        <v/>
      </c>
    </row>
    <row r="5837" spans="5:7" ht="15" customHeight="1">
      <c r="E5837" s="49" t="str">
        <f>IFERROR(VLOOKUP(D5837,'taxonomy map'!$A$1:$C$107,2,FALSE),"")</f>
        <v/>
      </c>
      <c r="F5837" s="49" t="str">
        <f>IFERROR(VLOOKUP(E5837,'Condensed Specialty Crosswalk'!$A$2:$C$106,2,FALSE),"")</f>
        <v/>
      </c>
      <c r="G5837" s="49" t="str">
        <f>IFERROR(VLOOKUP(E5837,'Condensed Specialty Crosswalk'!$A$2:$C$106,3,FALSE),"")</f>
        <v/>
      </c>
    </row>
    <row r="5838" spans="5:7" ht="15" customHeight="1">
      <c r="E5838" s="49" t="str">
        <f>IFERROR(VLOOKUP(D5838,'taxonomy map'!$A$1:$C$107,2,FALSE),"")</f>
        <v/>
      </c>
      <c r="F5838" s="49" t="str">
        <f>IFERROR(VLOOKUP(E5838,'Condensed Specialty Crosswalk'!$A$2:$C$106,2,FALSE),"")</f>
        <v/>
      </c>
      <c r="G5838" s="49" t="str">
        <f>IFERROR(VLOOKUP(E5838,'Condensed Specialty Crosswalk'!$A$2:$C$106,3,FALSE),"")</f>
        <v/>
      </c>
    </row>
    <row r="5839" spans="5:7" ht="15" customHeight="1">
      <c r="E5839" s="49" t="str">
        <f>IFERROR(VLOOKUP(D5839,'taxonomy map'!$A$1:$C$107,2,FALSE),"")</f>
        <v/>
      </c>
      <c r="F5839" s="49" t="str">
        <f>IFERROR(VLOOKUP(E5839,'Condensed Specialty Crosswalk'!$A$2:$C$106,2,FALSE),"")</f>
        <v/>
      </c>
      <c r="G5839" s="49" t="str">
        <f>IFERROR(VLOOKUP(E5839,'Condensed Specialty Crosswalk'!$A$2:$C$106,3,FALSE),"")</f>
        <v/>
      </c>
    </row>
    <row r="5840" spans="5:7" ht="15" customHeight="1">
      <c r="E5840" s="49" t="str">
        <f>IFERROR(VLOOKUP(D5840,'taxonomy map'!$A$1:$C$107,2,FALSE),"")</f>
        <v/>
      </c>
      <c r="F5840" s="49" t="str">
        <f>IFERROR(VLOOKUP(E5840,'Condensed Specialty Crosswalk'!$A$2:$C$106,2,FALSE),"")</f>
        <v/>
      </c>
      <c r="G5840" s="49" t="str">
        <f>IFERROR(VLOOKUP(E5840,'Condensed Specialty Crosswalk'!$A$2:$C$106,3,FALSE),"")</f>
        <v/>
      </c>
    </row>
    <row r="5841" spans="5:7" ht="15" customHeight="1">
      <c r="E5841" s="49" t="str">
        <f>IFERROR(VLOOKUP(D5841,'taxonomy map'!$A$1:$C$107,2,FALSE),"")</f>
        <v/>
      </c>
      <c r="F5841" s="49" t="str">
        <f>IFERROR(VLOOKUP(E5841,'Condensed Specialty Crosswalk'!$A$2:$C$106,2,FALSE),"")</f>
        <v/>
      </c>
      <c r="G5841" s="49" t="str">
        <f>IFERROR(VLOOKUP(E5841,'Condensed Specialty Crosswalk'!$A$2:$C$106,3,FALSE),"")</f>
        <v/>
      </c>
    </row>
    <row r="5842" spans="5:7" ht="15" customHeight="1">
      <c r="E5842" s="49" t="str">
        <f>IFERROR(VLOOKUP(D5842,'taxonomy map'!$A$1:$C$107,2,FALSE),"")</f>
        <v/>
      </c>
      <c r="F5842" s="49" t="str">
        <f>IFERROR(VLOOKUP(E5842,'Condensed Specialty Crosswalk'!$A$2:$C$106,2,FALSE),"")</f>
        <v/>
      </c>
      <c r="G5842" s="49" t="str">
        <f>IFERROR(VLOOKUP(E5842,'Condensed Specialty Crosswalk'!$A$2:$C$106,3,FALSE),"")</f>
        <v/>
      </c>
    </row>
    <row r="5843" spans="5:7" ht="15" customHeight="1">
      <c r="E5843" s="49" t="str">
        <f>IFERROR(VLOOKUP(D5843,'taxonomy map'!$A$1:$C$107,2,FALSE),"")</f>
        <v/>
      </c>
      <c r="F5843" s="49" t="str">
        <f>IFERROR(VLOOKUP(E5843,'Condensed Specialty Crosswalk'!$A$2:$C$106,2,FALSE),"")</f>
        <v/>
      </c>
      <c r="G5843" s="49" t="str">
        <f>IFERROR(VLOOKUP(E5843,'Condensed Specialty Crosswalk'!$A$2:$C$106,3,FALSE),"")</f>
        <v/>
      </c>
    </row>
    <row r="5844" spans="5:7" ht="15" customHeight="1">
      <c r="E5844" s="49" t="str">
        <f>IFERROR(VLOOKUP(D5844,'taxonomy map'!$A$1:$C$107,2,FALSE),"")</f>
        <v/>
      </c>
      <c r="F5844" s="49" t="str">
        <f>IFERROR(VLOOKUP(E5844,'Condensed Specialty Crosswalk'!$A$2:$C$106,2,FALSE),"")</f>
        <v/>
      </c>
      <c r="G5844" s="49" t="str">
        <f>IFERROR(VLOOKUP(E5844,'Condensed Specialty Crosswalk'!$A$2:$C$106,3,FALSE),"")</f>
        <v/>
      </c>
    </row>
    <row r="5845" spans="5:7" ht="15" customHeight="1">
      <c r="E5845" s="49" t="str">
        <f>IFERROR(VLOOKUP(D5845,'taxonomy map'!$A$1:$C$107,2,FALSE),"")</f>
        <v/>
      </c>
      <c r="F5845" s="49" t="str">
        <f>IFERROR(VLOOKUP(E5845,'Condensed Specialty Crosswalk'!$A$2:$C$106,2,FALSE),"")</f>
        <v/>
      </c>
      <c r="G5845" s="49" t="str">
        <f>IFERROR(VLOOKUP(E5845,'Condensed Specialty Crosswalk'!$A$2:$C$106,3,FALSE),"")</f>
        <v/>
      </c>
    </row>
    <row r="5846" spans="5:7" ht="15" customHeight="1">
      <c r="E5846" s="49" t="str">
        <f>IFERROR(VLOOKUP(D5846,'taxonomy map'!$A$1:$C$107,2,FALSE),"")</f>
        <v/>
      </c>
      <c r="F5846" s="49" t="str">
        <f>IFERROR(VLOOKUP(E5846,'Condensed Specialty Crosswalk'!$A$2:$C$106,2,FALSE),"")</f>
        <v/>
      </c>
      <c r="G5846" s="49" t="str">
        <f>IFERROR(VLOOKUP(E5846,'Condensed Specialty Crosswalk'!$A$2:$C$106,3,FALSE),"")</f>
        <v/>
      </c>
    </row>
    <row r="5847" spans="5:7" ht="15" customHeight="1">
      <c r="E5847" s="49" t="str">
        <f>IFERROR(VLOOKUP(D5847,'taxonomy map'!$A$1:$C$107,2,FALSE),"")</f>
        <v/>
      </c>
      <c r="F5847" s="49" t="str">
        <f>IFERROR(VLOOKUP(E5847,'Condensed Specialty Crosswalk'!$A$2:$C$106,2,FALSE),"")</f>
        <v/>
      </c>
      <c r="G5847" s="49" t="str">
        <f>IFERROR(VLOOKUP(E5847,'Condensed Specialty Crosswalk'!$A$2:$C$106,3,FALSE),"")</f>
        <v/>
      </c>
    </row>
    <row r="5848" spans="5:7" ht="15" customHeight="1">
      <c r="E5848" s="49" t="str">
        <f>IFERROR(VLOOKUP(D5848,'taxonomy map'!$A$1:$C$107,2,FALSE),"")</f>
        <v/>
      </c>
      <c r="F5848" s="49" t="str">
        <f>IFERROR(VLOOKUP(E5848,'Condensed Specialty Crosswalk'!$A$2:$C$106,2,FALSE),"")</f>
        <v/>
      </c>
      <c r="G5848" s="49" t="str">
        <f>IFERROR(VLOOKUP(E5848,'Condensed Specialty Crosswalk'!$A$2:$C$106,3,FALSE),"")</f>
        <v/>
      </c>
    </row>
    <row r="5849" spans="5:7" ht="15" customHeight="1">
      <c r="E5849" s="49" t="str">
        <f>IFERROR(VLOOKUP(D5849,'taxonomy map'!$A$1:$C$107,2,FALSE),"")</f>
        <v/>
      </c>
      <c r="F5849" s="49" t="str">
        <f>IFERROR(VLOOKUP(E5849,'Condensed Specialty Crosswalk'!$A$2:$C$106,2,FALSE),"")</f>
        <v/>
      </c>
      <c r="G5849" s="49" t="str">
        <f>IFERROR(VLOOKUP(E5849,'Condensed Specialty Crosswalk'!$A$2:$C$106,3,FALSE),"")</f>
        <v/>
      </c>
    </row>
    <row r="5850" spans="5:7" ht="15" customHeight="1">
      <c r="E5850" s="49" t="str">
        <f>IFERROR(VLOOKUP(D5850,'taxonomy map'!$A$1:$C$107,2,FALSE),"")</f>
        <v/>
      </c>
      <c r="F5850" s="49" t="str">
        <f>IFERROR(VLOOKUP(E5850,'Condensed Specialty Crosswalk'!$A$2:$C$106,2,FALSE),"")</f>
        <v/>
      </c>
      <c r="G5850" s="49" t="str">
        <f>IFERROR(VLOOKUP(E5850,'Condensed Specialty Crosswalk'!$A$2:$C$106,3,FALSE),"")</f>
        <v/>
      </c>
    </row>
    <row r="5851" spans="5:7" ht="15" customHeight="1">
      <c r="E5851" s="49" t="str">
        <f>IFERROR(VLOOKUP(D5851,'taxonomy map'!$A$1:$C$107,2,FALSE),"")</f>
        <v/>
      </c>
      <c r="F5851" s="49" t="str">
        <f>IFERROR(VLOOKUP(E5851,'Condensed Specialty Crosswalk'!$A$2:$C$106,2,FALSE),"")</f>
        <v/>
      </c>
      <c r="G5851" s="49" t="str">
        <f>IFERROR(VLOOKUP(E5851,'Condensed Specialty Crosswalk'!$A$2:$C$106,3,FALSE),"")</f>
        <v/>
      </c>
    </row>
    <row r="5852" spans="5:7" ht="15" customHeight="1">
      <c r="E5852" s="49" t="str">
        <f>IFERROR(VLOOKUP(D5852,'taxonomy map'!$A$1:$C$107,2,FALSE),"")</f>
        <v/>
      </c>
      <c r="F5852" s="49" t="str">
        <f>IFERROR(VLOOKUP(E5852,'Condensed Specialty Crosswalk'!$A$2:$C$106,2,FALSE),"")</f>
        <v/>
      </c>
      <c r="G5852" s="49" t="str">
        <f>IFERROR(VLOOKUP(E5852,'Condensed Specialty Crosswalk'!$A$2:$C$106,3,FALSE),"")</f>
        <v/>
      </c>
    </row>
    <row r="5853" spans="5:7" ht="15" customHeight="1">
      <c r="E5853" s="49" t="str">
        <f>IFERROR(VLOOKUP(D5853,'taxonomy map'!$A$1:$C$107,2,FALSE),"")</f>
        <v/>
      </c>
      <c r="F5853" s="49" t="str">
        <f>IFERROR(VLOOKUP(E5853,'Condensed Specialty Crosswalk'!$A$2:$C$106,2,FALSE),"")</f>
        <v/>
      </c>
      <c r="G5853" s="49" t="str">
        <f>IFERROR(VLOOKUP(E5853,'Condensed Specialty Crosswalk'!$A$2:$C$106,3,FALSE),"")</f>
        <v/>
      </c>
    </row>
    <row r="5854" spans="5:7" ht="15" customHeight="1">
      <c r="E5854" s="49" t="str">
        <f>IFERROR(VLOOKUP(D5854,'taxonomy map'!$A$1:$C$107,2,FALSE),"")</f>
        <v/>
      </c>
      <c r="F5854" s="49" t="str">
        <f>IFERROR(VLOOKUP(E5854,'Condensed Specialty Crosswalk'!$A$2:$C$106,2,FALSE),"")</f>
        <v/>
      </c>
      <c r="G5854" s="49" t="str">
        <f>IFERROR(VLOOKUP(E5854,'Condensed Specialty Crosswalk'!$A$2:$C$106,3,FALSE),"")</f>
        <v/>
      </c>
    </row>
    <row r="5855" spans="5:7" ht="15" customHeight="1">
      <c r="E5855" s="49" t="str">
        <f>IFERROR(VLOOKUP(D5855,'taxonomy map'!$A$1:$C$107,2,FALSE),"")</f>
        <v/>
      </c>
      <c r="F5855" s="49" t="str">
        <f>IFERROR(VLOOKUP(E5855,'Condensed Specialty Crosswalk'!$A$2:$C$106,2,FALSE),"")</f>
        <v/>
      </c>
      <c r="G5855" s="49" t="str">
        <f>IFERROR(VLOOKUP(E5855,'Condensed Specialty Crosswalk'!$A$2:$C$106,3,FALSE),"")</f>
        <v/>
      </c>
    </row>
    <row r="5856" spans="5:7" ht="15" customHeight="1">
      <c r="E5856" s="49" t="str">
        <f>IFERROR(VLOOKUP(D5856,'taxonomy map'!$A$1:$C$107,2,FALSE),"")</f>
        <v/>
      </c>
      <c r="F5856" s="49" t="str">
        <f>IFERROR(VLOOKUP(E5856,'Condensed Specialty Crosswalk'!$A$2:$C$106,2,FALSE),"")</f>
        <v/>
      </c>
      <c r="G5856" s="49" t="str">
        <f>IFERROR(VLOOKUP(E5856,'Condensed Specialty Crosswalk'!$A$2:$C$106,3,FALSE),"")</f>
        <v/>
      </c>
    </row>
    <row r="5857" spans="5:7" ht="15" customHeight="1">
      <c r="E5857" s="49" t="str">
        <f>IFERROR(VLOOKUP(D5857,'taxonomy map'!$A$1:$C$107,2,FALSE),"")</f>
        <v/>
      </c>
      <c r="F5857" s="49" t="str">
        <f>IFERROR(VLOOKUP(E5857,'Condensed Specialty Crosswalk'!$A$2:$C$106,2,FALSE),"")</f>
        <v/>
      </c>
      <c r="G5857" s="49" t="str">
        <f>IFERROR(VLOOKUP(E5857,'Condensed Specialty Crosswalk'!$A$2:$C$106,3,FALSE),"")</f>
        <v/>
      </c>
    </row>
    <row r="5858" spans="5:7" ht="15" customHeight="1">
      <c r="E5858" s="49" t="str">
        <f>IFERROR(VLOOKUP(D5858,'taxonomy map'!$A$1:$C$107,2,FALSE),"")</f>
        <v/>
      </c>
      <c r="F5858" s="49" t="str">
        <f>IFERROR(VLOOKUP(E5858,'Condensed Specialty Crosswalk'!$A$2:$C$106,2,FALSE),"")</f>
        <v/>
      </c>
      <c r="G5858" s="49" t="str">
        <f>IFERROR(VLOOKUP(E5858,'Condensed Specialty Crosswalk'!$A$2:$C$106,3,FALSE),"")</f>
        <v/>
      </c>
    </row>
    <row r="5859" spans="5:7" ht="15" customHeight="1">
      <c r="E5859" s="49" t="str">
        <f>IFERROR(VLOOKUP(D5859,'taxonomy map'!$A$1:$C$107,2,FALSE),"")</f>
        <v/>
      </c>
      <c r="F5859" s="49" t="str">
        <f>IFERROR(VLOOKUP(E5859,'Condensed Specialty Crosswalk'!$A$2:$C$106,2,FALSE),"")</f>
        <v/>
      </c>
      <c r="G5859" s="49" t="str">
        <f>IFERROR(VLOOKUP(E5859,'Condensed Specialty Crosswalk'!$A$2:$C$106,3,FALSE),"")</f>
        <v/>
      </c>
    </row>
    <row r="5860" spans="5:7" ht="15" customHeight="1">
      <c r="E5860" s="49" t="str">
        <f>IFERROR(VLOOKUP(D5860,'taxonomy map'!$A$1:$C$107,2,FALSE),"")</f>
        <v/>
      </c>
      <c r="F5860" s="49" t="str">
        <f>IFERROR(VLOOKUP(E5860,'Condensed Specialty Crosswalk'!$A$2:$C$106,2,FALSE),"")</f>
        <v/>
      </c>
      <c r="G5860" s="49" t="str">
        <f>IFERROR(VLOOKUP(E5860,'Condensed Specialty Crosswalk'!$A$2:$C$106,3,FALSE),"")</f>
        <v/>
      </c>
    </row>
    <row r="5861" spans="5:7" ht="15" customHeight="1">
      <c r="E5861" s="49" t="str">
        <f>IFERROR(VLOOKUP(D5861,'taxonomy map'!$A$1:$C$107,2,FALSE),"")</f>
        <v/>
      </c>
      <c r="F5861" s="49" t="str">
        <f>IFERROR(VLOOKUP(E5861,'Condensed Specialty Crosswalk'!$A$2:$C$106,2,FALSE),"")</f>
        <v/>
      </c>
      <c r="G5861" s="49" t="str">
        <f>IFERROR(VLOOKUP(E5861,'Condensed Specialty Crosswalk'!$A$2:$C$106,3,FALSE),"")</f>
        <v/>
      </c>
    </row>
    <row r="5862" spans="5:7" ht="15" customHeight="1">
      <c r="E5862" s="49" t="str">
        <f>IFERROR(VLOOKUP(D5862,'taxonomy map'!$A$1:$C$107,2,FALSE),"")</f>
        <v/>
      </c>
      <c r="F5862" s="49" t="str">
        <f>IFERROR(VLOOKUP(E5862,'Condensed Specialty Crosswalk'!$A$2:$C$106,2,FALSE),"")</f>
        <v/>
      </c>
      <c r="G5862" s="49" t="str">
        <f>IFERROR(VLOOKUP(E5862,'Condensed Specialty Crosswalk'!$A$2:$C$106,3,FALSE),"")</f>
        <v/>
      </c>
    </row>
    <row r="5863" spans="5:7" ht="15" customHeight="1">
      <c r="E5863" s="49" t="str">
        <f>IFERROR(VLOOKUP(D5863,'taxonomy map'!$A$1:$C$107,2,FALSE),"")</f>
        <v/>
      </c>
      <c r="F5863" s="49" t="str">
        <f>IFERROR(VLOOKUP(E5863,'Condensed Specialty Crosswalk'!$A$2:$C$106,2,FALSE),"")</f>
        <v/>
      </c>
      <c r="G5863" s="49" t="str">
        <f>IFERROR(VLOOKUP(E5863,'Condensed Specialty Crosswalk'!$A$2:$C$106,3,FALSE),"")</f>
        <v/>
      </c>
    </row>
    <row r="5864" spans="5:7" ht="15" customHeight="1">
      <c r="E5864" s="49" t="str">
        <f>IFERROR(VLOOKUP(D5864,'taxonomy map'!$A$1:$C$107,2,FALSE),"")</f>
        <v/>
      </c>
      <c r="F5864" s="49" t="str">
        <f>IFERROR(VLOOKUP(E5864,'Condensed Specialty Crosswalk'!$A$2:$C$106,2,FALSE),"")</f>
        <v/>
      </c>
      <c r="G5864" s="49" t="str">
        <f>IFERROR(VLOOKUP(E5864,'Condensed Specialty Crosswalk'!$A$2:$C$106,3,FALSE),"")</f>
        <v/>
      </c>
    </row>
    <row r="5865" spans="5:7" ht="15" customHeight="1">
      <c r="E5865" s="49" t="str">
        <f>IFERROR(VLOOKUP(D5865,'taxonomy map'!$A$1:$C$107,2,FALSE),"")</f>
        <v/>
      </c>
      <c r="F5865" s="49" t="str">
        <f>IFERROR(VLOOKUP(E5865,'Condensed Specialty Crosswalk'!$A$2:$C$106,2,FALSE),"")</f>
        <v/>
      </c>
      <c r="G5865" s="49" t="str">
        <f>IFERROR(VLOOKUP(E5865,'Condensed Specialty Crosswalk'!$A$2:$C$106,3,FALSE),"")</f>
        <v/>
      </c>
    </row>
    <row r="5866" spans="5:7" ht="15" customHeight="1">
      <c r="E5866" s="49" t="str">
        <f>IFERROR(VLOOKUP(D5866,'taxonomy map'!$A$1:$C$107,2,FALSE),"")</f>
        <v/>
      </c>
      <c r="F5866" s="49" t="str">
        <f>IFERROR(VLOOKUP(E5866,'Condensed Specialty Crosswalk'!$A$2:$C$106,2,FALSE),"")</f>
        <v/>
      </c>
      <c r="G5866" s="49" t="str">
        <f>IFERROR(VLOOKUP(E5866,'Condensed Specialty Crosswalk'!$A$2:$C$106,3,FALSE),"")</f>
        <v/>
      </c>
    </row>
    <row r="5867" spans="5:7" ht="15" customHeight="1">
      <c r="E5867" s="49" t="str">
        <f>IFERROR(VLOOKUP(D5867,'taxonomy map'!$A$1:$C$107,2,FALSE),"")</f>
        <v/>
      </c>
      <c r="F5867" s="49" t="str">
        <f>IFERROR(VLOOKUP(E5867,'Condensed Specialty Crosswalk'!$A$2:$C$106,2,FALSE),"")</f>
        <v/>
      </c>
      <c r="G5867" s="49" t="str">
        <f>IFERROR(VLOOKUP(E5867,'Condensed Specialty Crosswalk'!$A$2:$C$106,3,FALSE),"")</f>
        <v/>
      </c>
    </row>
    <row r="5868" spans="5:7" ht="15" customHeight="1">
      <c r="E5868" s="49" t="str">
        <f>IFERROR(VLOOKUP(D5868,'taxonomy map'!$A$1:$C$107,2,FALSE),"")</f>
        <v/>
      </c>
      <c r="F5868" s="49" t="str">
        <f>IFERROR(VLOOKUP(E5868,'Condensed Specialty Crosswalk'!$A$2:$C$106,2,FALSE),"")</f>
        <v/>
      </c>
      <c r="G5868" s="49" t="str">
        <f>IFERROR(VLOOKUP(E5868,'Condensed Specialty Crosswalk'!$A$2:$C$106,3,FALSE),"")</f>
        <v/>
      </c>
    </row>
    <row r="5869" spans="5:7" ht="15" customHeight="1">
      <c r="E5869" s="49" t="str">
        <f>IFERROR(VLOOKUP(D5869,'taxonomy map'!$A$1:$C$107,2,FALSE),"")</f>
        <v/>
      </c>
      <c r="F5869" s="49" t="str">
        <f>IFERROR(VLOOKUP(E5869,'Condensed Specialty Crosswalk'!$A$2:$C$106,2,FALSE),"")</f>
        <v/>
      </c>
      <c r="G5869" s="49" t="str">
        <f>IFERROR(VLOOKUP(E5869,'Condensed Specialty Crosswalk'!$A$2:$C$106,3,FALSE),"")</f>
        <v/>
      </c>
    </row>
    <row r="5870" spans="5:7" ht="15" customHeight="1">
      <c r="E5870" s="49" t="str">
        <f>IFERROR(VLOOKUP(D5870,'taxonomy map'!$A$1:$C$107,2,FALSE),"")</f>
        <v/>
      </c>
      <c r="F5870" s="49" t="str">
        <f>IFERROR(VLOOKUP(E5870,'Condensed Specialty Crosswalk'!$A$2:$C$106,2,FALSE),"")</f>
        <v/>
      </c>
      <c r="G5870" s="49" t="str">
        <f>IFERROR(VLOOKUP(E5870,'Condensed Specialty Crosswalk'!$A$2:$C$106,3,FALSE),"")</f>
        <v/>
      </c>
    </row>
    <row r="5871" spans="5:7" ht="15" customHeight="1">
      <c r="E5871" s="49" t="str">
        <f>IFERROR(VLOOKUP(D5871,'taxonomy map'!$A$1:$C$107,2,FALSE),"")</f>
        <v/>
      </c>
      <c r="F5871" s="49" t="str">
        <f>IFERROR(VLOOKUP(E5871,'Condensed Specialty Crosswalk'!$A$2:$C$106,2,FALSE),"")</f>
        <v/>
      </c>
      <c r="G5871" s="49" t="str">
        <f>IFERROR(VLOOKUP(E5871,'Condensed Specialty Crosswalk'!$A$2:$C$106,3,FALSE),"")</f>
        <v/>
      </c>
    </row>
    <row r="5872" spans="5:7" ht="15" customHeight="1">
      <c r="E5872" s="49" t="str">
        <f>IFERROR(VLOOKUP(D5872,'taxonomy map'!$A$1:$C$107,2,FALSE),"")</f>
        <v/>
      </c>
      <c r="F5872" s="49" t="str">
        <f>IFERROR(VLOOKUP(E5872,'Condensed Specialty Crosswalk'!$A$2:$C$106,2,FALSE),"")</f>
        <v/>
      </c>
      <c r="G5872" s="49" t="str">
        <f>IFERROR(VLOOKUP(E5872,'Condensed Specialty Crosswalk'!$A$2:$C$106,3,FALSE),"")</f>
        <v/>
      </c>
    </row>
    <row r="5873" spans="5:7" ht="15" customHeight="1">
      <c r="E5873" s="49" t="str">
        <f>IFERROR(VLOOKUP(D5873,'taxonomy map'!$A$1:$C$107,2,FALSE),"")</f>
        <v/>
      </c>
      <c r="F5873" s="49" t="str">
        <f>IFERROR(VLOOKUP(E5873,'Condensed Specialty Crosswalk'!$A$2:$C$106,2,FALSE),"")</f>
        <v/>
      </c>
      <c r="G5873" s="49" t="str">
        <f>IFERROR(VLOOKUP(E5873,'Condensed Specialty Crosswalk'!$A$2:$C$106,3,FALSE),"")</f>
        <v/>
      </c>
    </row>
    <row r="5874" spans="5:7" ht="15" customHeight="1">
      <c r="E5874" s="49" t="str">
        <f>IFERROR(VLOOKUP(D5874,'taxonomy map'!$A$1:$C$107,2,FALSE),"")</f>
        <v/>
      </c>
      <c r="F5874" s="49" t="str">
        <f>IFERROR(VLOOKUP(E5874,'Condensed Specialty Crosswalk'!$A$2:$C$106,2,FALSE),"")</f>
        <v/>
      </c>
      <c r="G5874" s="49" t="str">
        <f>IFERROR(VLOOKUP(E5874,'Condensed Specialty Crosswalk'!$A$2:$C$106,3,FALSE),"")</f>
        <v/>
      </c>
    </row>
    <row r="5875" spans="5:7" ht="15" customHeight="1">
      <c r="E5875" s="49" t="str">
        <f>IFERROR(VLOOKUP(D5875,'taxonomy map'!$A$1:$C$107,2,FALSE),"")</f>
        <v/>
      </c>
      <c r="F5875" s="49" t="str">
        <f>IFERROR(VLOOKUP(E5875,'Condensed Specialty Crosswalk'!$A$2:$C$106,2,FALSE),"")</f>
        <v/>
      </c>
      <c r="G5875" s="49" t="str">
        <f>IFERROR(VLOOKUP(E5875,'Condensed Specialty Crosswalk'!$A$2:$C$106,3,FALSE),"")</f>
        <v/>
      </c>
    </row>
    <row r="5876" spans="5:7" ht="15" customHeight="1">
      <c r="E5876" s="49" t="str">
        <f>IFERROR(VLOOKUP(D5876,'taxonomy map'!$A$1:$C$107,2,FALSE),"")</f>
        <v/>
      </c>
      <c r="F5876" s="49" t="str">
        <f>IFERROR(VLOOKUP(E5876,'Condensed Specialty Crosswalk'!$A$2:$C$106,2,FALSE),"")</f>
        <v/>
      </c>
      <c r="G5876" s="49" t="str">
        <f>IFERROR(VLOOKUP(E5876,'Condensed Specialty Crosswalk'!$A$2:$C$106,3,FALSE),"")</f>
        <v/>
      </c>
    </row>
    <row r="5877" spans="5:7" ht="15" customHeight="1">
      <c r="E5877" s="49" t="str">
        <f>IFERROR(VLOOKUP(D5877,'taxonomy map'!$A$1:$C$107,2,FALSE),"")</f>
        <v/>
      </c>
      <c r="F5877" s="49" t="str">
        <f>IFERROR(VLOOKUP(E5877,'Condensed Specialty Crosswalk'!$A$2:$C$106,2,FALSE),"")</f>
        <v/>
      </c>
      <c r="G5877" s="49" t="str">
        <f>IFERROR(VLOOKUP(E5877,'Condensed Specialty Crosswalk'!$A$2:$C$106,3,FALSE),"")</f>
        <v/>
      </c>
    </row>
    <row r="5878" spans="5:7" ht="15" customHeight="1">
      <c r="E5878" s="49" t="str">
        <f>IFERROR(VLOOKUP(D5878,'taxonomy map'!$A$1:$C$107,2,FALSE),"")</f>
        <v/>
      </c>
      <c r="F5878" s="49" t="str">
        <f>IFERROR(VLOOKUP(E5878,'Condensed Specialty Crosswalk'!$A$2:$C$106,2,FALSE),"")</f>
        <v/>
      </c>
      <c r="G5878" s="49" t="str">
        <f>IFERROR(VLOOKUP(E5878,'Condensed Specialty Crosswalk'!$A$2:$C$106,3,FALSE),"")</f>
        <v/>
      </c>
    </row>
    <row r="5879" spans="5:7" ht="15" customHeight="1">
      <c r="E5879" s="49" t="str">
        <f>IFERROR(VLOOKUP(D5879,'taxonomy map'!$A$1:$C$107,2,FALSE),"")</f>
        <v/>
      </c>
      <c r="F5879" s="49" t="str">
        <f>IFERROR(VLOOKUP(E5879,'Condensed Specialty Crosswalk'!$A$2:$C$106,2,FALSE),"")</f>
        <v/>
      </c>
      <c r="G5879" s="49" t="str">
        <f>IFERROR(VLOOKUP(E5879,'Condensed Specialty Crosswalk'!$A$2:$C$106,3,FALSE),"")</f>
        <v/>
      </c>
    </row>
    <row r="5880" spans="5:7" ht="15" customHeight="1">
      <c r="E5880" s="49" t="str">
        <f>IFERROR(VLOOKUP(D5880,'taxonomy map'!$A$1:$C$107,2,FALSE),"")</f>
        <v/>
      </c>
      <c r="F5880" s="49" t="str">
        <f>IFERROR(VLOOKUP(E5880,'Condensed Specialty Crosswalk'!$A$2:$C$106,2,FALSE),"")</f>
        <v/>
      </c>
      <c r="G5880" s="49" t="str">
        <f>IFERROR(VLOOKUP(E5880,'Condensed Specialty Crosswalk'!$A$2:$C$106,3,FALSE),"")</f>
        <v/>
      </c>
    </row>
    <row r="5881" spans="5:7" ht="15" customHeight="1">
      <c r="E5881" s="49" t="str">
        <f>IFERROR(VLOOKUP(D5881,'taxonomy map'!$A$1:$C$107,2,FALSE),"")</f>
        <v/>
      </c>
      <c r="F5881" s="49" t="str">
        <f>IFERROR(VLOOKUP(E5881,'Condensed Specialty Crosswalk'!$A$2:$C$106,2,FALSE),"")</f>
        <v/>
      </c>
      <c r="G5881" s="49" t="str">
        <f>IFERROR(VLOOKUP(E5881,'Condensed Specialty Crosswalk'!$A$2:$C$106,3,FALSE),"")</f>
        <v/>
      </c>
    </row>
    <row r="5882" spans="5:7" ht="15" customHeight="1">
      <c r="E5882" s="49" t="str">
        <f>IFERROR(VLOOKUP(D5882,'taxonomy map'!$A$1:$C$107,2,FALSE),"")</f>
        <v/>
      </c>
      <c r="F5882" s="49" t="str">
        <f>IFERROR(VLOOKUP(E5882,'Condensed Specialty Crosswalk'!$A$2:$C$106,2,FALSE),"")</f>
        <v/>
      </c>
      <c r="G5882" s="49" t="str">
        <f>IFERROR(VLOOKUP(E5882,'Condensed Specialty Crosswalk'!$A$2:$C$106,3,FALSE),"")</f>
        <v/>
      </c>
    </row>
    <row r="5883" spans="5:7" ht="15" customHeight="1">
      <c r="E5883" s="49" t="str">
        <f>IFERROR(VLOOKUP(D5883,'taxonomy map'!$A$1:$C$107,2,FALSE),"")</f>
        <v/>
      </c>
      <c r="F5883" s="49" t="str">
        <f>IFERROR(VLOOKUP(E5883,'Condensed Specialty Crosswalk'!$A$2:$C$106,2,FALSE),"")</f>
        <v/>
      </c>
      <c r="G5883" s="49" t="str">
        <f>IFERROR(VLOOKUP(E5883,'Condensed Specialty Crosswalk'!$A$2:$C$106,3,FALSE),"")</f>
        <v/>
      </c>
    </row>
    <row r="5884" spans="5:7" ht="15" customHeight="1">
      <c r="E5884" s="49" t="str">
        <f>IFERROR(VLOOKUP(D5884,'taxonomy map'!$A$1:$C$107,2,FALSE),"")</f>
        <v/>
      </c>
      <c r="F5884" s="49" t="str">
        <f>IFERROR(VLOOKUP(E5884,'Condensed Specialty Crosswalk'!$A$2:$C$106,2,FALSE),"")</f>
        <v/>
      </c>
      <c r="G5884" s="49" t="str">
        <f>IFERROR(VLOOKUP(E5884,'Condensed Specialty Crosswalk'!$A$2:$C$106,3,FALSE),"")</f>
        <v/>
      </c>
    </row>
    <row r="5885" spans="5:7" ht="15" customHeight="1">
      <c r="E5885" s="49" t="str">
        <f>IFERROR(VLOOKUP(D5885,'taxonomy map'!$A$1:$C$107,2,FALSE),"")</f>
        <v/>
      </c>
      <c r="F5885" s="49" t="str">
        <f>IFERROR(VLOOKUP(E5885,'Condensed Specialty Crosswalk'!$A$2:$C$106,2,FALSE),"")</f>
        <v/>
      </c>
      <c r="G5885" s="49" t="str">
        <f>IFERROR(VLOOKUP(E5885,'Condensed Specialty Crosswalk'!$A$2:$C$106,3,FALSE),"")</f>
        <v/>
      </c>
    </row>
    <row r="5886" spans="5:7" ht="15" customHeight="1">
      <c r="E5886" s="49" t="str">
        <f>IFERROR(VLOOKUP(D5886,'taxonomy map'!$A$1:$C$107,2,FALSE),"")</f>
        <v/>
      </c>
      <c r="F5886" s="49" t="str">
        <f>IFERROR(VLOOKUP(E5886,'Condensed Specialty Crosswalk'!$A$2:$C$106,2,FALSE),"")</f>
        <v/>
      </c>
      <c r="G5886" s="49" t="str">
        <f>IFERROR(VLOOKUP(E5886,'Condensed Specialty Crosswalk'!$A$2:$C$106,3,FALSE),"")</f>
        <v/>
      </c>
    </row>
    <row r="5887" spans="5:7" ht="15" customHeight="1">
      <c r="E5887" s="49" t="str">
        <f>IFERROR(VLOOKUP(D5887,'taxonomy map'!$A$1:$C$107,2,FALSE),"")</f>
        <v/>
      </c>
      <c r="F5887" s="49" t="str">
        <f>IFERROR(VLOOKUP(E5887,'Condensed Specialty Crosswalk'!$A$2:$C$106,2,FALSE),"")</f>
        <v/>
      </c>
      <c r="G5887" s="49" t="str">
        <f>IFERROR(VLOOKUP(E5887,'Condensed Specialty Crosswalk'!$A$2:$C$106,3,FALSE),"")</f>
        <v/>
      </c>
    </row>
    <row r="5888" spans="5:7" ht="15" customHeight="1">
      <c r="E5888" s="49" t="str">
        <f>IFERROR(VLOOKUP(D5888,'taxonomy map'!$A$1:$C$107,2,FALSE),"")</f>
        <v/>
      </c>
      <c r="F5888" s="49" t="str">
        <f>IFERROR(VLOOKUP(E5888,'Condensed Specialty Crosswalk'!$A$2:$C$106,2,FALSE),"")</f>
        <v/>
      </c>
      <c r="G5888" s="49" t="str">
        <f>IFERROR(VLOOKUP(E5888,'Condensed Specialty Crosswalk'!$A$2:$C$106,3,FALSE),"")</f>
        <v/>
      </c>
    </row>
    <row r="5889" spans="5:7" ht="15" customHeight="1">
      <c r="E5889" s="49" t="str">
        <f>IFERROR(VLOOKUP(D5889,'taxonomy map'!$A$1:$C$107,2,FALSE),"")</f>
        <v/>
      </c>
      <c r="F5889" s="49" t="str">
        <f>IFERROR(VLOOKUP(E5889,'Condensed Specialty Crosswalk'!$A$2:$C$106,2,FALSE),"")</f>
        <v/>
      </c>
      <c r="G5889" s="49" t="str">
        <f>IFERROR(VLOOKUP(E5889,'Condensed Specialty Crosswalk'!$A$2:$C$106,3,FALSE),"")</f>
        <v/>
      </c>
    </row>
    <row r="5890" spans="5:7" ht="15" customHeight="1">
      <c r="E5890" s="49" t="str">
        <f>IFERROR(VLOOKUP(D5890,'taxonomy map'!$A$1:$C$107,2,FALSE),"")</f>
        <v/>
      </c>
      <c r="F5890" s="49" t="str">
        <f>IFERROR(VLOOKUP(E5890,'Condensed Specialty Crosswalk'!$A$2:$C$106,2,FALSE),"")</f>
        <v/>
      </c>
      <c r="G5890" s="49" t="str">
        <f>IFERROR(VLOOKUP(E5890,'Condensed Specialty Crosswalk'!$A$2:$C$106,3,FALSE),"")</f>
        <v/>
      </c>
    </row>
    <row r="5891" spans="5:7" ht="15" customHeight="1">
      <c r="E5891" s="49" t="str">
        <f>IFERROR(VLOOKUP(D5891,'taxonomy map'!$A$1:$C$107,2,FALSE),"")</f>
        <v/>
      </c>
      <c r="F5891" s="49" t="str">
        <f>IFERROR(VLOOKUP(E5891,'Condensed Specialty Crosswalk'!$A$2:$C$106,2,FALSE),"")</f>
        <v/>
      </c>
      <c r="G5891" s="49" t="str">
        <f>IFERROR(VLOOKUP(E5891,'Condensed Specialty Crosswalk'!$A$2:$C$106,3,FALSE),"")</f>
        <v/>
      </c>
    </row>
    <row r="5892" spans="5:7" ht="15" customHeight="1">
      <c r="E5892" s="49" t="str">
        <f>IFERROR(VLOOKUP(D5892,'taxonomy map'!$A$1:$C$107,2,FALSE),"")</f>
        <v/>
      </c>
      <c r="F5892" s="49" t="str">
        <f>IFERROR(VLOOKUP(E5892,'Condensed Specialty Crosswalk'!$A$2:$C$106,2,FALSE),"")</f>
        <v/>
      </c>
      <c r="G5892" s="49" t="str">
        <f>IFERROR(VLOOKUP(E5892,'Condensed Specialty Crosswalk'!$A$2:$C$106,3,FALSE),"")</f>
        <v/>
      </c>
    </row>
    <row r="5893" spans="5:7" ht="15" customHeight="1">
      <c r="E5893" s="49" t="str">
        <f>IFERROR(VLOOKUP(D5893,'taxonomy map'!$A$1:$C$107,2,FALSE),"")</f>
        <v/>
      </c>
      <c r="F5893" s="49" t="str">
        <f>IFERROR(VLOOKUP(E5893,'Condensed Specialty Crosswalk'!$A$2:$C$106,2,FALSE),"")</f>
        <v/>
      </c>
      <c r="G5893" s="49" t="str">
        <f>IFERROR(VLOOKUP(E5893,'Condensed Specialty Crosswalk'!$A$2:$C$106,3,FALSE),"")</f>
        <v/>
      </c>
    </row>
    <row r="5894" spans="5:7" ht="15" customHeight="1">
      <c r="E5894" s="49" t="str">
        <f>IFERROR(VLOOKUP(D5894,'taxonomy map'!$A$1:$C$107,2,FALSE),"")</f>
        <v/>
      </c>
      <c r="F5894" s="49" t="str">
        <f>IFERROR(VLOOKUP(E5894,'Condensed Specialty Crosswalk'!$A$2:$C$106,2,FALSE),"")</f>
        <v/>
      </c>
      <c r="G5894" s="49" t="str">
        <f>IFERROR(VLOOKUP(E5894,'Condensed Specialty Crosswalk'!$A$2:$C$106,3,FALSE),"")</f>
        <v/>
      </c>
    </row>
    <row r="5895" spans="5:7" ht="15" customHeight="1">
      <c r="E5895" s="49" t="str">
        <f>IFERROR(VLOOKUP(D5895,'taxonomy map'!$A$1:$C$107,2,FALSE),"")</f>
        <v/>
      </c>
      <c r="F5895" s="49" t="str">
        <f>IFERROR(VLOOKUP(E5895,'Condensed Specialty Crosswalk'!$A$2:$C$106,2,FALSE),"")</f>
        <v/>
      </c>
      <c r="G5895" s="49" t="str">
        <f>IFERROR(VLOOKUP(E5895,'Condensed Specialty Crosswalk'!$A$2:$C$106,3,FALSE),"")</f>
        <v/>
      </c>
    </row>
    <row r="5896" spans="5:7" ht="15" customHeight="1">
      <c r="E5896" s="49" t="str">
        <f>IFERROR(VLOOKUP(D5896,'taxonomy map'!$A$1:$C$107,2,FALSE),"")</f>
        <v/>
      </c>
      <c r="F5896" s="49" t="str">
        <f>IFERROR(VLOOKUP(E5896,'Condensed Specialty Crosswalk'!$A$2:$C$106,2,FALSE),"")</f>
        <v/>
      </c>
      <c r="G5896" s="49" t="str">
        <f>IFERROR(VLOOKUP(E5896,'Condensed Specialty Crosswalk'!$A$2:$C$106,3,FALSE),"")</f>
        <v/>
      </c>
    </row>
    <row r="5897" spans="5:7" ht="15" customHeight="1">
      <c r="E5897" s="49" t="str">
        <f>IFERROR(VLOOKUP(D5897,'taxonomy map'!$A$1:$C$107,2,FALSE),"")</f>
        <v/>
      </c>
      <c r="F5897" s="49" t="str">
        <f>IFERROR(VLOOKUP(E5897,'Condensed Specialty Crosswalk'!$A$2:$C$106,2,FALSE),"")</f>
        <v/>
      </c>
      <c r="G5897" s="49" t="str">
        <f>IFERROR(VLOOKUP(E5897,'Condensed Specialty Crosswalk'!$A$2:$C$106,3,FALSE),"")</f>
        <v/>
      </c>
    </row>
    <row r="5898" spans="5:7" ht="15" customHeight="1">
      <c r="E5898" s="49" t="str">
        <f>IFERROR(VLOOKUP(D5898,'taxonomy map'!$A$1:$C$107,2,FALSE),"")</f>
        <v/>
      </c>
      <c r="F5898" s="49" t="str">
        <f>IFERROR(VLOOKUP(E5898,'Condensed Specialty Crosswalk'!$A$2:$C$106,2,FALSE),"")</f>
        <v/>
      </c>
      <c r="G5898" s="49" t="str">
        <f>IFERROR(VLOOKUP(E5898,'Condensed Specialty Crosswalk'!$A$2:$C$106,3,FALSE),"")</f>
        <v/>
      </c>
    </row>
    <row r="5899" spans="5:7" ht="15" customHeight="1">
      <c r="E5899" s="49" t="str">
        <f>IFERROR(VLOOKUP(D5899,'taxonomy map'!$A$1:$C$107,2,FALSE),"")</f>
        <v/>
      </c>
      <c r="F5899" s="49" t="str">
        <f>IFERROR(VLOOKUP(E5899,'Condensed Specialty Crosswalk'!$A$2:$C$106,2,FALSE),"")</f>
        <v/>
      </c>
      <c r="G5899" s="49" t="str">
        <f>IFERROR(VLOOKUP(E5899,'Condensed Specialty Crosswalk'!$A$2:$C$106,3,FALSE),"")</f>
        <v/>
      </c>
    </row>
    <row r="5900" spans="5:7" ht="15" customHeight="1">
      <c r="E5900" s="49" t="str">
        <f>IFERROR(VLOOKUP(D5900,'taxonomy map'!$A$1:$C$107,2,FALSE),"")</f>
        <v/>
      </c>
      <c r="F5900" s="49" t="str">
        <f>IFERROR(VLOOKUP(E5900,'Condensed Specialty Crosswalk'!$A$2:$C$106,2,FALSE),"")</f>
        <v/>
      </c>
      <c r="G5900" s="49" t="str">
        <f>IFERROR(VLOOKUP(E5900,'Condensed Specialty Crosswalk'!$A$2:$C$106,3,FALSE),"")</f>
        <v/>
      </c>
    </row>
    <row r="5901" spans="5:7" ht="15" customHeight="1">
      <c r="E5901" s="49" t="str">
        <f>IFERROR(VLOOKUP(D5901,'taxonomy map'!$A$1:$C$107,2,FALSE),"")</f>
        <v/>
      </c>
      <c r="F5901" s="49" t="str">
        <f>IFERROR(VLOOKUP(E5901,'Condensed Specialty Crosswalk'!$A$2:$C$106,2,FALSE),"")</f>
        <v/>
      </c>
      <c r="G5901" s="49" t="str">
        <f>IFERROR(VLOOKUP(E5901,'Condensed Specialty Crosswalk'!$A$2:$C$106,3,FALSE),"")</f>
        <v/>
      </c>
    </row>
    <row r="5902" spans="5:7" ht="15" customHeight="1">
      <c r="E5902" s="49" t="str">
        <f>IFERROR(VLOOKUP(D5902,'taxonomy map'!$A$1:$C$107,2,FALSE),"")</f>
        <v/>
      </c>
      <c r="F5902" s="49" t="str">
        <f>IFERROR(VLOOKUP(E5902,'Condensed Specialty Crosswalk'!$A$2:$C$106,2,FALSE),"")</f>
        <v/>
      </c>
      <c r="G5902" s="49" t="str">
        <f>IFERROR(VLOOKUP(E5902,'Condensed Specialty Crosswalk'!$A$2:$C$106,3,FALSE),"")</f>
        <v/>
      </c>
    </row>
    <row r="5903" spans="5:7" ht="15" customHeight="1">
      <c r="E5903" s="49" t="str">
        <f>IFERROR(VLOOKUP(D5903,'taxonomy map'!$A$1:$C$107,2,FALSE),"")</f>
        <v/>
      </c>
      <c r="F5903" s="49" t="str">
        <f>IFERROR(VLOOKUP(E5903,'Condensed Specialty Crosswalk'!$A$2:$C$106,2,FALSE),"")</f>
        <v/>
      </c>
      <c r="G5903" s="49" t="str">
        <f>IFERROR(VLOOKUP(E5903,'Condensed Specialty Crosswalk'!$A$2:$C$106,3,FALSE),"")</f>
        <v/>
      </c>
    </row>
    <row r="5904" spans="5:7" ht="15" customHeight="1">
      <c r="E5904" s="49" t="str">
        <f>IFERROR(VLOOKUP(D5904,'taxonomy map'!$A$1:$C$107,2,FALSE),"")</f>
        <v/>
      </c>
      <c r="F5904" s="49" t="str">
        <f>IFERROR(VLOOKUP(E5904,'Condensed Specialty Crosswalk'!$A$2:$C$106,2,FALSE),"")</f>
        <v/>
      </c>
      <c r="G5904" s="49" t="str">
        <f>IFERROR(VLOOKUP(E5904,'Condensed Specialty Crosswalk'!$A$2:$C$106,3,FALSE),"")</f>
        <v/>
      </c>
    </row>
    <row r="5905" spans="5:7" ht="15" customHeight="1">
      <c r="E5905" s="49" t="str">
        <f>IFERROR(VLOOKUP(D5905,'taxonomy map'!$A$1:$C$107,2,FALSE),"")</f>
        <v/>
      </c>
      <c r="F5905" s="49" t="str">
        <f>IFERROR(VLOOKUP(E5905,'Condensed Specialty Crosswalk'!$A$2:$C$106,2,FALSE),"")</f>
        <v/>
      </c>
      <c r="G5905" s="49" t="str">
        <f>IFERROR(VLOOKUP(E5905,'Condensed Specialty Crosswalk'!$A$2:$C$106,3,FALSE),"")</f>
        <v/>
      </c>
    </row>
    <row r="5906" spans="5:7" ht="15" customHeight="1">
      <c r="E5906" s="49" t="str">
        <f>IFERROR(VLOOKUP(D5906,'taxonomy map'!$A$1:$C$107,2,FALSE),"")</f>
        <v/>
      </c>
      <c r="F5906" s="49" t="str">
        <f>IFERROR(VLOOKUP(E5906,'Condensed Specialty Crosswalk'!$A$2:$C$106,2,FALSE),"")</f>
        <v/>
      </c>
      <c r="G5906" s="49" t="str">
        <f>IFERROR(VLOOKUP(E5906,'Condensed Specialty Crosswalk'!$A$2:$C$106,3,FALSE),"")</f>
        <v/>
      </c>
    </row>
    <row r="5907" spans="5:7" ht="15" customHeight="1">
      <c r="E5907" s="49" t="str">
        <f>IFERROR(VLOOKUP(D5907,'taxonomy map'!$A$1:$C$107,2,FALSE),"")</f>
        <v/>
      </c>
      <c r="F5907" s="49" t="str">
        <f>IFERROR(VLOOKUP(E5907,'Condensed Specialty Crosswalk'!$A$2:$C$106,2,FALSE),"")</f>
        <v/>
      </c>
      <c r="G5907" s="49" t="str">
        <f>IFERROR(VLOOKUP(E5907,'Condensed Specialty Crosswalk'!$A$2:$C$106,3,FALSE),"")</f>
        <v/>
      </c>
    </row>
    <row r="5908" spans="5:7" ht="15" customHeight="1">
      <c r="E5908" s="49" t="str">
        <f>IFERROR(VLOOKUP(D5908,'taxonomy map'!$A$1:$C$107,2,FALSE),"")</f>
        <v/>
      </c>
      <c r="F5908" s="49" t="str">
        <f>IFERROR(VLOOKUP(E5908,'Condensed Specialty Crosswalk'!$A$2:$C$106,2,FALSE),"")</f>
        <v/>
      </c>
      <c r="G5908" s="49" t="str">
        <f>IFERROR(VLOOKUP(E5908,'Condensed Specialty Crosswalk'!$A$2:$C$106,3,FALSE),"")</f>
        <v/>
      </c>
    </row>
    <row r="5909" spans="5:7" ht="15" customHeight="1">
      <c r="E5909" s="49" t="str">
        <f>IFERROR(VLOOKUP(D5909,'taxonomy map'!$A$1:$C$107,2,FALSE),"")</f>
        <v/>
      </c>
      <c r="F5909" s="49" t="str">
        <f>IFERROR(VLOOKUP(E5909,'Condensed Specialty Crosswalk'!$A$2:$C$106,2,FALSE),"")</f>
        <v/>
      </c>
      <c r="G5909" s="49" t="str">
        <f>IFERROR(VLOOKUP(E5909,'Condensed Specialty Crosswalk'!$A$2:$C$106,3,FALSE),"")</f>
        <v/>
      </c>
    </row>
    <row r="5910" spans="5:7" ht="15" customHeight="1">
      <c r="E5910" s="49" t="str">
        <f>IFERROR(VLOOKUP(D5910,'taxonomy map'!$A$1:$C$107,2,FALSE),"")</f>
        <v/>
      </c>
      <c r="F5910" s="49" t="str">
        <f>IFERROR(VLOOKUP(E5910,'Condensed Specialty Crosswalk'!$A$2:$C$106,2,FALSE),"")</f>
        <v/>
      </c>
      <c r="G5910" s="49" t="str">
        <f>IFERROR(VLOOKUP(E5910,'Condensed Specialty Crosswalk'!$A$2:$C$106,3,FALSE),"")</f>
        <v/>
      </c>
    </row>
    <row r="5911" spans="5:7" ht="15" customHeight="1">
      <c r="E5911" s="49" t="str">
        <f>IFERROR(VLOOKUP(D5911,'taxonomy map'!$A$1:$C$107,2,FALSE),"")</f>
        <v/>
      </c>
      <c r="F5911" s="49" t="str">
        <f>IFERROR(VLOOKUP(E5911,'Condensed Specialty Crosswalk'!$A$2:$C$106,2,FALSE),"")</f>
        <v/>
      </c>
      <c r="G5911" s="49" t="str">
        <f>IFERROR(VLOOKUP(E5911,'Condensed Specialty Crosswalk'!$A$2:$C$106,3,FALSE),"")</f>
        <v/>
      </c>
    </row>
    <row r="5912" spans="5:7" ht="15" customHeight="1">
      <c r="E5912" s="49" t="str">
        <f>IFERROR(VLOOKUP(D5912,'taxonomy map'!$A$1:$C$107,2,FALSE),"")</f>
        <v/>
      </c>
      <c r="F5912" s="49" t="str">
        <f>IFERROR(VLOOKUP(E5912,'Condensed Specialty Crosswalk'!$A$2:$C$106,2,FALSE),"")</f>
        <v/>
      </c>
      <c r="G5912" s="49" t="str">
        <f>IFERROR(VLOOKUP(E5912,'Condensed Specialty Crosswalk'!$A$2:$C$106,3,FALSE),"")</f>
        <v/>
      </c>
    </row>
    <row r="5913" spans="5:7" ht="15" customHeight="1">
      <c r="E5913" s="49" t="str">
        <f>IFERROR(VLOOKUP(D5913,'taxonomy map'!$A$1:$C$107,2,FALSE),"")</f>
        <v/>
      </c>
      <c r="F5913" s="49" t="str">
        <f>IFERROR(VLOOKUP(E5913,'Condensed Specialty Crosswalk'!$A$2:$C$106,2,FALSE),"")</f>
        <v/>
      </c>
      <c r="G5913" s="49" t="str">
        <f>IFERROR(VLOOKUP(E5913,'Condensed Specialty Crosswalk'!$A$2:$C$106,3,FALSE),"")</f>
        <v/>
      </c>
    </row>
    <row r="5914" spans="5:7" ht="15" customHeight="1">
      <c r="E5914" s="49" t="str">
        <f>IFERROR(VLOOKUP(D5914,'taxonomy map'!$A$1:$C$107,2,FALSE),"")</f>
        <v/>
      </c>
      <c r="F5914" s="49" t="str">
        <f>IFERROR(VLOOKUP(E5914,'Condensed Specialty Crosswalk'!$A$2:$C$106,2,FALSE),"")</f>
        <v/>
      </c>
      <c r="G5914" s="49" t="str">
        <f>IFERROR(VLOOKUP(E5914,'Condensed Specialty Crosswalk'!$A$2:$C$106,3,FALSE),"")</f>
        <v/>
      </c>
    </row>
    <row r="5915" spans="5:7" ht="15" customHeight="1">
      <c r="E5915" s="49" t="str">
        <f>IFERROR(VLOOKUP(D5915,'taxonomy map'!$A$1:$C$107,2,FALSE),"")</f>
        <v/>
      </c>
      <c r="F5915" s="49" t="str">
        <f>IFERROR(VLOOKUP(E5915,'Condensed Specialty Crosswalk'!$A$2:$C$106,2,FALSE),"")</f>
        <v/>
      </c>
      <c r="G5915" s="49" t="str">
        <f>IFERROR(VLOOKUP(E5915,'Condensed Specialty Crosswalk'!$A$2:$C$106,3,FALSE),"")</f>
        <v/>
      </c>
    </row>
    <row r="5916" spans="5:7" ht="15" customHeight="1">
      <c r="E5916" s="49" t="str">
        <f>IFERROR(VLOOKUP(D5916,'taxonomy map'!$A$1:$C$107,2,FALSE),"")</f>
        <v/>
      </c>
      <c r="F5916" s="49" t="str">
        <f>IFERROR(VLOOKUP(E5916,'Condensed Specialty Crosswalk'!$A$2:$C$106,2,FALSE),"")</f>
        <v/>
      </c>
      <c r="G5916" s="49" t="str">
        <f>IFERROR(VLOOKUP(E5916,'Condensed Specialty Crosswalk'!$A$2:$C$106,3,FALSE),"")</f>
        <v/>
      </c>
    </row>
    <row r="5917" spans="5:7" ht="15" customHeight="1">
      <c r="E5917" s="49" t="str">
        <f>IFERROR(VLOOKUP(D5917,'taxonomy map'!$A$1:$C$107,2,FALSE),"")</f>
        <v/>
      </c>
      <c r="F5917" s="49" t="str">
        <f>IFERROR(VLOOKUP(E5917,'Condensed Specialty Crosswalk'!$A$2:$C$106,2,FALSE),"")</f>
        <v/>
      </c>
      <c r="G5917" s="49" t="str">
        <f>IFERROR(VLOOKUP(E5917,'Condensed Specialty Crosswalk'!$A$2:$C$106,3,FALSE),"")</f>
        <v/>
      </c>
    </row>
    <row r="5918" spans="5:7" ht="15" customHeight="1">
      <c r="E5918" s="49" t="str">
        <f>IFERROR(VLOOKUP(D5918,'taxonomy map'!$A$1:$C$107,2,FALSE),"")</f>
        <v/>
      </c>
      <c r="F5918" s="49" t="str">
        <f>IFERROR(VLOOKUP(E5918,'Condensed Specialty Crosswalk'!$A$2:$C$106,2,FALSE),"")</f>
        <v/>
      </c>
      <c r="G5918" s="49" t="str">
        <f>IFERROR(VLOOKUP(E5918,'Condensed Specialty Crosswalk'!$A$2:$C$106,3,FALSE),"")</f>
        <v/>
      </c>
    </row>
    <row r="5919" spans="5:7" ht="15" customHeight="1">
      <c r="E5919" s="49" t="str">
        <f>IFERROR(VLOOKUP(D5919,'taxonomy map'!$A$1:$C$107,2,FALSE),"")</f>
        <v/>
      </c>
      <c r="F5919" s="49" t="str">
        <f>IFERROR(VLOOKUP(E5919,'Condensed Specialty Crosswalk'!$A$2:$C$106,2,FALSE),"")</f>
        <v/>
      </c>
      <c r="G5919" s="49" t="str">
        <f>IFERROR(VLOOKUP(E5919,'Condensed Specialty Crosswalk'!$A$2:$C$106,3,FALSE),"")</f>
        <v/>
      </c>
    </row>
    <row r="5920" spans="5:7" ht="15" customHeight="1">
      <c r="E5920" s="49" t="str">
        <f>IFERROR(VLOOKUP(D5920,'taxonomy map'!$A$1:$C$107,2,FALSE),"")</f>
        <v/>
      </c>
      <c r="F5920" s="49" t="str">
        <f>IFERROR(VLOOKUP(E5920,'Condensed Specialty Crosswalk'!$A$2:$C$106,2,FALSE),"")</f>
        <v/>
      </c>
      <c r="G5920" s="49" t="str">
        <f>IFERROR(VLOOKUP(E5920,'Condensed Specialty Crosswalk'!$A$2:$C$106,3,FALSE),"")</f>
        <v/>
      </c>
    </row>
    <row r="5921" spans="5:7" ht="15" customHeight="1">
      <c r="E5921" s="49" t="str">
        <f>IFERROR(VLOOKUP(D5921,'taxonomy map'!$A$1:$C$107,2,FALSE),"")</f>
        <v/>
      </c>
      <c r="F5921" s="49" t="str">
        <f>IFERROR(VLOOKUP(E5921,'Condensed Specialty Crosswalk'!$A$2:$C$106,2,FALSE),"")</f>
        <v/>
      </c>
      <c r="G5921" s="49" t="str">
        <f>IFERROR(VLOOKUP(E5921,'Condensed Specialty Crosswalk'!$A$2:$C$106,3,FALSE),"")</f>
        <v/>
      </c>
    </row>
    <row r="5922" spans="5:7" ht="15" customHeight="1">
      <c r="E5922" s="49" t="str">
        <f>IFERROR(VLOOKUP(D5922,'taxonomy map'!$A$1:$C$107,2,FALSE),"")</f>
        <v/>
      </c>
      <c r="F5922" s="49" t="str">
        <f>IFERROR(VLOOKUP(E5922,'Condensed Specialty Crosswalk'!$A$2:$C$106,2,FALSE),"")</f>
        <v/>
      </c>
      <c r="G5922" s="49" t="str">
        <f>IFERROR(VLOOKUP(E5922,'Condensed Specialty Crosswalk'!$A$2:$C$106,3,FALSE),"")</f>
        <v/>
      </c>
    </row>
    <row r="5923" spans="5:7" ht="15" customHeight="1">
      <c r="E5923" s="49" t="str">
        <f>IFERROR(VLOOKUP(D5923,'taxonomy map'!$A$1:$C$107,2,FALSE),"")</f>
        <v/>
      </c>
      <c r="F5923" s="49" t="str">
        <f>IFERROR(VLOOKUP(E5923,'Condensed Specialty Crosswalk'!$A$2:$C$106,2,FALSE),"")</f>
        <v/>
      </c>
      <c r="G5923" s="49" t="str">
        <f>IFERROR(VLOOKUP(E5923,'Condensed Specialty Crosswalk'!$A$2:$C$106,3,FALSE),"")</f>
        <v/>
      </c>
    </row>
    <row r="5924" spans="5:7" ht="15" customHeight="1">
      <c r="E5924" s="49" t="str">
        <f>IFERROR(VLOOKUP(D5924,'taxonomy map'!$A$1:$C$107,2,FALSE),"")</f>
        <v/>
      </c>
      <c r="F5924" s="49" t="str">
        <f>IFERROR(VLOOKUP(E5924,'Condensed Specialty Crosswalk'!$A$2:$C$106,2,FALSE),"")</f>
        <v/>
      </c>
      <c r="G5924" s="49" t="str">
        <f>IFERROR(VLOOKUP(E5924,'Condensed Specialty Crosswalk'!$A$2:$C$106,3,FALSE),"")</f>
        <v/>
      </c>
    </row>
    <row r="5925" spans="5:7" ht="15" customHeight="1">
      <c r="E5925" s="49" t="str">
        <f>IFERROR(VLOOKUP(D5925,'taxonomy map'!$A$1:$C$107,2,FALSE),"")</f>
        <v/>
      </c>
      <c r="F5925" s="49" t="str">
        <f>IFERROR(VLOOKUP(E5925,'Condensed Specialty Crosswalk'!$A$2:$C$106,2,FALSE),"")</f>
        <v/>
      </c>
      <c r="G5925" s="49" t="str">
        <f>IFERROR(VLOOKUP(E5925,'Condensed Specialty Crosswalk'!$A$2:$C$106,3,FALSE),"")</f>
        <v/>
      </c>
    </row>
    <row r="5926" spans="5:7" ht="15" customHeight="1">
      <c r="E5926" s="49" t="str">
        <f>IFERROR(VLOOKUP(D5926,'taxonomy map'!$A$1:$C$107,2,FALSE),"")</f>
        <v/>
      </c>
      <c r="F5926" s="49" t="str">
        <f>IFERROR(VLOOKUP(E5926,'Condensed Specialty Crosswalk'!$A$2:$C$106,2,FALSE),"")</f>
        <v/>
      </c>
      <c r="G5926" s="49" t="str">
        <f>IFERROR(VLOOKUP(E5926,'Condensed Specialty Crosswalk'!$A$2:$C$106,3,FALSE),"")</f>
        <v/>
      </c>
    </row>
    <row r="5927" spans="5:7" ht="15" customHeight="1">
      <c r="E5927" s="49" t="str">
        <f>IFERROR(VLOOKUP(D5927,'taxonomy map'!$A$1:$C$107,2,FALSE),"")</f>
        <v/>
      </c>
      <c r="F5927" s="49" t="str">
        <f>IFERROR(VLOOKUP(E5927,'Condensed Specialty Crosswalk'!$A$2:$C$106,2,FALSE),"")</f>
        <v/>
      </c>
      <c r="G5927" s="49" t="str">
        <f>IFERROR(VLOOKUP(E5927,'Condensed Specialty Crosswalk'!$A$2:$C$106,3,FALSE),"")</f>
        <v/>
      </c>
    </row>
    <row r="5928" spans="5:7" ht="15" customHeight="1">
      <c r="E5928" s="49" t="str">
        <f>IFERROR(VLOOKUP(D5928,'taxonomy map'!$A$1:$C$107,2,FALSE),"")</f>
        <v/>
      </c>
      <c r="F5928" s="49" t="str">
        <f>IFERROR(VLOOKUP(E5928,'Condensed Specialty Crosswalk'!$A$2:$C$106,2,FALSE),"")</f>
        <v/>
      </c>
      <c r="G5928" s="49" t="str">
        <f>IFERROR(VLOOKUP(E5928,'Condensed Specialty Crosswalk'!$A$2:$C$106,3,FALSE),"")</f>
        <v/>
      </c>
    </row>
    <row r="5929" spans="5:7" ht="15" customHeight="1">
      <c r="E5929" s="49" t="str">
        <f>IFERROR(VLOOKUP(D5929,'taxonomy map'!$A$1:$C$107,2,FALSE),"")</f>
        <v/>
      </c>
      <c r="F5929" s="49" t="str">
        <f>IFERROR(VLOOKUP(E5929,'Condensed Specialty Crosswalk'!$A$2:$C$106,2,FALSE),"")</f>
        <v/>
      </c>
      <c r="G5929" s="49" t="str">
        <f>IFERROR(VLOOKUP(E5929,'Condensed Specialty Crosswalk'!$A$2:$C$106,3,FALSE),"")</f>
        <v/>
      </c>
    </row>
    <row r="5930" spans="5:7" ht="15" customHeight="1">
      <c r="E5930" s="49" t="str">
        <f>IFERROR(VLOOKUP(D5930,'taxonomy map'!$A$1:$C$107,2,FALSE),"")</f>
        <v/>
      </c>
      <c r="F5930" s="49" t="str">
        <f>IFERROR(VLOOKUP(E5930,'Condensed Specialty Crosswalk'!$A$2:$C$106,2,FALSE),"")</f>
        <v/>
      </c>
      <c r="G5930" s="49" t="str">
        <f>IFERROR(VLOOKUP(E5930,'Condensed Specialty Crosswalk'!$A$2:$C$106,3,FALSE),"")</f>
        <v/>
      </c>
    </row>
    <row r="5931" spans="5:7" ht="15" customHeight="1">
      <c r="E5931" s="49" t="str">
        <f>IFERROR(VLOOKUP(D5931,'taxonomy map'!$A$1:$C$107,2,FALSE),"")</f>
        <v/>
      </c>
      <c r="F5931" s="49" t="str">
        <f>IFERROR(VLOOKUP(E5931,'Condensed Specialty Crosswalk'!$A$2:$C$106,2,FALSE),"")</f>
        <v/>
      </c>
      <c r="G5931" s="49" t="str">
        <f>IFERROR(VLOOKUP(E5931,'Condensed Specialty Crosswalk'!$A$2:$C$106,3,FALSE),"")</f>
        <v/>
      </c>
    </row>
    <row r="5932" spans="5:7" ht="15" customHeight="1">
      <c r="E5932" s="49" t="str">
        <f>IFERROR(VLOOKUP(D5932,'taxonomy map'!$A$1:$C$107,2,FALSE),"")</f>
        <v/>
      </c>
      <c r="F5932" s="49" t="str">
        <f>IFERROR(VLOOKUP(E5932,'Condensed Specialty Crosswalk'!$A$2:$C$106,2,FALSE),"")</f>
        <v/>
      </c>
      <c r="G5932" s="49" t="str">
        <f>IFERROR(VLOOKUP(E5932,'Condensed Specialty Crosswalk'!$A$2:$C$106,3,FALSE),"")</f>
        <v/>
      </c>
    </row>
    <row r="5933" spans="5:7" ht="15" customHeight="1">
      <c r="E5933" s="49" t="str">
        <f>IFERROR(VLOOKUP(D5933,'taxonomy map'!$A$1:$C$107,2,FALSE),"")</f>
        <v/>
      </c>
      <c r="F5933" s="49" t="str">
        <f>IFERROR(VLOOKUP(E5933,'Condensed Specialty Crosswalk'!$A$2:$C$106,2,FALSE),"")</f>
        <v/>
      </c>
      <c r="G5933" s="49" t="str">
        <f>IFERROR(VLOOKUP(E5933,'Condensed Specialty Crosswalk'!$A$2:$C$106,3,FALSE),"")</f>
        <v/>
      </c>
    </row>
    <row r="5934" spans="5:7" ht="15" customHeight="1">
      <c r="E5934" s="49" t="str">
        <f>IFERROR(VLOOKUP(D5934,'taxonomy map'!$A$1:$C$107,2,FALSE),"")</f>
        <v/>
      </c>
      <c r="F5934" s="49" t="str">
        <f>IFERROR(VLOOKUP(E5934,'Condensed Specialty Crosswalk'!$A$2:$C$106,2,FALSE),"")</f>
        <v/>
      </c>
      <c r="G5934" s="49" t="str">
        <f>IFERROR(VLOOKUP(E5934,'Condensed Specialty Crosswalk'!$A$2:$C$106,3,FALSE),"")</f>
        <v/>
      </c>
    </row>
    <row r="5935" spans="5:7" ht="15" customHeight="1">
      <c r="E5935" s="49" t="str">
        <f>IFERROR(VLOOKUP(D5935,'taxonomy map'!$A$1:$C$107,2,FALSE),"")</f>
        <v/>
      </c>
      <c r="F5935" s="49" t="str">
        <f>IFERROR(VLOOKUP(E5935,'Condensed Specialty Crosswalk'!$A$2:$C$106,2,FALSE),"")</f>
        <v/>
      </c>
      <c r="G5935" s="49" t="str">
        <f>IFERROR(VLOOKUP(E5935,'Condensed Specialty Crosswalk'!$A$2:$C$106,3,FALSE),"")</f>
        <v/>
      </c>
    </row>
    <row r="5936" spans="5:7" ht="15" customHeight="1">
      <c r="E5936" s="49" t="str">
        <f>IFERROR(VLOOKUP(D5936,'taxonomy map'!$A$1:$C$107,2,FALSE),"")</f>
        <v/>
      </c>
      <c r="F5936" s="49" t="str">
        <f>IFERROR(VLOOKUP(E5936,'Condensed Specialty Crosswalk'!$A$2:$C$106,2,FALSE),"")</f>
        <v/>
      </c>
      <c r="G5936" s="49" t="str">
        <f>IFERROR(VLOOKUP(E5936,'Condensed Specialty Crosswalk'!$A$2:$C$106,3,FALSE),"")</f>
        <v/>
      </c>
    </row>
    <row r="5937" spans="5:7" ht="15" customHeight="1">
      <c r="E5937" s="49" t="str">
        <f>IFERROR(VLOOKUP(D5937,'taxonomy map'!$A$1:$C$107,2,FALSE),"")</f>
        <v/>
      </c>
      <c r="F5937" s="49" t="str">
        <f>IFERROR(VLOOKUP(E5937,'Condensed Specialty Crosswalk'!$A$2:$C$106,2,FALSE),"")</f>
        <v/>
      </c>
      <c r="G5937" s="49" t="str">
        <f>IFERROR(VLOOKUP(E5937,'Condensed Specialty Crosswalk'!$A$2:$C$106,3,FALSE),"")</f>
        <v/>
      </c>
    </row>
    <row r="5938" spans="5:7" ht="15" customHeight="1">
      <c r="E5938" s="49" t="str">
        <f>IFERROR(VLOOKUP(D5938,'taxonomy map'!$A$1:$C$107,2,FALSE),"")</f>
        <v/>
      </c>
      <c r="F5938" s="49" t="str">
        <f>IFERROR(VLOOKUP(E5938,'Condensed Specialty Crosswalk'!$A$2:$C$106,2,FALSE),"")</f>
        <v/>
      </c>
      <c r="G5938" s="49" t="str">
        <f>IFERROR(VLOOKUP(E5938,'Condensed Specialty Crosswalk'!$A$2:$C$106,3,FALSE),"")</f>
        <v/>
      </c>
    </row>
    <row r="5939" spans="5:7" ht="15" customHeight="1">
      <c r="E5939" s="49" t="str">
        <f>IFERROR(VLOOKUP(D5939,'taxonomy map'!$A$1:$C$107,2,FALSE),"")</f>
        <v/>
      </c>
      <c r="F5939" s="49" t="str">
        <f>IFERROR(VLOOKUP(E5939,'Condensed Specialty Crosswalk'!$A$2:$C$106,2,FALSE),"")</f>
        <v/>
      </c>
      <c r="G5939" s="49" t="str">
        <f>IFERROR(VLOOKUP(E5939,'Condensed Specialty Crosswalk'!$A$2:$C$106,3,FALSE),"")</f>
        <v/>
      </c>
    </row>
    <row r="5940" spans="5:7" ht="15" customHeight="1">
      <c r="E5940" s="49" t="str">
        <f>IFERROR(VLOOKUP(D5940,'taxonomy map'!$A$1:$C$107,2,FALSE),"")</f>
        <v/>
      </c>
      <c r="F5940" s="49" t="str">
        <f>IFERROR(VLOOKUP(E5940,'Condensed Specialty Crosswalk'!$A$2:$C$106,2,FALSE),"")</f>
        <v/>
      </c>
      <c r="G5940" s="49" t="str">
        <f>IFERROR(VLOOKUP(E5940,'Condensed Specialty Crosswalk'!$A$2:$C$106,3,FALSE),"")</f>
        <v/>
      </c>
    </row>
    <row r="5941" spans="5:7" ht="15" customHeight="1">
      <c r="E5941" s="49" t="str">
        <f>IFERROR(VLOOKUP(D5941,'taxonomy map'!$A$1:$C$107,2,FALSE),"")</f>
        <v/>
      </c>
      <c r="F5941" s="49" t="str">
        <f>IFERROR(VLOOKUP(E5941,'Condensed Specialty Crosswalk'!$A$2:$C$106,2,FALSE),"")</f>
        <v/>
      </c>
      <c r="G5941" s="49" t="str">
        <f>IFERROR(VLOOKUP(E5941,'Condensed Specialty Crosswalk'!$A$2:$C$106,3,FALSE),"")</f>
        <v/>
      </c>
    </row>
    <row r="5942" spans="5:7" ht="15" customHeight="1">
      <c r="E5942" s="49" t="str">
        <f>IFERROR(VLOOKUP(D5942,'taxonomy map'!$A$1:$C$107,2,FALSE),"")</f>
        <v/>
      </c>
      <c r="F5942" s="49" t="str">
        <f>IFERROR(VLOOKUP(E5942,'Condensed Specialty Crosswalk'!$A$2:$C$106,2,FALSE),"")</f>
        <v/>
      </c>
      <c r="G5942" s="49" t="str">
        <f>IFERROR(VLOOKUP(E5942,'Condensed Specialty Crosswalk'!$A$2:$C$106,3,FALSE),"")</f>
        <v/>
      </c>
    </row>
    <row r="5943" spans="5:7" ht="15" customHeight="1">
      <c r="E5943" s="49" t="str">
        <f>IFERROR(VLOOKUP(D5943,'taxonomy map'!$A$1:$C$107,2,FALSE),"")</f>
        <v/>
      </c>
      <c r="F5943" s="49" t="str">
        <f>IFERROR(VLOOKUP(E5943,'Condensed Specialty Crosswalk'!$A$2:$C$106,2,FALSE),"")</f>
        <v/>
      </c>
      <c r="G5943" s="49" t="str">
        <f>IFERROR(VLOOKUP(E5943,'Condensed Specialty Crosswalk'!$A$2:$C$106,3,FALSE),"")</f>
        <v/>
      </c>
    </row>
    <row r="5944" spans="5:7" ht="15" customHeight="1">
      <c r="E5944" s="49" t="str">
        <f>IFERROR(VLOOKUP(D5944,'taxonomy map'!$A$1:$C$107,2,FALSE),"")</f>
        <v/>
      </c>
      <c r="F5944" s="49" t="str">
        <f>IFERROR(VLOOKUP(E5944,'Condensed Specialty Crosswalk'!$A$2:$C$106,2,FALSE),"")</f>
        <v/>
      </c>
      <c r="G5944" s="49" t="str">
        <f>IFERROR(VLOOKUP(E5944,'Condensed Specialty Crosswalk'!$A$2:$C$106,3,FALSE),"")</f>
        <v/>
      </c>
    </row>
    <row r="5945" spans="5:7" ht="15" customHeight="1">
      <c r="E5945" s="49" t="str">
        <f>IFERROR(VLOOKUP(D5945,'taxonomy map'!$A$1:$C$107,2,FALSE),"")</f>
        <v/>
      </c>
      <c r="F5945" s="49" t="str">
        <f>IFERROR(VLOOKUP(E5945,'Condensed Specialty Crosswalk'!$A$2:$C$106,2,FALSE),"")</f>
        <v/>
      </c>
      <c r="G5945" s="49" t="str">
        <f>IFERROR(VLOOKUP(E5945,'Condensed Specialty Crosswalk'!$A$2:$C$106,3,FALSE),"")</f>
        <v/>
      </c>
    </row>
    <row r="5946" spans="5:7" ht="15" customHeight="1">
      <c r="E5946" s="49" t="str">
        <f>IFERROR(VLOOKUP(D5946,'taxonomy map'!$A$1:$C$107,2,FALSE),"")</f>
        <v/>
      </c>
      <c r="F5946" s="49" t="str">
        <f>IFERROR(VLOOKUP(E5946,'Condensed Specialty Crosswalk'!$A$2:$C$106,2,FALSE),"")</f>
        <v/>
      </c>
      <c r="G5946" s="49" t="str">
        <f>IFERROR(VLOOKUP(E5946,'Condensed Specialty Crosswalk'!$A$2:$C$106,3,FALSE),"")</f>
        <v/>
      </c>
    </row>
    <row r="5947" spans="5:7" ht="15" customHeight="1">
      <c r="E5947" s="49" t="str">
        <f>IFERROR(VLOOKUP(D5947,'taxonomy map'!$A$1:$C$107,2,FALSE),"")</f>
        <v/>
      </c>
      <c r="F5947" s="49" t="str">
        <f>IFERROR(VLOOKUP(E5947,'Condensed Specialty Crosswalk'!$A$2:$C$106,2,FALSE),"")</f>
        <v/>
      </c>
      <c r="G5947" s="49" t="str">
        <f>IFERROR(VLOOKUP(E5947,'Condensed Specialty Crosswalk'!$A$2:$C$106,3,FALSE),"")</f>
        <v/>
      </c>
    </row>
    <row r="5948" spans="5:7" ht="15" customHeight="1">
      <c r="E5948" s="49" t="str">
        <f>IFERROR(VLOOKUP(D5948,'taxonomy map'!$A$1:$C$107,2,FALSE),"")</f>
        <v/>
      </c>
      <c r="F5948" s="49" t="str">
        <f>IFERROR(VLOOKUP(E5948,'Condensed Specialty Crosswalk'!$A$2:$C$106,2,FALSE),"")</f>
        <v/>
      </c>
      <c r="G5948" s="49" t="str">
        <f>IFERROR(VLOOKUP(E5948,'Condensed Specialty Crosswalk'!$A$2:$C$106,3,FALSE),"")</f>
        <v/>
      </c>
    </row>
    <row r="5949" spans="5:7" ht="15" customHeight="1">
      <c r="E5949" s="49" t="str">
        <f>IFERROR(VLOOKUP(D5949,'taxonomy map'!$A$1:$C$107,2,FALSE),"")</f>
        <v/>
      </c>
      <c r="F5949" s="49" t="str">
        <f>IFERROR(VLOOKUP(E5949,'Condensed Specialty Crosswalk'!$A$2:$C$106,2,FALSE),"")</f>
        <v/>
      </c>
      <c r="G5949" s="49" t="str">
        <f>IFERROR(VLOOKUP(E5949,'Condensed Specialty Crosswalk'!$A$2:$C$106,3,FALSE),"")</f>
        <v/>
      </c>
    </row>
    <row r="5950" spans="5:7" ht="15" customHeight="1">
      <c r="E5950" s="49" t="str">
        <f>IFERROR(VLOOKUP(D5950,'taxonomy map'!$A$1:$C$107,2,FALSE),"")</f>
        <v/>
      </c>
      <c r="F5950" s="49" t="str">
        <f>IFERROR(VLOOKUP(E5950,'Condensed Specialty Crosswalk'!$A$2:$C$106,2,FALSE),"")</f>
        <v/>
      </c>
      <c r="G5950" s="49" t="str">
        <f>IFERROR(VLOOKUP(E5950,'Condensed Specialty Crosswalk'!$A$2:$C$106,3,FALSE),"")</f>
        <v/>
      </c>
    </row>
    <row r="5951" spans="5:7" ht="15" customHeight="1">
      <c r="E5951" s="49" t="str">
        <f>IFERROR(VLOOKUP(D5951,'taxonomy map'!$A$1:$C$107,2,FALSE),"")</f>
        <v/>
      </c>
      <c r="F5951" s="49" t="str">
        <f>IFERROR(VLOOKUP(E5951,'Condensed Specialty Crosswalk'!$A$2:$C$106,2,FALSE),"")</f>
        <v/>
      </c>
      <c r="G5951" s="49" t="str">
        <f>IFERROR(VLOOKUP(E5951,'Condensed Specialty Crosswalk'!$A$2:$C$106,3,FALSE),"")</f>
        <v/>
      </c>
    </row>
    <row r="5952" spans="5:7" ht="15" customHeight="1">
      <c r="E5952" s="49" t="str">
        <f>IFERROR(VLOOKUP(D5952,'taxonomy map'!$A$1:$C$107,2,FALSE),"")</f>
        <v/>
      </c>
      <c r="F5952" s="49" t="str">
        <f>IFERROR(VLOOKUP(E5952,'Condensed Specialty Crosswalk'!$A$2:$C$106,2,FALSE),"")</f>
        <v/>
      </c>
      <c r="G5952" s="49" t="str">
        <f>IFERROR(VLOOKUP(E5952,'Condensed Specialty Crosswalk'!$A$2:$C$106,3,FALSE),"")</f>
        <v/>
      </c>
    </row>
    <row r="5953" spans="5:7" ht="15" customHeight="1">
      <c r="E5953" s="49" t="str">
        <f>IFERROR(VLOOKUP(D5953,'taxonomy map'!$A$1:$C$107,2,FALSE),"")</f>
        <v/>
      </c>
      <c r="F5953" s="49" t="str">
        <f>IFERROR(VLOOKUP(E5953,'Condensed Specialty Crosswalk'!$A$2:$C$106,2,FALSE),"")</f>
        <v/>
      </c>
      <c r="G5953" s="49" t="str">
        <f>IFERROR(VLOOKUP(E5953,'Condensed Specialty Crosswalk'!$A$2:$C$106,3,FALSE),"")</f>
        <v/>
      </c>
    </row>
    <row r="5954" spans="5:7" ht="15" customHeight="1">
      <c r="E5954" s="49" t="str">
        <f>IFERROR(VLOOKUP(D5954,'taxonomy map'!$A$1:$C$107,2,FALSE),"")</f>
        <v/>
      </c>
      <c r="F5954" s="49" t="str">
        <f>IFERROR(VLOOKUP(E5954,'Condensed Specialty Crosswalk'!$A$2:$C$106,2,FALSE),"")</f>
        <v/>
      </c>
      <c r="G5954" s="49" t="str">
        <f>IFERROR(VLOOKUP(E5954,'Condensed Specialty Crosswalk'!$A$2:$C$106,3,FALSE),"")</f>
        <v/>
      </c>
    </row>
    <row r="5955" spans="5:7" ht="15" customHeight="1">
      <c r="E5955" s="49" t="str">
        <f>IFERROR(VLOOKUP(D5955,'taxonomy map'!$A$1:$C$107,2,FALSE),"")</f>
        <v/>
      </c>
      <c r="F5955" s="49" t="str">
        <f>IFERROR(VLOOKUP(E5955,'Condensed Specialty Crosswalk'!$A$2:$C$106,2,FALSE),"")</f>
        <v/>
      </c>
      <c r="G5955" s="49" t="str">
        <f>IFERROR(VLOOKUP(E5955,'Condensed Specialty Crosswalk'!$A$2:$C$106,3,FALSE),"")</f>
        <v/>
      </c>
    </row>
    <row r="5956" spans="5:7" ht="15" customHeight="1">
      <c r="E5956" s="49" t="str">
        <f>IFERROR(VLOOKUP(D5956,'taxonomy map'!$A$1:$C$107,2,FALSE),"")</f>
        <v/>
      </c>
      <c r="F5956" s="49" t="str">
        <f>IFERROR(VLOOKUP(E5956,'Condensed Specialty Crosswalk'!$A$2:$C$106,2,FALSE),"")</f>
        <v/>
      </c>
      <c r="G5956" s="49" t="str">
        <f>IFERROR(VLOOKUP(E5956,'Condensed Specialty Crosswalk'!$A$2:$C$106,3,FALSE),"")</f>
        <v/>
      </c>
    </row>
    <row r="5957" spans="5:7" ht="15" customHeight="1">
      <c r="E5957" s="49" t="str">
        <f>IFERROR(VLOOKUP(D5957,'taxonomy map'!$A$1:$C$107,2,FALSE),"")</f>
        <v/>
      </c>
      <c r="F5957" s="49" t="str">
        <f>IFERROR(VLOOKUP(E5957,'Condensed Specialty Crosswalk'!$A$2:$C$106,2,FALSE),"")</f>
        <v/>
      </c>
      <c r="G5957" s="49" t="str">
        <f>IFERROR(VLOOKUP(E5957,'Condensed Specialty Crosswalk'!$A$2:$C$106,3,FALSE),"")</f>
        <v/>
      </c>
    </row>
    <row r="5958" spans="5:7" ht="15" customHeight="1">
      <c r="E5958" s="49" t="str">
        <f>IFERROR(VLOOKUP(D5958,'taxonomy map'!$A$1:$C$107,2,FALSE),"")</f>
        <v/>
      </c>
      <c r="F5958" s="49" t="str">
        <f>IFERROR(VLOOKUP(E5958,'Condensed Specialty Crosswalk'!$A$2:$C$106,2,FALSE),"")</f>
        <v/>
      </c>
      <c r="G5958" s="49" t="str">
        <f>IFERROR(VLOOKUP(E5958,'Condensed Specialty Crosswalk'!$A$2:$C$106,3,FALSE),"")</f>
        <v/>
      </c>
    </row>
    <row r="5959" spans="5:7" ht="15" customHeight="1">
      <c r="E5959" s="49" t="str">
        <f>IFERROR(VLOOKUP(D5959,'taxonomy map'!$A$1:$C$107,2,FALSE),"")</f>
        <v/>
      </c>
      <c r="F5959" s="49" t="str">
        <f>IFERROR(VLOOKUP(E5959,'Condensed Specialty Crosswalk'!$A$2:$C$106,2,FALSE),"")</f>
        <v/>
      </c>
      <c r="G5959" s="49" t="str">
        <f>IFERROR(VLOOKUP(E5959,'Condensed Specialty Crosswalk'!$A$2:$C$106,3,FALSE),"")</f>
        <v/>
      </c>
    </row>
    <row r="5960" spans="5:7" ht="15" customHeight="1">
      <c r="E5960" s="49" t="str">
        <f>IFERROR(VLOOKUP(D5960,'taxonomy map'!$A$1:$C$107,2,FALSE),"")</f>
        <v/>
      </c>
      <c r="F5960" s="49" t="str">
        <f>IFERROR(VLOOKUP(E5960,'Condensed Specialty Crosswalk'!$A$2:$C$106,2,FALSE),"")</f>
        <v/>
      </c>
      <c r="G5960" s="49" t="str">
        <f>IFERROR(VLOOKUP(E5960,'Condensed Specialty Crosswalk'!$A$2:$C$106,3,FALSE),"")</f>
        <v/>
      </c>
    </row>
    <row r="5961" spans="5:7" ht="15" customHeight="1">
      <c r="E5961" s="49" t="str">
        <f>IFERROR(VLOOKUP(D5961,'taxonomy map'!$A$1:$C$107,2,FALSE),"")</f>
        <v/>
      </c>
      <c r="F5961" s="49" t="str">
        <f>IFERROR(VLOOKUP(E5961,'Condensed Specialty Crosswalk'!$A$2:$C$106,2,FALSE),"")</f>
        <v/>
      </c>
      <c r="G5961" s="49" t="str">
        <f>IFERROR(VLOOKUP(E5961,'Condensed Specialty Crosswalk'!$A$2:$C$106,3,FALSE),"")</f>
        <v/>
      </c>
    </row>
    <row r="5962" spans="5:7" ht="15" customHeight="1">
      <c r="E5962" s="49" t="str">
        <f>IFERROR(VLOOKUP(D5962,'taxonomy map'!$A$1:$C$107,2,FALSE),"")</f>
        <v/>
      </c>
      <c r="F5962" s="49" t="str">
        <f>IFERROR(VLOOKUP(E5962,'Condensed Specialty Crosswalk'!$A$2:$C$106,2,FALSE),"")</f>
        <v/>
      </c>
      <c r="G5962" s="49" t="str">
        <f>IFERROR(VLOOKUP(E5962,'Condensed Specialty Crosswalk'!$A$2:$C$106,3,FALSE),"")</f>
        <v/>
      </c>
    </row>
    <row r="5963" spans="5:7" ht="15" customHeight="1">
      <c r="E5963" s="49" t="str">
        <f>IFERROR(VLOOKUP(D5963,'taxonomy map'!$A$1:$C$107,2,FALSE),"")</f>
        <v/>
      </c>
      <c r="F5963" s="49" t="str">
        <f>IFERROR(VLOOKUP(E5963,'Condensed Specialty Crosswalk'!$A$2:$C$106,2,FALSE),"")</f>
        <v/>
      </c>
      <c r="G5963" s="49" t="str">
        <f>IFERROR(VLOOKUP(E5963,'Condensed Specialty Crosswalk'!$A$2:$C$106,3,FALSE),"")</f>
        <v/>
      </c>
    </row>
    <row r="5964" spans="5:7" ht="15" customHeight="1">
      <c r="E5964" s="49" t="str">
        <f>IFERROR(VLOOKUP(D5964,'taxonomy map'!$A$1:$C$107,2,FALSE),"")</f>
        <v/>
      </c>
      <c r="F5964" s="49" t="str">
        <f>IFERROR(VLOOKUP(E5964,'Condensed Specialty Crosswalk'!$A$2:$C$106,2,FALSE),"")</f>
        <v/>
      </c>
      <c r="G5964" s="49" t="str">
        <f>IFERROR(VLOOKUP(E5964,'Condensed Specialty Crosswalk'!$A$2:$C$106,3,FALSE),"")</f>
        <v/>
      </c>
    </row>
    <row r="5965" spans="5:7" ht="15" customHeight="1">
      <c r="E5965" s="49" t="str">
        <f>IFERROR(VLOOKUP(D5965,'taxonomy map'!$A$1:$C$107,2,FALSE),"")</f>
        <v/>
      </c>
      <c r="F5965" s="49" t="str">
        <f>IFERROR(VLOOKUP(E5965,'Condensed Specialty Crosswalk'!$A$2:$C$106,2,FALSE),"")</f>
        <v/>
      </c>
      <c r="G5965" s="49" t="str">
        <f>IFERROR(VLOOKUP(E5965,'Condensed Specialty Crosswalk'!$A$2:$C$106,3,FALSE),"")</f>
        <v/>
      </c>
    </row>
    <row r="5966" spans="5:7" ht="15" customHeight="1">
      <c r="E5966" s="49" t="str">
        <f>IFERROR(VLOOKUP(D5966,'taxonomy map'!$A$1:$C$107,2,FALSE),"")</f>
        <v/>
      </c>
      <c r="F5966" s="49" t="str">
        <f>IFERROR(VLOOKUP(E5966,'Condensed Specialty Crosswalk'!$A$2:$C$106,2,FALSE),"")</f>
        <v/>
      </c>
      <c r="G5966" s="49" t="str">
        <f>IFERROR(VLOOKUP(E5966,'Condensed Specialty Crosswalk'!$A$2:$C$106,3,FALSE),"")</f>
        <v/>
      </c>
    </row>
    <row r="5967" spans="5:7" ht="15" customHeight="1">
      <c r="E5967" s="49" t="str">
        <f>IFERROR(VLOOKUP(D5967,'taxonomy map'!$A$1:$C$107,2,FALSE),"")</f>
        <v/>
      </c>
      <c r="F5967" s="49" t="str">
        <f>IFERROR(VLOOKUP(E5967,'Condensed Specialty Crosswalk'!$A$2:$C$106,2,FALSE),"")</f>
        <v/>
      </c>
      <c r="G5967" s="49" t="str">
        <f>IFERROR(VLOOKUP(E5967,'Condensed Specialty Crosswalk'!$A$2:$C$106,3,FALSE),"")</f>
        <v/>
      </c>
    </row>
    <row r="5968" spans="5:7" ht="15" customHeight="1">
      <c r="E5968" s="49" t="str">
        <f>IFERROR(VLOOKUP(D5968,'taxonomy map'!$A$1:$C$107,2,FALSE),"")</f>
        <v/>
      </c>
      <c r="F5968" s="49" t="str">
        <f>IFERROR(VLOOKUP(E5968,'Condensed Specialty Crosswalk'!$A$2:$C$106,2,FALSE),"")</f>
        <v/>
      </c>
      <c r="G5968" s="49" t="str">
        <f>IFERROR(VLOOKUP(E5968,'Condensed Specialty Crosswalk'!$A$2:$C$106,3,FALSE),"")</f>
        <v/>
      </c>
    </row>
    <row r="5969" spans="5:7" ht="15" customHeight="1">
      <c r="E5969" s="49" t="str">
        <f>IFERROR(VLOOKUP(D5969,'taxonomy map'!$A$1:$C$107,2,FALSE),"")</f>
        <v/>
      </c>
      <c r="F5969" s="49" t="str">
        <f>IFERROR(VLOOKUP(E5969,'Condensed Specialty Crosswalk'!$A$2:$C$106,2,FALSE),"")</f>
        <v/>
      </c>
      <c r="G5969" s="49" t="str">
        <f>IFERROR(VLOOKUP(E5969,'Condensed Specialty Crosswalk'!$A$2:$C$106,3,FALSE),"")</f>
        <v/>
      </c>
    </row>
    <row r="5970" spans="5:7" ht="15" customHeight="1">
      <c r="E5970" s="49" t="str">
        <f>IFERROR(VLOOKUP(D5970,'taxonomy map'!$A$1:$C$107,2,FALSE),"")</f>
        <v/>
      </c>
      <c r="F5970" s="49" t="str">
        <f>IFERROR(VLOOKUP(E5970,'Condensed Specialty Crosswalk'!$A$2:$C$106,2,FALSE),"")</f>
        <v/>
      </c>
      <c r="G5970" s="49" t="str">
        <f>IFERROR(VLOOKUP(E5970,'Condensed Specialty Crosswalk'!$A$2:$C$106,3,FALSE),"")</f>
        <v/>
      </c>
    </row>
    <row r="5971" spans="5:7" ht="15" customHeight="1">
      <c r="E5971" s="49" t="str">
        <f>IFERROR(VLOOKUP(D5971,'taxonomy map'!$A$1:$C$107,2,FALSE),"")</f>
        <v/>
      </c>
      <c r="F5971" s="49" t="str">
        <f>IFERROR(VLOOKUP(E5971,'Condensed Specialty Crosswalk'!$A$2:$C$106,2,FALSE),"")</f>
        <v/>
      </c>
      <c r="G5971" s="49" t="str">
        <f>IFERROR(VLOOKUP(E5971,'Condensed Specialty Crosswalk'!$A$2:$C$106,3,FALSE),"")</f>
        <v/>
      </c>
    </row>
    <row r="5972" spans="5:7" ht="15" customHeight="1">
      <c r="E5972" s="49" t="str">
        <f>IFERROR(VLOOKUP(D5972,'taxonomy map'!$A$1:$C$107,2,FALSE),"")</f>
        <v/>
      </c>
      <c r="F5972" s="49" t="str">
        <f>IFERROR(VLOOKUP(E5972,'Condensed Specialty Crosswalk'!$A$2:$C$106,2,FALSE),"")</f>
        <v/>
      </c>
      <c r="G5972" s="49" t="str">
        <f>IFERROR(VLOOKUP(E5972,'Condensed Specialty Crosswalk'!$A$2:$C$106,3,FALSE),"")</f>
        <v/>
      </c>
    </row>
    <row r="5973" spans="5:7" ht="15" customHeight="1">
      <c r="E5973" s="49" t="str">
        <f>IFERROR(VLOOKUP(D5973,'taxonomy map'!$A$1:$C$107,2,FALSE),"")</f>
        <v/>
      </c>
      <c r="F5973" s="49" t="str">
        <f>IFERROR(VLOOKUP(E5973,'Condensed Specialty Crosswalk'!$A$2:$C$106,2,FALSE),"")</f>
        <v/>
      </c>
      <c r="G5973" s="49" t="str">
        <f>IFERROR(VLOOKUP(E5973,'Condensed Specialty Crosswalk'!$A$2:$C$106,3,FALSE),"")</f>
        <v/>
      </c>
    </row>
    <row r="5974" spans="5:7" ht="15" customHeight="1">
      <c r="E5974" s="49" t="str">
        <f>IFERROR(VLOOKUP(D5974,'taxonomy map'!$A$1:$C$107,2,FALSE),"")</f>
        <v/>
      </c>
      <c r="F5974" s="49" t="str">
        <f>IFERROR(VLOOKUP(E5974,'Condensed Specialty Crosswalk'!$A$2:$C$106,2,FALSE),"")</f>
        <v/>
      </c>
      <c r="G5974" s="49" t="str">
        <f>IFERROR(VLOOKUP(E5974,'Condensed Specialty Crosswalk'!$A$2:$C$106,3,FALSE),"")</f>
        <v/>
      </c>
    </row>
    <row r="5975" spans="5:7" ht="15" customHeight="1">
      <c r="E5975" s="49" t="str">
        <f>IFERROR(VLOOKUP(D5975,'taxonomy map'!$A$1:$C$107,2,FALSE),"")</f>
        <v/>
      </c>
      <c r="F5975" s="49" t="str">
        <f>IFERROR(VLOOKUP(E5975,'Condensed Specialty Crosswalk'!$A$2:$C$106,2,FALSE),"")</f>
        <v/>
      </c>
      <c r="G5975" s="49" t="str">
        <f>IFERROR(VLOOKUP(E5975,'Condensed Specialty Crosswalk'!$A$2:$C$106,3,FALSE),"")</f>
        <v/>
      </c>
    </row>
    <row r="5976" spans="5:7" ht="15" customHeight="1">
      <c r="E5976" s="49" t="str">
        <f>IFERROR(VLOOKUP(D5976,'taxonomy map'!$A$1:$C$107,2,FALSE),"")</f>
        <v/>
      </c>
      <c r="F5976" s="49" t="str">
        <f>IFERROR(VLOOKUP(E5976,'Condensed Specialty Crosswalk'!$A$2:$C$106,2,FALSE),"")</f>
        <v/>
      </c>
      <c r="G5976" s="49" t="str">
        <f>IFERROR(VLOOKUP(E5976,'Condensed Specialty Crosswalk'!$A$2:$C$106,3,FALSE),"")</f>
        <v/>
      </c>
    </row>
    <row r="5977" spans="5:7" ht="15" customHeight="1">
      <c r="E5977" s="49" t="str">
        <f>IFERROR(VLOOKUP(D5977,'taxonomy map'!$A$1:$C$107,2,FALSE),"")</f>
        <v/>
      </c>
      <c r="F5977" s="49" t="str">
        <f>IFERROR(VLOOKUP(E5977,'Condensed Specialty Crosswalk'!$A$2:$C$106,2,FALSE),"")</f>
        <v/>
      </c>
      <c r="G5977" s="49" t="str">
        <f>IFERROR(VLOOKUP(E5977,'Condensed Specialty Crosswalk'!$A$2:$C$106,3,FALSE),"")</f>
        <v/>
      </c>
    </row>
    <row r="5978" spans="5:7" ht="15" customHeight="1">
      <c r="E5978" s="49" t="str">
        <f>IFERROR(VLOOKUP(D5978,'taxonomy map'!$A$1:$C$107,2,FALSE),"")</f>
        <v/>
      </c>
      <c r="F5978" s="49" t="str">
        <f>IFERROR(VLOOKUP(E5978,'Condensed Specialty Crosswalk'!$A$2:$C$106,2,FALSE),"")</f>
        <v/>
      </c>
      <c r="G5978" s="49" t="str">
        <f>IFERROR(VLOOKUP(E5978,'Condensed Specialty Crosswalk'!$A$2:$C$106,3,FALSE),"")</f>
        <v/>
      </c>
    </row>
    <row r="5979" spans="5:7" ht="15" customHeight="1">
      <c r="E5979" s="49" t="str">
        <f>IFERROR(VLOOKUP(D5979,'taxonomy map'!$A$1:$C$107,2,FALSE),"")</f>
        <v/>
      </c>
      <c r="F5979" s="49" t="str">
        <f>IFERROR(VLOOKUP(E5979,'Condensed Specialty Crosswalk'!$A$2:$C$106,2,FALSE),"")</f>
        <v/>
      </c>
      <c r="G5979" s="49" t="str">
        <f>IFERROR(VLOOKUP(E5979,'Condensed Specialty Crosswalk'!$A$2:$C$106,3,FALSE),"")</f>
        <v/>
      </c>
    </row>
    <row r="5980" spans="5:7" ht="15" customHeight="1">
      <c r="E5980" s="49" t="str">
        <f>IFERROR(VLOOKUP(D5980,'taxonomy map'!$A$1:$C$107,2,FALSE),"")</f>
        <v/>
      </c>
      <c r="F5980" s="49" t="str">
        <f>IFERROR(VLOOKUP(E5980,'Condensed Specialty Crosswalk'!$A$2:$C$106,2,FALSE),"")</f>
        <v/>
      </c>
      <c r="G5980" s="49" t="str">
        <f>IFERROR(VLOOKUP(E5980,'Condensed Specialty Crosswalk'!$A$2:$C$106,3,FALSE),"")</f>
        <v/>
      </c>
    </row>
    <row r="5981" spans="5:7" ht="15" customHeight="1">
      <c r="E5981" s="49" t="str">
        <f>IFERROR(VLOOKUP(D5981,'taxonomy map'!$A$1:$C$107,2,FALSE),"")</f>
        <v/>
      </c>
      <c r="F5981" s="49" t="str">
        <f>IFERROR(VLOOKUP(E5981,'Condensed Specialty Crosswalk'!$A$2:$C$106,2,FALSE),"")</f>
        <v/>
      </c>
      <c r="G5981" s="49" t="str">
        <f>IFERROR(VLOOKUP(E5981,'Condensed Specialty Crosswalk'!$A$2:$C$106,3,FALSE),"")</f>
        <v/>
      </c>
    </row>
    <row r="5982" spans="5:7" ht="15" customHeight="1">
      <c r="E5982" s="49" t="str">
        <f>IFERROR(VLOOKUP(D5982,'taxonomy map'!$A$1:$C$107,2,FALSE),"")</f>
        <v/>
      </c>
      <c r="F5982" s="49" t="str">
        <f>IFERROR(VLOOKUP(E5982,'Condensed Specialty Crosswalk'!$A$2:$C$106,2,FALSE),"")</f>
        <v/>
      </c>
      <c r="G5982" s="49" t="str">
        <f>IFERROR(VLOOKUP(E5982,'Condensed Specialty Crosswalk'!$A$2:$C$106,3,FALSE),"")</f>
        <v/>
      </c>
    </row>
    <row r="5983" spans="5:7" ht="15" customHeight="1">
      <c r="E5983" s="49" t="str">
        <f>IFERROR(VLOOKUP(D5983,'taxonomy map'!$A$1:$C$107,2,FALSE),"")</f>
        <v/>
      </c>
      <c r="F5983" s="49" t="str">
        <f>IFERROR(VLOOKUP(E5983,'Condensed Specialty Crosswalk'!$A$2:$C$106,2,FALSE),"")</f>
        <v/>
      </c>
      <c r="G5983" s="49" t="str">
        <f>IFERROR(VLOOKUP(E5983,'Condensed Specialty Crosswalk'!$A$2:$C$106,3,FALSE),"")</f>
        <v/>
      </c>
    </row>
    <row r="5984" spans="5:7" ht="15" customHeight="1">
      <c r="E5984" s="49" t="str">
        <f>IFERROR(VLOOKUP(D5984,'taxonomy map'!$A$1:$C$107,2,FALSE),"")</f>
        <v/>
      </c>
      <c r="F5984" s="49" t="str">
        <f>IFERROR(VLOOKUP(E5984,'Condensed Specialty Crosswalk'!$A$2:$C$106,2,FALSE),"")</f>
        <v/>
      </c>
      <c r="G5984" s="49" t="str">
        <f>IFERROR(VLOOKUP(E5984,'Condensed Specialty Crosswalk'!$A$2:$C$106,3,FALSE),"")</f>
        <v/>
      </c>
    </row>
    <row r="5985" spans="5:7" ht="15" customHeight="1">
      <c r="E5985" s="49" t="str">
        <f>IFERROR(VLOOKUP(D5985,'taxonomy map'!$A$1:$C$107,2,FALSE),"")</f>
        <v/>
      </c>
      <c r="F5985" s="49" t="str">
        <f>IFERROR(VLOOKUP(E5985,'Condensed Specialty Crosswalk'!$A$2:$C$106,2,FALSE),"")</f>
        <v/>
      </c>
      <c r="G5985" s="49" t="str">
        <f>IFERROR(VLOOKUP(E5985,'Condensed Specialty Crosswalk'!$A$2:$C$106,3,FALSE),"")</f>
        <v/>
      </c>
    </row>
    <row r="5986" spans="5:7" ht="15" customHeight="1">
      <c r="E5986" s="49" t="str">
        <f>IFERROR(VLOOKUP(D5986,'taxonomy map'!$A$1:$C$107,2,FALSE),"")</f>
        <v/>
      </c>
      <c r="F5986" s="49" t="str">
        <f>IFERROR(VLOOKUP(E5986,'Condensed Specialty Crosswalk'!$A$2:$C$106,2,FALSE),"")</f>
        <v/>
      </c>
      <c r="G5986" s="49" t="str">
        <f>IFERROR(VLOOKUP(E5986,'Condensed Specialty Crosswalk'!$A$2:$C$106,3,FALSE),"")</f>
        <v/>
      </c>
    </row>
    <row r="5987" spans="5:7" ht="15" customHeight="1">
      <c r="E5987" s="49" t="str">
        <f>IFERROR(VLOOKUP(D5987,'taxonomy map'!$A$1:$C$107,2,FALSE),"")</f>
        <v/>
      </c>
      <c r="F5987" s="49" t="str">
        <f>IFERROR(VLOOKUP(E5987,'Condensed Specialty Crosswalk'!$A$2:$C$106,2,FALSE),"")</f>
        <v/>
      </c>
      <c r="G5987" s="49" t="str">
        <f>IFERROR(VLOOKUP(E5987,'Condensed Specialty Crosswalk'!$A$2:$C$106,3,FALSE),"")</f>
        <v/>
      </c>
    </row>
    <row r="5988" spans="5:7" ht="15" customHeight="1">
      <c r="E5988" s="49" t="str">
        <f>IFERROR(VLOOKUP(D5988,'taxonomy map'!$A$1:$C$107,2,FALSE),"")</f>
        <v/>
      </c>
      <c r="F5988" s="49" t="str">
        <f>IFERROR(VLOOKUP(E5988,'Condensed Specialty Crosswalk'!$A$2:$C$106,2,FALSE),"")</f>
        <v/>
      </c>
      <c r="G5988" s="49" t="str">
        <f>IFERROR(VLOOKUP(E5988,'Condensed Specialty Crosswalk'!$A$2:$C$106,3,FALSE),"")</f>
        <v/>
      </c>
    </row>
    <row r="5989" spans="5:7" ht="15" customHeight="1">
      <c r="E5989" s="49" t="str">
        <f>IFERROR(VLOOKUP(D5989,'taxonomy map'!$A$1:$C$107,2,FALSE),"")</f>
        <v/>
      </c>
      <c r="F5989" s="49" t="str">
        <f>IFERROR(VLOOKUP(E5989,'Condensed Specialty Crosswalk'!$A$2:$C$106,2,FALSE),"")</f>
        <v/>
      </c>
      <c r="G5989" s="49" t="str">
        <f>IFERROR(VLOOKUP(E5989,'Condensed Specialty Crosswalk'!$A$2:$C$106,3,FALSE),"")</f>
        <v/>
      </c>
    </row>
    <row r="5990" spans="5:7" ht="15" customHeight="1">
      <c r="E5990" s="49" t="str">
        <f>IFERROR(VLOOKUP(D5990,'taxonomy map'!$A$1:$C$107,2,FALSE),"")</f>
        <v/>
      </c>
      <c r="F5990" s="49" t="str">
        <f>IFERROR(VLOOKUP(E5990,'Condensed Specialty Crosswalk'!$A$2:$C$106,2,FALSE),"")</f>
        <v/>
      </c>
      <c r="G5990" s="49" t="str">
        <f>IFERROR(VLOOKUP(E5990,'Condensed Specialty Crosswalk'!$A$2:$C$106,3,FALSE),"")</f>
        <v/>
      </c>
    </row>
    <row r="5991" spans="5:7" ht="15" customHeight="1">
      <c r="E5991" s="49" t="str">
        <f>IFERROR(VLOOKUP(D5991,'taxonomy map'!$A$1:$C$107,2,FALSE),"")</f>
        <v/>
      </c>
      <c r="F5991" s="49" t="str">
        <f>IFERROR(VLOOKUP(E5991,'Condensed Specialty Crosswalk'!$A$2:$C$106,2,FALSE),"")</f>
        <v/>
      </c>
      <c r="G5991" s="49" t="str">
        <f>IFERROR(VLOOKUP(E5991,'Condensed Specialty Crosswalk'!$A$2:$C$106,3,FALSE),"")</f>
        <v/>
      </c>
    </row>
    <row r="5992" spans="5:7" ht="15" customHeight="1">
      <c r="E5992" s="49" t="str">
        <f>IFERROR(VLOOKUP(D5992,'taxonomy map'!$A$1:$C$107,2,FALSE),"")</f>
        <v/>
      </c>
      <c r="F5992" s="49" t="str">
        <f>IFERROR(VLOOKUP(E5992,'Condensed Specialty Crosswalk'!$A$2:$C$106,2,FALSE),"")</f>
        <v/>
      </c>
      <c r="G5992" s="49" t="str">
        <f>IFERROR(VLOOKUP(E5992,'Condensed Specialty Crosswalk'!$A$2:$C$106,3,FALSE),"")</f>
        <v/>
      </c>
    </row>
    <row r="5993" spans="5:7" ht="15" customHeight="1">
      <c r="E5993" s="49" t="str">
        <f>IFERROR(VLOOKUP(D5993,'taxonomy map'!$A$1:$C$107,2,FALSE),"")</f>
        <v/>
      </c>
      <c r="F5993" s="49" t="str">
        <f>IFERROR(VLOOKUP(E5993,'Condensed Specialty Crosswalk'!$A$2:$C$106,2,FALSE),"")</f>
        <v/>
      </c>
      <c r="G5993" s="49" t="str">
        <f>IFERROR(VLOOKUP(E5993,'Condensed Specialty Crosswalk'!$A$2:$C$106,3,FALSE),"")</f>
        <v/>
      </c>
    </row>
    <row r="5994" spans="5:7" ht="15" customHeight="1">
      <c r="E5994" s="49" t="str">
        <f>IFERROR(VLOOKUP(D5994,'taxonomy map'!$A$1:$C$107,2,FALSE),"")</f>
        <v/>
      </c>
      <c r="F5994" s="49" t="str">
        <f>IFERROR(VLOOKUP(E5994,'Condensed Specialty Crosswalk'!$A$2:$C$106,2,FALSE),"")</f>
        <v/>
      </c>
      <c r="G5994" s="49" t="str">
        <f>IFERROR(VLOOKUP(E5994,'Condensed Specialty Crosswalk'!$A$2:$C$106,3,FALSE),"")</f>
        <v/>
      </c>
    </row>
    <row r="5995" spans="5:7" ht="15" customHeight="1">
      <c r="E5995" s="49" t="str">
        <f>IFERROR(VLOOKUP(D5995,'taxonomy map'!$A$1:$C$107,2,FALSE),"")</f>
        <v/>
      </c>
      <c r="F5995" s="49" t="str">
        <f>IFERROR(VLOOKUP(E5995,'Condensed Specialty Crosswalk'!$A$2:$C$106,2,FALSE),"")</f>
        <v/>
      </c>
      <c r="G5995" s="49" t="str">
        <f>IFERROR(VLOOKUP(E5995,'Condensed Specialty Crosswalk'!$A$2:$C$106,3,FALSE),"")</f>
        <v/>
      </c>
    </row>
    <row r="5996" spans="5:7" ht="15" customHeight="1">
      <c r="E5996" s="49" t="str">
        <f>IFERROR(VLOOKUP(D5996,'taxonomy map'!$A$1:$C$107,2,FALSE),"")</f>
        <v/>
      </c>
      <c r="F5996" s="49" t="str">
        <f>IFERROR(VLOOKUP(E5996,'Condensed Specialty Crosswalk'!$A$2:$C$106,2,FALSE),"")</f>
        <v/>
      </c>
      <c r="G5996" s="49" t="str">
        <f>IFERROR(VLOOKUP(E5996,'Condensed Specialty Crosswalk'!$A$2:$C$106,3,FALSE),"")</f>
        <v/>
      </c>
    </row>
    <row r="5997" spans="5:7" ht="15" customHeight="1">
      <c r="E5997" s="49" t="str">
        <f>IFERROR(VLOOKUP(D5997,'taxonomy map'!$A$1:$C$107,2,FALSE),"")</f>
        <v/>
      </c>
      <c r="F5997" s="49" t="str">
        <f>IFERROR(VLOOKUP(E5997,'Condensed Specialty Crosswalk'!$A$2:$C$106,2,FALSE),"")</f>
        <v/>
      </c>
      <c r="G5997" s="49" t="str">
        <f>IFERROR(VLOOKUP(E5997,'Condensed Specialty Crosswalk'!$A$2:$C$106,3,FALSE),"")</f>
        <v/>
      </c>
    </row>
    <row r="5998" spans="5:7" ht="15" customHeight="1">
      <c r="E5998" s="49" t="str">
        <f>IFERROR(VLOOKUP(D5998,'taxonomy map'!$A$1:$C$107,2,FALSE),"")</f>
        <v/>
      </c>
      <c r="F5998" s="49" t="str">
        <f>IFERROR(VLOOKUP(E5998,'Condensed Specialty Crosswalk'!$A$2:$C$106,2,FALSE),"")</f>
        <v/>
      </c>
      <c r="G5998" s="49" t="str">
        <f>IFERROR(VLOOKUP(E5998,'Condensed Specialty Crosswalk'!$A$2:$C$106,3,FALSE),"")</f>
        <v/>
      </c>
    </row>
    <row r="5999" spans="5:7" ht="15" customHeight="1">
      <c r="E5999" s="49" t="str">
        <f>IFERROR(VLOOKUP(D5999,'taxonomy map'!$A$1:$C$107,2,FALSE),"")</f>
        <v/>
      </c>
      <c r="F5999" s="49" t="str">
        <f>IFERROR(VLOOKUP(E5999,'Condensed Specialty Crosswalk'!$A$2:$C$106,2,FALSE),"")</f>
        <v/>
      </c>
      <c r="G5999" s="49" t="str">
        <f>IFERROR(VLOOKUP(E5999,'Condensed Specialty Crosswalk'!$A$2:$C$106,3,FALSE),"")</f>
        <v/>
      </c>
    </row>
    <row r="6000" spans="5:7" ht="15" customHeight="1">
      <c r="E6000" s="49" t="str">
        <f>IFERROR(VLOOKUP(D6000,'taxonomy map'!$A$1:$C$107,2,FALSE),"")</f>
        <v/>
      </c>
      <c r="F6000" s="49" t="str">
        <f>IFERROR(VLOOKUP(E6000,'Condensed Specialty Crosswalk'!$A$2:$C$106,2,FALSE),"")</f>
        <v/>
      </c>
      <c r="G6000" s="49" t="str">
        <f>IFERROR(VLOOKUP(E6000,'Condensed Specialty Crosswalk'!$A$2:$C$106,3,FALSE),"")</f>
        <v/>
      </c>
    </row>
    <row r="6001" spans="5:7" ht="15" customHeight="1">
      <c r="E6001" s="49" t="str">
        <f>IFERROR(VLOOKUP(D6001,'taxonomy map'!$A$1:$C$107,2,FALSE),"")</f>
        <v/>
      </c>
      <c r="F6001" s="49" t="str">
        <f>IFERROR(VLOOKUP(E6001,'Condensed Specialty Crosswalk'!$A$2:$C$106,2,FALSE),"")</f>
        <v/>
      </c>
      <c r="G6001" s="49" t="str">
        <f>IFERROR(VLOOKUP(E6001,'Condensed Specialty Crosswalk'!$A$2:$C$106,3,FALSE),"")</f>
        <v/>
      </c>
    </row>
    <row r="6002" spans="5:7" ht="15" customHeight="1">
      <c r="E6002" s="49" t="str">
        <f>IFERROR(VLOOKUP(D6002,'taxonomy map'!$A$1:$C$107,2,FALSE),"")</f>
        <v/>
      </c>
      <c r="F6002" s="49" t="str">
        <f>IFERROR(VLOOKUP(E6002,'Condensed Specialty Crosswalk'!$A$2:$C$106,2,FALSE),"")</f>
        <v/>
      </c>
      <c r="G6002" s="49" t="str">
        <f>IFERROR(VLOOKUP(E6002,'Condensed Specialty Crosswalk'!$A$2:$C$106,3,FALSE),"")</f>
        <v/>
      </c>
    </row>
    <row r="6003" spans="5:7" ht="15" customHeight="1">
      <c r="E6003" s="49" t="str">
        <f>IFERROR(VLOOKUP(D6003,'taxonomy map'!$A$1:$C$107,2,FALSE),"")</f>
        <v/>
      </c>
      <c r="F6003" s="49" t="str">
        <f>IFERROR(VLOOKUP(E6003,'Condensed Specialty Crosswalk'!$A$2:$C$106,2,FALSE),"")</f>
        <v/>
      </c>
      <c r="G6003" s="49" t="str">
        <f>IFERROR(VLOOKUP(E6003,'Condensed Specialty Crosswalk'!$A$2:$C$106,3,FALSE),"")</f>
        <v/>
      </c>
    </row>
    <row r="6004" spans="5:7" ht="15" customHeight="1">
      <c r="E6004" s="49" t="str">
        <f>IFERROR(VLOOKUP(D6004,'taxonomy map'!$A$1:$C$107,2,FALSE),"")</f>
        <v/>
      </c>
      <c r="F6004" s="49" t="str">
        <f>IFERROR(VLOOKUP(E6004,'Condensed Specialty Crosswalk'!$A$2:$C$106,2,FALSE),"")</f>
        <v/>
      </c>
      <c r="G6004" s="49" t="str">
        <f>IFERROR(VLOOKUP(E6004,'Condensed Specialty Crosswalk'!$A$2:$C$106,3,FALSE),"")</f>
        <v/>
      </c>
    </row>
    <row r="6005" spans="5:7" ht="15" customHeight="1">
      <c r="E6005" s="49" t="str">
        <f>IFERROR(VLOOKUP(D6005,'taxonomy map'!$A$1:$C$107,2,FALSE),"")</f>
        <v/>
      </c>
      <c r="F6005" s="49" t="str">
        <f>IFERROR(VLOOKUP(E6005,'Condensed Specialty Crosswalk'!$A$2:$C$106,2,FALSE),"")</f>
        <v/>
      </c>
      <c r="G6005" s="49" t="str">
        <f>IFERROR(VLOOKUP(E6005,'Condensed Specialty Crosswalk'!$A$2:$C$106,3,FALSE),"")</f>
        <v/>
      </c>
    </row>
    <row r="6006" spans="5:7" ht="15" customHeight="1">
      <c r="E6006" s="49" t="str">
        <f>IFERROR(VLOOKUP(D6006,'taxonomy map'!$A$1:$C$107,2,FALSE),"")</f>
        <v/>
      </c>
      <c r="F6006" s="49" t="str">
        <f>IFERROR(VLOOKUP(E6006,'Condensed Specialty Crosswalk'!$A$2:$C$106,2,FALSE),"")</f>
        <v/>
      </c>
      <c r="G6006" s="49" t="str">
        <f>IFERROR(VLOOKUP(E6006,'Condensed Specialty Crosswalk'!$A$2:$C$106,3,FALSE),"")</f>
        <v/>
      </c>
    </row>
    <row r="6007" spans="5:7" ht="15" customHeight="1">
      <c r="E6007" s="49" t="str">
        <f>IFERROR(VLOOKUP(D6007,'taxonomy map'!$A$1:$C$107,2,FALSE),"")</f>
        <v/>
      </c>
      <c r="F6007" s="49" t="str">
        <f>IFERROR(VLOOKUP(E6007,'Condensed Specialty Crosswalk'!$A$2:$C$106,2,FALSE),"")</f>
        <v/>
      </c>
      <c r="G6007" s="49" t="str">
        <f>IFERROR(VLOOKUP(E6007,'Condensed Specialty Crosswalk'!$A$2:$C$106,3,FALSE),"")</f>
        <v/>
      </c>
    </row>
    <row r="6008" spans="5:7" ht="15" customHeight="1">
      <c r="E6008" s="49" t="str">
        <f>IFERROR(VLOOKUP(D6008,'taxonomy map'!$A$1:$C$107,2,FALSE),"")</f>
        <v/>
      </c>
      <c r="F6008" s="49" t="str">
        <f>IFERROR(VLOOKUP(E6008,'Condensed Specialty Crosswalk'!$A$2:$C$106,2,FALSE),"")</f>
        <v/>
      </c>
      <c r="G6008" s="49" t="str">
        <f>IFERROR(VLOOKUP(E6008,'Condensed Specialty Crosswalk'!$A$2:$C$106,3,FALSE),"")</f>
        <v/>
      </c>
    </row>
    <row r="6009" spans="5:7" ht="15" customHeight="1">
      <c r="E6009" s="49" t="str">
        <f>IFERROR(VLOOKUP(D6009,'taxonomy map'!$A$1:$C$107,2,FALSE),"")</f>
        <v/>
      </c>
      <c r="F6009" s="49" t="str">
        <f>IFERROR(VLOOKUP(E6009,'Condensed Specialty Crosswalk'!$A$2:$C$106,2,FALSE),"")</f>
        <v/>
      </c>
      <c r="G6009" s="49" t="str">
        <f>IFERROR(VLOOKUP(E6009,'Condensed Specialty Crosswalk'!$A$2:$C$106,3,FALSE),"")</f>
        <v/>
      </c>
    </row>
    <row r="6010" spans="5:7" ht="15" customHeight="1">
      <c r="E6010" s="49" t="str">
        <f>IFERROR(VLOOKUP(D6010,'taxonomy map'!$A$1:$C$107,2,FALSE),"")</f>
        <v/>
      </c>
      <c r="F6010" s="49" t="str">
        <f>IFERROR(VLOOKUP(E6010,'Condensed Specialty Crosswalk'!$A$2:$C$106,2,FALSE),"")</f>
        <v/>
      </c>
      <c r="G6010" s="49" t="str">
        <f>IFERROR(VLOOKUP(E6010,'Condensed Specialty Crosswalk'!$A$2:$C$106,3,FALSE),"")</f>
        <v/>
      </c>
    </row>
    <row r="6011" spans="5:7" ht="15" customHeight="1">
      <c r="E6011" s="49" t="str">
        <f>IFERROR(VLOOKUP(D6011,'taxonomy map'!$A$1:$C$107,2,FALSE),"")</f>
        <v/>
      </c>
      <c r="F6011" s="49" t="str">
        <f>IFERROR(VLOOKUP(E6011,'Condensed Specialty Crosswalk'!$A$2:$C$106,2,FALSE),"")</f>
        <v/>
      </c>
      <c r="G6011" s="49" t="str">
        <f>IFERROR(VLOOKUP(E6011,'Condensed Specialty Crosswalk'!$A$2:$C$106,3,FALSE),"")</f>
        <v/>
      </c>
    </row>
    <row r="6012" spans="5:7" ht="15" customHeight="1">
      <c r="E6012" s="49" t="str">
        <f>IFERROR(VLOOKUP(D6012,'taxonomy map'!$A$1:$C$107,2,FALSE),"")</f>
        <v/>
      </c>
      <c r="F6012" s="49" t="str">
        <f>IFERROR(VLOOKUP(E6012,'Condensed Specialty Crosswalk'!$A$2:$C$106,2,FALSE),"")</f>
        <v/>
      </c>
      <c r="G6012" s="49" t="str">
        <f>IFERROR(VLOOKUP(E6012,'Condensed Specialty Crosswalk'!$A$2:$C$106,3,FALSE),"")</f>
        <v/>
      </c>
    </row>
    <row r="6013" spans="5:7" ht="15" customHeight="1">
      <c r="E6013" s="49" t="str">
        <f>IFERROR(VLOOKUP(D6013,'taxonomy map'!$A$1:$C$107,2,FALSE),"")</f>
        <v/>
      </c>
      <c r="F6013" s="49" t="str">
        <f>IFERROR(VLOOKUP(E6013,'Condensed Specialty Crosswalk'!$A$2:$C$106,2,FALSE),"")</f>
        <v/>
      </c>
      <c r="G6013" s="49" t="str">
        <f>IFERROR(VLOOKUP(E6013,'Condensed Specialty Crosswalk'!$A$2:$C$106,3,FALSE),"")</f>
        <v/>
      </c>
    </row>
    <row r="6014" spans="5:7" ht="15" customHeight="1">
      <c r="E6014" s="49" t="str">
        <f>IFERROR(VLOOKUP(D6014,'taxonomy map'!$A$1:$C$107,2,FALSE),"")</f>
        <v/>
      </c>
      <c r="F6014" s="49" t="str">
        <f>IFERROR(VLOOKUP(E6014,'Condensed Specialty Crosswalk'!$A$2:$C$106,2,FALSE),"")</f>
        <v/>
      </c>
      <c r="G6014" s="49" t="str">
        <f>IFERROR(VLOOKUP(E6014,'Condensed Specialty Crosswalk'!$A$2:$C$106,3,FALSE),"")</f>
        <v/>
      </c>
    </row>
    <row r="6015" spans="5:7" ht="15" customHeight="1">
      <c r="E6015" s="49" t="str">
        <f>IFERROR(VLOOKUP(D6015,'taxonomy map'!$A$1:$C$107,2,FALSE),"")</f>
        <v/>
      </c>
      <c r="F6015" s="49" t="str">
        <f>IFERROR(VLOOKUP(E6015,'Condensed Specialty Crosswalk'!$A$2:$C$106,2,FALSE),"")</f>
        <v/>
      </c>
      <c r="G6015" s="49" t="str">
        <f>IFERROR(VLOOKUP(E6015,'Condensed Specialty Crosswalk'!$A$2:$C$106,3,FALSE),"")</f>
        <v/>
      </c>
    </row>
    <row r="6016" spans="5:7" ht="15" customHeight="1">
      <c r="E6016" s="49" t="str">
        <f>IFERROR(VLOOKUP(D6016,'taxonomy map'!$A$1:$C$107,2,FALSE),"")</f>
        <v/>
      </c>
      <c r="F6016" s="49" t="str">
        <f>IFERROR(VLOOKUP(E6016,'Condensed Specialty Crosswalk'!$A$2:$C$106,2,FALSE),"")</f>
        <v/>
      </c>
      <c r="G6016" s="49" t="str">
        <f>IFERROR(VLOOKUP(E6016,'Condensed Specialty Crosswalk'!$A$2:$C$106,3,FALSE),"")</f>
        <v/>
      </c>
    </row>
    <row r="6017" spans="5:7" ht="15" customHeight="1">
      <c r="E6017" s="49" t="str">
        <f>IFERROR(VLOOKUP(D6017,'taxonomy map'!$A$1:$C$107,2,FALSE),"")</f>
        <v/>
      </c>
      <c r="F6017" s="49" t="str">
        <f>IFERROR(VLOOKUP(E6017,'Condensed Specialty Crosswalk'!$A$2:$C$106,2,FALSE),"")</f>
        <v/>
      </c>
      <c r="G6017" s="49" t="str">
        <f>IFERROR(VLOOKUP(E6017,'Condensed Specialty Crosswalk'!$A$2:$C$106,3,FALSE),"")</f>
        <v/>
      </c>
    </row>
    <row r="6018" spans="5:7" ht="15" customHeight="1">
      <c r="E6018" s="49" t="str">
        <f>IFERROR(VLOOKUP(D6018,'taxonomy map'!$A$1:$C$107,2,FALSE),"")</f>
        <v/>
      </c>
      <c r="F6018" s="49" t="str">
        <f>IFERROR(VLOOKUP(E6018,'Condensed Specialty Crosswalk'!$A$2:$C$106,2,FALSE),"")</f>
        <v/>
      </c>
      <c r="G6018" s="49" t="str">
        <f>IFERROR(VLOOKUP(E6018,'Condensed Specialty Crosswalk'!$A$2:$C$106,3,FALSE),"")</f>
        <v/>
      </c>
    </row>
    <row r="6019" spans="5:7" ht="15" customHeight="1">
      <c r="E6019" s="49" t="str">
        <f>IFERROR(VLOOKUP(D6019,'taxonomy map'!$A$1:$C$107,2,FALSE),"")</f>
        <v/>
      </c>
      <c r="F6019" s="49" t="str">
        <f>IFERROR(VLOOKUP(E6019,'Condensed Specialty Crosswalk'!$A$2:$C$106,2,FALSE),"")</f>
        <v/>
      </c>
      <c r="G6019" s="49" t="str">
        <f>IFERROR(VLOOKUP(E6019,'Condensed Specialty Crosswalk'!$A$2:$C$106,3,FALSE),"")</f>
        <v/>
      </c>
    </row>
    <row r="6020" spans="5:7" ht="15" customHeight="1">
      <c r="E6020" s="49" t="str">
        <f>IFERROR(VLOOKUP(D6020,'taxonomy map'!$A$1:$C$107,2,FALSE),"")</f>
        <v/>
      </c>
      <c r="F6020" s="49" t="str">
        <f>IFERROR(VLOOKUP(E6020,'Condensed Specialty Crosswalk'!$A$2:$C$106,2,FALSE),"")</f>
        <v/>
      </c>
      <c r="G6020" s="49" t="str">
        <f>IFERROR(VLOOKUP(E6020,'Condensed Specialty Crosswalk'!$A$2:$C$106,3,FALSE),"")</f>
        <v/>
      </c>
    </row>
    <row r="6021" spans="5:7" ht="15" customHeight="1">
      <c r="E6021" s="49" t="str">
        <f>IFERROR(VLOOKUP(D6021,'taxonomy map'!$A$1:$C$107,2,FALSE),"")</f>
        <v/>
      </c>
      <c r="F6021" s="49" t="str">
        <f>IFERROR(VLOOKUP(E6021,'Condensed Specialty Crosswalk'!$A$2:$C$106,2,FALSE),"")</f>
        <v/>
      </c>
      <c r="G6021" s="49" t="str">
        <f>IFERROR(VLOOKUP(E6021,'Condensed Specialty Crosswalk'!$A$2:$C$106,3,FALSE),"")</f>
        <v/>
      </c>
    </row>
    <row r="6022" spans="5:7" ht="15" customHeight="1">
      <c r="E6022" s="49" t="str">
        <f>IFERROR(VLOOKUP(D6022,'taxonomy map'!$A$1:$C$107,2,FALSE),"")</f>
        <v/>
      </c>
      <c r="F6022" s="49" t="str">
        <f>IFERROR(VLOOKUP(E6022,'Condensed Specialty Crosswalk'!$A$2:$C$106,2,FALSE),"")</f>
        <v/>
      </c>
      <c r="G6022" s="49" t="str">
        <f>IFERROR(VLOOKUP(E6022,'Condensed Specialty Crosswalk'!$A$2:$C$106,3,FALSE),"")</f>
        <v/>
      </c>
    </row>
    <row r="6023" spans="5:7" ht="15" customHeight="1">
      <c r="E6023" s="49" t="str">
        <f>IFERROR(VLOOKUP(D6023,'taxonomy map'!$A$1:$C$107,2,FALSE),"")</f>
        <v/>
      </c>
      <c r="F6023" s="49" t="str">
        <f>IFERROR(VLOOKUP(E6023,'Condensed Specialty Crosswalk'!$A$2:$C$106,2,FALSE),"")</f>
        <v/>
      </c>
      <c r="G6023" s="49" t="str">
        <f>IFERROR(VLOOKUP(E6023,'Condensed Specialty Crosswalk'!$A$2:$C$106,3,FALSE),"")</f>
        <v/>
      </c>
    </row>
    <row r="6024" spans="5:7" ht="15" customHeight="1">
      <c r="E6024" s="49" t="str">
        <f>IFERROR(VLOOKUP(D6024,'taxonomy map'!$A$1:$C$107,2,FALSE),"")</f>
        <v/>
      </c>
      <c r="F6024" s="49" t="str">
        <f>IFERROR(VLOOKUP(E6024,'Condensed Specialty Crosswalk'!$A$2:$C$106,2,FALSE),"")</f>
        <v/>
      </c>
      <c r="G6024" s="49" t="str">
        <f>IFERROR(VLOOKUP(E6024,'Condensed Specialty Crosswalk'!$A$2:$C$106,3,FALSE),"")</f>
        <v/>
      </c>
    </row>
    <row r="6025" spans="5:7" ht="15" customHeight="1">
      <c r="E6025" s="49" t="str">
        <f>IFERROR(VLOOKUP(D6025,'taxonomy map'!$A$1:$C$107,2,FALSE),"")</f>
        <v/>
      </c>
      <c r="F6025" s="49" t="str">
        <f>IFERROR(VLOOKUP(E6025,'Condensed Specialty Crosswalk'!$A$2:$C$106,2,FALSE),"")</f>
        <v/>
      </c>
      <c r="G6025" s="49" t="str">
        <f>IFERROR(VLOOKUP(E6025,'Condensed Specialty Crosswalk'!$A$2:$C$106,3,FALSE),"")</f>
        <v/>
      </c>
    </row>
    <row r="6026" spans="5:7" ht="15" customHeight="1">
      <c r="E6026" s="49" t="str">
        <f>IFERROR(VLOOKUP(D6026,'taxonomy map'!$A$1:$C$107,2,FALSE),"")</f>
        <v/>
      </c>
      <c r="F6026" s="49" t="str">
        <f>IFERROR(VLOOKUP(E6026,'Condensed Specialty Crosswalk'!$A$2:$C$106,2,FALSE),"")</f>
        <v/>
      </c>
      <c r="G6026" s="49" t="str">
        <f>IFERROR(VLOOKUP(E6026,'Condensed Specialty Crosswalk'!$A$2:$C$106,3,FALSE),"")</f>
        <v/>
      </c>
    </row>
    <row r="6027" spans="5:7" ht="15" customHeight="1">
      <c r="E6027" s="49" t="str">
        <f>IFERROR(VLOOKUP(D6027,'taxonomy map'!$A$1:$C$107,2,FALSE),"")</f>
        <v/>
      </c>
      <c r="F6027" s="49" t="str">
        <f>IFERROR(VLOOKUP(E6027,'Condensed Specialty Crosswalk'!$A$2:$C$106,2,FALSE),"")</f>
        <v/>
      </c>
      <c r="G6027" s="49" t="str">
        <f>IFERROR(VLOOKUP(E6027,'Condensed Specialty Crosswalk'!$A$2:$C$106,3,FALSE),"")</f>
        <v/>
      </c>
    </row>
    <row r="6028" spans="5:7" ht="15" customHeight="1">
      <c r="E6028" s="49" t="str">
        <f>IFERROR(VLOOKUP(D6028,'taxonomy map'!$A$1:$C$107,2,FALSE),"")</f>
        <v/>
      </c>
      <c r="F6028" s="49" t="str">
        <f>IFERROR(VLOOKUP(E6028,'Condensed Specialty Crosswalk'!$A$2:$C$106,2,FALSE),"")</f>
        <v/>
      </c>
      <c r="G6028" s="49" t="str">
        <f>IFERROR(VLOOKUP(E6028,'Condensed Specialty Crosswalk'!$A$2:$C$106,3,FALSE),"")</f>
        <v/>
      </c>
    </row>
    <row r="6029" spans="5:7" ht="15" customHeight="1">
      <c r="E6029" s="49" t="str">
        <f>IFERROR(VLOOKUP(D6029,'taxonomy map'!$A$1:$C$107,2,FALSE),"")</f>
        <v/>
      </c>
      <c r="F6029" s="49" t="str">
        <f>IFERROR(VLOOKUP(E6029,'Condensed Specialty Crosswalk'!$A$2:$C$106,2,FALSE),"")</f>
        <v/>
      </c>
      <c r="G6029" s="49" t="str">
        <f>IFERROR(VLOOKUP(E6029,'Condensed Specialty Crosswalk'!$A$2:$C$106,3,FALSE),"")</f>
        <v/>
      </c>
    </row>
    <row r="6030" spans="5:7" ht="15" customHeight="1">
      <c r="E6030" s="49" t="str">
        <f>IFERROR(VLOOKUP(D6030,'taxonomy map'!$A$1:$C$107,2,FALSE),"")</f>
        <v/>
      </c>
      <c r="F6030" s="49" t="str">
        <f>IFERROR(VLOOKUP(E6030,'Condensed Specialty Crosswalk'!$A$2:$C$106,2,FALSE),"")</f>
        <v/>
      </c>
      <c r="G6030" s="49" t="str">
        <f>IFERROR(VLOOKUP(E6030,'Condensed Specialty Crosswalk'!$A$2:$C$106,3,FALSE),"")</f>
        <v/>
      </c>
    </row>
    <row r="6031" spans="5:7" ht="15" customHeight="1">
      <c r="E6031" s="49" t="str">
        <f>IFERROR(VLOOKUP(D6031,'taxonomy map'!$A$1:$C$107,2,FALSE),"")</f>
        <v/>
      </c>
      <c r="F6031" s="49" t="str">
        <f>IFERROR(VLOOKUP(E6031,'Condensed Specialty Crosswalk'!$A$2:$C$106,2,FALSE),"")</f>
        <v/>
      </c>
      <c r="G6031" s="49" t="str">
        <f>IFERROR(VLOOKUP(E6031,'Condensed Specialty Crosswalk'!$A$2:$C$106,3,FALSE),"")</f>
        <v/>
      </c>
    </row>
    <row r="6032" spans="5:7" ht="15" customHeight="1">
      <c r="E6032" s="49" t="str">
        <f>IFERROR(VLOOKUP(D6032,'taxonomy map'!$A$1:$C$107,2,FALSE),"")</f>
        <v/>
      </c>
      <c r="F6032" s="49" t="str">
        <f>IFERROR(VLOOKUP(E6032,'Condensed Specialty Crosswalk'!$A$2:$C$106,2,FALSE),"")</f>
        <v/>
      </c>
      <c r="G6032" s="49" t="str">
        <f>IFERROR(VLOOKUP(E6032,'Condensed Specialty Crosswalk'!$A$2:$C$106,3,FALSE),"")</f>
        <v/>
      </c>
    </row>
    <row r="6033" spans="5:7" ht="15" customHeight="1">
      <c r="E6033" s="49" t="str">
        <f>IFERROR(VLOOKUP(D6033,'taxonomy map'!$A$1:$C$107,2,FALSE),"")</f>
        <v/>
      </c>
      <c r="F6033" s="49" t="str">
        <f>IFERROR(VLOOKUP(E6033,'Condensed Specialty Crosswalk'!$A$2:$C$106,2,FALSE),"")</f>
        <v/>
      </c>
      <c r="G6033" s="49" t="str">
        <f>IFERROR(VLOOKUP(E6033,'Condensed Specialty Crosswalk'!$A$2:$C$106,3,FALSE),"")</f>
        <v/>
      </c>
    </row>
    <row r="6034" spans="5:7" ht="15" customHeight="1">
      <c r="E6034" s="49" t="str">
        <f>IFERROR(VLOOKUP(D6034,'taxonomy map'!$A$1:$C$107,2,FALSE),"")</f>
        <v/>
      </c>
      <c r="F6034" s="49" t="str">
        <f>IFERROR(VLOOKUP(E6034,'Condensed Specialty Crosswalk'!$A$2:$C$106,2,FALSE),"")</f>
        <v/>
      </c>
      <c r="G6034" s="49" t="str">
        <f>IFERROR(VLOOKUP(E6034,'Condensed Specialty Crosswalk'!$A$2:$C$106,3,FALSE),"")</f>
        <v/>
      </c>
    </row>
    <row r="6035" spans="5:7" ht="15" customHeight="1">
      <c r="E6035" s="49" t="str">
        <f>IFERROR(VLOOKUP(D6035,'taxonomy map'!$A$1:$C$107,2,FALSE),"")</f>
        <v/>
      </c>
      <c r="F6035" s="49" t="str">
        <f>IFERROR(VLOOKUP(E6035,'Condensed Specialty Crosswalk'!$A$2:$C$106,2,FALSE),"")</f>
        <v/>
      </c>
      <c r="G6035" s="49" t="str">
        <f>IFERROR(VLOOKUP(E6035,'Condensed Specialty Crosswalk'!$A$2:$C$106,3,FALSE),"")</f>
        <v/>
      </c>
    </row>
    <row r="6036" spans="5:7" ht="15" customHeight="1">
      <c r="E6036" s="49" t="str">
        <f>IFERROR(VLOOKUP(D6036,'taxonomy map'!$A$1:$C$107,2,FALSE),"")</f>
        <v/>
      </c>
      <c r="F6036" s="49" t="str">
        <f>IFERROR(VLOOKUP(E6036,'Condensed Specialty Crosswalk'!$A$2:$C$106,2,FALSE),"")</f>
        <v/>
      </c>
      <c r="G6036" s="49" t="str">
        <f>IFERROR(VLOOKUP(E6036,'Condensed Specialty Crosswalk'!$A$2:$C$106,3,FALSE),"")</f>
        <v/>
      </c>
    </row>
    <row r="6037" spans="5:7" ht="15" customHeight="1">
      <c r="E6037" s="49" t="str">
        <f>IFERROR(VLOOKUP(D6037,'taxonomy map'!$A$1:$C$107,2,FALSE),"")</f>
        <v/>
      </c>
      <c r="F6037" s="49" t="str">
        <f>IFERROR(VLOOKUP(E6037,'Condensed Specialty Crosswalk'!$A$2:$C$106,2,FALSE),"")</f>
        <v/>
      </c>
      <c r="G6037" s="49" t="str">
        <f>IFERROR(VLOOKUP(E6037,'Condensed Specialty Crosswalk'!$A$2:$C$106,3,FALSE),"")</f>
        <v/>
      </c>
    </row>
    <row r="6038" spans="5:7" ht="15" customHeight="1">
      <c r="E6038" s="49" t="str">
        <f>IFERROR(VLOOKUP(D6038,'taxonomy map'!$A$1:$C$107,2,FALSE),"")</f>
        <v/>
      </c>
      <c r="F6038" s="49" t="str">
        <f>IFERROR(VLOOKUP(E6038,'Condensed Specialty Crosswalk'!$A$2:$C$106,2,FALSE),"")</f>
        <v/>
      </c>
      <c r="G6038" s="49" t="str">
        <f>IFERROR(VLOOKUP(E6038,'Condensed Specialty Crosswalk'!$A$2:$C$106,3,FALSE),"")</f>
        <v/>
      </c>
    </row>
    <row r="6039" spans="5:7" ht="15" customHeight="1">
      <c r="E6039" s="49" t="str">
        <f>IFERROR(VLOOKUP(D6039,'taxonomy map'!$A$1:$C$107,2,FALSE),"")</f>
        <v/>
      </c>
      <c r="F6039" s="49" t="str">
        <f>IFERROR(VLOOKUP(E6039,'Condensed Specialty Crosswalk'!$A$2:$C$106,2,FALSE),"")</f>
        <v/>
      </c>
      <c r="G6039" s="49" t="str">
        <f>IFERROR(VLOOKUP(E6039,'Condensed Specialty Crosswalk'!$A$2:$C$106,3,FALSE),"")</f>
        <v/>
      </c>
    </row>
    <row r="6040" spans="5:7" ht="15" customHeight="1">
      <c r="E6040" s="49" t="str">
        <f>IFERROR(VLOOKUP(D6040,'taxonomy map'!$A$1:$C$107,2,FALSE),"")</f>
        <v/>
      </c>
      <c r="F6040" s="49" t="str">
        <f>IFERROR(VLOOKUP(E6040,'Condensed Specialty Crosswalk'!$A$2:$C$106,2,FALSE),"")</f>
        <v/>
      </c>
      <c r="G6040" s="49" t="str">
        <f>IFERROR(VLOOKUP(E6040,'Condensed Specialty Crosswalk'!$A$2:$C$106,3,FALSE),"")</f>
        <v/>
      </c>
    </row>
    <row r="6041" spans="5:7" ht="15" customHeight="1">
      <c r="E6041" s="49" t="str">
        <f>IFERROR(VLOOKUP(D6041,'taxonomy map'!$A$1:$C$107,2,FALSE),"")</f>
        <v/>
      </c>
      <c r="F6041" s="49" t="str">
        <f>IFERROR(VLOOKUP(E6041,'Condensed Specialty Crosswalk'!$A$2:$C$106,2,FALSE),"")</f>
        <v/>
      </c>
      <c r="G6041" s="49" t="str">
        <f>IFERROR(VLOOKUP(E6041,'Condensed Specialty Crosswalk'!$A$2:$C$106,3,FALSE),"")</f>
        <v/>
      </c>
    </row>
    <row r="6042" spans="5:7" ht="15" customHeight="1">
      <c r="E6042" s="49" t="str">
        <f>IFERROR(VLOOKUP(D6042,'taxonomy map'!$A$1:$C$107,2,FALSE),"")</f>
        <v/>
      </c>
      <c r="F6042" s="49" t="str">
        <f>IFERROR(VLOOKUP(E6042,'Condensed Specialty Crosswalk'!$A$2:$C$106,2,FALSE),"")</f>
        <v/>
      </c>
      <c r="G6042" s="49" t="str">
        <f>IFERROR(VLOOKUP(E6042,'Condensed Specialty Crosswalk'!$A$2:$C$106,3,FALSE),"")</f>
        <v/>
      </c>
    </row>
    <row r="6043" spans="5:7" ht="15" customHeight="1">
      <c r="E6043" s="49" t="str">
        <f>IFERROR(VLOOKUP(D6043,'taxonomy map'!$A$1:$C$107,2,FALSE),"")</f>
        <v/>
      </c>
      <c r="F6043" s="49" t="str">
        <f>IFERROR(VLOOKUP(E6043,'Condensed Specialty Crosswalk'!$A$2:$C$106,2,FALSE),"")</f>
        <v/>
      </c>
      <c r="G6043" s="49" t="str">
        <f>IFERROR(VLOOKUP(E6043,'Condensed Specialty Crosswalk'!$A$2:$C$106,3,FALSE),"")</f>
        <v/>
      </c>
    </row>
    <row r="6044" spans="5:7" ht="15" customHeight="1">
      <c r="E6044" s="49" t="str">
        <f>IFERROR(VLOOKUP(D6044,'taxonomy map'!$A$1:$C$107,2,FALSE),"")</f>
        <v/>
      </c>
      <c r="F6044" s="49" t="str">
        <f>IFERROR(VLOOKUP(E6044,'Condensed Specialty Crosswalk'!$A$2:$C$106,2,FALSE),"")</f>
        <v/>
      </c>
      <c r="G6044" s="49" t="str">
        <f>IFERROR(VLOOKUP(E6044,'Condensed Specialty Crosswalk'!$A$2:$C$106,3,FALSE),"")</f>
        <v/>
      </c>
    </row>
    <row r="6045" spans="5:7" ht="15" customHeight="1">
      <c r="E6045" s="49" t="str">
        <f>IFERROR(VLOOKUP(D6045,'taxonomy map'!$A$1:$C$107,2,FALSE),"")</f>
        <v/>
      </c>
      <c r="F6045" s="49" t="str">
        <f>IFERROR(VLOOKUP(E6045,'Condensed Specialty Crosswalk'!$A$2:$C$106,2,FALSE),"")</f>
        <v/>
      </c>
      <c r="G6045" s="49" t="str">
        <f>IFERROR(VLOOKUP(E6045,'Condensed Specialty Crosswalk'!$A$2:$C$106,3,FALSE),"")</f>
        <v/>
      </c>
    </row>
    <row r="6046" spans="5:7" ht="15" customHeight="1">
      <c r="E6046" s="49" t="str">
        <f>IFERROR(VLOOKUP(D6046,'taxonomy map'!$A$1:$C$107,2,FALSE),"")</f>
        <v/>
      </c>
      <c r="F6046" s="49" t="str">
        <f>IFERROR(VLOOKUP(E6046,'Condensed Specialty Crosswalk'!$A$2:$C$106,2,FALSE),"")</f>
        <v/>
      </c>
      <c r="G6046" s="49" t="str">
        <f>IFERROR(VLOOKUP(E6046,'Condensed Specialty Crosswalk'!$A$2:$C$106,3,FALSE),"")</f>
        <v/>
      </c>
    </row>
    <row r="6047" spans="5:7" ht="15" customHeight="1">
      <c r="E6047" s="49" t="str">
        <f>IFERROR(VLOOKUP(D6047,'taxonomy map'!$A$1:$C$107,2,FALSE),"")</f>
        <v/>
      </c>
      <c r="F6047" s="49" t="str">
        <f>IFERROR(VLOOKUP(E6047,'Condensed Specialty Crosswalk'!$A$2:$C$106,2,FALSE),"")</f>
        <v/>
      </c>
      <c r="G6047" s="49" t="str">
        <f>IFERROR(VLOOKUP(E6047,'Condensed Specialty Crosswalk'!$A$2:$C$106,3,FALSE),"")</f>
        <v/>
      </c>
    </row>
    <row r="6048" spans="5:7" ht="15" customHeight="1">
      <c r="E6048" s="49" t="str">
        <f>IFERROR(VLOOKUP(D6048,'taxonomy map'!$A$1:$C$107,2,FALSE),"")</f>
        <v/>
      </c>
      <c r="F6048" s="49" t="str">
        <f>IFERROR(VLOOKUP(E6048,'Condensed Specialty Crosswalk'!$A$2:$C$106,2,FALSE),"")</f>
        <v/>
      </c>
      <c r="G6048" s="49" t="str">
        <f>IFERROR(VLOOKUP(E6048,'Condensed Specialty Crosswalk'!$A$2:$C$106,3,FALSE),"")</f>
        <v/>
      </c>
    </row>
    <row r="6049" spans="5:7" ht="15" customHeight="1">
      <c r="E6049" s="49" t="str">
        <f>IFERROR(VLOOKUP(D6049,'taxonomy map'!$A$1:$C$107,2,FALSE),"")</f>
        <v/>
      </c>
      <c r="F6049" s="49" t="str">
        <f>IFERROR(VLOOKUP(E6049,'Condensed Specialty Crosswalk'!$A$2:$C$106,2,FALSE),"")</f>
        <v/>
      </c>
      <c r="G6049" s="49" t="str">
        <f>IFERROR(VLOOKUP(E6049,'Condensed Specialty Crosswalk'!$A$2:$C$106,3,FALSE),"")</f>
        <v/>
      </c>
    </row>
    <row r="6050" spans="5:7" ht="15" customHeight="1">
      <c r="E6050" s="49" t="str">
        <f>IFERROR(VLOOKUP(D6050,'taxonomy map'!$A$1:$C$107,2,FALSE),"")</f>
        <v/>
      </c>
      <c r="F6050" s="49" t="str">
        <f>IFERROR(VLOOKUP(E6050,'Condensed Specialty Crosswalk'!$A$2:$C$106,2,FALSE),"")</f>
        <v/>
      </c>
      <c r="G6050" s="49" t="str">
        <f>IFERROR(VLOOKUP(E6050,'Condensed Specialty Crosswalk'!$A$2:$C$106,3,FALSE),"")</f>
        <v/>
      </c>
    </row>
    <row r="6051" spans="5:7" ht="15" customHeight="1">
      <c r="E6051" s="49" t="str">
        <f>IFERROR(VLOOKUP(D6051,'taxonomy map'!$A$1:$C$107,2,FALSE),"")</f>
        <v/>
      </c>
      <c r="F6051" s="49" t="str">
        <f>IFERROR(VLOOKUP(E6051,'Condensed Specialty Crosswalk'!$A$2:$C$106,2,FALSE),"")</f>
        <v/>
      </c>
      <c r="G6051" s="49" t="str">
        <f>IFERROR(VLOOKUP(E6051,'Condensed Specialty Crosswalk'!$A$2:$C$106,3,FALSE),"")</f>
        <v/>
      </c>
    </row>
    <row r="6052" spans="5:7" ht="15" customHeight="1">
      <c r="E6052" s="49" t="str">
        <f>IFERROR(VLOOKUP(D6052,'taxonomy map'!$A$1:$C$107,2,FALSE),"")</f>
        <v/>
      </c>
      <c r="F6052" s="49" t="str">
        <f>IFERROR(VLOOKUP(E6052,'Condensed Specialty Crosswalk'!$A$2:$C$106,2,FALSE),"")</f>
        <v/>
      </c>
      <c r="G6052" s="49" t="str">
        <f>IFERROR(VLOOKUP(E6052,'Condensed Specialty Crosswalk'!$A$2:$C$106,3,FALSE),"")</f>
        <v/>
      </c>
    </row>
    <row r="6053" spans="5:7" ht="15" customHeight="1">
      <c r="E6053" s="49" t="str">
        <f>IFERROR(VLOOKUP(D6053,'taxonomy map'!$A$1:$C$107,2,FALSE),"")</f>
        <v/>
      </c>
      <c r="F6053" s="49" t="str">
        <f>IFERROR(VLOOKUP(E6053,'Condensed Specialty Crosswalk'!$A$2:$C$106,2,FALSE),"")</f>
        <v/>
      </c>
      <c r="G6053" s="49" t="str">
        <f>IFERROR(VLOOKUP(E6053,'Condensed Specialty Crosswalk'!$A$2:$C$106,3,FALSE),"")</f>
        <v/>
      </c>
    </row>
    <row r="6054" spans="5:7" ht="15" customHeight="1">
      <c r="E6054" s="49" t="str">
        <f>IFERROR(VLOOKUP(D6054,'taxonomy map'!$A$1:$C$107,2,FALSE),"")</f>
        <v/>
      </c>
      <c r="F6054" s="49" t="str">
        <f>IFERROR(VLOOKUP(E6054,'Condensed Specialty Crosswalk'!$A$2:$C$106,2,FALSE),"")</f>
        <v/>
      </c>
      <c r="G6054" s="49" t="str">
        <f>IFERROR(VLOOKUP(E6054,'Condensed Specialty Crosswalk'!$A$2:$C$106,3,FALSE),"")</f>
        <v/>
      </c>
    </row>
    <row r="6055" spans="5:7" ht="15" customHeight="1">
      <c r="E6055" s="49" t="str">
        <f>IFERROR(VLOOKUP(D6055,'taxonomy map'!$A$1:$C$107,2,FALSE),"")</f>
        <v/>
      </c>
      <c r="F6055" s="49" t="str">
        <f>IFERROR(VLOOKUP(E6055,'Condensed Specialty Crosswalk'!$A$2:$C$106,2,FALSE),"")</f>
        <v/>
      </c>
      <c r="G6055" s="49" t="str">
        <f>IFERROR(VLOOKUP(E6055,'Condensed Specialty Crosswalk'!$A$2:$C$106,3,FALSE),"")</f>
        <v/>
      </c>
    </row>
    <row r="6056" spans="5:7" ht="15" customHeight="1">
      <c r="E6056" s="49" t="str">
        <f>IFERROR(VLOOKUP(D6056,'taxonomy map'!$A$1:$C$107,2,FALSE),"")</f>
        <v/>
      </c>
      <c r="F6056" s="49" t="str">
        <f>IFERROR(VLOOKUP(E6056,'Condensed Specialty Crosswalk'!$A$2:$C$106,2,FALSE),"")</f>
        <v/>
      </c>
      <c r="G6056" s="49" t="str">
        <f>IFERROR(VLOOKUP(E6056,'Condensed Specialty Crosswalk'!$A$2:$C$106,3,FALSE),"")</f>
        <v/>
      </c>
    </row>
    <row r="6057" spans="5:7" ht="15" customHeight="1">
      <c r="E6057" s="49" t="str">
        <f>IFERROR(VLOOKUP(D6057,'taxonomy map'!$A$1:$C$107,2,FALSE),"")</f>
        <v/>
      </c>
      <c r="F6057" s="49" t="str">
        <f>IFERROR(VLOOKUP(E6057,'Condensed Specialty Crosswalk'!$A$2:$C$106,2,FALSE),"")</f>
        <v/>
      </c>
      <c r="G6057" s="49" t="str">
        <f>IFERROR(VLOOKUP(E6057,'Condensed Specialty Crosswalk'!$A$2:$C$106,3,FALSE),"")</f>
        <v/>
      </c>
    </row>
    <row r="6058" spans="5:7" ht="15" customHeight="1">
      <c r="E6058" s="49" t="str">
        <f>IFERROR(VLOOKUP(D6058,'taxonomy map'!$A$1:$C$107,2,FALSE),"")</f>
        <v/>
      </c>
      <c r="F6058" s="49" t="str">
        <f>IFERROR(VLOOKUP(E6058,'Condensed Specialty Crosswalk'!$A$2:$C$106,2,FALSE),"")</f>
        <v/>
      </c>
      <c r="G6058" s="49" t="str">
        <f>IFERROR(VLOOKUP(E6058,'Condensed Specialty Crosswalk'!$A$2:$C$106,3,FALSE),"")</f>
        <v/>
      </c>
    </row>
    <row r="6059" spans="5:7" ht="15" customHeight="1">
      <c r="E6059" s="49" t="str">
        <f>IFERROR(VLOOKUP(D6059,'taxonomy map'!$A$1:$C$107,2,FALSE),"")</f>
        <v/>
      </c>
      <c r="F6059" s="49" t="str">
        <f>IFERROR(VLOOKUP(E6059,'Condensed Specialty Crosswalk'!$A$2:$C$106,2,FALSE),"")</f>
        <v/>
      </c>
      <c r="G6059" s="49" t="str">
        <f>IFERROR(VLOOKUP(E6059,'Condensed Specialty Crosswalk'!$A$2:$C$106,3,FALSE),"")</f>
        <v/>
      </c>
    </row>
    <row r="6060" spans="5:7" ht="15" customHeight="1">
      <c r="E6060" s="49" t="str">
        <f>IFERROR(VLOOKUP(D6060,'taxonomy map'!$A$1:$C$107,2,FALSE),"")</f>
        <v/>
      </c>
      <c r="F6060" s="49" t="str">
        <f>IFERROR(VLOOKUP(E6060,'Condensed Specialty Crosswalk'!$A$2:$C$106,2,FALSE),"")</f>
        <v/>
      </c>
      <c r="G6060" s="49" t="str">
        <f>IFERROR(VLOOKUP(E6060,'Condensed Specialty Crosswalk'!$A$2:$C$106,3,FALSE),"")</f>
        <v/>
      </c>
    </row>
    <row r="6061" spans="5:7" ht="15" customHeight="1">
      <c r="E6061" s="49" t="str">
        <f>IFERROR(VLOOKUP(D6061,'taxonomy map'!$A$1:$C$107,2,FALSE),"")</f>
        <v/>
      </c>
      <c r="F6061" s="49" t="str">
        <f>IFERROR(VLOOKUP(E6061,'Condensed Specialty Crosswalk'!$A$2:$C$106,2,FALSE),"")</f>
        <v/>
      </c>
      <c r="G6061" s="49" t="str">
        <f>IFERROR(VLOOKUP(E6061,'Condensed Specialty Crosswalk'!$A$2:$C$106,3,FALSE),"")</f>
        <v/>
      </c>
    </row>
    <row r="6062" spans="5:7" ht="15" customHeight="1">
      <c r="E6062" s="49" t="str">
        <f>IFERROR(VLOOKUP(D6062,'taxonomy map'!$A$1:$C$107,2,FALSE),"")</f>
        <v/>
      </c>
      <c r="F6062" s="49" t="str">
        <f>IFERROR(VLOOKUP(E6062,'Condensed Specialty Crosswalk'!$A$2:$C$106,2,FALSE),"")</f>
        <v/>
      </c>
      <c r="G6062" s="49" t="str">
        <f>IFERROR(VLOOKUP(E6062,'Condensed Specialty Crosswalk'!$A$2:$C$106,3,FALSE),"")</f>
        <v/>
      </c>
    </row>
    <row r="6063" spans="5:7" ht="15" customHeight="1">
      <c r="E6063" s="49" t="str">
        <f>IFERROR(VLOOKUP(D6063,'taxonomy map'!$A$1:$C$107,2,FALSE),"")</f>
        <v/>
      </c>
      <c r="F6063" s="49" t="str">
        <f>IFERROR(VLOOKUP(E6063,'Condensed Specialty Crosswalk'!$A$2:$C$106,2,FALSE),"")</f>
        <v/>
      </c>
      <c r="G6063" s="49" t="str">
        <f>IFERROR(VLOOKUP(E6063,'Condensed Specialty Crosswalk'!$A$2:$C$106,3,FALSE),"")</f>
        <v/>
      </c>
    </row>
    <row r="6064" spans="5:7" ht="15" customHeight="1">
      <c r="E6064" s="49" t="str">
        <f>IFERROR(VLOOKUP(D6064,'taxonomy map'!$A$1:$C$107,2,FALSE),"")</f>
        <v/>
      </c>
      <c r="F6064" s="49" t="str">
        <f>IFERROR(VLOOKUP(E6064,'Condensed Specialty Crosswalk'!$A$2:$C$106,2,FALSE),"")</f>
        <v/>
      </c>
      <c r="G6064" s="49" t="str">
        <f>IFERROR(VLOOKUP(E6064,'Condensed Specialty Crosswalk'!$A$2:$C$106,3,FALSE),"")</f>
        <v/>
      </c>
    </row>
    <row r="6065" spans="5:7" ht="15" customHeight="1">
      <c r="E6065" s="49" t="str">
        <f>IFERROR(VLOOKUP(D6065,'taxonomy map'!$A$1:$C$107,2,FALSE),"")</f>
        <v/>
      </c>
      <c r="F6065" s="49" t="str">
        <f>IFERROR(VLOOKUP(E6065,'Condensed Specialty Crosswalk'!$A$2:$C$106,2,FALSE),"")</f>
        <v/>
      </c>
      <c r="G6065" s="49" t="str">
        <f>IFERROR(VLOOKUP(E6065,'Condensed Specialty Crosswalk'!$A$2:$C$106,3,FALSE),"")</f>
        <v/>
      </c>
    </row>
    <row r="6066" spans="5:7" ht="15" customHeight="1">
      <c r="E6066" s="49" t="str">
        <f>IFERROR(VLOOKUP(D6066,'taxonomy map'!$A$1:$C$107,2,FALSE),"")</f>
        <v/>
      </c>
      <c r="F6066" s="49" t="str">
        <f>IFERROR(VLOOKUP(E6066,'Condensed Specialty Crosswalk'!$A$2:$C$106,2,FALSE),"")</f>
        <v/>
      </c>
      <c r="G6066" s="49" t="str">
        <f>IFERROR(VLOOKUP(E6066,'Condensed Specialty Crosswalk'!$A$2:$C$106,3,FALSE),"")</f>
        <v/>
      </c>
    </row>
    <row r="6067" spans="5:7" ht="15" customHeight="1">
      <c r="E6067" s="49" t="str">
        <f>IFERROR(VLOOKUP(D6067,'taxonomy map'!$A$1:$C$107,2,FALSE),"")</f>
        <v/>
      </c>
      <c r="F6067" s="49" t="str">
        <f>IFERROR(VLOOKUP(E6067,'Condensed Specialty Crosswalk'!$A$2:$C$106,2,FALSE),"")</f>
        <v/>
      </c>
      <c r="G6067" s="49" t="str">
        <f>IFERROR(VLOOKUP(E6067,'Condensed Specialty Crosswalk'!$A$2:$C$106,3,FALSE),"")</f>
        <v/>
      </c>
    </row>
    <row r="6068" spans="5:7" ht="15" customHeight="1">
      <c r="E6068" s="49" t="str">
        <f>IFERROR(VLOOKUP(D6068,'taxonomy map'!$A$1:$C$107,2,FALSE),"")</f>
        <v/>
      </c>
      <c r="F6068" s="49" t="str">
        <f>IFERROR(VLOOKUP(E6068,'Condensed Specialty Crosswalk'!$A$2:$C$106,2,FALSE),"")</f>
        <v/>
      </c>
      <c r="G6068" s="49" t="str">
        <f>IFERROR(VLOOKUP(E6068,'Condensed Specialty Crosswalk'!$A$2:$C$106,3,FALSE),"")</f>
        <v/>
      </c>
    </row>
    <row r="6069" spans="5:7" ht="15" customHeight="1">
      <c r="E6069" s="49" t="str">
        <f>IFERROR(VLOOKUP(D6069,'taxonomy map'!$A$1:$C$107,2,FALSE),"")</f>
        <v/>
      </c>
      <c r="F6069" s="49" t="str">
        <f>IFERROR(VLOOKUP(E6069,'Condensed Specialty Crosswalk'!$A$2:$C$106,2,FALSE),"")</f>
        <v/>
      </c>
      <c r="G6069" s="49" t="str">
        <f>IFERROR(VLOOKUP(E6069,'Condensed Specialty Crosswalk'!$A$2:$C$106,3,FALSE),"")</f>
        <v/>
      </c>
    </row>
    <row r="6070" spans="5:7" ht="15" customHeight="1">
      <c r="E6070" s="49" t="str">
        <f>IFERROR(VLOOKUP(D6070,'taxonomy map'!$A$1:$C$107,2,FALSE),"")</f>
        <v/>
      </c>
      <c r="F6070" s="49" t="str">
        <f>IFERROR(VLOOKUP(E6070,'Condensed Specialty Crosswalk'!$A$2:$C$106,2,FALSE),"")</f>
        <v/>
      </c>
      <c r="G6070" s="49" t="str">
        <f>IFERROR(VLOOKUP(E6070,'Condensed Specialty Crosswalk'!$A$2:$C$106,3,FALSE),"")</f>
        <v/>
      </c>
    </row>
    <row r="6071" spans="5:7" ht="15" customHeight="1">
      <c r="E6071" s="49" t="str">
        <f>IFERROR(VLOOKUP(D6071,'taxonomy map'!$A$1:$C$107,2,FALSE),"")</f>
        <v/>
      </c>
      <c r="F6071" s="49" t="str">
        <f>IFERROR(VLOOKUP(E6071,'Condensed Specialty Crosswalk'!$A$2:$C$106,2,FALSE),"")</f>
        <v/>
      </c>
      <c r="G6071" s="49" t="str">
        <f>IFERROR(VLOOKUP(E6071,'Condensed Specialty Crosswalk'!$A$2:$C$106,3,FALSE),"")</f>
        <v/>
      </c>
    </row>
    <row r="6072" spans="5:7" ht="15" customHeight="1">
      <c r="E6072" s="49" t="str">
        <f>IFERROR(VLOOKUP(D6072,'taxonomy map'!$A$1:$C$107,2,FALSE),"")</f>
        <v/>
      </c>
      <c r="F6072" s="49" t="str">
        <f>IFERROR(VLOOKUP(E6072,'Condensed Specialty Crosswalk'!$A$2:$C$106,2,FALSE),"")</f>
        <v/>
      </c>
      <c r="G6072" s="49" t="str">
        <f>IFERROR(VLOOKUP(E6072,'Condensed Specialty Crosswalk'!$A$2:$C$106,3,FALSE),"")</f>
        <v/>
      </c>
    </row>
    <row r="6073" spans="5:7" ht="15" customHeight="1">
      <c r="E6073" s="49" t="str">
        <f>IFERROR(VLOOKUP(D6073,'taxonomy map'!$A$1:$C$107,2,FALSE),"")</f>
        <v/>
      </c>
      <c r="F6073" s="49" t="str">
        <f>IFERROR(VLOOKUP(E6073,'Condensed Specialty Crosswalk'!$A$2:$C$106,2,FALSE),"")</f>
        <v/>
      </c>
      <c r="G6073" s="49" t="str">
        <f>IFERROR(VLOOKUP(E6073,'Condensed Specialty Crosswalk'!$A$2:$C$106,3,FALSE),"")</f>
        <v/>
      </c>
    </row>
    <row r="6074" spans="5:7" ht="15" customHeight="1">
      <c r="E6074" s="49" t="str">
        <f>IFERROR(VLOOKUP(D6074,'taxonomy map'!$A$1:$C$107,2,FALSE),"")</f>
        <v/>
      </c>
      <c r="F6074" s="49" t="str">
        <f>IFERROR(VLOOKUP(E6074,'Condensed Specialty Crosswalk'!$A$2:$C$106,2,FALSE),"")</f>
        <v/>
      </c>
      <c r="G6074" s="49" t="str">
        <f>IFERROR(VLOOKUP(E6074,'Condensed Specialty Crosswalk'!$A$2:$C$106,3,FALSE),"")</f>
        <v/>
      </c>
    </row>
    <row r="6075" spans="5:7" ht="15" customHeight="1">
      <c r="E6075" s="49" t="str">
        <f>IFERROR(VLOOKUP(D6075,'taxonomy map'!$A$1:$C$107,2,FALSE),"")</f>
        <v/>
      </c>
      <c r="F6075" s="49" t="str">
        <f>IFERROR(VLOOKUP(E6075,'Condensed Specialty Crosswalk'!$A$2:$C$106,2,FALSE),"")</f>
        <v/>
      </c>
      <c r="G6075" s="49" t="str">
        <f>IFERROR(VLOOKUP(E6075,'Condensed Specialty Crosswalk'!$A$2:$C$106,3,FALSE),"")</f>
        <v/>
      </c>
    </row>
    <row r="6076" spans="5:7" ht="15" customHeight="1">
      <c r="E6076" s="49" t="str">
        <f>IFERROR(VLOOKUP(D6076,'taxonomy map'!$A$1:$C$107,2,FALSE),"")</f>
        <v/>
      </c>
      <c r="F6076" s="49" t="str">
        <f>IFERROR(VLOOKUP(E6076,'Condensed Specialty Crosswalk'!$A$2:$C$106,2,FALSE),"")</f>
        <v/>
      </c>
      <c r="G6076" s="49" t="str">
        <f>IFERROR(VLOOKUP(E6076,'Condensed Specialty Crosswalk'!$A$2:$C$106,3,FALSE),"")</f>
        <v/>
      </c>
    </row>
    <row r="6077" spans="5:7" ht="15" customHeight="1">
      <c r="E6077" s="49" t="str">
        <f>IFERROR(VLOOKUP(D6077,'taxonomy map'!$A$1:$C$107,2,FALSE),"")</f>
        <v/>
      </c>
      <c r="F6077" s="49" t="str">
        <f>IFERROR(VLOOKUP(E6077,'Condensed Specialty Crosswalk'!$A$2:$C$106,2,FALSE),"")</f>
        <v/>
      </c>
      <c r="G6077" s="49" t="str">
        <f>IFERROR(VLOOKUP(E6077,'Condensed Specialty Crosswalk'!$A$2:$C$106,3,FALSE),"")</f>
        <v/>
      </c>
    </row>
    <row r="6078" spans="5:7" ht="15" customHeight="1">
      <c r="E6078" s="49" t="str">
        <f>IFERROR(VLOOKUP(D6078,'taxonomy map'!$A$1:$C$107,2,FALSE),"")</f>
        <v/>
      </c>
      <c r="F6078" s="49" t="str">
        <f>IFERROR(VLOOKUP(E6078,'Condensed Specialty Crosswalk'!$A$2:$C$106,2,FALSE),"")</f>
        <v/>
      </c>
      <c r="G6078" s="49" t="str">
        <f>IFERROR(VLOOKUP(E6078,'Condensed Specialty Crosswalk'!$A$2:$C$106,3,FALSE),"")</f>
        <v/>
      </c>
    </row>
    <row r="6079" spans="5:7" ht="15" customHeight="1">
      <c r="E6079" s="49" t="str">
        <f>IFERROR(VLOOKUP(D6079,'taxonomy map'!$A$1:$C$107,2,FALSE),"")</f>
        <v/>
      </c>
      <c r="F6079" s="49" t="str">
        <f>IFERROR(VLOOKUP(E6079,'Condensed Specialty Crosswalk'!$A$2:$C$106,2,FALSE),"")</f>
        <v/>
      </c>
      <c r="G6079" s="49" t="str">
        <f>IFERROR(VLOOKUP(E6079,'Condensed Specialty Crosswalk'!$A$2:$C$106,3,FALSE),"")</f>
        <v/>
      </c>
    </row>
    <row r="6080" spans="5:7" ht="15" customHeight="1">
      <c r="E6080" s="49" t="str">
        <f>IFERROR(VLOOKUP(D6080,'taxonomy map'!$A$1:$C$107,2,FALSE),"")</f>
        <v/>
      </c>
      <c r="F6080" s="49" t="str">
        <f>IFERROR(VLOOKUP(E6080,'Condensed Specialty Crosswalk'!$A$2:$C$106,2,FALSE),"")</f>
        <v/>
      </c>
      <c r="G6080" s="49" t="str">
        <f>IFERROR(VLOOKUP(E6080,'Condensed Specialty Crosswalk'!$A$2:$C$106,3,FALSE),"")</f>
        <v/>
      </c>
    </row>
    <row r="6081" spans="5:7" ht="15" customHeight="1">
      <c r="E6081" s="49" t="str">
        <f>IFERROR(VLOOKUP(D6081,'taxonomy map'!$A$1:$C$107,2,FALSE),"")</f>
        <v/>
      </c>
      <c r="F6081" s="49" t="str">
        <f>IFERROR(VLOOKUP(E6081,'Condensed Specialty Crosswalk'!$A$2:$C$106,2,FALSE),"")</f>
        <v/>
      </c>
      <c r="G6081" s="49" t="str">
        <f>IFERROR(VLOOKUP(E6081,'Condensed Specialty Crosswalk'!$A$2:$C$106,3,FALSE),"")</f>
        <v/>
      </c>
    </row>
    <row r="6082" spans="5:7" ht="15" customHeight="1">
      <c r="E6082" s="49" t="str">
        <f>IFERROR(VLOOKUP(D6082,'taxonomy map'!$A$1:$C$107,2,FALSE),"")</f>
        <v/>
      </c>
      <c r="F6082" s="49" t="str">
        <f>IFERROR(VLOOKUP(E6082,'Condensed Specialty Crosswalk'!$A$2:$C$106,2,FALSE),"")</f>
        <v/>
      </c>
      <c r="G6082" s="49" t="str">
        <f>IFERROR(VLOOKUP(E6082,'Condensed Specialty Crosswalk'!$A$2:$C$106,3,FALSE),"")</f>
        <v/>
      </c>
    </row>
    <row r="6083" spans="5:7" ht="15" customHeight="1">
      <c r="E6083" s="49" t="str">
        <f>IFERROR(VLOOKUP(D6083,'taxonomy map'!$A$1:$C$107,2,FALSE),"")</f>
        <v/>
      </c>
      <c r="F6083" s="49" t="str">
        <f>IFERROR(VLOOKUP(E6083,'Condensed Specialty Crosswalk'!$A$2:$C$106,2,FALSE),"")</f>
        <v/>
      </c>
      <c r="G6083" s="49" t="str">
        <f>IFERROR(VLOOKUP(E6083,'Condensed Specialty Crosswalk'!$A$2:$C$106,3,FALSE),"")</f>
        <v/>
      </c>
    </row>
    <row r="6084" spans="5:7" ht="15" customHeight="1">
      <c r="E6084" s="49" t="str">
        <f>IFERROR(VLOOKUP(D6084,'taxonomy map'!$A$1:$C$107,2,FALSE),"")</f>
        <v/>
      </c>
      <c r="F6084" s="49" t="str">
        <f>IFERROR(VLOOKUP(E6084,'Condensed Specialty Crosswalk'!$A$2:$C$106,2,FALSE),"")</f>
        <v/>
      </c>
      <c r="G6084" s="49" t="str">
        <f>IFERROR(VLOOKUP(E6084,'Condensed Specialty Crosswalk'!$A$2:$C$106,3,FALSE),"")</f>
        <v/>
      </c>
    </row>
    <row r="6085" spans="5:7" ht="15" customHeight="1">
      <c r="E6085" s="49" t="str">
        <f>IFERROR(VLOOKUP(D6085,'taxonomy map'!$A$1:$C$107,2,FALSE),"")</f>
        <v/>
      </c>
      <c r="F6085" s="49" t="str">
        <f>IFERROR(VLOOKUP(E6085,'Condensed Specialty Crosswalk'!$A$2:$C$106,2,FALSE),"")</f>
        <v/>
      </c>
      <c r="G6085" s="49" t="str">
        <f>IFERROR(VLOOKUP(E6085,'Condensed Specialty Crosswalk'!$A$2:$C$106,3,FALSE),"")</f>
        <v/>
      </c>
    </row>
    <row r="6086" spans="5:7" ht="15" customHeight="1">
      <c r="E6086" s="49" t="str">
        <f>IFERROR(VLOOKUP(D6086,'taxonomy map'!$A$1:$C$107,2,FALSE),"")</f>
        <v/>
      </c>
      <c r="F6086" s="49" t="str">
        <f>IFERROR(VLOOKUP(E6086,'Condensed Specialty Crosswalk'!$A$2:$C$106,2,FALSE),"")</f>
        <v/>
      </c>
      <c r="G6086" s="49" t="str">
        <f>IFERROR(VLOOKUP(E6086,'Condensed Specialty Crosswalk'!$A$2:$C$106,3,FALSE),"")</f>
        <v/>
      </c>
    </row>
    <row r="6087" spans="5:7" ht="15" customHeight="1">
      <c r="E6087" s="49" t="str">
        <f>IFERROR(VLOOKUP(D6087,'taxonomy map'!$A$1:$C$107,2,FALSE),"")</f>
        <v/>
      </c>
      <c r="F6087" s="49" t="str">
        <f>IFERROR(VLOOKUP(E6087,'Condensed Specialty Crosswalk'!$A$2:$C$106,2,FALSE),"")</f>
        <v/>
      </c>
      <c r="G6087" s="49" t="str">
        <f>IFERROR(VLOOKUP(E6087,'Condensed Specialty Crosswalk'!$A$2:$C$106,3,FALSE),"")</f>
        <v/>
      </c>
    </row>
    <row r="6088" spans="5:7" ht="15" customHeight="1">
      <c r="E6088" s="49" t="str">
        <f>IFERROR(VLOOKUP(D6088,'taxonomy map'!$A$1:$C$107,2,FALSE),"")</f>
        <v/>
      </c>
      <c r="F6088" s="49" t="str">
        <f>IFERROR(VLOOKUP(E6088,'Condensed Specialty Crosswalk'!$A$2:$C$106,2,FALSE),"")</f>
        <v/>
      </c>
      <c r="G6088" s="49" t="str">
        <f>IFERROR(VLOOKUP(E6088,'Condensed Specialty Crosswalk'!$A$2:$C$106,3,FALSE),"")</f>
        <v/>
      </c>
    </row>
    <row r="6089" spans="5:7" ht="15" customHeight="1">
      <c r="E6089" s="49" t="str">
        <f>IFERROR(VLOOKUP(D6089,'taxonomy map'!$A$1:$C$107,2,FALSE),"")</f>
        <v/>
      </c>
      <c r="F6089" s="49" t="str">
        <f>IFERROR(VLOOKUP(E6089,'Condensed Specialty Crosswalk'!$A$2:$C$106,2,FALSE),"")</f>
        <v/>
      </c>
      <c r="G6089" s="49" t="str">
        <f>IFERROR(VLOOKUP(E6089,'Condensed Specialty Crosswalk'!$A$2:$C$106,3,FALSE),"")</f>
        <v/>
      </c>
    </row>
    <row r="6090" spans="5:7" ht="15" customHeight="1">
      <c r="E6090" s="49" t="str">
        <f>IFERROR(VLOOKUP(D6090,'taxonomy map'!$A$1:$C$107,2,FALSE),"")</f>
        <v/>
      </c>
      <c r="F6090" s="49" t="str">
        <f>IFERROR(VLOOKUP(E6090,'Condensed Specialty Crosswalk'!$A$2:$C$106,2,FALSE),"")</f>
        <v/>
      </c>
      <c r="G6090" s="49" t="str">
        <f>IFERROR(VLOOKUP(E6090,'Condensed Specialty Crosswalk'!$A$2:$C$106,3,FALSE),"")</f>
        <v/>
      </c>
    </row>
    <row r="6091" spans="5:7" ht="15" customHeight="1">
      <c r="E6091" s="49" t="str">
        <f>IFERROR(VLOOKUP(D6091,'taxonomy map'!$A$1:$C$107,2,FALSE),"")</f>
        <v/>
      </c>
      <c r="F6091" s="49" t="str">
        <f>IFERROR(VLOOKUP(E6091,'Condensed Specialty Crosswalk'!$A$2:$C$106,2,FALSE),"")</f>
        <v/>
      </c>
      <c r="G6091" s="49" t="str">
        <f>IFERROR(VLOOKUP(E6091,'Condensed Specialty Crosswalk'!$A$2:$C$106,3,FALSE),"")</f>
        <v/>
      </c>
    </row>
    <row r="6092" spans="5:7" ht="15" customHeight="1">
      <c r="E6092" s="49" t="str">
        <f>IFERROR(VLOOKUP(D6092,'taxonomy map'!$A$1:$C$107,2,FALSE),"")</f>
        <v/>
      </c>
      <c r="F6092" s="49" t="str">
        <f>IFERROR(VLOOKUP(E6092,'Condensed Specialty Crosswalk'!$A$2:$C$106,2,FALSE),"")</f>
        <v/>
      </c>
      <c r="G6092" s="49" t="str">
        <f>IFERROR(VLOOKUP(E6092,'Condensed Specialty Crosswalk'!$A$2:$C$106,3,FALSE),"")</f>
        <v/>
      </c>
    </row>
    <row r="6093" spans="5:7" ht="15" customHeight="1">
      <c r="E6093" s="49" t="str">
        <f>IFERROR(VLOOKUP(D6093,'taxonomy map'!$A$1:$C$107,2,FALSE),"")</f>
        <v/>
      </c>
      <c r="F6093" s="49" t="str">
        <f>IFERROR(VLOOKUP(E6093,'Condensed Specialty Crosswalk'!$A$2:$C$106,2,FALSE),"")</f>
        <v/>
      </c>
      <c r="G6093" s="49" t="str">
        <f>IFERROR(VLOOKUP(E6093,'Condensed Specialty Crosswalk'!$A$2:$C$106,3,FALSE),"")</f>
        <v/>
      </c>
    </row>
    <row r="6094" spans="5:7" ht="15" customHeight="1">
      <c r="E6094" s="49" t="str">
        <f>IFERROR(VLOOKUP(D6094,'taxonomy map'!$A$1:$C$107,2,FALSE),"")</f>
        <v/>
      </c>
      <c r="F6094" s="49" t="str">
        <f>IFERROR(VLOOKUP(E6094,'Condensed Specialty Crosswalk'!$A$2:$C$106,2,FALSE),"")</f>
        <v/>
      </c>
      <c r="G6094" s="49" t="str">
        <f>IFERROR(VLOOKUP(E6094,'Condensed Specialty Crosswalk'!$A$2:$C$106,3,FALSE),"")</f>
        <v/>
      </c>
    </row>
    <row r="6095" spans="5:7" ht="15" customHeight="1">
      <c r="E6095" s="49" t="str">
        <f>IFERROR(VLOOKUP(D6095,'taxonomy map'!$A$1:$C$107,2,FALSE),"")</f>
        <v/>
      </c>
      <c r="F6095" s="49" t="str">
        <f>IFERROR(VLOOKUP(E6095,'Condensed Specialty Crosswalk'!$A$2:$C$106,2,FALSE),"")</f>
        <v/>
      </c>
      <c r="G6095" s="49" t="str">
        <f>IFERROR(VLOOKUP(E6095,'Condensed Specialty Crosswalk'!$A$2:$C$106,3,FALSE),"")</f>
        <v/>
      </c>
    </row>
    <row r="6096" spans="5:7" ht="15" customHeight="1">
      <c r="E6096" s="49" t="str">
        <f>IFERROR(VLOOKUP(D6096,'taxonomy map'!$A$1:$C$107,2,FALSE),"")</f>
        <v/>
      </c>
      <c r="F6096" s="49" t="str">
        <f>IFERROR(VLOOKUP(E6096,'Condensed Specialty Crosswalk'!$A$2:$C$106,2,FALSE),"")</f>
        <v/>
      </c>
      <c r="G6096" s="49" t="str">
        <f>IFERROR(VLOOKUP(E6096,'Condensed Specialty Crosswalk'!$A$2:$C$106,3,FALSE),"")</f>
        <v/>
      </c>
    </row>
    <row r="6097" spans="5:7" ht="15" customHeight="1">
      <c r="E6097" s="49" t="str">
        <f>IFERROR(VLOOKUP(D6097,'taxonomy map'!$A$1:$C$107,2,FALSE),"")</f>
        <v/>
      </c>
      <c r="F6097" s="49" t="str">
        <f>IFERROR(VLOOKUP(E6097,'Condensed Specialty Crosswalk'!$A$2:$C$106,2,FALSE),"")</f>
        <v/>
      </c>
      <c r="G6097" s="49" t="str">
        <f>IFERROR(VLOOKUP(E6097,'Condensed Specialty Crosswalk'!$A$2:$C$106,3,FALSE),"")</f>
        <v/>
      </c>
    </row>
    <row r="6098" spans="5:7" ht="15" customHeight="1">
      <c r="E6098" s="49" t="str">
        <f>IFERROR(VLOOKUP(D6098,'taxonomy map'!$A$1:$C$107,2,FALSE),"")</f>
        <v/>
      </c>
      <c r="F6098" s="49" t="str">
        <f>IFERROR(VLOOKUP(E6098,'Condensed Specialty Crosswalk'!$A$2:$C$106,2,FALSE),"")</f>
        <v/>
      </c>
      <c r="G6098" s="49" t="str">
        <f>IFERROR(VLOOKUP(E6098,'Condensed Specialty Crosswalk'!$A$2:$C$106,3,FALSE),"")</f>
        <v/>
      </c>
    </row>
    <row r="6099" spans="5:7" ht="15" customHeight="1">
      <c r="E6099" s="49" t="str">
        <f>IFERROR(VLOOKUP(D6099,'taxonomy map'!$A$1:$C$107,2,FALSE),"")</f>
        <v/>
      </c>
      <c r="F6099" s="49" t="str">
        <f>IFERROR(VLOOKUP(E6099,'Condensed Specialty Crosswalk'!$A$2:$C$106,2,FALSE),"")</f>
        <v/>
      </c>
      <c r="G6099" s="49" t="str">
        <f>IFERROR(VLOOKUP(E6099,'Condensed Specialty Crosswalk'!$A$2:$C$106,3,FALSE),"")</f>
        <v/>
      </c>
    </row>
    <row r="6100" spans="5:7" ht="15" customHeight="1">
      <c r="E6100" s="49" t="str">
        <f>IFERROR(VLOOKUP(D6100,'taxonomy map'!$A$1:$C$107,2,FALSE),"")</f>
        <v/>
      </c>
      <c r="F6100" s="49" t="str">
        <f>IFERROR(VLOOKUP(E6100,'Condensed Specialty Crosswalk'!$A$2:$C$106,2,FALSE),"")</f>
        <v/>
      </c>
      <c r="G6100" s="49" t="str">
        <f>IFERROR(VLOOKUP(E6100,'Condensed Specialty Crosswalk'!$A$2:$C$106,3,FALSE),"")</f>
        <v/>
      </c>
    </row>
    <row r="6101" spans="5:7" ht="15" customHeight="1">
      <c r="E6101" s="49" t="str">
        <f>IFERROR(VLOOKUP(D6101,'taxonomy map'!$A$1:$C$107,2,FALSE),"")</f>
        <v/>
      </c>
      <c r="F6101" s="49" t="str">
        <f>IFERROR(VLOOKUP(E6101,'Condensed Specialty Crosswalk'!$A$2:$C$106,2,FALSE),"")</f>
        <v/>
      </c>
      <c r="G6101" s="49" t="str">
        <f>IFERROR(VLOOKUP(E6101,'Condensed Specialty Crosswalk'!$A$2:$C$106,3,FALSE),"")</f>
        <v/>
      </c>
    </row>
    <row r="6102" spans="5:7" ht="15" customHeight="1">
      <c r="E6102" s="49" t="str">
        <f>IFERROR(VLOOKUP(D6102,'taxonomy map'!$A$1:$C$107,2,FALSE),"")</f>
        <v/>
      </c>
      <c r="F6102" s="49" t="str">
        <f>IFERROR(VLOOKUP(E6102,'Condensed Specialty Crosswalk'!$A$2:$C$106,2,FALSE),"")</f>
        <v/>
      </c>
      <c r="G6102" s="49" t="str">
        <f>IFERROR(VLOOKUP(E6102,'Condensed Specialty Crosswalk'!$A$2:$C$106,3,FALSE),"")</f>
        <v/>
      </c>
    </row>
    <row r="6103" spans="5:7" ht="15" customHeight="1">
      <c r="E6103" s="49" t="str">
        <f>IFERROR(VLOOKUP(D6103,'taxonomy map'!$A$1:$C$107,2,FALSE),"")</f>
        <v/>
      </c>
      <c r="F6103" s="49" t="str">
        <f>IFERROR(VLOOKUP(E6103,'Condensed Specialty Crosswalk'!$A$2:$C$106,2,FALSE),"")</f>
        <v/>
      </c>
      <c r="G6103" s="49" t="str">
        <f>IFERROR(VLOOKUP(E6103,'Condensed Specialty Crosswalk'!$A$2:$C$106,3,FALSE),"")</f>
        <v/>
      </c>
    </row>
    <row r="6104" spans="5:7" ht="15" customHeight="1">
      <c r="E6104" s="49" t="str">
        <f>IFERROR(VLOOKUP(D6104,'taxonomy map'!$A$1:$C$107,2,FALSE),"")</f>
        <v/>
      </c>
      <c r="F6104" s="49" t="str">
        <f>IFERROR(VLOOKUP(E6104,'Condensed Specialty Crosswalk'!$A$2:$C$106,2,FALSE),"")</f>
        <v/>
      </c>
      <c r="G6104" s="49" t="str">
        <f>IFERROR(VLOOKUP(E6104,'Condensed Specialty Crosswalk'!$A$2:$C$106,3,FALSE),"")</f>
        <v/>
      </c>
    </row>
    <row r="6105" spans="5:7" ht="15" customHeight="1">
      <c r="E6105" s="49" t="str">
        <f>IFERROR(VLOOKUP(D6105,'taxonomy map'!$A$1:$C$107,2,FALSE),"")</f>
        <v/>
      </c>
      <c r="F6105" s="49" t="str">
        <f>IFERROR(VLOOKUP(E6105,'Condensed Specialty Crosswalk'!$A$2:$C$106,2,FALSE),"")</f>
        <v/>
      </c>
      <c r="G6105" s="49" t="str">
        <f>IFERROR(VLOOKUP(E6105,'Condensed Specialty Crosswalk'!$A$2:$C$106,3,FALSE),"")</f>
        <v/>
      </c>
    </row>
    <row r="6106" spans="5:7" ht="15" customHeight="1">
      <c r="E6106" s="49" t="str">
        <f>IFERROR(VLOOKUP(D6106,'taxonomy map'!$A$1:$C$107,2,FALSE),"")</f>
        <v/>
      </c>
      <c r="F6106" s="49" t="str">
        <f>IFERROR(VLOOKUP(E6106,'Condensed Specialty Crosswalk'!$A$2:$C$106,2,FALSE),"")</f>
        <v/>
      </c>
      <c r="G6106" s="49" t="str">
        <f>IFERROR(VLOOKUP(E6106,'Condensed Specialty Crosswalk'!$A$2:$C$106,3,FALSE),"")</f>
        <v/>
      </c>
    </row>
    <row r="6107" spans="5:7" ht="15" customHeight="1">
      <c r="E6107" s="49" t="str">
        <f>IFERROR(VLOOKUP(D6107,'taxonomy map'!$A$1:$C$107,2,FALSE),"")</f>
        <v/>
      </c>
      <c r="F6107" s="49" t="str">
        <f>IFERROR(VLOOKUP(E6107,'Condensed Specialty Crosswalk'!$A$2:$C$106,2,FALSE),"")</f>
        <v/>
      </c>
      <c r="G6107" s="49" t="str">
        <f>IFERROR(VLOOKUP(E6107,'Condensed Specialty Crosswalk'!$A$2:$C$106,3,FALSE),"")</f>
        <v/>
      </c>
    </row>
    <row r="6108" spans="5:7" ht="15" customHeight="1">
      <c r="E6108" s="49" t="str">
        <f>IFERROR(VLOOKUP(D6108,'taxonomy map'!$A$1:$C$107,2,FALSE),"")</f>
        <v/>
      </c>
      <c r="F6108" s="49" t="str">
        <f>IFERROR(VLOOKUP(E6108,'Condensed Specialty Crosswalk'!$A$2:$C$106,2,FALSE),"")</f>
        <v/>
      </c>
      <c r="G6108" s="49" t="str">
        <f>IFERROR(VLOOKUP(E6108,'Condensed Specialty Crosswalk'!$A$2:$C$106,3,FALSE),"")</f>
        <v/>
      </c>
    </row>
    <row r="6109" spans="5:7" ht="15" customHeight="1">
      <c r="E6109" s="49" t="str">
        <f>IFERROR(VLOOKUP(D6109,'taxonomy map'!$A$1:$C$107,2,FALSE),"")</f>
        <v/>
      </c>
      <c r="F6109" s="49" t="str">
        <f>IFERROR(VLOOKUP(E6109,'Condensed Specialty Crosswalk'!$A$2:$C$106,2,FALSE),"")</f>
        <v/>
      </c>
      <c r="G6109" s="49" t="str">
        <f>IFERROR(VLOOKUP(E6109,'Condensed Specialty Crosswalk'!$A$2:$C$106,3,FALSE),"")</f>
        <v/>
      </c>
    </row>
    <row r="6110" spans="5:7" ht="15" customHeight="1">
      <c r="E6110" s="49" t="str">
        <f>IFERROR(VLOOKUP(D6110,'taxonomy map'!$A$1:$C$107,2,FALSE),"")</f>
        <v/>
      </c>
      <c r="F6110" s="49" t="str">
        <f>IFERROR(VLOOKUP(E6110,'Condensed Specialty Crosswalk'!$A$2:$C$106,2,FALSE),"")</f>
        <v/>
      </c>
      <c r="G6110" s="49" t="str">
        <f>IFERROR(VLOOKUP(E6110,'Condensed Specialty Crosswalk'!$A$2:$C$106,3,FALSE),"")</f>
        <v/>
      </c>
    </row>
    <row r="6111" spans="5:7" ht="15" customHeight="1">
      <c r="E6111" s="49" t="str">
        <f>IFERROR(VLOOKUP(D6111,'taxonomy map'!$A$1:$C$107,2,FALSE),"")</f>
        <v/>
      </c>
      <c r="F6111" s="49" t="str">
        <f>IFERROR(VLOOKUP(E6111,'Condensed Specialty Crosswalk'!$A$2:$C$106,2,FALSE),"")</f>
        <v/>
      </c>
      <c r="G6111" s="49" t="str">
        <f>IFERROR(VLOOKUP(E6111,'Condensed Specialty Crosswalk'!$A$2:$C$106,3,FALSE),"")</f>
        <v/>
      </c>
    </row>
    <row r="6112" spans="5:7" ht="15" customHeight="1">
      <c r="E6112" s="49" t="str">
        <f>IFERROR(VLOOKUP(D6112,'taxonomy map'!$A$1:$C$107,2,FALSE),"")</f>
        <v/>
      </c>
      <c r="F6112" s="49" t="str">
        <f>IFERROR(VLOOKUP(E6112,'Condensed Specialty Crosswalk'!$A$2:$C$106,2,FALSE),"")</f>
        <v/>
      </c>
      <c r="G6112" s="49" t="str">
        <f>IFERROR(VLOOKUP(E6112,'Condensed Specialty Crosswalk'!$A$2:$C$106,3,FALSE),"")</f>
        <v/>
      </c>
    </row>
    <row r="6113" spans="5:7" ht="15" customHeight="1">
      <c r="E6113" s="49" t="str">
        <f>IFERROR(VLOOKUP(D6113,'taxonomy map'!$A$1:$C$107,2,FALSE),"")</f>
        <v/>
      </c>
      <c r="F6113" s="49" t="str">
        <f>IFERROR(VLOOKUP(E6113,'Condensed Specialty Crosswalk'!$A$2:$C$106,2,FALSE),"")</f>
        <v/>
      </c>
      <c r="G6113" s="49" t="str">
        <f>IFERROR(VLOOKUP(E6113,'Condensed Specialty Crosswalk'!$A$2:$C$106,3,FALSE),"")</f>
        <v/>
      </c>
    </row>
    <row r="6114" spans="5:7" ht="15" customHeight="1">
      <c r="E6114" s="49" t="str">
        <f>IFERROR(VLOOKUP(D6114,'taxonomy map'!$A$1:$C$107,2,FALSE),"")</f>
        <v/>
      </c>
      <c r="F6114" s="49" t="str">
        <f>IFERROR(VLOOKUP(E6114,'Condensed Specialty Crosswalk'!$A$2:$C$106,2,FALSE),"")</f>
        <v/>
      </c>
      <c r="G6114" s="49" t="str">
        <f>IFERROR(VLOOKUP(E6114,'Condensed Specialty Crosswalk'!$A$2:$C$106,3,FALSE),"")</f>
        <v/>
      </c>
    </row>
    <row r="6115" spans="5:7" ht="15" customHeight="1">
      <c r="E6115" s="49" t="str">
        <f>IFERROR(VLOOKUP(D6115,'taxonomy map'!$A$1:$C$107,2,FALSE),"")</f>
        <v/>
      </c>
      <c r="F6115" s="49" t="str">
        <f>IFERROR(VLOOKUP(E6115,'Condensed Specialty Crosswalk'!$A$2:$C$106,2,FALSE),"")</f>
        <v/>
      </c>
      <c r="G6115" s="49" t="str">
        <f>IFERROR(VLOOKUP(E6115,'Condensed Specialty Crosswalk'!$A$2:$C$106,3,FALSE),"")</f>
        <v/>
      </c>
    </row>
    <row r="6116" spans="5:7" ht="15" customHeight="1">
      <c r="E6116" s="49" t="str">
        <f>IFERROR(VLOOKUP(D6116,'taxonomy map'!$A$1:$C$107,2,FALSE),"")</f>
        <v/>
      </c>
      <c r="F6116" s="49" t="str">
        <f>IFERROR(VLOOKUP(E6116,'Condensed Specialty Crosswalk'!$A$2:$C$106,2,FALSE),"")</f>
        <v/>
      </c>
      <c r="G6116" s="49" t="str">
        <f>IFERROR(VLOOKUP(E6116,'Condensed Specialty Crosswalk'!$A$2:$C$106,3,FALSE),"")</f>
        <v/>
      </c>
    </row>
    <row r="6117" spans="5:7" ht="15" customHeight="1">
      <c r="E6117" s="49" t="str">
        <f>IFERROR(VLOOKUP(D6117,'taxonomy map'!$A$1:$C$107,2,FALSE),"")</f>
        <v/>
      </c>
      <c r="F6117" s="49" t="str">
        <f>IFERROR(VLOOKUP(E6117,'Condensed Specialty Crosswalk'!$A$2:$C$106,2,FALSE),"")</f>
        <v/>
      </c>
      <c r="G6117" s="49" t="str">
        <f>IFERROR(VLOOKUP(E6117,'Condensed Specialty Crosswalk'!$A$2:$C$106,3,FALSE),"")</f>
        <v/>
      </c>
    </row>
    <row r="6118" spans="5:7" ht="15" customHeight="1">
      <c r="E6118" s="49" t="str">
        <f>IFERROR(VLOOKUP(D6118,'taxonomy map'!$A$1:$C$107,2,FALSE),"")</f>
        <v/>
      </c>
      <c r="F6118" s="49" t="str">
        <f>IFERROR(VLOOKUP(E6118,'Condensed Specialty Crosswalk'!$A$2:$C$106,2,FALSE),"")</f>
        <v/>
      </c>
      <c r="G6118" s="49" t="str">
        <f>IFERROR(VLOOKUP(E6118,'Condensed Specialty Crosswalk'!$A$2:$C$106,3,FALSE),"")</f>
        <v/>
      </c>
    </row>
    <row r="6119" spans="5:7" ht="15" customHeight="1">
      <c r="E6119" s="49" t="str">
        <f>IFERROR(VLOOKUP(D6119,'taxonomy map'!$A$1:$C$107,2,FALSE),"")</f>
        <v/>
      </c>
      <c r="F6119" s="49" t="str">
        <f>IFERROR(VLOOKUP(E6119,'Condensed Specialty Crosswalk'!$A$2:$C$106,2,FALSE),"")</f>
        <v/>
      </c>
      <c r="G6119" s="49" t="str">
        <f>IFERROR(VLOOKUP(E6119,'Condensed Specialty Crosswalk'!$A$2:$C$106,3,FALSE),"")</f>
        <v/>
      </c>
    </row>
    <row r="6120" spans="5:7" ht="15" customHeight="1">
      <c r="E6120" s="49" t="str">
        <f>IFERROR(VLOOKUP(D6120,'taxonomy map'!$A$1:$C$107,2,FALSE),"")</f>
        <v/>
      </c>
      <c r="F6120" s="49" t="str">
        <f>IFERROR(VLOOKUP(E6120,'Condensed Specialty Crosswalk'!$A$2:$C$106,2,FALSE),"")</f>
        <v/>
      </c>
      <c r="G6120" s="49" t="str">
        <f>IFERROR(VLOOKUP(E6120,'Condensed Specialty Crosswalk'!$A$2:$C$106,3,FALSE),"")</f>
        <v/>
      </c>
    </row>
    <row r="6121" spans="5:7" ht="15" customHeight="1">
      <c r="E6121" s="49" t="str">
        <f>IFERROR(VLOOKUP(D6121,'taxonomy map'!$A$1:$C$107,2,FALSE),"")</f>
        <v/>
      </c>
      <c r="F6121" s="49" t="str">
        <f>IFERROR(VLOOKUP(E6121,'Condensed Specialty Crosswalk'!$A$2:$C$106,2,FALSE),"")</f>
        <v/>
      </c>
      <c r="G6121" s="49" t="str">
        <f>IFERROR(VLOOKUP(E6121,'Condensed Specialty Crosswalk'!$A$2:$C$106,3,FALSE),"")</f>
        <v/>
      </c>
    </row>
    <row r="6122" spans="5:7" ht="15" customHeight="1">
      <c r="E6122" s="49" t="str">
        <f>IFERROR(VLOOKUP(D6122,'taxonomy map'!$A$1:$C$107,2,FALSE),"")</f>
        <v/>
      </c>
      <c r="F6122" s="49" t="str">
        <f>IFERROR(VLOOKUP(E6122,'Condensed Specialty Crosswalk'!$A$2:$C$106,2,FALSE),"")</f>
        <v/>
      </c>
      <c r="G6122" s="49" t="str">
        <f>IFERROR(VLOOKUP(E6122,'Condensed Specialty Crosswalk'!$A$2:$C$106,3,FALSE),"")</f>
        <v/>
      </c>
    </row>
    <row r="6123" spans="5:7" ht="15" customHeight="1">
      <c r="E6123" s="49" t="str">
        <f>IFERROR(VLOOKUP(D6123,'taxonomy map'!$A$1:$C$107,2,FALSE),"")</f>
        <v/>
      </c>
      <c r="F6123" s="49" t="str">
        <f>IFERROR(VLOOKUP(E6123,'Condensed Specialty Crosswalk'!$A$2:$C$106,2,FALSE),"")</f>
        <v/>
      </c>
      <c r="G6123" s="49" t="str">
        <f>IFERROR(VLOOKUP(E6123,'Condensed Specialty Crosswalk'!$A$2:$C$106,3,FALSE),"")</f>
        <v/>
      </c>
    </row>
    <row r="6124" spans="5:7" ht="15" customHeight="1">
      <c r="E6124" s="49" t="str">
        <f>IFERROR(VLOOKUP(D6124,'taxonomy map'!$A$1:$C$107,2,FALSE),"")</f>
        <v/>
      </c>
      <c r="F6124" s="49" t="str">
        <f>IFERROR(VLOOKUP(E6124,'Condensed Specialty Crosswalk'!$A$2:$C$106,2,FALSE),"")</f>
        <v/>
      </c>
      <c r="G6124" s="49" t="str">
        <f>IFERROR(VLOOKUP(E6124,'Condensed Specialty Crosswalk'!$A$2:$C$106,3,FALSE),"")</f>
        <v/>
      </c>
    </row>
    <row r="6125" spans="5:7" ht="15" customHeight="1">
      <c r="E6125" s="49" t="str">
        <f>IFERROR(VLOOKUP(D6125,'taxonomy map'!$A$1:$C$107,2,FALSE),"")</f>
        <v/>
      </c>
      <c r="F6125" s="49" t="str">
        <f>IFERROR(VLOOKUP(E6125,'Condensed Specialty Crosswalk'!$A$2:$C$106,2,FALSE),"")</f>
        <v/>
      </c>
      <c r="G6125" s="49" t="str">
        <f>IFERROR(VLOOKUP(E6125,'Condensed Specialty Crosswalk'!$A$2:$C$106,3,FALSE),"")</f>
        <v/>
      </c>
    </row>
    <row r="6126" spans="5:7" ht="15" customHeight="1">
      <c r="E6126" s="49" t="str">
        <f>IFERROR(VLOOKUP(D6126,'taxonomy map'!$A$1:$C$107,2,FALSE),"")</f>
        <v/>
      </c>
      <c r="F6126" s="49" t="str">
        <f>IFERROR(VLOOKUP(E6126,'Condensed Specialty Crosswalk'!$A$2:$C$106,2,FALSE),"")</f>
        <v/>
      </c>
      <c r="G6126" s="49" t="str">
        <f>IFERROR(VLOOKUP(E6126,'Condensed Specialty Crosswalk'!$A$2:$C$106,3,FALSE),"")</f>
        <v/>
      </c>
    </row>
    <row r="6127" spans="5:7" ht="15" customHeight="1">
      <c r="E6127" s="49" t="str">
        <f>IFERROR(VLOOKUP(D6127,'taxonomy map'!$A$1:$C$107,2,FALSE),"")</f>
        <v/>
      </c>
      <c r="F6127" s="49" t="str">
        <f>IFERROR(VLOOKUP(E6127,'Condensed Specialty Crosswalk'!$A$2:$C$106,2,FALSE),"")</f>
        <v/>
      </c>
      <c r="G6127" s="49" t="str">
        <f>IFERROR(VLOOKUP(E6127,'Condensed Specialty Crosswalk'!$A$2:$C$106,3,FALSE),"")</f>
        <v/>
      </c>
    </row>
    <row r="6128" spans="5:7" ht="15" customHeight="1">
      <c r="E6128" s="49" t="str">
        <f>IFERROR(VLOOKUP(D6128,'taxonomy map'!$A$1:$C$107,2,FALSE),"")</f>
        <v/>
      </c>
      <c r="F6128" s="49" t="str">
        <f>IFERROR(VLOOKUP(E6128,'Condensed Specialty Crosswalk'!$A$2:$C$106,2,FALSE),"")</f>
        <v/>
      </c>
      <c r="G6128" s="49" t="str">
        <f>IFERROR(VLOOKUP(E6128,'Condensed Specialty Crosswalk'!$A$2:$C$106,3,FALSE),"")</f>
        <v/>
      </c>
    </row>
    <row r="6129" spans="5:7" ht="15" customHeight="1">
      <c r="E6129" s="49" t="str">
        <f>IFERROR(VLOOKUP(D6129,'taxonomy map'!$A$1:$C$107,2,FALSE),"")</f>
        <v/>
      </c>
      <c r="F6129" s="49" t="str">
        <f>IFERROR(VLOOKUP(E6129,'Condensed Specialty Crosswalk'!$A$2:$C$106,2,FALSE),"")</f>
        <v/>
      </c>
      <c r="G6129" s="49" t="str">
        <f>IFERROR(VLOOKUP(E6129,'Condensed Specialty Crosswalk'!$A$2:$C$106,3,FALSE),"")</f>
        <v/>
      </c>
    </row>
    <row r="6130" spans="5:7" ht="15" customHeight="1">
      <c r="E6130" s="49" t="str">
        <f>IFERROR(VLOOKUP(D6130,'taxonomy map'!$A$1:$C$107,2,FALSE),"")</f>
        <v/>
      </c>
      <c r="F6130" s="49" t="str">
        <f>IFERROR(VLOOKUP(E6130,'Condensed Specialty Crosswalk'!$A$2:$C$106,2,FALSE),"")</f>
        <v/>
      </c>
      <c r="G6130" s="49" t="str">
        <f>IFERROR(VLOOKUP(E6130,'Condensed Specialty Crosswalk'!$A$2:$C$106,3,FALSE),"")</f>
        <v/>
      </c>
    </row>
    <row r="6131" spans="5:7" ht="15" customHeight="1">
      <c r="E6131" s="49" t="str">
        <f>IFERROR(VLOOKUP(D6131,'taxonomy map'!$A$1:$C$107,2,FALSE),"")</f>
        <v/>
      </c>
      <c r="F6131" s="49" t="str">
        <f>IFERROR(VLOOKUP(E6131,'Condensed Specialty Crosswalk'!$A$2:$C$106,2,FALSE),"")</f>
        <v/>
      </c>
      <c r="G6131" s="49" t="str">
        <f>IFERROR(VLOOKUP(E6131,'Condensed Specialty Crosswalk'!$A$2:$C$106,3,FALSE),"")</f>
        <v/>
      </c>
    </row>
    <row r="6132" spans="5:7" ht="15" customHeight="1">
      <c r="E6132" s="49" t="str">
        <f>IFERROR(VLOOKUP(D6132,'taxonomy map'!$A$1:$C$107,2,FALSE),"")</f>
        <v/>
      </c>
      <c r="F6132" s="49" t="str">
        <f>IFERROR(VLOOKUP(E6132,'Condensed Specialty Crosswalk'!$A$2:$C$106,2,FALSE),"")</f>
        <v/>
      </c>
      <c r="G6132" s="49" t="str">
        <f>IFERROR(VLOOKUP(E6132,'Condensed Specialty Crosswalk'!$A$2:$C$106,3,FALSE),"")</f>
        <v/>
      </c>
    </row>
    <row r="6133" spans="5:7" ht="15" customHeight="1">
      <c r="E6133" s="49" t="str">
        <f>IFERROR(VLOOKUP(D6133,'taxonomy map'!$A$1:$C$107,2,FALSE),"")</f>
        <v/>
      </c>
      <c r="F6133" s="49" t="str">
        <f>IFERROR(VLOOKUP(E6133,'Condensed Specialty Crosswalk'!$A$2:$C$106,2,FALSE),"")</f>
        <v/>
      </c>
      <c r="G6133" s="49" t="str">
        <f>IFERROR(VLOOKUP(E6133,'Condensed Specialty Crosswalk'!$A$2:$C$106,3,FALSE),"")</f>
        <v/>
      </c>
    </row>
    <row r="6134" spans="5:7" ht="15" customHeight="1">
      <c r="E6134" s="49" t="str">
        <f>IFERROR(VLOOKUP(D6134,'taxonomy map'!$A$1:$C$107,2,FALSE),"")</f>
        <v/>
      </c>
      <c r="F6134" s="49" t="str">
        <f>IFERROR(VLOOKUP(E6134,'Condensed Specialty Crosswalk'!$A$2:$C$106,2,FALSE),"")</f>
        <v/>
      </c>
      <c r="G6134" s="49" t="str">
        <f>IFERROR(VLOOKUP(E6134,'Condensed Specialty Crosswalk'!$A$2:$C$106,3,FALSE),"")</f>
        <v/>
      </c>
    </row>
    <row r="6135" spans="5:7" ht="15" customHeight="1">
      <c r="E6135" s="49" t="str">
        <f>IFERROR(VLOOKUP(D6135,'taxonomy map'!$A$1:$C$107,2,FALSE),"")</f>
        <v/>
      </c>
      <c r="F6135" s="49" t="str">
        <f>IFERROR(VLOOKUP(E6135,'Condensed Specialty Crosswalk'!$A$2:$C$106,2,FALSE),"")</f>
        <v/>
      </c>
      <c r="G6135" s="49" t="str">
        <f>IFERROR(VLOOKUP(E6135,'Condensed Specialty Crosswalk'!$A$2:$C$106,3,FALSE),"")</f>
        <v/>
      </c>
    </row>
    <row r="6136" spans="5:7" ht="15" customHeight="1">
      <c r="E6136" s="49" t="str">
        <f>IFERROR(VLOOKUP(D6136,'taxonomy map'!$A$1:$C$107,2,FALSE),"")</f>
        <v/>
      </c>
      <c r="F6136" s="49" t="str">
        <f>IFERROR(VLOOKUP(E6136,'Condensed Specialty Crosswalk'!$A$2:$C$106,2,FALSE),"")</f>
        <v/>
      </c>
      <c r="G6136" s="49" t="str">
        <f>IFERROR(VLOOKUP(E6136,'Condensed Specialty Crosswalk'!$A$2:$C$106,3,FALSE),"")</f>
        <v/>
      </c>
    </row>
    <row r="6137" spans="5:7" ht="15" customHeight="1">
      <c r="E6137" s="49" t="str">
        <f>IFERROR(VLOOKUP(D6137,'taxonomy map'!$A$1:$C$107,2,FALSE),"")</f>
        <v/>
      </c>
      <c r="F6137" s="49" t="str">
        <f>IFERROR(VLOOKUP(E6137,'Condensed Specialty Crosswalk'!$A$2:$C$106,2,FALSE),"")</f>
        <v/>
      </c>
      <c r="G6137" s="49" t="str">
        <f>IFERROR(VLOOKUP(E6137,'Condensed Specialty Crosswalk'!$A$2:$C$106,3,FALSE),"")</f>
        <v/>
      </c>
    </row>
    <row r="6138" spans="5:7" ht="15" customHeight="1">
      <c r="E6138" s="49" t="str">
        <f>IFERROR(VLOOKUP(D6138,'taxonomy map'!$A$1:$C$107,2,FALSE),"")</f>
        <v/>
      </c>
      <c r="F6138" s="49" t="str">
        <f>IFERROR(VLOOKUP(E6138,'Condensed Specialty Crosswalk'!$A$2:$C$106,2,FALSE),"")</f>
        <v/>
      </c>
      <c r="G6138" s="49" t="str">
        <f>IFERROR(VLOOKUP(E6138,'Condensed Specialty Crosswalk'!$A$2:$C$106,3,FALSE),"")</f>
        <v/>
      </c>
    </row>
    <row r="6139" spans="5:7" ht="15" customHeight="1">
      <c r="E6139" s="49" t="str">
        <f>IFERROR(VLOOKUP(D6139,'taxonomy map'!$A$1:$C$107,2,FALSE),"")</f>
        <v/>
      </c>
      <c r="F6139" s="49" t="str">
        <f>IFERROR(VLOOKUP(E6139,'Condensed Specialty Crosswalk'!$A$2:$C$106,2,FALSE),"")</f>
        <v/>
      </c>
      <c r="G6139" s="49" t="str">
        <f>IFERROR(VLOOKUP(E6139,'Condensed Specialty Crosswalk'!$A$2:$C$106,3,FALSE),"")</f>
        <v/>
      </c>
    </row>
    <row r="6140" spans="5:7" ht="15" customHeight="1">
      <c r="E6140" s="49" t="str">
        <f>IFERROR(VLOOKUP(D6140,'taxonomy map'!$A$1:$C$107,2,FALSE),"")</f>
        <v/>
      </c>
      <c r="F6140" s="49" t="str">
        <f>IFERROR(VLOOKUP(E6140,'Condensed Specialty Crosswalk'!$A$2:$C$106,2,FALSE),"")</f>
        <v/>
      </c>
      <c r="G6140" s="49" t="str">
        <f>IFERROR(VLOOKUP(E6140,'Condensed Specialty Crosswalk'!$A$2:$C$106,3,FALSE),"")</f>
        <v/>
      </c>
    </row>
    <row r="6141" spans="5:7" ht="15" customHeight="1">
      <c r="E6141" s="49" t="str">
        <f>IFERROR(VLOOKUP(D6141,'taxonomy map'!$A$1:$C$107,2,FALSE),"")</f>
        <v/>
      </c>
      <c r="F6141" s="49" t="str">
        <f>IFERROR(VLOOKUP(E6141,'Condensed Specialty Crosswalk'!$A$2:$C$106,2,FALSE),"")</f>
        <v/>
      </c>
      <c r="G6141" s="49" t="str">
        <f>IFERROR(VLOOKUP(E6141,'Condensed Specialty Crosswalk'!$A$2:$C$106,3,FALSE),"")</f>
        <v/>
      </c>
    </row>
    <row r="6142" spans="5:7" ht="15" customHeight="1">
      <c r="E6142" s="49" t="str">
        <f>IFERROR(VLOOKUP(D6142,'taxonomy map'!$A$1:$C$107,2,FALSE),"")</f>
        <v/>
      </c>
      <c r="F6142" s="49" t="str">
        <f>IFERROR(VLOOKUP(E6142,'Condensed Specialty Crosswalk'!$A$2:$C$106,2,FALSE),"")</f>
        <v/>
      </c>
      <c r="G6142" s="49" t="str">
        <f>IFERROR(VLOOKUP(E6142,'Condensed Specialty Crosswalk'!$A$2:$C$106,3,FALSE),"")</f>
        <v/>
      </c>
    </row>
    <row r="6143" spans="5:7" ht="15" customHeight="1">
      <c r="E6143" s="49" t="str">
        <f>IFERROR(VLOOKUP(D6143,'taxonomy map'!$A$1:$C$107,2,FALSE),"")</f>
        <v/>
      </c>
      <c r="F6143" s="49" t="str">
        <f>IFERROR(VLOOKUP(E6143,'Condensed Specialty Crosswalk'!$A$2:$C$106,2,FALSE),"")</f>
        <v/>
      </c>
      <c r="G6143" s="49" t="str">
        <f>IFERROR(VLOOKUP(E6143,'Condensed Specialty Crosswalk'!$A$2:$C$106,3,FALSE),"")</f>
        <v/>
      </c>
    </row>
    <row r="6144" spans="5:7" ht="15" customHeight="1">
      <c r="E6144" s="49" t="str">
        <f>IFERROR(VLOOKUP(D6144,'taxonomy map'!$A$1:$C$107,2,FALSE),"")</f>
        <v/>
      </c>
      <c r="F6144" s="49" t="str">
        <f>IFERROR(VLOOKUP(E6144,'Condensed Specialty Crosswalk'!$A$2:$C$106,2,FALSE),"")</f>
        <v/>
      </c>
      <c r="G6144" s="49" t="str">
        <f>IFERROR(VLOOKUP(E6144,'Condensed Specialty Crosswalk'!$A$2:$C$106,3,FALSE),"")</f>
        <v/>
      </c>
    </row>
    <row r="6145" spans="5:7" ht="15" customHeight="1">
      <c r="E6145" s="49" t="str">
        <f>IFERROR(VLOOKUP(D6145,'taxonomy map'!$A$1:$C$107,2,FALSE),"")</f>
        <v/>
      </c>
      <c r="F6145" s="49" t="str">
        <f>IFERROR(VLOOKUP(E6145,'Condensed Specialty Crosswalk'!$A$2:$C$106,2,FALSE),"")</f>
        <v/>
      </c>
      <c r="G6145" s="49" t="str">
        <f>IFERROR(VLOOKUP(E6145,'Condensed Specialty Crosswalk'!$A$2:$C$106,3,FALSE),"")</f>
        <v/>
      </c>
    </row>
    <row r="6146" spans="5:7" ht="15" customHeight="1">
      <c r="E6146" s="49" t="str">
        <f>IFERROR(VLOOKUP(D6146,'taxonomy map'!$A$1:$C$107,2,FALSE),"")</f>
        <v/>
      </c>
      <c r="F6146" s="49" t="str">
        <f>IFERROR(VLOOKUP(E6146,'Condensed Specialty Crosswalk'!$A$2:$C$106,2,FALSE),"")</f>
        <v/>
      </c>
      <c r="G6146" s="49" t="str">
        <f>IFERROR(VLOOKUP(E6146,'Condensed Specialty Crosswalk'!$A$2:$C$106,3,FALSE),"")</f>
        <v/>
      </c>
    </row>
    <row r="6147" spans="5:7" ht="15" customHeight="1">
      <c r="E6147" s="49" t="str">
        <f>IFERROR(VLOOKUP(D6147,'taxonomy map'!$A$1:$C$107,2,FALSE),"")</f>
        <v/>
      </c>
      <c r="F6147" s="49" t="str">
        <f>IFERROR(VLOOKUP(E6147,'Condensed Specialty Crosswalk'!$A$2:$C$106,2,FALSE),"")</f>
        <v/>
      </c>
      <c r="G6147" s="49" t="str">
        <f>IFERROR(VLOOKUP(E6147,'Condensed Specialty Crosswalk'!$A$2:$C$106,3,FALSE),"")</f>
        <v/>
      </c>
    </row>
    <row r="6148" spans="5:7" ht="15" customHeight="1">
      <c r="E6148" s="49" t="str">
        <f>IFERROR(VLOOKUP(D6148,'taxonomy map'!$A$1:$C$107,2,FALSE),"")</f>
        <v/>
      </c>
      <c r="F6148" s="49" t="str">
        <f>IFERROR(VLOOKUP(E6148,'Condensed Specialty Crosswalk'!$A$2:$C$106,2,FALSE),"")</f>
        <v/>
      </c>
      <c r="G6148" s="49" t="str">
        <f>IFERROR(VLOOKUP(E6148,'Condensed Specialty Crosswalk'!$A$2:$C$106,3,FALSE),"")</f>
        <v/>
      </c>
    </row>
    <row r="6149" spans="5:7" ht="15" customHeight="1">
      <c r="E6149" s="49" t="str">
        <f>IFERROR(VLOOKUP(D6149,'taxonomy map'!$A$1:$C$107,2,FALSE),"")</f>
        <v/>
      </c>
      <c r="F6149" s="49" t="str">
        <f>IFERROR(VLOOKUP(E6149,'Condensed Specialty Crosswalk'!$A$2:$C$106,2,FALSE),"")</f>
        <v/>
      </c>
      <c r="G6149" s="49" t="str">
        <f>IFERROR(VLOOKUP(E6149,'Condensed Specialty Crosswalk'!$A$2:$C$106,3,FALSE),"")</f>
        <v/>
      </c>
    </row>
    <row r="6150" spans="5:7" ht="15" customHeight="1">
      <c r="E6150" s="49" t="str">
        <f>IFERROR(VLOOKUP(D6150,'taxonomy map'!$A$1:$C$107,2,FALSE),"")</f>
        <v/>
      </c>
      <c r="F6150" s="49" t="str">
        <f>IFERROR(VLOOKUP(E6150,'Condensed Specialty Crosswalk'!$A$2:$C$106,2,FALSE),"")</f>
        <v/>
      </c>
      <c r="G6150" s="49" t="str">
        <f>IFERROR(VLOOKUP(E6150,'Condensed Specialty Crosswalk'!$A$2:$C$106,3,FALSE),"")</f>
        <v/>
      </c>
    </row>
    <row r="6151" spans="5:7" ht="15" customHeight="1">
      <c r="E6151" s="49" t="str">
        <f>IFERROR(VLOOKUP(D6151,'taxonomy map'!$A$1:$C$107,2,FALSE),"")</f>
        <v/>
      </c>
      <c r="F6151" s="49" t="str">
        <f>IFERROR(VLOOKUP(E6151,'Condensed Specialty Crosswalk'!$A$2:$C$106,2,FALSE),"")</f>
        <v/>
      </c>
      <c r="G6151" s="49" t="str">
        <f>IFERROR(VLOOKUP(E6151,'Condensed Specialty Crosswalk'!$A$2:$C$106,3,FALSE),"")</f>
        <v/>
      </c>
    </row>
    <row r="6152" spans="5:7" ht="15" customHeight="1">
      <c r="E6152" s="49" t="str">
        <f>IFERROR(VLOOKUP(D6152,'taxonomy map'!$A$1:$C$107,2,FALSE),"")</f>
        <v/>
      </c>
      <c r="F6152" s="49" t="str">
        <f>IFERROR(VLOOKUP(E6152,'Condensed Specialty Crosswalk'!$A$2:$C$106,2,FALSE),"")</f>
        <v/>
      </c>
      <c r="G6152" s="49" t="str">
        <f>IFERROR(VLOOKUP(E6152,'Condensed Specialty Crosswalk'!$A$2:$C$106,3,FALSE),"")</f>
        <v/>
      </c>
    </row>
    <row r="6153" spans="5:7" ht="15" customHeight="1">
      <c r="E6153" s="49" t="str">
        <f>IFERROR(VLOOKUP(D6153,'taxonomy map'!$A$1:$C$107,2,FALSE),"")</f>
        <v/>
      </c>
      <c r="F6153" s="49" t="str">
        <f>IFERROR(VLOOKUP(E6153,'Condensed Specialty Crosswalk'!$A$2:$C$106,2,FALSE),"")</f>
        <v/>
      </c>
      <c r="G6153" s="49" t="str">
        <f>IFERROR(VLOOKUP(E6153,'Condensed Specialty Crosswalk'!$A$2:$C$106,3,FALSE),"")</f>
        <v/>
      </c>
    </row>
    <row r="6154" spans="5:7" ht="15" customHeight="1">
      <c r="E6154" s="49" t="str">
        <f>IFERROR(VLOOKUP(D6154,'taxonomy map'!$A$1:$C$107,2,FALSE),"")</f>
        <v/>
      </c>
      <c r="F6154" s="49" t="str">
        <f>IFERROR(VLOOKUP(E6154,'Condensed Specialty Crosswalk'!$A$2:$C$106,2,FALSE),"")</f>
        <v/>
      </c>
      <c r="G6154" s="49" t="str">
        <f>IFERROR(VLOOKUP(E6154,'Condensed Specialty Crosswalk'!$A$2:$C$106,3,FALSE),"")</f>
        <v/>
      </c>
    </row>
    <row r="6155" spans="5:7" ht="15" customHeight="1">
      <c r="E6155" s="49" t="str">
        <f>IFERROR(VLOOKUP(D6155,'taxonomy map'!$A$1:$C$107,2,FALSE),"")</f>
        <v/>
      </c>
      <c r="F6155" s="49" t="str">
        <f>IFERROR(VLOOKUP(E6155,'Condensed Specialty Crosswalk'!$A$2:$C$106,2,FALSE),"")</f>
        <v/>
      </c>
      <c r="G6155" s="49" t="str">
        <f>IFERROR(VLOOKUP(E6155,'Condensed Specialty Crosswalk'!$A$2:$C$106,3,FALSE),"")</f>
        <v/>
      </c>
    </row>
    <row r="6156" spans="5:7" ht="15" customHeight="1">
      <c r="E6156" s="49" t="str">
        <f>IFERROR(VLOOKUP(D6156,'taxonomy map'!$A$1:$C$107,2,FALSE),"")</f>
        <v/>
      </c>
      <c r="F6156" s="49" t="str">
        <f>IFERROR(VLOOKUP(E6156,'Condensed Specialty Crosswalk'!$A$2:$C$106,2,FALSE),"")</f>
        <v/>
      </c>
      <c r="G6156" s="49" t="str">
        <f>IFERROR(VLOOKUP(E6156,'Condensed Specialty Crosswalk'!$A$2:$C$106,3,FALSE),"")</f>
        <v/>
      </c>
    </row>
    <row r="6157" spans="5:7" ht="15" customHeight="1">
      <c r="E6157" s="49" t="str">
        <f>IFERROR(VLOOKUP(D6157,'taxonomy map'!$A$1:$C$107,2,FALSE),"")</f>
        <v/>
      </c>
      <c r="F6157" s="49" t="str">
        <f>IFERROR(VLOOKUP(E6157,'Condensed Specialty Crosswalk'!$A$2:$C$106,2,FALSE),"")</f>
        <v/>
      </c>
      <c r="G6157" s="49" t="str">
        <f>IFERROR(VLOOKUP(E6157,'Condensed Specialty Crosswalk'!$A$2:$C$106,3,FALSE),"")</f>
        <v/>
      </c>
    </row>
    <row r="6158" spans="5:7" ht="15" customHeight="1">
      <c r="E6158" s="49" t="str">
        <f>IFERROR(VLOOKUP(D6158,'taxonomy map'!$A$1:$C$107,2,FALSE),"")</f>
        <v/>
      </c>
      <c r="F6158" s="49" t="str">
        <f>IFERROR(VLOOKUP(E6158,'Condensed Specialty Crosswalk'!$A$2:$C$106,2,FALSE),"")</f>
        <v/>
      </c>
      <c r="G6158" s="49" t="str">
        <f>IFERROR(VLOOKUP(E6158,'Condensed Specialty Crosswalk'!$A$2:$C$106,3,FALSE),"")</f>
        <v/>
      </c>
    </row>
    <row r="6159" spans="5:7" ht="15" customHeight="1">
      <c r="E6159" s="49" t="str">
        <f>IFERROR(VLOOKUP(D6159,'taxonomy map'!$A$1:$C$107,2,FALSE),"")</f>
        <v/>
      </c>
      <c r="F6159" s="49" t="str">
        <f>IFERROR(VLOOKUP(E6159,'Condensed Specialty Crosswalk'!$A$2:$C$106,2,FALSE),"")</f>
        <v/>
      </c>
      <c r="G6159" s="49" t="str">
        <f>IFERROR(VLOOKUP(E6159,'Condensed Specialty Crosswalk'!$A$2:$C$106,3,FALSE),"")</f>
        <v/>
      </c>
    </row>
    <row r="6160" spans="5:7" ht="15" customHeight="1">
      <c r="E6160" s="49" t="str">
        <f>IFERROR(VLOOKUP(D6160,'taxonomy map'!$A$1:$C$107,2,FALSE),"")</f>
        <v/>
      </c>
      <c r="F6160" s="49" t="str">
        <f>IFERROR(VLOOKUP(E6160,'Condensed Specialty Crosswalk'!$A$2:$C$106,2,FALSE),"")</f>
        <v/>
      </c>
      <c r="G6160" s="49" t="str">
        <f>IFERROR(VLOOKUP(E6160,'Condensed Specialty Crosswalk'!$A$2:$C$106,3,FALSE),"")</f>
        <v/>
      </c>
    </row>
    <row r="6161" spans="5:7" ht="15" customHeight="1">
      <c r="E6161" s="49" t="str">
        <f>IFERROR(VLOOKUP(D6161,'taxonomy map'!$A$1:$C$107,2,FALSE),"")</f>
        <v/>
      </c>
      <c r="F6161" s="49" t="str">
        <f>IFERROR(VLOOKUP(E6161,'Condensed Specialty Crosswalk'!$A$2:$C$106,2,FALSE),"")</f>
        <v/>
      </c>
      <c r="G6161" s="49" t="str">
        <f>IFERROR(VLOOKUP(E6161,'Condensed Specialty Crosswalk'!$A$2:$C$106,3,FALSE),"")</f>
        <v/>
      </c>
    </row>
    <row r="6162" spans="5:7" ht="15" customHeight="1">
      <c r="E6162" s="49" t="str">
        <f>IFERROR(VLOOKUP(D6162,'taxonomy map'!$A$1:$C$107,2,FALSE),"")</f>
        <v/>
      </c>
      <c r="F6162" s="49" t="str">
        <f>IFERROR(VLOOKUP(E6162,'Condensed Specialty Crosswalk'!$A$2:$C$106,2,FALSE),"")</f>
        <v/>
      </c>
      <c r="G6162" s="49" t="str">
        <f>IFERROR(VLOOKUP(E6162,'Condensed Specialty Crosswalk'!$A$2:$C$106,3,FALSE),"")</f>
        <v/>
      </c>
    </row>
    <row r="6163" spans="5:7" ht="15" customHeight="1">
      <c r="E6163" s="49" t="str">
        <f>IFERROR(VLOOKUP(D6163,'taxonomy map'!$A$1:$C$107,2,FALSE),"")</f>
        <v/>
      </c>
      <c r="F6163" s="49" t="str">
        <f>IFERROR(VLOOKUP(E6163,'Condensed Specialty Crosswalk'!$A$2:$C$106,2,FALSE),"")</f>
        <v/>
      </c>
      <c r="G6163" s="49" t="str">
        <f>IFERROR(VLOOKUP(E6163,'Condensed Specialty Crosswalk'!$A$2:$C$106,3,FALSE),"")</f>
        <v/>
      </c>
    </row>
    <row r="6164" spans="5:7" ht="15" customHeight="1">
      <c r="E6164" s="49" t="str">
        <f>IFERROR(VLOOKUP(D6164,'taxonomy map'!$A$1:$C$107,2,FALSE),"")</f>
        <v/>
      </c>
      <c r="F6164" s="49" t="str">
        <f>IFERROR(VLOOKUP(E6164,'Condensed Specialty Crosswalk'!$A$2:$C$106,2,FALSE),"")</f>
        <v/>
      </c>
      <c r="G6164" s="49" t="str">
        <f>IFERROR(VLOOKUP(E6164,'Condensed Specialty Crosswalk'!$A$2:$C$106,3,FALSE),"")</f>
        <v/>
      </c>
    </row>
    <row r="6165" spans="5:7" ht="15" customHeight="1">
      <c r="E6165" s="49" t="str">
        <f>IFERROR(VLOOKUP(D6165,'taxonomy map'!$A$1:$C$107,2,FALSE),"")</f>
        <v/>
      </c>
      <c r="F6165" s="49" t="str">
        <f>IFERROR(VLOOKUP(E6165,'Condensed Specialty Crosswalk'!$A$2:$C$106,2,FALSE),"")</f>
        <v/>
      </c>
      <c r="G6165" s="49" t="str">
        <f>IFERROR(VLOOKUP(E6165,'Condensed Specialty Crosswalk'!$A$2:$C$106,3,FALSE),"")</f>
        <v/>
      </c>
    </row>
    <row r="6166" spans="5:7" ht="15" customHeight="1">
      <c r="E6166" s="49" t="str">
        <f>IFERROR(VLOOKUP(D6166,'taxonomy map'!$A$1:$C$107,2,FALSE),"")</f>
        <v/>
      </c>
      <c r="F6166" s="49" t="str">
        <f>IFERROR(VLOOKUP(E6166,'Condensed Specialty Crosswalk'!$A$2:$C$106,2,FALSE),"")</f>
        <v/>
      </c>
      <c r="G6166" s="49" t="str">
        <f>IFERROR(VLOOKUP(E6166,'Condensed Specialty Crosswalk'!$A$2:$C$106,3,FALSE),"")</f>
        <v/>
      </c>
    </row>
    <row r="6167" spans="5:7" ht="15" customHeight="1">
      <c r="E6167" s="49" t="str">
        <f>IFERROR(VLOOKUP(D6167,'taxonomy map'!$A$1:$C$107,2,FALSE),"")</f>
        <v/>
      </c>
      <c r="F6167" s="49" t="str">
        <f>IFERROR(VLOOKUP(E6167,'Condensed Specialty Crosswalk'!$A$2:$C$106,2,FALSE),"")</f>
        <v/>
      </c>
      <c r="G6167" s="49" t="str">
        <f>IFERROR(VLOOKUP(E6167,'Condensed Specialty Crosswalk'!$A$2:$C$106,3,FALSE),"")</f>
        <v/>
      </c>
    </row>
    <row r="6168" spans="5:7" ht="15" customHeight="1">
      <c r="E6168" s="49" t="str">
        <f>IFERROR(VLOOKUP(D6168,'taxonomy map'!$A$1:$C$107,2,FALSE),"")</f>
        <v/>
      </c>
      <c r="F6168" s="49" t="str">
        <f>IFERROR(VLOOKUP(E6168,'Condensed Specialty Crosswalk'!$A$2:$C$106,2,FALSE),"")</f>
        <v/>
      </c>
      <c r="G6168" s="49" t="str">
        <f>IFERROR(VLOOKUP(E6168,'Condensed Specialty Crosswalk'!$A$2:$C$106,3,FALSE),"")</f>
        <v/>
      </c>
    </row>
    <row r="6169" spans="5:7" ht="15" customHeight="1">
      <c r="E6169" s="49" t="str">
        <f>IFERROR(VLOOKUP(D6169,'taxonomy map'!$A$1:$C$107,2,FALSE),"")</f>
        <v/>
      </c>
      <c r="F6169" s="49" t="str">
        <f>IFERROR(VLOOKUP(E6169,'Condensed Specialty Crosswalk'!$A$2:$C$106,2,FALSE),"")</f>
        <v/>
      </c>
      <c r="G6169" s="49" t="str">
        <f>IFERROR(VLOOKUP(E6169,'Condensed Specialty Crosswalk'!$A$2:$C$106,3,FALSE),"")</f>
        <v/>
      </c>
    </row>
    <row r="6170" spans="5:7" ht="15" customHeight="1">
      <c r="E6170" s="49" t="str">
        <f>IFERROR(VLOOKUP(D6170,'taxonomy map'!$A$1:$C$107,2,FALSE),"")</f>
        <v/>
      </c>
      <c r="F6170" s="49" t="str">
        <f>IFERROR(VLOOKUP(E6170,'Condensed Specialty Crosswalk'!$A$2:$C$106,2,FALSE),"")</f>
        <v/>
      </c>
      <c r="G6170" s="49" t="str">
        <f>IFERROR(VLOOKUP(E6170,'Condensed Specialty Crosswalk'!$A$2:$C$106,3,FALSE),"")</f>
        <v/>
      </c>
    </row>
    <row r="6171" spans="5:7" ht="15" customHeight="1">
      <c r="E6171" s="49" t="str">
        <f>IFERROR(VLOOKUP(D6171,'taxonomy map'!$A$1:$C$107,2,FALSE),"")</f>
        <v/>
      </c>
      <c r="F6171" s="49" t="str">
        <f>IFERROR(VLOOKUP(E6171,'Condensed Specialty Crosswalk'!$A$2:$C$106,2,FALSE),"")</f>
        <v/>
      </c>
      <c r="G6171" s="49" t="str">
        <f>IFERROR(VLOOKUP(E6171,'Condensed Specialty Crosswalk'!$A$2:$C$106,3,FALSE),"")</f>
        <v/>
      </c>
    </row>
    <row r="6172" spans="5:7" ht="15" customHeight="1">
      <c r="E6172" s="49" t="str">
        <f>IFERROR(VLOOKUP(D6172,'taxonomy map'!$A$1:$C$107,2,FALSE),"")</f>
        <v/>
      </c>
      <c r="F6172" s="49" t="str">
        <f>IFERROR(VLOOKUP(E6172,'Condensed Specialty Crosswalk'!$A$2:$C$106,2,FALSE),"")</f>
        <v/>
      </c>
      <c r="G6172" s="49" t="str">
        <f>IFERROR(VLOOKUP(E6172,'Condensed Specialty Crosswalk'!$A$2:$C$106,3,FALSE),"")</f>
        <v/>
      </c>
    </row>
    <row r="6173" spans="5:7" ht="15" customHeight="1">
      <c r="E6173" s="49" t="str">
        <f>IFERROR(VLOOKUP(D6173,'taxonomy map'!$A$1:$C$107,2,FALSE),"")</f>
        <v/>
      </c>
      <c r="F6173" s="49" t="str">
        <f>IFERROR(VLOOKUP(E6173,'Condensed Specialty Crosswalk'!$A$2:$C$106,2,FALSE),"")</f>
        <v/>
      </c>
      <c r="G6173" s="49" t="str">
        <f>IFERROR(VLOOKUP(E6173,'Condensed Specialty Crosswalk'!$A$2:$C$106,3,FALSE),"")</f>
        <v/>
      </c>
    </row>
    <row r="6174" spans="5:7" ht="15" customHeight="1">
      <c r="E6174" s="49" t="str">
        <f>IFERROR(VLOOKUP(D6174,'taxonomy map'!$A$1:$C$107,2,FALSE),"")</f>
        <v/>
      </c>
      <c r="F6174" s="49" t="str">
        <f>IFERROR(VLOOKUP(E6174,'Condensed Specialty Crosswalk'!$A$2:$C$106,2,FALSE),"")</f>
        <v/>
      </c>
      <c r="G6174" s="49" t="str">
        <f>IFERROR(VLOOKUP(E6174,'Condensed Specialty Crosswalk'!$A$2:$C$106,3,FALSE),"")</f>
        <v/>
      </c>
    </row>
    <row r="6175" spans="5:7" ht="15" customHeight="1">
      <c r="E6175" s="49" t="str">
        <f>IFERROR(VLOOKUP(D6175,'taxonomy map'!$A$1:$C$107,2,FALSE),"")</f>
        <v/>
      </c>
      <c r="F6175" s="49" t="str">
        <f>IFERROR(VLOOKUP(E6175,'Condensed Specialty Crosswalk'!$A$2:$C$106,2,FALSE),"")</f>
        <v/>
      </c>
      <c r="G6175" s="49" t="str">
        <f>IFERROR(VLOOKUP(E6175,'Condensed Specialty Crosswalk'!$A$2:$C$106,3,FALSE),"")</f>
        <v/>
      </c>
    </row>
    <row r="6176" spans="5:7" ht="15" customHeight="1">
      <c r="E6176" s="49" t="str">
        <f>IFERROR(VLOOKUP(D6176,'taxonomy map'!$A$1:$C$107,2,FALSE),"")</f>
        <v/>
      </c>
      <c r="F6176" s="49" t="str">
        <f>IFERROR(VLOOKUP(E6176,'Condensed Specialty Crosswalk'!$A$2:$C$106,2,FALSE),"")</f>
        <v/>
      </c>
      <c r="G6176" s="49" t="str">
        <f>IFERROR(VLOOKUP(E6176,'Condensed Specialty Crosswalk'!$A$2:$C$106,3,FALSE),"")</f>
        <v/>
      </c>
    </row>
    <row r="6177" spans="5:7" ht="15" customHeight="1">
      <c r="E6177" s="49" t="str">
        <f>IFERROR(VLOOKUP(D6177,'taxonomy map'!$A$1:$C$107,2,FALSE),"")</f>
        <v/>
      </c>
      <c r="F6177" s="49" t="str">
        <f>IFERROR(VLOOKUP(E6177,'Condensed Specialty Crosswalk'!$A$2:$C$106,2,FALSE),"")</f>
        <v/>
      </c>
      <c r="G6177" s="49" t="str">
        <f>IFERROR(VLOOKUP(E6177,'Condensed Specialty Crosswalk'!$A$2:$C$106,3,FALSE),"")</f>
        <v/>
      </c>
    </row>
    <row r="6178" spans="5:7" ht="15" customHeight="1">
      <c r="E6178" s="49" t="str">
        <f>IFERROR(VLOOKUP(D6178,'taxonomy map'!$A$1:$C$107,2,FALSE),"")</f>
        <v/>
      </c>
      <c r="F6178" s="49" t="str">
        <f>IFERROR(VLOOKUP(E6178,'Condensed Specialty Crosswalk'!$A$2:$C$106,2,FALSE),"")</f>
        <v/>
      </c>
      <c r="G6178" s="49" t="str">
        <f>IFERROR(VLOOKUP(E6178,'Condensed Specialty Crosswalk'!$A$2:$C$106,3,FALSE),"")</f>
        <v/>
      </c>
    </row>
    <row r="6179" spans="5:7" ht="15" customHeight="1">
      <c r="E6179" s="49" t="str">
        <f>IFERROR(VLOOKUP(D6179,'taxonomy map'!$A$1:$C$107,2,FALSE),"")</f>
        <v/>
      </c>
      <c r="F6179" s="49" t="str">
        <f>IFERROR(VLOOKUP(E6179,'Condensed Specialty Crosswalk'!$A$2:$C$106,2,FALSE),"")</f>
        <v/>
      </c>
      <c r="G6179" s="49" t="str">
        <f>IFERROR(VLOOKUP(E6179,'Condensed Specialty Crosswalk'!$A$2:$C$106,3,FALSE),"")</f>
        <v/>
      </c>
    </row>
    <row r="6180" spans="5:7" ht="15" customHeight="1">
      <c r="E6180" s="49" t="str">
        <f>IFERROR(VLOOKUP(D6180,'taxonomy map'!$A$1:$C$107,2,FALSE),"")</f>
        <v/>
      </c>
      <c r="F6180" s="49" t="str">
        <f>IFERROR(VLOOKUP(E6180,'Condensed Specialty Crosswalk'!$A$2:$C$106,2,FALSE),"")</f>
        <v/>
      </c>
      <c r="G6180" s="49" t="str">
        <f>IFERROR(VLOOKUP(E6180,'Condensed Specialty Crosswalk'!$A$2:$C$106,3,FALSE),"")</f>
        <v/>
      </c>
    </row>
    <row r="6181" spans="5:7" ht="15" customHeight="1">
      <c r="E6181" s="49" t="str">
        <f>IFERROR(VLOOKUP(D6181,'taxonomy map'!$A$1:$C$107,2,FALSE),"")</f>
        <v/>
      </c>
      <c r="F6181" s="49" t="str">
        <f>IFERROR(VLOOKUP(E6181,'Condensed Specialty Crosswalk'!$A$2:$C$106,2,FALSE),"")</f>
        <v/>
      </c>
      <c r="G6181" s="49" t="str">
        <f>IFERROR(VLOOKUP(E6181,'Condensed Specialty Crosswalk'!$A$2:$C$106,3,FALSE),"")</f>
        <v/>
      </c>
    </row>
    <row r="6182" spans="5:7" ht="15" customHeight="1">
      <c r="E6182" s="49" t="str">
        <f>IFERROR(VLOOKUP(D6182,'taxonomy map'!$A$1:$C$107,2,FALSE),"")</f>
        <v/>
      </c>
      <c r="F6182" s="49" t="str">
        <f>IFERROR(VLOOKUP(E6182,'Condensed Specialty Crosswalk'!$A$2:$C$106,2,FALSE),"")</f>
        <v/>
      </c>
      <c r="G6182" s="49" t="str">
        <f>IFERROR(VLOOKUP(E6182,'Condensed Specialty Crosswalk'!$A$2:$C$106,3,FALSE),"")</f>
        <v/>
      </c>
    </row>
    <row r="6183" spans="5:7" ht="15" customHeight="1">
      <c r="E6183" s="49" t="str">
        <f>IFERROR(VLOOKUP(D6183,'taxonomy map'!$A$1:$C$107,2,FALSE),"")</f>
        <v/>
      </c>
      <c r="F6183" s="49" t="str">
        <f>IFERROR(VLOOKUP(E6183,'Condensed Specialty Crosswalk'!$A$2:$C$106,2,FALSE),"")</f>
        <v/>
      </c>
      <c r="G6183" s="49" t="str">
        <f>IFERROR(VLOOKUP(E6183,'Condensed Specialty Crosswalk'!$A$2:$C$106,3,FALSE),"")</f>
        <v/>
      </c>
    </row>
    <row r="6184" spans="5:7" ht="15" customHeight="1">
      <c r="E6184" s="49" t="str">
        <f>IFERROR(VLOOKUP(D6184,'taxonomy map'!$A$1:$C$107,2,FALSE),"")</f>
        <v/>
      </c>
      <c r="F6184" s="49" t="str">
        <f>IFERROR(VLOOKUP(E6184,'Condensed Specialty Crosswalk'!$A$2:$C$106,2,FALSE),"")</f>
        <v/>
      </c>
      <c r="G6184" s="49" t="str">
        <f>IFERROR(VLOOKUP(E6184,'Condensed Specialty Crosswalk'!$A$2:$C$106,3,FALSE),"")</f>
        <v/>
      </c>
    </row>
    <row r="6185" spans="5:7" ht="15" customHeight="1">
      <c r="E6185" s="49" t="str">
        <f>IFERROR(VLOOKUP(D6185,'taxonomy map'!$A$1:$C$107,2,FALSE),"")</f>
        <v/>
      </c>
      <c r="F6185" s="49" t="str">
        <f>IFERROR(VLOOKUP(E6185,'Condensed Specialty Crosswalk'!$A$2:$C$106,2,FALSE),"")</f>
        <v/>
      </c>
      <c r="G6185" s="49" t="str">
        <f>IFERROR(VLOOKUP(E6185,'Condensed Specialty Crosswalk'!$A$2:$C$106,3,FALSE),"")</f>
        <v/>
      </c>
    </row>
    <row r="6186" spans="5:7" ht="15" customHeight="1">
      <c r="E6186" s="49" t="str">
        <f>IFERROR(VLOOKUP(D6186,'taxonomy map'!$A$1:$C$107,2,FALSE),"")</f>
        <v/>
      </c>
      <c r="F6186" s="49" t="str">
        <f>IFERROR(VLOOKUP(E6186,'Condensed Specialty Crosswalk'!$A$2:$C$106,2,FALSE),"")</f>
        <v/>
      </c>
      <c r="G6186" s="49" t="str">
        <f>IFERROR(VLOOKUP(E6186,'Condensed Specialty Crosswalk'!$A$2:$C$106,3,FALSE),"")</f>
        <v/>
      </c>
    </row>
    <row r="6187" spans="5:7" ht="15" customHeight="1">
      <c r="E6187" s="49" t="str">
        <f>IFERROR(VLOOKUP(D6187,'taxonomy map'!$A$1:$C$107,2,FALSE),"")</f>
        <v/>
      </c>
      <c r="F6187" s="49" t="str">
        <f>IFERROR(VLOOKUP(E6187,'Condensed Specialty Crosswalk'!$A$2:$C$106,2,FALSE),"")</f>
        <v/>
      </c>
      <c r="G6187" s="49" t="str">
        <f>IFERROR(VLOOKUP(E6187,'Condensed Specialty Crosswalk'!$A$2:$C$106,3,FALSE),"")</f>
        <v/>
      </c>
    </row>
    <row r="6188" spans="5:7" ht="15" customHeight="1">
      <c r="E6188" s="49" t="str">
        <f>IFERROR(VLOOKUP(D6188,'taxonomy map'!$A$1:$C$107,2,FALSE),"")</f>
        <v/>
      </c>
      <c r="F6188" s="49" t="str">
        <f>IFERROR(VLOOKUP(E6188,'Condensed Specialty Crosswalk'!$A$2:$C$106,2,FALSE),"")</f>
        <v/>
      </c>
      <c r="G6188" s="49" t="str">
        <f>IFERROR(VLOOKUP(E6188,'Condensed Specialty Crosswalk'!$A$2:$C$106,3,FALSE),"")</f>
        <v/>
      </c>
    </row>
    <row r="6189" spans="5:7" ht="15" customHeight="1">
      <c r="E6189" s="49" t="str">
        <f>IFERROR(VLOOKUP(D6189,'taxonomy map'!$A$1:$C$107,2,FALSE),"")</f>
        <v/>
      </c>
      <c r="F6189" s="49" t="str">
        <f>IFERROR(VLOOKUP(E6189,'Condensed Specialty Crosswalk'!$A$2:$C$106,2,FALSE),"")</f>
        <v/>
      </c>
      <c r="G6189" s="49" t="str">
        <f>IFERROR(VLOOKUP(E6189,'Condensed Specialty Crosswalk'!$A$2:$C$106,3,FALSE),"")</f>
        <v/>
      </c>
    </row>
    <row r="6190" spans="5:7" ht="15" customHeight="1">
      <c r="E6190" s="49" t="str">
        <f>IFERROR(VLOOKUP(D6190,'taxonomy map'!$A$1:$C$107,2,FALSE),"")</f>
        <v/>
      </c>
      <c r="F6190" s="49" t="str">
        <f>IFERROR(VLOOKUP(E6190,'Condensed Specialty Crosswalk'!$A$2:$C$106,2,FALSE),"")</f>
        <v/>
      </c>
      <c r="G6190" s="49" t="str">
        <f>IFERROR(VLOOKUP(E6190,'Condensed Specialty Crosswalk'!$A$2:$C$106,3,FALSE),"")</f>
        <v/>
      </c>
    </row>
    <row r="6191" spans="5:7" ht="15" customHeight="1">
      <c r="E6191" s="49" t="str">
        <f>IFERROR(VLOOKUP(D6191,'taxonomy map'!$A$1:$C$107,2,FALSE),"")</f>
        <v/>
      </c>
      <c r="F6191" s="49" t="str">
        <f>IFERROR(VLOOKUP(E6191,'Condensed Specialty Crosswalk'!$A$2:$C$106,2,FALSE),"")</f>
        <v/>
      </c>
      <c r="G6191" s="49" t="str">
        <f>IFERROR(VLOOKUP(E6191,'Condensed Specialty Crosswalk'!$A$2:$C$106,3,FALSE),"")</f>
        <v/>
      </c>
    </row>
    <row r="6192" spans="5:7" ht="15" customHeight="1">
      <c r="E6192" s="49" t="str">
        <f>IFERROR(VLOOKUP(D6192,'taxonomy map'!$A$1:$C$107,2,FALSE),"")</f>
        <v/>
      </c>
      <c r="F6192" s="49" t="str">
        <f>IFERROR(VLOOKUP(E6192,'Condensed Specialty Crosswalk'!$A$2:$C$106,2,FALSE),"")</f>
        <v/>
      </c>
      <c r="G6192" s="49" t="str">
        <f>IFERROR(VLOOKUP(E6192,'Condensed Specialty Crosswalk'!$A$2:$C$106,3,FALSE),"")</f>
        <v/>
      </c>
    </row>
    <row r="6193" spans="5:7" ht="15" customHeight="1">
      <c r="E6193" s="49" t="str">
        <f>IFERROR(VLOOKUP(D6193,'taxonomy map'!$A$1:$C$107,2,FALSE),"")</f>
        <v/>
      </c>
      <c r="F6193" s="49" t="str">
        <f>IFERROR(VLOOKUP(E6193,'Condensed Specialty Crosswalk'!$A$2:$C$106,2,FALSE),"")</f>
        <v/>
      </c>
      <c r="G6193" s="49" t="str">
        <f>IFERROR(VLOOKUP(E6193,'Condensed Specialty Crosswalk'!$A$2:$C$106,3,FALSE),"")</f>
        <v/>
      </c>
    </row>
    <row r="6194" spans="5:7" ht="15" customHeight="1">
      <c r="E6194" s="49" t="str">
        <f>IFERROR(VLOOKUP(D6194,'taxonomy map'!$A$1:$C$107,2,FALSE),"")</f>
        <v/>
      </c>
      <c r="F6194" s="49" t="str">
        <f>IFERROR(VLOOKUP(E6194,'Condensed Specialty Crosswalk'!$A$2:$C$106,2,FALSE),"")</f>
        <v/>
      </c>
      <c r="G6194" s="49" t="str">
        <f>IFERROR(VLOOKUP(E6194,'Condensed Specialty Crosswalk'!$A$2:$C$106,3,FALSE),"")</f>
        <v/>
      </c>
    </row>
    <row r="6195" spans="5:7" ht="15" customHeight="1">
      <c r="E6195" s="49" t="str">
        <f>IFERROR(VLOOKUP(D6195,'taxonomy map'!$A$1:$C$107,2,FALSE),"")</f>
        <v/>
      </c>
      <c r="F6195" s="49" t="str">
        <f>IFERROR(VLOOKUP(E6195,'Condensed Specialty Crosswalk'!$A$2:$C$106,2,FALSE),"")</f>
        <v/>
      </c>
      <c r="G6195" s="49" t="str">
        <f>IFERROR(VLOOKUP(E6195,'Condensed Specialty Crosswalk'!$A$2:$C$106,3,FALSE),"")</f>
        <v/>
      </c>
    </row>
    <row r="6196" spans="5:7" ht="15" customHeight="1">
      <c r="E6196" s="49" t="str">
        <f>IFERROR(VLOOKUP(D6196,'taxonomy map'!$A$1:$C$107,2,FALSE),"")</f>
        <v/>
      </c>
      <c r="F6196" s="49" t="str">
        <f>IFERROR(VLOOKUP(E6196,'Condensed Specialty Crosswalk'!$A$2:$C$106,2,FALSE),"")</f>
        <v/>
      </c>
      <c r="G6196" s="49" t="str">
        <f>IFERROR(VLOOKUP(E6196,'Condensed Specialty Crosswalk'!$A$2:$C$106,3,FALSE),"")</f>
        <v/>
      </c>
    </row>
    <row r="6197" spans="5:7" ht="15" customHeight="1">
      <c r="E6197" s="49" t="str">
        <f>IFERROR(VLOOKUP(D6197,'taxonomy map'!$A$1:$C$107,2,FALSE),"")</f>
        <v/>
      </c>
      <c r="F6197" s="49" t="str">
        <f>IFERROR(VLOOKUP(E6197,'Condensed Specialty Crosswalk'!$A$2:$C$106,2,FALSE),"")</f>
        <v/>
      </c>
      <c r="G6197" s="49" t="str">
        <f>IFERROR(VLOOKUP(E6197,'Condensed Specialty Crosswalk'!$A$2:$C$106,3,FALSE),"")</f>
        <v/>
      </c>
    </row>
    <row r="6198" spans="5:7" ht="15" customHeight="1">
      <c r="E6198" s="49" t="str">
        <f>IFERROR(VLOOKUP(D6198,'taxonomy map'!$A$1:$C$107,2,FALSE),"")</f>
        <v/>
      </c>
      <c r="F6198" s="49" t="str">
        <f>IFERROR(VLOOKUP(E6198,'Condensed Specialty Crosswalk'!$A$2:$C$106,2,FALSE),"")</f>
        <v/>
      </c>
      <c r="G6198" s="49" t="str">
        <f>IFERROR(VLOOKUP(E6198,'Condensed Specialty Crosswalk'!$A$2:$C$106,3,FALSE),"")</f>
        <v/>
      </c>
    </row>
    <row r="6199" spans="5:7" ht="15" customHeight="1">
      <c r="E6199" s="49" t="str">
        <f>IFERROR(VLOOKUP(D6199,'taxonomy map'!$A$1:$C$107,2,FALSE),"")</f>
        <v/>
      </c>
      <c r="F6199" s="49" t="str">
        <f>IFERROR(VLOOKUP(E6199,'Condensed Specialty Crosswalk'!$A$2:$C$106,2,FALSE),"")</f>
        <v/>
      </c>
      <c r="G6199" s="49" t="str">
        <f>IFERROR(VLOOKUP(E6199,'Condensed Specialty Crosswalk'!$A$2:$C$106,3,FALSE),"")</f>
        <v/>
      </c>
    </row>
    <row r="6200" spans="5:7" ht="15" customHeight="1">
      <c r="E6200" s="49" t="str">
        <f>IFERROR(VLOOKUP(D6200,'taxonomy map'!$A$1:$C$107,2,FALSE),"")</f>
        <v/>
      </c>
      <c r="F6200" s="49" t="str">
        <f>IFERROR(VLOOKUP(E6200,'Condensed Specialty Crosswalk'!$A$2:$C$106,2,FALSE),"")</f>
        <v/>
      </c>
      <c r="G6200" s="49" t="str">
        <f>IFERROR(VLOOKUP(E6200,'Condensed Specialty Crosswalk'!$A$2:$C$106,3,FALSE),"")</f>
        <v/>
      </c>
    </row>
    <row r="6201" spans="5:7" ht="15" customHeight="1">
      <c r="E6201" s="49" t="str">
        <f>IFERROR(VLOOKUP(D6201,'taxonomy map'!$A$1:$C$107,2,FALSE),"")</f>
        <v/>
      </c>
      <c r="F6201" s="49" t="str">
        <f>IFERROR(VLOOKUP(E6201,'Condensed Specialty Crosswalk'!$A$2:$C$106,2,FALSE),"")</f>
        <v/>
      </c>
      <c r="G6201" s="49" t="str">
        <f>IFERROR(VLOOKUP(E6201,'Condensed Specialty Crosswalk'!$A$2:$C$106,3,FALSE),"")</f>
        <v/>
      </c>
    </row>
    <row r="6202" spans="5:7" ht="15" customHeight="1">
      <c r="E6202" s="49" t="str">
        <f>IFERROR(VLOOKUP(D6202,'taxonomy map'!$A$1:$C$107,2,FALSE),"")</f>
        <v/>
      </c>
      <c r="F6202" s="49" t="str">
        <f>IFERROR(VLOOKUP(E6202,'Condensed Specialty Crosswalk'!$A$2:$C$106,2,FALSE),"")</f>
        <v/>
      </c>
      <c r="G6202" s="49" t="str">
        <f>IFERROR(VLOOKUP(E6202,'Condensed Specialty Crosswalk'!$A$2:$C$106,3,FALSE),"")</f>
        <v/>
      </c>
    </row>
    <row r="6203" spans="5:7" ht="15" customHeight="1">
      <c r="E6203" s="49" t="str">
        <f>IFERROR(VLOOKUP(D6203,'taxonomy map'!$A$1:$C$107,2,FALSE),"")</f>
        <v/>
      </c>
      <c r="F6203" s="49" t="str">
        <f>IFERROR(VLOOKUP(E6203,'Condensed Specialty Crosswalk'!$A$2:$C$106,2,FALSE),"")</f>
        <v/>
      </c>
      <c r="G6203" s="49" t="str">
        <f>IFERROR(VLOOKUP(E6203,'Condensed Specialty Crosswalk'!$A$2:$C$106,3,FALSE),"")</f>
        <v/>
      </c>
    </row>
    <row r="6204" spans="5:7" ht="15" customHeight="1">
      <c r="E6204" s="49" t="str">
        <f>IFERROR(VLOOKUP(D6204,'taxonomy map'!$A$1:$C$107,2,FALSE),"")</f>
        <v/>
      </c>
      <c r="F6204" s="49" t="str">
        <f>IFERROR(VLOOKUP(E6204,'Condensed Specialty Crosswalk'!$A$2:$C$106,2,FALSE),"")</f>
        <v/>
      </c>
      <c r="G6204" s="49" t="str">
        <f>IFERROR(VLOOKUP(E6204,'Condensed Specialty Crosswalk'!$A$2:$C$106,3,FALSE),"")</f>
        <v/>
      </c>
    </row>
    <row r="6205" spans="5:7" ht="15" customHeight="1">
      <c r="E6205" s="49" t="str">
        <f>IFERROR(VLOOKUP(D6205,'taxonomy map'!$A$1:$C$107,2,FALSE),"")</f>
        <v/>
      </c>
      <c r="F6205" s="49" t="str">
        <f>IFERROR(VLOOKUP(E6205,'Condensed Specialty Crosswalk'!$A$2:$C$106,2,FALSE),"")</f>
        <v/>
      </c>
      <c r="G6205" s="49" t="str">
        <f>IFERROR(VLOOKUP(E6205,'Condensed Specialty Crosswalk'!$A$2:$C$106,3,FALSE),"")</f>
        <v/>
      </c>
    </row>
    <row r="6206" spans="5:7" ht="15" customHeight="1">
      <c r="E6206" s="49" t="str">
        <f>IFERROR(VLOOKUP(D6206,'taxonomy map'!$A$1:$C$107,2,FALSE),"")</f>
        <v/>
      </c>
      <c r="F6206" s="49" t="str">
        <f>IFERROR(VLOOKUP(E6206,'Condensed Specialty Crosswalk'!$A$2:$C$106,2,FALSE),"")</f>
        <v/>
      </c>
      <c r="G6206" s="49" t="str">
        <f>IFERROR(VLOOKUP(E6206,'Condensed Specialty Crosswalk'!$A$2:$C$106,3,FALSE),"")</f>
        <v/>
      </c>
    </row>
    <row r="6207" spans="5:7" ht="15" customHeight="1">
      <c r="E6207" s="49" t="str">
        <f>IFERROR(VLOOKUP(D6207,'taxonomy map'!$A$1:$C$107,2,FALSE),"")</f>
        <v/>
      </c>
      <c r="F6207" s="49" t="str">
        <f>IFERROR(VLOOKUP(E6207,'Condensed Specialty Crosswalk'!$A$2:$C$106,2,FALSE),"")</f>
        <v/>
      </c>
      <c r="G6207" s="49" t="str">
        <f>IFERROR(VLOOKUP(E6207,'Condensed Specialty Crosswalk'!$A$2:$C$106,3,FALSE),"")</f>
        <v/>
      </c>
    </row>
    <row r="6208" spans="5:7" ht="15" customHeight="1">
      <c r="E6208" s="49" t="str">
        <f>IFERROR(VLOOKUP(D6208,'taxonomy map'!$A$1:$C$107,2,FALSE),"")</f>
        <v/>
      </c>
      <c r="F6208" s="49" t="str">
        <f>IFERROR(VLOOKUP(E6208,'Condensed Specialty Crosswalk'!$A$2:$C$106,2,FALSE),"")</f>
        <v/>
      </c>
      <c r="G6208" s="49" t="str">
        <f>IFERROR(VLOOKUP(E6208,'Condensed Specialty Crosswalk'!$A$2:$C$106,3,FALSE),"")</f>
        <v/>
      </c>
    </row>
    <row r="6209" spans="5:7" ht="15" customHeight="1">
      <c r="E6209" s="49" t="str">
        <f>IFERROR(VLOOKUP(D6209,'taxonomy map'!$A$1:$C$107,2,FALSE),"")</f>
        <v/>
      </c>
      <c r="F6209" s="49" t="str">
        <f>IFERROR(VLOOKUP(E6209,'Condensed Specialty Crosswalk'!$A$2:$C$106,2,FALSE),"")</f>
        <v/>
      </c>
      <c r="G6209" s="49" t="str">
        <f>IFERROR(VLOOKUP(E6209,'Condensed Specialty Crosswalk'!$A$2:$C$106,3,FALSE),"")</f>
        <v/>
      </c>
    </row>
    <row r="6210" spans="5:7" ht="15" customHeight="1">
      <c r="E6210" s="49" t="str">
        <f>IFERROR(VLOOKUP(D6210,'taxonomy map'!$A$1:$C$107,2,FALSE),"")</f>
        <v/>
      </c>
      <c r="F6210" s="49" t="str">
        <f>IFERROR(VLOOKUP(E6210,'Condensed Specialty Crosswalk'!$A$2:$C$106,2,FALSE),"")</f>
        <v/>
      </c>
      <c r="G6210" s="49" t="str">
        <f>IFERROR(VLOOKUP(E6210,'Condensed Specialty Crosswalk'!$A$2:$C$106,3,FALSE),"")</f>
        <v/>
      </c>
    </row>
    <row r="6211" spans="5:7" ht="15" customHeight="1">
      <c r="E6211" s="49" t="str">
        <f>IFERROR(VLOOKUP(D6211,'taxonomy map'!$A$1:$C$107,2,FALSE),"")</f>
        <v/>
      </c>
      <c r="F6211" s="49" t="str">
        <f>IFERROR(VLOOKUP(E6211,'Condensed Specialty Crosswalk'!$A$2:$C$106,2,FALSE),"")</f>
        <v/>
      </c>
      <c r="G6211" s="49" t="str">
        <f>IFERROR(VLOOKUP(E6211,'Condensed Specialty Crosswalk'!$A$2:$C$106,3,FALSE),"")</f>
        <v/>
      </c>
    </row>
    <row r="6212" spans="5:7" ht="15" customHeight="1">
      <c r="E6212" s="49" t="str">
        <f>IFERROR(VLOOKUP(D6212,'taxonomy map'!$A$1:$C$107,2,FALSE),"")</f>
        <v/>
      </c>
      <c r="F6212" s="49" t="str">
        <f>IFERROR(VLOOKUP(E6212,'Condensed Specialty Crosswalk'!$A$2:$C$106,2,FALSE),"")</f>
        <v/>
      </c>
      <c r="G6212" s="49" t="str">
        <f>IFERROR(VLOOKUP(E6212,'Condensed Specialty Crosswalk'!$A$2:$C$106,3,FALSE),"")</f>
        <v/>
      </c>
    </row>
    <row r="6213" spans="5:7" ht="15" customHeight="1">
      <c r="E6213" s="49" t="str">
        <f>IFERROR(VLOOKUP(D6213,'taxonomy map'!$A$1:$C$107,2,FALSE),"")</f>
        <v/>
      </c>
      <c r="F6213" s="49" t="str">
        <f>IFERROR(VLOOKUP(E6213,'Condensed Specialty Crosswalk'!$A$2:$C$106,2,FALSE),"")</f>
        <v/>
      </c>
      <c r="G6213" s="49" t="str">
        <f>IFERROR(VLOOKUP(E6213,'Condensed Specialty Crosswalk'!$A$2:$C$106,3,FALSE),"")</f>
        <v/>
      </c>
    </row>
    <row r="6214" spans="5:7" ht="15" customHeight="1">
      <c r="E6214" s="49" t="str">
        <f>IFERROR(VLOOKUP(D6214,'taxonomy map'!$A$1:$C$107,2,FALSE),"")</f>
        <v/>
      </c>
      <c r="F6214" s="49" t="str">
        <f>IFERROR(VLOOKUP(E6214,'Condensed Specialty Crosswalk'!$A$2:$C$106,2,FALSE),"")</f>
        <v/>
      </c>
      <c r="G6214" s="49" t="str">
        <f>IFERROR(VLOOKUP(E6214,'Condensed Specialty Crosswalk'!$A$2:$C$106,3,FALSE),"")</f>
        <v/>
      </c>
    </row>
    <row r="6215" spans="5:7" ht="15" customHeight="1">
      <c r="E6215" s="49" t="str">
        <f>IFERROR(VLOOKUP(D6215,'taxonomy map'!$A$1:$C$107,2,FALSE),"")</f>
        <v/>
      </c>
      <c r="F6215" s="49" t="str">
        <f>IFERROR(VLOOKUP(E6215,'Condensed Specialty Crosswalk'!$A$2:$C$106,2,FALSE),"")</f>
        <v/>
      </c>
      <c r="G6215" s="49" t="str">
        <f>IFERROR(VLOOKUP(E6215,'Condensed Specialty Crosswalk'!$A$2:$C$106,3,FALSE),"")</f>
        <v/>
      </c>
    </row>
    <row r="6216" spans="5:7" ht="15" customHeight="1">
      <c r="E6216" s="49" t="str">
        <f>IFERROR(VLOOKUP(D6216,'taxonomy map'!$A$1:$C$107,2,FALSE),"")</f>
        <v/>
      </c>
      <c r="F6216" s="49" t="str">
        <f>IFERROR(VLOOKUP(E6216,'Condensed Specialty Crosswalk'!$A$2:$C$106,2,FALSE),"")</f>
        <v/>
      </c>
      <c r="G6216" s="49" t="str">
        <f>IFERROR(VLOOKUP(E6216,'Condensed Specialty Crosswalk'!$A$2:$C$106,3,FALSE),"")</f>
        <v/>
      </c>
    </row>
    <row r="6217" spans="5:7" ht="15" customHeight="1">
      <c r="E6217" s="49" t="str">
        <f>IFERROR(VLOOKUP(D6217,'taxonomy map'!$A$1:$C$107,2,FALSE),"")</f>
        <v/>
      </c>
      <c r="F6217" s="49" t="str">
        <f>IFERROR(VLOOKUP(E6217,'Condensed Specialty Crosswalk'!$A$2:$C$106,2,FALSE),"")</f>
        <v/>
      </c>
      <c r="G6217" s="49" t="str">
        <f>IFERROR(VLOOKUP(E6217,'Condensed Specialty Crosswalk'!$A$2:$C$106,3,FALSE),"")</f>
        <v/>
      </c>
    </row>
    <row r="6218" spans="5:7" ht="15" customHeight="1">
      <c r="E6218" s="49" t="str">
        <f>IFERROR(VLOOKUP(D6218,'taxonomy map'!$A$1:$C$107,2,FALSE),"")</f>
        <v/>
      </c>
      <c r="F6218" s="49" t="str">
        <f>IFERROR(VLOOKUP(E6218,'Condensed Specialty Crosswalk'!$A$2:$C$106,2,FALSE),"")</f>
        <v/>
      </c>
      <c r="G6218" s="49" t="str">
        <f>IFERROR(VLOOKUP(E6218,'Condensed Specialty Crosswalk'!$A$2:$C$106,3,FALSE),"")</f>
        <v/>
      </c>
    </row>
    <row r="6219" spans="5:7" ht="15" customHeight="1">
      <c r="E6219" s="49" t="str">
        <f>IFERROR(VLOOKUP(D6219,'taxonomy map'!$A$1:$C$107,2,FALSE),"")</f>
        <v/>
      </c>
      <c r="F6219" s="49" t="str">
        <f>IFERROR(VLOOKUP(E6219,'Condensed Specialty Crosswalk'!$A$2:$C$106,2,FALSE),"")</f>
        <v/>
      </c>
      <c r="G6219" s="49" t="str">
        <f>IFERROR(VLOOKUP(E6219,'Condensed Specialty Crosswalk'!$A$2:$C$106,3,FALSE),"")</f>
        <v/>
      </c>
    </row>
    <row r="6220" spans="5:7" ht="15" customHeight="1">
      <c r="E6220" s="49" t="str">
        <f>IFERROR(VLOOKUP(D6220,'taxonomy map'!$A$1:$C$107,2,FALSE),"")</f>
        <v/>
      </c>
      <c r="F6220" s="49" t="str">
        <f>IFERROR(VLOOKUP(E6220,'Condensed Specialty Crosswalk'!$A$2:$C$106,2,FALSE),"")</f>
        <v/>
      </c>
      <c r="G6220" s="49" t="str">
        <f>IFERROR(VLOOKUP(E6220,'Condensed Specialty Crosswalk'!$A$2:$C$106,3,FALSE),"")</f>
        <v/>
      </c>
    </row>
    <row r="6221" spans="5:7" ht="15" customHeight="1">
      <c r="E6221" s="49" t="str">
        <f>IFERROR(VLOOKUP(D6221,'taxonomy map'!$A$1:$C$107,2,FALSE),"")</f>
        <v/>
      </c>
      <c r="F6221" s="49" t="str">
        <f>IFERROR(VLOOKUP(E6221,'Condensed Specialty Crosswalk'!$A$2:$C$106,2,FALSE),"")</f>
        <v/>
      </c>
      <c r="G6221" s="49" t="str">
        <f>IFERROR(VLOOKUP(E6221,'Condensed Specialty Crosswalk'!$A$2:$C$106,3,FALSE),"")</f>
        <v/>
      </c>
    </row>
    <row r="6222" spans="5:7" ht="15" customHeight="1">
      <c r="E6222" s="49" t="str">
        <f>IFERROR(VLOOKUP(D6222,'taxonomy map'!$A$1:$C$107,2,FALSE),"")</f>
        <v/>
      </c>
      <c r="F6222" s="49" t="str">
        <f>IFERROR(VLOOKUP(E6222,'Condensed Specialty Crosswalk'!$A$2:$C$106,2,FALSE),"")</f>
        <v/>
      </c>
      <c r="G6222" s="49" t="str">
        <f>IFERROR(VLOOKUP(E6222,'Condensed Specialty Crosswalk'!$A$2:$C$106,3,FALSE),"")</f>
        <v/>
      </c>
    </row>
    <row r="6223" spans="5:7" ht="15" customHeight="1">
      <c r="E6223" s="49" t="str">
        <f>IFERROR(VLOOKUP(D6223,'taxonomy map'!$A$1:$C$107,2,FALSE),"")</f>
        <v/>
      </c>
      <c r="F6223" s="49" t="str">
        <f>IFERROR(VLOOKUP(E6223,'Condensed Specialty Crosswalk'!$A$2:$C$106,2,FALSE),"")</f>
        <v/>
      </c>
      <c r="G6223" s="49" t="str">
        <f>IFERROR(VLOOKUP(E6223,'Condensed Specialty Crosswalk'!$A$2:$C$106,3,FALSE),"")</f>
        <v/>
      </c>
    </row>
    <row r="6224" spans="5:7" ht="15" customHeight="1">
      <c r="E6224" s="49" t="str">
        <f>IFERROR(VLOOKUP(D6224,'taxonomy map'!$A$1:$C$107,2,FALSE),"")</f>
        <v/>
      </c>
      <c r="F6224" s="49" t="str">
        <f>IFERROR(VLOOKUP(E6224,'Condensed Specialty Crosswalk'!$A$2:$C$106,2,FALSE),"")</f>
        <v/>
      </c>
      <c r="G6224" s="49" t="str">
        <f>IFERROR(VLOOKUP(E6224,'Condensed Specialty Crosswalk'!$A$2:$C$106,3,FALSE),"")</f>
        <v/>
      </c>
    </row>
    <row r="6225" spans="5:7" ht="15" customHeight="1">
      <c r="E6225" s="49" t="str">
        <f>IFERROR(VLOOKUP(D6225,'taxonomy map'!$A$1:$C$107,2,FALSE),"")</f>
        <v/>
      </c>
      <c r="F6225" s="49" t="str">
        <f>IFERROR(VLOOKUP(E6225,'Condensed Specialty Crosswalk'!$A$2:$C$106,2,FALSE),"")</f>
        <v/>
      </c>
      <c r="G6225" s="49" t="str">
        <f>IFERROR(VLOOKUP(E6225,'Condensed Specialty Crosswalk'!$A$2:$C$106,3,FALSE),"")</f>
        <v/>
      </c>
    </row>
    <row r="6226" spans="5:7" ht="15" customHeight="1">
      <c r="E6226" s="49" t="str">
        <f>IFERROR(VLOOKUP(D6226,'taxonomy map'!$A$1:$C$107,2,FALSE),"")</f>
        <v/>
      </c>
      <c r="F6226" s="49" t="str">
        <f>IFERROR(VLOOKUP(E6226,'Condensed Specialty Crosswalk'!$A$2:$C$106,2,FALSE),"")</f>
        <v/>
      </c>
      <c r="G6226" s="49" t="str">
        <f>IFERROR(VLOOKUP(E6226,'Condensed Specialty Crosswalk'!$A$2:$C$106,3,FALSE),"")</f>
        <v/>
      </c>
    </row>
    <row r="6227" spans="5:7" ht="15" customHeight="1">
      <c r="E6227" s="49" t="str">
        <f>IFERROR(VLOOKUP(D6227,'taxonomy map'!$A$1:$C$107,2,FALSE),"")</f>
        <v/>
      </c>
      <c r="F6227" s="49" t="str">
        <f>IFERROR(VLOOKUP(E6227,'Condensed Specialty Crosswalk'!$A$2:$C$106,2,FALSE),"")</f>
        <v/>
      </c>
      <c r="G6227" s="49" t="str">
        <f>IFERROR(VLOOKUP(E6227,'Condensed Specialty Crosswalk'!$A$2:$C$106,3,FALSE),"")</f>
        <v/>
      </c>
    </row>
    <row r="6228" spans="5:7" ht="15" customHeight="1">
      <c r="E6228" s="49" t="str">
        <f>IFERROR(VLOOKUP(D6228,'taxonomy map'!$A$1:$C$107,2,FALSE),"")</f>
        <v/>
      </c>
      <c r="F6228" s="49" t="str">
        <f>IFERROR(VLOOKUP(E6228,'Condensed Specialty Crosswalk'!$A$2:$C$106,2,FALSE),"")</f>
        <v/>
      </c>
      <c r="G6228" s="49" t="str">
        <f>IFERROR(VLOOKUP(E6228,'Condensed Specialty Crosswalk'!$A$2:$C$106,3,FALSE),"")</f>
        <v/>
      </c>
    </row>
    <row r="6229" spans="5:7" ht="15" customHeight="1">
      <c r="E6229" s="49" t="str">
        <f>IFERROR(VLOOKUP(D6229,'taxonomy map'!$A$1:$C$107,2,FALSE),"")</f>
        <v/>
      </c>
      <c r="F6229" s="49" t="str">
        <f>IFERROR(VLOOKUP(E6229,'Condensed Specialty Crosswalk'!$A$2:$C$106,2,FALSE),"")</f>
        <v/>
      </c>
      <c r="G6229" s="49" t="str">
        <f>IFERROR(VLOOKUP(E6229,'Condensed Specialty Crosswalk'!$A$2:$C$106,3,FALSE),"")</f>
        <v/>
      </c>
    </row>
    <row r="6230" spans="5:7" ht="15" customHeight="1">
      <c r="E6230" s="49" t="str">
        <f>IFERROR(VLOOKUP(D6230,'taxonomy map'!$A$1:$C$107,2,FALSE),"")</f>
        <v/>
      </c>
      <c r="F6230" s="49" t="str">
        <f>IFERROR(VLOOKUP(E6230,'Condensed Specialty Crosswalk'!$A$2:$C$106,2,FALSE),"")</f>
        <v/>
      </c>
      <c r="G6230" s="49" t="str">
        <f>IFERROR(VLOOKUP(E6230,'Condensed Specialty Crosswalk'!$A$2:$C$106,3,FALSE),"")</f>
        <v/>
      </c>
    </row>
    <row r="6231" spans="5:7" ht="15" customHeight="1">
      <c r="E6231" s="49" t="str">
        <f>IFERROR(VLOOKUP(D6231,'taxonomy map'!$A$1:$C$107,2,FALSE),"")</f>
        <v/>
      </c>
      <c r="F6231" s="49" t="str">
        <f>IFERROR(VLOOKUP(E6231,'Condensed Specialty Crosswalk'!$A$2:$C$106,2,FALSE),"")</f>
        <v/>
      </c>
      <c r="G6231" s="49" t="str">
        <f>IFERROR(VLOOKUP(E6231,'Condensed Specialty Crosswalk'!$A$2:$C$106,3,FALSE),"")</f>
        <v/>
      </c>
    </row>
    <row r="6232" spans="5:7" ht="15" customHeight="1">
      <c r="E6232" s="49" t="str">
        <f>IFERROR(VLOOKUP(D6232,'taxonomy map'!$A$1:$C$107,2,FALSE),"")</f>
        <v/>
      </c>
      <c r="F6232" s="49" t="str">
        <f>IFERROR(VLOOKUP(E6232,'Condensed Specialty Crosswalk'!$A$2:$C$106,2,FALSE),"")</f>
        <v/>
      </c>
      <c r="G6232" s="49" t="str">
        <f>IFERROR(VLOOKUP(E6232,'Condensed Specialty Crosswalk'!$A$2:$C$106,3,FALSE),"")</f>
        <v/>
      </c>
    </row>
    <row r="6233" spans="5:7" ht="15" customHeight="1">
      <c r="E6233" s="49" t="str">
        <f>IFERROR(VLOOKUP(D6233,'taxonomy map'!$A$1:$C$107,2,FALSE),"")</f>
        <v/>
      </c>
      <c r="F6233" s="49" t="str">
        <f>IFERROR(VLOOKUP(E6233,'Condensed Specialty Crosswalk'!$A$2:$C$106,2,FALSE),"")</f>
        <v/>
      </c>
      <c r="G6233" s="49" t="str">
        <f>IFERROR(VLOOKUP(E6233,'Condensed Specialty Crosswalk'!$A$2:$C$106,3,FALSE),"")</f>
        <v/>
      </c>
    </row>
    <row r="6234" spans="5:7" ht="15" customHeight="1">
      <c r="E6234" s="49" t="str">
        <f>IFERROR(VLOOKUP(D6234,'taxonomy map'!$A$1:$C$107,2,FALSE),"")</f>
        <v/>
      </c>
      <c r="F6234" s="49" t="str">
        <f>IFERROR(VLOOKUP(E6234,'Condensed Specialty Crosswalk'!$A$2:$C$106,2,FALSE),"")</f>
        <v/>
      </c>
      <c r="G6234" s="49" t="str">
        <f>IFERROR(VLOOKUP(E6234,'Condensed Specialty Crosswalk'!$A$2:$C$106,3,FALSE),"")</f>
        <v/>
      </c>
    </row>
    <row r="6235" spans="5:7" ht="15" customHeight="1">
      <c r="E6235" s="49" t="str">
        <f>IFERROR(VLOOKUP(D6235,'taxonomy map'!$A$1:$C$107,2,FALSE),"")</f>
        <v/>
      </c>
      <c r="F6235" s="49" t="str">
        <f>IFERROR(VLOOKUP(E6235,'Condensed Specialty Crosswalk'!$A$2:$C$106,2,FALSE),"")</f>
        <v/>
      </c>
      <c r="G6235" s="49" t="str">
        <f>IFERROR(VLOOKUP(E6235,'Condensed Specialty Crosswalk'!$A$2:$C$106,3,FALSE),"")</f>
        <v/>
      </c>
    </row>
    <row r="6236" spans="5:7" ht="15" customHeight="1">
      <c r="E6236" s="49" t="str">
        <f>IFERROR(VLOOKUP(D6236,'taxonomy map'!$A$1:$C$107,2,FALSE),"")</f>
        <v/>
      </c>
      <c r="F6236" s="49" t="str">
        <f>IFERROR(VLOOKUP(E6236,'Condensed Specialty Crosswalk'!$A$2:$C$106,2,FALSE),"")</f>
        <v/>
      </c>
      <c r="G6236" s="49" t="str">
        <f>IFERROR(VLOOKUP(E6236,'Condensed Specialty Crosswalk'!$A$2:$C$106,3,FALSE),"")</f>
        <v/>
      </c>
    </row>
    <row r="6237" spans="5:7" ht="15" customHeight="1">
      <c r="E6237" s="49" t="str">
        <f>IFERROR(VLOOKUP(D6237,'taxonomy map'!$A$1:$C$107,2,FALSE),"")</f>
        <v/>
      </c>
      <c r="F6237" s="49" t="str">
        <f>IFERROR(VLOOKUP(E6237,'Condensed Specialty Crosswalk'!$A$2:$C$106,2,FALSE),"")</f>
        <v/>
      </c>
      <c r="G6237" s="49" t="str">
        <f>IFERROR(VLOOKUP(E6237,'Condensed Specialty Crosswalk'!$A$2:$C$106,3,FALSE),"")</f>
        <v/>
      </c>
    </row>
    <row r="6238" spans="5:7" ht="15" customHeight="1">
      <c r="E6238" s="49" t="str">
        <f>IFERROR(VLOOKUP(D6238,'taxonomy map'!$A$1:$C$107,2,FALSE),"")</f>
        <v/>
      </c>
      <c r="F6238" s="49" t="str">
        <f>IFERROR(VLOOKUP(E6238,'Condensed Specialty Crosswalk'!$A$2:$C$106,2,FALSE),"")</f>
        <v/>
      </c>
      <c r="G6238" s="49" t="str">
        <f>IFERROR(VLOOKUP(E6238,'Condensed Specialty Crosswalk'!$A$2:$C$106,3,FALSE),"")</f>
        <v/>
      </c>
    </row>
    <row r="6239" spans="5:7" ht="15" customHeight="1">
      <c r="E6239" s="49" t="str">
        <f>IFERROR(VLOOKUP(D6239,'taxonomy map'!$A$1:$C$107,2,FALSE),"")</f>
        <v/>
      </c>
      <c r="F6239" s="49" t="str">
        <f>IFERROR(VLOOKUP(E6239,'Condensed Specialty Crosswalk'!$A$2:$C$106,2,FALSE),"")</f>
        <v/>
      </c>
      <c r="G6239" s="49" t="str">
        <f>IFERROR(VLOOKUP(E6239,'Condensed Specialty Crosswalk'!$A$2:$C$106,3,FALSE),"")</f>
        <v/>
      </c>
    </row>
    <row r="6240" spans="5:7" ht="15" customHeight="1">
      <c r="E6240" s="49" t="str">
        <f>IFERROR(VLOOKUP(D6240,'taxonomy map'!$A$1:$C$107,2,FALSE),"")</f>
        <v/>
      </c>
      <c r="F6240" s="49" t="str">
        <f>IFERROR(VLOOKUP(E6240,'Condensed Specialty Crosswalk'!$A$2:$C$106,2,FALSE),"")</f>
        <v/>
      </c>
      <c r="G6240" s="49" t="str">
        <f>IFERROR(VLOOKUP(E6240,'Condensed Specialty Crosswalk'!$A$2:$C$106,3,FALSE),"")</f>
        <v/>
      </c>
    </row>
    <row r="6241" spans="5:7" ht="15" customHeight="1">
      <c r="E6241" s="49" t="str">
        <f>IFERROR(VLOOKUP(D6241,'taxonomy map'!$A$1:$C$107,2,FALSE),"")</f>
        <v/>
      </c>
      <c r="F6241" s="49" t="str">
        <f>IFERROR(VLOOKUP(E6241,'Condensed Specialty Crosswalk'!$A$2:$C$106,2,FALSE),"")</f>
        <v/>
      </c>
      <c r="G6241" s="49" t="str">
        <f>IFERROR(VLOOKUP(E6241,'Condensed Specialty Crosswalk'!$A$2:$C$106,3,FALSE),"")</f>
        <v/>
      </c>
    </row>
    <row r="6242" spans="5:7" ht="15" customHeight="1">
      <c r="E6242" s="49" t="str">
        <f>IFERROR(VLOOKUP(D6242,'taxonomy map'!$A$1:$C$107,2,FALSE),"")</f>
        <v/>
      </c>
      <c r="F6242" s="49" t="str">
        <f>IFERROR(VLOOKUP(E6242,'Condensed Specialty Crosswalk'!$A$2:$C$106,2,FALSE),"")</f>
        <v/>
      </c>
      <c r="G6242" s="49" t="str">
        <f>IFERROR(VLOOKUP(E6242,'Condensed Specialty Crosswalk'!$A$2:$C$106,3,FALSE),"")</f>
        <v/>
      </c>
    </row>
    <row r="6243" spans="5:7" ht="15" customHeight="1">
      <c r="E6243" s="49" t="str">
        <f>IFERROR(VLOOKUP(D6243,'taxonomy map'!$A$1:$C$107,2,FALSE),"")</f>
        <v/>
      </c>
      <c r="F6243" s="49" t="str">
        <f>IFERROR(VLOOKUP(E6243,'Condensed Specialty Crosswalk'!$A$2:$C$106,2,FALSE),"")</f>
        <v/>
      </c>
      <c r="G6243" s="49" t="str">
        <f>IFERROR(VLOOKUP(E6243,'Condensed Specialty Crosswalk'!$A$2:$C$106,3,FALSE),"")</f>
        <v/>
      </c>
    </row>
    <row r="6244" spans="5:7" ht="15" customHeight="1">
      <c r="E6244" s="49" t="str">
        <f>IFERROR(VLOOKUP(D6244,'taxonomy map'!$A$1:$C$107,2,FALSE),"")</f>
        <v/>
      </c>
      <c r="F6244" s="49" t="str">
        <f>IFERROR(VLOOKUP(E6244,'Condensed Specialty Crosswalk'!$A$2:$C$106,2,FALSE),"")</f>
        <v/>
      </c>
      <c r="G6244" s="49" t="str">
        <f>IFERROR(VLOOKUP(E6244,'Condensed Specialty Crosswalk'!$A$2:$C$106,3,FALSE),"")</f>
        <v/>
      </c>
    </row>
    <row r="6245" spans="5:7" ht="15" customHeight="1">
      <c r="E6245" s="49" t="str">
        <f>IFERROR(VLOOKUP(D6245,'taxonomy map'!$A$1:$C$107,2,FALSE),"")</f>
        <v/>
      </c>
      <c r="F6245" s="49" t="str">
        <f>IFERROR(VLOOKUP(E6245,'Condensed Specialty Crosswalk'!$A$2:$C$106,2,FALSE),"")</f>
        <v/>
      </c>
      <c r="G6245" s="49" t="str">
        <f>IFERROR(VLOOKUP(E6245,'Condensed Specialty Crosswalk'!$A$2:$C$106,3,FALSE),"")</f>
        <v/>
      </c>
    </row>
    <row r="6246" spans="5:7" ht="15" customHeight="1">
      <c r="E6246" s="49" t="str">
        <f>IFERROR(VLOOKUP(D6246,'taxonomy map'!$A$1:$C$107,2,FALSE),"")</f>
        <v/>
      </c>
      <c r="F6246" s="49" t="str">
        <f>IFERROR(VLOOKUP(E6246,'Condensed Specialty Crosswalk'!$A$2:$C$106,2,FALSE),"")</f>
        <v/>
      </c>
      <c r="G6246" s="49" t="str">
        <f>IFERROR(VLOOKUP(E6246,'Condensed Specialty Crosswalk'!$A$2:$C$106,3,FALSE),"")</f>
        <v/>
      </c>
    </row>
    <row r="6247" spans="5:7" ht="15" customHeight="1">
      <c r="E6247" s="49" t="str">
        <f>IFERROR(VLOOKUP(D6247,'taxonomy map'!$A$1:$C$107,2,FALSE),"")</f>
        <v/>
      </c>
      <c r="F6247" s="49" t="str">
        <f>IFERROR(VLOOKUP(E6247,'Condensed Specialty Crosswalk'!$A$2:$C$106,2,FALSE),"")</f>
        <v/>
      </c>
      <c r="G6247" s="49" t="str">
        <f>IFERROR(VLOOKUP(E6247,'Condensed Specialty Crosswalk'!$A$2:$C$106,3,FALSE),"")</f>
        <v/>
      </c>
    </row>
    <row r="6248" spans="5:7" ht="15" customHeight="1">
      <c r="E6248" s="49" t="str">
        <f>IFERROR(VLOOKUP(D6248,'taxonomy map'!$A$1:$C$107,2,FALSE),"")</f>
        <v/>
      </c>
      <c r="F6248" s="49" t="str">
        <f>IFERROR(VLOOKUP(E6248,'Condensed Specialty Crosswalk'!$A$2:$C$106,2,FALSE),"")</f>
        <v/>
      </c>
      <c r="G6248" s="49" t="str">
        <f>IFERROR(VLOOKUP(E6248,'Condensed Specialty Crosswalk'!$A$2:$C$106,3,FALSE),"")</f>
        <v/>
      </c>
    </row>
    <row r="6249" spans="5:7" ht="15" customHeight="1">
      <c r="E6249" s="49" t="str">
        <f>IFERROR(VLOOKUP(D6249,'taxonomy map'!$A$1:$C$107,2,FALSE),"")</f>
        <v/>
      </c>
      <c r="F6249" s="49" t="str">
        <f>IFERROR(VLOOKUP(E6249,'Condensed Specialty Crosswalk'!$A$2:$C$106,2,FALSE),"")</f>
        <v/>
      </c>
      <c r="G6249" s="49" t="str">
        <f>IFERROR(VLOOKUP(E6249,'Condensed Specialty Crosswalk'!$A$2:$C$106,3,FALSE),"")</f>
        <v/>
      </c>
    </row>
    <row r="6250" spans="5:7" ht="15" customHeight="1">
      <c r="E6250" s="49" t="str">
        <f>IFERROR(VLOOKUP(D6250,'taxonomy map'!$A$1:$C$107,2,FALSE),"")</f>
        <v/>
      </c>
      <c r="F6250" s="49" t="str">
        <f>IFERROR(VLOOKUP(E6250,'Condensed Specialty Crosswalk'!$A$2:$C$106,2,FALSE),"")</f>
        <v/>
      </c>
      <c r="G6250" s="49" t="str">
        <f>IFERROR(VLOOKUP(E6250,'Condensed Specialty Crosswalk'!$A$2:$C$106,3,FALSE),"")</f>
        <v/>
      </c>
    </row>
    <row r="6251" spans="5:7" ht="15" customHeight="1">
      <c r="E6251" s="49" t="str">
        <f>IFERROR(VLOOKUP(D6251,'taxonomy map'!$A$1:$C$107,2,FALSE),"")</f>
        <v/>
      </c>
      <c r="F6251" s="49" t="str">
        <f>IFERROR(VLOOKUP(E6251,'Condensed Specialty Crosswalk'!$A$2:$C$106,2,FALSE),"")</f>
        <v/>
      </c>
      <c r="G6251" s="49" t="str">
        <f>IFERROR(VLOOKUP(E6251,'Condensed Specialty Crosswalk'!$A$2:$C$106,3,FALSE),"")</f>
        <v/>
      </c>
    </row>
    <row r="6252" spans="5:7" ht="15" customHeight="1">
      <c r="E6252" s="49" t="str">
        <f>IFERROR(VLOOKUP(D6252,'taxonomy map'!$A$1:$C$107,2,FALSE),"")</f>
        <v/>
      </c>
      <c r="F6252" s="49" t="str">
        <f>IFERROR(VLOOKUP(E6252,'Condensed Specialty Crosswalk'!$A$2:$C$106,2,FALSE),"")</f>
        <v/>
      </c>
      <c r="G6252" s="49" t="str">
        <f>IFERROR(VLOOKUP(E6252,'Condensed Specialty Crosswalk'!$A$2:$C$106,3,FALSE),"")</f>
        <v/>
      </c>
    </row>
    <row r="6253" spans="5:7" ht="15" customHeight="1">
      <c r="E6253" s="49" t="str">
        <f>IFERROR(VLOOKUP(D6253,'taxonomy map'!$A$1:$C$107,2,FALSE),"")</f>
        <v/>
      </c>
      <c r="F6253" s="49" t="str">
        <f>IFERROR(VLOOKUP(E6253,'Condensed Specialty Crosswalk'!$A$2:$C$106,2,FALSE),"")</f>
        <v/>
      </c>
      <c r="G6253" s="49" t="str">
        <f>IFERROR(VLOOKUP(E6253,'Condensed Specialty Crosswalk'!$A$2:$C$106,3,FALSE),"")</f>
        <v/>
      </c>
    </row>
    <row r="6254" spans="5:7" ht="15" customHeight="1">
      <c r="E6254" s="49" t="str">
        <f>IFERROR(VLOOKUP(D6254,'taxonomy map'!$A$1:$C$107,2,FALSE),"")</f>
        <v/>
      </c>
      <c r="F6254" s="49" t="str">
        <f>IFERROR(VLOOKUP(E6254,'Condensed Specialty Crosswalk'!$A$2:$C$106,2,FALSE),"")</f>
        <v/>
      </c>
      <c r="G6254" s="49" t="str">
        <f>IFERROR(VLOOKUP(E6254,'Condensed Specialty Crosswalk'!$A$2:$C$106,3,FALSE),"")</f>
        <v/>
      </c>
    </row>
    <row r="6255" spans="5:7" ht="15" customHeight="1">
      <c r="E6255" s="49" t="str">
        <f>IFERROR(VLOOKUP(D6255,'taxonomy map'!$A$1:$C$107,2,FALSE),"")</f>
        <v/>
      </c>
      <c r="F6255" s="49" t="str">
        <f>IFERROR(VLOOKUP(E6255,'Condensed Specialty Crosswalk'!$A$2:$C$106,2,FALSE),"")</f>
        <v/>
      </c>
      <c r="G6255" s="49" t="str">
        <f>IFERROR(VLOOKUP(E6255,'Condensed Specialty Crosswalk'!$A$2:$C$106,3,FALSE),"")</f>
        <v/>
      </c>
    </row>
    <row r="6256" spans="5:7" ht="15" customHeight="1">
      <c r="E6256" s="49" t="str">
        <f>IFERROR(VLOOKUP(D6256,'taxonomy map'!$A$1:$C$107,2,FALSE),"")</f>
        <v/>
      </c>
      <c r="F6256" s="49" t="str">
        <f>IFERROR(VLOOKUP(E6256,'Condensed Specialty Crosswalk'!$A$2:$C$106,2,FALSE),"")</f>
        <v/>
      </c>
      <c r="G6256" s="49" t="str">
        <f>IFERROR(VLOOKUP(E6256,'Condensed Specialty Crosswalk'!$A$2:$C$106,3,FALSE),"")</f>
        <v/>
      </c>
    </row>
    <row r="6257" spans="5:7" ht="15" customHeight="1">
      <c r="E6257" s="49" t="str">
        <f>IFERROR(VLOOKUP(D6257,'taxonomy map'!$A$1:$C$107,2,FALSE),"")</f>
        <v/>
      </c>
      <c r="F6257" s="49" t="str">
        <f>IFERROR(VLOOKUP(E6257,'Condensed Specialty Crosswalk'!$A$2:$C$106,2,FALSE),"")</f>
        <v/>
      </c>
      <c r="G6257" s="49" t="str">
        <f>IFERROR(VLOOKUP(E6257,'Condensed Specialty Crosswalk'!$A$2:$C$106,3,FALSE),"")</f>
        <v/>
      </c>
    </row>
    <row r="6258" spans="5:7" ht="15" customHeight="1">
      <c r="E6258" s="49" t="str">
        <f>IFERROR(VLOOKUP(D6258,'taxonomy map'!$A$1:$C$107,2,FALSE),"")</f>
        <v/>
      </c>
      <c r="F6258" s="49" t="str">
        <f>IFERROR(VLOOKUP(E6258,'Condensed Specialty Crosswalk'!$A$2:$C$106,2,FALSE),"")</f>
        <v/>
      </c>
      <c r="G6258" s="49" t="str">
        <f>IFERROR(VLOOKUP(E6258,'Condensed Specialty Crosswalk'!$A$2:$C$106,3,FALSE),"")</f>
        <v/>
      </c>
    </row>
    <row r="6259" spans="5:7" ht="15" customHeight="1">
      <c r="E6259" s="49" t="str">
        <f>IFERROR(VLOOKUP(D6259,'taxonomy map'!$A$1:$C$107,2,FALSE),"")</f>
        <v/>
      </c>
      <c r="F6259" s="49" t="str">
        <f>IFERROR(VLOOKUP(E6259,'Condensed Specialty Crosswalk'!$A$2:$C$106,2,FALSE),"")</f>
        <v/>
      </c>
      <c r="G6259" s="49" t="str">
        <f>IFERROR(VLOOKUP(E6259,'Condensed Specialty Crosswalk'!$A$2:$C$106,3,FALSE),"")</f>
        <v/>
      </c>
    </row>
    <row r="6260" spans="5:7" ht="15" customHeight="1">
      <c r="E6260" s="49" t="str">
        <f>IFERROR(VLOOKUP(D6260,'taxonomy map'!$A$1:$C$107,2,FALSE),"")</f>
        <v/>
      </c>
      <c r="F6260" s="49" t="str">
        <f>IFERROR(VLOOKUP(E6260,'Condensed Specialty Crosswalk'!$A$2:$C$106,2,FALSE),"")</f>
        <v/>
      </c>
      <c r="G6260" s="49" t="str">
        <f>IFERROR(VLOOKUP(E6260,'Condensed Specialty Crosswalk'!$A$2:$C$106,3,FALSE),"")</f>
        <v/>
      </c>
    </row>
    <row r="6261" spans="5:7" ht="15" customHeight="1">
      <c r="E6261" s="49" t="str">
        <f>IFERROR(VLOOKUP(D6261,'taxonomy map'!$A$1:$C$107,2,FALSE),"")</f>
        <v/>
      </c>
      <c r="F6261" s="49" t="str">
        <f>IFERROR(VLOOKUP(E6261,'Condensed Specialty Crosswalk'!$A$2:$C$106,2,FALSE),"")</f>
        <v/>
      </c>
      <c r="G6261" s="49" t="str">
        <f>IFERROR(VLOOKUP(E6261,'Condensed Specialty Crosswalk'!$A$2:$C$106,3,FALSE),"")</f>
        <v/>
      </c>
    </row>
    <row r="6262" spans="5:7" ht="15" customHeight="1">
      <c r="E6262" s="49" t="str">
        <f>IFERROR(VLOOKUP(D6262,'taxonomy map'!$A$1:$C$107,2,FALSE),"")</f>
        <v/>
      </c>
      <c r="F6262" s="49" t="str">
        <f>IFERROR(VLOOKUP(E6262,'Condensed Specialty Crosswalk'!$A$2:$C$106,2,FALSE),"")</f>
        <v/>
      </c>
      <c r="G6262" s="49" t="str">
        <f>IFERROR(VLOOKUP(E6262,'Condensed Specialty Crosswalk'!$A$2:$C$106,3,FALSE),"")</f>
        <v/>
      </c>
    </row>
    <row r="6263" spans="5:7" ht="15" customHeight="1">
      <c r="E6263" s="49" t="str">
        <f>IFERROR(VLOOKUP(D6263,'taxonomy map'!$A$1:$C$107,2,FALSE),"")</f>
        <v/>
      </c>
      <c r="F6263" s="49" t="str">
        <f>IFERROR(VLOOKUP(E6263,'Condensed Specialty Crosswalk'!$A$2:$C$106,2,FALSE),"")</f>
        <v/>
      </c>
      <c r="G6263" s="49" t="str">
        <f>IFERROR(VLOOKUP(E6263,'Condensed Specialty Crosswalk'!$A$2:$C$106,3,FALSE),"")</f>
        <v/>
      </c>
    </row>
    <row r="6264" spans="5:7" ht="15" customHeight="1">
      <c r="E6264" s="49" t="str">
        <f>IFERROR(VLOOKUP(D6264,'taxonomy map'!$A$1:$C$107,2,FALSE),"")</f>
        <v/>
      </c>
      <c r="F6264" s="49" t="str">
        <f>IFERROR(VLOOKUP(E6264,'Condensed Specialty Crosswalk'!$A$2:$C$106,2,FALSE),"")</f>
        <v/>
      </c>
      <c r="G6264" s="49" t="str">
        <f>IFERROR(VLOOKUP(E6264,'Condensed Specialty Crosswalk'!$A$2:$C$106,3,FALSE),"")</f>
        <v/>
      </c>
    </row>
    <row r="6265" spans="5:7" ht="15" customHeight="1">
      <c r="E6265" s="49" t="str">
        <f>IFERROR(VLOOKUP(D6265,'taxonomy map'!$A$1:$C$107,2,FALSE),"")</f>
        <v/>
      </c>
      <c r="F6265" s="49" t="str">
        <f>IFERROR(VLOOKUP(E6265,'Condensed Specialty Crosswalk'!$A$2:$C$106,2,FALSE),"")</f>
        <v/>
      </c>
      <c r="G6265" s="49" t="str">
        <f>IFERROR(VLOOKUP(E6265,'Condensed Specialty Crosswalk'!$A$2:$C$106,3,FALSE),"")</f>
        <v/>
      </c>
    </row>
    <row r="6266" spans="5:7" ht="15" customHeight="1">
      <c r="E6266" s="49" t="str">
        <f>IFERROR(VLOOKUP(D6266,'taxonomy map'!$A$1:$C$107,2,FALSE),"")</f>
        <v/>
      </c>
      <c r="F6266" s="49" t="str">
        <f>IFERROR(VLOOKUP(E6266,'Condensed Specialty Crosswalk'!$A$2:$C$106,2,FALSE),"")</f>
        <v/>
      </c>
      <c r="G6266" s="49" t="str">
        <f>IFERROR(VLOOKUP(E6266,'Condensed Specialty Crosswalk'!$A$2:$C$106,3,FALSE),"")</f>
        <v/>
      </c>
    </row>
    <row r="6267" spans="5:7" ht="15" customHeight="1">
      <c r="E6267" s="49" t="str">
        <f>IFERROR(VLOOKUP(D6267,'taxonomy map'!$A$1:$C$107,2,FALSE),"")</f>
        <v/>
      </c>
      <c r="F6267" s="49" t="str">
        <f>IFERROR(VLOOKUP(E6267,'Condensed Specialty Crosswalk'!$A$2:$C$106,2,FALSE),"")</f>
        <v/>
      </c>
      <c r="G6267" s="49" t="str">
        <f>IFERROR(VLOOKUP(E6267,'Condensed Specialty Crosswalk'!$A$2:$C$106,3,FALSE),"")</f>
        <v/>
      </c>
    </row>
    <row r="6268" spans="5:7" ht="15" customHeight="1">
      <c r="E6268" s="49" t="str">
        <f>IFERROR(VLOOKUP(D6268,'taxonomy map'!$A$1:$C$107,2,FALSE),"")</f>
        <v/>
      </c>
      <c r="F6268" s="49" t="str">
        <f>IFERROR(VLOOKUP(E6268,'Condensed Specialty Crosswalk'!$A$2:$C$106,2,FALSE),"")</f>
        <v/>
      </c>
      <c r="G6268" s="49" t="str">
        <f>IFERROR(VLOOKUP(E6268,'Condensed Specialty Crosswalk'!$A$2:$C$106,3,FALSE),"")</f>
        <v/>
      </c>
    </row>
    <row r="6269" spans="5:7" ht="15" customHeight="1">
      <c r="E6269" s="49" t="str">
        <f>IFERROR(VLOOKUP(D6269,'taxonomy map'!$A$1:$C$107,2,FALSE),"")</f>
        <v/>
      </c>
      <c r="F6269" s="49" t="str">
        <f>IFERROR(VLOOKUP(E6269,'Condensed Specialty Crosswalk'!$A$2:$C$106,2,FALSE),"")</f>
        <v/>
      </c>
      <c r="G6269" s="49" t="str">
        <f>IFERROR(VLOOKUP(E6269,'Condensed Specialty Crosswalk'!$A$2:$C$106,3,FALSE),"")</f>
        <v/>
      </c>
    </row>
    <row r="6270" spans="5:7" ht="15" customHeight="1">
      <c r="E6270" s="49" t="str">
        <f>IFERROR(VLOOKUP(D6270,'taxonomy map'!$A$1:$C$107,2,FALSE),"")</f>
        <v/>
      </c>
      <c r="F6270" s="49" t="str">
        <f>IFERROR(VLOOKUP(E6270,'Condensed Specialty Crosswalk'!$A$2:$C$106,2,FALSE),"")</f>
        <v/>
      </c>
      <c r="G6270" s="49" t="str">
        <f>IFERROR(VLOOKUP(E6270,'Condensed Specialty Crosswalk'!$A$2:$C$106,3,FALSE),"")</f>
        <v/>
      </c>
    </row>
    <row r="6271" spans="5:7" ht="15" customHeight="1">
      <c r="E6271" s="49" t="str">
        <f>IFERROR(VLOOKUP(D6271,'taxonomy map'!$A$1:$C$107,2,FALSE),"")</f>
        <v/>
      </c>
      <c r="F6271" s="49" t="str">
        <f>IFERROR(VLOOKUP(E6271,'Condensed Specialty Crosswalk'!$A$2:$C$106,2,FALSE),"")</f>
        <v/>
      </c>
      <c r="G6271" s="49" t="str">
        <f>IFERROR(VLOOKUP(E6271,'Condensed Specialty Crosswalk'!$A$2:$C$106,3,FALSE),"")</f>
        <v/>
      </c>
    </row>
    <row r="6272" spans="5:7" ht="15" customHeight="1">
      <c r="E6272" s="49" t="str">
        <f>IFERROR(VLOOKUP(D6272,'taxonomy map'!$A$1:$C$107,2,FALSE),"")</f>
        <v/>
      </c>
      <c r="F6272" s="49" t="str">
        <f>IFERROR(VLOOKUP(E6272,'Condensed Specialty Crosswalk'!$A$2:$C$106,2,FALSE),"")</f>
        <v/>
      </c>
      <c r="G6272" s="49" t="str">
        <f>IFERROR(VLOOKUP(E6272,'Condensed Specialty Crosswalk'!$A$2:$C$106,3,FALSE),"")</f>
        <v/>
      </c>
    </row>
    <row r="6273" spans="5:7" ht="15" customHeight="1">
      <c r="E6273" s="49" t="str">
        <f>IFERROR(VLOOKUP(D6273,'taxonomy map'!$A$1:$C$107,2,FALSE),"")</f>
        <v/>
      </c>
      <c r="F6273" s="49" t="str">
        <f>IFERROR(VLOOKUP(E6273,'Condensed Specialty Crosswalk'!$A$2:$C$106,2,FALSE),"")</f>
        <v/>
      </c>
      <c r="G6273" s="49" t="str">
        <f>IFERROR(VLOOKUP(E6273,'Condensed Specialty Crosswalk'!$A$2:$C$106,3,FALSE),"")</f>
        <v/>
      </c>
    </row>
    <row r="6274" spans="5:7" ht="15" customHeight="1">
      <c r="E6274" s="49" t="str">
        <f>IFERROR(VLOOKUP(D6274,'taxonomy map'!$A$1:$C$107,2,FALSE),"")</f>
        <v/>
      </c>
      <c r="F6274" s="49" t="str">
        <f>IFERROR(VLOOKUP(E6274,'Condensed Specialty Crosswalk'!$A$2:$C$106,2,FALSE),"")</f>
        <v/>
      </c>
      <c r="G6274" s="49" t="str">
        <f>IFERROR(VLOOKUP(E6274,'Condensed Specialty Crosswalk'!$A$2:$C$106,3,FALSE),"")</f>
        <v/>
      </c>
    </row>
    <row r="6275" spans="5:7" ht="15" customHeight="1">
      <c r="E6275" s="49" t="str">
        <f>IFERROR(VLOOKUP(D6275,'taxonomy map'!$A$1:$C$107,2,FALSE),"")</f>
        <v/>
      </c>
      <c r="F6275" s="49" t="str">
        <f>IFERROR(VLOOKUP(E6275,'Condensed Specialty Crosswalk'!$A$2:$C$106,2,FALSE),"")</f>
        <v/>
      </c>
      <c r="G6275" s="49" t="str">
        <f>IFERROR(VLOOKUP(E6275,'Condensed Specialty Crosswalk'!$A$2:$C$106,3,FALSE),"")</f>
        <v/>
      </c>
    </row>
    <row r="6276" spans="5:7" ht="15" customHeight="1">
      <c r="E6276" s="49" t="str">
        <f>IFERROR(VLOOKUP(D6276,'taxonomy map'!$A$1:$C$107,2,FALSE),"")</f>
        <v/>
      </c>
      <c r="F6276" s="49" t="str">
        <f>IFERROR(VLOOKUP(E6276,'Condensed Specialty Crosswalk'!$A$2:$C$106,2,FALSE),"")</f>
        <v/>
      </c>
      <c r="G6276" s="49" t="str">
        <f>IFERROR(VLOOKUP(E6276,'Condensed Specialty Crosswalk'!$A$2:$C$106,3,FALSE),"")</f>
        <v/>
      </c>
    </row>
    <row r="6277" spans="5:7" ht="15" customHeight="1">
      <c r="E6277" s="49" t="str">
        <f>IFERROR(VLOOKUP(D6277,'taxonomy map'!$A$1:$C$107,2,FALSE),"")</f>
        <v/>
      </c>
      <c r="F6277" s="49" t="str">
        <f>IFERROR(VLOOKUP(E6277,'Condensed Specialty Crosswalk'!$A$2:$C$106,2,FALSE),"")</f>
        <v/>
      </c>
      <c r="G6277" s="49" t="str">
        <f>IFERROR(VLOOKUP(E6277,'Condensed Specialty Crosswalk'!$A$2:$C$106,3,FALSE),"")</f>
        <v/>
      </c>
    </row>
    <row r="6278" spans="5:7" ht="15" customHeight="1">
      <c r="E6278" s="49" t="str">
        <f>IFERROR(VLOOKUP(D6278,'taxonomy map'!$A$1:$C$107,2,FALSE),"")</f>
        <v/>
      </c>
      <c r="F6278" s="49" t="str">
        <f>IFERROR(VLOOKUP(E6278,'Condensed Specialty Crosswalk'!$A$2:$C$106,2,FALSE),"")</f>
        <v/>
      </c>
      <c r="G6278" s="49" t="str">
        <f>IFERROR(VLOOKUP(E6278,'Condensed Specialty Crosswalk'!$A$2:$C$106,3,FALSE),"")</f>
        <v/>
      </c>
    </row>
    <row r="6279" spans="5:7" ht="15" customHeight="1">
      <c r="E6279" s="49" t="str">
        <f>IFERROR(VLOOKUP(D6279,'taxonomy map'!$A$1:$C$107,2,FALSE),"")</f>
        <v/>
      </c>
      <c r="F6279" s="49" t="str">
        <f>IFERROR(VLOOKUP(E6279,'Condensed Specialty Crosswalk'!$A$2:$C$106,2,FALSE),"")</f>
        <v/>
      </c>
      <c r="G6279" s="49" t="str">
        <f>IFERROR(VLOOKUP(E6279,'Condensed Specialty Crosswalk'!$A$2:$C$106,3,FALSE),"")</f>
        <v/>
      </c>
    </row>
    <row r="6280" spans="5:7" ht="15" customHeight="1">
      <c r="E6280" s="49" t="str">
        <f>IFERROR(VLOOKUP(D6280,'taxonomy map'!$A$1:$C$107,2,FALSE),"")</f>
        <v/>
      </c>
      <c r="F6280" s="49" t="str">
        <f>IFERROR(VLOOKUP(E6280,'Condensed Specialty Crosswalk'!$A$2:$C$106,2,FALSE),"")</f>
        <v/>
      </c>
      <c r="G6280" s="49" t="str">
        <f>IFERROR(VLOOKUP(E6280,'Condensed Specialty Crosswalk'!$A$2:$C$106,3,FALSE),"")</f>
        <v/>
      </c>
    </row>
    <row r="6281" spans="5:7" ht="15" customHeight="1">
      <c r="E6281" s="49" t="str">
        <f>IFERROR(VLOOKUP(D6281,'taxonomy map'!$A$1:$C$107,2,FALSE),"")</f>
        <v/>
      </c>
      <c r="F6281" s="49" t="str">
        <f>IFERROR(VLOOKUP(E6281,'Condensed Specialty Crosswalk'!$A$2:$C$106,2,FALSE),"")</f>
        <v/>
      </c>
      <c r="G6281" s="49" t="str">
        <f>IFERROR(VLOOKUP(E6281,'Condensed Specialty Crosswalk'!$A$2:$C$106,3,FALSE),"")</f>
        <v/>
      </c>
    </row>
    <row r="6282" spans="5:7" ht="15" customHeight="1">
      <c r="E6282" s="49" t="str">
        <f>IFERROR(VLOOKUP(D6282,'taxonomy map'!$A$1:$C$107,2,FALSE),"")</f>
        <v/>
      </c>
      <c r="F6282" s="49" t="str">
        <f>IFERROR(VLOOKUP(E6282,'Condensed Specialty Crosswalk'!$A$2:$C$106,2,FALSE),"")</f>
        <v/>
      </c>
      <c r="G6282" s="49" t="str">
        <f>IFERROR(VLOOKUP(E6282,'Condensed Specialty Crosswalk'!$A$2:$C$106,3,FALSE),"")</f>
        <v/>
      </c>
    </row>
    <row r="6283" spans="5:7" ht="15" customHeight="1">
      <c r="E6283" s="49" t="str">
        <f>IFERROR(VLOOKUP(D6283,'taxonomy map'!$A$1:$C$107,2,FALSE),"")</f>
        <v/>
      </c>
      <c r="F6283" s="49" t="str">
        <f>IFERROR(VLOOKUP(E6283,'Condensed Specialty Crosswalk'!$A$2:$C$106,2,FALSE),"")</f>
        <v/>
      </c>
      <c r="G6283" s="49" t="str">
        <f>IFERROR(VLOOKUP(E6283,'Condensed Specialty Crosswalk'!$A$2:$C$106,3,FALSE),"")</f>
        <v/>
      </c>
    </row>
    <row r="6284" spans="5:7" ht="15" customHeight="1">
      <c r="E6284" s="49" t="str">
        <f>IFERROR(VLOOKUP(D6284,'taxonomy map'!$A$1:$C$107,2,FALSE),"")</f>
        <v/>
      </c>
      <c r="F6284" s="49" t="str">
        <f>IFERROR(VLOOKUP(E6284,'Condensed Specialty Crosswalk'!$A$2:$C$106,2,FALSE),"")</f>
        <v/>
      </c>
      <c r="G6284" s="49" t="str">
        <f>IFERROR(VLOOKUP(E6284,'Condensed Specialty Crosswalk'!$A$2:$C$106,3,FALSE),"")</f>
        <v/>
      </c>
    </row>
    <row r="6285" spans="5:7" ht="15" customHeight="1">
      <c r="E6285" s="49" t="str">
        <f>IFERROR(VLOOKUP(D6285,'taxonomy map'!$A$1:$C$107,2,FALSE),"")</f>
        <v/>
      </c>
      <c r="F6285" s="49" t="str">
        <f>IFERROR(VLOOKUP(E6285,'Condensed Specialty Crosswalk'!$A$2:$C$106,2,FALSE),"")</f>
        <v/>
      </c>
      <c r="G6285" s="49" t="str">
        <f>IFERROR(VLOOKUP(E6285,'Condensed Specialty Crosswalk'!$A$2:$C$106,3,FALSE),"")</f>
        <v/>
      </c>
    </row>
    <row r="6286" spans="5:7" ht="15" customHeight="1">
      <c r="E6286" s="49" t="str">
        <f>IFERROR(VLOOKUP(D6286,'taxonomy map'!$A$1:$C$107,2,FALSE),"")</f>
        <v/>
      </c>
      <c r="F6286" s="49" t="str">
        <f>IFERROR(VLOOKUP(E6286,'Condensed Specialty Crosswalk'!$A$2:$C$106,2,FALSE),"")</f>
        <v/>
      </c>
      <c r="G6286" s="49" t="str">
        <f>IFERROR(VLOOKUP(E6286,'Condensed Specialty Crosswalk'!$A$2:$C$106,3,FALSE),"")</f>
        <v/>
      </c>
    </row>
    <row r="6287" spans="5:7" ht="15" customHeight="1">
      <c r="E6287" s="49" t="str">
        <f>IFERROR(VLOOKUP(D6287,'taxonomy map'!$A$1:$C$107,2,FALSE),"")</f>
        <v/>
      </c>
      <c r="F6287" s="49" t="str">
        <f>IFERROR(VLOOKUP(E6287,'Condensed Specialty Crosswalk'!$A$2:$C$106,2,FALSE),"")</f>
        <v/>
      </c>
      <c r="G6287" s="49" t="str">
        <f>IFERROR(VLOOKUP(E6287,'Condensed Specialty Crosswalk'!$A$2:$C$106,3,FALSE),"")</f>
        <v/>
      </c>
    </row>
    <row r="6288" spans="5:7" ht="15" customHeight="1">
      <c r="E6288" s="49" t="str">
        <f>IFERROR(VLOOKUP(D6288,'taxonomy map'!$A$1:$C$107,2,FALSE),"")</f>
        <v/>
      </c>
      <c r="F6288" s="49" t="str">
        <f>IFERROR(VLOOKUP(E6288,'Condensed Specialty Crosswalk'!$A$2:$C$106,2,FALSE),"")</f>
        <v/>
      </c>
      <c r="G6288" s="49" t="str">
        <f>IFERROR(VLOOKUP(E6288,'Condensed Specialty Crosswalk'!$A$2:$C$106,3,FALSE),"")</f>
        <v/>
      </c>
    </row>
    <row r="6289" spans="5:7" ht="15" customHeight="1">
      <c r="E6289" s="49" t="str">
        <f>IFERROR(VLOOKUP(D6289,'taxonomy map'!$A$1:$C$107,2,FALSE),"")</f>
        <v/>
      </c>
      <c r="F6289" s="49" t="str">
        <f>IFERROR(VLOOKUP(E6289,'Condensed Specialty Crosswalk'!$A$2:$C$106,2,FALSE),"")</f>
        <v/>
      </c>
      <c r="G6289" s="49" t="str">
        <f>IFERROR(VLOOKUP(E6289,'Condensed Specialty Crosswalk'!$A$2:$C$106,3,FALSE),"")</f>
        <v/>
      </c>
    </row>
    <row r="6290" spans="5:7" ht="15" customHeight="1">
      <c r="E6290" s="49" t="str">
        <f>IFERROR(VLOOKUP(D6290,'taxonomy map'!$A$1:$C$107,2,FALSE),"")</f>
        <v/>
      </c>
      <c r="F6290" s="49" t="str">
        <f>IFERROR(VLOOKUP(E6290,'Condensed Specialty Crosswalk'!$A$2:$C$106,2,FALSE),"")</f>
        <v/>
      </c>
      <c r="G6290" s="49" t="str">
        <f>IFERROR(VLOOKUP(E6290,'Condensed Specialty Crosswalk'!$A$2:$C$106,3,FALSE),"")</f>
        <v/>
      </c>
    </row>
    <row r="6291" spans="5:7" ht="15" customHeight="1">
      <c r="E6291" s="49" t="str">
        <f>IFERROR(VLOOKUP(D6291,'taxonomy map'!$A$1:$C$107,2,FALSE),"")</f>
        <v/>
      </c>
      <c r="F6291" s="49" t="str">
        <f>IFERROR(VLOOKUP(E6291,'Condensed Specialty Crosswalk'!$A$2:$C$106,2,FALSE),"")</f>
        <v/>
      </c>
      <c r="G6291" s="49" t="str">
        <f>IFERROR(VLOOKUP(E6291,'Condensed Specialty Crosswalk'!$A$2:$C$106,3,FALSE),"")</f>
        <v/>
      </c>
    </row>
    <row r="6292" spans="5:7" ht="15" customHeight="1">
      <c r="E6292" s="49" t="str">
        <f>IFERROR(VLOOKUP(D6292,'taxonomy map'!$A$1:$C$107,2,FALSE),"")</f>
        <v/>
      </c>
      <c r="F6292" s="49" t="str">
        <f>IFERROR(VLOOKUP(E6292,'Condensed Specialty Crosswalk'!$A$2:$C$106,2,FALSE),"")</f>
        <v/>
      </c>
      <c r="G6292" s="49" t="str">
        <f>IFERROR(VLOOKUP(E6292,'Condensed Specialty Crosswalk'!$A$2:$C$106,3,FALSE),"")</f>
        <v/>
      </c>
    </row>
    <row r="6293" spans="5:7" ht="15" customHeight="1">
      <c r="E6293" s="49" t="str">
        <f>IFERROR(VLOOKUP(D6293,'taxonomy map'!$A$1:$C$107,2,FALSE),"")</f>
        <v/>
      </c>
      <c r="F6293" s="49" t="str">
        <f>IFERROR(VLOOKUP(E6293,'Condensed Specialty Crosswalk'!$A$2:$C$106,2,FALSE),"")</f>
        <v/>
      </c>
      <c r="G6293" s="49" t="str">
        <f>IFERROR(VLOOKUP(E6293,'Condensed Specialty Crosswalk'!$A$2:$C$106,3,FALSE),"")</f>
        <v/>
      </c>
    </row>
    <row r="6294" spans="5:7" ht="15" customHeight="1">
      <c r="E6294" s="49" t="str">
        <f>IFERROR(VLOOKUP(D6294,'taxonomy map'!$A$1:$C$107,2,FALSE),"")</f>
        <v/>
      </c>
      <c r="F6294" s="49" t="str">
        <f>IFERROR(VLOOKUP(E6294,'Condensed Specialty Crosswalk'!$A$2:$C$106,2,FALSE),"")</f>
        <v/>
      </c>
      <c r="G6294" s="49" t="str">
        <f>IFERROR(VLOOKUP(E6294,'Condensed Specialty Crosswalk'!$A$2:$C$106,3,FALSE),"")</f>
        <v/>
      </c>
    </row>
    <row r="6295" spans="5:7" ht="15" customHeight="1">
      <c r="E6295" s="49" t="str">
        <f>IFERROR(VLOOKUP(D6295,'taxonomy map'!$A$1:$C$107,2,FALSE),"")</f>
        <v/>
      </c>
      <c r="F6295" s="49" t="str">
        <f>IFERROR(VLOOKUP(E6295,'Condensed Specialty Crosswalk'!$A$2:$C$106,2,FALSE),"")</f>
        <v/>
      </c>
      <c r="G6295" s="49" t="str">
        <f>IFERROR(VLOOKUP(E6295,'Condensed Specialty Crosswalk'!$A$2:$C$106,3,FALSE),"")</f>
        <v/>
      </c>
    </row>
    <row r="6296" spans="5:7" ht="15" customHeight="1">
      <c r="E6296" s="49" t="str">
        <f>IFERROR(VLOOKUP(D6296,'taxonomy map'!$A$1:$C$107,2,FALSE),"")</f>
        <v/>
      </c>
      <c r="F6296" s="49" t="str">
        <f>IFERROR(VLOOKUP(E6296,'Condensed Specialty Crosswalk'!$A$2:$C$106,2,FALSE),"")</f>
        <v/>
      </c>
      <c r="G6296" s="49" t="str">
        <f>IFERROR(VLOOKUP(E6296,'Condensed Specialty Crosswalk'!$A$2:$C$106,3,FALSE),"")</f>
        <v/>
      </c>
    </row>
    <row r="6297" spans="5:7" ht="15" customHeight="1">
      <c r="E6297" s="49" t="str">
        <f>IFERROR(VLOOKUP(D6297,'taxonomy map'!$A$1:$C$107,2,FALSE),"")</f>
        <v/>
      </c>
      <c r="F6297" s="49" t="str">
        <f>IFERROR(VLOOKUP(E6297,'Condensed Specialty Crosswalk'!$A$2:$C$106,2,FALSE),"")</f>
        <v/>
      </c>
      <c r="G6297" s="49" t="str">
        <f>IFERROR(VLOOKUP(E6297,'Condensed Specialty Crosswalk'!$A$2:$C$106,3,FALSE),"")</f>
        <v/>
      </c>
    </row>
    <row r="6298" spans="5:7" ht="15" customHeight="1">
      <c r="E6298" s="49" t="str">
        <f>IFERROR(VLOOKUP(D6298,'taxonomy map'!$A$1:$C$107,2,FALSE),"")</f>
        <v/>
      </c>
      <c r="F6298" s="49" t="str">
        <f>IFERROR(VLOOKUP(E6298,'Condensed Specialty Crosswalk'!$A$2:$C$106,2,FALSE),"")</f>
        <v/>
      </c>
      <c r="G6298" s="49" t="str">
        <f>IFERROR(VLOOKUP(E6298,'Condensed Specialty Crosswalk'!$A$2:$C$106,3,FALSE),"")</f>
        <v/>
      </c>
    </row>
    <row r="6299" spans="5:7" ht="15" customHeight="1">
      <c r="E6299" s="49" t="str">
        <f>IFERROR(VLOOKUP(D6299,'taxonomy map'!$A$1:$C$107,2,FALSE),"")</f>
        <v/>
      </c>
      <c r="F6299" s="49" t="str">
        <f>IFERROR(VLOOKUP(E6299,'Condensed Specialty Crosswalk'!$A$2:$C$106,2,FALSE),"")</f>
        <v/>
      </c>
      <c r="G6299" s="49" t="str">
        <f>IFERROR(VLOOKUP(E6299,'Condensed Specialty Crosswalk'!$A$2:$C$106,3,FALSE),"")</f>
        <v/>
      </c>
    </row>
    <row r="6300" spans="5:7" ht="15" customHeight="1">
      <c r="E6300" s="49" t="str">
        <f>IFERROR(VLOOKUP(D6300,'taxonomy map'!$A$1:$C$107,2,FALSE),"")</f>
        <v/>
      </c>
      <c r="F6300" s="49" t="str">
        <f>IFERROR(VLOOKUP(E6300,'Condensed Specialty Crosswalk'!$A$2:$C$106,2,FALSE),"")</f>
        <v/>
      </c>
      <c r="G6300" s="49" t="str">
        <f>IFERROR(VLOOKUP(E6300,'Condensed Specialty Crosswalk'!$A$2:$C$106,3,FALSE),"")</f>
        <v/>
      </c>
    </row>
    <row r="6301" spans="5:7" ht="15" customHeight="1">
      <c r="E6301" s="49" t="str">
        <f>IFERROR(VLOOKUP(D6301,'taxonomy map'!$A$1:$C$107,2,FALSE),"")</f>
        <v/>
      </c>
      <c r="F6301" s="49" t="str">
        <f>IFERROR(VLOOKUP(E6301,'Condensed Specialty Crosswalk'!$A$2:$C$106,2,FALSE),"")</f>
        <v/>
      </c>
      <c r="G6301" s="49" t="str">
        <f>IFERROR(VLOOKUP(E6301,'Condensed Specialty Crosswalk'!$A$2:$C$106,3,FALSE),"")</f>
        <v/>
      </c>
    </row>
    <row r="6302" spans="5:7" ht="15" customHeight="1">
      <c r="E6302" s="49" t="str">
        <f>IFERROR(VLOOKUP(D6302,'taxonomy map'!$A$1:$C$107,2,FALSE),"")</f>
        <v/>
      </c>
      <c r="F6302" s="49" t="str">
        <f>IFERROR(VLOOKUP(E6302,'Condensed Specialty Crosswalk'!$A$2:$C$106,2,FALSE),"")</f>
        <v/>
      </c>
      <c r="G6302" s="49" t="str">
        <f>IFERROR(VLOOKUP(E6302,'Condensed Specialty Crosswalk'!$A$2:$C$106,3,FALSE),"")</f>
        <v/>
      </c>
    </row>
    <row r="6303" spans="5:7" ht="15" customHeight="1">
      <c r="E6303" s="49" t="str">
        <f>IFERROR(VLOOKUP(D6303,'taxonomy map'!$A$1:$C$107,2,FALSE),"")</f>
        <v/>
      </c>
      <c r="F6303" s="49" t="str">
        <f>IFERROR(VLOOKUP(E6303,'Condensed Specialty Crosswalk'!$A$2:$C$106,2,FALSE),"")</f>
        <v/>
      </c>
      <c r="G6303" s="49" t="str">
        <f>IFERROR(VLOOKUP(E6303,'Condensed Specialty Crosswalk'!$A$2:$C$106,3,FALSE),"")</f>
        <v/>
      </c>
    </row>
    <row r="6304" spans="5:7" ht="15" customHeight="1">
      <c r="E6304" s="49" t="str">
        <f>IFERROR(VLOOKUP(D6304,'taxonomy map'!$A$1:$C$107,2,FALSE),"")</f>
        <v/>
      </c>
      <c r="F6304" s="49" t="str">
        <f>IFERROR(VLOOKUP(E6304,'Condensed Specialty Crosswalk'!$A$2:$C$106,2,FALSE),"")</f>
        <v/>
      </c>
      <c r="G6304" s="49" t="str">
        <f>IFERROR(VLOOKUP(E6304,'Condensed Specialty Crosswalk'!$A$2:$C$106,3,FALSE),"")</f>
        <v/>
      </c>
    </row>
    <row r="6305" spans="5:7" ht="15" customHeight="1">
      <c r="E6305" s="49" t="str">
        <f>IFERROR(VLOOKUP(D6305,'taxonomy map'!$A$1:$C$107,2,FALSE),"")</f>
        <v/>
      </c>
      <c r="F6305" s="49" t="str">
        <f>IFERROR(VLOOKUP(E6305,'Condensed Specialty Crosswalk'!$A$2:$C$106,2,FALSE),"")</f>
        <v/>
      </c>
      <c r="G6305" s="49" t="str">
        <f>IFERROR(VLOOKUP(E6305,'Condensed Specialty Crosswalk'!$A$2:$C$106,3,FALSE),"")</f>
        <v/>
      </c>
    </row>
    <row r="6306" spans="5:7" ht="15" customHeight="1">
      <c r="E6306" s="49" t="str">
        <f>IFERROR(VLOOKUP(D6306,'taxonomy map'!$A$1:$C$107,2,FALSE),"")</f>
        <v/>
      </c>
      <c r="F6306" s="49" t="str">
        <f>IFERROR(VLOOKUP(E6306,'Condensed Specialty Crosswalk'!$A$2:$C$106,2,FALSE),"")</f>
        <v/>
      </c>
      <c r="G6306" s="49" t="str">
        <f>IFERROR(VLOOKUP(E6306,'Condensed Specialty Crosswalk'!$A$2:$C$106,3,FALSE),"")</f>
        <v/>
      </c>
    </row>
    <row r="6307" spans="5:7" ht="15" customHeight="1">
      <c r="E6307" s="49" t="str">
        <f>IFERROR(VLOOKUP(D6307,'taxonomy map'!$A$1:$C$107,2,FALSE),"")</f>
        <v/>
      </c>
      <c r="F6307" s="49" t="str">
        <f>IFERROR(VLOOKUP(E6307,'Condensed Specialty Crosswalk'!$A$2:$C$106,2,FALSE),"")</f>
        <v/>
      </c>
      <c r="G6307" s="49" t="str">
        <f>IFERROR(VLOOKUP(E6307,'Condensed Specialty Crosswalk'!$A$2:$C$106,3,FALSE),"")</f>
        <v/>
      </c>
    </row>
    <row r="6308" spans="5:7" ht="15" customHeight="1">
      <c r="E6308" s="49" t="str">
        <f>IFERROR(VLOOKUP(D6308,'taxonomy map'!$A$1:$C$107,2,FALSE),"")</f>
        <v/>
      </c>
      <c r="F6308" s="49" t="str">
        <f>IFERROR(VLOOKUP(E6308,'Condensed Specialty Crosswalk'!$A$2:$C$106,2,FALSE),"")</f>
        <v/>
      </c>
      <c r="G6308" s="49" t="str">
        <f>IFERROR(VLOOKUP(E6308,'Condensed Specialty Crosswalk'!$A$2:$C$106,3,FALSE),"")</f>
        <v/>
      </c>
    </row>
    <row r="6309" spans="5:7" ht="15" customHeight="1">
      <c r="E6309" s="49" t="str">
        <f>IFERROR(VLOOKUP(D6309,'taxonomy map'!$A$1:$C$107,2,FALSE),"")</f>
        <v/>
      </c>
      <c r="F6309" s="49" t="str">
        <f>IFERROR(VLOOKUP(E6309,'Condensed Specialty Crosswalk'!$A$2:$C$106,2,FALSE),"")</f>
        <v/>
      </c>
      <c r="G6309" s="49" t="str">
        <f>IFERROR(VLOOKUP(E6309,'Condensed Specialty Crosswalk'!$A$2:$C$106,3,FALSE),"")</f>
        <v/>
      </c>
    </row>
    <row r="6310" spans="5:7" ht="15" customHeight="1">
      <c r="E6310" s="49" t="str">
        <f>IFERROR(VLOOKUP(D6310,'taxonomy map'!$A$1:$C$107,2,FALSE),"")</f>
        <v/>
      </c>
      <c r="F6310" s="49" t="str">
        <f>IFERROR(VLOOKUP(E6310,'Condensed Specialty Crosswalk'!$A$2:$C$106,2,FALSE),"")</f>
        <v/>
      </c>
      <c r="G6310" s="49" t="str">
        <f>IFERROR(VLOOKUP(E6310,'Condensed Specialty Crosswalk'!$A$2:$C$106,3,FALSE),"")</f>
        <v/>
      </c>
    </row>
    <row r="6311" spans="5:7" ht="15" customHeight="1">
      <c r="E6311" s="49" t="str">
        <f>IFERROR(VLOOKUP(D6311,'taxonomy map'!$A$1:$C$107,2,FALSE),"")</f>
        <v/>
      </c>
      <c r="F6311" s="49" t="str">
        <f>IFERROR(VLOOKUP(E6311,'Condensed Specialty Crosswalk'!$A$2:$C$106,2,FALSE),"")</f>
        <v/>
      </c>
      <c r="G6311" s="49" t="str">
        <f>IFERROR(VLOOKUP(E6311,'Condensed Specialty Crosswalk'!$A$2:$C$106,3,FALSE),"")</f>
        <v/>
      </c>
    </row>
    <row r="6312" spans="5:7" ht="15" customHeight="1">
      <c r="E6312" s="49" t="str">
        <f>IFERROR(VLOOKUP(D6312,'taxonomy map'!$A$1:$C$107,2,FALSE),"")</f>
        <v/>
      </c>
      <c r="F6312" s="49" t="str">
        <f>IFERROR(VLOOKUP(E6312,'Condensed Specialty Crosswalk'!$A$2:$C$106,2,FALSE),"")</f>
        <v/>
      </c>
      <c r="G6312" s="49" t="str">
        <f>IFERROR(VLOOKUP(E6312,'Condensed Specialty Crosswalk'!$A$2:$C$106,3,FALSE),"")</f>
        <v/>
      </c>
    </row>
    <row r="6313" spans="5:7" ht="15" customHeight="1">
      <c r="E6313" s="49" t="str">
        <f>IFERROR(VLOOKUP(D6313,'taxonomy map'!$A$1:$C$107,2,FALSE),"")</f>
        <v/>
      </c>
      <c r="F6313" s="49" t="str">
        <f>IFERROR(VLOOKUP(E6313,'Condensed Specialty Crosswalk'!$A$2:$C$106,2,FALSE),"")</f>
        <v/>
      </c>
      <c r="G6313" s="49" t="str">
        <f>IFERROR(VLOOKUP(E6313,'Condensed Specialty Crosswalk'!$A$2:$C$106,3,FALSE),"")</f>
        <v/>
      </c>
    </row>
    <row r="6314" spans="5:7" ht="15" customHeight="1">
      <c r="E6314" s="49" t="str">
        <f>IFERROR(VLOOKUP(D6314,'taxonomy map'!$A$1:$C$107,2,FALSE),"")</f>
        <v/>
      </c>
      <c r="F6314" s="49" t="str">
        <f>IFERROR(VLOOKUP(E6314,'Condensed Specialty Crosswalk'!$A$2:$C$106,2,FALSE),"")</f>
        <v/>
      </c>
      <c r="G6314" s="49" t="str">
        <f>IFERROR(VLOOKUP(E6314,'Condensed Specialty Crosswalk'!$A$2:$C$106,3,FALSE),"")</f>
        <v/>
      </c>
    </row>
    <row r="6315" spans="5:7" ht="15" customHeight="1">
      <c r="E6315" s="49" t="str">
        <f>IFERROR(VLOOKUP(D6315,'taxonomy map'!$A$1:$C$107,2,FALSE),"")</f>
        <v/>
      </c>
      <c r="F6315" s="49" t="str">
        <f>IFERROR(VLOOKUP(E6315,'Condensed Specialty Crosswalk'!$A$2:$C$106,2,FALSE),"")</f>
        <v/>
      </c>
      <c r="G6315" s="49" t="str">
        <f>IFERROR(VLOOKUP(E6315,'Condensed Specialty Crosswalk'!$A$2:$C$106,3,FALSE),"")</f>
        <v/>
      </c>
    </row>
    <row r="6316" spans="5:7" ht="15" customHeight="1">
      <c r="E6316" s="49" t="str">
        <f>IFERROR(VLOOKUP(D6316,'taxonomy map'!$A$1:$C$107,2,FALSE),"")</f>
        <v/>
      </c>
      <c r="F6316" s="49" t="str">
        <f>IFERROR(VLOOKUP(E6316,'Condensed Specialty Crosswalk'!$A$2:$C$106,2,FALSE),"")</f>
        <v/>
      </c>
      <c r="G6316" s="49" t="str">
        <f>IFERROR(VLOOKUP(E6316,'Condensed Specialty Crosswalk'!$A$2:$C$106,3,FALSE),"")</f>
        <v/>
      </c>
    </row>
    <row r="6317" spans="5:7" ht="15" customHeight="1">
      <c r="E6317" s="49" t="str">
        <f>IFERROR(VLOOKUP(D6317,'taxonomy map'!$A$1:$C$107,2,FALSE),"")</f>
        <v/>
      </c>
      <c r="F6317" s="49" t="str">
        <f>IFERROR(VLOOKUP(E6317,'Condensed Specialty Crosswalk'!$A$2:$C$106,2,FALSE),"")</f>
        <v/>
      </c>
      <c r="G6317" s="49" t="str">
        <f>IFERROR(VLOOKUP(E6317,'Condensed Specialty Crosswalk'!$A$2:$C$106,3,FALSE),"")</f>
        <v/>
      </c>
    </row>
    <row r="6318" spans="5:7" ht="15" customHeight="1">
      <c r="E6318" s="49" t="str">
        <f>IFERROR(VLOOKUP(D6318,'taxonomy map'!$A$1:$C$107,2,FALSE),"")</f>
        <v/>
      </c>
      <c r="F6318" s="49" t="str">
        <f>IFERROR(VLOOKUP(E6318,'Condensed Specialty Crosswalk'!$A$2:$C$106,2,FALSE),"")</f>
        <v/>
      </c>
      <c r="G6318" s="49" t="str">
        <f>IFERROR(VLOOKUP(E6318,'Condensed Specialty Crosswalk'!$A$2:$C$106,3,FALSE),"")</f>
        <v/>
      </c>
    </row>
    <row r="6319" spans="5:7" ht="15" customHeight="1">
      <c r="E6319" s="49" t="str">
        <f>IFERROR(VLOOKUP(D6319,'taxonomy map'!$A$1:$C$107,2,FALSE),"")</f>
        <v/>
      </c>
      <c r="F6319" s="49" t="str">
        <f>IFERROR(VLOOKUP(E6319,'Condensed Specialty Crosswalk'!$A$2:$C$106,2,FALSE),"")</f>
        <v/>
      </c>
      <c r="G6319" s="49" t="str">
        <f>IFERROR(VLOOKUP(E6319,'Condensed Specialty Crosswalk'!$A$2:$C$106,3,FALSE),"")</f>
        <v/>
      </c>
    </row>
    <row r="6320" spans="5:7" ht="15" customHeight="1">
      <c r="E6320" s="49" t="str">
        <f>IFERROR(VLOOKUP(D6320,'taxonomy map'!$A$1:$C$107,2,FALSE),"")</f>
        <v/>
      </c>
      <c r="F6320" s="49" t="str">
        <f>IFERROR(VLOOKUP(E6320,'Condensed Specialty Crosswalk'!$A$2:$C$106,2,FALSE),"")</f>
        <v/>
      </c>
      <c r="G6320" s="49" t="str">
        <f>IFERROR(VLOOKUP(E6320,'Condensed Specialty Crosswalk'!$A$2:$C$106,3,FALSE),"")</f>
        <v/>
      </c>
    </row>
    <row r="6321" spans="5:7" ht="15" customHeight="1">
      <c r="E6321" s="49" t="str">
        <f>IFERROR(VLOOKUP(D6321,'taxonomy map'!$A$1:$C$107,2,FALSE),"")</f>
        <v/>
      </c>
      <c r="F6321" s="49" t="str">
        <f>IFERROR(VLOOKUP(E6321,'Condensed Specialty Crosswalk'!$A$2:$C$106,2,FALSE),"")</f>
        <v/>
      </c>
      <c r="G6321" s="49" t="str">
        <f>IFERROR(VLOOKUP(E6321,'Condensed Specialty Crosswalk'!$A$2:$C$106,3,FALSE),"")</f>
        <v/>
      </c>
    </row>
    <row r="6322" spans="5:7" ht="15" customHeight="1">
      <c r="E6322" s="49" t="str">
        <f>IFERROR(VLOOKUP(D6322,'taxonomy map'!$A$1:$C$107,2,FALSE),"")</f>
        <v/>
      </c>
      <c r="F6322" s="49" t="str">
        <f>IFERROR(VLOOKUP(E6322,'Condensed Specialty Crosswalk'!$A$2:$C$106,2,FALSE),"")</f>
        <v/>
      </c>
      <c r="G6322" s="49" t="str">
        <f>IFERROR(VLOOKUP(E6322,'Condensed Specialty Crosswalk'!$A$2:$C$106,3,FALSE),"")</f>
        <v/>
      </c>
    </row>
    <row r="6323" spans="5:7" ht="15" customHeight="1">
      <c r="E6323" s="49" t="str">
        <f>IFERROR(VLOOKUP(D6323,'taxonomy map'!$A$1:$C$107,2,FALSE),"")</f>
        <v/>
      </c>
      <c r="F6323" s="49" t="str">
        <f>IFERROR(VLOOKUP(E6323,'Condensed Specialty Crosswalk'!$A$2:$C$106,2,FALSE),"")</f>
        <v/>
      </c>
      <c r="G6323" s="49" t="str">
        <f>IFERROR(VLOOKUP(E6323,'Condensed Specialty Crosswalk'!$A$2:$C$106,3,FALSE),"")</f>
        <v/>
      </c>
    </row>
    <row r="6324" spans="5:7" ht="15" customHeight="1">
      <c r="E6324" s="49" t="str">
        <f>IFERROR(VLOOKUP(D6324,'taxonomy map'!$A$1:$C$107,2,FALSE),"")</f>
        <v/>
      </c>
      <c r="F6324" s="49" t="str">
        <f>IFERROR(VLOOKUP(E6324,'Condensed Specialty Crosswalk'!$A$2:$C$106,2,FALSE),"")</f>
        <v/>
      </c>
      <c r="G6324" s="49" t="str">
        <f>IFERROR(VLOOKUP(E6324,'Condensed Specialty Crosswalk'!$A$2:$C$106,3,FALSE),"")</f>
        <v/>
      </c>
    </row>
    <row r="6325" spans="5:7" ht="15" customHeight="1">
      <c r="E6325" s="49" t="str">
        <f>IFERROR(VLOOKUP(D6325,'taxonomy map'!$A$1:$C$107,2,FALSE),"")</f>
        <v/>
      </c>
      <c r="F6325" s="49" t="str">
        <f>IFERROR(VLOOKUP(E6325,'Condensed Specialty Crosswalk'!$A$2:$C$106,2,FALSE),"")</f>
        <v/>
      </c>
      <c r="G6325" s="49" t="str">
        <f>IFERROR(VLOOKUP(E6325,'Condensed Specialty Crosswalk'!$A$2:$C$106,3,FALSE),"")</f>
        <v/>
      </c>
    </row>
    <row r="6326" spans="5:7" ht="15" customHeight="1">
      <c r="E6326" s="49" t="str">
        <f>IFERROR(VLOOKUP(D6326,'taxonomy map'!$A$1:$C$107,2,FALSE),"")</f>
        <v/>
      </c>
      <c r="F6326" s="49" t="str">
        <f>IFERROR(VLOOKUP(E6326,'Condensed Specialty Crosswalk'!$A$2:$C$106,2,FALSE),"")</f>
        <v/>
      </c>
      <c r="G6326" s="49" t="str">
        <f>IFERROR(VLOOKUP(E6326,'Condensed Specialty Crosswalk'!$A$2:$C$106,3,FALSE),"")</f>
        <v/>
      </c>
    </row>
    <row r="6327" spans="5:7" ht="15" customHeight="1">
      <c r="E6327" s="49" t="str">
        <f>IFERROR(VLOOKUP(D6327,'taxonomy map'!$A$1:$C$107,2,FALSE),"")</f>
        <v/>
      </c>
      <c r="F6327" s="49" t="str">
        <f>IFERROR(VLOOKUP(E6327,'Condensed Specialty Crosswalk'!$A$2:$C$106,2,FALSE),"")</f>
        <v/>
      </c>
      <c r="G6327" s="49" t="str">
        <f>IFERROR(VLOOKUP(E6327,'Condensed Specialty Crosswalk'!$A$2:$C$106,3,FALSE),"")</f>
        <v/>
      </c>
    </row>
    <row r="6328" spans="5:7" ht="15" customHeight="1">
      <c r="E6328" s="49" t="str">
        <f>IFERROR(VLOOKUP(D6328,'taxonomy map'!$A$1:$C$107,2,FALSE),"")</f>
        <v/>
      </c>
      <c r="F6328" s="49" t="str">
        <f>IFERROR(VLOOKUP(E6328,'Condensed Specialty Crosswalk'!$A$2:$C$106,2,FALSE),"")</f>
        <v/>
      </c>
      <c r="G6328" s="49" t="str">
        <f>IFERROR(VLOOKUP(E6328,'Condensed Specialty Crosswalk'!$A$2:$C$106,3,FALSE),"")</f>
        <v/>
      </c>
    </row>
    <row r="6329" spans="5:7" ht="15" customHeight="1">
      <c r="E6329" s="49" t="str">
        <f>IFERROR(VLOOKUP(D6329,'taxonomy map'!$A$1:$C$107,2,FALSE),"")</f>
        <v/>
      </c>
      <c r="F6329" s="49" t="str">
        <f>IFERROR(VLOOKUP(E6329,'Condensed Specialty Crosswalk'!$A$2:$C$106,2,FALSE),"")</f>
        <v/>
      </c>
      <c r="G6329" s="49" t="str">
        <f>IFERROR(VLOOKUP(E6329,'Condensed Specialty Crosswalk'!$A$2:$C$106,3,FALSE),"")</f>
        <v/>
      </c>
    </row>
    <row r="6330" spans="5:7" ht="15" customHeight="1">
      <c r="E6330" s="49" t="str">
        <f>IFERROR(VLOOKUP(D6330,'taxonomy map'!$A$1:$C$107,2,FALSE),"")</f>
        <v/>
      </c>
      <c r="F6330" s="49" t="str">
        <f>IFERROR(VLOOKUP(E6330,'Condensed Specialty Crosswalk'!$A$2:$C$106,2,FALSE),"")</f>
        <v/>
      </c>
      <c r="G6330" s="49" t="str">
        <f>IFERROR(VLOOKUP(E6330,'Condensed Specialty Crosswalk'!$A$2:$C$106,3,FALSE),"")</f>
        <v/>
      </c>
    </row>
    <row r="6331" spans="5:7" ht="15" customHeight="1">
      <c r="E6331" s="49" t="str">
        <f>IFERROR(VLOOKUP(D6331,'taxonomy map'!$A$1:$C$107,2,FALSE),"")</f>
        <v/>
      </c>
      <c r="F6331" s="49" t="str">
        <f>IFERROR(VLOOKUP(E6331,'Condensed Specialty Crosswalk'!$A$2:$C$106,2,FALSE),"")</f>
        <v/>
      </c>
      <c r="G6331" s="49" t="str">
        <f>IFERROR(VLOOKUP(E6331,'Condensed Specialty Crosswalk'!$A$2:$C$106,3,FALSE),"")</f>
        <v/>
      </c>
    </row>
    <row r="6332" spans="5:7" ht="15" customHeight="1">
      <c r="E6332" s="49" t="str">
        <f>IFERROR(VLOOKUP(D6332,'taxonomy map'!$A$1:$C$107,2,FALSE),"")</f>
        <v/>
      </c>
      <c r="F6332" s="49" t="str">
        <f>IFERROR(VLOOKUP(E6332,'Condensed Specialty Crosswalk'!$A$2:$C$106,2,FALSE),"")</f>
        <v/>
      </c>
      <c r="G6332" s="49" t="str">
        <f>IFERROR(VLOOKUP(E6332,'Condensed Specialty Crosswalk'!$A$2:$C$106,3,FALSE),"")</f>
        <v/>
      </c>
    </row>
    <row r="6333" spans="5:7" ht="15" customHeight="1">
      <c r="E6333" s="49" t="str">
        <f>IFERROR(VLOOKUP(D6333,'taxonomy map'!$A$1:$C$107,2,FALSE),"")</f>
        <v/>
      </c>
      <c r="F6333" s="49" t="str">
        <f>IFERROR(VLOOKUP(E6333,'Condensed Specialty Crosswalk'!$A$2:$C$106,2,FALSE),"")</f>
        <v/>
      </c>
      <c r="G6333" s="49" t="str">
        <f>IFERROR(VLOOKUP(E6333,'Condensed Specialty Crosswalk'!$A$2:$C$106,3,FALSE),"")</f>
        <v/>
      </c>
    </row>
    <row r="6334" spans="5:7" ht="15" customHeight="1">
      <c r="E6334" s="49" t="str">
        <f>IFERROR(VLOOKUP(D6334,'taxonomy map'!$A$1:$C$107,2,FALSE),"")</f>
        <v/>
      </c>
      <c r="F6334" s="49" t="str">
        <f>IFERROR(VLOOKUP(E6334,'Condensed Specialty Crosswalk'!$A$2:$C$106,2,FALSE),"")</f>
        <v/>
      </c>
      <c r="G6334" s="49" t="str">
        <f>IFERROR(VLOOKUP(E6334,'Condensed Specialty Crosswalk'!$A$2:$C$106,3,FALSE),"")</f>
        <v/>
      </c>
    </row>
    <row r="6335" spans="5:7" ht="15" customHeight="1">
      <c r="E6335" s="49" t="str">
        <f>IFERROR(VLOOKUP(D6335,'taxonomy map'!$A$1:$C$107,2,FALSE),"")</f>
        <v/>
      </c>
      <c r="F6335" s="49" t="str">
        <f>IFERROR(VLOOKUP(E6335,'Condensed Specialty Crosswalk'!$A$2:$C$106,2,FALSE),"")</f>
        <v/>
      </c>
      <c r="G6335" s="49" t="str">
        <f>IFERROR(VLOOKUP(E6335,'Condensed Specialty Crosswalk'!$A$2:$C$106,3,FALSE),"")</f>
        <v/>
      </c>
    </row>
    <row r="6336" spans="5:7" ht="15" customHeight="1">
      <c r="E6336" s="49" t="str">
        <f>IFERROR(VLOOKUP(D6336,'taxonomy map'!$A$1:$C$107,2,FALSE),"")</f>
        <v/>
      </c>
      <c r="F6336" s="49" t="str">
        <f>IFERROR(VLOOKUP(E6336,'Condensed Specialty Crosswalk'!$A$2:$C$106,2,FALSE),"")</f>
        <v/>
      </c>
      <c r="G6336" s="49" t="str">
        <f>IFERROR(VLOOKUP(E6336,'Condensed Specialty Crosswalk'!$A$2:$C$106,3,FALSE),"")</f>
        <v/>
      </c>
    </row>
    <row r="6337" spans="5:7" ht="15" customHeight="1">
      <c r="E6337" s="49" t="str">
        <f>IFERROR(VLOOKUP(D6337,'taxonomy map'!$A$1:$C$107,2,FALSE),"")</f>
        <v/>
      </c>
      <c r="F6337" s="49" t="str">
        <f>IFERROR(VLOOKUP(E6337,'Condensed Specialty Crosswalk'!$A$2:$C$106,2,FALSE),"")</f>
        <v/>
      </c>
      <c r="G6337" s="49" t="str">
        <f>IFERROR(VLOOKUP(E6337,'Condensed Specialty Crosswalk'!$A$2:$C$106,3,FALSE),"")</f>
        <v/>
      </c>
    </row>
    <row r="6338" spans="5:7" ht="15" customHeight="1">
      <c r="E6338" s="49" t="str">
        <f>IFERROR(VLOOKUP(D6338,'taxonomy map'!$A$1:$C$107,2,FALSE),"")</f>
        <v/>
      </c>
      <c r="F6338" s="49" t="str">
        <f>IFERROR(VLOOKUP(E6338,'Condensed Specialty Crosswalk'!$A$2:$C$106,2,FALSE),"")</f>
        <v/>
      </c>
      <c r="G6338" s="49" t="str">
        <f>IFERROR(VLOOKUP(E6338,'Condensed Specialty Crosswalk'!$A$2:$C$106,3,FALSE),"")</f>
        <v/>
      </c>
    </row>
    <row r="6339" spans="5:7" ht="15" customHeight="1">
      <c r="E6339" s="49" t="str">
        <f>IFERROR(VLOOKUP(D6339,'taxonomy map'!$A$1:$C$107,2,FALSE),"")</f>
        <v/>
      </c>
      <c r="F6339" s="49" t="str">
        <f>IFERROR(VLOOKUP(E6339,'Condensed Specialty Crosswalk'!$A$2:$C$106,2,FALSE),"")</f>
        <v/>
      </c>
      <c r="G6339" s="49" t="str">
        <f>IFERROR(VLOOKUP(E6339,'Condensed Specialty Crosswalk'!$A$2:$C$106,3,FALSE),"")</f>
        <v/>
      </c>
    </row>
    <row r="6340" spans="5:7" ht="15" customHeight="1">
      <c r="E6340" s="49" t="str">
        <f>IFERROR(VLOOKUP(D6340,'taxonomy map'!$A$1:$C$107,2,FALSE),"")</f>
        <v/>
      </c>
      <c r="F6340" s="49" t="str">
        <f>IFERROR(VLOOKUP(E6340,'Condensed Specialty Crosswalk'!$A$2:$C$106,2,FALSE),"")</f>
        <v/>
      </c>
      <c r="G6340" s="49" t="str">
        <f>IFERROR(VLOOKUP(E6340,'Condensed Specialty Crosswalk'!$A$2:$C$106,3,FALSE),"")</f>
        <v/>
      </c>
    </row>
    <row r="6341" spans="5:7" ht="15" customHeight="1">
      <c r="E6341" s="49" t="str">
        <f>IFERROR(VLOOKUP(D6341,'taxonomy map'!$A$1:$C$107,2,FALSE),"")</f>
        <v/>
      </c>
      <c r="F6341" s="49" t="str">
        <f>IFERROR(VLOOKUP(E6341,'Condensed Specialty Crosswalk'!$A$2:$C$106,2,FALSE),"")</f>
        <v/>
      </c>
      <c r="G6341" s="49" t="str">
        <f>IFERROR(VLOOKUP(E6341,'Condensed Specialty Crosswalk'!$A$2:$C$106,3,FALSE),"")</f>
        <v/>
      </c>
    </row>
    <row r="6342" spans="5:7" ht="15" customHeight="1">
      <c r="E6342" s="49" t="str">
        <f>IFERROR(VLOOKUP(D6342,'taxonomy map'!$A$1:$C$107,2,FALSE),"")</f>
        <v/>
      </c>
      <c r="F6342" s="49" t="str">
        <f>IFERROR(VLOOKUP(E6342,'Condensed Specialty Crosswalk'!$A$2:$C$106,2,FALSE),"")</f>
        <v/>
      </c>
      <c r="G6342" s="49" t="str">
        <f>IFERROR(VLOOKUP(E6342,'Condensed Specialty Crosswalk'!$A$2:$C$106,3,FALSE),"")</f>
        <v/>
      </c>
    </row>
    <row r="6343" spans="5:7" ht="15" customHeight="1">
      <c r="E6343" s="49" t="str">
        <f>IFERROR(VLOOKUP(D6343,'taxonomy map'!$A$1:$C$107,2,FALSE),"")</f>
        <v/>
      </c>
      <c r="F6343" s="49" t="str">
        <f>IFERROR(VLOOKUP(E6343,'Condensed Specialty Crosswalk'!$A$2:$C$106,2,FALSE),"")</f>
        <v/>
      </c>
      <c r="G6343" s="49" t="str">
        <f>IFERROR(VLOOKUP(E6343,'Condensed Specialty Crosswalk'!$A$2:$C$106,3,FALSE),"")</f>
        <v/>
      </c>
    </row>
    <row r="6344" spans="5:7" ht="15" customHeight="1">
      <c r="E6344" s="49" t="str">
        <f>IFERROR(VLOOKUP(D6344,'taxonomy map'!$A$1:$C$107,2,FALSE),"")</f>
        <v/>
      </c>
      <c r="F6344" s="49" t="str">
        <f>IFERROR(VLOOKUP(E6344,'Condensed Specialty Crosswalk'!$A$2:$C$106,2,FALSE),"")</f>
        <v/>
      </c>
      <c r="G6344" s="49" t="str">
        <f>IFERROR(VLOOKUP(E6344,'Condensed Specialty Crosswalk'!$A$2:$C$106,3,FALSE),"")</f>
        <v/>
      </c>
    </row>
    <row r="6345" spans="5:7" ht="15" customHeight="1">
      <c r="E6345" s="49" t="str">
        <f>IFERROR(VLOOKUP(D6345,'taxonomy map'!$A$1:$C$107,2,FALSE),"")</f>
        <v/>
      </c>
      <c r="F6345" s="49" t="str">
        <f>IFERROR(VLOOKUP(E6345,'Condensed Specialty Crosswalk'!$A$2:$C$106,2,FALSE),"")</f>
        <v/>
      </c>
      <c r="G6345" s="49" t="str">
        <f>IFERROR(VLOOKUP(E6345,'Condensed Specialty Crosswalk'!$A$2:$C$106,3,FALSE),"")</f>
        <v/>
      </c>
    </row>
    <row r="6346" spans="5:7" ht="15" customHeight="1">
      <c r="E6346" s="49" t="str">
        <f>IFERROR(VLOOKUP(D6346,'taxonomy map'!$A$1:$C$107,2,FALSE),"")</f>
        <v/>
      </c>
      <c r="F6346" s="49" t="str">
        <f>IFERROR(VLOOKUP(E6346,'Condensed Specialty Crosswalk'!$A$2:$C$106,2,FALSE),"")</f>
        <v/>
      </c>
      <c r="G6346" s="49" t="str">
        <f>IFERROR(VLOOKUP(E6346,'Condensed Specialty Crosswalk'!$A$2:$C$106,3,FALSE),"")</f>
        <v/>
      </c>
    </row>
    <row r="6347" spans="5:7" ht="15" customHeight="1">
      <c r="E6347" s="49" t="str">
        <f>IFERROR(VLOOKUP(D6347,'taxonomy map'!$A$1:$C$107,2,FALSE),"")</f>
        <v/>
      </c>
      <c r="F6347" s="49" t="str">
        <f>IFERROR(VLOOKUP(E6347,'Condensed Specialty Crosswalk'!$A$2:$C$106,2,FALSE),"")</f>
        <v/>
      </c>
      <c r="G6347" s="49" t="str">
        <f>IFERROR(VLOOKUP(E6347,'Condensed Specialty Crosswalk'!$A$2:$C$106,3,FALSE),"")</f>
        <v/>
      </c>
    </row>
    <row r="6348" spans="5:7" ht="15" customHeight="1">
      <c r="E6348" s="49" t="str">
        <f>IFERROR(VLOOKUP(D6348,'taxonomy map'!$A$1:$C$107,2,FALSE),"")</f>
        <v/>
      </c>
      <c r="F6348" s="49" t="str">
        <f>IFERROR(VLOOKUP(E6348,'Condensed Specialty Crosswalk'!$A$2:$C$106,2,FALSE),"")</f>
        <v/>
      </c>
      <c r="G6348" s="49" t="str">
        <f>IFERROR(VLOOKUP(E6348,'Condensed Specialty Crosswalk'!$A$2:$C$106,3,FALSE),"")</f>
        <v/>
      </c>
    </row>
    <row r="6349" spans="5:7" ht="15" customHeight="1">
      <c r="E6349" s="49" t="str">
        <f>IFERROR(VLOOKUP(D6349,'taxonomy map'!$A$1:$C$107,2,FALSE),"")</f>
        <v/>
      </c>
      <c r="F6349" s="49" t="str">
        <f>IFERROR(VLOOKUP(E6349,'Condensed Specialty Crosswalk'!$A$2:$C$106,2,FALSE),"")</f>
        <v/>
      </c>
      <c r="G6349" s="49" t="str">
        <f>IFERROR(VLOOKUP(E6349,'Condensed Specialty Crosswalk'!$A$2:$C$106,3,FALSE),"")</f>
        <v/>
      </c>
    </row>
    <row r="6350" spans="5:7" ht="15" customHeight="1">
      <c r="E6350" s="49" t="str">
        <f>IFERROR(VLOOKUP(D6350,'taxonomy map'!$A$1:$C$107,2,FALSE),"")</f>
        <v/>
      </c>
      <c r="F6350" s="49" t="str">
        <f>IFERROR(VLOOKUP(E6350,'Condensed Specialty Crosswalk'!$A$2:$C$106,2,FALSE),"")</f>
        <v/>
      </c>
      <c r="G6350" s="49" t="str">
        <f>IFERROR(VLOOKUP(E6350,'Condensed Specialty Crosswalk'!$A$2:$C$106,3,FALSE),"")</f>
        <v/>
      </c>
    </row>
    <row r="6351" spans="5:7" ht="15" customHeight="1">
      <c r="E6351" s="49" t="str">
        <f>IFERROR(VLOOKUP(D6351,'taxonomy map'!$A$1:$C$107,2,FALSE),"")</f>
        <v/>
      </c>
      <c r="F6351" s="49" t="str">
        <f>IFERROR(VLOOKUP(E6351,'Condensed Specialty Crosswalk'!$A$2:$C$106,2,FALSE),"")</f>
        <v/>
      </c>
      <c r="G6351" s="49" t="str">
        <f>IFERROR(VLOOKUP(E6351,'Condensed Specialty Crosswalk'!$A$2:$C$106,3,FALSE),"")</f>
        <v/>
      </c>
    </row>
    <row r="6352" spans="5:7" ht="15" customHeight="1">
      <c r="E6352" s="49" t="str">
        <f>IFERROR(VLOOKUP(D6352,'taxonomy map'!$A$1:$C$107,2,FALSE),"")</f>
        <v/>
      </c>
      <c r="F6352" s="49" t="str">
        <f>IFERROR(VLOOKUP(E6352,'Condensed Specialty Crosswalk'!$A$2:$C$106,2,FALSE),"")</f>
        <v/>
      </c>
      <c r="G6352" s="49" t="str">
        <f>IFERROR(VLOOKUP(E6352,'Condensed Specialty Crosswalk'!$A$2:$C$106,3,FALSE),"")</f>
        <v/>
      </c>
    </row>
    <row r="6353" spans="5:7" ht="15" customHeight="1">
      <c r="E6353" s="49" t="str">
        <f>IFERROR(VLOOKUP(D6353,'taxonomy map'!$A$1:$C$107,2,FALSE),"")</f>
        <v/>
      </c>
      <c r="F6353" s="49" t="str">
        <f>IFERROR(VLOOKUP(E6353,'Condensed Specialty Crosswalk'!$A$2:$C$106,2,FALSE),"")</f>
        <v/>
      </c>
      <c r="G6353" s="49" t="str">
        <f>IFERROR(VLOOKUP(E6353,'Condensed Specialty Crosswalk'!$A$2:$C$106,3,FALSE),"")</f>
        <v/>
      </c>
    </row>
    <row r="6354" spans="5:7" ht="15" customHeight="1">
      <c r="E6354" s="49" t="str">
        <f>IFERROR(VLOOKUP(D6354,'taxonomy map'!$A$1:$C$107,2,FALSE),"")</f>
        <v/>
      </c>
      <c r="F6354" s="49" t="str">
        <f>IFERROR(VLOOKUP(E6354,'Condensed Specialty Crosswalk'!$A$2:$C$106,2,FALSE),"")</f>
        <v/>
      </c>
      <c r="G6354" s="49" t="str">
        <f>IFERROR(VLOOKUP(E6354,'Condensed Specialty Crosswalk'!$A$2:$C$106,3,FALSE),"")</f>
        <v/>
      </c>
    </row>
    <row r="6355" spans="5:7" ht="15" customHeight="1">
      <c r="E6355" s="49" t="str">
        <f>IFERROR(VLOOKUP(D6355,'taxonomy map'!$A$1:$C$107,2,FALSE),"")</f>
        <v/>
      </c>
      <c r="F6355" s="49" t="str">
        <f>IFERROR(VLOOKUP(E6355,'Condensed Specialty Crosswalk'!$A$2:$C$106,2,FALSE),"")</f>
        <v/>
      </c>
      <c r="G6355" s="49" t="str">
        <f>IFERROR(VLOOKUP(E6355,'Condensed Specialty Crosswalk'!$A$2:$C$106,3,FALSE),"")</f>
        <v/>
      </c>
    </row>
    <row r="6356" spans="5:7" ht="15" customHeight="1">
      <c r="E6356" s="49" t="str">
        <f>IFERROR(VLOOKUP(D6356,'taxonomy map'!$A$1:$C$107,2,FALSE),"")</f>
        <v/>
      </c>
      <c r="F6356" s="49" t="str">
        <f>IFERROR(VLOOKUP(E6356,'Condensed Specialty Crosswalk'!$A$2:$C$106,2,FALSE),"")</f>
        <v/>
      </c>
      <c r="G6356" s="49" t="str">
        <f>IFERROR(VLOOKUP(E6356,'Condensed Specialty Crosswalk'!$A$2:$C$106,3,FALSE),"")</f>
        <v/>
      </c>
    </row>
    <row r="6357" spans="5:7" ht="15" customHeight="1">
      <c r="E6357" s="49" t="str">
        <f>IFERROR(VLOOKUP(D6357,'taxonomy map'!$A$1:$C$107,2,FALSE),"")</f>
        <v/>
      </c>
      <c r="F6357" s="49" t="str">
        <f>IFERROR(VLOOKUP(E6357,'Condensed Specialty Crosswalk'!$A$2:$C$106,2,FALSE),"")</f>
        <v/>
      </c>
      <c r="G6357" s="49" t="str">
        <f>IFERROR(VLOOKUP(E6357,'Condensed Specialty Crosswalk'!$A$2:$C$106,3,FALSE),"")</f>
        <v/>
      </c>
    </row>
    <row r="6358" spans="5:7" ht="15" customHeight="1">
      <c r="E6358" s="49" t="str">
        <f>IFERROR(VLOOKUP(D6358,'taxonomy map'!$A$1:$C$107,2,FALSE),"")</f>
        <v/>
      </c>
      <c r="F6358" s="49" t="str">
        <f>IFERROR(VLOOKUP(E6358,'Condensed Specialty Crosswalk'!$A$2:$C$106,2,FALSE),"")</f>
        <v/>
      </c>
      <c r="G6358" s="49" t="str">
        <f>IFERROR(VLOOKUP(E6358,'Condensed Specialty Crosswalk'!$A$2:$C$106,3,FALSE),"")</f>
        <v/>
      </c>
    </row>
    <row r="6359" spans="5:7" ht="15" customHeight="1">
      <c r="E6359" s="49" t="str">
        <f>IFERROR(VLOOKUP(D6359,'taxonomy map'!$A$1:$C$107,2,FALSE),"")</f>
        <v/>
      </c>
      <c r="F6359" s="49" t="str">
        <f>IFERROR(VLOOKUP(E6359,'Condensed Specialty Crosswalk'!$A$2:$C$106,2,FALSE),"")</f>
        <v/>
      </c>
      <c r="G6359" s="49" t="str">
        <f>IFERROR(VLOOKUP(E6359,'Condensed Specialty Crosswalk'!$A$2:$C$106,3,FALSE),"")</f>
        <v/>
      </c>
    </row>
    <row r="6360" spans="5:7" ht="15" customHeight="1">
      <c r="E6360" s="49" t="str">
        <f>IFERROR(VLOOKUP(D6360,'taxonomy map'!$A$1:$C$107,2,FALSE),"")</f>
        <v/>
      </c>
      <c r="F6360" s="49" t="str">
        <f>IFERROR(VLOOKUP(E6360,'Condensed Specialty Crosswalk'!$A$2:$C$106,2,FALSE),"")</f>
        <v/>
      </c>
      <c r="G6360" s="49" t="str">
        <f>IFERROR(VLOOKUP(E6360,'Condensed Specialty Crosswalk'!$A$2:$C$106,3,FALSE),"")</f>
        <v/>
      </c>
    </row>
    <row r="6361" spans="5:7" ht="15" customHeight="1">
      <c r="E6361" s="49" t="str">
        <f>IFERROR(VLOOKUP(D6361,'taxonomy map'!$A$1:$C$107,2,FALSE),"")</f>
        <v/>
      </c>
      <c r="F6361" s="49" t="str">
        <f>IFERROR(VLOOKUP(E6361,'Condensed Specialty Crosswalk'!$A$2:$C$106,2,FALSE),"")</f>
        <v/>
      </c>
      <c r="G6361" s="49" t="str">
        <f>IFERROR(VLOOKUP(E6361,'Condensed Specialty Crosswalk'!$A$2:$C$106,3,FALSE),"")</f>
        <v/>
      </c>
    </row>
    <row r="6362" spans="5:7" ht="15" customHeight="1">
      <c r="E6362" s="49" t="str">
        <f>IFERROR(VLOOKUP(D6362,'taxonomy map'!$A$1:$C$107,2,FALSE),"")</f>
        <v/>
      </c>
      <c r="F6362" s="49" t="str">
        <f>IFERROR(VLOOKUP(E6362,'Condensed Specialty Crosswalk'!$A$2:$C$106,2,FALSE),"")</f>
        <v/>
      </c>
      <c r="G6362" s="49" t="str">
        <f>IFERROR(VLOOKUP(E6362,'Condensed Specialty Crosswalk'!$A$2:$C$106,3,FALSE),"")</f>
        <v/>
      </c>
    </row>
    <row r="6363" spans="5:7" ht="15" customHeight="1">
      <c r="E6363" s="49" t="str">
        <f>IFERROR(VLOOKUP(D6363,'taxonomy map'!$A$1:$C$107,2,FALSE),"")</f>
        <v/>
      </c>
      <c r="F6363" s="49" t="str">
        <f>IFERROR(VLOOKUP(E6363,'Condensed Specialty Crosswalk'!$A$2:$C$106,2,FALSE),"")</f>
        <v/>
      </c>
      <c r="G6363" s="49" t="str">
        <f>IFERROR(VLOOKUP(E6363,'Condensed Specialty Crosswalk'!$A$2:$C$106,3,FALSE),"")</f>
        <v/>
      </c>
    </row>
    <row r="6364" spans="5:7" ht="15" customHeight="1">
      <c r="E6364" s="49" t="str">
        <f>IFERROR(VLOOKUP(D6364,'taxonomy map'!$A$1:$C$107,2,FALSE),"")</f>
        <v/>
      </c>
      <c r="F6364" s="49" t="str">
        <f>IFERROR(VLOOKUP(E6364,'Condensed Specialty Crosswalk'!$A$2:$C$106,2,FALSE),"")</f>
        <v/>
      </c>
      <c r="G6364" s="49" t="str">
        <f>IFERROR(VLOOKUP(E6364,'Condensed Specialty Crosswalk'!$A$2:$C$106,3,FALSE),"")</f>
        <v/>
      </c>
    </row>
    <row r="6365" spans="5:7" ht="15" customHeight="1">
      <c r="E6365" s="49" t="str">
        <f>IFERROR(VLOOKUP(D6365,'taxonomy map'!$A$1:$C$107,2,FALSE),"")</f>
        <v/>
      </c>
      <c r="F6365" s="49" t="str">
        <f>IFERROR(VLOOKUP(E6365,'Condensed Specialty Crosswalk'!$A$2:$C$106,2,FALSE),"")</f>
        <v/>
      </c>
      <c r="G6365" s="49" t="str">
        <f>IFERROR(VLOOKUP(E6365,'Condensed Specialty Crosswalk'!$A$2:$C$106,3,FALSE),"")</f>
        <v/>
      </c>
    </row>
    <row r="6366" spans="5:7" ht="15" customHeight="1">
      <c r="E6366" s="49" t="str">
        <f>IFERROR(VLOOKUP(D6366,'taxonomy map'!$A$1:$C$107,2,FALSE),"")</f>
        <v/>
      </c>
      <c r="F6366" s="49" t="str">
        <f>IFERROR(VLOOKUP(E6366,'Condensed Specialty Crosswalk'!$A$2:$C$106,2,FALSE),"")</f>
        <v/>
      </c>
      <c r="G6366" s="49" t="str">
        <f>IFERROR(VLOOKUP(E6366,'Condensed Specialty Crosswalk'!$A$2:$C$106,3,FALSE),"")</f>
        <v/>
      </c>
    </row>
    <row r="6367" spans="5:7" ht="15" customHeight="1">
      <c r="E6367" s="49" t="str">
        <f>IFERROR(VLOOKUP(D6367,'taxonomy map'!$A$1:$C$107,2,FALSE),"")</f>
        <v/>
      </c>
      <c r="F6367" s="49" t="str">
        <f>IFERROR(VLOOKUP(E6367,'Condensed Specialty Crosswalk'!$A$2:$C$106,2,FALSE),"")</f>
        <v/>
      </c>
      <c r="G6367" s="49" t="str">
        <f>IFERROR(VLOOKUP(E6367,'Condensed Specialty Crosswalk'!$A$2:$C$106,3,FALSE),"")</f>
        <v/>
      </c>
    </row>
    <row r="6368" spans="5:7" ht="15" customHeight="1">
      <c r="E6368" s="49" t="str">
        <f>IFERROR(VLOOKUP(D6368,'taxonomy map'!$A$1:$C$107,2,FALSE),"")</f>
        <v/>
      </c>
      <c r="F6368" s="49" t="str">
        <f>IFERROR(VLOOKUP(E6368,'Condensed Specialty Crosswalk'!$A$2:$C$106,2,FALSE),"")</f>
        <v/>
      </c>
      <c r="G6368" s="49" t="str">
        <f>IFERROR(VLOOKUP(E6368,'Condensed Specialty Crosswalk'!$A$2:$C$106,3,FALSE),"")</f>
        <v/>
      </c>
    </row>
    <row r="6369" spans="5:7" ht="15" customHeight="1">
      <c r="E6369" s="49" t="str">
        <f>IFERROR(VLOOKUP(D6369,'taxonomy map'!$A$1:$C$107,2,FALSE),"")</f>
        <v/>
      </c>
      <c r="F6369" s="49" t="str">
        <f>IFERROR(VLOOKUP(E6369,'Condensed Specialty Crosswalk'!$A$2:$C$106,2,FALSE),"")</f>
        <v/>
      </c>
      <c r="G6369" s="49" t="str">
        <f>IFERROR(VLOOKUP(E6369,'Condensed Specialty Crosswalk'!$A$2:$C$106,3,FALSE),"")</f>
        <v/>
      </c>
    </row>
    <row r="6370" spans="5:7" ht="15" customHeight="1">
      <c r="E6370" s="49" t="str">
        <f>IFERROR(VLOOKUP(D6370,'taxonomy map'!$A$1:$C$107,2,FALSE),"")</f>
        <v/>
      </c>
      <c r="F6370" s="49" t="str">
        <f>IFERROR(VLOOKUP(E6370,'Condensed Specialty Crosswalk'!$A$2:$C$106,2,FALSE),"")</f>
        <v/>
      </c>
      <c r="G6370" s="49" t="str">
        <f>IFERROR(VLOOKUP(E6370,'Condensed Specialty Crosswalk'!$A$2:$C$106,3,FALSE),"")</f>
        <v/>
      </c>
    </row>
    <row r="6371" spans="5:7" ht="15" customHeight="1">
      <c r="E6371" s="49" t="str">
        <f>IFERROR(VLOOKUP(D6371,'taxonomy map'!$A$1:$C$107,2,FALSE),"")</f>
        <v/>
      </c>
      <c r="F6371" s="49" t="str">
        <f>IFERROR(VLOOKUP(E6371,'Condensed Specialty Crosswalk'!$A$2:$C$106,2,FALSE),"")</f>
        <v/>
      </c>
      <c r="G6371" s="49" t="str">
        <f>IFERROR(VLOOKUP(E6371,'Condensed Specialty Crosswalk'!$A$2:$C$106,3,FALSE),"")</f>
        <v/>
      </c>
    </row>
    <row r="6372" spans="5:7" ht="15" customHeight="1">
      <c r="E6372" s="49" t="str">
        <f>IFERROR(VLOOKUP(D6372,'taxonomy map'!$A$1:$C$107,2,FALSE),"")</f>
        <v/>
      </c>
      <c r="F6372" s="49" t="str">
        <f>IFERROR(VLOOKUP(E6372,'Condensed Specialty Crosswalk'!$A$2:$C$106,2,FALSE),"")</f>
        <v/>
      </c>
      <c r="G6372" s="49" t="str">
        <f>IFERROR(VLOOKUP(E6372,'Condensed Specialty Crosswalk'!$A$2:$C$106,3,FALSE),"")</f>
        <v/>
      </c>
    </row>
    <row r="6373" spans="5:7" ht="15" customHeight="1">
      <c r="E6373" s="49" t="str">
        <f>IFERROR(VLOOKUP(D6373,'taxonomy map'!$A$1:$C$107,2,FALSE),"")</f>
        <v/>
      </c>
      <c r="F6373" s="49" t="str">
        <f>IFERROR(VLOOKUP(E6373,'Condensed Specialty Crosswalk'!$A$2:$C$106,2,FALSE),"")</f>
        <v/>
      </c>
      <c r="G6373" s="49" t="str">
        <f>IFERROR(VLOOKUP(E6373,'Condensed Specialty Crosswalk'!$A$2:$C$106,3,FALSE),"")</f>
        <v/>
      </c>
    </row>
    <row r="6374" spans="5:7" ht="15" customHeight="1">
      <c r="E6374" s="49" t="str">
        <f>IFERROR(VLOOKUP(D6374,'taxonomy map'!$A$1:$C$107,2,FALSE),"")</f>
        <v/>
      </c>
      <c r="F6374" s="49" t="str">
        <f>IFERROR(VLOOKUP(E6374,'Condensed Specialty Crosswalk'!$A$2:$C$106,2,FALSE),"")</f>
        <v/>
      </c>
      <c r="G6374" s="49" t="str">
        <f>IFERROR(VLOOKUP(E6374,'Condensed Specialty Crosswalk'!$A$2:$C$106,3,FALSE),"")</f>
        <v/>
      </c>
    </row>
    <row r="6375" spans="5:7" ht="15" customHeight="1">
      <c r="E6375" s="49" t="str">
        <f>IFERROR(VLOOKUP(D6375,'taxonomy map'!$A$1:$C$107,2,FALSE),"")</f>
        <v/>
      </c>
      <c r="F6375" s="49" t="str">
        <f>IFERROR(VLOOKUP(E6375,'Condensed Specialty Crosswalk'!$A$2:$C$106,2,FALSE),"")</f>
        <v/>
      </c>
      <c r="G6375" s="49" t="str">
        <f>IFERROR(VLOOKUP(E6375,'Condensed Specialty Crosswalk'!$A$2:$C$106,3,FALSE),"")</f>
        <v/>
      </c>
    </row>
    <row r="6376" spans="5:7" ht="15" customHeight="1">
      <c r="E6376" s="49" t="str">
        <f>IFERROR(VLOOKUP(D6376,'taxonomy map'!$A$1:$C$107,2,FALSE),"")</f>
        <v/>
      </c>
      <c r="F6376" s="49" t="str">
        <f>IFERROR(VLOOKUP(E6376,'Condensed Specialty Crosswalk'!$A$2:$C$106,2,FALSE),"")</f>
        <v/>
      </c>
      <c r="G6376" s="49" t="str">
        <f>IFERROR(VLOOKUP(E6376,'Condensed Specialty Crosswalk'!$A$2:$C$106,3,FALSE),"")</f>
        <v/>
      </c>
    </row>
    <row r="6377" spans="5:7" ht="15" customHeight="1">
      <c r="E6377" s="49" t="str">
        <f>IFERROR(VLOOKUP(D6377,'taxonomy map'!$A$1:$C$107,2,FALSE),"")</f>
        <v/>
      </c>
      <c r="F6377" s="49" t="str">
        <f>IFERROR(VLOOKUP(E6377,'Condensed Specialty Crosswalk'!$A$2:$C$106,2,FALSE),"")</f>
        <v/>
      </c>
      <c r="G6377" s="49" t="str">
        <f>IFERROR(VLOOKUP(E6377,'Condensed Specialty Crosswalk'!$A$2:$C$106,3,FALSE),"")</f>
        <v/>
      </c>
    </row>
    <row r="6378" spans="5:7" ht="15" customHeight="1">
      <c r="E6378" s="49" t="str">
        <f>IFERROR(VLOOKUP(D6378,'taxonomy map'!$A$1:$C$107,2,FALSE),"")</f>
        <v/>
      </c>
      <c r="F6378" s="49" t="str">
        <f>IFERROR(VLOOKUP(E6378,'Condensed Specialty Crosswalk'!$A$2:$C$106,2,FALSE),"")</f>
        <v/>
      </c>
      <c r="G6378" s="49" t="str">
        <f>IFERROR(VLOOKUP(E6378,'Condensed Specialty Crosswalk'!$A$2:$C$106,3,FALSE),"")</f>
        <v/>
      </c>
    </row>
    <row r="6379" spans="5:7" ht="15" customHeight="1">
      <c r="E6379" s="49" t="str">
        <f>IFERROR(VLOOKUP(D6379,'taxonomy map'!$A$1:$C$107,2,FALSE),"")</f>
        <v/>
      </c>
      <c r="F6379" s="49" t="str">
        <f>IFERROR(VLOOKUP(E6379,'Condensed Specialty Crosswalk'!$A$2:$C$106,2,FALSE),"")</f>
        <v/>
      </c>
      <c r="G6379" s="49" t="str">
        <f>IFERROR(VLOOKUP(E6379,'Condensed Specialty Crosswalk'!$A$2:$C$106,3,FALSE),"")</f>
        <v/>
      </c>
    </row>
    <row r="6380" spans="5:7" ht="15" customHeight="1">
      <c r="E6380" s="49" t="str">
        <f>IFERROR(VLOOKUP(D6380,'taxonomy map'!$A$1:$C$107,2,FALSE),"")</f>
        <v/>
      </c>
      <c r="F6380" s="49" t="str">
        <f>IFERROR(VLOOKUP(E6380,'Condensed Specialty Crosswalk'!$A$2:$C$106,2,FALSE),"")</f>
        <v/>
      </c>
      <c r="G6380" s="49" t="str">
        <f>IFERROR(VLOOKUP(E6380,'Condensed Specialty Crosswalk'!$A$2:$C$106,3,FALSE),"")</f>
        <v/>
      </c>
    </row>
    <row r="6381" spans="5:7" ht="15" customHeight="1">
      <c r="E6381" s="49" t="str">
        <f>IFERROR(VLOOKUP(D6381,'taxonomy map'!$A$1:$C$107,2,FALSE),"")</f>
        <v/>
      </c>
      <c r="F6381" s="49" t="str">
        <f>IFERROR(VLOOKUP(E6381,'Condensed Specialty Crosswalk'!$A$2:$C$106,2,FALSE),"")</f>
        <v/>
      </c>
      <c r="G6381" s="49" t="str">
        <f>IFERROR(VLOOKUP(E6381,'Condensed Specialty Crosswalk'!$A$2:$C$106,3,FALSE),"")</f>
        <v/>
      </c>
    </row>
    <row r="6382" spans="5:7" ht="15" customHeight="1">
      <c r="E6382" s="49" t="str">
        <f>IFERROR(VLOOKUP(D6382,'taxonomy map'!$A$1:$C$107,2,FALSE),"")</f>
        <v/>
      </c>
      <c r="F6382" s="49" t="str">
        <f>IFERROR(VLOOKUP(E6382,'Condensed Specialty Crosswalk'!$A$2:$C$106,2,FALSE),"")</f>
        <v/>
      </c>
      <c r="G6382" s="49" t="str">
        <f>IFERROR(VLOOKUP(E6382,'Condensed Specialty Crosswalk'!$A$2:$C$106,3,FALSE),"")</f>
        <v/>
      </c>
    </row>
    <row r="6383" spans="5:7" ht="15" customHeight="1">
      <c r="E6383" s="49" t="str">
        <f>IFERROR(VLOOKUP(D6383,'taxonomy map'!$A$1:$C$107,2,FALSE),"")</f>
        <v/>
      </c>
      <c r="F6383" s="49" t="str">
        <f>IFERROR(VLOOKUP(E6383,'Condensed Specialty Crosswalk'!$A$2:$C$106,2,FALSE),"")</f>
        <v/>
      </c>
      <c r="G6383" s="49" t="str">
        <f>IFERROR(VLOOKUP(E6383,'Condensed Specialty Crosswalk'!$A$2:$C$106,3,FALSE),"")</f>
        <v/>
      </c>
    </row>
    <row r="6384" spans="5:7" ht="15" customHeight="1">
      <c r="E6384" s="49" t="str">
        <f>IFERROR(VLOOKUP(D6384,'taxonomy map'!$A$1:$C$107,2,FALSE),"")</f>
        <v/>
      </c>
      <c r="F6384" s="49" t="str">
        <f>IFERROR(VLOOKUP(E6384,'Condensed Specialty Crosswalk'!$A$2:$C$106,2,FALSE),"")</f>
        <v/>
      </c>
      <c r="G6384" s="49" t="str">
        <f>IFERROR(VLOOKUP(E6384,'Condensed Specialty Crosswalk'!$A$2:$C$106,3,FALSE),"")</f>
        <v/>
      </c>
    </row>
    <row r="6385" spans="5:7" ht="15" customHeight="1">
      <c r="E6385" s="49" t="str">
        <f>IFERROR(VLOOKUP(D6385,'taxonomy map'!$A$1:$C$107,2,FALSE),"")</f>
        <v/>
      </c>
      <c r="F6385" s="49" t="str">
        <f>IFERROR(VLOOKUP(E6385,'Condensed Specialty Crosswalk'!$A$2:$C$106,2,FALSE),"")</f>
        <v/>
      </c>
      <c r="G6385" s="49" t="str">
        <f>IFERROR(VLOOKUP(E6385,'Condensed Specialty Crosswalk'!$A$2:$C$106,3,FALSE),"")</f>
        <v/>
      </c>
    </row>
    <row r="6386" spans="5:7" ht="15" customHeight="1">
      <c r="E6386" s="49" t="str">
        <f>IFERROR(VLOOKUP(D6386,'taxonomy map'!$A$1:$C$107,2,FALSE),"")</f>
        <v/>
      </c>
      <c r="F6386" s="49" t="str">
        <f>IFERROR(VLOOKUP(E6386,'Condensed Specialty Crosswalk'!$A$2:$C$106,2,FALSE),"")</f>
        <v/>
      </c>
      <c r="G6386" s="49" t="str">
        <f>IFERROR(VLOOKUP(E6386,'Condensed Specialty Crosswalk'!$A$2:$C$106,3,FALSE),"")</f>
        <v/>
      </c>
    </row>
    <row r="6387" spans="5:7" ht="15" customHeight="1">
      <c r="E6387" s="49" t="str">
        <f>IFERROR(VLOOKUP(D6387,'taxonomy map'!$A$1:$C$107,2,FALSE),"")</f>
        <v/>
      </c>
      <c r="F6387" s="49" t="str">
        <f>IFERROR(VLOOKUP(E6387,'Condensed Specialty Crosswalk'!$A$2:$C$106,2,FALSE),"")</f>
        <v/>
      </c>
      <c r="G6387" s="49" t="str">
        <f>IFERROR(VLOOKUP(E6387,'Condensed Specialty Crosswalk'!$A$2:$C$106,3,FALSE),"")</f>
        <v/>
      </c>
    </row>
    <row r="6388" spans="5:7" ht="15" customHeight="1">
      <c r="E6388" s="49" t="str">
        <f>IFERROR(VLOOKUP(D6388,'taxonomy map'!$A$1:$C$107,2,FALSE),"")</f>
        <v/>
      </c>
      <c r="F6388" s="49" t="str">
        <f>IFERROR(VLOOKUP(E6388,'Condensed Specialty Crosswalk'!$A$2:$C$106,2,FALSE),"")</f>
        <v/>
      </c>
      <c r="G6388" s="49" t="str">
        <f>IFERROR(VLOOKUP(E6388,'Condensed Specialty Crosswalk'!$A$2:$C$106,3,FALSE),"")</f>
        <v/>
      </c>
    </row>
    <row r="6389" spans="5:7" ht="15" customHeight="1">
      <c r="E6389" s="49" t="str">
        <f>IFERROR(VLOOKUP(D6389,'taxonomy map'!$A$1:$C$107,2,FALSE),"")</f>
        <v/>
      </c>
      <c r="F6389" s="49" t="str">
        <f>IFERROR(VLOOKUP(E6389,'Condensed Specialty Crosswalk'!$A$2:$C$106,2,FALSE),"")</f>
        <v/>
      </c>
      <c r="G6389" s="49" t="str">
        <f>IFERROR(VLOOKUP(E6389,'Condensed Specialty Crosswalk'!$A$2:$C$106,3,FALSE),"")</f>
        <v/>
      </c>
    </row>
    <row r="6390" spans="5:7" ht="15" customHeight="1">
      <c r="E6390" s="49" t="str">
        <f>IFERROR(VLOOKUP(D6390,'taxonomy map'!$A$1:$C$107,2,FALSE),"")</f>
        <v/>
      </c>
      <c r="F6390" s="49" t="str">
        <f>IFERROR(VLOOKUP(E6390,'Condensed Specialty Crosswalk'!$A$2:$C$106,2,FALSE),"")</f>
        <v/>
      </c>
      <c r="G6390" s="49" t="str">
        <f>IFERROR(VLOOKUP(E6390,'Condensed Specialty Crosswalk'!$A$2:$C$106,3,FALSE),"")</f>
        <v/>
      </c>
    </row>
    <row r="6391" spans="5:7" ht="15" customHeight="1">
      <c r="E6391" s="49" t="str">
        <f>IFERROR(VLOOKUP(D6391,'taxonomy map'!$A$1:$C$107,2,FALSE),"")</f>
        <v/>
      </c>
      <c r="F6391" s="49" t="str">
        <f>IFERROR(VLOOKUP(E6391,'Condensed Specialty Crosswalk'!$A$2:$C$106,2,FALSE),"")</f>
        <v/>
      </c>
      <c r="G6391" s="49" t="str">
        <f>IFERROR(VLOOKUP(E6391,'Condensed Specialty Crosswalk'!$A$2:$C$106,3,FALSE),"")</f>
        <v/>
      </c>
    </row>
    <row r="6392" spans="5:7" ht="15" customHeight="1">
      <c r="E6392" s="49" t="str">
        <f>IFERROR(VLOOKUP(D6392,'taxonomy map'!$A$1:$C$107,2,FALSE),"")</f>
        <v/>
      </c>
      <c r="F6392" s="49" t="str">
        <f>IFERROR(VLOOKUP(E6392,'Condensed Specialty Crosswalk'!$A$2:$C$106,2,FALSE),"")</f>
        <v/>
      </c>
      <c r="G6392" s="49" t="str">
        <f>IFERROR(VLOOKUP(E6392,'Condensed Specialty Crosswalk'!$A$2:$C$106,3,FALSE),"")</f>
        <v/>
      </c>
    </row>
    <row r="6393" spans="5:7" ht="15" customHeight="1">
      <c r="E6393" s="49" t="str">
        <f>IFERROR(VLOOKUP(D6393,'taxonomy map'!$A$1:$C$107,2,FALSE),"")</f>
        <v/>
      </c>
      <c r="F6393" s="49" t="str">
        <f>IFERROR(VLOOKUP(E6393,'Condensed Specialty Crosswalk'!$A$2:$C$106,2,FALSE),"")</f>
        <v/>
      </c>
      <c r="G6393" s="49" t="str">
        <f>IFERROR(VLOOKUP(E6393,'Condensed Specialty Crosswalk'!$A$2:$C$106,3,FALSE),"")</f>
        <v/>
      </c>
    </row>
    <row r="6394" spans="5:7" ht="15" customHeight="1">
      <c r="E6394" s="49" t="str">
        <f>IFERROR(VLOOKUP(D6394,'taxonomy map'!$A$1:$C$107,2,FALSE),"")</f>
        <v/>
      </c>
      <c r="F6394" s="49" t="str">
        <f>IFERROR(VLOOKUP(E6394,'Condensed Specialty Crosswalk'!$A$2:$C$106,2,FALSE),"")</f>
        <v/>
      </c>
      <c r="G6394" s="49" t="str">
        <f>IFERROR(VLOOKUP(E6394,'Condensed Specialty Crosswalk'!$A$2:$C$106,3,FALSE),"")</f>
        <v/>
      </c>
    </row>
    <row r="6395" spans="5:7" ht="15" customHeight="1">
      <c r="E6395" s="49" t="str">
        <f>IFERROR(VLOOKUP(D6395,'taxonomy map'!$A$1:$C$107,2,FALSE),"")</f>
        <v/>
      </c>
      <c r="F6395" s="49" t="str">
        <f>IFERROR(VLOOKUP(E6395,'Condensed Specialty Crosswalk'!$A$2:$C$106,2,FALSE),"")</f>
        <v/>
      </c>
      <c r="G6395" s="49" t="str">
        <f>IFERROR(VLOOKUP(E6395,'Condensed Specialty Crosswalk'!$A$2:$C$106,3,FALSE),"")</f>
        <v/>
      </c>
    </row>
    <row r="6396" spans="5:7" ht="15" customHeight="1">
      <c r="E6396" s="49" t="str">
        <f>IFERROR(VLOOKUP(D6396,'taxonomy map'!$A$1:$C$107,2,FALSE),"")</f>
        <v/>
      </c>
      <c r="F6396" s="49" t="str">
        <f>IFERROR(VLOOKUP(E6396,'Condensed Specialty Crosswalk'!$A$2:$C$106,2,FALSE),"")</f>
        <v/>
      </c>
      <c r="G6396" s="49" t="str">
        <f>IFERROR(VLOOKUP(E6396,'Condensed Specialty Crosswalk'!$A$2:$C$106,3,FALSE),"")</f>
        <v/>
      </c>
    </row>
    <row r="6397" spans="5:7" ht="15" customHeight="1">
      <c r="E6397" s="49" t="str">
        <f>IFERROR(VLOOKUP(D6397,'taxonomy map'!$A$1:$C$107,2,FALSE),"")</f>
        <v/>
      </c>
      <c r="F6397" s="49" t="str">
        <f>IFERROR(VLOOKUP(E6397,'Condensed Specialty Crosswalk'!$A$2:$C$106,2,FALSE),"")</f>
        <v/>
      </c>
      <c r="G6397" s="49" t="str">
        <f>IFERROR(VLOOKUP(E6397,'Condensed Specialty Crosswalk'!$A$2:$C$106,3,FALSE),"")</f>
        <v/>
      </c>
    </row>
    <row r="6398" spans="5:7" ht="15" customHeight="1">
      <c r="E6398" s="49" t="str">
        <f>IFERROR(VLOOKUP(D6398,'taxonomy map'!$A$1:$C$107,2,FALSE),"")</f>
        <v/>
      </c>
      <c r="F6398" s="49" t="str">
        <f>IFERROR(VLOOKUP(E6398,'Condensed Specialty Crosswalk'!$A$2:$C$106,2,FALSE),"")</f>
        <v/>
      </c>
      <c r="G6398" s="49" t="str">
        <f>IFERROR(VLOOKUP(E6398,'Condensed Specialty Crosswalk'!$A$2:$C$106,3,FALSE),"")</f>
        <v/>
      </c>
    </row>
    <row r="6399" spans="5:7" ht="15" customHeight="1">
      <c r="E6399" s="49" t="str">
        <f>IFERROR(VLOOKUP(D6399,'taxonomy map'!$A$1:$C$107,2,FALSE),"")</f>
        <v/>
      </c>
      <c r="F6399" s="49" t="str">
        <f>IFERROR(VLOOKUP(E6399,'Condensed Specialty Crosswalk'!$A$2:$C$106,2,FALSE),"")</f>
        <v/>
      </c>
      <c r="G6399" s="49" t="str">
        <f>IFERROR(VLOOKUP(E6399,'Condensed Specialty Crosswalk'!$A$2:$C$106,3,FALSE),"")</f>
        <v/>
      </c>
    </row>
    <row r="6400" spans="5:7" ht="15" customHeight="1">
      <c r="E6400" s="49" t="str">
        <f>IFERROR(VLOOKUP(D6400,'taxonomy map'!$A$1:$C$107,2,FALSE),"")</f>
        <v/>
      </c>
      <c r="F6400" s="49" t="str">
        <f>IFERROR(VLOOKUP(E6400,'Condensed Specialty Crosswalk'!$A$2:$C$106,2,FALSE),"")</f>
        <v/>
      </c>
      <c r="G6400" s="49" t="str">
        <f>IFERROR(VLOOKUP(E6400,'Condensed Specialty Crosswalk'!$A$2:$C$106,3,FALSE),"")</f>
        <v/>
      </c>
    </row>
    <row r="6401" spans="5:7" ht="15" customHeight="1">
      <c r="E6401" s="49" t="str">
        <f>IFERROR(VLOOKUP(D6401,'taxonomy map'!$A$1:$C$107,2,FALSE),"")</f>
        <v/>
      </c>
      <c r="F6401" s="49" t="str">
        <f>IFERROR(VLOOKUP(E6401,'Condensed Specialty Crosswalk'!$A$2:$C$106,2,FALSE),"")</f>
        <v/>
      </c>
      <c r="G6401" s="49" t="str">
        <f>IFERROR(VLOOKUP(E6401,'Condensed Specialty Crosswalk'!$A$2:$C$106,3,FALSE),"")</f>
        <v/>
      </c>
    </row>
    <row r="6402" spans="5:7" ht="15" customHeight="1">
      <c r="E6402" s="49" t="str">
        <f>IFERROR(VLOOKUP(D6402,'taxonomy map'!$A$1:$C$107,2,FALSE),"")</f>
        <v/>
      </c>
      <c r="F6402" s="49" t="str">
        <f>IFERROR(VLOOKUP(E6402,'Condensed Specialty Crosswalk'!$A$2:$C$106,2,FALSE),"")</f>
        <v/>
      </c>
      <c r="G6402" s="49" t="str">
        <f>IFERROR(VLOOKUP(E6402,'Condensed Specialty Crosswalk'!$A$2:$C$106,3,FALSE),"")</f>
        <v/>
      </c>
    </row>
    <row r="6403" spans="5:7" ht="15" customHeight="1">
      <c r="E6403" s="49" t="str">
        <f>IFERROR(VLOOKUP(D6403,'taxonomy map'!$A$1:$C$107,2,FALSE),"")</f>
        <v/>
      </c>
      <c r="F6403" s="49" t="str">
        <f>IFERROR(VLOOKUP(E6403,'Condensed Specialty Crosswalk'!$A$2:$C$106,2,FALSE),"")</f>
        <v/>
      </c>
      <c r="G6403" s="49" t="str">
        <f>IFERROR(VLOOKUP(E6403,'Condensed Specialty Crosswalk'!$A$2:$C$106,3,FALSE),"")</f>
        <v/>
      </c>
    </row>
    <row r="6404" spans="5:7" ht="15" customHeight="1">
      <c r="E6404" s="49" t="str">
        <f>IFERROR(VLOOKUP(D6404,'taxonomy map'!$A$1:$C$107,2,FALSE),"")</f>
        <v/>
      </c>
      <c r="F6404" s="49" t="str">
        <f>IFERROR(VLOOKUP(E6404,'Condensed Specialty Crosswalk'!$A$2:$C$106,2,FALSE),"")</f>
        <v/>
      </c>
      <c r="G6404" s="49" t="str">
        <f>IFERROR(VLOOKUP(E6404,'Condensed Specialty Crosswalk'!$A$2:$C$106,3,FALSE),"")</f>
        <v/>
      </c>
    </row>
    <row r="6405" spans="5:7" ht="15" customHeight="1">
      <c r="E6405" s="49" t="str">
        <f>IFERROR(VLOOKUP(D6405,'taxonomy map'!$A$1:$C$107,2,FALSE),"")</f>
        <v/>
      </c>
      <c r="F6405" s="49" t="str">
        <f>IFERROR(VLOOKUP(E6405,'Condensed Specialty Crosswalk'!$A$2:$C$106,2,FALSE),"")</f>
        <v/>
      </c>
      <c r="G6405" s="49" t="str">
        <f>IFERROR(VLOOKUP(E6405,'Condensed Specialty Crosswalk'!$A$2:$C$106,3,FALSE),"")</f>
        <v/>
      </c>
    </row>
    <row r="6406" spans="5:7" ht="15" customHeight="1">
      <c r="E6406" s="49" t="str">
        <f>IFERROR(VLOOKUP(D6406,'taxonomy map'!$A$1:$C$107,2,FALSE),"")</f>
        <v/>
      </c>
      <c r="F6406" s="49" t="str">
        <f>IFERROR(VLOOKUP(E6406,'Condensed Specialty Crosswalk'!$A$2:$C$106,2,FALSE),"")</f>
        <v/>
      </c>
      <c r="G6406" s="49" t="str">
        <f>IFERROR(VLOOKUP(E6406,'Condensed Specialty Crosswalk'!$A$2:$C$106,3,FALSE),"")</f>
        <v/>
      </c>
    </row>
    <row r="6407" spans="5:7" ht="15" customHeight="1">
      <c r="E6407" s="49" t="str">
        <f>IFERROR(VLOOKUP(D6407,'taxonomy map'!$A$1:$C$107,2,FALSE),"")</f>
        <v/>
      </c>
      <c r="F6407" s="49" t="str">
        <f>IFERROR(VLOOKUP(E6407,'Condensed Specialty Crosswalk'!$A$2:$C$106,2,FALSE),"")</f>
        <v/>
      </c>
      <c r="G6407" s="49" t="str">
        <f>IFERROR(VLOOKUP(E6407,'Condensed Specialty Crosswalk'!$A$2:$C$106,3,FALSE),"")</f>
        <v/>
      </c>
    </row>
    <row r="6408" spans="5:7" ht="15" customHeight="1">
      <c r="E6408" s="49" t="str">
        <f>IFERROR(VLOOKUP(D6408,'taxonomy map'!$A$1:$C$107,2,FALSE),"")</f>
        <v/>
      </c>
      <c r="F6408" s="49" t="str">
        <f>IFERROR(VLOOKUP(E6408,'Condensed Specialty Crosswalk'!$A$2:$C$106,2,FALSE),"")</f>
        <v/>
      </c>
      <c r="G6408" s="49" t="str">
        <f>IFERROR(VLOOKUP(E6408,'Condensed Specialty Crosswalk'!$A$2:$C$106,3,FALSE),"")</f>
        <v/>
      </c>
    </row>
    <row r="6409" spans="5:7" ht="15" customHeight="1">
      <c r="E6409" s="49" t="str">
        <f>IFERROR(VLOOKUP(D6409,'taxonomy map'!$A$1:$C$107,2,FALSE),"")</f>
        <v/>
      </c>
      <c r="F6409" s="49" t="str">
        <f>IFERROR(VLOOKUP(E6409,'Condensed Specialty Crosswalk'!$A$2:$C$106,2,FALSE),"")</f>
        <v/>
      </c>
      <c r="G6409" s="49" t="str">
        <f>IFERROR(VLOOKUP(E6409,'Condensed Specialty Crosswalk'!$A$2:$C$106,3,FALSE),"")</f>
        <v/>
      </c>
    </row>
    <row r="6410" spans="5:7" ht="15" customHeight="1">
      <c r="E6410" s="49" t="str">
        <f>IFERROR(VLOOKUP(D6410,'taxonomy map'!$A$1:$C$107,2,FALSE),"")</f>
        <v/>
      </c>
      <c r="F6410" s="49" t="str">
        <f>IFERROR(VLOOKUP(E6410,'Condensed Specialty Crosswalk'!$A$2:$C$106,2,FALSE),"")</f>
        <v/>
      </c>
      <c r="G6410" s="49" t="str">
        <f>IFERROR(VLOOKUP(E6410,'Condensed Specialty Crosswalk'!$A$2:$C$106,3,FALSE),"")</f>
        <v/>
      </c>
    </row>
    <row r="6411" spans="5:7" ht="15" customHeight="1">
      <c r="E6411" s="49" t="str">
        <f>IFERROR(VLOOKUP(D6411,'taxonomy map'!$A$1:$C$107,2,FALSE),"")</f>
        <v/>
      </c>
      <c r="F6411" s="49" t="str">
        <f>IFERROR(VLOOKUP(E6411,'Condensed Specialty Crosswalk'!$A$2:$C$106,2,FALSE),"")</f>
        <v/>
      </c>
      <c r="G6411" s="49" t="str">
        <f>IFERROR(VLOOKUP(E6411,'Condensed Specialty Crosswalk'!$A$2:$C$106,3,FALSE),"")</f>
        <v/>
      </c>
    </row>
    <row r="6412" spans="5:7" ht="15" customHeight="1">
      <c r="E6412" s="49" t="str">
        <f>IFERROR(VLOOKUP(D6412,'taxonomy map'!$A$1:$C$107,2,FALSE),"")</f>
        <v/>
      </c>
      <c r="F6412" s="49" t="str">
        <f>IFERROR(VLOOKUP(E6412,'Condensed Specialty Crosswalk'!$A$2:$C$106,2,FALSE),"")</f>
        <v/>
      </c>
      <c r="G6412" s="49" t="str">
        <f>IFERROR(VLOOKUP(E6412,'Condensed Specialty Crosswalk'!$A$2:$C$106,3,FALSE),"")</f>
        <v/>
      </c>
    </row>
    <row r="6413" spans="5:7" ht="15" customHeight="1">
      <c r="E6413" s="49" t="str">
        <f>IFERROR(VLOOKUP(D6413,'taxonomy map'!$A$1:$C$107,2,FALSE),"")</f>
        <v/>
      </c>
      <c r="F6413" s="49" t="str">
        <f>IFERROR(VLOOKUP(E6413,'Condensed Specialty Crosswalk'!$A$2:$C$106,2,FALSE),"")</f>
        <v/>
      </c>
      <c r="G6413" s="49" t="str">
        <f>IFERROR(VLOOKUP(E6413,'Condensed Specialty Crosswalk'!$A$2:$C$106,3,FALSE),"")</f>
        <v/>
      </c>
    </row>
    <row r="6414" spans="5:7" ht="15" customHeight="1">
      <c r="E6414" s="49" t="str">
        <f>IFERROR(VLOOKUP(D6414,'taxonomy map'!$A$1:$C$107,2,FALSE),"")</f>
        <v/>
      </c>
      <c r="F6414" s="49" t="str">
        <f>IFERROR(VLOOKUP(E6414,'Condensed Specialty Crosswalk'!$A$2:$C$106,2,FALSE),"")</f>
        <v/>
      </c>
      <c r="G6414" s="49" t="str">
        <f>IFERROR(VLOOKUP(E6414,'Condensed Specialty Crosswalk'!$A$2:$C$106,3,FALSE),"")</f>
        <v/>
      </c>
    </row>
    <row r="6415" spans="5:7" ht="15" customHeight="1">
      <c r="E6415" s="49" t="str">
        <f>IFERROR(VLOOKUP(D6415,'taxonomy map'!$A$1:$C$107,2,FALSE),"")</f>
        <v/>
      </c>
      <c r="F6415" s="49" t="str">
        <f>IFERROR(VLOOKUP(E6415,'Condensed Specialty Crosswalk'!$A$2:$C$106,2,FALSE),"")</f>
        <v/>
      </c>
      <c r="G6415" s="49" t="str">
        <f>IFERROR(VLOOKUP(E6415,'Condensed Specialty Crosswalk'!$A$2:$C$106,3,FALSE),"")</f>
        <v/>
      </c>
    </row>
    <row r="6416" spans="5:7" ht="15" customHeight="1">
      <c r="E6416" s="49" t="str">
        <f>IFERROR(VLOOKUP(D6416,'taxonomy map'!$A$1:$C$107,2,FALSE),"")</f>
        <v/>
      </c>
      <c r="F6416" s="49" t="str">
        <f>IFERROR(VLOOKUP(E6416,'Condensed Specialty Crosswalk'!$A$2:$C$106,2,FALSE),"")</f>
        <v/>
      </c>
      <c r="G6416" s="49" t="str">
        <f>IFERROR(VLOOKUP(E6416,'Condensed Specialty Crosswalk'!$A$2:$C$106,3,FALSE),"")</f>
        <v/>
      </c>
    </row>
    <row r="6417" spans="5:7" ht="15" customHeight="1">
      <c r="E6417" s="49" t="str">
        <f>IFERROR(VLOOKUP(D6417,'taxonomy map'!$A$1:$C$107,2,FALSE),"")</f>
        <v/>
      </c>
      <c r="F6417" s="49" t="str">
        <f>IFERROR(VLOOKUP(E6417,'Condensed Specialty Crosswalk'!$A$2:$C$106,2,FALSE),"")</f>
        <v/>
      </c>
      <c r="G6417" s="49" t="str">
        <f>IFERROR(VLOOKUP(E6417,'Condensed Specialty Crosswalk'!$A$2:$C$106,3,FALSE),"")</f>
        <v/>
      </c>
    </row>
    <row r="6418" spans="5:7" ht="15" customHeight="1">
      <c r="E6418" s="49" t="str">
        <f>IFERROR(VLOOKUP(D6418,'taxonomy map'!$A$1:$C$107,2,FALSE),"")</f>
        <v/>
      </c>
      <c r="F6418" s="49" t="str">
        <f>IFERROR(VLOOKUP(E6418,'Condensed Specialty Crosswalk'!$A$2:$C$106,2,FALSE),"")</f>
        <v/>
      </c>
      <c r="G6418" s="49" t="str">
        <f>IFERROR(VLOOKUP(E6418,'Condensed Specialty Crosswalk'!$A$2:$C$106,3,FALSE),"")</f>
        <v/>
      </c>
    </row>
    <row r="6419" spans="5:7" ht="15" customHeight="1">
      <c r="E6419" s="49" t="str">
        <f>IFERROR(VLOOKUP(D6419,'taxonomy map'!$A$1:$C$107,2,FALSE),"")</f>
        <v/>
      </c>
      <c r="F6419" s="49" t="str">
        <f>IFERROR(VLOOKUP(E6419,'Condensed Specialty Crosswalk'!$A$2:$C$106,2,FALSE),"")</f>
        <v/>
      </c>
      <c r="G6419" s="49" t="str">
        <f>IFERROR(VLOOKUP(E6419,'Condensed Specialty Crosswalk'!$A$2:$C$106,3,FALSE),"")</f>
        <v/>
      </c>
    </row>
    <row r="6420" spans="5:7" ht="15" customHeight="1">
      <c r="E6420" s="49" t="str">
        <f>IFERROR(VLOOKUP(D6420,'taxonomy map'!$A$1:$C$107,2,FALSE),"")</f>
        <v/>
      </c>
      <c r="F6420" s="49" t="str">
        <f>IFERROR(VLOOKUP(E6420,'Condensed Specialty Crosswalk'!$A$2:$C$106,2,FALSE),"")</f>
        <v/>
      </c>
      <c r="G6420" s="49" t="str">
        <f>IFERROR(VLOOKUP(E6420,'Condensed Specialty Crosswalk'!$A$2:$C$106,3,FALSE),"")</f>
        <v/>
      </c>
    </row>
    <row r="6421" spans="5:7" ht="15" customHeight="1">
      <c r="E6421" s="49" t="str">
        <f>IFERROR(VLOOKUP(D6421,'taxonomy map'!$A$1:$C$107,2,FALSE),"")</f>
        <v/>
      </c>
      <c r="F6421" s="49" t="str">
        <f>IFERROR(VLOOKUP(E6421,'Condensed Specialty Crosswalk'!$A$2:$C$106,2,FALSE),"")</f>
        <v/>
      </c>
      <c r="G6421" s="49" t="str">
        <f>IFERROR(VLOOKUP(E6421,'Condensed Specialty Crosswalk'!$A$2:$C$106,3,FALSE),"")</f>
        <v/>
      </c>
    </row>
    <row r="6422" spans="5:7" ht="15" customHeight="1">
      <c r="E6422" s="49" t="str">
        <f>IFERROR(VLOOKUP(D6422,'taxonomy map'!$A$1:$C$107,2,FALSE),"")</f>
        <v/>
      </c>
      <c r="F6422" s="49" t="str">
        <f>IFERROR(VLOOKUP(E6422,'Condensed Specialty Crosswalk'!$A$2:$C$106,2,FALSE),"")</f>
        <v/>
      </c>
      <c r="G6422" s="49" t="str">
        <f>IFERROR(VLOOKUP(E6422,'Condensed Specialty Crosswalk'!$A$2:$C$106,3,FALSE),"")</f>
        <v/>
      </c>
    </row>
    <row r="6423" spans="5:7" ht="15" customHeight="1">
      <c r="E6423" s="49" t="str">
        <f>IFERROR(VLOOKUP(D6423,'taxonomy map'!$A$1:$C$107,2,FALSE),"")</f>
        <v/>
      </c>
      <c r="F6423" s="49" t="str">
        <f>IFERROR(VLOOKUP(E6423,'Condensed Specialty Crosswalk'!$A$2:$C$106,2,FALSE),"")</f>
        <v/>
      </c>
      <c r="G6423" s="49" t="str">
        <f>IFERROR(VLOOKUP(E6423,'Condensed Specialty Crosswalk'!$A$2:$C$106,3,FALSE),"")</f>
        <v/>
      </c>
    </row>
    <row r="6424" spans="5:7" ht="15" customHeight="1">
      <c r="E6424" s="49" t="str">
        <f>IFERROR(VLOOKUP(D6424,'taxonomy map'!$A$1:$C$107,2,FALSE),"")</f>
        <v/>
      </c>
      <c r="F6424" s="49" t="str">
        <f>IFERROR(VLOOKUP(E6424,'Condensed Specialty Crosswalk'!$A$2:$C$106,2,FALSE),"")</f>
        <v/>
      </c>
      <c r="G6424" s="49" t="str">
        <f>IFERROR(VLOOKUP(E6424,'Condensed Specialty Crosswalk'!$A$2:$C$106,3,FALSE),"")</f>
        <v/>
      </c>
    </row>
    <row r="6425" spans="5:7" ht="15" customHeight="1">
      <c r="E6425" s="49" t="str">
        <f>IFERROR(VLOOKUP(D6425,'taxonomy map'!$A$1:$C$107,2,FALSE),"")</f>
        <v/>
      </c>
      <c r="F6425" s="49" t="str">
        <f>IFERROR(VLOOKUP(E6425,'Condensed Specialty Crosswalk'!$A$2:$C$106,2,FALSE),"")</f>
        <v/>
      </c>
      <c r="G6425" s="49" t="str">
        <f>IFERROR(VLOOKUP(E6425,'Condensed Specialty Crosswalk'!$A$2:$C$106,3,FALSE),"")</f>
        <v/>
      </c>
    </row>
    <row r="6426" spans="5:7" ht="15" customHeight="1">
      <c r="E6426" s="49" t="str">
        <f>IFERROR(VLOOKUP(D6426,'taxonomy map'!$A$1:$C$107,2,FALSE),"")</f>
        <v/>
      </c>
      <c r="F6426" s="49" t="str">
        <f>IFERROR(VLOOKUP(E6426,'Condensed Specialty Crosswalk'!$A$2:$C$106,2,FALSE),"")</f>
        <v/>
      </c>
      <c r="G6426" s="49" t="str">
        <f>IFERROR(VLOOKUP(E6426,'Condensed Specialty Crosswalk'!$A$2:$C$106,3,FALSE),"")</f>
        <v/>
      </c>
    </row>
    <row r="6427" spans="5:7" ht="15" customHeight="1">
      <c r="E6427" s="49" t="str">
        <f>IFERROR(VLOOKUP(D6427,'taxonomy map'!$A$1:$C$107,2,FALSE),"")</f>
        <v/>
      </c>
      <c r="F6427" s="49" t="str">
        <f>IFERROR(VLOOKUP(E6427,'Condensed Specialty Crosswalk'!$A$2:$C$106,2,FALSE),"")</f>
        <v/>
      </c>
      <c r="G6427" s="49" t="str">
        <f>IFERROR(VLOOKUP(E6427,'Condensed Specialty Crosswalk'!$A$2:$C$106,3,FALSE),"")</f>
        <v/>
      </c>
    </row>
    <row r="6428" spans="5:7" ht="15" customHeight="1">
      <c r="E6428" s="49" t="str">
        <f>IFERROR(VLOOKUP(D6428,'taxonomy map'!$A$1:$C$107,2,FALSE),"")</f>
        <v/>
      </c>
      <c r="F6428" s="49" t="str">
        <f>IFERROR(VLOOKUP(E6428,'Condensed Specialty Crosswalk'!$A$2:$C$106,2,FALSE),"")</f>
        <v/>
      </c>
      <c r="G6428" s="49" t="str">
        <f>IFERROR(VLOOKUP(E6428,'Condensed Specialty Crosswalk'!$A$2:$C$106,3,FALSE),"")</f>
        <v/>
      </c>
    </row>
    <row r="6429" spans="5:7" ht="15" customHeight="1">
      <c r="E6429" s="49" t="str">
        <f>IFERROR(VLOOKUP(D6429,'taxonomy map'!$A$1:$C$107,2,FALSE),"")</f>
        <v/>
      </c>
      <c r="F6429" s="49" t="str">
        <f>IFERROR(VLOOKUP(E6429,'Condensed Specialty Crosswalk'!$A$2:$C$106,2,FALSE),"")</f>
        <v/>
      </c>
      <c r="G6429" s="49" t="str">
        <f>IFERROR(VLOOKUP(E6429,'Condensed Specialty Crosswalk'!$A$2:$C$106,3,FALSE),"")</f>
        <v/>
      </c>
    </row>
    <row r="6430" spans="5:7" ht="15" customHeight="1">
      <c r="E6430" s="49" t="str">
        <f>IFERROR(VLOOKUP(D6430,'taxonomy map'!$A$1:$C$107,2,FALSE),"")</f>
        <v/>
      </c>
      <c r="F6430" s="49" t="str">
        <f>IFERROR(VLOOKUP(E6430,'Condensed Specialty Crosswalk'!$A$2:$C$106,2,FALSE),"")</f>
        <v/>
      </c>
      <c r="G6430" s="49" t="str">
        <f>IFERROR(VLOOKUP(E6430,'Condensed Specialty Crosswalk'!$A$2:$C$106,3,FALSE),"")</f>
        <v/>
      </c>
    </row>
    <row r="6431" spans="5:7" ht="15" customHeight="1">
      <c r="E6431" s="49" t="str">
        <f>IFERROR(VLOOKUP(D6431,'taxonomy map'!$A$1:$C$107,2,FALSE),"")</f>
        <v/>
      </c>
      <c r="F6431" s="49" t="str">
        <f>IFERROR(VLOOKUP(E6431,'Condensed Specialty Crosswalk'!$A$2:$C$106,2,FALSE),"")</f>
        <v/>
      </c>
      <c r="G6431" s="49" t="str">
        <f>IFERROR(VLOOKUP(E6431,'Condensed Specialty Crosswalk'!$A$2:$C$106,3,FALSE),"")</f>
        <v/>
      </c>
    </row>
    <row r="6432" spans="5:7" ht="15" customHeight="1">
      <c r="E6432" s="49" t="str">
        <f>IFERROR(VLOOKUP(D6432,'taxonomy map'!$A$1:$C$107,2,FALSE),"")</f>
        <v/>
      </c>
      <c r="F6432" s="49" t="str">
        <f>IFERROR(VLOOKUP(E6432,'Condensed Specialty Crosswalk'!$A$2:$C$106,2,FALSE),"")</f>
        <v/>
      </c>
      <c r="G6432" s="49" t="str">
        <f>IFERROR(VLOOKUP(E6432,'Condensed Specialty Crosswalk'!$A$2:$C$106,3,FALSE),"")</f>
        <v/>
      </c>
    </row>
    <row r="6433" spans="5:7" ht="15" customHeight="1">
      <c r="E6433" s="49" t="str">
        <f>IFERROR(VLOOKUP(D6433,'taxonomy map'!$A$1:$C$107,2,FALSE),"")</f>
        <v/>
      </c>
      <c r="F6433" s="49" t="str">
        <f>IFERROR(VLOOKUP(E6433,'Condensed Specialty Crosswalk'!$A$2:$C$106,2,FALSE),"")</f>
        <v/>
      </c>
      <c r="G6433" s="49" t="str">
        <f>IFERROR(VLOOKUP(E6433,'Condensed Specialty Crosswalk'!$A$2:$C$106,3,FALSE),"")</f>
        <v/>
      </c>
    </row>
    <row r="6434" spans="5:7" ht="15" customHeight="1">
      <c r="E6434" s="49" t="str">
        <f>IFERROR(VLOOKUP(D6434,'taxonomy map'!$A$1:$C$107,2,FALSE),"")</f>
        <v/>
      </c>
      <c r="F6434" s="49" t="str">
        <f>IFERROR(VLOOKUP(E6434,'Condensed Specialty Crosswalk'!$A$2:$C$106,2,FALSE),"")</f>
        <v/>
      </c>
      <c r="G6434" s="49" t="str">
        <f>IFERROR(VLOOKUP(E6434,'Condensed Specialty Crosswalk'!$A$2:$C$106,3,FALSE),"")</f>
        <v/>
      </c>
    </row>
    <row r="6435" spans="5:7" ht="15" customHeight="1">
      <c r="E6435" s="49" t="str">
        <f>IFERROR(VLOOKUP(D6435,'taxonomy map'!$A$1:$C$107,2,FALSE),"")</f>
        <v/>
      </c>
      <c r="F6435" s="49" t="str">
        <f>IFERROR(VLOOKUP(E6435,'Condensed Specialty Crosswalk'!$A$2:$C$106,2,FALSE),"")</f>
        <v/>
      </c>
      <c r="G6435" s="49" t="str">
        <f>IFERROR(VLOOKUP(E6435,'Condensed Specialty Crosswalk'!$A$2:$C$106,3,FALSE),"")</f>
        <v/>
      </c>
    </row>
    <row r="6436" spans="5:7" ht="15" customHeight="1">
      <c r="E6436" s="49" t="str">
        <f>IFERROR(VLOOKUP(D6436,'taxonomy map'!$A$1:$C$107,2,FALSE),"")</f>
        <v/>
      </c>
      <c r="F6436" s="49" t="str">
        <f>IFERROR(VLOOKUP(E6436,'Condensed Specialty Crosswalk'!$A$2:$C$106,2,FALSE),"")</f>
        <v/>
      </c>
      <c r="G6436" s="49" t="str">
        <f>IFERROR(VLOOKUP(E6436,'Condensed Specialty Crosswalk'!$A$2:$C$106,3,FALSE),"")</f>
        <v/>
      </c>
    </row>
    <row r="6437" spans="5:7" ht="15" customHeight="1">
      <c r="E6437" s="49" t="str">
        <f>IFERROR(VLOOKUP(D6437,'taxonomy map'!$A$1:$C$107,2,FALSE),"")</f>
        <v/>
      </c>
      <c r="F6437" s="49" t="str">
        <f>IFERROR(VLOOKUP(E6437,'Condensed Specialty Crosswalk'!$A$2:$C$106,2,FALSE),"")</f>
        <v/>
      </c>
      <c r="G6437" s="49" t="str">
        <f>IFERROR(VLOOKUP(E6437,'Condensed Specialty Crosswalk'!$A$2:$C$106,3,FALSE),"")</f>
        <v/>
      </c>
    </row>
    <row r="6438" spans="5:7" ht="15" customHeight="1">
      <c r="E6438" s="49" t="str">
        <f>IFERROR(VLOOKUP(D6438,'taxonomy map'!$A$1:$C$107,2,FALSE),"")</f>
        <v/>
      </c>
      <c r="F6438" s="49" t="str">
        <f>IFERROR(VLOOKUP(E6438,'Condensed Specialty Crosswalk'!$A$2:$C$106,2,FALSE),"")</f>
        <v/>
      </c>
      <c r="G6438" s="49" t="str">
        <f>IFERROR(VLOOKUP(E6438,'Condensed Specialty Crosswalk'!$A$2:$C$106,3,FALSE),"")</f>
        <v/>
      </c>
    </row>
    <row r="6439" spans="5:7" ht="15" customHeight="1">
      <c r="E6439" s="49" t="str">
        <f>IFERROR(VLOOKUP(D6439,'taxonomy map'!$A$1:$C$107,2,FALSE),"")</f>
        <v/>
      </c>
      <c r="F6439" s="49" t="str">
        <f>IFERROR(VLOOKUP(E6439,'Condensed Specialty Crosswalk'!$A$2:$C$106,2,FALSE),"")</f>
        <v/>
      </c>
      <c r="G6439" s="49" t="str">
        <f>IFERROR(VLOOKUP(E6439,'Condensed Specialty Crosswalk'!$A$2:$C$106,3,FALSE),"")</f>
        <v/>
      </c>
    </row>
    <row r="6440" spans="5:7" ht="15" customHeight="1">
      <c r="E6440" s="49" t="str">
        <f>IFERROR(VLOOKUP(D6440,'taxonomy map'!$A$1:$C$107,2,FALSE),"")</f>
        <v/>
      </c>
      <c r="F6440" s="49" t="str">
        <f>IFERROR(VLOOKUP(E6440,'Condensed Specialty Crosswalk'!$A$2:$C$106,2,FALSE),"")</f>
        <v/>
      </c>
      <c r="G6440" s="49" t="str">
        <f>IFERROR(VLOOKUP(E6440,'Condensed Specialty Crosswalk'!$A$2:$C$106,3,FALSE),"")</f>
        <v/>
      </c>
    </row>
    <row r="6441" spans="5:7" ht="15" customHeight="1">
      <c r="E6441" s="49" t="str">
        <f>IFERROR(VLOOKUP(D6441,'taxonomy map'!$A$1:$C$107,2,FALSE),"")</f>
        <v/>
      </c>
      <c r="F6441" s="49" t="str">
        <f>IFERROR(VLOOKUP(E6441,'Condensed Specialty Crosswalk'!$A$2:$C$106,2,FALSE),"")</f>
        <v/>
      </c>
      <c r="G6441" s="49" t="str">
        <f>IFERROR(VLOOKUP(E6441,'Condensed Specialty Crosswalk'!$A$2:$C$106,3,FALSE),"")</f>
        <v/>
      </c>
    </row>
    <row r="6442" spans="5:7" ht="15" customHeight="1">
      <c r="E6442" s="49" t="str">
        <f>IFERROR(VLOOKUP(D6442,'taxonomy map'!$A$1:$C$107,2,FALSE),"")</f>
        <v/>
      </c>
      <c r="F6442" s="49" t="str">
        <f>IFERROR(VLOOKUP(E6442,'Condensed Specialty Crosswalk'!$A$2:$C$106,2,FALSE),"")</f>
        <v/>
      </c>
      <c r="G6442" s="49" t="str">
        <f>IFERROR(VLOOKUP(E6442,'Condensed Specialty Crosswalk'!$A$2:$C$106,3,FALSE),"")</f>
        <v/>
      </c>
    </row>
    <row r="6443" spans="5:7" ht="15" customHeight="1">
      <c r="E6443" s="49" t="str">
        <f>IFERROR(VLOOKUP(D6443,'taxonomy map'!$A$1:$C$107,2,FALSE),"")</f>
        <v/>
      </c>
      <c r="F6443" s="49" t="str">
        <f>IFERROR(VLOOKUP(E6443,'Condensed Specialty Crosswalk'!$A$2:$C$106,2,FALSE),"")</f>
        <v/>
      </c>
      <c r="G6443" s="49" t="str">
        <f>IFERROR(VLOOKUP(E6443,'Condensed Specialty Crosswalk'!$A$2:$C$106,3,FALSE),"")</f>
        <v/>
      </c>
    </row>
    <row r="6444" spans="5:7" ht="15" customHeight="1">
      <c r="E6444" s="49" t="str">
        <f>IFERROR(VLOOKUP(D6444,'taxonomy map'!$A$1:$C$107,2,FALSE),"")</f>
        <v/>
      </c>
      <c r="F6444" s="49" t="str">
        <f>IFERROR(VLOOKUP(E6444,'Condensed Specialty Crosswalk'!$A$2:$C$106,2,FALSE),"")</f>
        <v/>
      </c>
      <c r="G6444" s="49" t="str">
        <f>IFERROR(VLOOKUP(E6444,'Condensed Specialty Crosswalk'!$A$2:$C$106,3,FALSE),"")</f>
        <v/>
      </c>
    </row>
    <row r="6445" spans="5:7" ht="15" customHeight="1">
      <c r="E6445" s="49" t="str">
        <f>IFERROR(VLOOKUP(D6445,'taxonomy map'!$A$1:$C$107,2,FALSE),"")</f>
        <v/>
      </c>
      <c r="F6445" s="49" t="str">
        <f>IFERROR(VLOOKUP(E6445,'Condensed Specialty Crosswalk'!$A$2:$C$106,2,FALSE),"")</f>
        <v/>
      </c>
      <c r="G6445" s="49" t="str">
        <f>IFERROR(VLOOKUP(E6445,'Condensed Specialty Crosswalk'!$A$2:$C$106,3,FALSE),"")</f>
        <v/>
      </c>
    </row>
    <row r="6446" spans="5:7" ht="15" customHeight="1">
      <c r="E6446" s="49" t="str">
        <f>IFERROR(VLOOKUP(D6446,'taxonomy map'!$A$1:$C$107,2,FALSE),"")</f>
        <v/>
      </c>
      <c r="F6446" s="49" t="str">
        <f>IFERROR(VLOOKUP(E6446,'Condensed Specialty Crosswalk'!$A$2:$C$106,2,FALSE),"")</f>
        <v/>
      </c>
      <c r="G6446" s="49" t="str">
        <f>IFERROR(VLOOKUP(E6446,'Condensed Specialty Crosswalk'!$A$2:$C$106,3,FALSE),"")</f>
        <v/>
      </c>
    </row>
    <row r="6447" spans="5:7" ht="15" customHeight="1">
      <c r="E6447" s="49" t="str">
        <f>IFERROR(VLOOKUP(D6447,'taxonomy map'!$A$1:$C$107,2,FALSE),"")</f>
        <v/>
      </c>
      <c r="F6447" s="49" t="str">
        <f>IFERROR(VLOOKUP(E6447,'Condensed Specialty Crosswalk'!$A$2:$C$106,2,FALSE),"")</f>
        <v/>
      </c>
      <c r="G6447" s="49" t="str">
        <f>IFERROR(VLOOKUP(E6447,'Condensed Specialty Crosswalk'!$A$2:$C$106,3,FALSE),"")</f>
        <v/>
      </c>
    </row>
    <row r="6448" spans="5:7" ht="15" customHeight="1">
      <c r="E6448" s="49" t="str">
        <f>IFERROR(VLOOKUP(D6448,'taxonomy map'!$A$1:$C$107,2,FALSE),"")</f>
        <v/>
      </c>
      <c r="F6448" s="49" t="str">
        <f>IFERROR(VLOOKUP(E6448,'Condensed Specialty Crosswalk'!$A$2:$C$106,2,FALSE),"")</f>
        <v/>
      </c>
      <c r="G6448" s="49" t="str">
        <f>IFERROR(VLOOKUP(E6448,'Condensed Specialty Crosswalk'!$A$2:$C$106,3,FALSE),"")</f>
        <v/>
      </c>
    </row>
    <row r="6449" spans="5:7" ht="15" customHeight="1">
      <c r="E6449" s="49" t="str">
        <f>IFERROR(VLOOKUP(D6449,'taxonomy map'!$A$1:$C$107,2,FALSE),"")</f>
        <v/>
      </c>
      <c r="F6449" s="49" t="str">
        <f>IFERROR(VLOOKUP(E6449,'Condensed Specialty Crosswalk'!$A$2:$C$106,2,FALSE),"")</f>
        <v/>
      </c>
      <c r="G6449" s="49" t="str">
        <f>IFERROR(VLOOKUP(E6449,'Condensed Specialty Crosswalk'!$A$2:$C$106,3,FALSE),"")</f>
        <v/>
      </c>
    </row>
    <row r="6450" spans="5:7" ht="15" customHeight="1">
      <c r="E6450" s="49" t="str">
        <f>IFERROR(VLOOKUP(D6450,'taxonomy map'!$A$1:$C$107,2,FALSE),"")</f>
        <v/>
      </c>
      <c r="F6450" s="49" t="str">
        <f>IFERROR(VLOOKUP(E6450,'Condensed Specialty Crosswalk'!$A$2:$C$106,2,FALSE),"")</f>
        <v/>
      </c>
      <c r="G6450" s="49" t="str">
        <f>IFERROR(VLOOKUP(E6450,'Condensed Specialty Crosswalk'!$A$2:$C$106,3,FALSE),"")</f>
        <v/>
      </c>
    </row>
    <row r="6451" spans="5:7" ht="15" customHeight="1">
      <c r="E6451" s="49" t="str">
        <f>IFERROR(VLOOKUP(D6451,'taxonomy map'!$A$1:$C$107,2,FALSE),"")</f>
        <v/>
      </c>
      <c r="F6451" s="49" t="str">
        <f>IFERROR(VLOOKUP(E6451,'Condensed Specialty Crosswalk'!$A$2:$C$106,2,FALSE),"")</f>
        <v/>
      </c>
      <c r="G6451" s="49" t="str">
        <f>IFERROR(VLOOKUP(E6451,'Condensed Specialty Crosswalk'!$A$2:$C$106,3,FALSE),"")</f>
        <v/>
      </c>
    </row>
    <row r="6452" spans="5:7" ht="15" customHeight="1">
      <c r="E6452" s="49" t="str">
        <f>IFERROR(VLOOKUP(D6452,'taxonomy map'!$A$1:$C$107,2,FALSE),"")</f>
        <v/>
      </c>
      <c r="F6452" s="49" t="str">
        <f>IFERROR(VLOOKUP(E6452,'Condensed Specialty Crosswalk'!$A$2:$C$106,2,FALSE),"")</f>
        <v/>
      </c>
      <c r="G6452" s="49" t="str">
        <f>IFERROR(VLOOKUP(E6452,'Condensed Specialty Crosswalk'!$A$2:$C$106,3,FALSE),"")</f>
        <v/>
      </c>
    </row>
    <row r="6453" spans="5:7" ht="15" customHeight="1">
      <c r="E6453" s="49" t="str">
        <f>IFERROR(VLOOKUP(D6453,'taxonomy map'!$A$1:$C$107,2,FALSE),"")</f>
        <v/>
      </c>
      <c r="F6453" s="49" t="str">
        <f>IFERROR(VLOOKUP(E6453,'Condensed Specialty Crosswalk'!$A$2:$C$106,2,FALSE),"")</f>
        <v/>
      </c>
      <c r="G6453" s="49" t="str">
        <f>IFERROR(VLOOKUP(E6453,'Condensed Specialty Crosswalk'!$A$2:$C$106,3,FALSE),"")</f>
        <v/>
      </c>
    </row>
    <row r="6454" spans="5:7" ht="15" customHeight="1">
      <c r="E6454" s="49" t="str">
        <f>IFERROR(VLOOKUP(D6454,'taxonomy map'!$A$1:$C$107,2,FALSE),"")</f>
        <v/>
      </c>
      <c r="F6454" s="49" t="str">
        <f>IFERROR(VLOOKUP(E6454,'Condensed Specialty Crosswalk'!$A$2:$C$106,2,FALSE),"")</f>
        <v/>
      </c>
      <c r="G6454" s="49" t="str">
        <f>IFERROR(VLOOKUP(E6454,'Condensed Specialty Crosswalk'!$A$2:$C$106,3,FALSE),"")</f>
        <v/>
      </c>
    </row>
    <row r="6455" spans="5:7" ht="15" customHeight="1">
      <c r="E6455" s="49" t="str">
        <f>IFERROR(VLOOKUP(D6455,'taxonomy map'!$A$1:$C$107,2,FALSE),"")</f>
        <v/>
      </c>
      <c r="F6455" s="49" t="str">
        <f>IFERROR(VLOOKUP(E6455,'Condensed Specialty Crosswalk'!$A$2:$C$106,2,FALSE),"")</f>
        <v/>
      </c>
      <c r="G6455" s="49" t="str">
        <f>IFERROR(VLOOKUP(E6455,'Condensed Specialty Crosswalk'!$A$2:$C$106,3,FALSE),"")</f>
        <v/>
      </c>
    </row>
    <row r="6456" spans="5:7" ht="15" customHeight="1">
      <c r="E6456" s="49" t="str">
        <f>IFERROR(VLOOKUP(D6456,'taxonomy map'!$A$1:$C$107,2,FALSE),"")</f>
        <v/>
      </c>
      <c r="F6456" s="49" t="str">
        <f>IFERROR(VLOOKUP(E6456,'Condensed Specialty Crosswalk'!$A$2:$C$106,2,FALSE),"")</f>
        <v/>
      </c>
      <c r="G6456" s="49" t="str">
        <f>IFERROR(VLOOKUP(E6456,'Condensed Specialty Crosswalk'!$A$2:$C$106,3,FALSE),"")</f>
        <v/>
      </c>
    </row>
    <row r="6457" spans="5:7" ht="15" customHeight="1">
      <c r="E6457" s="49" t="str">
        <f>IFERROR(VLOOKUP(D6457,'taxonomy map'!$A$1:$C$107,2,FALSE),"")</f>
        <v/>
      </c>
      <c r="F6457" s="49" t="str">
        <f>IFERROR(VLOOKUP(E6457,'Condensed Specialty Crosswalk'!$A$2:$C$106,2,FALSE),"")</f>
        <v/>
      </c>
      <c r="G6457" s="49" t="str">
        <f>IFERROR(VLOOKUP(E6457,'Condensed Specialty Crosswalk'!$A$2:$C$106,3,FALSE),"")</f>
        <v/>
      </c>
    </row>
    <row r="6458" spans="5:7" ht="15" customHeight="1">
      <c r="E6458" s="49" t="str">
        <f>IFERROR(VLOOKUP(D6458,'taxonomy map'!$A$1:$C$107,2,FALSE),"")</f>
        <v/>
      </c>
      <c r="F6458" s="49" t="str">
        <f>IFERROR(VLOOKUP(E6458,'Condensed Specialty Crosswalk'!$A$2:$C$106,2,FALSE),"")</f>
        <v/>
      </c>
      <c r="G6458" s="49" t="str">
        <f>IFERROR(VLOOKUP(E6458,'Condensed Specialty Crosswalk'!$A$2:$C$106,3,FALSE),"")</f>
        <v/>
      </c>
    </row>
    <row r="6459" spans="5:7" ht="15" customHeight="1">
      <c r="E6459" s="49" t="str">
        <f>IFERROR(VLOOKUP(D6459,'taxonomy map'!$A$1:$C$107,2,FALSE),"")</f>
        <v/>
      </c>
      <c r="F6459" s="49" t="str">
        <f>IFERROR(VLOOKUP(E6459,'Condensed Specialty Crosswalk'!$A$2:$C$106,2,FALSE),"")</f>
        <v/>
      </c>
      <c r="G6459" s="49" t="str">
        <f>IFERROR(VLOOKUP(E6459,'Condensed Specialty Crosswalk'!$A$2:$C$106,3,FALSE),"")</f>
        <v/>
      </c>
    </row>
    <row r="6460" spans="5:7" ht="15" customHeight="1">
      <c r="E6460" s="49" t="str">
        <f>IFERROR(VLOOKUP(D6460,'taxonomy map'!$A$1:$C$107,2,FALSE),"")</f>
        <v/>
      </c>
      <c r="F6460" s="49" t="str">
        <f>IFERROR(VLOOKUP(E6460,'Condensed Specialty Crosswalk'!$A$2:$C$106,2,FALSE),"")</f>
        <v/>
      </c>
      <c r="G6460" s="49" t="str">
        <f>IFERROR(VLOOKUP(E6460,'Condensed Specialty Crosswalk'!$A$2:$C$106,3,FALSE),"")</f>
        <v/>
      </c>
    </row>
    <row r="6461" spans="5:7" ht="15" customHeight="1">
      <c r="E6461" s="49" t="str">
        <f>IFERROR(VLOOKUP(D6461,'taxonomy map'!$A$1:$C$107,2,FALSE),"")</f>
        <v/>
      </c>
      <c r="F6461" s="49" t="str">
        <f>IFERROR(VLOOKUP(E6461,'Condensed Specialty Crosswalk'!$A$2:$C$106,2,FALSE),"")</f>
        <v/>
      </c>
      <c r="G6461" s="49" t="str">
        <f>IFERROR(VLOOKUP(E6461,'Condensed Specialty Crosswalk'!$A$2:$C$106,3,FALSE),"")</f>
        <v/>
      </c>
    </row>
    <row r="6462" spans="5:7" ht="15" customHeight="1">
      <c r="E6462" s="49" t="str">
        <f>IFERROR(VLOOKUP(D6462,'taxonomy map'!$A$1:$C$107,2,FALSE),"")</f>
        <v/>
      </c>
      <c r="F6462" s="49" t="str">
        <f>IFERROR(VLOOKUP(E6462,'Condensed Specialty Crosswalk'!$A$2:$C$106,2,FALSE),"")</f>
        <v/>
      </c>
      <c r="G6462" s="49" t="str">
        <f>IFERROR(VLOOKUP(E6462,'Condensed Specialty Crosswalk'!$A$2:$C$106,3,FALSE),"")</f>
        <v/>
      </c>
    </row>
    <row r="6463" spans="5:7" ht="15" customHeight="1">
      <c r="E6463" s="49" t="str">
        <f>IFERROR(VLOOKUP(D6463,'taxonomy map'!$A$1:$C$107,2,FALSE),"")</f>
        <v/>
      </c>
      <c r="F6463" s="49" t="str">
        <f>IFERROR(VLOOKUP(E6463,'Condensed Specialty Crosswalk'!$A$2:$C$106,2,FALSE),"")</f>
        <v/>
      </c>
      <c r="G6463" s="49" t="str">
        <f>IFERROR(VLOOKUP(E6463,'Condensed Specialty Crosswalk'!$A$2:$C$106,3,FALSE),"")</f>
        <v/>
      </c>
    </row>
    <row r="6464" spans="5:7" ht="15" customHeight="1">
      <c r="E6464" s="49" t="str">
        <f>IFERROR(VLOOKUP(D6464,'taxonomy map'!$A$1:$C$107,2,FALSE),"")</f>
        <v/>
      </c>
      <c r="F6464" s="49" t="str">
        <f>IFERROR(VLOOKUP(E6464,'Condensed Specialty Crosswalk'!$A$2:$C$106,2,FALSE),"")</f>
        <v/>
      </c>
      <c r="G6464" s="49" t="str">
        <f>IFERROR(VLOOKUP(E6464,'Condensed Specialty Crosswalk'!$A$2:$C$106,3,FALSE),"")</f>
        <v/>
      </c>
    </row>
    <row r="6465" spans="5:7" ht="15" customHeight="1">
      <c r="E6465" s="49" t="str">
        <f>IFERROR(VLOOKUP(D6465,'taxonomy map'!$A$1:$C$107,2,FALSE),"")</f>
        <v/>
      </c>
      <c r="F6465" s="49" t="str">
        <f>IFERROR(VLOOKUP(E6465,'Condensed Specialty Crosswalk'!$A$2:$C$106,2,FALSE),"")</f>
        <v/>
      </c>
      <c r="G6465" s="49" t="str">
        <f>IFERROR(VLOOKUP(E6465,'Condensed Specialty Crosswalk'!$A$2:$C$106,3,FALSE),"")</f>
        <v/>
      </c>
    </row>
    <row r="6466" spans="5:7" ht="15" customHeight="1">
      <c r="E6466" s="49" t="str">
        <f>IFERROR(VLOOKUP(D6466,'taxonomy map'!$A$1:$C$107,2,FALSE),"")</f>
        <v/>
      </c>
      <c r="F6466" s="49" t="str">
        <f>IFERROR(VLOOKUP(E6466,'Condensed Specialty Crosswalk'!$A$2:$C$106,2,FALSE),"")</f>
        <v/>
      </c>
      <c r="G6466" s="49" t="str">
        <f>IFERROR(VLOOKUP(E6466,'Condensed Specialty Crosswalk'!$A$2:$C$106,3,FALSE),"")</f>
        <v/>
      </c>
    </row>
    <row r="6467" spans="5:7" ht="15" customHeight="1">
      <c r="E6467" s="49" t="str">
        <f>IFERROR(VLOOKUP(D6467,'taxonomy map'!$A$1:$C$107,2,FALSE),"")</f>
        <v/>
      </c>
      <c r="F6467" s="49" t="str">
        <f>IFERROR(VLOOKUP(E6467,'Condensed Specialty Crosswalk'!$A$2:$C$106,2,FALSE),"")</f>
        <v/>
      </c>
      <c r="G6467" s="49" t="str">
        <f>IFERROR(VLOOKUP(E6467,'Condensed Specialty Crosswalk'!$A$2:$C$106,3,FALSE),"")</f>
        <v/>
      </c>
    </row>
    <row r="6468" spans="5:7" ht="15" customHeight="1">
      <c r="E6468" s="49" t="str">
        <f>IFERROR(VLOOKUP(D6468,'taxonomy map'!$A$1:$C$107,2,FALSE),"")</f>
        <v/>
      </c>
      <c r="F6468" s="49" t="str">
        <f>IFERROR(VLOOKUP(E6468,'Condensed Specialty Crosswalk'!$A$2:$C$106,2,FALSE),"")</f>
        <v/>
      </c>
      <c r="G6468" s="49" t="str">
        <f>IFERROR(VLOOKUP(E6468,'Condensed Specialty Crosswalk'!$A$2:$C$106,3,FALSE),"")</f>
        <v/>
      </c>
    </row>
    <row r="6469" spans="5:7" ht="15" customHeight="1">
      <c r="E6469" s="49" t="str">
        <f>IFERROR(VLOOKUP(D6469,'taxonomy map'!$A$1:$C$107,2,FALSE),"")</f>
        <v/>
      </c>
      <c r="F6469" s="49" t="str">
        <f>IFERROR(VLOOKUP(E6469,'Condensed Specialty Crosswalk'!$A$2:$C$106,2,FALSE),"")</f>
        <v/>
      </c>
      <c r="G6469" s="49" t="str">
        <f>IFERROR(VLOOKUP(E6469,'Condensed Specialty Crosswalk'!$A$2:$C$106,3,FALSE),"")</f>
        <v/>
      </c>
    </row>
    <row r="6470" spans="5:7" ht="15" customHeight="1">
      <c r="E6470" s="49" t="str">
        <f>IFERROR(VLOOKUP(D6470,'taxonomy map'!$A$1:$C$107,2,FALSE),"")</f>
        <v/>
      </c>
      <c r="F6470" s="49" t="str">
        <f>IFERROR(VLOOKUP(E6470,'Condensed Specialty Crosswalk'!$A$2:$C$106,2,FALSE),"")</f>
        <v/>
      </c>
      <c r="G6470" s="49" t="str">
        <f>IFERROR(VLOOKUP(E6470,'Condensed Specialty Crosswalk'!$A$2:$C$106,3,FALSE),"")</f>
        <v/>
      </c>
    </row>
    <row r="6471" spans="5:7" ht="15" customHeight="1">
      <c r="E6471" s="49" t="str">
        <f>IFERROR(VLOOKUP(D6471,'taxonomy map'!$A$1:$C$107,2,FALSE),"")</f>
        <v/>
      </c>
      <c r="F6471" s="49" t="str">
        <f>IFERROR(VLOOKUP(E6471,'Condensed Specialty Crosswalk'!$A$2:$C$106,2,FALSE),"")</f>
        <v/>
      </c>
      <c r="G6471" s="49" t="str">
        <f>IFERROR(VLOOKUP(E6471,'Condensed Specialty Crosswalk'!$A$2:$C$106,3,FALSE),"")</f>
        <v/>
      </c>
    </row>
    <row r="6472" spans="5:7" ht="15" customHeight="1">
      <c r="E6472" s="49" t="str">
        <f>IFERROR(VLOOKUP(D6472,'taxonomy map'!$A$1:$C$107,2,FALSE),"")</f>
        <v/>
      </c>
      <c r="F6472" s="49" t="str">
        <f>IFERROR(VLOOKUP(E6472,'Condensed Specialty Crosswalk'!$A$2:$C$106,2,FALSE),"")</f>
        <v/>
      </c>
      <c r="G6472" s="49" t="str">
        <f>IFERROR(VLOOKUP(E6472,'Condensed Specialty Crosswalk'!$A$2:$C$106,3,FALSE),"")</f>
        <v/>
      </c>
    </row>
    <row r="6473" spans="5:7" ht="15" customHeight="1">
      <c r="E6473" s="49" t="str">
        <f>IFERROR(VLOOKUP(D6473,'taxonomy map'!$A$1:$C$107,2,FALSE),"")</f>
        <v/>
      </c>
      <c r="F6473" s="49" t="str">
        <f>IFERROR(VLOOKUP(E6473,'Condensed Specialty Crosswalk'!$A$2:$C$106,2,FALSE),"")</f>
        <v/>
      </c>
      <c r="G6473" s="49" t="str">
        <f>IFERROR(VLOOKUP(E6473,'Condensed Specialty Crosswalk'!$A$2:$C$106,3,FALSE),"")</f>
        <v/>
      </c>
    </row>
    <row r="6474" spans="5:7" ht="15" customHeight="1">
      <c r="E6474" s="49" t="str">
        <f>IFERROR(VLOOKUP(D6474,'taxonomy map'!$A$1:$C$107,2,FALSE),"")</f>
        <v/>
      </c>
      <c r="F6474" s="49" t="str">
        <f>IFERROR(VLOOKUP(E6474,'Condensed Specialty Crosswalk'!$A$2:$C$106,2,FALSE),"")</f>
        <v/>
      </c>
      <c r="G6474" s="49" t="str">
        <f>IFERROR(VLOOKUP(E6474,'Condensed Specialty Crosswalk'!$A$2:$C$106,3,FALSE),"")</f>
        <v/>
      </c>
    </row>
    <row r="6475" spans="5:7" ht="15" customHeight="1">
      <c r="E6475" s="49" t="str">
        <f>IFERROR(VLOOKUP(D6475,'taxonomy map'!$A$1:$C$107,2,FALSE),"")</f>
        <v/>
      </c>
      <c r="F6475" s="49" t="str">
        <f>IFERROR(VLOOKUP(E6475,'Condensed Specialty Crosswalk'!$A$2:$C$106,2,FALSE),"")</f>
        <v/>
      </c>
      <c r="G6475" s="49" t="str">
        <f>IFERROR(VLOOKUP(E6475,'Condensed Specialty Crosswalk'!$A$2:$C$106,3,FALSE),"")</f>
        <v/>
      </c>
    </row>
    <row r="6476" spans="5:7" ht="15" customHeight="1">
      <c r="E6476" s="49" t="str">
        <f>IFERROR(VLOOKUP(D6476,'taxonomy map'!$A$1:$C$107,2,FALSE),"")</f>
        <v/>
      </c>
      <c r="F6476" s="49" t="str">
        <f>IFERROR(VLOOKUP(E6476,'Condensed Specialty Crosswalk'!$A$2:$C$106,2,FALSE),"")</f>
        <v/>
      </c>
      <c r="G6476" s="49" t="str">
        <f>IFERROR(VLOOKUP(E6476,'Condensed Specialty Crosswalk'!$A$2:$C$106,3,FALSE),"")</f>
        <v/>
      </c>
    </row>
    <row r="6477" spans="5:7" ht="15" customHeight="1">
      <c r="E6477" s="49" t="str">
        <f>IFERROR(VLOOKUP(D6477,'taxonomy map'!$A$1:$C$107,2,FALSE),"")</f>
        <v/>
      </c>
      <c r="F6477" s="49" t="str">
        <f>IFERROR(VLOOKUP(E6477,'Condensed Specialty Crosswalk'!$A$2:$C$106,2,FALSE),"")</f>
        <v/>
      </c>
      <c r="G6477" s="49" t="str">
        <f>IFERROR(VLOOKUP(E6477,'Condensed Specialty Crosswalk'!$A$2:$C$106,3,FALSE),"")</f>
        <v/>
      </c>
    </row>
    <row r="6478" spans="5:7" ht="15" customHeight="1">
      <c r="E6478" s="49" t="str">
        <f>IFERROR(VLOOKUP(D6478,'taxonomy map'!$A$1:$C$107,2,FALSE),"")</f>
        <v/>
      </c>
      <c r="F6478" s="49" t="str">
        <f>IFERROR(VLOOKUP(E6478,'Condensed Specialty Crosswalk'!$A$2:$C$106,2,FALSE),"")</f>
        <v/>
      </c>
      <c r="G6478" s="49" t="str">
        <f>IFERROR(VLOOKUP(E6478,'Condensed Specialty Crosswalk'!$A$2:$C$106,3,FALSE),"")</f>
        <v/>
      </c>
    </row>
    <row r="6479" spans="5:7" ht="15" customHeight="1">
      <c r="E6479" s="49" t="str">
        <f>IFERROR(VLOOKUP(D6479,'taxonomy map'!$A$1:$C$107,2,FALSE),"")</f>
        <v/>
      </c>
      <c r="F6479" s="49" t="str">
        <f>IFERROR(VLOOKUP(E6479,'Condensed Specialty Crosswalk'!$A$2:$C$106,2,FALSE),"")</f>
        <v/>
      </c>
      <c r="G6479" s="49" t="str">
        <f>IFERROR(VLOOKUP(E6479,'Condensed Specialty Crosswalk'!$A$2:$C$106,3,FALSE),"")</f>
        <v/>
      </c>
    </row>
    <row r="6480" spans="5:7" ht="15" customHeight="1">
      <c r="E6480" s="49" t="str">
        <f>IFERROR(VLOOKUP(D6480,'taxonomy map'!$A$1:$C$107,2,FALSE),"")</f>
        <v/>
      </c>
      <c r="F6480" s="49" t="str">
        <f>IFERROR(VLOOKUP(E6480,'Condensed Specialty Crosswalk'!$A$2:$C$106,2,FALSE),"")</f>
        <v/>
      </c>
      <c r="G6480" s="49" t="str">
        <f>IFERROR(VLOOKUP(E6480,'Condensed Specialty Crosswalk'!$A$2:$C$106,3,FALSE),"")</f>
        <v/>
      </c>
    </row>
    <row r="6481" spans="5:7" ht="15" customHeight="1">
      <c r="E6481" s="49" t="str">
        <f>IFERROR(VLOOKUP(D6481,'taxonomy map'!$A$1:$C$107,2,FALSE),"")</f>
        <v/>
      </c>
      <c r="F6481" s="49" t="str">
        <f>IFERROR(VLOOKUP(E6481,'Condensed Specialty Crosswalk'!$A$2:$C$106,2,FALSE),"")</f>
        <v/>
      </c>
      <c r="G6481" s="49" t="str">
        <f>IFERROR(VLOOKUP(E6481,'Condensed Specialty Crosswalk'!$A$2:$C$106,3,FALSE),"")</f>
        <v/>
      </c>
    </row>
    <row r="6482" spans="5:7" ht="15" customHeight="1">
      <c r="E6482" s="49" t="str">
        <f>IFERROR(VLOOKUP(D6482,'taxonomy map'!$A$1:$C$107,2,FALSE),"")</f>
        <v/>
      </c>
      <c r="F6482" s="49" t="str">
        <f>IFERROR(VLOOKUP(E6482,'Condensed Specialty Crosswalk'!$A$2:$C$106,2,FALSE),"")</f>
        <v/>
      </c>
      <c r="G6482" s="49" t="str">
        <f>IFERROR(VLOOKUP(E6482,'Condensed Specialty Crosswalk'!$A$2:$C$106,3,FALSE),"")</f>
        <v/>
      </c>
    </row>
    <row r="6483" spans="5:7" ht="15" customHeight="1">
      <c r="E6483" s="49" t="str">
        <f>IFERROR(VLOOKUP(D6483,'taxonomy map'!$A$1:$C$107,2,FALSE),"")</f>
        <v/>
      </c>
      <c r="F6483" s="49" t="str">
        <f>IFERROR(VLOOKUP(E6483,'Condensed Specialty Crosswalk'!$A$2:$C$106,2,FALSE),"")</f>
        <v/>
      </c>
      <c r="G6483" s="49" t="str">
        <f>IFERROR(VLOOKUP(E6483,'Condensed Specialty Crosswalk'!$A$2:$C$106,3,FALSE),"")</f>
        <v/>
      </c>
    </row>
    <row r="6484" spans="5:7" ht="15" customHeight="1">
      <c r="E6484" s="49" t="str">
        <f>IFERROR(VLOOKUP(D6484,'taxonomy map'!$A$1:$C$107,2,FALSE),"")</f>
        <v/>
      </c>
      <c r="F6484" s="49" t="str">
        <f>IFERROR(VLOOKUP(E6484,'Condensed Specialty Crosswalk'!$A$2:$C$106,2,FALSE),"")</f>
        <v/>
      </c>
      <c r="G6484" s="49" t="str">
        <f>IFERROR(VLOOKUP(E6484,'Condensed Specialty Crosswalk'!$A$2:$C$106,3,FALSE),"")</f>
        <v/>
      </c>
    </row>
    <row r="6485" spans="5:7" ht="15" customHeight="1">
      <c r="E6485" s="49" t="str">
        <f>IFERROR(VLOOKUP(D6485,'taxonomy map'!$A$1:$C$107,2,FALSE),"")</f>
        <v/>
      </c>
      <c r="F6485" s="49" t="str">
        <f>IFERROR(VLOOKUP(E6485,'Condensed Specialty Crosswalk'!$A$2:$C$106,2,FALSE),"")</f>
        <v/>
      </c>
      <c r="G6485" s="49" t="str">
        <f>IFERROR(VLOOKUP(E6485,'Condensed Specialty Crosswalk'!$A$2:$C$106,3,FALSE),"")</f>
        <v/>
      </c>
    </row>
    <row r="6486" spans="5:7" ht="15" customHeight="1">
      <c r="E6486" s="49" t="str">
        <f>IFERROR(VLOOKUP(D6486,'taxonomy map'!$A$1:$C$107,2,FALSE),"")</f>
        <v/>
      </c>
      <c r="F6486" s="49" t="str">
        <f>IFERROR(VLOOKUP(E6486,'Condensed Specialty Crosswalk'!$A$2:$C$106,2,FALSE),"")</f>
        <v/>
      </c>
      <c r="G6486" s="49" t="str">
        <f>IFERROR(VLOOKUP(E6486,'Condensed Specialty Crosswalk'!$A$2:$C$106,3,FALSE),"")</f>
        <v/>
      </c>
    </row>
    <row r="6487" spans="5:7" ht="15" customHeight="1">
      <c r="E6487" s="49" t="str">
        <f>IFERROR(VLOOKUP(D6487,'taxonomy map'!$A$1:$C$107,2,FALSE),"")</f>
        <v/>
      </c>
      <c r="F6487" s="49" t="str">
        <f>IFERROR(VLOOKUP(E6487,'Condensed Specialty Crosswalk'!$A$2:$C$106,2,FALSE),"")</f>
        <v/>
      </c>
      <c r="G6487" s="49" t="str">
        <f>IFERROR(VLOOKUP(E6487,'Condensed Specialty Crosswalk'!$A$2:$C$106,3,FALSE),"")</f>
        <v/>
      </c>
    </row>
    <row r="6488" spans="5:7" ht="15" customHeight="1">
      <c r="E6488" s="49" t="str">
        <f>IFERROR(VLOOKUP(D6488,'taxonomy map'!$A$1:$C$107,2,FALSE),"")</f>
        <v/>
      </c>
      <c r="F6488" s="49" t="str">
        <f>IFERROR(VLOOKUP(E6488,'Condensed Specialty Crosswalk'!$A$2:$C$106,2,FALSE),"")</f>
        <v/>
      </c>
      <c r="G6488" s="49" t="str">
        <f>IFERROR(VLOOKUP(E6488,'Condensed Specialty Crosswalk'!$A$2:$C$106,3,FALSE),"")</f>
        <v/>
      </c>
    </row>
    <row r="6489" spans="5:7" ht="15" customHeight="1">
      <c r="E6489" s="49" t="str">
        <f>IFERROR(VLOOKUP(D6489,'taxonomy map'!$A$1:$C$107,2,FALSE),"")</f>
        <v/>
      </c>
      <c r="F6489" s="49" t="str">
        <f>IFERROR(VLOOKUP(E6489,'Condensed Specialty Crosswalk'!$A$2:$C$106,2,FALSE),"")</f>
        <v/>
      </c>
      <c r="G6489" s="49" t="str">
        <f>IFERROR(VLOOKUP(E6489,'Condensed Specialty Crosswalk'!$A$2:$C$106,3,FALSE),"")</f>
        <v/>
      </c>
    </row>
    <row r="6490" spans="5:7" ht="15" customHeight="1">
      <c r="E6490" s="49" t="str">
        <f>IFERROR(VLOOKUP(D6490,'taxonomy map'!$A$1:$C$107,2,FALSE),"")</f>
        <v/>
      </c>
      <c r="F6490" s="49" t="str">
        <f>IFERROR(VLOOKUP(E6490,'Condensed Specialty Crosswalk'!$A$2:$C$106,2,FALSE),"")</f>
        <v/>
      </c>
      <c r="G6490" s="49" t="str">
        <f>IFERROR(VLOOKUP(E6490,'Condensed Specialty Crosswalk'!$A$2:$C$106,3,FALSE),"")</f>
        <v/>
      </c>
    </row>
    <row r="6491" spans="5:7" ht="15" customHeight="1">
      <c r="E6491" s="49" t="str">
        <f>IFERROR(VLOOKUP(D6491,'taxonomy map'!$A$1:$C$107,2,FALSE),"")</f>
        <v/>
      </c>
      <c r="F6491" s="49" t="str">
        <f>IFERROR(VLOOKUP(E6491,'Condensed Specialty Crosswalk'!$A$2:$C$106,2,FALSE),"")</f>
        <v/>
      </c>
      <c r="G6491" s="49" t="str">
        <f>IFERROR(VLOOKUP(E6491,'Condensed Specialty Crosswalk'!$A$2:$C$106,3,FALSE),"")</f>
        <v/>
      </c>
    </row>
    <row r="6492" spans="5:7" ht="15" customHeight="1">
      <c r="E6492" s="49" t="str">
        <f>IFERROR(VLOOKUP(D6492,'taxonomy map'!$A$1:$C$107,2,FALSE),"")</f>
        <v/>
      </c>
      <c r="F6492" s="49" t="str">
        <f>IFERROR(VLOOKUP(E6492,'Condensed Specialty Crosswalk'!$A$2:$C$106,2,FALSE),"")</f>
        <v/>
      </c>
      <c r="G6492" s="49" t="str">
        <f>IFERROR(VLOOKUP(E6492,'Condensed Specialty Crosswalk'!$A$2:$C$106,3,FALSE),"")</f>
        <v/>
      </c>
    </row>
    <row r="6493" spans="5:7" ht="15" customHeight="1">
      <c r="E6493" s="49" t="str">
        <f>IFERROR(VLOOKUP(D6493,'taxonomy map'!$A$1:$C$107,2,FALSE),"")</f>
        <v/>
      </c>
      <c r="F6493" s="49" t="str">
        <f>IFERROR(VLOOKUP(E6493,'Condensed Specialty Crosswalk'!$A$2:$C$106,2,FALSE),"")</f>
        <v/>
      </c>
      <c r="G6493" s="49" t="str">
        <f>IFERROR(VLOOKUP(E6493,'Condensed Specialty Crosswalk'!$A$2:$C$106,3,FALSE),"")</f>
        <v/>
      </c>
    </row>
    <row r="6494" spans="5:7" ht="15" customHeight="1">
      <c r="E6494" s="49" t="str">
        <f>IFERROR(VLOOKUP(D6494,'taxonomy map'!$A$1:$C$107,2,FALSE),"")</f>
        <v/>
      </c>
      <c r="F6494" s="49" t="str">
        <f>IFERROR(VLOOKUP(E6494,'Condensed Specialty Crosswalk'!$A$2:$C$106,2,FALSE),"")</f>
        <v/>
      </c>
      <c r="G6494" s="49" t="str">
        <f>IFERROR(VLOOKUP(E6494,'Condensed Specialty Crosswalk'!$A$2:$C$106,3,FALSE),"")</f>
        <v/>
      </c>
    </row>
    <row r="6495" spans="5:7" ht="15" customHeight="1">
      <c r="E6495" s="49" t="str">
        <f>IFERROR(VLOOKUP(D6495,'taxonomy map'!$A$1:$C$107,2,FALSE),"")</f>
        <v/>
      </c>
      <c r="F6495" s="49" t="str">
        <f>IFERROR(VLOOKUP(E6495,'Condensed Specialty Crosswalk'!$A$2:$C$106,2,FALSE),"")</f>
        <v/>
      </c>
      <c r="G6495" s="49" t="str">
        <f>IFERROR(VLOOKUP(E6495,'Condensed Specialty Crosswalk'!$A$2:$C$106,3,FALSE),"")</f>
        <v/>
      </c>
    </row>
    <row r="6496" spans="5:7" ht="15" customHeight="1">
      <c r="E6496" s="49" t="str">
        <f>IFERROR(VLOOKUP(D6496,'taxonomy map'!$A$1:$C$107,2,FALSE),"")</f>
        <v/>
      </c>
      <c r="F6496" s="49" t="str">
        <f>IFERROR(VLOOKUP(E6496,'Condensed Specialty Crosswalk'!$A$2:$C$106,2,FALSE),"")</f>
        <v/>
      </c>
      <c r="G6496" s="49" t="str">
        <f>IFERROR(VLOOKUP(E6496,'Condensed Specialty Crosswalk'!$A$2:$C$106,3,FALSE),"")</f>
        <v/>
      </c>
    </row>
    <row r="6497" spans="5:7" ht="15" customHeight="1">
      <c r="E6497" s="49" t="str">
        <f>IFERROR(VLOOKUP(D6497,'taxonomy map'!$A$1:$C$107,2,FALSE),"")</f>
        <v/>
      </c>
      <c r="F6497" s="49" t="str">
        <f>IFERROR(VLOOKUP(E6497,'Condensed Specialty Crosswalk'!$A$2:$C$106,2,FALSE),"")</f>
        <v/>
      </c>
      <c r="G6497" s="49" t="str">
        <f>IFERROR(VLOOKUP(E6497,'Condensed Specialty Crosswalk'!$A$2:$C$106,3,FALSE),"")</f>
        <v/>
      </c>
    </row>
    <row r="6498" spans="5:7" ht="15" customHeight="1">
      <c r="E6498" s="49" t="str">
        <f>IFERROR(VLOOKUP(D6498,'taxonomy map'!$A$1:$C$107,2,FALSE),"")</f>
        <v/>
      </c>
      <c r="F6498" s="49" t="str">
        <f>IFERROR(VLOOKUP(E6498,'Condensed Specialty Crosswalk'!$A$2:$C$106,2,FALSE),"")</f>
        <v/>
      </c>
      <c r="G6498" s="49" t="str">
        <f>IFERROR(VLOOKUP(E6498,'Condensed Specialty Crosswalk'!$A$2:$C$106,3,FALSE),"")</f>
        <v/>
      </c>
    </row>
    <row r="6499" spans="5:7" ht="15" customHeight="1">
      <c r="E6499" s="49" t="str">
        <f>IFERROR(VLOOKUP(D6499,'taxonomy map'!$A$1:$C$107,2,FALSE),"")</f>
        <v/>
      </c>
      <c r="F6499" s="49" t="str">
        <f>IFERROR(VLOOKUP(E6499,'Condensed Specialty Crosswalk'!$A$2:$C$106,2,FALSE),"")</f>
        <v/>
      </c>
      <c r="G6499" s="49" t="str">
        <f>IFERROR(VLOOKUP(E6499,'Condensed Specialty Crosswalk'!$A$2:$C$106,3,FALSE),"")</f>
        <v/>
      </c>
    </row>
    <row r="6500" spans="5:7" ht="15" customHeight="1">
      <c r="E6500" s="49" t="str">
        <f>IFERROR(VLOOKUP(D6500,'taxonomy map'!$A$1:$C$107,2,FALSE),"")</f>
        <v/>
      </c>
      <c r="F6500" s="49" t="str">
        <f>IFERROR(VLOOKUP(E6500,'Condensed Specialty Crosswalk'!$A$2:$C$106,2,FALSE),"")</f>
        <v/>
      </c>
      <c r="G6500" s="49" t="str">
        <f>IFERROR(VLOOKUP(E6500,'Condensed Specialty Crosswalk'!$A$2:$C$106,3,FALSE),"")</f>
        <v/>
      </c>
    </row>
    <row r="6501" spans="5:7" ht="15" customHeight="1">
      <c r="E6501" s="49" t="str">
        <f>IFERROR(VLOOKUP(D6501,'taxonomy map'!$A$1:$C$107,2,FALSE),"")</f>
        <v/>
      </c>
      <c r="F6501" s="49" t="str">
        <f>IFERROR(VLOOKUP(E6501,'Condensed Specialty Crosswalk'!$A$2:$C$106,2,FALSE),"")</f>
        <v/>
      </c>
      <c r="G6501" s="49" t="str">
        <f>IFERROR(VLOOKUP(E6501,'Condensed Specialty Crosswalk'!$A$2:$C$106,3,FALSE),"")</f>
        <v/>
      </c>
    </row>
    <row r="6502" spans="5:7" ht="15" customHeight="1">
      <c r="E6502" s="49" t="str">
        <f>IFERROR(VLOOKUP(D6502,'taxonomy map'!$A$1:$C$107,2,FALSE),"")</f>
        <v/>
      </c>
      <c r="F6502" s="49" t="str">
        <f>IFERROR(VLOOKUP(E6502,'Condensed Specialty Crosswalk'!$A$2:$C$106,2,FALSE),"")</f>
        <v/>
      </c>
      <c r="G6502" s="49" t="str">
        <f>IFERROR(VLOOKUP(E6502,'Condensed Specialty Crosswalk'!$A$2:$C$106,3,FALSE),"")</f>
        <v/>
      </c>
    </row>
    <row r="6503" spans="5:7" ht="15" customHeight="1">
      <c r="E6503" s="49" t="str">
        <f>IFERROR(VLOOKUP(D6503,'taxonomy map'!$A$1:$C$107,2,FALSE),"")</f>
        <v/>
      </c>
      <c r="F6503" s="49" t="str">
        <f>IFERROR(VLOOKUP(E6503,'Condensed Specialty Crosswalk'!$A$2:$C$106,2,FALSE),"")</f>
        <v/>
      </c>
      <c r="G6503" s="49" t="str">
        <f>IFERROR(VLOOKUP(E6503,'Condensed Specialty Crosswalk'!$A$2:$C$106,3,FALSE),"")</f>
        <v/>
      </c>
    </row>
    <row r="6504" spans="5:7" ht="15" customHeight="1">
      <c r="E6504" s="49" t="str">
        <f>IFERROR(VLOOKUP(D6504,'taxonomy map'!$A$1:$C$107,2,FALSE),"")</f>
        <v/>
      </c>
      <c r="F6504" s="49" t="str">
        <f>IFERROR(VLOOKUP(E6504,'Condensed Specialty Crosswalk'!$A$2:$C$106,2,FALSE),"")</f>
        <v/>
      </c>
      <c r="G6504" s="49" t="str">
        <f>IFERROR(VLOOKUP(E6504,'Condensed Specialty Crosswalk'!$A$2:$C$106,3,FALSE),"")</f>
        <v/>
      </c>
    </row>
    <row r="6505" spans="5:7" ht="15" customHeight="1">
      <c r="E6505" s="49" t="str">
        <f>IFERROR(VLOOKUP(D6505,'taxonomy map'!$A$1:$C$107,2,FALSE),"")</f>
        <v/>
      </c>
      <c r="F6505" s="49" t="str">
        <f>IFERROR(VLOOKUP(E6505,'Condensed Specialty Crosswalk'!$A$2:$C$106,2,FALSE),"")</f>
        <v/>
      </c>
      <c r="G6505" s="49" t="str">
        <f>IFERROR(VLOOKUP(E6505,'Condensed Specialty Crosswalk'!$A$2:$C$106,3,FALSE),"")</f>
        <v/>
      </c>
    </row>
    <row r="6506" spans="5:7" ht="15" customHeight="1">
      <c r="E6506" s="49" t="str">
        <f>IFERROR(VLOOKUP(D6506,'taxonomy map'!$A$1:$C$107,2,FALSE),"")</f>
        <v/>
      </c>
      <c r="F6506" s="49" t="str">
        <f>IFERROR(VLOOKUP(E6506,'Condensed Specialty Crosswalk'!$A$2:$C$106,2,FALSE),"")</f>
        <v/>
      </c>
      <c r="G6506" s="49" t="str">
        <f>IFERROR(VLOOKUP(E6506,'Condensed Specialty Crosswalk'!$A$2:$C$106,3,FALSE),"")</f>
        <v/>
      </c>
    </row>
    <row r="6507" spans="5:7" ht="15" customHeight="1">
      <c r="E6507" s="49" t="str">
        <f>IFERROR(VLOOKUP(D6507,'taxonomy map'!$A$1:$C$107,2,FALSE),"")</f>
        <v/>
      </c>
      <c r="F6507" s="49" t="str">
        <f>IFERROR(VLOOKUP(E6507,'Condensed Specialty Crosswalk'!$A$2:$C$106,2,FALSE),"")</f>
        <v/>
      </c>
      <c r="G6507" s="49" t="str">
        <f>IFERROR(VLOOKUP(E6507,'Condensed Specialty Crosswalk'!$A$2:$C$106,3,FALSE),"")</f>
        <v/>
      </c>
    </row>
    <row r="6508" spans="5:7" ht="15" customHeight="1">
      <c r="E6508" s="49" t="str">
        <f>IFERROR(VLOOKUP(D6508,'taxonomy map'!$A$1:$C$107,2,FALSE),"")</f>
        <v/>
      </c>
      <c r="F6508" s="49" t="str">
        <f>IFERROR(VLOOKUP(E6508,'Condensed Specialty Crosswalk'!$A$2:$C$106,2,FALSE),"")</f>
        <v/>
      </c>
      <c r="G6508" s="49" t="str">
        <f>IFERROR(VLOOKUP(E6508,'Condensed Specialty Crosswalk'!$A$2:$C$106,3,FALSE),"")</f>
        <v/>
      </c>
    </row>
    <row r="6509" spans="5:7" ht="15" customHeight="1">
      <c r="E6509" s="49" t="str">
        <f>IFERROR(VLOOKUP(D6509,'taxonomy map'!$A$1:$C$107,2,FALSE),"")</f>
        <v/>
      </c>
      <c r="F6509" s="49" t="str">
        <f>IFERROR(VLOOKUP(E6509,'Condensed Specialty Crosswalk'!$A$2:$C$106,2,FALSE),"")</f>
        <v/>
      </c>
      <c r="G6509" s="49" t="str">
        <f>IFERROR(VLOOKUP(E6509,'Condensed Specialty Crosswalk'!$A$2:$C$106,3,FALSE),"")</f>
        <v/>
      </c>
    </row>
    <row r="6510" spans="5:7" ht="15" customHeight="1">
      <c r="E6510" s="49" t="str">
        <f>IFERROR(VLOOKUP(D6510,'taxonomy map'!$A$1:$C$107,2,FALSE),"")</f>
        <v/>
      </c>
      <c r="F6510" s="49" t="str">
        <f>IFERROR(VLOOKUP(E6510,'Condensed Specialty Crosswalk'!$A$2:$C$106,2,FALSE),"")</f>
        <v/>
      </c>
      <c r="G6510" s="49" t="str">
        <f>IFERROR(VLOOKUP(E6510,'Condensed Specialty Crosswalk'!$A$2:$C$106,3,FALSE),"")</f>
        <v/>
      </c>
    </row>
    <row r="6511" spans="5:7" ht="15" customHeight="1">
      <c r="E6511" s="49" t="str">
        <f>IFERROR(VLOOKUP(D6511,'taxonomy map'!$A$1:$C$107,2,FALSE),"")</f>
        <v/>
      </c>
      <c r="F6511" s="49" t="str">
        <f>IFERROR(VLOOKUP(E6511,'Condensed Specialty Crosswalk'!$A$2:$C$106,2,FALSE),"")</f>
        <v/>
      </c>
      <c r="G6511" s="49" t="str">
        <f>IFERROR(VLOOKUP(E6511,'Condensed Specialty Crosswalk'!$A$2:$C$106,3,FALSE),"")</f>
        <v/>
      </c>
    </row>
    <row r="6512" spans="5:7" ht="15" customHeight="1">
      <c r="E6512" s="49" t="str">
        <f>IFERROR(VLOOKUP(D6512,'taxonomy map'!$A$1:$C$107,2,FALSE),"")</f>
        <v/>
      </c>
      <c r="F6512" s="49" t="str">
        <f>IFERROR(VLOOKUP(E6512,'Condensed Specialty Crosswalk'!$A$2:$C$106,2,FALSE),"")</f>
        <v/>
      </c>
      <c r="G6512" s="49" t="str">
        <f>IFERROR(VLOOKUP(E6512,'Condensed Specialty Crosswalk'!$A$2:$C$106,3,FALSE),"")</f>
        <v/>
      </c>
    </row>
    <row r="6513" spans="5:7" ht="15" customHeight="1">
      <c r="E6513" s="49" t="str">
        <f>IFERROR(VLOOKUP(D6513,'taxonomy map'!$A$1:$C$107,2,FALSE),"")</f>
        <v/>
      </c>
      <c r="F6513" s="49" t="str">
        <f>IFERROR(VLOOKUP(E6513,'Condensed Specialty Crosswalk'!$A$2:$C$106,2,FALSE),"")</f>
        <v/>
      </c>
      <c r="G6513" s="49" t="str">
        <f>IFERROR(VLOOKUP(E6513,'Condensed Specialty Crosswalk'!$A$2:$C$106,3,FALSE),"")</f>
        <v/>
      </c>
    </row>
    <row r="6514" spans="5:7" ht="15" customHeight="1">
      <c r="E6514" s="49" t="str">
        <f>IFERROR(VLOOKUP(D6514,'taxonomy map'!$A$1:$C$107,2,FALSE),"")</f>
        <v/>
      </c>
      <c r="F6514" s="49" t="str">
        <f>IFERROR(VLOOKUP(E6514,'Condensed Specialty Crosswalk'!$A$2:$C$106,2,FALSE),"")</f>
        <v/>
      </c>
      <c r="G6514" s="49" t="str">
        <f>IFERROR(VLOOKUP(E6514,'Condensed Specialty Crosswalk'!$A$2:$C$106,3,FALSE),"")</f>
        <v/>
      </c>
    </row>
    <row r="6515" spans="5:7" ht="15" customHeight="1">
      <c r="E6515" s="49" t="str">
        <f>IFERROR(VLOOKUP(D6515,'taxonomy map'!$A$1:$C$107,2,FALSE),"")</f>
        <v/>
      </c>
      <c r="F6515" s="49" t="str">
        <f>IFERROR(VLOOKUP(E6515,'Condensed Specialty Crosswalk'!$A$2:$C$106,2,FALSE),"")</f>
        <v/>
      </c>
      <c r="G6515" s="49" t="str">
        <f>IFERROR(VLOOKUP(E6515,'Condensed Specialty Crosswalk'!$A$2:$C$106,3,FALSE),"")</f>
        <v/>
      </c>
    </row>
    <row r="6516" spans="5:7" ht="15" customHeight="1">
      <c r="E6516" s="49" t="str">
        <f>IFERROR(VLOOKUP(D6516,'taxonomy map'!$A$1:$C$107,2,FALSE),"")</f>
        <v/>
      </c>
      <c r="F6516" s="49" t="str">
        <f>IFERROR(VLOOKUP(E6516,'Condensed Specialty Crosswalk'!$A$2:$C$106,2,FALSE),"")</f>
        <v/>
      </c>
      <c r="G6516" s="49" t="str">
        <f>IFERROR(VLOOKUP(E6516,'Condensed Specialty Crosswalk'!$A$2:$C$106,3,FALSE),"")</f>
        <v/>
      </c>
    </row>
    <row r="6517" spans="5:7" ht="15" customHeight="1">
      <c r="E6517" s="49" t="str">
        <f>IFERROR(VLOOKUP(D6517,'taxonomy map'!$A$1:$C$107,2,FALSE),"")</f>
        <v/>
      </c>
      <c r="F6517" s="49" t="str">
        <f>IFERROR(VLOOKUP(E6517,'Condensed Specialty Crosswalk'!$A$2:$C$106,2,FALSE),"")</f>
        <v/>
      </c>
      <c r="G6517" s="49" t="str">
        <f>IFERROR(VLOOKUP(E6517,'Condensed Specialty Crosswalk'!$A$2:$C$106,3,FALSE),"")</f>
        <v/>
      </c>
    </row>
    <row r="6518" spans="5:7" ht="15" customHeight="1">
      <c r="E6518" s="49" t="str">
        <f>IFERROR(VLOOKUP(D6518,'taxonomy map'!$A$1:$C$107,2,FALSE),"")</f>
        <v/>
      </c>
      <c r="F6518" s="49" t="str">
        <f>IFERROR(VLOOKUP(E6518,'Condensed Specialty Crosswalk'!$A$2:$C$106,2,FALSE),"")</f>
        <v/>
      </c>
      <c r="G6518" s="49" t="str">
        <f>IFERROR(VLOOKUP(E6518,'Condensed Specialty Crosswalk'!$A$2:$C$106,3,FALSE),"")</f>
        <v/>
      </c>
    </row>
    <row r="6519" spans="5:7" ht="15" customHeight="1">
      <c r="E6519" s="49" t="str">
        <f>IFERROR(VLOOKUP(D6519,'taxonomy map'!$A$1:$C$107,2,FALSE),"")</f>
        <v/>
      </c>
      <c r="F6519" s="49" t="str">
        <f>IFERROR(VLOOKUP(E6519,'Condensed Specialty Crosswalk'!$A$2:$C$106,2,FALSE),"")</f>
        <v/>
      </c>
      <c r="G6519" s="49" t="str">
        <f>IFERROR(VLOOKUP(E6519,'Condensed Specialty Crosswalk'!$A$2:$C$106,3,FALSE),"")</f>
        <v/>
      </c>
    </row>
    <row r="6520" spans="5:7" ht="15" customHeight="1">
      <c r="E6520" s="49" t="str">
        <f>IFERROR(VLOOKUP(D6520,'taxonomy map'!$A$1:$C$107,2,FALSE),"")</f>
        <v/>
      </c>
      <c r="F6520" s="49" t="str">
        <f>IFERROR(VLOOKUP(E6520,'Condensed Specialty Crosswalk'!$A$2:$C$106,2,FALSE),"")</f>
        <v/>
      </c>
      <c r="G6520" s="49" t="str">
        <f>IFERROR(VLOOKUP(E6520,'Condensed Specialty Crosswalk'!$A$2:$C$106,3,FALSE),"")</f>
        <v/>
      </c>
    </row>
    <row r="6521" spans="5:7" ht="15" customHeight="1">
      <c r="E6521" s="49" t="str">
        <f>IFERROR(VLOOKUP(D6521,'taxonomy map'!$A$1:$C$107,2,FALSE),"")</f>
        <v/>
      </c>
      <c r="F6521" s="49" t="str">
        <f>IFERROR(VLOOKUP(E6521,'Condensed Specialty Crosswalk'!$A$2:$C$106,2,FALSE),"")</f>
        <v/>
      </c>
      <c r="G6521" s="49" t="str">
        <f>IFERROR(VLOOKUP(E6521,'Condensed Specialty Crosswalk'!$A$2:$C$106,3,FALSE),"")</f>
        <v/>
      </c>
    </row>
    <row r="6522" spans="5:7" ht="15" customHeight="1">
      <c r="E6522" s="49" t="str">
        <f>IFERROR(VLOOKUP(D6522,'taxonomy map'!$A$1:$C$107,2,FALSE),"")</f>
        <v/>
      </c>
      <c r="F6522" s="49" t="str">
        <f>IFERROR(VLOOKUP(E6522,'Condensed Specialty Crosswalk'!$A$2:$C$106,2,FALSE),"")</f>
        <v/>
      </c>
      <c r="G6522" s="49" t="str">
        <f>IFERROR(VLOOKUP(E6522,'Condensed Specialty Crosswalk'!$A$2:$C$106,3,FALSE),"")</f>
        <v/>
      </c>
    </row>
    <row r="6523" spans="5:7" ht="15" customHeight="1">
      <c r="E6523" s="49" t="str">
        <f>IFERROR(VLOOKUP(D6523,'taxonomy map'!$A$1:$C$107,2,FALSE),"")</f>
        <v/>
      </c>
      <c r="F6523" s="49" t="str">
        <f>IFERROR(VLOOKUP(E6523,'Condensed Specialty Crosswalk'!$A$2:$C$106,2,FALSE),"")</f>
        <v/>
      </c>
      <c r="G6523" s="49" t="str">
        <f>IFERROR(VLOOKUP(E6523,'Condensed Specialty Crosswalk'!$A$2:$C$106,3,FALSE),"")</f>
        <v/>
      </c>
    </row>
    <row r="6524" spans="5:7" ht="15" customHeight="1">
      <c r="E6524" s="49" t="str">
        <f>IFERROR(VLOOKUP(D6524,'taxonomy map'!$A$1:$C$107,2,FALSE),"")</f>
        <v/>
      </c>
      <c r="F6524" s="49" t="str">
        <f>IFERROR(VLOOKUP(E6524,'Condensed Specialty Crosswalk'!$A$2:$C$106,2,FALSE),"")</f>
        <v/>
      </c>
      <c r="G6524" s="49" t="str">
        <f>IFERROR(VLOOKUP(E6524,'Condensed Specialty Crosswalk'!$A$2:$C$106,3,FALSE),"")</f>
        <v/>
      </c>
    </row>
    <row r="6525" spans="5:7" ht="15" customHeight="1">
      <c r="E6525" s="49" t="str">
        <f>IFERROR(VLOOKUP(D6525,'taxonomy map'!$A$1:$C$107,2,FALSE),"")</f>
        <v/>
      </c>
      <c r="F6525" s="49" t="str">
        <f>IFERROR(VLOOKUP(E6525,'Condensed Specialty Crosswalk'!$A$2:$C$106,2,FALSE),"")</f>
        <v/>
      </c>
      <c r="G6525" s="49" t="str">
        <f>IFERROR(VLOOKUP(E6525,'Condensed Specialty Crosswalk'!$A$2:$C$106,3,FALSE),"")</f>
        <v/>
      </c>
    </row>
    <row r="6526" spans="5:7" ht="15" customHeight="1">
      <c r="E6526" s="49" t="str">
        <f>IFERROR(VLOOKUP(D6526,'taxonomy map'!$A$1:$C$107,2,FALSE),"")</f>
        <v/>
      </c>
      <c r="F6526" s="49" t="str">
        <f>IFERROR(VLOOKUP(E6526,'Condensed Specialty Crosswalk'!$A$2:$C$106,2,FALSE),"")</f>
        <v/>
      </c>
      <c r="G6526" s="49" t="str">
        <f>IFERROR(VLOOKUP(E6526,'Condensed Specialty Crosswalk'!$A$2:$C$106,3,FALSE),"")</f>
        <v/>
      </c>
    </row>
    <row r="6527" spans="5:7" ht="15" customHeight="1">
      <c r="E6527" s="49" t="str">
        <f>IFERROR(VLOOKUP(D6527,'taxonomy map'!$A$1:$C$107,2,FALSE),"")</f>
        <v/>
      </c>
      <c r="F6527" s="49" t="str">
        <f>IFERROR(VLOOKUP(E6527,'Condensed Specialty Crosswalk'!$A$2:$C$106,2,FALSE),"")</f>
        <v/>
      </c>
      <c r="G6527" s="49" t="str">
        <f>IFERROR(VLOOKUP(E6527,'Condensed Specialty Crosswalk'!$A$2:$C$106,3,FALSE),"")</f>
        <v/>
      </c>
    </row>
    <row r="6528" spans="5:7" ht="15" customHeight="1">
      <c r="E6528" s="49" t="str">
        <f>IFERROR(VLOOKUP(D6528,'taxonomy map'!$A$1:$C$107,2,FALSE),"")</f>
        <v/>
      </c>
      <c r="F6528" s="49" t="str">
        <f>IFERROR(VLOOKUP(E6528,'Condensed Specialty Crosswalk'!$A$2:$C$106,2,FALSE),"")</f>
        <v/>
      </c>
      <c r="G6528" s="49" t="str">
        <f>IFERROR(VLOOKUP(E6528,'Condensed Specialty Crosswalk'!$A$2:$C$106,3,FALSE),"")</f>
        <v/>
      </c>
    </row>
    <row r="6529" spans="5:7" ht="15" customHeight="1">
      <c r="E6529" s="49" t="str">
        <f>IFERROR(VLOOKUP(D6529,'taxonomy map'!$A$1:$C$107,2,FALSE),"")</f>
        <v/>
      </c>
      <c r="F6529" s="49" t="str">
        <f>IFERROR(VLOOKUP(E6529,'Condensed Specialty Crosswalk'!$A$2:$C$106,2,FALSE),"")</f>
        <v/>
      </c>
      <c r="G6529" s="49" t="str">
        <f>IFERROR(VLOOKUP(E6529,'Condensed Specialty Crosswalk'!$A$2:$C$106,3,FALSE),"")</f>
        <v/>
      </c>
    </row>
    <row r="6530" spans="5:7" ht="15" customHeight="1">
      <c r="E6530" s="49" t="str">
        <f>IFERROR(VLOOKUP(D6530,'taxonomy map'!$A$1:$C$107,2,FALSE),"")</f>
        <v/>
      </c>
      <c r="F6530" s="49" t="str">
        <f>IFERROR(VLOOKUP(E6530,'Condensed Specialty Crosswalk'!$A$2:$C$106,2,FALSE),"")</f>
        <v/>
      </c>
      <c r="G6530" s="49" t="str">
        <f>IFERROR(VLOOKUP(E6530,'Condensed Specialty Crosswalk'!$A$2:$C$106,3,FALSE),"")</f>
        <v/>
      </c>
    </row>
    <row r="6531" spans="5:7" ht="15" customHeight="1">
      <c r="E6531" s="49" t="str">
        <f>IFERROR(VLOOKUP(D6531,'taxonomy map'!$A$1:$C$107,2,FALSE),"")</f>
        <v/>
      </c>
      <c r="F6531" s="49" t="str">
        <f>IFERROR(VLOOKUP(E6531,'Condensed Specialty Crosswalk'!$A$2:$C$106,2,FALSE),"")</f>
        <v/>
      </c>
      <c r="G6531" s="49" t="str">
        <f>IFERROR(VLOOKUP(E6531,'Condensed Specialty Crosswalk'!$A$2:$C$106,3,FALSE),"")</f>
        <v/>
      </c>
    </row>
    <row r="6532" spans="5:7" ht="15" customHeight="1">
      <c r="E6532" s="49" t="str">
        <f>IFERROR(VLOOKUP(D6532,'taxonomy map'!$A$1:$C$107,2,FALSE),"")</f>
        <v/>
      </c>
      <c r="F6532" s="49" t="str">
        <f>IFERROR(VLOOKUP(E6532,'Condensed Specialty Crosswalk'!$A$2:$C$106,2,FALSE),"")</f>
        <v/>
      </c>
      <c r="G6532" s="49" t="str">
        <f>IFERROR(VLOOKUP(E6532,'Condensed Specialty Crosswalk'!$A$2:$C$106,3,FALSE),"")</f>
        <v/>
      </c>
    </row>
    <row r="6533" spans="5:7" ht="15" customHeight="1">
      <c r="E6533" s="49" t="str">
        <f>IFERROR(VLOOKUP(D6533,'taxonomy map'!$A$1:$C$107,2,FALSE),"")</f>
        <v/>
      </c>
      <c r="F6533" s="49" t="str">
        <f>IFERROR(VLOOKUP(E6533,'Condensed Specialty Crosswalk'!$A$2:$C$106,2,FALSE),"")</f>
        <v/>
      </c>
      <c r="G6533" s="49" t="str">
        <f>IFERROR(VLOOKUP(E6533,'Condensed Specialty Crosswalk'!$A$2:$C$106,3,FALSE),"")</f>
        <v/>
      </c>
    </row>
    <row r="6534" spans="5:7" ht="15" customHeight="1">
      <c r="E6534" s="49" t="str">
        <f>IFERROR(VLOOKUP(D6534,'taxonomy map'!$A$1:$C$107,2,FALSE),"")</f>
        <v/>
      </c>
      <c r="F6534" s="49" t="str">
        <f>IFERROR(VLOOKUP(E6534,'Condensed Specialty Crosswalk'!$A$2:$C$106,2,FALSE),"")</f>
        <v/>
      </c>
      <c r="G6534" s="49" t="str">
        <f>IFERROR(VLOOKUP(E6534,'Condensed Specialty Crosswalk'!$A$2:$C$106,3,FALSE),"")</f>
        <v/>
      </c>
    </row>
    <row r="6535" spans="5:7" ht="15" customHeight="1">
      <c r="E6535" s="49" t="str">
        <f>IFERROR(VLOOKUP(D6535,'taxonomy map'!$A$1:$C$107,2,FALSE),"")</f>
        <v/>
      </c>
      <c r="F6535" s="49" t="str">
        <f>IFERROR(VLOOKUP(E6535,'Condensed Specialty Crosswalk'!$A$2:$C$106,2,FALSE),"")</f>
        <v/>
      </c>
      <c r="G6535" s="49" t="str">
        <f>IFERROR(VLOOKUP(E6535,'Condensed Specialty Crosswalk'!$A$2:$C$106,3,FALSE),"")</f>
        <v/>
      </c>
    </row>
    <row r="6536" spans="5:7" ht="15" customHeight="1">
      <c r="E6536" s="49" t="str">
        <f>IFERROR(VLOOKUP(D6536,'taxonomy map'!$A$1:$C$107,2,FALSE),"")</f>
        <v/>
      </c>
      <c r="F6536" s="49" t="str">
        <f>IFERROR(VLOOKUP(E6536,'Condensed Specialty Crosswalk'!$A$2:$C$106,2,FALSE),"")</f>
        <v/>
      </c>
      <c r="G6536" s="49" t="str">
        <f>IFERROR(VLOOKUP(E6536,'Condensed Specialty Crosswalk'!$A$2:$C$106,3,FALSE),"")</f>
        <v/>
      </c>
    </row>
    <row r="6537" spans="5:7" ht="15" customHeight="1">
      <c r="E6537" s="49" t="str">
        <f>IFERROR(VLOOKUP(D6537,'taxonomy map'!$A$1:$C$107,2,FALSE),"")</f>
        <v/>
      </c>
      <c r="F6537" s="49" t="str">
        <f>IFERROR(VLOOKUP(E6537,'Condensed Specialty Crosswalk'!$A$2:$C$106,2,FALSE),"")</f>
        <v/>
      </c>
      <c r="G6537" s="49" t="str">
        <f>IFERROR(VLOOKUP(E6537,'Condensed Specialty Crosswalk'!$A$2:$C$106,3,FALSE),"")</f>
        <v/>
      </c>
    </row>
    <row r="6538" spans="5:7" ht="15" customHeight="1">
      <c r="E6538" s="49" t="str">
        <f>IFERROR(VLOOKUP(D6538,'taxonomy map'!$A$1:$C$107,2,FALSE),"")</f>
        <v/>
      </c>
      <c r="F6538" s="49" t="str">
        <f>IFERROR(VLOOKUP(E6538,'Condensed Specialty Crosswalk'!$A$2:$C$106,2,FALSE),"")</f>
        <v/>
      </c>
      <c r="G6538" s="49" t="str">
        <f>IFERROR(VLOOKUP(E6538,'Condensed Specialty Crosswalk'!$A$2:$C$106,3,FALSE),"")</f>
        <v/>
      </c>
    </row>
    <row r="6539" spans="5:7" ht="15" customHeight="1">
      <c r="E6539" s="49" t="str">
        <f>IFERROR(VLOOKUP(D6539,'taxonomy map'!$A$1:$C$107,2,FALSE),"")</f>
        <v/>
      </c>
      <c r="F6539" s="49" t="str">
        <f>IFERROR(VLOOKUP(E6539,'Condensed Specialty Crosswalk'!$A$2:$C$106,2,FALSE),"")</f>
        <v/>
      </c>
      <c r="G6539" s="49" t="str">
        <f>IFERROR(VLOOKUP(E6539,'Condensed Specialty Crosswalk'!$A$2:$C$106,3,FALSE),"")</f>
        <v/>
      </c>
    </row>
    <row r="6540" spans="5:7" ht="15" customHeight="1">
      <c r="E6540" s="49" t="str">
        <f>IFERROR(VLOOKUP(D6540,'taxonomy map'!$A$1:$C$107,2,FALSE),"")</f>
        <v/>
      </c>
      <c r="F6540" s="49" t="str">
        <f>IFERROR(VLOOKUP(E6540,'Condensed Specialty Crosswalk'!$A$2:$C$106,2,FALSE),"")</f>
        <v/>
      </c>
      <c r="G6540" s="49" t="str">
        <f>IFERROR(VLOOKUP(E6540,'Condensed Specialty Crosswalk'!$A$2:$C$106,3,FALSE),"")</f>
        <v/>
      </c>
    </row>
    <row r="6541" spans="5:7" ht="15" customHeight="1">
      <c r="E6541" s="49" t="str">
        <f>IFERROR(VLOOKUP(D6541,'taxonomy map'!$A$1:$C$107,2,FALSE),"")</f>
        <v/>
      </c>
      <c r="F6541" s="49" t="str">
        <f>IFERROR(VLOOKUP(E6541,'Condensed Specialty Crosswalk'!$A$2:$C$106,2,FALSE),"")</f>
        <v/>
      </c>
      <c r="G6541" s="49" t="str">
        <f>IFERROR(VLOOKUP(E6541,'Condensed Specialty Crosswalk'!$A$2:$C$106,3,FALSE),"")</f>
        <v/>
      </c>
    </row>
    <row r="6542" spans="5:7" ht="15" customHeight="1">
      <c r="E6542" s="49" t="str">
        <f>IFERROR(VLOOKUP(D6542,'taxonomy map'!$A$1:$C$107,2,FALSE),"")</f>
        <v/>
      </c>
      <c r="F6542" s="49" t="str">
        <f>IFERROR(VLOOKUP(E6542,'Condensed Specialty Crosswalk'!$A$2:$C$106,2,FALSE),"")</f>
        <v/>
      </c>
      <c r="G6542" s="49" t="str">
        <f>IFERROR(VLOOKUP(E6542,'Condensed Specialty Crosswalk'!$A$2:$C$106,3,FALSE),"")</f>
        <v/>
      </c>
    </row>
    <row r="6543" spans="5:7" ht="15" customHeight="1">
      <c r="E6543" s="49" t="str">
        <f>IFERROR(VLOOKUP(D6543,'taxonomy map'!$A$1:$C$107,2,FALSE),"")</f>
        <v/>
      </c>
      <c r="F6543" s="49" t="str">
        <f>IFERROR(VLOOKUP(E6543,'Condensed Specialty Crosswalk'!$A$2:$C$106,2,FALSE),"")</f>
        <v/>
      </c>
      <c r="G6543" s="49" t="str">
        <f>IFERROR(VLOOKUP(E6543,'Condensed Specialty Crosswalk'!$A$2:$C$106,3,FALSE),"")</f>
        <v/>
      </c>
    </row>
    <row r="6544" spans="5:7" ht="15" customHeight="1">
      <c r="E6544" s="49" t="str">
        <f>IFERROR(VLOOKUP(D6544,'taxonomy map'!$A$1:$C$107,2,FALSE),"")</f>
        <v/>
      </c>
      <c r="F6544" s="49" t="str">
        <f>IFERROR(VLOOKUP(E6544,'Condensed Specialty Crosswalk'!$A$2:$C$106,2,FALSE),"")</f>
        <v/>
      </c>
      <c r="G6544" s="49" t="str">
        <f>IFERROR(VLOOKUP(E6544,'Condensed Specialty Crosswalk'!$A$2:$C$106,3,FALSE),"")</f>
        <v/>
      </c>
    </row>
    <row r="6545" spans="5:7" ht="15" customHeight="1">
      <c r="E6545" s="49" t="str">
        <f>IFERROR(VLOOKUP(D6545,'taxonomy map'!$A$1:$C$107,2,FALSE),"")</f>
        <v/>
      </c>
      <c r="F6545" s="49" t="str">
        <f>IFERROR(VLOOKUP(E6545,'Condensed Specialty Crosswalk'!$A$2:$C$106,2,FALSE),"")</f>
        <v/>
      </c>
      <c r="G6545" s="49" t="str">
        <f>IFERROR(VLOOKUP(E6545,'Condensed Specialty Crosswalk'!$A$2:$C$106,3,FALSE),"")</f>
        <v/>
      </c>
    </row>
    <row r="6546" spans="5:7" ht="15" customHeight="1">
      <c r="E6546" s="49" t="str">
        <f>IFERROR(VLOOKUP(D6546,'taxonomy map'!$A$1:$C$107,2,FALSE),"")</f>
        <v/>
      </c>
      <c r="F6546" s="49" t="str">
        <f>IFERROR(VLOOKUP(E6546,'Condensed Specialty Crosswalk'!$A$2:$C$106,2,FALSE),"")</f>
        <v/>
      </c>
      <c r="G6546" s="49" t="str">
        <f>IFERROR(VLOOKUP(E6546,'Condensed Specialty Crosswalk'!$A$2:$C$106,3,FALSE),"")</f>
        <v/>
      </c>
    </row>
    <row r="6547" spans="5:7" ht="15" customHeight="1">
      <c r="E6547" s="49" t="str">
        <f>IFERROR(VLOOKUP(D6547,'taxonomy map'!$A$1:$C$107,2,FALSE),"")</f>
        <v/>
      </c>
      <c r="F6547" s="49" t="str">
        <f>IFERROR(VLOOKUP(E6547,'Condensed Specialty Crosswalk'!$A$2:$C$106,2,FALSE),"")</f>
        <v/>
      </c>
      <c r="G6547" s="49" t="str">
        <f>IFERROR(VLOOKUP(E6547,'Condensed Specialty Crosswalk'!$A$2:$C$106,3,FALSE),"")</f>
        <v/>
      </c>
    </row>
    <row r="6548" spans="5:7" ht="15" customHeight="1">
      <c r="E6548" s="49" t="str">
        <f>IFERROR(VLOOKUP(D6548,'taxonomy map'!$A$1:$C$107,2,FALSE),"")</f>
        <v/>
      </c>
      <c r="F6548" s="49" t="str">
        <f>IFERROR(VLOOKUP(E6548,'Condensed Specialty Crosswalk'!$A$2:$C$106,2,FALSE),"")</f>
        <v/>
      </c>
      <c r="G6548" s="49" t="str">
        <f>IFERROR(VLOOKUP(E6548,'Condensed Specialty Crosswalk'!$A$2:$C$106,3,FALSE),"")</f>
        <v/>
      </c>
    </row>
    <row r="6549" spans="5:7" ht="15" customHeight="1">
      <c r="E6549" s="49" t="str">
        <f>IFERROR(VLOOKUP(D6549,'taxonomy map'!$A$1:$C$107,2,FALSE),"")</f>
        <v/>
      </c>
      <c r="F6549" s="49" t="str">
        <f>IFERROR(VLOOKUP(E6549,'Condensed Specialty Crosswalk'!$A$2:$C$106,2,FALSE),"")</f>
        <v/>
      </c>
      <c r="G6549" s="49" t="str">
        <f>IFERROR(VLOOKUP(E6549,'Condensed Specialty Crosswalk'!$A$2:$C$106,3,FALSE),"")</f>
        <v/>
      </c>
    </row>
    <row r="6550" spans="5:7" ht="15" customHeight="1">
      <c r="E6550" s="49" t="str">
        <f>IFERROR(VLOOKUP(D6550,'taxonomy map'!$A$1:$C$107,2,FALSE),"")</f>
        <v/>
      </c>
      <c r="F6550" s="49" t="str">
        <f>IFERROR(VLOOKUP(E6550,'Condensed Specialty Crosswalk'!$A$2:$C$106,2,FALSE),"")</f>
        <v/>
      </c>
      <c r="G6550" s="49" t="str">
        <f>IFERROR(VLOOKUP(E6550,'Condensed Specialty Crosswalk'!$A$2:$C$106,3,FALSE),"")</f>
        <v/>
      </c>
    </row>
    <row r="6551" spans="5:7" ht="15" customHeight="1">
      <c r="E6551" s="49" t="str">
        <f>IFERROR(VLOOKUP(D6551,'taxonomy map'!$A$1:$C$107,2,FALSE),"")</f>
        <v/>
      </c>
      <c r="F6551" s="49" t="str">
        <f>IFERROR(VLOOKUP(E6551,'Condensed Specialty Crosswalk'!$A$2:$C$106,2,FALSE),"")</f>
        <v/>
      </c>
      <c r="G6551" s="49" t="str">
        <f>IFERROR(VLOOKUP(E6551,'Condensed Specialty Crosswalk'!$A$2:$C$106,3,FALSE),"")</f>
        <v/>
      </c>
    </row>
    <row r="6552" spans="5:7" ht="15" customHeight="1">
      <c r="E6552" s="49" t="str">
        <f>IFERROR(VLOOKUP(D6552,'taxonomy map'!$A$1:$C$107,2,FALSE),"")</f>
        <v/>
      </c>
      <c r="F6552" s="49" t="str">
        <f>IFERROR(VLOOKUP(E6552,'Condensed Specialty Crosswalk'!$A$2:$C$106,2,FALSE),"")</f>
        <v/>
      </c>
      <c r="G6552" s="49" t="str">
        <f>IFERROR(VLOOKUP(E6552,'Condensed Specialty Crosswalk'!$A$2:$C$106,3,FALSE),"")</f>
        <v/>
      </c>
    </row>
    <row r="6553" spans="5:7" ht="15" customHeight="1">
      <c r="E6553" s="49" t="str">
        <f>IFERROR(VLOOKUP(D6553,'taxonomy map'!$A$1:$C$107,2,FALSE),"")</f>
        <v/>
      </c>
      <c r="F6553" s="49" t="str">
        <f>IFERROR(VLOOKUP(E6553,'Condensed Specialty Crosswalk'!$A$2:$C$106,2,FALSE),"")</f>
        <v/>
      </c>
      <c r="G6553" s="49" t="str">
        <f>IFERROR(VLOOKUP(E6553,'Condensed Specialty Crosswalk'!$A$2:$C$106,3,FALSE),"")</f>
        <v/>
      </c>
    </row>
    <row r="6554" spans="5:7" ht="15" customHeight="1">
      <c r="E6554" s="49" t="str">
        <f>IFERROR(VLOOKUP(D6554,'taxonomy map'!$A$1:$C$107,2,FALSE),"")</f>
        <v/>
      </c>
      <c r="F6554" s="49" t="str">
        <f>IFERROR(VLOOKUP(E6554,'Condensed Specialty Crosswalk'!$A$2:$C$106,2,FALSE),"")</f>
        <v/>
      </c>
      <c r="G6554" s="49" t="str">
        <f>IFERROR(VLOOKUP(E6554,'Condensed Specialty Crosswalk'!$A$2:$C$106,3,FALSE),"")</f>
        <v/>
      </c>
    </row>
    <row r="6555" spans="5:7" ht="15" customHeight="1">
      <c r="E6555" s="49" t="str">
        <f>IFERROR(VLOOKUP(D6555,'taxonomy map'!$A$1:$C$107,2,FALSE),"")</f>
        <v/>
      </c>
      <c r="F6555" s="49" t="str">
        <f>IFERROR(VLOOKUP(E6555,'Condensed Specialty Crosswalk'!$A$2:$C$106,2,FALSE),"")</f>
        <v/>
      </c>
      <c r="G6555" s="49" t="str">
        <f>IFERROR(VLOOKUP(E6555,'Condensed Specialty Crosswalk'!$A$2:$C$106,3,FALSE),"")</f>
        <v/>
      </c>
    </row>
    <row r="6556" spans="5:7" ht="15" customHeight="1">
      <c r="E6556" s="49" t="str">
        <f>IFERROR(VLOOKUP(D6556,'taxonomy map'!$A$1:$C$107,2,FALSE),"")</f>
        <v/>
      </c>
      <c r="F6556" s="49" t="str">
        <f>IFERROR(VLOOKUP(E6556,'Condensed Specialty Crosswalk'!$A$2:$C$106,2,FALSE),"")</f>
        <v/>
      </c>
      <c r="G6556" s="49" t="str">
        <f>IFERROR(VLOOKUP(E6556,'Condensed Specialty Crosswalk'!$A$2:$C$106,3,FALSE),"")</f>
        <v/>
      </c>
    </row>
    <row r="6557" spans="5:7" ht="15" customHeight="1">
      <c r="E6557" s="49" t="str">
        <f>IFERROR(VLOOKUP(D6557,'taxonomy map'!$A$1:$C$107,2,FALSE),"")</f>
        <v/>
      </c>
      <c r="F6557" s="49" t="str">
        <f>IFERROR(VLOOKUP(E6557,'Condensed Specialty Crosswalk'!$A$2:$C$106,2,FALSE),"")</f>
        <v/>
      </c>
      <c r="G6557" s="49" t="str">
        <f>IFERROR(VLOOKUP(E6557,'Condensed Specialty Crosswalk'!$A$2:$C$106,3,FALSE),"")</f>
        <v/>
      </c>
    </row>
    <row r="6558" spans="5:7" ht="15" customHeight="1">
      <c r="E6558" s="49" t="str">
        <f>IFERROR(VLOOKUP(D6558,'taxonomy map'!$A$1:$C$107,2,FALSE),"")</f>
        <v/>
      </c>
      <c r="F6558" s="49" t="str">
        <f>IFERROR(VLOOKUP(E6558,'Condensed Specialty Crosswalk'!$A$2:$C$106,2,FALSE),"")</f>
        <v/>
      </c>
      <c r="G6558" s="49" t="str">
        <f>IFERROR(VLOOKUP(E6558,'Condensed Specialty Crosswalk'!$A$2:$C$106,3,FALSE),"")</f>
        <v/>
      </c>
    </row>
    <row r="6559" spans="5:7" ht="15" customHeight="1">
      <c r="E6559" s="49" t="str">
        <f>IFERROR(VLOOKUP(D6559,'taxonomy map'!$A$1:$C$107,2,FALSE),"")</f>
        <v/>
      </c>
      <c r="F6559" s="49" t="str">
        <f>IFERROR(VLOOKUP(E6559,'Condensed Specialty Crosswalk'!$A$2:$C$106,2,FALSE),"")</f>
        <v/>
      </c>
      <c r="G6559" s="49" t="str">
        <f>IFERROR(VLOOKUP(E6559,'Condensed Specialty Crosswalk'!$A$2:$C$106,3,FALSE),"")</f>
        <v/>
      </c>
    </row>
    <row r="6560" spans="5:7" ht="15" customHeight="1">
      <c r="E6560" s="49" t="str">
        <f>IFERROR(VLOOKUP(D6560,'taxonomy map'!$A$1:$C$107,2,FALSE),"")</f>
        <v/>
      </c>
      <c r="F6560" s="49" t="str">
        <f>IFERROR(VLOOKUP(E6560,'Condensed Specialty Crosswalk'!$A$2:$C$106,2,FALSE),"")</f>
        <v/>
      </c>
      <c r="G6560" s="49" t="str">
        <f>IFERROR(VLOOKUP(E6560,'Condensed Specialty Crosswalk'!$A$2:$C$106,3,FALSE),"")</f>
        <v/>
      </c>
    </row>
    <row r="6561" spans="5:7" ht="15" customHeight="1">
      <c r="E6561" s="49" t="str">
        <f>IFERROR(VLOOKUP(D6561,'taxonomy map'!$A$1:$C$107,2,FALSE),"")</f>
        <v/>
      </c>
      <c r="F6561" s="49" t="str">
        <f>IFERROR(VLOOKUP(E6561,'Condensed Specialty Crosswalk'!$A$2:$C$106,2,FALSE),"")</f>
        <v/>
      </c>
      <c r="G6561" s="49" t="str">
        <f>IFERROR(VLOOKUP(E6561,'Condensed Specialty Crosswalk'!$A$2:$C$106,3,FALSE),"")</f>
        <v/>
      </c>
    </row>
    <row r="6562" spans="5:7" ht="15" customHeight="1">
      <c r="E6562" s="49" t="str">
        <f>IFERROR(VLOOKUP(D6562,'taxonomy map'!$A$1:$C$107,2,FALSE),"")</f>
        <v/>
      </c>
      <c r="F6562" s="49" t="str">
        <f>IFERROR(VLOOKUP(E6562,'Condensed Specialty Crosswalk'!$A$2:$C$106,2,FALSE),"")</f>
        <v/>
      </c>
      <c r="G6562" s="49" t="str">
        <f>IFERROR(VLOOKUP(E6562,'Condensed Specialty Crosswalk'!$A$2:$C$106,3,FALSE),"")</f>
        <v/>
      </c>
    </row>
    <row r="6563" spans="5:7" ht="15" customHeight="1">
      <c r="E6563" s="49" t="str">
        <f>IFERROR(VLOOKUP(D6563,'taxonomy map'!$A$1:$C$107,2,FALSE),"")</f>
        <v/>
      </c>
      <c r="F6563" s="49" t="str">
        <f>IFERROR(VLOOKUP(E6563,'Condensed Specialty Crosswalk'!$A$2:$C$106,2,FALSE),"")</f>
        <v/>
      </c>
      <c r="G6563" s="49" t="str">
        <f>IFERROR(VLOOKUP(E6563,'Condensed Specialty Crosswalk'!$A$2:$C$106,3,FALSE),"")</f>
        <v/>
      </c>
    </row>
    <row r="6564" spans="5:7" ht="15" customHeight="1">
      <c r="E6564" s="49" t="str">
        <f>IFERROR(VLOOKUP(D6564,'taxonomy map'!$A$1:$C$107,2,FALSE),"")</f>
        <v/>
      </c>
      <c r="F6564" s="49" t="str">
        <f>IFERROR(VLOOKUP(E6564,'Condensed Specialty Crosswalk'!$A$2:$C$106,2,FALSE),"")</f>
        <v/>
      </c>
      <c r="G6564" s="49" t="str">
        <f>IFERROR(VLOOKUP(E6564,'Condensed Specialty Crosswalk'!$A$2:$C$106,3,FALSE),"")</f>
        <v/>
      </c>
    </row>
    <row r="6565" spans="5:7" ht="15" customHeight="1">
      <c r="E6565" s="49" t="str">
        <f>IFERROR(VLOOKUP(D6565,'taxonomy map'!$A$1:$C$107,2,FALSE),"")</f>
        <v/>
      </c>
      <c r="F6565" s="49" t="str">
        <f>IFERROR(VLOOKUP(E6565,'Condensed Specialty Crosswalk'!$A$2:$C$106,2,FALSE),"")</f>
        <v/>
      </c>
      <c r="G6565" s="49" t="str">
        <f>IFERROR(VLOOKUP(E6565,'Condensed Specialty Crosswalk'!$A$2:$C$106,3,FALSE),"")</f>
        <v/>
      </c>
    </row>
    <row r="6566" spans="5:7" ht="15" customHeight="1">
      <c r="E6566" s="49" t="str">
        <f>IFERROR(VLOOKUP(D6566,'taxonomy map'!$A$1:$C$107,2,FALSE),"")</f>
        <v/>
      </c>
      <c r="F6566" s="49" t="str">
        <f>IFERROR(VLOOKUP(E6566,'Condensed Specialty Crosswalk'!$A$2:$C$106,2,FALSE),"")</f>
        <v/>
      </c>
      <c r="G6566" s="49" t="str">
        <f>IFERROR(VLOOKUP(E6566,'Condensed Specialty Crosswalk'!$A$2:$C$106,3,FALSE),"")</f>
        <v/>
      </c>
    </row>
    <row r="6567" spans="5:7" ht="15" customHeight="1">
      <c r="E6567" s="49" t="str">
        <f>IFERROR(VLOOKUP(D6567,'taxonomy map'!$A$1:$C$107,2,FALSE),"")</f>
        <v/>
      </c>
      <c r="F6567" s="49" t="str">
        <f>IFERROR(VLOOKUP(E6567,'Condensed Specialty Crosswalk'!$A$2:$C$106,2,FALSE),"")</f>
        <v/>
      </c>
      <c r="G6567" s="49" t="str">
        <f>IFERROR(VLOOKUP(E6567,'Condensed Specialty Crosswalk'!$A$2:$C$106,3,FALSE),"")</f>
        <v/>
      </c>
    </row>
    <row r="6568" spans="5:7" ht="15" customHeight="1">
      <c r="E6568" s="49" t="str">
        <f>IFERROR(VLOOKUP(D6568,'taxonomy map'!$A$1:$C$107,2,FALSE),"")</f>
        <v/>
      </c>
      <c r="F6568" s="49" t="str">
        <f>IFERROR(VLOOKUP(E6568,'Condensed Specialty Crosswalk'!$A$2:$C$106,2,FALSE),"")</f>
        <v/>
      </c>
      <c r="G6568" s="49" t="str">
        <f>IFERROR(VLOOKUP(E6568,'Condensed Specialty Crosswalk'!$A$2:$C$106,3,FALSE),"")</f>
        <v/>
      </c>
    </row>
    <row r="6569" spans="5:7" ht="15" customHeight="1">
      <c r="E6569" s="49" t="str">
        <f>IFERROR(VLOOKUP(D6569,'taxonomy map'!$A$1:$C$107,2,FALSE),"")</f>
        <v/>
      </c>
      <c r="F6569" s="49" t="str">
        <f>IFERROR(VLOOKUP(E6569,'Condensed Specialty Crosswalk'!$A$2:$C$106,2,FALSE),"")</f>
        <v/>
      </c>
      <c r="G6569" s="49" t="str">
        <f>IFERROR(VLOOKUP(E6569,'Condensed Specialty Crosswalk'!$A$2:$C$106,3,FALSE),"")</f>
        <v/>
      </c>
    </row>
    <row r="6570" spans="5:7" ht="15" customHeight="1">
      <c r="E6570" s="49" t="str">
        <f>IFERROR(VLOOKUP(D6570,'taxonomy map'!$A$1:$C$107,2,FALSE),"")</f>
        <v/>
      </c>
      <c r="F6570" s="49" t="str">
        <f>IFERROR(VLOOKUP(E6570,'Condensed Specialty Crosswalk'!$A$2:$C$106,2,FALSE),"")</f>
        <v/>
      </c>
      <c r="G6570" s="49" t="str">
        <f>IFERROR(VLOOKUP(E6570,'Condensed Specialty Crosswalk'!$A$2:$C$106,3,FALSE),"")</f>
        <v/>
      </c>
    </row>
    <row r="6571" spans="5:7" ht="15" customHeight="1">
      <c r="E6571" s="49" t="str">
        <f>IFERROR(VLOOKUP(D6571,'taxonomy map'!$A$1:$C$107,2,FALSE),"")</f>
        <v/>
      </c>
      <c r="F6571" s="49" t="str">
        <f>IFERROR(VLOOKUP(E6571,'Condensed Specialty Crosswalk'!$A$2:$C$106,2,FALSE),"")</f>
        <v/>
      </c>
      <c r="G6571" s="49" t="str">
        <f>IFERROR(VLOOKUP(E6571,'Condensed Specialty Crosswalk'!$A$2:$C$106,3,FALSE),"")</f>
        <v/>
      </c>
    </row>
    <row r="6572" spans="5:7" ht="15" customHeight="1">
      <c r="E6572" s="49" t="str">
        <f>IFERROR(VLOOKUP(D6572,'taxonomy map'!$A$1:$C$107,2,FALSE),"")</f>
        <v/>
      </c>
      <c r="F6572" s="49" t="str">
        <f>IFERROR(VLOOKUP(E6572,'Condensed Specialty Crosswalk'!$A$2:$C$106,2,FALSE),"")</f>
        <v/>
      </c>
      <c r="G6572" s="49" t="str">
        <f>IFERROR(VLOOKUP(E6572,'Condensed Specialty Crosswalk'!$A$2:$C$106,3,FALSE),"")</f>
        <v/>
      </c>
    </row>
    <row r="6573" spans="5:7" ht="15" customHeight="1">
      <c r="E6573" s="49" t="str">
        <f>IFERROR(VLOOKUP(D6573,'taxonomy map'!$A$1:$C$107,2,FALSE),"")</f>
        <v/>
      </c>
      <c r="F6573" s="49" t="str">
        <f>IFERROR(VLOOKUP(E6573,'Condensed Specialty Crosswalk'!$A$2:$C$106,2,FALSE),"")</f>
        <v/>
      </c>
      <c r="G6573" s="49" t="str">
        <f>IFERROR(VLOOKUP(E6573,'Condensed Specialty Crosswalk'!$A$2:$C$106,3,FALSE),"")</f>
        <v/>
      </c>
    </row>
    <row r="6574" spans="5:7" ht="15" customHeight="1">
      <c r="E6574" s="49" t="str">
        <f>IFERROR(VLOOKUP(D6574,'taxonomy map'!$A$1:$C$107,2,FALSE),"")</f>
        <v/>
      </c>
      <c r="F6574" s="49" t="str">
        <f>IFERROR(VLOOKUP(E6574,'Condensed Specialty Crosswalk'!$A$2:$C$106,2,FALSE),"")</f>
        <v/>
      </c>
      <c r="G6574" s="49" t="str">
        <f>IFERROR(VLOOKUP(E6574,'Condensed Specialty Crosswalk'!$A$2:$C$106,3,FALSE),"")</f>
        <v/>
      </c>
    </row>
    <row r="6575" spans="5:7" ht="15" customHeight="1">
      <c r="E6575" s="49" t="str">
        <f>IFERROR(VLOOKUP(D6575,'taxonomy map'!$A$1:$C$107,2,FALSE),"")</f>
        <v/>
      </c>
      <c r="F6575" s="49" t="str">
        <f>IFERROR(VLOOKUP(E6575,'Condensed Specialty Crosswalk'!$A$2:$C$106,2,FALSE),"")</f>
        <v/>
      </c>
      <c r="G6575" s="49" t="str">
        <f>IFERROR(VLOOKUP(E6575,'Condensed Specialty Crosswalk'!$A$2:$C$106,3,FALSE),"")</f>
        <v/>
      </c>
    </row>
    <row r="6576" spans="5:7" ht="15" customHeight="1">
      <c r="E6576" s="49" t="str">
        <f>IFERROR(VLOOKUP(D6576,'taxonomy map'!$A$1:$C$107,2,FALSE),"")</f>
        <v/>
      </c>
      <c r="F6576" s="49" t="str">
        <f>IFERROR(VLOOKUP(E6576,'Condensed Specialty Crosswalk'!$A$2:$C$106,2,FALSE),"")</f>
        <v/>
      </c>
      <c r="G6576" s="49" t="str">
        <f>IFERROR(VLOOKUP(E6576,'Condensed Specialty Crosswalk'!$A$2:$C$106,3,FALSE),"")</f>
        <v/>
      </c>
    </row>
    <row r="6577" spans="5:7" ht="15" customHeight="1">
      <c r="E6577" s="49" t="str">
        <f>IFERROR(VLOOKUP(D6577,'taxonomy map'!$A$1:$C$107,2,FALSE),"")</f>
        <v/>
      </c>
      <c r="F6577" s="49" t="str">
        <f>IFERROR(VLOOKUP(E6577,'Condensed Specialty Crosswalk'!$A$2:$C$106,2,FALSE),"")</f>
        <v/>
      </c>
      <c r="G6577" s="49" t="str">
        <f>IFERROR(VLOOKUP(E6577,'Condensed Specialty Crosswalk'!$A$2:$C$106,3,FALSE),"")</f>
        <v/>
      </c>
    </row>
    <row r="6578" spans="5:7" ht="15" customHeight="1">
      <c r="E6578" s="49" t="str">
        <f>IFERROR(VLOOKUP(D6578,'taxonomy map'!$A$1:$C$107,2,FALSE),"")</f>
        <v/>
      </c>
      <c r="F6578" s="49" t="str">
        <f>IFERROR(VLOOKUP(E6578,'Condensed Specialty Crosswalk'!$A$2:$C$106,2,FALSE),"")</f>
        <v/>
      </c>
      <c r="G6578" s="49" t="str">
        <f>IFERROR(VLOOKUP(E6578,'Condensed Specialty Crosswalk'!$A$2:$C$106,3,FALSE),"")</f>
        <v/>
      </c>
    </row>
    <row r="6579" spans="5:7" ht="15" customHeight="1">
      <c r="E6579" s="49" t="str">
        <f>IFERROR(VLOOKUP(D6579,'taxonomy map'!$A$1:$C$107,2,FALSE),"")</f>
        <v/>
      </c>
      <c r="F6579" s="49" t="str">
        <f>IFERROR(VLOOKUP(E6579,'Condensed Specialty Crosswalk'!$A$2:$C$106,2,FALSE),"")</f>
        <v/>
      </c>
      <c r="G6579" s="49" t="str">
        <f>IFERROR(VLOOKUP(E6579,'Condensed Specialty Crosswalk'!$A$2:$C$106,3,FALSE),"")</f>
        <v/>
      </c>
    </row>
    <row r="6580" spans="5:7" ht="15" customHeight="1">
      <c r="E6580" s="49" t="str">
        <f>IFERROR(VLOOKUP(D6580,'taxonomy map'!$A$1:$C$107,2,FALSE),"")</f>
        <v/>
      </c>
      <c r="F6580" s="49" t="str">
        <f>IFERROR(VLOOKUP(E6580,'Condensed Specialty Crosswalk'!$A$2:$C$106,2,FALSE),"")</f>
        <v/>
      </c>
      <c r="G6580" s="49" t="str">
        <f>IFERROR(VLOOKUP(E6580,'Condensed Specialty Crosswalk'!$A$2:$C$106,3,FALSE),"")</f>
        <v/>
      </c>
    </row>
    <row r="6581" spans="5:7" ht="15" customHeight="1">
      <c r="E6581" s="49" t="str">
        <f>IFERROR(VLOOKUP(D6581,'taxonomy map'!$A$1:$C$107,2,FALSE),"")</f>
        <v/>
      </c>
      <c r="F6581" s="49" t="str">
        <f>IFERROR(VLOOKUP(E6581,'Condensed Specialty Crosswalk'!$A$2:$C$106,2,FALSE),"")</f>
        <v/>
      </c>
      <c r="G6581" s="49" t="str">
        <f>IFERROR(VLOOKUP(E6581,'Condensed Specialty Crosswalk'!$A$2:$C$106,3,FALSE),"")</f>
        <v/>
      </c>
    </row>
    <row r="6582" spans="5:7" ht="15" customHeight="1">
      <c r="E6582" s="49" t="str">
        <f>IFERROR(VLOOKUP(D6582,'taxonomy map'!$A$1:$C$107,2,FALSE),"")</f>
        <v/>
      </c>
      <c r="F6582" s="49" t="str">
        <f>IFERROR(VLOOKUP(E6582,'Condensed Specialty Crosswalk'!$A$2:$C$106,2,FALSE),"")</f>
        <v/>
      </c>
      <c r="G6582" s="49" t="str">
        <f>IFERROR(VLOOKUP(E6582,'Condensed Specialty Crosswalk'!$A$2:$C$106,3,FALSE),"")</f>
        <v/>
      </c>
    </row>
    <row r="6583" spans="5:7" ht="15" customHeight="1">
      <c r="E6583" s="49" t="str">
        <f>IFERROR(VLOOKUP(D6583,'taxonomy map'!$A$1:$C$107,2,FALSE),"")</f>
        <v/>
      </c>
      <c r="F6583" s="49" t="str">
        <f>IFERROR(VLOOKUP(E6583,'Condensed Specialty Crosswalk'!$A$2:$C$106,2,FALSE),"")</f>
        <v/>
      </c>
      <c r="G6583" s="49" t="str">
        <f>IFERROR(VLOOKUP(E6583,'Condensed Specialty Crosswalk'!$A$2:$C$106,3,FALSE),"")</f>
        <v/>
      </c>
    </row>
    <row r="6584" spans="5:7" ht="15" customHeight="1">
      <c r="E6584" s="49" t="str">
        <f>IFERROR(VLOOKUP(D6584,'taxonomy map'!$A$1:$C$107,2,FALSE),"")</f>
        <v/>
      </c>
      <c r="F6584" s="49" t="str">
        <f>IFERROR(VLOOKUP(E6584,'Condensed Specialty Crosswalk'!$A$2:$C$106,2,FALSE),"")</f>
        <v/>
      </c>
      <c r="G6584" s="49" t="str">
        <f>IFERROR(VLOOKUP(E6584,'Condensed Specialty Crosswalk'!$A$2:$C$106,3,FALSE),"")</f>
        <v/>
      </c>
    </row>
    <row r="6585" spans="5:7" ht="15" customHeight="1">
      <c r="E6585" s="49" t="str">
        <f>IFERROR(VLOOKUP(D6585,'taxonomy map'!$A$1:$C$107,2,FALSE),"")</f>
        <v/>
      </c>
      <c r="F6585" s="49" t="str">
        <f>IFERROR(VLOOKUP(E6585,'Condensed Specialty Crosswalk'!$A$2:$C$106,2,FALSE),"")</f>
        <v/>
      </c>
      <c r="G6585" s="49" t="str">
        <f>IFERROR(VLOOKUP(E6585,'Condensed Specialty Crosswalk'!$A$2:$C$106,3,FALSE),"")</f>
        <v/>
      </c>
    </row>
    <row r="6586" spans="5:7" ht="15" customHeight="1">
      <c r="E6586" s="49" t="str">
        <f>IFERROR(VLOOKUP(D6586,'taxonomy map'!$A$1:$C$107,2,FALSE),"")</f>
        <v/>
      </c>
      <c r="F6586" s="49" t="str">
        <f>IFERROR(VLOOKUP(E6586,'Condensed Specialty Crosswalk'!$A$2:$C$106,2,FALSE),"")</f>
        <v/>
      </c>
      <c r="G6586" s="49" t="str">
        <f>IFERROR(VLOOKUP(E6586,'Condensed Specialty Crosswalk'!$A$2:$C$106,3,FALSE),"")</f>
        <v/>
      </c>
    </row>
    <row r="6587" spans="5:7" ht="15" customHeight="1">
      <c r="E6587" s="49" t="str">
        <f>IFERROR(VLOOKUP(D6587,'taxonomy map'!$A$1:$C$107,2,FALSE),"")</f>
        <v/>
      </c>
      <c r="F6587" s="49" t="str">
        <f>IFERROR(VLOOKUP(E6587,'Condensed Specialty Crosswalk'!$A$2:$C$106,2,FALSE),"")</f>
        <v/>
      </c>
      <c r="G6587" s="49" t="str">
        <f>IFERROR(VLOOKUP(E6587,'Condensed Specialty Crosswalk'!$A$2:$C$106,3,FALSE),"")</f>
        <v/>
      </c>
    </row>
    <row r="6588" spans="5:7" ht="15" customHeight="1">
      <c r="E6588" s="49" t="str">
        <f>IFERROR(VLOOKUP(D6588,'taxonomy map'!$A$1:$C$107,2,FALSE),"")</f>
        <v/>
      </c>
      <c r="F6588" s="49" t="str">
        <f>IFERROR(VLOOKUP(E6588,'Condensed Specialty Crosswalk'!$A$2:$C$106,2,FALSE),"")</f>
        <v/>
      </c>
      <c r="G6588" s="49" t="str">
        <f>IFERROR(VLOOKUP(E6588,'Condensed Specialty Crosswalk'!$A$2:$C$106,3,FALSE),"")</f>
        <v/>
      </c>
    </row>
    <row r="6589" spans="5:7" ht="15" customHeight="1">
      <c r="E6589" s="49" t="str">
        <f>IFERROR(VLOOKUP(D6589,'taxonomy map'!$A$1:$C$107,2,FALSE),"")</f>
        <v/>
      </c>
      <c r="F6589" s="49" t="str">
        <f>IFERROR(VLOOKUP(E6589,'Condensed Specialty Crosswalk'!$A$2:$C$106,2,FALSE),"")</f>
        <v/>
      </c>
      <c r="G6589" s="49" t="str">
        <f>IFERROR(VLOOKUP(E6589,'Condensed Specialty Crosswalk'!$A$2:$C$106,3,FALSE),"")</f>
        <v/>
      </c>
    </row>
    <row r="6590" spans="5:7" ht="15" customHeight="1">
      <c r="E6590" s="49" t="str">
        <f>IFERROR(VLOOKUP(D6590,'taxonomy map'!$A$1:$C$107,2,FALSE),"")</f>
        <v/>
      </c>
      <c r="F6590" s="49" t="str">
        <f>IFERROR(VLOOKUP(E6590,'Condensed Specialty Crosswalk'!$A$2:$C$106,2,FALSE),"")</f>
        <v/>
      </c>
      <c r="G6590" s="49" t="str">
        <f>IFERROR(VLOOKUP(E6590,'Condensed Specialty Crosswalk'!$A$2:$C$106,3,FALSE),"")</f>
        <v/>
      </c>
    </row>
    <row r="6591" spans="5:7" ht="15" customHeight="1">
      <c r="E6591" s="49" t="str">
        <f>IFERROR(VLOOKUP(D6591,'taxonomy map'!$A$1:$C$107,2,FALSE),"")</f>
        <v/>
      </c>
      <c r="F6591" s="49" t="str">
        <f>IFERROR(VLOOKUP(E6591,'Condensed Specialty Crosswalk'!$A$2:$C$106,2,FALSE),"")</f>
        <v/>
      </c>
      <c r="G6591" s="49" t="str">
        <f>IFERROR(VLOOKUP(E6591,'Condensed Specialty Crosswalk'!$A$2:$C$106,3,FALSE),"")</f>
        <v/>
      </c>
    </row>
    <row r="6592" spans="5:7" ht="15" customHeight="1">
      <c r="E6592" s="49" t="str">
        <f>IFERROR(VLOOKUP(D6592,'taxonomy map'!$A$1:$C$107,2,FALSE),"")</f>
        <v/>
      </c>
      <c r="F6592" s="49" t="str">
        <f>IFERROR(VLOOKUP(E6592,'Condensed Specialty Crosswalk'!$A$2:$C$106,2,FALSE),"")</f>
        <v/>
      </c>
      <c r="G6592" s="49" t="str">
        <f>IFERROR(VLOOKUP(E6592,'Condensed Specialty Crosswalk'!$A$2:$C$106,3,FALSE),"")</f>
        <v/>
      </c>
    </row>
    <row r="6593" spans="5:7" ht="15" customHeight="1">
      <c r="E6593" s="49" t="str">
        <f>IFERROR(VLOOKUP(D6593,'taxonomy map'!$A$1:$C$107,2,FALSE),"")</f>
        <v/>
      </c>
      <c r="F6593" s="49" t="str">
        <f>IFERROR(VLOOKUP(E6593,'Condensed Specialty Crosswalk'!$A$2:$C$106,2,FALSE),"")</f>
        <v/>
      </c>
      <c r="G6593" s="49" t="str">
        <f>IFERROR(VLOOKUP(E6593,'Condensed Specialty Crosswalk'!$A$2:$C$106,3,FALSE),"")</f>
        <v/>
      </c>
    </row>
    <row r="6594" spans="5:7" ht="15" customHeight="1">
      <c r="E6594" s="49" t="str">
        <f>IFERROR(VLOOKUP(D6594,'taxonomy map'!$A$1:$C$107,2,FALSE),"")</f>
        <v/>
      </c>
      <c r="F6594" s="49" t="str">
        <f>IFERROR(VLOOKUP(E6594,'Condensed Specialty Crosswalk'!$A$2:$C$106,2,FALSE),"")</f>
        <v/>
      </c>
      <c r="G6594" s="49" t="str">
        <f>IFERROR(VLOOKUP(E6594,'Condensed Specialty Crosswalk'!$A$2:$C$106,3,FALSE),"")</f>
        <v/>
      </c>
    </row>
    <row r="6595" spans="5:7" ht="15" customHeight="1">
      <c r="E6595" s="49" t="str">
        <f>IFERROR(VLOOKUP(D6595,'taxonomy map'!$A$1:$C$107,2,FALSE),"")</f>
        <v/>
      </c>
      <c r="F6595" s="49" t="str">
        <f>IFERROR(VLOOKUP(E6595,'Condensed Specialty Crosswalk'!$A$2:$C$106,2,FALSE),"")</f>
        <v/>
      </c>
      <c r="G6595" s="49" t="str">
        <f>IFERROR(VLOOKUP(E6595,'Condensed Specialty Crosswalk'!$A$2:$C$106,3,FALSE),"")</f>
        <v/>
      </c>
    </row>
    <row r="6596" spans="5:7" ht="15" customHeight="1">
      <c r="E6596" s="49" t="str">
        <f>IFERROR(VLOOKUP(D6596,'taxonomy map'!$A$1:$C$107,2,FALSE),"")</f>
        <v/>
      </c>
      <c r="F6596" s="49" t="str">
        <f>IFERROR(VLOOKUP(E6596,'Condensed Specialty Crosswalk'!$A$2:$C$106,2,FALSE),"")</f>
        <v/>
      </c>
      <c r="G6596" s="49" t="str">
        <f>IFERROR(VLOOKUP(E6596,'Condensed Specialty Crosswalk'!$A$2:$C$106,3,FALSE),"")</f>
        <v/>
      </c>
    </row>
    <row r="6597" spans="5:7" ht="15" customHeight="1">
      <c r="E6597" s="49" t="str">
        <f>IFERROR(VLOOKUP(D6597,'taxonomy map'!$A$1:$C$107,2,FALSE),"")</f>
        <v/>
      </c>
      <c r="F6597" s="49" t="str">
        <f>IFERROR(VLOOKUP(E6597,'Condensed Specialty Crosswalk'!$A$2:$C$106,2,FALSE),"")</f>
        <v/>
      </c>
      <c r="G6597" s="49" t="str">
        <f>IFERROR(VLOOKUP(E6597,'Condensed Specialty Crosswalk'!$A$2:$C$106,3,FALSE),"")</f>
        <v/>
      </c>
    </row>
    <row r="6598" spans="5:7" ht="15" customHeight="1">
      <c r="E6598" s="49" t="str">
        <f>IFERROR(VLOOKUP(D6598,'taxonomy map'!$A$1:$C$107,2,FALSE),"")</f>
        <v/>
      </c>
      <c r="F6598" s="49" t="str">
        <f>IFERROR(VLOOKUP(E6598,'Condensed Specialty Crosswalk'!$A$2:$C$106,2,FALSE),"")</f>
        <v/>
      </c>
      <c r="G6598" s="49" t="str">
        <f>IFERROR(VLOOKUP(E6598,'Condensed Specialty Crosswalk'!$A$2:$C$106,3,FALSE),"")</f>
        <v/>
      </c>
    </row>
    <row r="6599" spans="5:7" ht="15" customHeight="1">
      <c r="E6599" s="49" t="str">
        <f>IFERROR(VLOOKUP(D6599,'taxonomy map'!$A$1:$C$107,2,FALSE),"")</f>
        <v/>
      </c>
      <c r="F6599" s="49" t="str">
        <f>IFERROR(VLOOKUP(E6599,'Condensed Specialty Crosswalk'!$A$2:$C$106,2,FALSE),"")</f>
        <v/>
      </c>
      <c r="G6599" s="49" t="str">
        <f>IFERROR(VLOOKUP(E6599,'Condensed Specialty Crosswalk'!$A$2:$C$106,3,FALSE),"")</f>
        <v/>
      </c>
    </row>
    <row r="6600" spans="5:7" ht="15" customHeight="1">
      <c r="E6600" s="49" t="str">
        <f>IFERROR(VLOOKUP(D6600,'taxonomy map'!$A$1:$C$107,2,FALSE),"")</f>
        <v/>
      </c>
      <c r="F6600" s="49" t="str">
        <f>IFERROR(VLOOKUP(E6600,'Condensed Specialty Crosswalk'!$A$2:$C$106,2,FALSE),"")</f>
        <v/>
      </c>
      <c r="G6600" s="49" t="str">
        <f>IFERROR(VLOOKUP(E6600,'Condensed Specialty Crosswalk'!$A$2:$C$106,3,FALSE),"")</f>
        <v/>
      </c>
    </row>
    <row r="6601" spans="5:7" ht="15" customHeight="1">
      <c r="E6601" s="49" t="str">
        <f>IFERROR(VLOOKUP(D6601,'taxonomy map'!$A$1:$C$107,2,FALSE),"")</f>
        <v/>
      </c>
      <c r="F6601" s="49" t="str">
        <f>IFERROR(VLOOKUP(E6601,'Condensed Specialty Crosswalk'!$A$2:$C$106,2,FALSE),"")</f>
        <v/>
      </c>
      <c r="G6601" s="49" t="str">
        <f>IFERROR(VLOOKUP(E6601,'Condensed Specialty Crosswalk'!$A$2:$C$106,3,FALSE),"")</f>
        <v/>
      </c>
    </row>
    <row r="6602" spans="5:7" ht="15" customHeight="1">
      <c r="E6602" s="49" t="str">
        <f>IFERROR(VLOOKUP(D6602,'taxonomy map'!$A$1:$C$107,2,FALSE),"")</f>
        <v/>
      </c>
      <c r="F6602" s="49" t="str">
        <f>IFERROR(VLOOKUP(E6602,'Condensed Specialty Crosswalk'!$A$2:$C$106,2,FALSE),"")</f>
        <v/>
      </c>
      <c r="G6602" s="49" t="str">
        <f>IFERROR(VLOOKUP(E6602,'Condensed Specialty Crosswalk'!$A$2:$C$106,3,FALSE),"")</f>
        <v/>
      </c>
    </row>
    <row r="6603" spans="5:7" ht="15" customHeight="1">
      <c r="E6603" s="49" t="str">
        <f>IFERROR(VLOOKUP(D6603,'taxonomy map'!$A$1:$C$107,2,FALSE),"")</f>
        <v/>
      </c>
      <c r="F6603" s="49" t="str">
        <f>IFERROR(VLOOKUP(E6603,'Condensed Specialty Crosswalk'!$A$2:$C$106,2,FALSE),"")</f>
        <v/>
      </c>
      <c r="G6603" s="49" t="str">
        <f>IFERROR(VLOOKUP(E6603,'Condensed Specialty Crosswalk'!$A$2:$C$106,3,FALSE),"")</f>
        <v/>
      </c>
    </row>
    <row r="6604" spans="5:7" ht="15" customHeight="1">
      <c r="E6604" s="49" t="str">
        <f>IFERROR(VLOOKUP(D6604,'taxonomy map'!$A$1:$C$107,2,FALSE),"")</f>
        <v/>
      </c>
      <c r="F6604" s="49" t="str">
        <f>IFERROR(VLOOKUP(E6604,'Condensed Specialty Crosswalk'!$A$2:$C$106,2,FALSE),"")</f>
        <v/>
      </c>
      <c r="G6604" s="49" t="str">
        <f>IFERROR(VLOOKUP(E6604,'Condensed Specialty Crosswalk'!$A$2:$C$106,3,FALSE),"")</f>
        <v/>
      </c>
    </row>
    <row r="6605" spans="5:7" ht="15" customHeight="1">
      <c r="E6605" s="49" t="str">
        <f>IFERROR(VLOOKUP(D6605,'taxonomy map'!$A$1:$C$107,2,FALSE),"")</f>
        <v/>
      </c>
      <c r="F6605" s="49" t="str">
        <f>IFERROR(VLOOKUP(E6605,'Condensed Specialty Crosswalk'!$A$2:$C$106,2,FALSE),"")</f>
        <v/>
      </c>
      <c r="G6605" s="49" t="str">
        <f>IFERROR(VLOOKUP(E6605,'Condensed Specialty Crosswalk'!$A$2:$C$106,3,FALSE),"")</f>
        <v/>
      </c>
    </row>
    <row r="6606" spans="5:7" ht="15" customHeight="1">
      <c r="E6606" s="49" t="str">
        <f>IFERROR(VLOOKUP(D6606,'taxonomy map'!$A$1:$C$107,2,FALSE),"")</f>
        <v/>
      </c>
      <c r="F6606" s="49" t="str">
        <f>IFERROR(VLOOKUP(E6606,'Condensed Specialty Crosswalk'!$A$2:$C$106,2,FALSE),"")</f>
        <v/>
      </c>
      <c r="G6606" s="49" t="str">
        <f>IFERROR(VLOOKUP(E6606,'Condensed Specialty Crosswalk'!$A$2:$C$106,3,FALSE),"")</f>
        <v/>
      </c>
    </row>
    <row r="6607" spans="5:7" ht="15" customHeight="1">
      <c r="E6607" s="49" t="str">
        <f>IFERROR(VLOOKUP(D6607,'taxonomy map'!$A$1:$C$107,2,FALSE),"")</f>
        <v/>
      </c>
      <c r="F6607" s="49" t="str">
        <f>IFERROR(VLOOKUP(E6607,'Condensed Specialty Crosswalk'!$A$2:$C$106,2,FALSE),"")</f>
        <v/>
      </c>
      <c r="G6607" s="49" t="str">
        <f>IFERROR(VLOOKUP(E6607,'Condensed Specialty Crosswalk'!$A$2:$C$106,3,FALSE),"")</f>
        <v/>
      </c>
    </row>
    <row r="6608" spans="5:7" ht="15" customHeight="1">
      <c r="E6608" s="49" t="str">
        <f>IFERROR(VLOOKUP(D6608,'taxonomy map'!$A$1:$C$107,2,FALSE),"")</f>
        <v/>
      </c>
      <c r="F6608" s="49" t="str">
        <f>IFERROR(VLOOKUP(E6608,'Condensed Specialty Crosswalk'!$A$2:$C$106,2,FALSE),"")</f>
        <v/>
      </c>
      <c r="G6608" s="49" t="str">
        <f>IFERROR(VLOOKUP(E6608,'Condensed Specialty Crosswalk'!$A$2:$C$106,3,FALSE),"")</f>
        <v/>
      </c>
    </row>
    <row r="6609" spans="5:7" ht="15" customHeight="1">
      <c r="E6609" s="49" t="str">
        <f>IFERROR(VLOOKUP(D6609,'taxonomy map'!$A$1:$C$107,2,FALSE),"")</f>
        <v/>
      </c>
      <c r="F6609" s="49" t="str">
        <f>IFERROR(VLOOKUP(E6609,'Condensed Specialty Crosswalk'!$A$2:$C$106,2,FALSE),"")</f>
        <v/>
      </c>
      <c r="G6609" s="49" t="str">
        <f>IFERROR(VLOOKUP(E6609,'Condensed Specialty Crosswalk'!$A$2:$C$106,3,FALSE),"")</f>
        <v/>
      </c>
    </row>
    <row r="6610" spans="5:7" ht="15" customHeight="1">
      <c r="E6610" s="49" t="str">
        <f>IFERROR(VLOOKUP(D6610,'taxonomy map'!$A$1:$C$107,2,FALSE),"")</f>
        <v/>
      </c>
      <c r="F6610" s="49" t="str">
        <f>IFERROR(VLOOKUP(E6610,'Condensed Specialty Crosswalk'!$A$2:$C$106,2,FALSE),"")</f>
        <v/>
      </c>
      <c r="G6610" s="49" t="str">
        <f>IFERROR(VLOOKUP(E6610,'Condensed Specialty Crosswalk'!$A$2:$C$106,3,FALSE),"")</f>
        <v/>
      </c>
    </row>
    <row r="6611" spans="5:7" ht="15" customHeight="1">
      <c r="E6611" s="49" t="str">
        <f>IFERROR(VLOOKUP(D6611,'taxonomy map'!$A$1:$C$107,2,FALSE),"")</f>
        <v/>
      </c>
      <c r="F6611" s="49" t="str">
        <f>IFERROR(VLOOKUP(E6611,'Condensed Specialty Crosswalk'!$A$2:$C$106,2,FALSE),"")</f>
        <v/>
      </c>
      <c r="G6611" s="49" t="str">
        <f>IFERROR(VLOOKUP(E6611,'Condensed Specialty Crosswalk'!$A$2:$C$106,3,FALSE),"")</f>
        <v/>
      </c>
    </row>
    <row r="6612" spans="5:7" ht="15" customHeight="1">
      <c r="E6612" s="49" t="str">
        <f>IFERROR(VLOOKUP(D6612,'taxonomy map'!$A$1:$C$107,2,FALSE),"")</f>
        <v/>
      </c>
      <c r="F6612" s="49" t="str">
        <f>IFERROR(VLOOKUP(E6612,'Condensed Specialty Crosswalk'!$A$2:$C$106,2,FALSE),"")</f>
        <v/>
      </c>
      <c r="G6612" s="49" t="str">
        <f>IFERROR(VLOOKUP(E6612,'Condensed Specialty Crosswalk'!$A$2:$C$106,3,FALSE),"")</f>
        <v/>
      </c>
    </row>
    <row r="6613" spans="5:7" ht="15" customHeight="1">
      <c r="E6613" s="49" t="str">
        <f>IFERROR(VLOOKUP(D6613,'taxonomy map'!$A$1:$C$107,2,FALSE),"")</f>
        <v/>
      </c>
      <c r="F6613" s="49" t="str">
        <f>IFERROR(VLOOKUP(E6613,'Condensed Specialty Crosswalk'!$A$2:$C$106,2,FALSE),"")</f>
        <v/>
      </c>
      <c r="G6613" s="49" t="str">
        <f>IFERROR(VLOOKUP(E6613,'Condensed Specialty Crosswalk'!$A$2:$C$106,3,FALSE),"")</f>
        <v/>
      </c>
    </row>
    <row r="6614" spans="5:7" ht="15" customHeight="1">
      <c r="E6614" s="49" t="str">
        <f>IFERROR(VLOOKUP(D6614,'taxonomy map'!$A$1:$C$107,2,FALSE),"")</f>
        <v/>
      </c>
      <c r="F6614" s="49" t="str">
        <f>IFERROR(VLOOKUP(E6614,'Condensed Specialty Crosswalk'!$A$2:$C$106,2,FALSE),"")</f>
        <v/>
      </c>
      <c r="G6614" s="49" t="str">
        <f>IFERROR(VLOOKUP(E6614,'Condensed Specialty Crosswalk'!$A$2:$C$106,3,FALSE),"")</f>
        <v/>
      </c>
    </row>
    <row r="6615" spans="5:7" ht="15" customHeight="1">
      <c r="E6615" s="49" t="str">
        <f>IFERROR(VLOOKUP(D6615,'taxonomy map'!$A$1:$C$107,2,FALSE),"")</f>
        <v/>
      </c>
      <c r="F6615" s="49" t="str">
        <f>IFERROR(VLOOKUP(E6615,'Condensed Specialty Crosswalk'!$A$2:$C$106,2,FALSE),"")</f>
        <v/>
      </c>
      <c r="G6615" s="49" t="str">
        <f>IFERROR(VLOOKUP(E6615,'Condensed Specialty Crosswalk'!$A$2:$C$106,3,FALSE),"")</f>
        <v/>
      </c>
    </row>
    <row r="6616" spans="5:7" ht="15" customHeight="1">
      <c r="E6616" s="49" t="str">
        <f>IFERROR(VLOOKUP(D6616,'taxonomy map'!$A$1:$C$107,2,FALSE),"")</f>
        <v/>
      </c>
      <c r="F6616" s="49" t="str">
        <f>IFERROR(VLOOKUP(E6616,'Condensed Specialty Crosswalk'!$A$2:$C$106,2,FALSE),"")</f>
        <v/>
      </c>
      <c r="G6616" s="49" t="str">
        <f>IFERROR(VLOOKUP(E6616,'Condensed Specialty Crosswalk'!$A$2:$C$106,3,FALSE),"")</f>
        <v/>
      </c>
    </row>
    <row r="6617" spans="5:7" ht="15" customHeight="1">
      <c r="E6617" s="49" t="str">
        <f>IFERROR(VLOOKUP(D6617,'taxonomy map'!$A$1:$C$107,2,FALSE),"")</f>
        <v/>
      </c>
      <c r="F6617" s="49" t="str">
        <f>IFERROR(VLOOKUP(E6617,'Condensed Specialty Crosswalk'!$A$2:$C$106,2,FALSE),"")</f>
        <v/>
      </c>
      <c r="G6617" s="49" t="str">
        <f>IFERROR(VLOOKUP(E6617,'Condensed Specialty Crosswalk'!$A$2:$C$106,3,FALSE),"")</f>
        <v/>
      </c>
    </row>
    <row r="6618" spans="5:7" ht="15" customHeight="1">
      <c r="E6618" s="49" t="str">
        <f>IFERROR(VLOOKUP(D6618,'taxonomy map'!$A$1:$C$107,2,FALSE),"")</f>
        <v/>
      </c>
      <c r="F6618" s="49" t="str">
        <f>IFERROR(VLOOKUP(E6618,'Condensed Specialty Crosswalk'!$A$2:$C$106,2,FALSE),"")</f>
        <v/>
      </c>
      <c r="G6618" s="49" t="str">
        <f>IFERROR(VLOOKUP(E6618,'Condensed Specialty Crosswalk'!$A$2:$C$106,3,FALSE),"")</f>
        <v/>
      </c>
    </row>
    <row r="6619" spans="5:7" ht="15" customHeight="1">
      <c r="E6619" s="49" t="str">
        <f>IFERROR(VLOOKUP(D6619,'taxonomy map'!$A$1:$C$107,2,FALSE),"")</f>
        <v/>
      </c>
      <c r="F6619" s="49" t="str">
        <f>IFERROR(VLOOKUP(E6619,'Condensed Specialty Crosswalk'!$A$2:$C$106,2,FALSE),"")</f>
        <v/>
      </c>
      <c r="G6619" s="49" t="str">
        <f>IFERROR(VLOOKUP(E6619,'Condensed Specialty Crosswalk'!$A$2:$C$106,3,FALSE),"")</f>
        <v/>
      </c>
    </row>
    <row r="6620" spans="5:7" ht="15" customHeight="1">
      <c r="E6620" s="49" t="str">
        <f>IFERROR(VLOOKUP(D6620,'taxonomy map'!$A$1:$C$107,2,FALSE),"")</f>
        <v/>
      </c>
      <c r="F6620" s="49" t="str">
        <f>IFERROR(VLOOKUP(E6620,'Condensed Specialty Crosswalk'!$A$2:$C$106,2,FALSE),"")</f>
        <v/>
      </c>
      <c r="G6620" s="49" t="str">
        <f>IFERROR(VLOOKUP(E6620,'Condensed Specialty Crosswalk'!$A$2:$C$106,3,FALSE),"")</f>
        <v/>
      </c>
    </row>
    <row r="6621" spans="5:7" ht="15" customHeight="1">
      <c r="E6621" s="49" t="str">
        <f>IFERROR(VLOOKUP(D6621,'taxonomy map'!$A$1:$C$107,2,FALSE),"")</f>
        <v/>
      </c>
      <c r="F6621" s="49" t="str">
        <f>IFERROR(VLOOKUP(E6621,'Condensed Specialty Crosswalk'!$A$2:$C$106,2,FALSE),"")</f>
        <v/>
      </c>
      <c r="G6621" s="49" t="str">
        <f>IFERROR(VLOOKUP(E6621,'Condensed Specialty Crosswalk'!$A$2:$C$106,3,FALSE),"")</f>
        <v/>
      </c>
    </row>
    <row r="6622" spans="5:7" ht="15" customHeight="1">
      <c r="E6622" s="49" t="str">
        <f>IFERROR(VLOOKUP(D6622,'taxonomy map'!$A$1:$C$107,2,FALSE),"")</f>
        <v/>
      </c>
      <c r="F6622" s="49" t="str">
        <f>IFERROR(VLOOKUP(E6622,'Condensed Specialty Crosswalk'!$A$2:$C$106,2,FALSE),"")</f>
        <v/>
      </c>
      <c r="G6622" s="49" t="str">
        <f>IFERROR(VLOOKUP(E6622,'Condensed Specialty Crosswalk'!$A$2:$C$106,3,FALSE),"")</f>
        <v/>
      </c>
    </row>
    <row r="6623" spans="5:7" ht="15" customHeight="1">
      <c r="E6623" s="49" t="str">
        <f>IFERROR(VLOOKUP(D6623,'taxonomy map'!$A$1:$C$107,2,FALSE),"")</f>
        <v/>
      </c>
      <c r="F6623" s="49" t="str">
        <f>IFERROR(VLOOKUP(E6623,'Condensed Specialty Crosswalk'!$A$2:$C$106,2,FALSE),"")</f>
        <v/>
      </c>
      <c r="G6623" s="49" t="str">
        <f>IFERROR(VLOOKUP(E6623,'Condensed Specialty Crosswalk'!$A$2:$C$106,3,FALSE),"")</f>
        <v/>
      </c>
    </row>
    <row r="6624" spans="5:7" ht="15" customHeight="1">
      <c r="E6624" s="49" t="str">
        <f>IFERROR(VLOOKUP(D6624,'taxonomy map'!$A$1:$C$107,2,FALSE),"")</f>
        <v/>
      </c>
      <c r="F6624" s="49" t="str">
        <f>IFERROR(VLOOKUP(E6624,'Condensed Specialty Crosswalk'!$A$2:$C$106,2,FALSE),"")</f>
        <v/>
      </c>
      <c r="G6624" s="49" t="str">
        <f>IFERROR(VLOOKUP(E6624,'Condensed Specialty Crosswalk'!$A$2:$C$106,3,FALSE),"")</f>
        <v/>
      </c>
    </row>
    <row r="6625" spans="5:7" ht="15" customHeight="1">
      <c r="E6625" s="49" t="str">
        <f>IFERROR(VLOOKUP(D6625,'taxonomy map'!$A$1:$C$107,2,FALSE),"")</f>
        <v/>
      </c>
      <c r="F6625" s="49" t="str">
        <f>IFERROR(VLOOKUP(E6625,'Condensed Specialty Crosswalk'!$A$2:$C$106,2,FALSE),"")</f>
        <v/>
      </c>
      <c r="G6625" s="49" t="str">
        <f>IFERROR(VLOOKUP(E6625,'Condensed Specialty Crosswalk'!$A$2:$C$106,3,FALSE),"")</f>
        <v/>
      </c>
    </row>
    <row r="6626" spans="5:7" ht="15" customHeight="1">
      <c r="E6626" s="49" t="str">
        <f>IFERROR(VLOOKUP(D6626,'taxonomy map'!$A$1:$C$107,2,FALSE),"")</f>
        <v/>
      </c>
      <c r="F6626" s="49" t="str">
        <f>IFERROR(VLOOKUP(E6626,'Condensed Specialty Crosswalk'!$A$2:$C$106,2,FALSE),"")</f>
        <v/>
      </c>
      <c r="G6626" s="49" t="str">
        <f>IFERROR(VLOOKUP(E6626,'Condensed Specialty Crosswalk'!$A$2:$C$106,3,FALSE),"")</f>
        <v/>
      </c>
    </row>
    <row r="6627" spans="5:7" ht="15" customHeight="1">
      <c r="E6627" s="49" t="str">
        <f>IFERROR(VLOOKUP(D6627,'taxonomy map'!$A$1:$C$107,2,FALSE),"")</f>
        <v/>
      </c>
      <c r="F6627" s="49" t="str">
        <f>IFERROR(VLOOKUP(E6627,'Condensed Specialty Crosswalk'!$A$2:$C$106,2,FALSE),"")</f>
        <v/>
      </c>
      <c r="G6627" s="49" t="str">
        <f>IFERROR(VLOOKUP(E6627,'Condensed Specialty Crosswalk'!$A$2:$C$106,3,FALSE),"")</f>
        <v/>
      </c>
    </row>
    <row r="6628" spans="5:7" ht="15" customHeight="1">
      <c r="E6628" s="49" t="str">
        <f>IFERROR(VLOOKUP(D6628,'taxonomy map'!$A$1:$C$107,2,FALSE),"")</f>
        <v/>
      </c>
      <c r="F6628" s="49" t="str">
        <f>IFERROR(VLOOKUP(E6628,'Condensed Specialty Crosswalk'!$A$2:$C$106,2,FALSE),"")</f>
        <v/>
      </c>
      <c r="G6628" s="49" t="str">
        <f>IFERROR(VLOOKUP(E6628,'Condensed Specialty Crosswalk'!$A$2:$C$106,3,FALSE),"")</f>
        <v/>
      </c>
    </row>
    <row r="6629" spans="5:7" ht="15" customHeight="1">
      <c r="E6629" s="49" t="str">
        <f>IFERROR(VLOOKUP(D6629,'taxonomy map'!$A$1:$C$107,2,FALSE),"")</f>
        <v/>
      </c>
      <c r="F6629" s="49" t="str">
        <f>IFERROR(VLOOKUP(E6629,'Condensed Specialty Crosswalk'!$A$2:$C$106,2,FALSE),"")</f>
        <v/>
      </c>
      <c r="G6629" s="49" t="str">
        <f>IFERROR(VLOOKUP(E6629,'Condensed Specialty Crosswalk'!$A$2:$C$106,3,FALSE),"")</f>
        <v/>
      </c>
    </row>
    <row r="6630" spans="5:7" ht="15" customHeight="1">
      <c r="E6630" s="49" t="str">
        <f>IFERROR(VLOOKUP(D6630,'taxonomy map'!$A$1:$C$107,2,FALSE),"")</f>
        <v/>
      </c>
      <c r="F6630" s="49" t="str">
        <f>IFERROR(VLOOKUP(E6630,'Condensed Specialty Crosswalk'!$A$2:$C$106,2,FALSE),"")</f>
        <v/>
      </c>
      <c r="G6630" s="49" t="str">
        <f>IFERROR(VLOOKUP(E6630,'Condensed Specialty Crosswalk'!$A$2:$C$106,3,FALSE),"")</f>
        <v/>
      </c>
    </row>
    <row r="6631" spans="5:7" ht="15" customHeight="1">
      <c r="E6631" s="49" t="str">
        <f>IFERROR(VLOOKUP(D6631,'taxonomy map'!$A$1:$C$107,2,FALSE),"")</f>
        <v/>
      </c>
      <c r="F6631" s="49" t="str">
        <f>IFERROR(VLOOKUP(E6631,'Condensed Specialty Crosswalk'!$A$2:$C$106,2,FALSE),"")</f>
        <v/>
      </c>
      <c r="G6631" s="49" t="str">
        <f>IFERROR(VLOOKUP(E6631,'Condensed Specialty Crosswalk'!$A$2:$C$106,3,FALSE),"")</f>
        <v/>
      </c>
    </row>
    <row r="6632" spans="5:7" ht="15" customHeight="1">
      <c r="E6632" s="49" t="str">
        <f>IFERROR(VLOOKUP(D6632,'taxonomy map'!$A$1:$C$107,2,FALSE),"")</f>
        <v/>
      </c>
      <c r="F6632" s="49" t="str">
        <f>IFERROR(VLOOKUP(E6632,'Condensed Specialty Crosswalk'!$A$2:$C$106,2,FALSE),"")</f>
        <v/>
      </c>
      <c r="G6632" s="49" t="str">
        <f>IFERROR(VLOOKUP(E6632,'Condensed Specialty Crosswalk'!$A$2:$C$106,3,FALSE),"")</f>
        <v/>
      </c>
    </row>
    <row r="6633" spans="5:7" ht="15" customHeight="1">
      <c r="E6633" s="49" t="str">
        <f>IFERROR(VLOOKUP(D6633,'taxonomy map'!$A$1:$C$107,2,FALSE),"")</f>
        <v/>
      </c>
      <c r="F6633" s="49" t="str">
        <f>IFERROR(VLOOKUP(E6633,'Condensed Specialty Crosswalk'!$A$2:$C$106,2,FALSE),"")</f>
        <v/>
      </c>
      <c r="G6633" s="49" t="str">
        <f>IFERROR(VLOOKUP(E6633,'Condensed Specialty Crosswalk'!$A$2:$C$106,3,FALSE),"")</f>
        <v/>
      </c>
    </row>
    <row r="6634" spans="5:7" ht="15" customHeight="1">
      <c r="E6634" s="49" t="str">
        <f>IFERROR(VLOOKUP(D6634,'taxonomy map'!$A$1:$C$107,2,FALSE),"")</f>
        <v/>
      </c>
      <c r="F6634" s="49" t="str">
        <f>IFERROR(VLOOKUP(E6634,'Condensed Specialty Crosswalk'!$A$2:$C$106,2,FALSE),"")</f>
        <v/>
      </c>
      <c r="G6634" s="49" t="str">
        <f>IFERROR(VLOOKUP(E6634,'Condensed Specialty Crosswalk'!$A$2:$C$106,3,FALSE),"")</f>
        <v/>
      </c>
    </row>
    <row r="6635" spans="5:7" ht="15" customHeight="1">
      <c r="E6635" s="49" t="str">
        <f>IFERROR(VLOOKUP(D6635,'taxonomy map'!$A$1:$C$107,2,FALSE),"")</f>
        <v/>
      </c>
      <c r="F6635" s="49" t="str">
        <f>IFERROR(VLOOKUP(E6635,'Condensed Specialty Crosswalk'!$A$2:$C$106,2,FALSE),"")</f>
        <v/>
      </c>
      <c r="G6635" s="49" t="str">
        <f>IFERROR(VLOOKUP(E6635,'Condensed Specialty Crosswalk'!$A$2:$C$106,3,FALSE),"")</f>
        <v/>
      </c>
    </row>
    <row r="6636" spans="5:7" ht="15" customHeight="1">
      <c r="E6636" s="49" t="str">
        <f>IFERROR(VLOOKUP(D6636,'taxonomy map'!$A$1:$C$107,2,FALSE),"")</f>
        <v/>
      </c>
      <c r="F6636" s="49" t="str">
        <f>IFERROR(VLOOKUP(E6636,'Condensed Specialty Crosswalk'!$A$2:$C$106,2,FALSE),"")</f>
        <v/>
      </c>
      <c r="G6636" s="49" t="str">
        <f>IFERROR(VLOOKUP(E6636,'Condensed Specialty Crosswalk'!$A$2:$C$106,3,FALSE),"")</f>
        <v/>
      </c>
    </row>
    <row r="6637" spans="5:7" ht="15" customHeight="1">
      <c r="E6637" s="49" t="str">
        <f>IFERROR(VLOOKUP(D6637,'taxonomy map'!$A$1:$C$107,2,FALSE),"")</f>
        <v/>
      </c>
      <c r="F6637" s="49" t="str">
        <f>IFERROR(VLOOKUP(E6637,'Condensed Specialty Crosswalk'!$A$2:$C$106,2,FALSE),"")</f>
        <v/>
      </c>
      <c r="G6637" s="49" t="str">
        <f>IFERROR(VLOOKUP(E6637,'Condensed Specialty Crosswalk'!$A$2:$C$106,3,FALSE),"")</f>
        <v/>
      </c>
    </row>
    <row r="6638" spans="5:7" ht="15" customHeight="1">
      <c r="E6638" s="49" t="str">
        <f>IFERROR(VLOOKUP(D6638,'taxonomy map'!$A$1:$C$107,2,FALSE),"")</f>
        <v/>
      </c>
      <c r="F6638" s="49" t="str">
        <f>IFERROR(VLOOKUP(E6638,'Condensed Specialty Crosswalk'!$A$2:$C$106,2,FALSE),"")</f>
        <v/>
      </c>
      <c r="G6638" s="49" t="str">
        <f>IFERROR(VLOOKUP(E6638,'Condensed Specialty Crosswalk'!$A$2:$C$106,3,FALSE),"")</f>
        <v/>
      </c>
    </row>
    <row r="6639" spans="5:7" ht="15" customHeight="1">
      <c r="E6639" s="49" t="str">
        <f>IFERROR(VLOOKUP(D6639,'taxonomy map'!$A$1:$C$107,2,FALSE),"")</f>
        <v/>
      </c>
      <c r="F6639" s="49" t="str">
        <f>IFERROR(VLOOKUP(E6639,'Condensed Specialty Crosswalk'!$A$2:$C$106,2,FALSE),"")</f>
        <v/>
      </c>
      <c r="G6639" s="49" t="str">
        <f>IFERROR(VLOOKUP(E6639,'Condensed Specialty Crosswalk'!$A$2:$C$106,3,FALSE),"")</f>
        <v/>
      </c>
    </row>
    <row r="6640" spans="5:7" ht="15" customHeight="1">
      <c r="E6640" s="49" t="str">
        <f>IFERROR(VLOOKUP(D6640,'taxonomy map'!$A$1:$C$107,2,FALSE),"")</f>
        <v/>
      </c>
      <c r="F6640" s="49" t="str">
        <f>IFERROR(VLOOKUP(E6640,'Condensed Specialty Crosswalk'!$A$2:$C$106,2,FALSE),"")</f>
        <v/>
      </c>
      <c r="G6640" s="49" t="str">
        <f>IFERROR(VLOOKUP(E6640,'Condensed Specialty Crosswalk'!$A$2:$C$106,3,FALSE),"")</f>
        <v/>
      </c>
    </row>
    <row r="6641" spans="5:7" ht="15" customHeight="1">
      <c r="E6641" s="49" t="str">
        <f>IFERROR(VLOOKUP(D6641,'taxonomy map'!$A$1:$C$107,2,FALSE),"")</f>
        <v/>
      </c>
      <c r="F6641" s="49" t="str">
        <f>IFERROR(VLOOKUP(E6641,'Condensed Specialty Crosswalk'!$A$2:$C$106,2,FALSE),"")</f>
        <v/>
      </c>
      <c r="G6641" s="49" t="str">
        <f>IFERROR(VLOOKUP(E6641,'Condensed Specialty Crosswalk'!$A$2:$C$106,3,FALSE),"")</f>
        <v/>
      </c>
    </row>
    <row r="6642" spans="5:7" ht="15" customHeight="1">
      <c r="E6642" s="49" t="str">
        <f>IFERROR(VLOOKUP(D6642,'taxonomy map'!$A$1:$C$107,2,FALSE),"")</f>
        <v/>
      </c>
      <c r="F6642" s="49" t="str">
        <f>IFERROR(VLOOKUP(E6642,'Condensed Specialty Crosswalk'!$A$2:$C$106,2,FALSE),"")</f>
        <v/>
      </c>
      <c r="G6642" s="49" t="str">
        <f>IFERROR(VLOOKUP(E6642,'Condensed Specialty Crosswalk'!$A$2:$C$106,3,FALSE),"")</f>
        <v/>
      </c>
    </row>
    <row r="6643" spans="5:7" ht="15" customHeight="1">
      <c r="E6643" s="49" t="str">
        <f>IFERROR(VLOOKUP(D6643,'taxonomy map'!$A$1:$C$107,2,FALSE),"")</f>
        <v/>
      </c>
      <c r="F6643" s="49" t="str">
        <f>IFERROR(VLOOKUP(E6643,'Condensed Specialty Crosswalk'!$A$2:$C$106,2,FALSE),"")</f>
        <v/>
      </c>
      <c r="G6643" s="49" t="str">
        <f>IFERROR(VLOOKUP(E6643,'Condensed Specialty Crosswalk'!$A$2:$C$106,3,FALSE),"")</f>
        <v/>
      </c>
    </row>
    <row r="6644" spans="5:7" ht="15" customHeight="1">
      <c r="E6644" s="49" t="str">
        <f>IFERROR(VLOOKUP(D6644,'taxonomy map'!$A$1:$C$107,2,FALSE),"")</f>
        <v/>
      </c>
      <c r="F6644" s="49" t="str">
        <f>IFERROR(VLOOKUP(E6644,'Condensed Specialty Crosswalk'!$A$2:$C$106,2,FALSE),"")</f>
        <v/>
      </c>
      <c r="G6644" s="49" t="str">
        <f>IFERROR(VLOOKUP(E6644,'Condensed Specialty Crosswalk'!$A$2:$C$106,3,FALSE),"")</f>
        <v/>
      </c>
    </row>
    <row r="6645" spans="5:7" ht="15" customHeight="1">
      <c r="E6645" s="49" t="str">
        <f>IFERROR(VLOOKUP(D6645,'taxonomy map'!$A$1:$C$107,2,FALSE),"")</f>
        <v/>
      </c>
      <c r="F6645" s="49" t="str">
        <f>IFERROR(VLOOKUP(E6645,'Condensed Specialty Crosswalk'!$A$2:$C$106,2,FALSE),"")</f>
        <v/>
      </c>
      <c r="G6645" s="49" t="str">
        <f>IFERROR(VLOOKUP(E6645,'Condensed Specialty Crosswalk'!$A$2:$C$106,3,FALSE),"")</f>
        <v/>
      </c>
    </row>
    <row r="6646" spans="5:7" ht="15" customHeight="1">
      <c r="E6646" s="49" t="str">
        <f>IFERROR(VLOOKUP(D6646,'taxonomy map'!$A$1:$C$107,2,FALSE),"")</f>
        <v/>
      </c>
      <c r="F6646" s="49" t="str">
        <f>IFERROR(VLOOKUP(E6646,'Condensed Specialty Crosswalk'!$A$2:$C$106,2,FALSE),"")</f>
        <v/>
      </c>
      <c r="G6646" s="49" t="str">
        <f>IFERROR(VLOOKUP(E6646,'Condensed Specialty Crosswalk'!$A$2:$C$106,3,FALSE),"")</f>
        <v/>
      </c>
    </row>
    <row r="6647" spans="5:7" ht="15" customHeight="1">
      <c r="E6647" s="49" t="str">
        <f>IFERROR(VLOOKUP(D6647,'taxonomy map'!$A$1:$C$107,2,FALSE),"")</f>
        <v/>
      </c>
      <c r="F6647" s="49" t="str">
        <f>IFERROR(VLOOKUP(E6647,'Condensed Specialty Crosswalk'!$A$2:$C$106,2,FALSE),"")</f>
        <v/>
      </c>
      <c r="G6647" s="49" t="str">
        <f>IFERROR(VLOOKUP(E6647,'Condensed Specialty Crosswalk'!$A$2:$C$106,3,FALSE),"")</f>
        <v/>
      </c>
    </row>
    <row r="6648" spans="5:7" ht="15" customHeight="1">
      <c r="E6648" s="49" t="str">
        <f>IFERROR(VLOOKUP(D6648,'taxonomy map'!$A$1:$C$107,2,FALSE),"")</f>
        <v/>
      </c>
      <c r="F6648" s="49" t="str">
        <f>IFERROR(VLOOKUP(E6648,'Condensed Specialty Crosswalk'!$A$2:$C$106,2,FALSE),"")</f>
        <v/>
      </c>
      <c r="G6648" s="49" t="str">
        <f>IFERROR(VLOOKUP(E6648,'Condensed Specialty Crosswalk'!$A$2:$C$106,3,FALSE),"")</f>
        <v/>
      </c>
    </row>
    <row r="6649" spans="5:7" ht="15" customHeight="1">
      <c r="E6649" s="49" t="str">
        <f>IFERROR(VLOOKUP(D6649,'taxonomy map'!$A$1:$C$107,2,FALSE),"")</f>
        <v/>
      </c>
      <c r="F6649" s="49" t="str">
        <f>IFERROR(VLOOKUP(E6649,'Condensed Specialty Crosswalk'!$A$2:$C$106,2,FALSE),"")</f>
        <v/>
      </c>
      <c r="G6649" s="49" t="str">
        <f>IFERROR(VLOOKUP(E6649,'Condensed Specialty Crosswalk'!$A$2:$C$106,3,FALSE),"")</f>
        <v/>
      </c>
    </row>
    <row r="6650" spans="5:7" ht="15" customHeight="1">
      <c r="E6650" s="49" t="str">
        <f>IFERROR(VLOOKUP(D6650,'taxonomy map'!$A$1:$C$107,2,FALSE),"")</f>
        <v/>
      </c>
      <c r="F6650" s="49" t="str">
        <f>IFERROR(VLOOKUP(E6650,'Condensed Specialty Crosswalk'!$A$2:$C$106,2,FALSE),"")</f>
        <v/>
      </c>
      <c r="G6650" s="49" t="str">
        <f>IFERROR(VLOOKUP(E6650,'Condensed Specialty Crosswalk'!$A$2:$C$106,3,FALSE),"")</f>
        <v/>
      </c>
    </row>
    <row r="6651" spans="5:7" ht="15" customHeight="1">
      <c r="E6651" s="49" t="str">
        <f>IFERROR(VLOOKUP(D6651,'taxonomy map'!$A$1:$C$107,2,FALSE),"")</f>
        <v/>
      </c>
      <c r="F6651" s="49" t="str">
        <f>IFERROR(VLOOKUP(E6651,'Condensed Specialty Crosswalk'!$A$2:$C$106,2,FALSE),"")</f>
        <v/>
      </c>
      <c r="G6651" s="49" t="str">
        <f>IFERROR(VLOOKUP(E6651,'Condensed Specialty Crosswalk'!$A$2:$C$106,3,FALSE),"")</f>
        <v/>
      </c>
    </row>
    <row r="6652" spans="5:7" ht="15" customHeight="1">
      <c r="E6652" s="49" t="str">
        <f>IFERROR(VLOOKUP(D6652,'taxonomy map'!$A$1:$C$107,2,FALSE),"")</f>
        <v/>
      </c>
      <c r="F6652" s="49" t="str">
        <f>IFERROR(VLOOKUP(E6652,'Condensed Specialty Crosswalk'!$A$2:$C$106,2,FALSE),"")</f>
        <v/>
      </c>
      <c r="G6652" s="49" t="str">
        <f>IFERROR(VLOOKUP(E6652,'Condensed Specialty Crosswalk'!$A$2:$C$106,3,FALSE),"")</f>
        <v/>
      </c>
    </row>
    <row r="6653" spans="5:7" ht="15" customHeight="1">
      <c r="E6653" s="49" t="str">
        <f>IFERROR(VLOOKUP(D6653,'taxonomy map'!$A$1:$C$107,2,FALSE),"")</f>
        <v/>
      </c>
      <c r="F6653" s="49" t="str">
        <f>IFERROR(VLOOKUP(E6653,'Condensed Specialty Crosswalk'!$A$2:$C$106,2,FALSE),"")</f>
        <v/>
      </c>
      <c r="G6653" s="49" t="str">
        <f>IFERROR(VLOOKUP(E6653,'Condensed Specialty Crosswalk'!$A$2:$C$106,3,FALSE),"")</f>
        <v/>
      </c>
    </row>
    <row r="6654" spans="5:7" ht="15" customHeight="1">
      <c r="E6654" s="49" t="str">
        <f>IFERROR(VLOOKUP(D6654,'taxonomy map'!$A$1:$C$107,2,FALSE),"")</f>
        <v/>
      </c>
      <c r="F6654" s="49" t="str">
        <f>IFERROR(VLOOKUP(E6654,'Condensed Specialty Crosswalk'!$A$2:$C$106,2,FALSE),"")</f>
        <v/>
      </c>
      <c r="G6654" s="49" t="str">
        <f>IFERROR(VLOOKUP(E6654,'Condensed Specialty Crosswalk'!$A$2:$C$106,3,FALSE),"")</f>
        <v/>
      </c>
    </row>
    <row r="6655" spans="5:7" ht="15" customHeight="1">
      <c r="E6655" s="49" t="str">
        <f>IFERROR(VLOOKUP(D6655,'taxonomy map'!$A$1:$C$107,2,FALSE),"")</f>
        <v/>
      </c>
      <c r="F6655" s="49" t="str">
        <f>IFERROR(VLOOKUP(E6655,'Condensed Specialty Crosswalk'!$A$2:$C$106,2,FALSE),"")</f>
        <v/>
      </c>
      <c r="G6655" s="49" t="str">
        <f>IFERROR(VLOOKUP(E6655,'Condensed Specialty Crosswalk'!$A$2:$C$106,3,FALSE),"")</f>
        <v/>
      </c>
    </row>
    <row r="6656" spans="5:7" ht="15" customHeight="1">
      <c r="E6656" s="49" t="str">
        <f>IFERROR(VLOOKUP(D6656,'taxonomy map'!$A$1:$C$107,2,FALSE),"")</f>
        <v/>
      </c>
      <c r="F6656" s="49" t="str">
        <f>IFERROR(VLOOKUP(E6656,'Condensed Specialty Crosswalk'!$A$2:$C$106,2,FALSE),"")</f>
        <v/>
      </c>
      <c r="G6656" s="49" t="str">
        <f>IFERROR(VLOOKUP(E6656,'Condensed Specialty Crosswalk'!$A$2:$C$106,3,FALSE),"")</f>
        <v/>
      </c>
    </row>
    <row r="6657" spans="5:7" ht="15" customHeight="1">
      <c r="E6657" s="49" t="str">
        <f>IFERROR(VLOOKUP(D6657,'taxonomy map'!$A$1:$C$107,2,FALSE),"")</f>
        <v/>
      </c>
      <c r="F6657" s="49" t="str">
        <f>IFERROR(VLOOKUP(E6657,'Condensed Specialty Crosswalk'!$A$2:$C$106,2,FALSE),"")</f>
        <v/>
      </c>
      <c r="G6657" s="49" t="str">
        <f>IFERROR(VLOOKUP(E6657,'Condensed Specialty Crosswalk'!$A$2:$C$106,3,FALSE),"")</f>
        <v/>
      </c>
    </row>
    <row r="6658" spans="5:7" ht="15" customHeight="1">
      <c r="E6658" s="49" t="str">
        <f>IFERROR(VLOOKUP(D6658,'taxonomy map'!$A$1:$C$107,2,FALSE),"")</f>
        <v/>
      </c>
      <c r="F6658" s="49" t="str">
        <f>IFERROR(VLOOKUP(E6658,'Condensed Specialty Crosswalk'!$A$2:$C$106,2,FALSE),"")</f>
        <v/>
      </c>
      <c r="G6658" s="49" t="str">
        <f>IFERROR(VLOOKUP(E6658,'Condensed Specialty Crosswalk'!$A$2:$C$106,3,FALSE),"")</f>
        <v/>
      </c>
    </row>
    <row r="6659" spans="5:7" ht="15" customHeight="1">
      <c r="E6659" s="49" t="str">
        <f>IFERROR(VLOOKUP(D6659,'taxonomy map'!$A$1:$C$107,2,FALSE),"")</f>
        <v/>
      </c>
      <c r="F6659" s="49" t="str">
        <f>IFERROR(VLOOKUP(E6659,'Condensed Specialty Crosswalk'!$A$2:$C$106,2,FALSE),"")</f>
        <v/>
      </c>
      <c r="G6659" s="49" t="str">
        <f>IFERROR(VLOOKUP(E6659,'Condensed Specialty Crosswalk'!$A$2:$C$106,3,FALSE),"")</f>
        <v/>
      </c>
    </row>
    <row r="6660" spans="5:7" ht="15" customHeight="1">
      <c r="E6660" s="49" t="str">
        <f>IFERROR(VLOOKUP(D6660,'taxonomy map'!$A$1:$C$107,2,FALSE),"")</f>
        <v/>
      </c>
      <c r="F6660" s="49" t="str">
        <f>IFERROR(VLOOKUP(E6660,'Condensed Specialty Crosswalk'!$A$2:$C$106,2,FALSE),"")</f>
        <v/>
      </c>
      <c r="G6660" s="49" t="str">
        <f>IFERROR(VLOOKUP(E6660,'Condensed Specialty Crosswalk'!$A$2:$C$106,3,FALSE),"")</f>
        <v/>
      </c>
    </row>
    <row r="6661" spans="5:7" ht="15" customHeight="1">
      <c r="E6661" s="49" t="str">
        <f>IFERROR(VLOOKUP(D6661,'taxonomy map'!$A$1:$C$107,2,FALSE),"")</f>
        <v/>
      </c>
      <c r="F6661" s="49" t="str">
        <f>IFERROR(VLOOKUP(E6661,'Condensed Specialty Crosswalk'!$A$2:$C$106,2,FALSE),"")</f>
        <v/>
      </c>
      <c r="G6661" s="49" t="str">
        <f>IFERROR(VLOOKUP(E6661,'Condensed Specialty Crosswalk'!$A$2:$C$106,3,FALSE),"")</f>
        <v/>
      </c>
    </row>
    <row r="6662" spans="5:7" ht="15" customHeight="1">
      <c r="E6662" s="49" t="str">
        <f>IFERROR(VLOOKUP(D6662,'taxonomy map'!$A$1:$C$107,2,FALSE),"")</f>
        <v/>
      </c>
      <c r="F6662" s="49" t="str">
        <f>IFERROR(VLOOKUP(E6662,'Condensed Specialty Crosswalk'!$A$2:$C$106,2,FALSE),"")</f>
        <v/>
      </c>
      <c r="G6662" s="49" t="str">
        <f>IFERROR(VLOOKUP(E6662,'Condensed Specialty Crosswalk'!$A$2:$C$106,3,FALSE),"")</f>
        <v/>
      </c>
    </row>
    <row r="6663" spans="5:7" ht="15" customHeight="1">
      <c r="E6663" s="49" t="str">
        <f>IFERROR(VLOOKUP(D6663,'taxonomy map'!$A$1:$C$107,2,FALSE),"")</f>
        <v/>
      </c>
      <c r="F6663" s="49" t="str">
        <f>IFERROR(VLOOKUP(E6663,'Condensed Specialty Crosswalk'!$A$2:$C$106,2,FALSE),"")</f>
        <v/>
      </c>
      <c r="G6663" s="49" t="str">
        <f>IFERROR(VLOOKUP(E6663,'Condensed Specialty Crosswalk'!$A$2:$C$106,3,FALSE),"")</f>
        <v/>
      </c>
    </row>
    <row r="6664" spans="5:7" ht="15" customHeight="1">
      <c r="E6664" s="49" t="str">
        <f>IFERROR(VLOOKUP(D6664,'taxonomy map'!$A$1:$C$107,2,FALSE),"")</f>
        <v/>
      </c>
      <c r="F6664" s="49" t="str">
        <f>IFERROR(VLOOKUP(E6664,'Condensed Specialty Crosswalk'!$A$2:$C$106,2,FALSE),"")</f>
        <v/>
      </c>
      <c r="G6664" s="49" t="str">
        <f>IFERROR(VLOOKUP(E6664,'Condensed Specialty Crosswalk'!$A$2:$C$106,3,FALSE),"")</f>
        <v/>
      </c>
    </row>
    <row r="6665" spans="5:7" ht="15" customHeight="1">
      <c r="E6665" s="49" t="str">
        <f>IFERROR(VLOOKUP(D6665,'taxonomy map'!$A$1:$C$107,2,FALSE),"")</f>
        <v/>
      </c>
      <c r="F6665" s="49" t="str">
        <f>IFERROR(VLOOKUP(E6665,'Condensed Specialty Crosswalk'!$A$2:$C$106,2,FALSE),"")</f>
        <v/>
      </c>
      <c r="G6665" s="49" t="str">
        <f>IFERROR(VLOOKUP(E6665,'Condensed Specialty Crosswalk'!$A$2:$C$106,3,FALSE),"")</f>
        <v/>
      </c>
    </row>
    <row r="6666" spans="5:7" ht="15" customHeight="1">
      <c r="E6666" s="49" t="str">
        <f>IFERROR(VLOOKUP(D6666,'taxonomy map'!$A$1:$C$107,2,FALSE),"")</f>
        <v/>
      </c>
      <c r="F6666" s="49" t="str">
        <f>IFERROR(VLOOKUP(E6666,'Condensed Specialty Crosswalk'!$A$2:$C$106,2,FALSE),"")</f>
        <v/>
      </c>
      <c r="G6666" s="49" t="str">
        <f>IFERROR(VLOOKUP(E6666,'Condensed Specialty Crosswalk'!$A$2:$C$106,3,FALSE),"")</f>
        <v/>
      </c>
    </row>
    <row r="6667" spans="5:7" ht="15" customHeight="1">
      <c r="E6667" s="49" t="str">
        <f>IFERROR(VLOOKUP(D6667,'taxonomy map'!$A$1:$C$107,2,FALSE),"")</f>
        <v/>
      </c>
      <c r="F6667" s="49" t="str">
        <f>IFERROR(VLOOKUP(E6667,'Condensed Specialty Crosswalk'!$A$2:$C$106,2,FALSE),"")</f>
        <v/>
      </c>
      <c r="G6667" s="49" t="str">
        <f>IFERROR(VLOOKUP(E6667,'Condensed Specialty Crosswalk'!$A$2:$C$106,3,FALSE),"")</f>
        <v/>
      </c>
    </row>
    <row r="6668" spans="5:7" ht="15" customHeight="1">
      <c r="E6668" s="49" t="str">
        <f>IFERROR(VLOOKUP(D6668,'taxonomy map'!$A$1:$C$107,2,FALSE),"")</f>
        <v/>
      </c>
      <c r="F6668" s="49" t="str">
        <f>IFERROR(VLOOKUP(E6668,'Condensed Specialty Crosswalk'!$A$2:$C$106,2,FALSE),"")</f>
        <v/>
      </c>
      <c r="G6668" s="49" t="str">
        <f>IFERROR(VLOOKUP(E6668,'Condensed Specialty Crosswalk'!$A$2:$C$106,3,FALSE),"")</f>
        <v/>
      </c>
    </row>
    <row r="6669" spans="5:7" ht="15" customHeight="1">
      <c r="E6669" s="49" t="str">
        <f>IFERROR(VLOOKUP(D6669,'taxonomy map'!$A$1:$C$107,2,FALSE),"")</f>
        <v/>
      </c>
      <c r="F6669" s="49" t="str">
        <f>IFERROR(VLOOKUP(E6669,'Condensed Specialty Crosswalk'!$A$2:$C$106,2,FALSE),"")</f>
        <v/>
      </c>
      <c r="G6669" s="49" t="str">
        <f>IFERROR(VLOOKUP(E6669,'Condensed Specialty Crosswalk'!$A$2:$C$106,3,FALSE),"")</f>
        <v/>
      </c>
    </row>
    <row r="6670" spans="5:7" ht="15" customHeight="1">
      <c r="E6670" s="49" t="str">
        <f>IFERROR(VLOOKUP(D6670,'taxonomy map'!$A$1:$C$107,2,FALSE),"")</f>
        <v/>
      </c>
      <c r="F6670" s="49" t="str">
        <f>IFERROR(VLOOKUP(E6670,'Condensed Specialty Crosswalk'!$A$2:$C$106,2,FALSE),"")</f>
        <v/>
      </c>
      <c r="G6670" s="49" t="str">
        <f>IFERROR(VLOOKUP(E6670,'Condensed Specialty Crosswalk'!$A$2:$C$106,3,FALSE),"")</f>
        <v/>
      </c>
    </row>
    <row r="6671" spans="5:7" ht="15" customHeight="1">
      <c r="E6671" s="49" t="str">
        <f>IFERROR(VLOOKUP(D6671,'taxonomy map'!$A$1:$C$107,2,FALSE),"")</f>
        <v/>
      </c>
      <c r="F6671" s="49" t="str">
        <f>IFERROR(VLOOKUP(E6671,'Condensed Specialty Crosswalk'!$A$2:$C$106,2,FALSE),"")</f>
        <v/>
      </c>
      <c r="G6671" s="49" t="str">
        <f>IFERROR(VLOOKUP(E6671,'Condensed Specialty Crosswalk'!$A$2:$C$106,3,FALSE),"")</f>
        <v/>
      </c>
    </row>
    <row r="6672" spans="5:7" ht="15" customHeight="1">
      <c r="E6672" s="49" t="str">
        <f>IFERROR(VLOOKUP(D6672,'taxonomy map'!$A$1:$C$107,2,FALSE),"")</f>
        <v/>
      </c>
      <c r="F6672" s="49" t="str">
        <f>IFERROR(VLOOKUP(E6672,'Condensed Specialty Crosswalk'!$A$2:$C$106,2,FALSE),"")</f>
        <v/>
      </c>
      <c r="G6672" s="49" t="str">
        <f>IFERROR(VLOOKUP(E6672,'Condensed Specialty Crosswalk'!$A$2:$C$106,3,FALSE),"")</f>
        <v/>
      </c>
    </row>
    <row r="6673" spans="5:7" ht="15" customHeight="1">
      <c r="E6673" s="49" t="str">
        <f>IFERROR(VLOOKUP(D6673,'taxonomy map'!$A$1:$C$107,2,FALSE),"")</f>
        <v/>
      </c>
      <c r="F6673" s="49" t="str">
        <f>IFERROR(VLOOKUP(E6673,'Condensed Specialty Crosswalk'!$A$2:$C$106,2,FALSE),"")</f>
        <v/>
      </c>
      <c r="G6673" s="49" t="str">
        <f>IFERROR(VLOOKUP(E6673,'Condensed Specialty Crosswalk'!$A$2:$C$106,3,FALSE),"")</f>
        <v/>
      </c>
    </row>
    <row r="6674" spans="5:7" ht="15" customHeight="1">
      <c r="E6674" s="49" t="str">
        <f>IFERROR(VLOOKUP(D6674,'taxonomy map'!$A$1:$C$107,2,FALSE),"")</f>
        <v/>
      </c>
      <c r="F6674" s="49" t="str">
        <f>IFERROR(VLOOKUP(E6674,'Condensed Specialty Crosswalk'!$A$2:$C$106,2,FALSE),"")</f>
        <v/>
      </c>
      <c r="G6674" s="49" t="str">
        <f>IFERROR(VLOOKUP(E6674,'Condensed Specialty Crosswalk'!$A$2:$C$106,3,FALSE),"")</f>
        <v/>
      </c>
    </row>
    <row r="6675" spans="5:7" ht="15" customHeight="1">
      <c r="E6675" s="49" t="str">
        <f>IFERROR(VLOOKUP(D6675,'taxonomy map'!$A$1:$C$107,2,FALSE),"")</f>
        <v/>
      </c>
      <c r="F6675" s="49" t="str">
        <f>IFERROR(VLOOKUP(E6675,'Condensed Specialty Crosswalk'!$A$2:$C$106,2,FALSE),"")</f>
        <v/>
      </c>
      <c r="G6675" s="49" t="str">
        <f>IFERROR(VLOOKUP(E6675,'Condensed Specialty Crosswalk'!$A$2:$C$106,3,FALSE),"")</f>
        <v/>
      </c>
    </row>
    <row r="6676" spans="5:7" ht="15" customHeight="1">
      <c r="E6676" s="49" t="str">
        <f>IFERROR(VLOOKUP(D6676,'taxonomy map'!$A$1:$C$107,2,FALSE),"")</f>
        <v/>
      </c>
      <c r="F6676" s="49" t="str">
        <f>IFERROR(VLOOKUP(E6676,'Condensed Specialty Crosswalk'!$A$2:$C$106,2,FALSE),"")</f>
        <v/>
      </c>
      <c r="G6676" s="49" t="str">
        <f>IFERROR(VLOOKUP(E6676,'Condensed Specialty Crosswalk'!$A$2:$C$106,3,FALSE),"")</f>
        <v/>
      </c>
    </row>
    <row r="6677" spans="5:7" ht="15" customHeight="1">
      <c r="E6677" s="49" t="str">
        <f>IFERROR(VLOOKUP(D6677,'taxonomy map'!$A$1:$C$107,2,FALSE),"")</f>
        <v/>
      </c>
      <c r="F6677" s="49" t="str">
        <f>IFERROR(VLOOKUP(E6677,'Condensed Specialty Crosswalk'!$A$2:$C$106,2,FALSE),"")</f>
        <v/>
      </c>
      <c r="G6677" s="49" t="str">
        <f>IFERROR(VLOOKUP(E6677,'Condensed Specialty Crosswalk'!$A$2:$C$106,3,FALSE),"")</f>
        <v/>
      </c>
    </row>
    <row r="6678" spans="5:7" ht="15" customHeight="1">
      <c r="E6678" s="49" t="str">
        <f>IFERROR(VLOOKUP(D6678,'taxonomy map'!$A$1:$C$107,2,FALSE),"")</f>
        <v/>
      </c>
      <c r="F6678" s="49" t="str">
        <f>IFERROR(VLOOKUP(E6678,'Condensed Specialty Crosswalk'!$A$2:$C$106,2,FALSE),"")</f>
        <v/>
      </c>
      <c r="G6678" s="49" t="str">
        <f>IFERROR(VLOOKUP(E6678,'Condensed Specialty Crosswalk'!$A$2:$C$106,3,FALSE),"")</f>
        <v/>
      </c>
    </row>
    <row r="6679" spans="5:7" ht="15" customHeight="1">
      <c r="E6679" s="49" t="str">
        <f>IFERROR(VLOOKUP(D6679,'taxonomy map'!$A$1:$C$107,2,FALSE),"")</f>
        <v/>
      </c>
      <c r="F6679" s="49" t="str">
        <f>IFERROR(VLOOKUP(E6679,'Condensed Specialty Crosswalk'!$A$2:$C$106,2,FALSE),"")</f>
        <v/>
      </c>
      <c r="G6679" s="49" t="str">
        <f>IFERROR(VLOOKUP(E6679,'Condensed Specialty Crosswalk'!$A$2:$C$106,3,FALSE),"")</f>
        <v/>
      </c>
    </row>
    <row r="6680" spans="5:7" ht="15" customHeight="1">
      <c r="E6680" s="49" t="str">
        <f>IFERROR(VLOOKUP(D6680,'taxonomy map'!$A$1:$C$107,2,FALSE),"")</f>
        <v/>
      </c>
      <c r="F6680" s="49" t="str">
        <f>IFERROR(VLOOKUP(E6680,'Condensed Specialty Crosswalk'!$A$2:$C$106,2,FALSE),"")</f>
        <v/>
      </c>
      <c r="G6680" s="49" t="str">
        <f>IFERROR(VLOOKUP(E6680,'Condensed Specialty Crosswalk'!$A$2:$C$106,3,FALSE),"")</f>
        <v/>
      </c>
    </row>
    <row r="6681" spans="5:7" ht="15" customHeight="1">
      <c r="E6681" s="49" t="str">
        <f>IFERROR(VLOOKUP(D6681,'taxonomy map'!$A$1:$C$107,2,FALSE),"")</f>
        <v/>
      </c>
      <c r="F6681" s="49" t="str">
        <f>IFERROR(VLOOKUP(E6681,'Condensed Specialty Crosswalk'!$A$2:$C$106,2,FALSE),"")</f>
        <v/>
      </c>
      <c r="G6681" s="49" t="str">
        <f>IFERROR(VLOOKUP(E6681,'Condensed Specialty Crosswalk'!$A$2:$C$106,3,FALSE),"")</f>
        <v/>
      </c>
    </row>
    <row r="6682" spans="5:7" ht="15" customHeight="1">
      <c r="E6682" s="49" t="str">
        <f>IFERROR(VLOOKUP(D6682,'taxonomy map'!$A$1:$C$107,2,FALSE),"")</f>
        <v/>
      </c>
      <c r="F6682" s="49" t="str">
        <f>IFERROR(VLOOKUP(E6682,'Condensed Specialty Crosswalk'!$A$2:$C$106,2,FALSE),"")</f>
        <v/>
      </c>
      <c r="G6682" s="49" t="str">
        <f>IFERROR(VLOOKUP(E6682,'Condensed Specialty Crosswalk'!$A$2:$C$106,3,FALSE),"")</f>
        <v/>
      </c>
    </row>
    <row r="6683" spans="5:7" ht="15" customHeight="1">
      <c r="E6683" s="49" t="str">
        <f>IFERROR(VLOOKUP(D6683,'taxonomy map'!$A$1:$C$107,2,FALSE),"")</f>
        <v/>
      </c>
      <c r="F6683" s="49" t="str">
        <f>IFERROR(VLOOKUP(E6683,'Condensed Specialty Crosswalk'!$A$2:$C$106,2,FALSE),"")</f>
        <v/>
      </c>
      <c r="G6683" s="49" t="str">
        <f>IFERROR(VLOOKUP(E6683,'Condensed Specialty Crosswalk'!$A$2:$C$106,3,FALSE),"")</f>
        <v/>
      </c>
    </row>
    <row r="6684" spans="5:7" ht="15" customHeight="1">
      <c r="E6684" s="49" t="str">
        <f>IFERROR(VLOOKUP(D6684,'taxonomy map'!$A$1:$C$107,2,FALSE),"")</f>
        <v/>
      </c>
      <c r="F6684" s="49" t="str">
        <f>IFERROR(VLOOKUP(E6684,'Condensed Specialty Crosswalk'!$A$2:$C$106,2,FALSE),"")</f>
        <v/>
      </c>
      <c r="G6684" s="49" t="str">
        <f>IFERROR(VLOOKUP(E6684,'Condensed Specialty Crosswalk'!$A$2:$C$106,3,FALSE),"")</f>
        <v/>
      </c>
    </row>
    <row r="6685" spans="5:7" ht="15" customHeight="1">
      <c r="E6685" s="49" t="str">
        <f>IFERROR(VLOOKUP(D6685,'taxonomy map'!$A$1:$C$107,2,FALSE),"")</f>
        <v/>
      </c>
      <c r="F6685" s="49" t="str">
        <f>IFERROR(VLOOKUP(E6685,'Condensed Specialty Crosswalk'!$A$2:$C$106,2,FALSE),"")</f>
        <v/>
      </c>
      <c r="G6685" s="49" t="str">
        <f>IFERROR(VLOOKUP(E6685,'Condensed Specialty Crosswalk'!$A$2:$C$106,3,FALSE),"")</f>
        <v/>
      </c>
    </row>
    <row r="6686" spans="5:7" ht="15" customHeight="1">
      <c r="E6686" s="49" t="str">
        <f>IFERROR(VLOOKUP(D6686,'taxonomy map'!$A$1:$C$107,2,FALSE),"")</f>
        <v/>
      </c>
      <c r="F6686" s="49" t="str">
        <f>IFERROR(VLOOKUP(E6686,'Condensed Specialty Crosswalk'!$A$2:$C$106,2,FALSE),"")</f>
        <v/>
      </c>
      <c r="G6686" s="49" t="str">
        <f>IFERROR(VLOOKUP(E6686,'Condensed Specialty Crosswalk'!$A$2:$C$106,3,FALSE),"")</f>
        <v/>
      </c>
    </row>
    <row r="6687" spans="5:7" ht="15" customHeight="1">
      <c r="E6687" s="49" t="str">
        <f>IFERROR(VLOOKUP(D6687,'taxonomy map'!$A$1:$C$107,2,FALSE),"")</f>
        <v/>
      </c>
      <c r="F6687" s="49" t="str">
        <f>IFERROR(VLOOKUP(E6687,'Condensed Specialty Crosswalk'!$A$2:$C$106,2,FALSE),"")</f>
        <v/>
      </c>
      <c r="G6687" s="49" t="str">
        <f>IFERROR(VLOOKUP(E6687,'Condensed Specialty Crosswalk'!$A$2:$C$106,3,FALSE),"")</f>
        <v/>
      </c>
    </row>
    <row r="6688" spans="5:7" ht="15" customHeight="1">
      <c r="E6688" s="49" t="str">
        <f>IFERROR(VLOOKUP(D6688,'taxonomy map'!$A$1:$C$107,2,FALSE),"")</f>
        <v/>
      </c>
      <c r="F6688" s="49" t="str">
        <f>IFERROR(VLOOKUP(E6688,'Condensed Specialty Crosswalk'!$A$2:$C$106,2,FALSE),"")</f>
        <v/>
      </c>
      <c r="G6688" s="49" t="str">
        <f>IFERROR(VLOOKUP(E6688,'Condensed Specialty Crosswalk'!$A$2:$C$106,3,FALSE),"")</f>
        <v/>
      </c>
    </row>
    <row r="6689" spans="5:7" ht="15" customHeight="1">
      <c r="E6689" s="49" t="str">
        <f>IFERROR(VLOOKUP(D6689,'taxonomy map'!$A$1:$C$107,2,FALSE),"")</f>
        <v/>
      </c>
      <c r="F6689" s="49" t="str">
        <f>IFERROR(VLOOKUP(E6689,'Condensed Specialty Crosswalk'!$A$2:$C$106,2,FALSE),"")</f>
        <v/>
      </c>
      <c r="G6689" s="49" t="str">
        <f>IFERROR(VLOOKUP(E6689,'Condensed Specialty Crosswalk'!$A$2:$C$106,3,FALSE),"")</f>
        <v/>
      </c>
    </row>
    <row r="6690" spans="5:7" ht="15" customHeight="1">
      <c r="E6690" s="49" t="str">
        <f>IFERROR(VLOOKUP(D6690,'taxonomy map'!$A$1:$C$107,2,FALSE),"")</f>
        <v/>
      </c>
      <c r="F6690" s="49" t="str">
        <f>IFERROR(VLOOKUP(E6690,'Condensed Specialty Crosswalk'!$A$2:$C$106,2,FALSE),"")</f>
        <v/>
      </c>
      <c r="G6690" s="49" t="str">
        <f>IFERROR(VLOOKUP(E6690,'Condensed Specialty Crosswalk'!$A$2:$C$106,3,FALSE),"")</f>
        <v/>
      </c>
    </row>
    <row r="6691" spans="5:7" ht="15" customHeight="1">
      <c r="E6691" s="49" t="str">
        <f>IFERROR(VLOOKUP(D6691,'taxonomy map'!$A$1:$C$107,2,FALSE),"")</f>
        <v/>
      </c>
      <c r="F6691" s="49" t="str">
        <f>IFERROR(VLOOKUP(E6691,'Condensed Specialty Crosswalk'!$A$2:$C$106,2,FALSE),"")</f>
        <v/>
      </c>
      <c r="G6691" s="49" t="str">
        <f>IFERROR(VLOOKUP(E6691,'Condensed Specialty Crosswalk'!$A$2:$C$106,3,FALSE),"")</f>
        <v/>
      </c>
    </row>
    <row r="6692" spans="5:7" ht="15" customHeight="1">
      <c r="E6692" s="49" t="str">
        <f>IFERROR(VLOOKUP(D6692,'taxonomy map'!$A$1:$C$107,2,FALSE),"")</f>
        <v/>
      </c>
      <c r="F6692" s="49" t="str">
        <f>IFERROR(VLOOKUP(E6692,'Condensed Specialty Crosswalk'!$A$2:$C$106,2,FALSE),"")</f>
        <v/>
      </c>
      <c r="G6692" s="49" t="str">
        <f>IFERROR(VLOOKUP(E6692,'Condensed Specialty Crosswalk'!$A$2:$C$106,3,FALSE),"")</f>
        <v/>
      </c>
    </row>
    <row r="6693" spans="5:7" ht="15" customHeight="1">
      <c r="E6693" s="49" t="str">
        <f>IFERROR(VLOOKUP(D6693,'taxonomy map'!$A$1:$C$107,2,FALSE),"")</f>
        <v/>
      </c>
      <c r="F6693" s="49" t="str">
        <f>IFERROR(VLOOKUP(E6693,'Condensed Specialty Crosswalk'!$A$2:$C$106,2,FALSE),"")</f>
        <v/>
      </c>
      <c r="G6693" s="49" t="str">
        <f>IFERROR(VLOOKUP(E6693,'Condensed Specialty Crosswalk'!$A$2:$C$106,3,FALSE),"")</f>
        <v/>
      </c>
    </row>
    <row r="6694" spans="5:7" ht="15" customHeight="1">
      <c r="E6694" s="49" t="str">
        <f>IFERROR(VLOOKUP(D6694,'taxonomy map'!$A$1:$C$107,2,FALSE),"")</f>
        <v/>
      </c>
      <c r="F6694" s="49" t="str">
        <f>IFERROR(VLOOKUP(E6694,'Condensed Specialty Crosswalk'!$A$2:$C$106,2,FALSE),"")</f>
        <v/>
      </c>
      <c r="G6694" s="49" t="str">
        <f>IFERROR(VLOOKUP(E6694,'Condensed Specialty Crosswalk'!$A$2:$C$106,3,FALSE),"")</f>
        <v/>
      </c>
    </row>
    <row r="6695" spans="5:7" ht="15" customHeight="1">
      <c r="E6695" s="49" t="str">
        <f>IFERROR(VLOOKUP(D6695,'taxonomy map'!$A$1:$C$107,2,FALSE),"")</f>
        <v/>
      </c>
      <c r="F6695" s="49" t="str">
        <f>IFERROR(VLOOKUP(E6695,'Condensed Specialty Crosswalk'!$A$2:$C$106,2,FALSE),"")</f>
        <v/>
      </c>
      <c r="G6695" s="49" t="str">
        <f>IFERROR(VLOOKUP(E6695,'Condensed Specialty Crosswalk'!$A$2:$C$106,3,FALSE),"")</f>
        <v/>
      </c>
    </row>
    <row r="6696" spans="5:7" ht="15" customHeight="1">
      <c r="E6696" s="49" t="str">
        <f>IFERROR(VLOOKUP(D6696,'taxonomy map'!$A$1:$C$107,2,FALSE),"")</f>
        <v/>
      </c>
      <c r="F6696" s="49" t="str">
        <f>IFERROR(VLOOKUP(E6696,'Condensed Specialty Crosswalk'!$A$2:$C$106,2,FALSE),"")</f>
        <v/>
      </c>
      <c r="G6696" s="49" t="str">
        <f>IFERROR(VLOOKUP(E6696,'Condensed Specialty Crosswalk'!$A$2:$C$106,3,FALSE),"")</f>
        <v/>
      </c>
    </row>
    <row r="6697" spans="5:7" ht="15" customHeight="1">
      <c r="E6697" s="49" t="str">
        <f>IFERROR(VLOOKUP(D6697,'taxonomy map'!$A$1:$C$107,2,FALSE),"")</f>
        <v/>
      </c>
      <c r="F6697" s="49" t="str">
        <f>IFERROR(VLOOKUP(E6697,'Condensed Specialty Crosswalk'!$A$2:$C$106,2,FALSE),"")</f>
        <v/>
      </c>
      <c r="G6697" s="49" t="str">
        <f>IFERROR(VLOOKUP(E6697,'Condensed Specialty Crosswalk'!$A$2:$C$106,3,FALSE),"")</f>
        <v/>
      </c>
    </row>
    <row r="6698" spans="5:7" ht="15" customHeight="1">
      <c r="E6698" s="49" t="str">
        <f>IFERROR(VLOOKUP(D6698,'taxonomy map'!$A$1:$C$107,2,FALSE),"")</f>
        <v/>
      </c>
      <c r="F6698" s="49" t="str">
        <f>IFERROR(VLOOKUP(E6698,'Condensed Specialty Crosswalk'!$A$2:$C$106,2,FALSE),"")</f>
        <v/>
      </c>
      <c r="G6698" s="49" t="str">
        <f>IFERROR(VLOOKUP(E6698,'Condensed Specialty Crosswalk'!$A$2:$C$106,3,FALSE),"")</f>
        <v/>
      </c>
    </row>
    <row r="6699" spans="5:7" ht="15" customHeight="1">
      <c r="E6699" s="49" t="str">
        <f>IFERROR(VLOOKUP(D6699,'taxonomy map'!$A$1:$C$107,2,FALSE),"")</f>
        <v/>
      </c>
      <c r="F6699" s="49" t="str">
        <f>IFERROR(VLOOKUP(E6699,'Condensed Specialty Crosswalk'!$A$2:$C$106,2,FALSE),"")</f>
        <v/>
      </c>
      <c r="G6699" s="49" t="str">
        <f>IFERROR(VLOOKUP(E6699,'Condensed Specialty Crosswalk'!$A$2:$C$106,3,FALSE),"")</f>
        <v/>
      </c>
    </row>
    <row r="6700" spans="5:7" ht="15" customHeight="1">
      <c r="E6700" s="49" t="str">
        <f>IFERROR(VLOOKUP(D6700,'taxonomy map'!$A$1:$C$107,2,FALSE),"")</f>
        <v/>
      </c>
      <c r="F6700" s="49" t="str">
        <f>IFERROR(VLOOKUP(E6700,'Condensed Specialty Crosswalk'!$A$2:$C$106,2,FALSE),"")</f>
        <v/>
      </c>
      <c r="G6700" s="49" t="str">
        <f>IFERROR(VLOOKUP(E6700,'Condensed Specialty Crosswalk'!$A$2:$C$106,3,FALSE),"")</f>
        <v/>
      </c>
    </row>
    <row r="6701" spans="5:7" ht="15" customHeight="1">
      <c r="E6701" s="49" t="str">
        <f>IFERROR(VLOOKUP(D6701,'taxonomy map'!$A$1:$C$107,2,FALSE),"")</f>
        <v/>
      </c>
      <c r="F6701" s="49" t="str">
        <f>IFERROR(VLOOKUP(E6701,'Condensed Specialty Crosswalk'!$A$2:$C$106,2,FALSE),"")</f>
        <v/>
      </c>
      <c r="G6701" s="49" t="str">
        <f>IFERROR(VLOOKUP(E6701,'Condensed Specialty Crosswalk'!$A$2:$C$106,3,FALSE),"")</f>
        <v/>
      </c>
    </row>
    <row r="6702" spans="5:7" ht="15" customHeight="1">
      <c r="E6702" s="49" t="str">
        <f>IFERROR(VLOOKUP(D6702,'taxonomy map'!$A$1:$C$107,2,FALSE),"")</f>
        <v/>
      </c>
      <c r="F6702" s="49" t="str">
        <f>IFERROR(VLOOKUP(E6702,'Condensed Specialty Crosswalk'!$A$2:$C$106,2,FALSE),"")</f>
        <v/>
      </c>
      <c r="G6702" s="49" t="str">
        <f>IFERROR(VLOOKUP(E6702,'Condensed Specialty Crosswalk'!$A$2:$C$106,3,FALSE),"")</f>
        <v/>
      </c>
    </row>
    <row r="6703" spans="5:7" ht="15" customHeight="1">
      <c r="E6703" s="49" t="str">
        <f>IFERROR(VLOOKUP(D6703,'taxonomy map'!$A$1:$C$107,2,FALSE),"")</f>
        <v/>
      </c>
      <c r="F6703" s="49" t="str">
        <f>IFERROR(VLOOKUP(E6703,'Condensed Specialty Crosswalk'!$A$2:$C$106,2,FALSE),"")</f>
        <v/>
      </c>
      <c r="G6703" s="49" t="str">
        <f>IFERROR(VLOOKUP(E6703,'Condensed Specialty Crosswalk'!$A$2:$C$106,3,FALSE),"")</f>
        <v/>
      </c>
    </row>
    <row r="6704" spans="5:7" ht="15" customHeight="1">
      <c r="E6704" s="49" t="str">
        <f>IFERROR(VLOOKUP(D6704,'taxonomy map'!$A$1:$C$107,2,FALSE),"")</f>
        <v/>
      </c>
      <c r="F6704" s="49" t="str">
        <f>IFERROR(VLOOKUP(E6704,'Condensed Specialty Crosswalk'!$A$2:$C$106,2,FALSE),"")</f>
        <v/>
      </c>
      <c r="G6704" s="49" t="str">
        <f>IFERROR(VLOOKUP(E6704,'Condensed Specialty Crosswalk'!$A$2:$C$106,3,FALSE),"")</f>
        <v/>
      </c>
    </row>
    <row r="6705" spans="5:7" ht="15" customHeight="1">
      <c r="E6705" s="49" t="str">
        <f>IFERROR(VLOOKUP(D6705,'taxonomy map'!$A$1:$C$107,2,FALSE),"")</f>
        <v/>
      </c>
      <c r="F6705" s="49" t="str">
        <f>IFERROR(VLOOKUP(E6705,'Condensed Specialty Crosswalk'!$A$2:$C$106,2,FALSE),"")</f>
        <v/>
      </c>
      <c r="G6705" s="49" t="str">
        <f>IFERROR(VLOOKUP(E6705,'Condensed Specialty Crosswalk'!$A$2:$C$106,3,FALSE),"")</f>
        <v/>
      </c>
    </row>
    <row r="6706" spans="5:7" ht="15" customHeight="1">
      <c r="E6706" s="49" t="str">
        <f>IFERROR(VLOOKUP(D6706,'taxonomy map'!$A$1:$C$107,2,FALSE),"")</f>
        <v/>
      </c>
      <c r="F6706" s="49" t="str">
        <f>IFERROR(VLOOKUP(E6706,'Condensed Specialty Crosswalk'!$A$2:$C$106,2,FALSE),"")</f>
        <v/>
      </c>
      <c r="G6706" s="49" t="str">
        <f>IFERROR(VLOOKUP(E6706,'Condensed Specialty Crosswalk'!$A$2:$C$106,3,FALSE),"")</f>
        <v/>
      </c>
    </row>
    <row r="6707" spans="5:7" ht="15" customHeight="1">
      <c r="E6707" s="49" t="str">
        <f>IFERROR(VLOOKUP(D6707,'taxonomy map'!$A$1:$C$107,2,FALSE),"")</f>
        <v/>
      </c>
      <c r="F6707" s="49" t="str">
        <f>IFERROR(VLOOKUP(E6707,'Condensed Specialty Crosswalk'!$A$2:$C$106,2,FALSE),"")</f>
        <v/>
      </c>
      <c r="G6707" s="49" t="str">
        <f>IFERROR(VLOOKUP(E6707,'Condensed Specialty Crosswalk'!$A$2:$C$106,3,FALSE),"")</f>
        <v/>
      </c>
    </row>
    <row r="6708" spans="5:7" ht="15" customHeight="1">
      <c r="E6708" s="49" t="str">
        <f>IFERROR(VLOOKUP(D6708,'taxonomy map'!$A$1:$C$107,2,FALSE),"")</f>
        <v/>
      </c>
      <c r="F6708" s="49" t="str">
        <f>IFERROR(VLOOKUP(E6708,'Condensed Specialty Crosswalk'!$A$2:$C$106,2,FALSE),"")</f>
        <v/>
      </c>
      <c r="G6708" s="49" t="str">
        <f>IFERROR(VLOOKUP(E6708,'Condensed Specialty Crosswalk'!$A$2:$C$106,3,FALSE),"")</f>
        <v/>
      </c>
    </row>
    <row r="6709" spans="5:7" ht="15" customHeight="1">
      <c r="E6709" s="49" t="str">
        <f>IFERROR(VLOOKUP(D6709,'taxonomy map'!$A$1:$C$107,2,FALSE),"")</f>
        <v/>
      </c>
      <c r="F6709" s="49" t="str">
        <f>IFERROR(VLOOKUP(E6709,'Condensed Specialty Crosswalk'!$A$2:$C$106,2,FALSE),"")</f>
        <v/>
      </c>
      <c r="G6709" s="49" t="str">
        <f>IFERROR(VLOOKUP(E6709,'Condensed Specialty Crosswalk'!$A$2:$C$106,3,FALSE),"")</f>
        <v/>
      </c>
    </row>
    <row r="6710" spans="5:7" ht="15" customHeight="1">
      <c r="E6710" s="49" t="str">
        <f>IFERROR(VLOOKUP(D6710,'taxonomy map'!$A$1:$C$107,2,FALSE),"")</f>
        <v/>
      </c>
      <c r="F6710" s="49" t="str">
        <f>IFERROR(VLOOKUP(E6710,'Condensed Specialty Crosswalk'!$A$2:$C$106,2,FALSE),"")</f>
        <v/>
      </c>
      <c r="G6710" s="49" t="str">
        <f>IFERROR(VLOOKUP(E6710,'Condensed Specialty Crosswalk'!$A$2:$C$106,3,FALSE),"")</f>
        <v/>
      </c>
    </row>
    <row r="6711" spans="5:7" ht="15" customHeight="1">
      <c r="E6711" s="49" t="str">
        <f>IFERROR(VLOOKUP(D6711,'taxonomy map'!$A$1:$C$107,2,FALSE),"")</f>
        <v/>
      </c>
      <c r="F6711" s="49" t="str">
        <f>IFERROR(VLOOKUP(E6711,'Condensed Specialty Crosswalk'!$A$2:$C$106,2,FALSE),"")</f>
        <v/>
      </c>
      <c r="G6711" s="49" t="str">
        <f>IFERROR(VLOOKUP(E6711,'Condensed Specialty Crosswalk'!$A$2:$C$106,3,FALSE),"")</f>
        <v/>
      </c>
    </row>
    <row r="6712" spans="5:7" ht="15" customHeight="1">
      <c r="E6712" s="49" t="str">
        <f>IFERROR(VLOOKUP(D6712,'taxonomy map'!$A$1:$C$107,2,FALSE),"")</f>
        <v/>
      </c>
      <c r="F6712" s="49" t="str">
        <f>IFERROR(VLOOKUP(E6712,'Condensed Specialty Crosswalk'!$A$2:$C$106,2,FALSE),"")</f>
        <v/>
      </c>
      <c r="G6712" s="49" t="str">
        <f>IFERROR(VLOOKUP(E6712,'Condensed Specialty Crosswalk'!$A$2:$C$106,3,FALSE),"")</f>
        <v/>
      </c>
    </row>
    <row r="6713" spans="5:7" ht="15" customHeight="1">
      <c r="E6713" s="49" t="str">
        <f>IFERROR(VLOOKUP(D6713,'taxonomy map'!$A$1:$C$107,2,FALSE),"")</f>
        <v/>
      </c>
      <c r="F6713" s="49" t="str">
        <f>IFERROR(VLOOKUP(E6713,'Condensed Specialty Crosswalk'!$A$2:$C$106,2,FALSE),"")</f>
        <v/>
      </c>
      <c r="G6713" s="49" t="str">
        <f>IFERROR(VLOOKUP(E6713,'Condensed Specialty Crosswalk'!$A$2:$C$106,3,FALSE),"")</f>
        <v/>
      </c>
    </row>
    <row r="6714" spans="5:7" ht="15" customHeight="1">
      <c r="E6714" s="49" t="str">
        <f>IFERROR(VLOOKUP(D6714,'taxonomy map'!$A$1:$C$107,2,FALSE),"")</f>
        <v/>
      </c>
      <c r="F6714" s="49" t="str">
        <f>IFERROR(VLOOKUP(E6714,'Condensed Specialty Crosswalk'!$A$2:$C$106,2,FALSE),"")</f>
        <v/>
      </c>
      <c r="G6714" s="49" t="str">
        <f>IFERROR(VLOOKUP(E6714,'Condensed Specialty Crosswalk'!$A$2:$C$106,3,FALSE),"")</f>
        <v/>
      </c>
    </row>
    <row r="6715" spans="5:7" ht="15" customHeight="1">
      <c r="E6715" s="49" t="str">
        <f>IFERROR(VLOOKUP(D6715,'taxonomy map'!$A$1:$C$107,2,FALSE),"")</f>
        <v/>
      </c>
      <c r="F6715" s="49" t="str">
        <f>IFERROR(VLOOKUP(E6715,'Condensed Specialty Crosswalk'!$A$2:$C$106,2,FALSE),"")</f>
        <v/>
      </c>
      <c r="G6715" s="49" t="str">
        <f>IFERROR(VLOOKUP(E6715,'Condensed Specialty Crosswalk'!$A$2:$C$106,3,FALSE),"")</f>
        <v/>
      </c>
    </row>
    <row r="6716" spans="5:7" ht="15" customHeight="1">
      <c r="E6716" s="49" t="str">
        <f>IFERROR(VLOOKUP(D6716,'taxonomy map'!$A$1:$C$107,2,FALSE),"")</f>
        <v/>
      </c>
      <c r="F6716" s="49" t="str">
        <f>IFERROR(VLOOKUP(E6716,'Condensed Specialty Crosswalk'!$A$2:$C$106,2,FALSE),"")</f>
        <v/>
      </c>
      <c r="G6716" s="49" t="str">
        <f>IFERROR(VLOOKUP(E6716,'Condensed Specialty Crosswalk'!$A$2:$C$106,3,FALSE),"")</f>
        <v/>
      </c>
    </row>
    <row r="6717" spans="5:7" ht="15" customHeight="1">
      <c r="E6717" s="49" t="str">
        <f>IFERROR(VLOOKUP(D6717,'taxonomy map'!$A$1:$C$107,2,FALSE),"")</f>
        <v/>
      </c>
      <c r="F6717" s="49" t="str">
        <f>IFERROR(VLOOKUP(E6717,'Condensed Specialty Crosswalk'!$A$2:$C$106,2,FALSE),"")</f>
        <v/>
      </c>
      <c r="G6717" s="49" t="str">
        <f>IFERROR(VLOOKUP(E6717,'Condensed Specialty Crosswalk'!$A$2:$C$106,3,FALSE),"")</f>
        <v/>
      </c>
    </row>
    <row r="6718" spans="5:7" ht="15" customHeight="1">
      <c r="E6718" s="49" t="str">
        <f>IFERROR(VLOOKUP(D6718,'taxonomy map'!$A$1:$C$107,2,FALSE),"")</f>
        <v/>
      </c>
      <c r="F6718" s="49" t="str">
        <f>IFERROR(VLOOKUP(E6718,'Condensed Specialty Crosswalk'!$A$2:$C$106,2,FALSE),"")</f>
        <v/>
      </c>
      <c r="G6718" s="49" t="str">
        <f>IFERROR(VLOOKUP(E6718,'Condensed Specialty Crosswalk'!$A$2:$C$106,3,FALSE),"")</f>
        <v/>
      </c>
    </row>
    <row r="6719" spans="5:7" ht="15" customHeight="1">
      <c r="E6719" s="49" t="str">
        <f>IFERROR(VLOOKUP(D6719,'taxonomy map'!$A$1:$C$107,2,FALSE),"")</f>
        <v/>
      </c>
      <c r="F6719" s="49" t="str">
        <f>IFERROR(VLOOKUP(E6719,'Condensed Specialty Crosswalk'!$A$2:$C$106,2,FALSE),"")</f>
        <v/>
      </c>
      <c r="G6719" s="49" t="str">
        <f>IFERROR(VLOOKUP(E6719,'Condensed Specialty Crosswalk'!$A$2:$C$106,3,FALSE),"")</f>
        <v/>
      </c>
    </row>
    <row r="6720" spans="5:7" ht="15" customHeight="1">
      <c r="E6720" s="49" t="str">
        <f>IFERROR(VLOOKUP(D6720,'taxonomy map'!$A$1:$C$107,2,FALSE),"")</f>
        <v/>
      </c>
      <c r="F6720" s="49" t="str">
        <f>IFERROR(VLOOKUP(E6720,'Condensed Specialty Crosswalk'!$A$2:$C$106,2,FALSE),"")</f>
        <v/>
      </c>
      <c r="G6720" s="49" t="str">
        <f>IFERROR(VLOOKUP(E6720,'Condensed Specialty Crosswalk'!$A$2:$C$106,3,FALSE),"")</f>
        <v/>
      </c>
    </row>
    <row r="6721" spans="5:7" ht="15" customHeight="1">
      <c r="E6721" s="49" t="str">
        <f>IFERROR(VLOOKUP(D6721,'taxonomy map'!$A$1:$C$107,2,FALSE),"")</f>
        <v/>
      </c>
      <c r="F6721" s="49" t="str">
        <f>IFERROR(VLOOKUP(E6721,'Condensed Specialty Crosswalk'!$A$2:$C$106,2,FALSE),"")</f>
        <v/>
      </c>
      <c r="G6721" s="49" t="str">
        <f>IFERROR(VLOOKUP(E6721,'Condensed Specialty Crosswalk'!$A$2:$C$106,3,FALSE),"")</f>
        <v/>
      </c>
    </row>
    <row r="6722" spans="5:7" ht="15" customHeight="1">
      <c r="E6722" s="49" t="str">
        <f>IFERROR(VLOOKUP(D6722,'taxonomy map'!$A$1:$C$107,2,FALSE),"")</f>
        <v/>
      </c>
      <c r="F6722" s="49" t="str">
        <f>IFERROR(VLOOKUP(E6722,'Condensed Specialty Crosswalk'!$A$2:$C$106,2,FALSE),"")</f>
        <v/>
      </c>
      <c r="G6722" s="49" t="str">
        <f>IFERROR(VLOOKUP(E6722,'Condensed Specialty Crosswalk'!$A$2:$C$106,3,FALSE),"")</f>
        <v/>
      </c>
    </row>
    <row r="6723" spans="5:7" ht="15" customHeight="1">
      <c r="E6723" s="49" t="str">
        <f>IFERROR(VLOOKUP(D6723,'taxonomy map'!$A$1:$C$107,2,FALSE),"")</f>
        <v/>
      </c>
      <c r="F6723" s="49" t="str">
        <f>IFERROR(VLOOKUP(E6723,'Condensed Specialty Crosswalk'!$A$2:$C$106,2,FALSE),"")</f>
        <v/>
      </c>
      <c r="G6723" s="49" t="str">
        <f>IFERROR(VLOOKUP(E6723,'Condensed Specialty Crosswalk'!$A$2:$C$106,3,FALSE),"")</f>
        <v/>
      </c>
    </row>
    <row r="6724" spans="5:7" ht="15" customHeight="1">
      <c r="E6724" s="49" t="str">
        <f>IFERROR(VLOOKUP(D6724,'taxonomy map'!$A$1:$C$107,2,FALSE),"")</f>
        <v/>
      </c>
      <c r="F6724" s="49" t="str">
        <f>IFERROR(VLOOKUP(E6724,'Condensed Specialty Crosswalk'!$A$2:$C$106,2,FALSE),"")</f>
        <v/>
      </c>
      <c r="G6724" s="49" t="str">
        <f>IFERROR(VLOOKUP(E6724,'Condensed Specialty Crosswalk'!$A$2:$C$106,3,FALSE),"")</f>
        <v/>
      </c>
    </row>
    <row r="6725" spans="5:7" ht="15" customHeight="1">
      <c r="E6725" s="49" t="str">
        <f>IFERROR(VLOOKUP(D6725,'taxonomy map'!$A$1:$C$107,2,FALSE),"")</f>
        <v/>
      </c>
      <c r="F6725" s="49" t="str">
        <f>IFERROR(VLOOKUP(E6725,'Condensed Specialty Crosswalk'!$A$2:$C$106,2,FALSE),"")</f>
        <v/>
      </c>
      <c r="G6725" s="49" t="str">
        <f>IFERROR(VLOOKUP(E6725,'Condensed Specialty Crosswalk'!$A$2:$C$106,3,FALSE),"")</f>
        <v/>
      </c>
    </row>
    <row r="6726" spans="5:7" ht="15" customHeight="1">
      <c r="E6726" s="49" t="str">
        <f>IFERROR(VLOOKUP(D6726,'taxonomy map'!$A$1:$C$107,2,FALSE),"")</f>
        <v/>
      </c>
      <c r="F6726" s="49" t="str">
        <f>IFERROR(VLOOKUP(E6726,'Condensed Specialty Crosswalk'!$A$2:$C$106,2,FALSE),"")</f>
        <v/>
      </c>
      <c r="G6726" s="49" t="str">
        <f>IFERROR(VLOOKUP(E6726,'Condensed Specialty Crosswalk'!$A$2:$C$106,3,FALSE),"")</f>
        <v/>
      </c>
    </row>
    <row r="6727" spans="5:7" ht="15" customHeight="1">
      <c r="E6727" s="49" t="str">
        <f>IFERROR(VLOOKUP(D6727,'taxonomy map'!$A$1:$C$107,2,FALSE),"")</f>
        <v/>
      </c>
      <c r="F6727" s="49" t="str">
        <f>IFERROR(VLOOKUP(E6727,'Condensed Specialty Crosswalk'!$A$2:$C$106,2,FALSE),"")</f>
        <v/>
      </c>
      <c r="G6727" s="49" t="str">
        <f>IFERROR(VLOOKUP(E6727,'Condensed Specialty Crosswalk'!$A$2:$C$106,3,FALSE),"")</f>
        <v/>
      </c>
    </row>
    <row r="6728" spans="5:7" ht="15" customHeight="1">
      <c r="E6728" s="49" t="str">
        <f>IFERROR(VLOOKUP(D6728,'taxonomy map'!$A$1:$C$107,2,FALSE),"")</f>
        <v/>
      </c>
      <c r="F6728" s="49" t="str">
        <f>IFERROR(VLOOKUP(E6728,'Condensed Specialty Crosswalk'!$A$2:$C$106,2,FALSE),"")</f>
        <v/>
      </c>
      <c r="G6728" s="49" t="str">
        <f>IFERROR(VLOOKUP(E6728,'Condensed Specialty Crosswalk'!$A$2:$C$106,3,FALSE),"")</f>
        <v/>
      </c>
    </row>
    <row r="6729" spans="5:7" ht="15" customHeight="1">
      <c r="E6729" s="49" t="str">
        <f>IFERROR(VLOOKUP(D6729,'taxonomy map'!$A$1:$C$107,2,FALSE),"")</f>
        <v/>
      </c>
      <c r="F6729" s="49" t="str">
        <f>IFERROR(VLOOKUP(E6729,'Condensed Specialty Crosswalk'!$A$2:$C$106,2,FALSE),"")</f>
        <v/>
      </c>
      <c r="G6729" s="49" t="str">
        <f>IFERROR(VLOOKUP(E6729,'Condensed Specialty Crosswalk'!$A$2:$C$106,3,FALSE),"")</f>
        <v/>
      </c>
    </row>
    <row r="6730" spans="5:7" ht="15" customHeight="1">
      <c r="E6730" s="49" t="str">
        <f>IFERROR(VLOOKUP(D6730,'taxonomy map'!$A$1:$C$107,2,FALSE),"")</f>
        <v/>
      </c>
      <c r="F6730" s="49" t="str">
        <f>IFERROR(VLOOKUP(E6730,'Condensed Specialty Crosswalk'!$A$2:$C$106,2,FALSE),"")</f>
        <v/>
      </c>
      <c r="G6730" s="49" t="str">
        <f>IFERROR(VLOOKUP(E6730,'Condensed Specialty Crosswalk'!$A$2:$C$106,3,FALSE),"")</f>
        <v/>
      </c>
    </row>
    <row r="6731" spans="5:7" ht="15" customHeight="1">
      <c r="E6731" s="49" t="str">
        <f>IFERROR(VLOOKUP(D6731,'taxonomy map'!$A$1:$C$107,2,FALSE),"")</f>
        <v/>
      </c>
      <c r="F6731" s="49" t="str">
        <f>IFERROR(VLOOKUP(E6731,'Condensed Specialty Crosswalk'!$A$2:$C$106,2,FALSE),"")</f>
        <v/>
      </c>
      <c r="G6731" s="49" t="str">
        <f>IFERROR(VLOOKUP(E6731,'Condensed Specialty Crosswalk'!$A$2:$C$106,3,FALSE),"")</f>
        <v/>
      </c>
    </row>
    <row r="6732" spans="5:7" ht="15" customHeight="1">
      <c r="E6732" s="49" t="str">
        <f>IFERROR(VLOOKUP(D6732,'taxonomy map'!$A$1:$C$107,2,FALSE),"")</f>
        <v/>
      </c>
      <c r="F6732" s="49" t="str">
        <f>IFERROR(VLOOKUP(E6732,'Condensed Specialty Crosswalk'!$A$2:$C$106,2,FALSE),"")</f>
        <v/>
      </c>
      <c r="G6732" s="49" t="str">
        <f>IFERROR(VLOOKUP(E6732,'Condensed Specialty Crosswalk'!$A$2:$C$106,3,FALSE),"")</f>
        <v/>
      </c>
    </row>
    <row r="6733" spans="5:7" ht="15" customHeight="1">
      <c r="E6733" s="49" t="str">
        <f>IFERROR(VLOOKUP(D6733,'taxonomy map'!$A$1:$C$107,2,FALSE),"")</f>
        <v/>
      </c>
      <c r="F6733" s="49" t="str">
        <f>IFERROR(VLOOKUP(E6733,'Condensed Specialty Crosswalk'!$A$2:$C$106,2,FALSE),"")</f>
        <v/>
      </c>
      <c r="G6733" s="49" t="str">
        <f>IFERROR(VLOOKUP(E6733,'Condensed Specialty Crosswalk'!$A$2:$C$106,3,FALSE),"")</f>
        <v/>
      </c>
    </row>
    <row r="6734" spans="5:7" ht="15" customHeight="1">
      <c r="E6734" s="49" t="str">
        <f>IFERROR(VLOOKUP(D6734,'taxonomy map'!$A$1:$C$107,2,FALSE),"")</f>
        <v/>
      </c>
      <c r="F6734" s="49" t="str">
        <f>IFERROR(VLOOKUP(E6734,'Condensed Specialty Crosswalk'!$A$2:$C$106,2,FALSE),"")</f>
        <v/>
      </c>
      <c r="G6734" s="49" t="str">
        <f>IFERROR(VLOOKUP(E6734,'Condensed Specialty Crosswalk'!$A$2:$C$106,3,FALSE),"")</f>
        <v/>
      </c>
    </row>
    <row r="6735" spans="5:7" ht="15" customHeight="1">
      <c r="E6735" s="49" t="str">
        <f>IFERROR(VLOOKUP(D6735,'taxonomy map'!$A$1:$C$107,2,FALSE),"")</f>
        <v/>
      </c>
      <c r="F6735" s="49" t="str">
        <f>IFERROR(VLOOKUP(E6735,'Condensed Specialty Crosswalk'!$A$2:$C$106,2,FALSE),"")</f>
        <v/>
      </c>
      <c r="G6735" s="49" t="str">
        <f>IFERROR(VLOOKUP(E6735,'Condensed Specialty Crosswalk'!$A$2:$C$106,3,FALSE),"")</f>
        <v/>
      </c>
    </row>
    <row r="6736" spans="5:7" ht="15" customHeight="1">
      <c r="E6736" s="49" t="str">
        <f>IFERROR(VLOOKUP(D6736,'taxonomy map'!$A$1:$C$107,2,FALSE),"")</f>
        <v/>
      </c>
      <c r="F6736" s="49" t="str">
        <f>IFERROR(VLOOKUP(E6736,'Condensed Specialty Crosswalk'!$A$2:$C$106,2,FALSE),"")</f>
        <v/>
      </c>
      <c r="G6736" s="49" t="str">
        <f>IFERROR(VLOOKUP(E6736,'Condensed Specialty Crosswalk'!$A$2:$C$106,3,FALSE),"")</f>
        <v/>
      </c>
    </row>
    <row r="6737" spans="5:7" ht="15" customHeight="1">
      <c r="E6737" s="49" t="str">
        <f>IFERROR(VLOOKUP(D6737,'taxonomy map'!$A$1:$C$107,2,FALSE),"")</f>
        <v/>
      </c>
      <c r="F6737" s="49" t="str">
        <f>IFERROR(VLOOKUP(E6737,'Condensed Specialty Crosswalk'!$A$2:$C$106,2,FALSE),"")</f>
        <v/>
      </c>
      <c r="G6737" s="49" t="str">
        <f>IFERROR(VLOOKUP(E6737,'Condensed Specialty Crosswalk'!$A$2:$C$106,3,FALSE),"")</f>
        <v/>
      </c>
    </row>
    <row r="6738" spans="5:7" ht="15" customHeight="1">
      <c r="E6738" s="49" t="str">
        <f>IFERROR(VLOOKUP(D6738,'taxonomy map'!$A$1:$C$107,2,FALSE),"")</f>
        <v/>
      </c>
      <c r="F6738" s="49" t="str">
        <f>IFERROR(VLOOKUP(E6738,'Condensed Specialty Crosswalk'!$A$2:$C$106,2,FALSE),"")</f>
        <v/>
      </c>
      <c r="G6738" s="49" t="str">
        <f>IFERROR(VLOOKUP(E6738,'Condensed Specialty Crosswalk'!$A$2:$C$106,3,FALSE),"")</f>
        <v/>
      </c>
    </row>
    <row r="6739" spans="5:7" ht="15" customHeight="1">
      <c r="E6739" s="49" t="str">
        <f>IFERROR(VLOOKUP(D6739,'taxonomy map'!$A$1:$C$107,2,FALSE),"")</f>
        <v/>
      </c>
      <c r="F6739" s="49" t="str">
        <f>IFERROR(VLOOKUP(E6739,'Condensed Specialty Crosswalk'!$A$2:$C$106,2,FALSE),"")</f>
        <v/>
      </c>
      <c r="G6739" s="49" t="str">
        <f>IFERROR(VLOOKUP(E6739,'Condensed Specialty Crosswalk'!$A$2:$C$106,3,FALSE),"")</f>
        <v/>
      </c>
    </row>
    <row r="6740" spans="5:7" ht="15" customHeight="1">
      <c r="E6740" s="49" t="str">
        <f>IFERROR(VLOOKUP(D6740,'taxonomy map'!$A$1:$C$107,2,FALSE),"")</f>
        <v/>
      </c>
      <c r="F6740" s="49" t="str">
        <f>IFERROR(VLOOKUP(E6740,'Condensed Specialty Crosswalk'!$A$2:$C$106,2,FALSE),"")</f>
        <v/>
      </c>
      <c r="G6740" s="49" t="str">
        <f>IFERROR(VLOOKUP(E6740,'Condensed Specialty Crosswalk'!$A$2:$C$106,3,FALSE),"")</f>
        <v/>
      </c>
    </row>
    <row r="6741" spans="5:7" ht="15" customHeight="1">
      <c r="E6741" s="49" t="str">
        <f>IFERROR(VLOOKUP(D6741,'taxonomy map'!$A$1:$C$107,2,FALSE),"")</f>
        <v/>
      </c>
      <c r="F6741" s="49" t="str">
        <f>IFERROR(VLOOKUP(E6741,'Condensed Specialty Crosswalk'!$A$2:$C$106,2,FALSE),"")</f>
        <v/>
      </c>
      <c r="G6741" s="49" t="str">
        <f>IFERROR(VLOOKUP(E6741,'Condensed Specialty Crosswalk'!$A$2:$C$106,3,FALSE),"")</f>
        <v/>
      </c>
    </row>
    <row r="6742" spans="5:7" ht="15" customHeight="1">
      <c r="E6742" s="49" t="str">
        <f>IFERROR(VLOOKUP(D6742,'taxonomy map'!$A$1:$C$107,2,FALSE),"")</f>
        <v/>
      </c>
      <c r="F6742" s="49" t="str">
        <f>IFERROR(VLOOKUP(E6742,'Condensed Specialty Crosswalk'!$A$2:$C$106,2,FALSE),"")</f>
        <v/>
      </c>
      <c r="G6742" s="49" t="str">
        <f>IFERROR(VLOOKUP(E6742,'Condensed Specialty Crosswalk'!$A$2:$C$106,3,FALSE),"")</f>
        <v/>
      </c>
    </row>
    <row r="6743" spans="5:7" ht="15" customHeight="1">
      <c r="E6743" s="49" t="str">
        <f>IFERROR(VLOOKUP(D6743,'taxonomy map'!$A$1:$C$107,2,FALSE),"")</f>
        <v/>
      </c>
      <c r="F6743" s="49" t="str">
        <f>IFERROR(VLOOKUP(E6743,'Condensed Specialty Crosswalk'!$A$2:$C$106,2,FALSE),"")</f>
        <v/>
      </c>
      <c r="G6743" s="49" t="str">
        <f>IFERROR(VLOOKUP(E6743,'Condensed Specialty Crosswalk'!$A$2:$C$106,3,FALSE),"")</f>
        <v/>
      </c>
    </row>
    <row r="6744" spans="5:7" ht="15" customHeight="1">
      <c r="E6744" s="49" t="str">
        <f>IFERROR(VLOOKUP(D6744,'taxonomy map'!$A$1:$C$107,2,FALSE),"")</f>
        <v/>
      </c>
      <c r="F6744" s="49" t="str">
        <f>IFERROR(VLOOKUP(E6744,'Condensed Specialty Crosswalk'!$A$2:$C$106,2,FALSE),"")</f>
        <v/>
      </c>
      <c r="G6744" s="49" t="str">
        <f>IFERROR(VLOOKUP(E6744,'Condensed Specialty Crosswalk'!$A$2:$C$106,3,FALSE),"")</f>
        <v/>
      </c>
    </row>
    <row r="6745" spans="5:7" ht="15" customHeight="1">
      <c r="E6745" s="49" t="str">
        <f>IFERROR(VLOOKUP(D6745,'taxonomy map'!$A$1:$C$107,2,FALSE),"")</f>
        <v/>
      </c>
      <c r="F6745" s="49" t="str">
        <f>IFERROR(VLOOKUP(E6745,'Condensed Specialty Crosswalk'!$A$2:$C$106,2,FALSE),"")</f>
        <v/>
      </c>
      <c r="G6745" s="49" t="str">
        <f>IFERROR(VLOOKUP(E6745,'Condensed Specialty Crosswalk'!$A$2:$C$106,3,FALSE),"")</f>
        <v/>
      </c>
    </row>
    <row r="6746" spans="5:7" ht="15" customHeight="1">
      <c r="E6746" s="49" t="str">
        <f>IFERROR(VLOOKUP(D6746,'taxonomy map'!$A$1:$C$107,2,FALSE),"")</f>
        <v/>
      </c>
      <c r="F6746" s="49" t="str">
        <f>IFERROR(VLOOKUP(E6746,'Condensed Specialty Crosswalk'!$A$2:$C$106,2,FALSE),"")</f>
        <v/>
      </c>
      <c r="G6746" s="49" t="str">
        <f>IFERROR(VLOOKUP(E6746,'Condensed Specialty Crosswalk'!$A$2:$C$106,3,FALSE),"")</f>
        <v/>
      </c>
    </row>
    <row r="6747" spans="5:7" ht="15" customHeight="1">
      <c r="E6747" s="49" t="str">
        <f>IFERROR(VLOOKUP(D6747,'taxonomy map'!$A$1:$C$107,2,FALSE),"")</f>
        <v/>
      </c>
      <c r="F6747" s="49" t="str">
        <f>IFERROR(VLOOKUP(E6747,'Condensed Specialty Crosswalk'!$A$2:$C$106,2,FALSE),"")</f>
        <v/>
      </c>
      <c r="G6747" s="49" t="str">
        <f>IFERROR(VLOOKUP(E6747,'Condensed Specialty Crosswalk'!$A$2:$C$106,3,FALSE),"")</f>
        <v/>
      </c>
    </row>
    <row r="6748" spans="5:7" ht="15" customHeight="1">
      <c r="E6748" s="49" t="str">
        <f>IFERROR(VLOOKUP(D6748,'taxonomy map'!$A$1:$C$107,2,FALSE),"")</f>
        <v/>
      </c>
      <c r="F6748" s="49" t="str">
        <f>IFERROR(VLOOKUP(E6748,'Condensed Specialty Crosswalk'!$A$2:$C$106,2,FALSE),"")</f>
        <v/>
      </c>
      <c r="G6748" s="49" t="str">
        <f>IFERROR(VLOOKUP(E6748,'Condensed Specialty Crosswalk'!$A$2:$C$106,3,FALSE),"")</f>
        <v/>
      </c>
    </row>
    <row r="6749" spans="5:7" ht="15" customHeight="1">
      <c r="E6749" s="49" t="str">
        <f>IFERROR(VLOOKUP(D6749,'taxonomy map'!$A$1:$C$107,2,FALSE),"")</f>
        <v/>
      </c>
      <c r="F6749" s="49" t="str">
        <f>IFERROR(VLOOKUP(E6749,'Condensed Specialty Crosswalk'!$A$2:$C$106,2,FALSE),"")</f>
        <v/>
      </c>
      <c r="G6749" s="49" t="str">
        <f>IFERROR(VLOOKUP(E6749,'Condensed Specialty Crosswalk'!$A$2:$C$106,3,FALSE),"")</f>
        <v/>
      </c>
    </row>
    <row r="6750" spans="5:7" ht="15" customHeight="1">
      <c r="E6750" s="49" t="str">
        <f>IFERROR(VLOOKUP(D6750,'taxonomy map'!$A$1:$C$107,2,FALSE),"")</f>
        <v/>
      </c>
      <c r="F6750" s="49" t="str">
        <f>IFERROR(VLOOKUP(E6750,'Condensed Specialty Crosswalk'!$A$2:$C$106,2,FALSE),"")</f>
        <v/>
      </c>
      <c r="G6750" s="49" t="str">
        <f>IFERROR(VLOOKUP(E6750,'Condensed Specialty Crosswalk'!$A$2:$C$106,3,FALSE),"")</f>
        <v/>
      </c>
    </row>
    <row r="6751" spans="5:7" ht="15" customHeight="1">
      <c r="E6751" s="49" t="str">
        <f>IFERROR(VLOOKUP(D6751,'taxonomy map'!$A$1:$C$107,2,FALSE),"")</f>
        <v/>
      </c>
      <c r="F6751" s="49" t="str">
        <f>IFERROR(VLOOKUP(E6751,'Condensed Specialty Crosswalk'!$A$2:$C$106,2,FALSE),"")</f>
        <v/>
      </c>
      <c r="G6751" s="49" t="str">
        <f>IFERROR(VLOOKUP(E6751,'Condensed Specialty Crosswalk'!$A$2:$C$106,3,FALSE),"")</f>
        <v/>
      </c>
    </row>
    <row r="6752" spans="5:7" ht="15" customHeight="1">
      <c r="E6752" s="49" t="str">
        <f>IFERROR(VLOOKUP(D6752,'taxonomy map'!$A$1:$C$107,2,FALSE),"")</f>
        <v/>
      </c>
      <c r="F6752" s="49" t="str">
        <f>IFERROR(VLOOKUP(E6752,'Condensed Specialty Crosswalk'!$A$2:$C$106,2,FALSE),"")</f>
        <v/>
      </c>
      <c r="G6752" s="49" t="str">
        <f>IFERROR(VLOOKUP(E6752,'Condensed Specialty Crosswalk'!$A$2:$C$106,3,FALSE),"")</f>
        <v/>
      </c>
    </row>
    <row r="6753" spans="5:7" ht="15" customHeight="1">
      <c r="E6753" s="49" t="str">
        <f>IFERROR(VLOOKUP(D6753,'taxonomy map'!$A$1:$C$107,2,FALSE),"")</f>
        <v/>
      </c>
      <c r="F6753" s="49" t="str">
        <f>IFERROR(VLOOKUP(E6753,'Condensed Specialty Crosswalk'!$A$2:$C$106,2,FALSE),"")</f>
        <v/>
      </c>
      <c r="G6753" s="49" t="str">
        <f>IFERROR(VLOOKUP(E6753,'Condensed Specialty Crosswalk'!$A$2:$C$106,3,FALSE),"")</f>
        <v/>
      </c>
    </row>
    <row r="6754" spans="5:7" ht="15" customHeight="1">
      <c r="E6754" s="49" t="str">
        <f>IFERROR(VLOOKUP(D6754,'taxonomy map'!$A$1:$C$107,2,FALSE),"")</f>
        <v/>
      </c>
      <c r="F6754" s="49" t="str">
        <f>IFERROR(VLOOKUP(E6754,'Condensed Specialty Crosswalk'!$A$2:$C$106,2,FALSE),"")</f>
        <v/>
      </c>
      <c r="G6754" s="49" t="str">
        <f>IFERROR(VLOOKUP(E6754,'Condensed Specialty Crosswalk'!$A$2:$C$106,3,FALSE),"")</f>
        <v/>
      </c>
    </row>
    <row r="6755" spans="5:7" ht="15" customHeight="1">
      <c r="E6755" s="49" t="str">
        <f>IFERROR(VLOOKUP(D6755,'taxonomy map'!$A$1:$C$107,2,FALSE),"")</f>
        <v/>
      </c>
      <c r="F6755" s="49" t="str">
        <f>IFERROR(VLOOKUP(E6755,'Condensed Specialty Crosswalk'!$A$2:$C$106,2,FALSE),"")</f>
        <v/>
      </c>
      <c r="G6755" s="49" t="str">
        <f>IFERROR(VLOOKUP(E6755,'Condensed Specialty Crosswalk'!$A$2:$C$106,3,FALSE),"")</f>
        <v/>
      </c>
    </row>
    <row r="6756" spans="5:7" ht="15" customHeight="1">
      <c r="E6756" s="49" t="str">
        <f>IFERROR(VLOOKUP(D6756,'taxonomy map'!$A$1:$C$107,2,FALSE),"")</f>
        <v/>
      </c>
      <c r="F6756" s="49" t="str">
        <f>IFERROR(VLOOKUP(E6756,'Condensed Specialty Crosswalk'!$A$2:$C$106,2,FALSE),"")</f>
        <v/>
      </c>
      <c r="G6756" s="49" t="str">
        <f>IFERROR(VLOOKUP(E6756,'Condensed Specialty Crosswalk'!$A$2:$C$106,3,FALSE),"")</f>
        <v/>
      </c>
    </row>
    <row r="6757" spans="5:7" ht="15" customHeight="1">
      <c r="E6757" s="49" t="str">
        <f>IFERROR(VLOOKUP(D6757,'taxonomy map'!$A$1:$C$107,2,FALSE),"")</f>
        <v/>
      </c>
      <c r="F6757" s="49" t="str">
        <f>IFERROR(VLOOKUP(E6757,'Condensed Specialty Crosswalk'!$A$2:$C$106,2,FALSE),"")</f>
        <v/>
      </c>
      <c r="G6757" s="49" t="str">
        <f>IFERROR(VLOOKUP(E6757,'Condensed Specialty Crosswalk'!$A$2:$C$106,3,FALSE),"")</f>
        <v/>
      </c>
    </row>
    <row r="6758" spans="5:7" ht="15" customHeight="1">
      <c r="E6758" s="49" t="str">
        <f>IFERROR(VLOOKUP(D6758,'taxonomy map'!$A$1:$C$107,2,FALSE),"")</f>
        <v/>
      </c>
      <c r="F6758" s="49" t="str">
        <f>IFERROR(VLOOKUP(E6758,'Condensed Specialty Crosswalk'!$A$2:$C$106,2,FALSE),"")</f>
        <v/>
      </c>
      <c r="G6758" s="49" t="str">
        <f>IFERROR(VLOOKUP(E6758,'Condensed Specialty Crosswalk'!$A$2:$C$106,3,FALSE),"")</f>
        <v/>
      </c>
    </row>
    <row r="6759" spans="5:7" ht="15" customHeight="1">
      <c r="E6759" s="49" t="str">
        <f>IFERROR(VLOOKUP(D6759,'taxonomy map'!$A$1:$C$107,2,FALSE),"")</f>
        <v/>
      </c>
      <c r="F6759" s="49" t="str">
        <f>IFERROR(VLOOKUP(E6759,'Condensed Specialty Crosswalk'!$A$2:$C$106,2,FALSE),"")</f>
        <v/>
      </c>
      <c r="G6759" s="49" t="str">
        <f>IFERROR(VLOOKUP(E6759,'Condensed Specialty Crosswalk'!$A$2:$C$106,3,FALSE),"")</f>
        <v/>
      </c>
    </row>
    <row r="6760" spans="5:7" ht="15" customHeight="1">
      <c r="E6760" s="49" t="str">
        <f>IFERROR(VLOOKUP(D6760,'taxonomy map'!$A$1:$C$107,2,FALSE),"")</f>
        <v/>
      </c>
      <c r="F6760" s="49" t="str">
        <f>IFERROR(VLOOKUP(E6760,'Condensed Specialty Crosswalk'!$A$2:$C$106,2,FALSE),"")</f>
        <v/>
      </c>
      <c r="G6760" s="49" t="str">
        <f>IFERROR(VLOOKUP(E6760,'Condensed Specialty Crosswalk'!$A$2:$C$106,3,FALSE),"")</f>
        <v/>
      </c>
    </row>
    <row r="6761" spans="5:7" ht="15" customHeight="1">
      <c r="E6761" s="49" t="str">
        <f>IFERROR(VLOOKUP(D6761,'taxonomy map'!$A$1:$C$107,2,FALSE),"")</f>
        <v/>
      </c>
      <c r="F6761" s="49" t="str">
        <f>IFERROR(VLOOKUP(E6761,'Condensed Specialty Crosswalk'!$A$2:$C$106,2,FALSE),"")</f>
        <v/>
      </c>
      <c r="G6761" s="49" t="str">
        <f>IFERROR(VLOOKUP(E6761,'Condensed Specialty Crosswalk'!$A$2:$C$106,3,FALSE),"")</f>
        <v/>
      </c>
    </row>
    <row r="6762" spans="5:7" ht="15" customHeight="1">
      <c r="E6762" s="49" t="str">
        <f>IFERROR(VLOOKUP(D6762,'taxonomy map'!$A$1:$C$107,2,FALSE),"")</f>
        <v/>
      </c>
      <c r="F6762" s="49" t="str">
        <f>IFERROR(VLOOKUP(E6762,'Condensed Specialty Crosswalk'!$A$2:$C$106,2,FALSE),"")</f>
        <v/>
      </c>
      <c r="G6762" s="49" t="str">
        <f>IFERROR(VLOOKUP(E6762,'Condensed Specialty Crosswalk'!$A$2:$C$106,3,FALSE),"")</f>
        <v/>
      </c>
    </row>
    <row r="6763" spans="5:7" ht="15" customHeight="1">
      <c r="E6763" s="49" t="str">
        <f>IFERROR(VLOOKUP(D6763,'taxonomy map'!$A$1:$C$107,2,FALSE),"")</f>
        <v/>
      </c>
      <c r="F6763" s="49" t="str">
        <f>IFERROR(VLOOKUP(E6763,'Condensed Specialty Crosswalk'!$A$2:$C$106,2,FALSE),"")</f>
        <v/>
      </c>
      <c r="G6763" s="49" t="str">
        <f>IFERROR(VLOOKUP(E6763,'Condensed Specialty Crosswalk'!$A$2:$C$106,3,FALSE),"")</f>
        <v/>
      </c>
    </row>
    <row r="6764" spans="5:7" ht="15" customHeight="1">
      <c r="E6764" s="49" t="str">
        <f>IFERROR(VLOOKUP(D6764,'taxonomy map'!$A$1:$C$107,2,FALSE),"")</f>
        <v/>
      </c>
      <c r="F6764" s="49" t="str">
        <f>IFERROR(VLOOKUP(E6764,'Condensed Specialty Crosswalk'!$A$2:$C$106,2,FALSE),"")</f>
        <v/>
      </c>
      <c r="G6764" s="49" t="str">
        <f>IFERROR(VLOOKUP(E6764,'Condensed Specialty Crosswalk'!$A$2:$C$106,3,FALSE),"")</f>
        <v/>
      </c>
    </row>
    <row r="6765" spans="5:7" ht="15" customHeight="1">
      <c r="E6765" s="49" t="str">
        <f>IFERROR(VLOOKUP(D6765,'taxonomy map'!$A$1:$C$107,2,FALSE),"")</f>
        <v/>
      </c>
      <c r="F6765" s="49" t="str">
        <f>IFERROR(VLOOKUP(E6765,'Condensed Specialty Crosswalk'!$A$2:$C$106,2,FALSE),"")</f>
        <v/>
      </c>
      <c r="G6765" s="49" t="str">
        <f>IFERROR(VLOOKUP(E6765,'Condensed Specialty Crosswalk'!$A$2:$C$106,3,FALSE),"")</f>
        <v/>
      </c>
    </row>
    <row r="6766" spans="5:7" ht="15" customHeight="1">
      <c r="E6766" s="49" t="str">
        <f>IFERROR(VLOOKUP(D6766,'taxonomy map'!$A$1:$C$107,2,FALSE),"")</f>
        <v/>
      </c>
      <c r="F6766" s="49" t="str">
        <f>IFERROR(VLOOKUP(E6766,'Condensed Specialty Crosswalk'!$A$2:$C$106,2,FALSE),"")</f>
        <v/>
      </c>
      <c r="G6766" s="49" t="str">
        <f>IFERROR(VLOOKUP(E6766,'Condensed Specialty Crosswalk'!$A$2:$C$106,3,FALSE),"")</f>
        <v/>
      </c>
    </row>
    <row r="6767" spans="5:7" ht="15" customHeight="1">
      <c r="E6767" s="49" t="str">
        <f>IFERROR(VLOOKUP(D6767,'taxonomy map'!$A$1:$C$107,2,FALSE),"")</f>
        <v/>
      </c>
      <c r="F6767" s="49" t="str">
        <f>IFERROR(VLOOKUP(E6767,'Condensed Specialty Crosswalk'!$A$2:$C$106,2,FALSE),"")</f>
        <v/>
      </c>
      <c r="G6767" s="49" t="str">
        <f>IFERROR(VLOOKUP(E6767,'Condensed Specialty Crosswalk'!$A$2:$C$106,3,FALSE),"")</f>
        <v/>
      </c>
    </row>
    <row r="6768" spans="5:7" ht="15" customHeight="1">
      <c r="E6768" s="49" t="str">
        <f>IFERROR(VLOOKUP(D6768,'taxonomy map'!$A$1:$C$107,2,FALSE),"")</f>
        <v/>
      </c>
      <c r="F6768" s="49" t="str">
        <f>IFERROR(VLOOKUP(E6768,'Condensed Specialty Crosswalk'!$A$2:$C$106,2,FALSE),"")</f>
        <v/>
      </c>
      <c r="G6768" s="49" t="str">
        <f>IFERROR(VLOOKUP(E6768,'Condensed Specialty Crosswalk'!$A$2:$C$106,3,FALSE),"")</f>
        <v/>
      </c>
    </row>
    <row r="6769" spans="5:7" ht="15" customHeight="1">
      <c r="E6769" s="49" t="str">
        <f>IFERROR(VLOOKUP(D6769,'taxonomy map'!$A$1:$C$107,2,FALSE),"")</f>
        <v/>
      </c>
      <c r="F6769" s="49" t="str">
        <f>IFERROR(VLOOKUP(E6769,'Condensed Specialty Crosswalk'!$A$2:$C$106,2,FALSE),"")</f>
        <v/>
      </c>
      <c r="G6769" s="49" t="str">
        <f>IFERROR(VLOOKUP(E6769,'Condensed Specialty Crosswalk'!$A$2:$C$106,3,FALSE),"")</f>
        <v/>
      </c>
    </row>
    <row r="6770" spans="5:7" ht="15" customHeight="1">
      <c r="E6770" s="49" t="str">
        <f>IFERROR(VLOOKUP(D6770,'taxonomy map'!$A$1:$C$107,2,FALSE),"")</f>
        <v/>
      </c>
      <c r="F6770" s="49" t="str">
        <f>IFERROR(VLOOKUP(E6770,'Condensed Specialty Crosswalk'!$A$2:$C$106,2,FALSE),"")</f>
        <v/>
      </c>
      <c r="G6770" s="49" t="str">
        <f>IFERROR(VLOOKUP(E6770,'Condensed Specialty Crosswalk'!$A$2:$C$106,3,FALSE),"")</f>
        <v/>
      </c>
    </row>
    <row r="6771" spans="5:7" ht="15" customHeight="1">
      <c r="E6771" s="49" t="str">
        <f>IFERROR(VLOOKUP(D6771,'taxonomy map'!$A$1:$C$107,2,FALSE),"")</f>
        <v/>
      </c>
      <c r="F6771" s="49" t="str">
        <f>IFERROR(VLOOKUP(E6771,'Condensed Specialty Crosswalk'!$A$2:$C$106,2,FALSE),"")</f>
        <v/>
      </c>
      <c r="G6771" s="49" t="str">
        <f>IFERROR(VLOOKUP(E6771,'Condensed Specialty Crosswalk'!$A$2:$C$106,3,FALSE),"")</f>
        <v/>
      </c>
    </row>
    <row r="6772" spans="5:7" ht="15" customHeight="1">
      <c r="E6772" s="49" t="str">
        <f>IFERROR(VLOOKUP(D6772,'taxonomy map'!$A$1:$C$107,2,FALSE),"")</f>
        <v/>
      </c>
      <c r="F6772" s="49" t="str">
        <f>IFERROR(VLOOKUP(E6772,'Condensed Specialty Crosswalk'!$A$2:$C$106,2,FALSE),"")</f>
        <v/>
      </c>
      <c r="G6772" s="49" t="str">
        <f>IFERROR(VLOOKUP(E6772,'Condensed Specialty Crosswalk'!$A$2:$C$106,3,FALSE),"")</f>
        <v/>
      </c>
    </row>
    <row r="6773" spans="5:7" ht="15" customHeight="1">
      <c r="E6773" s="49" t="str">
        <f>IFERROR(VLOOKUP(D6773,'taxonomy map'!$A$1:$C$107,2,FALSE),"")</f>
        <v/>
      </c>
      <c r="F6773" s="49" t="str">
        <f>IFERROR(VLOOKUP(E6773,'Condensed Specialty Crosswalk'!$A$2:$C$106,2,FALSE),"")</f>
        <v/>
      </c>
      <c r="G6773" s="49" t="str">
        <f>IFERROR(VLOOKUP(E6773,'Condensed Specialty Crosswalk'!$A$2:$C$106,3,FALSE),"")</f>
        <v/>
      </c>
    </row>
    <row r="6774" spans="5:7" ht="15" customHeight="1">
      <c r="E6774" s="49" t="str">
        <f>IFERROR(VLOOKUP(D6774,'taxonomy map'!$A$1:$C$107,2,FALSE),"")</f>
        <v/>
      </c>
      <c r="F6774" s="49" t="str">
        <f>IFERROR(VLOOKUP(E6774,'Condensed Specialty Crosswalk'!$A$2:$C$106,2,FALSE),"")</f>
        <v/>
      </c>
      <c r="G6774" s="49" t="str">
        <f>IFERROR(VLOOKUP(E6774,'Condensed Specialty Crosswalk'!$A$2:$C$106,3,FALSE),"")</f>
        <v/>
      </c>
    </row>
    <row r="6775" spans="5:7" ht="15" customHeight="1">
      <c r="E6775" s="49" t="str">
        <f>IFERROR(VLOOKUP(D6775,'taxonomy map'!$A$1:$C$107,2,FALSE),"")</f>
        <v/>
      </c>
      <c r="F6775" s="49" t="str">
        <f>IFERROR(VLOOKUP(E6775,'Condensed Specialty Crosswalk'!$A$2:$C$106,2,FALSE),"")</f>
        <v/>
      </c>
      <c r="G6775" s="49" t="str">
        <f>IFERROR(VLOOKUP(E6775,'Condensed Specialty Crosswalk'!$A$2:$C$106,3,FALSE),"")</f>
        <v/>
      </c>
    </row>
    <row r="6776" spans="5:7" ht="15" customHeight="1">
      <c r="E6776" s="49" t="str">
        <f>IFERROR(VLOOKUP(D6776,'taxonomy map'!$A$1:$C$107,2,FALSE),"")</f>
        <v/>
      </c>
      <c r="F6776" s="49" t="str">
        <f>IFERROR(VLOOKUP(E6776,'Condensed Specialty Crosswalk'!$A$2:$C$106,2,FALSE),"")</f>
        <v/>
      </c>
      <c r="G6776" s="49" t="str">
        <f>IFERROR(VLOOKUP(E6776,'Condensed Specialty Crosswalk'!$A$2:$C$106,3,FALSE),"")</f>
        <v/>
      </c>
    </row>
    <row r="6777" spans="5:7" ht="15" customHeight="1">
      <c r="E6777" s="49" t="str">
        <f>IFERROR(VLOOKUP(D6777,'taxonomy map'!$A$1:$C$107,2,FALSE),"")</f>
        <v/>
      </c>
      <c r="F6777" s="49" t="str">
        <f>IFERROR(VLOOKUP(E6777,'Condensed Specialty Crosswalk'!$A$2:$C$106,2,FALSE),"")</f>
        <v/>
      </c>
      <c r="G6777" s="49" t="str">
        <f>IFERROR(VLOOKUP(E6777,'Condensed Specialty Crosswalk'!$A$2:$C$106,3,FALSE),"")</f>
        <v/>
      </c>
    </row>
    <row r="6778" spans="5:7" ht="15" customHeight="1">
      <c r="E6778" s="49" t="str">
        <f>IFERROR(VLOOKUP(D6778,'taxonomy map'!$A$1:$C$107,2,FALSE),"")</f>
        <v/>
      </c>
      <c r="F6778" s="49" t="str">
        <f>IFERROR(VLOOKUP(E6778,'Condensed Specialty Crosswalk'!$A$2:$C$106,2,FALSE),"")</f>
        <v/>
      </c>
      <c r="G6778" s="49" t="str">
        <f>IFERROR(VLOOKUP(E6778,'Condensed Specialty Crosswalk'!$A$2:$C$106,3,FALSE),"")</f>
        <v/>
      </c>
    </row>
    <row r="6779" spans="5:7" ht="15" customHeight="1">
      <c r="E6779" s="49" t="str">
        <f>IFERROR(VLOOKUP(D6779,'taxonomy map'!$A$1:$C$107,2,FALSE),"")</f>
        <v/>
      </c>
      <c r="F6779" s="49" t="str">
        <f>IFERROR(VLOOKUP(E6779,'Condensed Specialty Crosswalk'!$A$2:$C$106,2,FALSE),"")</f>
        <v/>
      </c>
      <c r="G6779" s="49" t="str">
        <f>IFERROR(VLOOKUP(E6779,'Condensed Specialty Crosswalk'!$A$2:$C$106,3,FALSE),"")</f>
        <v/>
      </c>
    </row>
    <row r="6780" spans="5:7" ht="15" customHeight="1">
      <c r="E6780" s="49" t="str">
        <f>IFERROR(VLOOKUP(D6780,'taxonomy map'!$A$1:$C$107,2,FALSE),"")</f>
        <v/>
      </c>
      <c r="F6780" s="49" t="str">
        <f>IFERROR(VLOOKUP(E6780,'Condensed Specialty Crosswalk'!$A$2:$C$106,2,FALSE),"")</f>
        <v/>
      </c>
      <c r="G6780" s="49" t="str">
        <f>IFERROR(VLOOKUP(E6780,'Condensed Specialty Crosswalk'!$A$2:$C$106,3,FALSE),"")</f>
        <v/>
      </c>
    </row>
    <row r="6781" spans="5:7" ht="15" customHeight="1">
      <c r="E6781" s="49" t="str">
        <f>IFERROR(VLOOKUP(D6781,'taxonomy map'!$A$1:$C$107,2,FALSE),"")</f>
        <v/>
      </c>
      <c r="F6781" s="49" t="str">
        <f>IFERROR(VLOOKUP(E6781,'Condensed Specialty Crosswalk'!$A$2:$C$106,2,FALSE),"")</f>
        <v/>
      </c>
      <c r="G6781" s="49" t="str">
        <f>IFERROR(VLOOKUP(E6781,'Condensed Specialty Crosswalk'!$A$2:$C$106,3,FALSE),"")</f>
        <v/>
      </c>
    </row>
    <row r="6782" spans="5:7" ht="15" customHeight="1">
      <c r="E6782" s="49" t="str">
        <f>IFERROR(VLOOKUP(D6782,'taxonomy map'!$A$1:$C$107,2,FALSE),"")</f>
        <v/>
      </c>
      <c r="F6782" s="49" t="str">
        <f>IFERROR(VLOOKUP(E6782,'Condensed Specialty Crosswalk'!$A$2:$C$106,2,FALSE),"")</f>
        <v/>
      </c>
      <c r="G6782" s="49" t="str">
        <f>IFERROR(VLOOKUP(E6782,'Condensed Specialty Crosswalk'!$A$2:$C$106,3,FALSE),"")</f>
        <v/>
      </c>
    </row>
    <row r="6783" spans="5:7" ht="15" customHeight="1">
      <c r="E6783" s="49" t="str">
        <f>IFERROR(VLOOKUP(D6783,'taxonomy map'!$A$1:$C$107,2,FALSE),"")</f>
        <v/>
      </c>
      <c r="F6783" s="49" t="str">
        <f>IFERROR(VLOOKUP(E6783,'Condensed Specialty Crosswalk'!$A$2:$C$106,2,FALSE),"")</f>
        <v/>
      </c>
      <c r="G6783" s="49" t="str">
        <f>IFERROR(VLOOKUP(E6783,'Condensed Specialty Crosswalk'!$A$2:$C$106,3,FALSE),"")</f>
        <v/>
      </c>
    </row>
    <row r="6784" spans="5:7" ht="15" customHeight="1">
      <c r="E6784" s="49" t="str">
        <f>IFERROR(VLOOKUP(D6784,'taxonomy map'!$A$1:$C$107,2,FALSE),"")</f>
        <v/>
      </c>
      <c r="F6784" s="49" t="str">
        <f>IFERROR(VLOOKUP(E6784,'Condensed Specialty Crosswalk'!$A$2:$C$106,2,FALSE),"")</f>
        <v/>
      </c>
      <c r="G6784" s="49" t="str">
        <f>IFERROR(VLOOKUP(E6784,'Condensed Specialty Crosswalk'!$A$2:$C$106,3,FALSE),"")</f>
        <v/>
      </c>
    </row>
    <row r="6785" spans="5:7" ht="15" customHeight="1">
      <c r="E6785" s="49" t="str">
        <f>IFERROR(VLOOKUP(D6785,'taxonomy map'!$A$1:$C$107,2,FALSE),"")</f>
        <v/>
      </c>
      <c r="F6785" s="49" t="str">
        <f>IFERROR(VLOOKUP(E6785,'Condensed Specialty Crosswalk'!$A$2:$C$106,2,FALSE),"")</f>
        <v/>
      </c>
      <c r="G6785" s="49" t="str">
        <f>IFERROR(VLOOKUP(E6785,'Condensed Specialty Crosswalk'!$A$2:$C$106,3,FALSE),"")</f>
        <v/>
      </c>
    </row>
    <row r="6786" spans="5:7" ht="15" customHeight="1">
      <c r="E6786" s="49" t="str">
        <f>IFERROR(VLOOKUP(D6786,'taxonomy map'!$A$1:$C$107,2,FALSE),"")</f>
        <v/>
      </c>
      <c r="F6786" s="49" t="str">
        <f>IFERROR(VLOOKUP(E6786,'Condensed Specialty Crosswalk'!$A$2:$C$106,2,FALSE),"")</f>
        <v/>
      </c>
      <c r="G6786" s="49" t="str">
        <f>IFERROR(VLOOKUP(E6786,'Condensed Specialty Crosswalk'!$A$2:$C$106,3,FALSE),"")</f>
        <v/>
      </c>
    </row>
    <row r="6787" spans="5:7" ht="15" customHeight="1">
      <c r="E6787" s="49" t="str">
        <f>IFERROR(VLOOKUP(D6787,'taxonomy map'!$A$1:$C$107,2,FALSE),"")</f>
        <v/>
      </c>
      <c r="F6787" s="49" t="str">
        <f>IFERROR(VLOOKUP(E6787,'Condensed Specialty Crosswalk'!$A$2:$C$106,2,FALSE),"")</f>
        <v/>
      </c>
      <c r="G6787" s="49" t="str">
        <f>IFERROR(VLOOKUP(E6787,'Condensed Specialty Crosswalk'!$A$2:$C$106,3,FALSE),"")</f>
        <v/>
      </c>
    </row>
    <row r="6788" spans="5:7" ht="15" customHeight="1">
      <c r="E6788" s="49" t="str">
        <f>IFERROR(VLOOKUP(D6788,'taxonomy map'!$A$1:$C$107,2,FALSE),"")</f>
        <v/>
      </c>
      <c r="F6788" s="49" t="str">
        <f>IFERROR(VLOOKUP(E6788,'Condensed Specialty Crosswalk'!$A$2:$C$106,2,FALSE),"")</f>
        <v/>
      </c>
      <c r="G6788" s="49" t="str">
        <f>IFERROR(VLOOKUP(E6788,'Condensed Specialty Crosswalk'!$A$2:$C$106,3,FALSE),"")</f>
        <v/>
      </c>
    </row>
    <row r="6789" spans="5:7" ht="15" customHeight="1">
      <c r="E6789" s="49" t="str">
        <f>IFERROR(VLOOKUP(D6789,'taxonomy map'!$A$1:$C$107,2,FALSE),"")</f>
        <v/>
      </c>
      <c r="F6789" s="49" t="str">
        <f>IFERROR(VLOOKUP(E6789,'Condensed Specialty Crosswalk'!$A$2:$C$106,2,FALSE),"")</f>
        <v/>
      </c>
      <c r="G6789" s="49" t="str">
        <f>IFERROR(VLOOKUP(E6789,'Condensed Specialty Crosswalk'!$A$2:$C$106,3,FALSE),"")</f>
        <v/>
      </c>
    </row>
    <row r="6790" spans="5:7" ht="15" customHeight="1">
      <c r="E6790" s="49" t="str">
        <f>IFERROR(VLOOKUP(D6790,'taxonomy map'!$A$1:$C$107,2,FALSE),"")</f>
        <v/>
      </c>
      <c r="F6790" s="49" t="str">
        <f>IFERROR(VLOOKUP(E6790,'Condensed Specialty Crosswalk'!$A$2:$C$106,2,FALSE),"")</f>
        <v/>
      </c>
      <c r="G6790" s="49" t="str">
        <f>IFERROR(VLOOKUP(E6790,'Condensed Specialty Crosswalk'!$A$2:$C$106,3,FALSE),"")</f>
        <v/>
      </c>
    </row>
    <row r="6791" spans="5:7" ht="15" customHeight="1">
      <c r="E6791" s="49" t="str">
        <f>IFERROR(VLOOKUP(D6791,'taxonomy map'!$A$1:$C$107,2,FALSE),"")</f>
        <v/>
      </c>
      <c r="F6791" s="49" t="str">
        <f>IFERROR(VLOOKUP(E6791,'Condensed Specialty Crosswalk'!$A$2:$C$106,2,FALSE),"")</f>
        <v/>
      </c>
      <c r="G6791" s="49" t="str">
        <f>IFERROR(VLOOKUP(E6791,'Condensed Specialty Crosswalk'!$A$2:$C$106,3,FALSE),"")</f>
        <v/>
      </c>
    </row>
    <row r="6792" spans="5:7" ht="15" customHeight="1">
      <c r="E6792" s="49" t="str">
        <f>IFERROR(VLOOKUP(D6792,'taxonomy map'!$A$1:$C$107,2,FALSE),"")</f>
        <v/>
      </c>
      <c r="F6792" s="49" t="str">
        <f>IFERROR(VLOOKUP(E6792,'Condensed Specialty Crosswalk'!$A$2:$C$106,2,FALSE),"")</f>
        <v/>
      </c>
      <c r="G6792" s="49" t="str">
        <f>IFERROR(VLOOKUP(E6792,'Condensed Specialty Crosswalk'!$A$2:$C$106,3,FALSE),"")</f>
        <v/>
      </c>
    </row>
    <row r="6793" spans="5:7" ht="15" customHeight="1">
      <c r="E6793" s="49" t="str">
        <f>IFERROR(VLOOKUP(D6793,'taxonomy map'!$A$1:$C$107,2,FALSE),"")</f>
        <v/>
      </c>
      <c r="F6793" s="49" t="str">
        <f>IFERROR(VLOOKUP(E6793,'Condensed Specialty Crosswalk'!$A$2:$C$106,2,FALSE),"")</f>
        <v/>
      </c>
      <c r="G6793" s="49" t="str">
        <f>IFERROR(VLOOKUP(E6793,'Condensed Specialty Crosswalk'!$A$2:$C$106,3,FALSE),"")</f>
        <v/>
      </c>
    </row>
    <row r="6794" spans="5:7" ht="15" customHeight="1">
      <c r="E6794" s="49" t="str">
        <f>IFERROR(VLOOKUP(D6794,'taxonomy map'!$A$1:$C$107,2,FALSE),"")</f>
        <v/>
      </c>
      <c r="F6794" s="49" t="str">
        <f>IFERROR(VLOOKUP(E6794,'Condensed Specialty Crosswalk'!$A$2:$C$106,2,FALSE),"")</f>
        <v/>
      </c>
      <c r="G6794" s="49" t="str">
        <f>IFERROR(VLOOKUP(E6794,'Condensed Specialty Crosswalk'!$A$2:$C$106,3,FALSE),"")</f>
        <v/>
      </c>
    </row>
    <row r="6795" spans="5:7" ht="15" customHeight="1">
      <c r="E6795" s="49" t="str">
        <f>IFERROR(VLOOKUP(D6795,'taxonomy map'!$A$1:$C$107,2,FALSE),"")</f>
        <v/>
      </c>
      <c r="F6795" s="49" t="str">
        <f>IFERROR(VLOOKUP(E6795,'Condensed Specialty Crosswalk'!$A$2:$C$106,2,FALSE),"")</f>
        <v/>
      </c>
      <c r="G6795" s="49" t="str">
        <f>IFERROR(VLOOKUP(E6795,'Condensed Specialty Crosswalk'!$A$2:$C$106,3,FALSE),"")</f>
        <v/>
      </c>
    </row>
    <row r="6796" spans="5:7" ht="15" customHeight="1">
      <c r="E6796" s="49" t="str">
        <f>IFERROR(VLOOKUP(D6796,'taxonomy map'!$A$1:$C$107,2,FALSE),"")</f>
        <v/>
      </c>
      <c r="F6796" s="49" t="str">
        <f>IFERROR(VLOOKUP(E6796,'Condensed Specialty Crosswalk'!$A$2:$C$106,2,FALSE),"")</f>
        <v/>
      </c>
      <c r="G6796" s="49" t="str">
        <f>IFERROR(VLOOKUP(E6796,'Condensed Specialty Crosswalk'!$A$2:$C$106,3,FALSE),"")</f>
        <v/>
      </c>
    </row>
    <row r="6797" spans="5:7" ht="15" customHeight="1">
      <c r="E6797" s="49" t="str">
        <f>IFERROR(VLOOKUP(D6797,'taxonomy map'!$A$1:$C$107,2,FALSE),"")</f>
        <v/>
      </c>
      <c r="F6797" s="49" t="str">
        <f>IFERROR(VLOOKUP(E6797,'Condensed Specialty Crosswalk'!$A$2:$C$106,2,FALSE),"")</f>
        <v/>
      </c>
      <c r="G6797" s="49" t="str">
        <f>IFERROR(VLOOKUP(E6797,'Condensed Specialty Crosswalk'!$A$2:$C$106,3,FALSE),"")</f>
        <v/>
      </c>
    </row>
    <row r="6798" spans="5:7" ht="15" customHeight="1">
      <c r="E6798" s="49" t="str">
        <f>IFERROR(VLOOKUP(D6798,'taxonomy map'!$A$1:$C$107,2,FALSE),"")</f>
        <v/>
      </c>
      <c r="F6798" s="49" t="str">
        <f>IFERROR(VLOOKUP(E6798,'Condensed Specialty Crosswalk'!$A$2:$C$106,2,FALSE),"")</f>
        <v/>
      </c>
      <c r="G6798" s="49" t="str">
        <f>IFERROR(VLOOKUP(E6798,'Condensed Specialty Crosswalk'!$A$2:$C$106,3,FALSE),"")</f>
        <v/>
      </c>
    </row>
    <row r="6799" spans="5:7" ht="15" customHeight="1">
      <c r="E6799" s="49" t="str">
        <f>IFERROR(VLOOKUP(D6799,'taxonomy map'!$A$1:$C$107,2,FALSE),"")</f>
        <v/>
      </c>
      <c r="F6799" s="49" t="str">
        <f>IFERROR(VLOOKUP(E6799,'Condensed Specialty Crosswalk'!$A$2:$C$106,2,FALSE),"")</f>
        <v/>
      </c>
      <c r="G6799" s="49" t="str">
        <f>IFERROR(VLOOKUP(E6799,'Condensed Specialty Crosswalk'!$A$2:$C$106,3,FALSE),"")</f>
        <v/>
      </c>
    </row>
    <row r="6800" spans="5:7" ht="15" customHeight="1">
      <c r="E6800" s="49" t="str">
        <f>IFERROR(VLOOKUP(D6800,'taxonomy map'!$A$1:$C$107,2,FALSE),"")</f>
        <v/>
      </c>
      <c r="F6800" s="49" t="str">
        <f>IFERROR(VLOOKUP(E6800,'Condensed Specialty Crosswalk'!$A$2:$C$106,2,FALSE),"")</f>
        <v/>
      </c>
      <c r="G6800" s="49" t="str">
        <f>IFERROR(VLOOKUP(E6800,'Condensed Specialty Crosswalk'!$A$2:$C$106,3,FALSE),"")</f>
        <v/>
      </c>
    </row>
    <row r="6801" spans="5:7" ht="15" customHeight="1">
      <c r="E6801" s="49" t="str">
        <f>IFERROR(VLOOKUP(D6801,'taxonomy map'!$A$1:$C$107,2,FALSE),"")</f>
        <v/>
      </c>
      <c r="F6801" s="49" t="str">
        <f>IFERROR(VLOOKUP(E6801,'Condensed Specialty Crosswalk'!$A$2:$C$106,2,FALSE),"")</f>
        <v/>
      </c>
      <c r="G6801" s="49" t="str">
        <f>IFERROR(VLOOKUP(E6801,'Condensed Specialty Crosswalk'!$A$2:$C$106,3,FALSE),"")</f>
        <v/>
      </c>
    </row>
    <row r="6802" spans="5:7" ht="15" customHeight="1">
      <c r="E6802" s="49" t="str">
        <f>IFERROR(VLOOKUP(D6802,'taxonomy map'!$A$1:$C$107,2,FALSE),"")</f>
        <v/>
      </c>
      <c r="F6802" s="49" t="str">
        <f>IFERROR(VLOOKUP(E6802,'Condensed Specialty Crosswalk'!$A$2:$C$106,2,FALSE),"")</f>
        <v/>
      </c>
      <c r="G6802" s="49" t="str">
        <f>IFERROR(VLOOKUP(E6802,'Condensed Specialty Crosswalk'!$A$2:$C$106,3,FALSE),"")</f>
        <v/>
      </c>
    </row>
    <row r="6803" spans="5:7" ht="15" customHeight="1">
      <c r="E6803" s="49" t="str">
        <f>IFERROR(VLOOKUP(D6803,'taxonomy map'!$A$1:$C$107,2,FALSE),"")</f>
        <v/>
      </c>
      <c r="F6803" s="49" t="str">
        <f>IFERROR(VLOOKUP(E6803,'Condensed Specialty Crosswalk'!$A$2:$C$106,2,FALSE),"")</f>
        <v/>
      </c>
      <c r="G6803" s="49" t="str">
        <f>IFERROR(VLOOKUP(E6803,'Condensed Specialty Crosswalk'!$A$2:$C$106,3,FALSE),"")</f>
        <v/>
      </c>
    </row>
    <row r="6804" spans="5:7" ht="15" customHeight="1">
      <c r="E6804" s="49" t="str">
        <f>IFERROR(VLOOKUP(D6804,'taxonomy map'!$A$1:$C$107,2,FALSE),"")</f>
        <v/>
      </c>
      <c r="F6804" s="49" t="str">
        <f>IFERROR(VLOOKUP(E6804,'Condensed Specialty Crosswalk'!$A$2:$C$106,2,FALSE),"")</f>
        <v/>
      </c>
      <c r="G6804" s="49" t="str">
        <f>IFERROR(VLOOKUP(E6804,'Condensed Specialty Crosswalk'!$A$2:$C$106,3,FALSE),"")</f>
        <v/>
      </c>
    </row>
    <row r="6805" spans="5:7" ht="15" customHeight="1">
      <c r="E6805" s="49" t="str">
        <f>IFERROR(VLOOKUP(D6805,'taxonomy map'!$A$1:$C$107,2,FALSE),"")</f>
        <v/>
      </c>
      <c r="F6805" s="49" t="str">
        <f>IFERROR(VLOOKUP(E6805,'Condensed Specialty Crosswalk'!$A$2:$C$106,2,FALSE),"")</f>
        <v/>
      </c>
      <c r="G6805" s="49" t="str">
        <f>IFERROR(VLOOKUP(E6805,'Condensed Specialty Crosswalk'!$A$2:$C$106,3,FALSE),"")</f>
        <v/>
      </c>
    </row>
    <row r="6806" spans="5:7" ht="15" customHeight="1">
      <c r="E6806" s="49" t="str">
        <f>IFERROR(VLOOKUP(D6806,'taxonomy map'!$A$1:$C$107,2,FALSE),"")</f>
        <v/>
      </c>
      <c r="F6806" s="49" t="str">
        <f>IFERROR(VLOOKUP(E6806,'Condensed Specialty Crosswalk'!$A$2:$C$106,2,FALSE),"")</f>
        <v/>
      </c>
      <c r="G6806" s="49" t="str">
        <f>IFERROR(VLOOKUP(E6806,'Condensed Specialty Crosswalk'!$A$2:$C$106,3,FALSE),"")</f>
        <v/>
      </c>
    </row>
    <row r="6807" spans="5:7" ht="15" customHeight="1">
      <c r="E6807" s="49" t="str">
        <f>IFERROR(VLOOKUP(D6807,'taxonomy map'!$A$1:$C$107,2,FALSE),"")</f>
        <v/>
      </c>
      <c r="F6807" s="49" t="str">
        <f>IFERROR(VLOOKUP(E6807,'Condensed Specialty Crosswalk'!$A$2:$C$106,2,FALSE),"")</f>
        <v/>
      </c>
      <c r="G6807" s="49" t="str">
        <f>IFERROR(VLOOKUP(E6807,'Condensed Specialty Crosswalk'!$A$2:$C$106,3,FALSE),"")</f>
        <v/>
      </c>
    </row>
    <row r="6808" spans="5:7" ht="15" customHeight="1">
      <c r="E6808" s="49" t="str">
        <f>IFERROR(VLOOKUP(D6808,'taxonomy map'!$A$1:$C$107,2,FALSE),"")</f>
        <v/>
      </c>
      <c r="F6808" s="49" t="str">
        <f>IFERROR(VLOOKUP(E6808,'Condensed Specialty Crosswalk'!$A$2:$C$106,2,FALSE),"")</f>
        <v/>
      </c>
      <c r="G6808" s="49" t="str">
        <f>IFERROR(VLOOKUP(E6808,'Condensed Specialty Crosswalk'!$A$2:$C$106,3,FALSE),"")</f>
        <v/>
      </c>
    </row>
    <row r="6809" spans="5:7" ht="15" customHeight="1">
      <c r="E6809" s="49" t="str">
        <f>IFERROR(VLOOKUP(D6809,'taxonomy map'!$A$1:$C$107,2,FALSE),"")</f>
        <v/>
      </c>
      <c r="F6809" s="49" t="str">
        <f>IFERROR(VLOOKUP(E6809,'Condensed Specialty Crosswalk'!$A$2:$C$106,2,FALSE),"")</f>
        <v/>
      </c>
      <c r="G6809" s="49" t="str">
        <f>IFERROR(VLOOKUP(E6809,'Condensed Specialty Crosswalk'!$A$2:$C$106,3,FALSE),"")</f>
        <v/>
      </c>
    </row>
    <row r="6810" spans="5:7" ht="15" customHeight="1">
      <c r="E6810" s="49" t="str">
        <f>IFERROR(VLOOKUP(D6810,'taxonomy map'!$A$1:$C$107,2,FALSE),"")</f>
        <v/>
      </c>
      <c r="F6810" s="49" t="str">
        <f>IFERROR(VLOOKUP(E6810,'Condensed Specialty Crosswalk'!$A$2:$C$106,2,FALSE),"")</f>
        <v/>
      </c>
      <c r="G6810" s="49" t="str">
        <f>IFERROR(VLOOKUP(E6810,'Condensed Specialty Crosswalk'!$A$2:$C$106,3,FALSE),"")</f>
        <v/>
      </c>
    </row>
    <row r="6811" spans="5:7" ht="15" customHeight="1">
      <c r="E6811" s="49" t="str">
        <f>IFERROR(VLOOKUP(D6811,'taxonomy map'!$A$1:$C$107,2,FALSE),"")</f>
        <v/>
      </c>
      <c r="F6811" s="49" t="str">
        <f>IFERROR(VLOOKUP(E6811,'Condensed Specialty Crosswalk'!$A$2:$C$106,2,FALSE),"")</f>
        <v/>
      </c>
      <c r="G6811" s="49" t="str">
        <f>IFERROR(VLOOKUP(E6811,'Condensed Specialty Crosswalk'!$A$2:$C$106,3,FALSE),"")</f>
        <v/>
      </c>
    </row>
    <row r="6812" spans="5:7" ht="15" customHeight="1">
      <c r="E6812" s="49" t="str">
        <f>IFERROR(VLOOKUP(D6812,'taxonomy map'!$A$1:$C$107,2,FALSE),"")</f>
        <v/>
      </c>
      <c r="F6812" s="49" t="str">
        <f>IFERROR(VLOOKUP(E6812,'Condensed Specialty Crosswalk'!$A$2:$C$106,2,FALSE),"")</f>
        <v/>
      </c>
      <c r="G6812" s="49" t="str">
        <f>IFERROR(VLOOKUP(E6812,'Condensed Specialty Crosswalk'!$A$2:$C$106,3,FALSE),"")</f>
        <v/>
      </c>
    </row>
    <row r="6813" spans="5:7" ht="15" customHeight="1">
      <c r="E6813" s="49" t="str">
        <f>IFERROR(VLOOKUP(D6813,'taxonomy map'!$A$1:$C$107,2,FALSE),"")</f>
        <v/>
      </c>
      <c r="F6813" s="49" t="str">
        <f>IFERROR(VLOOKUP(E6813,'Condensed Specialty Crosswalk'!$A$2:$C$106,2,FALSE),"")</f>
        <v/>
      </c>
      <c r="G6813" s="49" t="str">
        <f>IFERROR(VLOOKUP(E6813,'Condensed Specialty Crosswalk'!$A$2:$C$106,3,FALSE),"")</f>
        <v/>
      </c>
    </row>
    <row r="6814" spans="5:7" ht="15" customHeight="1">
      <c r="E6814" s="49" t="str">
        <f>IFERROR(VLOOKUP(D6814,'taxonomy map'!$A$1:$C$107,2,FALSE),"")</f>
        <v/>
      </c>
      <c r="F6814" s="49" t="str">
        <f>IFERROR(VLOOKUP(E6814,'Condensed Specialty Crosswalk'!$A$2:$C$106,2,FALSE),"")</f>
        <v/>
      </c>
      <c r="G6814" s="49" t="str">
        <f>IFERROR(VLOOKUP(E6814,'Condensed Specialty Crosswalk'!$A$2:$C$106,3,FALSE),"")</f>
        <v/>
      </c>
    </row>
    <row r="6815" spans="5:7" ht="15" customHeight="1">
      <c r="E6815" s="49" t="str">
        <f>IFERROR(VLOOKUP(D6815,'taxonomy map'!$A$1:$C$107,2,FALSE),"")</f>
        <v/>
      </c>
      <c r="F6815" s="49" t="str">
        <f>IFERROR(VLOOKUP(E6815,'Condensed Specialty Crosswalk'!$A$2:$C$106,2,FALSE),"")</f>
        <v/>
      </c>
      <c r="G6815" s="49" t="str">
        <f>IFERROR(VLOOKUP(E6815,'Condensed Specialty Crosswalk'!$A$2:$C$106,3,FALSE),"")</f>
        <v/>
      </c>
    </row>
    <row r="6816" spans="5:7" ht="15" customHeight="1">
      <c r="E6816" s="49" t="str">
        <f>IFERROR(VLOOKUP(D6816,'taxonomy map'!$A$1:$C$107,2,FALSE),"")</f>
        <v/>
      </c>
      <c r="F6816" s="49" t="str">
        <f>IFERROR(VLOOKUP(E6816,'Condensed Specialty Crosswalk'!$A$2:$C$106,2,FALSE),"")</f>
        <v/>
      </c>
      <c r="G6816" s="49" t="str">
        <f>IFERROR(VLOOKUP(E6816,'Condensed Specialty Crosswalk'!$A$2:$C$106,3,FALSE),"")</f>
        <v/>
      </c>
    </row>
    <row r="6817" spans="5:7" ht="15" customHeight="1">
      <c r="E6817" s="49" t="str">
        <f>IFERROR(VLOOKUP(D6817,'taxonomy map'!$A$1:$C$107,2,FALSE),"")</f>
        <v/>
      </c>
      <c r="F6817" s="49" t="str">
        <f>IFERROR(VLOOKUP(E6817,'Condensed Specialty Crosswalk'!$A$2:$C$106,2,FALSE),"")</f>
        <v/>
      </c>
      <c r="G6817" s="49" t="str">
        <f>IFERROR(VLOOKUP(E6817,'Condensed Specialty Crosswalk'!$A$2:$C$106,3,FALSE),"")</f>
        <v/>
      </c>
    </row>
    <row r="6818" spans="5:7" ht="15" customHeight="1">
      <c r="E6818" s="49" t="str">
        <f>IFERROR(VLOOKUP(D6818,'taxonomy map'!$A$1:$C$107,2,FALSE),"")</f>
        <v/>
      </c>
      <c r="F6818" s="49" t="str">
        <f>IFERROR(VLOOKUP(E6818,'Condensed Specialty Crosswalk'!$A$2:$C$106,2,FALSE),"")</f>
        <v/>
      </c>
      <c r="G6818" s="49" t="str">
        <f>IFERROR(VLOOKUP(E6818,'Condensed Specialty Crosswalk'!$A$2:$C$106,3,FALSE),"")</f>
        <v/>
      </c>
    </row>
    <row r="6819" spans="5:7" ht="15" customHeight="1">
      <c r="E6819" s="49" t="str">
        <f>IFERROR(VLOOKUP(D6819,'taxonomy map'!$A$1:$C$107,2,FALSE),"")</f>
        <v/>
      </c>
      <c r="F6819" s="49" t="str">
        <f>IFERROR(VLOOKUP(E6819,'Condensed Specialty Crosswalk'!$A$2:$C$106,2,FALSE),"")</f>
        <v/>
      </c>
      <c r="G6819" s="49" t="str">
        <f>IFERROR(VLOOKUP(E6819,'Condensed Specialty Crosswalk'!$A$2:$C$106,3,FALSE),"")</f>
        <v/>
      </c>
    </row>
    <row r="6820" spans="5:7" ht="15" customHeight="1">
      <c r="E6820" s="49" t="str">
        <f>IFERROR(VLOOKUP(D6820,'taxonomy map'!$A$1:$C$107,2,FALSE),"")</f>
        <v/>
      </c>
      <c r="F6820" s="49" t="str">
        <f>IFERROR(VLOOKUP(E6820,'Condensed Specialty Crosswalk'!$A$2:$C$106,2,FALSE),"")</f>
        <v/>
      </c>
      <c r="G6820" s="49" t="str">
        <f>IFERROR(VLOOKUP(E6820,'Condensed Specialty Crosswalk'!$A$2:$C$106,3,FALSE),"")</f>
        <v/>
      </c>
    </row>
    <row r="6821" spans="5:7" ht="15" customHeight="1">
      <c r="E6821" s="49" t="str">
        <f>IFERROR(VLOOKUP(D6821,'taxonomy map'!$A$1:$C$107,2,FALSE),"")</f>
        <v/>
      </c>
      <c r="F6821" s="49" t="str">
        <f>IFERROR(VLOOKUP(E6821,'Condensed Specialty Crosswalk'!$A$2:$C$106,2,FALSE),"")</f>
        <v/>
      </c>
      <c r="G6821" s="49" t="str">
        <f>IFERROR(VLOOKUP(E6821,'Condensed Specialty Crosswalk'!$A$2:$C$106,3,FALSE),"")</f>
        <v/>
      </c>
    </row>
    <row r="6822" spans="5:7" ht="15" customHeight="1">
      <c r="E6822" s="49" t="str">
        <f>IFERROR(VLOOKUP(D6822,'taxonomy map'!$A$1:$C$107,2,FALSE),"")</f>
        <v/>
      </c>
      <c r="F6822" s="49" t="str">
        <f>IFERROR(VLOOKUP(E6822,'Condensed Specialty Crosswalk'!$A$2:$C$106,2,FALSE),"")</f>
        <v/>
      </c>
      <c r="G6822" s="49" t="str">
        <f>IFERROR(VLOOKUP(E6822,'Condensed Specialty Crosswalk'!$A$2:$C$106,3,FALSE),"")</f>
        <v/>
      </c>
    </row>
    <row r="6823" spans="5:7" ht="15" customHeight="1">
      <c r="E6823" s="49" t="str">
        <f>IFERROR(VLOOKUP(D6823,'taxonomy map'!$A$1:$C$107,2,FALSE),"")</f>
        <v/>
      </c>
      <c r="F6823" s="49" t="str">
        <f>IFERROR(VLOOKUP(E6823,'Condensed Specialty Crosswalk'!$A$2:$C$106,2,FALSE),"")</f>
        <v/>
      </c>
      <c r="G6823" s="49" t="str">
        <f>IFERROR(VLOOKUP(E6823,'Condensed Specialty Crosswalk'!$A$2:$C$106,3,FALSE),"")</f>
        <v/>
      </c>
    </row>
    <row r="6824" spans="5:7" ht="15" customHeight="1">
      <c r="E6824" s="49" t="str">
        <f>IFERROR(VLOOKUP(D6824,'taxonomy map'!$A$1:$C$107,2,FALSE),"")</f>
        <v/>
      </c>
      <c r="F6824" s="49" t="str">
        <f>IFERROR(VLOOKUP(E6824,'Condensed Specialty Crosswalk'!$A$2:$C$106,2,FALSE),"")</f>
        <v/>
      </c>
      <c r="G6824" s="49" t="str">
        <f>IFERROR(VLOOKUP(E6824,'Condensed Specialty Crosswalk'!$A$2:$C$106,3,FALSE),"")</f>
        <v/>
      </c>
    </row>
    <row r="6825" spans="5:7" ht="15" customHeight="1">
      <c r="E6825" s="49" t="str">
        <f>IFERROR(VLOOKUP(D6825,'taxonomy map'!$A$1:$C$107,2,FALSE),"")</f>
        <v/>
      </c>
      <c r="F6825" s="49" t="str">
        <f>IFERROR(VLOOKUP(E6825,'Condensed Specialty Crosswalk'!$A$2:$C$106,2,FALSE),"")</f>
        <v/>
      </c>
      <c r="G6825" s="49" t="str">
        <f>IFERROR(VLOOKUP(E6825,'Condensed Specialty Crosswalk'!$A$2:$C$106,3,FALSE),"")</f>
        <v/>
      </c>
    </row>
    <row r="6826" spans="5:7" ht="15" customHeight="1">
      <c r="E6826" s="49" t="str">
        <f>IFERROR(VLOOKUP(D6826,'taxonomy map'!$A$1:$C$107,2,FALSE),"")</f>
        <v/>
      </c>
      <c r="F6826" s="49" t="str">
        <f>IFERROR(VLOOKUP(E6826,'Condensed Specialty Crosswalk'!$A$2:$C$106,2,FALSE),"")</f>
        <v/>
      </c>
      <c r="G6826" s="49" t="str">
        <f>IFERROR(VLOOKUP(E6826,'Condensed Specialty Crosswalk'!$A$2:$C$106,3,FALSE),"")</f>
        <v/>
      </c>
    </row>
    <row r="6827" spans="5:7" ht="15" customHeight="1">
      <c r="E6827" s="49" t="str">
        <f>IFERROR(VLOOKUP(D6827,'taxonomy map'!$A$1:$C$107,2,FALSE),"")</f>
        <v/>
      </c>
      <c r="F6827" s="49" t="str">
        <f>IFERROR(VLOOKUP(E6827,'Condensed Specialty Crosswalk'!$A$2:$C$106,2,FALSE),"")</f>
        <v/>
      </c>
      <c r="G6827" s="49" t="str">
        <f>IFERROR(VLOOKUP(E6827,'Condensed Specialty Crosswalk'!$A$2:$C$106,3,FALSE),"")</f>
        <v/>
      </c>
    </row>
    <row r="6828" spans="5:7" ht="15" customHeight="1">
      <c r="E6828" s="49" t="str">
        <f>IFERROR(VLOOKUP(D6828,'taxonomy map'!$A$1:$C$107,2,FALSE),"")</f>
        <v/>
      </c>
      <c r="F6828" s="49" t="str">
        <f>IFERROR(VLOOKUP(E6828,'Condensed Specialty Crosswalk'!$A$2:$C$106,2,FALSE),"")</f>
        <v/>
      </c>
      <c r="G6828" s="49" t="str">
        <f>IFERROR(VLOOKUP(E6828,'Condensed Specialty Crosswalk'!$A$2:$C$106,3,FALSE),"")</f>
        <v/>
      </c>
    </row>
    <row r="6829" spans="5:7" ht="15" customHeight="1">
      <c r="E6829" s="49" t="str">
        <f>IFERROR(VLOOKUP(D6829,'taxonomy map'!$A$1:$C$107,2,FALSE),"")</f>
        <v/>
      </c>
      <c r="F6829" s="49" t="str">
        <f>IFERROR(VLOOKUP(E6829,'Condensed Specialty Crosswalk'!$A$2:$C$106,2,FALSE),"")</f>
        <v/>
      </c>
      <c r="G6829" s="49" t="str">
        <f>IFERROR(VLOOKUP(E6829,'Condensed Specialty Crosswalk'!$A$2:$C$106,3,FALSE),"")</f>
        <v/>
      </c>
    </row>
    <row r="6830" spans="5:7" ht="15" customHeight="1">
      <c r="E6830" s="49" t="str">
        <f>IFERROR(VLOOKUP(D6830,'taxonomy map'!$A$1:$C$107,2,FALSE),"")</f>
        <v/>
      </c>
      <c r="F6830" s="49" t="str">
        <f>IFERROR(VLOOKUP(E6830,'Condensed Specialty Crosswalk'!$A$2:$C$106,2,FALSE),"")</f>
        <v/>
      </c>
      <c r="G6830" s="49" t="str">
        <f>IFERROR(VLOOKUP(E6830,'Condensed Specialty Crosswalk'!$A$2:$C$106,3,FALSE),"")</f>
        <v/>
      </c>
    </row>
    <row r="6831" spans="5:7" ht="15" customHeight="1">
      <c r="E6831" s="49" t="str">
        <f>IFERROR(VLOOKUP(D6831,'taxonomy map'!$A$1:$C$107,2,FALSE),"")</f>
        <v/>
      </c>
      <c r="F6831" s="49" t="str">
        <f>IFERROR(VLOOKUP(E6831,'Condensed Specialty Crosswalk'!$A$2:$C$106,2,FALSE),"")</f>
        <v/>
      </c>
      <c r="G6831" s="49" t="str">
        <f>IFERROR(VLOOKUP(E6831,'Condensed Specialty Crosswalk'!$A$2:$C$106,3,FALSE),"")</f>
        <v/>
      </c>
    </row>
    <row r="6832" spans="5:7" ht="15" customHeight="1">
      <c r="E6832" s="49" t="str">
        <f>IFERROR(VLOOKUP(D6832,'taxonomy map'!$A$1:$C$107,2,FALSE),"")</f>
        <v/>
      </c>
      <c r="F6832" s="49" t="str">
        <f>IFERROR(VLOOKUP(E6832,'Condensed Specialty Crosswalk'!$A$2:$C$106,2,FALSE),"")</f>
        <v/>
      </c>
      <c r="G6832" s="49" t="str">
        <f>IFERROR(VLOOKUP(E6832,'Condensed Specialty Crosswalk'!$A$2:$C$106,3,FALSE),"")</f>
        <v/>
      </c>
    </row>
    <row r="6833" spans="5:7" ht="15" customHeight="1">
      <c r="E6833" s="49" t="str">
        <f>IFERROR(VLOOKUP(D6833,'taxonomy map'!$A$1:$C$107,2,FALSE),"")</f>
        <v/>
      </c>
      <c r="F6833" s="49" t="str">
        <f>IFERROR(VLOOKUP(E6833,'Condensed Specialty Crosswalk'!$A$2:$C$106,2,FALSE),"")</f>
        <v/>
      </c>
      <c r="G6833" s="49" t="str">
        <f>IFERROR(VLOOKUP(E6833,'Condensed Specialty Crosswalk'!$A$2:$C$106,3,FALSE),"")</f>
        <v/>
      </c>
    </row>
    <row r="6834" spans="5:7" ht="15" customHeight="1">
      <c r="E6834" s="49" t="str">
        <f>IFERROR(VLOOKUP(D6834,'taxonomy map'!$A$1:$C$107,2,FALSE),"")</f>
        <v/>
      </c>
      <c r="F6834" s="49" t="str">
        <f>IFERROR(VLOOKUP(E6834,'Condensed Specialty Crosswalk'!$A$2:$C$106,2,FALSE),"")</f>
        <v/>
      </c>
      <c r="G6834" s="49" t="str">
        <f>IFERROR(VLOOKUP(E6834,'Condensed Specialty Crosswalk'!$A$2:$C$106,3,FALSE),"")</f>
        <v/>
      </c>
    </row>
    <row r="6835" spans="5:7" ht="15" customHeight="1">
      <c r="E6835" s="49" t="str">
        <f>IFERROR(VLOOKUP(D6835,'taxonomy map'!$A$1:$C$107,2,FALSE),"")</f>
        <v/>
      </c>
      <c r="F6835" s="49" t="str">
        <f>IFERROR(VLOOKUP(E6835,'Condensed Specialty Crosswalk'!$A$2:$C$106,2,FALSE),"")</f>
        <v/>
      </c>
      <c r="G6835" s="49" t="str">
        <f>IFERROR(VLOOKUP(E6835,'Condensed Specialty Crosswalk'!$A$2:$C$106,3,FALSE),"")</f>
        <v/>
      </c>
    </row>
    <row r="6836" spans="5:7" ht="15" customHeight="1">
      <c r="E6836" s="49" t="str">
        <f>IFERROR(VLOOKUP(D6836,'taxonomy map'!$A$1:$C$107,2,FALSE),"")</f>
        <v/>
      </c>
      <c r="F6836" s="49" t="str">
        <f>IFERROR(VLOOKUP(E6836,'Condensed Specialty Crosswalk'!$A$2:$C$106,2,FALSE),"")</f>
        <v/>
      </c>
      <c r="G6836" s="49" t="str">
        <f>IFERROR(VLOOKUP(E6836,'Condensed Specialty Crosswalk'!$A$2:$C$106,3,FALSE),"")</f>
        <v/>
      </c>
    </row>
    <row r="6837" spans="5:7" ht="15" customHeight="1">
      <c r="E6837" s="49" t="str">
        <f>IFERROR(VLOOKUP(D6837,'taxonomy map'!$A$1:$C$107,2,FALSE),"")</f>
        <v/>
      </c>
      <c r="F6837" s="49" t="str">
        <f>IFERROR(VLOOKUP(E6837,'Condensed Specialty Crosswalk'!$A$2:$C$106,2,FALSE),"")</f>
        <v/>
      </c>
      <c r="G6837" s="49" t="str">
        <f>IFERROR(VLOOKUP(E6837,'Condensed Specialty Crosswalk'!$A$2:$C$106,3,FALSE),"")</f>
        <v/>
      </c>
    </row>
    <row r="6838" spans="5:7" ht="15" customHeight="1">
      <c r="E6838" s="49" t="str">
        <f>IFERROR(VLOOKUP(D6838,'taxonomy map'!$A$1:$C$107,2,FALSE),"")</f>
        <v/>
      </c>
      <c r="F6838" s="49" t="str">
        <f>IFERROR(VLOOKUP(E6838,'Condensed Specialty Crosswalk'!$A$2:$C$106,2,FALSE),"")</f>
        <v/>
      </c>
      <c r="G6838" s="49" t="str">
        <f>IFERROR(VLOOKUP(E6838,'Condensed Specialty Crosswalk'!$A$2:$C$106,3,FALSE),"")</f>
        <v/>
      </c>
    </row>
    <row r="6839" spans="5:7" ht="15" customHeight="1">
      <c r="E6839" s="49" t="str">
        <f>IFERROR(VLOOKUP(D6839,'taxonomy map'!$A$1:$C$107,2,FALSE),"")</f>
        <v/>
      </c>
      <c r="F6839" s="49" t="str">
        <f>IFERROR(VLOOKUP(E6839,'Condensed Specialty Crosswalk'!$A$2:$C$106,2,FALSE),"")</f>
        <v/>
      </c>
      <c r="G6839" s="49" t="str">
        <f>IFERROR(VLOOKUP(E6839,'Condensed Specialty Crosswalk'!$A$2:$C$106,3,FALSE),"")</f>
        <v/>
      </c>
    </row>
    <row r="6840" spans="5:7" ht="15" customHeight="1">
      <c r="E6840" s="49" t="str">
        <f>IFERROR(VLOOKUP(D6840,'taxonomy map'!$A$1:$C$107,2,FALSE),"")</f>
        <v/>
      </c>
      <c r="F6840" s="49" t="str">
        <f>IFERROR(VLOOKUP(E6840,'Condensed Specialty Crosswalk'!$A$2:$C$106,2,FALSE),"")</f>
        <v/>
      </c>
      <c r="G6840" s="49" t="str">
        <f>IFERROR(VLOOKUP(E6840,'Condensed Specialty Crosswalk'!$A$2:$C$106,3,FALSE),"")</f>
        <v/>
      </c>
    </row>
    <row r="6841" spans="5:7" ht="15" customHeight="1">
      <c r="E6841" s="49" t="str">
        <f>IFERROR(VLOOKUP(D6841,'taxonomy map'!$A$1:$C$107,2,FALSE),"")</f>
        <v/>
      </c>
      <c r="F6841" s="49" t="str">
        <f>IFERROR(VLOOKUP(E6841,'Condensed Specialty Crosswalk'!$A$2:$C$106,2,FALSE),"")</f>
        <v/>
      </c>
      <c r="G6841" s="49" t="str">
        <f>IFERROR(VLOOKUP(E6841,'Condensed Specialty Crosswalk'!$A$2:$C$106,3,FALSE),"")</f>
        <v/>
      </c>
    </row>
    <row r="6842" spans="5:7" ht="15" customHeight="1">
      <c r="E6842" s="49" t="str">
        <f>IFERROR(VLOOKUP(D6842,'taxonomy map'!$A$1:$C$107,2,FALSE),"")</f>
        <v/>
      </c>
      <c r="F6842" s="49" t="str">
        <f>IFERROR(VLOOKUP(E6842,'Condensed Specialty Crosswalk'!$A$2:$C$106,2,FALSE),"")</f>
        <v/>
      </c>
      <c r="G6842" s="49" t="str">
        <f>IFERROR(VLOOKUP(E6842,'Condensed Specialty Crosswalk'!$A$2:$C$106,3,FALSE),"")</f>
        <v/>
      </c>
    </row>
    <row r="6843" spans="5:7" ht="15" customHeight="1">
      <c r="E6843" s="49" t="str">
        <f>IFERROR(VLOOKUP(D6843,'taxonomy map'!$A$1:$C$107,2,FALSE),"")</f>
        <v/>
      </c>
      <c r="F6843" s="49" t="str">
        <f>IFERROR(VLOOKUP(E6843,'Condensed Specialty Crosswalk'!$A$2:$C$106,2,FALSE),"")</f>
        <v/>
      </c>
      <c r="G6843" s="49" t="str">
        <f>IFERROR(VLOOKUP(E6843,'Condensed Specialty Crosswalk'!$A$2:$C$106,3,FALSE),"")</f>
        <v/>
      </c>
    </row>
    <row r="6844" spans="5:7" ht="15" customHeight="1">
      <c r="E6844" s="49" t="str">
        <f>IFERROR(VLOOKUP(D6844,'taxonomy map'!$A$1:$C$107,2,FALSE),"")</f>
        <v/>
      </c>
      <c r="F6844" s="49" t="str">
        <f>IFERROR(VLOOKUP(E6844,'Condensed Specialty Crosswalk'!$A$2:$C$106,2,FALSE),"")</f>
        <v/>
      </c>
      <c r="G6844" s="49" t="str">
        <f>IFERROR(VLOOKUP(E6844,'Condensed Specialty Crosswalk'!$A$2:$C$106,3,FALSE),"")</f>
        <v/>
      </c>
    </row>
    <row r="6845" spans="5:7" ht="15" customHeight="1">
      <c r="E6845" s="49" t="str">
        <f>IFERROR(VLOOKUP(D6845,'taxonomy map'!$A$1:$C$107,2,FALSE),"")</f>
        <v/>
      </c>
      <c r="F6845" s="49" t="str">
        <f>IFERROR(VLOOKUP(E6845,'Condensed Specialty Crosswalk'!$A$2:$C$106,2,FALSE),"")</f>
        <v/>
      </c>
      <c r="G6845" s="49" t="str">
        <f>IFERROR(VLOOKUP(E6845,'Condensed Specialty Crosswalk'!$A$2:$C$106,3,FALSE),"")</f>
        <v/>
      </c>
    </row>
    <row r="6846" spans="5:7" ht="15" customHeight="1">
      <c r="E6846" s="49" t="str">
        <f>IFERROR(VLOOKUP(D6846,'taxonomy map'!$A$1:$C$107,2,FALSE),"")</f>
        <v/>
      </c>
      <c r="F6846" s="49" t="str">
        <f>IFERROR(VLOOKUP(E6846,'Condensed Specialty Crosswalk'!$A$2:$C$106,2,FALSE),"")</f>
        <v/>
      </c>
      <c r="G6846" s="49" t="str">
        <f>IFERROR(VLOOKUP(E6846,'Condensed Specialty Crosswalk'!$A$2:$C$106,3,FALSE),"")</f>
        <v/>
      </c>
    </row>
    <row r="6847" spans="5:7" ht="15" customHeight="1">
      <c r="E6847" s="49" t="str">
        <f>IFERROR(VLOOKUP(D6847,'taxonomy map'!$A$1:$C$107,2,FALSE),"")</f>
        <v/>
      </c>
      <c r="F6847" s="49" t="str">
        <f>IFERROR(VLOOKUP(E6847,'Condensed Specialty Crosswalk'!$A$2:$C$106,2,FALSE),"")</f>
        <v/>
      </c>
      <c r="G6847" s="49" t="str">
        <f>IFERROR(VLOOKUP(E6847,'Condensed Specialty Crosswalk'!$A$2:$C$106,3,FALSE),"")</f>
        <v/>
      </c>
    </row>
    <row r="6848" spans="5:7" ht="15" customHeight="1">
      <c r="E6848" s="49" t="str">
        <f>IFERROR(VLOOKUP(D6848,'taxonomy map'!$A$1:$C$107,2,FALSE),"")</f>
        <v/>
      </c>
      <c r="F6848" s="49" t="str">
        <f>IFERROR(VLOOKUP(E6848,'Condensed Specialty Crosswalk'!$A$2:$C$106,2,FALSE),"")</f>
        <v/>
      </c>
      <c r="G6848" s="49" t="str">
        <f>IFERROR(VLOOKUP(E6848,'Condensed Specialty Crosswalk'!$A$2:$C$106,3,FALSE),"")</f>
        <v/>
      </c>
    </row>
    <row r="6849" spans="5:7" ht="15" customHeight="1">
      <c r="E6849" s="49" t="str">
        <f>IFERROR(VLOOKUP(D6849,'taxonomy map'!$A$1:$C$107,2,FALSE),"")</f>
        <v/>
      </c>
      <c r="F6849" s="49" t="str">
        <f>IFERROR(VLOOKUP(E6849,'Condensed Specialty Crosswalk'!$A$2:$C$106,2,FALSE),"")</f>
        <v/>
      </c>
      <c r="G6849" s="49" t="str">
        <f>IFERROR(VLOOKUP(E6849,'Condensed Specialty Crosswalk'!$A$2:$C$106,3,FALSE),"")</f>
        <v/>
      </c>
    </row>
    <row r="6850" spans="5:7" ht="15" customHeight="1">
      <c r="E6850" s="49" t="str">
        <f>IFERROR(VLOOKUP(D6850,'taxonomy map'!$A$1:$C$107,2,FALSE),"")</f>
        <v/>
      </c>
      <c r="F6850" s="49" t="str">
        <f>IFERROR(VLOOKUP(E6850,'Condensed Specialty Crosswalk'!$A$2:$C$106,2,FALSE),"")</f>
        <v/>
      </c>
      <c r="G6850" s="49" t="str">
        <f>IFERROR(VLOOKUP(E6850,'Condensed Specialty Crosswalk'!$A$2:$C$106,3,FALSE),"")</f>
        <v/>
      </c>
    </row>
    <row r="6851" spans="5:7" ht="15" customHeight="1">
      <c r="E6851" s="49" t="str">
        <f>IFERROR(VLOOKUP(D6851,'taxonomy map'!$A$1:$C$107,2,FALSE),"")</f>
        <v/>
      </c>
      <c r="F6851" s="49" t="str">
        <f>IFERROR(VLOOKUP(E6851,'Condensed Specialty Crosswalk'!$A$2:$C$106,2,FALSE),"")</f>
        <v/>
      </c>
      <c r="G6851" s="49" t="str">
        <f>IFERROR(VLOOKUP(E6851,'Condensed Specialty Crosswalk'!$A$2:$C$106,3,FALSE),"")</f>
        <v/>
      </c>
    </row>
    <row r="6852" spans="5:7" ht="15" customHeight="1">
      <c r="E6852" s="49" t="str">
        <f>IFERROR(VLOOKUP(D6852,'taxonomy map'!$A$1:$C$107,2,FALSE),"")</f>
        <v/>
      </c>
      <c r="F6852" s="49" t="str">
        <f>IFERROR(VLOOKUP(E6852,'Condensed Specialty Crosswalk'!$A$2:$C$106,2,FALSE),"")</f>
        <v/>
      </c>
      <c r="G6852" s="49" t="str">
        <f>IFERROR(VLOOKUP(E6852,'Condensed Specialty Crosswalk'!$A$2:$C$106,3,FALSE),"")</f>
        <v/>
      </c>
    </row>
    <row r="6853" spans="5:7" ht="15" customHeight="1">
      <c r="E6853" s="49" t="str">
        <f>IFERROR(VLOOKUP(D6853,'taxonomy map'!$A$1:$C$107,2,FALSE),"")</f>
        <v/>
      </c>
      <c r="F6853" s="49" t="str">
        <f>IFERROR(VLOOKUP(E6853,'Condensed Specialty Crosswalk'!$A$2:$C$106,2,FALSE),"")</f>
        <v/>
      </c>
      <c r="G6853" s="49" t="str">
        <f>IFERROR(VLOOKUP(E6853,'Condensed Specialty Crosswalk'!$A$2:$C$106,3,FALSE),"")</f>
        <v/>
      </c>
    </row>
    <row r="6854" spans="5:7" ht="15" customHeight="1">
      <c r="E6854" s="49" t="str">
        <f>IFERROR(VLOOKUP(D6854,'taxonomy map'!$A$1:$C$107,2,FALSE),"")</f>
        <v/>
      </c>
      <c r="F6854" s="49" t="str">
        <f>IFERROR(VLOOKUP(E6854,'Condensed Specialty Crosswalk'!$A$2:$C$106,2,FALSE),"")</f>
        <v/>
      </c>
      <c r="G6854" s="49" t="str">
        <f>IFERROR(VLOOKUP(E6854,'Condensed Specialty Crosswalk'!$A$2:$C$106,3,FALSE),"")</f>
        <v/>
      </c>
    </row>
    <row r="6855" spans="5:7" ht="15" customHeight="1">
      <c r="E6855" s="49" t="str">
        <f>IFERROR(VLOOKUP(D6855,'taxonomy map'!$A$1:$C$107,2,FALSE),"")</f>
        <v/>
      </c>
      <c r="F6855" s="49" t="str">
        <f>IFERROR(VLOOKUP(E6855,'Condensed Specialty Crosswalk'!$A$2:$C$106,2,FALSE),"")</f>
        <v/>
      </c>
      <c r="G6855" s="49" t="str">
        <f>IFERROR(VLOOKUP(E6855,'Condensed Specialty Crosswalk'!$A$2:$C$106,3,FALSE),"")</f>
        <v/>
      </c>
    </row>
    <row r="6856" spans="5:7" ht="15" customHeight="1">
      <c r="E6856" s="49" t="str">
        <f>IFERROR(VLOOKUP(D6856,'taxonomy map'!$A$1:$C$107,2,FALSE),"")</f>
        <v/>
      </c>
      <c r="F6856" s="49" t="str">
        <f>IFERROR(VLOOKUP(E6856,'Condensed Specialty Crosswalk'!$A$2:$C$106,2,FALSE),"")</f>
        <v/>
      </c>
      <c r="G6856" s="49" t="str">
        <f>IFERROR(VLOOKUP(E6856,'Condensed Specialty Crosswalk'!$A$2:$C$106,3,FALSE),"")</f>
        <v/>
      </c>
    </row>
    <row r="6857" spans="5:7" ht="15" customHeight="1">
      <c r="E6857" s="49" t="str">
        <f>IFERROR(VLOOKUP(D6857,'taxonomy map'!$A$1:$C$107,2,FALSE),"")</f>
        <v/>
      </c>
      <c r="F6857" s="49" t="str">
        <f>IFERROR(VLOOKUP(E6857,'Condensed Specialty Crosswalk'!$A$2:$C$106,2,FALSE),"")</f>
        <v/>
      </c>
      <c r="G6857" s="49" t="str">
        <f>IFERROR(VLOOKUP(E6857,'Condensed Specialty Crosswalk'!$A$2:$C$106,3,FALSE),"")</f>
        <v/>
      </c>
    </row>
    <row r="6858" spans="5:7" ht="15" customHeight="1">
      <c r="E6858" s="49" t="str">
        <f>IFERROR(VLOOKUP(D6858,'taxonomy map'!$A$1:$C$107,2,FALSE),"")</f>
        <v/>
      </c>
      <c r="F6858" s="49" t="str">
        <f>IFERROR(VLOOKUP(E6858,'Condensed Specialty Crosswalk'!$A$2:$C$106,2,FALSE),"")</f>
        <v/>
      </c>
      <c r="G6858" s="49" t="str">
        <f>IFERROR(VLOOKUP(E6858,'Condensed Specialty Crosswalk'!$A$2:$C$106,3,FALSE),"")</f>
        <v/>
      </c>
    </row>
    <row r="6859" spans="5:7" ht="15" customHeight="1">
      <c r="E6859" s="49" t="str">
        <f>IFERROR(VLOOKUP(D6859,'taxonomy map'!$A$1:$C$107,2,FALSE),"")</f>
        <v/>
      </c>
      <c r="F6859" s="49" t="str">
        <f>IFERROR(VLOOKUP(E6859,'Condensed Specialty Crosswalk'!$A$2:$C$106,2,FALSE),"")</f>
        <v/>
      </c>
      <c r="G6859" s="49" t="str">
        <f>IFERROR(VLOOKUP(E6859,'Condensed Specialty Crosswalk'!$A$2:$C$106,3,FALSE),"")</f>
        <v/>
      </c>
    </row>
    <row r="6860" spans="5:7" ht="15" customHeight="1">
      <c r="E6860" s="49" t="str">
        <f>IFERROR(VLOOKUP(D6860,'taxonomy map'!$A$1:$C$107,2,FALSE),"")</f>
        <v/>
      </c>
      <c r="F6860" s="49" t="str">
        <f>IFERROR(VLOOKUP(E6860,'Condensed Specialty Crosswalk'!$A$2:$C$106,2,FALSE),"")</f>
        <v/>
      </c>
      <c r="G6860" s="49" t="str">
        <f>IFERROR(VLOOKUP(E6860,'Condensed Specialty Crosswalk'!$A$2:$C$106,3,FALSE),"")</f>
        <v/>
      </c>
    </row>
    <row r="6861" spans="5:7" ht="15" customHeight="1">
      <c r="E6861" s="49" t="str">
        <f>IFERROR(VLOOKUP(D6861,'taxonomy map'!$A$1:$C$107,2,FALSE),"")</f>
        <v/>
      </c>
      <c r="F6861" s="49" t="str">
        <f>IFERROR(VLOOKUP(E6861,'Condensed Specialty Crosswalk'!$A$2:$C$106,2,FALSE),"")</f>
        <v/>
      </c>
      <c r="G6861" s="49" t="str">
        <f>IFERROR(VLOOKUP(E6861,'Condensed Specialty Crosswalk'!$A$2:$C$106,3,FALSE),"")</f>
        <v/>
      </c>
    </row>
    <row r="6862" spans="5:7" ht="15" customHeight="1">
      <c r="E6862" s="49" t="str">
        <f>IFERROR(VLOOKUP(D6862,'taxonomy map'!$A$1:$C$107,2,FALSE),"")</f>
        <v/>
      </c>
      <c r="F6862" s="49" t="str">
        <f>IFERROR(VLOOKUP(E6862,'Condensed Specialty Crosswalk'!$A$2:$C$106,2,FALSE),"")</f>
        <v/>
      </c>
      <c r="G6862" s="49" t="str">
        <f>IFERROR(VLOOKUP(E6862,'Condensed Specialty Crosswalk'!$A$2:$C$106,3,FALSE),"")</f>
        <v/>
      </c>
    </row>
    <row r="6863" spans="5:7" ht="15" customHeight="1">
      <c r="E6863" s="49" t="str">
        <f>IFERROR(VLOOKUP(D6863,'taxonomy map'!$A$1:$C$107,2,FALSE),"")</f>
        <v/>
      </c>
      <c r="F6863" s="49" t="str">
        <f>IFERROR(VLOOKUP(E6863,'Condensed Specialty Crosswalk'!$A$2:$C$106,2,FALSE),"")</f>
        <v/>
      </c>
      <c r="G6863" s="49" t="str">
        <f>IFERROR(VLOOKUP(E6863,'Condensed Specialty Crosswalk'!$A$2:$C$106,3,FALSE),"")</f>
        <v/>
      </c>
    </row>
    <row r="6864" spans="5:7" ht="15" customHeight="1">
      <c r="E6864" s="49" t="str">
        <f>IFERROR(VLOOKUP(D6864,'taxonomy map'!$A$1:$C$107,2,FALSE),"")</f>
        <v/>
      </c>
      <c r="F6864" s="49" t="str">
        <f>IFERROR(VLOOKUP(E6864,'Condensed Specialty Crosswalk'!$A$2:$C$106,2,FALSE),"")</f>
        <v/>
      </c>
      <c r="G6864" s="49" t="str">
        <f>IFERROR(VLOOKUP(E6864,'Condensed Specialty Crosswalk'!$A$2:$C$106,3,FALSE),"")</f>
        <v/>
      </c>
    </row>
    <row r="6865" spans="5:7" ht="15" customHeight="1">
      <c r="E6865" s="49" t="str">
        <f>IFERROR(VLOOKUP(D6865,'taxonomy map'!$A$1:$C$107,2,FALSE),"")</f>
        <v/>
      </c>
      <c r="F6865" s="49" t="str">
        <f>IFERROR(VLOOKUP(E6865,'Condensed Specialty Crosswalk'!$A$2:$C$106,2,FALSE),"")</f>
        <v/>
      </c>
      <c r="G6865" s="49" t="str">
        <f>IFERROR(VLOOKUP(E6865,'Condensed Specialty Crosswalk'!$A$2:$C$106,3,FALSE),"")</f>
        <v/>
      </c>
    </row>
    <row r="6866" spans="5:7" ht="15" customHeight="1">
      <c r="E6866" s="49" t="str">
        <f>IFERROR(VLOOKUP(D6866,'taxonomy map'!$A$1:$C$107,2,FALSE),"")</f>
        <v/>
      </c>
      <c r="F6866" s="49" t="str">
        <f>IFERROR(VLOOKUP(E6866,'Condensed Specialty Crosswalk'!$A$2:$C$106,2,FALSE),"")</f>
        <v/>
      </c>
      <c r="G6866" s="49" t="str">
        <f>IFERROR(VLOOKUP(E6866,'Condensed Specialty Crosswalk'!$A$2:$C$106,3,FALSE),"")</f>
        <v/>
      </c>
    </row>
    <row r="6867" spans="5:7" ht="15" customHeight="1">
      <c r="E6867" s="49" t="str">
        <f>IFERROR(VLOOKUP(D6867,'taxonomy map'!$A$1:$C$107,2,FALSE),"")</f>
        <v/>
      </c>
      <c r="F6867" s="49" t="str">
        <f>IFERROR(VLOOKUP(E6867,'Condensed Specialty Crosswalk'!$A$2:$C$106,2,FALSE),"")</f>
        <v/>
      </c>
      <c r="G6867" s="49" t="str">
        <f>IFERROR(VLOOKUP(E6867,'Condensed Specialty Crosswalk'!$A$2:$C$106,3,FALSE),"")</f>
        <v/>
      </c>
    </row>
    <row r="6868" spans="5:7" ht="15" customHeight="1">
      <c r="E6868" s="49" t="str">
        <f>IFERROR(VLOOKUP(D6868,'taxonomy map'!$A$1:$C$107,2,FALSE),"")</f>
        <v/>
      </c>
      <c r="F6868" s="49" t="str">
        <f>IFERROR(VLOOKUP(E6868,'Condensed Specialty Crosswalk'!$A$2:$C$106,2,FALSE),"")</f>
        <v/>
      </c>
      <c r="G6868" s="49" t="str">
        <f>IFERROR(VLOOKUP(E6868,'Condensed Specialty Crosswalk'!$A$2:$C$106,3,FALSE),"")</f>
        <v/>
      </c>
    </row>
    <row r="6869" spans="5:7" ht="15" customHeight="1">
      <c r="E6869" s="49" t="str">
        <f>IFERROR(VLOOKUP(D6869,'taxonomy map'!$A$1:$C$107,2,FALSE),"")</f>
        <v/>
      </c>
      <c r="F6869" s="49" t="str">
        <f>IFERROR(VLOOKUP(E6869,'Condensed Specialty Crosswalk'!$A$2:$C$106,2,FALSE),"")</f>
        <v/>
      </c>
      <c r="G6869" s="49" t="str">
        <f>IFERROR(VLOOKUP(E6869,'Condensed Specialty Crosswalk'!$A$2:$C$106,3,FALSE),"")</f>
        <v/>
      </c>
    </row>
    <row r="6870" spans="5:7" ht="15" customHeight="1">
      <c r="E6870" s="49" t="str">
        <f>IFERROR(VLOOKUP(D6870,'taxonomy map'!$A$1:$C$107,2,FALSE),"")</f>
        <v/>
      </c>
      <c r="F6870" s="49" t="str">
        <f>IFERROR(VLOOKUP(E6870,'Condensed Specialty Crosswalk'!$A$2:$C$106,2,FALSE),"")</f>
        <v/>
      </c>
      <c r="G6870" s="49" t="str">
        <f>IFERROR(VLOOKUP(E6870,'Condensed Specialty Crosswalk'!$A$2:$C$106,3,FALSE),"")</f>
        <v/>
      </c>
    </row>
    <row r="6871" spans="5:7" ht="15" customHeight="1">
      <c r="E6871" s="49" t="str">
        <f>IFERROR(VLOOKUP(D6871,'taxonomy map'!$A$1:$C$107,2,FALSE),"")</f>
        <v/>
      </c>
      <c r="F6871" s="49" t="str">
        <f>IFERROR(VLOOKUP(E6871,'Condensed Specialty Crosswalk'!$A$2:$C$106,2,FALSE),"")</f>
        <v/>
      </c>
      <c r="G6871" s="49" t="str">
        <f>IFERROR(VLOOKUP(E6871,'Condensed Specialty Crosswalk'!$A$2:$C$106,3,FALSE),"")</f>
        <v/>
      </c>
    </row>
    <row r="6872" spans="5:7" ht="15" customHeight="1">
      <c r="E6872" s="49" t="str">
        <f>IFERROR(VLOOKUP(D6872,'taxonomy map'!$A$1:$C$107,2,FALSE),"")</f>
        <v/>
      </c>
      <c r="F6872" s="49" t="str">
        <f>IFERROR(VLOOKUP(E6872,'Condensed Specialty Crosswalk'!$A$2:$C$106,2,FALSE),"")</f>
        <v/>
      </c>
      <c r="G6872" s="49" t="str">
        <f>IFERROR(VLOOKUP(E6872,'Condensed Specialty Crosswalk'!$A$2:$C$106,3,FALSE),"")</f>
        <v/>
      </c>
    </row>
    <row r="6873" spans="5:7" ht="15" customHeight="1">
      <c r="E6873" s="49" t="str">
        <f>IFERROR(VLOOKUP(D6873,'taxonomy map'!$A$1:$C$107,2,FALSE),"")</f>
        <v/>
      </c>
      <c r="F6873" s="49" t="str">
        <f>IFERROR(VLOOKUP(E6873,'Condensed Specialty Crosswalk'!$A$2:$C$106,2,FALSE),"")</f>
        <v/>
      </c>
      <c r="G6873" s="49" t="str">
        <f>IFERROR(VLOOKUP(E6873,'Condensed Specialty Crosswalk'!$A$2:$C$106,3,FALSE),"")</f>
        <v/>
      </c>
    </row>
    <row r="6874" spans="5:7" ht="15" customHeight="1">
      <c r="E6874" s="49" t="str">
        <f>IFERROR(VLOOKUP(D6874,'taxonomy map'!$A$1:$C$107,2,FALSE),"")</f>
        <v/>
      </c>
      <c r="F6874" s="49" t="str">
        <f>IFERROR(VLOOKUP(E6874,'Condensed Specialty Crosswalk'!$A$2:$C$106,2,FALSE),"")</f>
        <v/>
      </c>
      <c r="G6874" s="49" t="str">
        <f>IFERROR(VLOOKUP(E6874,'Condensed Specialty Crosswalk'!$A$2:$C$106,3,FALSE),"")</f>
        <v/>
      </c>
    </row>
    <row r="6875" spans="5:7" ht="15" customHeight="1">
      <c r="E6875" s="49" t="str">
        <f>IFERROR(VLOOKUP(D6875,'taxonomy map'!$A$1:$C$107,2,FALSE),"")</f>
        <v/>
      </c>
      <c r="F6875" s="49" t="str">
        <f>IFERROR(VLOOKUP(E6875,'Condensed Specialty Crosswalk'!$A$2:$C$106,2,FALSE),"")</f>
        <v/>
      </c>
      <c r="G6875" s="49" t="str">
        <f>IFERROR(VLOOKUP(E6875,'Condensed Specialty Crosswalk'!$A$2:$C$106,3,FALSE),"")</f>
        <v/>
      </c>
    </row>
    <row r="6876" spans="5:7" ht="15" customHeight="1">
      <c r="E6876" s="49" t="str">
        <f>IFERROR(VLOOKUP(D6876,'taxonomy map'!$A$1:$C$107,2,FALSE),"")</f>
        <v/>
      </c>
      <c r="F6876" s="49" t="str">
        <f>IFERROR(VLOOKUP(E6876,'Condensed Specialty Crosswalk'!$A$2:$C$106,2,FALSE),"")</f>
        <v/>
      </c>
      <c r="G6876" s="49" t="str">
        <f>IFERROR(VLOOKUP(E6876,'Condensed Specialty Crosswalk'!$A$2:$C$106,3,FALSE),"")</f>
        <v/>
      </c>
    </row>
    <row r="6877" spans="5:7" ht="15" customHeight="1">
      <c r="E6877" s="49" t="str">
        <f>IFERROR(VLOOKUP(D6877,'taxonomy map'!$A$1:$C$107,2,FALSE),"")</f>
        <v/>
      </c>
      <c r="F6877" s="49" t="str">
        <f>IFERROR(VLOOKUP(E6877,'Condensed Specialty Crosswalk'!$A$2:$C$106,2,FALSE),"")</f>
        <v/>
      </c>
      <c r="G6877" s="49" t="str">
        <f>IFERROR(VLOOKUP(E6877,'Condensed Specialty Crosswalk'!$A$2:$C$106,3,FALSE),"")</f>
        <v/>
      </c>
    </row>
    <row r="6878" spans="5:7" ht="15" customHeight="1">
      <c r="E6878" s="49" t="str">
        <f>IFERROR(VLOOKUP(D6878,'taxonomy map'!$A$1:$C$107,2,FALSE),"")</f>
        <v/>
      </c>
      <c r="F6878" s="49" t="str">
        <f>IFERROR(VLOOKUP(E6878,'Condensed Specialty Crosswalk'!$A$2:$C$106,2,FALSE),"")</f>
        <v/>
      </c>
      <c r="G6878" s="49" t="str">
        <f>IFERROR(VLOOKUP(E6878,'Condensed Specialty Crosswalk'!$A$2:$C$106,3,FALSE),"")</f>
        <v/>
      </c>
    </row>
    <row r="6879" spans="5:7" ht="15" customHeight="1">
      <c r="E6879" s="49" t="str">
        <f>IFERROR(VLOOKUP(D6879,'taxonomy map'!$A$1:$C$107,2,FALSE),"")</f>
        <v/>
      </c>
      <c r="F6879" s="49" t="str">
        <f>IFERROR(VLOOKUP(E6879,'Condensed Specialty Crosswalk'!$A$2:$C$106,2,FALSE),"")</f>
        <v/>
      </c>
      <c r="G6879" s="49" t="str">
        <f>IFERROR(VLOOKUP(E6879,'Condensed Specialty Crosswalk'!$A$2:$C$106,3,FALSE),"")</f>
        <v/>
      </c>
    </row>
    <row r="6880" spans="5:7" ht="15" customHeight="1">
      <c r="E6880" s="49" t="str">
        <f>IFERROR(VLOOKUP(D6880,'taxonomy map'!$A$1:$C$107,2,FALSE),"")</f>
        <v/>
      </c>
      <c r="F6880" s="49" t="str">
        <f>IFERROR(VLOOKUP(E6880,'Condensed Specialty Crosswalk'!$A$2:$C$106,2,FALSE),"")</f>
        <v/>
      </c>
      <c r="G6880" s="49" t="str">
        <f>IFERROR(VLOOKUP(E6880,'Condensed Specialty Crosswalk'!$A$2:$C$106,3,FALSE),"")</f>
        <v/>
      </c>
    </row>
    <row r="6881" spans="5:7" ht="15" customHeight="1">
      <c r="E6881" s="49" t="str">
        <f>IFERROR(VLOOKUP(D6881,'taxonomy map'!$A$1:$C$107,2,FALSE),"")</f>
        <v/>
      </c>
      <c r="F6881" s="49" t="str">
        <f>IFERROR(VLOOKUP(E6881,'Condensed Specialty Crosswalk'!$A$2:$C$106,2,FALSE),"")</f>
        <v/>
      </c>
      <c r="G6881" s="49" t="str">
        <f>IFERROR(VLOOKUP(E6881,'Condensed Specialty Crosswalk'!$A$2:$C$106,3,FALSE),"")</f>
        <v/>
      </c>
    </row>
    <row r="6882" spans="5:7" ht="15" customHeight="1">
      <c r="E6882" s="49" t="str">
        <f>IFERROR(VLOOKUP(D6882,'taxonomy map'!$A$1:$C$107,2,FALSE),"")</f>
        <v/>
      </c>
      <c r="F6882" s="49" t="str">
        <f>IFERROR(VLOOKUP(E6882,'Condensed Specialty Crosswalk'!$A$2:$C$106,2,FALSE),"")</f>
        <v/>
      </c>
      <c r="G6882" s="49" t="str">
        <f>IFERROR(VLOOKUP(E6882,'Condensed Specialty Crosswalk'!$A$2:$C$106,3,FALSE),"")</f>
        <v/>
      </c>
    </row>
    <row r="6883" spans="5:7" ht="15" customHeight="1">
      <c r="E6883" s="49" t="str">
        <f>IFERROR(VLOOKUP(D6883,'taxonomy map'!$A$1:$C$107,2,FALSE),"")</f>
        <v/>
      </c>
      <c r="F6883" s="49" t="str">
        <f>IFERROR(VLOOKUP(E6883,'Condensed Specialty Crosswalk'!$A$2:$C$106,2,FALSE),"")</f>
        <v/>
      </c>
      <c r="G6883" s="49" t="str">
        <f>IFERROR(VLOOKUP(E6883,'Condensed Specialty Crosswalk'!$A$2:$C$106,3,FALSE),"")</f>
        <v/>
      </c>
    </row>
    <row r="6884" spans="5:7" ht="15" customHeight="1">
      <c r="E6884" s="49" t="str">
        <f>IFERROR(VLOOKUP(D6884,'taxonomy map'!$A$1:$C$107,2,FALSE),"")</f>
        <v/>
      </c>
      <c r="F6884" s="49" t="str">
        <f>IFERROR(VLOOKUP(E6884,'Condensed Specialty Crosswalk'!$A$2:$C$106,2,FALSE),"")</f>
        <v/>
      </c>
      <c r="G6884" s="49" t="str">
        <f>IFERROR(VLOOKUP(E6884,'Condensed Specialty Crosswalk'!$A$2:$C$106,3,FALSE),"")</f>
        <v/>
      </c>
    </row>
    <row r="6885" spans="5:7" ht="15" customHeight="1">
      <c r="E6885" s="49" t="str">
        <f>IFERROR(VLOOKUP(D6885,'taxonomy map'!$A$1:$C$107,2,FALSE),"")</f>
        <v/>
      </c>
      <c r="F6885" s="49" t="str">
        <f>IFERROR(VLOOKUP(E6885,'Condensed Specialty Crosswalk'!$A$2:$C$106,2,FALSE),"")</f>
        <v/>
      </c>
      <c r="G6885" s="49" t="str">
        <f>IFERROR(VLOOKUP(E6885,'Condensed Specialty Crosswalk'!$A$2:$C$106,3,FALSE),"")</f>
        <v/>
      </c>
    </row>
    <row r="6886" spans="5:7" ht="15" customHeight="1">
      <c r="E6886" s="49" t="str">
        <f>IFERROR(VLOOKUP(D6886,'taxonomy map'!$A$1:$C$107,2,FALSE),"")</f>
        <v/>
      </c>
      <c r="F6886" s="49" t="str">
        <f>IFERROR(VLOOKUP(E6886,'Condensed Specialty Crosswalk'!$A$2:$C$106,2,FALSE),"")</f>
        <v/>
      </c>
      <c r="G6886" s="49" t="str">
        <f>IFERROR(VLOOKUP(E6886,'Condensed Specialty Crosswalk'!$A$2:$C$106,3,FALSE),"")</f>
        <v/>
      </c>
    </row>
    <row r="6887" spans="5:7" ht="15" customHeight="1">
      <c r="E6887" s="49" t="str">
        <f>IFERROR(VLOOKUP(D6887,'taxonomy map'!$A$1:$C$107,2,FALSE),"")</f>
        <v/>
      </c>
      <c r="F6887" s="49" t="str">
        <f>IFERROR(VLOOKUP(E6887,'Condensed Specialty Crosswalk'!$A$2:$C$106,2,FALSE),"")</f>
        <v/>
      </c>
      <c r="G6887" s="49" t="str">
        <f>IFERROR(VLOOKUP(E6887,'Condensed Specialty Crosswalk'!$A$2:$C$106,3,FALSE),"")</f>
        <v/>
      </c>
    </row>
    <row r="6888" spans="5:7" ht="15" customHeight="1">
      <c r="E6888" s="49" t="str">
        <f>IFERROR(VLOOKUP(D6888,'taxonomy map'!$A$1:$C$107,2,FALSE),"")</f>
        <v/>
      </c>
      <c r="F6888" s="49" t="str">
        <f>IFERROR(VLOOKUP(E6888,'Condensed Specialty Crosswalk'!$A$2:$C$106,2,FALSE),"")</f>
        <v/>
      </c>
      <c r="G6888" s="49" t="str">
        <f>IFERROR(VLOOKUP(E6888,'Condensed Specialty Crosswalk'!$A$2:$C$106,3,FALSE),"")</f>
        <v/>
      </c>
    </row>
    <row r="6889" spans="5:7" ht="15" customHeight="1">
      <c r="E6889" s="49" t="str">
        <f>IFERROR(VLOOKUP(D6889,'taxonomy map'!$A$1:$C$107,2,FALSE),"")</f>
        <v/>
      </c>
      <c r="F6889" s="49" t="str">
        <f>IFERROR(VLOOKUP(E6889,'Condensed Specialty Crosswalk'!$A$2:$C$106,2,FALSE),"")</f>
        <v/>
      </c>
      <c r="G6889" s="49" t="str">
        <f>IFERROR(VLOOKUP(E6889,'Condensed Specialty Crosswalk'!$A$2:$C$106,3,FALSE),"")</f>
        <v/>
      </c>
    </row>
    <row r="6890" spans="5:7" ht="15" customHeight="1">
      <c r="E6890" s="49" t="str">
        <f>IFERROR(VLOOKUP(D6890,'taxonomy map'!$A$1:$C$107,2,FALSE),"")</f>
        <v/>
      </c>
      <c r="F6890" s="49" t="str">
        <f>IFERROR(VLOOKUP(E6890,'Condensed Specialty Crosswalk'!$A$2:$C$106,2,FALSE),"")</f>
        <v/>
      </c>
      <c r="G6890" s="49" t="str">
        <f>IFERROR(VLOOKUP(E6890,'Condensed Specialty Crosswalk'!$A$2:$C$106,3,FALSE),"")</f>
        <v/>
      </c>
    </row>
    <row r="6891" spans="5:7" ht="15" customHeight="1">
      <c r="E6891" s="49" t="str">
        <f>IFERROR(VLOOKUP(D6891,'taxonomy map'!$A$1:$C$107,2,FALSE),"")</f>
        <v/>
      </c>
      <c r="F6891" s="49" t="str">
        <f>IFERROR(VLOOKUP(E6891,'Condensed Specialty Crosswalk'!$A$2:$C$106,2,FALSE),"")</f>
        <v/>
      </c>
      <c r="G6891" s="49" t="str">
        <f>IFERROR(VLOOKUP(E6891,'Condensed Specialty Crosswalk'!$A$2:$C$106,3,FALSE),"")</f>
        <v/>
      </c>
    </row>
    <row r="6892" spans="5:7" ht="15" customHeight="1">
      <c r="E6892" s="49" t="str">
        <f>IFERROR(VLOOKUP(D6892,'taxonomy map'!$A$1:$C$107,2,FALSE),"")</f>
        <v/>
      </c>
      <c r="F6892" s="49" t="str">
        <f>IFERROR(VLOOKUP(E6892,'Condensed Specialty Crosswalk'!$A$2:$C$106,2,FALSE),"")</f>
        <v/>
      </c>
      <c r="G6892" s="49" t="str">
        <f>IFERROR(VLOOKUP(E6892,'Condensed Specialty Crosswalk'!$A$2:$C$106,3,FALSE),"")</f>
        <v/>
      </c>
    </row>
    <row r="6893" spans="5:7" ht="15" customHeight="1">
      <c r="E6893" s="49" t="str">
        <f>IFERROR(VLOOKUP(D6893,'taxonomy map'!$A$1:$C$107,2,FALSE),"")</f>
        <v/>
      </c>
      <c r="F6893" s="49" t="str">
        <f>IFERROR(VLOOKUP(E6893,'Condensed Specialty Crosswalk'!$A$2:$C$106,2,FALSE),"")</f>
        <v/>
      </c>
      <c r="G6893" s="49" t="str">
        <f>IFERROR(VLOOKUP(E6893,'Condensed Specialty Crosswalk'!$A$2:$C$106,3,FALSE),"")</f>
        <v/>
      </c>
    </row>
    <row r="6894" spans="5:7" ht="15" customHeight="1">
      <c r="E6894" s="49" t="str">
        <f>IFERROR(VLOOKUP(D6894,'taxonomy map'!$A$1:$C$107,2,FALSE),"")</f>
        <v/>
      </c>
      <c r="F6894" s="49" t="str">
        <f>IFERROR(VLOOKUP(E6894,'Condensed Specialty Crosswalk'!$A$2:$C$106,2,FALSE),"")</f>
        <v/>
      </c>
      <c r="G6894" s="49" t="str">
        <f>IFERROR(VLOOKUP(E6894,'Condensed Specialty Crosswalk'!$A$2:$C$106,3,FALSE),"")</f>
        <v/>
      </c>
    </row>
    <row r="6895" spans="5:7" ht="15" customHeight="1">
      <c r="E6895" s="49" t="str">
        <f>IFERROR(VLOOKUP(D6895,'taxonomy map'!$A$1:$C$107,2,FALSE),"")</f>
        <v/>
      </c>
      <c r="F6895" s="49" t="str">
        <f>IFERROR(VLOOKUP(E6895,'Condensed Specialty Crosswalk'!$A$2:$C$106,2,FALSE),"")</f>
        <v/>
      </c>
      <c r="G6895" s="49" t="str">
        <f>IFERROR(VLOOKUP(E6895,'Condensed Specialty Crosswalk'!$A$2:$C$106,3,FALSE),"")</f>
        <v/>
      </c>
    </row>
    <row r="6896" spans="5:7" ht="15" customHeight="1">
      <c r="E6896" s="49" t="str">
        <f>IFERROR(VLOOKUP(D6896,'taxonomy map'!$A$1:$C$107,2,FALSE),"")</f>
        <v/>
      </c>
      <c r="F6896" s="49" t="str">
        <f>IFERROR(VLOOKUP(E6896,'Condensed Specialty Crosswalk'!$A$2:$C$106,2,FALSE),"")</f>
        <v/>
      </c>
      <c r="G6896" s="49" t="str">
        <f>IFERROR(VLOOKUP(E6896,'Condensed Specialty Crosswalk'!$A$2:$C$106,3,FALSE),"")</f>
        <v/>
      </c>
    </row>
    <row r="6897" spans="5:7" ht="15" customHeight="1">
      <c r="E6897" s="49" t="str">
        <f>IFERROR(VLOOKUP(D6897,'taxonomy map'!$A$1:$C$107,2,FALSE),"")</f>
        <v/>
      </c>
      <c r="F6897" s="49" t="str">
        <f>IFERROR(VLOOKUP(E6897,'Condensed Specialty Crosswalk'!$A$2:$C$106,2,FALSE),"")</f>
        <v/>
      </c>
      <c r="G6897" s="49" t="str">
        <f>IFERROR(VLOOKUP(E6897,'Condensed Specialty Crosswalk'!$A$2:$C$106,3,FALSE),"")</f>
        <v/>
      </c>
    </row>
    <row r="6898" spans="5:7" ht="15" customHeight="1">
      <c r="E6898" s="49" t="str">
        <f>IFERROR(VLOOKUP(D6898,'taxonomy map'!$A$1:$C$107,2,FALSE),"")</f>
        <v/>
      </c>
      <c r="F6898" s="49" t="str">
        <f>IFERROR(VLOOKUP(E6898,'Condensed Specialty Crosswalk'!$A$2:$C$106,2,FALSE),"")</f>
        <v/>
      </c>
      <c r="G6898" s="49" t="str">
        <f>IFERROR(VLOOKUP(E6898,'Condensed Specialty Crosswalk'!$A$2:$C$106,3,FALSE),"")</f>
        <v/>
      </c>
    </row>
    <row r="6899" spans="5:7" ht="15" customHeight="1">
      <c r="E6899" s="49" t="str">
        <f>IFERROR(VLOOKUP(D6899,'taxonomy map'!$A$1:$C$107,2,FALSE),"")</f>
        <v/>
      </c>
      <c r="F6899" s="49" t="str">
        <f>IFERROR(VLOOKUP(E6899,'Condensed Specialty Crosswalk'!$A$2:$C$106,2,FALSE),"")</f>
        <v/>
      </c>
      <c r="G6899" s="49" t="str">
        <f>IFERROR(VLOOKUP(E6899,'Condensed Specialty Crosswalk'!$A$2:$C$106,3,FALSE),"")</f>
        <v/>
      </c>
    </row>
    <row r="6900" spans="5:7" ht="15" customHeight="1">
      <c r="E6900" s="49" t="str">
        <f>IFERROR(VLOOKUP(D6900,'taxonomy map'!$A$1:$C$107,2,FALSE),"")</f>
        <v/>
      </c>
      <c r="F6900" s="49" t="str">
        <f>IFERROR(VLOOKUP(E6900,'Condensed Specialty Crosswalk'!$A$2:$C$106,2,FALSE),"")</f>
        <v/>
      </c>
      <c r="G6900" s="49" t="str">
        <f>IFERROR(VLOOKUP(E6900,'Condensed Specialty Crosswalk'!$A$2:$C$106,3,FALSE),"")</f>
        <v/>
      </c>
    </row>
    <row r="6901" spans="5:7" ht="15" customHeight="1">
      <c r="E6901" s="49" t="str">
        <f>IFERROR(VLOOKUP(D6901,'taxonomy map'!$A$1:$C$107,2,FALSE),"")</f>
        <v/>
      </c>
      <c r="F6901" s="49" t="str">
        <f>IFERROR(VLOOKUP(E6901,'Condensed Specialty Crosswalk'!$A$2:$C$106,2,FALSE),"")</f>
        <v/>
      </c>
      <c r="G6901" s="49" t="str">
        <f>IFERROR(VLOOKUP(E6901,'Condensed Specialty Crosswalk'!$A$2:$C$106,3,FALSE),"")</f>
        <v/>
      </c>
    </row>
    <row r="6902" spans="5:7" ht="15" customHeight="1">
      <c r="E6902" s="49" t="str">
        <f>IFERROR(VLOOKUP(D6902,'taxonomy map'!$A$1:$C$107,2,FALSE),"")</f>
        <v/>
      </c>
      <c r="F6902" s="49" t="str">
        <f>IFERROR(VLOOKUP(E6902,'Condensed Specialty Crosswalk'!$A$2:$C$106,2,FALSE),"")</f>
        <v/>
      </c>
      <c r="G6902" s="49" t="str">
        <f>IFERROR(VLOOKUP(E6902,'Condensed Specialty Crosswalk'!$A$2:$C$106,3,FALSE),"")</f>
        <v/>
      </c>
    </row>
    <row r="6903" spans="5:7" ht="15" customHeight="1">
      <c r="E6903" s="49" t="str">
        <f>IFERROR(VLOOKUP(D6903,'taxonomy map'!$A$1:$C$107,2,FALSE),"")</f>
        <v/>
      </c>
      <c r="F6903" s="49" t="str">
        <f>IFERROR(VLOOKUP(E6903,'Condensed Specialty Crosswalk'!$A$2:$C$106,2,FALSE),"")</f>
        <v/>
      </c>
      <c r="G6903" s="49" t="str">
        <f>IFERROR(VLOOKUP(E6903,'Condensed Specialty Crosswalk'!$A$2:$C$106,3,FALSE),"")</f>
        <v/>
      </c>
    </row>
    <row r="6904" spans="5:7" ht="15" customHeight="1">
      <c r="E6904" s="49" t="str">
        <f>IFERROR(VLOOKUP(D6904,'taxonomy map'!$A$1:$C$107,2,FALSE),"")</f>
        <v/>
      </c>
      <c r="F6904" s="49" t="str">
        <f>IFERROR(VLOOKUP(E6904,'Condensed Specialty Crosswalk'!$A$2:$C$106,2,FALSE),"")</f>
        <v/>
      </c>
      <c r="G6904" s="49" t="str">
        <f>IFERROR(VLOOKUP(E6904,'Condensed Specialty Crosswalk'!$A$2:$C$106,3,FALSE),"")</f>
        <v/>
      </c>
    </row>
    <row r="6905" spans="5:7" ht="15" customHeight="1">
      <c r="E6905" s="49" t="str">
        <f>IFERROR(VLOOKUP(D6905,'taxonomy map'!$A$1:$C$107,2,FALSE),"")</f>
        <v/>
      </c>
      <c r="F6905" s="49" t="str">
        <f>IFERROR(VLOOKUP(E6905,'Condensed Specialty Crosswalk'!$A$2:$C$106,2,FALSE),"")</f>
        <v/>
      </c>
      <c r="G6905" s="49" t="str">
        <f>IFERROR(VLOOKUP(E6905,'Condensed Specialty Crosswalk'!$A$2:$C$106,3,FALSE),"")</f>
        <v/>
      </c>
    </row>
    <row r="6906" spans="5:7" ht="15" customHeight="1">
      <c r="E6906" s="49" t="str">
        <f>IFERROR(VLOOKUP(D6906,'taxonomy map'!$A$1:$C$107,2,FALSE),"")</f>
        <v/>
      </c>
      <c r="F6906" s="49" t="str">
        <f>IFERROR(VLOOKUP(E6906,'Condensed Specialty Crosswalk'!$A$2:$C$106,2,FALSE),"")</f>
        <v/>
      </c>
      <c r="G6906" s="49" t="str">
        <f>IFERROR(VLOOKUP(E6906,'Condensed Specialty Crosswalk'!$A$2:$C$106,3,FALSE),"")</f>
        <v/>
      </c>
    </row>
    <row r="6907" spans="5:7" ht="15" customHeight="1">
      <c r="E6907" s="49" t="str">
        <f>IFERROR(VLOOKUP(D6907,'taxonomy map'!$A$1:$C$107,2,FALSE),"")</f>
        <v/>
      </c>
      <c r="F6907" s="49" t="str">
        <f>IFERROR(VLOOKUP(E6907,'Condensed Specialty Crosswalk'!$A$2:$C$106,2,FALSE),"")</f>
        <v/>
      </c>
      <c r="G6907" s="49" t="str">
        <f>IFERROR(VLOOKUP(E6907,'Condensed Specialty Crosswalk'!$A$2:$C$106,3,FALSE),"")</f>
        <v/>
      </c>
    </row>
    <row r="6908" spans="5:7" ht="15" customHeight="1">
      <c r="E6908" s="49" t="str">
        <f>IFERROR(VLOOKUP(D6908,'taxonomy map'!$A$1:$C$107,2,FALSE),"")</f>
        <v/>
      </c>
      <c r="F6908" s="49" t="str">
        <f>IFERROR(VLOOKUP(E6908,'Condensed Specialty Crosswalk'!$A$2:$C$106,2,FALSE),"")</f>
        <v/>
      </c>
      <c r="G6908" s="49" t="str">
        <f>IFERROR(VLOOKUP(E6908,'Condensed Specialty Crosswalk'!$A$2:$C$106,3,FALSE),"")</f>
        <v/>
      </c>
    </row>
    <row r="6909" spans="5:7" ht="15" customHeight="1">
      <c r="E6909" s="49" t="str">
        <f>IFERROR(VLOOKUP(D6909,'taxonomy map'!$A$1:$C$107,2,FALSE),"")</f>
        <v/>
      </c>
      <c r="F6909" s="49" t="str">
        <f>IFERROR(VLOOKUP(E6909,'Condensed Specialty Crosswalk'!$A$2:$C$106,2,FALSE),"")</f>
        <v/>
      </c>
      <c r="G6909" s="49" t="str">
        <f>IFERROR(VLOOKUP(E6909,'Condensed Specialty Crosswalk'!$A$2:$C$106,3,FALSE),"")</f>
        <v/>
      </c>
    </row>
    <row r="6910" spans="5:7" ht="15" customHeight="1">
      <c r="E6910" s="49" t="str">
        <f>IFERROR(VLOOKUP(D6910,'taxonomy map'!$A$1:$C$107,2,FALSE),"")</f>
        <v/>
      </c>
      <c r="F6910" s="49" t="str">
        <f>IFERROR(VLOOKUP(E6910,'Condensed Specialty Crosswalk'!$A$2:$C$106,2,FALSE),"")</f>
        <v/>
      </c>
      <c r="G6910" s="49" t="str">
        <f>IFERROR(VLOOKUP(E6910,'Condensed Specialty Crosswalk'!$A$2:$C$106,3,FALSE),"")</f>
        <v/>
      </c>
    </row>
    <row r="6911" spans="5:7" ht="15" customHeight="1">
      <c r="E6911" s="49" t="str">
        <f>IFERROR(VLOOKUP(D6911,'taxonomy map'!$A$1:$C$107,2,FALSE),"")</f>
        <v/>
      </c>
      <c r="F6911" s="49" t="str">
        <f>IFERROR(VLOOKUP(E6911,'Condensed Specialty Crosswalk'!$A$2:$C$106,2,FALSE),"")</f>
        <v/>
      </c>
      <c r="G6911" s="49" t="str">
        <f>IFERROR(VLOOKUP(E6911,'Condensed Specialty Crosswalk'!$A$2:$C$106,3,FALSE),"")</f>
        <v/>
      </c>
    </row>
    <row r="6912" spans="5:7" ht="15" customHeight="1">
      <c r="E6912" s="49" t="str">
        <f>IFERROR(VLOOKUP(D6912,'taxonomy map'!$A$1:$C$107,2,FALSE),"")</f>
        <v/>
      </c>
      <c r="F6912" s="49" t="str">
        <f>IFERROR(VLOOKUP(E6912,'Condensed Specialty Crosswalk'!$A$2:$C$106,2,FALSE),"")</f>
        <v/>
      </c>
      <c r="G6912" s="49" t="str">
        <f>IFERROR(VLOOKUP(E6912,'Condensed Specialty Crosswalk'!$A$2:$C$106,3,FALSE),"")</f>
        <v/>
      </c>
    </row>
    <row r="6913" spans="5:7" ht="15" customHeight="1">
      <c r="E6913" s="49" t="str">
        <f>IFERROR(VLOOKUP(D6913,'taxonomy map'!$A$1:$C$107,2,FALSE),"")</f>
        <v/>
      </c>
      <c r="F6913" s="49" t="str">
        <f>IFERROR(VLOOKUP(E6913,'Condensed Specialty Crosswalk'!$A$2:$C$106,2,FALSE),"")</f>
        <v/>
      </c>
      <c r="G6913" s="49" t="str">
        <f>IFERROR(VLOOKUP(E6913,'Condensed Specialty Crosswalk'!$A$2:$C$106,3,FALSE),"")</f>
        <v/>
      </c>
    </row>
    <row r="6914" spans="5:7" ht="15" customHeight="1">
      <c r="E6914" s="49" t="str">
        <f>IFERROR(VLOOKUP(D6914,'taxonomy map'!$A$1:$C$107,2,FALSE),"")</f>
        <v/>
      </c>
      <c r="F6914" s="49" t="str">
        <f>IFERROR(VLOOKUP(E6914,'Condensed Specialty Crosswalk'!$A$2:$C$106,2,FALSE),"")</f>
        <v/>
      </c>
      <c r="G6914" s="49" t="str">
        <f>IFERROR(VLOOKUP(E6914,'Condensed Specialty Crosswalk'!$A$2:$C$106,3,FALSE),"")</f>
        <v/>
      </c>
    </row>
    <row r="6915" spans="5:7" ht="15" customHeight="1">
      <c r="E6915" s="49" t="str">
        <f>IFERROR(VLOOKUP(D6915,'taxonomy map'!$A$1:$C$107,2,FALSE),"")</f>
        <v/>
      </c>
      <c r="F6915" s="49" t="str">
        <f>IFERROR(VLOOKUP(E6915,'Condensed Specialty Crosswalk'!$A$2:$C$106,2,FALSE),"")</f>
        <v/>
      </c>
      <c r="G6915" s="49" t="str">
        <f>IFERROR(VLOOKUP(E6915,'Condensed Specialty Crosswalk'!$A$2:$C$106,3,FALSE),"")</f>
        <v/>
      </c>
    </row>
    <row r="6916" spans="5:7" ht="15" customHeight="1">
      <c r="E6916" s="49" t="str">
        <f>IFERROR(VLOOKUP(D6916,'taxonomy map'!$A$1:$C$107,2,FALSE),"")</f>
        <v/>
      </c>
      <c r="F6916" s="49" t="str">
        <f>IFERROR(VLOOKUP(E6916,'Condensed Specialty Crosswalk'!$A$2:$C$106,2,FALSE),"")</f>
        <v/>
      </c>
      <c r="G6916" s="49" t="str">
        <f>IFERROR(VLOOKUP(E6916,'Condensed Specialty Crosswalk'!$A$2:$C$106,3,FALSE),"")</f>
        <v/>
      </c>
    </row>
    <row r="6917" spans="5:7" ht="15" customHeight="1">
      <c r="E6917" s="49" t="str">
        <f>IFERROR(VLOOKUP(D6917,'taxonomy map'!$A$1:$C$107,2,FALSE),"")</f>
        <v/>
      </c>
      <c r="F6917" s="49" t="str">
        <f>IFERROR(VLOOKUP(E6917,'Condensed Specialty Crosswalk'!$A$2:$C$106,2,FALSE),"")</f>
        <v/>
      </c>
      <c r="G6917" s="49" t="str">
        <f>IFERROR(VLOOKUP(E6917,'Condensed Specialty Crosswalk'!$A$2:$C$106,3,FALSE),"")</f>
        <v/>
      </c>
    </row>
    <row r="6918" spans="5:7" ht="15" customHeight="1">
      <c r="E6918" s="49" t="str">
        <f>IFERROR(VLOOKUP(D6918,'taxonomy map'!$A$1:$C$107,2,FALSE),"")</f>
        <v/>
      </c>
      <c r="F6918" s="49" t="str">
        <f>IFERROR(VLOOKUP(E6918,'Condensed Specialty Crosswalk'!$A$2:$C$106,2,FALSE),"")</f>
        <v/>
      </c>
      <c r="G6918" s="49" t="str">
        <f>IFERROR(VLOOKUP(E6918,'Condensed Specialty Crosswalk'!$A$2:$C$106,3,FALSE),"")</f>
        <v/>
      </c>
    </row>
    <row r="6919" spans="5:7" ht="15" customHeight="1">
      <c r="E6919" s="49" t="str">
        <f>IFERROR(VLOOKUP(D6919,'taxonomy map'!$A$1:$C$107,2,FALSE),"")</f>
        <v/>
      </c>
      <c r="F6919" s="49" t="str">
        <f>IFERROR(VLOOKUP(E6919,'Condensed Specialty Crosswalk'!$A$2:$C$106,2,FALSE),"")</f>
        <v/>
      </c>
      <c r="G6919" s="49" t="str">
        <f>IFERROR(VLOOKUP(E6919,'Condensed Specialty Crosswalk'!$A$2:$C$106,3,FALSE),"")</f>
        <v/>
      </c>
    </row>
    <row r="6920" spans="5:7" ht="15" customHeight="1">
      <c r="E6920" s="49" t="str">
        <f>IFERROR(VLOOKUP(D6920,'taxonomy map'!$A$1:$C$107,2,FALSE),"")</f>
        <v/>
      </c>
      <c r="F6920" s="49" t="str">
        <f>IFERROR(VLOOKUP(E6920,'Condensed Specialty Crosswalk'!$A$2:$C$106,2,FALSE),"")</f>
        <v/>
      </c>
      <c r="G6920" s="49" t="str">
        <f>IFERROR(VLOOKUP(E6920,'Condensed Specialty Crosswalk'!$A$2:$C$106,3,FALSE),"")</f>
        <v/>
      </c>
    </row>
    <row r="6921" spans="5:7" ht="15" customHeight="1">
      <c r="E6921" s="49" t="str">
        <f>IFERROR(VLOOKUP(D6921,'taxonomy map'!$A$1:$C$107,2,FALSE),"")</f>
        <v/>
      </c>
      <c r="F6921" s="49" t="str">
        <f>IFERROR(VLOOKUP(E6921,'Condensed Specialty Crosswalk'!$A$2:$C$106,2,FALSE),"")</f>
        <v/>
      </c>
      <c r="G6921" s="49" t="str">
        <f>IFERROR(VLOOKUP(E6921,'Condensed Specialty Crosswalk'!$A$2:$C$106,3,FALSE),"")</f>
        <v/>
      </c>
    </row>
    <row r="6922" spans="5:7" ht="15" customHeight="1">
      <c r="E6922" s="49" t="str">
        <f>IFERROR(VLOOKUP(D6922,'taxonomy map'!$A$1:$C$107,2,FALSE),"")</f>
        <v/>
      </c>
      <c r="F6922" s="49" t="str">
        <f>IFERROR(VLOOKUP(E6922,'Condensed Specialty Crosswalk'!$A$2:$C$106,2,FALSE),"")</f>
        <v/>
      </c>
      <c r="G6922" s="49" t="str">
        <f>IFERROR(VLOOKUP(E6922,'Condensed Specialty Crosswalk'!$A$2:$C$106,3,FALSE),"")</f>
        <v/>
      </c>
    </row>
    <row r="6923" spans="5:7" ht="15" customHeight="1">
      <c r="E6923" s="49" t="str">
        <f>IFERROR(VLOOKUP(D6923,'taxonomy map'!$A$1:$C$107,2,FALSE),"")</f>
        <v/>
      </c>
      <c r="F6923" s="49" t="str">
        <f>IFERROR(VLOOKUP(E6923,'Condensed Specialty Crosswalk'!$A$2:$C$106,2,FALSE),"")</f>
        <v/>
      </c>
      <c r="G6923" s="49" t="str">
        <f>IFERROR(VLOOKUP(E6923,'Condensed Specialty Crosswalk'!$A$2:$C$106,3,FALSE),"")</f>
        <v/>
      </c>
    </row>
    <row r="6924" spans="5:7" ht="15" customHeight="1">
      <c r="E6924" s="49" t="str">
        <f>IFERROR(VLOOKUP(D6924,'taxonomy map'!$A$1:$C$107,2,FALSE),"")</f>
        <v/>
      </c>
      <c r="F6924" s="49" t="str">
        <f>IFERROR(VLOOKUP(E6924,'Condensed Specialty Crosswalk'!$A$2:$C$106,2,FALSE),"")</f>
        <v/>
      </c>
      <c r="G6924" s="49" t="str">
        <f>IFERROR(VLOOKUP(E6924,'Condensed Specialty Crosswalk'!$A$2:$C$106,3,FALSE),"")</f>
        <v/>
      </c>
    </row>
    <row r="6925" spans="5:7" ht="15" customHeight="1">
      <c r="E6925" s="49" t="str">
        <f>IFERROR(VLOOKUP(D6925,'taxonomy map'!$A$1:$C$107,2,FALSE),"")</f>
        <v/>
      </c>
      <c r="F6925" s="49" t="str">
        <f>IFERROR(VLOOKUP(E6925,'Condensed Specialty Crosswalk'!$A$2:$C$106,2,FALSE),"")</f>
        <v/>
      </c>
      <c r="G6925" s="49" t="str">
        <f>IFERROR(VLOOKUP(E6925,'Condensed Specialty Crosswalk'!$A$2:$C$106,3,FALSE),"")</f>
        <v/>
      </c>
    </row>
    <row r="6926" spans="5:7" ht="15" customHeight="1">
      <c r="E6926" s="49" t="str">
        <f>IFERROR(VLOOKUP(D6926,'taxonomy map'!$A$1:$C$107,2,FALSE),"")</f>
        <v/>
      </c>
      <c r="F6926" s="49" t="str">
        <f>IFERROR(VLOOKUP(E6926,'Condensed Specialty Crosswalk'!$A$2:$C$106,2,FALSE),"")</f>
        <v/>
      </c>
      <c r="G6926" s="49" t="str">
        <f>IFERROR(VLOOKUP(E6926,'Condensed Specialty Crosswalk'!$A$2:$C$106,3,FALSE),"")</f>
        <v/>
      </c>
    </row>
    <row r="6927" spans="5:7" ht="15" customHeight="1">
      <c r="E6927" s="49" t="str">
        <f>IFERROR(VLOOKUP(D6927,'taxonomy map'!$A$1:$C$107,2,FALSE),"")</f>
        <v/>
      </c>
      <c r="F6927" s="49" t="str">
        <f>IFERROR(VLOOKUP(E6927,'Condensed Specialty Crosswalk'!$A$2:$C$106,2,FALSE),"")</f>
        <v/>
      </c>
      <c r="G6927" s="49" t="str">
        <f>IFERROR(VLOOKUP(E6927,'Condensed Specialty Crosswalk'!$A$2:$C$106,3,FALSE),"")</f>
        <v/>
      </c>
    </row>
    <row r="6928" spans="5:7" ht="15" customHeight="1">
      <c r="E6928" s="49" t="str">
        <f>IFERROR(VLOOKUP(D6928,'taxonomy map'!$A$1:$C$107,2,FALSE),"")</f>
        <v/>
      </c>
      <c r="F6928" s="49" t="str">
        <f>IFERROR(VLOOKUP(E6928,'Condensed Specialty Crosswalk'!$A$2:$C$106,2,FALSE),"")</f>
        <v/>
      </c>
      <c r="G6928" s="49" t="str">
        <f>IFERROR(VLOOKUP(E6928,'Condensed Specialty Crosswalk'!$A$2:$C$106,3,FALSE),"")</f>
        <v/>
      </c>
    </row>
    <row r="6929" spans="5:7" ht="15" customHeight="1">
      <c r="E6929" s="49" t="str">
        <f>IFERROR(VLOOKUP(D6929,'taxonomy map'!$A$1:$C$107,2,FALSE),"")</f>
        <v/>
      </c>
      <c r="F6929" s="49" t="str">
        <f>IFERROR(VLOOKUP(E6929,'Condensed Specialty Crosswalk'!$A$2:$C$106,2,FALSE),"")</f>
        <v/>
      </c>
      <c r="G6929" s="49" t="str">
        <f>IFERROR(VLOOKUP(E6929,'Condensed Specialty Crosswalk'!$A$2:$C$106,3,FALSE),"")</f>
        <v/>
      </c>
    </row>
    <row r="6930" spans="5:7" ht="15" customHeight="1">
      <c r="E6930" s="49" t="str">
        <f>IFERROR(VLOOKUP(D6930,'taxonomy map'!$A$1:$C$107,2,FALSE),"")</f>
        <v/>
      </c>
      <c r="F6930" s="49" t="str">
        <f>IFERROR(VLOOKUP(E6930,'Condensed Specialty Crosswalk'!$A$2:$C$106,2,FALSE),"")</f>
        <v/>
      </c>
      <c r="G6930" s="49" t="str">
        <f>IFERROR(VLOOKUP(E6930,'Condensed Specialty Crosswalk'!$A$2:$C$106,3,FALSE),"")</f>
        <v/>
      </c>
    </row>
    <row r="6931" spans="5:7" ht="15" customHeight="1">
      <c r="E6931" s="49" t="str">
        <f>IFERROR(VLOOKUP(D6931,'taxonomy map'!$A$1:$C$107,2,FALSE),"")</f>
        <v/>
      </c>
      <c r="F6931" s="49" t="str">
        <f>IFERROR(VLOOKUP(E6931,'Condensed Specialty Crosswalk'!$A$2:$C$106,2,FALSE),"")</f>
        <v/>
      </c>
      <c r="G6931" s="49" t="str">
        <f>IFERROR(VLOOKUP(E6931,'Condensed Specialty Crosswalk'!$A$2:$C$106,3,FALSE),"")</f>
        <v/>
      </c>
    </row>
    <row r="6932" spans="5:7" ht="15" customHeight="1">
      <c r="E6932" s="49" t="str">
        <f>IFERROR(VLOOKUP(D6932,'taxonomy map'!$A$1:$C$107,2,FALSE),"")</f>
        <v/>
      </c>
      <c r="F6932" s="49" t="str">
        <f>IFERROR(VLOOKUP(E6932,'Condensed Specialty Crosswalk'!$A$2:$C$106,2,FALSE),"")</f>
        <v/>
      </c>
      <c r="G6932" s="49" t="str">
        <f>IFERROR(VLOOKUP(E6932,'Condensed Specialty Crosswalk'!$A$2:$C$106,3,FALSE),"")</f>
        <v/>
      </c>
    </row>
    <row r="6933" spans="5:7" ht="15" customHeight="1">
      <c r="E6933" s="49" t="str">
        <f>IFERROR(VLOOKUP(D6933,'taxonomy map'!$A$1:$C$107,2,FALSE),"")</f>
        <v/>
      </c>
      <c r="F6933" s="49" t="str">
        <f>IFERROR(VLOOKUP(E6933,'Condensed Specialty Crosswalk'!$A$2:$C$106,2,FALSE),"")</f>
        <v/>
      </c>
      <c r="G6933" s="49" t="str">
        <f>IFERROR(VLOOKUP(E6933,'Condensed Specialty Crosswalk'!$A$2:$C$106,3,FALSE),"")</f>
        <v/>
      </c>
    </row>
    <row r="6934" spans="5:7" ht="15" customHeight="1">
      <c r="E6934" s="49" t="str">
        <f>IFERROR(VLOOKUP(D6934,'taxonomy map'!$A$1:$C$107,2,FALSE),"")</f>
        <v/>
      </c>
      <c r="F6934" s="49" t="str">
        <f>IFERROR(VLOOKUP(E6934,'Condensed Specialty Crosswalk'!$A$2:$C$106,2,FALSE),"")</f>
        <v/>
      </c>
      <c r="G6934" s="49" t="str">
        <f>IFERROR(VLOOKUP(E6934,'Condensed Specialty Crosswalk'!$A$2:$C$106,3,FALSE),"")</f>
        <v/>
      </c>
    </row>
    <row r="6935" spans="5:7" ht="15" customHeight="1">
      <c r="E6935" s="49" t="str">
        <f>IFERROR(VLOOKUP(D6935,'taxonomy map'!$A$1:$C$107,2,FALSE),"")</f>
        <v/>
      </c>
      <c r="F6935" s="49" t="str">
        <f>IFERROR(VLOOKUP(E6935,'Condensed Specialty Crosswalk'!$A$2:$C$106,2,FALSE),"")</f>
        <v/>
      </c>
      <c r="G6935" s="49" t="str">
        <f>IFERROR(VLOOKUP(E6935,'Condensed Specialty Crosswalk'!$A$2:$C$106,3,FALSE),"")</f>
        <v/>
      </c>
    </row>
    <row r="6936" spans="5:7" ht="15" customHeight="1">
      <c r="E6936" s="49" t="str">
        <f>IFERROR(VLOOKUP(D6936,'taxonomy map'!$A$1:$C$107,2,FALSE),"")</f>
        <v/>
      </c>
      <c r="F6936" s="49" t="str">
        <f>IFERROR(VLOOKUP(E6936,'Condensed Specialty Crosswalk'!$A$2:$C$106,2,FALSE),"")</f>
        <v/>
      </c>
      <c r="G6936" s="49" t="str">
        <f>IFERROR(VLOOKUP(E6936,'Condensed Specialty Crosswalk'!$A$2:$C$106,3,FALSE),"")</f>
        <v/>
      </c>
    </row>
    <row r="6937" spans="5:7" ht="15" customHeight="1">
      <c r="E6937" s="49" t="str">
        <f>IFERROR(VLOOKUP(D6937,'taxonomy map'!$A$1:$C$107,2,FALSE),"")</f>
        <v/>
      </c>
      <c r="F6937" s="49" t="str">
        <f>IFERROR(VLOOKUP(E6937,'Condensed Specialty Crosswalk'!$A$2:$C$106,2,FALSE),"")</f>
        <v/>
      </c>
      <c r="G6937" s="49" t="str">
        <f>IFERROR(VLOOKUP(E6937,'Condensed Specialty Crosswalk'!$A$2:$C$106,3,FALSE),"")</f>
        <v/>
      </c>
    </row>
    <row r="6938" spans="5:7" ht="15" customHeight="1">
      <c r="E6938" s="49" t="str">
        <f>IFERROR(VLOOKUP(D6938,'taxonomy map'!$A$1:$C$107,2,FALSE),"")</f>
        <v/>
      </c>
      <c r="F6938" s="49" t="str">
        <f>IFERROR(VLOOKUP(E6938,'Condensed Specialty Crosswalk'!$A$2:$C$106,2,FALSE),"")</f>
        <v/>
      </c>
      <c r="G6938" s="49" t="str">
        <f>IFERROR(VLOOKUP(E6938,'Condensed Specialty Crosswalk'!$A$2:$C$106,3,FALSE),"")</f>
        <v/>
      </c>
    </row>
    <row r="6939" spans="5:7" ht="15" customHeight="1">
      <c r="E6939" s="49" t="str">
        <f>IFERROR(VLOOKUP(D6939,'taxonomy map'!$A$1:$C$107,2,FALSE),"")</f>
        <v/>
      </c>
      <c r="F6939" s="49" t="str">
        <f>IFERROR(VLOOKUP(E6939,'Condensed Specialty Crosswalk'!$A$2:$C$106,2,FALSE),"")</f>
        <v/>
      </c>
      <c r="G6939" s="49" t="str">
        <f>IFERROR(VLOOKUP(E6939,'Condensed Specialty Crosswalk'!$A$2:$C$106,3,FALSE),"")</f>
        <v/>
      </c>
    </row>
    <row r="6940" spans="5:7" ht="15" customHeight="1">
      <c r="E6940" s="49" t="str">
        <f>IFERROR(VLOOKUP(D6940,'taxonomy map'!$A$1:$C$107,2,FALSE),"")</f>
        <v/>
      </c>
      <c r="F6940" s="49" t="str">
        <f>IFERROR(VLOOKUP(E6940,'Condensed Specialty Crosswalk'!$A$2:$C$106,2,FALSE),"")</f>
        <v/>
      </c>
      <c r="G6940" s="49" t="str">
        <f>IFERROR(VLOOKUP(E6940,'Condensed Specialty Crosswalk'!$A$2:$C$106,3,FALSE),"")</f>
        <v/>
      </c>
    </row>
    <row r="6941" spans="5:7" ht="15" customHeight="1">
      <c r="E6941" s="49" t="str">
        <f>IFERROR(VLOOKUP(D6941,'taxonomy map'!$A$1:$C$107,2,FALSE),"")</f>
        <v/>
      </c>
      <c r="F6941" s="49" t="str">
        <f>IFERROR(VLOOKUP(E6941,'Condensed Specialty Crosswalk'!$A$2:$C$106,2,FALSE),"")</f>
        <v/>
      </c>
      <c r="G6941" s="49" t="str">
        <f>IFERROR(VLOOKUP(E6941,'Condensed Specialty Crosswalk'!$A$2:$C$106,3,FALSE),"")</f>
        <v/>
      </c>
    </row>
    <row r="6942" spans="5:7" ht="15" customHeight="1">
      <c r="E6942" s="49" t="str">
        <f>IFERROR(VLOOKUP(D6942,'taxonomy map'!$A$1:$C$107,2,FALSE),"")</f>
        <v/>
      </c>
      <c r="F6942" s="49" t="str">
        <f>IFERROR(VLOOKUP(E6942,'Condensed Specialty Crosswalk'!$A$2:$C$106,2,FALSE),"")</f>
        <v/>
      </c>
      <c r="G6942" s="49" t="str">
        <f>IFERROR(VLOOKUP(E6942,'Condensed Specialty Crosswalk'!$A$2:$C$106,3,FALSE),"")</f>
        <v/>
      </c>
    </row>
    <row r="6943" spans="5:7" ht="15" customHeight="1">
      <c r="E6943" s="49" t="str">
        <f>IFERROR(VLOOKUP(D6943,'taxonomy map'!$A$1:$C$107,2,FALSE),"")</f>
        <v/>
      </c>
      <c r="F6943" s="49" t="str">
        <f>IFERROR(VLOOKUP(E6943,'Condensed Specialty Crosswalk'!$A$2:$C$106,2,FALSE),"")</f>
        <v/>
      </c>
      <c r="G6943" s="49" t="str">
        <f>IFERROR(VLOOKUP(E6943,'Condensed Specialty Crosswalk'!$A$2:$C$106,3,FALSE),"")</f>
        <v/>
      </c>
    </row>
    <row r="6944" spans="5:7" ht="15" customHeight="1">
      <c r="E6944" s="49" t="str">
        <f>IFERROR(VLOOKUP(D6944,'taxonomy map'!$A$1:$C$107,2,FALSE),"")</f>
        <v/>
      </c>
      <c r="F6944" s="49" t="str">
        <f>IFERROR(VLOOKUP(E6944,'Condensed Specialty Crosswalk'!$A$2:$C$106,2,FALSE),"")</f>
        <v/>
      </c>
      <c r="G6944" s="49" t="str">
        <f>IFERROR(VLOOKUP(E6944,'Condensed Specialty Crosswalk'!$A$2:$C$106,3,FALSE),"")</f>
        <v/>
      </c>
    </row>
    <row r="6945" spans="5:7" ht="15" customHeight="1">
      <c r="E6945" s="49" t="str">
        <f>IFERROR(VLOOKUP(D6945,'taxonomy map'!$A$1:$C$107,2,FALSE),"")</f>
        <v/>
      </c>
      <c r="F6945" s="49" t="str">
        <f>IFERROR(VLOOKUP(E6945,'Condensed Specialty Crosswalk'!$A$2:$C$106,2,FALSE),"")</f>
        <v/>
      </c>
      <c r="G6945" s="49" t="str">
        <f>IFERROR(VLOOKUP(E6945,'Condensed Specialty Crosswalk'!$A$2:$C$106,3,FALSE),"")</f>
        <v/>
      </c>
    </row>
    <row r="6946" spans="5:7" ht="15" customHeight="1">
      <c r="E6946" s="49" t="str">
        <f>IFERROR(VLOOKUP(D6946,'taxonomy map'!$A$1:$C$107,2,FALSE),"")</f>
        <v/>
      </c>
      <c r="F6946" s="49" t="str">
        <f>IFERROR(VLOOKUP(E6946,'Condensed Specialty Crosswalk'!$A$2:$C$106,2,FALSE),"")</f>
        <v/>
      </c>
      <c r="G6946" s="49" t="str">
        <f>IFERROR(VLOOKUP(E6946,'Condensed Specialty Crosswalk'!$A$2:$C$106,3,FALSE),"")</f>
        <v/>
      </c>
    </row>
    <row r="6947" spans="5:7" ht="15" customHeight="1">
      <c r="E6947" s="49" t="str">
        <f>IFERROR(VLOOKUP(D6947,'taxonomy map'!$A$1:$C$107,2,FALSE),"")</f>
        <v/>
      </c>
      <c r="F6947" s="49" t="str">
        <f>IFERROR(VLOOKUP(E6947,'Condensed Specialty Crosswalk'!$A$2:$C$106,2,FALSE),"")</f>
        <v/>
      </c>
      <c r="G6947" s="49" t="str">
        <f>IFERROR(VLOOKUP(E6947,'Condensed Specialty Crosswalk'!$A$2:$C$106,3,FALSE),"")</f>
        <v/>
      </c>
    </row>
    <row r="6948" spans="5:7" ht="15" customHeight="1">
      <c r="E6948" s="49" t="str">
        <f>IFERROR(VLOOKUP(D6948,'taxonomy map'!$A$1:$C$107,2,FALSE),"")</f>
        <v/>
      </c>
      <c r="F6948" s="49" t="str">
        <f>IFERROR(VLOOKUP(E6948,'Condensed Specialty Crosswalk'!$A$2:$C$106,2,FALSE),"")</f>
        <v/>
      </c>
      <c r="G6948" s="49" t="str">
        <f>IFERROR(VLOOKUP(E6948,'Condensed Specialty Crosswalk'!$A$2:$C$106,3,FALSE),"")</f>
        <v/>
      </c>
    </row>
    <row r="6949" spans="5:7" ht="15" customHeight="1">
      <c r="E6949" s="49" t="str">
        <f>IFERROR(VLOOKUP(D6949,'taxonomy map'!$A$1:$C$107,2,FALSE),"")</f>
        <v/>
      </c>
      <c r="F6949" s="49" t="str">
        <f>IFERROR(VLOOKUP(E6949,'Condensed Specialty Crosswalk'!$A$2:$C$106,2,FALSE),"")</f>
        <v/>
      </c>
      <c r="G6949" s="49" t="str">
        <f>IFERROR(VLOOKUP(E6949,'Condensed Specialty Crosswalk'!$A$2:$C$106,3,FALSE),"")</f>
        <v/>
      </c>
    </row>
    <row r="6950" spans="5:7" ht="15" customHeight="1">
      <c r="E6950" s="49" t="str">
        <f>IFERROR(VLOOKUP(D6950,'taxonomy map'!$A$1:$C$107,2,FALSE),"")</f>
        <v/>
      </c>
      <c r="F6950" s="49" t="str">
        <f>IFERROR(VLOOKUP(E6950,'Condensed Specialty Crosswalk'!$A$2:$C$106,2,FALSE),"")</f>
        <v/>
      </c>
      <c r="G6950" s="49" t="str">
        <f>IFERROR(VLOOKUP(E6950,'Condensed Specialty Crosswalk'!$A$2:$C$106,3,FALSE),"")</f>
        <v/>
      </c>
    </row>
    <row r="6951" spans="5:7" ht="15" customHeight="1">
      <c r="E6951" s="49" t="str">
        <f>IFERROR(VLOOKUP(D6951,'taxonomy map'!$A$1:$C$107,2,FALSE),"")</f>
        <v/>
      </c>
      <c r="F6951" s="49" t="str">
        <f>IFERROR(VLOOKUP(E6951,'Condensed Specialty Crosswalk'!$A$2:$C$106,2,FALSE),"")</f>
        <v/>
      </c>
      <c r="G6951" s="49" t="str">
        <f>IFERROR(VLOOKUP(E6951,'Condensed Specialty Crosswalk'!$A$2:$C$106,3,FALSE),"")</f>
        <v/>
      </c>
    </row>
    <row r="6952" spans="5:7" ht="15" customHeight="1">
      <c r="E6952" s="49" t="str">
        <f>IFERROR(VLOOKUP(D6952,'taxonomy map'!$A$1:$C$107,2,FALSE),"")</f>
        <v/>
      </c>
      <c r="F6952" s="49" t="str">
        <f>IFERROR(VLOOKUP(E6952,'Condensed Specialty Crosswalk'!$A$2:$C$106,2,FALSE),"")</f>
        <v/>
      </c>
      <c r="G6952" s="49" t="str">
        <f>IFERROR(VLOOKUP(E6952,'Condensed Specialty Crosswalk'!$A$2:$C$106,3,FALSE),"")</f>
        <v/>
      </c>
    </row>
    <row r="6953" spans="5:7" ht="15" customHeight="1">
      <c r="E6953" s="49" t="str">
        <f>IFERROR(VLOOKUP(D6953,'taxonomy map'!$A$1:$C$107,2,FALSE),"")</f>
        <v/>
      </c>
      <c r="F6953" s="49" t="str">
        <f>IFERROR(VLOOKUP(E6953,'Condensed Specialty Crosswalk'!$A$2:$C$106,2,FALSE),"")</f>
        <v/>
      </c>
      <c r="G6953" s="49" t="str">
        <f>IFERROR(VLOOKUP(E6953,'Condensed Specialty Crosswalk'!$A$2:$C$106,3,FALSE),"")</f>
        <v/>
      </c>
    </row>
    <row r="6954" spans="5:7" ht="15" customHeight="1">
      <c r="E6954" s="49" t="str">
        <f>IFERROR(VLOOKUP(D6954,'taxonomy map'!$A$1:$C$107,2,FALSE),"")</f>
        <v/>
      </c>
      <c r="F6954" s="49" t="str">
        <f>IFERROR(VLOOKUP(E6954,'Condensed Specialty Crosswalk'!$A$2:$C$106,2,FALSE),"")</f>
        <v/>
      </c>
      <c r="G6954" s="49" t="str">
        <f>IFERROR(VLOOKUP(E6954,'Condensed Specialty Crosswalk'!$A$2:$C$106,3,FALSE),"")</f>
        <v/>
      </c>
    </row>
    <row r="6955" spans="5:7" ht="15" customHeight="1">
      <c r="E6955" s="49" t="str">
        <f>IFERROR(VLOOKUP(D6955,'taxonomy map'!$A$1:$C$107,2,FALSE),"")</f>
        <v/>
      </c>
      <c r="F6955" s="49" t="str">
        <f>IFERROR(VLOOKUP(E6955,'Condensed Specialty Crosswalk'!$A$2:$C$106,2,FALSE),"")</f>
        <v/>
      </c>
      <c r="G6955" s="49" t="str">
        <f>IFERROR(VLOOKUP(E6955,'Condensed Specialty Crosswalk'!$A$2:$C$106,3,FALSE),"")</f>
        <v/>
      </c>
    </row>
    <row r="6956" spans="5:7" ht="15" customHeight="1">
      <c r="E6956" s="49" t="str">
        <f>IFERROR(VLOOKUP(D6956,'taxonomy map'!$A$1:$C$107,2,FALSE),"")</f>
        <v/>
      </c>
      <c r="F6956" s="49" t="str">
        <f>IFERROR(VLOOKUP(E6956,'Condensed Specialty Crosswalk'!$A$2:$C$106,2,FALSE),"")</f>
        <v/>
      </c>
      <c r="G6956" s="49" t="str">
        <f>IFERROR(VLOOKUP(E6956,'Condensed Specialty Crosswalk'!$A$2:$C$106,3,FALSE),"")</f>
        <v/>
      </c>
    </row>
    <row r="6957" spans="5:7" ht="15" customHeight="1">
      <c r="E6957" s="49" t="str">
        <f>IFERROR(VLOOKUP(D6957,'taxonomy map'!$A$1:$C$107,2,FALSE),"")</f>
        <v/>
      </c>
      <c r="F6957" s="49" t="str">
        <f>IFERROR(VLOOKUP(E6957,'Condensed Specialty Crosswalk'!$A$2:$C$106,2,FALSE),"")</f>
        <v/>
      </c>
      <c r="G6957" s="49" t="str">
        <f>IFERROR(VLOOKUP(E6957,'Condensed Specialty Crosswalk'!$A$2:$C$106,3,FALSE),"")</f>
        <v/>
      </c>
    </row>
    <row r="6958" spans="5:7" ht="15" customHeight="1">
      <c r="E6958" s="49" t="str">
        <f>IFERROR(VLOOKUP(D6958,'taxonomy map'!$A$1:$C$107,2,FALSE),"")</f>
        <v/>
      </c>
      <c r="F6958" s="49" t="str">
        <f>IFERROR(VLOOKUP(E6958,'Condensed Specialty Crosswalk'!$A$2:$C$106,2,FALSE),"")</f>
        <v/>
      </c>
      <c r="G6958" s="49" t="str">
        <f>IFERROR(VLOOKUP(E6958,'Condensed Specialty Crosswalk'!$A$2:$C$106,3,FALSE),"")</f>
        <v/>
      </c>
    </row>
    <row r="6959" spans="5:7" ht="15" customHeight="1">
      <c r="E6959" s="49" t="str">
        <f>IFERROR(VLOOKUP(D6959,'taxonomy map'!$A$1:$C$107,2,FALSE),"")</f>
        <v/>
      </c>
      <c r="F6959" s="49" t="str">
        <f>IFERROR(VLOOKUP(E6959,'Condensed Specialty Crosswalk'!$A$2:$C$106,2,FALSE),"")</f>
        <v/>
      </c>
      <c r="G6959" s="49" t="str">
        <f>IFERROR(VLOOKUP(E6959,'Condensed Specialty Crosswalk'!$A$2:$C$106,3,FALSE),"")</f>
        <v/>
      </c>
    </row>
    <row r="6960" spans="5:7" ht="15" customHeight="1">
      <c r="E6960" s="49" t="str">
        <f>IFERROR(VLOOKUP(D6960,'taxonomy map'!$A$1:$C$107,2,FALSE),"")</f>
        <v/>
      </c>
      <c r="F6960" s="49" t="str">
        <f>IFERROR(VLOOKUP(E6960,'Condensed Specialty Crosswalk'!$A$2:$C$106,2,FALSE),"")</f>
        <v/>
      </c>
      <c r="G6960" s="49" t="str">
        <f>IFERROR(VLOOKUP(E6960,'Condensed Specialty Crosswalk'!$A$2:$C$106,3,FALSE),"")</f>
        <v/>
      </c>
    </row>
    <row r="6961" spans="5:7" ht="15" customHeight="1">
      <c r="E6961" s="49" t="str">
        <f>IFERROR(VLOOKUP(D6961,'taxonomy map'!$A$1:$C$107,2,FALSE),"")</f>
        <v/>
      </c>
      <c r="F6961" s="49" t="str">
        <f>IFERROR(VLOOKUP(E6961,'Condensed Specialty Crosswalk'!$A$2:$C$106,2,FALSE),"")</f>
        <v/>
      </c>
      <c r="G6961" s="49" t="str">
        <f>IFERROR(VLOOKUP(E6961,'Condensed Specialty Crosswalk'!$A$2:$C$106,3,FALSE),"")</f>
        <v/>
      </c>
    </row>
    <row r="6962" spans="5:7" ht="15" customHeight="1">
      <c r="E6962" s="49" t="str">
        <f>IFERROR(VLOOKUP(D6962,'taxonomy map'!$A$1:$C$107,2,FALSE),"")</f>
        <v/>
      </c>
      <c r="F6962" s="49" t="str">
        <f>IFERROR(VLOOKUP(E6962,'Condensed Specialty Crosswalk'!$A$2:$C$106,2,FALSE),"")</f>
        <v/>
      </c>
      <c r="G6962" s="49" t="str">
        <f>IFERROR(VLOOKUP(E6962,'Condensed Specialty Crosswalk'!$A$2:$C$106,3,FALSE),"")</f>
        <v/>
      </c>
    </row>
    <row r="6963" spans="5:7" ht="15" customHeight="1">
      <c r="E6963" s="49" t="str">
        <f>IFERROR(VLOOKUP(D6963,'taxonomy map'!$A$1:$C$107,2,FALSE),"")</f>
        <v/>
      </c>
      <c r="F6963" s="49" t="str">
        <f>IFERROR(VLOOKUP(E6963,'Condensed Specialty Crosswalk'!$A$2:$C$106,2,FALSE),"")</f>
        <v/>
      </c>
      <c r="G6963" s="49" t="str">
        <f>IFERROR(VLOOKUP(E6963,'Condensed Specialty Crosswalk'!$A$2:$C$106,3,FALSE),"")</f>
        <v/>
      </c>
    </row>
    <row r="6964" spans="5:7" ht="15" customHeight="1">
      <c r="E6964" s="49" t="str">
        <f>IFERROR(VLOOKUP(D6964,'taxonomy map'!$A$1:$C$107,2,FALSE),"")</f>
        <v/>
      </c>
      <c r="F6964" s="49" t="str">
        <f>IFERROR(VLOOKUP(E6964,'Condensed Specialty Crosswalk'!$A$2:$C$106,2,FALSE),"")</f>
        <v/>
      </c>
      <c r="G6964" s="49" t="str">
        <f>IFERROR(VLOOKUP(E6964,'Condensed Specialty Crosswalk'!$A$2:$C$106,3,FALSE),"")</f>
        <v/>
      </c>
    </row>
    <row r="6965" spans="5:7" ht="15" customHeight="1">
      <c r="E6965" s="49" t="str">
        <f>IFERROR(VLOOKUP(D6965,'taxonomy map'!$A$1:$C$107,2,FALSE),"")</f>
        <v/>
      </c>
      <c r="F6965" s="49" t="str">
        <f>IFERROR(VLOOKUP(E6965,'Condensed Specialty Crosswalk'!$A$2:$C$106,2,FALSE),"")</f>
        <v/>
      </c>
      <c r="G6965" s="49" t="str">
        <f>IFERROR(VLOOKUP(E6965,'Condensed Specialty Crosswalk'!$A$2:$C$106,3,FALSE),"")</f>
        <v/>
      </c>
    </row>
    <row r="6966" spans="5:7" ht="15" customHeight="1">
      <c r="E6966" s="49" t="str">
        <f>IFERROR(VLOOKUP(D6966,'taxonomy map'!$A$1:$C$107,2,FALSE),"")</f>
        <v/>
      </c>
      <c r="F6966" s="49" t="str">
        <f>IFERROR(VLOOKUP(E6966,'Condensed Specialty Crosswalk'!$A$2:$C$106,2,FALSE),"")</f>
        <v/>
      </c>
      <c r="G6966" s="49" t="str">
        <f>IFERROR(VLOOKUP(E6966,'Condensed Specialty Crosswalk'!$A$2:$C$106,3,FALSE),"")</f>
        <v/>
      </c>
    </row>
    <row r="6967" spans="5:7" ht="15" customHeight="1">
      <c r="E6967" s="49" t="str">
        <f>IFERROR(VLOOKUP(D6967,'taxonomy map'!$A$1:$C$107,2,FALSE),"")</f>
        <v/>
      </c>
      <c r="F6967" s="49" t="str">
        <f>IFERROR(VLOOKUP(E6967,'Condensed Specialty Crosswalk'!$A$2:$C$106,2,FALSE),"")</f>
        <v/>
      </c>
      <c r="G6967" s="49" t="str">
        <f>IFERROR(VLOOKUP(E6967,'Condensed Specialty Crosswalk'!$A$2:$C$106,3,FALSE),"")</f>
        <v/>
      </c>
    </row>
    <row r="6968" spans="5:7" ht="15" customHeight="1">
      <c r="E6968" s="49" t="str">
        <f>IFERROR(VLOOKUP(D6968,'taxonomy map'!$A$1:$C$107,2,FALSE),"")</f>
        <v/>
      </c>
      <c r="F6968" s="49" t="str">
        <f>IFERROR(VLOOKUP(E6968,'Condensed Specialty Crosswalk'!$A$2:$C$106,2,FALSE),"")</f>
        <v/>
      </c>
      <c r="G6968" s="49" t="str">
        <f>IFERROR(VLOOKUP(E6968,'Condensed Specialty Crosswalk'!$A$2:$C$106,3,FALSE),"")</f>
        <v/>
      </c>
    </row>
    <row r="6969" spans="5:7" ht="15" customHeight="1">
      <c r="E6969" s="49" t="str">
        <f>IFERROR(VLOOKUP(D6969,'taxonomy map'!$A$1:$C$107,2,FALSE),"")</f>
        <v/>
      </c>
      <c r="F6969" s="49" t="str">
        <f>IFERROR(VLOOKUP(E6969,'Condensed Specialty Crosswalk'!$A$2:$C$106,2,FALSE),"")</f>
        <v/>
      </c>
      <c r="G6969" s="49" t="str">
        <f>IFERROR(VLOOKUP(E6969,'Condensed Specialty Crosswalk'!$A$2:$C$106,3,FALSE),"")</f>
        <v/>
      </c>
    </row>
    <row r="6970" spans="5:7" ht="15" customHeight="1">
      <c r="E6970" s="49" t="str">
        <f>IFERROR(VLOOKUP(D6970,'taxonomy map'!$A$1:$C$107,2,FALSE),"")</f>
        <v/>
      </c>
      <c r="F6970" s="49" t="str">
        <f>IFERROR(VLOOKUP(E6970,'Condensed Specialty Crosswalk'!$A$2:$C$106,2,FALSE),"")</f>
        <v/>
      </c>
      <c r="G6970" s="49" t="str">
        <f>IFERROR(VLOOKUP(E6970,'Condensed Specialty Crosswalk'!$A$2:$C$106,3,FALSE),"")</f>
        <v/>
      </c>
    </row>
    <row r="6971" spans="5:7" ht="15" customHeight="1">
      <c r="E6971" s="49" t="str">
        <f>IFERROR(VLOOKUP(D6971,'taxonomy map'!$A$1:$C$107,2,FALSE),"")</f>
        <v/>
      </c>
      <c r="F6971" s="49" t="str">
        <f>IFERROR(VLOOKUP(E6971,'Condensed Specialty Crosswalk'!$A$2:$C$106,2,FALSE),"")</f>
        <v/>
      </c>
      <c r="G6971" s="49" t="str">
        <f>IFERROR(VLOOKUP(E6971,'Condensed Specialty Crosswalk'!$A$2:$C$106,3,FALSE),"")</f>
        <v/>
      </c>
    </row>
    <row r="6972" spans="5:7" ht="15" customHeight="1">
      <c r="E6972" s="49" t="str">
        <f>IFERROR(VLOOKUP(D6972,'taxonomy map'!$A$1:$C$107,2,FALSE),"")</f>
        <v/>
      </c>
      <c r="F6972" s="49" t="str">
        <f>IFERROR(VLOOKUP(E6972,'Condensed Specialty Crosswalk'!$A$2:$C$106,2,FALSE),"")</f>
        <v/>
      </c>
      <c r="G6972" s="49" t="str">
        <f>IFERROR(VLOOKUP(E6972,'Condensed Specialty Crosswalk'!$A$2:$C$106,3,FALSE),"")</f>
        <v/>
      </c>
    </row>
    <row r="6973" spans="5:7" ht="15" customHeight="1">
      <c r="E6973" s="49" t="str">
        <f>IFERROR(VLOOKUP(D6973,'taxonomy map'!$A$1:$C$107,2,FALSE),"")</f>
        <v/>
      </c>
      <c r="F6973" s="49" t="str">
        <f>IFERROR(VLOOKUP(E6973,'Condensed Specialty Crosswalk'!$A$2:$C$106,2,FALSE),"")</f>
        <v/>
      </c>
      <c r="G6973" s="49" t="str">
        <f>IFERROR(VLOOKUP(E6973,'Condensed Specialty Crosswalk'!$A$2:$C$106,3,FALSE),"")</f>
        <v/>
      </c>
    </row>
    <row r="6974" spans="5:7" ht="15" customHeight="1">
      <c r="E6974" s="49" t="str">
        <f>IFERROR(VLOOKUP(D6974,'taxonomy map'!$A$1:$C$107,2,FALSE),"")</f>
        <v/>
      </c>
      <c r="F6974" s="49" t="str">
        <f>IFERROR(VLOOKUP(E6974,'Condensed Specialty Crosswalk'!$A$2:$C$106,2,FALSE),"")</f>
        <v/>
      </c>
      <c r="G6974" s="49" t="str">
        <f>IFERROR(VLOOKUP(E6974,'Condensed Specialty Crosswalk'!$A$2:$C$106,3,FALSE),"")</f>
        <v/>
      </c>
    </row>
    <row r="6975" spans="5:7" ht="15" customHeight="1">
      <c r="E6975" s="49" t="str">
        <f>IFERROR(VLOOKUP(D6975,'taxonomy map'!$A$1:$C$107,2,FALSE),"")</f>
        <v/>
      </c>
      <c r="F6975" s="49" t="str">
        <f>IFERROR(VLOOKUP(E6975,'Condensed Specialty Crosswalk'!$A$2:$C$106,2,FALSE),"")</f>
        <v/>
      </c>
      <c r="G6975" s="49" t="str">
        <f>IFERROR(VLOOKUP(E6975,'Condensed Specialty Crosswalk'!$A$2:$C$106,3,FALSE),"")</f>
        <v/>
      </c>
    </row>
    <row r="6976" spans="5:7" ht="15" customHeight="1">
      <c r="E6976" s="49" t="str">
        <f>IFERROR(VLOOKUP(D6976,'taxonomy map'!$A$1:$C$107,2,FALSE),"")</f>
        <v/>
      </c>
      <c r="F6976" s="49" t="str">
        <f>IFERROR(VLOOKUP(E6976,'Condensed Specialty Crosswalk'!$A$2:$C$106,2,FALSE),"")</f>
        <v/>
      </c>
      <c r="G6976" s="49" t="str">
        <f>IFERROR(VLOOKUP(E6976,'Condensed Specialty Crosswalk'!$A$2:$C$106,3,FALSE),"")</f>
        <v/>
      </c>
    </row>
    <row r="6977" spans="5:7" ht="15" customHeight="1">
      <c r="E6977" s="49" t="str">
        <f>IFERROR(VLOOKUP(D6977,'taxonomy map'!$A$1:$C$107,2,FALSE),"")</f>
        <v/>
      </c>
      <c r="F6977" s="49" t="str">
        <f>IFERROR(VLOOKUP(E6977,'Condensed Specialty Crosswalk'!$A$2:$C$106,2,FALSE),"")</f>
        <v/>
      </c>
      <c r="G6977" s="49" t="str">
        <f>IFERROR(VLOOKUP(E6977,'Condensed Specialty Crosswalk'!$A$2:$C$106,3,FALSE),"")</f>
        <v/>
      </c>
    </row>
    <row r="6978" spans="5:7" ht="15" customHeight="1">
      <c r="E6978" s="49" t="str">
        <f>IFERROR(VLOOKUP(D6978,'taxonomy map'!$A$1:$C$107,2,FALSE),"")</f>
        <v/>
      </c>
      <c r="F6978" s="49" t="str">
        <f>IFERROR(VLOOKUP(E6978,'Condensed Specialty Crosswalk'!$A$2:$C$106,2,FALSE),"")</f>
        <v/>
      </c>
      <c r="G6978" s="49" t="str">
        <f>IFERROR(VLOOKUP(E6978,'Condensed Specialty Crosswalk'!$A$2:$C$106,3,FALSE),"")</f>
        <v/>
      </c>
    </row>
    <row r="6979" spans="5:7" ht="15" customHeight="1">
      <c r="E6979" s="49" t="str">
        <f>IFERROR(VLOOKUP(D6979,'taxonomy map'!$A$1:$C$107,2,FALSE),"")</f>
        <v/>
      </c>
      <c r="F6979" s="49" t="str">
        <f>IFERROR(VLOOKUP(E6979,'Condensed Specialty Crosswalk'!$A$2:$C$106,2,FALSE),"")</f>
        <v/>
      </c>
      <c r="G6979" s="49" t="str">
        <f>IFERROR(VLOOKUP(E6979,'Condensed Specialty Crosswalk'!$A$2:$C$106,3,FALSE),"")</f>
        <v/>
      </c>
    </row>
    <row r="6980" spans="5:7" ht="15" customHeight="1">
      <c r="E6980" s="49" t="str">
        <f>IFERROR(VLOOKUP(D6980,'taxonomy map'!$A$1:$C$107,2,FALSE),"")</f>
        <v/>
      </c>
      <c r="F6980" s="49" t="str">
        <f>IFERROR(VLOOKUP(E6980,'Condensed Specialty Crosswalk'!$A$2:$C$106,2,FALSE),"")</f>
        <v/>
      </c>
      <c r="G6980" s="49" t="str">
        <f>IFERROR(VLOOKUP(E6980,'Condensed Specialty Crosswalk'!$A$2:$C$106,3,FALSE),"")</f>
        <v/>
      </c>
    </row>
    <row r="6981" spans="5:7" ht="15" customHeight="1">
      <c r="E6981" s="49" t="str">
        <f>IFERROR(VLOOKUP(D6981,'taxonomy map'!$A$1:$C$107,2,FALSE),"")</f>
        <v/>
      </c>
      <c r="F6981" s="49" t="str">
        <f>IFERROR(VLOOKUP(E6981,'Condensed Specialty Crosswalk'!$A$2:$C$106,2,FALSE),"")</f>
        <v/>
      </c>
      <c r="G6981" s="49" t="str">
        <f>IFERROR(VLOOKUP(E6981,'Condensed Specialty Crosswalk'!$A$2:$C$106,3,FALSE),"")</f>
        <v/>
      </c>
    </row>
    <row r="6982" spans="5:7" ht="15" customHeight="1">
      <c r="E6982" s="49" t="str">
        <f>IFERROR(VLOOKUP(D6982,'taxonomy map'!$A$1:$C$107,2,FALSE),"")</f>
        <v/>
      </c>
      <c r="F6982" s="49" t="str">
        <f>IFERROR(VLOOKUP(E6982,'Condensed Specialty Crosswalk'!$A$2:$C$106,2,FALSE),"")</f>
        <v/>
      </c>
      <c r="G6982" s="49" t="str">
        <f>IFERROR(VLOOKUP(E6982,'Condensed Specialty Crosswalk'!$A$2:$C$106,3,FALSE),"")</f>
        <v/>
      </c>
    </row>
    <row r="6983" spans="5:7" ht="15" customHeight="1">
      <c r="E6983" s="49" t="str">
        <f>IFERROR(VLOOKUP(D6983,'taxonomy map'!$A$1:$C$107,2,FALSE),"")</f>
        <v/>
      </c>
      <c r="F6983" s="49" t="str">
        <f>IFERROR(VLOOKUP(E6983,'Condensed Specialty Crosswalk'!$A$2:$C$106,2,FALSE),"")</f>
        <v/>
      </c>
      <c r="G6983" s="49" t="str">
        <f>IFERROR(VLOOKUP(E6983,'Condensed Specialty Crosswalk'!$A$2:$C$106,3,FALSE),"")</f>
        <v/>
      </c>
    </row>
    <row r="6984" spans="5:7" ht="15" customHeight="1">
      <c r="E6984" s="49" t="str">
        <f>IFERROR(VLOOKUP(D6984,'taxonomy map'!$A$1:$C$107,2,FALSE),"")</f>
        <v/>
      </c>
      <c r="F6984" s="49" t="str">
        <f>IFERROR(VLOOKUP(E6984,'Condensed Specialty Crosswalk'!$A$2:$C$106,2,FALSE),"")</f>
        <v/>
      </c>
      <c r="G6984" s="49" t="str">
        <f>IFERROR(VLOOKUP(E6984,'Condensed Specialty Crosswalk'!$A$2:$C$106,3,FALSE),"")</f>
        <v/>
      </c>
    </row>
    <row r="6985" spans="5:7" ht="15" customHeight="1">
      <c r="E6985" s="49" t="str">
        <f>IFERROR(VLOOKUP(D6985,'taxonomy map'!$A$1:$C$107,2,FALSE),"")</f>
        <v/>
      </c>
      <c r="F6985" s="49" t="str">
        <f>IFERROR(VLOOKUP(E6985,'Condensed Specialty Crosswalk'!$A$2:$C$106,2,FALSE),"")</f>
        <v/>
      </c>
      <c r="G6985" s="49" t="str">
        <f>IFERROR(VLOOKUP(E6985,'Condensed Specialty Crosswalk'!$A$2:$C$106,3,FALSE),"")</f>
        <v/>
      </c>
    </row>
    <row r="6986" spans="5:7" ht="15" customHeight="1">
      <c r="E6986" s="49" t="str">
        <f>IFERROR(VLOOKUP(D6986,'taxonomy map'!$A$1:$C$107,2,FALSE),"")</f>
        <v/>
      </c>
      <c r="F6986" s="49" t="str">
        <f>IFERROR(VLOOKUP(E6986,'Condensed Specialty Crosswalk'!$A$2:$C$106,2,FALSE),"")</f>
        <v/>
      </c>
      <c r="G6986" s="49" t="str">
        <f>IFERROR(VLOOKUP(E6986,'Condensed Specialty Crosswalk'!$A$2:$C$106,3,FALSE),"")</f>
        <v/>
      </c>
    </row>
    <row r="6987" spans="5:7" ht="15" customHeight="1">
      <c r="E6987" s="49" t="str">
        <f>IFERROR(VLOOKUP(D6987,'taxonomy map'!$A$1:$C$107,2,FALSE),"")</f>
        <v/>
      </c>
      <c r="F6987" s="49" t="str">
        <f>IFERROR(VLOOKUP(E6987,'Condensed Specialty Crosswalk'!$A$2:$C$106,2,FALSE),"")</f>
        <v/>
      </c>
      <c r="G6987" s="49" t="str">
        <f>IFERROR(VLOOKUP(E6987,'Condensed Specialty Crosswalk'!$A$2:$C$106,3,FALSE),"")</f>
        <v/>
      </c>
    </row>
    <row r="6988" spans="5:7" ht="15" customHeight="1">
      <c r="E6988" s="49" t="str">
        <f>IFERROR(VLOOKUP(D6988,'taxonomy map'!$A$1:$C$107,2,FALSE),"")</f>
        <v/>
      </c>
      <c r="F6988" s="49" t="str">
        <f>IFERROR(VLOOKUP(E6988,'Condensed Specialty Crosswalk'!$A$2:$C$106,2,FALSE),"")</f>
        <v/>
      </c>
      <c r="G6988" s="49" t="str">
        <f>IFERROR(VLOOKUP(E6988,'Condensed Specialty Crosswalk'!$A$2:$C$106,3,FALSE),"")</f>
        <v/>
      </c>
    </row>
    <row r="6989" spans="5:7" ht="15" customHeight="1">
      <c r="E6989" s="49" t="str">
        <f>IFERROR(VLOOKUP(D6989,'taxonomy map'!$A$1:$C$107,2,FALSE),"")</f>
        <v/>
      </c>
      <c r="F6989" s="49" t="str">
        <f>IFERROR(VLOOKUP(E6989,'Condensed Specialty Crosswalk'!$A$2:$C$106,2,FALSE),"")</f>
        <v/>
      </c>
      <c r="G6989" s="49" t="str">
        <f>IFERROR(VLOOKUP(E6989,'Condensed Specialty Crosswalk'!$A$2:$C$106,3,FALSE),"")</f>
        <v/>
      </c>
    </row>
    <row r="6990" spans="5:7" ht="15" customHeight="1">
      <c r="E6990" s="49" t="str">
        <f>IFERROR(VLOOKUP(D6990,'taxonomy map'!$A$1:$C$107,2,FALSE),"")</f>
        <v/>
      </c>
      <c r="F6990" s="49" t="str">
        <f>IFERROR(VLOOKUP(E6990,'Condensed Specialty Crosswalk'!$A$2:$C$106,2,FALSE),"")</f>
        <v/>
      </c>
      <c r="G6990" s="49" t="str">
        <f>IFERROR(VLOOKUP(E6990,'Condensed Specialty Crosswalk'!$A$2:$C$106,3,FALSE),"")</f>
        <v/>
      </c>
    </row>
    <row r="6991" spans="5:7" ht="15" customHeight="1">
      <c r="E6991" s="49" t="str">
        <f>IFERROR(VLOOKUP(D6991,'taxonomy map'!$A$1:$C$107,2,FALSE),"")</f>
        <v/>
      </c>
      <c r="F6991" s="49" t="str">
        <f>IFERROR(VLOOKUP(E6991,'Condensed Specialty Crosswalk'!$A$2:$C$106,2,FALSE),"")</f>
        <v/>
      </c>
      <c r="G6991" s="49" t="str">
        <f>IFERROR(VLOOKUP(E6991,'Condensed Specialty Crosswalk'!$A$2:$C$106,3,FALSE),"")</f>
        <v/>
      </c>
    </row>
    <row r="6992" spans="5:7" ht="15" customHeight="1">
      <c r="E6992" s="49" t="str">
        <f>IFERROR(VLOOKUP(D6992,'taxonomy map'!$A$1:$C$107,2,FALSE),"")</f>
        <v/>
      </c>
      <c r="F6992" s="49" t="str">
        <f>IFERROR(VLOOKUP(E6992,'Condensed Specialty Crosswalk'!$A$2:$C$106,2,FALSE),"")</f>
        <v/>
      </c>
      <c r="G6992" s="49" t="str">
        <f>IFERROR(VLOOKUP(E6992,'Condensed Specialty Crosswalk'!$A$2:$C$106,3,FALSE),"")</f>
        <v/>
      </c>
    </row>
    <row r="6993" spans="5:7" ht="15" customHeight="1">
      <c r="E6993" s="49" t="str">
        <f>IFERROR(VLOOKUP(D6993,'taxonomy map'!$A$1:$C$107,2,FALSE),"")</f>
        <v/>
      </c>
      <c r="F6993" s="49" t="str">
        <f>IFERROR(VLOOKUP(E6993,'Condensed Specialty Crosswalk'!$A$2:$C$106,2,FALSE),"")</f>
        <v/>
      </c>
      <c r="G6993" s="49" t="str">
        <f>IFERROR(VLOOKUP(E6993,'Condensed Specialty Crosswalk'!$A$2:$C$106,3,FALSE),"")</f>
        <v/>
      </c>
    </row>
    <row r="6994" spans="5:7" ht="15" customHeight="1">
      <c r="E6994" s="49" t="str">
        <f>IFERROR(VLOOKUP(D6994,'taxonomy map'!$A$1:$C$107,2,FALSE),"")</f>
        <v/>
      </c>
      <c r="F6994" s="49" t="str">
        <f>IFERROR(VLOOKUP(E6994,'Condensed Specialty Crosswalk'!$A$2:$C$106,2,FALSE),"")</f>
        <v/>
      </c>
      <c r="G6994" s="49" t="str">
        <f>IFERROR(VLOOKUP(E6994,'Condensed Specialty Crosswalk'!$A$2:$C$106,3,FALSE),"")</f>
        <v/>
      </c>
    </row>
    <row r="6995" spans="5:7" ht="15" customHeight="1">
      <c r="E6995" s="49" t="str">
        <f>IFERROR(VLOOKUP(D6995,'taxonomy map'!$A$1:$C$107,2,FALSE),"")</f>
        <v/>
      </c>
      <c r="F6995" s="49" t="str">
        <f>IFERROR(VLOOKUP(E6995,'Condensed Specialty Crosswalk'!$A$2:$C$106,2,FALSE),"")</f>
        <v/>
      </c>
      <c r="G6995" s="49" t="str">
        <f>IFERROR(VLOOKUP(E6995,'Condensed Specialty Crosswalk'!$A$2:$C$106,3,FALSE),"")</f>
        <v/>
      </c>
    </row>
    <row r="6996" spans="5:7" ht="15" customHeight="1">
      <c r="E6996" s="49" t="str">
        <f>IFERROR(VLOOKUP(D6996,'taxonomy map'!$A$1:$C$107,2,FALSE),"")</f>
        <v/>
      </c>
      <c r="F6996" s="49" t="str">
        <f>IFERROR(VLOOKUP(E6996,'Condensed Specialty Crosswalk'!$A$2:$C$106,2,FALSE),"")</f>
        <v/>
      </c>
      <c r="G6996" s="49" t="str">
        <f>IFERROR(VLOOKUP(E6996,'Condensed Specialty Crosswalk'!$A$2:$C$106,3,FALSE),"")</f>
        <v/>
      </c>
    </row>
    <row r="6997" spans="5:7" ht="15" customHeight="1">
      <c r="E6997" s="49" t="str">
        <f>IFERROR(VLOOKUP(D6997,'taxonomy map'!$A$1:$C$107,2,FALSE),"")</f>
        <v/>
      </c>
      <c r="F6997" s="49" t="str">
        <f>IFERROR(VLOOKUP(E6997,'Condensed Specialty Crosswalk'!$A$2:$C$106,2,FALSE),"")</f>
        <v/>
      </c>
      <c r="G6997" s="49" t="str">
        <f>IFERROR(VLOOKUP(E6997,'Condensed Specialty Crosswalk'!$A$2:$C$106,3,FALSE),"")</f>
        <v/>
      </c>
    </row>
    <row r="6998" spans="5:7" ht="15" customHeight="1">
      <c r="E6998" s="49" t="str">
        <f>IFERROR(VLOOKUP(D6998,'taxonomy map'!$A$1:$C$107,2,FALSE),"")</f>
        <v/>
      </c>
      <c r="F6998" s="49" t="str">
        <f>IFERROR(VLOOKUP(E6998,'Condensed Specialty Crosswalk'!$A$2:$C$106,2,FALSE),"")</f>
        <v/>
      </c>
      <c r="G6998" s="49" t="str">
        <f>IFERROR(VLOOKUP(E6998,'Condensed Specialty Crosswalk'!$A$2:$C$106,3,FALSE),"")</f>
        <v/>
      </c>
    </row>
    <row r="6999" spans="5:7" ht="15" customHeight="1">
      <c r="E6999" s="49" t="str">
        <f>IFERROR(VLOOKUP(D6999,'taxonomy map'!$A$1:$C$107,2,FALSE),"")</f>
        <v/>
      </c>
      <c r="F6999" s="49" t="str">
        <f>IFERROR(VLOOKUP(E6999,'Condensed Specialty Crosswalk'!$A$2:$C$106,2,FALSE),"")</f>
        <v/>
      </c>
      <c r="G6999" s="49" t="str">
        <f>IFERROR(VLOOKUP(E6999,'Condensed Specialty Crosswalk'!$A$2:$C$106,3,FALSE),"")</f>
        <v/>
      </c>
    </row>
    <row r="7000" spans="5:7" ht="15" customHeight="1">
      <c r="E7000" s="49" t="str">
        <f>IFERROR(VLOOKUP(D7000,'taxonomy map'!$A$1:$C$107,2,FALSE),"")</f>
        <v/>
      </c>
      <c r="F7000" s="49" t="str">
        <f>IFERROR(VLOOKUP(E7000,'Condensed Specialty Crosswalk'!$A$2:$C$106,2,FALSE),"")</f>
        <v/>
      </c>
      <c r="G7000" s="49" t="str">
        <f>IFERROR(VLOOKUP(E7000,'Condensed Specialty Crosswalk'!$A$2:$C$106,3,FALSE),"")</f>
        <v/>
      </c>
    </row>
    <row r="7001" spans="5:7" ht="15" customHeight="1">
      <c r="E7001" s="49" t="str">
        <f>IFERROR(VLOOKUP(D7001,'taxonomy map'!$A$1:$C$107,2,FALSE),"")</f>
        <v/>
      </c>
      <c r="F7001" s="49" t="str">
        <f>IFERROR(VLOOKUP(E7001,'Condensed Specialty Crosswalk'!$A$2:$C$106,2,FALSE),"")</f>
        <v/>
      </c>
      <c r="G7001" s="49" t="str">
        <f>IFERROR(VLOOKUP(E7001,'Condensed Specialty Crosswalk'!$A$2:$C$106,3,FALSE),"")</f>
        <v/>
      </c>
    </row>
    <row r="7002" spans="5:7" ht="15" customHeight="1">
      <c r="E7002" s="49" t="str">
        <f>IFERROR(VLOOKUP(D7002,'taxonomy map'!$A$1:$C$107,2,FALSE),"")</f>
        <v/>
      </c>
      <c r="F7002" s="49" t="str">
        <f>IFERROR(VLOOKUP(E7002,'Condensed Specialty Crosswalk'!$A$2:$C$106,2,FALSE),"")</f>
        <v/>
      </c>
      <c r="G7002" s="49" t="str">
        <f>IFERROR(VLOOKUP(E7002,'Condensed Specialty Crosswalk'!$A$2:$C$106,3,FALSE),"")</f>
        <v/>
      </c>
    </row>
    <row r="7003" spans="5:7" ht="15" customHeight="1">
      <c r="E7003" s="49" t="str">
        <f>IFERROR(VLOOKUP(D7003,'taxonomy map'!$A$1:$C$107,2,FALSE),"")</f>
        <v/>
      </c>
      <c r="F7003" s="49" t="str">
        <f>IFERROR(VLOOKUP(E7003,'Condensed Specialty Crosswalk'!$A$2:$C$106,2,FALSE),"")</f>
        <v/>
      </c>
      <c r="G7003" s="49" t="str">
        <f>IFERROR(VLOOKUP(E7003,'Condensed Specialty Crosswalk'!$A$2:$C$106,3,FALSE),"")</f>
        <v/>
      </c>
    </row>
    <row r="7004" spans="5:7" ht="15" customHeight="1">
      <c r="E7004" s="49" t="str">
        <f>IFERROR(VLOOKUP(D7004,'taxonomy map'!$A$1:$C$107,2,FALSE),"")</f>
        <v/>
      </c>
      <c r="F7004" s="49" t="str">
        <f>IFERROR(VLOOKUP(E7004,'Condensed Specialty Crosswalk'!$A$2:$C$106,2,FALSE),"")</f>
        <v/>
      </c>
      <c r="G7004" s="49" t="str">
        <f>IFERROR(VLOOKUP(E7004,'Condensed Specialty Crosswalk'!$A$2:$C$106,3,FALSE),"")</f>
        <v/>
      </c>
    </row>
    <row r="7005" spans="5:7" ht="15" customHeight="1">
      <c r="E7005" s="49" t="str">
        <f>IFERROR(VLOOKUP(D7005,'taxonomy map'!$A$1:$C$107,2,FALSE),"")</f>
        <v/>
      </c>
      <c r="F7005" s="49" t="str">
        <f>IFERROR(VLOOKUP(E7005,'Condensed Specialty Crosswalk'!$A$2:$C$106,2,FALSE),"")</f>
        <v/>
      </c>
      <c r="G7005" s="49" t="str">
        <f>IFERROR(VLOOKUP(E7005,'Condensed Specialty Crosswalk'!$A$2:$C$106,3,FALSE),"")</f>
        <v/>
      </c>
    </row>
    <row r="7006" spans="5:7" ht="15" customHeight="1">
      <c r="E7006" s="49" t="str">
        <f>IFERROR(VLOOKUP(D7006,'taxonomy map'!$A$1:$C$107,2,FALSE),"")</f>
        <v/>
      </c>
      <c r="F7006" s="49" t="str">
        <f>IFERROR(VLOOKUP(E7006,'Condensed Specialty Crosswalk'!$A$2:$C$106,2,FALSE),"")</f>
        <v/>
      </c>
      <c r="G7006" s="49" t="str">
        <f>IFERROR(VLOOKUP(E7006,'Condensed Specialty Crosswalk'!$A$2:$C$106,3,FALSE),"")</f>
        <v/>
      </c>
    </row>
    <row r="7007" spans="5:7" ht="15" customHeight="1">
      <c r="E7007" s="49" t="str">
        <f>IFERROR(VLOOKUP(D7007,'taxonomy map'!$A$1:$C$107,2,FALSE),"")</f>
        <v/>
      </c>
      <c r="F7007" s="49" t="str">
        <f>IFERROR(VLOOKUP(E7007,'Condensed Specialty Crosswalk'!$A$2:$C$106,2,FALSE),"")</f>
        <v/>
      </c>
      <c r="G7007" s="49" t="str">
        <f>IFERROR(VLOOKUP(E7007,'Condensed Specialty Crosswalk'!$A$2:$C$106,3,FALSE),"")</f>
        <v/>
      </c>
    </row>
    <row r="7008" spans="5:7" ht="15" customHeight="1">
      <c r="E7008" s="49" t="str">
        <f>IFERROR(VLOOKUP(D7008,'taxonomy map'!$A$1:$C$107,2,FALSE),"")</f>
        <v/>
      </c>
      <c r="F7008" s="49" t="str">
        <f>IFERROR(VLOOKUP(E7008,'Condensed Specialty Crosswalk'!$A$2:$C$106,2,FALSE),"")</f>
        <v/>
      </c>
      <c r="G7008" s="49" t="str">
        <f>IFERROR(VLOOKUP(E7008,'Condensed Specialty Crosswalk'!$A$2:$C$106,3,FALSE),"")</f>
        <v/>
      </c>
    </row>
    <row r="7009" spans="5:7" ht="15" customHeight="1">
      <c r="E7009" s="49" t="str">
        <f>IFERROR(VLOOKUP(D7009,'taxonomy map'!$A$1:$C$107,2,FALSE),"")</f>
        <v/>
      </c>
      <c r="F7009" s="49" t="str">
        <f>IFERROR(VLOOKUP(E7009,'Condensed Specialty Crosswalk'!$A$2:$C$106,2,FALSE),"")</f>
        <v/>
      </c>
      <c r="G7009" s="49" t="str">
        <f>IFERROR(VLOOKUP(E7009,'Condensed Specialty Crosswalk'!$A$2:$C$106,3,FALSE),"")</f>
        <v/>
      </c>
    </row>
    <row r="7010" spans="5:7" ht="15" customHeight="1">
      <c r="E7010" s="49" t="str">
        <f>IFERROR(VLOOKUP(D7010,'taxonomy map'!$A$1:$C$107,2,FALSE),"")</f>
        <v/>
      </c>
      <c r="F7010" s="49" t="str">
        <f>IFERROR(VLOOKUP(E7010,'Condensed Specialty Crosswalk'!$A$2:$C$106,2,FALSE),"")</f>
        <v/>
      </c>
      <c r="G7010" s="49" t="str">
        <f>IFERROR(VLOOKUP(E7010,'Condensed Specialty Crosswalk'!$A$2:$C$106,3,FALSE),"")</f>
        <v/>
      </c>
    </row>
    <row r="7011" spans="5:7" ht="15" customHeight="1">
      <c r="E7011" s="49" t="str">
        <f>IFERROR(VLOOKUP(D7011,'taxonomy map'!$A$1:$C$107,2,FALSE),"")</f>
        <v/>
      </c>
      <c r="F7011" s="49" t="str">
        <f>IFERROR(VLOOKUP(E7011,'Condensed Specialty Crosswalk'!$A$2:$C$106,2,FALSE),"")</f>
        <v/>
      </c>
      <c r="G7011" s="49" t="str">
        <f>IFERROR(VLOOKUP(E7011,'Condensed Specialty Crosswalk'!$A$2:$C$106,3,FALSE),"")</f>
        <v/>
      </c>
    </row>
    <row r="7012" spans="5:7" ht="15" customHeight="1">
      <c r="E7012" s="49" t="str">
        <f>IFERROR(VLOOKUP(D7012,'taxonomy map'!$A$1:$C$107,2,FALSE),"")</f>
        <v/>
      </c>
      <c r="F7012" s="49" t="str">
        <f>IFERROR(VLOOKUP(E7012,'Condensed Specialty Crosswalk'!$A$2:$C$106,2,FALSE),"")</f>
        <v/>
      </c>
      <c r="G7012" s="49" t="str">
        <f>IFERROR(VLOOKUP(E7012,'Condensed Specialty Crosswalk'!$A$2:$C$106,3,FALSE),"")</f>
        <v/>
      </c>
    </row>
    <row r="7013" spans="5:7" ht="15" customHeight="1">
      <c r="E7013" s="49" t="str">
        <f>IFERROR(VLOOKUP(D7013,'taxonomy map'!$A$1:$C$107,2,FALSE),"")</f>
        <v/>
      </c>
      <c r="F7013" s="49" t="str">
        <f>IFERROR(VLOOKUP(E7013,'Condensed Specialty Crosswalk'!$A$2:$C$106,2,FALSE),"")</f>
        <v/>
      </c>
      <c r="G7013" s="49" t="str">
        <f>IFERROR(VLOOKUP(E7013,'Condensed Specialty Crosswalk'!$A$2:$C$106,3,FALSE),"")</f>
        <v/>
      </c>
    </row>
    <row r="7014" spans="5:7" ht="15" customHeight="1">
      <c r="E7014" s="49" t="str">
        <f>IFERROR(VLOOKUP(D7014,'taxonomy map'!$A$1:$C$107,2,FALSE),"")</f>
        <v/>
      </c>
      <c r="F7014" s="49" t="str">
        <f>IFERROR(VLOOKUP(E7014,'Condensed Specialty Crosswalk'!$A$2:$C$106,2,FALSE),"")</f>
        <v/>
      </c>
      <c r="G7014" s="49" t="str">
        <f>IFERROR(VLOOKUP(E7014,'Condensed Specialty Crosswalk'!$A$2:$C$106,3,FALSE),"")</f>
        <v/>
      </c>
    </row>
    <row r="7015" spans="5:7" ht="15" customHeight="1">
      <c r="E7015" s="49" t="str">
        <f>IFERROR(VLOOKUP(D7015,'taxonomy map'!$A$1:$C$107,2,FALSE),"")</f>
        <v/>
      </c>
      <c r="F7015" s="49" t="str">
        <f>IFERROR(VLOOKUP(E7015,'Condensed Specialty Crosswalk'!$A$2:$C$106,2,FALSE),"")</f>
        <v/>
      </c>
      <c r="G7015" s="49" t="str">
        <f>IFERROR(VLOOKUP(E7015,'Condensed Specialty Crosswalk'!$A$2:$C$106,3,FALSE),"")</f>
        <v/>
      </c>
    </row>
    <row r="7016" spans="5:7" ht="15" customHeight="1">
      <c r="E7016" s="49" t="str">
        <f>IFERROR(VLOOKUP(D7016,'taxonomy map'!$A$1:$C$107,2,FALSE),"")</f>
        <v/>
      </c>
      <c r="F7016" s="49" t="str">
        <f>IFERROR(VLOOKUP(E7016,'Condensed Specialty Crosswalk'!$A$2:$C$106,2,FALSE),"")</f>
        <v/>
      </c>
      <c r="G7016" s="49" t="str">
        <f>IFERROR(VLOOKUP(E7016,'Condensed Specialty Crosswalk'!$A$2:$C$106,3,FALSE),"")</f>
        <v/>
      </c>
    </row>
    <row r="7017" spans="5:7" ht="15" customHeight="1">
      <c r="E7017" s="49" t="str">
        <f>IFERROR(VLOOKUP(D7017,'taxonomy map'!$A$1:$C$107,2,FALSE),"")</f>
        <v/>
      </c>
      <c r="F7017" s="49" t="str">
        <f>IFERROR(VLOOKUP(E7017,'Condensed Specialty Crosswalk'!$A$2:$C$106,2,FALSE),"")</f>
        <v/>
      </c>
      <c r="G7017" s="49" t="str">
        <f>IFERROR(VLOOKUP(E7017,'Condensed Specialty Crosswalk'!$A$2:$C$106,3,FALSE),"")</f>
        <v/>
      </c>
    </row>
    <row r="7018" spans="5:7" ht="15" customHeight="1">
      <c r="E7018" s="49" t="str">
        <f>IFERROR(VLOOKUP(D7018,'taxonomy map'!$A$1:$C$107,2,FALSE),"")</f>
        <v/>
      </c>
      <c r="F7018" s="49" t="str">
        <f>IFERROR(VLOOKUP(E7018,'Condensed Specialty Crosswalk'!$A$2:$C$106,2,FALSE),"")</f>
        <v/>
      </c>
      <c r="G7018" s="49" t="str">
        <f>IFERROR(VLOOKUP(E7018,'Condensed Specialty Crosswalk'!$A$2:$C$106,3,FALSE),"")</f>
        <v/>
      </c>
    </row>
    <row r="7019" spans="5:7" ht="15" customHeight="1">
      <c r="E7019" s="49" t="str">
        <f>IFERROR(VLOOKUP(D7019,'taxonomy map'!$A$1:$C$107,2,FALSE),"")</f>
        <v/>
      </c>
      <c r="F7019" s="49" t="str">
        <f>IFERROR(VLOOKUP(E7019,'Condensed Specialty Crosswalk'!$A$2:$C$106,2,FALSE),"")</f>
        <v/>
      </c>
      <c r="G7019" s="49" t="str">
        <f>IFERROR(VLOOKUP(E7019,'Condensed Specialty Crosswalk'!$A$2:$C$106,3,FALSE),"")</f>
        <v/>
      </c>
    </row>
    <row r="7020" spans="5:7" ht="15" customHeight="1">
      <c r="E7020" s="49" t="str">
        <f>IFERROR(VLOOKUP(D7020,'taxonomy map'!$A$1:$C$107,2,FALSE),"")</f>
        <v/>
      </c>
      <c r="F7020" s="49" t="str">
        <f>IFERROR(VLOOKUP(E7020,'Condensed Specialty Crosswalk'!$A$2:$C$106,2,FALSE),"")</f>
        <v/>
      </c>
      <c r="G7020" s="49" t="str">
        <f>IFERROR(VLOOKUP(E7020,'Condensed Specialty Crosswalk'!$A$2:$C$106,3,FALSE),"")</f>
        <v/>
      </c>
    </row>
    <row r="7021" spans="5:7" ht="15" customHeight="1">
      <c r="E7021" s="49" t="str">
        <f>IFERROR(VLOOKUP(D7021,'taxonomy map'!$A$1:$C$107,2,FALSE),"")</f>
        <v/>
      </c>
      <c r="F7021" s="49" t="str">
        <f>IFERROR(VLOOKUP(E7021,'Condensed Specialty Crosswalk'!$A$2:$C$106,2,FALSE),"")</f>
        <v/>
      </c>
      <c r="G7021" s="49" t="str">
        <f>IFERROR(VLOOKUP(E7021,'Condensed Specialty Crosswalk'!$A$2:$C$106,3,FALSE),"")</f>
        <v/>
      </c>
    </row>
    <row r="7022" spans="5:7" ht="15" customHeight="1">
      <c r="E7022" s="49" t="str">
        <f>IFERROR(VLOOKUP(D7022,'taxonomy map'!$A$1:$C$107,2,FALSE),"")</f>
        <v/>
      </c>
      <c r="F7022" s="49" t="str">
        <f>IFERROR(VLOOKUP(E7022,'Condensed Specialty Crosswalk'!$A$2:$C$106,2,FALSE),"")</f>
        <v/>
      </c>
      <c r="G7022" s="49" t="str">
        <f>IFERROR(VLOOKUP(E7022,'Condensed Specialty Crosswalk'!$A$2:$C$106,3,FALSE),"")</f>
        <v/>
      </c>
    </row>
    <row r="7023" spans="5:7" ht="15" customHeight="1">
      <c r="E7023" s="49" t="str">
        <f>IFERROR(VLOOKUP(D7023,'taxonomy map'!$A$1:$C$107,2,FALSE),"")</f>
        <v/>
      </c>
      <c r="F7023" s="49" t="str">
        <f>IFERROR(VLOOKUP(E7023,'Condensed Specialty Crosswalk'!$A$2:$C$106,2,FALSE),"")</f>
        <v/>
      </c>
      <c r="G7023" s="49" t="str">
        <f>IFERROR(VLOOKUP(E7023,'Condensed Specialty Crosswalk'!$A$2:$C$106,3,FALSE),"")</f>
        <v/>
      </c>
    </row>
    <row r="7024" spans="5:7" ht="15" customHeight="1">
      <c r="E7024" s="49" t="str">
        <f>IFERROR(VLOOKUP(D7024,'taxonomy map'!$A$1:$C$107,2,FALSE),"")</f>
        <v/>
      </c>
      <c r="F7024" s="49" t="str">
        <f>IFERROR(VLOOKUP(E7024,'Condensed Specialty Crosswalk'!$A$2:$C$106,2,FALSE),"")</f>
        <v/>
      </c>
      <c r="G7024" s="49" t="str">
        <f>IFERROR(VLOOKUP(E7024,'Condensed Specialty Crosswalk'!$A$2:$C$106,3,FALSE),"")</f>
        <v/>
      </c>
    </row>
    <row r="7025" spans="5:7" ht="15" customHeight="1">
      <c r="E7025" s="49" t="str">
        <f>IFERROR(VLOOKUP(D7025,'taxonomy map'!$A$1:$C$107,2,FALSE),"")</f>
        <v/>
      </c>
      <c r="F7025" s="49" t="str">
        <f>IFERROR(VLOOKUP(E7025,'Condensed Specialty Crosswalk'!$A$2:$C$106,2,FALSE),"")</f>
        <v/>
      </c>
      <c r="G7025" s="49" t="str">
        <f>IFERROR(VLOOKUP(E7025,'Condensed Specialty Crosswalk'!$A$2:$C$106,3,FALSE),"")</f>
        <v/>
      </c>
    </row>
    <row r="7026" spans="5:7" ht="15" customHeight="1">
      <c r="E7026" s="49" t="str">
        <f>IFERROR(VLOOKUP(D7026,'taxonomy map'!$A$1:$C$107,2,FALSE),"")</f>
        <v/>
      </c>
      <c r="F7026" s="49" t="str">
        <f>IFERROR(VLOOKUP(E7026,'Condensed Specialty Crosswalk'!$A$2:$C$106,2,FALSE),"")</f>
        <v/>
      </c>
      <c r="G7026" s="49" t="str">
        <f>IFERROR(VLOOKUP(E7026,'Condensed Specialty Crosswalk'!$A$2:$C$106,3,FALSE),"")</f>
        <v/>
      </c>
    </row>
    <row r="7027" spans="5:7" ht="15" customHeight="1">
      <c r="E7027" s="49" t="str">
        <f>IFERROR(VLOOKUP(D7027,'taxonomy map'!$A$1:$C$107,2,FALSE),"")</f>
        <v/>
      </c>
      <c r="F7027" s="49" t="str">
        <f>IFERROR(VLOOKUP(E7027,'Condensed Specialty Crosswalk'!$A$2:$C$106,2,FALSE),"")</f>
        <v/>
      </c>
      <c r="G7027" s="49" t="str">
        <f>IFERROR(VLOOKUP(E7027,'Condensed Specialty Crosswalk'!$A$2:$C$106,3,FALSE),"")</f>
        <v/>
      </c>
    </row>
    <row r="7028" spans="5:7" ht="15" customHeight="1">
      <c r="E7028" s="49" t="str">
        <f>IFERROR(VLOOKUP(D7028,'taxonomy map'!$A$1:$C$107,2,FALSE),"")</f>
        <v/>
      </c>
      <c r="F7028" s="49" t="str">
        <f>IFERROR(VLOOKUP(E7028,'Condensed Specialty Crosswalk'!$A$2:$C$106,2,FALSE),"")</f>
        <v/>
      </c>
      <c r="G7028" s="49" t="str">
        <f>IFERROR(VLOOKUP(E7028,'Condensed Specialty Crosswalk'!$A$2:$C$106,3,FALSE),"")</f>
        <v/>
      </c>
    </row>
    <row r="7029" spans="5:7" ht="15" customHeight="1">
      <c r="E7029" s="49" t="str">
        <f>IFERROR(VLOOKUP(D7029,'taxonomy map'!$A$1:$C$107,2,FALSE),"")</f>
        <v/>
      </c>
      <c r="F7029" s="49" t="str">
        <f>IFERROR(VLOOKUP(E7029,'Condensed Specialty Crosswalk'!$A$2:$C$106,2,FALSE),"")</f>
        <v/>
      </c>
      <c r="G7029" s="49" t="str">
        <f>IFERROR(VLOOKUP(E7029,'Condensed Specialty Crosswalk'!$A$2:$C$106,3,FALSE),"")</f>
        <v/>
      </c>
    </row>
    <row r="7030" spans="5:7" ht="15" customHeight="1">
      <c r="E7030" s="49" t="str">
        <f>IFERROR(VLOOKUP(D7030,'taxonomy map'!$A$1:$C$107,2,FALSE),"")</f>
        <v/>
      </c>
      <c r="F7030" s="49" t="str">
        <f>IFERROR(VLOOKUP(E7030,'Condensed Specialty Crosswalk'!$A$2:$C$106,2,FALSE),"")</f>
        <v/>
      </c>
      <c r="G7030" s="49" t="str">
        <f>IFERROR(VLOOKUP(E7030,'Condensed Specialty Crosswalk'!$A$2:$C$106,3,FALSE),"")</f>
        <v/>
      </c>
    </row>
    <row r="7031" spans="5:7" ht="15" customHeight="1">
      <c r="E7031" s="49" t="str">
        <f>IFERROR(VLOOKUP(D7031,'taxonomy map'!$A$1:$C$107,2,FALSE),"")</f>
        <v/>
      </c>
      <c r="F7031" s="49" t="str">
        <f>IFERROR(VLOOKUP(E7031,'Condensed Specialty Crosswalk'!$A$2:$C$106,2,FALSE),"")</f>
        <v/>
      </c>
      <c r="G7031" s="49" t="str">
        <f>IFERROR(VLOOKUP(E7031,'Condensed Specialty Crosswalk'!$A$2:$C$106,3,FALSE),"")</f>
        <v/>
      </c>
    </row>
    <row r="7032" spans="5:7" ht="15" customHeight="1">
      <c r="E7032" s="49" t="str">
        <f>IFERROR(VLOOKUP(D7032,'taxonomy map'!$A$1:$C$107,2,FALSE),"")</f>
        <v/>
      </c>
      <c r="F7032" s="49" t="str">
        <f>IFERROR(VLOOKUP(E7032,'Condensed Specialty Crosswalk'!$A$2:$C$106,2,FALSE),"")</f>
        <v/>
      </c>
      <c r="G7032" s="49" t="str">
        <f>IFERROR(VLOOKUP(E7032,'Condensed Specialty Crosswalk'!$A$2:$C$106,3,FALSE),"")</f>
        <v/>
      </c>
    </row>
    <row r="7033" spans="5:7" ht="15" customHeight="1">
      <c r="E7033" s="49" t="str">
        <f>IFERROR(VLOOKUP(D7033,'taxonomy map'!$A$1:$C$107,2,FALSE),"")</f>
        <v/>
      </c>
      <c r="F7033" s="49" t="str">
        <f>IFERROR(VLOOKUP(E7033,'Condensed Specialty Crosswalk'!$A$2:$C$106,2,FALSE),"")</f>
        <v/>
      </c>
      <c r="G7033" s="49" t="str">
        <f>IFERROR(VLOOKUP(E7033,'Condensed Specialty Crosswalk'!$A$2:$C$106,3,FALSE),"")</f>
        <v/>
      </c>
    </row>
    <row r="7034" spans="5:7" ht="15" customHeight="1">
      <c r="E7034" s="49" t="str">
        <f>IFERROR(VLOOKUP(D7034,'taxonomy map'!$A$1:$C$107,2,FALSE),"")</f>
        <v/>
      </c>
      <c r="F7034" s="49" t="str">
        <f>IFERROR(VLOOKUP(E7034,'Condensed Specialty Crosswalk'!$A$2:$C$106,2,FALSE),"")</f>
        <v/>
      </c>
      <c r="G7034" s="49" t="str">
        <f>IFERROR(VLOOKUP(E7034,'Condensed Specialty Crosswalk'!$A$2:$C$106,3,FALSE),"")</f>
        <v/>
      </c>
    </row>
    <row r="7035" spans="5:7" ht="15" customHeight="1">
      <c r="E7035" s="49" t="str">
        <f>IFERROR(VLOOKUP(D7035,'taxonomy map'!$A$1:$C$107,2,FALSE),"")</f>
        <v/>
      </c>
      <c r="F7035" s="49" t="str">
        <f>IFERROR(VLOOKUP(E7035,'Condensed Specialty Crosswalk'!$A$2:$C$106,2,FALSE),"")</f>
        <v/>
      </c>
      <c r="G7035" s="49" t="str">
        <f>IFERROR(VLOOKUP(E7035,'Condensed Specialty Crosswalk'!$A$2:$C$106,3,FALSE),"")</f>
        <v/>
      </c>
    </row>
    <row r="7036" spans="5:7" ht="15" customHeight="1">
      <c r="E7036" s="49" t="str">
        <f>IFERROR(VLOOKUP(D7036,'taxonomy map'!$A$1:$C$107,2,FALSE),"")</f>
        <v/>
      </c>
      <c r="F7036" s="49" t="str">
        <f>IFERROR(VLOOKUP(E7036,'Condensed Specialty Crosswalk'!$A$2:$C$106,2,FALSE),"")</f>
        <v/>
      </c>
      <c r="G7036" s="49" t="str">
        <f>IFERROR(VLOOKUP(E7036,'Condensed Specialty Crosswalk'!$A$2:$C$106,3,FALSE),"")</f>
        <v/>
      </c>
    </row>
    <row r="7037" spans="5:7" ht="15" customHeight="1">
      <c r="E7037" s="49" t="str">
        <f>IFERROR(VLOOKUP(D7037,'taxonomy map'!$A$1:$C$107,2,FALSE),"")</f>
        <v/>
      </c>
      <c r="F7037" s="49" t="str">
        <f>IFERROR(VLOOKUP(E7037,'Condensed Specialty Crosswalk'!$A$2:$C$106,2,FALSE),"")</f>
        <v/>
      </c>
      <c r="G7037" s="49" t="str">
        <f>IFERROR(VLOOKUP(E7037,'Condensed Specialty Crosswalk'!$A$2:$C$106,3,FALSE),"")</f>
        <v/>
      </c>
    </row>
    <row r="7038" spans="5:7" ht="15" customHeight="1">
      <c r="E7038" s="49" t="str">
        <f>IFERROR(VLOOKUP(D7038,'taxonomy map'!$A$1:$C$107,2,FALSE),"")</f>
        <v/>
      </c>
      <c r="F7038" s="49" t="str">
        <f>IFERROR(VLOOKUP(E7038,'Condensed Specialty Crosswalk'!$A$2:$C$106,2,FALSE),"")</f>
        <v/>
      </c>
      <c r="G7038" s="49" t="str">
        <f>IFERROR(VLOOKUP(E7038,'Condensed Specialty Crosswalk'!$A$2:$C$106,3,FALSE),"")</f>
        <v/>
      </c>
    </row>
    <row r="7039" spans="5:7" ht="15" customHeight="1">
      <c r="E7039" s="49" t="str">
        <f>IFERROR(VLOOKUP(D7039,'taxonomy map'!$A$1:$C$107,2,FALSE),"")</f>
        <v/>
      </c>
      <c r="F7039" s="49" t="str">
        <f>IFERROR(VLOOKUP(E7039,'Condensed Specialty Crosswalk'!$A$2:$C$106,2,FALSE),"")</f>
        <v/>
      </c>
      <c r="G7039" s="49" t="str">
        <f>IFERROR(VLOOKUP(E7039,'Condensed Specialty Crosswalk'!$A$2:$C$106,3,FALSE),"")</f>
        <v/>
      </c>
    </row>
    <row r="7040" spans="5:7" ht="15" customHeight="1">
      <c r="E7040" s="49" t="str">
        <f>IFERROR(VLOOKUP(D7040,'taxonomy map'!$A$1:$C$107,2,FALSE),"")</f>
        <v/>
      </c>
      <c r="F7040" s="49" t="str">
        <f>IFERROR(VLOOKUP(E7040,'Condensed Specialty Crosswalk'!$A$2:$C$106,2,FALSE),"")</f>
        <v/>
      </c>
      <c r="G7040" s="49" t="str">
        <f>IFERROR(VLOOKUP(E7040,'Condensed Specialty Crosswalk'!$A$2:$C$106,3,FALSE),"")</f>
        <v/>
      </c>
    </row>
    <row r="7041" spans="5:7" ht="15" customHeight="1">
      <c r="E7041" s="49" t="str">
        <f>IFERROR(VLOOKUP(D7041,'taxonomy map'!$A$1:$C$107,2,FALSE),"")</f>
        <v/>
      </c>
      <c r="F7041" s="49" t="str">
        <f>IFERROR(VLOOKUP(E7041,'Condensed Specialty Crosswalk'!$A$2:$C$106,2,FALSE),"")</f>
        <v/>
      </c>
      <c r="G7041" s="49" t="str">
        <f>IFERROR(VLOOKUP(E7041,'Condensed Specialty Crosswalk'!$A$2:$C$106,3,FALSE),"")</f>
        <v/>
      </c>
    </row>
    <row r="7042" spans="5:7" ht="15" customHeight="1">
      <c r="E7042" s="49" t="str">
        <f>IFERROR(VLOOKUP(D7042,'taxonomy map'!$A$1:$C$107,2,FALSE),"")</f>
        <v/>
      </c>
      <c r="F7042" s="49" t="str">
        <f>IFERROR(VLOOKUP(E7042,'Condensed Specialty Crosswalk'!$A$2:$C$106,2,FALSE),"")</f>
        <v/>
      </c>
      <c r="G7042" s="49" t="str">
        <f>IFERROR(VLOOKUP(E7042,'Condensed Specialty Crosswalk'!$A$2:$C$106,3,FALSE),"")</f>
        <v/>
      </c>
    </row>
    <row r="7043" spans="5:7" ht="15" customHeight="1">
      <c r="E7043" s="49" t="str">
        <f>IFERROR(VLOOKUP(D7043,'taxonomy map'!$A$1:$C$107,2,FALSE),"")</f>
        <v/>
      </c>
      <c r="F7043" s="49" t="str">
        <f>IFERROR(VLOOKUP(E7043,'Condensed Specialty Crosswalk'!$A$2:$C$106,2,FALSE),"")</f>
        <v/>
      </c>
      <c r="G7043" s="49" t="str">
        <f>IFERROR(VLOOKUP(E7043,'Condensed Specialty Crosswalk'!$A$2:$C$106,3,FALSE),"")</f>
        <v/>
      </c>
    </row>
    <row r="7044" spans="5:7" ht="15" customHeight="1">
      <c r="E7044" s="49" t="str">
        <f>IFERROR(VLOOKUP(D7044,'taxonomy map'!$A$1:$C$107,2,FALSE),"")</f>
        <v/>
      </c>
      <c r="F7044" s="49" t="str">
        <f>IFERROR(VLOOKUP(E7044,'Condensed Specialty Crosswalk'!$A$2:$C$106,2,FALSE),"")</f>
        <v/>
      </c>
      <c r="G7044" s="49" t="str">
        <f>IFERROR(VLOOKUP(E7044,'Condensed Specialty Crosswalk'!$A$2:$C$106,3,FALSE),"")</f>
        <v/>
      </c>
    </row>
    <row r="7045" spans="5:7" ht="15" customHeight="1">
      <c r="E7045" s="49" t="str">
        <f>IFERROR(VLOOKUP(D7045,'taxonomy map'!$A$1:$C$107,2,FALSE),"")</f>
        <v/>
      </c>
      <c r="F7045" s="49" t="str">
        <f>IFERROR(VLOOKUP(E7045,'Condensed Specialty Crosswalk'!$A$2:$C$106,2,FALSE),"")</f>
        <v/>
      </c>
      <c r="G7045" s="49" t="str">
        <f>IFERROR(VLOOKUP(E7045,'Condensed Specialty Crosswalk'!$A$2:$C$106,3,FALSE),"")</f>
        <v/>
      </c>
    </row>
    <row r="7046" spans="5:7" ht="15" customHeight="1">
      <c r="E7046" s="49" t="str">
        <f>IFERROR(VLOOKUP(D7046,'taxonomy map'!$A$1:$C$107,2,FALSE),"")</f>
        <v/>
      </c>
      <c r="F7046" s="49" t="str">
        <f>IFERROR(VLOOKUP(E7046,'Condensed Specialty Crosswalk'!$A$2:$C$106,2,FALSE),"")</f>
        <v/>
      </c>
      <c r="G7046" s="49" t="str">
        <f>IFERROR(VLOOKUP(E7046,'Condensed Specialty Crosswalk'!$A$2:$C$106,3,FALSE),"")</f>
        <v/>
      </c>
    </row>
    <row r="7047" spans="5:7" ht="15" customHeight="1">
      <c r="E7047" s="49" t="str">
        <f>IFERROR(VLOOKUP(D7047,'taxonomy map'!$A$1:$C$107,2,FALSE),"")</f>
        <v/>
      </c>
      <c r="F7047" s="49" t="str">
        <f>IFERROR(VLOOKUP(E7047,'Condensed Specialty Crosswalk'!$A$2:$C$106,2,FALSE),"")</f>
        <v/>
      </c>
      <c r="G7047" s="49" t="str">
        <f>IFERROR(VLOOKUP(E7047,'Condensed Specialty Crosswalk'!$A$2:$C$106,3,FALSE),"")</f>
        <v/>
      </c>
    </row>
    <row r="7048" spans="5:7" ht="15" customHeight="1">
      <c r="E7048" s="49" t="str">
        <f>IFERROR(VLOOKUP(D7048,'taxonomy map'!$A$1:$C$107,2,FALSE),"")</f>
        <v/>
      </c>
      <c r="F7048" s="49" t="str">
        <f>IFERROR(VLOOKUP(E7048,'Condensed Specialty Crosswalk'!$A$2:$C$106,2,FALSE),"")</f>
        <v/>
      </c>
      <c r="G7048" s="49" t="str">
        <f>IFERROR(VLOOKUP(E7048,'Condensed Specialty Crosswalk'!$A$2:$C$106,3,FALSE),"")</f>
        <v/>
      </c>
    </row>
    <row r="7049" spans="5:7" ht="15" customHeight="1">
      <c r="E7049" s="49" t="str">
        <f>IFERROR(VLOOKUP(D7049,'taxonomy map'!$A$1:$C$107,2,FALSE),"")</f>
        <v/>
      </c>
      <c r="F7049" s="49" t="str">
        <f>IFERROR(VLOOKUP(E7049,'Condensed Specialty Crosswalk'!$A$2:$C$106,2,FALSE),"")</f>
        <v/>
      </c>
      <c r="G7049" s="49" t="str">
        <f>IFERROR(VLOOKUP(E7049,'Condensed Specialty Crosswalk'!$A$2:$C$106,3,FALSE),"")</f>
        <v/>
      </c>
    </row>
    <row r="7050" spans="5:7" ht="15" customHeight="1">
      <c r="E7050" s="49" t="str">
        <f>IFERROR(VLOOKUP(D7050,'taxonomy map'!$A$1:$C$107,2,FALSE),"")</f>
        <v/>
      </c>
      <c r="F7050" s="49" t="str">
        <f>IFERROR(VLOOKUP(E7050,'Condensed Specialty Crosswalk'!$A$2:$C$106,2,FALSE),"")</f>
        <v/>
      </c>
      <c r="G7050" s="49" t="str">
        <f>IFERROR(VLOOKUP(E7050,'Condensed Specialty Crosswalk'!$A$2:$C$106,3,FALSE),"")</f>
        <v/>
      </c>
    </row>
    <row r="7051" spans="5:7" ht="15" customHeight="1">
      <c r="E7051" s="49" t="str">
        <f>IFERROR(VLOOKUP(D7051,'taxonomy map'!$A$1:$C$107,2,FALSE),"")</f>
        <v/>
      </c>
      <c r="F7051" s="49" t="str">
        <f>IFERROR(VLOOKUP(E7051,'Condensed Specialty Crosswalk'!$A$2:$C$106,2,FALSE),"")</f>
        <v/>
      </c>
      <c r="G7051" s="49" t="str">
        <f>IFERROR(VLOOKUP(E7051,'Condensed Specialty Crosswalk'!$A$2:$C$106,3,FALSE),"")</f>
        <v/>
      </c>
    </row>
    <row r="7052" spans="5:7" ht="15" customHeight="1">
      <c r="E7052" s="49" t="str">
        <f>IFERROR(VLOOKUP(D7052,'taxonomy map'!$A$1:$C$107,2,FALSE),"")</f>
        <v/>
      </c>
      <c r="F7052" s="49" t="str">
        <f>IFERROR(VLOOKUP(E7052,'Condensed Specialty Crosswalk'!$A$2:$C$106,2,FALSE),"")</f>
        <v/>
      </c>
      <c r="G7052" s="49" t="str">
        <f>IFERROR(VLOOKUP(E7052,'Condensed Specialty Crosswalk'!$A$2:$C$106,3,FALSE),"")</f>
        <v/>
      </c>
    </row>
    <row r="7053" spans="5:7" ht="15" customHeight="1">
      <c r="E7053" s="49" t="str">
        <f>IFERROR(VLOOKUP(D7053,'taxonomy map'!$A$1:$C$107,2,FALSE),"")</f>
        <v/>
      </c>
      <c r="F7053" s="49" t="str">
        <f>IFERROR(VLOOKUP(E7053,'Condensed Specialty Crosswalk'!$A$2:$C$106,2,FALSE),"")</f>
        <v/>
      </c>
      <c r="G7053" s="49" t="str">
        <f>IFERROR(VLOOKUP(E7053,'Condensed Specialty Crosswalk'!$A$2:$C$106,3,FALSE),"")</f>
        <v/>
      </c>
    </row>
    <row r="7054" spans="5:7" ht="15" customHeight="1">
      <c r="E7054" s="49" t="str">
        <f>IFERROR(VLOOKUP(D7054,'taxonomy map'!$A$1:$C$107,2,FALSE),"")</f>
        <v/>
      </c>
      <c r="F7054" s="49" t="str">
        <f>IFERROR(VLOOKUP(E7054,'Condensed Specialty Crosswalk'!$A$2:$C$106,2,FALSE),"")</f>
        <v/>
      </c>
      <c r="G7054" s="49" t="str">
        <f>IFERROR(VLOOKUP(E7054,'Condensed Specialty Crosswalk'!$A$2:$C$106,3,FALSE),"")</f>
        <v/>
      </c>
    </row>
    <row r="7055" spans="5:7" ht="15" customHeight="1">
      <c r="E7055" s="49" t="str">
        <f>IFERROR(VLOOKUP(D7055,'taxonomy map'!$A$1:$C$107,2,FALSE),"")</f>
        <v/>
      </c>
      <c r="F7055" s="49" t="str">
        <f>IFERROR(VLOOKUP(E7055,'Condensed Specialty Crosswalk'!$A$2:$C$106,2,FALSE),"")</f>
        <v/>
      </c>
      <c r="G7055" s="49" t="str">
        <f>IFERROR(VLOOKUP(E7055,'Condensed Specialty Crosswalk'!$A$2:$C$106,3,FALSE),"")</f>
        <v/>
      </c>
    </row>
    <row r="7056" spans="5:7" ht="15" customHeight="1">
      <c r="E7056" s="49" t="str">
        <f>IFERROR(VLOOKUP(D7056,'taxonomy map'!$A$1:$C$107,2,FALSE),"")</f>
        <v/>
      </c>
      <c r="F7056" s="49" t="str">
        <f>IFERROR(VLOOKUP(E7056,'Condensed Specialty Crosswalk'!$A$2:$C$106,2,FALSE),"")</f>
        <v/>
      </c>
      <c r="G7056" s="49" t="str">
        <f>IFERROR(VLOOKUP(E7056,'Condensed Specialty Crosswalk'!$A$2:$C$106,3,FALSE),"")</f>
        <v/>
      </c>
    </row>
    <row r="7057" spans="5:7" ht="15" customHeight="1">
      <c r="E7057" s="49" t="str">
        <f>IFERROR(VLOOKUP(D7057,'taxonomy map'!$A$1:$C$107,2,FALSE),"")</f>
        <v/>
      </c>
      <c r="F7057" s="49" t="str">
        <f>IFERROR(VLOOKUP(E7057,'Condensed Specialty Crosswalk'!$A$2:$C$106,2,FALSE),"")</f>
        <v/>
      </c>
      <c r="G7057" s="49" t="str">
        <f>IFERROR(VLOOKUP(E7057,'Condensed Specialty Crosswalk'!$A$2:$C$106,3,FALSE),"")</f>
        <v/>
      </c>
    </row>
    <row r="7058" spans="5:7" ht="15" customHeight="1">
      <c r="E7058" s="49" t="str">
        <f>IFERROR(VLOOKUP(D7058,'taxonomy map'!$A$1:$C$107,2,FALSE),"")</f>
        <v/>
      </c>
      <c r="F7058" s="49" t="str">
        <f>IFERROR(VLOOKUP(E7058,'Condensed Specialty Crosswalk'!$A$2:$C$106,2,FALSE),"")</f>
        <v/>
      </c>
      <c r="G7058" s="49" t="str">
        <f>IFERROR(VLOOKUP(E7058,'Condensed Specialty Crosswalk'!$A$2:$C$106,3,FALSE),"")</f>
        <v/>
      </c>
    </row>
    <row r="7059" spans="5:7" ht="15" customHeight="1">
      <c r="E7059" s="49" t="str">
        <f>IFERROR(VLOOKUP(D7059,'taxonomy map'!$A$1:$C$107,2,FALSE),"")</f>
        <v/>
      </c>
      <c r="F7059" s="49" t="str">
        <f>IFERROR(VLOOKUP(E7059,'Condensed Specialty Crosswalk'!$A$2:$C$106,2,FALSE),"")</f>
        <v/>
      </c>
      <c r="G7059" s="49" t="str">
        <f>IFERROR(VLOOKUP(E7059,'Condensed Specialty Crosswalk'!$A$2:$C$106,3,FALSE),"")</f>
        <v/>
      </c>
    </row>
    <row r="7060" spans="5:7" ht="15" customHeight="1">
      <c r="E7060" s="49" t="str">
        <f>IFERROR(VLOOKUP(D7060,'taxonomy map'!$A$1:$C$107,2,FALSE),"")</f>
        <v/>
      </c>
      <c r="F7060" s="49" t="str">
        <f>IFERROR(VLOOKUP(E7060,'Condensed Specialty Crosswalk'!$A$2:$C$106,2,FALSE),"")</f>
        <v/>
      </c>
      <c r="G7060" s="49" t="str">
        <f>IFERROR(VLOOKUP(E7060,'Condensed Specialty Crosswalk'!$A$2:$C$106,3,FALSE),"")</f>
        <v/>
      </c>
    </row>
    <row r="7061" spans="5:7" ht="15" customHeight="1">
      <c r="E7061" s="49" t="str">
        <f>IFERROR(VLOOKUP(D7061,'taxonomy map'!$A$1:$C$107,2,FALSE),"")</f>
        <v/>
      </c>
      <c r="F7061" s="49" t="str">
        <f>IFERROR(VLOOKUP(E7061,'Condensed Specialty Crosswalk'!$A$2:$C$106,2,FALSE),"")</f>
        <v/>
      </c>
      <c r="G7061" s="49" t="str">
        <f>IFERROR(VLOOKUP(E7061,'Condensed Specialty Crosswalk'!$A$2:$C$106,3,FALSE),"")</f>
        <v/>
      </c>
    </row>
    <row r="7062" spans="5:7" ht="15" customHeight="1">
      <c r="E7062" s="49" t="str">
        <f>IFERROR(VLOOKUP(D7062,'taxonomy map'!$A$1:$C$107,2,FALSE),"")</f>
        <v/>
      </c>
      <c r="F7062" s="49" t="str">
        <f>IFERROR(VLOOKUP(E7062,'Condensed Specialty Crosswalk'!$A$2:$C$106,2,FALSE),"")</f>
        <v/>
      </c>
      <c r="G7062" s="49" t="str">
        <f>IFERROR(VLOOKUP(E7062,'Condensed Specialty Crosswalk'!$A$2:$C$106,3,FALSE),"")</f>
        <v/>
      </c>
    </row>
    <row r="7063" spans="5:7" ht="15" customHeight="1">
      <c r="E7063" s="49" t="str">
        <f>IFERROR(VLOOKUP(D7063,'taxonomy map'!$A$1:$C$107,2,FALSE),"")</f>
        <v/>
      </c>
      <c r="F7063" s="49" t="str">
        <f>IFERROR(VLOOKUP(E7063,'Condensed Specialty Crosswalk'!$A$2:$C$106,2,FALSE),"")</f>
        <v/>
      </c>
      <c r="G7063" s="49" t="str">
        <f>IFERROR(VLOOKUP(E7063,'Condensed Specialty Crosswalk'!$A$2:$C$106,3,FALSE),"")</f>
        <v/>
      </c>
    </row>
    <row r="7064" spans="5:7" ht="15" customHeight="1">
      <c r="E7064" s="49" t="str">
        <f>IFERROR(VLOOKUP(D7064,'taxonomy map'!$A$1:$C$107,2,FALSE),"")</f>
        <v/>
      </c>
      <c r="F7064" s="49" t="str">
        <f>IFERROR(VLOOKUP(E7064,'Condensed Specialty Crosswalk'!$A$2:$C$106,2,FALSE),"")</f>
        <v/>
      </c>
      <c r="G7064" s="49" t="str">
        <f>IFERROR(VLOOKUP(E7064,'Condensed Specialty Crosswalk'!$A$2:$C$106,3,FALSE),"")</f>
        <v/>
      </c>
    </row>
    <row r="7065" spans="5:7" ht="15" customHeight="1">
      <c r="E7065" s="49" t="str">
        <f>IFERROR(VLOOKUP(D7065,'taxonomy map'!$A$1:$C$107,2,FALSE),"")</f>
        <v/>
      </c>
      <c r="F7065" s="49" t="str">
        <f>IFERROR(VLOOKUP(E7065,'Condensed Specialty Crosswalk'!$A$2:$C$106,2,FALSE),"")</f>
        <v/>
      </c>
      <c r="G7065" s="49" t="str">
        <f>IFERROR(VLOOKUP(E7065,'Condensed Specialty Crosswalk'!$A$2:$C$106,3,FALSE),"")</f>
        <v/>
      </c>
    </row>
    <row r="7066" spans="5:7" ht="15" customHeight="1">
      <c r="E7066" s="49" t="str">
        <f>IFERROR(VLOOKUP(D7066,'taxonomy map'!$A$1:$C$107,2,FALSE),"")</f>
        <v/>
      </c>
      <c r="F7066" s="49" t="str">
        <f>IFERROR(VLOOKUP(E7066,'Condensed Specialty Crosswalk'!$A$2:$C$106,2,FALSE),"")</f>
        <v/>
      </c>
      <c r="G7066" s="49" t="str">
        <f>IFERROR(VLOOKUP(E7066,'Condensed Specialty Crosswalk'!$A$2:$C$106,3,FALSE),"")</f>
        <v/>
      </c>
    </row>
    <row r="7067" spans="5:7" ht="15" customHeight="1">
      <c r="E7067" s="49" t="str">
        <f>IFERROR(VLOOKUP(D7067,'taxonomy map'!$A$1:$C$107,2,FALSE),"")</f>
        <v/>
      </c>
      <c r="F7067" s="49" t="str">
        <f>IFERROR(VLOOKUP(E7067,'Condensed Specialty Crosswalk'!$A$2:$C$106,2,FALSE),"")</f>
        <v/>
      </c>
      <c r="G7067" s="49" t="str">
        <f>IFERROR(VLOOKUP(E7067,'Condensed Specialty Crosswalk'!$A$2:$C$106,3,FALSE),"")</f>
        <v/>
      </c>
    </row>
    <row r="7068" spans="5:7" ht="15" customHeight="1">
      <c r="E7068" s="49" t="str">
        <f>IFERROR(VLOOKUP(D7068,'taxonomy map'!$A$1:$C$107,2,FALSE),"")</f>
        <v/>
      </c>
      <c r="F7068" s="49" t="str">
        <f>IFERROR(VLOOKUP(E7068,'Condensed Specialty Crosswalk'!$A$2:$C$106,2,FALSE),"")</f>
        <v/>
      </c>
      <c r="G7068" s="49" t="str">
        <f>IFERROR(VLOOKUP(E7068,'Condensed Specialty Crosswalk'!$A$2:$C$106,3,FALSE),"")</f>
        <v/>
      </c>
    </row>
    <row r="7069" spans="5:7" ht="15" customHeight="1">
      <c r="E7069" s="49" t="str">
        <f>IFERROR(VLOOKUP(D7069,'taxonomy map'!$A$1:$C$107,2,FALSE),"")</f>
        <v/>
      </c>
      <c r="F7069" s="49" t="str">
        <f>IFERROR(VLOOKUP(E7069,'Condensed Specialty Crosswalk'!$A$2:$C$106,2,FALSE),"")</f>
        <v/>
      </c>
      <c r="G7069" s="49" t="str">
        <f>IFERROR(VLOOKUP(E7069,'Condensed Specialty Crosswalk'!$A$2:$C$106,3,FALSE),"")</f>
        <v/>
      </c>
    </row>
    <row r="7070" spans="5:7" ht="15" customHeight="1">
      <c r="E7070" s="49" t="str">
        <f>IFERROR(VLOOKUP(D7070,'taxonomy map'!$A$1:$C$107,2,FALSE),"")</f>
        <v/>
      </c>
      <c r="F7070" s="49" t="str">
        <f>IFERROR(VLOOKUP(E7070,'Condensed Specialty Crosswalk'!$A$2:$C$106,2,FALSE),"")</f>
        <v/>
      </c>
      <c r="G7070" s="49" t="str">
        <f>IFERROR(VLOOKUP(E7070,'Condensed Specialty Crosswalk'!$A$2:$C$106,3,FALSE),"")</f>
        <v/>
      </c>
    </row>
    <row r="7071" spans="5:7" ht="15" customHeight="1">
      <c r="E7071" s="49" t="str">
        <f>IFERROR(VLOOKUP(D7071,'taxonomy map'!$A$1:$C$107,2,FALSE),"")</f>
        <v/>
      </c>
      <c r="F7071" s="49" t="str">
        <f>IFERROR(VLOOKUP(E7071,'Condensed Specialty Crosswalk'!$A$2:$C$106,2,FALSE),"")</f>
        <v/>
      </c>
      <c r="G7071" s="49" t="str">
        <f>IFERROR(VLOOKUP(E7071,'Condensed Specialty Crosswalk'!$A$2:$C$106,3,FALSE),"")</f>
        <v/>
      </c>
    </row>
    <row r="7072" spans="5:7" ht="15" customHeight="1">
      <c r="E7072" s="49" t="str">
        <f>IFERROR(VLOOKUP(D7072,'taxonomy map'!$A$1:$C$107,2,FALSE),"")</f>
        <v/>
      </c>
      <c r="F7072" s="49" t="str">
        <f>IFERROR(VLOOKUP(E7072,'Condensed Specialty Crosswalk'!$A$2:$C$106,2,FALSE),"")</f>
        <v/>
      </c>
      <c r="G7072" s="49" t="str">
        <f>IFERROR(VLOOKUP(E7072,'Condensed Specialty Crosswalk'!$A$2:$C$106,3,FALSE),"")</f>
        <v/>
      </c>
    </row>
    <row r="7073" spans="5:7" ht="15" customHeight="1">
      <c r="E7073" s="49" t="str">
        <f>IFERROR(VLOOKUP(D7073,'taxonomy map'!$A$1:$C$107,2,FALSE),"")</f>
        <v/>
      </c>
      <c r="F7073" s="49" t="str">
        <f>IFERROR(VLOOKUP(E7073,'Condensed Specialty Crosswalk'!$A$2:$C$106,2,FALSE),"")</f>
        <v/>
      </c>
      <c r="G7073" s="49" t="str">
        <f>IFERROR(VLOOKUP(E7073,'Condensed Specialty Crosswalk'!$A$2:$C$106,3,FALSE),"")</f>
        <v/>
      </c>
    </row>
    <row r="7074" spans="5:7" ht="15" customHeight="1">
      <c r="E7074" s="49" t="str">
        <f>IFERROR(VLOOKUP(D7074,'taxonomy map'!$A$1:$C$107,2,FALSE),"")</f>
        <v/>
      </c>
      <c r="F7074" s="49" t="str">
        <f>IFERROR(VLOOKUP(E7074,'Condensed Specialty Crosswalk'!$A$2:$C$106,2,FALSE),"")</f>
        <v/>
      </c>
      <c r="G7074" s="49" t="str">
        <f>IFERROR(VLOOKUP(E7074,'Condensed Specialty Crosswalk'!$A$2:$C$106,3,FALSE),"")</f>
        <v/>
      </c>
    </row>
    <row r="7075" spans="5:7" ht="15" customHeight="1">
      <c r="E7075" s="49" t="str">
        <f>IFERROR(VLOOKUP(D7075,'taxonomy map'!$A$1:$C$107,2,FALSE),"")</f>
        <v/>
      </c>
      <c r="F7075" s="49" t="str">
        <f>IFERROR(VLOOKUP(E7075,'Condensed Specialty Crosswalk'!$A$2:$C$106,2,FALSE),"")</f>
        <v/>
      </c>
      <c r="G7075" s="49" t="str">
        <f>IFERROR(VLOOKUP(E7075,'Condensed Specialty Crosswalk'!$A$2:$C$106,3,FALSE),"")</f>
        <v/>
      </c>
    </row>
    <row r="7076" spans="5:7" ht="15" customHeight="1">
      <c r="E7076" s="49" t="str">
        <f>IFERROR(VLOOKUP(D7076,'taxonomy map'!$A$1:$C$107,2,FALSE),"")</f>
        <v/>
      </c>
      <c r="F7076" s="49" t="str">
        <f>IFERROR(VLOOKUP(E7076,'Condensed Specialty Crosswalk'!$A$2:$C$106,2,FALSE),"")</f>
        <v/>
      </c>
      <c r="G7076" s="49" t="str">
        <f>IFERROR(VLOOKUP(E7076,'Condensed Specialty Crosswalk'!$A$2:$C$106,3,FALSE),"")</f>
        <v/>
      </c>
    </row>
    <row r="7077" spans="5:7" ht="15" customHeight="1">
      <c r="E7077" s="49" t="str">
        <f>IFERROR(VLOOKUP(D7077,'taxonomy map'!$A$1:$C$107,2,FALSE),"")</f>
        <v/>
      </c>
      <c r="F7077" s="49" t="str">
        <f>IFERROR(VLOOKUP(E7077,'Condensed Specialty Crosswalk'!$A$2:$C$106,2,FALSE),"")</f>
        <v/>
      </c>
      <c r="G7077" s="49" t="str">
        <f>IFERROR(VLOOKUP(E7077,'Condensed Specialty Crosswalk'!$A$2:$C$106,3,FALSE),"")</f>
        <v/>
      </c>
    </row>
    <row r="7078" spans="5:7" ht="15" customHeight="1">
      <c r="E7078" s="49" t="str">
        <f>IFERROR(VLOOKUP(D7078,'taxonomy map'!$A$1:$C$107,2,FALSE),"")</f>
        <v/>
      </c>
      <c r="F7078" s="49" t="str">
        <f>IFERROR(VLOOKUP(E7078,'Condensed Specialty Crosswalk'!$A$2:$C$106,2,FALSE),"")</f>
        <v/>
      </c>
      <c r="G7078" s="49" t="str">
        <f>IFERROR(VLOOKUP(E7078,'Condensed Specialty Crosswalk'!$A$2:$C$106,3,FALSE),"")</f>
        <v/>
      </c>
    </row>
    <row r="7079" spans="5:7" ht="15" customHeight="1">
      <c r="E7079" s="49" t="str">
        <f>IFERROR(VLOOKUP(D7079,'taxonomy map'!$A$1:$C$107,2,FALSE),"")</f>
        <v/>
      </c>
      <c r="F7079" s="49" t="str">
        <f>IFERROR(VLOOKUP(E7079,'Condensed Specialty Crosswalk'!$A$2:$C$106,2,FALSE),"")</f>
        <v/>
      </c>
      <c r="G7079" s="49" t="str">
        <f>IFERROR(VLOOKUP(E7079,'Condensed Specialty Crosswalk'!$A$2:$C$106,3,FALSE),"")</f>
        <v/>
      </c>
    </row>
    <row r="7080" spans="5:7" ht="15" customHeight="1">
      <c r="E7080" s="49" t="str">
        <f>IFERROR(VLOOKUP(D7080,'taxonomy map'!$A$1:$C$107,2,FALSE),"")</f>
        <v/>
      </c>
      <c r="F7080" s="49" t="str">
        <f>IFERROR(VLOOKUP(E7080,'Condensed Specialty Crosswalk'!$A$2:$C$106,2,FALSE),"")</f>
        <v/>
      </c>
      <c r="G7080" s="49" t="str">
        <f>IFERROR(VLOOKUP(E7080,'Condensed Specialty Crosswalk'!$A$2:$C$106,3,FALSE),"")</f>
        <v/>
      </c>
    </row>
    <row r="7081" spans="5:7" ht="15" customHeight="1">
      <c r="E7081" s="49" t="str">
        <f>IFERROR(VLOOKUP(D7081,'taxonomy map'!$A$1:$C$107,2,FALSE),"")</f>
        <v/>
      </c>
      <c r="F7081" s="49" t="str">
        <f>IFERROR(VLOOKUP(E7081,'Condensed Specialty Crosswalk'!$A$2:$C$106,2,FALSE),"")</f>
        <v/>
      </c>
      <c r="G7081" s="49" t="str">
        <f>IFERROR(VLOOKUP(E7081,'Condensed Specialty Crosswalk'!$A$2:$C$106,3,FALSE),"")</f>
        <v/>
      </c>
    </row>
    <row r="7082" spans="5:7" ht="15" customHeight="1">
      <c r="E7082" s="49" t="str">
        <f>IFERROR(VLOOKUP(D7082,'taxonomy map'!$A$1:$C$107,2,FALSE),"")</f>
        <v/>
      </c>
      <c r="F7082" s="49" t="str">
        <f>IFERROR(VLOOKUP(E7082,'Condensed Specialty Crosswalk'!$A$2:$C$106,2,FALSE),"")</f>
        <v/>
      </c>
      <c r="G7082" s="49" t="str">
        <f>IFERROR(VLOOKUP(E7082,'Condensed Specialty Crosswalk'!$A$2:$C$106,3,FALSE),"")</f>
        <v/>
      </c>
    </row>
    <row r="7083" spans="5:7" ht="15" customHeight="1">
      <c r="E7083" s="49" t="str">
        <f>IFERROR(VLOOKUP(D7083,'taxonomy map'!$A$1:$C$107,2,FALSE),"")</f>
        <v/>
      </c>
      <c r="F7083" s="49" t="str">
        <f>IFERROR(VLOOKUP(E7083,'Condensed Specialty Crosswalk'!$A$2:$C$106,2,FALSE),"")</f>
        <v/>
      </c>
      <c r="G7083" s="49" t="str">
        <f>IFERROR(VLOOKUP(E7083,'Condensed Specialty Crosswalk'!$A$2:$C$106,3,FALSE),"")</f>
        <v/>
      </c>
    </row>
    <row r="7084" spans="5:7" ht="15" customHeight="1">
      <c r="E7084" s="49" t="str">
        <f>IFERROR(VLOOKUP(D7084,'taxonomy map'!$A$1:$C$107,2,FALSE),"")</f>
        <v/>
      </c>
      <c r="F7084" s="49" t="str">
        <f>IFERROR(VLOOKUP(E7084,'Condensed Specialty Crosswalk'!$A$2:$C$106,2,FALSE),"")</f>
        <v/>
      </c>
      <c r="G7084" s="49" t="str">
        <f>IFERROR(VLOOKUP(E7084,'Condensed Specialty Crosswalk'!$A$2:$C$106,3,FALSE),"")</f>
        <v/>
      </c>
    </row>
    <row r="7085" spans="5:7" ht="15" customHeight="1">
      <c r="E7085" s="49" t="str">
        <f>IFERROR(VLOOKUP(D7085,'taxonomy map'!$A$1:$C$107,2,FALSE),"")</f>
        <v/>
      </c>
      <c r="F7085" s="49" t="str">
        <f>IFERROR(VLOOKUP(E7085,'Condensed Specialty Crosswalk'!$A$2:$C$106,2,FALSE),"")</f>
        <v/>
      </c>
      <c r="G7085" s="49" t="str">
        <f>IFERROR(VLOOKUP(E7085,'Condensed Specialty Crosswalk'!$A$2:$C$106,3,FALSE),"")</f>
        <v/>
      </c>
    </row>
    <row r="7086" spans="5:7" ht="15" customHeight="1">
      <c r="E7086" s="49" t="str">
        <f>IFERROR(VLOOKUP(D7086,'taxonomy map'!$A$1:$C$107,2,FALSE),"")</f>
        <v/>
      </c>
      <c r="F7086" s="49" t="str">
        <f>IFERROR(VLOOKUP(E7086,'Condensed Specialty Crosswalk'!$A$2:$C$106,2,FALSE),"")</f>
        <v/>
      </c>
      <c r="G7086" s="49" t="str">
        <f>IFERROR(VLOOKUP(E7086,'Condensed Specialty Crosswalk'!$A$2:$C$106,3,FALSE),"")</f>
        <v/>
      </c>
    </row>
    <row r="7087" spans="5:7" ht="15" customHeight="1">
      <c r="E7087" s="49" t="str">
        <f>IFERROR(VLOOKUP(D7087,'taxonomy map'!$A$1:$C$107,2,FALSE),"")</f>
        <v/>
      </c>
      <c r="F7087" s="49" t="str">
        <f>IFERROR(VLOOKUP(E7087,'Condensed Specialty Crosswalk'!$A$2:$C$106,2,FALSE),"")</f>
        <v/>
      </c>
      <c r="G7087" s="49" t="str">
        <f>IFERROR(VLOOKUP(E7087,'Condensed Specialty Crosswalk'!$A$2:$C$106,3,FALSE),"")</f>
        <v/>
      </c>
    </row>
    <row r="7088" spans="5:7" ht="15" customHeight="1">
      <c r="E7088" s="49" t="str">
        <f>IFERROR(VLOOKUP(D7088,'taxonomy map'!$A$1:$C$107,2,FALSE),"")</f>
        <v/>
      </c>
      <c r="F7088" s="49" t="str">
        <f>IFERROR(VLOOKUP(E7088,'Condensed Specialty Crosswalk'!$A$2:$C$106,2,FALSE),"")</f>
        <v/>
      </c>
      <c r="G7088" s="49" t="str">
        <f>IFERROR(VLOOKUP(E7088,'Condensed Specialty Crosswalk'!$A$2:$C$106,3,FALSE),"")</f>
        <v/>
      </c>
    </row>
    <row r="7089" spans="5:7" ht="15" customHeight="1">
      <c r="E7089" s="49" t="str">
        <f>IFERROR(VLOOKUP(D7089,'taxonomy map'!$A$1:$C$107,2,FALSE),"")</f>
        <v/>
      </c>
      <c r="F7089" s="49" t="str">
        <f>IFERROR(VLOOKUP(E7089,'Condensed Specialty Crosswalk'!$A$2:$C$106,2,FALSE),"")</f>
        <v/>
      </c>
      <c r="G7089" s="49" t="str">
        <f>IFERROR(VLOOKUP(E7089,'Condensed Specialty Crosswalk'!$A$2:$C$106,3,FALSE),"")</f>
        <v/>
      </c>
    </row>
    <row r="7090" spans="5:7" ht="15" customHeight="1">
      <c r="E7090" s="49" t="str">
        <f>IFERROR(VLOOKUP(D7090,'taxonomy map'!$A$1:$C$107,2,FALSE),"")</f>
        <v/>
      </c>
      <c r="F7090" s="49" t="str">
        <f>IFERROR(VLOOKUP(E7090,'Condensed Specialty Crosswalk'!$A$2:$C$106,2,FALSE),"")</f>
        <v/>
      </c>
      <c r="G7090" s="49" t="str">
        <f>IFERROR(VLOOKUP(E7090,'Condensed Specialty Crosswalk'!$A$2:$C$106,3,FALSE),"")</f>
        <v/>
      </c>
    </row>
    <row r="7091" spans="5:7" ht="15" customHeight="1">
      <c r="E7091" s="49" t="str">
        <f>IFERROR(VLOOKUP(D7091,'taxonomy map'!$A$1:$C$107,2,FALSE),"")</f>
        <v/>
      </c>
      <c r="F7091" s="49" t="str">
        <f>IFERROR(VLOOKUP(E7091,'Condensed Specialty Crosswalk'!$A$2:$C$106,2,FALSE),"")</f>
        <v/>
      </c>
      <c r="G7091" s="49" t="str">
        <f>IFERROR(VLOOKUP(E7091,'Condensed Specialty Crosswalk'!$A$2:$C$106,3,FALSE),"")</f>
        <v/>
      </c>
    </row>
    <row r="7092" spans="5:7" ht="15" customHeight="1">
      <c r="E7092" s="49" t="str">
        <f>IFERROR(VLOOKUP(D7092,'taxonomy map'!$A$1:$C$107,2,FALSE),"")</f>
        <v/>
      </c>
      <c r="F7092" s="49" t="str">
        <f>IFERROR(VLOOKUP(E7092,'Condensed Specialty Crosswalk'!$A$2:$C$106,2,FALSE),"")</f>
        <v/>
      </c>
      <c r="G7092" s="49" t="str">
        <f>IFERROR(VLOOKUP(E7092,'Condensed Specialty Crosswalk'!$A$2:$C$106,3,FALSE),"")</f>
        <v/>
      </c>
    </row>
    <row r="7093" spans="5:7" ht="15" customHeight="1">
      <c r="E7093" s="49" t="str">
        <f>IFERROR(VLOOKUP(D7093,'taxonomy map'!$A$1:$C$107,2,FALSE),"")</f>
        <v/>
      </c>
      <c r="F7093" s="49" t="str">
        <f>IFERROR(VLOOKUP(E7093,'Condensed Specialty Crosswalk'!$A$2:$C$106,2,FALSE),"")</f>
        <v/>
      </c>
      <c r="G7093" s="49" t="str">
        <f>IFERROR(VLOOKUP(E7093,'Condensed Specialty Crosswalk'!$A$2:$C$106,3,FALSE),"")</f>
        <v/>
      </c>
    </row>
    <row r="7094" spans="5:7" ht="15" customHeight="1">
      <c r="E7094" s="49" t="str">
        <f>IFERROR(VLOOKUP(D7094,'taxonomy map'!$A$1:$C$107,2,FALSE),"")</f>
        <v/>
      </c>
      <c r="F7094" s="49" t="str">
        <f>IFERROR(VLOOKUP(E7094,'Condensed Specialty Crosswalk'!$A$2:$C$106,2,FALSE),"")</f>
        <v/>
      </c>
      <c r="G7094" s="49" t="str">
        <f>IFERROR(VLOOKUP(E7094,'Condensed Specialty Crosswalk'!$A$2:$C$106,3,FALSE),"")</f>
        <v/>
      </c>
    </row>
    <row r="7095" spans="5:7" ht="15" customHeight="1">
      <c r="E7095" s="49" t="str">
        <f>IFERROR(VLOOKUP(D7095,'taxonomy map'!$A$1:$C$107,2,FALSE),"")</f>
        <v/>
      </c>
      <c r="F7095" s="49" t="str">
        <f>IFERROR(VLOOKUP(E7095,'Condensed Specialty Crosswalk'!$A$2:$C$106,2,FALSE),"")</f>
        <v/>
      </c>
      <c r="G7095" s="49" t="str">
        <f>IFERROR(VLOOKUP(E7095,'Condensed Specialty Crosswalk'!$A$2:$C$106,3,FALSE),"")</f>
        <v/>
      </c>
    </row>
    <row r="7096" spans="5:7" ht="15" customHeight="1">
      <c r="E7096" s="49" t="str">
        <f>IFERROR(VLOOKUP(D7096,'taxonomy map'!$A$1:$C$107,2,FALSE),"")</f>
        <v/>
      </c>
      <c r="F7096" s="49" t="str">
        <f>IFERROR(VLOOKUP(E7096,'Condensed Specialty Crosswalk'!$A$2:$C$106,2,FALSE),"")</f>
        <v/>
      </c>
      <c r="G7096" s="49" t="str">
        <f>IFERROR(VLOOKUP(E7096,'Condensed Specialty Crosswalk'!$A$2:$C$106,3,FALSE),"")</f>
        <v/>
      </c>
    </row>
    <row r="7097" spans="5:7" ht="15" customHeight="1">
      <c r="E7097" s="49" t="str">
        <f>IFERROR(VLOOKUP(D7097,'taxonomy map'!$A$1:$C$107,2,FALSE),"")</f>
        <v/>
      </c>
      <c r="F7097" s="49" t="str">
        <f>IFERROR(VLOOKUP(E7097,'Condensed Specialty Crosswalk'!$A$2:$C$106,2,FALSE),"")</f>
        <v/>
      </c>
      <c r="G7097" s="49" t="str">
        <f>IFERROR(VLOOKUP(E7097,'Condensed Specialty Crosswalk'!$A$2:$C$106,3,FALSE),"")</f>
        <v/>
      </c>
    </row>
    <row r="7098" spans="5:7" ht="15" customHeight="1">
      <c r="E7098" s="49" t="str">
        <f>IFERROR(VLOOKUP(D7098,'taxonomy map'!$A$1:$C$107,2,FALSE),"")</f>
        <v/>
      </c>
      <c r="F7098" s="49" t="str">
        <f>IFERROR(VLOOKUP(E7098,'Condensed Specialty Crosswalk'!$A$2:$C$106,2,FALSE),"")</f>
        <v/>
      </c>
      <c r="G7098" s="49" t="str">
        <f>IFERROR(VLOOKUP(E7098,'Condensed Specialty Crosswalk'!$A$2:$C$106,3,FALSE),"")</f>
        <v/>
      </c>
    </row>
    <row r="7099" spans="5:7" ht="15" customHeight="1">
      <c r="E7099" s="49" t="str">
        <f>IFERROR(VLOOKUP(D7099,'taxonomy map'!$A$1:$C$107,2,FALSE),"")</f>
        <v/>
      </c>
      <c r="F7099" s="49" t="str">
        <f>IFERROR(VLOOKUP(E7099,'Condensed Specialty Crosswalk'!$A$2:$C$106,2,FALSE),"")</f>
        <v/>
      </c>
      <c r="G7099" s="49" t="str">
        <f>IFERROR(VLOOKUP(E7099,'Condensed Specialty Crosswalk'!$A$2:$C$106,3,FALSE),"")</f>
        <v/>
      </c>
    </row>
    <row r="7100" spans="5:7" ht="15" customHeight="1">
      <c r="E7100" s="49" t="str">
        <f>IFERROR(VLOOKUP(D7100,'taxonomy map'!$A$1:$C$107,2,FALSE),"")</f>
        <v/>
      </c>
      <c r="F7100" s="49" t="str">
        <f>IFERROR(VLOOKUP(E7100,'Condensed Specialty Crosswalk'!$A$2:$C$106,2,FALSE),"")</f>
        <v/>
      </c>
      <c r="G7100" s="49" t="str">
        <f>IFERROR(VLOOKUP(E7100,'Condensed Specialty Crosswalk'!$A$2:$C$106,3,FALSE),"")</f>
        <v/>
      </c>
    </row>
    <row r="7101" spans="5:7" ht="15" customHeight="1">
      <c r="E7101" s="49" t="str">
        <f>IFERROR(VLOOKUP(D7101,'taxonomy map'!$A$1:$C$107,2,FALSE),"")</f>
        <v/>
      </c>
      <c r="F7101" s="49" t="str">
        <f>IFERROR(VLOOKUP(E7101,'Condensed Specialty Crosswalk'!$A$2:$C$106,2,FALSE),"")</f>
        <v/>
      </c>
      <c r="G7101" s="49" t="str">
        <f>IFERROR(VLOOKUP(E7101,'Condensed Specialty Crosswalk'!$A$2:$C$106,3,FALSE),"")</f>
        <v/>
      </c>
    </row>
    <row r="7102" spans="5:7" ht="15" customHeight="1">
      <c r="E7102" s="49" t="str">
        <f>IFERROR(VLOOKUP(D7102,'taxonomy map'!$A$1:$C$107,2,FALSE),"")</f>
        <v/>
      </c>
      <c r="F7102" s="49" t="str">
        <f>IFERROR(VLOOKUP(E7102,'Condensed Specialty Crosswalk'!$A$2:$C$106,2,FALSE),"")</f>
        <v/>
      </c>
      <c r="G7102" s="49" t="str">
        <f>IFERROR(VLOOKUP(E7102,'Condensed Specialty Crosswalk'!$A$2:$C$106,3,FALSE),"")</f>
        <v/>
      </c>
    </row>
    <row r="7103" spans="5:7" ht="15" customHeight="1">
      <c r="E7103" s="49" t="str">
        <f>IFERROR(VLOOKUP(D7103,'taxonomy map'!$A$1:$C$107,2,FALSE),"")</f>
        <v/>
      </c>
      <c r="F7103" s="49" t="str">
        <f>IFERROR(VLOOKUP(E7103,'Condensed Specialty Crosswalk'!$A$2:$C$106,2,FALSE),"")</f>
        <v/>
      </c>
      <c r="G7103" s="49" t="str">
        <f>IFERROR(VLOOKUP(E7103,'Condensed Specialty Crosswalk'!$A$2:$C$106,3,FALSE),"")</f>
        <v/>
      </c>
    </row>
    <row r="7104" spans="5:7" ht="15" customHeight="1">
      <c r="E7104" s="49" t="str">
        <f>IFERROR(VLOOKUP(D7104,'taxonomy map'!$A$1:$C$107,2,FALSE),"")</f>
        <v/>
      </c>
      <c r="F7104" s="49" t="str">
        <f>IFERROR(VLOOKUP(E7104,'Condensed Specialty Crosswalk'!$A$2:$C$106,2,FALSE),"")</f>
        <v/>
      </c>
      <c r="G7104" s="49" t="str">
        <f>IFERROR(VLOOKUP(E7104,'Condensed Specialty Crosswalk'!$A$2:$C$106,3,FALSE),"")</f>
        <v/>
      </c>
    </row>
    <row r="7105" spans="5:7" ht="15" customHeight="1">
      <c r="E7105" s="49" t="str">
        <f>IFERROR(VLOOKUP(D7105,'taxonomy map'!$A$1:$C$107,2,FALSE),"")</f>
        <v/>
      </c>
      <c r="F7105" s="49" t="str">
        <f>IFERROR(VLOOKUP(E7105,'Condensed Specialty Crosswalk'!$A$2:$C$106,2,FALSE),"")</f>
        <v/>
      </c>
      <c r="G7105" s="49" t="str">
        <f>IFERROR(VLOOKUP(E7105,'Condensed Specialty Crosswalk'!$A$2:$C$106,3,FALSE),"")</f>
        <v/>
      </c>
    </row>
    <row r="7106" spans="5:7" ht="15" customHeight="1">
      <c r="E7106" s="49" t="str">
        <f>IFERROR(VLOOKUP(D7106,'taxonomy map'!$A$1:$C$107,2,FALSE),"")</f>
        <v/>
      </c>
      <c r="F7106" s="49" t="str">
        <f>IFERROR(VLOOKUP(E7106,'Condensed Specialty Crosswalk'!$A$2:$C$106,2,FALSE),"")</f>
        <v/>
      </c>
      <c r="G7106" s="49" t="str">
        <f>IFERROR(VLOOKUP(E7106,'Condensed Specialty Crosswalk'!$A$2:$C$106,3,FALSE),"")</f>
        <v/>
      </c>
    </row>
    <row r="7107" spans="5:7" ht="15" customHeight="1">
      <c r="E7107" s="49" t="str">
        <f>IFERROR(VLOOKUP(D7107,'taxonomy map'!$A$1:$C$107,2,FALSE),"")</f>
        <v/>
      </c>
      <c r="F7107" s="49" t="str">
        <f>IFERROR(VLOOKUP(E7107,'Condensed Specialty Crosswalk'!$A$2:$C$106,2,FALSE),"")</f>
        <v/>
      </c>
      <c r="G7107" s="49" t="str">
        <f>IFERROR(VLOOKUP(E7107,'Condensed Specialty Crosswalk'!$A$2:$C$106,3,FALSE),"")</f>
        <v/>
      </c>
    </row>
    <row r="7108" spans="5:7" ht="15" customHeight="1">
      <c r="E7108" s="49" t="str">
        <f>IFERROR(VLOOKUP(D7108,'taxonomy map'!$A$1:$C$107,2,FALSE),"")</f>
        <v/>
      </c>
      <c r="F7108" s="49" t="str">
        <f>IFERROR(VLOOKUP(E7108,'Condensed Specialty Crosswalk'!$A$2:$C$106,2,FALSE),"")</f>
        <v/>
      </c>
      <c r="G7108" s="49" t="str">
        <f>IFERROR(VLOOKUP(E7108,'Condensed Specialty Crosswalk'!$A$2:$C$106,3,FALSE),"")</f>
        <v/>
      </c>
    </row>
    <row r="7109" spans="5:7" ht="15" customHeight="1">
      <c r="E7109" s="49" t="str">
        <f>IFERROR(VLOOKUP(D7109,'taxonomy map'!$A$1:$C$107,2,FALSE),"")</f>
        <v/>
      </c>
      <c r="F7109" s="49" t="str">
        <f>IFERROR(VLOOKUP(E7109,'Condensed Specialty Crosswalk'!$A$2:$C$106,2,FALSE),"")</f>
        <v/>
      </c>
      <c r="G7109" s="49" t="str">
        <f>IFERROR(VLOOKUP(E7109,'Condensed Specialty Crosswalk'!$A$2:$C$106,3,FALSE),"")</f>
        <v/>
      </c>
    </row>
    <row r="7110" spans="5:7" ht="15" customHeight="1">
      <c r="E7110" s="49" t="str">
        <f>IFERROR(VLOOKUP(D7110,'taxonomy map'!$A$1:$C$107,2,FALSE),"")</f>
        <v/>
      </c>
      <c r="F7110" s="49" t="str">
        <f>IFERROR(VLOOKUP(E7110,'Condensed Specialty Crosswalk'!$A$2:$C$106,2,FALSE),"")</f>
        <v/>
      </c>
      <c r="G7110" s="49" t="str">
        <f>IFERROR(VLOOKUP(E7110,'Condensed Specialty Crosswalk'!$A$2:$C$106,3,FALSE),"")</f>
        <v/>
      </c>
    </row>
    <row r="7111" spans="5:7" ht="15" customHeight="1">
      <c r="E7111" s="49" t="str">
        <f>IFERROR(VLOOKUP(D7111,'taxonomy map'!$A$1:$C$107,2,FALSE),"")</f>
        <v/>
      </c>
      <c r="F7111" s="49" t="str">
        <f>IFERROR(VLOOKUP(E7111,'Condensed Specialty Crosswalk'!$A$2:$C$106,2,FALSE),"")</f>
        <v/>
      </c>
      <c r="G7111" s="49" t="str">
        <f>IFERROR(VLOOKUP(E7111,'Condensed Specialty Crosswalk'!$A$2:$C$106,3,FALSE),"")</f>
        <v/>
      </c>
    </row>
    <row r="7112" spans="5:7" ht="15" customHeight="1">
      <c r="E7112" s="49" t="str">
        <f>IFERROR(VLOOKUP(D7112,'taxonomy map'!$A$1:$C$107,2,FALSE),"")</f>
        <v/>
      </c>
      <c r="F7112" s="49" t="str">
        <f>IFERROR(VLOOKUP(E7112,'Condensed Specialty Crosswalk'!$A$2:$C$106,2,FALSE),"")</f>
        <v/>
      </c>
      <c r="G7112" s="49" t="str">
        <f>IFERROR(VLOOKUP(E7112,'Condensed Specialty Crosswalk'!$A$2:$C$106,3,FALSE),"")</f>
        <v/>
      </c>
    </row>
    <row r="7113" spans="5:7" ht="15" customHeight="1">
      <c r="E7113" s="49" t="str">
        <f>IFERROR(VLOOKUP(D7113,'taxonomy map'!$A$1:$C$107,2,FALSE),"")</f>
        <v/>
      </c>
      <c r="F7113" s="49" t="str">
        <f>IFERROR(VLOOKUP(E7113,'Condensed Specialty Crosswalk'!$A$2:$C$106,2,FALSE),"")</f>
        <v/>
      </c>
      <c r="G7113" s="49" t="str">
        <f>IFERROR(VLOOKUP(E7113,'Condensed Specialty Crosswalk'!$A$2:$C$106,3,FALSE),"")</f>
        <v/>
      </c>
    </row>
    <row r="7114" spans="5:7" ht="15" customHeight="1">
      <c r="E7114" s="49" t="str">
        <f>IFERROR(VLOOKUP(D7114,'taxonomy map'!$A$1:$C$107,2,FALSE),"")</f>
        <v/>
      </c>
      <c r="F7114" s="49" t="str">
        <f>IFERROR(VLOOKUP(E7114,'Condensed Specialty Crosswalk'!$A$2:$C$106,2,FALSE),"")</f>
        <v/>
      </c>
      <c r="G7114" s="49" t="str">
        <f>IFERROR(VLOOKUP(E7114,'Condensed Specialty Crosswalk'!$A$2:$C$106,3,FALSE),"")</f>
        <v/>
      </c>
    </row>
    <row r="7115" spans="5:7" ht="15" customHeight="1">
      <c r="E7115" s="49" t="str">
        <f>IFERROR(VLOOKUP(D7115,'taxonomy map'!$A$1:$C$107,2,FALSE),"")</f>
        <v/>
      </c>
      <c r="F7115" s="49" t="str">
        <f>IFERROR(VLOOKUP(E7115,'Condensed Specialty Crosswalk'!$A$2:$C$106,2,FALSE),"")</f>
        <v/>
      </c>
      <c r="G7115" s="49" t="str">
        <f>IFERROR(VLOOKUP(E7115,'Condensed Specialty Crosswalk'!$A$2:$C$106,3,FALSE),"")</f>
        <v/>
      </c>
    </row>
    <row r="7116" spans="5:7" ht="15" customHeight="1">
      <c r="E7116" s="49" t="str">
        <f>IFERROR(VLOOKUP(D7116,'taxonomy map'!$A$1:$C$107,2,FALSE),"")</f>
        <v/>
      </c>
      <c r="F7116" s="49" t="str">
        <f>IFERROR(VLOOKUP(E7116,'Condensed Specialty Crosswalk'!$A$2:$C$106,2,FALSE),"")</f>
        <v/>
      </c>
      <c r="G7116" s="49" t="str">
        <f>IFERROR(VLOOKUP(E7116,'Condensed Specialty Crosswalk'!$A$2:$C$106,3,FALSE),"")</f>
        <v/>
      </c>
    </row>
    <row r="7117" spans="5:7" ht="15" customHeight="1">
      <c r="E7117" s="49" t="str">
        <f>IFERROR(VLOOKUP(D7117,'taxonomy map'!$A$1:$C$107,2,FALSE),"")</f>
        <v/>
      </c>
      <c r="F7117" s="49" t="str">
        <f>IFERROR(VLOOKUP(E7117,'Condensed Specialty Crosswalk'!$A$2:$C$106,2,FALSE),"")</f>
        <v/>
      </c>
      <c r="G7117" s="49" t="str">
        <f>IFERROR(VLOOKUP(E7117,'Condensed Specialty Crosswalk'!$A$2:$C$106,3,FALSE),"")</f>
        <v/>
      </c>
    </row>
    <row r="7118" spans="5:7" ht="15" customHeight="1">
      <c r="E7118" s="49" t="str">
        <f>IFERROR(VLOOKUP(D7118,'taxonomy map'!$A$1:$C$107,2,FALSE),"")</f>
        <v/>
      </c>
      <c r="F7118" s="49" t="str">
        <f>IFERROR(VLOOKUP(E7118,'Condensed Specialty Crosswalk'!$A$2:$C$106,2,FALSE),"")</f>
        <v/>
      </c>
      <c r="G7118" s="49" t="str">
        <f>IFERROR(VLOOKUP(E7118,'Condensed Specialty Crosswalk'!$A$2:$C$106,3,FALSE),"")</f>
        <v/>
      </c>
    </row>
    <row r="7119" spans="5:7" ht="15" customHeight="1">
      <c r="E7119" s="49" t="str">
        <f>IFERROR(VLOOKUP(D7119,'taxonomy map'!$A$1:$C$107,2,FALSE),"")</f>
        <v/>
      </c>
      <c r="F7119" s="49" t="str">
        <f>IFERROR(VLOOKUP(E7119,'Condensed Specialty Crosswalk'!$A$2:$C$106,2,FALSE),"")</f>
        <v/>
      </c>
      <c r="G7119" s="49" t="str">
        <f>IFERROR(VLOOKUP(E7119,'Condensed Specialty Crosswalk'!$A$2:$C$106,3,FALSE),"")</f>
        <v/>
      </c>
    </row>
    <row r="7120" spans="5:7" ht="15" customHeight="1">
      <c r="E7120" s="49" t="str">
        <f>IFERROR(VLOOKUP(D7120,'taxonomy map'!$A$1:$C$107,2,FALSE),"")</f>
        <v/>
      </c>
      <c r="F7120" s="49" t="str">
        <f>IFERROR(VLOOKUP(E7120,'Condensed Specialty Crosswalk'!$A$2:$C$106,2,FALSE),"")</f>
        <v/>
      </c>
      <c r="G7120" s="49" t="str">
        <f>IFERROR(VLOOKUP(E7120,'Condensed Specialty Crosswalk'!$A$2:$C$106,3,FALSE),"")</f>
        <v/>
      </c>
    </row>
    <row r="7121" spans="5:7" ht="15" customHeight="1">
      <c r="E7121" s="49" t="str">
        <f>IFERROR(VLOOKUP(D7121,'taxonomy map'!$A$1:$C$107,2,FALSE),"")</f>
        <v/>
      </c>
      <c r="F7121" s="49" t="str">
        <f>IFERROR(VLOOKUP(E7121,'Condensed Specialty Crosswalk'!$A$2:$C$106,2,FALSE),"")</f>
        <v/>
      </c>
      <c r="G7121" s="49" t="str">
        <f>IFERROR(VLOOKUP(E7121,'Condensed Specialty Crosswalk'!$A$2:$C$106,3,FALSE),"")</f>
        <v/>
      </c>
    </row>
    <row r="7122" spans="5:7" ht="15" customHeight="1">
      <c r="E7122" s="49" t="str">
        <f>IFERROR(VLOOKUP(D7122,'taxonomy map'!$A$1:$C$107,2,FALSE),"")</f>
        <v/>
      </c>
      <c r="F7122" s="49" t="str">
        <f>IFERROR(VLOOKUP(E7122,'Condensed Specialty Crosswalk'!$A$2:$C$106,2,FALSE),"")</f>
        <v/>
      </c>
      <c r="G7122" s="49" t="str">
        <f>IFERROR(VLOOKUP(E7122,'Condensed Specialty Crosswalk'!$A$2:$C$106,3,FALSE),"")</f>
        <v/>
      </c>
    </row>
    <row r="7123" spans="5:7" ht="15" customHeight="1">
      <c r="E7123" s="49" t="str">
        <f>IFERROR(VLOOKUP(D7123,'taxonomy map'!$A$1:$C$107,2,FALSE),"")</f>
        <v/>
      </c>
      <c r="F7123" s="49" t="str">
        <f>IFERROR(VLOOKUP(E7123,'Condensed Specialty Crosswalk'!$A$2:$C$106,2,FALSE),"")</f>
        <v/>
      </c>
      <c r="G7123" s="49" t="str">
        <f>IFERROR(VLOOKUP(E7123,'Condensed Specialty Crosswalk'!$A$2:$C$106,3,FALSE),"")</f>
        <v/>
      </c>
    </row>
    <row r="7124" spans="5:7" ht="15" customHeight="1">
      <c r="E7124" s="49" t="str">
        <f>IFERROR(VLOOKUP(D7124,'taxonomy map'!$A$1:$C$107,2,FALSE),"")</f>
        <v/>
      </c>
      <c r="F7124" s="49" t="str">
        <f>IFERROR(VLOOKUP(E7124,'Condensed Specialty Crosswalk'!$A$2:$C$106,2,FALSE),"")</f>
        <v/>
      </c>
      <c r="G7124" s="49" t="str">
        <f>IFERROR(VLOOKUP(E7124,'Condensed Specialty Crosswalk'!$A$2:$C$106,3,FALSE),"")</f>
        <v/>
      </c>
    </row>
    <row r="7125" spans="5:7" ht="15" customHeight="1">
      <c r="E7125" s="49" t="str">
        <f>IFERROR(VLOOKUP(D7125,'taxonomy map'!$A$1:$C$107,2,FALSE),"")</f>
        <v/>
      </c>
      <c r="F7125" s="49" t="str">
        <f>IFERROR(VLOOKUP(E7125,'Condensed Specialty Crosswalk'!$A$2:$C$106,2,FALSE),"")</f>
        <v/>
      </c>
      <c r="G7125" s="49" t="str">
        <f>IFERROR(VLOOKUP(E7125,'Condensed Specialty Crosswalk'!$A$2:$C$106,3,FALSE),"")</f>
        <v/>
      </c>
    </row>
    <row r="7126" spans="5:7" ht="15" customHeight="1">
      <c r="E7126" s="49" t="str">
        <f>IFERROR(VLOOKUP(D7126,'taxonomy map'!$A$1:$C$107,2,FALSE),"")</f>
        <v/>
      </c>
      <c r="F7126" s="49" t="str">
        <f>IFERROR(VLOOKUP(E7126,'Condensed Specialty Crosswalk'!$A$2:$C$106,2,FALSE),"")</f>
        <v/>
      </c>
      <c r="G7126" s="49" t="str">
        <f>IFERROR(VLOOKUP(E7126,'Condensed Specialty Crosswalk'!$A$2:$C$106,3,FALSE),"")</f>
        <v/>
      </c>
    </row>
    <row r="7127" spans="5:7" ht="15" customHeight="1">
      <c r="E7127" s="49" t="str">
        <f>IFERROR(VLOOKUP(D7127,'taxonomy map'!$A$1:$C$107,2,FALSE),"")</f>
        <v/>
      </c>
      <c r="F7127" s="49" t="str">
        <f>IFERROR(VLOOKUP(E7127,'Condensed Specialty Crosswalk'!$A$2:$C$106,2,FALSE),"")</f>
        <v/>
      </c>
      <c r="G7127" s="49" t="str">
        <f>IFERROR(VLOOKUP(E7127,'Condensed Specialty Crosswalk'!$A$2:$C$106,3,FALSE),"")</f>
        <v/>
      </c>
    </row>
    <row r="7128" spans="5:7" ht="15" customHeight="1">
      <c r="E7128" s="49" t="str">
        <f>IFERROR(VLOOKUP(D7128,'taxonomy map'!$A$1:$C$107,2,FALSE),"")</f>
        <v/>
      </c>
      <c r="F7128" s="49" t="str">
        <f>IFERROR(VLOOKUP(E7128,'Condensed Specialty Crosswalk'!$A$2:$C$106,2,FALSE),"")</f>
        <v/>
      </c>
      <c r="G7128" s="49" t="str">
        <f>IFERROR(VLOOKUP(E7128,'Condensed Specialty Crosswalk'!$A$2:$C$106,3,FALSE),"")</f>
        <v/>
      </c>
    </row>
    <row r="7129" spans="5:7" ht="15" customHeight="1">
      <c r="E7129" s="49" t="str">
        <f>IFERROR(VLOOKUP(D7129,'taxonomy map'!$A$1:$C$107,2,FALSE),"")</f>
        <v/>
      </c>
      <c r="F7129" s="49" t="str">
        <f>IFERROR(VLOOKUP(E7129,'Condensed Specialty Crosswalk'!$A$2:$C$106,2,FALSE),"")</f>
        <v/>
      </c>
      <c r="G7129" s="49" t="str">
        <f>IFERROR(VLOOKUP(E7129,'Condensed Specialty Crosswalk'!$A$2:$C$106,3,FALSE),"")</f>
        <v/>
      </c>
    </row>
    <row r="7130" spans="5:7" ht="15" customHeight="1">
      <c r="E7130" s="49" t="str">
        <f>IFERROR(VLOOKUP(D7130,'taxonomy map'!$A$1:$C$107,2,FALSE),"")</f>
        <v/>
      </c>
      <c r="F7130" s="49" t="str">
        <f>IFERROR(VLOOKUP(E7130,'Condensed Specialty Crosswalk'!$A$2:$C$106,2,FALSE),"")</f>
        <v/>
      </c>
      <c r="G7130" s="49" t="str">
        <f>IFERROR(VLOOKUP(E7130,'Condensed Specialty Crosswalk'!$A$2:$C$106,3,FALSE),"")</f>
        <v/>
      </c>
    </row>
    <row r="7131" spans="5:7" ht="15" customHeight="1">
      <c r="E7131" s="49" t="str">
        <f>IFERROR(VLOOKUP(D7131,'taxonomy map'!$A$1:$C$107,2,FALSE),"")</f>
        <v/>
      </c>
      <c r="F7131" s="49" t="str">
        <f>IFERROR(VLOOKUP(E7131,'Condensed Specialty Crosswalk'!$A$2:$C$106,2,FALSE),"")</f>
        <v/>
      </c>
      <c r="G7131" s="49" t="str">
        <f>IFERROR(VLOOKUP(E7131,'Condensed Specialty Crosswalk'!$A$2:$C$106,3,FALSE),"")</f>
        <v/>
      </c>
    </row>
    <row r="7132" spans="5:7" ht="15" customHeight="1">
      <c r="E7132" s="49" t="str">
        <f>IFERROR(VLOOKUP(D7132,'taxonomy map'!$A$1:$C$107,2,FALSE),"")</f>
        <v/>
      </c>
      <c r="F7132" s="49" t="str">
        <f>IFERROR(VLOOKUP(E7132,'Condensed Specialty Crosswalk'!$A$2:$C$106,2,FALSE),"")</f>
        <v/>
      </c>
      <c r="G7132" s="49" t="str">
        <f>IFERROR(VLOOKUP(E7132,'Condensed Specialty Crosswalk'!$A$2:$C$106,3,FALSE),"")</f>
        <v/>
      </c>
    </row>
    <row r="7133" spans="5:7" ht="15" customHeight="1">
      <c r="E7133" s="49" t="str">
        <f>IFERROR(VLOOKUP(D7133,'taxonomy map'!$A$1:$C$107,2,FALSE),"")</f>
        <v/>
      </c>
      <c r="F7133" s="49" t="str">
        <f>IFERROR(VLOOKUP(E7133,'Condensed Specialty Crosswalk'!$A$2:$C$106,2,FALSE),"")</f>
        <v/>
      </c>
      <c r="G7133" s="49" t="str">
        <f>IFERROR(VLOOKUP(E7133,'Condensed Specialty Crosswalk'!$A$2:$C$106,3,FALSE),"")</f>
        <v/>
      </c>
    </row>
    <row r="7134" spans="5:7" ht="15" customHeight="1">
      <c r="E7134" s="49" t="str">
        <f>IFERROR(VLOOKUP(D7134,'taxonomy map'!$A$1:$C$107,2,FALSE),"")</f>
        <v/>
      </c>
      <c r="F7134" s="49" t="str">
        <f>IFERROR(VLOOKUP(E7134,'Condensed Specialty Crosswalk'!$A$2:$C$106,2,FALSE),"")</f>
        <v/>
      </c>
      <c r="G7134" s="49" t="str">
        <f>IFERROR(VLOOKUP(E7134,'Condensed Specialty Crosswalk'!$A$2:$C$106,3,FALSE),"")</f>
        <v/>
      </c>
    </row>
    <row r="7135" spans="5:7" ht="15" customHeight="1">
      <c r="E7135" s="49" t="str">
        <f>IFERROR(VLOOKUP(D7135,'taxonomy map'!$A$1:$C$107,2,FALSE),"")</f>
        <v/>
      </c>
      <c r="F7135" s="49" t="str">
        <f>IFERROR(VLOOKUP(E7135,'Condensed Specialty Crosswalk'!$A$2:$C$106,2,FALSE),"")</f>
        <v/>
      </c>
      <c r="G7135" s="49" t="str">
        <f>IFERROR(VLOOKUP(E7135,'Condensed Specialty Crosswalk'!$A$2:$C$106,3,FALSE),"")</f>
        <v/>
      </c>
    </row>
    <row r="7136" spans="5:7" ht="15" customHeight="1">
      <c r="E7136" s="49" t="str">
        <f>IFERROR(VLOOKUP(D7136,'taxonomy map'!$A$1:$C$107,2,FALSE),"")</f>
        <v/>
      </c>
      <c r="F7136" s="49" t="str">
        <f>IFERROR(VLOOKUP(E7136,'Condensed Specialty Crosswalk'!$A$2:$C$106,2,FALSE),"")</f>
        <v/>
      </c>
      <c r="G7136" s="49" t="str">
        <f>IFERROR(VLOOKUP(E7136,'Condensed Specialty Crosswalk'!$A$2:$C$106,3,FALSE),"")</f>
        <v/>
      </c>
    </row>
    <row r="7137" spans="5:7" ht="15" customHeight="1">
      <c r="E7137" s="49" t="str">
        <f>IFERROR(VLOOKUP(D7137,'taxonomy map'!$A$1:$C$107,2,FALSE),"")</f>
        <v/>
      </c>
      <c r="F7137" s="49" t="str">
        <f>IFERROR(VLOOKUP(E7137,'Condensed Specialty Crosswalk'!$A$2:$C$106,2,FALSE),"")</f>
        <v/>
      </c>
      <c r="G7137" s="49" t="str">
        <f>IFERROR(VLOOKUP(E7137,'Condensed Specialty Crosswalk'!$A$2:$C$106,3,FALSE),"")</f>
        <v/>
      </c>
    </row>
    <row r="7138" spans="5:7" ht="15" customHeight="1">
      <c r="E7138" s="49" t="str">
        <f>IFERROR(VLOOKUP(D7138,'taxonomy map'!$A$1:$C$107,2,FALSE),"")</f>
        <v/>
      </c>
      <c r="F7138" s="49" t="str">
        <f>IFERROR(VLOOKUP(E7138,'Condensed Specialty Crosswalk'!$A$2:$C$106,2,FALSE),"")</f>
        <v/>
      </c>
      <c r="G7138" s="49" t="str">
        <f>IFERROR(VLOOKUP(E7138,'Condensed Specialty Crosswalk'!$A$2:$C$106,3,FALSE),"")</f>
        <v/>
      </c>
    </row>
    <row r="7139" spans="5:7" ht="15" customHeight="1">
      <c r="E7139" s="49" t="str">
        <f>IFERROR(VLOOKUP(D7139,'taxonomy map'!$A$1:$C$107,2,FALSE),"")</f>
        <v/>
      </c>
      <c r="F7139" s="49" t="str">
        <f>IFERROR(VLOOKUP(E7139,'Condensed Specialty Crosswalk'!$A$2:$C$106,2,FALSE),"")</f>
        <v/>
      </c>
      <c r="G7139" s="49" t="str">
        <f>IFERROR(VLOOKUP(E7139,'Condensed Specialty Crosswalk'!$A$2:$C$106,3,FALSE),"")</f>
        <v/>
      </c>
    </row>
    <row r="7140" spans="5:7" ht="15" customHeight="1">
      <c r="E7140" s="49" t="str">
        <f>IFERROR(VLOOKUP(D7140,'taxonomy map'!$A$1:$C$107,2,FALSE),"")</f>
        <v/>
      </c>
      <c r="F7140" s="49" t="str">
        <f>IFERROR(VLOOKUP(E7140,'Condensed Specialty Crosswalk'!$A$2:$C$106,2,FALSE),"")</f>
        <v/>
      </c>
      <c r="G7140" s="49" t="str">
        <f>IFERROR(VLOOKUP(E7140,'Condensed Specialty Crosswalk'!$A$2:$C$106,3,FALSE),"")</f>
        <v/>
      </c>
    </row>
    <row r="7141" spans="5:7" ht="15" customHeight="1">
      <c r="E7141" s="49" t="str">
        <f>IFERROR(VLOOKUP(D7141,'taxonomy map'!$A$1:$C$107,2,FALSE),"")</f>
        <v/>
      </c>
      <c r="F7141" s="49" t="str">
        <f>IFERROR(VLOOKUP(E7141,'Condensed Specialty Crosswalk'!$A$2:$C$106,2,FALSE),"")</f>
        <v/>
      </c>
      <c r="G7141" s="49" t="str">
        <f>IFERROR(VLOOKUP(E7141,'Condensed Specialty Crosswalk'!$A$2:$C$106,3,FALSE),"")</f>
        <v/>
      </c>
    </row>
    <row r="7142" spans="5:7" ht="15" customHeight="1">
      <c r="E7142" s="49" t="str">
        <f>IFERROR(VLOOKUP(D7142,'taxonomy map'!$A$1:$C$107,2,FALSE),"")</f>
        <v/>
      </c>
      <c r="F7142" s="49" t="str">
        <f>IFERROR(VLOOKUP(E7142,'Condensed Specialty Crosswalk'!$A$2:$C$106,2,FALSE),"")</f>
        <v/>
      </c>
      <c r="G7142" s="49" t="str">
        <f>IFERROR(VLOOKUP(E7142,'Condensed Specialty Crosswalk'!$A$2:$C$106,3,FALSE),"")</f>
        <v/>
      </c>
    </row>
    <row r="7143" spans="5:7" ht="15" customHeight="1">
      <c r="E7143" s="49" t="str">
        <f>IFERROR(VLOOKUP(D7143,'taxonomy map'!$A$1:$C$107,2,FALSE),"")</f>
        <v/>
      </c>
      <c r="F7143" s="49" t="str">
        <f>IFERROR(VLOOKUP(E7143,'Condensed Specialty Crosswalk'!$A$2:$C$106,2,FALSE),"")</f>
        <v/>
      </c>
      <c r="G7143" s="49" t="str">
        <f>IFERROR(VLOOKUP(E7143,'Condensed Specialty Crosswalk'!$A$2:$C$106,3,FALSE),"")</f>
        <v/>
      </c>
    </row>
    <row r="7144" spans="5:7" ht="15" customHeight="1">
      <c r="E7144" s="49" t="str">
        <f>IFERROR(VLOOKUP(D7144,'taxonomy map'!$A$1:$C$107,2,FALSE),"")</f>
        <v/>
      </c>
      <c r="F7144" s="49" t="str">
        <f>IFERROR(VLOOKUP(E7144,'Condensed Specialty Crosswalk'!$A$2:$C$106,2,FALSE),"")</f>
        <v/>
      </c>
      <c r="G7144" s="49" t="str">
        <f>IFERROR(VLOOKUP(E7144,'Condensed Specialty Crosswalk'!$A$2:$C$106,3,FALSE),"")</f>
        <v/>
      </c>
    </row>
    <row r="7145" spans="5:7" ht="15" customHeight="1">
      <c r="E7145" s="49" t="str">
        <f>IFERROR(VLOOKUP(D7145,'taxonomy map'!$A$1:$C$107,2,FALSE),"")</f>
        <v/>
      </c>
      <c r="F7145" s="49" t="str">
        <f>IFERROR(VLOOKUP(E7145,'Condensed Specialty Crosswalk'!$A$2:$C$106,2,FALSE),"")</f>
        <v/>
      </c>
      <c r="G7145" s="49" t="str">
        <f>IFERROR(VLOOKUP(E7145,'Condensed Specialty Crosswalk'!$A$2:$C$106,3,FALSE),"")</f>
        <v/>
      </c>
    </row>
    <row r="7146" spans="5:7" ht="15" customHeight="1">
      <c r="E7146" s="49" t="str">
        <f>IFERROR(VLOOKUP(D7146,'taxonomy map'!$A$1:$C$107,2,FALSE),"")</f>
        <v/>
      </c>
      <c r="F7146" s="49" t="str">
        <f>IFERROR(VLOOKUP(E7146,'Condensed Specialty Crosswalk'!$A$2:$C$106,2,FALSE),"")</f>
        <v/>
      </c>
      <c r="G7146" s="49" t="str">
        <f>IFERROR(VLOOKUP(E7146,'Condensed Specialty Crosswalk'!$A$2:$C$106,3,FALSE),"")</f>
        <v/>
      </c>
    </row>
    <row r="7147" spans="5:7" ht="15" customHeight="1">
      <c r="E7147" s="49" t="str">
        <f>IFERROR(VLOOKUP(D7147,'taxonomy map'!$A$1:$C$107,2,FALSE),"")</f>
        <v/>
      </c>
      <c r="F7147" s="49" t="str">
        <f>IFERROR(VLOOKUP(E7147,'Condensed Specialty Crosswalk'!$A$2:$C$106,2,FALSE),"")</f>
        <v/>
      </c>
      <c r="G7147" s="49" t="str">
        <f>IFERROR(VLOOKUP(E7147,'Condensed Specialty Crosswalk'!$A$2:$C$106,3,FALSE),"")</f>
        <v/>
      </c>
    </row>
    <row r="7148" spans="5:7" ht="15" customHeight="1">
      <c r="E7148" s="49" t="str">
        <f>IFERROR(VLOOKUP(D7148,'taxonomy map'!$A$1:$C$107,2,FALSE),"")</f>
        <v/>
      </c>
      <c r="F7148" s="49" t="str">
        <f>IFERROR(VLOOKUP(E7148,'Condensed Specialty Crosswalk'!$A$2:$C$106,2,FALSE),"")</f>
        <v/>
      </c>
      <c r="G7148" s="49" t="str">
        <f>IFERROR(VLOOKUP(E7148,'Condensed Specialty Crosswalk'!$A$2:$C$106,3,FALSE),"")</f>
        <v/>
      </c>
    </row>
    <row r="7149" spans="5:7" ht="15" customHeight="1">
      <c r="E7149" s="49" t="str">
        <f>IFERROR(VLOOKUP(D7149,'taxonomy map'!$A$1:$C$107,2,FALSE),"")</f>
        <v/>
      </c>
      <c r="F7149" s="49" t="str">
        <f>IFERROR(VLOOKUP(E7149,'Condensed Specialty Crosswalk'!$A$2:$C$106,2,FALSE),"")</f>
        <v/>
      </c>
      <c r="G7149" s="49" t="str">
        <f>IFERROR(VLOOKUP(E7149,'Condensed Specialty Crosswalk'!$A$2:$C$106,3,FALSE),"")</f>
        <v/>
      </c>
    </row>
    <row r="7150" spans="5:7" ht="15" customHeight="1">
      <c r="E7150" s="49" t="str">
        <f>IFERROR(VLOOKUP(D7150,'taxonomy map'!$A$1:$C$107,2,FALSE),"")</f>
        <v/>
      </c>
      <c r="F7150" s="49" t="str">
        <f>IFERROR(VLOOKUP(E7150,'Condensed Specialty Crosswalk'!$A$2:$C$106,2,FALSE),"")</f>
        <v/>
      </c>
      <c r="G7150" s="49" t="str">
        <f>IFERROR(VLOOKUP(E7150,'Condensed Specialty Crosswalk'!$A$2:$C$106,3,FALSE),"")</f>
        <v/>
      </c>
    </row>
    <row r="7151" spans="5:7" ht="15" customHeight="1">
      <c r="E7151" s="49" t="str">
        <f>IFERROR(VLOOKUP(D7151,'taxonomy map'!$A$1:$C$107,2,FALSE),"")</f>
        <v/>
      </c>
      <c r="F7151" s="49" t="str">
        <f>IFERROR(VLOOKUP(E7151,'Condensed Specialty Crosswalk'!$A$2:$C$106,2,FALSE),"")</f>
        <v/>
      </c>
      <c r="G7151" s="49" t="str">
        <f>IFERROR(VLOOKUP(E7151,'Condensed Specialty Crosswalk'!$A$2:$C$106,3,FALSE),"")</f>
        <v/>
      </c>
    </row>
    <row r="7152" spans="5:7" ht="15" customHeight="1">
      <c r="E7152" s="49" t="str">
        <f>IFERROR(VLOOKUP(D7152,'taxonomy map'!$A$1:$C$107,2,FALSE),"")</f>
        <v/>
      </c>
      <c r="F7152" s="49" t="str">
        <f>IFERROR(VLOOKUP(E7152,'Condensed Specialty Crosswalk'!$A$2:$C$106,2,FALSE),"")</f>
        <v/>
      </c>
      <c r="G7152" s="49" t="str">
        <f>IFERROR(VLOOKUP(E7152,'Condensed Specialty Crosswalk'!$A$2:$C$106,3,FALSE),"")</f>
        <v/>
      </c>
    </row>
    <row r="7153" spans="5:7" ht="15" customHeight="1">
      <c r="E7153" s="49" t="str">
        <f>IFERROR(VLOOKUP(D7153,'taxonomy map'!$A$1:$C$107,2,FALSE),"")</f>
        <v/>
      </c>
      <c r="F7153" s="49" t="str">
        <f>IFERROR(VLOOKUP(E7153,'Condensed Specialty Crosswalk'!$A$2:$C$106,2,FALSE),"")</f>
        <v/>
      </c>
      <c r="G7153" s="49" t="str">
        <f>IFERROR(VLOOKUP(E7153,'Condensed Specialty Crosswalk'!$A$2:$C$106,3,FALSE),"")</f>
        <v/>
      </c>
    </row>
    <row r="7154" spans="5:7" ht="15" customHeight="1">
      <c r="E7154" s="49" t="str">
        <f>IFERROR(VLOOKUP(D7154,'taxonomy map'!$A$1:$C$107,2,FALSE),"")</f>
        <v/>
      </c>
      <c r="F7154" s="49" t="str">
        <f>IFERROR(VLOOKUP(E7154,'Condensed Specialty Crosswalk'!$A$2:$C$106,2,FALSE),"")</f>
        <v/>
      </c>
      <c r="G7154" s="49" t="str">
        <f>IFERROR(VLOOKUP(E7154,'Condensed Specialty Crosswalk'!$A$2:$C$106,3,FALSE),"")</f>
        <v/>
      </c>
    </row>
    <row r="7155" spans="5:7" ht="15" customHeight="1">
      <c r="E7155" s="49" t="str">
        <f>IFERROR(VLOOKUP(D7155,'taxonomy map'!$A$1:$C$107,2,FALSE),"")</f>
        <v/>
      </c>
      <c r="F7155" s="49" t="str">
        <f>IFERROR(VLOOKUP(E7155,'Condensed Specialty Crosswalk'!$A$2:$C$106,2,FALSE),"")</f>
        <v/>
      </c>
      <c r="G7155" s="49" t="str">
        <f>IFERROR(VLOOKUP(E7155,'Condensed Specialty Crosswalk'!$A$2:$C$106,3,FALSE),"")</f>
        <v/>
      </c>
    </row>
    <row r="7156" spans="5:7" ht="15" customHeight="1">
      <c r="E7156" s="49" t="str">
        <f>IFERROR(VLOOKUP(D7156,'taxonomy map'!$A$1:$C$107,2,FALSE),"")</f>
        <v/>
      </c>
      <c r="F7156" s="49" t="str">
        <f>IFERROR(VLOOKUP(E7156,'Condensed Specialty Crosswalk'!$A$2:$C$106,2,FALSE),"")</f>
        <v/>
      </c>
      <c r="G7156" s="49" t="str">
        <f>IFERROR(VLOOKUP(E7156,'Condensed Specialty Crosswalk'!$A$2:$C$106,3,FALSE),"")</f>
        <v/>
      </c>
    </row>
    <row r="7157" spans="5:7" ht="15" customHeight="1">
      <c r="E7157" s="49" t="str">
        <f>IFERROR(VLOOKUP(D7157,'taxonomy map'!$A$1:$C$107,2,FALSE),"")</f>
        <v/>
      </c>
      <c r="F7157" s="49" t="str">
        <f>IFERROR(VLOOKUP(E7157,'Condensed Specialty Crosswalk'!$A$2:$C$106,2,FALSE),"")</f>
        <v/>
      </c>
      <c r="G7157" s="49" t="str">
        <f>IFERROR(VLOOKUP(E7157,'Condensed Specialty Crosswalk'!$A$2:$C$106,3,FALSE),"")</f>
        <v/>
      </c>
    </row>
    <row r="7158" spans="5:7" ht="15" customHeight="1">
      <c r="E7158" s="49" t="str">
        <f>IFERROR(VLOOKUP(D7158,'taxonomy map'!$A$1:$C$107,2,FALSE),"")</f>
        <v/>
      </c>
      <c r="F7158" s="49" t="str">
        <f>IFERROR(VLOOKUP(E7158,'Condensed Specialty Crosswalk'!$A$2:$C$106,2,FALSE),"")</f>
        <v/>
      </c>
      <c r="G7158" s="49" t="str">
        <f>IFERROR(VLOOKUP(E7158,'Condensed Specialty Crosswalk'!$A$2:$C$106,3,FALSE),"")</f>
        <v/>
      </c>
    </row>
    <row r="7159" spans="5:7" ht="15" customHeight="1">
      <c r="E7159" s="49" t="str">
        <f>IFERROR(VLOOKUP(D7159,'taxonomy map'!$A$1:$C$107,2,FALSE),"")</f>
        <v/>
      </c>
      <c r="F7159" s="49" t="str">
        <f>IFERROR(VLOOKUP(E7159,'Condensed Specialty Crosswalk'!$A$2:$C$106,2,FALSE),"")</f>
        <v/>
      </c>
      <c r="G7159" s="49" t="str">
        <f>IFERROR(VLOOKUP(E7159,'Condensed Specialty Crosswalk'!$A$2:$C$106,3,FALSE),"")</f>
        <v/>
      </c>
    </row>
    <row r="7160" spans="5:7" ht="15" customHeight="1">
      <c r="E7160" s="49" t="str">
        <f>IFERROR(VLOOKUP(D7160,'taxonomy map'!$A$1:$C$107,2,FALSE),"")</f>
        <v/>
      </c>
      <c r="F7160" s="49" t="str">
        <f>IFERROR(VLOOKUP(E7160,'Condensed Specialty Crosswalk'!$A$2:$C$106,2,FALSE),"")</f>
        <v/>
      </c>
      <c r="G7160" s="49" t="str">
        <f>IFERROR(VLOOKUP(E7160,'Condensed Specialty Crosswalk'!$A$2:$C$106,3,FALSE),"")</f>
        <v/>
      </c>
    </row>
    <row r="7161" spans="5:7" ht="15" customHeight="1">
      <c r="E7161" s="49" t="str">
        <f>IFERROR(VLOOKUP(D7161,'taxonomy map'!$A$1:$C$107,2,FALSE),"")</f>
        <v/>
      </c>
      <c r="F7161" s="49" t="str">
        <f>IFERROR(VLOOKUP(E7161,'Condensed Specialty Crosswalk'!$A$2:$C$106,2,FALSE),"")</f>
        <v/>
      </c>
      <c r="G7161" s="49" t="str">
        <f>IFERROR(VLOOKUP(E7161,'Condensed Specialty Crosswalk'!$A$2:$C$106,3,FALSE),"")</f>
        <v/>
      </c>
    </row>
    <row r="7162" spans="5:7" ht="15" customHeight="1">
      <c r="E7162" s="49" t="str">
        <f>IFERROR(VLOOKUP(D7162,'taxonomy map'!$A$1:$C$107,2,FALSE),"")</f>
        <v/>
      </c>
      <c r="F7162" s="49" t="str">
        <f>IFERROR(VLOOKUP(E7162,'Condensed Specialty Crosswalk'!$A$2:$C$106,2,FALSE),"")</f>
        <v/>
      </c>
      <c r="G7162" s="49" t="str">
        <f>IFERROR(VLOOKUP(E7162,'Condensed Specialty Crosswalk'!$A$2:$C$106,3,FALSE),"")</f>
        <v/>
      </c>
    </row>
    <row r="7163" spans="5:7" ht="15" customHeight="1">
      <c r="E7163" s="49" t="str">
        <f>IFERROR(VLOOKUP(D7163,'taxonomy map'!$A$1:$C$107,2,FALSE),"")</f>
        <v/>
      </c>
      <c r="F7163" s="49" t="str">
        <f>IFERROR(VLOOKUP(E7163,'Condensed Specialty Crosswalk'!$A$2:$C$106,2,FALSE),"")</f>
        <v/>
      </c>
      <c r="G7163" s="49" t="str">
        <f>IFERROR(VLOOKUP(E7163,'Condensed Specialty Crosswalk'!$A$2:$C$106,3,FALSE),"")</f>
        <v/>
      </c>
    </row>
    <row r="7164" spans="5:7" ht="15" customHeight="1">
      <c r="E7164" s="49" t="str">
        <f>IFERROR(VLOOKUP(D7164,'taxonomy map'!$A$1:$C$107,2,FALSE),"")</f>
        <v/>
      </c>
      <c r="F7164" s="49" t="str">
        <f>IFERROR(VLOOKUP(E7164,'Condensed Specialty Crosswalk'!$A$2:$C$106,2,FALSE),"")</f>
        <v/>
      </c>
      <c r="G7164" s="49" t="str">
        <f>IFERROR(VLOOKUP(E7164,'Condensed Specialty Crosswalk'!$A$2:$C$106,3,FALSE),"")</f>
        <v/>
      </c>
    </row>
    <row r="7165" spans="5:7" ht="15" customHeight="1">
      <c r="E7165" s="49" t="str">
        <f>IFERROR(VLOOKUP(D7165,'taxonomy map'!$A$1:$C$107,2,FALSE),"")</f>
        <v/>
      </c>
      <c r="F7165" s="49" t="str">
        <f>IFERROR(VLOOKUP(E7165,'Condensed Specialty Crosswalk'!$A$2:$C$106,2,FALSE),"")</f>
        <v/>
      </c>
      <c r="G7165" s="49" t="str">
        <f>IFERROR(VLOOKUP(E7165,'Condensed Specialty Crosswalk'!$A$2:$C$106,3,FALSE),"")</f>
        <v/>
      </c>
    </row>
    <row r="7166" spans="5:7" ht="15" customHeight="1">
      <c r="E7166" s="49" t="str">
        <f>IFERROR(VLOOKUP(D7166,'taxonomy map'!$A$1:$C$107,2,FALSE),"")</f>
        <v/>
      </c>
      <c r="F7166" s="49" t="str">
        <f>IFERROR(VLOOKUP(E7166,'Condensed Specialty Crosswalk'!$A$2:$C$106,2,FALSE),"")</f>
        <v/>
      </c>
      <c r="G7166" s="49" t="str">
        <f>IFERROR(VLOOKUP(E7166,'Condensed Specialty Crosswalk'!$A$2:$C$106,3,FALSE),"")</f>
        <v/>
      </c>
    </row>
    <row r="7167" spans="5:7" ht="15" customHeight="1">
      <c r="E7167" s="49" t="str">
        <f>IFERROR(VLOOKUP(D7167,'taxonomy map'!$A$1:$C$107,2,FALSE),"")</f>
        <v/>
      </c>
      <c r="F7167" s="49" t="str">
        <f>IFERROR(VLOOKUP(E7167,'Condensed Specialty Crosswalk'!$A$2:$C$106,2,FALSE),"")</f>
        <v/>
      </c>
      <c r="G7167" s="49" t="str">
        <f>IFERROR(VLOOKUP(E7167,'Condensed Specialty Crosswalk'!$A$2:$C$106,3,FALSE),"")</f>
        <v/>
      </c>
    </row>
    <row r="7168" spans="5:7" ht="15" customHeight="1">
      <c r="E7168" s="49" t="str">
        <f>IFERROR(VLOOKUP(D7168,'taxonomy map'!$A$1:$C$107,2,FALSE),"")</f>
        <v/>
      </c>
      <c r="F7168" s="49" t="str">
        <f>IFERROR(VLOOKUP(E7168,'Condensed Specialty Crosswalk'!$A$2:$C$106,2,FALSE),"")</f>
        <v/>
      </c>
      <c r="G7168" s="49" t="str">
        <f>IFERROR(VLOOKUP(E7168,'Condensed Specialty Crosswalk'!$A$2:$C$106,3,FALSE),"")</f>
        <v/>
      </c>
    </row>
    <row r="7169" spans="5:7" ht="15" customHeight="1">
      <c r="E7169" s="49" t="str">
        <f>IFERROR(VLOOKUP(D7169,'taxonomy map'!$A$1:$C$107,2,FALSE),"")</f>
        <v/>
      </c>
      <c r="F7169" s="49" t="str">
        <f>IFERROR(VLOOKUP(E7169,'Condensed Specialty Crosswalk'!$A$2:$C$106,2,FALSE),"")</f>
        <v/>
      </c>
      <c r="G7169" s="49" t="str">
        <f>IFERROR(VLOOKUP(E7169,'Condensed Specialty Crosswalk'!$A$2:$C$106,3,FALSE),"")</f>
        <v/>
      </c>
    </row>
    <row r="7170" spans="5:7" ht="15" customHeight="1">
      <c r="E7170" s="49" t="str">
        <f>IFERROR(VLOOKUP(D7170,'taxonomy map'!$A$1:$C$107,2,FALSE),"")</f>
        <v/>
      </c>
      <c r="F7170" s="49" t="str">
        <f>IFERROR(VLOOKUP(E7170,'Condensed Specialty Crosswalk'!$A$2:$C$106,2,FALSE),"")</f>
        <v/>
      </c>
      <c r="G7170" s="49" t="str">
        <f>IFERROR(VLOOKUP(E7170,'Condensed Specialty Crosswalk'!$A$2:$C$106,3,FALSE),"")</f>
        <v/>
      </c>
    </row>
    <row r="7171" spans="5:7" ht="15" customHeight="1">
      <c r="E7171" s="49" t="str">
        <f>IFERROR(VLOOKUP(D7171,'taxonomy map'!$A$1:$C$107,2,FALSE),"")</f>
        <v/>
      </c>
      <c r="F7171" s="49" t="str">
        <f>IFERROR(VLOOKUP(E7171,'Condensed Specialty Crosswalk'!$A$2:$C$106,2,FALSE),"")</f>
        <v/>
      </c>
      <c r="G7171" s="49" t="str">
        <f>IFERROR(VLOOKUP(E7171,'Condensed Specialty Crosswalk'!$A$2:$C$106,3,FALSE),"")</f>
        <v/>
      </c>
    </row>
    <row r="7172" spans="5:7" ht="15" customHeight="1">
      <c r="E7172" s="49" t="str">
        <f>IFERROR(VLOOKUP(D7172,'taxonomy map'!$A$1:$C$107,2,FALSE),"")</f>
        <v/>
      </c>
      <c r="F7172" s="49" t="str">
        <f>IFERROR(VLOOKUP(E7172,'Condensed Specialty Crosswalk'!$A$2:$C$106,2,FALSE),"")</f>
        <v/>
      </c>
      <c r="G7172" s="49" t="str">
        <f>IFERROR(VLOOKUP(E7172,'Condensed Specialty Crosswalk'!$A$2:$C$106,3,FALSE),"")</f>
        <v/>
      </c>
    </row>
    <row r="7173" spans="5:7" ht="15" customHeight="1">
      <c r="E7173" s="49" t="str">
        <f>IFERROR(VLOOKUP(D7173,'taxonomy map'!$A$1:$C$107,2,FALSE),"")</f>
        <v/>
      </c>
      <c r="F7173" s="49" t="str">
        <f>IFERROR(VLOOKUP(E7173,'Condensed Specialty Crosswalk'!$A$2:$C$106,2,FALSE),"")</f>
        <v/>
      </c>
      <c r="G7173" s="49" t="str">
        <f>IFERROR(VLOOKUP(E7173,'Condensed Specialty Crosswalk'!$A$2:$C$106,3,FALSE),"")</f>
        <v/>
      </c>
    </row>
    <row r="7174" spans="5:7" ht="15" customHeight="1">
      <c r="E7174" s="49" t="str">
        <f>IFERROR(VLOOKUP(D7174,'taxonomy map'!$A$1:$C$107,2,FALSE),"")</f>
        <v/>
      </c>
      <c r="F7174" s="49" t="str">
        <f>IFERROR(VLOOKUP(E7174,'Condensed Specialty Crosswalk'!$A$2:$C$106,2,FALSE),"")</f>
        <v/>
      </c>
      <c r="G7174" s="49" t="str">
        <f>IFERROR(VLOOKUP(E7174,'Condensed Specialty Crosswalk'!$A$2:$C$106,3,FALSE),"")</f>
        <v/>
      </c>
    </row>
    <row r="7175" spans="5:7" ht="15" customHeight="1">
      <c r="E7175" s="49" t="str">
        <f>IFERROR(VLOOKUP(D7175,'taxonomy map'!$A$1:$C$107,2,FALSE),"")</f>
        <v/>
      </c>
      <c r="F7175" s="49" t="str">
        <f>IFERROR(VLOOKUP(E7175,'Condensed Specialty Crosswalk'!$A$2:$C$106,2,FALSE),"")</f>
        <v/>
      </c>
      <c r="G7175" s="49" t="str">
        <f>IFERROR(VLOOKUP(E7175,'Condensed Specialty Crosswalk'!$A$2:$C$106,3,FALSE),"")</f>
        <v/>
      </c>
    </row>
    <row r="7176" spans="5:7" ht="15" customHeight="1">
      <c r="E7176" s="49" t="str">
        <f>IFERROR(VLOOKUP(D7176,'taxonomy map'!$A$1:$C$107,2,FALSE),"")</f>
        <v/>
      </c>
      <c r="F7176" s="49" t="str">
        <f>IFERROR(VLOOKUP(E7176,'Condensed Specialty Crosswalk'!$A$2:$C$106,2,FALSE),"")</f>
        <v/>
      </c>
      <c r="G7176" s="49" t="str">
        <f>IFERROR(VLOOKUP(E7176,'Condensed Specialty Crosswalk'!$A$2:$C$106,3,FALSE),"")</f>
        <v/>
      </c>
    </row>
    <row r="7177" spans="5:7" ht="15" customHeight="1">
      <c r="E7177" s="49" t="str">
        <f>IFERROR(VLOOKUP(D7177,'taxonomy map'!$A$1:$C$107,2,FALSE),"")</f>
        <v/>
      </c>
      <c r="F7177" s="49" t="str">
        <f>IFERROR(VLOOKUP(E7177,'Condensed Specialty Crosswalk'!$A$2:$C$106,2,FALSE),"")</f>
        <v/>
      </c>
      <c r="G7177" s="49" t="str">
        <f>IFERROR(VLOOKUP(E7177,'Condensed Specialty Crosswalk'!$A$2:$C$106,3,FALSE),"")</f>
        <v/>
      </c>
    </row>
    <row r="7178" spans="5:7" ht="15" customHeight="1">
      <c r="E7178" s="49" t="str">
        <f>IFERROR(VLOOKUP(D7178,'taxonomy map'!$A$1:$C$107,2,FALSE),"")</f>
        <v/>
      </c>
      <c r="F7178" s="49" t="str">
        <f>IFERROR(VLOOKUP(E7178,'Condensed Specialty Crosswalk'!$A$2:$C$106,2,FALSE),"")</f>
        <v/>
      </c>
      <c r="G7178" s="49" t="str">
        <f>IFERROR(VLOOKUP(E7178,'Condensed Specialty Crosswalk'!$A$2:$C$106,3,FALSE),"")</f>
        <v/>
      </c>
    </row>
    <row r="7179" spans="5:7" ht="15" customHeight="1">
      <c r="E7179" s="49" t="str">
        <f>IFERROR(VLOOKUP(D7179,'taxonomy map'!$A$1:$C$107,2,FALSE),"")</f>
        <v/>
      </c>
      <c r="F7179" s="49" t="str">
        <f>IFERROR(VLOOKUP(E7179,'Condensed Specialty Crosswalk'!$A$2:$C$106,2,FALSE),"")</f>
        <v/>
      </c>
      <c r="G7179" s="49" t="str">
        <f>IFERROR(VLOOKUP(E7179,'Condensed Specialty Crosswalk'!$A$2:$C$106,3,FALSE),"")</f>
        <v/>
      </c>
    </row>
    <row r="7180" spans="5:7" ht="15" customHeight="1">
      <c r="E7180" s="49" t="str">
        <f>IFERROR(VLOOKUP(D7180,'taxonomy map'!$A$1:$C$107,2,FALSE),"")</f>
        <v/>
      </c>
      <c r="F7180" s="49" t="str">
        <f>IFERROR(VLOOKUP(E7180,'Condensed Specialty Crosswalk'!$A$2:$C$106,2,FALSE),"")</f>
        <v/>
      </c>
      <c r="G7180" s="49" t="str">
        <f>IFERROR(VLOOKUP(E7180,'Condensed Specialty Crosswalk'!$A$2:$C$106,3,FALSE),"")</f>
        <v/>
      </c>
    </row>
    <row r="7181" spans="5:7" ht="15" customHeight="1">
      <c r="E7181" s="49" t="str">
        <f>IFERROR(VLOOKUP(D7181,'taxonomy map'!$A$1:$C$107,2,FALSE),"")</f>
        <v/>
      </c>
      <c r="F7181" s="49" t="str">
        <f>IFERROR(VLOOKUP(E7181,'Condensed Specialty Crosswalk'!$A$2:$C$106,2,FALSE),"")</f>
        <v/>
      </c>
      <c r="G7181" s="49" t="str">
        <f>IFERROR(VLOOKUP(E7181,'Condensed Specialty Crosswalk'!$A$2:$C$106,3,FALSE),"")</f>
        <v/>
      </c>
    </row>
    <row r="7182" spans="5:7" ht="15" customHeight="1">
      <c r="E7182" s="49" t="str">
        <f>IFERROR(VLOOKUP(D7182,'taxonomy map'!$A$1:$C$107,2,FALSE),"")</f>
        <v/>
      </c>
      <c r="F7182" s="49" t="str">
        <f>IFERROR(VLOOKUP(E7182,'Condensed Specialty Crosswalk'!$A$2:$C$106,2,FALSE),"")</f>
        <v/>
      </c>
      <c r="G7182" s="49" t="str">
        <f>IFERROR(VLOOKUP(E7182,'Condensed Specialty Crosswalk'!$A$2:$C$106,3,FALSE),"")</f>
        <v/>
      </c>
    </row>
    <row r="7183" spans="5:7" ht="15" customHeight="1">
      <c r="E7183" s="49" t="str">
        <f>IFERROR(VLOOKUP(D7183,'taxonomy map'!$A$1:$C$107,2,FALSE),"")</f>
        <v/>
      </c>
      <c r="F7183" s="49" t="str">
        <f>IFERROR(VLOOKUP(E7183,'Condensed Specialty Crosswalk'!$A$2:$C$106,2,FALSE),"")</f>
        <v/>
      </c>
      <c r="G7183" s="49" t="str">
        <f>IFERROR(VLOOKUP(E7183,'Condensed Specialty Crosswalk'!$A$2:$C$106,3,FALSE),"")</f>
        <v/>
      </c>
    </row>
    <row r="7184" spans="5:7" ht="15" customHeight="1">
      <c r="E7184" s="49" t="str">
        <f>IFERROR(VLOOKUP(D7184,'taxonomy map'!$A$1:$C$107,2,FALSE),"")</f>
        <v/>
      </c>
      <c r="F7184" s="49" t="str">
        <f>IFERROR(VLOOKUP(E7184,'Condensed Specialty Crosswalk'!$A$2:$C$106,2,FALSE),"")</f>
        <v/>
      </c>
      <c r="G7184" s="49" t="str">
        <f>IFERROR(VLOOKUP(E7184,'Condensed Specialty Crosswalk'!$A$2:$C$106,3,FALSE),"")</f>
        <v/>
      </c>
    </row>
    <row r="7185" spans="5:7" ht="15" customHeight="1">
      <c r="E7185" s="49" t="str">
        <f>IFERROR(VLOOKUP(D7185,'taxonomy map'!$A$1:$C$107,2,FALSE),"")</f>
        <v/>
      </c>
      <c r="F7185" s="49" t="str">
        <f>IFERROR(VLOOKUP(E7185,'Condensed Specialty Crosswalk'!$A$2:$C$106,2,FALSE),"")</f>
        <v/>
      </c>
      <c r="G7185" s="49" t="str">
        <f>IFERROR(VLOOKUP(E7185,'Condensed Specialty Crosswalk'!$A$2:$C$106,3,FALSE),"")</f>
        <v/>
      </c>
    </row>
    <row r="7186" spans="5:7" ht="15" customHeight="1">
      <c r="E7186" s="49" t="str">
        <f>IFERROR(VLOOKUP(D7186,'taxonomy map'!$A$1:$C$107,2,FALSE),"")</f>
        <v/>
      </c>
      <c r="F7186" s="49" t="str">
        <f>IFERROR(VLOOKUP(E7186,'Condensed Specialty Crosswalk'!$A$2:$C$106,2,FALSE),"")</f>
        <v/>
      </c>
      <c r="G7186" s="49" t="str">
        <f>IFERROR(VLOOKUP(E7186,'Condensed Specialty Crosswalk'!$A$2:$C$106,3,FALSE),"")</f>
        <v/>
      </c>
    </row>
    <row r="7187" spans="5:7" ht="15" customHeight="1">
      <c r="E7187" s="49" t="str">
        <f>IFERROR(VLOOKUP(D7187,'taxonomy map'!$A$1:$C$107,2,FALSE),"")</f>
        <v/>
      </c>
      <c r="F7187" s="49" t="str">
        <f>IFERROR(VLOOKUP(E7187,'Condensed Specialty Crosswalk'!$A$2:$C$106,2,FALSE),"")</f>
        <v/>
      </c>
      <c r="G7187" s="49" t="str">
        <f>IFERROR(VLOOKUP(E7187,'Condensed Specialty Crosswalk'!$A$2:$C$106,3,FALSE),"")</f>
        <v/>
      </c>
    </row>
    <row r="7188" spans="5:7" ht="15" customHeight="1">
      <c r="E7188" s="49" t="str">
        <f>IFERROR(VLOOKUP(D7188,'taxonomy map'!$A$1:$C$107,2,FALSE),"")</f>
        <v/>
      </c>
      <c r="F7188" s="49" t="str">
        <f>IFERROR(VLOOKUP(E7188,'Condensed Specialty Crosswalk'!$A$2:$C$106,2,FALSE),"")</f>
        <v/>
      </c>
      <c r="G7188" s="49" t="str">
        <f>IFERROR(VLOOKUP(E7188,'Condensed Specialty Crosswalk'!$A$2:$C$106,3,FALSE),"")</f>
        <v/>
      </c>
    </row>
    <row r="7189" spans="5:7" ht="15" customHeight="1">
      <c r="E7189" s="49" t="str">
        <f>IFERROR(VLOOKUP(D7189,'taxonomy map'!$A$1:$C$107,2,FALSE),"")</f>
        <v/>
      </c>
      <c r="F7189" s="49" t="str">
        <f>IFERROR(VLOOKUP(E7189,'Condensed Specialty Crosswalk'!$A$2:$C$106,2,FALSE),"")</f>
        <v/>
      </c>
      <c r="G7189" s="49" t="str">
        <f>IFERROR(VLOOKUP(E7189,'Condensed Specialty Crosswalk'!$A$2:$C$106,3,FALSE),"")</f>
        <v/>
      </c>
    </row>
    <row r="7190" spans="5:7" ht="15" customHeight="1">
      <c r="E7190" s="49" t="str">
        <f>IFERROR(VLOOKUP(D7190,'taxonomy map'!$A$1:$C$107,2,FALSE),"")</f>
        <v/>
      </c>
      <c r="F7190" s="49" t="str">
        <f>IFERROR(VLOOKUP(E7190,'Condensed Specialty Crosswalk'!$A$2:$C$106,2,FALSE),"")</f>
        <v/>
      </c>
      <c r="G7190" s="49" t="str">
        <f>IFERROR(VLOOKUP(E7190,'Condensed Specialty Crosswalk'!$A$2:$C$106,3,FALSE),"")</f>
        <v/>
      </c>
    </row>
    <row r="7191" spans="5:7" ht="15" customHeight="1">
      <c r="E7191" s="49" t="str">
        <f>IFERROR(VLOOKUP(D7191,'taxonomy map'!$A$1:$C$107,2,FALSE),"")</f>
        <v/>
      </c>
      <c r="F7191" s="49" t="str">
        <f>IFERROR(VLOOKUP(E7191,'Condensed Specialty Crosswalk'!$A$2:$C$106,2,FALSE),"")</f>
        <v/>
      </c>
      <c r="G7191" s="49" t="str">
        <f>IFERROR(VLOOKUP(E7191,'Condensed Specialty Crosswalk'!$A$2:$C$106,3,FALSE),"")</f>
        <v/>
      </c>
    </row>
    <row r="7192" spans="5:7" ht="15" customHeight="1">
      <c r="E7192" s="49" t="str">
        <f>IFERROR(VLOOKUP(D7192,'taxonomy map'!$A$1:$C$107,2,FALSE),"")</f>
        <v/>
      </c>
      <c r="F7192" s="49" t="str">
        <f>IFERROR(VLOOKUP(E7192,'Condensed Specialty Crosswalk'!$A$2:$C$106,2,FALSE),"")</f>
        <v/>
      </c>
      <c r="G7192" s="49" t="str">
        <f>IFERROR(VLOOKUP(E7192,'Condensed Specialty Crosswalk'!$A$2:$C$106,3,FALSE),"")</f>
        <v/>
      </c>
    </row>
    <row r="7193" spans="5:7" ht="15" customHeight="1">
      <c r="E7193" s="49" t="str">
        <f>IFERROR(VLOOKUP(D7193,'taxonomy map'!$A$1:$C$107,2,FALSE),"")</f>
        <v/>
      </c>
      <c r="F7193" s="49" t="str">
        <f>IFERROR(VLOOKUP(E7193,'Condensed Specialty Crosswalk'!$A$2:$C$106,2,FALSE),"")</f>
        <v/>
      </c>
      <c r="G7193" s="49" t="str">
        <f>IFERROR(VLOOKUP(E7193,'Condensed Specialty Crosswalk'!$A$2:$C$106,3,FALSE),"")</f>
        <v/>
      </c>
    </row>
    <row r="7194" spans="5:7" ht="15" customHeight="1">
      <c r="E7194" s="49" t="str">
        <f>IFERROR(VLOOKUP(D7194,'taxonomy map'!$A$1:$C$107,2,FALSE),"")</f>
        <v/>
      </c>
      <c r="F7194" s="49" t="str">
        <f>IFERROR(VLOOKUP(E7194,'Condensed Specialty Crosswalk'!$A$2:$C$106,2,FALSE),"")</f>
        <v/>
      </c>
      <c r="G7194" s="49" t="str">
        <f>IFERROR(VLOOKUP(E7194,'Condensed Specialty Crosswalk'!$A$2:$C$106,3,FALSE),"")</f>
        <v/>
      </c>
    </row>
    <row r="7195" spans="5:7" ht="15" customHeight="1">
      <c r="E7195" s="49" t="str">
        <f>IFERROR(VLOOKUP(D7195,'taxonomy map'!$A$1:$C$107,2,FALSE),"")</f>
        <v/>
      </c>
      <c r="F7195" s="49" t="str">
        <f>IFERROR(VLOOKUP(E7195,'Condensed Specialty Crosswalk'!$A$2:$C$106,2,FALSE),"")</f>
        <v/>
      </c>
      <c r="G7195" s="49" t="str">
        <f>IFERROR(VLOOKUP(E7195,'Condensed Specialty Crosswalk'!$A$2:$C$106,3,FALSE),"")</f>
        <v/>
      </c>
    </row>
    <row r="7196" spans="5:7" ht="15" customHeight="1">
      <c r="E7196" s="49" t="str">
        <f>IFERROR(VLOOKUP(D7196,'taxonomy map'!$A$1:$C$107,2,FALSE),"")</f>
        <v/>
      </c>
      <c r="F7196" s="49" t="str">
        <f>IFERROR(VLOOKUP(E7196,'Condensed Specialty Crosswalk'!$A$2:$C$106,2,FALSE),"")</f>
        <v/>
      </c>
      <c r="G7196" s="49" t="str">
        <f>IFERROR(VLOOKUP(E7196,'Condensed Specialty Crosswalk'!$A$2:$C$106,3,FALSE),"")</f>
        <v/>
      </c>
    </row>
    <row r="7197" spans="5:7" ht="15" customHeight="1">
      <c r="E7197" s="49" t="str">
        <f>IFERROR(VLOOKUP(D7197,'taxonomy map'!$A$1:$C$107,2,FALSE),"")</f>
        <v/>
      </c>
      <c r="F7197" s="49" t="str">
        <f>IFERROR(VLOOKUP(E7197,'Condensed Specialty Crosswalk'!$A$2:$C$106,2,FALSE),"")</f>
        <v/>
      </c>
      <c r="G7197" s="49" t="str">
        <f>IFERROR(VLOOKUP(E7197,'Condensed Specialty Crosswalk'!$A$2:$C$106,3,FALSE),"")</f>
        <v/>
      </c>
    </row>
    <row r="7198" spans="5:7" ht="15" customHeight="1">
      <c r="E7198" s="49" t="str">
        <f>IFERROR(VLOOKUP(D7198,'taxonomy map'!$A$1:$C$107,2,FALSE),"")</f>
        <v/>
      </c>
      <c r="F7198" s="49" t="str">
        <f>IFERROR(VLOOKUP(E7198,'Condensed Specialty Crosswalk'!$A$2:$C$106,2,FALSE),"")</f>
        <v/>
      </c>
      <c r="G7198" s="49" t="str">
        <f>IFERROR(VLOOKUP(E7198,'Condensed Specialty Crosswalk'!$A$2:$C$106,3,FALSE),"")</f>
        <v/>
      </c>
    </row>
    <row r="7199" spans="5:7" ht="15" customHeight="1">
      <c r="E7199" s="49" t="str">
        <f>IFERROR(VLOOKUP(D7199,'taxonomy map'!$A$1:$C$107,2,FALSE),"")</f>
        <v/>
      </c>
      <c r="F7199" s="49" t="str">
        <f>IFERROR(VLOOKUP(E7199,'Condensed Specialty Crosswalk'!$A$2:$C$106,2,FALSE),"")</f>
        <v/>
      </c>
      <c r="G7199" s="49" t="str">
        <f>IFERROR(VLOOKUP(E7199,'Condensed Specialty Crosswalk'!$A$2:$C$106,3,FALSE),"")</f>
        <v/>
      </c>
    </row>
    <row r="7200" spans="5:7" ht="15" customHeight="1">
      <c r="E7200" s="49" t="str">
        <f>IFERROR(VLOOKUP(D7200,'taxonomy map'!$A$1:$C$107,2,FALSE),"")</f>
        <v/>
      </c>
      <c r="F7200" s="49" t="str">
        <f>IFERROR(VLOOKUP(E7200,'Condensed Specialty Crosswalk'!$A$2:$C$106,2,FALSE),"")</f>
        <v/>
      </c>
      <c r="G7200" s="49" t="str">
        <f>IFERROR(VLOOKUP(E7200,'Condensed Specialty Crosswalk'!$A$2:$C$106,3,FALSE),"")</f>
        <v/>
      </c>
    </row>
    <row r="7201" spans="5:7" ht="15" customHeight="1">
      <c r="E7201" s="49" t="str">
        <f>IFERROR(VLOOKUP(D7201,'taxonomy map'!$A$1:$C$107,2,FALSE),"")</f>
        <v/>
      </c>
      <c r="F7201" s="49" t="str">
        <f>IFERROR(VLOOKUP(E7201,'Condensed Specialty Crosswalk'!$A$2:$C$106,2,FALSE),"")</f>
        <v/>
      </c>
      <c r="G7201" s="49" t="str">
        <f>IFERROR(VLOOKUP(E7201,'Condensed Specialty Crosswalk'!$A$2:$C$106,3,FALSE),"")</f>
        <v/>
      </c>
    </row>
    <row r="7202" spans="5:7" ht="15" customHeight="1">
      <c r="E7202" s="49" t="str">
        <f>IFERROR(VLOOKUP(D7202,'taxonomy map'!$A$1:$C$107,2,FALSE),"")</f>
        <v/>
      </c>
      <c r="F7202" s="49" t="str">
        <f>IFERROR(VLOOKUP(E7202,'Condensed Specialty Crosswalk'!$A$2:$C$106,2,FALSE),"")</f>
        <v/>
      </c>
      <c r="G7202" s="49" t="str">
        <f>IFERROR(VLOOKUP(E7202,'Condensed Specialty Crosswalk'!$A$2:$C$106,3,FALSE),"")</f>
        <v/>
      </c>
    </row>
    <row r="7203" spans="5:7" ht="15" customHeight="1">
      <c r="E7203" s="49" t="str">
        <f>IFERROR(VLOOKUP(D7203,'taxonomy map'!$A$1:$C$107,2,FALSE),"")</f>
        <v/>
      </c>
      <c r="F7203" s="49" t="str">
        <f>IFERROR(VLOOKUP(E7203,'Condensed Specialty Crosswalk'!$A$2:$C$106,2,FALSE),"")</f>
        <v/>
      </c>
      <c r="G7203" s="49" t="str">
        <f>IFERROR(VLOOKUP(E7203,'Condensed Specialty Crosswalk'!$A$2:$C$106,3,FALSE),"")</f>
        <v/>
      </c>
    </row>
    <row r="7204" spans="5:7" ht="15" customHeight="1">
      <c r="E7204" s="49" t="str">
        <f>IFERROR(VLOOKUP(D7204,'taxonomy map'!$A$1:$C$107,2,FALSE),"")</f>
        <v/>
      </c>
      <c r="F7204" s="49" t="str">
        <f>IFERROR(VLOOKUP(E7204,'Condensed Specialty Crosswalk'!$A$2:$C$106,2,FALSE),"")</f>
        <v/>
      </c>
      <c r="G7204" s="49" t="str">
        <f>IFERROR(VLOOKUP(E7204,'Condensed Specialty Crosswalk'!$A$2:$C$106,3,FALSE),"")</f>
        <v/>
      </c>
    </row>
    <row r="7205" spans="5:7" ht="15" customHeight="1">
      <c r="E7205" s="49" t="str">
        <f>IFERROR(VLOOKUP(D7205,'taxonomy map'!$A$1:$C$107,2,FALSE),"")</f>
        <v/>
      </c>
      <c r="F7205" s="49" t="str">
        <f>IFERROR(VLOOKUP(E7205,'Condensed Specialty Crosswalk'!$A$2:$C$106,2,FALSE),"")</f>
        <v/>
      </c>
      <c r="G7205" s="49" t="str">
        <f>IFERROR(VLOOKUP(E7205,'Condensed Specialty Crosswalk'!$A$2:$C$106,3,FALSE),"")</f>
        <v/>
      </c>
    </row>
    <row r="7206" spans="5:7" ht="15" customHeight="1">
      <c r="E7206" s="49" t="str">
        <f>IFERROR(VLOOKUP(D7206,'taxonomy map'!$A$1:$C$107,2,FALSE),"")</f>
        <v/>
      </c>
      <c r="F7206" s="49" t="str">
        <f>IFERROR(VLOOKUP(E7206,'Condensed Specialty Crosswalk'!$A$2:$C$106,2,FALSE),"")</f>
        <v/>
      </c>
      <c r="G7206" s="49" t="str">
        <f>IFERROR(VLOOKUP(E7206,'Condensed Specialty Crosswalk'!$A$2:$C$106,3,FALSE),"")</f>
        <v/>
      </c>
    </row>
    <row r="7207" spans="5:7" ht="15" customHeight="1">
      <c r="E7207" s="49" t="str">
        <f>IFERROR(VLOOKUP(D7207,'taxonomy map'!$A$1:$C$107,2,FALSE),"")</f>
        <v/>
      </c>
      <c r="F7207" s="49" t="str">
        <f>IFERROR(VLOOKUP(E7207,'Condensed Specialty Crosswalk'!$A$2:$C$106,2,FALSE),"")</f>
        <v/>
      </c>
      <c r="G7207" s="49" t="str">
        <f>IFERROR(VLOOKUP(E7207,'Condensed Specialty Crosswalk'!$A$2:$C$106,3,FALSE),"")</f>
        <v/>
      </c>
    </row>
    <row r="7208" spans="5:7" ht="15" customHeight="1">
      <c r="E7208" s="49" t="str">
        <f>IFERROR(VLOOKUP(D7208,'taxonomy map'!$A$1:$C$107,2,FALSE),"")</f>
        <v/>
      </c>
      <c r="F7208" s="49" t="str">
        <f>IFERROR(VLOOKUP(E7208,'Condensed Specialty Crosswalk'!$A$2:$C$106,2,FALSE),"")</f>
        <v/>
      </c>
      <c r="G7208" s="49" t="str">
        <f>IFERROR(VLOOKUP(E7208,'Condensed Specialty Crosswalk'!$A$2:$C$106,3,FALSE),"")</f>
        <v/>
      </c>
    </row>
    <row r="7209" spans="5:7" ht="15" customHeight="1">
      <c r="E7209" s="49" t="str">
        <f>IFERROR(VLOOKUP(D7209,'taxonomy map'!$A$1:$C$107,2,FALSE),"")</f>
        <v/>
      </c>
      <c r="F7209" s="49" t="str">
        <f>IFERROR(VLOOKUP(E7209,'Condensed Specialty Crosswalk'!$A$2:$C$106,2,FALSE),"")</f>
        <v/>
      </c>
      <c r="G7209" s="49" t="str">
        <f>IFERROR(VLOOKUP(E7209,'Condensed Specialty Crosswalk'!$A$2:$C$106,3,FALSE),"")</f>
        <v/>
      </c>
    </row>
    <row r="7210" spans="5:7" ht="15" customHeight="1">
      <c r="E7210" s="49" t="str">
        <f>IFERROR(VLOOKUP(D7210,'taxonomy map'!$A$1:$C$107,2,FALSE),"")</f>
        <v/>
      </c>
      <c r="F7210" s="49" t="str">
        <f>IFERROR(VLOOKUP(E7210,'Condensed Specialty Crosswalk'!$A$2:$C$106,2,FALSE),"")</f>
        <v/>
      </c>
      <c r="G7210" s="49" t="str">
        <f>IFERROR(VLOOKUP(E7210,'Condensed Specialty Crosswalk'!$A$2:$C$106,3,FALSE),"")</f>
        <v/>
      </c>
    </row>
    <row r="7211" spans="5:7" ht="15" customHeight="1">
      <c r="E7211" s="49" t="str">
        <f>IFERROR(VLOOKUP(D7211,'taxonomy map'!$A$1:$C$107,2,FALSE),"")</f>
        <v/>
      </c>
      <c r="F7211" s="49" t="str">
        <f>IFERROR(VLOOKUP(E7211,'Condensed Specialty Crosswalk'!$A$2:$C$106,2,FALSE),"")</f>
        <v/>
      </c>
      <c r="G7211" s="49" t="str">
        <f>IFERROR(VLOOKUP(E7211,'Condensed Specialty Crosswalk'!$A$2:$C$106,3,FALSE),"")</f>
        <v/>
      </c>
    </row>
    <row r="7212" spans="5:7" ht="15" customHeight="1">
      <c r="E7212" s="49" t="str">
        <f>IFERROR(VLOOKUP(D7212,'taxonomy map'!$A$1:$C$107,2,FALSE),"")</f>
        <v/>
      </c>
      <c r="F7212" s="49" t="str">
        <f>IFERROR(VLOOKUP(E7212,'Condensed Specialty Crosswalk'!$A$2:$C$106,2,FALSE),"")</f>
        <v/>
      </c>
      <c r="G7212" s="49" t="str">
        <f>IFERROR(VLOOKUP(E7212,'Condensed Specialty Crosswalk'!$A$2:$C$106,3,FALSE),"")</f>
        <v/>
      </c>
    </row>
    <row r="7213" spans="5:7" ht="15" customHeight="1">
      <c r="E7213" s="49" t="str">
        <f>IFERROR(VLOOKUP(D7213,'taxonomy map'!$A$1:$C$107,2,FALSE),"")</f>
        <v/>
      </c>
      <c r="F7213" s="49" t="str">
        <f>IFERROR(VLOOKUP(E7213,'Condensed Specialty Crosswalk'!$A$2:$C$106,2,FALSE),"")</f>
        <v/>
      </c>
      <c r="G7213" s="49" t="str">
        <f>IFERROR(VLOOKUP(E7213,'Condensed Specialty Crosswalk'!$A$2:$C$106,3,FALSE),"")</f>
        <v/>
      </c>
    </row>
    <row r="7214" spans="5:7" ht="15" customHeight="1">
      <c r="E7214" s="49" t="str">
        <f>IFERROR(VLOOKUP(D7214,'taxonomy map'!$A$1:$C$107,2,FALSE),"")</f>
        <v/>
      </c>
      <c r="F7214" s="49" t="str">
        <f>IFERROR(VLOOKUP(E7214,'Condensed Specialty Crosswalk'!$A$2:$C$106,2,FALSE),"")</f>
        <v/>
      </c>
      <c r="G7214" s="49" t="str">
        <f>IFERROR(VLOOKUP(E7214,'Condensed Specialty Crosswalk'!$A$2:$C$106,3,FALSE),"")</f>
        <v/>
      </c>
    </row>
    <row r="7215" spans="5:7" ht="15" customHeight="1">
      <c r="E7215" s="49" t="str">
        <f>IFERROR(VLOOKUP(D7215,'taxonomy map'!$A$1:$C$107,2,FALSE),"")</f>
        <v/>
      </c>
      <c r="F7215" s="49" t="str">
        <f>IFERROR(VLOOKUP(E7215,'Condensed Specialty Crosswalk'!$A$2:$C$106,2,FALSE),"")</f>
        <v/>
      </c>
      <c r="G7215" s="49" t="str">
        <f>IFERROR(VLOOKUP(E7215,'Condensed Specialty Crosswalk'!$A$2:$C$106,3,FALSE),"")</f>
        <v/>
      </c>
    </row>
    <row r="7216" spans="5:7" ht="15" customHeight="1">
      <c r="E7216" s="49" t="str">
        <f>IFERROR(VLOOKUP(D7216,'taxonomy map'!$A$1:$C$107,2,FALSE),"")</f>
        <v/>
      </c>
      <c r="F7216" s="49" t="str">
        <f>IFERROR(VLOOKUP(E7216,'Condensed Specialty Crosswalk'!$A$2:$C$106,2,FALSE),"")</f>
        <v/>
      </c>
      <c r="G7216" s="49" t="str">
        <f>IFERROR(VLOOKUP(E7216,'Condensed Specialty Crosswalk'!$A$2:$C$106,3,FALSE),"")</f>
        <v/>
      </c>
    </row>
    <row r="7217" spans="5:7" ht="15" customHeight="1">
      <c r="E7217" s="49" t="str">
        <f>IFERROR(VLOOKUP(D7217,'taxonomy map'!$A$1:$C$107,2,FALSE),"")</f>
        <v/>
      </c>
      <c r="F7217" s="49" t="str">
        <f>IFERROR(VLOOKUP(E7217,'Condensed Specialty Crosswalk'!$A$2:$C$106,2,FALSE),"")</f>
        <v/>
      </c>
      <c r="G7217" s="49" t="str">
        <f>IFERROR(VLOOKUP(E7217,'Condensed Specialty Crosswalk'!$A$2:$C$106,3,FALSE),"")</f>
        <v/>
      </c>
    </row>
    <row r="7218" spans="5:7" ht="15" customHeight="1">
      <c r="E7218" s="49" t="str">
        <f>IFERROR(VLOOKUP(D7218,'taxonomy map'!$A$1:$C$107,2,FALSE),"")</f>
        <v/>
      </c>
      <c r="F7218" s="49" t="str">
        <f>IFERROR(VLOOKUP(E7218,'Condensed Specialty Crosswalk'!$A$2:$C$106,2,FALSE),"")</f>
        <v/>
      </c>
      <c r="G7218" s="49" t="str">
        <f>IFERROR(VLOOKUP(E7218,'Condensed Specialty Crosswalk'!$A$2:$C$106,3,FALSE),"")</f>
        <v/>
      </c>
    </row>
    <row r="7219" spans="5:7" ht="15" customHeight="1">
      <c r="E7219" s="49" t="str">
        <f>IFERROR(VLOOKUP(D7219,'taxonomy map'!$A$1:$C$107,2,FALSE),"")</f>
        <v/>
      </c>
      <c r="F7219" s="49" t="str">
        <f>IFERROR(VLOOKUP(E7219,'Condensed Specialty Crosswalk'!$A$2:$C$106,2,FALSE),"")</f>
        <v/>
      </c>
      <c r="G7219" s="49" t="str">
        <f>IFERROR(VLOOKUP(E7219,'Condensed Specialty Crosswalk'!$A$2:$C$106,3,FALSE),"")</f>
        <v/>
      </c>
    </row>
    <row r="7220" spans="5:7" ht="15" customHeight="1">
      <c r="E7220" s="49" t="str">
        <f>IFERROR(VLOOKUP(D7220,'taxonomy map'!$A$1:$C$107,2,FALSE),"")</f>
        <v/>
      </c>
      <c r="F7220" s="49" t="str">
        <f>IFERROR(VLOOKUP(E7220,'Condensed Specialty Crosswalk'!$A$2:$C$106,2,FALSE),"")</f>
        <v/>
      </c>
      <c r="G7220" s="49" t="str">
        <f>IFERROR(VLOOKUP(E7220,'Condensed Specialty Crosswalk'!$A$2:$C$106,3,FALSE),"")</f>
        <v/>
      </c>
    </row>
    <row r="7221" spans="5:7" ht="15" customHeight="1">
      <c r="E7221" s="49" t="str">
        <f>IFERROR(VLOOKUP(D7221,'taxonomy map'!$A$1:$C$107,2,FALSE),"")</f>
        <v/>
      </c>
      <c r="F7221" s="49" t="str">
        <f>IFERROR(VLOOKUP(E7221,'Condensed Specialty Crosswalk'!$A$2:$C$106,2,FALSE),"")</f>
        <v/>
      </c>
      <c r="G7221" s="49" t="str">
        <f>IFERROR(VLOOKUP(E7221,'Condensed Specialty Crosswalk'!$A$2:$C$106,3,FALSE),"")</f>
        <v/>
      </c>
    </row>
    <row r="7222" spans="5:7" ht="15" customHeight="1">
      <c r="E7222" s="49" t="str">
        <f>IFERROR(VLOOKUP(D7222,'taxonomy map'!$A$1:$C$107,2,FALSE),"")</f>
        <v/>
      </c>
      <c r="F7222" s="49" t="str">
        <f>IFERROR(VLOOKUP(E7222,'Condensed Specialty Crosswalk'!$A$2:$C$106,2,FALSE),"")</f>
        <v/>
      </c>
      <c r="G7222" s="49" t="str">
        <f>IFERROR(VLOOKUP(E7222,'Condensed Specialty Crosswalk'!$A$2:$C$106,3,FALSE),"")</f>
        <v/>
      </c>
    </row>
    <row r="7223" spans="5:7" ht="15" customHeight="1">
      <c r="E7223" s="49" t="str">
        <f>IFERROR(VLOOKUP(D7223,'taxonomy map'!$A$1:$C$107,2,FALSE),"")</f>
        <v/>
      </c>
      <c r="F7223" s="49" t="str">
        <f>IFERROR(VLOOKUP(E7223,'Condensed Specialty Crosswalk'!$A$2:$C$106,2,FALSE),"")</f>
        <v/>
      </c>
      <c r="G7223" s="49" t="str">
        <f>IFERROR(VLOOKUP(E7223,'Condensed Specialty Crosswalk'!$A$2:$C$106,3,FALSE),"")</f>
        <v/>
      </c>
    </row>
    <row r="7224" spans="5:7" ht="15" customHeight="1">
      <c r="E7224" s="49" t="str">
        <f>IFERROR(VLOOKUP(D7224,'taxonomy map'!$A$1:$C$107,2,FALSE),"")</f>
        <v/>
      </c>
      <c r="F7224" s="49" t="str">
        <f>IFERROR(VLOOKUP(E7224,'Condensed Specialty Crosswalk'!$A$2:$C$106,2,FALSE),"")</f>
        <v/>
      </c>
      <c r="G7224" s="49" t="str">
        <f>IFERROR(VLOOKUP(E7224,'Condensed Specialty Crosswalk'!$A$2:$C$106,3,FALSE),"")</f>
        <v/>
      </c>
    </row>
    <row r="7225" spans="5:7" ht="15" customHeight="1">
      <c r="E7225" s="49" t="str">
        <f>IFERROR(VLOOKUP(D7225,'taxonomy map'!$A$1:$C$107,2,FALSE),"")</f>
        <v/>
      </c>
      <c r="F7225" s="49" t="str">
        <f>IFERROR(VLOOKUP(E7225,'Condensed Specialty Crosswalk'!$A$2:$C$106,2,FALSE),"")</f>
        <v/>
      </c>
      <c r="G7225" s="49" t="str">
        <f>IFERROR(VLOOKUP(E7225,'Condensed Specialty Crosswalk'!$A$2:$C$106,3,FALSE),"")</f>
        <v/>
      </c>
    </row>
    <row r="7226" spans="5:7" ht="15" customHeight="1">
      <c r="E7226" s="49" t="str">
        <f>IFERROR(VLOOKUP(D7226,'taxonomy map'!$A$1:$C$107,2,FALSE),"")</f>
        <v/>
      </c>
      <c r="F7226" s="49" t="str">
        <f>IFERROR(VLOOKUP(E7226,'Condensed Specialty Crosswalk'!$A$2:$C$106,2,FALSE),"")</f>
        <v/>
      </c>
      <c r="G7226" s="49" t="str">
        <f>IFERROR(VLOOKUP(E7226,'Condensed Specialty Crosswalk'!$A$2:$C$106,3,FALSE),"")</f>
        <v/>
      </c>
    </row>
    <row r="7227" spans="5:7" ht="15" customHeight="1">
      <c r="E7227" s="49" t="str">
        <f>IFERROR(VLOOKUP(D7227,'taxonomy map'!$A$1:$C$107,2,FALSE),"")</f>
        <v/>
      </c>
      <c r="F7227" s="49" t="str">
        <f>IFERROR(VLOOKUP(E7227,'Condensed Specialty Crosswalk'!$A$2:$C$106,2,FALSE),"")</f>
        <v/>
      </c>
      <c r="G7227" s="49" t="str">
        <f>IFERROR(VLOOKUP(E7227,'Condensed Specialty Crosswalk'!$A$2:$C$106,3,FALSE),"")</f>
        <v/>
      </c>
    </row>
    <row r="7228" spans="5:7" ht="15" customHeight="1">
      <c r="E7228" s="49" t="str">
        <f>IFERROR(VLOOKUP(D7228,'taxonomy map'!$A$1:$C$107,2,FALSE),"")</f>
        <v/>
      </c>
      <c r="F7228" s="49" t="str">
        <f>IFERROR(VLOOKUP(E7228,'Condensed Specialty Crosswalk'!$A$2:$C$106,2,FALSE),"")</f>
        <v/>
      </c>
      <c r="G7228" s="49" t="str">
        <f>IFERROR(VLOOKUP(E7228,'Condensed Specialty Crosswalk'!$A$2:$C$106,3,FALSE),"")</f>
        <v/>
      </c>
    </row>
    <row r="7229" spans="5:7" ht="15" customHeight="1">
      <c r="E7229" s="49" t="str">
        <f>IFERROR(VLOOKUP(D7229,'taxonomy map'!$A$1:$C$107,2,FALSE),"")</f>
        <v/>
      </c>
      <c r="F7229" s="49" t="str">
        <f>IFERROR(VLOOKUP(E7229,'Condensed Specialty Crosswalk'!$A$2:$C$106,2,FALSE),"")</f>
        <v/>
      </c>
      <c r="G7229" s="49" t="str">
        <f>IFERROR(VLOOKUP(E7229,'Condensed Specialty Crosswalk'!$A$2:$C$106,3,FALSE),"")</f>
        <v/>
      </c>
    </row>
    <row r="7230" spans="5:7" ht="15" customHeight="1">
      <c r="E7230" s="49" t="str">
        <f>IFERROR(VLOOKUP(D7230,'taxonomy map'!$A$1:$C$107,2,FALSE),"")</f>
        <v/>
      </c>
      <c r="F7230" s="49" t="str">
        <f>IFERROR(VLOOKUP(E7230,'Condensed Specialty Crosswalk'!$A$2:$C$106,2,FALSE),"")</f>
        <v/>
      </c>
      <c r="G7230" s="49" t="str">
        <f>IFERROR(VLOOKUP(E7230,'Condensed Specialty Crosswalk'!$A$2:$C$106,3,FALSE),"")</f>
        <v/>
      </c>
    </row>
    <row r="7231" spans="5:7" ht="15" customHeight="1">
      <c r="E7231" s="49" t="str">
        <f>IFERROR(VLOOKUP(D7231,'taxonomy map'!$A$1:$C$107,2,FALSE),"")</f>
        <v/>
      </c>
      <c r="F7231" s="49" t="str">
        <f>IFERROR(VLOOKUP(E7231,'Condensed Specialty Crosswalk'!$A$2:$C$106,2,FALSE),"")</f>
        <v/>
      </c>
      <c r="G7231" s="49" t="str">
        <f>IFERROR(VLOOKUP(E7231,'Condensed Specialty Crosswalk'!$A$2:$C$106,3,FALSE),"")</f>
        <v/>
      </c>
    </row>
    <row r="7232" spans="5:7" ht="15" customHeight="1">
      <c r="E7232" s="49" t="str">
        <f>IFERROR(VLOOKUP(D7232,'taxonomy map'!$A$1:$C$107,2,FALSE),"")</f>
        <v/>
      </c>
      <c r="F7232" s="49" t="str">
        <f>IFERROR(VLOOKUP(E7232,'Condensed Specialty Crosswalk'!$A$2:$C$106,2,FALSE),"")</f>
        <v/>
      </c>
      <c r="G7232" s="49" t="str">
        <f>IFERROR(VLOOKUP(E7232,'Condensed Specialty Crosswalk'!$A$2:$C$106,3,FALSE),"")</f>
        <v/>
      </c>
    </row>
    <row r="7233" spans="5:7" ht="15" customHeight="1">
      <c r="E7233" s="49" t="str">
        <f>IFERROR(VLOOKUP(D7233,'taxonomy map'!$A$1:$C$107,2,FALSE),"")</f>
        <v/>
      </c>
      <c r="F7233" s="49" t="str">
        <f>IFERROR(VLOOKUP(E7233,'Condensed Specialty Crosswalk'!$A$2:$C$106,2,FALSE),"")</f>
        <v/>
      </c>
      <c r="G7233" s="49" t="str">
        <f>IFERROR(VLOOKUP(E7233,'Condensed Specialty Crosswalk'!$A$2:$C$106,3,FALSE),"")</f>
        <v/>
      </c>
    </row>
    <row r="7234" spans="5:7" ht="15" customHeight="1">
      <c r="E7234" s="49" t="str">
        <f>IFERROR(VLOOKUP(D7234,'taxonomy map'!$A$1:$C$107,2,FALSE),"")</f>
        <v/>
      </c>
      <c r="F7234" s="49" t="str">
        <f>IFERROR(VLOOKUP(E7234,'Condensed Specialty Crosswalk'!$A$2:$C$106,2,FALSE),"")</f>
        <v/>
      </c>
      <c r="G7234" s="49" t="str">
        <f>IFERROR(VLOOKUP(E7234,'Condensed Specialty Crosswalk'!$A$2:$C$106,3,FALSE),"")</f>
        <v/>
      </c>
    </row>
    <row r="7235" spans="5:7" ht="15" customHeight="1">
      <c r="E7235" s="49" t="str">
        <f>IFERROR(VLOOKUP(D7235,'taxonomy map'!$A$1:$C$107,2,FALSE),"")</f>
        <v/>
      </c>
      <c r="F7235" s="49" t="str">
        <f>IFERROR(VLOOKUP(E7235,'Condensed Specialty Crosswalk'!$A$2:$C$106,2,FALSE),"")</f>
        <v/>
      </c>
      <c r="G7235" s="49" t="str">
        <f>IFERROR(VLOOKUP(E7235,'Condensed Specialty Crosswalk'!$A$2:$C$106,3,FALSE),"")</f>
        <v/>
      </c>
    </row>
    <row r="7236" spans="5:7" ht="15" customHeight="1">
      <c r="E7236" s="49" t="str">
        <f>IFERROR(VLOOKUP(D7236,'taxonomy map'!$A$1:$C$107,2,FALSE),"")</f>
        <v/>
      </c>
      <c r="F7236" s="49" t="str">
        <f>IFERROR(VLOOKUP(E7236,'Condensed Specialty Crosswalk'!$A$2:$C$106,2,FALSE),"")</f>
        <v/>
      </c>
      <c r="G7236" s="49" t="str">
        <f>IFERROR(VLOOKUP(E7236,'Condensed Specialty Crosswalk'!$A$2:$C$106,3,FALSE),"")</f>
        <v/>
      </c>
    </row>
    <row r="7237" spans="5:7" ht="15" customHeight="1">
      <c r="E7237" s="49" t="str">
        <f>IFERROR(VLOOKUP(D7237,'taxonomy map'!$A$1:$C$107,2,FALSE),"")</f>
        <v/>
      </c>
      <c r="F7237" s="49" t="str">
        <f>IFERROR(VLOOKUP(E7237,'Condensed Specialty Crosswalk'!$A$2:$C$106,2,FALSE),"")</f>
        <v/>
      </c>
      <c r="G7237" s="49" t="str">
        <f>IFERROR(VLOOKUP(E7237,'Condensed Specialty Crosswalk'!$A$2:$C$106,3,FALSE),"")</f>
        <v/>
      </c>
    </row>
    <row r="7238" spans="5:7" ht="15" customHeight="1">
      <c r="E7238" s="49" t="str">
        <f>IFERROR(VLOOKUP(D7238,'taxonomy map'!$A$1:$C$107,2,FALSE),"")</f>
        <v/>
      </c>
      <c r="F7238" s="49" t="str">
        <f>IFERROR(VLOOKUP(E7238,'Condensed Specialty Crosswalk'!$A$2:$C$106,2,FALSE),"")</f>
        <v/>
      </c>
      <c r="G7238" s="49" t="str">
        <f>IFERROR(VLOOKUP(E7238,'Condensed Specialty Crosswalk'!$A$2:$C$106,3,FALSE),"")</f>
        <v/>
      </c>
    </row>
    <row r="7239" spans="5:7" ht="15" customHeight="1">
      <c r="E7239" s="49" t="str">
        <f>IFERROR(VLOOKUP(D7239,'taxonomy map'!$A$1:$C$107,2,FALSE),"")</f>
        <v/>
      </c>
      <c r="F7239" s="49" t="str">
        <f>IFERROR(VLOOKUP(E7239,'Condensed Specialty Crosswalk'!$A$2:$C$106,2,FALSE),"")</f>
        <v/>
      </c>
      <c r="G7239" s="49" t="str">
        <f>IFERROR(VLOOKUP(E7239,'Condensed Specialty Crosswalk'!$A$2:$C$106,3,FALSE),"")</f>
        <v/>
      </c>
    </row>
    <row r="7240" spans="5:7" ht="15" customHeight="1">
      <c r="E7240" s="49" t="str">
        <f>IFERROR(VLOOKUP(D7240,'taxonomy map'!$A$1:$C$107,2,FALSE),"")</f>
        <v/>
      </c>
      <c r="F7240" s="49" t="str">
        <f>IFERROR(VLOOKUP(E7240,'Condensed Specialty Crosswalk'!$A$2:$C$106,2,FALSE),"")</f>
        <v/>
      </c>
      <c r="G7240" s="49" t="str">
        <f>IFERROR(VLOOKUP(E7240,'Condensed Specialty Crosswalk'!$A$2:$C$106,3,FALSE),"")</f>
        <v/>
      </c>
    </row>
    <row r="7241" spans="5:7" ht="15" customHeight="1">
      <c r="E7241" s="49" t="str">
        <f>IFERROR(VLOOKUP(D7241,'taxonomy map'!$A$1:$C$107,2,FALSE),"")</f>
        <v/>
      </c>
      <c r="F7241" s="49" t="str">
        <f>IFERROR(VLOOKUP(E7241,'Condensed Specialty Crosswalk'!$A$2:$C$106,2,FALSE),"")</f>
        <v/>
      </c>
      <c r="G7241" s="49" t="str">
        <f>IFERROR(VLOOKUP(E7241,'Condensed Specialty Crosswalk'!$A$2:$C$106,3,FALSE),"")</f>
        <v/>
      </c>
    </row>
    <row r="7242" spans="5:7" ht="15" customHeight="1">
      <c r="E7242" s="49" t="str">
        <f>IFERROR(VLOOKUP(D7242,'taxonomy map'!$A$1:$C$107,2,FALSE),"")</f>
        <v/>
      </c>
      <c r="F7242" s="49" t="str">
        <f>IFERROR(VLOOKUP(E7242,'Condensed Specialty Crosswalk'!$A$2:$C$106,2,FALSE),"")</f>
        <v/>
      </c>
      <c r="G7242" s="49" t="str">
        <f>IFERROR(VLOOKUP(E7242,'Condensed Specialty Crosswalk'!$A$2:$C$106,3,FALSE),"")</f>
        <v/>
      </c>
    </row>
    <row r="7243" spans="5:7" ht="15" customHeight="1">
      <c r="E7243" s="49" t="str">
        <f>IFERROR(VLOOKUP(D7243,'taxonomy map'!$A$1:$C$107,2,FALSE),"")</f>
        <v/>
      </c>
      <c r="F7243" s="49" t="str">
        <f>IFERROR(VLOOKUP(E7243,'Condensed Specialty Crosswalk'!$A$2:$C$106,2,FALSE),"")</f>
        <v/>
      </c>
      <c r="G7243" s="49" t="str">
        <f>IFERROR(VLOOKUP(E7243,'Condensed Specialty Crosswalk'!$A$2:$C$106,3,FALSE),"")</f>
        <v/>
      </c>
    </row>
    <row r="7244" spans="5:7" ht="15" customHeight="1">
      <c r="E7244" s="49" t="str">
        <f>IFERROR(VLOOKUP(D7244,'taxonomy map'!$A$1:$C$107,2,FALSE),"")</f>
        <v/>
      </c>
      <c r="F7244" s="49" t="str">
        <f>IFERROR(VLOOKUP(E7244,'Condensed Specialty Crosswalk'!$A$2:$C$106,2,FALSE),"")</f>
        <v/>
      </c>
      <c r="G7244" s="49" t="str">
        <f>IFERROR(VLOOKUP(E7244,'Condensed Specialty Crosswalk'!$A$2:$C$106,3,FALSE),"")</f>
        <v/>
      </c>
    </row>
    <row r="7245" spans="5:7" ht="15" customHeight="1">
      <c r="E7245" s="49" t="str">
        <f>IFERROR(VLOOKUP(D7245,'taxonomy map'!$A$1:$C$107,2,FALSE),"")</f>
        <v/>
      </c>
      <c r="F7245" s="49" t="str">
        <f>IFERROR(VLOOKUP(E7245,'Condensed Specialty Crosswalk'!$A$2:$C$106,2,FALSE),"")</f>
        <v/>
      </c>
      <c r="G7245" s="49" t="str">
        <f>IFERROR(VLOOKUP(E7245,'Condensed Specialty Crosswalk'!$A$2:$C$106,3,FALSE),"")</f>
        <v/>
      </c>
    </row>
    <row r="7246" spans="5:7" ht="15" customHeight="1">
      <c r="E7246" s="49" t="str">
        <f>IFERROR(VLOOKUP(D7246,'taxonomy map'!$A$1:$C$107,2,FALSE),"")</f>
        <v/>
      </c>
      <c r="F7246" s="49" t="str">
        <f>IFERROR(VLOOKUP(E7246,'Condensed Specialty Crosswalk'!$A$2:$C$106,2,FALSE),"")</f>
        <v/>
      </c>
      <c r="G7246" s="49" t="str">
        <f>IFERROR(VLOOKUP(E7246,'Condensed Specialty Crosswalk'!$A$2:$C$106,3,FALSE),"")</f>
        <v/>
      </c>
    </row>
    <row r="7247" spans="5:7" ht="15" customHeight="1">
      <c r="E7247" s="49" t="str">
        <f>IFERROR(VLOOKUP(D7247,'taxonomy map'!$A$1:$C$107,2,FALSE),"")</f>
        <v/>
      </c>
      <c r="F7247" s="49" t="str">
        <f>IFERROR(VLOOKUP(E7247,'Condensed Specialty Crosswalk'!$A$2:$C$106,2,FALSE),"")</f>
        <v/>
      </c>
      <c r="G7247" s="49" t="str">
        <f>IFERROR(VLOOKUP(E7247,'Condensed Specialty Crosswalk'!$A$2:$C$106,3,FALSE),"")</f>
        <v/>
      </c>
    </row>
    <row r="7248" spans="5:7" ht="15" customHeight="1">
      <c r="E7248" s="49" t="str">
        <f>IFERROR(VLOOKUP(D7248,'taxonomy map'!$A$1:$C$107,2,FALSE),"")</f>
        <v/>
      </c>
      <c r="F7248" s="49" t="str">
        <f>IFERROR(VLOOKUP(E7248,'Condensed Specialty Crosswalk'!$A$2:$C$106,2,FALSE),"")</f>
        <v/>
      </c>
      <c r="G7248" s="49" t="str">
        <f>IFERROR(VLOOKUP(E7248,'Condensed Specialty Crosswalk'!$A$2:$C$106,3,FALSE),"")</f>
        <v/>
      </c>
    </row>
    <row r="7249" spans="5:7" ht="15" customHeight="1">
      <c r="E7249" s="49" t="str">
        <f>IFERROR(VLOOKUP(D7249,'taxonomy map'!$A$1:$C$107,2,FALSE),"")</f>
        <v/>
      </c>
      <c r="F7249" s="49" t="str">
        <f>IFERROR(VLOOKUP(E7249,'Condensed Specialty Crosswalk'!$A$2:$C$106,2,FALSE),"")</f>
        <v/>
      </c>
      <c r="G7249" s="49" t="str">
        <f>IFERROR(VLOOKUP(E7249,'Condensed Specialty Crosswalk'!$A$2:$C$106,3,FALSE),"")</f>
        <v/>
      </c>
    </row>
    <row r="7250" spans="5:7" ht="15" customHeight="1">
      <c r="E7250" s="49" t="str">
        <f>IFERROR(VLOOKUP(D7250,'taxonomy map'!$A$1:$C$107,2,FALSE),"")</f>
        <v/>
      </c>
      <c r="F7250" s="49" t="str">
        <f>IFERROR(VLOOKUP(E7250,'Condensed Specialty Crosswalk'!$A$2:$C$106,2,FALSE),"")</f>
        <v/>
      </c>
      <c r="G7250" s="49" t="str">
        <f>IFERROR(VLOOKUP(E7250,'Condensed Specialty Crosswalk'!$A$2:$C$106,3,FALSE),"")</f>
        <v/>
      </c>
    </row>
    <row r="7251" spans="5:7" ht="15" customHeight="1">
      <c r="E7251" s="49" t="str">
        <f>IFERROR(VLOOKUP(D7251,'taxonomy map'!$A$1:$C$107,2,FALSE),"")</f>
        <v/>
      </c>
      <c r="F7251" s="49" t="str">
        <f>IFERROR(VLOOKUP(E7251,'Condensed Specialty Crosswalk'!$A$2:$C$106,2,FALSE),"")</f>
        <v/>
      </c>
      <c r="G7251" s="49" t="str">
        <f>IFERROR(VLOOKUP(E7251,'Condensed Specialty Crosswalk'!$A$2:$C$106,3,FALSE),"")</f>
        <v/>
      </c>
    </row>
    <row r="7252" spans="5:7" ht="15" customHeight="1">
      <c r="E7252" s="49" t="str">
        <f>IFERROR(VLOOKUP(D7252,'taxonomy map'!$A$1:$C$107,2,FALSE),"")</f>
        <v/>
      </c>
      <c r="F7252" s="49" t="str">
        <f>IFERROR(VLOOKUP(E7252,'Condensed Specialty Crosswalk'!$A$2:$C$106,2,FALSE),"")</f>
        <v/>
      </c>
      <c r="G7252" s="49" t="str">
        <f>IFERROR(VLOOKUP(E7252,'Condensed Specialty Crosswalk'!$A$2:$C$106,3,FALSE),"")</f>
        <v/>
      </c>
    </row>
    <row r="7253" spans="5:7" ht="15" customHeight="1">
      <c r="E7253" s="49" t="str">
        <f>IFERROR(VLOOKUP(D7253,'taxonomy map'!$A$1:$C$107,2,FALSE),"")</f>
        <v/>
      </c>
      <c r="F7253" s="49" t="str">
        <f>IFERROR(VLOOKUP(E7253,'Condensed Specialty Crosswalk'!$A$2:$C$106,2,FALSE),"")</f>
        <v/>
      </c>
      <c r="G7253" s="49" t="str">
        <f>IFERROR(VLOOKUP(E7253,'Condensed Specialty Crosswalk'!$A$2:$C$106,3,FALSE),"")</f>
        <v/>
      </c>
    </row>
    <row r="7254" spans="5:7" ht="15" customHeight="1">
      <c r="E7254" s="49" t="str">
        <f>IFERROR(VLOOKUP(D7254,'taxonomy map'!$A$1:$C$107,2,FALSE),"")</f>
        <v/>
      </c>
      <c r="F7254" s="49" t="str">
        <f>IFERROR(VLOOKUP(E7254,'Condensed Specialty Crosswalk'!$A$2:$C$106,2,FALSE),"")</f>
        <v/>
      </c>
      <c r="G7254" s="49" t="str">
        <f>IFERROR(VLOOKUP(E7254,'Condensed Specialty Crosswalk'!$A$2:$C$106,3,FALSE),"")</f>
        <v/>
      </c>
    </row>
    <row r="7255" spans="5:7" ht="15" customHeight="1">
      <c r="E7255" s="49" t="str">
        <f>IFERROR(VLOOKUP(D7255,'taxonomy map'!$A$1:$C$107,2,FALSE),"")</f>
        <v/>
      </c>
      <c r="F7255" s="49" t="str">
        <f>IFERROR(VLOOKUP(E7255,'Condensed Specialty Crosswalk'!$A$2:$C$106,2,FALSE),"")</f>
        <v/>
      </c>
      <c r="G7255" s="49" t="str">
        <f>IFERROR(VLOOKUP(E7255,'Condensed Specialty Crosswalk'!$A$2:$C$106,3,FALSE),"")</f>
        <v/>
      </c>
    </row>
    <row r="7256" spans="5:7" ht="15" customHeight="1">
      <c r="E7256" s="49" t="str">
        <f>IFERROR(VLOOKUP(D7256,'taxonomy map'!$A$1:$C$107,2,FALSE),"")</f>
        <v/>
      </c>
      <c r="F7256" s="49" t="str">
        <f>IFERROR(VLOOKUP(E7256,'Condensed Specialty Crosswalk'!$A$2:$C$106,2,FALSE),"")</f>
        <v/>
      </c>
      <c r="G7256" s="49" t="str">
        <f>IFERROR(VLOOKUP(E7256,'Condensed Specialty Crosswalk'!$A$2:$C$106,3,FALSE),"")</f>
        <v/>
      </c>
    </row>
    <row r="7257" spans="5:7" ht="15" customHeight="1">
      <c r="E7257" s="49" t="str">
        <f>IFERROR(VLOOKUP(D7257,'taxonomy map'!$A$1:$C$107,2,FALSE),"")</f>
        <v/>
      </c>
      <c r="F7257" s="49" t="str">
        <f>IFERROR(VLOOKUP(E7257,'Condensed Specialty Crosswalk'!$A$2:$C$106,2,FALSE),"")</f>
        <v/>
      </c>
      <c r="G7257" s="49" t="str">
        <f>IFERROR(VLOOKUP(E7257,'Condensed Specialty Crosswalk'!$A$2:$C$106,3,FALSE),"")</f>
        <v/>
      </c>
    </row>
    <row r="7258" spans="5:7" ht="15" customHeight="1">
      <c r="E7258" s="49" t="str">
        <f>IFERROR(VLOOKUP(D7258,'taxonomy map'!$A$1:$C$107,2,FALSE),"")</f>
        <v/>
      </c>
      <c r="F7258" s="49" t="str">
        <f>IFERROR(VLOOKUP(E7258,'Condensed Specialty Crosswalk'!$A$2:$C$106,2,FALSE),"")</f>
        <v/>
      </c>
      <c r="G7258" s="49" t="str">
        <f>IFERROR(VLOOKUP(E7258,'Condensed Specialty Crosswalk'!$A$2:$C$106,3,FALSE),"")</f>
        <v/>
      </c>
    </row>
    <row r="7259" spans="5:7" ht="15" customHeight="1">
      <c r="E7259" s="49" t="str">
        <f>IFERROR(VLOOKUP(D7259,'taxonomy map'!$A$1:$C$107,2,FALSE),"")</f>
        <v/>
      </c>
      <c r="F7259" s="49" t="str">
        <f>IFERROR(VLOOKUP(E7259,'Condensed Specialty Crosswalk'!$A$2:$C$106,2,FALSE),"")</f>
        <v/>
      </c>
      <c r="G7259" s="49" t="str">
        <f>IFERROR(VLOOKUP(E7259,'Condensed Specialty Crosswalk'!$A$2:$C$106,3,FALSE),"")</f>
        <v/>
      </c>
    </row>
    <row r="7260" spans="5:7" ht="15" customHeight="1">
      <c r="E7260" s="49" t="str">
        <f>IFERROR(VLOOKUP(D7260,'taxonomy map'!$A$1:$C$107,2,FALSE),"")</f>
        <v/>
      </c>
      <c r="F7260" s="49" t="str">
        <f>IFERROR(VLOOKUP(E7260,'Condensed Specialty Crosswalk'!$A$2:$C$106,2,FALSE),"")</f>
        <v/>
      </c>
      <c r="G7260" s="49" t="str">
        <f>IFERROR(VLOOKUP(E7260,'Condensed Specialty Crosswalk'!$A$2:$C$106,3,FALSE),"")</f>
        <v/>
      </c>
    </row>
    <row r="7261" spans="5:7" ht="15" customHeight="1">
      <c r="E7261" s="49" t="str">
        <f>IFERROR(VLOOKUP(D7261,'taxonomy map'!$A$1:$C$107,2,FALSE),"")</f>
        <v/>
      </c>
      <c r="F7261" s="49" t="str">
        <f>IFERROR(VLOOKUP(E7261,'Condensed Specialty Crosswalk'!$A$2:$C$106,2,FALSE),"")</f>
        <v/>
      </c>
      <c r="G7261" s="49" t="str">
        <f>IFERROR(VLOOKUP(E7261,'Condensed Specialty Crosswalk'!$A$2:$C$106,3,FALSE),"")</f>
        <v/>
      </c>
    </row>
    <row r="7262" spans="5:7" ht="15" customHeight="1">
      <c r="E7262" s="49" t="str">
        <f>IFERROR(VLOOKUP(D7262,'taxonomy map'!$A$1:$C$107,2,FALSE),"")</f>
        <v/>
      </c>
      <c r="F7262" s="49" t="str">
        <f>IFERROR(VLOOKUP(E7262,'Condensed Specialty Crosswalk'!$A$2:$C$106,2,FALSE),"")</f>
        <v/>
      </c>
      <c r="G7262" s="49" t="str">
        <f>IFERROR(VLOOKUP(E7262,'Condensed Specialty Crosswalk'!$A$2:$C$106,3,FALSE),"")</f>
        <v/>
      </c>
    </row>
    <row r="7263" spans="5:7" ht="15" customHeight="1">
      <c r="E7263" s="49" t="str">
        <f>IFERROR(VLOOKUP(D7263,'taxonomy map'!$A$1:$C$107,2,FALSE),"")</f>
        <v/>
      </c>
      <c r="F7263" s="49" t="str">
        <f>IFERROR(VLOOKUP(E7263,'Condensed Specialty Crosswalk'!$A$2:$C$106,2,FALSE),"")</f>
        <v/>
      </c>
      <c r="G7263" s="49" t="str">
        <f>IFERROR(VLOOKUP(E7263,'Condensed Specialty Crosswalk'!$A$2:$C$106,3,FALSE),"")</f>
        <v/>
      </c>
    </row>
    <row r="7264" spans="5:7" ht="15" customHeight="1">
      <c r="E7264" s="49" t="str">
        <f>IFERROR(VLOOKUP(D7264,'taxonomy map'!$A$1:$C$107,2,FALSE),"")</f>
        <v/>
      </c>
      <c r="F7264" s="49" t="str">
        <f>IFERROR(VLOOKUP(E7264,'Condensed Specialty Crosswalk'!$A$2:$C$106,2,FALSE),"")</f>
        <v/>
      </c>
      <c r="G7264" s="49" t="str">
        <f>IFERROR(VLOOKUP(E7264,'Condensed Specialty Crosswalk'!$A$2:$C$106,3,FALSE),"")</f>
        <v/>
      </c>
    </row>
    <row r="7265" spans="5:7" ht="15" customHeight="1">
      <c r="E7265" s="49" t="str">
        <f>IFERROR(VLOOKUP(D7265,'taxonomy map'!$A$1:$C$107,2,FALSE),"")</f>
        <v/>
      </c>
      <c r="F7265" s="49" t="str">
        <f>IFERROR(VLOOKUP(E7265,'Condensed Specialty Crosswalk'!$A$2:$C$106,2,FALSE),"")</f>
        <v/>
      </c>
      <c r="G7265" s="49" t="str">
        <f>IFERROR(VLOOKUP(E7265,'Condensed Specialty Crosswalk'!$A$2:$C$106,3,FALSE),"")</f>
        <v/>
      </c>
    </row>
    <row r="7266" spans="5:7" ht="15" customHeight="1">
      <c r="E7266" s="49" t="str">
        <f>IFERROR(VLOOKUP(D7266,'taxonomy map'!$A$1:$C$107,2,FALSE),"")</f>
        <v/>
      </c>
      <c r="F7266" s="49" t="str">
        <f>IFERROR(VLOOKUP(E7266,'Condensed Specialty Crosswalk'!$A$2:$C$106,2,FALSE),"")</f>
        <v/>
      </c>
      <c r="G7266" s="49" t="str">
        <f>IFERROR(VLOOKUP(E7266,'Condensed Specialty Crosswalk'!$A$2:$C$106,3,FALSE),"")</f>
        <v/>
      </c>
    </row>
    <row r="7267" spans="5:7" ht="15" customHeight="1">
      <c r="E7267" s="49" t="str">
        <f>IFERROR(VLOOKUP(D7267,'taxonomy map'!$A$1:$C$107,2,FALSE),"")</f>
        <v/>
      </c>
      <c r="F7267" s="49" t="str">
        <f>IFERROR(VLOOKUP(E7267,'Condensed Specialty Crosswalk'!$A$2:$C$106,2,FALSE),"")</f>
        <v/>
      </c>
      <c r="G7267" s="49" t="str">
        <f>IFERROR(VLOOKUP(E7267,'Condensed Specialty Crosswalk'!$A$2:$C$106,3,FALSE),"")</f>
        <v/>
      </c>
    </row>
    <row r="7268" spans="5:7" ht="15" customHeight="1">
      <c r="E7268" s="49" t="str">
        <f>IFERROR(VLOOKUP(D7268,'taxonomy map'!$A$1:$C$107,2,FALSE),"")</f>
        <v/>
      </c>
      <c r="F7268" s="49" t="str">
        <f>IFERROR(VLOOKUP(E7268,'Condensed Specialty Crosswalk'!$A$2:$C$106,2,FALSE),"")</f>
        <v/>
      </c>
      <c r="G7268" s="49" t="str">
        <f>IFERROR(VLOOKUP(E7268,'Condensed Specialty Crosswalk'!$A$2:$C$106,3,FALSE),"")</f>
        <v/>
      </c>
    </row>
    <row r="7269" spans="5:7" ht="15" customHeight="1">
      <c r="E7269" s="49" t="str">
        <f>IFERROR(VLOOKUP(D7269,'taxonomy map'!$A$1:$C$107,2,FALSE),"")</f>
        <v/>
      </c>
      <c r="F7269" s="49" t="str">
        <f>IFERROR(VLOOKUP(E7269,'Condensed Specialty Crosswalk'!$A$2:$C$106,2,FALSE),"")</f>
        <v/>
      </c>
      <c r="G7269" s="49" t="str">
        <f>IFERROR(VLOOKUP(E7269,'Condensed Specialty Crosswalk'!$A$2:$C$106,3,FALSE),"")</f>
        <v/>
      </c>
    </row>
    <row r="7270" spans="5:7" ht="15" customHeight="1">
      <c r="E7270" s="49" t="str">
        <f>IFERROR(VLOOKUP(D7270,'taxonomy map'!$A$1:$C$107,2,FALSE),"")</f>
        <v/>
      </c>
      <c r="F7270" s="49" t="str">
        <f>IFERROR(VLOOKUP(E7270,'Condensed Specialty Crosswalk'!$A$2:$C$106,2,FALSE),"")</f>
        <v/>
      </c>
      <c r="G7270" s="49" t="str">
        <f>IFERROR(VLOOKUP(E7270,'Condensed Specialty Crosswalk'!$A$2:$C$106,3,FALSE),"")</f>
        <v/>
      </c>
    </row>
    <row r="7271" spans="5:7" ht="15" customHeight="1">
      <c r="E7271" s="49" t="str">
        <f>IFERROR(VLOOKUP(D7271,'taxonomy map'!$A$1:$C$107,2,FALSE),"")</f>
        <v/>
      </c>
      <c r="F7271" s="49" t="str">
        <f>IFERROR(VLOOKUP(E7271,'Condensed Specialty Crosswalk'!$A$2:$C$106,2,FALSE),"")</f>
        <v/>
      </c>
      <c r="G7271" s="49" t="str">
        <f>IFERROR(VLOOKUP(E7271,'Condensed Specialty Crosswalk'!$A$2:$C$106,3,FALSE),"")</f>
        <v/>
      </c>
    </row>
    <row r="7272" spans="5:7" ht="15" customHeight="1">
      <c r="E7272" s="49" t="str">
        <f>IFERROR(VLOOKUP(D7272,'taxonomy map'!$A$1:$C$107,2,FALSE),"")</f>
        <v/>
      </c>
      <c r="F7272" s="49" t="str">
        <f>IFERROR(VLOOKUP(E7272,'Condensed Specialty Crosswalk'!$A$2:$C$106,2,FALSE),"")</f>
        <v/>
      </c>
      <c r="G7272" s="49" t="str">
        <f>IFERROR(VLOOKUP(E7272,'Condensed Specialty Crosswalk'!$A$2:$C$106,3,FALSE),"")</f>
        <v/>
      </c>
    </row>
    <row r="7273" spans="5:7" ht="15" customHeight="1">
      <c r="E7273" s="49" t="str">
        <f>IFERROR(VLOOKUP(D7273,'taxonomy map'!$A$1:$C$107,2,FALSE),"")</f>
        <v/>
      </c>
      <c r="F7273" s="49" t="str">
        <f>IFERROR(VLOOKUP(E7273,'Condensed Specialty Crosswalk'!$A$2:$C$106,2,FALSE),"")</f>
        <v/>
      </c>
      <c r="G7273" s="49" t="str">
        <f>IFERROR(VLOOKUP(E7273,'Condensed Specialty Crosswalk'!$A$2:$C$106,3,FALSE),"")</f>
        <v/>
      </c>
    </row>
    <row r="7274" spans="5:7" ht="15" customHeight="1">
      <c r="E7274" s="49" t="str">
        <f>IFERROR(VLOOKUP(D7274,'taxonomy map'!$A$1:$C$107,2,FALSE),"")</f>
        <v/>
      </c>
      <c r="F7274" s="49" t="str">
        <f>IFERROR(VLOOKUP(E7274,'Condensed Specialty Crosswalk'!$A$2:$C$106,2,FALSE),"")</f>
        <v/>
      </c>
      <c r="G7274" s="49" t="str">
        <f>IFERROR(VLOOKUP(E7274,'Condensed Specialty Crosswalk'!$A$2:$C$106,3,FALSE),"")</f>
        <v/>
      </c>
    </row>
    <row r="7275" spans="5:7" ht="15" customHeight="1">
      <c r="E7275" s="49" t="str">
        <f>IFERROR(VLOOKUP(D7275,'taxonomy map'!$A$1:$C$107,2,FALSE),"")</f>
        <v/>
      </c>
      <c r="F7275" s="49" t="str">
        <f>IFERROR(VLOOKUP(E7275,'Condensed Specialty Crosswalk'!$A$2:$C$106,2,FALSE),"")</f>
        <v/>
      </c>
      <c r="G7275" s="49" t="str">
        <f>IFERROR(VLOOKUP(E7275,'Condensed Specialty Crosswalk'!$A$2:$C$106,3,FALSE),"")</f>
        <v/>
      </c>
    </row>
    <row r="7276" spans="5:7" ht="15" customHeight="1">
      <c r="E7276" s="49" t="str">
        <f>IFERROR(VLOOKUP(D7276,'taxonomy map'!$A$1:$C$107,2,FALSE),"")</f>
        <v/>
      </c>
      <c r="F7276" s="49" t="str">
        <f>IFERROR(VLOOKUP(E7276,'Condensed Specialty Crosswalk'!$A$2:$C$106,2,FALSE),"")</f>
        <v/>
      </c>
      <c r="G7276" s="49" t="str">
        <f>IFERROR(VLOOKUP(E7276,'Condensed Specialty Crosswalk'!$A$2:$C$106,3,FALSE),"")</f>
        <v/>
      </c>
    </row>
    <row r="7277" spans="5:7" ht="15" customHeight="1">
      <c r="E7277" s="49" t="str">
        <f>IFERROR(VLOOKUP(D7277,'taxonomy map'!$A$1:$C$107,2,FALSE),"")</f>
        <v/>
      </c>
      <c r="F7277" s="49" t="str">
        <f>IFERROR(VLOOKUP(E7277,'Condensed Specialty Crosswalk'!$A$2:$C$106,2,FALSE),"")</f>
        <v/>
      </c>
      <c r="G7277" s="49" t="str">
        <f>IFERROR(VLOOKUP(E7277,'Condensed Specialty Crosswalk'!$A$2:$C$106,3,FALSE),"")</f>
        <v/>
      </c>
    </row>
    <row r="7278" spans="5:7" ht="15" customHeight="1">
      <c r="E7278" s="49" t="str">
        <f>IFERROR(VLOOKUP(D7278,'taxonomy map'!$A$1:$C$107,2,FALSE),"")</f>
        <v/>
      </c>
      <c r="F7278" s="49" t="str">
        <f>IFERROR(VLOOKUP(E7278,'Condensed Specialty Crosswalk'!$A$2:$C$106,2,FALSE),"")</f>
        <v/>
      </c>
      <c r="G7278" s="49" t="str">
        <f>IFERROR(VLOOKUP(E7278,'Condensed Specialty Crosswalk'!$A$2:$C$106,3,FALSE),"")</f>
        <v/>
      </c>
    </row>
    <row r="7279" spans="5:7" ht="15" customHeight="1">
      <c r="E7279" s="49" t="str">
        <f>IFERROR(VLOOKUP(D7279,'taxonomy map'!$A$1:$C$107,2,FALSE),"")</f>
        <v/>
      </c>
      <c r="F7279" s="49" t="str">
        <f>IFERROR(VLOOKUP(E7279,'Condensed Specialty Crosswalk'!$A$2:$C$106,2,FALSE),"")</f>
        <v/>
      </c>
      <c r="G7279" s="49" t="str">
        <f>IFERROR(VLOOKUP(E7279,'Condensed Specialty Crosswalk'!$A$2:$C$106,3,FALSE),"")</f>
        <v/>
      </c>
    </row>
    <row r="7280" spans="5:7" ht="15" customHeight="1">
      <c r="E7280" s="49" t="str">
        <f>IFERROR(VLOOKUP(D7280,'taxonomy map'!$A$1:$C$107,2,FALSE),"")</f>
        <v/>
      </c>
      <c r="F7280" s="49" t="str">
        <f>IFERROR(VLOOKUP(E7280,'Condensed Specialty Crosswalk'!$A$2:$C$106,2,FALSE),"")</f>
        <v/>
      </c>
      <c r="G7280" s="49" t="str">
        <f>IFERROR(VLOOKUP(E7280,'Condensed Specialty Crosswalk'!$A$2:$C$106,3,FALSE),"")</f>
        <v/>
      </c>
    </row>
    <row r="7281" spans="5:7" ht="15" customHeight="1">
      <c r="E7281" s="49" t="str">
        <f>IFERROR(VLOOKUP(D7281,'taxonomy map'!$A$1:$C$107,2,FALSE),"")</f>
        <v/>
      </c>
      <c r="F7281" s="49" t="str">
        <f>IFERROR(VLOOKUP(E7281,'Condensed Specialty Crosswalk'!$A$2:$C$106,2,FALSE),"")</f>
        <v/>
      </c>
      <c r="G7281" s="49" t="str">
        <f>IFERROR(VLOOKUP(E7281,'Condensed Specialty Crosswalk'!$A$2:$C$106,3,FALSE),"")</f>
        <v/>
      </c>
    </row>
    <row r="7282" spans="5:7" ht="15" customHeight="1">
      <c r="E7282" s="49" t="str">
        <f>IFERROR(VLOOKUP(D7282,'taxonomy map'!$A$1:$C$107,2,FALSE),"")</f>
        <v/>
      </c>
      <c r="F7282" s="49" t="str">
        <f>IFERROR(VLOOKUP(E7282,'Condensed Specialty Crosswalk'!$A$2:$C$106,2,FALSE),"")</f>
        <v/>
      </c>
      <c r="G7282" s="49" t="str">
        <f>IFERROR(VLOOKUP(E7282,'Condensed Specialty Crosswalk'!$A$2:$C$106,3,FALSE),"")</f>
        <v/>
      </c>
    </row>
    <row r="7283" spans="5:7" ht="15" customHeight="1">
      <c r="E7283" s="49" t="str">
        <f>IFERROR(VLOOKUP(D7283,'taxonomy map'!$A$1:$C$107,2,FALSE),"")</f>
        <v/>
      </c>
      <c r="F7283" s="49" t="str">
        <f>IFERROR(VLOOKUP(E7283,'Condensed Specialty Crosswalk'!$A$2:$C$106,2,FALSE),"")</f>
        <v/>
      </c>
      <c r="G7283" s="49" t="str">
        <f>IFERROR(VLOOKUP(E7283,'Condensed Specialty Crosswalk'!$A$2:$C$106,3,FALSE),"")</f>
        <v/>
      </c>
    </row>
    <row r="7284" spans="5:7" ht="15" customHeight="1">
      <c r="E7284" s="49" t="str">
        <f>IFERROR(VLOOKUP(D7284,'taxonomy map'!$A$1:$C$107,2,FALSE),"")</f>
        <v/>
      </c>
      <c r="F7284" s="49" t="str">
        <f>IFERROR(VLOOKUP(E7284,'Condensed Specialty Crosswalk'!$A$2:$C$106,2,FALSE),"")</f>
        <v/>
      </c>
      <c r="G7284" s="49" t="str">
        <f>IFERROR(VLOOKUP(E7284,'Condensed Specialty Crosswalk'!$A$2:$C$106,3,FALSE),"")</f>
        <v/>
      </c>
    </row>
    <row r="7285" spans="5:7" ht="15" customHeight="1">
      <c r="E7285" s="49" t="str">
        <f>IFERROR(VLOOKUP(D7285,'taxonomy map'!$A$1:$C$107,2,FALSE),"")</f>
        <v/>
      </c>
      <c r="F7285" s="49" t="str">
        <f>IFERROR(VLOOKUP(E7285,'Condensed Specialty Crosswalk'!$A$2:$C$106,2,FALSE),"")</f>
        <v/>
      </c>
      <c r="G7285" s="49" t="str">
        <f>IFERROR(VLOOKUP(E7285,'Condensed Specialty Crosswalk'!$A$2:$C$106,3,FALSE),"")</f>
        <v/>
      </c>
    </row>
    <row r="7286" spans="5:7" ht="15" customHeight="1">
      <c r="E7286" s="49" t="str">
        <f>IFERROR(VLOOKUP(D7286,'taxonomy map'!$A$1:$C$107,2,FALSE),"")</f>
        <v/>
      </c>
      <c r="F7286" s="49" t="str">
        <f>IFERROR(VLOOKUP(E7286,'Condensed Specialty Crosswalk'!$A$2:$C$106,2,FALSE),"")</f>
        <v/>
      </c>
      <c r="G7286" s="49" t="str">
        <f>IFERROR(VLOOKUP(E7286,'Condensed Specialty Crosswalk'!$A$2:$C$106,3,FALSE),"")</f>
        <v/>
      </c>
    </row>
    <row r="7287" spans="5:7" ht="15" customHeight="1">
      <c r="E7287" s="49" t="str">
        <f>IFERROR(VLOOKUP(D7287,'taxonomy map'!$A$1:$C$107,2,FALSE),"")</f>
        <v/>
      </c>
      <c r="F7287" s="49" t="str">
        <f>IFERROR(VLOOKUP(E7287,'Condensed Specialty Crosswalk'!$A$2:$C$106,2,FALSE),"")</f>
        <v/>
      </c>
      <c r="G7287" s="49" t="str">
        <f>IFERROR(VLOOKUP(E7287,'Condensed Specialty Crosswalk'!$A$2:$C$106,3,FALSE),"")</f>
        <v/>
      </c>
    </row>
    <row r="7288" spans="5:7" ht="15" customHeight="1">
      <c r="E7288" s="49" t="str">
        <f>IFERROR(VLOOKUP(D7288,'taxonomy map'!$A$1:$C$107,2,FALSE),"")</f>
        <v/>
      </c>
      <c r="F7288" s="49" t="str">
        <f>IFERROR(VLOOKUP(E7288,'Condensed Specialty Crosswalk'!$A$2:$C$106,2,FALSE),"")</f>
        <v/>
      </c>
      <c r="G7288" s="49" t="str">
        <f>IFERROR(VLOOKUP(E7288,'Condensed Specialty Crosswalk'!$A$2:$C$106,3,FALSE),"")</f>
        <v/>
      </c>
    </row>
    <row r="7289" spans="5:7" ht="15" customHeight="1">
      <c r="E7289" s="49" t="str">
        <f>IFERROR(VLOOKUP(D7289,'taxonomy map'!$A$1:$C$107,2,FALSE),"")</f>
        <v/>
      </c>
      <c r="F7289" s="49" t="str">
        <f>IFERROR(VLOOKUP(E7289,'Condensed Specialty Crosswalk'!$A$2:$C$106,2,FALSE),"")</f>
        <v/>
      </c>
      <c r="G7289" s="49" t="str">
        <f>IFERROR(VLOOKUP(E7289,'Condensed Specialty Crosswalk'!$A$2:$C$106,3,FALSE),"")</f>
        <v/>
      </c>
    </row>
    <row r="7290" spans="5:7" ht="15" customHeight="1">
      <c r="E7290" s="49" t="str">
        <f>IFERROR(VLOOKUP(D7290,'taxonomy map'!$A$1:$C$107,2,FALSE),"")</f>
        <v/>
      </c>
      <c r="F7290" s="49" t="str">
        <f>IFERROR(VLOOKUP(E7290,'Condensed Specialty Crosswalk'!$A$2:$C$106,2,FALSE),"")</f>
        <v/>
      </c>
      <c r="G7290" s="49" t="str">
        <f>IFERROR(VLOOKUP(E7290,'Condensed Specialty Crosswalk'!$A$2:$C$106,3,FALSE),"")</f>
        <v/>
      </c>
    </row>
    <row r="7291" spans="5:7" ht="15" customHeight="1">
      <c r="E7291" s="49" t="str">
        <f>IFERROR(VLOOKUP(D7291,'taxonomy map'!$A$1:$C$107,2,FALSE),"")</f>
        <v/>
      </c>
      <c r="F7291" s="49" t="str">
        <f>IFERROR(VLOOKUP(E7291,'Condensed Specialty Crosswalk'!$A$2:$C$106,2,FALSE),"")</f>
        <v/>
      </c>
      <c r="G7291" s="49" t="str">
        <f>IFERROR(VLOOKUP(E7291,'Condensed Specialty Crosswalk'!$A$2:$C$106,3,FALSE),"")</f>
        <v/>
      </c>
    </row>
    <row r="7292" spans="5:7" ht="15" customHeight="1">
      <c r="E7292" s="49" t="str">
        <f>IFERROR(VLOOKUP(D7292,'taxonomy map'!$A$1:$C$107,2,FALSE),"")</f>
        <v/>
      </c>
      <c r="F7292" s="49" t="str">
        <f>IFERROR(VLOOKUP(E7292,'Condensed Specialty Crosswalk'!$A$2:$C$106,2,FALSE),"")</f>
        <v/>
      </c>
      <c r="G7292" s="49" t="str">
        <f>IFERROR(VLOOKUP(E7292,'Condensed Specialty Crosswalk'!$A$2:$C$106,3,FALSE),"")</f>
        <v/>
      </c>
    </row>
    <row r="7293" spans="5:7" ht="15" customHeight="1">
      <c r="E7293" s="49" t="str">
        <f>IFERROR(VLOOKUP(D7293,'taxonomy map'!$A$1:$C$107,2,FALSE),"")</f>
        <v/>
      </c>
      <c r="F7293" s="49" t="str">
        <f>IFERROR(VLOOKUP(E7293,'Condensed Specialty Crosswalk'!$A$2:$C$106,2,FALSE),"")</f>
        <v/>
      </c>
      <c r="G7293" s="49" t="str">
        <f>IFERROR(VLOOKUP(E7293,'Condensed Specialty Crosswalk'!$A$2:$C$106,3,FALSE),"")</f>
        <v/>
      </c>
    </row>
    <row r="7294" spans="5:7" ht="15" customHeight="1">
      <c r="E7294" s="49" t="str">
        <f>IFERROR(VLOOKUP(D7294,'taxonomy map'!$A$1:$C$107,2,FALSE),"")</f>
        <v/>
      </c>
      <c r="F7294" s="49" t="str">
        <f>IFERROR(VLOOKUP(E7294,'Condensed Specialty Crosswalk'!$A$2:$C$106,2,FALSE),"")</f>
        <v/>
      </c>
      <c r="G7294" s="49" t="str">
        <f>IFERROR(VLOOKUP(E7294,'Condensed Specialty Crosswalk'!$A$2:$C$106,3,FALSE),"")</f>
        <v/>
      </c>
    </row>
    <row r="7295" spans="5:7" ht="15" customHeight="1">
      <c r="E7295" s="49" t="str">
        <f>IFERROR(VLOOKUP(D7295,'taxonomy map'!$A$1:$C$107,2,FALSE),"")</f>
        <v/>
      </c>
      <c r="F7295" s="49" t="str">
        <f>IFERROR(VLOOKUP(E7295,'Condensed Specialty Crosswalk'!$A$2:$C$106,2,FALSE),"")</f>
        <v/>
      </c>
      <c r="G7295" s="49" t="str">
        <f>IFERROR(VLOOKUP(E7295,'Condensed Specialty Crosswalk'!$A$2:$C$106,3,FALSE),"")</f>
        <v/>
      </c>
    </row>
    <row r="7296" spans="5:7" ht="15" customHeight="1">
      <c r="E7296" s="49" t="str">
        <f>IFERROR(VLOOKUP(D7296,'taxonomy map'!$A$1:$C$107,2,FALSE),"")</f>
        <v/>
      </c>
      <c r="F7296" s="49" t="str">
        <f>IFERROR(VLOOKUP(E7296,'Condensed Specialty Crosswalk'!$A$2:$C$106,2,FALSE),"")</f>
        <v/>
      </c>
      <c r="G7296" s="49" t="str">
        <f>IFERROR(VLOOKUP(E7296,'Condensed Specialty Crosswalk'!$A$2:$C$106,3,FALSE),"")</f>
        <v/>
      </c>
    </row>
    <row r="7297" spans="5:7" ht="15" customHeight="1">
      <c r="E7297" s="49" t="str">
        <f>IFERROR(VLOOKUP(D7297,'taxonomy map'!$A$1:$C$107,2,FALSE),"")</f>
        <v/>
      </c>
      <c r="F7297" s="49" t="str">
        <f>IFERROR(VLOOKUP(E7297,'Condensed Specialty Crosswalk'!$A$2:$C$106,2,FALSE),"")</f>
        <v/>
      </c>
      <c r="G7297" s="49" t="str">
        <f>IFERROR(VLOOKUP(E7297,'Condensed Specialty Crosswalk'!$A$2:$C$106,3,FALSE),"")</f>
        <v/>
      </c>
    </row>
    <row r="7298" spans="5:7" ht="15" customHeight="1">
      <c r="E7298" s="49" t="str">
        <f>IFERROR(VLOOKUP(D7298,'taxonomy map'!$A$1:$C$107,2,FALSE),"")</f>
        <v/>
      </c>
      <c r="F7298" s="49" t="str">
        <f>IFERROR(VLOOKUP(E7298,'Condensed Specialty Crosswalk'!$A$2:$C$106,2,FALSE),"")</f>
        <v/>
      </c>
      <c r="G7298" s="49" t="str">
        <f>IFERROR(VLOOKUP(E7298,'Condensed Specialty Crosswalk'!$A$2:$C$106,3,FALSE),"")</f>
        <v/>
      </c>
    </row>
    <row r="7299" spans="5:7" ht="15" customHeight="1">
      <c r="E7299" s="49" t="str">
        <f>IFERROR(VLOOKUP(D7299,'taxonomy map'!$A$1:$C$107,2,FALSE),"")</f>
        <v/>
      </c>
      <c r="F7299" s="49" t="str">
        <f>IFERROR(VLOOKUP(E7299,'Condensed Specialty Crosswalk'!$A$2:$C$106,2,FALSE),"")</f>
        <v/>
      </c>
      <c r="G7299" s="49" t="str">
        <f>IFERROR(VLOOKUP(E7299,'Condensed Specialty Crosswalk'!$A$2:$C$106,3,FALSE),"")</f>
        <v/>
      </c>
    </row>
    <row r="7300" spans="5:7" ht="15" customHeight="1">
      <c r="E7300" s="49" t="str">
        <f>IFERROR(VLOOKUP(D7300,'taxonomy map'!$A$1:$C$107,2,FALSE),"")</f>
        <v/>
      </c>
      <c r="F7300" s="49" t="str">
        <f>IFERROR(VLOOKUP(E7300,'Condensed Specialty Crosswalk'!$A$2:$C$106,2,FALSE),"")</f>
        <v/>
      </c>
      <c r="G7300" s="49" t="str">
        <f>IFERROR(VLOOKUP(E7300,'Condensed Specialty Crosswalk'!$A$2:$C$106,3,FALSE),"")</f>
        <v/>
      </c>
    </row>
    <row r="7301" spans="5:7" ht="15" customHeight="1">
      <c r="E7301" s="49" t="str">
        <f>IFERROR(VLOOKUP(D7301,'taxonomy map'!$A$1:$C$107,2,FALSE),"")</f>
        <v/>
      </c>
      <c r="F7301" s="49" t="str">
        <f>IFERROR(VLOOKUP(E7301,'Condensed Specialty Crosswalk'!$A$2:$C$106,2,FALSE),"")</f>
        <v/>
      </c>
      <c r="G7301" s="49" t="str">
        <f>IFERROR(VLOOKUP(E7301,'Condensed Specialty Crosswalk'!$A$2:$C$106,3,FALSE),"")</f>
        <v/>
      </c>
    </row>
    <row r="7302" spans="5:7" ht="15" customHeight="1">
      <c r="E7302" s="49" t="str">
        <f>IFERROR(VLOOKUP(D7302,'taxonomy map'!$A$1:$C$107,2,FALSE),"")</f>
        <v/>
      </c>
      <c r="F7302" s="49" t="str">
        <f>IFERROR(VLOOKUP(E7302,'Condensed Specialty Crosswalk'!$A$2:$C$106,2,FALSE),"")</f>
        <v/>
      </c>
      <c r="G7302" s="49" t="str">
        <f>IFERROR(VLOOKUP(E7302,'Condensed Specialty Crosswalk'!$A$2:$C$106,3,FALSE),"")</f>
        <v/>
      </c>
    </row>
    <row r="7303" spans="5:7" ht="15" customHeight="1">
      <c r="E7303" s="49" t="str">
        <f>IFERROR(VLOOKUP(D7303,'taxonomy map'!$A$1:$C$107,2,FALSE),"")</f>
        <v/>
      </c>
      <c r="F7303" s="49" t="str">
        <f>IFERROR(VLOOKUP(E7303,'Condensed Specialty Crosswalk'!$A$2:$C$106,2,FALSE),"")</f>
        <v/>
      </c>
      <c r="G7303" s="49" t="str">
        <f>IFERROR(VLOOKUP(E7303,'Condensed Specialty Crosswalk'!$A$2:$C$106,3,FALSE),"")</f>
        <v/>
      </c>
    </row>
    <row r="7304" spans="5:7" ht="15" customHeight="1">
      <c r="E7304" s="49" t="str">
        <f>IFERROR(VLOOKUP(D7304,'taxonomy map'!$A$1:$C$107,2,FALSE),"")</f>
        <v/>
      </c>
      <c r="F7304" s="49" t="str">
        <f>IFERROR(VLOOKUP(E7304,'Condensed Specialty Crosswalk'!$A$2:$C$106,2,FALSE),"")</f>
        <v/>
      </c>
      <c r="G7304" s="49" t="str">
        <f>IFERROR(VLOOKUP(E7304,'Condensed Specialty Crosswalk'!$A$2:$C$106,3,FALSE),"")</f>
        <v/>
      </c>
    </row>
    <row r="7305" spans="5:7" ht="15" customHeight="1">
      <c r="E7305" s="49" t="str">
        <f>IFERROR(VLOOKUP(D7305,'taxonomy map'!$A$1:$C$107,2,FALSE),"")</f>
        <v/>
      </c>
      <c r="F7305" s="49" t="str">
        <f>IFERROR(VLOOKUP(E7305,'Condensed Specialty Crosswalk'!$A$2:$C$106,2,FALSE),"")</f>
        <v/>
      </c>
      <c r="G7305" s="49" t="str">
        <f>IFERROR(VLOOKUP(E7305,'Condensed Specialty Crosswalk'!$A$2:$C$106,3,FALSE),"")</f>
        <v/>
      </c>
    </row>
    <row r="7306" spans="5:7" ht="15" customHeight="1">
      <c r="E7306" s="49" t="str">
        <f>IFERROR(VLOOKUP(D7306,'taxonomy map'!$A$1:$C$107,2,FALSE),"")</f>
        <v/>
      </c>
      <c r="F7306" s="49" t="str">
        <f>IFERROR(VLOOKUP(E7306,'Condensed Specialty Crosswalk'!$A$2:$C$106,2,FALSE),"")</f>
        <v/>
      </c>
      <c r="G7306" s="49" t="str">
        <f>IFERROR(VLOOKUP(E7306,'Condensed Specialty Crosswalk'!$A$2:$C$106,3,FALSE),"")</f>
        <v/>
      </c>
    </row>
    <row r="7307" spans="5:7" ht="15" customHeight="1">
      <c r="E7307" s="49" t="str">
        <f>IFERROR(VLOOKUP(D7307,'taxonomy map'!$A$1:$C$107,2,FALSE),"")</f>
        <v/>
      </c>
      <c r="F7307" s="49" t="str">
        <f>IFERROR(VLOOKUP(E7307,'Condensed Specialty Crosswalk'!$A$2:$C$106,2,FALSE),"")</f>
        <v/>
      </c>
      <c r="G7307" s="49" t="str">
        <f>IFERROR(VLOOKUP(E7307,'Condensed Specialty Crosswalk'!$A$2:$C$106,3,FALSE),"")</f>
        <v/>
      </c>
    </row>
    <row r="7308" spans="5:7" ht="15" customHeight="1">
      <c r="E7308" s="49" t="str">
        <f>IFERROR(VLOOKUP(D7308,'taxonomy map'!$A$1:$C$107,2,FALSE),"")</f>
        <v/>
      </c>
      <c r="F7308" s="49" t="str">
        <f>IFERROR(VLOOKUP(E7308,'Condensed Specialty Crosswalk'!$A$2:$C$106,2,FALSE),"")</f>
        <v/>
      </c>
      <c r="G7308" s="49" t="str">
        <f>IFERROR(VLOOKUP(E7308,'Condensed Specialty Crosswalk'!$A$2:$C$106,3,FALSE),"")</f>
        <v/>
      </c>
    </row>
    <row r="7309" spans="5:7" ht="15" customHeight="1">
      <c r="E7309" s="49" t="str">
        <f>IFERROR(VLOOKUP(D7309,'taxonomy map'!$A$1:$C$107,2,FALSE),"")</f>
        <v/>
      </c>
      <c r="F7309" s="49" t="str">
        <f>IFERROR(VLOOKUP(E7309,'Condensed Specialty Crosswalk'!$A$2:$C$106,2,FALSE),"")</f>
        <v/>
      </c>
      <c r="G7309" s="49" t="str">
        <f>IFERROR(VLOOKUP(E7309,'Condensed Specialty Crosswalk'!$A$2:$C$106,3,FALSE),"")</f>
        <v/>
      </c>
    </row>
    <row r="7310" spans="5:7" ht="15" customHeight="1">
      <c r="E7310" s="49" t="str">
        <f>IFERROR(VLOOKUP(D7310,'taxonomy map'!$A$1:$C$107,2,FALSE),"")</f>
        <v/>
      </c>
      <c r="F7310" s="49" t="str">
        <f>IFERROR(VLOOKUP(E7310,'Condensed Specialty Crosswalk'!$A$2:$C$106,2,FALSE),"")</f>
        <v/>
      </c>
      <c r="G7310" s="49" t="str">
        <f>IFERROR(VLOOKUP(E7310,'Condensed Specialty Crosswalk'!$A$2:$C$106,3,FALSE),"")</f>
        <v/>
      </c>
    </row>
    <row r="7311" spans="5:7" ht="15" customHeight="1">
      <c r="E7311" s="49" t="str">
        <f>IFERROR(VLOOKUP(D7311,'taxonomy map'!$A$1:$C$107,2,FALSE),"")</f>
        <v/>
      </c>
      <c r="F7311" s="49" t="str">
        <f>IFERROR(VLOOKUP(E7311,'Condensed Specialty Crosswalk'!$A$2:$C$106,2,FALSE),"")</f>
        <v/>
      </c>
      <c r="G7311" s="49" t="str">
        <f>IFERROR(VLOOKUP(E7311,'Condensed Specialty Crosswalk'!$A$2:$C$106,3,FALSE),"")</f>
        <v/>
      </c>
    </row>
    <row r="7312" spans="5:7" ht="15" customHeight="1">
      <c r="E7312" s="49" t="str">
        <f>IFERROR(VLOOKUP(D7312,'taxonomy map'!$A$1:$C$107,2,FALSE),"")</f>
        <v/>
      </c>
      <c r="F7312" s="49" t="str">
        <f>IFERROR(VLOOKUP(E7312,'Condensed Specialty Crosswalk'!$A$2:$C$106,2,FALSE),"")</f>
        <v/>
      </c>
      <c r="G7312" s="49" t="str">
        <f>IFERROR(VLOOKUP(E7312,'Condensed Specialty Crosswalk'!$A$2:$C$106,3,FALSE),"")</f>
        <v/>
      </c>
    </row>
    <row r="7313" spans="5:7" ht="15" customHeight="1">
      <c r="E7313" s="49" t="str">
        <f>IFERROR(VLOOKUP(D7313,'taxonomy map'!$A$1:$C$107,2,FALSE),"")</f>
        <v/>
      </c>
      <c r="F7313" s="49" t="str">
        <f>IFERROR(VLOOKUP(E7313,'Condensed Specialty Crosswalk'!$A$2:$C$106,2,FALSE),"")</f>
        <v/>
      </c>
      <c r="G7313" s="49" t="str">
        <f>IFERROR(VLOOKUP(E7313,'Condensed Specialty Crosswalk'!$A$2:$C$106,3,FALSE),"")</f>
        <v/>
      </c>
    </row>
    <row r="7314" spans="5:7" ht="15" customHeight="1">
      <c r="E7314" s="49" t="str">
        <f>IFERROR(VLOOKUP(D7314,'taxonomy map'!$A$1:$C$107,2,FALSE),"")</f>
        <v/>
      </c>
      <c r="F7314" s="49" t="str">
        <f>IFERROR(VLOOKUP(E7314,'Condensed Specialty Crosswalk'!$A$2:$C$106,2,FALSE),"")</f>
        <v/>
      </c>
      <c r="G7314" s="49" t="str">
        <f>IFERROR(VLOOKUP(E7314,'Condensed Specialty Crosswalk'!$A$2:$C$106,3,FALSE),"")</f>
        <v/>
      </c>
    </row>
    <row r="7315" spans="5:7" ht="15" customHeight="1">
      <c r="E7315" s="49" t="str">
        <f>IFERROR(VLOOKUP(D7315,'taxonomy map'!$A$1:$C$107,2,FALSE),"")</f>
        <v/>
      </c>
      <c r="F7315" s="49" t="str">
        <f>IFERROR(VLOOKUP(E7315,'Condensed Specialty Crosswalk'!$A$2:$C$106,2,FALSE),"")</f>
        <v/>
      </c>
      <c r="G7315" s="49" t="str">
        <f>IFERROR(VLOOKUP(E7315,'Condensed Specialty Crosswalk'!$A$2:$C$106,3,FALSE),"")</f>
        <v/>
      </c>
    </row>
    <row r="7316" spans="5:7" ht="15" customHeight="1">
      <c r="E7316" s="49" t="str">
        <f>IFERROR(VLOOKUP(D7316,'taxonomy map'!$A$1:$C$107,2,FALSE),"")</f>
        <v/>
      </c>
      <c r="F7316" s="49" t="str">
        <f>IFERROR(VLOOKUP(E7316,'Condensed Specialty Crosswalk'!$A$2:$C$106,2,FALSE),"")</f>
        <v/>
      </c>
      <c r="G7316" s="49" t="str">
        <f>IFERROR(VLOOKUP(E7316,'Condensed Specialty Crosswalk'!$A$2:$C$106,3,FALSE),"")</f>
        <v/>
      </c>
    </row>
    <row r="7317" spans="5:7" ht="15" customHeight="1">
      <c r="E7317" s="49" t="str">
        <f>IFERROR(VLOOKUP(D7317,'taxonomy map'!$A$1:$C$107,2,FALSE),"")</f>
        <v/>
      </c>
      <c r="F7317" s="49" t="str">
        <f>IFERROR(VLOOKUP(E7317,'Condensed Specialty Crosswalk'!$A$2:$C$106,2,FALSE),"")</f>
        <v/>
      </c>
      <c r="G7317" s="49" t="str">
        <f>IFERROR(VLOOKUP(E7317,'Condensed Specialty Crosswalk'!$A$2:$C$106,3,FALSE),"")</f>
        <v/>
      </c>
    </row>
    <row r="7318" spans="5:7" ht="15" customHeight="1">
      <c r="E7318" s="49" t="str">
        <f>IFERROR(VLOOKUP(D7318,'taxonomy map'!$A$1:$C$107,2,FALSE),"")</f>
        <v/>
      </c>
      <c r="F7318" s="49" t="str">
        <f>IFERROR(VLOOKUP(E7318,'Condensed Specialty Crosswalk'!$A$2:$C$106,2,FALSE),"")</f>
        <v/>
      </c>
      <c r="G7318" s="49" t="str">
        <f>IFERROR(VLOOKUP(E7318,'Condensed Specialty Crosswalk'!$A$2:$C$106,3,FALSE),"")</f>
        <v/>
      </c>
    </row>
    <row r="7319" spans="5:7" ht="15" customHeight="1">
      <c r="E7319" s="49" t="str">
        <f>IFERROR(VLOOKUP(D7319,'taxonomy map'!$A$1:$C$107,2,FALSE),"")</f>
        <v/>
      </c>
      <c r="F7319" s="49" t="str">
        <f>IFERROR(VLOOKUP(E7319,'Condensed Specialty Crosswalk'!$A$2:$C$106,2,FALSE),"")</f>
        <v/>
      </c>
      <c r="G7319" s="49" t="str">
        <f>IFERROR(VLOOKUP(E7319,'Condensed Specialty Crosswalk'!$A$2:$C$106,3,FALSE),"")</f>
        <v/>
      </c>
    </row>
    <row r="7320" spans="5:7" ht="15" customHeight="1">
      <c r="E7320" s="49" t="str">
        <f>IFERROR(VLOOKUP(D7320,'taxonomy map'!$A$1:$C$107,2,FALSE),"")</f>
        <v/>
      </c>
      <c r="F7320" s="49" t="str">
        <f>IFERROR(VLOOKUP(E7320,'Condensed Specialty Crosswalk'!$A$2:$C$106,2,FALSE),"")</f>
        <v/>
      </c>
      <c r="G7320" s="49" t="str">
        <f>IFERROR(VLOOKUP(E7320,'Condensed Specialty Crosswalk'!$A$2:$C$106,3,FALSE),"")</f>
        <v/>
      </c>
    </row>
    <row r="7321" spans="5:7" ht="15" customHeight="1">
      <c r="E7321" s="49" t="str">
        <f>IFERROR(VLOOKUP(D7321,'taxonomy map'!$A$1:$C$107,2,FALSE),"")</f>
        <v/>
      </c>
      <c r="F7321" s="49" t="str">
        <f>IFERROR(VLOOKUP(E7321,'Condensed Specialty Crosswalk'!$A$2:$C$106,2,FALSE),"")</f>
        <v/>
      </c>
      <c r="G7321" s="49" t="str">
        <f>IFERROR(VLOOKUP(E7321,'Condensed Specialty Crosswalk'!$A$2:$C$106,3,FALSE),"")</f>
        <v/>
      </c>
    </row>
    <row r="7322" spans="5:7" ht="15" customHeight="1">
      <c r="E7322" s="49" t="str">
        <f>IFERROR(VLOOKUP(D7322,'taxonomy map'!$A$1:$C$107,2,FALSE),"")</f>
        <v/>
      </c>
      <c r="F7322" s="49" t="str">
        <f>IFERROR(VLOOKUP(E7322,'Condensed Specialty Crosswalk'!$A$2:$C$106,2,FALSE),"")</f>
        <v/>
      </c>
      <c r="G7322" s="49" t="str">
        <f>IFERROR(VLOOKUP(E7322,'Condensed Specialty Crosswalk'!$A$2:$C$106,3,FALSE),"")</f>
        <v/>
      </c>
    </row>
    <row r="7323" spans="5:7" ht="15" customHeight="1">
      <c r="E7323" s="49" t="str">
        <f>IFERROR(VLOOKUP(D7323,'taxonomy map'!$A$1:$C$107,2,FALSE),"")</f>
        <v/>
      </c>
      <c r="F7323" s="49" t="str">
        <f>IFERROR(VLOOKUP(E7323,'Condensed Specialty Crosswalk'!$A$2:$C$106,2,FALSE),"")</f>
        <v/>
      </c>
      <c r="G7323" s="49" t="str">
        <f>IFERROR(VLOOKUP(E7323,'Condensed Specialty Crosswalk'!$A$2:$C$106,3,FALSE),"")</f>
        <v/>
      </c>
    </row>
    <row r="7324" spans="5:7" ht="15" customHeight="1">
      <c r="E7324" s="49" t="str">
        <f>IFERROR(VLOOKUP(D7324,'taxonomy map'!$A$1:$C$107,2,FALSE),"")</f>
        <v/>
      </c>
      <c r="F7324" s="49" t="str">
        <f>IFERROR(VLOOKUP(E7324,'Condensed Specialty Crosswalk'!$A$2:$C$106,2,FALSE),"")</f>
        <v/>
      </c>
      <c r="G7324" s="49" t="str">
        <f>IFERROR(VLOOKUP(E7324,'Condensed Specialty Crosswalk'!$A$2:$C$106,3,FALSE),"")</f>
        <v/>
      </c>
    </row>
    <row r="7325" spans="5:7" ht="15" customHeight="1">
      <c r="E7325" s="49" t="str">
        <f>IFERROR(VLOOKUP(D7325,'taxonomy map'!$A$1:$C$107,2,FALSE),"")</f>
        <v/>
      </c>
      <c r="F7325" s="49" t="str">
        <f>IFERROR(VLOOKUP(E7325,'Condensed Specialty Crosswalk'!$A$2:$C$106,2,FALSE),"")</f>
        <v/>
      </c>
      <c r="G7325" s="49" t="str">
        <f>IFERROR(VLOOKUP(E7325,'Condensed Specialty Crosswalk'!$A$2:$C$106,3,FALSE),"")</f>
        <v/>
      </c>
    </row>
    <row r="7326" spans="5:7" ht="15" customHeight="1">
      <c r="E7326" s="49" t="str">
        <f>IFERROR(VLOOKUP(D7326,'taxonomy map'!$A$1:$C$107,2,FALSE),"")</f>
        <v/>
      </c>
      <c r="F7326" s="49" t="str">
        <f>IFERROR(VLOOKUP(E7326,'Condensed Specialty Crosswalk'!$A$2:$C$106,2,FALSE),"")</f>
        <v/>
      </c>
      <c r="G7326" s="49" t="str">
        <f>IFERROR(VLOOKUP(E7326,'Condensed Specialty Crosswalk'!$A$2:$C$106,3,FALSE),"")</f>
        <v/>
      </c>
    </row>
    <row r="7327" spans="5:7" ht="15" customHeight="1">
      <c r="E7327" s="49" t="str">
        <f>IFERROR(VLOOKUP(D7327,'taxonomy map'!$A$1:$C$107,2,FALSE),"")</f>
        <v/>
      </c>
      <c r="F7327" s="49" t="str">
        <f>IFERROR(VLOOKUP(E7327,'Condensed Specialty Crosswalk'!$A$2:$C$106,2,FALSE),"")</f>
        <v/>
      </c>
      <c r="G7327" s="49" t="str">
        <f>IFERROR(VLOOKUP(E7327,'Condensed Specialty Crosswalk'!$A$2:$C$106,3,FALSE),"")</f>
        <v/>
      </c>
    </row>
    <row r="7328" spans="5:7" ht="15" customHeight="1">
      <c r="E7328" s="49" t="str">
        <f>IFERROR(VLOOKUP(D7328,'taxonomy map'!$A$1:$C$107,2,FALSE),"")</f>
        <v/>
      </c>
      <c r="F7328" s="49" t="str">
        <f>IFERROR(VLOOKUP(E7328,'Condensed Specialty Crosswalk'!$A$2:$C$106,2,FALSE),"")</f>
        <v/>
      </c>
      <c r="G7328" s="49" t="str">
        <f>IFERROR(VLOOKUP(E7328,'Condensed Specialty Crosswalk'!$A$2:$C$106,3,FALSE),"")</f>
        <v/>
      </c>
    </row>
    <row r="7329" spans="5:7" ht="15" customHeight="1">
      <c r="E7329" s="49" t="str">
        <f>IFERROR(VLOOKUP(D7329,'taxonomy map'!$A$1:$C$107,2,FALSE),"")</f>
        <v/>
      </c>
      <c r="F7329" s="49" t="str">
        <f>IFERROR(VLOOKUP(E7329,'Condensed Specialty Crosswalk'!$A$2:$C$106,2,FALSE),"")</f>
        <v/>
      </c>
      <c r="G7329" s="49" t="str">
        <f>IFERROR(VLOOKUP(E7329,'Condensed Specialty Crosswalk'!$A$2:$C$106,3,FALSE),"")</f>
        <v/>
      </c>
    </row>
    <row r="7330" spans="5:7" ht="15" customHeight="1">
      <c r="E7330" s="49" t="str">
        <f>IFERROR(VLOOKUP(D7330,'taxonomy map'!$A$1:$C$107,2,FALSE),"")</f>
        <v/>
      </c>
      <c r="F7330" s="49" t="str">
        <f>IFERROR(VLOOKUP(E7330,'Condensed Specialty Crosswalk'!$A$2:$C$106,2,FALSE),"")</f>
        <v/>
      </c>
      <c r="G7330" s="49" t="str">
        <f>IFERROR(VLOOKUP(E7330,'Condensed Specialty Crosswalk'!$A$2:$C$106,3,FALSE),"")</f>
        <v/>
      </c>
    </row>
    <row r="7331" spans="5:7" ht="15" customHeight="1">
      <c r="E7331" s="49" t="str">
        <f>IFERROR(VLOOKUP(D7331,'taxonomy map'!$A$1:$C$107,2,FALSE),"")</f>
        <v/>
      </c>
      <c r="F7331" s="49" t="str">
        <f>IFERROR(VLOOKUP(E7331,'Condensed Specialty Crosswalk'!$A$2:$C$106,2,FALSE),"")</f>
        <v/>
      </c>
      <c r="G7331" s="49" t="str">
        <f>IFERROR(VLOOKUP(E7331,'Condensed Specialty Crosswalk'!$A$2:$C$106,3,FALSE),"")</f>
        <v/>
      </c>
    </row>
    <row r="7332" spans="5:7" ht="15" customHeight="1">
      <c r="E7332" s="49" t="str">
        <f>IFERROR(VLOOKUP(D7332,'taxonomy map'!$A$1:$C$107,2,FALSE),"")</f>
        <v/>
      </c>
      <c r="F7332" s="49" t="str">
        <f>IFERROR(VLOOKUP(E7332,'Condensed Specialty Crosswalk'!$A$2:$C$106,2,FALSE),"")</f>
        <v/>
      </c>
      <c r="G7332" s="49" t="str">
        <f>IFERROR(VLOOKUP(E7332,'Condensed Specialty Crosswalk'!$A$2:$C$106,3,FALSE),"")</f>
        <v/>
      </c>
    </row>
    <row r="7333" spans="5:7" ht="15" customHeight="1">
      <c r="E7333" s="49" t="str">
        <f>IFERROR(VLOOKUP(D7333,'taxonomy map'!$A$1:$C$107,2,FALSE),"")</f>
        <v/>
      </c>
      <c r="F7333" s="49" t="str">
        <f>IFERROR(VLOOKUP(E7333,'Condensed Specialty Crosswalk'!$A$2:$C$106,2,FALSE),"")</f>
        <v/>
      </c>
      <c r="G7333" s="49" t="str">
        <f>IFERROR(VLOOKUP(E7333,'Condensed Specialty Crosswalk'!$A$2:$C$106,3,FALSE),"")</f>
        <v/>
      </c>
    </row>
    <row r="7334" spans="5:7" ht="15" customHeight="1">
      <c r="E7334" s="49" t="str">
        <f>IFERROR(VLOOKUP(D7334,'taxonomy map'!$A$1:$C$107,2,FALSE),"")</f>
        <v/>
      </c>
      <c r="F7334" s="49" t="str">
        <f>IFERROR(VLOOKUP(E7334,'Condensed Specialty Crosswalk'!$A$2:$C$106,2,FALSE),"")</f>
        <v/>
      </c>
      <c r="G7334" s="49" t="str">
        <f>IFERROR(VLOOKUP(E7334,'Condensed Specialty Crosswalk'!$A$2:$C$106,3,FALSE),"")</f>
        <v/>
      </c>
    </row>
    <row r="7335" spans="5:7" ht="15" customHeight="1">
      <c r="E7335" s="49" t="str">
        <f>IFERROR(VLOOKUP(D7335,'taxonomy map'!$A$1:$C$107,2,FALSE),"")</f>
        <v/>
      </c>
      <c r="F7335" s="49" t="str">
        <f>IFERROR(VLOOKUP(E7335,'Condensed Specialty Crosswalk'!$A$2:$C$106,2,FALSE),"")</f>
        <v/>
      </c>
      <c r="G7335" s="49" t="str">
        <f>IFERROR(VLOOKUP(E7335,'Condensed Specialty Crosswalk'!$A$2:$C$106,3,FALSE),"")</f>
        <v/>
      </c>
    </row>
    <row r="7336" spans="5:7" ht="15" customHeight="1">
      <c r="E7336" s="49" t="str">
        <f>IFERROR(VLOOKUP(D7336,'taxonomy map'!$A$1:$C$107,2,FALSE),"")</f>
        <v/>
      </c>
      <c r="F7336" s="49" t="str">
        <f>IFERROR(VLOOKUP(E7336,'Condensed Specialty Crosswalk'!$A$2:$C$106,2,FALSE),"")</f>
        <v/>
      </c>
      <c r="G7336" s="49" t="str">
        <f>IFERROR(VLOOKUP(E7336,'Condensed Specialty Crosswalk'!$A$2:$C$106,3,FALSE),"")</f>
        <v/>
      </c>
    </row>
    <row r="7337" spans="5:7" ht="15" customHeight="1">
      <c r="E7337" s="49" t="str">
        <f>IFERROR(VLOOKUP(D7337,'taxonomy map'!$A$1:$C$107,2,FALSE),"")</f>
        <v/>
      </c>
      <c r="F7337" s="49" t="str">
        <f>IFERROR(VLOOKUP(E7337,'Condensed Specialty Crosswalk'!$A$2:$C$106,2,FALSE),"")</f>
        <v/>
      </c>
      <c r="G7337" s="49" t="str">
        <f>IFERROR(VLOOKUP(E7337,'Condensed Specialty Crosswalk'!$A$2:$C$106,3,FALSE),"")</f>
        <v/>
      </c>
    </row>
    <row r="7338" spans="5:7" ht="15" customHeight="1">
      <c r="E7338" s="49" t="str">
        <f>IFERROR(VLOOKUP(D7338,'taxonomy map'!$A$1:$C$107,2,FALSE),"")</f>
        <v/>
      </c>
      <c r="F7338" s="49" t="str">
        <f>IFERROR(VLOOKUP(E7338,'Condensed Specialty Crosswalk'!$A$2:$C$106,2,FALSE),"")</f>
        <v/>
      </c>
      <c r="G7338" s="49" t="str">
        <f>IFERROR(VLOOKUP(E7338,'Condensed Specialty Crosswalk'!$A$2:$C$106,3,FALSE),"")</f>
        <v/>
      </c>
    </row>
    <row r="7339" spans="5:7" ht="15" customHeight="1">
      <c r="E7339" s="49" t="str">
        <f>IFERROR(VLOOKUP(D7339,'taxonomy map'!$A$1:$C$107,2,FALSE),"")</f>
        <v/>
      </c>
      <c r="F7339" s="49" t="str">
        <f>IFERROR(VLOOKUP(E7339,'Condensed Specialty Crosswalk'!$A$2:$C$106,2,FALSE),"")</f>
        <v/>
      </c>
      <c r="G7339" s="49" t="str">
        <f>IFERROR(VLOOKUP(E7339,'Condensed Specialty Crosswalk'!$A$2:$C$106,3,FALSE),"")</f>
        <v/>
      </c>
    </row>
    <row r="7340" spans="5:7" ht="15" customHeight="1">
      <c r="E7340" s="49" t="str">
        <f>IFERROR(VLOOKUP(D7340,'taxonomy map'!$A$1:$C$107,2,FALSE),"")</f>
        <v/>
      </c>
      <c r="F7340" s="49" t="str">
        <f>IFERROR(VLOOKUP(E7340,'Condensed Specialty Crosswalk'!$A$2:$C$106,2,FALSE),"")</f>
        <v/>
      </c>
      <c r="G7340" s="49" t="str">
        <f>IFERROR(VLOOKUP(E7340,'Condensed Specialty Crosswalk'!$A$2:$C$106,3,FALSE),"")</f>
        <v/>
      </c>
    </row>
    <row r="7341" spans="5:7" ht="15" customHeight="1">
      <c r="E7341" s="49" t="str">
        <f>IFERROR(VLOOKUP(D7341,'taxonomy map'!$A$1:$C$107,2,FALSE),"")</f>
        <v/>
      </c>
      <c r="F7341" s="49" t="str">
        <f>IFERROR(VLOOKUP(E7341,'Condensed Specialty Crosswalk'!$A$2:$C$106,2,FALSE),"")</f>
        <v/>
      </c>
      <c r="G7341" s="49" t="str">
        <f>IFERROR(VLOOKUP(E7341,'Condensed Specialty Crosswalk'!$A$2:$C$106,3,FALSE),"")</f>
        <v/>
      </c>
    </row>
    <row r="7342" spans="5:7" ht="15" customHeight="1">
      <c r="E7342" s="49" t="str">
        <f>IFERROR(VLOOKUP(D7342,'taxonomy map'!$A$1:$C$107,2,FALSE),"")</f>
        <v/>
      </c>
      <c r="F7342" s="49" t="str">
        <f>IFERROR(VLOOKUP(E7342,'Condensed Specialty Crosswalk'!$A$2:$C$106,2,FALSE),"")</f>
        <v/>
      </c>
      <c r="G7342" s="49" t="str">
        <f>IFERROR(VLOOKUP(E7342,'Condensed Specialty Crosswalk'!$A$2:$C$106,3,FALSE),"")</f>
        <v/>
      </c>
    </row>
    <row r="7343" spans="5:7" ht="15" customHeight="1">
      <c r="E7343" s="49" t="str">
        <f>IFERROR(VLOOKUP(D7343,'taxonomy map'!$A$1:$C$107,2,FALSE),"")</f>
        <v/>
      </c>
      <c r="F7343" s="49" t="str">
        <f>IFERROR(VLOOKUP(E7343,'Condensed Specialty Crosswalk'!$A$2:$C$106,2,FALSE),"")</f>
        <v/>
      </c>
      <c r="G7343" s="49" t="str">
        <f>IFERROR(VLOOKUP(E7343,'Condensed Specialty Crosswalk'!$A$2:$C$106,3,FALSE),"")</f>
        <v/>
      </c>
    </row>
    <row r="7344" spans="5:7" ht="15" customHeight="1">
      <c r="E7344" s="49" t="str">
        <f>IFERROR(VLOOKUP(D7344,'taxonomy map'!$A$1:$C$107,2,FALSE),"")</f>
        <v/>
      </c>
      <c r="F7344" s="49" t="str">
        <f>IFERROR(VLOOKUP(E7344,'Condensed Specialty Crosswalk'!$A$2:$C$106,2,FALSE),"")</f>
        <v/>
      </c>
      <c r="G7344" s="49" t="str">
        <f>IFERROR(VLOOKUP(E7344,'Condensed Specialty Crosswalk'!$A$2:$C$106,3,FALSE),"")</f>
        <v/>
      </c>
    </row>
    <row r="7345" spans="5:7" ht="15" customHeight="1">
      <c r="E7345" s="49" t="str">
        <f>IFERROR(VLOOKUP(D7345,'taxonomy map'!$A$1:$C$107,2,FALSE),"")</f>
        <v/>
      </c>
      <c r="F7345" s="49" t="str">
        <f>IFERROR(VLOOKUP(E7345,'Condensed Specialty Crosswalk'!$A$2:$C$106,2,FALSE),"")</f>
        <v/>
      </c>
      <c r="G7345" s="49" t="str">
        <f>IFERROR(VLOOKUP(E7345,'Condensed Specialty Crosswalk'!$A$2:$C$106,3,FALSE),"")</f>
        <v/>
      </c>
    </row>
    <row r="7346" spans="5:7" ht="15" customHeight="1">
      <c r="E7346" s="49" t="str">
        <f>IFERROR(VLOOKUP(D7346,'taxonomy map'!$A$1:$C$107,2,FALSE),"")</f>
        <v/>
      </c>
      <c r="F7346" s="49" t="str">
        <f>IFERROR(VLOOKUP(E7346,'Condensed Specialty Crosswalk'!$A$2:$C$106,2,FALSE),"")</f>
        <v/>
      </c>
      <c r="G7346" s="49" t="str">
        <f>IFERROR(VLOOKUP(E7346,'Condensed Specialty Crosswalk'!$A$2:$C$106,3,FALSE),"")</f>
        <v/>
      </c>
    </row>
    <row r="7347" spans="5:7" ht="15" customHeight="1">
      <c r="E7347" s="49" t="str">
        <f>IFERROR(VLOOKUP(D7347,'taxonomy map'!$A$1:$C$107,2,FALSE),"")</f>
        <v/>
      </c>
      <c r="F7347" s="49" t="str">
        <f>IFERROR(VLOOKUP(E7347,'Condensed Specialty Crosswalk'!$A$2:$C$106,2,FALSE),"")</f>
        <v/>
      </c>
      <c r="G7347" s="49" t="str">
        <f>IFERROR(VLOOKUP(E7347,'Condensed Specialty Crosswalk'!$A$2:$C$106,3,FALSE),"")</f>
        <v/>
      </c>
    </row>
    <row r="7348" spans="5:7" ht="15" customHeight="1">
      <c r="E7348" s="49" t="str">
        <f>IFERROR(VLOOKUP(D7348,'taxonomy map'!$A$1:$C$107,2,FALSE),"")</f>
        <v/>
      </c>
      <c r="F7348" s="49" t="str">
        <f>IFERROR(VLOOKUP(E7348,'Condensed Specialty Crosswalk'!$A$2:$C$106,2,FALSE),"")</f>
        <v/>
      </c>
      <c r="G7348" s="49" t="str">
        <f>IFERROR(VLOOKUP(E7348,'Condensed Specialty Crosswalk'!$A$2:$C$106,3,FALSE),"")</f>
        <v/>
      </c>
    </row>
    <row r="7349" spans="5:7" ht="15" customHeight="1">
      <c r="E7349" s="49" t="str">
        <f>IFERROR(VLOOKUP(D7349,'taxonomy map'!$A$1:$C$107,2,FALSE),"")</f>
        <v/>
      </c>
      <c r="F7349" s="49" t="str">
        <f>IFERROR(VLOOKUP(E7349,'Condensed Specialty Crosswalk'!$A$2:$C$106,2,FALSE),"")</f>
        <v/>
      </c>
      <c r="G7349" s="49" t="str">
        <f>IFERROR(VLOOKUP(E7349,'Condensed Specialty Crosswalk'!$A$2:$C$106,3,FALSE),"")</f>
        <v/>
      </c>
    </row>
    <row r="7350" spans="5:7" ht="15" customHeight="1">
      <c r="E7350" s="49" t="str">
        <f>IFERROR(VLOOKUP(D7350,'taxonomy map'!$A$1:$C$107,2,FALSE),"")</f>
        <v/>
      </c>
      <c r="F7350" s="49" t="str">
        <f>IFERROR(VLOOKUP(E7350,'Condensed Specialty Crosswalk'!$A$2:$C$106,2,FALSE),"")</f>
        <v/>
      </c>
      <c r="G7350" s="49" t="str">
        <f>IFERROR(VLOOKUP(E7350,'Condensed Specialty Crosswalk'!$A$2:$C$106,3,FALSE),"")</f>
        <v/>
      </c>
    </row>
    <row r="7351" spans="5:7" ht="15" customHeight="1">
      <c r="E7351" s="49" t="str">
        <f>IFERROR(VLOOKUP(D7351,'taxonomy map'!$A$1:$C$107,2,FALSE),"")</f>
        <v/>
      </c>
      <c r="F7351" s="49" t="str">
        <f>IFERROR(VLOOKUP(E7351,'Condensed Specialty Crosswalk'!$A$2:$C$106,2,FALSE),"")</f>
        <v/>
      </c>
      <c r="G7351" s="49" t="str">
        <f>IFERROR(VLOOKUP(E7351,'Condensed Specialty Crosswalk'!$A$2:$C$106,3,FALSE),"")</f>
        <v/>
      </c>
    </row>
    <row r="7352" spans="5:7" ht="15" customHeight="1">
      <c r="E7352" s="49" t="str">
        <f>IFERROR(VLOOKUP(D7352,'taxonomy map'!$A$1:$C$107,2,FALSE),"")</f>
        <v/>
      </c>
      <c r="F7352" s="49" t="str">
        <f>IFERROR(VLOOKUP(E7352,'Condensed Specialty Crosswalk'!$A$2:$C$106,2,FALSE),"")</f>
        <v/>
      </c>
      <c r="G7352" s="49" t="str">
        <f>IFERROR(VLOOKUP(E7352,'Condensed Specialty Crosswalk'!$A$2:$C$106,3,FALSE),"")</f>
        <v/>
      </c>
    </row>
    <row r="7353" spans="5:7" ht="15" customHeight="1">
      <c r="E7353" s="49" t="str">
        <f>IFERROR(VLOOKUP(D7353,'taxonomy map'!$A$1:$C$107,2,FALSE),"")</f>
        <v/>
      </c>
      <c r="F7353" s="49" t="str">
        <f>IFERROR(VLOOKUP(E7353,'Condensed Specialty Crosswalk'!$A$2:$C$106,2,FALSE),"")</f>
        <v/>
      </c>
      <c r="G7353" s="49" t="str">
        <f>IFERROR(VLOOKUP(E7353,'Condensed Specialty Crosswalk'!$A$2:$C$106,3,FALSE),"")</f>
        <v/>
      </c>
    </row>
    <row r="7354" spans="5:7" ht="15" customHeight="1">
      <c r="E7354" s="49" t="str">
        <f>IFERROR(VLOOKUP(D7354,'taxonomy map'!$A$1:$C$107,2,FALSE),"")</f>
        <v/>
      </c>
      <c r="F7354" s="49" t="str">
        <f>IFERROR(VLOOKUP(E7354,'Condensed Specialty Crosswalk'!$A$2:$C$106,2,FALSE),"")</f>
        <v/>
      </c>
      <c r="G7354" s="49" t="str">
        <f>IFERROR(VLOOKUP(E7354,'Condensed Specialty Crosswalk'!$A$2:$C$106,3,FALSE),"")</f>
        <v/>
      </c>
    </row>
    <row r="7355" spans="5:7" ht="15" customHeight="1">
      <c r="E7355" s="49" t="str">
        <f>IFERROR(VLOOKUP(D7355,'taxonomy map'!$A$1:$C$107,2,FALSE),"")</f>
        <v/>
      </c>
      <c r="F7355" s="49" t="str">
        <f>IFERROR(VLOOKUP(E7355,'Condensed Specialty Crosswalk'!$A$2:$C$106,2,FALSE),"")</f>
        <v/>
      </c>
      <c r="G7355" s="49" t="str">
        <f>IFERROR(VLOOKUP(E7355,'Condensed Specialty Crosswalk'!$A$2:$C$106,3,FALSE),"")</f>
        <v/>
      </c>
    </row>
    <row r="7356" spans="5:7" ht="15" customHeight="1">
      <c r="E7356" s="49" t="str">
        <f>IFERROR(VLOOKUP(D7356,'taxonomy map'!$A$1:$C$107,2,FALSE),"")</f>
        <v/>
      </c>
      <c r="F7356" s="49" t="str">
        <f>IFERROR(VLOOKUP(E7356,'Condensed Specialty Crosswalk'!$A$2:$C$106,2,FALSE),"")</f>
        <v/>
      </c>
      <c r="G7356" s="49" t="str">
        <f>IFERROR(VLOOKUP(E7356,'Condensed Specialty Crosswalk'!$A$2:$C$106,3,FALSE),"")</f>
        <v/>
      </c>
    </row>
    <row r="7357" spans="5:7" ht="15" customHeight="1">
      <c r="E7357" s="49" t="str">
        <f>IFERROR(VLOOKUP(D7357,'taxonomy map'!$A$1:$C$107,2,FALSE),"")</f>
        <v/>
      </c>
      <c r="F7357" s="49" t="str">
        <f>IFERROR(VLOOKUP(E7357,'Condensed Specialty Crosswalk'!$A$2:$C$106,2,FALSE),"")</f>
        <v/>
      </c>
      <c r="G7357" s="49" t="str">
        <f>IFERROR(VLOOKUP(E7357,'Condensed Specialty Crosswalk'!$A$2:$C$106,3,FALSE),"")</f>
        <v/>
      </c>
    </row>
    <row r="7358" spans="5:7" ht="15" customHeight="1">
      <c r="E7358" s="49" t="str">
        <f>IFERROR(VLOOKUP(D7358,'taxonomy map'!$A$1:$C$107,2,FALSE),"")</f>
        <v/>
      </c>
      <c r="F7358" s="49" t="str">
        <f>IFERROR(VLOOKUP(E7358,'Condensed Specialty Crosswalk'!$A$2:$C$106,2,FALSE),"")</f>
        <v/>
      </c>
      <c r="G7358" s="49" t="str">
        <f>IFERROR(VLOOKUP(E7358,'Condensed Specialty Crosswalk'!$A$2:$C$106,3,FALSE),"")</f>
        <v/>
      </c>
    </row>
    <row r="7359" spans="5:7" ht="15" customHeight="1">
      <c r="E7359" s="49" t="str">
        <f>IFERROR(VLOOKUP(D7359,'taxonomy map'!$A$1:$C$107,2,FALSE),"")</f>
        <v/>
      </c>
      <c r="F7359" s="49" t="str">
        <f>IFERROR(VLOOKUP(E7359,'Condensed Specialty Crosswalk'!$A$2:$C$106,2,FALSE),"")</f>
        <v/>
      </c>
      <c r="G7359" s="49" t="str">
        <f>IFERROR(VLOOKUP(E7359,'Condensed Specialty Crosswalk'!$A$2:$C$106,3,FALSE),"")</f>
        <v/>
      </c>
    </row>
    <row r="7360" spans="5:7" ht="15" customHeight="1">
      <c r="E7360" s="49" t="str">
        <f>IFERROR(VLOOKUP(D7360,'taxonomy map'!$A$1:$C$107,2,FALSE),"")</f>
        <v/>
      </c>
      <c r="F7360" s="49" t="str">
        <f>IFERROR(VLOOKUP(E7360,'Condensed Specialty Crosswalk'!$A$2:$C$106,2,FALSE),"")</f>
        <v/>
      </c>
      <c r="G7360" s="49" t="str">
        <f>IFERROR(VLOOKUP(E7360,'Condensed Specialty Crosswalk'!$A$2:$C$106,3,FALSE),"")</f>
        <v/>
      </c>
    </row>
    <row r="7361" spans="5:7" ht="15" customHeight="1">
      <c r="E7361" s="49" t="str">
        <f>IFERROR(VLOOKUP(D7361,'taxonomy map'!$A$1:$C$107,2,FALSE),"")</f>
        <v/>
      </c>
      <c r="F7361" s="49" t="str">
        <f>IFERROR(VLOOKUP(E7361,'Condensed Specialty Crosswalk'!$A$2:$C$106,2,FALSE),"")</f>
        <v/>
      </c>
      <c r="G7361" s="49" t="str">
        <f>IFERROR(VLOOKUP(E7361,'Condensed Specialty Crosswalk'!$A$2:$C$106,3,FALSE),"")</f>
        <v/>
      </c>
    </row>
    <row r="7362" spans="5:7" ht="15" customHeight="1">
      <c r="E7362" s="49" t="str">
        <f>IFERROR(VLOOKUP(D7362,'taxonomy map'!$A$1:$C$107,2,FALSE),"")</f>
        <v/>
      </c>
      <c r="F7362" s="49" t="str">
        <f>IFERROR(VLOOKUP(E7362,'Condensed Specialty Crosswalk'!$A$2:$C$106,2,FALSE),"")</f>
        <v/>
      </c>
      <c r="G7362" s="49" t="str">
        <f>IFERROR(VLOOKUP(E7362,'Condensed Specialty Crosswalk'!$A$2:$C$106,3,FALSE),"")</f>
        <v/>
      </c>
    </row>
    <row r="7363" spans="5:7" ht="15" customHeight="1">
      <c r="E7363" s="49" t="str">
        <f>IFERROR(VLOOKUP(D7363,'taxonomy map'!$A$1:$C$107,2,FALSE),"")</f>
        <v/>
      </c>
      <c r="F7363" s="49" t="str">
        <f>IFERROR(VLOOKUP(E7363,'Condensed Specialty Crosswalk'!$A$2:$C$106,2,FALSE),"")</f>
        <v/>
      </c>
      <c r="G7363" s="49" t="str">
        <f>IFERROR(VLOOKUP(E7363,'Condensed Specialty Crosswalk'!$A$2:$C$106,3,FALSE),"")</f>
        <v/>
      </c>
    </row>
    <row r="7364" spans="5:7" ht="15" customHeight="1">
      <c r="E7364" s="49" t="str">
        <f>IFERROR(VLOOKUP(D7364,'taxonomy map'!$A$1:$C$107,2,FALSE),"")</f>
        <v/>
      </c>
      <c r="F7364" s="49" t="str">
        <f>IFERROR(VLOOKUP(E7364,'Condensed Specialty Crosswalk'!$A$2:$C$106,2,FALSE),"")</f>
        <v/>
      </c>
      <c r="G7364" s="49" t="str">
        <f>IFERROR(VLOOKUP(E7364,'Condensed Specialty Crosswalk'!$A$2:$C$106,3,FALSE),"")</f>
        <v/>
      </c>
    </row>
    <row r="7365" spans="5:7" ht="15" customHeight="1">
      <c r="E7365" s="49" t="str">
        <f>IFERROR(VLOOKUP(D7365,'taxonomy map'!$A$1:$C$107,2,FALSE),"")</f>
        <v/>
      </c>
      <c r="F7365" s="49" t="str">
        <f>IFERROR(VLOOKUP(E7365,'Condensed Specialty Crosswalk'!$A$2:$C$106,2,FALSE),"")</f>
        <v/>
      </c>
      <c r="G7365" s="49" t="str">
        <f>IFERROR(VLOOKUP(E7365,'Condensed Specialty Crosswalk'!$A$2:$C$106,3,FALSE),"")</f>
        <v/>
      </c>
    </row>
    <row r="7366" spans="5:7" ht="15" customHeight="1">
      <c r="E7366" s="49" t="str">
        <f>IFERROR(VLOOKUP(D7366,'taxonomy map'!$A$1:$C$107,2,FALSE),"")</f>
        <v/>
      </c>
      <c r="F7366" s="49" t="str">
        <f>IFERROR(VLOOKUP(E7366,'Condensed Specialty Crosswalk'!$A$2:$C$106,2,FALSE),"")</f>
        <v/>
      </c>
      <c r="G7366" s="49" t="str">
        <f>IFERROR(VLOOKUP(E7366,'Condensed Specialty Crosswalk'!$A$2:$C$106,3,FALSE),"")</f>
        <v/>
      </c>
    </row>
    <row r="7367" spans="5:7" ht="15" customHeight="1">
      <c r="E7367" s="49" t="str">
        <f>IFERROR(VLOOKUP(D7367,'taxonomy map'!$A$1:$C$107,2,FALSE),"")</f>
        <v/>
      </c>
      <c r="F7367" s="49" t="str">
        <f>IFERROR(VLOOKUP(E7367,'Condensed Specialty Crosswalk'!$A$2:$C$106,2,FALSE),"")</f>
        <v/>
      </c>
      <c r="G7367" s="49" t="str">
        <f>IFERROR(VLOOKUP(E7367,'Condensed Specialty Crosswalk'!$A$2:$C$106,3,FALSE),"")</f>
        <v/>
      </c>
    </row>
    <row r="7368" spans="5:7" ht="15" customHeight="1">
      <c r="E7368" s="49" t="str">
        <f>IFERROR(VLOOKUP(D7368,'taxonomy map'!$A$1:$C$107,2,FALSE),"")</f>
        <v/>
      </c>
      <c r="F7368" s="49" t="str">
        <f>IFERROR(VLOOKUP(E7368,'Condensed Specialty Crosswalk'!$A$2:$C$106,2,FALSE),"")</f>
        <v/>
      </c>
      <c r="G7368" s="49" t="str">
        <f>IFERROR(VLOOKUP(E7368,'Condensed Specialty Crosswalk'!$A$2:$C$106,3,FALSE),"")</f>
        <v/>
      </c>
    </row>
    <row r="7369" spans="5:7" ht="15" customHeight="1">
      <c r="E7369" s="49" t="str">
        <f>IFERROR(VLOOKUP(D7369,'taxonomy map'!$A$1:$C$107,2,FALSE),"")</f>
        <v/>
      </c>
      <c r="F7369" s="49" t="str">
        <f>IFERROR(VLOOKUP(E7369,'Condensed Specialty Crosswalk'!$A$2:$C$106,2,FALSE),"")</f>
        <v/>
      </c>
      <c r="G7369" s="49" t="str">
        <f>IFERROR(VLOOKUP(E7369,'Condensed Specialty Crosswalk'!$A$2:$C$106,3,FALSE),"")</f>
        <v/>
      </c>
    </row>
    <row r="7370" spans="5:7" ht="15" customHeight="1">
      <c r="E7370" s="49" t="str">
        <f>IFERROR(VLOOKUP(D7370,'taxonomy map'!$A$1:$C$107,2,FALSE),"")</f>
        <v/>
      </c>
      <c r="F7370" s="49" t="str">
        <f>IFERROR(VLOOKUP(E7370,'Condensed Specialty Crosswalk'!$A$2:$C$106,2,FALSE),"")</f>
        <v/>
      </c>
      <c r="G7370" s="49" t="str">
        <f>IFERROR(VLOOKUP(E7370,'Condensed Specialty Crosswalk'!$A$2:$C$106,3,FALSE),"")</f>
        <v/>
      </c>
    </row>
    <row r="7371" spans="5:7" ht="15" customHeight="1">
      <c r="E7371" s="49" t="str">
        <f>IFERROR(VLOOKUP(D7371,'taxonomy map'!$A$1:$C$107,2,FALSE),"")</f>
        <v/>
      </c>
      <c r="F7371" s="49" t="str">
        <f>IFERROR(VLOOKUP(E7371,'Condensed Specialty Crosswalk'!$A$2:$C$106,2,FALSE),"")</f>
        <v/>
      </c>
      <c r="G7371" s="49" t="str">
        <f>IFERROR(VLOOKUP(E7371,'Condensed Specialty Crosswalk'!$A$2:$C$106,3,FALSE),"")</f>
        <v/>
      </c>
    </row>
    <row r="7372" spans="5:7" ht="15" customHeight="1">
      <c r="E7372" s="49" t="str">
        <f>IFERROR(VLOOKUP(D7372,'taxonomy map'!$A$1:$C$107,2,FALSE),"")</f>
        <v/>
      </c>
      <c r="F7372" s="49" t="str">
        <f>IFERROR(VLOOKUP(E7372,'Condensed Specialty Crosswalk'!$A$2:$C$106,2,FALSE),"")</f>
        <v/>
      </c>
      <c r="G7372" s="49" t="str">
        <f>IFERROR(VLOOKUP(E7372,'Condensed Specialty Crosswalk'!$A$2:$C$106,3,FALSE),"")</f>
        <v/>
      </c>
    </row>
    <row r="7373" spans="5:7" ht="15" customHeight="1">
      <c r="E7373" s="49" t="str">
        <f>IFERROR(VLOOKUP(D7373,'taxonomy map'!$A$1:$C$107,2,FALSE),"")</f>
        <v/>
      </c>
      <c r="F7373" s="49" t="str">
        <f>IFERROR(VLOOKUP(E7373,'Condensed Specialty Crosswalk'!$A$2:$C$106,2,FALSE),"")</f>
        <v/>
      </c>
      <c r="G7373" s="49" t="str">
        <f>IFERROR(VLOOKUP(E7373,'Condensed Specialty Crosswalk'!$A$2:$C$106,3,FALSE),"")</f>
        <v/>
      </c>
    </row>
    <row r="7374" spans="5:7" ht="15" customHeight="1">
      <c r="E7374" s="49" t="str">
        <f>IFERROR(VLOOKUP(D7374,'taxonomy map'!$A$1:$C$107,2,FALSE),"")</f>
        <v/>
      </c>
      <c r="F7374" s="49" t="str">
        <f>IFERROR(VLOOKUP(E7374,'Condensed Specialty Crosswalk'!$A$2:$C$106,2,FALSE),"")</f>
        <v/>
      </c>
      <c r="G7374" s="49" t="str">
        <f>IFERROR(VLOOKUP(E7374,'Condensed Specialty Crosswalk'!$A$2:$C$106,3,FALSE),"")</f>
        <v/>
      </c>
    </row>
    <row r="7375" spans="5:7" ht="15" customHeight="1">
      <c r="E7375" s="49" t="str">
        <f>IFERROR(VLOOKUP(D7375,'taxonomy map'!$A$1:$C$107,2,FALSE),"")</f>
        <v/>
      </c>
      <c r="F7375" s="49" t="str">
        <f>IFERROR(VLOOKUP(E7375,'Condensed Specialty Crosswalk'!$A$2:$C$106,2,FALSE),"")</f>
        <v/>
      </c>
      <c r="G7375" s="49" t="str">
        <f>IFERROR(VLOOKUP(E7375,'Condensed Specialty Crosswalk'!$A$2:$C$106,3,FALSE),"")</f>
        <v/>
      </c>
    </row>
    <row r="7376" spans="5:7" ht="15" customHeight="1">
      <c r="E7376" s="49" t="str">
        <f>IFERROR(VLOOKUP(D7376,'taxonomy map'!$A$1:$C$107,2,FALSE),"")</f>
        <v/>
      </c>
      <c r="F7376" s="49" t="str">
        <f>IFERROR(VLOOKUP(E7376,'Condensed Specialty Crosswalk'!$A$2:$C$106,2,FALSE),"")</f>
        <v/>
      </c>
      <c r="G7376" s="49" t="str">
        <f>IFERROR(VLOOKUP(E7376,'Condensed Specialty Crosswalk'!$A$2:$C$106,3,FALSE),"")</f>
        <v/>
      </c>
    </row>
    <row r="7377" spans="5:7" ht="15" customHeight="1">
      <c r="E7377" s="49" t="str">
        <f>IFERROR(VLOOKUP(D7377,'taxonomy map'!$A$1:$C$107,2,FALSE),"")</f>
        <v/>
      </c>
      <c r="F7377" s="49" t="str">
        <f>IFERROR(VLOOKUP(E7377,'Condensed Specialty Crosswalk'!$A$2:$C$106,2,FALSE),"")</f>
        <v/>
      </c>
      <c r="G7377" s="49" t="str">
        <f>IFERROR(VLOOKUP(E7377,'Condensed Specialty Crosswalk'!$A$2:$C$106,3,FALSE),"")</f>
        <v/>
      </c>
    </row>
    <row r="7378" spans="5:7" ht="15" customHeight="1">
      <c r="E7378" s="49" t="str">
        <f>IFERROR(VLOOKUP(D7378,'taxonomy map'!$A$1:$C$107,2,FALSE),"")</f>
        <v/>
      </c>
      <c r="F7378" s="49" t="str">
        <f>IFERROR(VLOOKUP(E7378,'Condensed Specialty Crosswalk'!$A$2:$C$106,2,FALSE),"")</f>
        <v/>
      </c>
      <c r="G7378" s="49" t="str">
        <f>IFERROR(VLOOKUP(E7378,'Condensed Specialty Crosswalk'!$A$2:$C$106,3,FALSE),"")</f>
        <v/>
      </c>
    </row>
    <row r="7379" spans="5:7" ht="15" customHeight="1">
      <c r="E7379" s="49" t="str">
        <f>IFERROR(VLOOKUP(D7379,'taxonomy map'!$A$1:$C$107,2,FALSE),"")</f>
        <v/>
      </c>
      <c r="F7379" s="49" t="str">
        <f>IFERROR(VLOOKUP(E7379,'Condensed Specialty Crosswalk'!$A$2:$C$106,2,FALSE),"")</f>
        <v/>
      </c>
      <c r="G7379" s="49" t="str">
        <f>IFERROR(VLOOKUP(E7379,'Condensed Specialty Crosswalk'!$A$2:$C$106,3,FALSE),"")</f>
        <v/>
      </c>
    </row>
    <row r="7380" spans="5:7" ht="15" customHeight="1">
      <c r="E7380" s="49" t="str">
        <f>IFERROR(VLOOKUP(D7380,'taxonomy map'!$A$1:$C$107,2,FALSE),"")</f>
        <v/>
      </c>
      <c r="F7380" s="49" t="str">
        <f>IFERROR(VLOOKUP(E7380,'Condensed Specialty Crosswalk'!$A$2:$C$106,2,FALSE),"")</f>
        <v/>
      </c>
      <c r="G7380" s="49" t="str">
        <f>IFERROR(VLOOKUP(E7380,'Condensed Specialty Crosswalk'!$A$2:$C$106,3,FALSE),"")</f>
        <v/>
      </c>
    </row>
    <row r="7381" spans="5:7" ht="15" customHeight="1">
      <c r="E7381" s="49" t="str">
        <f>IFERROR(VLOOKUP(D7381,'taxonomy map'!$A$1:$C$107,2,FALSE),"")</f>
        <v/>
      </c>
      <c r="F7381" s="49" t="str">
        <f>IFERROR(VLOOKUP(E7381,'Condensed Specialty Crosswalk'!$A$2:$C$106,2,FALSE),"")</f>
        <v/>
      </c>
      <c r="G7381" s="49" t="str">
        <f>IFERROR(VLOOKUP(E7381,'Condensed Specialty Crosswalk'!$A$2:$C$106,3,FALSE),"")</f>
        <v/>
      </c>
    </row>
    <row r="7382" spans="5:7" ht="15" customHeight="1">
      <c r="E7382" s="49" t="str">
        <f>IFERROR(VLOOKUP(D7382,'taxonomy map'!$A$1:$C$107,2,FALSE),"")</f>
        <v/>
      </c>
      <c r="F7382" s="49" t="str">
        <f>IFERROR(VLOOKUP(E7382,'Condensed Specialty Crosswalk'!$A$2:$C$106,2,FALSE),"")</f>
        <v/>
      </c>
      <c r="G7382" s="49" t="str">
        <f>IFERROR(VLOOKUP(E7382,'Condensed Specialty Crosswalk'!$A$2:$C$106,3,FALSE),"")</f>
        <v/>
      </c>
    </row>
    <row r="7383" spans="5:7" ht="15" customHeight="1">
      <c r="E7383" s="49" t="str">
        <f>IFERROR(VLOOKUP(D7383,'taxonomy map'!$A$1:$C$107,2,FALSE),"")</f>
        <v/>
      </c>
      <c r="F7383" s="49" t="str">
        <f>IFERROR(VLOOKUP(E7383,'Condensed Specialty Crosswalk'!$A$2:$C$106,2,FALSE),"")</f>
        <v/>
      </c>
      <c r="G7383" s="49" t="str">
        <f>IFERROR(VLOOKUP(E7383,'Condensed Specialty Crosswalk'!$A$2:$C$106,3,FALSE),"")</f>
        <v/>
      </c>
    </row>
    <row r="7384" spans="5:7" ht="15" customHeight="1">
      <c r="E7384" s="49" t="str">
        <f>IFERROR(VLOOKUP(D7384,'taxonomy map'!$A$1:$C$107,2,FALSE),"")</f>
        <v/>
      </c>
      <c r="F7384" s="49" t="str">
        <f>IFERROR(VLOOKUP(E7384,'Condensed Specialty Crosswalk'!$A$2:$C$106,2,FALSE),"")</f>
        <v/>
      </c>
      <c r="G7384" s="49" t="str">
        <f>IFERROR(VLOOKUP(E7384,'Condensed Specialty Crosswalk'!$A$2:$C$106,3,FALSE),"")</f>
        <v/>
      </c>
    </row>
    <row r="7385" spans="5:7" ht="15" customHeight="1">
      <c r="E7385" s="49" t="str">
        <f>IFERROR(VLOOKUP(D7385,'taxonomy map'!$A$1:$C$107,2,FALSE),"")</f>
        <v/>
      </c>
      <c r="F7385" s="49" t="str">
        <f>IFERROR(VLOOKUP(E7385,'Condensed Specialty Crosswalk'!$A$2:$C$106,2,FALSE),"")</f>
        <v/>
      </c>
      <c r="G7385" s="49" t="str">
        <f>IFERROR(VLOOKUP(E7385,'Condensed Specialty Crosswalk'!$A$2:$C$106,3,FALSE),"")</f>
        <v/>
      </c>
    </row>
    <row r="7386" spans="5:7" ht="15" customHeight="1">
      <c r="E7386" s="49" t="str">
        <f>IFERROR(VLOOKUP(D7386,'taxonomy map'!$A$1:$C$107,2,FALSE),"")</f>
        <v/>
      </c>
      <c r="F7386" s="49" t="str">
        <f>IFERROR(VLOOKUP(E7386,'Condensed Specialty Crosswalk'!$A$2:$C$106,2,FALSE),"")</f>
        <v/>
      </c>
      <c r="G7386" s="49" t="str">
        <f>IFERROR(VLOOKUP(E7386,'Condensed Specialty Crosswalk'!$A$2:$C$106,3,FALSE),"")</f>
        <v/>
      </c>
    </row>
    <row r="7387" spans="5:7" ht="15" customHeight="1">
      <c r="E7387" s="49" t="str">
        <f>IFERROR(VLOOKUP(D7387,'taxonomy map'!$A$1:$C$107,2,FALSE),"")</f>
        <v/>
      </c>
      <c r="F7387" s="49" t="str">
        <f>IFERROR(VLOOKUP(E7387,'Condensed Specialty Crosswalk'!$A$2:$C$106,2,FALSE),"")</f>
        <v/>
      </c>
      <c r="G7387" s="49" t="str">
        <f>IFERROR(VLOOKUP(E7387,'Condensed Specialty Crosswalk'!$A$2:$C$106,3,FALSE),"")</f>
        <v/>
      </c>
    </row>
    <row r="7388" spans="5:7" ht="15" customHeight="1">
      <c r="E7388" s="49" t="str">
        <f>IFERROR(VLOOKUP(D7388,'taxonomy map'!$A$1:$C$107,2,FALSE),"")</f>
        <v/>
      </c>
      <c r="F7388" s="49" t="str">
        <f>IFERROR(VLOOKUP(E7388,'Condensed Specialty Crosswalk'!$A$2:$C$106,2,FALSE),"")</f>
        <v/>
      </c>
      <c r="G7388" s="49" t="str">
        <f>IFERROR(VLOOKUP(E7388,'Condensed Specialty Crosswalk'!$A$2:$C$106,3,FALSE),"")</f>
        <v/>
      </c>
    </row>
    <row r="7389" spans="5:7" ht="15" customHeight="1">
      <c r="E7389" s="49" t="str">
        <f>IFERROR(VLOOKUP(D7389,'taxonomy map'!$A$1:$C$107,2,FALSE),"")</f>
        <v/>
      </c>
      <c r="F7389" s="49" t="str">
        <f>IFERROR(VLOOKUP(E7389,'Condensed Specialty Crosswalk'!$A$2:$C$106,2,FALSE),"")</f>
        <v/>
      </c>
      <c r="G7389" s="49" t="str">
        <f>IFERROR(VLOOKUP(E7389,'Condensed Specialty Crosswalk'!$A$2:$C$106,3,FALSE),"")</f>
        <v/>
      </c>
    </row>
    <row r="7390" spans="5:7" ht="15" customHeight="1">
      <c r="E7390" s="49" t="str">
        <f>IFERROR(VLOOKUP(D7390,'taxonomy map'!$A$1:$C$107,2,FALSE),"")</f>
        <v/>
      </c>
      <c r="F7390" s="49" t="str">
        <f>IFERROR(VLOOKUP(E7390,'Condensed Specialty Crosswalk'!$A$2:$C$106,2,FALSE),"")</f>
        <v/>
      </c>
      <c r="G7390" s="49" t="str">
        <f>IFERROR(VLOOKUP(E7390,'Condensed Specialty Crosswalk'!$A$2:$C$106,3,FALSE),"")</f>
        <v/>
      </c>
    </row>
    <row r="7391" spans="5:7" ht="15" customHeight="1">
      <c r="E7391" s="49" t="str">
        <f>IFERROR(VLOOKUP(D7391,'taxonomy map'!$A$1:$C$107,2,FALSE),"")</f>
        <v/>
      </c>
      <c r="F7391" s="49" t="str">
        <f>IFERROR(VLOOKUP(E7391,'Condensed Specialty Crosswalk'!$A$2:$C$106,2,FALSE),"")</f>
        <v/>
      </c>
      <c r="G7391" s="49" t="str">
        <f>IFERROR(VLOOKUP(E7391,'Condensed Specialty Crosswalk'!$A$2:$C$106,3,FALSE),"")</f>
        <v/>
      </c>
    </row>
    <row r="7392" spans="5:7" ht="15" customHeight="1">
      <c r="E7392" s="49" t="str">
        <f>IFERROR(VLOOKUP(D7392,'taxonomy map'!$A$1:$C$107,2,FALSE),"")</f>
        <v/>
      </c>
      <c r="F7392" s="49" t="str">
        <f>IFERROR(VLOOKUP(E7392,'Condensed Specialty Crosswalk'!$A$2:$C$106,2,FALSE),"")</f>
        <v/>
      </c>
      <c r="G7392" s="49" t="str">
        <f>IFERROR(VLOOKUP(E7392,'Condensed Specialty Crosswalk'!$A$2:$C$106,3,FALSE),"")</f>
        <v/>
      </c>
    </row>
    <row r="7393" spans="5:7" ht="15" customHeight="1">
      <c r="E7393" s="49" t="str">
        <f>IFERROR(VLOOKUP(D7393,'taxonomy map'!$A$1:$C$107,2,FALSE),"")</f>
        <v/>
      </c>
      <c r="F7393" s="49" t="str">
        <f>IFERROR(VLOOKUP(E7393,'Condensed Specialty Crosswalk'!$A$2:$C$106,2,FALSE),"")</f>
        <v/>
      </c>
      <c r="G7393" s="49" t="str">
        <f>IFERROR(VLOOKUP(E7393,'Condensed Specialty Crosswalk'!$A$2:$C$106,3,FALSE),"")</f>
        <v/>
      </c>
    </row>
    <row r="7394" spans="5:7" ht="15" customHeight="1">
      <c r="E7394" s="49" t="str">
        <f>IFERROR(VLOOKUP(D7394,'taxonomy map'!$A$1:$C$107,2,FALSE),"")</f>
        <v/>
      </c>
      <c r="F7394" s="49" t="str">
        <f>IFERROR(VLOOKUP(E7394,'Condensed Specialty Crosswalk'!$A$2:$C$106,2,FALSE),"")</f>
        <v/>
      </c>
      <c r="G7394" s="49" t="str">
        <f>IFERROR(VLOOKUP(E7394,'Condensed Specialty Crosswalk'!$A$2:$C$106,3,FALSE),"")</f>
        <v/>
      </c>
    </row>
    <row r="7395" spans="5:7" ht="15" customHeight="1">
      <c r="E7395" s="49" t="str">
        <f>IFERROR(VLOOKUP(D7395,'taxonomy map'!$A$1:$C$107,2,FALSE),"")</f>
        <v/>
      </c>
      <c r="F7395" s="49" t="str">
        <f>IFERROR(VLOOKUP(E7395,'Condensed Specialty Crosswalk'!$A$2:$C$106,2,FALSE),"")</f>
        <v/>
      </c>
      <c r="G7395" s="49" t="str">
        <f>IFERROR(VLOOKUP(E7395,'Condensed Specialty Crosswalk'!$A$2:$C$106,3,FALSE),"")</f>
        <v/>
      </c>
    </row>
    <row r="7396" spans="5:7" ht="15" customHeight="1">
      <c r="E7396" s="49" t="str">
        <f>IFERROR(VLOOKUP(D7396,'taxonomy map'!$A$1:$C$107,2,FALSE),"")</f>
        <v/>
      </c>
      <c r="F7396" s="49" t="str">
        <f>IFERROR(VLOOKUP(E7396,'Condensed Specialty Crosswalk'!$A$2:$C$106,2,FALSE),"")</f>
        <v/>
      </c>
      <c r="G7396" s="49" t="str">
        <f>IFERROR(VLOOKUP(E7396,'Condensed Specialty Crosswalk'!$A$2:$C$106,3,FALSE),"")</f>
        <v/>
      </c>
    </row>
    <row r="7397" spans="5:7" ht="15" customHeight="1">
      <c r="E7397" s="49" t="str">
        <f>IFERROR(VLOOKUP(D7397,'taxonomy map'!$A$1:$C$107,2,FALSE),"")</f>
        <v/>
      </c>
      <c r="F7397" s="49" t="str">
        <f>IFERROR(VLOOKUP(E7397,'Condensed Specialty Crosswalk'!$A$2:$C$106,2,FALSE),"")</f>
        <v/>
      </c>
      <c r="G7397" s="49" t="str">
        <f>IFERROR(VLOOKUP(E7397,'Condensed Specialty Crosswalk'!$A$2:$C$106,3,FALSE),"")</f>
        <v/>
      </c>
    </row>
    <row r="7398" spans="5:7" ht="15" customHeight="1">
      <c r="E7398" s="49" t="str">
        <f>IFERROR(VLOOKUP(D7398,'taxonomy map'!$A$1:$C$107,2,FALSE),"")</f>
        <v/>
      </c>
      <c r="F7398" s="49" t="str">
        <f>IFERROR(VLOOKUP(E7398,'Condensed Specialty Crosswalk'!$A$2:$C$106,2,FALSE),"")</f>
        <v/>
      </c>
      <c r="G7398" s="49" t="str">
        <f>IFERROR(VLOOKUP(E7398,'Condensed Specialty Crosswalk'!$A$2:$C$106,3,FALSE),"")</f>
        <v/>
      </c>
    </row>
    <row r="7399" spans="5:7" ht="15" customHeight="1">
      <c r="E7399" s="49" t="str">
        <f>IFERROR(VLOOKUP(D7399,'taxonomy map'!$A$1:$C$107,2,FALSE),"")</f>
        <v/>
      </c>
      <c r="F7399" s="49" t="str">
        <f>IFERROR(VLOOKUP(E7399,'Condensed Specialty Crosswalk'!$A$2:$C$106,2,FALSE),"")</f>
        <v/>
      </c>
      <c r="G7399" s="49" t="str">
        <f>IFERROR(VLOOKUP(E7399,'Condensed Specialty Crosswalk'!$A$2:$C$106,3,FALSE),"")</f>
        <v/>
      </c>
    </row>
    <row r="7400" spans="5:7" ht="15" customHeight="1">
      <c r="E7400" s="49" t="str">
        <f>IFERROR(VLOOKUP(D7400,'taxonomy map'!$A$1:$C$107,2,FALSE),"")</f>
        <v/>
      </c>
      <c r="F7400" s="49" t="str">
        <f>IFERROR(VLOOKUP(E7400,'Condensed Specialty Crosswalk'!$A$2:$C$106,2,FALSE),"")</f>
        <v/>
      </c>
      <c r="G7400" s="49" t="str">
        <f>IFERROR(VLOOKUP(E7400,'Condensed Specialty Crosswalk'!$A$2:$C$106,3,FALSE),"")</f>
        <v/>
      </c>
    </row>
    <row r="7401" spans="5:7" ht="15" customHeight="1">
      <c r="E7401" s="49" t="str">
        <f>IFERROR(VLOOKUP(D7401,'taxonomy map'!$A$1:$C$107,2,FALSE),"")</f>
        <v/>
      </c>
      <c r="F7401" s="49" t="str">
        <f>IFERROR(VLOOKUP(E7401,'Condensed Specialty Crosswalk'!$A$2:$C$106,2,FALSE),"")</f>
        <v/>
      </c>
      <c r="G7401" s="49" t="str">
        <f>IFERROR(VLOOKUP(E7401,'Condensed Specialty Crosswalk'!$A$2:$C$106,3,FALSE),"")</f>
        <v/>
      </c>
    </row>
    <row r="7402" spans="5:7" ht="15" customHeight="1">
      <c r="E7402" s="49" t="str">
        <f>IFERROR(VLOOKUP(D7402,'taxonomy map'!$A$1:$C$107,2,FALSE),"")</f>
        <v/>
      </c>
      <c r="F7402" s="49" t="str">
        <f>IFERROR(VLOOKUP(E7402,'Condensed Specialty Crosswalk'!$A$2:$C$106,2,FALSE),"")</f>
        <v/>
      </c>
      <c r="G7402" s="49" t="str">
        <f>IFERROR(VLOOKUP(E7402,'Condensed Specialty Crosswalk'!$A$2:$C$106,3,FALSE),"")</f>
        <v/>
      </c>
    </row>
    <row r="7403" spans="5:7" ht="15" customHeight="1">
      <c r="E7403" s="49" t="str">
        <f>IFERROR(VLOOKUP(D7403,'taxonomy map'!$A$1:$C$107,2,FALSE),"")</f>
        <v/>
      </c>
      <c r="F7403" s="49" t="str">
        <f>IFERROR(VLOOKUP(E7403,'Condensed Specialty Crosswalk'!$A$2:$C$106,2,FALSE),"")</f>
        <v/>
      </c>
      <c r="G7403" s="49" t="str">
        <f>IFERROR(VLOOKUP(E7403,'Condensed Specialty Crosswalk'!$A$2:$C$106,3,FALSE),"")</f>
        <v/>
      </c>
    </row>
    <row r="7404" spans="5:7" ht="15" customHeight="1">
      <c r="E7404" s="49" t="str">
        <f>IFERROR(VLOOKUP(D7404,'taxonomy map'!$A$1:$C$107,2,FALSE),"")</f>
        <v/>
      </c>
      <c r="F7404" s="49" t="str">
        <f>IFERROR(VLOOKUP(E7404,'Condensed Specialty Crosswalk'!$A$2:$C$106,2,FALSE),"")</f>
        <v/>
      </c>
      <c r="G7404" s="49" t="str">
        <f>IFERROR(VLOOKUP(E7404,'Condensed Specialty Crosswalk'!$A$2:$C$106,3,FALSE),"")</f>
        <v/>
      </c>
    </row>
    <row r="7405" spans="5:7" ht="15" customHeight="1">
      <c r="E7405" s="49" t="str">
        <f>IFERROR(VLOOKUP(D7405,'taxonomy map'!$A$1:$C$107,2,FALSE),"")</f>
        <v/>
      </c>
      <c r="F7405" s="49" t="str">
        <f>IFERROR(VLOOKUP(E7405,'Condensed Specialty Crosswalk'!$A$2:$C$106,2,FALSE),"")</f>
        <v/>
      </c>
      <c r="G7405" s="49" t="str">
        <f>IFERROR(VLOOKUP(E7405,'Condensed Specialty Crosswalk'!$A$2:$C$106,3,FALSE),"")</f>
        <v/>
      </c>
    </row>
    <row r="7406" spans="5:7" ht="15" customHeight="1">
      <c r="E7406" s="49" t="str">
        <f>IFERROR(VLOOKUP(D7406,'taxonomy map'!$A$1:$C$107,2,FALSE),"")</f>
        <v/>
      </c>
      <c r="F7406" s="49" t="str">
        <f>IFERROR(VLOOKUP(E7406,'Condensed Specialty Crosswalk'!$A$2:$C$106,2,FALSE),"")</f>
        <v/>
      </c>
      <c r="G7406" s="49" t="str">
        <f>IFERROR(VLOOKUP(E7406,'Condensed Specialty Crosswalk'!$A$2:$C$106,3,FALSE),"")</f>
        <v/>
      </c>
    </row>
    <row r="7407" spans="5:7" ht="15" customHeight="1">
      <c r="E7407" s="49" t="str">
        <f>IFERROR(VLOOKUP(D7407,'taxonomy map'!$A$1:$C$107,2,FALSE),"")</f>
        <v/>
      </c>
      <c r="F7407" s="49" t="str">
        <f>IFERROR(VLOOKUP(E7407,'Condensed Specialty Crosswalk'!$A$2:$C$106,2,FALSE),"")</f>
        <v/>
      </c>
      <c r="G7407" s="49" t="str">
        <f>IFERROR(VLOOKUP(E7407,'Condensed Specialty Crosswalk'!$A$2:$C$106,3,FALSE),"")</f>
        <v/>
      </c>
    </row>
    <row r="7408" spans="5:7" ht="15" customHeight="1">
      <c r="E7408" s="49" t="str">
        <f>IFERROR(VLOOKUP(D7408,'taxonomy map'!$A$1:$C$107,2,FALSE),"")</f>
        <v/>
      </c>
      <c r="F7408" s="49" t="str">
        <f>IFERROR(VLOOKUP(E7408,'Condensed Specialty Crosswalk'!$A$2:$C$106,2,FALSE),"")</f>
        <v/>
      </c>
      <c r="G7408" s="49" t="str">
        <f>IFERROR(VLOOKUP(E7408,'Condensed Specialty Crosswalk'!$A$2:$C$106,3,FALSE),"")</f>
        <v/>
      </c>
    </row>
    <row r="7409" spans="5:7" ht="15" customHeight="1">
      <c r="E7409" s="49" t="str">
        <f>IFERROR(VLOOKUP(D7409,'taxonomy map'!$A$1:$C$107,2,FALSE),"")</f>
        <v/>
      </c>
      <c r="F7409" s="49" t="str">
        <f>IFERROR(VLOOKUP(E7409,'Condensed Specialty Crosswalk'!$A$2:$C$106,2,FALSE),"")</f>
        <v/>
      </c>
      <c r="G7409" s="49" t="str">
        <f>IFERROR(VLOOKUP(E7409,'Condensed Specialty Crosswalk'!$A$2:$C$106,3,FALSE),"")</f>
        <v/>
      </c>
    </row>
    <row r="7410" spans="5:7" ht="15" customHeight="1">
      <c r="E7410" s="49" t="str">
        <f>IFERROR(VLOOKUP(D7410,'taxonomy map'!$A$1:$C$107,2,FALSE),"")</f>
        <v/>
      </c>
      <c r="F7410" s="49" t="str">
        <f>IFERROR(VLOOKUP(E7410,'Condensed Specialty Crosswalk'!$A$2:$C$106,2,FALSE),"")</f>
        <v/>
      </c>
      <c r="G7410" s="49" t="str">
        <f>IFERROR(VLOOKUP(E7410,'Condensed Specialty Crosswalk'!$A$2:$C$106,3,FALSE),"")</f>
        <v/>
      </c>
    </row>
    <row r="7411" spans="5:7" ht="15" customHeight="1">
      <c r="E7411" s="49" t="str">
        <f>IFERROR(VLOOKUP(D7411,'taxonomy map'!$A$1:$C$107,2,FALSE),"")</f>
        <v/>
      </c>
      <c r="F7411" s="49" t="str">
        <f>IFERROR(VLOOKUP(E7411,'Condensed Specialty Crosswalk'!$A$2:$C$106,2,FALSE),"")</f>
        <v/>
      </c>
      <c r="G7411" s="49" t="str">
        <f>IFERROR(VLOOKUP(E7411,'Condensed Specialty Crosswalk'!$A$2:$C$106,3,FALSE),"")</f>
        <v/>
      </c>
    </row>
    <row r="7412" spans="5:7" ht="15" customHeight="1">
      <c r="E7412" s="49" t="str">
        <f>IFERROR(VLOOKUP(D7412,'taxonomy map'!$A$1:$C$107,2,FALSE),"")</f>
        <v/>
      </c>
      <c r="F7412" s="49" t="str">
        <f>IFERROR(VLOOKUP(E7412,'Condensed Specialty Crosswalk'!$A$2:$C$106,2,FALSE),"")</f>
        <v/>
      </c>
      <c r="G7412" s="49" t="str">
        <f>IFERROR(VLOOKUP(E7412,'Condensed Specialty Crosswalk'!$A$2:$C$106,3,FALSE),"")</f>
        <v/>
      </c>
    </row>
    <row r="7413" spans="5:7" ht="15" customHeight="1">
      <c r="E7413" s="49" t="str">
        <f>IFERROR(VLOOKUP(D7413,'taxonomy map'!$A$1:$C$107,2,FALSE),"")</f>
        <v/>
      </c>
      <c r="F7413" s="49" t="str">
        <f>IFERROR(VLOOKUP(E7413,'Condensed Specialty Crosswalk'!$A$2:$C$106,2,FALSE),"")</f>
        <v/>
      </c>
      <c r="G7413" s="49" t="str">
        <f>IFERROR(VLOOKUP(E7413,'Condensed Specialty Crosswalk'!$A$2:$C$106,3,FALSE),"")</f>
        <v/>
      </c>
    </row>
    <row r="7414" spans="5:7" ht="15" customHeight="1">
      <c r="E7414" s="49" t="str">
        <f>IFERROR(VLOOKUP(D7414,'taxonomy map'!$A$1:$C$107,2,FALSE),"")</f>
        <v/>
      </c>
      <c r="F7414" s="49" t="str">
        <f>IFERROR(VLOOKUP(E7414,'Condensed Specialty Crosswalk'!$A$2:$C$106,2,FALSE),"")</f>
        <v/>
      </c>
      <c r="G7414" s="49" t="str">
        <f>IFERROR(VLOOKUP(E7414,'Condensed Specialty Crosswalk'!$A$2:$C$106,3,FALSE),"")</f>
        <v/>
      </c>
    </row>
    <row r="7415" spans="5:7" ht="15" customHeight="1">
      <c r="E7415" s="49" t="str">
        <f>IFERROR(VLOOKUP(D7415,'taxonomy map'!$A$1:$C$107,2,FALSE),"")</f>
        <v/>
      </c>
      <c r="F7415" s="49" t="str">
        <f>IFERROR(VLOOKUP(E7415,'Condensed Specialty Crosswalk'!$A$2:$C$106,2,FALSE),"")</f>
        <v/>
      </c>
      <c r="G7415" s="49" t="str">
        <f>IFERROR(VLOOKUP(E7415,'Condensed Specialty Crosswalk'!$A$2:$C$106,3,FALSE),"")</f>
        <v/>
      </c>
    </row>
    <row r="7416" spans="5:7" ht="15" customHeight="1">
      <c r="E7416" s="49" t="str">
        <f>IFERROR(VLOOKUP(D7416,'taxonomy map'!$A$1:$C$107,2,FALSE),"")</f>
        <v/>
      </c>
      <c r="F7416" s="49" t="str">
        <f>IFERROR(VLOOKUP(E7416,'Condensed Specialty Crosswalk'!$A$2:$C$106,2,FALSE),"")</f>
        <v/>
      </c>
      <c r="G7416" s="49" t="str">
        <f>IFERROR(VLOOKUP(E7416,'Condensed Specialty Crosswalk'!$A$2:$C$106,3,FALSE),"")</f>
        <v/>
      </c>
    </row>
    <row r="7417" spans="5:7" ht="15" customHeight="1">
      <c r="E7417" s="49" t="str">
        <f>IFERROR(VLOOKUP(D7417,'taxonomy map'!$A$1:$C$107,2,FALSE),"")</f>
        <v/>
      </c>
      <c r="F7417" s="49" t="str">
        <f>IFERROR(VLOOKUP(E7417,'Condensed Specialty Crosswalk'!$A$2:$C$106,2,FALSE),"")</f>
        <v/>
      </c>
      <c r="G7417" s="49" t="str">
        <f>IFERROR(VLOOKUP(E7417,'Condensed Specialty Crosswalk'!$A$2:$C$106,3,FALSE),"")</f>
        <v/>
      </c>
    </row>
    <row r="7418" spans="5:7" ht="15" customHeight="1">
      <c r="E7418" s="49" t="str">
        <f>IFERROR(VLOOKUP(D7418,'taxonomy map'!$A$1:$C$107,2,FALSE),"")</f>
        <v/>
      </c>
      <c r="F7418" s="49" t="str">
        <f>IFERROR(VLOOKUP(E7418,'Condensed Specialty Crosswalk'!$A$2:$C$106,2,FALSE),"")</f>
        <v/>
      </c>
      <c r="G7418" s="49" t="str">
        <f>IFERROR(VLOOKUP(E7418,'Condensed Specialty Crosswalk'!$A$2:$C$106,3,FALSE),"")</f>
        <v/>
      </c>
    </row>
    <row r="7419" spans="5:7" ht="15" customHeight="1">
      <c r="E7419" s="49" t="str">
        <f>IFERROR(VLOOKUP(D7419,'taxonomy map'!$A$1:$C$107,2,FALSE),"")</f>
        <v/>
      </c>
      <c r="F7419" s="49" t="str">
        <f>IFERROR(VLOOKUP(E7419,'Condensed Specialty Crosswalk'!$A$2:$C$106,2,FALSE),"")</f>
        <v/>
      </c>
      <c r="G7419" s="49" t="str">
        <f>IFERROR(VLOOKUP(E7419,'Condensed Specialty Crosswalk'!$A$2:$C$106,3,FALSE),"")</f>
        <v/>
      </c>
    </row>
    <row r="7420" spans="5:7" ht="15" customHeight="1">
      <c r="E7420" s="49" t="str">
        <f>IFERROR(VLOOKUP(D7420,'taxonomy map'!$A$1:$C$107,2,FALSE),"")</f>
        <v/>
      </c>
      <c r="F7420" s="49" t="str">
        <f>IFERROR(VLOOKUP(E7420,'Condensed Specialty Crosswalk'!$A$2:$C$106,2,FALSE),"")</f>
        <v/>
      </c>
      <c r="G7420" s="49" t="str">
        <f>IFERROR(VLOOKUP(E7420,'Condensed Specialty Crosswalk'!$A$2:$C$106,3,FALSE),"")</f>
        <v/>
      </c>
    </row>
    <row r="7421" spans="5:7" ht="15" customHeight="1">
      <c r="E7421" s="49" t="str">
        <f>IFERROR(VLOOKUP(D7421,'taxonomy map'!$A$1:$C$107,2,FALSE),"")</f>
        <v/>
      </c>
      <c r="F7421" s="49" t="str">
        <f>IFERROR(VLOOKUP(E7421,'Condensed Specialty Crosswalk'!$A$2:$C$106,2,FALSE),"")</f>
        <v/>
      </c>
      <c r="G7421" s="49" t="str">
        <f>IFERROR(VLOOKUP(E7421,'Condensed Specialty Crosswalk'!$A$2:$C$106,3,FALSE),"")</f>
        <v/>
      </c>
    </row>
    <row r="7422" spans="5:7" ht="15" customHeight="1">
      <c r="E7422" s="49" t="str">
        <f>IFERROR(VLOOKUP(D7422,'taxonomy map'!$A$1:$C$107,2,FALSE),"")</f>
        <v/>
      </c>
      <c r="F7422" s="49" t="str">
        <f>IFERROR(VLOOKUP(E7422,'Condensed Specialty Crosswalk'!$A$2:$C$106,2,FALSE),"")</f>
        <v/>
      </c>
      <c r="G7422" s="49" t="str">
        <f>IFERROR(VLOOKUP(E7422,'Condensed Specialty Crosswalk'!$A$2:$C$106,3,FALSE),"")</f>
        <v/>
      </c>
    </row>
    <row r="7423" spans="5:7" ht="15" customHeight="1">
      <c r="E7423" s="49" t="str">
        <f>IFERROR(VLOOKUP(D7423,'taxonomy map'!$A$1:$C$107,2,FALSE),"")</f>
        <v/>
      </c>
      <c r="F7423" s="49" t="str">
        <f>IFERROR(VLOOKUP(E7423,'Condensed Specialty Crosswalk'!$A$2:$C$106,2,FALSE),"")</f>
        <v/>
      </c>
      <c r="G7423" s="49" t="str">
        <f>IFERROR(VLOOKUP(E7423,'Condensed Specialty Crosswalk'!$A$2:$C$106,3,FALSE),"")</f>
        <v/>
      </c>
    </row>
    <row r="7424" spans="5:7" ht="15" customHeight="1">
      <c r="E7424" s="49" t="str">
        <f>IFERROR(VLOOKUP(D7424,'taxonomy map'!$A$1:$C$107,2,FALSE),"")</f>
        <v/>
      </c>
      <c r="F7424" s="49" t="str">
        <f>IFERROR(VLOOKUP(E7424,'Condensed Specialty Crosswalk'!$A$2:$C$106,2,FALSE),"")</f>
        <v/>
      </c>
      <c r="G7424" s="49" t="str">
        <f>IFERROR(VLOOKUP(E7424,'Condensed Specialty Crosswalk'!$A$2:$C$106,3,FALSE),"")</f>
        <v/>
      </c>
    </row>
    <row r="7425" spans="5:7" ht="15" customHeight="1">
      <c r="E7425" s="49" t="str">
        <f>IFERROR(VLOOKUP(D7425,'taxonomy map'!$A$1:$C$107,2,FALSE),"")</f>
        <v/>
      </c>
      <c r="F7425" s="49" t="str">
        <f>IFERROR(VLOOKUP(E7425,'Condensed Specialty Crosswalk'!$A$2:$C$106,2,FALSE),"")</f>
        <v/>
      </c>
      <c r="G7425" s="49" t="str">
        <f>IFERROR(VLOOKUP(E7425,'Condensed Specialty Crosswalk'!$A$2:$C$106,3,FALSE),"")</f>
        <v/>
      </c>
    </row>
    <row r="7426" spans="5:7" ht="15" customHeight="1">
      <c r="E7426" s="49" t="str">
        <f>IFERROR(VLOOKUP(D7426,'taxonomy map'!$A$1:$C$107,2,FALSE),"")</f>
        <v/>
      </c>
      <c r="F7426" s="49" t="str">
        <f>IFERROR(VLOOKUP(E7426,'Condensed Specialty Crosswalk'!$A$2:$C$106,2,FALSE),"")</f>
        <v/>
      </c>
      <c r="G7426" s="49" t="str">
        <f>IFERROR(VLOOKUP(E7426,'Condensed Specialty Crosswalk'!$A$2:$C$106,3,FALSE),"")</f>
        <v/>
      </c>
    </row>
    <row r="7427" spans="5:7" ht="15" customHeight="1">
      <c r="E7427" s="49" t="str">
        <f>IFERROR(VLOOKUP(D7427,'taxonomy map'!$A$1:$C$107,2,FALSE),"")</f>
        <v/>
      </c>
      <c r="F7427" s="49" t="str">
        <f>IFERROR(VLOOKUP(E7427,'Condensed Specialty Crosswalk'!$A$2:$C$106,2,FALSE),"")</f>
        <v/>
      </c>
      <c r="G7427" s="49" t="str">
        <f>IFERROR(VLOOKUP(E7427,'Condensed Specialty Crosswalk'!$A$2:$C$106,3,FALSE),"")</f>
        <v/>
      </c>
    </row>
    <row r="7428" spans="5:7" ht="15" customHeight="1">
      <c r="E7428" s="49" t="str">
        <f>IFERROR(VLOOKUP(D7428,'taxonomy map'!$A$1:$C$107,2,FALSE),"")</f>
        <v/>
      </c>
      <c r="F7428" s="49" t="str">
        <f>IFERROR(VLOOKUP(E7428,'Condensed Specialty Crosswalk'!$A$2:$C$106,2,FALSE),"")</f>
        <v/>
      </c>
      <c r="G7428" s="49" t="str">
        <f>IFERROR(VLOOKUP(E7428,'Condensed Specialty Crosswalk'!$A$2:$C$106,3,FALSE),"")</f>
        <v/>
      </c>
    </row>
    <row r="7429" spans="5:7" ht="15" customHeight="1">
      <c r="E7429" s="49" t="str">
        <f>IFERROR(VLOOKUP(D7429,'taxonomy map'!$A$1:$C$107,2,FALSE),"")</f>
        <v/>
      </c>
      <c r="F7429" s="49" t="str">
        <f>IFERROR(VLOOKUP(E7429,'Condensed Specialty Crosswalk'!$A$2:$C$106,2,FALSE),"")</f>
        <v/>
      </c>
      <c r="G7429" s="49" t="str">
        <f>IFERROR(VLOOKUP(E7429,'Condensed Specialty Crosswalk'!$A$2:$C$106,3,FALSE),"")</f>
        <v/>
      </c>
    </row>
    <row r="7430" spans="5:7" ht="15" customHeight="1">
      <c r="E7430" s="49" t="str">
        <f>IFERROR(VLOOKUP(D7430,'taxonomy map'!$A$1:$C$107,2,FALSE),"")</f>
        <v/>
      </c>
      <c r="F7430" s="49" t="str">
        <f>IFERROR(VLOOKUP(E7430,'Condensed Specialty Crosswalk'!$A$2:$C$106,2,FALSE),"")</f>
        <v/>
      </c>
      <c r="G7430" s="49" t="str">
        <f>IFERROR(VLOOKUP(E7430,'Condensed Specialty Crosswalk'!$A$2:$C$106,3,FALSE),"")</f>
        <v/>
      </c>
    </row>
    <row r="7431" spans="5:7" ht="15" customHeight="1">
      <c r="E7431" s="49" t="str">
        <f>IFERROR(VLOOKUP(D7431,'taxonomy map'!$A$1:$C$107,2,FALSE),"")</f>
        <v/>
      </c>
      <c r="F7431" s="49" t="str">
        <f>IFERROR(VLOOKUP(E7431,'Condensed Specialty Crosswalk'!$A$2:$C$106,2,FALSE),"")</f>
        <v/>
      </c>
      <c r="G7431" s="49" t="str">
        <f>IFERROR(VLOOKUP(E7431,'Condensed Specialty Crosswalk'!$A$2:$C$106,3,FALSE),"")</f>
        <v/>
      </c>
    </row>
    <row r="7432" spans="5:7" ht="15" customHeight="1">
      <c r="E7432" s="49" t="str">
        <f>IFERROR(VLOOKUP(D7432,'taxonomy map'!$A$1:$C$107,2,FALSE),"")</f>
        <v/>
      </c>
      <c r="F7432" s="49" t="str">
        <f>IFERROR(VLOOKUP(E7432,'Condensed Specialty Crosswalk'!$A$2:$C$106,2,FALSE),"")</f>
        <v/>
      </c>
      <c r="G7432" s="49" t="str">
        <f>IFERROR(VLOOKUP(E7432,'Condensed Specialty Crosswalk'!$A$2:$C$106,3,FALSE),"")</f>
        <v/>
      </c>
    </row>
    <row r="7433" spans="5:7" ht="15" customHeight="1">
      <c r="E7433" s="49" t="str">
        <f>IFERROR(VLOOKUP(D7433,'taxonomy map'!$A$1:$C$107,2,FALSE),"")</f>
        <v/>
      </c>
      <c r="F7433" s="49" t="str">
        <f>IFERROR(VLOOKUP(E7433,'Condensed Specialty Crosswalk'!$A$2:$C$106,2,FALSE),"")</f>
        <v/>
      </c>
      <c r="G7433" s="49" t="str">
        <f>IFERROR(VLOOKUP(E7433,'Condensed Specialty Crosswalk'!$A$2:$C$106,3,FALSE),"")</f>
        <v/>
      </c>
    </row>
    <row r="7434" spans="5:7" ht="15" customHeight="1">
      <c r="E7434" s="49" t="str">
        <f>IFERROR(VLOOKUP(D7434,'taxonomy map'!$A$1:$C$107,2,FALSE),"")</f>
        <v/>
      </c>
      <c r="F7434" s="49" t="str">
        <f>IFERROR(VLOOKUP(E7434,'Condensed Specialty Crosswalk'!$A$2:$C$106,2,FALSE),"")</f>
        <v/>
      </c>
      <c r="G7434" s="49" t="str">
        <f>IFERROR(VLOOKUP(E7434,'Condensed Specialty Crosswalk'!$A$2:$C$106,3,FALSE),"")</f>
        <v/>
      </c>
    </row>
    <row r="7435" spans="5:7" ht="15" customHeight="1">
      <c r="E7435" s="49" t="str">
        <f>IFERROR(VLOOKUP(D7435,'taxonomy map'!$A$1:$C$107,2,FALSE),"")</f>
        <v/>
      </c>
      <c r="F7435" s="49" t="str">
        <f>IFERROR(VLOOKUP(E7435,'Condensed Specialty Crosswalk'!$A$2:$C$106,2,FALSE),"")</f>
        <v/>
      </c>
      <c r="G7435" s="49" t="str">
        <f>IFERROR(VLOOKUP(E7435,'Condensed Specialty Crosswalk'!$A$2:$C$106,3,FALSE),"")</f>
        <v/>
      </c>
    </row>
    <row r="7436" spans="5:7" ht="15" customHeight="1">
      <c r="E7436" s="49" t="str">
        <f>IFERROR(VLOOKUP(D7436,'taxonomy map'!$A$1:$C$107,2,FALSE),"")</f>
        <v/>
      </c>
      <c r="F7436" s="49" t="str">
        <f>IFERROR(VLOOKUP(E7436,'Condensed Specialty Crosswalk'!$A$2:$C$106,2,FALSE),"")</f>
        <v/>
      </c>
      <c r="G7436" s="49" t="str">
        <f>IFERROR(VLOOKUP(E7436,'Condensed Specialty Crosswalk'!$A$2:$C$106,3,FALSE),"")</f>
        <v/>
      </c>
    </row>
    <row r="7437" spans="5:7" ht="15" customHeight="1">
      <c r="E7437" s="49" t="str">
        <f>IFERROR(VLOOKUP(D7437,'taxonomy map'!$A$1:$C$107,2,FALSE),"")</f>
        <v/>
      </c>
      <c r="F7437" s="49" t="str">
        <f>IFERROR(VLOOKUP(E7437,'Condensed Specialty Crosswalk'!$A$2:$C$106,2,FALSE),"")</f>
        <v/>
      </c>
      <c r="G7437" s="49" t="str">
        <f>IFERROR(VLOOKUP(E7437,'Condensed Specialty Crosswalk'!$A$2:$C$106,3,FALSE),"")</f>
        <v/>
      </c>
    </row>
    <row r="7438" spans="5:7" ht="15" customHeight="1">
      <c r="E7438" s="49" t="str">
        <f>IFERROR(VLOOKUP(D7438,'taxonomy map'!$A$1:$C$107,2,FALSE),"")</f>
        <v/>
      </c>
      <c r="F7438" s="49" t="str">
        <f>IFERROR(VLOOKUP(E7438,'Condensed Specialty Crosswalk'!$A$2:$C$106,2,FALSE),"")</f>
        <v/>
      </c>
      <c r="G7438" s="49" t="str">
        <f>IFERROR(VLOOKUP(E7438,'Condensed Specialty Crosswalk'!$A$2:$C$106,3,FALSE),"")</f>
        <v/>
      </c>
    </row>
    <row r="7439" spans="5:7" ht="15" customHeight="1">
      <c r="E7439" s="49" t="str">
        <f>IFERROR(VLOOKUP(D7439,'taxonomy map'!$A$1:$C$107,2,FALSE),"")</f>
        <v/>
      </c>
      <c r="F7439" s="49" t="str">
        <f>IFERROR(VLOOKUP(E7439,'Condensed Specialty Crosswalk'!$A$2:$C$106,2,FALSE),"")</f>
        <v/>
      </c>
      <c r="G7439" s="49" t="str">
        <f>IFERROR(VLOOKUP(E7439,'Condensed Specialty Crosswalk'!$A$2:$C$106,3,FALSE),"")</f>
        <v/>
      </c>
    </row>
    <row r="7440" spans="5:7" ht="15" customHeight="1">
      <c r="E7440" s="49" t="str">
        <f>IFERROR(VLOOKUP(D7440,'taxonomy map'!$A$1:$C$107,2,FALSE),"")</f>
        <v/>
      </c>
      <c r="F7440" s="49" t="str">
        <f>IFERROR(VLOOKUP(E7440,'Condensed Specialty Crosswalk'!$A$2:$C$106,2,FALSE),"")</f>
        <v/>
      </c>
      <c r="G7440" s="49" t="str">
        <f>IFERROR(VLOOKUP(E7440,'Condensed Specialty Crosswalk'!$A$2:$C$106,3,FALSE),"")</f>
        <v/>
      </c>
    </row>
    <row r="7441" spans="5:7" ht="15" customHeight="1">
      <c r="E7441" s="49" t="str">
        <f>IFERROR(VLOOKUP(D7441,'taxonomy map'!$A$1:$C$107,2,FALSE),"")</f>
        <v/>
      </c>
      <c r="F7441" s="49" t="str">
        <f>IFERROR(VLOOKUP(E7441,'Condensed Specialty Crosswalk'!$A$2:$C$106,2,FALSE),"")</f>
        <v/>
      </c>
      <c r="G7441" s="49" t="str">
        <f>IFERROR(VLOOKUP(E7441,'Condensed Specialty Crosswalk'!$A$2:$C$106,3,FALSE),"")</f>
        <v/>
      </c>
    </row>
    <row r="7442" spans="5:7" ht="15" customHeight="1">
      <c r="E7442" s="49" t="str">
        <f>IFERROR(VLOOKUP(D7442,'taxonomy map'!$A$1:$C$107,2,FALSE),"")</f>
        <v/>
      </c>
      <c r="F7442" s="49" t="str">
        <f>IFERROR(VLOOKUP(E7442,'Condensed Specialty Crosswalk'!$A$2:$C$106,2,FALSE),"")</f>
        <v/>
      </c>
      <c r="G7442" s="49" t="str">
        <f>IFERROR(VLOOKUP(E7442,'Condensed Specialty Crosswalk'!$A$2:$C$106,3,FALSE),"")</f>
        <v/>
      </c>
    </row>
    <row r="7443" spans="5:7" ht="15" customHeight="1">
      <c r="E7443" s="49" t="str">
        <f>IFERROR(VLOOKUP(D7443,'taxonomy map'!$A$1:$C$107,2,FALSE),"")</f>
        <v/>
      </c>
      <c r="F7443" s="49" t="str">
        <f>IFERROR(VLOOKUP(E7443,'Condensed Specialty Crosswalk'!$A$2:$C$106,2,FALSE),"")</f>
        <v/>
      </c>
      <c r="G7443" s="49" t="str">
        <f>IFERROR(VLOOKUP(E7443,'Condensed Specialty Crosswalk'!$A$2:$C$106,3,FALSE),"")</f>
        <v/>
      </c>
    </row>
    <row r="7444" spans="5:7" ht="15" customHeight="1">
      <c r="E7444" s="49" t="str">
        <f>IFERROR(VLOOKUP(D7444,'taxonomy map'!$A$1:$C$107,2,FALSE),"")</f>
        <v/>
      </c>
      <c r="F7444" s="49" t="str">
        <f>IFERROR(VLOOKUP(E7444,'Condensed Specialty Crosswalk'!$A$2:$C$106,2,FALSE),"")</f>
        <v/>
      </c>
      <c r="G7444" s="49" t="str">
        <f>IFERROR(VLOOKUP(E7444,'Condensed Specialty Crosswalk'!$A$2:$C$106,3,FALSE),"")</f>
        <v/>
      </c>
    </row>
    <row r="7445" spans="5:7" ht="15" customHeight="1">
      <c r="E7445" s="49" t="str">
        <f>IFERROR(VLOOKUP(D7445,'taxonomy map'!$A$1:$C$107,2,FALSE),"")</f>
        <v/>
      </c>
      <c r="F7445" s="49" t="str">
        <f>IFERROR(VLOOKUP(E7445,'Condensed Specialty Crosswalk'!$A$2:$C$106,2,FALSE),"")</f>
        <v/>
      </c>
      <c r="G7445" s="49" t="str">
        <f>IFERROR(VLOOKUP(E7445,'Condensed Specialty Crosswalk'!$A$2:$C$106,3,FALSE),"")</f>
        <v/>
      </c>
    </row>
    <row r="7446" spans="5:7" ht="15" customHeight="1">
      <c r="E7446" s="49" t="str">
        <f>IFERROR(VLOOKUP(D7446,'taxonomy map'!$A$1:$C$107,2,FALSE),"")</f>
        <v/>
      </c>
      <c r="F7446" s="49" t="str">
        <f>IFERROR(VLOOKUP(E7446,'Condensed Specialty Crosswalk'!$A$2:$C$106,2,FALSE),"")</f>
        <v/>
      </c>
      <c r="G7446" s="49" t="str">
        <f>IFERROR(VLOOKUP(E7446,'Condensed Specialty Crosswalk'!$A$2:$C$106,3,FALSE),"")</f>
        <v/>
      </c>
    </row>
    <row r="7447" spans="5:7" ht="15" customHeight="1">
      <c r="E7447" s="49" t="str">
        <f>IFERROR(VLOOKUP(D7447,'taxonomy map'!$A$1:$C$107,2,FALSE),"")</f>
        <v/>
      </c>
      <c r="F7447" s="49" t="str">
        <f>IFERROR(VLOOKUP(E7447,'Condensed Specialty Crosswalk'!$A$2:$C$106,2,FALSE),"")</f>
        <v/>
      </c>
      <c r="G7447" s="49" t="str">
        <f>IFERROR(VLOOKUP(E7447,'Condensed Specialty Crosswalk'!$A$2:$C$106,3,FALSE),"")</f>
        <v/>
      </c>
    </row>
    <row r="7448" spans="5:7" ht="15" customHeight="1">
      <c r="E7448" s="49" t="str">
        <f>IFERROR(VLOOKUP(D7448,'taxonomy map'!$A$1:$C$107,2,FALSE),"")</f>
        <v/>
      </c>
      <c r="F7448" s="49" t="str">
        <f>IFERROR(VLOOKUP(E7448,'Condensed Specialty Crosswalk'!$A$2:$C$106,2,FALSE),"")</f>
        <v/>
      </c>
      <c r="G7448" s="49" t="str">
        <f>IFERROR(VLOOKUP(E7448,'Condensed Specialty Crosswalk'!$A$2:$C$106,3,FALSE),"")</f>
        <v/>
      </c>
    </row>
    <row r="7449" spans="5:7" ht="15" customHeight="1">
      <c r="E7449" s="49" t="str">
        <f>IFERROR(VLOOKUP(D7449,'taxonomy map'!$A$1:$C$107,2,FALSE),"")</f>
        <v/>
      </c>
      <c r="F7449" s="49" t="str">
        <f>IFERROR(VLOOKUP(E7449,'Condensed Specialty Crosswalk'!$A$2:$C$106,2,FALSE),"")</f>
        <v/>
      </c>
      <c r="G7449" s="49" t="str">
        <f>IFERROR(VLOOKUP(E7449,'Condensed Specialty Crosswalk'!$A$2:$C$106,3,FALSE),"")</f>
        <v/>
      </c>
    </row>
    <row r="7450" spans="5:7" ht="15" customHeight="1">
      <c r="E7450" s="49" t="str">
        <f>IFERROR(VLOOKUP(D7450,'taxonomy map'!$A$1:$C$107,2,FALSE),"")</f>
        <v/>
      </c>
      <c r="F7450" s="49" t="str">
        <f>IFERROR(VLOOKUP(E7450,'Condensed Specialty Crosswalk'!$A$2:$C$106,2,FALSE),"")</f>
        <v/>
      </c>
      <c r="G7450" s="49" t="str">
        <f>IFERROR(VLOOKUP(E7450,'Condensed Specialty Crosswalk'!$A$2:$C$106,3,FALSE),"")</f>
        <v/>
      </c>
    </row>
    <row r="7451" spans="5:7" ht="15" customHeight="1">
      <c r="E7451" s="49" t="str">
        <f>IFERROR(VLOOKUP(D7451,'taxonomy map'!$A$1:$C$107,2,FALSE),"")</f>
        <v/>
      </c>
      <c r="F7451" s="49" t="str">
        <f>IFERROR(VLOOKUP(E7451,'Condensed Specialty Crosswalk'!$A$2:$C$106,2,FALSE),"")</f>
        <v/>
      </c>
      <c r="G7451" s="49" t="str">
        <f>IFERROR(VLOOKUP(E7451,'Condensed Specialty Crosswalk'!$A$2:$C$106,3,FALSE),"")</f>
        <v/>
      </c>
    </row>
    <row r="7452" spans="5:7" ht="15" customHeight="1">
      <c r="E7452" s="49" t="str">
        <f>IFERROR(VLOOKUP(D7452,'taxonomy map'!$A$1:$C$107,2,FALSE),"")</f>
        <v/>
      </c>
      <c r="F7452" s="49" t="str">
        <f>IFERROR(VLOOKUP(E7452,'Condensed Specialty Crosswalk'!$A$2:$C$106,2,FALSE),"")</f>
        <v/>
      </c>
      <c r="G7452" s="49" t="str">
        <f>IFERROR(VLOOKUP(E7452,'Condensed Specialty Crosswalk'!$A$2:$C$106,3,FALSE),"")</f>
        <v/>
      </c>
    </row>
    <row r="7453" spans="5:7" ht="15" customHeight="1">
      <c r="E7453" s="49" t="str">
        <f>IFERROR(VLOOKUP(D7453,'taxonomy map'!$A$1:$C$107,2,FALSE),"")</f>
        <v/>
      </c>
      <c r="F7453" s="49" t="str">
        <f>IFERROR(VLOOKUP(E7453,'Condensed Specialty Crosswalk'!$A$2:$C$106,2,FALSE),"")</f>
        <v/>
      </c>
      <c r="G7453" s="49" t="str">
        <f>IFERROR(VLOOKUP(E7453,'Condensed Specialty Crosswalk'!$A$2:$C$106,3,FALSE),"")</f>
        <v/>
      </c>
    </row>
    <row r="7454" spans="5:7" ht="15" customHeight="1">
      <c r="E7454" s="49" t="str">
        <f>IFERROR(VLOOKUP(D7454,'taxonomy map'!$A$1:$C$107,2,FALSE),"")</f>
        <v/>
      </c>
      <c r="F7454" s="49" t="str">
        <f>IFERROR(VLOOKUP(E7454,'Condensed Specialty Crosswalk'!$A$2:$C$106,2,FALSE),"")</f>
        <v/>
      </c>
      <c r="G7454" s="49" t="str">
        <f>IFERROR(VLOOKUP(E7454,'Condensed Specialty Crosswalk'!$A$2:$C$106,3,FALSE),"")</f>
        <v/>
      </c>
    </row>
    <row r="7455" spans="5:7" ht="15" customHeight="1">
      <c r="E7455" s="49" t="str">
        <f>IFERROR(VLOOKUP(D7455,'taxonomy map'!$A$1:$C$107,2,FALSE),"")</f>
        <v/>
      </c>
      <c r="F7455" s="49" t="str">
        <f>IFERROR(VLOOKUP(E7455,'Condensed Specialty Crosswalk'!$A$2:$C$106,2,FALSE),"")</f>
        <v/>
      </c>
      <c r="G7455" s="49" t="str">
        <f>IFERROR(VLOOKUP(E7455,'Condensed Specialty Crosswalk'!$A$2:$C$106,3,FALSE),"")</f>
        <v/>
      </c>
    </row>
    <row r="7456" spans="5:7" ht="15" customHeight="1">
      <c r="E7456" s="49" t="str">
        <f>IFERROR(VLOOKUP(D7456,'taxonomy map'!$A$1:$C$107,2,FALSE),"")</f>
        <v/>
      </c>
      <c r="F7456" s="49" t="str">
        <f>IFERROR(VLOOKUP(E7456,'Condensed Specialty Crosswalk'!$A$2:$C$106,2,FALSE),"")</f>
        <v/>
      </c>
      <c r="G7456" s="49" t="str">
        <f>IFERROR(VLOOKUP(E7456,'Condensed Specialty Crosswalk'!$A$2:$C$106,3,FALSE),"")</f>
        <v/>
      </c>
    </row>
    <row r="7457" spans="5:7" ht="15" customHeight="1">
      <c r="E7457" s="49" t="str">
        <f>IFERROR(VLOOKUP(D7457,'taxonomy map'!$A$1:$C$107,2,FALSE),"")</f>
        <v/>
      </c>
      <c r="F7457" s="49" t="str">
        <f>IFERROR(VLOOKUP(E7457,'Condensed Specialty Crosswalk'!$A$2:$C$106,2,FALSE),"")</f>
        <v/>
      </c>
      <c r="G7457" s="49" t="str">
        <f>IFERROR(VLOOKUP(E7457,'Condensed Specialty Crosswalk'!$A$2:$C$106,3,FALSE),"")</f>
        <v/>
      </c>
    </row>
    <row r="7458" spans="5:7" ht="15" customHeight="1">
      <c r="E7458" s="49" t="str">
        <f>IFERROR(VLOOKUP(D7458,'taxonomy map'!$A$1:$C$107,2,FALSE),"")</f>
        <v/>
      </c>
      <c r="F7458" s="49" t="str">
        <f>IFERROR(VLOOKUP(E7458,'Condensed Specialty Crosswalk'!$A$2:$C$106,2,FALSE),"")</f>
        <v/>
      </c>
      <c r="G7458" s="49" t="str">
        <f>IFERROR(VLOOKUP(E7458,'Condensed Specialty Crosswalk'!$A$2:$C$106,3,FALSE),"")</f>
        <v/>
      </c>
    </row>
    <row r="7459" spans="5:7" ht="15" customHeight="1">
      <c r="E7459" s="49" t="str">
        <f>IFERROR(VLOOKUP(D7459,'taxonomy map'!$A$1:$C$107,2,FALSE),"")</f>
        <v/>
      </c>
      <c r="F7459" s="49" t="str">
        <f>IFERROR(VLOOKUP(E7459,'Condensed Specialty Crosswalk'!$A$2:$C$106,2,FALSE),"")</f>
        <v/>
      </c>
      <c r="G7459" s="49" t="str">
        <f>IFERROR(VLOOKUP(E7459,'Condensed Specialty Crosswalk'!$A$2:$C$106,3,FALSE),"")</f>
        <v/>
      </c>
    </row>
    <row r="7460" spans="5:7" ht="15" customHeight="1">
      <c r="E7460" s="49" t="str">
        <f>IFERROR(VLOOKUP(D7460,'taxonomy map'!$A$1:$C$107,2,FALSE),"")</f>
        <v/>
      </c>
      <c r="F7460" s="49" t="str">
        <f>IFERROR(VLOOKUP(E7460,'Condensed Specialty Crosswalk'!$A$2:$C$106,2,FALSE),"")</f>
        <v/>
      </c>
      <c r="G7460" s="49" t="str">
        <f>IFERROR(VLOOKUP(E7460,'Condensed Specialty Crosswalk'!$A$2:$C$106,3,FALSE),"")</f>
        <v/>
      </c>
    </row>
    <row r="7461" spans="5:7" ht="15" customHeight="1">
      <c r="E7461" s="49" t="str">
        <f>IFERROR(VLOOKUP(D7461,'taxonomy map'!$A$1:$C$107,2,FALSE),"")</f>
        <v/>
      </c>
      <c r="F7461" s="49" t="str">
        <f>IFERROR(VLOOKUP(E7461,'Condensed Specialty Crosswalk'!$A$2:$C$106,2,FALSE),"")</f>
        <v/>
      </c>
      <c r="G7461" s="49" t="str">
        <f>IFERROR(VLOOKUP(E7461,'Condensed Specialty Crosswalk'!$A$2:$C$106,3,FALSE),"")</f>
        <v/>
      </c>
    </row>
    <row r="7462" spans="5:7" ht="15" customHeight="1">
      <c r="E7462" s="49" t="str">
        <f>IFERROR(VLOOKUP(D7462,'taxonomy map'!$A$1:$C$107,2,FALSE),"")</f>
        <v/>
      </c>
      <c r="F7462" s="49" t="str">
        <f>IFERROR(VLOOKUP(E7462,'Condensed Specialty Crosswalk'!$A$2:$C$106,2,FALSE),"")</f>
        <v/>
      </c>
      <c r="G7462" s="49" t="str">
        <f>IFERROR(VLOOKUP(E7462,'Condensed Specialty Crosswalk'!$A$2:$C$106,3,FALSE),"")</f>
        <v/>
      </c>
    </row>
    <row r="7463" spans="5:7" ht="15" customHeight="1">
      <c r="E7463" s="49" t="str">
        <f>IFERROR(VLOOKUP(D7463,'taxonomy map'!$A$1:$C$107,2,FALSE),"")</f>
        <v/>
      </c>
      <c r="F7463" s="49" t="str">
        <f>IFERROR(VLOOKUP(E7463,'Condensed Specialty Crosswalk'!$A$2:$C$106,2,FALSE),"")</f>
        <v/>
      </c>
      <c r="G7463" s="49" t="str">
        <f>IFERROR(VLOOKUP(E7463,'Condensed Specialty Crosswalk'!$A$2:$C$106,3,FALSE),"")</f>
        <v/>
      </c>
    </row>
    <row r="7464" spans="5:7" ht="15" customHeight="1">
      <c r="E7464" s="49" t="str">
        <f>IFERROR(VLOOKUP(D7464,'taxonomy map'!$A$1:$C$107,2,FALSE),"")</f>
        <v/>
      </c>
      <c r="F7464" s="49" t="str">
        <f>IFERROR(VLOOKUP(E7464,'Condensed Specialty Crosswalk'!$A$2:$C$106,2,FALSE),"")</f>
        <v/>
      </c>
      <c r="G7464" s="49" t="str">
        <f>IFERROR(VLOOKUP(E7464,'Condensed Specialty Crosswalk'!$A$2:$C$106,3,FALSE),"")</f>
        <v/>
      </c>
    </row>
    <row r="7465" spans="5:7" ht="15" customHeight="1">
      <c r="E7465" s="49" t="str">
        <f>IFERROR(VLOOKUP(D7465,'taxonomy map'!$A$1:$C$107,2,FALSE),"")</f>
        <v/>
      </c>
      <c r="F7465" s="49" t="str">
        <f>IFERROR(VLOOKUP(E7465,'Condensed Specialty Crosswalk'!$A$2:$C$106,2,FALSE),"")</f>
        <v/>
      </c>
      <c r="G7465" s="49" t="str">
        <f>IFERROR(VLOOKUP(E7465,'Condensed Specialty Crosswalk'!$A$2:$C$106,3,FALSE),"")</f>
        <v/>
      </c>
    </row>
    <row r="7466" spans="5:7" ht="15" customHeight="1">
      <c r="E7466" s="49" t="str">
        <f>IFERROR(VLOOKUP(D7466,'taxonomy map'!$A$1:$C$107,2,FALSE),"")</f>
        <v/>
      </c>
      <c r="F7466" s="49" t="str">
        <f>IFERROR(VLOOKUP(E7466,'Condensed Specialty Crosswalk'!$A$2:$C$106,2,FALSE),"")</f>
        <v/>
      </c>
      <c r="G7466" s="49" t="str">
        <f>IFERROR(VLOOKUP(E7466,'Condensed Specialty Crosswalk'!$A$2:$C$106,3,FALSE),"")</f>
        <v/>
      </c>
    </row>
    <row r="7467" spans="5:7" ht="15" customHeight="1">
      <c r="E7467" s="49" t="str">
        <f>IFERROR(VLOOKUP(D7467,'taxonomy map'!$A$1:$C$107,2,FALSE),"")</f>
        <v/>
      </c>
      <c r="F7467" s="49" t="str">
        <f>IFERROR(VLOOKUP(E7467,'Condensed Specialty Crosswalk'!$A$2:$C$106,2,FALSE),"")</f>
        <v/>
      </c>
      <c r="G7467" s="49" t="str">
        <f>IFERROR(VLOOKUP(E7467,'Condensed Specialty Crosswalk'!$A$2:$C$106,3,FALSE),"")</f>
        <v/>
      </c>
    </row>
    <row r="7468" spans="5:7" ht="15" customHeight="1">
      <c r="E7468" s="49" t="str">
        <f>IFERROR(VLOOKUP(D7468,'taxonomy map'!$A$1:$C$107,2,FALSE),"")</f>
        <v/>
      </c>
      <c r="F7468" s="49" t="str">
        <f>IFERROR(VLOOKUP(E7468,'Condensed Specialty Crosswalk'!$A$2:$C$106,2,FALSE),"")</f>
        <v/>
      </c>
      <c r="G7468" s="49" t="str">
        <f>IFERROR(VLOOKUP(E7468,'Condensed Specialty Crosswalk'!$A$2:$C$106,3,FALSE),"")</f>
        <v/>
      </c>
    </row>
    <row r="7469" spans="5:7" ht="15" customHeight="1">
      <c r="E7469" s="49" t="str">
        <f>IFERROR(VLOOKUP(D7469,'taxonomy map'!$A$1:$C$107,2,FALSE),"")</f>
        <v/>
      </c>
      <c r="F7469" s="49" t="str">
        <f>IFERROR(VLOOKUP(E7469,'Condensed Specialty Crosswalk'!$A$2:$C$106,2,FALSE),"")</f>
        <v/>
      </c>
      <c r="G7469" s="49" t="str">
        <f>IFERROR(VLOOKUP(E7469,'Condensed Specialty Crosswalk'!$A$2:$C$106,3,FALSE),"")</f>
        <v/>
      </c>
    </row>
    <row r="7470" spans="5:7" ht="15" customHeight="1">
      <c r="E7470" s="49" t="str">
        <f>IFERROR(VLOOKUP(D7470,'taxonomy map'!$A$1:$C$107,2,FALSE),"")</f>
        <v/>
      </c>
      <c r="F7470" s="49" t="str">
        <f>IFERROR(VLOOKUP(E7470,'Condensed Specialty Crosswalk'!$A$2:$C$106,2,FALSE),"")</f>
        <v/>
      </c>
      <c r="G7470" s="49" t="str">
        <f>IFERROR(VLOOKUP(E7470,'Condensed Specialty Crosswalk'!$A$2:$C$106,3,FALSE),"")</f>
        <v/>
      </c>
    </row>
    <row r="7471" spans="5:7" ht="15" customHeight="1">
      <c r="E7471" s="49" t="str">
        <f>IFERROR(VLOOKUP(D7471,'taxonomy map'!$A$1:$C$107,2,FALSE),"")</f>
        <v/>
      </c>
      <c r="F7471" s="49" t="str">
        <f>IFERROR(VLOOKUP(E7471,'Condensed Specialty Crosswalk'!$A$2:$C$106,2,FALSE),"")</f>
        <v/>
      </c>
      <c r="G7471" s="49" t="str">
        <f>IFERROR(VLOOKUP(E7471,'Condensed Specialty Crosswalk'!$A$2:$C$106,3,FALSE),"")</f>
        <v/>
      </c>
    </row>
    <row r="7472" spans="5:7" ht="15" customHeight="1">
      <c r="E7472" s="49" t="str">
        <f>IFERROR(VLOOKUP(D7472,'taxonomy map'!$A$1:$C$107,2,FALSE),"")</f>
        <v/>
      </c>
      <c r="F7472" s="49" t="str">
        <f>IFERROR(VLOOKUP(E7472,'Condensed Specialty Crosswalk'!$A$2:$C$106,2,FALSE),"")</f>
        <v/>
      </c>
      <c r="G7472" s="49" t="str">
        <f>IFERROR(VLOOKUP(E7472,'Condensed Specialty Crosswalk'!$A$2:$C$106,3,FALSE),"")</f>
        <v/>
      </c>
    </row>
    <row r="7473" spans="5:7" ht="15" customHeight="1">
      <c r="E7473" s="49" t="str">
        <f>IFERROR(VLOOKUP(D7473,'taxonomy map'!$A$1:$C$107,2,FALSE),"")</f>
        <v/>
      </c>
      <c r="F7473" s="49" t="str">
        <f>IFERROR(VLOOKUP(E7473,'Condensed Specialty Crosswalk'!$A$2:$C$106,2,FALSE),"")</f>
        <v/>
      </c>
      <c r="G7473" s="49" t="str">
        <f>IFERROR(VLOOKUP(E7473,'Condensed Specialty Crosswalk'!$A$2:$C$106,3,FALSE),"")</f>
        <v/>
      </c>
    </row>
    <row r="7474" spans="5:7" ht="15" customHeight="1">
      <c r="E7474" s="49" t="str">
        <f>IFERROR(VLOOKUP(D7474,'taxonomy map'!$A$1:$C$107,2,FALSE),"")</f>
        <v/>
      </c>
      <c r="F7474" s="49" t="str">
        <f>IFERROR(VLOOKUP(E7474,'Condensed Specialty Crosswalk'!$A$2:$C$106,2,FALSE),"")</f>
        <v/>
      </c>
      <c r="G7474" s="49" t="str">
        <f>IFERROR(VLOOKUP(E7474,'Condensed Specialty Crosswalk'!$A$2:$C$106,3,FALSE),"")</f>
        <v/>
      </c>
    </row>
    <row r="7475" spans="5:7" ht="15" customHeight="1">
      <c r="E7475" s="49" t="str">
        <f>IFERROR(VLOOKUP(D7475,'taxonomy map'!$A$1:$C$107,2,FALSE),"")</f>
        <v/>
      </c>
      <c r="F7475" s="49" t="str">
        <f>IFERROR(VLOOKUP(E7475,'Condensed Specialty Crosswalk'!$A$2:$C$106,2,FALSE),"")</f>
        <v/>
      </c>
      <c r="G7475" s="49" t="str">
        <f>IFERROR(VLOOKUP(E7475,'Condensed Specialty Crosswalk'!$A$2:$C$106,3,FALSE),"")</f>
        <v/>
      </c>
    </row>
    <row r="7476" spans="5:7" ht="15" customHeight="1">
      <c r="E7476" s="49" t="str">
        <f>IFERROR(VLOOKUP(D7476,'taxonomy map'!$A$1:$C$107,2,FALSE),"")</f>
        <v/>
      </c>
      <c r="F7476" s="49" t="str">
        <f>IFERROR(VLOOKUP(E7476,'Condensed Specialty Crosswalk'!$A$2:$C$106,2,FALSE),"")</f>
        <v/>
      </c>
      <c r="G7476" s="49" t="str">
        <f>IFERROR(VLOOKUP(E7476,'Condensed Specialty Crosswalk'!$A$2:$C$106,3,FALSE),"")</f>
        <v/>
      </c>
    </row>
    <row r="7477" spans="5:7" ht="15" customHeight="1">
      <c r="E7477" s="49" t="str">
        <f>IFERROR(VLOOKUP(D7477,'taxonomy map'!$A$1:$C$107,2,FALSE),"")</f>
        <v/>
      </c>
      <c r="F7477" s="49" t="str">
        <f>IFERROR(VLOOKUP(E7477,'Condensed Specialty Crosswalk'!$A$2:$C$106,2,FALSE),"")</f>
        <v/>
      </c>
      <c r="G7477" s="49" t="str">
        <f>IFERROR(VLOOKUP(E7477,'Condensed Specialty Crosswalk'!$A$2:$C$106,3,FALSE),"")</f>
        <v/>
      </c>
    </row>
    <row r="7478" spans="5:7" ht="15" customHeight="1">
      <c r="E7478" s="49" t="str">
        <f>IFERROR(VLOOKUP(D7478,'taxonomy map'!$A$1:$C$107,2,FALSE),"")</f>
        <v/>
      </c>
      <c r="F7478" s="49" t="str">
        <f>IFERROR(VLOOKUP(E7478,'Condensed Specialty Crosswalk'!$A$2:$C$106,2,FALSE),"")</f>
        <v/>
      </c>
      <c r="G7478" s="49" t="str">
        <f>IFERROR(VLOOKUP(E7478,'Condensed Specialty Crosswalk'!$A$2:$C$106,3,FALSE),"")</f>
        <v/>
      </c>
    </row>
    <row r="7479" spans="5:7" ht="15" customHeight="1">
      <c r="E7479" s="49" t="str">
        <f>IFERROR(VLOOKUP(D7479,'taxonomy map'!$A$1:$C$107,2,FALSE),"")</f>
        <v/>
      </c>
      <c r="F7479" s="49" t="str">
        <f>IFERROR(VLOOKUP(E7479,'Condensed Specialty Crosswalk'!$A$2:$C$106,2,FALSE),"")</f>
        <v/>
      </c>
      <c r="G7479" s="49" t="str">
        <f>IFERROR(VLOOKUP(E7479,'Condensed Specialty Crosswalk'!$A$2:$C$106,3,FALSE),"")</f>
        <v/>
      </c>
    </row>
    <row r="7480" spans="5:7" ht="15" customHeight="1">
      <c r="E7480" s="49" t="str">
        <f>IFERROR(VLOOKUP(D7480,'taxonomy map'!$A$1:$C$107,2,FALSE),"")</f>
        <v/>
      </c>
      <c r="F7480" s="49" t="str">
        <f>IFERROR(VLOOKUP(E7480,'Condensed Specialty Crosswalk'!$A$2:$C$106,2,FALSE),"")</f>
        <v/>
      </c>
      <c r="G7480" s="49" t="str">
        <f>IFERROR(VLOOKUP(E7480,'Condensed Specialty Crosswalk'!$A$2:$C$106,3,FALSE),"")</f>
        <v/>
      </c>
    </row>
    <row r="7481" spans="5:7" ht="15" customHeight="1">
      <c r="E7481" s="49" t="str">
        <f>IFERROR(VLOOKUP(D7481,'taxonomy map'!$A$1:$C$107,2,FALSE),"")</f>
        <v/>
      </c>
      <c r="F7481" s="49" t="str">
        <f>IFERROR(VLOOKUP(E7481,'Condensed Specialty Crosswalk'!$A$2:$C$106,2,FALSE),"")</f>
        <v/>
      </c>
      <c r="G7481" s="49" t="str">
        <f>IFERROR(VLOOKUP(E7481,'Condensed Specialty Crosswalk'!$A$2:$C$106,3,FALSE),"")</f>
        <v/>
      </c>
    </row>
    <row r="7482" spans="5:7" ht="15" customHeight="1">
      <c r="E7482" s="49" t="str">
        <f>IFERROR(VLOOKUP(D7482,'taxonomy map'!$A$1:$C$107,2,FALSE),"")</f>
        <v/>
      </c>
      <c r="F7482" s="49" t="str">
        <f>IFERROR(VLOOKUP(E7482,'Condensed Specialty Crosswalk'!$A$2:$C$106,2,FALSE),"")</f>
        <v/>
      </c>
      <c r="G7482" s="49" t="str">
        <f>IFERROR(VLOOKUP(E7482,'Condensed Specialty Crosswalk'!$A$2:$C$106,3,FALSE),"")</f>
        <v/>
      </c>
    </row>
    <row r="7483" spans="5:7" ht="15" customHeight="1">
      <c r="E7483" s="49" t="str">
        <f>IFERROR(VLOOKUP(D7483,'taxonomy map'!$A$1:$C$107,2,FALSE),"")</f>
        <v/>
      </c>
      <c r="F7483" s="49" t="str">
        <f>IFERROR(VLOOKUP(E7483,'Condensed Specialty Crosswalk'!$A$2:$C$106,2,FALSE),"")</f>
        <v/>
      </c>
      <c r="G7483" s="49" t="str">
        <f>IFERROR(VLOOKUP(E7483,'Condensed Specialty Crosswalk'!$A$2:$C$106,3,FALSE),"")</f>
        <v/>
      </c>
    </row>
    <row r="7484" spans="5:7" ht="15" customHeight="1">
      <c r="E7484" s="49" t="str">
        <f>IFERROR(VLOOKUP(D7484,'taxonomy map'!$A$1:$C$107,2,FALSE),"")</f>
        <v/>
      </c>
      <c r="F7484" s="49" t="str">
        <f>IFERROR(VLOOKUP(E7484,'Condensed Specialty Crosswalk'!$A$2:$C$106,2,FALSE),"")</f>
        <v/>
      </c>
      <c r="G7484" s="49" t="str">
        <f>IFERROR(VLOOKUP(E7484,'Condensed Specialty Crosswalk'!$A$2:$C$106,3,FALSE),"")</f>
        <v/>
      </c>
    </row>
    <row r="7485" spans="5:7" ht="15" customHeight="1">
      <c r="E7485" s="49" t="str">
        <f>IFERROR(VLOOKUP(D7485,'taxonomy map'!$A$1:$C$107,2,FALSE),"")</f>
        <v/>
      </c>
      <c r="F7485" s="49" t="str">
        <f>IFERROR(VLOOKUP(E7485,'Condensed Specialty Crosswalk'!$A$2:$C$106,2,FALSE),"")</f>
        <v/>
      </c>
      <c r="G7485" s="49" t="str">
        <f>IFERROR(VLOOKUP(E7485,'Condensed Specialty Crosswalk'!$A$2:$C$106,3,FALSE),"")</f>
        <v/>
      </c>
    </row>
    <row r="7486" spans="5:7" ht="15" customHeight="1">
      <c r="E7486" s="49" t="str">
        <f>IFERROR(VLOOKUP(D7486,'taxonomy map'!$A$1:$C$107,2,FALSE),"")</f>
        <v/>
      </c>
      <c r="F7486" s="49" t="str">
        <f>IFERROR(VLOOKUP(E7486,'Condensed Specialty Crosswalk'!$A$2:$C$106,2,FALSE),"")</f>
        <v/>
      </c>
      <c r="G7486" s="49" t="str">
        <f>IFERROR(VLOOKUP(E7486,'Condensed Specialty Crosswalk'!$A$2:$C$106,3,FALSE),"")</f>
        <v/>
      </c>
    </row>
    <row r="7487" spans="5:7" ht="15" customHeight="1">
      <c r="E7487" s="49" t="str">
        <f>IFERROR(VLOOKUP(D7487,'taxonomy map'!$A$1:$C$107,2,FALSE),"")</f>
        <v/>
      </c>
      <c r="F7487" s="49" t="str">
        <f>IFERROR(VLOOKUP(E7487,'Condensed Specialty Crosswalk'!$A$2:$C$106,2,FALSE),"")</f>
        <v/>
      </c>
      <c r="G7487" s="49" t="str">
        <f>IFERROR(VLOOKUP(E7487,'Condensed Specialty Crosswalk'!$A$2:$C$106,3,FALSE),"")</f>
        <v/>
      </c>
    </row>
    <row r="7488" spans="5:7" ht="15" customHeight="1">
      <c r="E7488" s="49" t="str">
        <f>IFERROR(VLOOKUP(D7488,'taxonomy map'!$A$1:$C$107,2,FALSE),"")</f>
        <v/>
      </c>
      <c r="F7488" s="49" t="str">
        <f>IFERROR(VLOOKUP(E7488,'Condensed Specialty Crosswalk'!$A$2:$C$106,2,FALSE),"")</f>
        <v/>
      </c>
      <c r="G7488" s="49" t="str">
        <f>IFERROR(VLOOKUP(E7488,'Condensed Specialty Crosswalk'!$A$2:$C$106,3,FALSE),"")</f>
        <v/>
      </c>
    </row>
    <row r="7489" spans="5:7" ht="15" customHeight="1">
      <c r="E7489" s="49" t="str">
        <f>IFERROR(VLOOKUP(D7489,'taxonomy map'!$A$1:$C$107,2,FALSE),"")</f>
        <v/>
      </c>
      <c r="F7489" s="49" t="str">
        <f>IFERROR(VLOOKUP(E7489,'Condensed Specialty Crosswalk'!$A$2:$C$106,2,FALSE),"")</f>
        <v/>
      </c>
      <c r="G7489" s="49" t="str">
        <f>IFERROR(VLOOKUP(E7489,'Condensed Specialty Crosswalk'!$A$2:$C$106,3,FALSE),"")</f>
        <v/>
      </c>
    </row>
    <row r="7490" spans="5:7" ht="15" customHeight="1">
      <c r="E7490" s="49" t="str">
        <f>IFERROR(VLOOKUP(D7490,'taxonomy map'!$A$1:$C$107,2,FALSE),"")</f>
        <v/>
      </c>
      <c r="F7490" s="49" t="str">
        <f>IFERROR(VLOOKUP(E7490,'Condensed Specialty Crosswalk'!$A$2:$C$106,2,FALSE),"")</f>
        <v/>
      </c>
      <c r="G7490" s="49" t="str">
        <f>IFERROR(VLOOKUP(E7490,'Condensed Specialty Crosswalk'!$A$2:$C$106,3,FALSE),"")</f>
        <v/>
      </c>
    </row>
    <row r="7491" spans="5:7" ht="15" customHeight="1">
      <c r="E7491" s="49" t="str">
        <f>IFERROR(VLOOKUP(D7491,'taxonomy map'!$A$1:$C$107,2,FALSE),"")</f>
        <v/>
      </c>
      <c r="F7491" s="49" t="str">
        <f>IFERROR(VLOOKUP(E7491,'Condensed Specialty Crosswalk'!$A$2:$C$106,2,FALSE),"")</f>
        <v/>
      </c>
      <c r="G7491" s="49" t="str">
        <f>IFERROR(VLOOKUP(E7491,'Condensed Specialty Crosswalk'!$A$2:$C$106,3,FALSE),"")</f>
        <v/>
      </c>
    </row>
    <row r="7492" spans="5:7" ht="15" customHeight="1">
      <c r="E7492" s="49" t="str">
        <f>IFERROR(VLOOKUP(D7492,'taxonomy map'!$A$1:$C$107,2,FALSE),"")</f>
        <v/>
      </c>
      <c r="F7492" s="49" t="str">
        <f>IFERROR(VLOOKUP(E7492,'Condensed Specialty Crosswalk'!$A$2:$C$106,2,FALSE),"")</f>
        <v/>
      </c>
      <c r="G7492" s="49" t="str">
        <f>IFERROR(VLOOKUP(E7492,'Condensed Specialty Crosswalk'!$A$2:$C$106,3,FALSE),"")</f>
        <v/>
      </c>
    </row>
    <row r="7493" spans="5:7" ht="15" customHeight="1">
      <c r="E7493" s="49" t="str">
        <f>IFERROR(VLOOKUP(D7493,'taxonomy map'!$A$1:$C$107,2,FALSE),"")</f>
        <v/>
      </c>
      <c r="F7493" s="49" t="str">
        <f>IFERROR(VLOOKUP(E7493,'Condensed Specialty Crosswalk'!$A$2:$C$106,2,FALSE),"")</f>
        <v/>
      </c>
      <c r="G7493" s="49" t="str">
        <f>IFERROR(VLOOKUP(E7493,'Condensed Specialty Crosswalk'!$A$2:$C$106,3,FALSE),"")</f>
        <v/>
      </c>
    </row>
    <row r="7494" spans="5:7" ht="15" customHeight="1">
      <c r="E7494" s="49" t="str">
        <f>IFERROR(VLOOKUP(D7494,'taxonomy map'!$A$1:$C$107,2,FALSE),"")</f>
        <v/>
      </c>
      <c r="F7494" s="49" t="str">
        <f>IFERROR(VLOOKUP(E7494,'Condensed Specialty Crosswalk'!$A$2:$C$106,2,FALSE),"")</f>
        <v/>
      </c>
      <c r="G7494" s="49" t="str">
        <f>IFERROR(VLOOKUP(E7494,'Condensed Specialty Crosswalk'!$A$2:$C$106,3,FALSE),"")</f>
        <v/>
      </c>
    </row>
    <row r="7495" spans="5:7" ht="15" customHeight="1">
      <c r="E7495" s="49" t="str">
        <f>IFERROR(VLOOKUP(D7495,'taxonomy map'!$A$1:$C$107,2,FALSE),"")</f>
        <v/>
      </c>
      <c r="F7495" s="49" t="str">
        <f>IFERROR(VLOOKUP(E7495,'Condensed Specialty Crosswalk'!$A$2:$C$106,2,FALSE),"")</f>
        <v/>
      </c>
      <c r="G7495" s="49" t="str">
        <f>IFERROR(VLOOKUP(E7495,'Condensed Specialty Crosswalk'!$A$2:$C$106,3,FALSE),"")</f>
        <v/>
      </c>
    </row>
    <row r="7496" spans="5:7" ht="15" customHeight="1">
      <c r="E7496" s="49" t="str">
        <f>IFERROR(VLOOKUP(D7496,'taxonomy map'!$A$1:$C$107,2,FALSE),"")</f>
        <v/>
      </c>
      <c r="F7496" s="49" t="str">
        <f>IFERROR(VLOOKUP(E7496,'Condensed Specialty Crosswalk'!$A$2:$C$106,2,FALSE),"")</f>
        <v/>
      </c>
      <c r="G7496" s="49" t="str">
        <f>IFERROR(VLOOKUP(E7496,'Condensed Specialty Crosswalk'!$A$2:$C$106,3,FALSE),"")</f>
        <v/>
      </c>
    </row>
    <row r="7497" spans="5:7" ht="15" customHeight="1">
      <c r="E7497" s="49" t="str">
        <f>IFERROR(VLOOKUP(D7497,'taxonomy map'!$A$1:$C$107,2,FALSE),"")</f>
        <v/>
      </c>
      <c r="F7497" s="49" t="str">
        <f>IFERROR(VLOOKUP(E7497,'Condensed Specialty Crosswalk'!$A$2:$C$106,2,FALSE),"")</f>
        <v/>
      </c>
      <c r="G7497" s="49" t="str">
        <f>IFERROR(VLOOKUP(E7497,'Condensed Specialty Crosswalk'!$A$2:$C$106,3,FALSE),"")</f>
        <v/>
      </c>
    </row>
    <row r="7498" spans="5:7" ht="15" customHeight="1">
      <c r="E7498" s="49" t="str">
        <f>IFERROR(VLOOKUP(D7498,'taxonomy map'!$A$1:$C$107,2,FALSE),"")</f>
        <v/>
      </c>
      <c r="F7498" s="49" t="str">
        <f>IFERROR(VLOOKUP(E7498,'Condensed Specialty Crosswalk'!$A$2:$C$106,2,FALSE),"")</f>
        <v/>
      </c>
      <c r="G7498" s="49" t="str">
        <f>IFERROR(VLOOKUP(E7498,'Condensed Specialty Crosswalk'!$A$2:$C$106,3,FALSE),"")</f>
        <v/>
      </c>
    </row>
    <row r="7499" spans="5:7" ht="15" customHeight="1">
      <c r="E7499" s="49" t="str">
        <f>IFERROR(VLOOKUP(D7499,'taxonomy map'!$A$1:$C$107,2,FALSE),"")</f>
        <v/>
      </c>
      <c r="F7499" s="49" t="str">
        <f>IFERROR(VLOOKUP(E7499,'Condensed Specialty Crosswalk'!$A$2:$C$106,2,FALSE),"")</f>
        <v/>
      </c>
      <c r="G7499" s="49" t="str">
        <f>IFERROR(VLOOKUP(E7499,'Condensed Specialty Crosswalk'!$A$2:$C$106,3,FALSE),"")</f>
        <v/>
      </c>
    </row>
    <row r="7500" spans="5:7" ht="15" customHeight="1">
      <c r="E7500" s="49" t="str">
        <f>IFERROR(VLOOKUP(D7500,'taxonomy map'!$A$1:$C$107,2,FALSE),"")</f>
        <v/>
      </c>
      <c r="F7500" s="49" t="str">
        <f>IFERROR(VLOOKUP(E7500,'Condensed Specialty Crosswalk'!$A$2:$C$106,2,FALSE),"")</f>
        <v/>
      </c>
      <c r="G7500" s="49" t="str">
        <f>IFERROR(VLOOKUP(E7500,'Condensed Specialty Crosswalk'!$A$2:$C$106,3,FALSE),"")</f>
        <v/>
      </c>
    </row>
    <row r="7501" spans="5:7" ht="15" customHeight="1">
      <c r="E7501" s="49" t="str">
        <f>IFERROR(VLOOKUP(D7501,'taxonomy map'!$A$1:$C$107,2,FALSE),"")</f>
        <v/>
      </c>
      <c r="F7501" s="49" t="str">
        <f>IFERROR(VLOOKUP(E7501,'Condensed Specialty Crosswalk'!$A$2:$C$106,2,FALSE),"")</f>
        <v/>
      </c>
      <c r="G7501" s="49" t="str">
        <f>IFERROR(VLOOKUP(E7501,'Condensed Specialty Crosswalk'!$A$2:$C$106,3,FALSE),"")</f>
        <v/>
      </c>
    </row>
    <row r="7502" spans="5:7" ht="15" customHeight="1">
      <c r="E7502" s="49" t="str">
        <f>IFERROR(VLOOKUP(D7502,'taxonomy map'!$A$1:$C$107,2,FALSE),"")</f>
        <v/>
      </c>
      <c r="F7502" s="49" t="str">
        <f>IFERROR(VLOOKUP(E7502,'Condensed Specialty Crosswalk'!$A$2:$C$106,2,FALSE),"")</f>
        <v/>
      </c>
      <c r="G7502" s="49" t="str">
        <f>IFERROR(VLOOKUP(E7502,'Condensed Specialty Crosswalk'!$A$2:$C$106,3,FALSE),"")</f>
        <v/>
      </c>
    </row>
    <row r="7503" spans="5:7" ht="15" customHeight="1">
      <c r="E7503" s="49" t="str">
        <f>IFERROR(VLOOKUP(D7503,'taxonomy map'!$A$1:$C$107,2,FALSE),"")</f>
        <v/>
      </c>
      <c r="F7503" s="49" t="str">
        <f>IFERROR(VLOOKUP(E7503,'Condensed Specialty Crosswalk'!$A$2:$C$106,2,FALSE),"")</f>
        <v/>
      </c>
      <c r="G7503" s="49" t="str">
        <f>IFERROR(VLOOKUP(E7503,'Condensed Specialty Crosswalk'!$A$2:$C$106,3,FALSE),"")</f>
        <v/>
      </c>
    </row>
    <row r="7504" spans="5:7" ht="15" customHeight="1">
      <c r="E7504" s="49" t="str">
        <f>IFERROR(VLOOKUP(D7504,'taxonomy map'!$A$1:$C$107,2,FALSE),"")</f>
        <v/>
      </c>
      <c r="F7504" s="49" t="str">
        <f>IFERROR(VLOOKUP(E7504,'Condensed Specialty Crosswalk'!$A$2:$C$106,2,FALSE),"")</f>
        <v/>
      </c>
      <c r="G7504" s="49" t="str">
        <f>IFERROR(VLOOKUP(E7504,'Condensed Specialty Crosswalk'!$A$2:$C$106,3,FALSE),"")</f>
        <v/>
      </c>
    </row>
    <row r="7505" spans="5:7" ht="15" customHeight="1">
      <c r="E7505" s="49" t="str">
        <f>IFERROR(VLOOKUP(D7505,'taxonomy map'!$A$1:$C$107,2,FALSE),"")</f>
        <v/>
      </c>
      <c r="F7505" s="49" t="str">
        <f>IFERROR(VLOOKUP(E7505,'Condensed Specialty Crosswalk'!$A$2:$C$106,2,FALSE),"")</f>
        <v/>
      </c>
      <c r="G7505" s="49" t="str">
        <f>IFERROR(VLOOKUP(E7505,'Condensed Specialty Crosswalk'!$A$2:$C$106,3,FALSE),"")</f>
        <v/>
      </c>
    </row>
    <row r="7506" spans="5:7" ht="15" customHeight="1">
      <c r="E7506" s="49" t="str">
        <f>IFERROR(VLOOKUP(D7506,'taxonomy map'!$A$1:$C$107,2,FALSE),"")</f>
        <v/>
      </c>
      <c r="F7506" s="49" t="str">
        <f>IFERROR(VLOOKUP(E7506,'Condensed Specialty Crosswalk'!$A$2:$C$106,2,FALSE),"")</f>
        <v/>
      </c>
      <c r="G7506" s="49" t="str">
        <f>IFERROR(VLOOKUP(E7506,'Condensed Specialty Crosswalk'!$A$2:$C$106,3,FALSE),"")</f>
        <v/>
      </c>
    </row>
    <row r="7507" spans="5:7" ht="15" customHeight="1">
      <c r="E7507" s="49" t="str">
        <f>IFERROR(VLOOKUP(D7507,'taxonomy map'!$A$1:$C$107,2,FALSE),"")</f>
        <v/>
      </c>
      <c r="F7507" s="49" t="str">
        <f>IFERROR(VLOOKUP(E7507,'Condensed Specialty Crosswalk'!$A$2:$C$106,2,FALSE),"")</f>
        <v/>
      </c>
      <c r="G7507" s="49" t="str">
        <f>IFERROR(VLOOKUP(E7507,'Condensed Specialty Crosswalk'!$A$2:$C$106,3,FALSE),"")</f>
        <v/>
      </c>
    </row>
    <row r="7508" spans="5:7" ht="15" customHeight="1">
      <c r="E7508" s="49" t="str">
        <f>IFERROR(VLOOKUP(D7508,'taxonomy map'!$A$1:$C$107,2,FALSE),"")</f>
        <v/>
      </c>
      <c r="F7508" s="49" t="str">
        <f>IFERROR(VLOOKUP(E7508,'Condensed Specialty Crosswalk'!$A$2:$C$106,2,FALSE),"")</f>
        <v/>
      </c>
      <c r="G7508" s="49" t="str">
        <f>IFERROR(VLOOKUP(E7508,'Condensed Specialty Crosswalk'!$A$2:$C$106,3,FALSE),"")</f>
        <v/>
      </c>
    </row>
    <row r="7509" spans="5:7" ht="15" customHeight="1">
      <c r="E7509" s="49" t="str">
        <f>IFERROR(VLOOKUP(D7509,'taxonomy map'!$A$1:$C$107,2,FALSE),"")</f>
        <v/>
      </c>
      <c r="F7509" s="49" t="str">
        <f>IFERROR(VLOOKUP(E7509,'Condensed Specialty Crosswalk'!$A$2:$C$106,2,FALSE),"")</f>
        <v/>
      </c>
      <c r="G7509" s="49" t="str">
        <f>IFERROR(VLOOKUP(E7509,'Condensed Specialty Crosswalk'!$A$2:$C$106,3,FALSE),"")</f>
        <v/>
      </c>
    </row>
    <row r="7510" spans="5:7" ht="15" customHeight="1">
      <c r="E7510" s="49" t="str">
        <f>IFERROR(VLOOKUP(D7510,'taxonomy map'!$A$1:$C$107,2,FALSE),"")</f>
        <v/>
      </c>
      <c r="F7510" s="49" t="str">
        <f>IFERROR(VLOOKUP(E7510,'Condensed Specialty Crosswalk'!$A$2:$C$106,2,FALSE),"")</f>
        <v/>
      </c>
      <c r="G7510" s="49" t="str">
        <f>IFERROR(VLOOKUP(E7510,'Condensed Specialty Crosswalk'!$A$2:$C$106,3,FALSE),"")</f>
        <v/>
      </c>
    </row>
    <row r="7511" spans="5:7" ht="15" customHeight="1">
      <c r="E7511" s="49" t="str">
        <f>IFERROR(VLOOKUP(D7511,'taxonomy map'!$A$1:$C$107,2,FALSE),"")</f>
        <v/>
      </c>
      <c r="F7511" s="49" t="str">
        <f>IFERROR(VLOOKUP(E7511,'Condensed Specialty Crosswalk'!$A$2:$C$106,2,FALSE),"")</f>
        <v/>
      </c>
      <c r="G7511" s="49" t="str">
        <f>IFERROR(VLOOKUP(E7511,'Condensed Specialty Crosswalk'!$A$2:$C$106,3,FALSE),"")</f>
        <v/>
      </c>
    </row>
    <row r="7512" spans="5:7" ht="15" customHeight="1">
      <c r="E7512" s="49" t="str">
        <f>IFERROR(VLOOKUP(D7512,'taxonomy map'!$A$1:$C$107,2,FALSE),"")</f>
        <v/>
      </c>
      <c r="F7512" s="49" t="str">
        <f>IFERROR(VLOOKUP(E7512,'Condensed Specialty Crosswalk'!$A$2:$C$106,2,FALSE),"")</f>
        <v/>
      </c>
      <c r="G7512" s="49" t="str">
        <f>IFERROR(VLOOKUP(E7512,'Condensed Specialty Crosswalk'!$A$2:$C$106,3,FALSE),"")</f>
        <v/>
      </c>
    </row>
    <row r="7513" spans="5:7" ht="15" customHeight="1">
      <c r="E7513" s="49" t="str">
        <f>IFERROR(VLOOKUP(D7513,'taxonomy map'!$A$1:$C$107,2,FALSE),"")</f>
        <v/>
      </c>
      <c r="F7513" s="49" t="str">
        <f>IFERROR(VLOOKUP(E7513,'Condensed Specialty Crosswalk'!$A$2:$C$106,2,FALSE),"")</f>
        <v/>
      </c>
      <c r="G7513" s="49" t="str">
        <f>IFERROR(VLOOKUP(E7513,'Condensed Specialty Crosswalk'!$A$2:$C$106,3,FALSE),"")</f>
        <v/>
      </c>
    </row>
    <row r="7514" spans="5:7" ht="15" customHeight="1">
      <c r="E7514" s="49" t="str">
        <f>IFERROR(VLOOKUP(D7514,'taxonomy map'!$A$1:$C$107,2,FALSE),"")</f>
        <v/>
      </c>
      <c r="F7514" s="49" t="str">
        <f>IFERROR(VLOOKUP(E7514,'Condensed Specialty Crosswalk'!$A$2:$C$106,2,FALSE),"")</f>
        <v/>
      </c>
      <c r="G7514" s="49" t="str">
        <f>IFERROR(VLOOKUP(E7514,'Condensed Specialty Crosswalk'!$A$2:$C$106,3,FALSE),"")</f>
        <v/>
      </c>
    </row>
    <row r="7515" spans="5:7" ht="15" customHeight="1">
      <c r="E7515" s="49" t="str">
        <f>IFERROR(VLOOKUP(D7515,'taxonomy map'!$A$1:$C$107,2,FALSE),"")</f>
        <v/>
      </c>
      <c r="F7515" s="49" t="str">
        <f>IFERROR(VLOOKUP(E7515,'Condensed Specialty Crosswalk'!$A$2:$C$106,2,FALSE),"")</f>
        <v/>
      </c>
      <c r="G7515" s="49" t="str">
        <f>IFERROR(VLOOKUP(E7515,'Condensed Specialty Crosswalk'!$A$2:$C$106,3,FALSE),"")</f>
        <v/>
      </c>
    </row>
    <row r="7516" spans="5:7" ht="15" customHeight="1">
      <c r="E7516" s="49" t="str">
        <f>IFERROR(VLOOKUP(D7516,'taxonomy map'!$A$1:$C$107,2,FALSE),"")</f>
        <v/>
      </c>
      <c r="F7516" s="49" t="str">
        <f>IFERROR(VLOOKUP(E7516,'Condensed Specialty Crosswalk'!$A$2:$C$106,2,FALSE),"")</f>
        <v/>
      </c>
      <c r="G7516" s="49" t="str">
        <f>IFERROR(VLOOKUP(E7516,'Condensed Specialty Crosswalk'!$A$2:$C$106,3,FALSE),"")</f>
        <v/>
      </c>
    </row>
    <row r="7517" spans="5:7" ht="15" customHeight="1">
      <c r="E7517" s="49" t="str">
        <f>IFERROR(VLOOKUP(D7517,'taxonomy map'!$A$1:$C$107,2,FALSE),"")</f>
        <v/>
      </c>
      <c r="F7517" s="49" t="str">
        <f>IFERROR(VLOOKUP(E7517,'Condensed Specialty Crosswalk'!$A$2:$C$106,2,FALSE),"")</f>
        <v/>
      </c>
      <c r="G7517" s="49" t="str">
        <f>IFERROR(VLOOKUP(E7517,'Condensed Specialty Crosswalk'!$A$2:$C$106,3,FALSE),"")</f>
        <v/>
      </c>
    </row>
    <row r="7518" spans="5:7" ht="15" customHeight="1">
      <c r="E7518" s="49" t="str">
        <f>IFERROR(VLOOKUP(D7518,'taxonomy map'!$A$1:$C$107,2,FALSE),"")</f>
        <v/>
      </c>
      <c r="F7518" s="49" t="str">
        <f>IFERROR(VLOOKUP(E7518,'Condensed Specialty Crosswalk'!$A$2:$C$106,2,FALSE),"")</f>
        <v/>
      </c>
      <c r="G7518" s="49" t="str">
        <f>IFERROR(VLOOKUP(E7518,'Condensed Specialty Crosswalk'!$A$2:$C$106,3,FALSE),"")</f>
        <v/>
      </c>
    </row>
    <row r="7519" spans="5:7" ht="15" customHeight="1">
      <c r="E7519" s="49" t="str">
        <f>IFERROR(VLOOKUP(D7519,'taxonomy map'!$A$1:$C$107,2,FALSE),"")</f>
        <v/>
      </c>
      <c r="F7519" s="49" t="str">
        <f>IFERROR(VLOOKUP(E7519,'Condensed Specialty Crosswalk'!$A$2:$C$106,2,FALSE),"")</f>
        <v/>
      </c>
      <c r="G7519" s="49" t="str">
        <f>IFERROR(VLOOKUP(E7519,'Condensed Specialty Crosswalk'!$A$2:$C$106,3,FALSE),"")</f>
        <v/>
      </c>
    </row>
    <row r="7520" spans="5:7" ht="15" customHeight="1">
      <c r="E7520" s="49" t="str">
        <f>IFERROR(VLOOKUP(D7520,'taxonomy map'!$A$1:$C$107,2,FALSE),"")</f>
        <v/>
      </c>
      <c r="F7520" s="49" t="str">
        <f>IFERROR(VLOOKUP(E7520,'Condensed Specialty Crosswalk'!$A$2:$C$106,2,FALSE),"")</f>
        <v/>
      </c>
      <c r="G7520" s="49" t="str">
        <f>IFERROR(VLOOKUP(E7520,'Condensed Specialty Crosswalk'!$A$2:$C$106,3,FALSE),"")</f>
        <v/>
      </c>
    </row>
    <row r="7521" spans="5:7" ht="15" customHeight="1">
      <c r="E7521" s="49" t="str">
        <f>IFERROR(VLOOKUP(D7521,'taxonomy map'!$A$1:$C$107,2,FALSE),"")</f>
        <v/>
      </c>
      <c r="F7521" s="49" t="str">
        <f>IFERROR(VLOOKUP(E7521,'Condensed Specialty Crosswalk'!$A$2:$C$106,2,FALSE),"")</f>
        <v/>
      </c>
      <c r="G7521" s="49" t="str">
        <f>IFERROR(VLOOKUP(E7521,'Condensed Specialty Crosswalk'!$A$2:$C$106,3,FALSE),"")</f>
        <v/>
      </c>
    </row>
    <row r="7522" spans="5:7" ht="15" customHeight="1">
      <c r="E7522" s="49" t="str">
        <f>IFERROR(VLOOKUP(D7522,'taxonomy map'!$A$1:$C$107,2,FALSE),"")</f>
        <v/>
      </c>
      <c r="F7522" s="49" t="str">
        <f>IFERROR(VLOOKUP(E7522,'Condensed Specialty Crosswalk'!$A$2:$C$106,2,FALSE),"")</f>
        <v/>
      </c>
      <c r="G7522" s="49" t="str">
        <f>IFERROR(VLOOKUP(E7522,'Condensed Specialty Crosswalk'!$A$2:$C$106,3,FALSE),"")</f>
        <v/>
      </c>
    </row>
    <row r="7523" spans="5:7" ht="15" customHeight="1">
      <c r="E7523" s="49" t="str">
        <f>IFERROR(VLOOKUP(D7523,'taxonomy map'!$A$1:$C$107,2,FALSE),"")</f>
        <v/>
      </c>
      <c r="F7523" s="49" t="str">
        <f>IFERROR(VLOOKUP(E7523,'Condensed Specialty Crosswalk'!$A$2:$C$106,2,FALSE),"")</f>
        <v/>
      </c>
      <c r="G7523" s="49" t="str">
        <f>IFERROR(VLOOKUP(E7523,'Condensed Specialty Crosswalk'!$A$2:$C$106,3,FALSE),"")</f>
        <v/>
      </c>
    </row>
    <row r="7524" spans="5:7" ht="15" customHeight="1">
      <c r="E7524" s="49" t="str">
        <f>IFERROR(VLOOKUP(D7524,'taxonomy map'!$A$1:$C$107,2,FALSE),"")</f>
        <v/>
      </c>
      <c r="F7524" s="49" t="str">
        <f>IFERROR(VLOOKUP(E7524,'Condensed Specialty Crosswalk'!$A$2:$C$106,2,FALSE),"")</f>
        <v/>
      </c>
      <c r="G7524" s="49" t="str">
        <f>IFERROR(VLOOKUP(E7524,'Condensed Specialty Crosswalk'!$A$2:$C$106,3,FALSE),"")</f>
        <v/>
      </c>
    </row>
    <row r="7525" spans="5:7" ht="15" customHeight="1">
      <c r="E7525" s="49" t="str">
        <f>IFERROR(VLOOKUP(D7525,'taxonomy map'!$A$1:$C$107,2,FALSE),"")</f>
        <v/>
      </c>
      <c r="F7525" s="49" t="str">
        <f>IFERROR(VLOOKUP(E7525,'Condensed Specialty Crosswalk'!$A$2:$C$106,2,FALSE),"")</f>
        <v/>
      </c>
      <c r="G7525" s="49" t="str">
        <f>IFERROR(VLOOKUP(E7525,'Condensed Specialty Crosswalk'!$A$2:$C$106,3,FALSE),"")</f>
        <v/>
      </c>
    </row>
    <row r="7526" spans="5:7" ht="15" customHeight="1">
      <c r="E7526" s="49" t="str">
        <f>IFERROR(VLOOKUP(D7526,'taxonomy map'!$A$1:$C$107,2,FALSE),"")</f>
        <v/>
      </c>
      <c r="F7526" s="49" t="str">
        <f>IFERROR(VLOOKUP(E7526,'Condensed Specialty Crosswalk'!$A$2:$C$106,2,FALSE),"")</f>
        <v/>
      </c>
      <c r="G7526" s="49" t="str">
        <f>IFERROR(VLOOKUP(E7526,'Condensed Specialty Crosswalk'!$A$2:$C$106,3,FALSE),"")</f>
        <v/>
      </c>
    </row>
    <row r="7527" spans="5:7" ht="15" customHeight="1">
      <c r="E7527" s="49" t="str">
        <f>IFERROR(VLOOKUP(D7527,'taxonomy map'!$A$1:$C$107,2,FALSE),"")</f>
        <v/>
      </c>
      <c r="F7527" s="49" t="str">
        <f>IFERROR(VLOOKUP(E7527,'Condensed Specialty Crosswalk'!$A$2:$C$106,2,FALSE),"")</f>
        <v/>
      </c>
      <c r="G7527" s="49" t="str">
        <f>IFERROR(VLOOKUP(E7527,'Condensed Specialty Crosswalk'!$A$2:$C$106,3,FALSE),"")</f>
        <v/>
      </c>
    </row>
    <row r="7528" spans="5:7" ht="15" customHeight="1">
      <c r="E7528" s="49" t="str">
        <f>IFERROR(VLOOKUP(D7528,'taxonomy map'!$A$1:$C$107,2,FALSE),"")</f>
        <v/>
      </c>
      <c r="F7528" s="49" t="str">
        <f>IFERROR(VLOOKUP(E7528,'Condensed Specialty Crosswalk'!$A$2:$C$106,2,FALSE),"")</f>
        <v/>
      </c>
      <c r="G7528" s="49" t="str">
        <f>IFERROR(VLOOKUP(E7528,'Condensed Specialty Crosswalk'!$A$2:$C$106,3,FALSE),"")</f>
        <v/>
      </c>
    </row>
    <row r="7529" spans="5:7" ht="15" customHeight="1">
      <c r="E7529" s="49" t="str">
        <f>IFERROR(VLOOKUP(D7529,'taxonomy map'!$A$1:$C$107,2,FALSE),"")</f>
        <v/>
      </c>
      <c r="F7529" s="49" t="str">
        <f>IFERROR(VLOOKUP(E7529,'Condensed Specialty Crosswalk'!$A$2:$C$106,2,FALSE),"")</f>
        <v/>
      </c>
      <c r="G7529" s="49" t="str">
        <f>IFERROR(VLOOKUP(E7529,'Condensed Specialty Crosswalk'!$A$2:$C$106,3,FALSE),"")</f>
        <v/>
      </c>
    </row>
    <row r="7530" spans="5:7" ht="15" customHeight="1">
      <c r="E7530" s="49" t="str">
        <f>IFERROR(VLOOKUP(D7530,'taxonomy map'!$A$1:$C$107,2,FALSE),"")</f>
        <v/>
      </c>
      <c r="F7530" s="49" t="str">
        <f>IFERROR(VLOOKUP(E7530,'Condensed Specialty Crosswalk'!$A$2:$C$106,2,FALSE),"")</f>
        <v/>
      </c>
      <c r="G7530" s="49" t="str">
        <f>IFERROR(VLOOKUP(E7530,'Condensed Specialty Crosswalk'!$A$2:$C$106,3,FALSE),"")</f>
        <v/>
      </c>
    </row>
    <row r="7531" spans="5:7" ht="15" customHeight="1">
      <c r="E7531" s="49" t="str">
        <f>IFERROR(VLOOKUP(D7531,'taxonomy map'!$A$1:$C$107,2,FALSE),"")</f>
        <v/>
      </c>
      <c r="F7531" s="49" t="str">
        <f>IFERROR(VLOOKUP(E7531,'Condensed Specialty Crosswalk'!$A$2:$C$106,2,FALSE),"")</f>
        <v/>
      </c>
      <c r="G7531" s="49" t="str">
        <f>IFERROR(VLOOKUP(E7531,'Condensed Specialty Crosswalk'!$A$2:$C$106,3,FALSE),"")</f>
        <v/>
      </c>
    </row>
    <row r="7532" spans="5:7" ht="15" customHeight="1">
      <c r="E7532" s="49" t="str">
        <f>IFERROR(VLOOKUP(D7532,'taxonomy map'!$A$1:$C$107,2,FALSE),"")</f>
        <v/>
      </c>
      <c r="F7532" s="49" t="str">
        <f>IFERROR(VLOOKUP(E7532,'Condensed Specialty Crosswalk'!$A$2:$C$106,2,FALSE),"")</f>
        <v/>
      </c>
      <c r="G7532" s="49" t="str">
        <f>IFERROR(VLOOKUP(E7532,'Condensed Specialty Crosswalk'!$A$2:$C$106,3,FALSE),"")</f>
        <v/>
      </c>
    </row>
    <row r="7533" spans="5:7" ht="15" customHeight="1">
      <c r="E7533" s="49" t="str">
        <f>IFERROR(VLOOKUP(D7533,'taxonomy map'!$A$1:$C$107,2,FALSE),"")</f>
        <v/>
      </c>
      <c r="F7533" s="49" t="str">
        <f>IFERROR(VLOOKUP(E7533,'Condensed Specialty Crosswalk'!$A$2:$C$106,2,FALSE),"")</f>
        <v/>
      </c>
      <c r="G7533" s="49" t="str">
        <f>IFERROR(VLOOKUP(E7533,'Condensed Specialty Crosswalk'!$A$2:$C$106,3,FALSE),"")</f>
        <v/>
      </c>
    </row>
    <row r="7534" spans="5:7" ht="15" customHeight="1">
      <c r="E7534" s="49" t="str">
        <f>IFERROR(VLOOKUP(D7534,'taxonomy map'!$A$1:$C$107,2,FALSE),"")</f>
        <v/>
      </c>
      <c r="F7534" s="49" t="str">
        <f>IFERROR(VLOOKUP(E7534,'Condensed Specialty Crosswalk'!$A$2:$C$106,2,FALSE),"")</f>
        <v/>
      </c>
      <c r="G7534" s="49" t="str">
        <f>IFERROR(VLOOKUP(E7534,'Condensed Specialty Crosswalk'!$A$2:$C$106,3,FALSE),"")</f>
        <v/>
      </c>
    </row>
    <row r="7535" spans="5:7" ht="15" customHeight="1">
      <c r="E7535" s="49" t="str">
        <f>IFERROR(VLOOKUP(D7535,'taxonomy map'!$A$1:$C$107,2,FALSE),"")</f>
        <v/>
      </c>
      <c r="F7535" s="49" t="str">
        <f>IFERROR(VLOOKUP(E7535,'Condensed Specialty Crosswalk'!$A$2:$C$106,2,FALSE),"")</f>
        <v/>
      </c>
      <c r="G7535" s="49" t="str">
        <f>IFERROR(VLOOKUP(E7535,'Condensed Specialty Crosswalk'!$A$2:$C$106,3,FALSE),"")</f>
        <v/>
      </c>
    </row>
    <row r="7536" spans="5:7" ht="15" customHeight="1">
      <c r="E7536" s="49" t="str">
        <f>IFERROR(VLOOKUP(D7536,'taxonomy map'!$A$1:$C$107,2,FALSE),"")</f>
        <v/>
      </c>
      <c r="F7536" s="49" t="str">
        <f>IFERROR(VLOOKUP(E7536,'Condensed Specialty Crosswalk'!$A$2:$C$106,2,FALSE),"")</f>
        <v/>
      </c>
      <c r="G7536" s="49" t="str">
        <f>IFERROR(VLOOKUP(E7536,'Condensed Specialty Crosswalk'!$A$2:$C$106,3,FALSE),"")</f>
        <v/>
      </c>
    </row>
    <row r="7537" spans="5:7" ht="15" customHeight="1">
      <c r="E7537" s="49" t="str">
        <f>IFERROR(VLOOKUP(D7537,'taxonomy map'!$A$1:$C$107,2,FALSE),"")</f>
        <v/>
      </c>
      <c r="F7537" s="49" t="str">
        <f>IFERROR(VLOOKUP(E7537,'Condensed Specialty Crosswalk'!$A$2:$C$106,2,FALSE),"")</f>
        <v/>
      </c>
      <c r="G7537" s="49" t="str">
        <f>IFERROR(VLOOKUP(E7537,'Condensed Specialty Crosswalk'!$A$2:$C$106,3,FALSE),"")</f>
        <v/>
      </c>
    </row>
    <row r="7538" spans="5:7" ht="15" customHeight="1">
      <c r="E7538" s="49" t="str">
        <f>IFERROR(VLOOKUP(D7538,'taxonomy map'!$A$1:$C$107,2,FALSE),"")</f>
        <v/>
      </c>
      <c r="F7538" s="49" t="str">
        <f>IFERROR(VLOOKUP(E7538,'Condensed Specialty Crosswalk'!$A$2:$C$106,2,FALSE),"")</f>
        <v/>
      </c>
      <c r="G7538" s="49" t="str">
        <f>IFERROR(VLOOKUP(E7538,'Condensed Specialty Crosswalk'!$A$2:$C$106,3,FALSE),"")</f>
        <v/>
      </c>
    </row>
    <row r="7539" spans="5:7" ht="15" customHeight="1">
      <c r="E7539" s="49" t="str">
        <f>IFERROR(VLOOKUP(D7539,'taxonomy map'!$A$1:$C$107,2,FALSE),"")</f>
        <v/>
      </c>
      <c r="F7539" s="49" t="str">
        <f>IFERROR(VLOOKUP(E7539,'Condensed Specialty Crosswalk'!$A$2:$C$106,2,FALSE),"")</f>
        <v/>
      </c>
      <c r="G7539" s="49" t="str">
        <f>IFERROR(VLOOKUP(E7539,'Condensed Specialty Crosswalk'!$A$2:$C$106,3,FALSE),"")</f>
        <v/>
      </c>
    </row>
    <row r="7540" spans="5:7" ht="15" customHeight="1">
      <c r="E7540" s="49" t="str">
        <f>IFERROR(VLOOKUP(D7540,'taxonomy map'!$A$1:$C$107,2,FALSE),"")</f>
        <v/>
      </c>
      <c r="F7540" s="49" t="str">
        <f>IFERROR(VLOOKUP(E7540,'Condensed Specialty Crosswalk'!$A$2:$C$106,2,FALSE),"")</f>
        <v/>
      </c>
      <c r="G7540" s="49" t="str">
        <f>IFERROR(VLOOKUP(E7540,'Condensed Specialty Crosswalk'!$A$2:$C$106,3,FALSE),"")</f>
        <v/>
      </c>
    </row>
    <row r="7541" spans="5:7" ht="15" customHeight="1">
      <c r="E7541" s="49" t="str">
        <f>IFERROR(VLOOKUP(D7541,'taxonomy map'!$A$1:$C$107,2,FALSE),"")</f>
        <v/>
      </c>
      <c r="F7541" s="49" t="str">
        <f>IFERROR(VLOOKUP(E7541,'Condensed Specialty Crosswalk'!$A$2:$C$106,2,FALSE),"")</f>
        <v/>
      </c>
      <c r="G7541" s="49" t="str">
        <f>IFERROR(VLOOKUP(E7541,'Condensed Specialty Crosswalk'!$A$2:$C$106,3,FALSE),"")</f>
        <v/>
      </c>
    </row>
    <row r="7542" spans="5:7" ht="15" customHeight="1">
      <c r="E7542" s="49" t="str">
        <f>IFERROR(VLOOKUP(D7542,'taxonomy map'!$A$1:$C$107,2,FALSE),"")</f>
        <v/>
      </c>
      <c r="F7542" s="49" t="str">
        <f>IFERROR(VLOOKUP(E7542,'Condensed Specialty Crosswalk'!$A$2:$C$106,2,FALSE),"")</f>
        <v/>
      </c>
      <c r="G7542" s="49" t="str">
        <f>IFERROR(VLOOKUP(E7542,'Condensed Specialty Crosswalk'!$A$2:$C$106,3,FALSE),"")</f>
        <v/>
      </c>
    </row>
    <row r="7543" spans="5:7" ht="15" customHeight="1">
      <c r="E7543" s="49" t="str">
        <f>IFERROR(VLOOKUP(D7543,'taxonomy map'!$A$1:$C$107,2,FALSE),"")</f>
        <v/>
      </c>
      <c r="F7543" s="49" t="str">
        <f>IFERROR(VLOOKUP(E7543,'Condensed Specialty Crosswalk'!$A$2:$C$106,2,FALSE),"")</f>
        <v/>
      </c>
      <c r="G7543" s="49" t="str">
        <f>IFERROR(VLOOKUP(E7543,'Condensed Specialty Crosswalk'!$A$2:$C$106,3,FALSE),"")</f>
        <v/>
      </c>
    </row>
    <row r="7544" spans="5:7" ht="15" customHeight="1">
      <c r="E7544" s="49" t="str">
        <f>IFERROR(VLOOKUP(D7544,'taxonomy map'!$A$1:$C$107,2,FALSE),"")</f>
        <v/>
      </c>
      <c r="F7544" s="49" t="str">
        <f>IFERROR(VLOOKUP(E7544,'Condensed Specialty Crosswalk'!$A$2:$C$106,2,FALSE),"")</f>
        <v/>
      </c>
      <c r="G7544" s="49" t="str">
        <f>IFERROR(VLOOKUP(E7544,'Condensed Specialty Crosswalk'!$A$2:$C$106,3,FALSE),"")</f>
        <v/>
      </c>
    </row>
    <row r="7545" spans="5:7" ht="15" customHeight="1">
      <c r="E7545" s="49" t="str">
        <f>IFERROR(VLOOKUP(D7545,'taxonomy map'!$A$1:$C$107,2,FALSE),"")</f>
        <v/>
      </c>
      <c r="F7545" s="49" t="str">
        <f>IFERROR(VLOOKUP(E7545,'Condensed Specialty Crosswalk'!$A$2:$C$106,2,FALSE),"")</f>
        <v/>
      </c>
      <c r="G7545" s="49" t="str">
        <f>IFERROR(VLOOKUP(E7545,'Condensed Specialty Crosswalk'!$A$2:$C$106,3,FALSE),"")</f>
        <v/>
      </c>
    </row>
    <row r="7546" spans="5:7" ht="15" customHeight="1">
      <c r="E7546" s="49" t="str">
        <f>IFERROR(VLOOKUP(D7546,'taxonomy map'!$A$1:$C$107,2,FALSE),"")</f>
        <v/>
      </c>
      <c r="F7546" s="49" t="str">
        <f>IFERROR(VLOOKUP(E7546,'Condensed Specialty Crosswalk'!$A$2:$C$106,2,FALSE),"")</f>
        <v/>
      </c>
      <c r="G7546" s="49" t="str">
        <f>IFERROR(VLOOKUP(E7546,'Condensed Specialty Crosswalk'!$A$2:$C$106,3,FALSE),"")</f>
        <v/>
      </c>
    </row>
    <row r="7547" spans="5:7" ht="15" customHeight="1">
      <c r="E7547" s="49" t="str">
        <f>IFERROR(VLOOKUP(D7547,'taxonomy map'!$A$1:$C$107,2,FALSE),"")</f>
        <v/>
      </c>
      <c r="F7547" s="49" t="str">
        <f>IFERROR(VLOOKUP(E7547,'Condensed Specialty Crosswalk'!$A$2:$C$106,2,FALSE),"")</f>
        <v/>
      </c>
      <c r="G7547" s="49" t="str">
        <f>IFERROR(VLOOKUP(E7547,'Condensed Specialty Crosswalk'!$A$2:$C$106,3,FALSE),"")</f>
        <v/>
      </c>
    </row>
    <row r="7548" spans="5:7" ht="15" customHeight="1">
      <c r="E7548" s="49" t="str">
        <f>IFERROR(VLOOKUP(D7548,'taxonomy map'!$A$1:$C$107,2,FALSE),"")</f>
        <v/>
      </c>
      <c r="F7548" s="49" t="str">
        <f>IFERROR(VLOOKUP(E7548,'Condensed Specialty Crosswalk'!$A$2:$C$106,2,FALSE),"")</f>
        <v/>
      </c>
      <c r="G7548" s="49" t="str">
        <f>IFERROR(VLOOKUP(E7548,'Condensed Specialty Crosswalk'!$A$2:$C$106,3,FALSE),"")</f>
        <v/>
      </c>
    </row>
    <row r="7549" spans="5:7" ht="15" customHeight="1">
      <c r="E7549" s="49" t="str">
        <f>IFERROR(VLOOKUP(D7549,'taxonomy map'!$A$1:$C$107,2,FALSE),"")</f>
        <v/>
      </c>
      <c r="F7549" s="49" t="str">
        <f>IFERROR(VLOOKUP(E7549,'Condensed Specialty Crosswalk'!$A$2:$C$106,2,FALSE),"")</f>
        <v/>
      </c>
      <c r="G7549" s="49" t="str">
        <f>IFERROR(VLOOKUP(E7549,'Condensed Specialty Crosswalk'!$A$2:$C$106,3,FALSE),"")</f>
        <v/>
      </c>
    </row>
    <row r="7550" spans="5:7" ht="15" customHeight="1">
      <c r="E7550" s="49" t="str">
        <f>IFERROR(VLOOKUP(D7550,'taxonomy map'!$A$1:$C$107,2,FALSE),"")</f>
        <v/>
      </c>
      <c r="F7550" s="49" t="str">
        <f>IFERROR(VLOOKUP(E7550,'Condensed Specialty Crosswalk'!$A$2:$C$106,2,FALSE),"")</f>
        <v/>
      </c>
      <c r="G7550" s="49" t="str">
        <f>IFERROR(VLOOKUP(E7550,'Condensed Specialty Crosswalk'!$A$2:$C$106,3,FALSE),"")</f>
        <v/>
      </c>
    </row>
    <row r="7551" spans="5:7" ht="15" customHeight="1">
      <c r="E7551" s="49" t="str">
        <f>IFERROR(VLOOKUP(D7551,'taxonomy map'!$A$1:$C$107,2,FALSE),"")</f>
        <v/>
      </c>
      <c r="F7551" s="49" t="str">
        <f>IFERROR(VLOOKUP(E7551,'Condensed Specialty Crosswalk'!$A$2:$C$106,2,FALSE),"")</f>
        <v/>
      </c>
      <c r="G7551" s="49" t="str">
        <f>IFERROR(VLOOKUP(E7551,'Condensed Specialty Crosswalk'!$A$2:$C$106,3,FALSE),"")</f>
        <v/>
      </c>
    </row>
    <row r="7552" spans="5:7" ht="15" customHeight="1">
      <c r="E7552" s="49" t="str">
        <f>IFERROR(VLOOKUP(D7552,'taxonomy map'!$A$1:$C$107,2,FALSE),"")</f>
        <v/>
      </c>
      <c r="F7552" s="49" t="str">
        <f>IFERROR(VLOOKUP(E7552,'Condensed Specialty Crosswalk'!$A$2:$C$106,2,FALSE),"")</f>
        <v/>
      </c>
      <c r="G7552" s="49" t="str">
        <f>IFERROR(VLOOKUP(E7552,'Condensed Specialty Crosswalk'!$A$2:$C$106,3,FALSE),"")</f>
        <v/>
      </c>
    </row>
    <row r="7553" spans="5:7" ht="15" customHeight="1">
      <c r="E7553" s="49" t="str">
        <f>IFERROR(VLOOKUP(D7553,'taxonomy map'!$A$1:$C$107,2,FALSE),"")</f>
        <v/>
      </c>
      <c r="F7553" s="49" t="str">
        <f>IFERROR(VLOOKUP(E7553,'Condensed Specialty Crosswalk'!$A$2:$C$106,2,FALSE),"")</f>
        <v/>
      </c>
      <c r="G7553" s="49" t="str">
        <f>IFERROR(VLOOKUP(E7553,'Condensed Specialty Crosswalk'!$A$2:$C$106,3,FALSE),"")</f>
        <v/>
      </c>
    </row>
    <row r="7554" spans="5:7" ht="15" customHeight="1">
      <c r="E7554" s="49" t="str">
        <f>IFERROR(VLOOKUP(D7554,'taxonomy map'!$A$1:$C$107,2,FALSE),"")</f>
        <v/>
      </c>
      <c r="F7554" s="49" t="str">
        <f>IFERROR(VLOOKUP(E7554,'Condensed Specialty Crosswalk'!$A$2:$C$106,2,FALSE),"")</f>
        <v/>
      </c>
      <c r="G7554" s="49" t="str">
        <f>IFERROR(VLOOKUP(E7554,'Condensed Specialty Crosswalk'!$A$2:$C$106,3,FALSE),"")</f>
        <v/>
      </c>
    </row>
    <row r="7555" spans="5:7" ht="15" customHeight="1">
      <c r="E7555" s="49" t="str">
        <f>IFERROR(VLOOKUP(D7555,'taxonomy map'!$A$1:$C$107,2,FALSE),"")</f>
        <v/>
      </c>
      <c r="F7555" s="49" t="str">
        <f>IFERROR(VLOOKUP(E7555,'Condensed Specialty Crosswalk'!$A$2:$C$106,2,FALSE),"")</f>
        <v/>
      </c>
      <c r="G7555" s="49" t="str">
        <f>IFERROR(VLOOKUP(E7555,'Condensed Specialty Crosswalk'!$A$2:$C$106,3,FALSE),"")</f>
        <v/>
      </c>
    </row>
    <row r="7556" spans="5:7" ht="15" customHeight="1">
      <c r="E7556" s="49" t="str">
        <f>IFERROR(VLOOKUP(D7556,'taxonomy map'!$A$1:$C$107,2,FALSE),"")</f>
        <v/>
      </c>
      <c r="F7556" s="49" t="str">
        <f>IFERROR(VLOOKUP(E7556,'Condensed Specialty Crosswalk'!$A$2:$C$106,2,FALSE),"")</f>
        <v/>
      </c>
      <c r="G7556" s="49" t="str">
        <f>IFERROR(VLOOKUP(E7556,'Condensed Specialty Crosswalk'!$A$2:$C$106,3,FALSE),"")</f>
        <v/>
      </c>
    </row>
    <row r="7557" spans="5:7" ht="15" customHeight="1">
      <c r="E7557" s="49" t="str">
        <f>IFERROR(VLOOKUP(D7557,'taxonomy map'!$A$1:$C$107,2,FALSE),"")</f>
        <v/>
      </c>
      <c r="F7557" s="49" t="str">
        <f>IFERROR(VLOOKUP(E7557,'Condensed Specialty Crosswalk'!$A$2:$C$106,2,FALSE),"")</f>
        <v/>
      </c>
      <c r="G7557" s="49" t="str">
        <f>IFERROR(VLOOKUP(E7557,'Condensed Specialty Crosswalk'!$A$2:$C$106,3,FALSE),"")</f>
        <v/>
      </c>
    </row>
    <row r="7558" spans="5:7" ht="15" customHeight="1">
      <c r="E7558" s="49" t="str">
        <f>IFERROR(VLOOKUP(D7558,'taxonomy map'!$A$1:$C$107,2,FALSE),"")</f>
        <v/>
      </c>
      <c r="F7558" s="49" t="str">
        <f>IFERROR(VLOOKUP(E7558,'Condensed Specialty Crosswalk'!$A$2:$C$106,2,FALSE),"")</f>
        <v/>
      </c>
      <c r="G7558" s="49" t="str">
        <f>IFERROR(VLOOKUP(E7558,'Condensed Specialty Crosswalk'!$A$2:$C$106,3,FALSE),"")</f>
        <v/>
      </c>
    </row>
    <row r="7559" spans="5:7" ht="15" customHeight="1">
      <c r="E7559" s="49" t="str">
        <f>IFERROR(VLOOKUP(D7559,'taxonomy map'!$A$1:$C$107,2,FALSE),"")</f>
        <v/>
      </c>
      <c r="F7559" s="49" t="str">
        <f>IFERROR(VLOOKUP(E7559,'Condensed Specialty Crosswalk'!$A$2:$C$106,2,FALSE),"")</f>
        <v/>
      </c>
      <c r="G7559" s="49" t="str">
        <f>IFERROR(VLOOKUP(E7559,'Condensed Specialty Crosswalk'!$A$2:$C$106,3,FALSE),"")</f>
        <v/>
      </c>
    </row>
    <row r="7560" spans="5:7" ht="15" customHeight="1">
      <c r="E7560" s="49" t="str">
        <f>IFERROR(VLOOKUP(D7560,'taxonomy map'!$A$1:$C$107,2,FALSE),"")</f>
        <v/>
      </c>
      <c r="F7560" s="49" t="str">
        <f>IFERROR(VLOOKUP(E7560,'Condensed Specialty Crosswalk'!$A$2:$C$106,2,FALSE),"")</f>
        <v/>
      </c>
      <c r="G7560" s="49" t="str">
        <f>IFERROR(VLOOKUP(E7560,'Condensed Specialty Crosswalk'!$A$2:$C$106,3,FALSE),"")</f>
        <v/>
      </c>
    </row>
    <row r="7561" spans="5:7" ht="15" customHeight="1">
      <c r="E7561" s="49" t="str">
        <f>IFERROR(VLOOKUP(D7561,'taxonomy map'!$A$1:$C$107,2,FALSE),"")</f>
        <v/>
      </c>
      <c r="F7561" s="49" t="str">
        <f>IFERROR(VLOOKUP(E7561,'Condensed Specialty Crosswalk'!$A$2:$C$106,2,FALSE),"")</f>
        <v/>
      </c>
      <c r="G7561" s="49" t="str">
        <f>IFERROR(VLOOKUP(E7561,'Condensed Specialty Crosswalk'!$A$2:$C$106,3,FALSE),"")</f>
        <v/>
      </c>
    </row>
    <row r="7562" spans="5:7" ht="15" customHeight="1">
      <c r="E7562" s="49" t="str">
        <f>IFERROR(VLOOKUP(D7562,'taxonomy map'!$A$1:$C$107,2,FALSE),"")</f>
        <v/>
      </c>
      <c r="F7562" s="49" t="str">
        <f>IFERROR(VLOOKUP(E7562,'Condensed Specialty Crosswalk'!$A$2:$C$106,2,FALSE),"")</f>
        <v/>
      </c>
      <c r="G7562" s="49" t="str">
        <f>IFERROR(VLOOKUP(E7562,'Condensed Specialty Crosswalk'!$A$2:$C$106,3,FALSE),"")</f>
        <v/>
      </c>
    </row>
    <row r="7563" spans="5:7" ht="15" customHeight="1">
      <c r="E7563" s="49" t="str">
        <f>IFERROR(VLOOKUP(D7563,'taxonomy map'!$A$1:$C$107,2,FALSE),"")</f>
        <v/>
      </c>
      <c r="F7563" s="49" t="str">
        <f>IFERROR(VLOOKUP(E7563,'Condensed Specialty Crosswalk'!$A$2:$C$106,2,FALSE),"")</f>
        <v/>
      </c>
      <c r="G7563" s="49" t="str">
        <f>IFERROR(VLOOKUP(E7563,'Condensed Specialty Crosswalk'!$A$2:$C$106,3,FALSE),"")</f>
        <v/>
      </c>
    </row>
    <row r="7564" spans="5:7" ht="15" customHeight="1">
      <c r="E7564" s="49" t="str">
        <f>IFERROR(VLOOKUP(D7564,'taxonomy map'!$A$1:$C$107,2,FALSE),"")</f>
        <v/>
      </c>
      <c r="F7564" s="49" t="str">
        <f>IFERROR(VLOOKUP(E7564,'Condensed Specialty Crosswalk'!$A$2:$C$106,2,FALSE),"")</f>
        <v/>
      </c>
      <c r="G7564" s="49" t="str">
        <f>IFERROR(VLOOKUP(E7564,'Condensed Specialty Crosswalk'!$A$2:$C$106,3,FALSE),"")</f>
        <v/>
      </c>
    </row>
    <row r="7565" spans="5:7" ht="15" customHeight="1">
      <c r="E7565" s="49" t="str">
        <f>IFERROR(VLOOKUP(D7565,'taxonomy map'!$A$1:$C$107,2,FALSE),"")</f>
        <v/>
      </c>
      <c r="F7565" s="49" t="str">
        <f>IFERROR(VLOOKUP(E7565,'Condensed Specialty Crosswalk'!$A$2:$C$106,2,FALSE),"")</f>
        <v/>
      </c>
      <c r="G7565" s="49" t="str">
        <f>IFERROR(VLOOKUP(E7565,'Condensed Specialty Crosswalk'!$A$2:$C$106,3,FALSE),"")</f>
        <v/>
      </c>
    </row>
    <row r="7566" spans="5:7" ht="15" customHeight="1">
      <c r="E7566" s="49" t="str">
        <f>IFERROR(VLOOKUP(D7566,'taxonomy map'!$A$1:$C$107,2,FALSE),"")</f>
        <v/>
      </c>
      <c r="F7566" s="49" t="str">
        <f>IFERROR(VLOOKUP(E7566,'Condensed Specialty Crosswalk'!$A$2:$C$106,2,FALSE),"")</f>
        <v/>
      </c>
      <c r="G7566" s="49" t="str">
        <f>IFERROR(VLOOKUP(E7566,'Condensed Specialty Crosswalk'!$A$2:$C$106,3,FALSE),"")</f>
        <v/>
      </c>
    </row>
    <row r="7567" spans="5:7" ht="15" customHeight="1">
      <c r="E7567" s="49" t="str">
        <f>IFERROR(VLOOKUP(D7567,'taxonomy map'!$A$1:$C$107,2,FALSE),"")</f>
        <v/>
      </c>
      <c r="F7567" s="49" t="str">
        <f>IFERROR(VLOOKUP(E7567,'Condensed Specialty Crosswalk'!$A$2:$C$106,2,FALSE),"")</f>
        <v/>
      </c>
      <c r="G7567" s="49" t="str">
        <f>IFERROR(VLOOKUP(E7567,'Condensed Specialty Crosswalk'!$A$2:$C$106,3,FALSE),"")</f>
        <v/>
      </c>
    </row>
    <row r="7568" spans="5:7" ht="15" customHeight="1">
      <c r="E7568" s="49" t="str">
        <f>IFERROR(VLOOKUP(D7568,'taxonomy map'!$A$1:$C$107,2,FALSE),"")</f>
        <v/>
      </c>
      <c r="F7568" s="49" t="str">
        <f>IFERROR(VLOOKUP(E7568,'Condensed Specialty Crosswalk'!$A$2:$C$106,2,FALSE),"")</f>
        <v/>
      </c>
      <c r="G7568" s="49" t="str">
        <f>IFERROR(VLOOKUP(E7568,'Condensed Specialty Crosswalk'!$A$2:$C$106,3,FALSE),"")</f>
        <v/>
      </c>
    </row>
    <row r="7569" spans="5:7" ht="15" customHeight="1">
      <c r="E7569" s="49" t="str">
        <f>IFERROR(VLOOKUP(D7569,'taxonomy map'!$A$1:$C$107,2,FALSE),"")</f>
        <v/>
      </c>
      <c r="F7569" s="49" t="str">
        <f>IFERROR(VLOOKUP(E7569,'Condensed Specialty Crosswalk'!$A$2:$C$106,2,FALSE),"")</f>
        <v/>
      </c>
      <c r="G7569" s="49" t="str">
        <f>IFERROR(VLOOKUP(E7569,'Condensed Specialty Crosswalk'!$A$2:$C$106,3,FALSE),"")</f>
        <v/>
      </c>
    </row>
    <row r="7570" spans="5:7" ht="15" customHeight="1">
      <c r="E7570" s="49" t="str">
        <f>IFERROR(VLOOKUP(D7570,'taxonomy map'!$A$1:$C$107,2,FALSE),"")</f>
        <v/>
      </c>
      <c r="F7570" s="49" t="str">
        <f>IFERROR(VLOOKUP(E7570,'Condensed Specialty Crosswalk'!$A$2:$C$106,2,FALSE),"")</f>
        <v/>
      </c>
      <c r="G7570" s="49" t="str">
        <f>IFERROR(VLOOKUP(E7570,'Condensed Specialty Crosswalk'!$A$2:$C$106,3,FALSE),"")</f>
        <v/>
      </c>
    </row>
    <row r="7571" spans="5:7" ht="15" customHeight="1">
      <c r="E7571" s="49" t="str">
        <f>IFERROR(VLOOKUP(D7571,'taxonomy map'!$A$1:$C$107,2,FALSE),"")</f>
        <v/>
      </c>
      <c r="F7571" s="49" t="str">
        <f>IFERROR(VLOOKUP(E7571,'Condensed Specialty Crosswalk'!$A$2:$C$106,2,FALSE),"")</f>
        <v/>
      </c>
      <c r="G7571" s="49" t="str">
        <f>IFERROR(VLOOKUP(E7571,'Condensed Specialty Crosswalk'!$A$2:$C$106,3,FALSE),"")</f>
        <v/>
      </c>
    </row>
    <row r="7572" spans="5:7" ht="15" customHeight="1">
      <c r="E7572" s="49" t="str">
        <f>IFERROR(VLOOKUP(D7572,'taxonomy map'!$A$1:$C$107,2,FALSE),"")</f>
        <v/>
      </c>
      <c r="F7572" s="49" t="str">
        <f>IFERROR(VLOOKUP(E7572,'Condensed Specialty Crosswalk'!$A$2:$C$106,2,FALSE),"")</f>
        <v/>
      </c>
      <c r="G7572" s="49" t="str">
        <f>IFERROR(VLOOKUP(E7572,'Condensed Specialty Crosswalk'!$A$2:$C$106,3,FALSE),"")</f>
        <v/>
      </c>
    </row>
    <row r="7573" spans="5:7" ht="15" customHeight="1">
      <c r="E7573" s="49" t="str">
        <f>IFERROR(VLOOKUP(D7573,'taxonomy map'!$A$1:$C$107,2,FALSE),"")</f>
        <v/>
      </c>
      <c r="F7573" s="49" t="str">
        <f>IFERROR(VLOOKUP(E7573,'Condensed Specialty Crosswalk'!$A$2:$C$106,2,FALSE),"")</f>
        <v/>
      </c>
      <c r="G7573" s="49" t="str">
        <f>IFERROR(VLOOKUP(E7573,'Condensed Specialty Crosswalk'!$A$2:$C$106,3,FALSE),"")</f>
        <v/>
      </c>
    </row>
    <row r="7574" spans="5:7" ht="15" customHeight="1">
      <c r="E7574" s="49" t="str">
        <f>IFERROR(VLOOKUP(D7574,'taxonomy map'!$A$1:$C$107,2,FALSE),"")</f>
        <v/>
      </c>
      <c r="F7574" s="49" t="str">
        <f>IFERROR(VLOOKUP(E7574,'Condensed Specialty Crosswalk'!$A$2:$C$106,2,FALSE),"")</f>
        <v/>
      </c>
      <c r="G7574" s="49" t="str">
        <f>IFERROR(VLOOKUP(E7574,'Condensed Specialty Crosswalk'!$A$2:$C$106,3,FALSE),"")</f>
        <v/>
      </c>
    </row>
    <row r="7575" spans="5:7" ht="15" customHeight="1">
      <c r="E7575" s="49" t="str">
        <f>IFERROR(VLOOKUP(D7575,'taxonomy map'!$A$1:$C$107,2,FALSE),"")</f>
        <v/>
      </c>
      <c r="F7575" s="49" t="str">
        <f>IFERROR(VLOOKUP(E7575,'Condensed Specialty Crosswalk'!$A$2:$C$106,2,FALSE),"")</f>
        <v/>
      </c>
      <c r="G7575" s="49" t="str">
        <f>IFERROR(VLOOKUP(E7575,'Condensed Specialty Crosswalk'!$A$2:$C$106,3,FALSE),"")</f>
        <v/>
      </c>
    </row>
    <row r="7576" spans="5:7" ht="15" customHeight="1">
      <c r="E7576" s="49" t="str">
        <f>IFERROR(VLOOKUP(D7576,'taxonomy map'!$A$1:$C$107,2,FALSE),"")</f>
        <v/>
      </c>
      <c r="F7576" s="49" t="str">
        <f>IFERROR(VLOOKUP(E7576,'Condensed Specialty Crosswalk'!$A$2:$C$106,2,FALSE),"")</f>
        <v/>
      </c>
      <c r="G7576" s="49" t="str">
        <f>IFERROR(VLOOKUP(E7576,'Condensed Specialty Crosswalk'!$A$2:$C$106,3,FALSE),"")</f>
        <v/>
      </c>
    </row>
    <row r="7577" spans="5:7" ht="15" customHeight="1">
      <c r="E7577" s="49" t="str">
        <f>IFERROR(VLOOKUP(D7577,'taxonomy map'!$A$1:$C$107,2,FALSE),"")</f>
        <v/>
      </c>
      <c r="F7577" s="49" t="str">
        <f>IFERROR(VLOOKUP(E7577,'Condensed Specialty Crosswalk'!$A$2:$C$106,2,FALSE),"")</f>
        <v/>
      </c>
      <c r="G7577" s="49" t="str">
        <f>IFERROR(VLOOKUP(E7577,'Condensed Specialty Crosswalk'!$A$2:$C$106,3,FALSE),"")</f>
        <v/>
      </c>
    </row>
    <row r="7578" spans="5:7" ht="15" customHeight="1">
      <c r="E7578" s="49" t="str">
        <f>IFERROR(VLOOKUP(D7578,'taxonomy map'!$A$1:$C$107,2,FALSE),"")</f>
        <v/>
      </c>
      <c r="F7578" s="49" t="str">
        <f>IFERROR(VLOOKUP(E7578,'Condensed Specialty Crosswalk'!$A$2:$C$106,2,FALSE),"")</f>
        <v/>
      </c>
      <c r="G7578" s="49" t="str">
        <f>IFERROR(VLOOKUP(E7578,'Condensed Specialty Crosswalk'!$A$2:$C$106,3,FALSE),"")</f>
        <v/>
      </c>
    </row>
    <row r="7579" spans="5:7" ht="15" customHeight="1">
      <c r="E7579" s="49" t="str">
        <f>IFERROR(VLOOKUP(D7579,'taxonomy map'!$A$1:$C$107,2,FALSE),"")</f>
        <v/>
      </c>
      <c r="F7579" s="49" t="str">
        <f>IFERROR(VLOOKUP(E7579,'Condensed Specialty Crosswalk'!$A$2:$C$106,2,FALSE),"")</f>
        <v/>
      </c>
      <c r="G7579" s="49" t="str">
        <f>IFERROR(VLOOKUP(E7579,'Condensed Specialty Crosswalk'!$A$2:$C$106,3,FALSE),"")</f>
        <v/>
      </c>
    </row>
    <row r="7580" spans="5:7" ht="15" customHeight="1">
      <c r="E7580" s="49" t="str">
        <f>IFERROR(VLOOKUP(D7580,'taxonomy map'!$A$1:$C$107,2,FALSE),"")</f>
        <v/>
      </c>
      <c r="F7580" s="49" t="str">
        <f>IFERROR(VLOOKUP(E7580,'Condensed Specialty Crosswalk'!$A$2:$C$106,2,FALSE),"")</f>
        <v/>
      </c>
      <c r="G7580" s="49" t="str">
        <f>IFERROR(VLOOKUP(E7580,'Condensed Specialty Crosswalk'!$A$2:$C$106,3,FALSE),"")</f>
        <v/>
      </c>
    </row>
    <row r="7581" spans="5:7" ht="15" customHeight="1">
      <c r="E7581" s="49" t="str">
        <f>IFERROR(VLOOKUP(D7581,'taxonomy map'!$A$1:$C$107,2,FALSE),"")</f>
        <v/>
      </c>
      <c r="F7581" s="49" t="str">
        <f>IFERROR(VLOOKUP(E7581,'Condensed Specialty Crosswalk'!$A$2:$C$106,2,FALSE),"")</f>
        <v/>
      </c>
      <c r="G7581" s="49" t="str">
        <f>IFERROR(VLOOKUP(E7581,'Condensed Specialty Crosswalk'!$A$2:$C$106,3,FALSE),"")</f>
        <v/>
      </c>
    </row>
    <row r="7582" spans="5:7" ht="15" customHeight="1">
      <c r="E7582" s="49" t="str">
        <f>IFERROR(VLOOKUP(D7582,'taxonomy map'!$A$1:$C$107,2,FALSE),"")</f>
        <v/>
      </c>
      <c r="F7582" s="49" t="str">
        <f>IFERROR(VLOOKUP(E7582,'Condensed Specialty Crosswalk'!$A$2:$C$106,2,FALSE),"")</f>
        <v/>
      </c>
      <c r="G7582" s="49" t="str">
        <f>IFERROR(VLOOKUP(E7582,'Condensed Specialty Crosswalk'!$A$2:$C$106,3,FALSE),"")</f>
        <v/>
      </c>
    </row>
    <row r="7583" spans="5:7" ht="15" customHeight="1">
      <c r="E7583" s="49" t="str">
        <f>IFERROR(VLOOKUP(D7583,'taxonomy map'!$A$1:$C$107,2,FALSE),"")</f>
        <v/>
      </c>
      <c r="F7583" s="49" t="str">
        <f>IFERROR(VLOOKUP(E7583,'Condensed Specialty Crosswalk'!$A$2:$C$106,2,FALSE),"")</f>
        <v/>
      </c>
      <c r="G7583" s="49" t="str">
        <f>IFERROR(VLOOKUP(E7583,'Condensed Specialty Crosswalk'!$A$2:$C$106,3,FALSE),"")</f>
        <v/>
      </c>
    </row>
    <row r="7584" spans="5:7" ht="15" customHeight="1">
      <c r="E7584" s="49" t="str">
        <f>IFERROR(VLOOKUP(D7584,'taxonomy map'!$A$1:$C$107,2,FALSE),"")</f>
        <v/>
      </c>
      <c r="F7584" s="49" t="str">
        <f>IFERROR(VLOOKUP(E7584,'Condensed Specialty Crosswalk'!$A$2:$C$106,2,FALSE),"")</f>
        <v/>
      </c>
      <c r="G7584" s="49" t="str">
        <f>IFERROR(VLOOKUP(E7584,'Condensed Specialty Crosswalk'!$A$2:$C$106,3,FALSE),"")</f>
        <v/>
      </c>
    </row>
    <row r="7585" spans="5:7" ht="15" customHeight="1">
      <c r="E7585" s="49" t="str">
        <f>IFERROR(VLOOKUP(D7585,'taxonomy map'!$A$1:$C$107,2,FALSE),"")</f>
        <v/>
      </c>
      <c r="F7585" s="49" t="str">
        <f>IFERROR(VLOOKUP(E7585,'Condensed Specialty Crosswalk'!$A$2:$C$106,2,FALSE),"")</f>
        <v/>
      </c>
      <c r="G7585" s="49" t="str">
        <f>IFERROR(VLOOKUP(E7585,'Condensed Specialty Crosswalk'!$A$2:$C$106,3,FALSE),"")</f>
        <v/>
      </c>
    </row>
    <row r="7586" spans="5:7" ht="15" customHeight="1">
      <c r="E7586" s="49" t="str">
        <f>IFERROR(VLOOKUP(D7586,'taxonomy map'!$A$1:$C$107,2,FALSE),"")</f>
        <v/>
      </c>
      <c r="F7586" s="49" t="str">
        <f>IFERROR(VLOOKUP(E7586,'Condensed Specialty Crosswalk'!$A$2:$C$106,2,FALSE),"")</f>
        <v/>
      </c>
      <c r="G7586" s="49" t="str">
        <f>IFERROR(VLOOKUP(E7586,'Condensed Specialty Crosswalk'!$A$2:$C$106,3,FALSE),"")</f>
        <v/>
      </c>
    </row>
    <row r="7587" spans="5:7" ht="15" customHeight="1">
      <c r="E7587" s="49" t="str">
        <f>IFERROR(VLOOKUP(D7587,'taxonomy map'!$A$1:$C$107,2,FALSE),"")</f>
        <v/>
      </c>
      <c r="F7587" s="49" t="str">
        <f>IFERROR(VLOOKUP(E7587,'Condensed Specialty Crosswalk'!$A$2:$C$106,2,FALSE),"")</f>
        <v/>
      </c>
      <c r="G7587" s="49" t="str">
        <f>IFERROR(VLOOKUP(E7587,'Condensed Specialty Crosswalk'!$A$2:$C$106,3,FALSE),"")</f>
        <v/>
      </c>
    </row>
    <row r="7588" spans="5:7" ht="15" customHeight="1">
      <c r="E7588" s="49" t="str">
        <f>IFERROR(VLOOKUP(D7588,'taxonomy map'!$A$1:$C$107,2,FALSE),"")</f>
        <v/>
      </c>
      <c r="F7588" s="49" t="str">
        <f>IFERROR(VLOOKUP(E7588,'Condensed Specialty Crosswalk'!$A$2:$C$106,2,FALSE),"")</f>
        <v/>
      </c>
      <c r="G7588" s="49" t="str">
        <f>IFERROR(VLOOKUP(E7588,'Condensed Specialty Crosswalk'!$A$2:$C$106,3,FALSE),"")</f>
        <v/>
      </c>
    </row>
    <row r="7589" spans="5:7" ht="15" customHeight="1">
      <c r="E7589" s="49" t="str">
        <f>IFERROR(VLOOKUP(D7589,'taxonomy map'!$A$1:$C$107,2,FALSE),"")</f>
        <v/>
      </c>
      <c r="F7589" s="49" t="str">
        <f>IFERROR(VLOOKUP(E7589,'Condensed Specialty Crosswalk'!$A$2:$C$106,2,FALSE),"")</f>
        <v/>
      </c>
      <c r="G7589" s="49" t="str">
        <f>IFERROR(VLOOKUP(E7589,'Condensed Specialty Crosswalk'!$A$2:$C$106,3,FALSE),"")</f>
        <v/>
      </c>
    </row>
    <row r="7590" spans="5:7" ht="15" customHeight="1">
      <c r="E7590" s="49" t="str">
        <f>IFERROR(VLOOKUP(D7590,'taxonomy map'!$A$1:$C$107,2,FALSE),"")</f>
        <v/>
      </c>
      <c r="F7590" s="49" t="str">
        <f>IFERROR(VLOOKUP(E7590,'Condensed Specialty Crosswalk'!$A$2:$C$106,2,FALSE),"")</f>
        <v/>
      </c>
      <c r="G7590" s="49" t="str">
        <f>IFERROR(VLOOKUP(E7590,'Condensed Specialty Crosswalk'!$A$2:$C$106,3,FALSE),"")</f>
        <v/>
      </c>
    </row>
    <row r="7591" spans="5:7" ht="15" customHeight="1">
      <c r="E7591" s="49" t="str">
        <f>IFERROR(VLOOKUP(D7591,'taxonomy map'!$A$1:$C$107,2,FALSE),"")</f>
        <v/>
      </c>
      <c r="F7591" s="49" t="str">
        <f>IFERROR(VLOOKUP(E7591,'Condensed Specialty Crosswalk'!$A$2:$C$106,2,FALSE),"")</f>
        <v/>
      </c>
      <c r="G7591" s="49" t="str">
        <f>IFERROR(VLOOKUP(E7591,'Condensed Specialty Crosswalk'!$A$2:$C$106,3,FALSE),"")</f>
        <v/>
      </c>
    </row>
    <row r="7592" spans="5:7" ht="15" customHeight="1">
      <c r="E7592" s="49" t="str">
        <f>IFERROR(VLOOKUP(D7592,'taxonomy map'!$A$1:$C$107,2,FALSE),"")</f>
        <v/>
      </c>
      <c r="F7592" s="49" t="str">
        <f>IFERROR(VLOOKUP(E7592,'Condensed Specialty Crosswalk'!$A$2:$C$106,2,FALSE),"")</f>
        <v/>
      </c>
      <c r="G7592" s="49" t="str">
        <f>IFERROR(VLOOKUP(E7592,'Condensed Specialty Crosswalk'!$A$2:$C$106,3,FALSE),"")</f>
        <v/>
      </c>
    </row>
    <row r="7593" spans="5:7" ht="15" customHeight="1">
      <c r="E7593" s="49" t="str">
        <f>IFERROR(VLOOKUP(D7593,'taxonomy map'!$A$1:$C$107,2,FALSE),"")</f>
        <v/>
      </c>
      <c r="F7593" s="49" t="str">
        <f>IFERROR(VLOOKUP(E7593,'Condensed Specialty Crosswalk'!$A$2:$C$106,2,FALSE),"")</f>
        <v/>
      </c>
      <c r="G7593" s="49" t="str">
        <f>IFERROR(VLOOKUP(E7593,'Condensed Specialty Crosswalk'!$A$2:$C$106,3,FALSE),"")</f>
        <v/>
      </c>
    </row>
    <row r="7594" spans="5:7" ht="15" customHeight="1">
      <c r="E7594" s="49" t="str">
        <f>IFERROR(VLOOKUP(D7594,'taxonomy map'!$A$1:$C$107,2,FALSE),"")</f>
        <v/>
      </c>
      <c r="F7594" s="49" t="str">
        <f>IFERROR(VLOOKUP(E7594,'Condensed Specialty Crosswalk'!$A$2:$C$106,2,FALSE),"")</f>
        <v/>
      </c>
      <c r="G7594" s="49" t="str">
        <f>IFERROR(VLOOKUP(E7594,'Condensed Specialty Crosswalk'!$A$2:$C$106,3,FALSE),"")</f>
        <v/>
      </c>
    </row>
    <row r="7595" spans="5:7" ht="15" customHeight="1">
      <c r="E7595" s="49" t="str">
        <f>IFERROR(VLOOKUP(D7595,'taxonomy map'!$A$1:$C$107,2,FALSE),"")</f>
        <v/>
      </c>
      <c r="F7595" s="49" t="str">
        <f>IFERROR(VLOOKUP(E7595,'Condensed Specialty Crosswalk'!$A$2:$C$106,2,FALSE),"")</f>
        <v/>
      </c>
      <c r="G7595" s="49" t="str">
        <f>IFERROR(VLOOKUP(E7595,'Condensed Specialty Crosswalk'!$A$2:$C$106,3,FALSE),"")</f>
        <v/>
      </c>
    </row>
    <row r="7596" spans="5:7" ht="15" customHeight="1">
      <c r="E7596" s="49" t="str">
        <f>IFERROR(VLOOKUP(D7596,'taxonomy map'!$A$1:$C$107,2,FALSE),"")</f>
        <v/>
      </c>
      <c r="F7596" s="49" t="str">
        <f>IFERROR(VLOOKUP(E7596,'Condensed Specialty Crosswalk'!$A$2:$C$106,2,FALSE),"")</f>
        <v/>
      </c>
      <c r="G7596" s="49" t="str">
        <f>IFERROR(VLOOKUP(E7596,'Condensed Specialty Crosswalk'!$A$2:$C$106,3,FALSE),"")</f>
        <v/>
      </c>
    </row>
    <row r="7597" spans="5:7" ht="15" customHeight="1">
      <c r="E7597" s="49" t="str">
        <f>IFERROR(VLOOKUP(D7597,'taxonomy map'!$A$1:$C$107,2,FALSE),"")</f>
        <v/>
      </c>
      <c r="F7597" s="49" t="str">
        <f>IFERROR(VLOOKUP(E7597,'Condensed Specialty Crosswalk'!$A$2:$C$106,2,FALSE),"")</f>
        <v/>
      </c>
      <c r="G7597" s="49" t="str">
        <f>IFERROR(VLOOKUP(E7597,'Condensed Specialty Crosswalk'!$A$2:$C$106,3,FALSE),"")</f>
        <v/>
      </c>
    </row>
    <row r="7598" spans="5:7" ht="15" customHeight="1">
      <c r="E7598" s="49" t="str">
        <f>IFERROR(VLOOKUP(D7598,'taxonomy map'!$A$1:$C$107,2,FALSE),"")</f>
        <v/>
      </c>
      <c r="F7598" s="49" t="str">
        <f>IFERROR(VLOOKUP(E7598,'Condensed Specialty Crosswalk'!$A$2:$C$106,2,FALSE),"")</f>
        <v/>
      </c>
      <c r="G7598" s="49" t="str">
        <f>IFERROR(VLOOKUP(E7598,'Condensed Specialty Crosswalk'!$A$2:$C$106,3,FALSE),"")</f>
        <v/>
      </c>
    </row>
    <row r="7599" spans="5:7" ht="15" customHeight="1">
      <c r="E7599" s="49" t="str">
        <f>IFERROR(VLOOKUP(D7599,'taxonomy map'!$A$1:$C$107,2,FALSE),"")</f>
        <v/>
      </c>
      <c r="F7599" s="49" t="str">
        <f>IFERROR(VLOOKUP(E7599,'Condensed Specialty Crosswalk'!$A$2:$C$106,2,FALSE),"")</f>
        <v/>
      </c>
      <c r="G7599" s="49" t="str">
        <f>IFERROR(VLOOKUP(E7599,'Condensed Specialty Crosswalk'!$A$2:$C$106,3,FALSE),"")</f>
        <v/>
      </c>
    </row>
    <row r="7600" spans="5:7" ht="15" customHeight="1">
      <c r="E7600" s="49" t="str">
        <f>IFERROR(VLOOKUP(D7600,'taxonomy map'!$A$1:$C$107,2,FALSE),"")</f>
        <v/>
      </c>
      <c r="F7600" s="49" t="str">
        <f>IFERROR(VLOOKUP(E7600,'Condensed Specialty Crosswalk'!$A$2:$C$106,2,FALSE),"")</f>
        <v/>
      </c>
      <c r="G7600" s="49" t="str">
        <f>IFERROR(VLOOKUP(E7600,'Condensed Specialty Crosswalk'!$A$2:$C$106,3,FALSE),"")</f>
        <v/>
      </c>
    </row>
    <row r="7601" spans="5:7" ht="15" customHeight="1">
      <c r="E7601" s="49" t="str">
        <f>IFERROR(VLOOKUP(D7601,'taxonomy map'!$A$1:$C$107,2,FALSE),"")</f>
        <v/>
      </c>
      <c r="F7601" s="49" t="str">
        <f>IFERROR(VLOOKUP(E7601,'Condensed Specialty Crosswalk'!$A$2:$C$106,2,FALSE),"")</f>
        <v/>
      </c>
      <c r="G7601" s="49" t="str">
        <f>IFERROR(VLOOKUP(E7601,'Condensed Specialty Crosswalk'!$A$2:$C$106,3,FALSE),"")</f>
        <v/>
      </c>
    </row>
    <row r="7602" spans="5:7" ht="15" customHeight="1">
      <c r="E7602" s="49" t="str">
        <f>IFERROR(VLOOKUP(D7602,'taxonomy map'!$A$1:$C$107,2,FALSE),"")</f>
        <v/>
      </c>
      <c r="F7602" s="49" t="str">
        <f>IFERROR(VLOOKUP(E7602,'Condensed Specialty Crosswalk'!$A$2:$C$106,2,FALSE),"")</f>
        <v/>
      </c>
      <c r="G7602" s="49" t="str">
        <f>IFERROR(VLOOKUP(E7602,'Condensed Specialty Crosswalk'!$A$2:$C$106,3,FALSE),"")</f>
        <v/>
      </c>
    </row>
    <row r="7603" spans="5:7" ht="15" customHeight="1">
      <c r="E7603" s="49" t="str">
        <f>IFERROR(VLOOKUP(D7603,'taxonomy map'!$A$1:$C$107,2,FALSE),"")</f>
        <v/>
      </c>
      <c r="F7603" s="49" t="str">
        <f>IFERROR(VLOOKUP(E7603,'Condensed Specialty Crosswalk'!$A$2:$C$106,2,FALSE),"")</f>
        <v/>
      </c>
      <c r="G7603" s="49" t="str">
        <f>IFERROR(VLOOKUP(E7603,'Condensed Specialty Crosswalk'!$A$2:$C$106,3,FALSE),"")</f>
        <v/>
      </c>
    </row>
    <row r="7604" spans="5:7" ht="15" customHeight="1">
      <c r="E7604" s="49" t="str">
        <f>IFERROR(VLOOKUP(D7604,'taxonomy map'!$A$1:$C$107,2,FALSE),"")</f>
        <v/>
      </c>
      <c r="F7604" s="49" t="str">
        <f>IFERROR(VLOOKUP(E7604,'Condensed Specialty Crosswalk'!$A$2:$C$106,2,FALSE),"")</f>
        <v/>
      </c>
      <c r="G7604" s="49" t="str">
        <f>IFERROR(VLOOKUP(E7604,'Condensed Specialty Crosswalk'!$A$2:$C$106,3,FALSE),"")</f>
        <v/>
      </c>
    </row>
    <row r="7605" spans="5:7" ht="15" customHeight="1">
      <c r="E7605" s="49" t="str">
        <f>IFERROR(VLOOKUP(D7605,'taxonomy map'!$A$1:$C$107,2,FALSE),"")</f>
        <v/>
      </c>
      <c r="F7605" s="49" t="str">
        <f>IFERROR(VLOOKUP(E7605,'Condensed Specialty Crosswalk'!$A$2:$C$106,2,FALSE),"")</f>
        <v/>
      </c>
      <c r="G7605" s="49" t="str">
        <f>IFERROR(VLOOKUP(E7605,'Condensed Specialty Crosswalk'!$A$2:$C$106,3,FALSE),"")</f>
        <v/>
      </c>
    </row>
    <row r="7606" spans="5:7" ht="15" customHeight="1">
      <c r="E7606" s="49" t="str">
        <f>IFERROR(VLOOKUP(D7606,'taxonomy map'!$A$1:$C$107,2,FALSE),"")</f>
        <v/>
      </c>
      <c r="F7606" s="49" t="str">
        <f>IFERROR(VLOOKUP(E7606,'Condensed Specialty Crosswalk'!$A$2:$C$106,2,FALSE),"")</f>
        <v/>
      </c>
      <c r="G7606" s="49" t="str">
        <f>IFERROR(VLOOKUP(E7606,'Condensed Specialty Crosswalk'!$A$2:$C$106,3,FALSE),"")</f>
        <v/>
      </c>
    </row>
    <row r="7607" spans="5:7" ht="15" customHeight="1">
      <c r="E7607" s="49" t="str">
        <f>IFERROR(VLOOKUP(D7607,'taxonomy map'!$A$1:$C$107,2,FALSE),"")</f>
        <v/>
      </c>
      <c r="F7607" s="49" t="str">
        <f>IFERROR(VLOOKUP(E7607,'Condensed Specialty Crosswalk'!$A$2:$C$106,2,FALSE),"")</f>
        <v/>
      </c>
      <c r="G7607" s="49" t="str">
        <f>IFERROR(VLOOKUP(E7607,'Condensed Specialty Crosswalk'!$A$2:$C$106,3,FALSE),"")</f>
        <v/>
      </c>
    </row>
    <row r="7608" spans="5:7" ht="15" customHeight="1">
      <c r="E7608" s="49" t="str">
        <f>IFERROR(VLOOKUP(D7608,'taxonomy map'!$A$1:$C$107,2,FALSE),"")</f>
        <v/>
      </c>
      <c r="F7608" s="49" t="str">
        <f>IFERROR(VLOOKUP(E7608,'Condensed Specialty Crosswalk'!$A$2:$C$106,2,FALSE),"")</f>
        <v/>
      </c>
      <c r="G7608" s="49" t="str">
        <f>IFERROR(VLOOKUP(E7608,'Condensed Specialty Crosswalk'!$A$2:$C$106,3,FALSE),"")</f>
        <v/>
      </c>
    </row>
    <row r="7609" spans="5:7" ht="15" customHeight="1">
      <c r="E7609" s="49" t="str">
        <f>IFERROR(VLOOKUP(D7609,'taxonomy map'!$A$1:$C$107,2,FALSE),"")</f>
        <v/>
      </c>
      <c r="F7609" s="49" t="str">
        <f>IFERROR(VLOOKUP(E7609,'Condensed Specialty Crosswalk'!$A$2:$C$106,2,FALSE),"")</f>
        <v/>
      </c>
      <c r="G7609" s="49" t="str">
        <f>IFERROR(VLOOKUP(E7609,'Condensed Specialty Crosswalk'!$A$2:$C$106,3,FALSE),"")</f>
        <v/>
      </c>
    </row>
    <row r="7610" spans="5:7" ht="15" customHeight="1">
      <c r="E7610" s="49" t="str">
        <f>IFERROR(VLOOKUP(D7610,'taxonomy map'!$A$1:$C$107,2,FALSE),"")</f>
        <v/>
      </c>
      <c r="F7610" s="49" t="str">
        <f>IFERROR(VLOOKUP(E7610,'Condensed Specialty Crosswalk'!$A$2:$C$106,2,FALSE),"")</f>
        <v/>
      </c>
      <c r="G7610" s="49" t="str">
        <f>IFERROR(VLOOKUP(E7610,'Condensed Specialty Crosswalk'!$A$2:$C$106,3,FALSE),"")</f>
        <v/>
      </c>
    </row>
    <row r="7611" spans="5:7" ht="15" customHeight="1">
      <c r="E7611" s="49" t="str">
        <f>IFERROR(VLOOKUP(D7611,'taxonomy map'!$A$1:$C$107,2,FALSE),"")</f>
        <v/>
      </c>
      <c r="F7611" s="49" t="str">
        <f>IFERROR(VLOOKUP(E7611,'Condensed Specialty Crosswalk'!$A$2:$C$106,2,FALSE),"")</f>
        <v/>
      </c>
      <c r="G7611" s="49" t="str">
        <f>IFERROR(VLOOKUP(E7611,'Condensed Specialty Crosswalk'!$A$2:$C$106,3,FALSE),"")</f>
        <v/>
      </c>
    </row>
    <row r="7612" spans="5:7" ht="15" customHeight="1">
      <c r="E7612" s="49" t="str">
        <f>IFERROR(VLOOKUP(D7612,'taxonomy map'!$A$1:$C$107,2,FALSE),"")</f>
        <v/>
      </c>
      <c r="F7612" s="49" t="str">
        <f>IFERROR(VLOOKUP(E7612,'Condensed Specialty Crosswalk'!$A$2:$C$106,2,FALSE),"")</f>
        <v/>
      </c>
      <c r="G7612" s="49" t="str">
        <f>IFERROR(VLOOKUP(E7612,'Condensed Specialty Crosswalk'!$A$2:$C$106,3,FALSE),"")</f>
        <v/>
      </c>
    </row>
    <row r="7613" spans="5:7" ht="15" customHeight="1">
      <c r="E7613" s="49" t="str">
        <f>IFERROR(VLOOKUP(D7613,'taxonomy map'!$A$1:$C$107,2,FALSE),"")</f>
        <v/>
      </c>
      <c r="F7613" s="49" t="str">
        <f>IFERROR(VLOOKUP(E7613,'Condensed Specialty Crosswalk'!$A$2:$C$106,2,FALSE),"")</f>
        <v/>
      </c>
      <c r="G7613" s="49" t="str">
        <f>IFERROR(VLOOKUP(E7613,'Condensed Specialty Crosswalk'!$A$2:$C$106,3,FALSE),"")</f>
        <v/>
      </c>
    </row>
    <row r="7614" spans="5:7" ht="15" customHeight="1">
      <c r="E7614" s="49" t="str">
        <f>IFERROR(VLOOKUP(D7614,'taxonomy map'!$A$1:$C$107,2,FALSE),"")</f>
        <v/>
      </c>
      <c r="F7614" s="49" t="str">
        <f>IFERROR(VLOOKUP(E7614,'Condensed Specialty Crosswalk'!$A$2:$C$106,2,FALSE),"")</f>
        <v/>
      </c>
      <c r="G7614" s="49" t="str">
        <f>IFERROR(VLOOKUP(E7614,'Condensed Specialty Crosswalk'!$A$2:$C$106,3,FALSE),"")</f>
        <v/>
      </c>
    </row>
    <row r="7615" spans="5:7" ht="15" customHeight="1">
      <c r="E7615" s="49" t="str">
        <f>IFERROR(VLOOKUP(D7615,'taxonomy map'!$A$1:$C$107,2,FALSE),"")</f>
        <v/>
      </c>
      <c r="F7615" s="49" t="str">
        <f>IFERROR(VLOOKUP(E7615,'Condensed Specialty Crosswalk'!$A$2:$C$106,2,FALSE),"")</f>
        <v/>
      </c>
      <c r="G7615" s="49" t="str">
        <f>IFERROR(VLOOKUP(E7615,'Condensed Specialty Crosswalk'!$A$2:$C$106,3,FALSE),"")</f>
        <v/>
      </c>
    </row>
    <row r="7616" spans="5:7" ht="15" customHeight="1">
      <c r="E7616" s="49" t="str">
        <f>IFERROR(VLOOKUP(D7616,'taxonomy map'!$A$1:$C$107,2,FALSE),"")</f>
        <v/>
      </c>
      <c r="F7616" s="49" t="str">
        <f>IFERROR(VLOOKUP(E7616,'Condensed Specialty Crosswalk'!$A$2:$C$106,2,FALSE),"")</f>
        <v/>
      </c>
      <c r="G7616" s="49" t="str">
        <f>IFERROR(VLOOKUP(E7616,'Condensed Specialty Crosswalk'!$A$2:$C$106,3,FALSE),"")</f>
        <v/>
      </c>
    </row>
    <row r="7617" spans="5:7" ht="15" customHeight="1">
      <c r="E7617" s="49" t="str">
        <f>IFERROR(VLOOKUP(D7617,'taxonomy map'!$A$1:$C$107,2,FALSE),"")</f>
        <v/>
      </c>
      <c r="F7617" s="49" t="str">
        <f>IFERROR(VLOOKUP(E7617,'Condensed Specialty Crosswalk'!$A$2:$C$106,2,FALSE),"")</f>
        <v/>
      </c>
      <c r="G7617" s="49" t="str">
        <f>IFERROR(VLOOKUP(E7617,'Condensed Specialty Crosswalk'!$A$2:$C$106,3,FALSE),"")</f>
        <v/>
      </c>
    </row>
    <row r="7618" spans="5:7" ht="15" customHeight="1">
      <c r="E7618" s="49" t="str">
        <f>IFERROR(VLOOKUP(D7618,'taxonomy map'!$A$1:$C$107,2,FALSE),"")</f>
        <v/>
      </c>
      <c r="F7618" s="49" t="str">
        <f>IFERROR(VLOOKUP(E7618,'Condensed Specialty Crosswalk'!$A$2:$C$106,2,FALSE),"")</f>
        <v/>
      </c>
      <c r="G7618" s="49" t="str">
        <f>IFERROR(VLOOKUP(E7618,'Condensed Specialty Crosswalk'!$A$2:$C$106,3,FALSE),"")</f>
        <v/>
      </c>
    </row>
    <row r="7619" spans="5:7" ht="15" customHeight="1">
      <c r="E7619" s="49" t="str">
        <f>IFERROR(VLOOKUP(D7619,'taxonomy map'!$A$1:$C$107,2,FALSE),"")</f>
        <v/>
      </c>
      <c r="F7619" s="49" t="str">
        <f>IFERROR(VLOOKUP(E7619,'Condensed Specialty Crosswalk'!$A$2:$C$106,2,FALSE),"")</f>
        <v/>
      </c>
      <c r="G7619" s="49" t="str">
        <f>IFERROR(VLOOKUP(E7619,'Condensed Specialty Crosswalk'!$A$2:$C$106,3,FALSE),"")</f>
        <v/>
      </c>
    </row>
    <row r="7620" spans="5:7" ht="15" customHeight="1">
      <c r="E7620" s="49" t="str">
        <f>IFERROR(VLOOKUP(D7620,'taxonomy map'!$A$1:$C$107,2,FALSE),"")</f>
        <v/>
      </c>
      <c r="F7620" s="49" t="str">
        <f>IFERROR(VLOOKUP(E7620,'Condensed Specialty Crosswalk'!$A$2:$C$106,2,FALSE),"")</f>
        <v/>
      </c>
      <c r="G7620" s="49" t="str">
        <f>IFERROR(VLOOKUP(E7620,'Condensed Specialty Crosswalk'!$A$2:$C$106,3,FALSE),"")</f>
        <v/>
      </c>
    </row>
    <row r="7621" spans="5:7" ht="15" customHeight="1">
      <c r="E7621" s="49" t="str">
        <f>IFERROR(VLOOKUP(D7621,'taxonomy map'!$A$1:$C$107,2,FALSE),"")</f>
        <v/>
      </c>
      <c r="F7621" s="49" t="str">
        <f>IFERROR(VLOOKUP(E7621,'Condensed Specialty Crosswalk'!$A$2:$C$106,2,FALSE),"")</f>
        <v/>
      </c>
      <c r="G7621" s="49" t="str">
        <f>IFERROR(VLOOKUP(E7621,'Condensed Specialty Crosswalk'!$A$2:$C$106,3,FALSE),"")</f>
        <v/>
      </c>
    </row>
    <row r="7622" spans="5:7" ht="15" customHeight="1">
      <c r="E7622" s="49" t="str">
        <f>IFERROR(VLOOKUP(D7622,'taxonomy map'!$A$1:$C$107,2,FALSE),"")</f>
        <v/>
      </c>
      <c r="F7622" s="49" t="str">
        <f>IFERROR(VLOOKUP(E7622,'Condensed Specialty Crosswalk'!$A$2:$C$106,2,FALSE),"")</f>
        <v/>
      </c>
      <c r="G7622" s="49" t="str">
        <f>IFERROR(VLOOKUP(E7622,'Condensed Specialty Crosswalk'!$A$2:$C$106,3,FALSE),"")</f>
        <v/>
      </c>
    </row>
    <row r="7623" spans="5:7" ht="15" customHeight="1">
      <c r="E7623" s="49" t="str">
        <f>IFERROR(VLOOKUP(D7623,'taxonomy map'!$A$1:$C$107,2,FALSE),"")</f>
        <v/>
      </c>
      <c r="F7623" s="49" t="str">
        <f>IFERROR(VLOOKUP(E7623,'Condensed Specialty Crosswalk'!$A$2:$C$106,2,FALSE),"")</f>
        <v/>
      </c>
      <c r="G7623" s="49" t="str">
        <f>IFERROR(VLOOKUP(E7623,'Condensed Specialty Crosswalk'!$A$2:$C$106,3,FALSE),"")</f>
        <v/>
      </c>
    </row>
    <row r="7624" spans="5:7" ht="15" customHeight="1">
      <c r="E7624" s="49" t="str">
        <f>IFERROR(VLOOKUP(D7624,'taxonomy map'!$A$1:$C$107,2,FALSE),"")</f>
        <v/>
      </c>
      <c r="F7624" s="49" t="str">
        <f>IFERROR(VLOOKUP(E7624,'Condensed Specialty Crosswalk'!$A$2:$C$106,2,FALSE),"")</f>
        <v/>
      </c>
      <c r="G7624" s="49" t="str">
        <f>IFERROR(VLOOKUP(E7624,'Condensed Specialty Crosswalk'!$A$2:$C$106,3,FALSE),"")</f>
        <v/>
      </c>
    </row>
    <row r="7625" spans="5:7" ht="15" customHeight="1">
      <c r="E7625" s="49" t="str">
        <f>IFERROR(VLOOKUP(D7625,'taxonomy map'!$A$1:$C$107,2,FALSE),"")</f>
        <v/>
      </c>
      <c r="F7625" s="49" t="str">
        <f>IFERROR(VLOOKUP(E7625,'Condensed Specialty Crosswalk'!$A$2:$C$106,2,FALSE),"")</f>
        <v/>
      </c>
      <c r="G7625" s="49" t="str">
        <f>IFERROR(VLOOKUP(E7625,'Condensed Specialty Crosswalk'!$A$2:$C$106,3,FALSE),"")</f>
        <v/>
      </c>
    </row>
    <row r="7626" spans="5:7" ht="15" customHeight="1">
      <c r="E7626" s="49" t="str">
        <f>IFERROR(VLOOKUP(D7626,'taxonomy map'!$A$1:$C$107,2,FALSE),"")</f>
        <v/>
      </c>
      <c r="F7626" s="49" t="str">
        <f>IFERROR(VLOOKUP(E7626,'Condensed Specialty Crosswalk'!$A$2:$C$106,2,FALSE),"")</f>
        <v/>
      </c>
      <c r="G7626" s="49" t="str">
        <f>IFERROR(VLOOKUP(E7626,'Condensed Specialty Crosswalk'!$A$2:$C$106,3,FALSE),"")</f>
        <v/>
      </c>
    </row>
    <row r="7627" spans="5:7" ht="15" customHeight="1">
      <c r="E7627" s="49" t="str">
        <f>IFERROR(VLOOKUP(D7627,'taxonomy map'!$A$1:$C$107,2,FALSE),"")</f>
        <v/>
      </c>
      <c r="F7627" s="49" t="str">
        <f>IFERROR(VLOOKUP(E7627,'Condensed Specialty Crosswalk'!$A$2:$C$106,2,FALSE),"")</f>
        <v/>
      </c>
      <c r="G7627" s="49" t="str">
        <f>IFERROR(VLOOKUP(E7627,'Condensed Specialty Crosswalk'!$A$2:$C$106,3,FALSE),"")</f>
        <v/>
      </c>
    </row>
    <row r="7628" spans="5:7" ht="15" customHeight="1">
      <c r="E7628" s="49" t="str">
        <f>IFERROR(VLOOKUP(D7628,'taxonomy map'!$A$1:$C$107,2,FALSE),"")</f>
        <v/>
      </c>
      <c r="F7628" s="49" t="str">
        <f>IFERROR(VLOOKUP(E7628,'Condensed Specialty Crosswalk'!$A$2:$C$106,2,FALSE),"")</f>
        <v/>
      </c>
      <c r="G7628" s="49" t="str">
        <f>IFERROR(VLOOKUP(E7628,'Condensed Specialty Crosswalk'!$A$2:$C$106,3,FALSE),"")</f>
        <v/>
      </c>
    </row>
    <row r="7629" spans="5:7" ht="15" customHeight="1">
      <c r="E7629" s="49" t="str">
        <f>IFERROR(VLOOKUP(D7629,'taxonomy map'!$A$1:$C$107,2,FALSE),"")</f>
        <v/>
      </c>
      <c r="F7629" s="49" t="str">
        <f>IFERROR(VLOOKUP(E7629,'Condensed Specialty Crosswalk'!$A$2:$C$106,2,FALSE),"")</f>
        <v/>
      </c>
      <c r="G7629" s="49" t="str">
        <f>IFERROR(VLOOKUP(E7629,'Condensed Specialty Crosswalk'!$A$2:$C$106,3,FALSE),"")</f>
        <v/>
      </c>
    </row>
    <row r="7630" spans="5:7" ht="15" customHeight="1">
      <c r="E7630" s="49" t="str">
        <f>IFERROR(VLOOKUP(D7630,'taxonomy map'!$A$1:$C$107,2,FALSE),"")</f>
        <v/>
      </c>
      <c r="F7630" s="49" t="str">
        <f>IFERROR(VLOOKUP(E7630,'Condensed Specialty Crosswalk'!$A$2:$C$106,2,FALSE),"")</f>
        <v/>
      </c>
      <c r="G7630" s="49" t="str">
        <f>IFERROR(VLOOKUP(E7630,'Condensed Specialty Crosswalk'!$A$2:$C$106,3,FALSE),"")</f>
        <v/>
      </c>
    </row>
    <row r="7631" spans="5:7" ht="15" customHeight="1">
      <c r="E7631" s="49" t="str">
        <f>IFERROR(VLOOKUP(D7631,'taxonomy map'!$A$1:$C$107,2,FALSE),"")</f>
        <v/>
      </c>
      <c r="F7631" s="49" t="str">
        <f>IFERROR(VLOOKUP(E7631,'Condensed Specialty Crosswalk'!$A$2:$C$106,2,FALSE),"")</f>
        <v/>
      </c>
      <c r="G7631" s="49" t="str">
        <f>IFERROR(VLOOKUP(E7631,'Condensed Specialty Crosswalk'!$A$2:$C$106,3,FALSE),"")</f>
        <v/>
      </c>
    </row>
    <row r="7632" spans="5:7" ht="15" customHeight="1">
      <c r="E7632" s="49" t="str">
        <f>IFERROR(VLOOKUP(D7632,'taxonomy map'!$A$1:$C$107,2,FALSE),"")</f>
        <v/>
      </c>
      <c r="F7632" s="49" t="str">
        <f>IFERROR(VLOOKUP(E7632,'Condensed Specialty Crosswalk'!$A$2:$C$106,2,FALSE),"")</f>
        <v/>
      </c>
      <c r="G7632" s="49" t="str">
        <f>IFERROR(VLOOKUP(E7632,'Condensed Specialty Crosswalk'!$A$2:$C$106,3,FALSE),"")</f>
        <v/>
      </c>
    </row>
    <row r="7633" spans="5:7" ht="15" customHeight="1">
      <c r="E7633" s="49" t="str">
        <f>IFERROR(VLOOKUP(D7633,'taxonomy map'!$A$1:$C$107,2,FALSE),"")</f>
        <v/>
      </c>
      <c r="F7633" s="49" t="str">
        <f>IFERROR(VLOOKUP(E7633,'Condensed Specialty Crosswalk'!$A$2:$C$106,2,FALSE),"")</f>
        <v/>
      </c>
      <c r="G7633" s="49" t="str">
        <f>IFERROR(VLOOKUP(E7633,'Condensed Specialty Crosswalk'!$A$2:$C$106,3,FALSE),"")</f>
        <v/>
      </c>
    </row>
    <row r="7634" spans="5:7" ht="15" customHeight="1">
      <c r="E7634" s="49" t="str">
        <f>IFERROR(VLOOKUP(D7634,'taxonomy map'!$A$1:$C$107,2,FALSE),"")</f>
        <v/>
      </c>
      <c r="F7634" s="49" t="str">
        <f>IFERROR(VLOOKUP(E7634,'Condensed Specialty Crosswalk'!$A$2:$C$106,2,FALSE),"")</f>
        <v/>
      </c>
      <c r="G7634" s="49" t="str">
        <f>IFERROR(VLOOKUP(E7634,'Condensed Specialty Crosswalk'!$A$2:$C$106,3,FALSE),"")</f>
        <v/>
      </c>
    </row>
    <row r="7635" spans="5:7" ht="15" customHeight="1">
      <c r="E7635" s="49" t="str">
        <f>IFERROR(VLOOKUP(D7635,'taxonomy map'!$A$1:$C$107,2,FALSE),"")</f>
        <v/>
      </c>
      <c r="F7635" s="49" t="str">
        <f>IFERROR(VLOOKUP(E7635,'Condensed Specialty Crosswalk'!$A$2:$C$106,2,FALSE),"")</f>
        <v/>
      </c>
      <c r="G7635" s="49" t="str">
        <f>IFERROR(VLOOKUP(E7635,'Condensed Specialty Crosswalk'!$A$2:$C$106,3,FALSE),"")</f>
        <v/>
      </c>
    </row>
    <row r="7636" spans="5:7" ht="15" customHeight="1">
      <c r="E7636" s="49" t="str">
        <f>IFERROR(VLOOKUP(D7636,'taxonomy map'!$A$1:$C$107,2,FALSE),"")</f>
        <v/>
      </c>
      <c r="F7636" s="49" t="str">
        <f>IFERROR(VLOOKUP(E7636,'Condensed Specialty Crosswalk'!$A$2:$C$106,2,FALSE),"")</f>
        <v/>
      </c>
      <c r="G7636" s="49" t="str">
        <f>IFERROR(VLOOKUP(E7636,'Condensed Specialty Crosswalk'!$A$2:$C$106,3,FALSE),"")</f>
        <v/>
      </c>
    </row>
    <row r="7637" spans="5:7" ht="15" customHeight="1">
      <c r="E7637" s="49" t="str">
        <f>IFERROR(VLOOKUP(D7637,'taxonomy map'!$A$1:$C$107,2,FALSE),"")</f>
        <v/>
      </c>
      <c r="F7637" s="49" t="str">
        <f>IFERROR(VLOOKUP(E7637,'Condensed Specialty Crosswalk'!$A$2:$C$106,2,FALSE),"")</f>
        <v/>
      </c>
      <c r="G7637" s="49" t="str">
        <f>IFERROR(VLOOKUP(E7637,'Condensed Specialty Crosswalk'!$A$2:$C$106,3,FALSE),"")</f>
        <v/>
      </c>
    </row>
    <row r="7638" spans="5:7" ht="15" customHeight="1">
      <c r="E7638" s="49" t="str">
        <f>IFERROR(VLOOKUP(D7638,'taxonomy map'!$A$1:$C$107,2,FALSE),"")</f>
        <v/>
      </c>
      <c r="F7638" s="49" t="str">
        <f>IFERROR(VLOOKUP(E7638,'Condensed Specialty Crosswalk'!$A$2:$C$106,2,FALSE),"")</f>
        <v/>
      </c>
      <c r="G7638" s="49" t="str">
        <f>IFERROR(VLOOKUP(E7638,'Condensed Specialty Crosswalk'!$A$2:$C$106,3,FALSE),"")</f>
        <v/>
      </c>
    </row>
    <row r="7639" spans="5:7" ht="15" customHeight="1">
      <c r="E7639" s="49" t="str">
        <f>IFERROR(VLOOKUP(D7639,'taxonomy map'!$A$1:$C$107,2,FALSE),"")</f>
        <v/>
      </c>
      <c r="F7639" s="49" t="str">
        <f>IFERROR(VLOOKUP(E7639,'Condensed Specialty Crosswalk'!$A$2:$C$106,2,FALSE),"")</f>
        <v/>
      </c>
      <c r="G7639" s="49" t="str">
        <f>IFERROR(VLOOKUP(E7639,'Condensed Specialty Crosswalk'!$A$2:$C$106,3,FALSE),"")</f>
        <v/>
      </c>
    </row>
    <row r="7640" spans="5:7" ht="15" customHeight="1">
      <c r="E7640" s="49" t="str">
        <f>IFERROR(VLOOKUP(D7640,'taxonomy map'!$A$1:$C$107,2,FALSE),"")</f>
        <v/>
      </c>
      <c r="F7640" s="49" t="str">
        <f>IFERROR(VLOOKUP(E7640,'Condensed Specialty Crosswalk'!$A$2:$C$106,2,FALSE),"")</f>
        <v/>
      </c>
      <c r="G7640" s="49" t="str">
        <f>IFERROR(VLOOKUP(E7640,'Condensed Specialty Crosswalk'!$A$2:$C$106,3,FALSE),"")</f>
        <v/>
      </c>
    </row>
    <row r="7641" spans="5:7" ht="15" customHeight="1">
      <c r="E7641" s="49" t="str">
        <f>IFERROR(VLOOKUP(D7641,'taxonomy map'!$A$1:$C$107,2,FALSE),"")</f>
        <v/>
      </c>
      <c r="F7641" s="49" t="str">
        <f>IFERROR(VLOOKUP(E7641,'Condensed Specialty Crosswalk'!$A$2:$C$106,2,FALSE),"")</f>
        <v/>
      </c>
      <c r="G7641" s="49" t="str">
        <f>IFERROR(VLOOKUP(E7641,'Condensed Specialty Crosswalk'!$A$2:$C$106,3,FALSE),"")</f>
        <v/>
      </c>
    </row>
    <row r="7642" spans="5:7" ht="15" customHeight="1">
      <c r="E7642" s="49" t="str">
        <f>IFERROR(VLOOKUP(D7642,'taxonomy map'!$A$1:$C$107,2,FALSE),"")</f>
        <v/>
      </c>
      <c r="F7642" s="49" t="str">
        <f>IFERROR(VLOOKUP(E7642,'Condensed Specialty Crosswalk'!$A$2:$C$106,2,FALSE),"")</f>
        <v/>
      </c>
      <c r="G7642" s="49" t="str">
        <f>IFERROR(VLOOKUP(E7642,'Condensed Specialty Crosswalk'!$A$2:$C$106,3,FALSE),"")</f>
        <v/>
      </c>
    </row>
    <row r="7643" spans="5:7" ht="15" customHeight="1">
      <c r="E7643" s="49" t="str">
        <f>IFERROR(VLOOKUP(D7643,'taxonomy map'!$A$1:$C$107,2,FALSE),"")</f>
        <v/>
      </c>
      <c r="F7643" s="49" t="str">
        <f>IFERROR(VLOOKUP(E7643,'Condensed Specialty Crosswalk'!$A$2:$C$106,2,FALSE),"")</f>
        <v/>
      </c>
      <c r="G7643" s="49" t="str">
        <f>IFERROR(VLOOKUP(E7643,'Condensed Specialty Crosswalk'!$A$2:$C$106,3,FALSE),"")</f>
        <v/>
      </c>
    </row>
    <row r="7644" spans="5:7" ht="15" customHeight="1">
      <c r="E7644" s="49" t="str">
        <f>IFERROR(VLOOKUP(D7644,'taxonomy map'!$A$1:$C$107,2,FALSE),"")</f>
        <v/>
      </c>
      <c r="F7644" s="49" t="str">
        <f>IFERROR(VLOOKUP(E7644,'Condensed Specialty Crosswalk'!$A$2:$C$106,2,FALSE),"")</f>
        <v/>
      </c>
      <c r="G7644" s="49" t="str">
        <f>IFERROR(VLOOKUP(E7644,'Condensed Specialty Crosswalk'!$A$2:$C$106,3,FALSE),"")</f>
        <v/>
      </c>
    </row>
    <row r="7645" spans="5:7" ht="15" customHeight="1">
      <c r="E7645" s="49" t="str">
        <f>IFERROR(VLOOKUP(D7645,'taxonomy map'!$A$1:$C$107,2,FALSE),"")</f>
        <v/>
      </c>
      <c r="F7645" s="49" t="str">
        <f>IFERROR(VLOOKUP(E7645,'Condensed Specialty Crosswalk'!$A$2:$C$106,2,FALSE),"")</f>
        <v/>
      </c>
      <c r="G7645" s="49" t="str">
        <f>IFERROR(VLOOKUP(E7645,'Condensed Specialty Crosswalk'!$A$2:$C$106,3,FALSE),"")</f>
        <v/>
      </c>
    </row>
    <row r="7646" spans="5:7" ht="15" customHeight="1">
      <c r="E7646" s="49" t="str">
        <f>IFERROR(VLOOKUP(D7646,'taxonomy map'!$A$1:$C$107,2,FALSE),"")</f>
        <v/>
      </c>
      <c r="F7646" s="49" t="str">
        <f>IFERROR(VLOOKUP(E7646,'Condensed Specialty Crosswalk'!$A$2:$C$106,2,FALSE),"")</f>
        <v/>
      </c>
      <c r="G7646" s="49" t="str">
        <f>IFERROR(VLOOKUP(E7646,'Condensed Specialty Crosswalk'!$A$2:$C$106,3,FALSE),"")</f>
        <v/>
      </c>
    </row>
    <row r="7647" spans="5:7" ht="15" customHeight="1">
      <c r="E7647" s="49" t="str">
        <f>IFERROR(VLOOKUP(D7647,'taxonomy map'!$A$1:$C$107,2,FALSE),"")</f>
        <v/>
      </c>
      <c r="F7647" s="49" t="str">
        <f>IFERROR(VLOOKUP(E7647,'Condensed Specialty Crosswalk'!$A$2:$C$106,2,FALSE),"")</f>
        <v/>
      </c>
      <c r="G7647" s="49" t="str">
        <f>IFERROR(VLOOKUP(E7647,'Condensed Specialty Crosswalk'!$A$2:$C$106,3,FALSE),"")</f>
        <v/>
      </c>
    </row>
    <row r="7648" spans="5:7" ht="15" customHeight="1">
      <c r="E7648" s="49" t="str">
        <f>IFERROR(VLOOKUP(D7648,'taxonomy map'!$A$1:$C$107,2,FALSE),"")</f>
        <v/>
      </c>
      <c r="F7648" s="49" t="str">
        <f>IFERROR(VLOOKUP(E7648,'Condensed Specialty Crosswalk'!$A$2:$C$106,2,FALSE),"")</f>
        <v/>
      </c>
      <c r="G7648" s="49" t="str">
        <f>IFERROR(VLOOKUP(E7648,'Condensed Specialty Crosswalk'!$A$2:$C$106,3,FALSE),"")</f>
        <v/>
      </c>
    </row>
    <row r="7649" spans="5:7" ht="15" customHeight="1">
      <c r="E7649" s="49" t="str">
        <f>IFERROR(VLOOKUP(D7649,'taxonomy map'!$A$1:$C$107,2,FALSE),"")</f>
        <v/>
      </c>
      <c r="F7649" s="49" t="str">
        <f>IFERROR(VLOOKUP(E7649,'Condensed Specialty Crosswalk'!$A$2:$C$106,2,FALSE),"")</f>
        <v/>
      </c>
      <c r="G7649" s="49" t="str">
        <f>IFERROR(VLOOKUP(E7649,'Condensed Specialty Crosswalk'!$A$2:$C$106,3,FALSE),"")</f>
        <v/>
      </c>
    </row>
    <row r="7650" spans="5:7" ht="15" customHeight="1">
      <c r="E7650" s="49" t="str">
        <f>IFERROR(VLOOKUP(D7650,'taxonomy map'!$A$1:$C$107,2,FALSE),"")</f>
        <v/>
      </c>
      <c r="F7650" s="49" t="str">
        <f>IFERROR(VLOOKUP(E7650,'Condensed Specialty Crosswalk'!$A$2:$C$106,2,FALSE),"")</f>
        <v/>
      </c>
      <c r="G7650" s="49" t="str">
        <f>IFERROR(VLOOKUP(E7650,'Condensed Specialty Crosswalk'!$A$2:$C$106,3,FALSE),"")</f>
        <v/>
      </c>
    </row>
    <row r="7651" spans="5:7" ht="15" customHeight="1">
      <c r="E7651" s="49" t="str">
        <f>IFERROR(VLOOKUP(D7651,'taxonomy map'!$A$1:$C$107,2,FALSE),"")</f>
        <v/>
      </c>
      <c r="F7651" s="49" t="str">
        <f>IFERROR(VLOOKUP(E7651,'Condensed Specialty Crosswalk'!$A$2:$C$106,2,FALSE),"")</f>
        <v/>
      </c>
      <c r="G7651" s="49" t="str">
        <f>IFERROR(VLOOKUP(E7651,'Condensed Specialty Crosswalk'!$A$2:$C$106,3,FALSE),"")</f>
        <v/>
      </c>
    </row>
    <row r="7652" spans="5:7" ht="15" customHeight="1">
      <c r="E7652" s="49" t="str">
        <f>IFERROR(VLOOKUP(D7652,'taxonomy map'!$A$1:$C$107,2,FALSE),"")</f>
        <v/>
      </c>
      <c r="F7652" s="49" t="str">
        <f>IFERROR(VLOOKUP(E7652,'Condensed Specialty Crosswalk'!$A$2:$C$106,2,FALSE),"")</f>
        <v/>
      </c>
      <c r="G7652" s="49" t="str">
        <f>IFERROR(VLOOKUP(E7652,'Condensed Specialty Crosswalk'!$A$2:$C$106,3,FALSE),"")</f>
        <v/>
      </c>
    </row>
    <row r="7653" spans="5:7" ht="15" customHeight="1">
      <c r="E7653" s="49" t="str">
        <f>IFERROR(VLOOKUP(D7653,'taxonomy map'!$A$1:$C$107,2,FALSE),"")</f>
        <v/>
      </c>
      <c r="F7653" s="49" t="str">
        <f>IFERROR(VLOOKUP(E7653,'Condensed Specialty Crosswalk'!$A$2:$C$106,2,FALSE),"")</f>
        <v/>
      </c>
      <c r="G7653" s="49" t="str">
        <f>IFERROR(VLOOKUP(E7653,'Condensed Specialty Crosswalk'!$A$2:$C$106,3,FALSE),"")</f>
        <v/>
      </c>
    </row>
    <row r="7654" spans="5:7" ht="15" customHeight="1">
      <c r="E7654" s="49" t="str">
        <f>IFERROR(VLOOKUP(D7654,'taxonomy map'!$A$1:$C$107,2,FALSE),"")</f>
        <v/>
      </c>
      <c r="F7654" s="49" t="str">
        <f>IFERROR(VLOOKUP(E7654,'Condensed Specialty Crosswalk'!$A$2:$C$106,2,FALSE),"")</f>
        <v/>
      </c>
      <c r="G7654" s="49" t="str">
        <f>IFERROR(VLOOKUP(E7654,'Condensed Specialty Crosswalk'!$A$2:$C$106,3,FALSE),"")</f>
        <v/>
      </c>
    </row>
    <row r="7655" spans="5:7" ht="15" customHeight="1">
      <c r="E7655" s="49" t="str">
        <f>IFERROR(VLOOKUP(D7655,'taxonomy map'!$A$1:$C$107,2,FALSE),"")</f>
        <v/>
      </c>
      <c r="F7655" s="49" t="str">
        <f>IFERROR(VLOOKUP(E7655,'Condensed Specialty Crosswalk'!$A$2:$C$106,2,FALSE),"")</f>
        <v/>
      </c>
      <c r="G7655" s="49" t="str">
        <f>IFERROR(VLOOKUP(E7655,'Condensed Specialty Crosswalk'!$A$2:$C$106,3,FALSE),"")</f>
        <v/>
      </c>
    </row>
    <row r="7656" spans="5:7" ht="15" customHeight="1">
      <c r="E7656" s="49" t="str">
        <f>IFERROR(VLOOKUP(D7656,'taxonomy map'!$A$1:$C$107,2,FALSE),"")</f>
        <v/>
      </c>
      <c r="F7656" s="49" t="str">
        <f>IFERROR(VLOOKUP(E7656,'Condensed Specialty Crosswalk'!$A$2:$C$106,2,FALSE),"")</f>
        <v/>
      </c>
      <c r="G7656" s="49" t="str">
        <f>IFERROR(VLOOKUP(E7656,'Condensed Specialty Crosswalk'!$A$2:$C$106,3,FALSE),"")</f>
        <v/>
      </c>
    </row>
    <row r="7657" spans="5:7" ht="15" customHeight="1">
      <c r="E7657" s="49" t="str">
        <f>IFERROR(VLOOKUP(D7657,'taxonomy map'!$A$1:$C$107,2,FALSE),"")</f>
        <v/>
      </c>
      <c r="F7657" s="49" t="str">
        <f>IFERROR(VLOOKUP(E7657,'Condensed Specialty Crosswalk'!$A$2:$C$106,2,FALSE),"")</f>
        <v/>
      </c>
      <c r="G7657" s="49" t="str">
        <f>IFERROR(VLOOKUP(E7657,'Condensed Specialty Crosswalk'!$A$2:$C$106,3,FALSE),"")</f>
        <v/>
      </c>
    </row>
    <row r="7658" spans="5:7" ht="15" customHeight="1">
      <c r="E7658" s="49" t="str">
        <f>IFERROR(VLOOKUP(D7658,'taxonomy map'!$A$1:$C$107,2,FALSE),"")</f>
        <v/>
      </c>
      <c r="F7658" s="49" t="str">
        <f>IFERROR(VLOOKUP(E7658,'Condensed Specialty Crosswalk'!$A$2:$C$106,2,FALSE),"")</f>
        <v/>
      </c>
      <c r="G7658" s="49" t="str">
        <f>IFERROR(VLOOKUP(E7658,'Condensed Specialty Crosswalk'!$A$2:$C$106,3,FALSE),"")</f>
        <v/>
      </c>
    </row>
    <row r="7659" spans="5:7" ht="15" customHeight="1">
      <c r="E7659" s="49" t="str">
        <f>IFERROR(VLOOKUP(D7659,'taxonomy map'!$A$1:$C$107,2,FALSE),"")</f>
        <v/>
      </c>
      <c r="F7659" s="49" t="str">
        <f>IFERROR(VLOOKUP(E7659,'Condensed Specialty Crosswalk'!$A$2:$C$106,2,FALSE),"")</f>
        <v/>
      </c>
      <c r="G7659" s="49" t="str">
        <f>IFERROR(VLOOKUP(E7659,'Condensed Specialty Crosswalk'!$A$2:$C$106,3,FALSE),"")</f>
        <v/>
      </c>
    </row>
    <row r="7660" spans="5:7" ht="15" customHeight="1">
      <c r="E7660" s="49" t="str">
        <f>IFERROR(VLOOKUP(D7660,'taxonomy map'!$A$1:$C$107,2,FALSE),"")</f>
        <v/>
      </c>
      <c r="F7660" s="49" t="str">
        <f>IFERROR(VLOOKUP(E7660,'Condensed Specialty Crosswalk'!$A$2:$C$106,2,FALSE),"")</f>
        <v/>
      </c>
      <c r="G7660" s="49" t="str">
        <f>IFERROR(VLOOKUP(E7660,'Condensed Specialty Crosswalk'!$A$2:$C$106,3,FALSE),"")</f>
        <v/>
      </c>
    </row>
    <row r="7661" spans="5:7" ht="15" customHeight="1">
      <c r="E7661" s="49" t="str">
        <f>IFERROR(VLOOKUP(D7661,'taxonomy map'!$A$1:$C$107,2,FALSE),"")</f>
        <v/>
      </c>
      <c r="F7661" s="49" t="str">
        <f>IFERROR(VLOOKUP(E7661,'Condensed Specialty Crosswalk'!$A$2:$C$106,2,FALSE),"")</f>
        <v/>
      </c>
      <c r="G7661" s="49" t="str">
        <f>IFERROR(VLOOKUP(E7661,'Condensed Specialty Crosswalk'!$A$2:$C$106,3,FALSE),"")</f>
        <v/>
      </c>
    </row>
    <row r="7662" spans="5:7" ht="15" customHeight="1">
      <c r="E7662" s="49" t="str">
        <f>IFERROR(VLOOKUP(D7662,'taxonomy map'!$A$1:$C$107,2,FALSE),"")</f>
        <v/>
      </c>
      <c r="F7662" s="49" t="str">
        <f>IFERROR(VLOOKUP(E7662,'Condensed Specialty Crosswalk'!$A$2:$C$106,2,FALSE),"")</f>
        <v/>
      </c>
      <c r="G7662" s="49" t="str">
        <f>IFERROR(VLOOKUP(E7662,'Condensed Specialty Crosswalk'!$A$2:$C$106,3,FALSE),"")</f>
        <v/>
      </c>
    </row>
    <row r="7663" spans="5:7" ht="15" customHeight="1">
      <c r="E7663" s="49" t="str">
        <f>IFERROR(VLOOKUP(D7663,'taxonomy map'!$A$1:$C$107,2,FALSE),"")</f>
        <v/>
      </c>
      <c r="F7663" s="49" t="str">
        <f>IFERROR(VLOOKUP(E7663,'Condensed Specialty Crosswalk'!$A$2:$C$106,2,FALSE),"")</f>
        <v/>
      </c>
      <c r="G7663" s="49" t="str">
        <f>IFERROR(VLOOKUP(E7663,'Condensed Specialty Crosswalk'!$A$2:$C$106,3,FALSE),"")</f>
        <v/>
      </c>
    </row>
    <row r="7664" spans="5:7" ht="15" customHeight="1">
      <c r="E7664" s="49" t="str">
        <f>IFERROR(VLOOKUP(D7664,'taxonomy map'!$A$1:$C$107,2,FALSE),"")</f>
        <v/>
      </c>
      <c r="F7664" s="49" t="str">
        <f>IFERROR(VLOOKUP(E7664,'Condensed Specialty Crosswalk'!$A$2:$C$106,2,FALSE),"")</f>
        <v/>
      </c>
      <c r="G7664" s="49" t="str">
        <f>IFERROR(VLOOKUP(E7664,'Condensed Specialty Crosswalk'!$A$2:$C$106,3,FALSE),"")</f>
        <v/>
      </c>
    </row>
    <row r="7665" spans="5:7" ht="15" customHeight="1">
      <c r="E7665" s="49" t="str">
        <f>IFERROR(VLOOKUP(D7665,'taxonomy map'!$A$1:$C$107,2,FALSE),"")</f>
        <v/>
      </c>
      <c r="F7665" s="49" t="str">
        <f>IFERROR(VLOOKUP(E7665,'Condensed Specialty Crosswalk'!$A$2:$C$106,2,FALSE),"")</f>
        <v/>
      </c>
      <c r="G7665" s="49" t="str">
        <f>IFERROR(VLOOKUP(E7665,'Condensed Specialty Crosswalk'!$A$2:$C$106,3,FALSE),"")</f>
        <v/>
      </c>
    </row>
    <row r="7666" spans="5:7" ht="15" customHeight="1">
      <c r="E7666" s="49" t="str">
        <f>IFERROR(VLOOKUP(D7666,'taxonomy map'!$A$1:$C$107,2,FALSE),"")</f>
        <v/>
      </c>
      <c r="F7666" s="49" t="str">
        <f>IFERROR(VLOOKUP(E7666,'Condensed Specialty Crosswalk'!$A$2:$C$106,2,FALSE),"")</f>
        <v/>
      </c>
      <c r="G7666" s="49" t="str">
        <f>IFERROR(VLOOKUP(E7666,'Condensed Specialty Crosswalk'!$A$2:$C$106,3,FALSE),"")</f>
        <v/>
      </c>
    </row>
    <row r="7667" spans="5:7" ht="15" customHeight="1">
      <c r="E7667" s="49" t="str">
        <f>IFERROR(VLOOKUP(D7667,'taxonomy map'!$A$1:$C$107,2,FALSE),"")</f>
        <v/>
      </c>
      <c r="F7667" s="49" t="str">
        <f>IFERROR(VLOOKUP(E7667,'Condensed Specialty Crosswalk'!$A$2:$C$106,2,FALSE),"")</f>
        <v/>
      </c>
      <c r="G7667" s="49" t="str">
        <f>IFERROR(VLOOKUP(E7667,'Condensed Specialty Crosswalk'!$A$2:$C$106,3,FALSE),"")</f>
        <v/>
      </c>
    </row>
    <row r="7668" spans="5:7" ht="15" customHeight="1">
      <c r="E7668" s="49" t="str">
        <f>IFERROR(VLOOKUP(D7668,'taxonomy map'!$A$1:$C$107,2,FALSE),"")</f>
        <v/>
      </c>
      <c r="F7668" s="49" t="str">
        <f>IFERROR(VLOOKUP(E7668,'Condensed Specialty Crosswalk'!$A$2:$C$106,2,FALSE),"")</f>
        <v/>
      </c>
      <c r="G7668" s="49" t="str">
        <f>IFERROR(VLOOKUP(E7668,'Condensed Specialty Crosswalk'!$A$2:$C$106,3,FALSE),"")</f>
        <v/>
      </c>
    </row>
    <row r="7669" spans="5:7" ht="15" customHeight="1">
      <c r="E7669" s="49" t="str">
        <f>IFERROR(VLOOKUP(D7669,'taxonomy map'!$A$1:$C$107,2,FALSE),"")</f>
        <v/>
      </c>
      <c r="F7669" s="49" t="str">
        <f>IFERROR(VLOOKUP(E7669,'Condensed Specialty Crosswalk'!$A$2:$C$106,2,FALSE),"")</f>
        <v/>
      </c>
      <c r="G7669" s="49" t="str">
        <f>IFERROR(VLOOKUP(E7669,'Condensed Specialty Crosswalk'!$A$2:$C$106,3,FALSE),"")</f>
        <v/>
      </c>
    </row>
    <row r="7670" spans="5:7" ht="15" customHeight="1">
      <c r="E7670" s="49" t="str">
        <f>IFERROR(VLOOKUP(D7670,'taxonomy map'!$A$1:$C$107,2,FALSE),"")</f>
        <v/>
      </c>
      <c r="F7670" s="49" t="str">
        <f>IFERROR(VLOOKUP(E7670,'Condensed Specialty Crosswalk'!$A$2:$C$106,2,FALSE),"")</f>
        <v/>
      </c>
      <c r="G7670" s="49" t="str">
        <f>IFERROR(VLOOKUP(E7670,'Condensed Specialty Crosswalk'!$A$2:$C$106,3,FALSE),"")</f>
        <v/>
      </c>
    </row>
    <row r="7671" spans="5:7" ht="15" customHeight="1">
      <c r="E7671" s="49" t="str">
        <f>IFERROR(VLOOKUP(D7671,'taxonomy map'!$A$1:$C$107,2,FALSE),"")</f>
        <v/>
      </c>
      <c r="F7671" s="49" t="str">
        <f>IFERROR(VLOOKUP(E7671,'Condensed Specialty Crosswalk'!$A$2:$C$106,2,FALSE),"")</f>
        <v/>
      </c>
      <c r="G7671" s="49" t="str">
        <f>IFERROR(VLOOKUP(E7671,'Condensed Specialty Crosswalk'!$A$2:$C$106,3,FALSE),"")</f>
        <v/>
      </c>
    </row>
    <row r="7672" spans="5:7" ht="15" customHeight="1">
      <c r="E7672" s="49" t="str">
        <f>IFERROR(VLOOKUP(D7672,'taxonomy map'!$A$1:$C$107,2,FALSE),"")</f>
        <v/>
      </c>
      <c r="F7672" s="49" t="str">
        <f>IFERROR(VLOOKUP(E7672,'Condensed Specialty Crosswalk'!$A$2:$C$106,2,FALSE),"")</f>
        <v/>
      </c>
      <c r="G7672" s="49" t="str">
        <f>IFERROR(VLOOKUP(E7672,'Condensed Specialty Crosswalk'!$A$2:$C$106,3,FALSE),"")</f>
        <v/>
      </c>
    </row>
    <row r="7673" spans="5:7" ht="15" customHeight="1">
      <c r="E7673" s="49" t="str">
        <f>IFERROR(VLOOKUP(D7673,'taxonomy map'!$A$1:$C$107,2,FALSE),"")</f>
        <v/>
      </c>
      <c r="F7673" s="49" t="str">
        <f>IFERROR(VLOOKUP(E7673,'Condensed Specialty Crosswalk'!$A$2:$C$106,2,FALSE),"")</f>
        <v/>
      </c>
      <c r="G7673" s="49" t="str">
        <f>IFERROR(VLOOKUP(E7673,'Condensed Specialty Crosswalk'!$A$2:$C$106,3,FALSE),"")</f>
        <v/>
      </c>
    </row>
    <row r="7674" spans="5:7" ht="15" customHeight="1">
      <c r="E7674" s="49" t="str">
        <f>IFERROR(VLOOKUP(D7674,'taxonomy map'!$A$1:$C$107,2,FALSE),"")</f>
        <v/>
      </c>
      <c r="F7674" s="49" t="str">
        <f>IFERROR(VLOOKUP(E7674,'Condensed Specialty Crosswalk'!$A$2:$C$106,2,FALSE),"")</f>
        <v/>
      </c>
      <c r="G7674" s="49" t="str">
        <f>IFERROR(VLOOKUP(E7674,'Condensed Specialty Crosswalk'!$A$2:$C$106,3,FALSE),"")</f>
        <v/>
      </c>
    </row>
    <row r="7675" spans="5:7" ht="15" customHeight="1">
      <c r="E7675" s="49" t="str">
        <f>IFERROR(VLOOKUP(D7675,'taxonomy map'!$A$1:$C$107,2,FALSE),"")</f>
        <v/>
      </c>
      <c r="F7675" s="49" t="str">
        <f>IFERROR(VLOOKUP(E7675,'Condensed Specialty Crosswalk'!$A$2:$C$106,2,FALSE),"")</f>
        <v/>
      </c>
      <c r="G7675" s="49" t="str">
        <f>IFERROR(VLOOKUP(E7675,'Condensed Specialty Crosswalk'!$A$2:$C$106,3,FALSE),"")</f>
        <v/>
      </c>
    </row>
    <row r="7676" spans="5:7" ht="15" customHeight="1">
      <c r="E7676" s="49" t="str">
        <f>IFERROR(VLOOKUP(D7676,'taxonomy map'!$A$1:$C$107,2,FALSE),"")</f>
        <v/>
      </c>
      <c r="F7676" s="49" t="str">
        <f>IFERROR(VLOOKUP(E7676,'Condensed Specialty Crosswalk'!$A$2:$C$106,2,FALSE),"")</f>
        <v/>
      </c>
      <c r="G7676" s="49" t="str">
        <f>IFERROR(VLOOKUP(E7676,'Condensed Specialty Crosswalk'!$A$2:$C$106,3,FALSE),"")</f>
        <v/>
      </c>
    </row>
    <row r="7677" spans="5:7" ht="15" customHeight="1">
      <c r="E7677" s="49" t="str">
        <f>IFERROR(VLOOKUP(D7677,'taxonomy map'!$A$1:$C$107,2,FALSE),"")</f>
        <v/>
      </c>
      <c r="F7677" s="49" t="str">
        <f>IFERROR(VLOOKUP(E7677,'Condensed Specialty Crosswalk'!$A$2:$C$106,2,FALSE),"")</f>
        <v/>
      </c>
      <c r="G7677" s="49" t="str">
        <f>IFERROR(VLOOKUP(E7677,'Condensed Specialty Crosswalk'!$A$2:$C$106,3,FALSE),"")</f>
        <v/>
      </c>
    </row>
    <row r="7678" spans="5:7" ht="15" customHeight="1">
      <c r="E7678" s="49" t="str">
        <f>IFERROR(VLOOKUP(D7678,'taxonomy map'!$A$1:$C$107,2,FALSE),"")</f>
        <v/>
      </c>
      <c r="F7678" s="49" t="str">
        <f>IFERROR(VLOOKUP(E7678,'Condensed Specialty Crosswalk'!$A$2:$C$106,2,FALSE),"")</f>
        <v/>
      </c>
      <c r="G7678" s="49" t="str">
        <f>IFERROR(VLOOKUP(E7678,'Condensed Specialty Crosswalk'!$A$2:$C$106,3,FALSE),"")</f>
        <v/>
      </c>
    </row>
    <row r="7679" spans="5:7" ht="15" customHeight="1">
      <c r="E7679" s="49" t="str">
        <f>IFERROR(VLOOKUP(D7679,'taxonomy map'!$A$1:$C$107,2,FALSE),"")</f>
        <v/>
      </c>
      <c r="F7679" s="49" t="str">
        <f>IFERROR(VLOOKUP(E7679,'Condensed Specialty Crosswalk'!$A$2:$C$106,2,FALSE),"")</f>
        <v/>
      </c>
      <c r="G7679" s="49" t="str">
        <f>IFERROR(VLOOKUP(E7679,'Condensed Specialty Crosswalk'!$A$2:$C$106,3,FALSE),"")</f>
        <v/>
      </c>
    </row>
    <row r="7680" spans="5:7" ht="15" customHeight="1">
      <c r="E7680" s="49" t="str">
        <f>IFERROR(VLOOKUP(D7680,'taxonomy map'!$A$1:$C$107,2,FALSE),"")</f>
        <v/>
      </c>
      <c r="F7680" s="49" t="str">
        <f>IFERROR(VLOOKUP(E7680,'Condensed Specialty Crosswalk'!$A$2:$C$106,2,FALSE),"")</f>
        <v/>
      </c>
      <c r="G7680" s="49" t="str">
        <f>IFERROR(VLOOKUP(E7680,'Condensed Specialty Crosswalk'!$A$2:$C$106,3,FALSE),"")</f>
        <v/>
      </c>
    </row>
    <row r="7681" spans="5:7" ht="15" customHeight="1">
      <c r="E7681" s="49" t="str">
        <f>IFERROR(VLOOKUP(D7681,'taxonomy map'!$A$1:$C$107,2,FALSE),"")</f>
        <v/>
      </c>
      <c r="F7681" s="49" t="str">
        <f>IFERROR(VLOOKUP(E7681,'Condensed Specialty Crosswalk'!$A$2:$C$106,2,FALSE),"")</f>
        <v/>
      </c>
      <c r="G7681" s="49" t="str">
        <f>IFERROR(VLOOKUP(E7681,'Condensed Specialty Crosswalk'!$A$2:$C$106,3,FALSE),"")</f>
        <v/>
      </c>
    </row>
    <row r="7682" spans="5:7" ht="15" customHeight="1">
      <c r="E7682" s="49" t="str">
        <f>IFERROR(VLOOKUP(D7682,'taxonomy map'!$A$1:$C$107,2,FALSE),"")</f>
        <v/>
      </c>
      <c r="F7682" s="49" t="str">
        <f>IFERROR(VLOOKUP(E7682,'Condensed Specialty Crosswalk'!$A$2:$C$106,2,FALSE),"")</f>
        <v/>
      </c>
      <c r="G7682" s="49" t="str">
        <f>IFERROR(VLOOKUP(E7682,'Condensed Specialty Crosswalk'!$A$2:$C$106,3,FALSE),"")</f>
        <v/>
      </c>
    </row>
    <row r="7683" spans="5:7" ht="15" customHeight="1">
      <c r="E7683" s="49" t="str">
        <f>IFERROR(VLOOKUP(D7683,'taxonomy map'!$A$1:$C$107,2,FALSE),"")</f>
        <v/>
      </c>
      <c r="F7683" s="49" t="str">
        <f>IFERROR(VLOOKUP(E7683,'Condensed Specialty Crosswalk'!$A$2:$C$106,2,FALSE),"")</f>
        <v/>
      </c>
      <c r="G7683" s="49" t="str">
        <f>IFERROR(VLOOKUP(E7683,'Condensed Specialty Crosswalk'!$A$2:$C$106,3,FALSE),"")</f>
        <v/>
      </c>
    </row>
    <row r="7684" spans="5:7" ht="15" customHeight="1">
      <c r="E7684" s="49" t="str">
        <f>IFERROR(VLOOKUP(D7684,'taxonomy map'!$A$1:$C$107,2,FALSE),"")</f>
        <v/>
      </c>
      <c r="F7684" s="49" t="str">
        <f>IFERROR(VLOOKUP(E7684,'Condensed Specialty Crosswalk'!$A$2:$C$106,2,FALSE),"")</f>
        <v/>
      </c>
      <c r="G7684" s="49" t="str">
        <f>IFERROR(VLOOKUP(E7684,'Condensed Specialty Crosswalk'!$A$2:$C$106,3,FALSE),"")</f>
        <v/>
      </c>
    </row>
    <row r="7685" spans="5:7" ht="15" customHeight="1">
      <c r="E7685" s="49" t="str">
        <f>IFERROR(VLOOKUP(D7685,'taxonomy map'!$A$1:$C$107,2,FALSE),"")</f>
        <v/>
      </c>
      <c r="F7685" s="49" t="str">
        <f>IFERROR(VLOOKUP(E7685,'Condensed Specialty Crosswalk'!$A$2:$C$106,2,FALSE),"")</f>
        <v/>
      </c>
      <c r="G7685" s="49" t="str">
        <f>IFERROR(VLOOKUP(E7685,'Condensed Specialty Crosswalk'!$A$2:$C$106,3,FALSE),"")</f>
        <v/>
      </c>
    </row>
    <row r="7686" spans="5:7" ht="15" customHeight="1">
      <c r="E7686" s="49" t="str">
        <f>IFERROR(VLOOKUP(D7686,'taxonomy map'!$A$1:$C$107,2,FALSE),"")</f>
        <v/>
      </c>
      <c r="F7686" s="49" t="str">
        <f>IFERROR(VLOOKUP(E7686,'Condensed Specialty Crosswalk'!$A$2:$C$106,2,FALSE),"")</f>
        <v/>
      </c>
      <c r="G7686" s="49" t="str">
        <f>IFERROR(VLOOKUP(E7686,'Condensed Specialty Crosswalk'!$A$2:$C$106,3,FALSE),"")</f>
        <v/>
      </c>
    </row>
    <row r="7687" spans="5:7" ht="15" customHeight="1">
      <c r="E7687" s="49" t="str">
        <f>IFERROR(VLOOKUP(D7687,'taxonomy map'!$A$1:$C$107,2,FALSE),"")</f>
        <v/>
      </c>
      <c r="F7687" s="49" t="str">
        <f>IFERROR(VLOOKUP(E7687,'Condensed Specialty Crosswalk'!$A$2:$C$106,2,FALSE),"")</f>
        <v/>
      </c>
      <c r="G7687" s="49" t="str">
        <f>IFERROR(VLOOKUP(E7687,'Condensed Specialty Crosswalk'!$A$2:$C$106,3,FALSE),"")</f>
        <v/>
      </c>
    </row>
    <row r="7688" spans="5:7" ht="15" customHeight="1">
      <c r="E7688" s="49" t="str">
        <f>IFERROR(VLOOKUP(D7688,'taxonomy map'!$A$1:$C$107,2,FALSE),"")</f>
        <v/>
      </c>
      <c r="F7688" s="49" t="str">
        <f>IFERROR(VLOOKUP(E7688,'Condensed Specialty Crosswalk'!$A$2:$C$106,2,FALSE),"")</f>
        <v/>
      </c>
      <c r="G7688" s="49" t="str">
        <f>IFERROR(VLOOKUP(E7688,'Condensed Specialty Crosswalk'!$A$2:$C$106,3,FALSE),"")</f>
        <v/>
      </c>
    </row>
    <row r="7689" spans="5:7" ht="15" customHeight="1">
      <c r="E7689" s="49" t="str">
        <f>IFERROR(VLOOKUP(D7689,'taxonomy map'!$A$1:$C$107,2,FALSE),"")</f>
        <v/>
      </c>
      <c r="F7689" s="49" t="str">
        <f>IFERROR(VLOOKUP(E7689,'Condensed Specialty Crosswalk'!$A$2:$C$106,2,FALSE),"")</f>
        <v/>
      </c>
      <c r="G7689" s="49" t="str">
        <f>IFERROR(VLOOKUP(E7689,'Condensed Specialty Crosswalk'!$A$2:$C$106,3,FALSE),"")</f>
        <v/>
      </c>
    </row>
    <row r="7690" spans="5:7" ht="15" customHeight="1">
      <c r="E7690" s="49" t="str">
        <f>IFERROR(VLOOKUP(D7690,'taxonomy map'!$A$1:$C$107,2,FALSE),"")</f>
        <v/>
      </c>
      <c r="F7690" s="49" t="str">
        <f>IFERROR(VLOOKUP(E7690,'Condensed Specialty Crosswalk'!$A$2:$C$106,2,FALSE),"")</f>
        <v/>
      </c>
      <c r="G7690" s="49" t="str">
        <f>IFERROR(VLOOKUP(E7690,'Condensed Specialty Crosswalk'!$A$2:$C$106,3,FALSE),"")</f>
        <v/>
      </c>
    </row>
    <row r="7691" spans="5:7" ht="15" customHeight="1">
      <c r="E7691" s="49" t="str">
        <f>IFERROR(VLOOKUP(D7691,'taxonomy map'!$A$1:$C$107,2,FALSE),"")</f>
        <v/>
      </c>
      <c r="F7691" s="49" t="str">
        <f>IFERROR(VLOOKUP(E7691,'Condensed Specialty Crosswalk'!$A$2:$C$106,2,FALSE),"")</f>
        <v/>
      </c>
      <c r="G7691" s="49" t="str">
        <f>IFERROR(VLOOKUP(E7691,'Condensed Specialty Crosswalk'!$A$2:$C$106,3,FALSE),"")</f>
        <v/>
      </c>
    </row>
    <row r="7692" spans="5:7" ht="15" customHeight="1">
      <c r="E7692" s="49" t="str">
        <f>IFERROR(VLOOKUP(D7692,'taxonomy map'!$A$1:$C$107,2,FALSE),"")</f>
        <v/>
      </c>
      <c r="F7692" s="49" t="str">
        <f>IFERROR(VLOOKUP(E7692,'Condensed Specialty Crosswalk'!$A$2:$C$106,2,FALSE),"")</f>
        <v/>
      </c>
      <c r="G7692" s="49" t="str">
        <f>IFERROR(VLOOKUP(E7692,'Condensed Specialty Crosswalk'!$A$2:$C$106,3,FALSE),"")</f>
        <v/>
      </c>
    </row>
    <row r="7693" spans="5:7" ht="15" customHeight="1">
      <c r="E7693" s="49" t="str">
        <f>IFERROR(VLOOKUP(D7693,'taxonomy map'!$A$1:$C$107,2,FALSE),"")</f>
        <v/>
      </c>
      <c r="F7693" s="49" t="str">
        <f>IFERROR(VLOOKUP(E7693,'Condensed Specialty Crosswalk'!$A$2:$C$106,2,FALSE),"")</f>
        <v/>
      </c>
      <c r="G7693" s="49" t="str">
        <f>IFERROR(VLOOKUP(E7693,'Condensed Specialty Crosswalk'!$A$2:$C$106,3,FALSE),"")</f>
        <v/>
      </c>
    </row>
    <row r="7694" spans="5:7" ht="15" customHeight="1">
      <c r="E7694" s="49" t="str">
        <f>IFERROR(VLOOKUP(D7694,'taxonomy map'!$A$1:$C$107,2,FALSE),"")</f>
        <v/>
      </c>
      <c r="F7694" s="49" t="str">
        <f>IFERROR(VLOOKUP(E7694,'Condensed Specialty Crosswalk'!$A$2:$C$106,2,FALSE),"")</f>
        <v/>
      </c>
      <c r="G7694" s="49" t="str">
        <f>IFERROR(VLOOKUP(E7694,'Condensed Specialty Crosswalk'!$A$2:$C$106,3,FALSE),"")</f>
        <v/>
      </c>
    </row>
    <row r="7695" spans="5:7" ht="15" customHeight="1">
      <c r="E7695" s="49" t="str">
        <f>IFERROR(VLOOKUP(D7695,'taxonomy map'!$A$1:$C$107,2,FALSE),"")</f>
        <v/>
      </c>
      <c r="F7695" s="49" t="str">
        <f>IFERROR(VLOOKUP(E7695,'Condensed Specialty Crosswalk'!$A$2:$C$106,2,FALSE),"")</f>
        <v/>
      </c>
      <c r="G7695" s="49" t="str">
        <f>IFERROR(VLOOKUP(E7695,'Condensed Specialty Crosswalk'!$A$2:$C$106,3,FALSE),"")</f>
        <v/>
      </c>
    </row>
    <row r="7696" spans="5:7" ht="15" customHeight="1">
      <c r="E7696" s="49" t="str">
        <f>IFERROR(VLOOKUP(D7696,'taxonomy map'!$A$1:$C$107,2,FALSE),"")</f>
        <v/>
      </c>
      <c r="F7696" s="49" t="str">
        <f>IFERROR(VLOOKUP(E7696,'Condensed Specialty Crosswalk'!$A$2:$C$106,2,FALSE),"")</f>
        <v/>
      </c>
      <c r="G7696" s="49" t="str">
        <f>IFERROR(VLOOKUP(E7696,'Condensed Specialty Crosswalk'!$A$2:$C$106,3,FALSE),"")</f>
        <v/>
      </c>
    </row>
    <row r="7697" spans="5:7" ht="15" customHeight="1">
      <c r="E7697" s="49" t="str">
        <f>IFERROR(VLOOKUP(D7697,'taxonomy map'!$A$1:$C$107,2,FALSE),"")</f>
        <v/>
      </c>
      <c r="F7697" s="49" t="str">
        <f>IFERROR(VLOOKUP(E7697,'Condensed Specialty Crosswalk'!$A$2:$C$106,2,FALSE),"")</f>
        <v/>
      </c>
      <c r="G7697" s="49" t="str">
        <f>IFERROR(VLOOKUP(E7697,'Condensed Specialty Crosswalk'!$A$2:$C$106,3,FALSE),"")</f>
        <v/>
      </c>
    </row>
    <row r="7698" spans="5:7" ht="15" customHeight="1">
      <c r="E7698" s="49" t="str">
        <f>IFERROR(VLOOKUP(D7698,'taxonomy map'!$A$1:$C$107,2,FALSE),"")</f>
        <v/>
      </c>
      <c r="F7698" s="49" t="str">
        <f>IFERROR(VLOOKUP(E7698,'Condensed Specialty Crosswalk'!$A$2:$C$106,2,FALSE),"")</f>
        <v/>
      </c>
      <c r="G7698" s="49" t="str">
        <f>IFERROR(VLOOKUP(E7698,'Condensed Specialty Crosswalk'!$A$2:$C$106,3,FALSE),"")</f>
        <v/>
      </c>
    </row>
    <row r="7699" spans="5:7" ht="15" customHeight="1">
      <c r="E7699" s="49" t="str">
        <f>IFERROR(VLOOKUP(D7699,'taxonomy map'!$A$1:$C$107,2,FALSE),"")</f>
        <v/>
      </c>
      <c r="F7699" s="49" t="str">
        <f>IFERROR(VLOOKUP(E7699,'Condensed Specialty Crosswalk'!$A$2:$C$106,2,FALSE),"")</f>
        <v/>
      </c>
      <c r="G7699" s="49" t="str">
        <f>IFERROR(VLOOKUP(E7699,'Condensed Specialty Crosswalk'!$A$2:$C$106,3,FALSE),"")</f>
        <v/>
      </c>
    </row>
    <row r="7700" spans="5:7" ht="15" customHeight="1">
      <c r="E7700" s="49" t="str">
        <f>IFERROR(VLOOKUP(D7700,'taxonomy map'!$A$1:$C$107,2,FALSE),"")</f>
        <v/>
      </c>
      <c r="F7700" s="49" t="str">
        <f>IFERROR(VLOOKUP(E7700,'Condensed Specialty Crosswalk'!$A$2:$C$106,2,FALSE),"")</f>
        <v/>
      </c>
      <c r="G7700" s="49" t="str">
        <f>IFERROR(VLOOKUP(E7700,'Condensed Specialty Crosswalk'!$A$2:$C$106,3,FALSE),"")</f>
        <v/>
      </c>
    </row>
    <row r="7701" spans="5:7" ht="15" customHeight="1">
      <c r="E7701" s="49" t="str">
        <f>IFERROR(VLOOKUP(D7701,'taxonomy map'!$A$1:$C$107,2,FALSE),"")</f>
        <v/>
      </c>
      <c r="F7701" s="49" t="str">
        <f>IFERROR(VLOOKUP(E7701,'Condensed Specialty Crosswalk'!$A$2:$C$106,2,FALSE),"")</f>
        <v/>
      </c>
      <c r="G7701" s="49" t="str">
        <f>IFERROR(VLOOKUP(E7701,'Condensed Specialty Crosswalk'!$A$2:$C$106,3,FALSE),"")</f>
        <v/>
      </c>
    </row>
    <row r="7702" spans="5:7" ht="15" customHeight="1">
      <c r="E7702" s="49" t="str">
        <f>IFERROR(VLOOKUP(D7702,'taxonomy map'!$A$1:$C$107,2,FALSE),"")</f>
        <v/>
      </c>
      <c r="F7702" s="49" t="str">
        <f>IFERROR(VLOOKUP(E7702,'Condensed Specialty Crosswalk'!$A$2:$C$106,2,FALSE),"")</f>
        <v/>
      </c>
      <c r="G7702" s="49" t="str">
        <f>IFERROR(VLOOKUP(E7702,'Condensed Specialty Crosswalk'!$A$2:$C$106,3,FALSE),"")</f>
        <v/>
      </c>
    </row>
    <row r="7703" spans="5:7" ht="15" customHeight="1">
      <c r="E7703" s="49" t="str">
        <f>IFERROR(VLOOKUP(D7703,'taxonomy map'!$A$1:$C$107,2,FALSE),"")</f>
        <v/>
      </c>
      <c r="F7703" s="49" t="str">
        <f>IFERROR(VLOOKUP(E7703,'Condensed Specialty Crosswalk'!$A$2:$C$106,2,FALSE),"")</f>
        <v/>
      </c>
      <c r="G7703" s="49" t="str">
        <f>IFERROR(VLOOKUP(E7703,'Condensed Specialty Crosswalk'!$A$2:$C$106,3,FALSE),"")</f>
        <v/>
      </c>
    </row>
    <row r="7704" spans="5:7" ht="15" customHeight="1">
      <c r="E7704" s="49" t="str">
        <f>IFERROR(VLOOKUP(D7704,'taxonomy map'!$A$1:$C$107,2,FALSE),"")</f>
        <v/>
      </c>
      <c r="F7704" s="49" t="str">
        <f>IFERROR(VLOOKUP(E7704,'Condensed Specialty Crosswalk'!$A$2:$C$106,2,FALSE),"")</f>
        <v/>
      </c>
      <c r="G7704" s="49" t="str">
        <f>IFERROR(VLOOKUP(E7704,'Condensed Specialty Crosswalk'!$A$2:$C$106,3,FALSE),"")</f>
        <v/>
      </c>
    </row>
    <row r="7705" spans="5:7" ht="15" customHeight="1">
      <c r="E7705" s="49" t="str">
        <f>IFERROR(VLOOKUP(D7705,'taxonomy map'!$A$1:$C$107,2,FALSE),"")</f>
        <v/>
      </c>
      <c r="F7705" s="49" t="str">
        <f>IFERROR(VLOOKUP(E7705,'Condensed Specialty Crosswalk'!$A$2:$C$106,2,FALSE),"")</f>
        <v/>
      </c>
      <c r="G7705" s="49" t="str">
        <f>IFERROR(VLOOKUP(E7705,'Condensed Specialty Crosswalk'!$A$2:$C$106,3,FALSE),"")</f>
        <v/>
      </c>
    </row>
    <row r="7706" spans="5:7" ht="15" customHeight="1">
      <c r="E7706" s="49" t="str">
        <f>IFERROR(VLOOKUP(D7706,'taxonomy map'!$A$1:$C$107,2,FALSE),"")</f>
        <v/>
      </c>
      <c r="F7706" s="49" t="str">
        <f>IFERROR(VLOOKUP(E7706,'Condensed Specialty Crosswalk'!$A$2:$C$106,2,FALSE),"")</f>
        <v/>
      </c>
      <c r="G7706" s="49" t="str">
        <f>IFERROR(VLOOKUP(E7706,'Condensed Specialty Crosswalk'!$A$2:$C$106,3,FALSE),"")</f>
        <v/>
      </c>
    </row>
    <row r="7707" spans="5:7" ht="15" customHeight="1">
      <c r="E7707" s="49" t="str">
        <f>IFERROR(VLOOKUP(D7707,'taxonomy map'!$A$1:$C$107,2,FALSE),"")</f>
        <v/>
      </c>
      <c r="F7707" s="49" t="str">
        <f>IFERROR(VLOOKUP(E7707,'Condensed Specialty Crosswalk'!$A$2:$C$106,2,FALSE),"")</f>
        <v/>
      </c>
      <c r="G7707" s="49" t="str">
        <f>IFERROR(VLOOKUP(E7707,'Condensed Specialty Crosswalk'!$A$2:$C$106,3,FALSE),"")</f>
        <v/>
      </c>
    </row>
    <row r="7708" spans="5:7" ht="15" customHeight="1">
      <c r="E7708" s="49" t="str">
        <f>IFERROR(VLOOKUP(D7708,'taxonomy map'!$A$1:$C$107,2,FALSE),"")</f>
        <v/>
      </c>
      <c r="F7708" s="49" t="str">
        <f>IFERROR(VLOOKUP(E7708,'Condensed Specialty Crosswalk'!$A$2:$C$106,2,FALSE),"")</f>
        <v/>
      </c>
      <c r="G7708" s="49" t="str">
        <f>IFERROR(VLOOKUP(E7708,'Condensed Specialty Crosswalk'!$A$2:$C$106,3,FALSE),"")</f>
        <v/>
      </c>
    </row>
    <row r="7709" spans="5:7" ht="15" customHeight="1">
      <c r="E7709" s="49" t="str">
        <f>IFERROR(VLOOKUP(D7709,'taxonomy map'!$A$1:$C$107,2,FALSE),"")</f>
        <v/>
      </c>
      <c r="F7709" s="49" t="str">
        <f>IFERROR(VLOOKUP(E7709,'Condensed Specialty Crosswalk'!$A$2:$C$106,2,FALSE),"")</f>
        <v/>
      </c>
      <c r="G7709" s="49" t="str">
        <f>IFERROR(VLOOKUP(E7709,'Condensed Specialty Crosswalk'!$A$2:$C$106,3,FALSE),"")</f>
        <v/>
      </c>
    </row>
    <row r="7710" spans="5:7" ht="15" customHeight="1">
      <c r="E7710" s="49" t="str">
        <f>IFERROR(VLOOKUP(D7710,'taxonomy map'!$A$1:$C$107,2,FALSE),"")</f>
        <v/>
      </c>
      <c r="F7710" s="49" t="str">
        <f>IFERROR(VLOOKUP(E7710,'Condensed Specialty Crosswalk'!$A$2:$C$106,2,FALSE),"")</f>
        <v/>
      </c>
      <c r="G7710" s="49" t="str">
        <f>IFERROR(VLOOKUP(E7710,'Condensed Specialty Crosswalk'!$A$2:$C$106,3,FALSE),"")</f>
        <v/>
      </c>
    </row>
    <row r="7711" spans="5:7" ht="15" customHeight="1">
      <c r="E7711" s="49" t="str">
        <f>IFERROR(VLOOKUP(D7711,'taxonomy map'!$A$1:$C$107,2,FALSE),"")</f>
        <v/>
      </c>
      <c r="F7711" s="49" t="str">
        <f>IFERROR(VLOOKUP(E7711,'Condensed Specialty Crosswalk'!$A$2:$C$106,2,FALSE),"")</f>
        <v/>
      </c>
      <c r="G7711" s="49" t="str">
        <f>IFERROR(VLOOKUP(E7711,'Condensed Specialty Crosswalk'!$A$2:$C$106,3,FALSE),"")</f>
        <v/>
      </c>
    </row>
    <row r="7712" spans="5:7" ht="15" customHeight="1">
      <c r="E7712" s="49" t="str">
        <f>IFERROR(VLOOKUP(D7712,'taxonomy map'!$A$1:$C$107,2,FALSE),"")</f>
        <v/>
      </c>
      <c r="F7712" s="49" t="str">
        <f>IFERROR(VLOOKUP(E7712,'Condensed Specialty Crosswalk'!$A$2:$C$106,2,FALSE),"")</f>
        <v/>
      </c>
      <c r="G7712" s="49" t="str">
        <f>IFERROR(VLOOKUP(E7712,'Condensed Specialty Crosswalk'!$A$2:$C$106,3,FALSE),"")</f>
        <v/>
      </c>
    </row>
    <row r="7713" spans="5:7" ht="15" customHeight="1">
      <c r="E7713" s="49" t="str">
        <f>IFERROR(VLOOKUP(D7713,'taxonomy map'!$A$1:$C$107,2,FALSE),"")</f>
        <v/>
      </c>
      <c r="F7713" s="49" t="str">
        <f>IFERROR(VLOOKUP(E7713,'Condensed Specialty Crosswalk'!$A$2:$C$106,2,FALSE),"")</f>
        <v/>
      </c>
      <c r="G7713" s="49" t="str">
        <f>IFERROR(VLOOKUP(E7713,'Condensed Specialty Crosswalk'!$A$2:$C$106,3,FALSE),"")</f>
        <v/>
      </c>
    </row>
    <row r="7714" spans="5:7" ht="15" customHeight="1">
      <c r="E7714" s="49" t="str">
        <f>IFERROR(VLOOKUP(D7714,'taxonomy map'!$A$1:$C$107,2,FALSE),"")</f>
        <v/>
      </c>
      <c r="F7714" s="49" t="str">
        <f>IFERROR(VLOOKUP(E7714,'Condensed Specialty Crosswalk'!$A$2:$C$106,2,FALSE),"")</f>
        <v/>
      </c>
      <c r="G7714" s="49" t="str">
        <f>IFERROR(VLOOKUP(E7714,'Condensed Specialty Crosswalk'!$A$2:$C$106,3,FALSE),"")</f>
        <v/>
      </c>
    </row>
    <row r="7715" spans="5:7" ht="15" customHeight="1">
      <c r="E7715" s="49" t="str">
        <f>IFERROR(VLOOKUP(D7715,'taxonomy map'!$A$1:$C$107,2,FALSE),"")</f>
        <v/>
      </c>
      <c r="F7715" s="49" t="str">
        <f>IFERROR(VLOOKUP(E7715,'Condensed Specialty Crosswalk'!$A$2:$C$106,2,FALSE),"")</f>
        <v/>
      </c>
      <c r="G7715" s="49" t="str">
        <f>IFERROR(VLOOKUP(E7715,'Condensed Specialty Crosswalk'!$A$2:$C$106,3,FALSE),"")</f>
        <v/>
      </c>
    </row>
    <row r="7716" spans="5:7" ht="15" customHeight="1">
      <c r="E7716" s="49" t="str">
        <f>IFERROR(VLOOKUP(D7716,'taxonomy map'!$A$1:$C$107,2,FALSE),"")</f>
        <v/>
      </c>
      <c r="F7716" s="49" t="str">
        <f>IFERROR(VLOOKUP(E7716,'Condensed Specialty Crosswalk'!$A$2:$C$106,2,FALSE),"")</f>
        <v/>
      </c>
      <c r="G7716" s="49" t="str">
        <f>IFERROR(VLOOKUP(E7716,'Condensed Specialty Crosswalk'!$A$2:$C$106,3,FALSE),"")</f>
        <v/>
      </c>
    </row>
    <row r="7717" spans="5:7" ht="15" customHeight="1">
      <c r="E7717" s="49" t="str">
        <f>IFERROR(VLOOKUP(D7717,'taxonomy map'!$A$1:$C$107,2,FALSE),"")</f>
        <v/>
      </c>
      <c r="F7717" s="49" t="str">
        <f>IFERROR(VLOOKUP(E7717,'Condensed Specialty Crosswalk'!$A$2:$C$106,2,FALSE),"")</f>
        <v/>
      </c>
      <c r="G7717" s="49" t="str">
        <f>IFERROR(VLOOKUP(E7717,'Condensed Specialty Crosswalk'!$A$2:$C$106,3,FALSE),"")</f>
        <v/>
      </c>
    </row>
    <row r="7718" spans="5:7" ht="15" customHeight="1">
      <c r="E7718" s="49" t="str">
        <f>IFERROR(VLOOKUP(D7718,'taxonomy map'!$A$1:$C$107,2,FALSE),"")</f>
        <v/>
      </c>
      <c r="F7718" s="49" t="str">
        <f>IFERROR(VLOOKUP(E7718,'Condensed Specialty Crosswalk'!$A$2:$C$106,2,FALSE),"")</f>
        <v/>
      </c>
      <c r="G7718" s="49" t="str">
        <f>IFERROR(VLOOKUP(E7718,'Condensed Specialty Crosswalk'!$A$2:$C$106,3,FALSE),"")</f>
        <v/>
      </c>
    </row>
    <row r="7719" spans="5:7" ht="15" customHeight="1">
      <c r="E7719" s="49" t="str">
        <f>IFERROR(VLOOKUP(D7719,'taxonomy map'!$A$1:$C$107,2,FALSE),"")</f>
        <v/>
      </c>
      <c r="F7719" s="49" t="str">
        <f>IFERROR(VLOOKUP(E7719,'Condensed Specialty Crosswalk'!$A$2:$C$106,2,FALSE),"")</f>
        <v/>
      </c>
      <c r="G7719" s="49" t="str">
        <f>IFERROR(VLOOKUP(E7719,'Condensed Specialty Crosswalk'!$A$2:$C$106,3,FALSE),"")</f>
        <v/>
      </c>
    </row>
    <row r="7720" spans="5:7" ht="15" customHeight="1">
      <c r="E7720" s="49" t="str">
        <f>IFERROR(VLOOKUP(D7720,'taxonomy map'!$A$1:$C$107,2,FALSE),"")</f>
        <v/>
      </c>
      <c r="F7720" s="49" t="str">
        <f>IFERROR(VLOOKUP(E7720,'Condensed Specialty Crosswalk'!$A$2:$C$106,2,FALSE),"")</f>
        <v/>
      </c>
      <c r="G7720" s="49" t="str">
        <f>IFERROR(VLOOKUP(E7720,'Condensed Specialty Crosswalk'!$A$2:$C$106,3,FALSE),"")</f>
        <v/>
      </c>
    </row>
    <row r="7721" spans="5:7" ht="15" customHeight="1">
      <c r="E7721" s="49" t="str">
        <f>IFERROR(VLOOKUP(D7721,'taxonomy map'!$A$1:$C$107,2,FALSE),"")</f>
        <v/>
      </c>
      <c r="F7721" s="49" t="str">
        <f>IFERROR(VLOOKUP(E7721,'Condensed Specialty Crosswalk'!$A$2:$C$106,2,FALSE),"")</f>
        <v/>
      </c>
      <c r="G7721" s="49" t="str">
        <f>IFERROR(VLOOKUP(E7721,'Condensed Specialty Crosswalk'!$A$2:$C$106,3,FALSE),"")</f>
        <v/>
      </c>
    </row>
    <row r="7722" spans="5:7" ht="15" customHeight="1">
      <c r="E7722" s="49" t="str">
        <f>IFERROR(VLOOKUP(D7722,'taxonomy map'!$A$1:$C$107,2,FALSE),"")</f>
        <v/>
      </c>
      <c r="F7722" s="49" t="str">
        <f>IFERROR(VLOOKUP(E7722,'Condensed Specialty Crosswalk'!$A$2:$C$106,2,FALSE),"")</f>
        <v/>
      </c>
      <c r="G7722" s="49" t="str">
        <f>IFERROR(VLOOKUP(E7722,'Condensed Specialty Crosswalk'!$A$2:$C$106,3,FALSE),"")</f>
        <v/>
      </c>
    </row>
    <row r="7723" spans="5:7" ht="15" customHeight="1">
      <c r="E7723" s="49" t="str">
        <f>IFERROR(VLOOKUP(D7723,'taxonomy map'!$A$1:$C$107,2,FALSE),"")</f>
        <v/>
      </c>
      <c r="F7723" s="49" t="str">
        <f>IFERROR(VLOOKUP(E7723,'Condensed Specialty Crosswalk'!$A$2:$C$106,2,FALSE),"")</f>
        <v/>
      </c>
      <c r="G7723" s="49" t="str">
        <f>IFERROR(VLOOKUP(E7723,'Condensed Specialty Crosswalk'!$A$2:$C$106,3,FALSE),"")</f>
        <v/>
      </c>
    </row>
    <row r="7724" spans="5:7" ht="15" customHeight="1">
      <c r="E7724" s="49" t="str">
        <f>IFERROR(VLOOKUP(D7724,'taxonomy map'!$A$1:$C$107,2,FALSE),"")</f>
        <v/>
      </c>
      <c r="F7724" s="49" t="str">
        <f>IFERROR(VLOOKUP(E7724,'Condensed Specialty Crosswalk'!$A$2:$C$106,2,FALSE),"")</f>
        <v/>
      </c>
      <c r="G7724" s="49" t="str">
        <f>IFERROR(VLOOKUP(E7724,'Condensed Specialty Crosswalk'!$A$2:$C$106,3,FALSE),"")</f>
        <v/>
      </c>
    </row>
    <row r="7725" spans="5:7" ht="15" customHeight="1">
      <c r="E7725" s="49" t="str">
        <f>IFERROR(VLOOKUP(D7725,'taxonomy map'!$A$1:$C$107,2,FALSE),"")</f>
        <v/>
      </c>
      <c r="F7725" s="49" t="str">
        <f>IFERROR(VLOOKUP(E7725,'Condensed Specialty Crosswalk'!$A$2:$C$106,2,FALSE),"")</f>
        <v/>
      </c>
      <c r="G7725" s="49" t="str">
        <f>IFERROR(VLOOKUP(E7725,'Condensed Specialty Crosswalk'!$A$2:$C$106,3,FALSE),"")</f>
        <v/>
      </c>
    </row>
    <row r="7726" spans="5:7" ht="15" customHeight="1">
      <c r="E7726" s="49" t="str">
        <f>IFERROR(VLOOKUP(D7726,'taxonomy map'!$A$1:$C$107,2,FALSE),"")</f>
        <v/>
      </c>
      <c r="F7726" s="49" t="str">
        <f>IFERROR(VLOOKUP(E7726,'Condensed Specialty Crosswalk'!$A$2:$C$106,2,FALSE),"")</f>
        <v/>
      </c>
      <c r="G7726" s="49" t="str">
        <f>IFERROR(VLOOKUP(E7726,'Condensed Specialty Crosswalk'!$A$2:$C$106,3,FALSE),"")</f>
        <v/>
      </c>
    </row>
    <row r="7727" spans="5:7" ht="15" customHeight="1">
      <c r="E7727" s="49" t="str">
        <f>IFERROR(VLOOKUP(D7727,'taxonomy map'!$A$1:$C$107,2,FALSE),"")</f>
        <v/>
      </c>
      <c r="F7727" s="49" t="str">
        <f>IFERROR(VLOOKUP(E7727,'Condensed Specialty Crosswalk'!$A$2:$C$106,2,FALSE),"")</f>
        <v/>
      </c>
      <c r="G7727" s="49" t="str">
        <f>IFERROR(VLOOKUP(E7727,'Condensed Specialty Crosswalk'!$A$2:$C$106,3,FALSE),"")</f>
        <v/>
      </c>
    </row>
    <row r="7728" spans="5:7" ht="15" customHeight="1">
      <c r="E7728" s="49" t="str">
        <f>IFERROR(VLOOKUP(D7728,'taxonomy map'!$A$1:$C$107,2,FALSE),"")</f>
        <v/>
      </c>
      <c r="F7728" s="49" t="str">
        <f>IFERROR(VLOOKUP(E7728,'Condensed Specialty Crosswalk'!$A$2:$C$106,2,FALSE),"")</f>
        <v/>
      </c>
      <c r="G7728" s="49" t="str">
        <f>IFERROR(VLOOKUP(E7728,'Condensed Specialty Crosswalk'!$A$2:$C$106,3,FALSE),"")</f>
        <v/>
      </c>
    </row>
    <row r="7729" spans="5:7" ht="15" customHeight="1">
      <c r="E7729" s="49" t="str">
        <f>IFERROR(VLOOKUP(D7729,'taxonomy map'!$A$1:$C$107,2,FALSE),"")</f>
        <v/>
      </c>
      <c r="F7729" s="49" t="str">
        <f>IFERROR(VLOOKUP(E7729,'Condensed Specialty Crosswalk'!$A$2:$C$106,2,FALSE),"")</f>
        <v/>
      </c>
      <c r="G7729" s="49" t="str">
        <f>IFERROR(VLOOKUP(E7729,'Condensed Specialty Crosswalk'!$A$2:$C$106,3,FALSE),"")</f>
        <v/>
      </c>
    </row>
    <row r="7730" spans="5:7" ht="15" customHeight="1">
      <c r="E7730" s="49" t="str">
        <f>IFERROR(VLOOKUP(D7730,'taxonomy map'!$A$1:$C$107,2,FALSE),"")</f>
        <v/>
      </c>
      <c r="F7730" s="49" t="str">
        <f>IFERROR(VLOOKUP(E7730,'Condensed Specialty Crosswalk'!$A$2:$C$106,2,FALSE),"")</f>
        <v/>
      </c>
      <c r="G7730" s="49" t="str">
        <f>IFERROR(VLOOKUP(E7730,'Condensed Specialty Crosswalk'!$A$2:$C$106,3,FALSE),"")</f>
        <v/>
      </c>
    </row>
    <row r="7731" spans="5:7" ht="15" customHeight="1">
      <c r="E7731" s="49" t="str">
        <f>IFERROR(VLOOKUP(D7731,'taxonomy map'!$A$1:$C$107,2,FALSE),"")</f>
        <v/>
      </c>
      <c r="F7731" s="49" t="str">
        <f>IFERROR(VLOOKUP(E7731,'Condensed Specialty Crosswalk'!$A$2:$C$106,2,FALSE),"")</f>
        <v/>
      </c>
      <c r="G7731" s="49" t="str">
        <f>IFERROR(VLOOKUP(E7731,'Condensed Specialty Crosswalk'!$A$2:$C$106,3,FALSE),"")</f>
        <v/>
      </c>
    </row>
    <row r="7732" spans="5:7" ht="15" customHeight="1">
      <c r="E7732" s="49" t="str">
        <f>IFERROR(VLOOKUP(D7732,'taxonomy map'!$A$1:$C$107,2,FALSE),"")</f>
        <v/>
      </c>
      <c r="F7732" s="49" t="str">
        <f>IFERROR(VLOOKUP(E7732,'Condensed Specialty Crosswalk'!$A$2:$C$106,2,FALSE),"")</f>
        <v/>
      </c>
      <c r="G7732" s="49" t="str">
        <f>IFERROR(VLOOKUP(E7732,'Condensed Specialty Crosswalk'!$A$2:$C$106,3,FALSE),"")</f>
        <v/>
      </c>
    </row>
    <row r="7733" spans="5:7" ht="15" customHeight="1">
      <c r="E7733" s="49" t="str">
        <f>IFERROR(VLOOKUP(D7733,'taxonomy map'!$A$1:$C$107,2,FALSE),"")</f>
        <v/>
      </c>
      <c r="F7733" s="49" t="str">
        <f>IFERROR(VLOOKUP(E7733,'Condensed Specialty Crosswalk'!$A$2:$C$106,2,FALSE),"")</f>
        <v/>
      </c>
      <c r="G7733" s="49" t="str">
        <f>IFERROR(VLOOKUP(E7733,'Condensed Specialty Crosswalk'!$A$2:$C$106,3,FALSE),"")</f>
        <v/>
      </c>
    </row>
    <row r="7734" spans="5:7" ht="15" customHeight="1">
      <c r="E7734" s="49" t="str">
        <f>IFERROR(VLOOKUP(D7734,'taxonomy map'!$A$1:$C$107,2,FALSE),"")</f>
        <v/>
      </c>
      <c r="F7734" s="49" t="str">
        <f>IFERROR(VLOOKUP(E7734,'Condensed Specialty Crosswalk'!$A$2:$C$106,2,FALSE),"")</f>
        <v/>
      </c>
      <c r="G7734" s="49" t="str">
        <f>IFERROR(VLOOKUP(E7734,'Condensed Specialty Crosswalk'!$A$2:$C$106,3,FALSE),"")</f>
        <v/>
      </c>
    </row>
    <row r="7735" spans="5:7" ht="15" customHeight="1">
      <c r="E7735" s="49" t="str">
        <f>IFERROR(VLOOKUP(D7735,'taxonomy map'!$A$1:$C$107,2,FALSE),"")</f>
        <v/>
      </c>
      <c r="F7735" s="49" t="str">
        <f>IFERROR(VLOOKUP(E7735,'Condensed Specialty Crosswalk'!$A$2:$C$106,2,FALSE),"")</f>
        <v/>
      </c>
      <c r="G7735" s="49" t="str">
        <f>IFERROR(VLOOKUP(E7735,'Condensed Specialty Crosswalk'!$A$2:$C$106,3,FALSE),"")</f>
        <v/>
      </c>
    </row>
    <row r="7736" spans="5:7" ht="15" customHeight="1">
      <c r="E7736" s="49" t="str">
        <f>IFERROR(VLOOKUP(D7736,'taxonomy map'!$A$1:$C$107,2,FALSE),"")</f>
        <v/>
      </c>
      <c r="F7736" s="49" t="str">
        <f>IFERROR(VLOOKUP(E7736,'Condensed Specialty Crosswalk'!$A$2:$C$106,2,FALSE),"")</f>
        <v/>
      </c>
      <c r="G7736" s="49" t="str">
        <f>IFERROR(VLOOKUP(E7736,'Condensed Specialty Crosswalk'!$A$2:$C$106,3,FALSE),"")</f>
        <v/>
      </c>
    </row>
    <row r="7737" spans="5:7" ht="15" customHeight="1">
      <c r="E7737" s="49" t="str">
        <f>IFERROR(VLOOKUP(D7737,'taxonomy map'!$A$1:$C$107,2,FALSE),"")</f>
        <v/>
      </c>
      <c r="F7737" s="49" t="str">
        <f>IFERROR(VLOOKUP(E7737,'Condensed Specialty Crosswalk'!$A$2:$C$106,2,FALSE),"")</f>
        <v/>
      </c>
      <c r="G7737" s="49" t="str">
        <f>IFERROR(VLOOKUP(E7737,'Condensed Specialty Crosswalk'!$A$2:$C$106,3,FALSE),"")</f>
        <v/>
      </c>
    </row>
    <row r="7738" spans="5:7" ht="15" customHeight="1">
      <c r="E7738" s="49" t="str">
        <f>IFERROR(VLOOKUP(D7738,'taxonomy map'!$A$1:$C$107,2,FALSE),"")</f>
        <v/>
      </c>
      <c r="F7738" s="49" t="str">
        <f>IFERROR(VLOOKUP(E7738,'Condensed Specialty Crosswalk'!$A$2:$C$106,2,FALSE),"")</f>
        <v/>
      </c>
      <c r="G7738" s="49" t="str">
        <f>IFERROR(VLOOKUP(E7738,'Condensed Specialty Crosswalk'!$A$2:$C$106,3,FALSE),"")</f>
        <v/>
      </c>
    </row>
    <row r="7739" spans="5:7" ht="15" customHeight="1">
      <c r="E7739" s="49" t="str">
        <f>IFERROR(VLOOKUP(D7739,'taxonomy map'!$A$1:$C$107,2,FALSE),"")</f>
        <v/>
      </c>
      <c r="F7739" s="49" t="str">
        <f>IFERROR(VLOOKUP(E7739,'Condensed Specialty Crosswalk'!$A$2:$C$106,2,FALSE),"")</f>
        <v/>
      </c>
      <c r="G7739" s="49" t="str">
        <f>IFERROR(VLOOKUP(E7739,'Condensed Specialty Crosswalk'!$A$2:$C$106,3,FALSE),"")</f>
        <v/>
      </c>
    </row>
    <row r="7740" spans="5:7" ht="15" customHeight="1">
      <c r="E7740" s="49" t="str">
        <f>IFERROR(VLOOKUP(D7740,'taxonomy map'!$A$1:$C$107,2,FALSE),"")</f>
        <v/>
      </c>
      <c r="F7740" s="49" t="str">
        <f>IFERROR(VLOOKUP(E7740,'Condensed Specialty Crosswalk'!$A$2:$C$106,2,FALSE),"")</f>
        <v/>
      </c>
      <c r="G7740" s="49" t="str">
        <f>IFERROR(VLOOKUP(E7740,'Condensed Specialty Crosswalk'!$A$2:$C$106,3,FALSE),"")</f>
        <v/>
      </c>
    </row>
    <row r="7741" spans="5:7" ht="15" customHeight="1">
      <c r="E7741" s="49" t="str">
        <f>IFERROR(VLOOKUP(D7741,'taxonomy map'!$A$1:$C$107,2,FALSE),"")</f>
        <v/>
      </c>
      <c r="F7741" s="49" t="str">
        <f>IFERROR(VLOOKUP(E7741,'Condensed Specialty Crosswalk'!$A$2:$C$106,2,FALSE),"")</f>
        <v/>
      </c>
      <c r="G7741" s="49" t="str">
        <f>IFERROR(VLOOKUP(E7741,'Condensed Specialty Crosswalk'!$A$2:$C$106,3,FALSE),"")</f>
        <v/>
      </c>
    </row>
    <row r="7742" spans="5:7" ht="15" customHeight="1">
      <c r="E7742" s="49" t="str">
        <f>IFERROR(VLOOKUP(D7742,'taxonomy map'!$A$1:$C$107,2,FALSE),"")</f>
        <v/>
      </c>
      <c r="F7742" s="49" t="str">
        <f>IFERROR(VLOOKUP(E7742,'Condensed Specialty Crosswalk'!$A$2:$C$106,2,FALSE),"")</f>
        <v/>
      </c>
      <c r="G7742" s="49" t="str">
        <f>IFERROR(VLOOKUP(E7742,'Condensed Specialty Crosswalk'!$A$2:$C$106,3,FALSE),"")</f>
        <v/>
      </c>
    </row>
    <row r="7743" spans="5:7" ht="15" customHeight="1">
      <c r="E7743" s="49" t="str">
        <f>IFERROR(VLOOKUP(D7743,'taxonomy map'!$A$1:$C$107,2,FALSE),"")</f>
        <v/>
      </c>
      <c r="F7743" s="49" t="str">
        <f>IFERROR(VLOOKUP(E7743,'Condensed Specialty Crosswalk'!$A$2:$C$106,2,FALSE),"")</f>
        <v/>
      </c>
      <c r="G7743" s="49" t="str">
        <f>IFERROR(VLOOKUP(E7743,'Condensed Specialty Crosswalk'!$A$2:$C$106,3,FALSE),"")</f>
        <v/>
      </c>
    </row>
    <row r="7744" spans="5:7" ht="15" customHeight="1">
      <c r="E7744" s="49" t="str">
        <f>IFERROR(VLOOKUP(D7744,'taxonomy map'!$A$1:$C$107,2,FALSE),"")</f>
        <v/>
      </c>
      <c r="F7744" s="49" t="str">
        <f>IFERROR(VLOOKUP(E7744,'Condensed Specialty Crosswalk'!$A$2:$C$106,2,FALSE),"")</f>
        <v/>
      </c>
      <c r="G7744" s="49" t="str">
        <f>IFERROR(VLOOKUP(E7744,'Condensed Specialty Crosswalk'!$A$2:$C$106,3,FALSE),"")</f>
        <v/>
      </c>
    </row>
    <row r="7745" spans="5:7" ht="15" customHeight="1">
      <c r="E7745" s="49" t="str">
        <f>IFERROR(VLOOKUP(D7745,'taxonomy map'!$A$1:$C$107,2,FALSE),"")</f>
        <v/>
      </c>
      <c r="F7745" s="49" t="str">
        <f>IFERROR(VLOOKUP(E7745,'Condensed Specialty Crosswalk'!$A$2:$C$106,2,FALSE),"")</f>
        <v/>
      </c>
      <c r="G7745" s="49" t="str">
        <f>IFERROR(VLOOKUP(E7745,'Condensed Specialty Crosswalk'!$A$2:$C$106,3,FALSE),"")</f>
        <v/>
      </c>
    </row>
    <row r="7746" spans="5:7" ht="15" customHeight="1">
      <c r="E7746" s="49" t="str">
        <f>IFERROR(VLOOKUP(D7746,'taxonomy map'!$A$1:$C$107,2,FALSE),"")</f>
        <v/>
      </c>
      <c r="F7746" s="49" t="str">
        <f>IFERROR(VLOOKUP(E7746,'Condensed Specialty Crosswalk'!$A$2:$C$106,2,FALSE),"")</f>
        <v/>
      </c>
      <c r="G7746" s="49" t="str">
        <f>IFERROR(VLOOKUP(E7746,'Condensed Specialty Crosswalk'!$A$2:$C$106,3,FALSE),"")</f>
        <v/>
      </c>
    </row>
    <row r="7747" spans="5:7" ht="15" customHeight="1">
      <c r="E7747" s="49" t="str">
        <f>IFERROR(VLOOKUP(D7747,'taxonomy map'!$A$1:$C$107,2,FALSE),"")</f>
        <v/>
      </c>
      <c r="F7747" s="49" t="str">
        <f>IFERROR(VLOOKUP(E7747,'Condensed Specialty Crosswalk'!$A$2:$C$106,2,FALSE),"")</f>
        <v/>
      </c>
      <c r="G7747" s="49" t="str">
        <f>IFERROR(VLOOKUP(E7747,'Condensed Specialty Crosswalk'!$A$2:$C$106,3,FALSE),"")</f>
        <v/>
      </c>
    </row>
    <row r="7748" spans="5:7" ht="15" customHeight="1">
      <c r="E7748" s="49" t="str">
        <f>IFERROR(VLOOKUP(D7748,'taxonomy map'!$A$1:$C$107,2,FALSE),"")</f>
        <v/>
      </c>
      <c r="F7748" s="49" t="str">
        <f>IFERROR(VLOOKUP(E7748,'Condensed Specialty Crosswalk'!$A$2:$C$106,2,FALSE),"")</f>
        <v/>
      </c>
      <c r="G7748" s="49" t="str">
        <f>IFERROR(VLOOKUP(E7748,'Condensed Specialty Crosswalk'!$A$2:$C$106,3,FALSE),"")</f>
        <v/>
      </c>
    </row>
    <row r="7749" spans="5:7" ht="15" customHeight="1">
      <c r="E7749" s="49" t="str">
        <f>IFERROR(VLOOKUP(D7749,'taxonomy map'!$A$1:$C$107,2,FALSE),"")</f>
        <v/>
      </c>
      <c r="F7749" s="49" t="str">
        <f>IFERROR(VLOOKUP(E7749,'Condensed Specialty Crosswalk'!$A$2:$C$106,2,FALSE),"")</f>
        <v/>
      </c>
      <c r="G7749" s="49" t="str">
        <f>IFERROR(VLOOKUP(E7749,'Condensed Specialty Crosswalk'!$A$2:$C$106,3,FALSE),"")</f>
        <v/>
      </c>
    </row>
    <row r="7750" spans="5:7" ht="15" customHeight="1">
      <c r="E7750" s="49" t="str">
        <f>IFERROR(VLOOKUP(D7750,'taxonomy map'!$A$1:$C$107,2,FALSE),"")</f>
        <v/>
      </c>
      <c r="F7750" s="49" t="str">
        <f>IFERROR(VLOOKUP(E7750,'Condensed Specialty Crosswalk'!$A$2:$C$106,2,FALSE),"")</f>
        <v/>
      </c>
      <c r="G7750" s="49" t="str">
        <f>IFERROR(VLOOKUP(E7750,'Condensed Specialty Crosswalk'!$A$2:$C$106,3,FALSE),"")</f>
        <v/>
      </c>
    </row>
    <row r="7751" spans="5:7" ht="15" customHeight="1">
      <c r="E7751" s="49" t="str">
        <f>IFERROR(VLOOKUP(D7751,'taxonomy map'!$A$1:$C$107,2,FALSE),"")</f>
        <v/>
      </c>
      <c r="F7751" s="49" t="str">
        <f>IFERROR(VLOOKUP(E7751,'Condensed Specialty Crosswalk'!$A$2:$C$106,2,FALSE),"")</f>
        <v/>
      </c>
      <c r="G7751" s="49" t="str">
        <f>IFERROR(VLOOKUP(E7751,'Condensed Specialty Crosswalk'!$A$2:$C$106,3,FALSE),"")</f>
        <v/>
      </c>
    </row>
    <row r="7752" spans="5:7" ht="15" customHeight="1">
      <c r="E7752" s="49" t="str">
        <f>IFERROR(VLOOKUP(D7752,'taxonomy map'!$A$1:$C$107,2,FALSE),"")</f>
        <v/>
      </c>
      <c r="F7752" s="49" t="str">
        <f>IFERROR(VLOOKUP(E7752,'Condensed Specialty Crosswalk'!$A$2:$C$106,2,FALSE),"")</f>
        <v/>
      </c>
      <c r="G7752" s="49" t="str">
        <f>IFERROR(VLOOKUP(E7752,'Condensed Specialty Crosswalk'!$A$2:$C$106,3,FALSE),"")</f>
        <v/>
      </c>
    </row>
    <row r="7753" spans="5:7" ht="15" customHeight="1">
      <c r="E7753" s="49" t="str">
        <f>IFERROR(VLOOKUP(D7753,'taxonomy map'!$A$1:$C$107,2,FALSE),"")</f>
        <v/>
      </c>
      <c r="F7753" s="49" t="str">
        <f>IFERROR(VLOOKUP(E7753,'Condensed Specialty Crosswalk'!$A$2:$C$106,2,FALSE),"")</f>
        <v/>
      </c>
      <c r="G7753" s="49" t="str">
        <f>IFERROR(VLOOKUP(E7753,'Condensed Specialty Crosswalk'!$A$2:$C$106,3,FALSE),"")</f>
        <v/>
      </c>
    </row>
    <row r="7754" spans="5:7" ht="15" customHeight="1">
      <c r="E7754" s="49" t="str">
        <f>IFERROR(VLOOKUP(D7754,'taxonomy map'!$A$1:$C$107,2,FALSE),"")</f>
        <v/>
      </c>
      <c r="F7754" s="49" t="str">
        <f>IFERROR(VLOOKUP(E7754,'Condensed Specialty Crosswalk'!$A$2:$C$106,2,FALSE),"")</f>
        <v/>
      </c>
      <c r="G7754" s="49" t="str">
        <f>IFERROR(VLOOKUP(E7754,'Condensed Specialty Crosswalk'!$A$2:$C$106,3,FALSE),"")</f>
        <v/>
      </c>
    </row>
    <row r="7755" spans="5:7" ht="15" customHeight="1">
      <c r="E7755" s="49" t="str">
        <f>IFERROR(VLOOKUP(D7755,'taxonomy map'!$A$1:$C$107,2,FALSE),"")</f>
        <v/>
      </c>
      <c r="F7755" s="49" t="str">
        <f>IFERROR(VLOOKUP(E7755,'Condensed Specialty Crosswalk'!$A$2:$C$106,2,FALSE),"")</f>
        <v/>
      </c>
      <c r="G7755" s="49" t="str">
        <f>IFERROR(VLOOKUP(E7755,'Condensed Specialty Crosswalk'!$A$2:$C$106,3,FALSE),"")</f>
        <v/>
      </c>
    </row>
    <row r="7756" spans="5:7" ht="15" customHeight="1">
      <c r="E7756" s="49" t="str">
        <f>IFERROR(VLOOKUP(D7756,'taxonomy map'!$A$1:$C$107,2,FALSE),"")</f>
        <v/>
      </c>
      <c r="F7756" s="49" t="str">
        <f>IFERROR(VLOOKUP(E7756,'Condensed Specialty Crosswalk'!$A$2:$C$106,2,FALSE),"")</f>
        <v/>
      </c>
      <c r="G7756" s="49" t="str">
        <f>IFERROR(VLOOKUP(E7756,'Condensed Specialty Crosswalk'!$A$2:$C$106,3,FALSE),"")</f>
        <v/>
      </c>
    </row>
    <row r="7757" spans="5:7" ht="15" customHeight="1">
      <c r="E7757" s="49" t="str">
        <f>IFERROR(VLOOKUP(D7757,'taxonomy map'!$A$1:$C$107,2,FALSE),"")</f>
        <v/>
      </c>
      <c r="F7757" s="49" t="str">
        <f>IFERROR(VLOOKUP(E7757,'Condensed Specialty Crosswalk'!$A$2:$C$106,2,FALSE),"")</f>
        <v/>
      </c>
      <c r="G7757" s="49" t="str">
        <f>IFERROR(VLOOKUP(E7757,'Condensed Specialty Crosswalk'!$A$2:$C$106,3,FALSE),"")</f>
        <v/>
      </c>
    </row>
    <row r="7758" spans="5:7" ht="15" customHeight="1">
      <c r="E7758" s="49" t="str">
        <f>IFERROR(VLOOKUP(D7758,'taxonomy map'!$A$1:$C$107,2,FALSE),"")</f>
        <v/>
      </c>
      <c r="F7758" s="49" t="str">
        <f>IFERROR(VLOOKUP(E7758,'Condensed Specialty Crosswalk'!$A$2:$C$106,2,FALSE),"")</f>
        <v/>
      </c>
      <c r="G7758" s="49" t="str">
        <f>IFERROR(VLOOKUP(E7758,'Condensed Specialty Crosswalk'!$A$2:$C$106,3,FALSE),"")</f>
        <v/>
      </c>
    </row>
    <row r="7759" spans="5:7" ht="15" customHeight="1">
      <c r="E7759" s="49" t="str">
        <f>IFERROR(VLOOKUP(D7759,'taxonomy map'!$A$1:$C$107,2,FALSE),"")</f>
        <v/>
      </c>
      <c r="F7759" s="49" t="str">
        <f>IFERROR(VLOOKUP(E7759,'Condensed Specialty Crosswalk'!$A$2:$C$106,2,FALSE),"")</f>
        <v/>
      </c>
      <c r="G7759" s="49" t="str">
        <f>IFERROR(VLOOKUP(E7759,'Condensed Specialty Crosswalk'!$A$2:$C$106,3,FALSE),"")</f>
        <v/>
      </c>
    </row>
    <row r="7760" spans="5:7" ht="15" customHeight="1">
      <c r="E7760" s="49" t="str">
        <f>IFERROR(VLOOKUP(D7760,'taxonomy map'!$A$1:$C$107,2,FALSE),"")</f>
        <v/>
      </c>
      <c r="F7760" s="49" t="str">
        <f>IFERROR(VLOOKUP(E7760,'Condensed Specialty Crosswalk'!$A$2:$C$106,2,FALSE),"")</f>
        <v/>
      </c>
      <c r="G7760" s="49" t="str">
        <f>IFERROR(VLOOKUP(E7760,'Condensed Specialty Crosswalk'!$A$2:$C$106,3,FALSE),"")</f>
        <v/>
      </c>
    </row>
    <row r="7761" spans="5:7" ht="15" customHeight="1">
      <c r="E7761" s="49" t="str">
        <f>IFERROR(VLOOKUP(D7761,'taxonomy map'!$A$1:$C$107,2,FALSE),"")</f>
        <v/>
      </c>
      <c r="F7761" s="49" t="str">
        <f>IFERROR(VLOOKUP(E7761,'Condensed Specialty Crosswalk'!$A$2:$C$106,2,FALSE),"")</f>
        <v/>
      </c>
      <c r="G7761" s="49" t="str">
        <f>IFERROR(VLOOKUP(E7761,'Condensed Specialty Crosswalk'!$A$2:$C$106,3,FALSE),"")</f>
        <v/>
      </c>
    </row>
    <row r="7762" spans="5:7" ht="15" customHeight="1">
      <c r="E7762" s="49" t="str">
        <f>IFERROR(VLOOKUP(D7762,'taxonomy map'!$A$1:$C$107,2,FALSE),"")</f>
        <v/>
      </c>
      <c r="F7762" s="49" t="str">
        <f>IFERROR(VLOOKUP(E7762,'Condensed Specialty Crosswalk'!$A$2:$C$106,2,FALSE),"")</f>
        <v/>
      </c>
      <c r="G7762" s="49" t="str">
        <f>IFERROR(VLOOKUP(E7762,'Condensed Specialty Crosswalk'!$A$2:$C$106,3,FALSE),"")</f>
        <v/>
      </c>
    </row>
    <row r="7763" spans="5:7" ht="15" customHeight="1">
      <c r="E7763" s="49" t="str">
        <f>IFERROR(VLOOKUP(D7763,'taxonomy map'!$A$1:$C$107,2,FALSE),"")</f>
        <v/>
      </c>
      <c r="F7763" s="49" t="str">
        <f>IFERROR(VLOOKUP(E7763,'Condensed Specialty Crosswalk'!$A$2:$C$106,2,FALSE),"")</f>
        <v/>
      </c>
      <c r="G7763" s="49" t="str">
        <f>IFERROR(VLOOKUP(E7763,'Condensed Specialty Crosswalk'!$A$2:$C$106,3,FALSE),"")</f>
        <v/>
      </c>
    </row>
    <row r="7764" spans="5:7" ht="15" customHeight="1">
      <c r="E7764" s="49" t="str">
        <f>IFERROR(VLOOKUP(D7764,'taxonomy map'!$A$1:$C$107,2,FALSE),"")</f>
        <v/>
      </c>
      <c r="F7764" s="49" t="str">
        <f>IFERROR(VLOOKUP(E7764,'Condensed Specialty Crosswalk'!$A$2:$C$106,2,FALSE),"")</f>
        <v/>
      </c>
      <c r="G7764" s="49" t="str">
        <f>IFERROR(VLOOKUP(E7764,'Condensed Specialty Crosswalk'!$A$2:$C$106,3,FALSE),"")</f>
        <v/>
      </c>
    </row>
    <row r="7765" spans="5:7" ht="15" customHeight="1">
      <c r="E7765" s="49" t="str">
        <f>IFERROR(VLOOKUP(D7765,'taxonomy map'!$A$1:$C$107,2,FALSE),"")</f>
        <v/>
      </c>
      <c r="F7765" s="49" t="str">
        <f>IFERROR(VLOOKUP(E7765,'Condensed Specialty Crosswalk'!$A$2:$C$106,2,FALSE),"")</f>
        <v/>
      </c>
      <c r="G7765" s="49" t="str">
        <f>IFERROR(VLOOKUP(E7765,'Condensed Specialty Crosswalk'!$A$2:$C$106,3,FALSE),"")</f>
        <v/>
      </c>
    </row>
    <row r="7766" spans="5:7" ht="15" customHeight="1">
      <c r="E7766" s="49" t="str">
        <f>IFERROR(VLOOKUP(D7766,'taxonomy map'!$A$1:$C$107,2,FALSE),"")</f>
        <v/>
      </c>
      <c r="F7766" s="49" t="str">
        <f>IFERROR(VLOOKUP(E7766,'Condensed Specialty Crosswalk'!$A$2:$C$106,2,FALSE),"")</f>
        <v/>
      </c>
      <c r="G7766" s="49" t="str">
        <f>IFERROR(VLOOKUP(E7766,'Condensed Specialty Crosswalk'!$A$2:$C$106,3,FALSE),"")</f>
        <v/>
      </c>
    </row>
    <row r="7767" spans="5:7" ht="15" customHeight="1">
      <c r="E7767" s="49" t="str">
        <f>IFERROR(VLOOKUP(D7767,'taxonomy map'!$A$1:$C$107,2,FALSE),"")</f>
        <v/>
      </c>
      <c r="F7767" s="49" t="str">
        <f>IFERROR(VLOOKUP(E7767,'Condensed Specialty Crosswalk'!$A$2:$C$106,2,FALSE),"")</f>
        <v/>
      </c>
      <c r="G7767" s="49" t="str">
        <f>IFERROR(VLOOKUP(E7767,'Condensed Specialty Crosswalk'!$A$2:$C$106,3,FALSE),"")</f>
        <v/>
      </c>
    </row>
    <row r="7768" spans="5:7" ht="15" customHeight="1">
      <c r="E7768" s="49" t="str">
        <f>IFERROR(VLOOKUP(D7768,'taxonomy map'!$A$1:$C$107,2,FALSE),"")</f>
        <v/>
      </c>
      <c r="F7768" s="49" t="str">
        <f>IFERROR(VLOOKUP(E7768,'Condensed Specialty Crosswalk'!$A$2:$C$106,2,FALSE),"")</f>
        <v/>
      </c>
      <c r="G7768" s="49" t="str">
        <f>IFERROR(VLOOKUP(E7768,'Condensed Specialty Crosswalk'!$A$2:$C$106,3,FALSE),"")</f>
        <v/>
      </c>
    </row>
    <row r="7769" spans="5:7" ht="15" customHeight="1">
      <c r="E7769" s="49" t="str">
        <f>IFERROR(VLOOKUP(D7769,'taxonomy map'!$A$1:$C$107,2,FALSE),"")</f>
        <v/>
      </c>
      <c r="F7769" s="49" t="str">
        <f>IFERROR(VLOOKUP(E7769,'Condensed Specialty Crosswalk'!$A$2:$C$106,2,FALSE),"")</f>
        <v/>
      </c>
      <c r="G7769" s="49" t="str">
        <f>IFERROR(VLOOKUP(E7769,'Condensed Specialty Crosswalk'!$A$2:$C$106,3,FALSE),"")</f>
        <v/>
      </c>
    </row>
    <row r="7770" spans="5:7" ht="15" customHeight="1">
      <c r="E7770" s="49" t="str">
        <f>IFERROR(VLOOKUP(D7770,'taxonomy map'!$A$1:$C$107,2,FALSE),"")</f>
        <v/>
      </c>
      <c r="F7770" s="49" t="str">
        <f>IFERROR(VLOOKUP(E7770,'Condensed Specialty Crosswalk'!$A$2:$C$106,2,FALSE),"")</f>
        <v/>
      </c>
      <c r="G7770" s="49" t="str">
        <f>IFERROR(VLOOKUP(E7770,'Condensed Specialty Crosswalk'!$A$2:$C$106,3,FALSE),"")</f>
        <v/>
      </c>
    </row>
    <row r="7771" spans="5:7" ht="15" customHeight="1">
      <c r="E7771" s="49" t="str">
        <f>IFERROR(VLOOKUP(D7771,'taxonomy map'!$A$1:$C$107,2,FALSE),"")</f>
        <v/>
      </c>
      <c r="F7771" s="49" t="str">
        <f>IFERROR(VLOOKUP(E7771,'Condensed Specialty Crosswalk'!$A$2:$C$106,2,FALSE),"")</f>
        <v/>
      </c>
      <c r="G7771" s="49" t="str">
        <f>IFERROR(VLOOKUP(E7771,'Condensed Specialty Crosswalk'!$A$2:$C$106,3,FALSE),"")</f>
        <v/>
      </c>
    </row>
    <row r="7772" spans="5:7" ht="15" customHeight="1">
      <c r="E7772" s="49" t="str">
        <f>IFERROR(VLOOKUP(D7772,'taxonomy map'!$A$1:$C$107,2,FALSE),"")</f>
        <v/>
      </c>
      <c r="F7772" s="49" t="str">
        <f>IFERROR(VLOOKUP(E7772,'Condensed Specialty Crosswalk'!$A$2:$C$106,2,FALSE),"")</f>
        <v/>
      </c>
      <c r="G7772" s="49" t="str">
        <f>IFERROR(VLOOKUP(E7772,'Condensed Specialty Crosswalk'!$A$2:$C$106,3,FALSE),"")</f>
        <v/>
      </c>
    </row>
    <row r="7773" spans="5:7" ht="15" customHeight="1">
      <c r="E7773" s="49" t="str">
        <f>IFERROR(VLOOKUP(D7773,'taxonomy map'!$A$1:$C$107,2,FALSE),"")</f>
        <v/>
      </c>
      <c r="F7773" s="49" t="str">
        <f>IFERROR(VLOOKUP(E7773,'Condensed Specialty Crosswalk'!$A$2:$C$106,2,FALSE),"")</f>
        <v/>
      </c>
      <c r="G7773" s="49" t="str">
        <f>IFERROR(VLOOKUP(E7773,'Condensed Specialty Crosswalk'!$A$2:$C$106,3,FALSE),"")</f>
        <v/>
      </c>
    </row>
    <row r="7774" spans="5:7" ht="15" customHeight="1">
      <c r="E7774" s="49" t="str">
        <f>IFERROR(VLOOKUP(D7774,'taxonomy map'!$A$1:$C$107,2,FALSE),"")</f>
        <v/>
      </c>
      <c r="F7774" s="49" t="str">
        <f>IFERROR(VLOOKUP(E7774,'Condensed Specialty Crosswalk'!$A$2:$C$106,2,FALSE),"")</f>
        <v/>
      </c>
      <c r="G7774" s="49" t="str">
        <f>IFERROR(VLOOKUP(E7774,'Condensed Specialty Crosswalk'!$A$2:$C$106,3,FALSE),"")</f>
        <v/>
      </c>
    </row>
    <row r="7775" spans="5:7" ht="15" customHeight="1">
      <c r="E7775" s="49" t="str">
        <f>IFERROR(VLOOKUP(D7775,'taxonomy map'!$A$1:$C$107,2,FALSE),"")</f>
        <v/>
      </c>
      <c r="F7775" s="49" t="str">
        <f>IFERROR(VLOOKUP(E7775,'Condensed Specialty Crosswalk'!$A$2:$C$106,2,FALSE),"")</f>
        <v/>
      </c>
      <c r="G7775" s="49" t="str">
        <f>IFERROR(VLOOKUP(E7775,'Condensed Specialty Crosswalk'!$A$2:$C$106,3,FALSE),"")</f>
        <v/>
      </c>
    </row>
    <row r="7776" spans="5:7" ht="15" customHeight="1">
      <c r="E7776" s="49" t="str">
        <f>IFERROR(VLOOKUP(D7776,'taxonomy map'!$A$1:$C$107,2,FALSE),"")</f>
        <v/>
      </c>
      <c r="F7776" s="49" t="str">
        <f>IFERROR(VLOOKUP(E7776,'Condensed Specialty Crosswalk'!$A$2:$C$106,2,FALSE),"")</f>
        <v/>
      </c>
      <c r="G7776" s="49" t="str">
        <f>IFERROR(VLOOKUP(E7776,'Condensed Specialty Crosswalk'!$A$2:$C$106,3,FALSE),"")</f>
        <v/>
      </c>
    </row>
    <row r="7777" spans="5:7" ht="15" customHeight="1">
      <c r="E7777" s="49" t="str">
        <f>IFERROR(VLOOKUP(D7777,'taxonomy map'!$A$1:$C$107,2,FALSE),"")</f>
        <v/>
      </c>
      <c r="F7777" s="49" t="str">
        <f>IFERROR(VLOOKUP(E7777,'Condensed Specialty Crosswalk'!$A$2:$C$106,2,FALSE),"")</f>
        <v/>
      </c>
      <c r="G7777" s="49" t="str">
        <f>IFERROR(VLOOKUP(E7777,'Condensed Specialty Crosswalk'!$A$2:$C$106,3,FALSE),"")</f>
        <v/>
      </c>
    </row>
    <row r="7778" spans="5:7" ht="15" customHeight="1">
      <c r="E7778" s="49" t="str">
        <f>IFERROR(VLOOKUP(D7778,'taxonomy map'!$A$1:$C$107,2,FALSE),"")</f>
        <v/>
      </c>
      <c r="F7778" s="49" t="str">
        <f>IFERROR(VLOOKUP(E7778,'Condensed Specialty Crosswalk'!$A$2:$C$106,2,FALSE),"")</f>
        <v/>
      </c>
      <c r="G7778" s="49" t="str">
        <f>IFERROR(VLOOKUP(E7778,'Condensed Specialty Crosswalk'!$A$2:$C$106,3,FALSE),"")</f>
        <v/>
      </c>
    </row>
    <row r="7779" spans="5:7" ht="15" customHeight="1">
      <c r="E7779" s="49" t="str">
        <f>IFERROR(VLOOKUP(D7779,'taxonomy map'!$A$1:$C$107,2,FALSE),"")</f>
        <v/>
      </c>
      <c r="F7779" s="49" t="str">
        <f>IFERROR(VLOOKUP(E7779,'Condensed Specialty Crosswalk'!$A$2:$C$106,2,FALSE),"")</f>
        <v/>
      </c>
      <c r="G7779" s="49" t="str">
        <f>IFERROR(VLOOKUP(E7779,'Condensed Specialty Crosswalk'!$A$2:$C$106,3,FALSE),"")</f>
        <v/>
      </c>
    </row>
    <row r="7780" spans="5:7" ht="15" customHeight="1">
      <c r="E7780" s="49" t="str">
        <f>IFERROR(VLOOKUP(D7780,'taxonomy map'!$A$1:$C$107,2,FALSE),"")</f>
        <v/>
      </c>
      <c r="F7780" s="49" t="str">
        <f>IFERROR(VLOOKUP(E7780,'Condensed Specialty Crosswalk'!$A$2:$C$106,2,FALSE),"")</f>
        <v/>
      </c>
      <c r="G7780" s="49" t="str">
        <f>IFERROR(VLOOKUP(E7780,'Condensed Specialty Crosswalk'!$A$2:$C$106,3,FALSE),"")</f>
        <v/>
      </c>
    </row>
    <row r="7781" spans="5:7" ht="15" customHeight="1">
      <c r="E7781" s="49" t="str">
        <f>IFERROR(VLOOKUP(D7781,'taxonomy map'!$A$1:$C$107,2,FALSE),"")</f>
        <v/>
      </c>
      <c r="F7781" s="49" t="str">
        <f>IFERROR(VLOOKUP(E7781,'Condensed Specialty Crosswalk'!$A$2:$C$106,2,FALSE),"")</f>
        <v/>
      </c>
      <c r="G7781" s="49" t="str">
        <f>IFERROR(VLOOKUP(E7781,'Condensed Specialty Crosswalk'!$A$2:$C$106,3,FALSE),"")</f>
        <v/>
      </c>
    </row>
    <row r="7782" spans="5:7" ht="15" customHeight="1">
      <c r="E7782" s="49" t="str">
        <f>IFERROR(VLOOKUP(D7782,'taxonomy map'!$A$1:$C$107,2,FALSE),"")</f>
        <v/>
      </c>
      <c r="F7782" s="49" t="str">
        <f>IFERROR(VLOOKUP(E7782,'Condensed Specialty Crosswalk'!$A$2:$C$106,2,FALSE),"")</f>
        <v/>
      </c>
      <c r="G7782" s="49" t="str">
        <f>IFERROR(VLOOKUP(E7782,'Condensed Specialty Crosswalk'!$A$2:$C$106,3,FALSE),"")</f>
        <v/>
      </c>
    </row>
    <row r="7783" spans="5:7" ht="15" customHeight="1">
      <c r="E7783" s="49" t="str">
        <f>IFERROR(VLOOKUP(D7783,'taxonomy map'!$A$1:$C$107,2,FALSE),"")</f>
        <v/>
      </c>
      <c r="F7783" s="49" t="str">
        <f>IFERROR(VLOOKUP(E7783,'Condensed Specialty Crosswalk'!$A$2:$C$106,2,FALSE),"")</f>
        <v/>
      </c>
      <c r="G7783" s="49" t="str">
        <f>IFERROR(VLOOKUP(E7783,'Condensed Specialty Crosswalk'!$A$2:$C$106,3,FALSE),"")</f>
        <v/>
      </c>
    </row>
    <row r="7784" spans="5:7" ht="15" customHeight="1">
      <c r="E7784" s="49" t="str">
        <f>IFERROR(VLOOKUP(D7784,'taxonomy map'!$A$1:$C$107,2,FALSE),"")</f>
        <v/>
      </c>
      <c r="F7784" s="49" t="str">
        <f>IFERROR(VLOOKUP(E7784,'Condensed Specialty Crosswalk'!$A$2:$C$106,2,FALSE),"")</f>
        <v/>
      </c>
      <c r="G7784" s="49" t="str">
        <f>IFERROR(VLOOKUP(E7784,'Condensed Specialty Crosswalk'!$A$2:$C$106,3,FALSE),"")</f>
        <v/>
      </c>
    </row>
    <row r="7785" spans="5:7" ht="15" customHeight="1">
      <c r="E7785" s="49" t="str">
        <f>IFERROR(VLOOKUP(D7785,'taxonomy map'!$A$1:$C$107,2,FALSE),"")</f>
        <v/>
      </c>
      <c r="F7785" s="49" t="str">
        <f>IFERROR(VLOOKUP(E7785,'Condensed Specialty Crosswalk'!$A$2:$C$106,2,FALSE),"")</f>
        <v/>
      </c>
      <c r="G7785" s="49" t="str">
        <f>IFERROR(VLOOKUP(E7785,'Condensed Specialty Crosswalk'!$A$2:$C$106,3,FALSE),"")</f>
        <v/>
      </c>
    </row>
    <row r="7786" spans="5:7" ht="15" customHeight="1">
      <c r="E7786" s="49" t="str">
        <f>IFERROR(VLOOKUP(D7786,'taxonomy map'!$A$1:$C$107,2,FALSE),"")</f>
        <v/>
      </c>
      <c r="F7786" s="49" t="str">
        <f>IFERROR(VLOOKUP(E7786,'Condensed Specialty Crosswalk'!$A$2:$C$106,2,FALSE),"")</f>
        <v/>
      </c>
      <c r="G7786" s="49" t="str">
        <f>IFERROR(VLOOKUP(E7786,'Condensed Specialty Crosswalk'!$A$2:$C$106,3,FALSE),"")</f>
        <v/>
      </c>
    </row>
    <row r="7787" spans="5:7" ht="15" customHeight="1">
      <c r="E7787" s="49" t="str">
        <f>IFERROR(VLOOKUP(D7787,'taxonomy map'!$A$1:$C$107,2,FALSE),"")</f>
        <v/>
      </c>
      <c r="F7787" s="49" t="str">
        <f>IFERROR(VLOOKUP(E7787,'Condensed Specialty Crosswalk'!$A$2:$C$106,2,FALSE),"")</f>
        <v/>
      </c>
      <c r="G7787" s="49" t="str">
        <f>IFERROR(VLOOKUP(E7787,'Condensed Specialty Crosswalk'!$A$2:$C$106,3,FALSE),"")</f>
        <v/>
      </c>
    </row>
    <row r="7788" spans="5:7" ht="15" customHeight="1">
      <c r="E7788" s="49" t="str">
        <f>IFERROR(VLOOKUP(D7788,'taxonomy map'!$A$1:$C$107,2,FALSE),"")</f>
        <v/>
      </c>
      <c r="F7788" s="49" t="str">
        <f>IFERROR(VLOOKUP(E7788,'Condensed Specialty Crosswalk'!$A$2:$C$106,2,FALSE),"")</f>
        <v/>
      </c>
      <c r="G7788" s="49" t="str">
        <f>IFERROR(VLOOKUP(E7788,'Condensed Specialty Crosswalk'!$A$2:$C$106,3,FALSE),"")</f>
        <v/>
      </c>
    </row>
    <row r="7789" spans="5:7" ht="15" customHeight="1">
      <c r="E7789" s="49" t="str">
        <f>IFERROR(VLOOKUP(D7789,'taxonomy map'!$A$1:$C$107,2,FALSE),"")</f>
        <v/>
      </c>
      <c r="F7789" s="49" t="str">
        <f>IFERROR(VLOOKUP(E7789,'Condensed Specialty Crosswalk'!$A$2:$C$106,2,FALSE),"")</f>
        <v/>
      </c>
      <c r="G7789" s="49" t="str">
        <f>IFERROR(VLOOKUP(E7789,'Condensed Specialty Crosswalk'!$A$2:$C$106,3,FALSE),"")</f>
        <v/>
      </c>
    </row>
    <row r="7790" spans="5:7" ht="15" customHeight="1">
      <c r="E7790" s="49" t="str">
        <f>IFERROR(VLOOKUP(D7790,'taxonomy map'!$A$1:$C$107,2,FALSE),"")</f>
        <v/>
      </c>
      <c r="F7790" s="49" t="str">
        <f>IFERROR(VLOOKUP(E7790,'Condensed Specialty Crosswalk'!$A$2:$C$106,2,FALSE),"")</f>
        <v/>
      </c>
      <c r="G7790" s="49" t="str">
        <f>IFERROR(VLOOKUP(E7790,'Condensed Specialty Crosswalk'!$A$2:$C$106,3,FALSE),"")</f>
        <v/>
      </c>
    </row>
    <row r="7791" spans="5:7" ht="15" customHeight="1">
      <c r="E7791" s="49" t="str">
        <f>IFERROR(VLOOKUP(D7791,'taxonomy map'!$A$1:$C$107,2,FALSE),"")</f>
        <v/>
      </c>
      <c r="F7791" s="49" t="str">
        <f>IFERROR(VLOOKUP(E7791,'Condensed Specialty Crosswalk'!$A$2:$C$106,2,FALSE),"")</f>
        <v/>
      </c>
      <c r="G7791" s="49" t="str">
        <f>IFERROR(VLOOKUP(E7791,'Condensed Specialty Crosswalk'!$A$2:$C$106,3,FALSE),"")</f>
        <v/>
      </c>
    </row>
    <row r="7792" spans="5:7" ht="15" customHeight="1">
      <c r="E7792" s="49" t="str">
        <f>IFERROR(VLOOKUP(D7792,'taxonomy map'!$A$1:$C$107,2,FALSE),"")</f>
        <v/>
      </c>
      <c r="F7792" s="49" t="str">
        <f>IFERROR(VLOOKUP(E7792,'Condensed Specialty Crosswalk'!$A$2:$C$106,2,FALSE),"")</f>
        <v/>
      </c>
      <c r="G7792" s="49" t="str">
        <f>IFERROR(VLOOKUP(E7792,'Condensed Specialty Crosswalk'!$A$2:$C$106,3,FALSE),"")</f>
        <v/>
      </c>
    </row>
    <row r="7793" spans="5:7" ht="15" customHeight="1">
      <c r="E7793" s="49" t="str">
        <f>IFERROR(VLOOKUP(D7793,'taxonomy map'!$A$1:$C$107,2,FALSE),"")</f>
        <v/>
      </c>
      <c r="F7793" s="49" t="str">
        <f>IFERROR(VLOOKUP(E7793,'Condensed Specialty Crosswalk'!$A$2:$C$106,2,FALSE),"")</f>
        <v/>
      </c>
      <c r="G7793" s="49" t="str">
        <f>IFERROR(VLOOKUP(E7793,'Condensed Specialty Crosswalk'!$A$2:$C$106,3,FALSE),"")</f>
        <v/>
      </c>
    </row>
    <row r="7794" spans="5:7" ht="15" customHeight="1">
      <c r="E7794" s="49" t="str">
        <f>IFERROR(VLOOKUP(D7794,'taxonomy map'!$A$1:$C$107,2,FALSE),"")</f>
        <v/>
      </c>
      <c r="F7794" s="49" t="str">
        <f>IFERROR(VLOOKUP(E7794,'Condensed Specialty Crosswalk'!$A$2:$C$106,2,FALSE),"")</f>
        <v/>
      </c>
      <c r="G7794" s="49" t="str">
        <f>IFERROR(VLOOKUP(E7794,'Condensed Specialty Crosswalk'!$A$2:$C$106,3,FALSE),"")</f>
        <v/>
      </c>
    </row>
    <row r="7795" spans="5:7" ht="15" customHeight="1">
      <c r="E7795" s="49" t="str">
        <f>IFERROR(VLOOKUP(D7795,'taxonomy map'!$A$1:$C$107,2,FALSE),"")</f>
        <v/>
      </c>
      <c r="F7795" s="49" t="str">
        <f>IFERROR(VLOOKUP(E7795,'Condensed Specialty Crosswalk'!$A$2:$C$106,2,FALSE),"")</f>
        <v/>
      </c>
      <c r="G7795" s="49" t="str">
        <f>IFERROR(VLOOKUP(E7795,'Condensed Specialty Crosswalk'!$A$2:$C$106,3,FALSE),"")</f>
        <v/>
      </c>
    </row>
    <row r="7796" spans="5:7" ht="15" customHeight="1">
      <c r="E7796" s="49" t="str">
        <f>IFERROR(VLOOKUP(D7796,'taxonomy map'!$A$1:$C$107,2,FALSE),"")</f>
        <v/>
      </c>
      <c r="F7796" s="49" t="str">
        <f>IFERROR(VLOOKUP(E7796,'Condensed Specialty Crosswalk'!$A$2:$C$106,2,FALSE),"")</f>
        <v/>
      </c>
      <c r="G7796" s="49" t="str">
        <f>IFERROR(VLOOKUP(E7796,'Condensed Specialty Crosswalk'!$A$2:$C$106,3,FALSE),"")</f>
        <v/>
      </c>
    </row>
    <row r="7797" spans="5:7" ht="15" customHeight="1">
      <c r="E7797" s="49" t="str">
        <f>IFERROR(VLOOKUP(D7797,'taxonomy map'!$A$1:$C$107,2,FALSE),"")</f>
        <v/>
      </c>
      <c r="F7797" s="49" t="str">
        <f>IFERROR(VLOOKUP(E7797,'Condensed Specialty Crosswalk'!$A$2:$C$106,2,FALSE),"")</f>
        <v/>
      </c>
      <c r="G7797" s="49" t="str">
        <f>IFERROR(VLOOKUP(E7797,'Condensed Specialty Crosswalk'!$A$2:$C$106,3,FALSE),"")</f>
        <v/>
      </c>
    </row>
    <row r="7798" spans="5:7" ht="15" customHeight="1">
      <c r="E7798" s="49" t="str">
        <f>IFERROR(VLOOKUP(D7798,'taxonomy map'!$A$1:$C$107,2,FALSE),"")</f>
        <v/>
      </c>
      <c r="F7798" s="49" t="str">
        <f>IFERROR(VLOOKUP(E7798,'Condensed Specialty Crosswalk'!$A$2:$C$106,2,FALSE),"")</f>
        <v/>
      </c>
      <c r="G7798" s="49" t="str">
        <f>IFERROR(VLOOKUP(E7798,'Condensed Specialty Crosswalk'!$A$2:$C$106,3,FALSE),"")</f>
        <v/>
      </c>
    </row>
    <row r="7799" spans="5:7" ht="15" customHeight="1">
      <c r="E7799" s="49" t="str">
        <f>IFERROR(VLOOKUP(D7799,'taxonomy map'!$A$1:$C$107,2,FALSE),"")</f>
        <v/>
      </c>
      <c r="F7799" s="49" t="str">
        <f>IFERROR(VLOOKUP(E7799,'Condensed Specialty Crosswalk'!$A$2:$C$106,2,FALSE),"")</f>
        <v/>
      </c>
      <c r="G7799" s="49" t="str">
        <f>IFERROR(VLOOKUP(E7799,'Condensed Specialty Crosswalk'!$A$2:$C$106,3,FALSE),"")</f>
        <v/>
      </c>
    </row>
    <row r="7800" spans="5:7" ht="15" customHeight="1">
      <c r="E7800" s="49" t="str">
        <f>IFERROR(VLOOKUP(D7800,'taxonomy map'!$A$1:$C$107,2,FALSE),"")</f>
        <v/>
      </c>
      <c r="F7800" s="49" t="str">
        <f>IFERROR(VLOOKUP(E7800,'Condensed Specialty Crosswalk'!$A$2:$C$106,2,FALSE),"")</f>
        <v/>
      </c>
      <c r="G7800" s="49" t="str">
        <f>IFERROR(VLOOKUP(E7800,'Condensed Specialty Crosswalk'!$A$2:$C$106,3,FALSE),"")</f>
        <v/>
      </c>
    </row>
    <row r="7801" spans="5:7" ht="15" customHeight="1">
      <c r="E7801" s="49" t="str">
        <f>IFERROR(VLOOKUP(D7801,'taxonomy map'!$A$1:$C$107,2,FALSE),"")</f>
        <v/>
      </c>
      <c r="F7801" s="49" t="str">
        <f>IFERROR(VLOOKUP(E7801,'Condensed Specialty Crosswalk'!$A$2:$C$106,2,FALSE),"")</f>
        <v/>
      </c>
      <c r="G7801" s="49" t="str">
        <f>IFERROR(VLOOKUP(E7801,'Condensed Specialty Crosswalk'!$A$2:$C$106,3,FALSE),"")</f>
        <v/>
      </c>
    </row>
    <row r="7802" spans="5:7" ht="15" customHeight="1">
      <c r="E7802" s="49" t="str">
        <f>IFERROR(VLOOKUP(D7802,'taxonomy map'!$A$1:$C$107,2,FALSE),"")</f>
        <v/>
      </c>
      <c r="F7802" s="49" t="str">
        <f>IFERROR(VLOOKUP(E7802,'Condensed Specialty Crosswalk'!$A$2:$C$106,2,FALSE),"")</f>
        <v/>
      </c>
      <c r="G7802" s="49" t="str">
        <f>IFERROR(VLOOKUP(E7802,'Condensed Specialty Crosswalk'!$A$2:$C$106,3,FALSE),"")</f>
        <v/>
      </c>
    </row>
    <row r="7803" spans="5:7" ht="15" customHeight="1">
      <c r="E7803" s="49" t="str">
        <f>IFERROR(VLOOKUP(D7803,'taxonomy map'!$A$1:$C$107,2,FALSE),"")</f>
        <v/>
      </c>
      <c r="F7803" s="49" t="str">
        <f>IFERROR(VLOOKUP(E7803,'Condensed Specialty Crosswalk'!$A$2:$C$106,2,FALSE),"")</f>
        <v/>
      </c>
      <c r="G7803" s="49" t="str">
        <f>IFERROR(VLOOKUP(E7803,'Condensed Specialty Crosswalk'!$A$2:$C$106,3,FALSE),"")</f>
        <v/>
      </c>
    </row>
    <row r="7804" spans="5:7" ht="15" customHeight="1">
      <c r="E7804" s="49" t="str">
        <f>IFERROR(VLOOKUP(D7804,'taxonomy map'!$A$1:$C$107,2,FALSE),"")</f>
        <v/>
      </c>
      <c r="F7804" s="49" t="str">
        <f>IFERROR(VLOOKUP(E7804,'Condensed Specialty Crosswalk'!$A$2:$C$106,2,FALSE),"")</f>
        <v/>
      </c>
      <c r="G7804" s="49" t="str">
        <f>IFERROR(VLOOKUP(E7804,'Condensed Specialty Crosswalk'!$A$2:$C$106,3,FALSE),"")</f>
        <v/>
      </c>
    </row>
    <row r="7805" spans="5:7" ht="15" customHeight="1">
      <c r="E7805" s="49" t="str">
        <f>IFERROR(VLOOKUP(D7805,'taxonomy map'!$A$1:$C$107,2,FALSE),"")</f>
        <v/>
      </c>
      <c r="F7805" s="49" t="str">
        <f>IFERROR(VLOOKUP(E7805,'Condensed Specialty Crosswalk'!$A$2:$C$106,2,FALSE),"")</f>
        <v/>
      </c>
      <c r="G7805" s="49" t="str">
        <f>IFERROR(VLOOKUP(E7805,'Condensed Specialty Crosswalk'!$A$2:$C$106,3,FALSE),"")</f>
        <v/>
      </c>
    </row>
    <row r="7806" spans="5:7" ht="15" customHeight="1">
      <c r="E7806" s="49" t="str">
        <f>IFERROR(VLOOKUP(D7806,'taxonomy map'!$A$1:$C$107,2,FALSE),"")</f>
        <v/>
      </c>
      <c r="F7806" s="49" t="str">
        <f>IFERROR(VLOOKUP(E7806,'Condensed Specialty Crosswalk'!$A$2:$C$106,2,FALSE),"")</f>
        <v/>
      </c>
      <c r="G7806" s="49" t="str">
        <f>IFERROR(VLOOKUP(E7806,'Condensed Specialty Crosswalk'!$A$2:$C$106,3,FALSE),"")</f>
        <v/>
      </c>
    </row>
    <row r="7807" spans="5:7" ht="15" customHeight="1">
      <c r="E7807" s="49" t="str">
        <f>IFERROR(VLOOKUP(D7807,'taxonomy map'!$A$1:$C$107,2,FALSE),"")</f>
        <v/>
      </c>
      <c r="F7807" s="49" t="str">
        <f>IFERROR(VLOOKUP(E7807,'Condensed Specialty Crosswalk'!$A$2:$C$106,2,FALSE),"")</f>
        <v/>
      </c>
      <c r="G7807" s="49" t="str">
        <f>IFERROR(VLOOKUP(E7807,'Condensed Specialty Crosswalk'!$A$2:$C$106,3,FALSE),"")</f>
        <v/>
      </c>
    </row>
    <row r="7808" spans="5:7" ht="15" customHeight="1">
      <c r="E7808" s="49" t="str">
        <f>IFERROR(VLOOKUP(D7808,'taxonomy map'!$A$1:$C$107,2,FALSE),"")</f>
        <v/>
      </c>
      <c r="F7808" s="49" t="str">
        <f>IFERROR(VLOOKUP(E7808,'Condensed Specialty Crosswalk'!$A$2:$C$106,2,FALSE),"")</f>
        <v/>
      </c>
      <c r="G7808" s="49" t="str">
        <f>IFERROR(VLOOKUP(E7808,'Condensed Specialty Crosswalk'!$A$2:$C$106,3,FALSE),"")</f>
        <v/>
      </c>
    </row>
    <row r="7809" spans="5:7" ht="15" customHeight="1">
      <c r="E7809" s="49" t="str">
        <f>IFERROR(VLOOKUP(D7809,'taxonomy map'!$A$1:$C$107,2,FALSE),"")</f>
        <v/>
      </c>
      <c r="F7809" s="49" t="str">
        <f>IFERROR(VLOOKUP(E7809,'Condensed Specialty Crosswalk'!$A$2:$C$106,2,FALSE),"")</f>
        <v/>
      </c>
      <c r="G7809" s="49" t="str">
        <f>IFERROR(VLOOKUP(E7809,'Condensed Specialty Crosswalk'!$A$2:$C$106,3,FALSE),"")</f>
        <v/>
      </c>
    </row>
    <row r="7810" spans="5:7" ht="15" customHeight="1">
      <c r="E7810" s="49" t="str">
        <f>IFERROR(VLOOKUP(D7810,'taxonomy map'!$A$1:$C$107,2,FALSE),"")</f>
        <v/>
      </c>
      <c r="F7810" s="49" t="str">
        <f>IFERROR(VLOOKUP(E7810,'Condensed Specialty Crosswalk'!$A$2:$C$106,2,FALSE),"")</f>
        <v/>
      </c>
      <c r="G7810" s="49" t="str">
        <f>IFERROR(VLOOKUP(E7810,'Condensed Specialty Crosswalk'!$A$2:$C$106,3,FALSE),"")</f>
        <v/>
      </c>
    </row>
    <row r="7811" spans="5:7" ht="15" customHeight="1">
      <c r="E7811" s="49" t="str">
        <f>IFERROR(VLOOKUP(D7811,'taxonomy map'!$A$1:$C$107,2,FALSE),"")</f>
        <v/>
      </c>
      <c r="F7811" s="49" t="str">
        <f>IFERROR(VLOOKUP(E7811,'Condensed Specialty Crosswalk'!$A$2:$C$106,2,FALSE),"")</f>
        <v/>
      </c>
      <c r="G7811" s="49" t="str">
        <f>IFERROR(VLOOKUP(E7811,'Condensed Specialty Crosswalk'!$A$2:$C$106,3,FALSE),"")</f>
        <v/>
      </c>
    </row>
    <row r="7812" spans="5:7" ht="15" customHeight="1">
      <c r="E7812" s="49" t="str">
        <f>IFERROR(VLOOKUP(D7812,'taxonomy map'!$A$1:$C$107,2,FALSE),"")</f>
        <v/>
      </c>
      <c r="F7812" s="49" t="str">
        <f>IFERROR(VLOOKUP(E7812,'Condensed Specialty Crosswalk'!$A$2:$C$106,2,FALSE),"")</f>
        <v/>
      </c>
      <c r="G7812" s="49" t="str">
        <f>IFERROR(VLOOKUP(E7812,'Condensed Specialty Crosswalk'!$A$2:$C$106,3,FALSE),"")</f>
        <v/>
      </c>
    </row>
    <row r="7813" spans="5:7" ht="15" customHeight="1">
      <c r="E7813" s="49" t="str">
        <f>IFERROR(VLOOKUP(D7813,'taxonomy map'!$A$1:$C$107,2,FALSE),"")</f>
        <v/>
      </c>
      <c r="F7813" s="49" t="str">
        <f>IFERROR(VLOOKUP(E7813,'Condensed Specialty Crosswalk'!$A$2:$C$106,2,FALSE),"")</f>
        <v/>
      </c>
      <c r="G7813" s="49" t="str">
        <f>IFERROR(VLOOKUP(E7813,'Condensed Specialty Crosswalk'!$A$2:$C$106,3,FALSE),"")</f>
        <v/>
      </c>
    </row>
    <row r="7814" spans="5:7" ht="15" customHeight="1">
      <c r="E7814" s="49" t="str">
        <f>IFERROR(VLOOKUP(D7814,'taxonomy map'!$A$1:$C$107,2,FALSE),"")</f>
        <v/>
      </c>
      <c r="F7814" s="49" t="str">
        <f>IFERROR(VLOOKUP(E7814,'Condensed Specialty Crosswalk'!$A$2:$C$106,2,FALSE),"")</f>
        <v/>
      </c>
      <c r="G7814" s="49" t="str">
        <f>IFERROR(VLOOKUP(E7814,'Condensed Specialty Crosswalk'!$A$2:$C$106,3,FALSE),"")</f>
        <v/>
      </c>
    </row>
    <row r="7815" spans="5:7" ht="15" customHeight="1">
      <c r="E7815" s="49" t="str">
        <f>IFERROR(VLOOKUP(D7815,'taxonomy map'!$A$1:$C$107,2,FALSE),"")</f>
        <v/>
      </c>
      <c r="F7815" s="49" t="str">
        <f>IFERROR(VLOOKUP(E7815,'Condensed Specialty Crosswalk'!$A$2:$C$106,2,FALSE),"")</f>
        <v/>
      </c>
      <c r="G7815" s="49" t="str">
        <f>IFERROR(VLOOKUP(E7815,'Condensed Specialty Crosswalk'!$A$2:$C$106,3,FALSE),"")</f>
        <v/>
      </c>
    </row>
    <row r="7816" spans="5:7" ht="15" customHeight="1">
      <c r="E7816" s="49" t="str">
        <f>IFERROR(VLOOKUP(D7816,'taxonomy map'!$A$1:$C$107,2,FALSE),"")</f>
        <v/>
      </c>
      <c r="F7816" s="49" t="str">
        <f>IFERROR(VLOOKUP(E7816,'Condensed Specialty Crosswalk'!$A$2:$C$106,2,FALSE),"")</f>
        <v/>
      </c>
      <c r="G7816" s="49" t="str">
        <f>IFERROR(VLOOKUP(E7816,'Condensed Specialty Crosswalk'!$A$2:$C$106,3,FALSE),"")</f>
        <v/>
      </c>
    </row>
    <row r="7817" spans="5:7" ht="15" customHeight="1">
      <c r="E7817" s="49" t="str">
        <f>IFERROR(VLOOKUP(D7817,'taxonomy map'!$A$1:$C$107,2,FALSE),"")</f>
        <v/>
      </c>
      <c r="F7817" s="49" t="str">
        <f>IFERROR(VLOOKUP(E7817,'Condensed Specialty Crosswalk'!$A$2:$C$106,2,FALSE),"")</f>
        <v/>
      </c>
      <c r="G7817" s="49" t="str">
        <f>IFERROR(VLOOKUP(E7817,'Condensed Specialty Crosswalk'!$A$2:$C$106,3,FALSE),"")</f>
        <v/>
      </c>
    </row>
    <row r="7818" spans="5:7" ht="15" customHeight="1">
      <c r="E7818" s="49" t="str">
        <f>IFERROR(VLOOKUP(D7818,'taxonomy map'!$A$1:$C$107,2,FALSE),"")</f>
        <v/>
      </c>
      <c r="F7818" s="49" t="str">
        <f>IFERROR(VLOOKUP(E7818,'Condensed Specialty Crosswalk'!$A$2:$C$106,2,FALSE),"")</f>
        <v/>
      </c>
      <c r="G7818" s="49" t="str">
        <f>IFERROR(VLOOKUP(E7818,'Condensed Specialty Crosswalk'!$A$2:$C$106,3,FALSE),"")</f>
        <v/>
      </c>
    </row>
    <row r="7819" spans="5:7" ht="15" customHeight="1">
      <c r="E7819" s="49" t="str">
        <f>IFERROR(VLOOKUP(D7819,'taxonomy map'!$A$1:$C$107,2,FALSE),"")</f>
        <v/>
      </c>
      <c r="F7819" s="49" t="str">
        <f>IFERROR(VLOOKUP(E7819,'Condensed Specialty Crosswalk'!$A$2:$C$106,2,FALSE),"")</f>
        <v/>
      </c>
      <c r="G7819" s="49" t="str">
        <f>IFERROR(VLOOKUP(E7819,'Condensed Specialty Crosswalk'!$A$2:$C$106,3,FALSE),"")</f>
        <v/>
      </c>
    </row>
    <row r="7820" spans="5:7" ht="15" customHeight="1">
      <c r="E7820" s="49" t="str">
        <f>IFERROR(VLOOKUP(D7820,'taxonomy map'!$A$1:$C$107,2,FALSE),"")</f>
        <v/>
      </c>
      <c r="F7820" s="49" t="str">
        <f>IFERROR(VLOOKUP(E7820,'Condensed Specialty Crosswalk'!$A$2:$C$106,2,FALSE),"")</f>
        <v/>
      </c>
      <c r="G7820" s="49" t="str">
        <f>IFERROR(VLOOKUP(E7820,'Condensed Specialty Crosswalk'!$A$2:$C$106,3,FALSE),"")</f>
        <v/>
      </c>
    </row>
    <row r="7821" spans="5:7" ht="15" customHeight="1">
      <c r="E7821" s="49" t="str">
        <f>IFERROR(VLOOKUP(D7821,'taxonomy map'!$A$1:$C$107,2,FALSE),"")</f>
        <v/>
      </c>
      <c r="F7821" s="49" t="str">
        <f>IFERROR(VLOOKUP(E7821,'Condensed Specialty Crosswalk'!$A$2:$C$106,2,FALSE),"")</f>
        <v/>
      </c>
      <c r="G7821" s="49" t="str">
        <f>IFERROR(VLOOKUP(E7821,'Condensed Specialty Crosswalk'!$A$2:$C$106,3,FALSE),"")</f>
        <v/>
      </c>
    </row>
    <row r="7822" spans="5:7" ht="15" customHeight="1">
      <c r="E7822" s="49" t="str">
        <f>IFERROR(VLOOKUP(D7822,'taxonomy map'!$A$1:$C$107,2,FALSE),"")</f>
        <v/>
      </c>
      <c r="F7822" s="49" t="str">
        <f>IFERROR(VLOOKUP(E7822,'Condensed Specialty Crosswalk'!$A$2:$C$106,2,FALSE),"")</f>
        <v/>
      </c>
      <c r="G7822" s="49" t="str">
        <f>IFERROR(VLOOKUP(E7822,'Condensed Specialty Crosswalk'!$A$2:$C$106,3,FALSE),"")</f>
        <v/>
      </c>
    </row>
    <row r="7823" spans="5:7" ht="15" customHeight="1">
      <c r="E7823" s="49" t="str">
        <f>IFERROR(VLOOKUP(D7823,'taxonomy map'!$A$1:$C$107,2,FALSE),"")</f>
        <v/>
      </c>
      <c r="F7823" s="49" t="str">
        <f>IFERROR(VLOOKUP(E7823,'Condensed Specialty Crosswalk'!$A$2:$C$106,2,FALSE),"")</f>
        <v/>
      </c>
      <c r="G7823" s="49" t="str">
        <f>IFERROR(VLOOKUP(E7823,'Condensed Specialty Crosswalk'!$A$2:$C$106,3,FALSE),"")</f>
        <v/>
      </c>
    </row>
    <row r="7824" spans="5:7" ht="15" customHeight="1">
      <c r="E7824" s="49" t="str">
        <f>IFERROR(VLOOKUP(D7824,'taxonomy map'!$A$1:$C$107,2,FALSE),"")</f>
        <v/>
      </c>
      <c r="F7824" s="49" t="str">
        <f>IFERROR(VLOOKUP(E7824,'Condensed Specialty Crosswalk'!$A$2:$C$106,2,FALSE),"")</f>
        <v/>
      </c>
      <c r="G7824" s="49" t="str">
        <f>IFERROR(VLOOKUP(E7824,'Condensed Specialty Crosswalk'!$A$2:$C$106,3,FALSE),"")</f>
        <v/>
      </c>
    </row>
    <row r="7825" spans="5:7" ht="15" customHeight="1">
      <c r="E7825" s="49" t="str">
        <f>IFERROR(VLOOKUP(D7825,'taxonomy map'!$A$1:$C$107,2,FALSE),"")</f>
        <v/>
      </c>
      <c r="F7825" s="49" t="str">
        <f>IFERROR(VLOOKUP(E7825,'Condensed Specialty Crosswalk'!$A$2:$C$106,2,FALSE),"")</f>
        <v/>
      </c>
      <c r="G7825" s="49" t="str">
        <f>IFERROR(VLOOKUP(E7825,'Condensed Specialty Crosswalk'!$A$2:$C$106,3,FALSE),"")</f>
        <v/>
      </c>
    </row>
    <row r="7826" spans="5:7" ht="15" customHeight="1">
      <c r="E7826" s="49" t="str">
        <f>IFERROR(VLOOKUP(D7826,'taxonomy map'!$A$1:$C$107,2,FALSE),"")</f>
        <v/>
      </c>
      <c r="F7826" s="49" t="str">
        <f>IFERROR(VLOOKUP(E7826,'Condensed Specialty Crosswalk'!$A$2:$C$106,2,FALSE),"")</f>
        <v/>
      </c>
      <c r="G7826" s="49" t="str">
        <f>IFERROR(VLOOKUP(E7826,'Condensed Specialty Crosswalk'!$A$2:$C$106,3,FALSE),"")</f>
        <v/>
      </c>
    </row>
    <row r="7827" spans="5:7" ht="15" customHeight="1">
      <c r="E7827" s="49" t="str">
        <f>IFERROR(VLOOKUP(D7827,'taxonomy map'!$A$1:$C$107,2,FALSE),"")</f>
        <v/>
      </c>
      <c r="F7827" s="49" t="str">
        <f>IFERROR(VLOOKUP(E7827,'Condensed Specialty Crosswalk'!$A$2:$C$106,2,FALSE),"")</f>
        <v/>
      </c>
      <c r="G7827" s="49" t="str">
        <f>IFERROR(VLOOKUP(E7827,'Condensed Specialty Crosswalk'!$A$2:$C$106,3,FALSE),"")</f>
        <v/>
      </c>
    </row>
    <row r="7828" spans="5:7" ht="15" customHeight="1">
      <c r="E7828" s="49" t="str">
        <f>IFERROR(VLOOKUP(D7828,'taxonomy map'!$A$1:$C$107,2,FALSE),"")</f>
        <v/>
      </c>
      <c r="F7828" s="49" t="str">
        <f>IFERROR(VLOOKUP(E7828,'Condensed Specialty Crosswalk'!$A$2:$C$106,2,FALSE),"")</f>
        <v/>
      </c>
      <c r="G7828" s="49" t="str">
        <f>IFERROR(VLOOKUP(E7828,'Condensed Specialty Crosswalk'!$A$2:$C$106,3,FALSE),"")</f>
        <v/>
      </c>
    </row>
    <row r="7829" spans="5:7" ht="15" customHeight="1">
      <c r="E7829" s="49" t="str">
        <f>IFERROR(VLOOKUP(D7829,'taxonomy map'!$A$1:$C$107,2,FALSE),"")</f>
        <v/>
      </c>
      <c r="F7829" s="49" t="str">
        <f>IFERROR(VLOOKUP(E7829,'Condensed Specialty Crosswalk'!$A$2:$C$106,2,FALSE),"")</f>
        <v/>
      </c>
      <c r="G7829" s="49" t="str">
        <f>IFERROR(VLOOKUP(E7829,'Condensed Specialty Crosswalk'!$A$2:$C$106,3,FALSE),"")</f>
        <v/>
      </c>
    </row>
    <row r="7830" spans="5:7" ht="15" customHeight="1">
      <c r="E7830" s="49" t="str">
        <f>IFERROR(VLOOKUP(D7830,'taxonomy map'!$A$1:$C$107,2,FALSE),"")</f>
        <v/>
      </c>
      <c r="F7830" s="49" t="str">
        <f>IFERROR(VLOOKUP(E7830,'Condensed Specialty Crosswalk'!$A$2:$C$106,2,FALSE),"")</f>
        <v/>
      </c>
      <c r="G7830" s="49" t="str">
        <f>IFERROR(VLOOKUP(E7830,'Condensed Specialty Crosswalk'!$A$2:$C$106,3,FALSE),"")</f>
        <v/>
      </c>
    </row>
    <row r="7831" spans="5:7" ht="15" customHeight="1">
      <c r="E7831" s="49" t="str">
        <f>IFERROR(VLOOKUP(D7831,'taxonomy map'!$A$1:$C$107,2,FALSE),"")</f>
        <v/>
      </c>
      <c r="F7831" s="49" t="str">
        <f>IFERROR(VLOOKUP(E7831,'Condensed Specialty Crosswalk'!$A$2:$C$106,2,FALSE),"")</f>
        <v/>
      </c>
      <c r="G7831" s="49" t="str">
        <f>IFERROR(VLOOKUP(E7831,'Condensed Specialty Crosswalk'!$A$2:$C$106,3,FALSE),"")</f>
        <v/>
      </c>
    </row>
    <row r="7832" spans="5:7" ht="15" customHeight="1">
      <c r="E7832" s="49" t="str">
        <f>IFERROR(VLOOKUP(D7832,'taxonomy map'!$A$1:$C$107,2,FALSE),"")</f>
        <v/>
      </c>
      <c r="F7832" s="49" t="str">
        <f>IFERROR(VLOOKUP(E7832,'Condensed Specialty Crosswalk'!$A$2:$C$106,2,FALSE),"")</f>
        <v/>
      </c>
      <c r="G7832" s="49" t="str">
        <f>IFERROR(VLOOKUP(E7832,'Condensed Specialty Crosswalk'!$A$2:$C$106,3,FALSE),"")</f>
        <v/>
      </c>
    </row>
    <row r="7833" spans="5:7" ht="15" customHeight="1">
      <c r="E7833" s="49" t="str">
        <f>IFERROR(VLOOKUP(D7833,'taxonomy map'!$A$1:$C$107,2,FALSE),"")</f>
        <v/>
      </c>
      <c r="F7833" s="49" t="str">
        <f>IFERROR(VLOOKUP(E7833,'Condensed Specialty Crosswalk'!$A$2:$C$106,2,FALSE),"")</f>
        <v/>
      </c>
      <c r="G7833" s="49" t="str">
        <f>IFERROR(VLOOKUP(E7833,'Condensed Specialty Crosswalk'!$A$2:$C$106,3,FALSE),"")</f>
        <v/>
      </c>
    </row>
    <row r="7834" spans="5:7" ht="15" customHeight="1">
      <c r="E7834" s="49" t="str">
        <f>IFERROR(VLOOKUP(D7834,'taxonomy map'!$A$1:$C$107,2,FALSE),"")</f>
        <v/>
      </c>
      <c r="F7834" s="49" t="str">
        <f>IFERROR(VLOOKUP(E7834,'Condensed Specialty Crosswalk'!$A$2:$C$106,2,FALSE),"")</f>
        <v/>
      </c>
      <c r="G7834" s="49" t="str">
        <f>IFERROR(VLOOKUP(E7834,'Condensed Specialty Crosswalk'!$A$2:$C$106,3,FALSE),"")</f>
        <v/>
      </c>
    </row>
    <row r="7835" spans="5:7" ht="15" customHeight="1">
      <c r="E7835" s="49" t="str">
        <f>IFERROR(VLOOKUP(D7835,'taxonomy map'!$A$1:$C$107,2,FALSE),"")</f>
        <v/>
      </c>
      <c r="F7835" s="49" t="str">
        <f>IFERROR(VLOOKUP(E7835,'Condensed Specialty Crosswalk'!$A$2:$C$106,2,FALSE),"")</f>
        <v/>
      </c>
      <c r="G7835" s="49" t="str">
        <f>IFERROR(VLOOKUP(E7835,'Condensed Specialty Crosswalk'!$A$2:$C$106,3,FALSE),"")</f>
        <v/>
      </c>
    </row>
    <row r="7836" spans="5:7" ht="15" customHeight="1">
      <c r="E7836" s="49" t="str">
        <f>IFERROR(VLOOKUP(D7836,'taxonomy map'!$A$1:$C$107,2,FALSE),"")</f>
        <v/>
      </c>
      <c r="F7836" s="49" t="str">
        <f>IFERROR(VLOOKUP(E7836,'Condensed Specialty Crosswalk'!$A$2:$C$106,2,FALSE),"")</f>
        <v/>
      </c>
      <c r="G7836" s="49" t="str">
        <f>IFERROR(VLOOKUP(E7836,'Condensed Specialty Crosswalk'!$A$2:$C$106,3,FALSE),"")</f>
        <v/>
      </c>
    </row>
    <row r="7837" spans="5:7" ht="15" customHeight="1">
      <c r="E7837" s="49" t="str">
        <f>IFERROR(VLOOKUP(D7837,'taxonomy map'!$A$1:$C$107,2,FALSE),"")</f>
        <v/>
      </c>
      <c r="F7837" s="49" t="str">
        <f>IFERROR(VLOOKUP(E7837,'Condensed Specialty Crosswalk'!$A$2:$C$106,2,FALSE),"")</f>
        <v/>
      </c>
      <c r="G7837" s="49" t="str">
        <f>IFERROR(VLOOKUP(E7837,'Condensed Specialty Crosswalk'!$A$2:$C$106,3,FALSE),"")</f>
        <v/>
      </c>
    </row>
    <row r="7838" spans="5:7" ht="15" customHeight="1">
      <c r="E7838" s="49" t="str">
        <f>IFERROR(VLOOKUP(D7838,'taxonomy map'!$A$1:$C$107,2,FALSE),"")</f>
        <v/>
      </c>
      <c r="F7838" s="49" t="str">
        <f>IFERROR(VLOOKUP(E7838,'Condensed Specialty Crosswalk'!$A$2:$C$106,2,FALSE),"")</f>
        <v/>
      </c>
      <c r="G7838" s="49" t="str">
        <f>IFERROR(VLOOKUP(E7838,'Condensed Specialty Crosswalk'!$A$2:$C$106,3,FALSE),"")</f>
        <v/>
      </c>
    </row>
    <row r="7839" spans="5:7" ht="15" customHeight="1">
      <c r="E7839" s="49" t="str">
        <f>IFERROR(VLOOKUP(D7839,'taxonomy map'!$A$1:$C$107,2,FALSE),"")</f>
        <v/>
      </c>
      <c r="F7839" s="49" t="str">
        <f>IFERROR(VLOOKUP(E7839,'Condensed Specialty Crosswalk'!$A$2:$C$106,2,FALSE),"")</f>
        <v/>
      </c>
      <c r="G7839" s="49" t="str">
        <f>IFERROR(VLOOKUP(E7839,'Condensed Specialty Crosswalk'!$A$2:$C$106,3,FALSE),"")</f>
        <v/>
      </c>
    </row>
    <row r="7840" spans="5:7" ht="15" customHeight="1">
      <c r="E7840" s="49" t="str">
        <f>IFERROR(VLOOKUP(D7840,'taxonomy map'!$A$1:$C$107,2,FALSE),"")</f>
        <v/>
      </c>
      <c r="F7840" s="49" t="str">
        <f>IFERROR(VLOOKUP(E7840,'Condensed Specialty Crosswalk'!$A$2:$C$106,2,FALSE),"")</f>
        <v/>
      </c>
      <c r="G7840" s="49" t="str">
        <f>IFERROR(VLOOKUP(E7840,'Condensed Specialty Crosswalk'!$A$2:$C$106,3,FALSE),"")</f>
        <v/>
      </c>
    </row>
    <row r="7841" spans="5:7" ht="15" customHeight="1">
      <c r="E7841" s="49" t="str">
        <f>IFERROR(VLOOKUP(D7841,'taxonomy map'!$A$1:$C$107,2,FALSE),"")</f>
        <v/>
      </c>
      <c r="F7841" s="49" t="str">
        <f>IFERROR(VLOOKUP(E7841,'Condensed Specialty Crosswalk'!$A$2:$C$106,2,FALSE),"")</f>
        <v/>
      </c>
      <c r="G7841" s="49" t="str">
        <f>IFERROR(VLOOKUP(E7841,'Condensed Specialty Crosswalk'!$A$2:$C$106,3,FALSE),"")</f>
        <v/>
      </c>
    </row>
    <row r="7842" spans="5:7" ht="15" customHeight="1">
      <c r="E7842" s="49" t="str">
        <f>IFERROR(VLOOKUP(D7842,'taxonomy map'!$A$1:$C$107,2,FALSE),"")</f>
        <v/>
      </c>
      <c r="F7842" s="49" t="str">
        <f>IFERROR(VLOOKUP(E7842,'Condensed Specialty Crosswalk'!$A$2:$C$106,2,FALSE),"")</f>
        <v/>
      </c>
      <c r="G7842" s="49" t="str">
        <f>IFERROR(VLOOKUP(E7842,'Condensed Specialty Crosswalk'!$A$2:$C$106,3,FALSE),"")</f>
        <v/>
      </c>
    </row>
    <row r="7843" spans="5:7" ht="15" customHeight="1">
      <c r="E7843" s="49" t="str">
        <f>IFERROR(VLOOKUP(D7843,'taxonomy map'!$A$1:$C$107,2,FALSE),"")</f>
        <v/>
      </c>
      <c r="F7843" s="49" t="str">
        <f>IFERROR(VLOOKUP(E7843,'Condensed Specialty Crosswalk'!$A$2:$C$106,2,FALSE),"")</f>
        <v/>
      </c>
      <c r="G7843" s="49" t="str">
        <f>IFERROR(VLOOKUP(E7843,'Condensed Specialty Crosswalk'!$A$2:$C$106,3,FALSE),"")</f>
        <v/>
      </c>
    </row>
    <row r="7844" spans="5:7" ht="15" customHeight="1">
      <c r="E7844" s="49" t="str">
        <f>IFERROR(VLOOKUP(D7844,'taxonomy map'!$A$1:$C$107,2,FALSE),"")</f>
        <v/>
      </c>
      <c r="F7844" s="49" t="str">
        <f>IFERROR(VLOOKUP(E7844,'Condensed Specialty Crosswalk'!$A$2:$C$106,2,FALSE),"")</f>
        <v/>
      </c>
      <c r="G7844" s="49" t="str">
        <f>IFERROR(VLOOKUP(E7844,'Condensed Specialty Crosswalk'!$A$2:$C$106,3,FALSE),"")</f>
        <v/>
      </c>
    </row>
    <row r="7845" spans="5:7" ht="15" customHeight="1">
      <c r="E7845" s="49" t="str">
        <f>IFERROR(VLOOKUP(D7845,'taxonomy map'!$A$1:$C$107,2,FALSE),"")</f>
        <v/>
      </c>
      <c r="F7845" s="49" t="str">
        <f>IFERROR(VLOOKUP(E7845,'Condensed Specialty Crosswalk'!$A$2:$C$106,2,FALSE),"")</f>
        <v/>
      </c>
      <c r="G7845" s="49" t="str">
        <f>IFERROR(VLOOKUP(E7845,'Condensed Specialty Crosswalk'!$A$2:$C$106,3,FALSE),"")</f>
        <v/>
      </c>
    </row>
    <row r="7846" spans="5:7" ht="15" customHeight="1">
      <c r="E7846" s="49" t="str">
        <f>IFERROR(VLOOKUP(D7846,'taxonomy map'!$A$1:$C$107,2,FALSE),"")</f>
        <v/>
      </c>
      <c r="F7846" s="49" t="str">
        <f>IFERROR(VLOOKUP(E7846,'Condensed Specialty Crosswalk'!$A$2:$C$106,2,FALSE),"")</f>
        <v/>
      </c>
      <c r="G7846" s="49" t="str">
        <f>IFERROR(VLOOKUP(E7846,'Condensed Specialty Crosswalk'!$A$2:$C$106,3,FALSE),"")</f>
        <v/>
      </c>
    </row>
    <row r="7847" spans="5:7" ht="15" customHeight="1">
      <c r="E7847" s="49" t="str">
        <f>IFERROR(VLOOKUP(D7847,'taxonomy map'!$A$1:$C$107,2,FALSE),"")</f>
        <v/>
      </c>
      <c r="F7847" s="49" t="str">
        <f>IFERROR(VLOOKUP(E7847,'Condensed Specialty Crosswalk'!$A$2:$C$106,2,FALSE),"")</f>
        <v/>
      </c>
      <c r="G7847" s="49" t="str">
        <f>IFERROR(VLOOKUP(E7847,'Condensed Specialty Crosswalk'!$A$2:$C$106,3,FALSE),"")</f>
        <v/>
      </c>
    </row>
    <row r="7848" spans="5:7" ht="15" customHeight="1">
      <c r="E7848" s="49" t="str">
        <f>IFERROR(VLOOKUP(D7848,'taxonomy map'!$A$1:$C$107,2,FALSE),"")</f>
        <v/>
      </c>
      <c r="F7848" s="49" t="str">
        <f>IFERROR(VLOOKUP(E7848,'Condensed Specialty Crosswalk'!$A$2:$C$106,2,FALSE),"")</f>
        <v/>
      </c>
      <c r="G7848" s="49" t="str">
        <f>IFERROR(VLOOKUP(E7848,'Condensed Specialty Crosswalk'!$A$2:$C$106,3,FALSE),"")</f>
        <v/>
      </c>
    </row>
    <row r="7849" spans="5:7" ht="15" customHeight="1">
      <c r="E7849" s="49" t="str">
        <f>IFERROR(VLOOKUP(D7849,'taxonomy map'!$A$1:$C$107,2,FALSE),"")</f>
        <v/>
      </c>
      <c r="F7849" s="49" t="str">
        <f>IFERROR(VLOOKUP(E7849,'Condensed Specialty Crosswalk'!$A$2:$C$106,2,FALSE),"")</f>
        <v/>
      </c>
      <c r="G7849" s="49" t="str">
        <f>IFERROR(VLOOKUP(E7849,'Condensed Specialty Crosswalk'!$A$2:$C$106,3,FALSE),"")</f>
        <v/>
      </c>
    </row>
    <row r="7850" spans="5:7" ht="15" customHeight="1">
      <c r="E7850" s="49" t="str">
        <f>IFERROR(VLOOKUP(D7850,'taxonomy map'!$A$1:$C$107,2,FALSE),"")</f>
        <v/>
      </c>
      <c r="F7850" s="49" t="str">
        <f>IFERROR(VLOOKUP(E7850,'Condensed Specialty Crosswalk'!$A$2:$C$106,2,FALSE),"")</f>
        <v/>
      </c>
      <c r="G7850" s="49" t="str">
        <f>IFERROR(VLOOKUP(E7850,'Condensed Specialty Crosswalk'!$A$2:$C$106,3,FALSE),"")</f>
        <v/>
      </c>
    </row>
    <row r="7851" spans="5:7" ht="15" customHeight="1">
      <c r="E7851" s="49" t="str">
        <f>IFERROR(VLOOKUP(D7851,'taxonomy map'!$A$1:$C$107,2,FALSE),"")</f>
        <v/>
      </c>
      <c r="F7851" s="49" t="str">
        <f>IFERROR(VLOOKUP(E7851,'Condensed Specialty Crosswalk'!$A$2:$C$106,2,FALSE),"")</f>
        <v/>
      </c>
      <c r="G7851" s="49" t="str">
        <f>IFERROR(VLOOKUP(E7851,'Condensed Specialty Crosswalk'!$A$2:$C$106,3,FALSE),"")</f>
        <v/>
      </c>
    </row>
    <row r="7852" spans="5:7" ht="15" customHeight="1">
      <c r="E7852" s="49" t="str">
        <f>IFERROR(VLOOKUP(D7852,'taxonomy map'!$A$1:$C$107,2,FALSE),"")</f>
        <v/>
      </c>
      <c r="F7852" s="49" t="str">
        <f>IFERROR(VLOOKUP(E7852,'Condensed Specialty Crosswalk'!$A$2:$C$106,2,FALSE),"")</f>
        <v/>
      </c>
      <c r="G7852" s="49" t="str">
        <f>IFERROR(VLOOKUP(E7852,'Condensed Specialty Crosswalk'!$A$2:$C$106,3,FALSE),"")</f>
        <v/>
      </c>
    </row>
    <row r="7853" spans="5:7" ht="15" customHeight="1">
      <c r="E7853" s="49" t="str">
        <f>IFERROR(VLOOKUP(D7853,'taxonomy map'!$A$1:$C$107,2,FALSE),"")</f>
        <v/>
      </c>
      <c r="F7853" s="49" t="str">
        <f>IFERROR(VLOOKUP(E7853,'Condensed Specialty Crosswalk'!$A$2:$C$106,2,FALSE),"")</f>
        <v/>
      </c>
      <c r="G7853" s="49" t="str">
        <f>IFERROR(VLOOKUP(E7853,'Condensed Specialty Crosswalk'!$A$2:$C$106,3,FALSE),"")</f>
        <v/>
      </c>
    </row>
    <row r="7854" spans="5:7" ht="15" customHeight="1">
      <c r="E7854" s="49" t="str">
        <f>IFERROR(VLOOKUP(D7854,'taxonomy map'!$A$1:$C$107,2,FALSE),"")</f>
        <v/>
      </c>
      <c r="F7854" s="49" t="str">
        <f>IFERROR(VLOOKUP(E7854,'Condensed Specialty Crosswalk'!$A$2:$C$106,2,FALSE),"")</f>
        <v/>
      </c>
      <c r="G7854" s="49" t="str">
        <f>IFERROR(VLOOKUP(E7854,'Condensed Specialty Crosswalk'!$A$2:$C$106,3,FALSE),"")</f>
        <v/>
      </c>
    </row>
    <row r="7855" spans="5:7" ht="15" customHeight="1">
      <c r="E7855" s="49" t="str">
        <f>IFERROR(VLOOKUP(D7855,'taxonomy map'!$A$1:$C$107,2,FALSE),"")</f>
        <v/>
      </c>
      <c r="F7855" s="49" t="str">
        <f>IFERROR(VLOOKUP(E7855,'Condensed Specialty Crosswalk'!$A$2:$C$106,2,FALSE),"")</f>
        <v/>
      </c>
      <c r="G7855" s="49" t="str">
        <f>IFERROR(VLOOKUP(E7855,'Condensed Specialty Crosswalk'!$A$2:$C$106,3,FALSE),"")</f>
        <v/>
      </c>
    </row>
    <row r="7856" spans="5:7" ht="15" customHeight="1">
      <c r="E7856" s="49" t="str">
        <f>IFERROR(VLOOKUP(D7856,'taxonomy map'!$A$1:$C$107,2,FALSE),"")</f>
        <v/>
      </c>
      <c r="F7856" s="49" t="str">
        <f>IFERROR(VLOOKUP(E7856,'Condensed Specialty Crosswalk'!$A$2:$C$106,2,FALSE),"")</f>
        <v/>
      </c>
      <c r="G7856" s="49" t="str">
        <f>IFERROR(VLOOKUP(E7856,'Condensed Specialty Crosswalk'!$A$2:$C$106,3,FALSE),"")</f>
        <v/>
      </c>
    </row>
    <row r="7857" spans="5:7" ht="15" customHeight="1">
      <c r="E7857" s="49" t="str">
        <f>IFERROR(VLOOKUP(D7857,'taxonomy map'!$A$1:$C$107,2,FALSE),"")</f>
        <v/>
      </c>
      <c r="F7857" s="49" t="str">
        <f>IFERROR(VLOOKUP(E7857,'Condensed Specialty Crosswalk'!$A$2:$C$106,2,FALSE),"")</f>
        <v/>
      </c>
      <c r="G7857" s="49" t="str">
        <f>IFERROR(VLOOKUP(E7857,'Condensed Specialty Crosswalk'!$A$2:$C$106,3,FALSE),"")</f>
        <v/>
      </c>
    </row>
    <row r="7858" spans="5:7" ht="15" customHeight="1">
      <c r="E7858" s="49" t="str">
        <f>IFERROR(VLOOKUP(D7858,'taxonomy map'!$A$1:$C$107,2,FALSE),"")</f>
        <v/>
      </c>
      <c r="F7858" s="49" t="str">
        <f>IFERROR(VLOOKUP(E7858,'Condensed Specialty Crosswalk'!$A$2:$C$106,2,FALSE),"")</f>
        <v/>
      </c>
      <c r="G7858" s="49" t="str">
        <f>IFERROR(VLOOKUP(E7858,'Condensed Specialty Crosswalk'!$A$2:$C$106,3,FALSE),"")</f>
        <v/>
      </c>
    </row>
    <row r="7859" spans="5:7" ht="15" customHeight="1">
      <c r="E7859" s="49" t="str">
        <f>IFERROR(VLOOKUP(D7859,'taxonomy map'!$A$1:$C$107,2,FALSE),"")</f>
        <v/>
      </c>
      <c r="F7859" s="49" t="str">
        <f>IFERROR(VLOOKUP(E7859,'Condensed Specialty Crosswalk'!$A$2:$C$106,2,FALSE),"")</f>
        <v/>
      </c>
      <c r="G7859" s="49" t="str">
        <f>IFERROR(VLOOKUP(E7859,'Condensed Specialty Crosswalk'!$A$2:$C$106,3,FALSE),"")</f>
        <v/>
      </c>
    </row>
    <row r="7860" spans="5:7" ht="15" customHeight="1">
      <c r="E7860" s="49" t="str">
        <f>IFERROR(VLOOKUP(D7860,'taxonomy map'!$A$1:$C$107,2,FALSE),"")</f>
        <v/>
      </c>
      <c r="F7860" s="49" t="str">
        <f>IFERROR(VLOOKUP(E7860,'Condensed Specialty Crosswalk'!$A$2:$C$106,2,FALSE),"")</f>
        <v/>
      </c>
      <c r="G7860" s="49" t="str">
        <f>IFERROR(VLOOKUP(E7860,'Condensed Specialty Crosswalk'!$A$2:$C$106,3,FALSE),"")</f>
        <v/>
      </c>
    </row>
    <row r="7861" spans="5:7" ht="15" customHeight="1">
      <c r="E7861" s="49" t="str">
        <f>IFERROR(VLOOKUP(D7861,'taxonomy map'!$A$1:$C$107,2,FALSE),"")</f>
        <v/>
      </c>
      <c r="F7861" s="49" t="str">
        <f>IFERROR(VLOOKUP(E7861,'Condensed Specialty Crosswalk'!$A$2:$C$106,2,FALSE),"")</f>
        <v/>
      </c>
      <c r="G7861" s="49" t="str">
        <f>IFERROR(VLOOKUP(E7861,'Condensed Specialty Crosswalk'!$A$2:$C$106,3,FALSE),"")</f>
        <v/>
      </c>
    </row>
    <row r="7862" spans="5:7" ht="15" customHeight="1">
      <c r="E7862" s="49" t="str">
        <f>IFERROR(VLOOKUP(D7862,'taxonomy map'!$A$1:$C$107,2,FALSE),"")</f>
        <v/>
      </c>
      <c r="F7862" s="49" t="str">
        <f>IFERROR(VLOOKUP(E7862,'Condensed Specialty Crosswalk'!$A$2:$C$106,2,FALSE),"")</f>
        <v/>
      </c>
      <c r="G7862" s="49" t="str">
        <f>IFERROR(VLOOKUP(E7862,'Condensed Specialty Crosswalk'!$A$2:$C$106,3,FALSE),"")</f>
        <v/>
      </c>
    </row>
    <row r="7863" spans="5:7" ht="15" customHeight="1">
      <c r="E7863" s="49" t="str">
        <f>IFERROR(VLOOKUP(D7863,'taxonomy map'!$A$1:$C$107,2,FALSE),"")</f>
        <v/>
      </c>
      <c r="F7863" s="49" t="str">
        <f>IFERROR(VLOOKUP(E7863,'Condensed Specialty Crosswalk'!$A$2:$C$106,2,FALSE),"")</f>
        <v/>
      </c>
      <c r="G7863" s="49" t="str">
        <f>IFERROR(VLOOKUP(E7863,'Condensed Specialty Crosswalk'!$A$2:$C$106,3,FALSE),"")</f>
        <v/>
      </c>
    </row>
    <row r="7864" spans="5:7" ht="15" customHeight="1">
      <c r="E7864" s="49" t="str">
        <f>IFERROR(VLOOKUP(D7864,'taxonomy map'!$A$1:$C$107,2,FALSE),"")</f>
        <v/>
      </c>
      <c r="F7864" s="49" t="str">
        <f>IFERROR(VLOOKUP(E7864,'Condensed Specialty Crosswalk'!$A$2:$C$106,2,FALSE),"")</f>
        <v/>
      </c>
      <c r="G7864" s="49" t="str">
        <f>IFERROR(VLOOKUP(E7864,'Condensed Specialty Crosswalk'!$A$2:$C$106,3,FALSE),"")</f>
        <v/>
      </c>
    </row>
    <row r="7865" spans="5:7" ht="15" customHeight="1">
      <c r="E7865" s="49" t="str">
        <f>IFERROR(VLOOKUP(D7865,'taxonomy map'!$A$1:$C$107,2,FALSE),"")</f>
        <v/>
      </c>
      <c r="F7865" s="49" t="str">
        <f>IFERROR(VLOOKUP(E7865,'Condensed Specialty Crosswalk'!$A$2:$C$106,2,FALSE),"")</f>
        <v/>
      </c>
      <c r="G7865" s="49" t="str">
        <f>IFERROR(VLOOKUP(E7865,'Condensed Specialty Crosswalk'!$A$2:$C$106,3,FALSE),"")</f>
        <v/>
      </c>
    </row>
    <row r="7866" spans="5:7" ht="15" customHeight="1">
      <c r="E7866" s="49" t="str">
        <f>IFERROR(VLOOKUP(D7866,'taxonomy map'!$A$1:$C$107,2,FALSE),"")</f>
        <v/>
      </c>
      <c r="F7866" s="49" t="str">
        <f>IFERROR(VLOOKUP(E7866,'Condensed Specialty Crosswalk'!$A$2:$C$106,2,FALSE),"")</f>
        <v/>
      </c>
      <c r="G7866" s="49" t="str">
        <f>IFERROR(VLOOKUP(E7866,'Condensed Specialty Crosswalk'!$A$2:$C$106,3,FALSE),"")</f>
        <v/>
      </c>
    </row>
    <row r="7867" spans="5:7" ht="15" customHeight="1">
      <c r="E7867" s="49" t="str">
        <f>IFERROR(VLOOKUP(D7867,'taxonomy map'!$A$1:$C$107,2,FALSE),"")</f>
        <v/>
      </c>
      <c r="F7867" s="49" t="str">
        <f>IFERROR(VLOOKUP(E7867,'Condensed Specialty Crosswalk'!$A$2:$C$106,2,FALSE),"")</f>
        <v/>
      </c>
      <c r="G7867" s="49" t="str">
        <f>IFERROR(VLOOKUP(E7867,'Condensed Specialty Crosswalk'!$A$2:$C$106,3,FALSE),"")</f>
        <v/>
      </c>
    </row>
    <row r="7868" spans="5:7" ht="15" customHeight="1">
      <c r="E7868" s="49" t="str">
        <f>IFERROR(VLOOKUP(D7868,'taxonomy map'!$A$1:$C$107,2,FALSE),"")</f>
        <v/>
      </c>
      <c r="F7868" s="49" t="str">
        <f>IFERROR(VLOOKUP(E7868,'Condensed Specialty Crosswalk'!$A$2:$C$106,2,FALSE),"")</f>
        <v/>
      </c>
      <c r="G7868" s="49" t="str">
        <f>IFERROR(VLOOKUP(E7868,'Condensed Specialty Crosswalk'!$A$2:$C$106,3,FALSE),"")</f>
        <v/>
      </c>
    </row>
    <row r="7869" spans="5:7" ht="15" customHeight="1">
      <c r="E7869" s="49" t="str">
        <f>IFERROR(VLOOKUP(D7869,'taxonomy map'!$A$1:$C$107,2,FALSE),"")</f>
        <v/>
      </c>
      <c r="F7869" s="49" t="str">
        <f>IFERROR(VLOOKUP(E7869,'Condensed Specialty Crosswalk'!$A$2:$C$106,2,FALSE),"")</f>
        <v/>
      </c>
      <c r="G7869" s="49" t="str">
        <f>IFERROR(VLOOKUP(E7869,'Condensed Specialty Crosswalk'!$A$2:$C$106,3,FALSE),"")</f>
        <v/>
      </c>
    </row>
    <row r="7870" spans="5:7" ht="15" customHeight="1">
      <c r="E7870" s="49" t="str">
        <f>IFERROR(VLOOKUP(D7870,'taxonomy map'!$A$1:$C$107,2,FALSE),"")</f>
        <v/>
      </c>
      <c r="F7870" s="49" t="str">
        <f>IFERROR(VLOOKUP(E7870,'Condensed Specialty Crosswalk'!$A$2:$C$106,2,FALSE),"")</f>
        <v/>
      </c>
      <c r="G7870" s="49" t="str">
        <f>IFERROR(VLOOKUP(E7870,'Condensed Specialty Crosswalk'!$A$2:$C$106,3,FALSE),"")</f>
        <v/>
      </c>
    </row>
    <row r="7871" spans="5:7" ht="15" customHeight="1">
      <c r="E7871" s="49" t="str">
        <f>IFERROR(VLOOKUP(D7871,'taxonomy map'!$A$1:$C$107,2,FALSE),"")</f>
        <v/>
      </c>
      <c r="F7871" s="49" t="str">
        <f>IFERROR(VLOOKUP(E7871,'Condensed Specialty Crosswalk'!$A$2:$C$106,2,FALSE),"")</f>
        <v/>
      </c>
      <c r="G7871" s="49" t="str">
        <f>IFERROR(VLOOKUP(E7871,'Condensed Specialty Crosswalk'!$A$2:$C$106,3,FALSE),"")</f>
        <v/>
      </c>
    </row>
    <row r="7872" spans="5:7" ht="15" customHeight="1">
      <c r="E7872" s="49" t="str">
        <f>IFERROR(VLOOKUP(D7872,'taxonomy map'!$A$1:$C$107,2,FALSE),"")</f>
        <v/>
      </c>
      <c r="F7872" s="49" t="str">
        <f>IFERROR(VLOOKUP(E7872,'Condensed Specialty Crosswalk'!$A$2:$C$106,2,FALSE),"")</f>
        <v/>
      </c>
      <c r="G7872" s="49" t="str">
        <f>IFERROR(VLOOKUP(E7872,'Condensed Specialty Crosswalk'!$A$2:$C$106,3,FALSE),"")</f>
        <v/>
      </c>
    </row>
    <row r="7873" spans="5:7" ht="15" customHeight="1">
      <c r="E7873" s="49" t="str">
        <f>IFERROR(VLOOKUP(D7873,'taxonomy map'!$A$1:$C$107,2,FALSE),"")</f>
        <v/>
      </c>
      <c r="F7873" s="49" t="str">
        <f>IFERROR(VLOOKUP(E7873,'Condensed Specialty Crosswalk'!$A$2:$C$106,2,FALSE),"")</f>
        <v/>
      </c>
      <c r="G7873" s="49" t="str">
        <f>IFERROR(VLOOKUP(E7873,'Condensed Specialty Crosswalk'!$A$2:$C$106,3,FALSE),"")</f>
        <v/>
      </c>
    </row>
    <row r="7874" spans="5:7" ht="15" customHeight="1">
      <c r="E7874" s="49" t="str">
        <f>IFERROR(VLOOKUP(D7874,'taxonomy map'!$A$1:$C$107,2,FALSE),"")</f>
        <v/>
      </c>
      <c r="F7874" s="49" t="str">
        <f>IFERROR(VLOOKUP(E7874,'Condensed Specialty Crosswalk'!$A$2:$C$106,2,FALSE),"")</f>
        <v/>
      </c>
      <c r="G7874" s="49" t="str">
        <f>IFERROR(VLOOKUP(E7874,'Condensed Specialty Crosswalk'!$A$2:$C$106,3,FALSE),"")</f>
        <v/>
      </c>
    </row>
    <row r="7875" spans="5:7" ht="15" customHeight="1">
      <c r="E7875" s="49" t="str">
        <f>IFERROR(VLOOKUP(D7875,'taxonomy map'!$A$1:$C$107,2,FALSE),"")</f>
        <v/>
      </c>
      <c r="F7875" s="49" t="str">
        <f>IFERROR(VLOOKUP(E7875,'Condensed Specialty Crosswalk'!$A$2:$C$106,2,FALSE),"")</f>
        <v/>
      </c>
      <c r="G7875" s="49" t="str">
        <f>IFERROR(VLOOKUP(E7875,'Condensed Specialty Crosswalk'!$A$2:$C$106,3,FALSE),"")</f>
        <v/>
      </c>
    </row>
    <row r="7876" spans="5:7" ht="15" customHeight="1">
      <c r="E7876" s="49" t="str">
        <f>IFERROR(VLOOKUP(D7876,'taxonomy map'!$A$1:$C$107,2,FALSE),"")</f>
        <v/>
      </c>
      <c r="F7876" s="49" t="str">
        <f>IFERROR(VLOOKUP(E7876,'Condensed Specialty Crosswalk'!$A$2:$C$106,2,FALSE),"")</f>
        <v/>
      </c>
      <c r="G7876" s="49" t="str">
        <f>IFERROR(VLOOKUP(E7876,'Condensed Specialty Crosswalk'!$A$2:$C$106,3,FALSE),"")</f>
        <v/>
      </c>
    </row>
    <row r="7877" spans="5:7" ht="15" customHeight="1">
      <c r="E7877" s="49" t="str">
        <f>IFERROR(VLOOKUP(D7877,'taxonomy map'!$A$1:$C$107,2,FALSE),"")</f>
        <v/>
      </c>
      <c r="F7877" s="49" t="str">
        <f>IFERROR(VLOOKUP(E7877,'Condensed Specialty Crosswalk'!$A$2:$C$106,2,FALSE),"")</f>
        <v/>
      </c>
      <c r="G7877" s="49" t="str">
        <f>IFERROR(VLOOKUP(E7877,'Condensed Specialty Crosswalk'!$A$2:$C$106,3,FALSE),"")</f>
        <v/>
      </c>
    </row>
    <row r="7878" spans="5:7" ht="15" customHeight="1">
      <c r="E7878" s="49" t="str">
        <f>IFERROR(VLOOKUP(D7878,'taxonomy map'!$A$1:$C$107,2,FALSE),"")</f>
        <v/>
      </c>
      <c r="F7878" s="49" t="str">
        <f>IFERROR(VLOOKUP(E7878,'Condensed Specialty Crosswalk'!$A$2:$C$106,2,FALSE),"")</f>
        <v/>
      </c>
      <c r="G7878" s="49" t="str">
        <f>IFERROR(VLOOKUP(E7878,'Condensed Specialty Crosswalk'!$A$2:$C$106,3,FALSE),"")</f>
        <v/>
      </c>
    </row>
    <row r="7879" spans="5:7" ht="15" customHeight="1">
      <c r="E7879" s="49" t="str">
        <f>IFERROR(VLOOKUP(D7879,'taxonomy map'!$A$1:$C$107,2,FALSE),"")</f>
        <v/>
      </c>
      <c r="F7879" s="49" t="str">
        <f>IFERROR(VLOOKUP(E7879,'Condensed Specialty Crosswalk'!$A$2:$C$106,2,FALSE),"")</f>
        <v/>
      </c>
      <c r="G7879" s="49" t="str">
        <f>IFERROR(VLOOKUP(E7879,'Condensed Specialty Crosswalk'!$A$2:$C$106,3,FALSE),"")</f>
        <v/>
      </c>
    </row>
    <row r="7880" spans="5:7" ht="15" customHeight="1">
      <c r="E7880" s="49" t="str">
        <f>IFERROR(VLOOKUP(D7880,'taxonomy map'!$A$1:$C$107,2,FALSE),"")</f>
        <v/>
      </c>
      <c r="F7880" s="49" t="str">
        <f>IFERROR(VLOOKUP(E7880,'Condensed Specialty Crosswalk'!$A$2:$C$106,2,FALSE),"")</f>
        <v/>
      </c>
      <c r="G7880" s="49" t="str">
        <f>IFERROR(VLOOKUP(E7880,'Condensed Specialty Crosswalk'!$A$2:$C$106,3,FALSE),"")</f>
        <v/>
      </c>
    </row>
    <row r="7881" spans="5:7" ht="15" customHeight="1">
      <c r="E7881" s="49" t="str">
        <f>IFERROR(VLOOKUP(D7881,'taxonomy map'!$A$1:$C$107,2,FALSE),"")</f>
        <v/>
      </c>
      <c r="F7881" s="49" t="str">
        <f>IFERROR(VLOOKUP(E7881,'Condensed Specialty Crosswalk'!$A$2:$C$106,2,FALSE),"")</f>
        <v/>
      </c>
      <c r="G7881" s="49" t="str">
        <f>IFERROR(VLOOKUP(E7881,'Condensed Specialty Crosswalk'!$A$2:$C$106,3,FALSE),"")</f>
        <v/>
      </c>
    </row>
    <row r="7882" spans="5:7" ht="15" customHeight="1">
      <c r="E7882" s="49" t="str">
        <f>IFERROR(VLOOKUP(D7882,'taxonomy map'!$A$1:$C$107,2,FALSE),"")</f>
        <v/>
      </c>
      <c r="F7882" s="49" t="str">
        <f>IFERROR(VLOOKUP(E7882,'Condensed Specialty Crosswalk'!$A$2:$C$106,2,FALSE),"")</f>
        <v/>
      </c>
      <c r="G7882" s="49" t="str">
        <f>IFERROR(VLOOKUP(E7882,'Condensed Specialty Crosswalk'!$A$2:$C$106,3,FALSE),"")</f>
        <v/>
      </c>
    </row>
    <row r="7883" spans="5:7" ht="15" customHeight="1">
      <c r="E7883" s="49" t="str">
        <f>IFERROR(VLOOKUP(D7883,'taxonomy map'!$A$1:$C$107,2,FALSE),"")</f>
        <v/>
      </c>
      <c r="F7883" s="49" t="str">
        <f>IFERROR(VLOOKUP(E7883,'Condensed Specialty Crosswalk'!$A$2:$C$106,2,FALSE),"")</f>
        <v/>
      </c>
      <c r="G7883" s="49" t="str">
        <f>IFERROR(VLOOKUP(E7883,'Condensed Specialty Crosswalk'!$A$2:$C$106,3,FALSE),"")</f>
        <v/>
      </c>
    </row>
    <row r="7884" spans="5:7" ht="15" customHeight="1">
      <c r="E7884" s="49" t="str">
        <f>IFERROR(VLOOKUP(D7884,'taxonomy map'!$A$1:$C$107,2,FALSE),"")</f>
        <v/>
      </c>
      <c r="F7884" s="49" t="str">
        <f>IFERROR(VLOOKUP(E7884,'Condensed Specialty Crosswalk'!$A$2:$C$106,2,FALSE),"")</f>
        <v/>
      </c>
      <c r="G7884" s="49" t="str">
        <f>IFERROR(VLOOKUP(E7884,'Condensed Specialty Crosswalk'!$A$2:$C$106,3,FALSE),"")</f>
        <v/>
      </c>
    </row>
    <row r="7885" spans="5:7" ht="15" customHeight="1">
      <c r="E7885" s="49" t="str">
        <f>IFERROR(VLOOKUP(D7885,'taxonomy map'!$A$1:$C$107,2,FALSE),"")</f>
        <v/>
      </c>
      <c r="F7885" s="49" t="str">
        <f>IFERROR(VLOOKUP(E7885,'Condensed Specialty Crosswalk'!$A$2:$C$106,2,FALSE),"")</f>
        <v/>
      </c>
      <c r="G7885" s="49" t="str">
        <f>IFERROR(VLOOKUP(E7885,'Condensed Specialty Crosswalk'!$A$2:$C$106,3,FALSE),"")</f>
        <v/>
      </c>
    </row>
    <row r="7886" spans="5:7" ht="15" customHeight="1">
      <c r="E7886" s="49" t="str">
        <f>IFERROR(VLOOKUP(D7886,'taxonomy map'!$A$1:$C$107,2,FALSE),"")</f>
        <v/>
      </c>
      <c r="F7886" s="49" t="str">
        <f>IFERROR(VLOOKUP(E7886,'Condensed Specialty Crosswalk'!$A$2:$C$106,2,FALSE),"")</f>
        <v/>
      </c>
      <c r="G7886" s="49" t="str">
        <f>IFERROR(VLOOKUP(E7886,'Condensed Specialty Crosswalk'!$A$2:$C$106,3,FALSE),"")</f>
        <v/>
      </c>
    </row>
    <row r="7887" spans="5:7" ht="15" customHeight="1">
      <c r="E7887" s="49" t="str">
        <f>IFERROR(VLOOKUP(D7887,'taxonomy map'!$A$1:$C$107,2,FALSE),"")</f>
        <v/>
      </c>
      <c r="F7887" s="49" t="str">
        <f>IFERROR(VLOOKUP(E7887,'Condensed Specialty Crosswalk'!$A$2:$C$106,2,FALSE),"")</f>
        <v/>
      </c>
      <c r="G7887" s="49" t="str">
        <f>IFERROR(VLOOKUP(E7887,'Condensed Specialty Crosswalk'!$A$2:$C$106,3,FALSE),"")</f>
        <v/>
      </c>
    </row>
    <row r="7888" spans="5:7" ht="15" customHeight="1">
      <c r="E7888" s="49" t="str">
        <f>IFERROR(VLOOKUP(D7888,'taxonomy map'!$A$1:$C$107,2,FALSE),"")</f>
        <v/>
      </c>
      <c r="F7888" s="49" t="str">
        <f>IFERROR(VLOOKUP(E7888,'Condensed Specialty Crosswalk'!$A$2:$C$106,2,FALSE),"")</f>
        <v/>
      </c>
      <c r="G7888" s="49" t="str">
        <f>IFERROR(VLOOKUP(E7888,'Condensed Specialty Crosswalk'!$A$2:$C$106,3,FALSE),"")</f>
        <v/>
      </c>
    </row>
    <row r="7889" spans="5:7" ht="15" customHeight="1">
      <c r="E7889" s="49" t="str">
        <f>IFERROR(VLOOKUP(D7889,'taxonomy map'!$A$1:$C$107,2,FALSE),"")</f>
        <v/>
      </c>
      <c r="F7889" s="49" t="str">
        <f>IFERROR(VLOOKUP(E7889,'Condensed Specialty Crosswalk'!$A$2:$C$106,2,FALSE),"")</f>
        <v/>
      </c>
      <c r="G7889" s="49" t="str">
        <f>IFERROR(VLOOKUP(E7889,'Condensed Specialty Crosswalk'!$A$2:$C$106,3,FALSE),"")</f>
        <v/>
      </c>
    </row>
    <row r="7890" spans="5:7" ht="15" customHeight="1">
      <c r="E7890" s="49" t="str">
        <f>IFERROR(VLOOKUP(D7890,'taxonomy map'!$A$1:$C$107,2,FALSE),"")</f>
        <v/>
      </c>
      <c r="F7890" s="49" t="str">
        <f>IFERROR(VLOOKUP(E7890,'Condensed Specialty Crosswalk'!$A$2:$C$106,2,FALSE),"")</f>
        <v/>
      </c>
      <c r="G7890" s="49" t="str">
        <f>IFERROR(VLOOKUP(E7890,'Condensed Specialty Crosswalk'!$A$2:$C$106,3,FALSE),"")</f>
        <v/>
      </c>
    </row>
    <row r="7891" spans="5:7" ht="15" customHeight="1">
      <c r="E7891" s="49" t="str">
        <f>IFERROR(VLOOKUP(D7891,'taxonomy map'!$A$1:$C$107,2,FALSE),"")</f>
        <v/>
      </c>
      <c r="F7891" s="49" t="str">
        <f>IFERROR(VLOOKUP(E7891,'Condensed Specialty Crosswalk'!$A$2:$C$106,2,FALSE),"")</f>
        <v/>
      </c>
      <c r="G7891" s="49" t="str">
        <f>IFERROR(VLOOKUP(E7891,'Condensed Specialty Crosswalk'!$A$2:$C$106,3,FALSE),"")</f>
        <v/>
      </c>
    </row>
    <row r="7892" spans="5:7" ht="15" customHeight="1">
      <c r="E7892" s="49" t="str">
        <f>IFERROR(VLOOKUP(D7892,'taxonomy map'!$A$1:$C$107,2,FALSE),"")</f>
        <v/>
      </c>
      <c r="F7892" s="49" t="str">
        <f>IFERROR(VLOOKUP(E7892,'Condensed Specialty Crosswalk'!$A$2:$C$106,2,FALSE),"")</f>
        <v/>
      </c>
      <c r="G7892" s="49" t="str">
        <f>IFERROR(VLOOKUP(E7892,'Condensed Specialty Crosswalk'!$A$2:$C$106,3,FALSE),"")</f>
        <v/>
      </c>
    </row>
    <row r="7893" spans="5:7" ht="15" customHeight="1">
      <c r="E7893" s="49" t="str">
        <f>IFERROR(VLOOKUP(D7893,'taxonomy map'!$A$1:$C$107,2,FALSE),"")</f>
        <v/>
      </c>
      <c r="F7893" s="49" t="str">
        <f>IFERROR(VLOOKUP(E7893,'Condensed Specialty Crosswalk'!$A$2:$C$106,2,FALSE),"")</f>
        <v/>
      </c>
      <c r="G7893" s="49" t="str">
        <f>IFERROR(VLOOKUP(E7893,'Condensed Specialty Crosswalk'!$A$2:$C$106,3,FALSE),"")</f>
        <v/>
      </c>
    </row>
    <row r="7894" spans="5:7" ht="15" customHeight="1">
      <c r="E7894" s="49" t="str">
        <f>IFERROR(VLOOKUP(D7894,'taxonomy map'!$A$1:$C$107,2,FALSE),"")</f>
        <v/>
      </c>
      <c r="F7894" s="49" t="str">
        <f>IFERROR(VLOOKUP(E7894,'Condensed Specialty Crosswalk'!$A$2:$C$106,2,FALSE),"")</f>
        <v/>
      </c>
      <c r="G7894" s="49" t="str">
        <f>IFERROR(VLOOKUP(E7894,'Condensed Specialty Crosswalk'!$A$2:$C$106,3,FALSE),"")</f>
        <v/>
      </c>
    </row>
    <row r="7895" spans="5:7" ht="15" customHeight="1">
      <c r="E7895" s="49" t="str">
        <f>IFERROR(VLOOKUP(D7895,'taxonomy map'!$A$1:$C$107,2,FALSE),"")</f>
        <v/>
      </c>
      <c r="F7895" s="49" t="str">
        <f>IFERROR(VLOOKUP(E7895,'Condensed Specialty Crosswalk'!$A$2:$C$106,2,FALSE),"")</f>
        <v/>
      </c>
      <c r="G7895" s="49" t="str">
        <f>IFERROR(VLOOKUP(E7895,'Condensed Specialty Crosswalk'!$A$2:$C$106,3,FALSE),"")</f>
        <v/>
      </c>
    </row>
    <row r="7896" spans="5:7" ht="15" customHeight="1">
      <c r="E7896" s="49" t="str">
        <f>IFERROR(VLOOKUP(D7896,'taxonomy map'!$A$1:$C$107,2,FALSE),"")</f>
        <v/>
      </c>
      <c r="F7896" s="49" t="str">
        <f>IFERROR(VLOOKUP(E7896,'Condensed Specialty Crosswalk'!$A$2:$C$106,2,FALSE),"")</f>
        <v/>
      </c>
      <c r="G7896" s="49" t="str">
        <f>IFERROR(VLOOKUP(E7896,'Condensed Specialty Crosswalk'!$A$2:$C$106,3,FALSE),"")</f>
        <v/>
      </c>
    </row>
    <row r="7897" spans="5:7" ht="15" customHeight="1">
      <c r="E7897" s="49" t="str">
        <f>IFERROR(VLOOKUP(D7897,'taxonomy map'!$A$1:$C$107,2,FALSE),"")</f>
        <v/>
      </c>
      <c r="F7897" s="49" t="str">
        <f>IFERROR(VLOOKUP(E7897,'Condensed Specialty Crosswalk'!$A$2:$C$106,2,FALSE),"")</f>
        <v/>
      </c>
      <c r="G7897" s="49" t="str">
        <f>IFERROR(VLOOKUP(E7897,'Condensed Specialty Crosswalk'!$A$2:$C$106,3,FALSE),"")</f>
        <v/>
      </c>
    </row>
    <row r="7898" spans="5:7" ht="15" customHeight="1">
      <c r="E7898" s="49" t="str">
        <f>IFERROR(VLOOKUP(D7898,'taxonomy map'!$A$1:$C$107,2,FALSE),"")</f>
        <v/>
      </c>
      <c r="F7898" s="49" t="str">
        <f>IFERROR(VLOOKUP(E7898,'Condensed Specialty Crosswalk'!$A$2:$C$106,2,FALSE),"")</f>
        <v/>
      </c>
      <c r="G7898" s="49" t="str">
        <f>IFERROR(VLOOKUP(E7898,'Condensed Specialty Crosswalk'!$A$2:$C$106,3,FALSE),"")</f>
        <v/>
      </c>
    </row>
    <row r="7899" spans="5:7" ht="15" customHeight="1">
      <c r="E7899" s="49" t="str">
        <f>IFERROR(VLOOKUP(D7899,'taxonomy map'!$A$1:$C$107,2,FALSE),"")</f>
        <v/>
      </c>
      <c r="F7899" s="49" t="str">
        <f>IFERROR(VLOOKUP(E7899,'Condensed Specialty Crosswalk'!$A$2:$C$106,2,FALSE),"")</f>
        <v/>
      </c>
      <c r="G7899" s="49" t="str">
        <f>IFERROR(VLOOKUP(E7899,'Condensed Specialty Crosswalk'!$A$2:$C$106,3,FALSE),"")</f>
        <v/>
      </c>
    </row>
    <row r="7900" spans="5:7" ht="15" customHeight="1">
      <c r="E7900" s="49" t="str">
        <f>IFERROR(VLOOKUP(D7900,'taxonomy map'!$A$1:$C$107,2,FALSE),"")</f>
        <v/>
      </c>
      <c r="F7900" s="49" t="str">
        <f>IFERROR(VLOOKUP(E7900,'Condensed Specialty Crosswalk'!$A$2:$C$106,2,FALSE),"")</f>
        <v/>
      </c>
      <c r="G7900" s="49" t="str">
        <f>IFERROR(VLOOKUP(E7900,'Condensed Specialty Crosswalk'!$A$2:$C$106,3,FALSE),"")</f>
        <v/>
      </c>
    </row>
    <row r="7901" spans="5:7" ht="15" customHeight="1">
      <c r="E7901" s="49" t="str">
        <f>IFERROR(VLOOKUP(D7901,'taxonomy map'!$A$1:$C$107,2,FALSE),"")</f>
        <v/>
      </c>
      <c r="F7901" s="49" t="str">
        <f>IFERROR(VLOOKUP(E7901,'Condensed Specialty Crosswalk'!$A$2:$C$106,2,FALSE),"")</f>
        <v/>
      </c>
      <c r="G7901" s="49" t="str">
        <f>IFERROR(VLOOKUP(E7901,'Condensed Specialty Crosswalk'!$A$2:$C$106,3,FALSE),"")</f>
        <v/>
      </c>
    </row>
    <row r="7902" spans="5:7" ht="15" customHeight="1">
      <c r="E7902" s="49" t="str">
        <f>IFERROR(VLOOKUP(D7902,'taxonomy map'!$A$1:$C$107,2,FALSE),"")</f>
        <v/>
      </c>
      <c r="F7902" s="49" t="str">
        <f>IFERROR(VLOOKUP(E7902,'Condensed Specialty Crosswalk'!$A$2:$C$106,2,FALSE),"")</f>
        <v/>
      </c>
      <c r="G7902" s="49" t="str">
        <f>IFERROR(VLOOKUP(E7902,'Condensed Specialty Crosswalk'!$A$2:$C$106,3,FALSE),"")</f>
        <v/>
      </c>
    </row>
    <row r="7903" spans="5:7" ht="15" customHeight="1">
      <c r="E7903" s="49" t="str">
        <f>IFERROR(VLOOKUP(D7903,'taxonomy map'!$A$1:$C$107,2,FALSE),"")</f>
        <v/>
      </c>
      <c r="F7903" s="49" t="str">
        <f>IFERROR(VLOOKUP(E7903,'Condensed Specialty Crosswalk'!$A$2:$C$106,2,FALSE),"")</f>
        <v/>
      </c>
      <c r="G7903" s="49" t="str">
        <f>IFERROR(VLOOKUP(E7903,'Condensed Specialty Crosswalk'!$A$2:$C$106,3,FALSE),"")</f>
        <v/>
      </c>
    </row>
    <row r="7904" spans="5:7" ht="15" customHeight="1">
      <c r="E7904" s="49" t="str">
        <f>IFERROR(VLOOKUP(D7904,'taxonomy map'!$A$1:$C$107,2,FALSE),"")</f>
        <v/>
      </c>
      <c r="F7904" s="49" t="str">
        <f>IFERROR(VLOOKUP(E7904,'Condensed Specialty Crosswalk'!$A$2:$C$106,2,FALSE),"")</f>
        <v/>
      </c>
      <c r="G7904" s="49" t="str">
        <f>IFERROR(VLOOKUP(E7904,'Condensed Specialty Crosswalk'!$A$2:$C$106,3,FALSE),"")</f>
        <v/>
      </c>
    </row>
    <row r="7905" spans="5:7" ht="15" customHeight="1">
      <c r="E7905" s="49" t="str">
        <f>IFERROR(VLOOKUP(D7905,'taxonomy map'!$A$1:$C$107,2,FALSE),"")</f>
        <v/>
      </c>
      <c r="F7905" s="49" t="str">
        <f>IFERROR(VLOOKUP(E7905,'Condensed Specialty Crosswalk'!$A$2:$C$106,2,FALSE),"")</f>
        <v/>
      </c>
      <c r="G7905" s="49" t="str">
        <f>IFERROR(VLOOKUP(E7905,'Condensed Specialty Crosswalk'!$A$2:$C$106,3,FALSE),"")</f>
        <v/>
      </c>
    </row>
    <row r="7906" spans="5:7" ht="15" customHeight="1">
      <c r="E7906" s="49" t="str">
        <f>IFERROR(VLOOKUP(D7906,'taxonomy map'!$A$1:$C$107,2,FALSE),"")</f>
        <v/>
      </c>
      <c r="F7906" s="49" t="str">
        <f>IFERROR(VLOOKUP(E7906,'Condensed Specialty Crosswalk'!$A$2:$C$106,2,FALSE),"")</f>
        <v/>
      </c>
      <c r="G7906" s="49" t="str">
        <f>IFERROR(VLOOKUP(E7906,'Condensed Specialty Crosswalk'!$A$2:$C$106,3,FALSE),"")</f>
        <v/>
      </c>
    </row>
    <row r="7907" spans="5:7" ht="15" customHeight="1">
      <c r="E7907" s="49" t="str">
        <f>IFERROR(VLOOKUP(D7907,'taxonomy map'!$A$1:$C$107,2,FALSE),"")</f>
        <v/>
      </c>
      <c r="F7907" s="49" t="str">
        <f>IFERROR(VLOOKUP(E7907,'Condensed Specialty Crosswalk'!$A$2:$C$106,2,FALSE),"")</f>
        <v/>
      </c>
      <c r="G7907" s="49" t="str">
        <f>IFERROR(VLOOKUP(E7907,'Condensed Specialty Crosswalk'!$A$2:$C$106,3,FALSE),"")</f>
        <v/>
      </c>
    </row>
    <row r="7908" spans="5:7" ht="15" customHeight="1">
      <c r="E7908" s="49" t="str">
        <f>IFERROR(VLOOKUP(D7908,'taxonomy map'!$A$1:$C$107,2,FALSE),"")</f>
        <v/>
      </c>
      <c r="F7908" s="49" t="str">
        <f>IFERROR(VLOOKUP(E7908,'Condensed Specialty Crosswalk'!$A$2:$C$106,2,FALSE),"")</f>
        <v/>
      </c>
      <c r="G7908" s="49" t="str">
        <f>IFERROR(VLOOKUP(E7908,'Condensed Specialty Crosswalk'!$A$2:$C$106,3,FALSE),"")</f>
        <v/>
      </c>
    </row>
    <row r="7909" spans="5:7" ht="15" customHeight="1">
      <c r="E7909" s="49" t="str">
        <f>IFERROR(VLOOKUP(D7909,'taxonomy map'!$A$1:$C$107,2,FALSE),"")</f>
        <v/>
      </c>
      <c r="F7909" s="49" t="str">
        <f>IFERROR(VLOOKUP(E7909,'Condensed Specialty Crosswalk'!$A$2:$C$106,2,FALSE),"")</f>
        <v/>
      </c>
      <c r="G7909" s="49" t="str">
        <f>IFERROR(VLOOKUP(E7909,'Condensed Specialty Crosswalk'!$A$2:$C$106,3,FALSE),"")</f>
        <v/>
      </c>
    </row>
    <row r="7910" spans="5:7" ht="15" customHeight="1">
      <c r="E7910" s="49" t="str">
        <f>IFERROR(VLOOKUP(D7910,'taxonomy map'!$A$1:$C$107,2,FALSE),"")</f>
        <v/>
      </c>
      <c r="F7910" s="49" t="str">
        <f>IFERROR(VLOOKUP(E7910,'Condensed Specialty Crosswalk'!$A$2:$C$106,2,FALSE),"")</f>
        <v/>
      </c>
      <c r="G7910" s="49" t="str">
        <f>IFERROR(VLOOKUP(E7910,'Condensed Specialty Crosswalk'!$A$2:$C$106,3,FALSE),"")</f>
        <v/>
      </c>
    </row>
    <row r="7911" spans="5:7" ht="15" customHeight="1">
      <c r="E7911" s="49" t="str">
        <f>IFERROR(VLOOKUP(D7911,'taxonomy map'!$A$1:$C$107,2,FALSE),"")</f>
        <v/>
      </c>
      <c r="F7911" s="49" t="str">
        <f>IFERROR(VLOOKUP(E7911,'Condensed Specialty Crosswalk'!$A$2:$C$106,2,FALSE),"")</f>
        <v/>
      </c>
      <c r="G7911" s="49" t="str">
        <f>IFERROR(VLOOKUP(E7911,'Condensed Specialty Crosswalk'!$A$2:$C$106,3,FALSE),"")</f>
        <v/>
      </c>
    </row>
    <row r="7912" spans="5:7" ht="15" customHeight="1">
      <c r="E7912" s="49" t="str">
        <f>IFERROR(VLOOKUP(D7912,'taxonomy map'!$A$1:$C$107,2,FALSE),"")</f>
        <v/>
      </c>
      <c r="F7912" s="49" t="str">
        <f>IFERROR(VLOOKUP(E7912,'Condensed Specialty Crosswalk'!$A$2:$C$106,2,FALSE),"")</f>
        <v/>
      </c>
      <c r="G7912" s="49" t="str">
        <f>IFERROR(VLOOKUP(E7912,'Condensed Specialty Crosswalk'!$A$2:$C$106,3,FALSE),"")</f>
        <v/>
      </c>
    </row>
    <row r="7913" spans="5:7" ht="15" customHeight="1">
      <c r="E7913" s="49" t="str">
        <f>IFERROR(VLOOKUP(D7913,'taxonomy map'!$A$1:$C$107,2,FALSE),"")</f>
        <v/>
      </c>
      <c r="F7913" s="49" t="str">
        <f>IFERROR(VLOOKUP(E7913,'Condensed Specialty Crosswalk'!$A$2:$C$106,2,FALSE),"")</f>
        <v/>
      </c>
      <c r="G7913" s="49" t="str">
        <f>IFERROR(VLOOKUP(E7913,'Condensed Specialty Crosswalk'!$A$2:$C$106,3,FALSE),"")</f>
        <v/>
      </c>
    </row>
    <row r="7914" spans="5:7" ht="15" customHeight="1">
      <c r="E7914" s="49" t="str">
        <f>IFERROR(VLOOKUP(D7914,'taxonomy map'!$A$1:$C$107,2,FALSE),"")</f>
        <v/>
      </c>
      <c r="F7914" s="49" t="str">
        <f>IFERROR(VLOOKUP(E7914,'Condensed Specialty Crosswalk'!$A$2:$C$106,2,FALSE),"")</f>
        <v/>
      </c>
      <c r="G7914" s="49" t="str">
        <f>IFERROR(VLOOKUP(E7914,'Condensed Specialty Crosswalk'!$A$2:$C$106,3,FALSE),"")</f>
        <v/>
      </c>
    </row>
    <row r="7915" spans="5:7" ht="15" customHeight="1">
      <c r="E7915" s="49" t="str">
        <f>IFERROR(VLOOKUP(D7915,'taxonomy map'!$A$1:$C$107,2,FALSE),"")</f>
        <v/>
      </c>
      <c r="F7915" s="49" t="str">
        <f>IFERROR(VLOOKUP(E7915,'Condensed Specialty Crosswalk'!$A$2:$C$106,2,FALSE),"")</f>
        <v/>
      </c>
      <c r="G7915" s="49" t="str">
        <f>IFERROR(VLOOKUP(E7915,'Condensed Specialty Crosswalk'!$A$2:$C$106,3,FALSE),"")</f>
        <v/>
      </c>
    </row>
    <row r="7916" spans="5:7" ht="15" customHeight="1">
      <c r="E7916" s="49" t="str">
        <f>IFERROR(VLOOKUP(D7916,'taxonomy map'!$A$1:$C$107,2,FALSE),"")</f>
        <v/>
      </c>
      <c r="F7916" s="49" t="str">
        <f>IFERROR(VLOOKUP(E7916,'Condensed Specialty Crosswalk'!$A$2:$C$106,2,FALSE),"")</f>
        <v/>
      </c>
      <c r="G7916" s="49" t="str">
        <f>IFERROR(VLOOKUP(E7916,'Condensed Specialty Crosswalk'!$A$2:$C$106,3,FALSE),"")</f>
        <v/>
      </c>
    </row>
    <row r="7917" spans="5:7" ht="15" customHeight="1">
      <c r="E7917" s="49" t="str">
        <f>IFERROR(VLOOKUP(D7917,'taxonomy map'!$A$1:$C$107,2,FALSE),"")</f>
        <v/>
      </c>
      <c r="F7917" s="49" t="str">
        <f>IFERROR(VLOOKUP(E7917,'Condensed Specialty Crosswalk'!$A$2:$C$106,2,FALSE),"")</f>
        <v/>
      </c>
      <c r="G7917" s="49" t="str">
        <f>IFERROR(VLOOKUP(E7917,'Condensed Specialty Crosswalk'!$A$2:$C$106,3,FALSE),"")</f>
        <v/>
      </c>
    </row>
    <row r="7918" spans="5:7" ht="15" customHeight="1">
      <c r="E7918" s="49" t="str">
        <f>IFERROR(VLOOKUP(D7918,'taxonomy map'!$A$1:$C$107,2,FALSE),"")</f>
        <v/>
      </c>
      <c r="F7918" s="49" t="str">
        <f>IFERROR(VLOOKUP(E7918,'Condensed Specialty Crosswalk'!$A$2:$C$106,2,FALSE),"")</f>
        <v/>
      </c>
      <c r="G7918" s="49" t="str">
        <f>IFERROR(VLOOKUP(E7918,'Condensed Specialty Crosswalk'!$A$2:$C$106,3,FALSE),"")</f>
        <v/>
      </c>
    </row>
    <row r="7919" spans="5:7" ht="15" customHeight="1">
      <c r="E7919" s="49" t="str">
        <f>IFERROR(VLOOKUP(D7919,'taxonomy map'!$A$1:$C$107,2,FALSE),"")</f>
        <v/>
      </c>
      <c r="F7919" s="49" t="str">
        <f>IFERROR(VLOOKUP(E7919,'Condensed Specialty Crosswalk'!$A$2:$C$106,2,FALSE),"")</f>
        <v/>
      </c>
      <c r="G7919" s="49" t="str">
        <f>IFERROR(VLOOKUP(E7919,'Condensed Specialty Crosswalk'!$A$2:$C$106,3,FALSE),"")</f>
        <v/>
      </c>
    </row>
    <row r="7920" spans="5:7" ht="15" customHeight="1">
      <c r="E7920" s="49" t="str">
        <f>IFERROR(VLOOKUP(D7920,'taxonomy map'!$A$1:$C$107,2,FALSE),"")</f>
        <v/>
      </c>
      <c r="F7920" s="49" t="str">
        <f>IFERROR(VLOOKUP(E7920,'Condensed Specialty Crosswalk'!$A$2:$C$106,2,FALSE),"")</f>
        <v/>
      </c>
      <c r="G7920" s="49" t="str">
        <f>IFERROR(VLOOKUP(E7920,'Condensed Specialty Crosswalk'!$A$2:$C$106,3,FALSE),"")</f>
        <v/>
      </c>
    </row>
    <row r="7921" spans="5:7" ht="15" customHeight="1">
      <c r="E7921" s="49" t="str">
        <f>IFERROR(VLOOKUP(D7921,'taxonomy map'!$A$1:$C$107,2,FALSE),"")</f>
        <v/>
      </c>
      <c r="F7921" s="49" t="str">
        <f>IFERROR(VLOOKUP(E7921,'Condensed Specialty Crosswalk'!$A$2:$C$106,2,FALSE),"")</f>
        <v/>
      </c>
      <c r="G7921" s="49" t="str">
        <f>IFERROR(VLOOKUP(E7921,'Condensed Specialty Crosswalk'!$A$2:$C$106,3,FALSE),"")</f>
        <v/>
      </c>
    </row>
    <row r="7922" spans="5:7" ht="15" customHeight="1">
      <c r="E7922" s="49" t="str">
        <f>IFERROR(VLOOKUP(D7922,'taxonomy map'!$A$1:$C$107,2,FALSE),"")</f>
        <v/>
      </c>
      <c r="F7922" s="49" t="str">
        <f>IFERROR(VLOOKUP(E7922,'Condensed Specialty Crosswalk'!$A$2:$C$106,2,FALSE),"")</f>
        <v/>
      </c>
      <c r="G7922" s="49" t="str">
        <f>IFERROR(VLOOKUP(E7922,'Condensed Specialty Crosswalk'!$A$2:$C$106,3,FALSE),"")</f>
        <v/>
      </c>
    </row>
    <row r="7923" spans="5:7" ht="15" customHeight="1">
      <c r="E7923" s="49" t="str">
        <f>IFERROR(VLOOKUP(D7923,'taxonomy map'!$A$1:$C$107,2,FALSE),"")</f>
        <v/>
      </c>
      <c r="F7923" s="49" t="str">
        <f>IFERROR(VLOOKUP(E7923,'Condensed Specialty Crosswalk'!$A$2:$C$106,2,FALSE),"")</f>
        <v/>
      </c>
      <c r="G7923" s="49" t="str">
        <f>IFERROR(VLOOKUP(E7923,'Condensed Specialty Crosswalk'!$A$2:$C$106,3,FALSE),"")</f>
        <v/>
      </c>
    </row>
    <row r="7924" spans="5:7" ht="15" customHeight="1">
      <c r="E7924" s="49" t="str">
        <f>IFERROR(VLOOKUP(D7924,'taxonomy map'!$A$1:$C$107,2,FALSE),"")</f>
        <v/>
      </c>
      <c r="F7924" s="49" t="str">
        <f>IFERROR(VLOOKUP(E7924,'Condensed Specialty Crosswalk'!$A$2:$C$106,2,FALSE),"")</f>
        <v/>
      </c>
      <c r="G7924" s="49" t="str">
        <f>IFERROR(VLOOKUP(E7924,'Condensed Specialty Crosswalk'!$A$2:$C$106,3,FALSE),"")</f>
        <v/>
      </c>
    </row>
    <row r="7925" spans="5:7" ht="15" customHeight="1">
      <c r="E7925" s="49" t="str">
        <f>IFERROR(VLOOKUP(D7925,'taxonomy map'!$A$1:$C$107,2,FALSE),"")</f>
        <v/>
      </c>
      <c r="F7925" s="49" t="str">
        <f>IFERROR(VLOOKUP(E7925,'Condensed Specialty Crosswalk'!$A$2:$C$106,2,FALSE),"")</f>
        <v/>
      </c>
      <c r="G7925" s="49" t="str">
        <f>IFERROR(VLOOKUP(E7925,'Condensed Specialty Crosswalk'!$A$2:$C$106,3,FALSE),"")</f>
        <v/>
      </c>
    </row>
    <row r="7926" spans="5:7" ht="15" customHeight="1">
      <c r="E7926" s="49" t="str">
        <f>IFERROR(VLOOKUP(D7926,'taxonomy map'!$A$1:$C$107,2,FALSE),"")</f>
        <v/>
      </c>
      <c r="F7926" s="49" t="str">
        <f>IFERROR(VLOOKUP(E7926,'Condensed Specialty Crosswalk'!$A$2:$C$106,2,FALSE),"")</f>
        <v/>
      </c>
      <c r="G7926" s="49" t="str">
        <f>IFERROR(VLOOKUP(E7926,'Condensed Specialty Crosswalk'!$A$2:$C$106,3,FALSE),"")</f>
        <v/>
      </c>
    </row>
    <row r="7927" spans="5:7" ht="15" customHeight="1">
      <c r="E7927" s="49" t="str">
        <f>IFERROR(VLOOKUP(D7927,'taxonomy map'!$A$1:$C$107,2,FALSE),"")</f>
        <v/>
      </c>
      <c r="F7927" s="49" t="str">
        <f>IFERROR(VLOOKUP(E7927,'Condensed Specialty Crosswalk'!$A$2:$C$106,2,FALSE),"")</f>
        <v/>
      </c>
      <c r="G7927" s="49" t="str">
        <f>IFERROR(VLOOKUP(E7927,'Condensed Specialty Crosswalk'!$A$2:$C$106,3,FALSE),"")</f>
        <v/>
      </c>
    </row>
    <row r="7928" spans="5:7" ht="15" customHeight="1">
      <c r="E7928" s="49" t="str">
        <f>IFERROR(VLOOKUP(D7928,'taxonomy map'!$A$1:$C$107,2,FALSE),"")</f>
        <v/>
      </c>
      <c r="F7928" s="49" t="str">
        <f>IFERROR(VLOOKUP(E7928,'Condensed Specialty Crosswalk'!$A$2:$C$106,2,FALSE),"")</f>
        <v/>
      </c>
      <c r="G7928" s="49" t="str">
        <f>IFERROR(VLOOKUP(E7928,'Condensed Specialty Crosswalk'!$A$2:$C$106,3,FALSE),"")</f>
        <v/>
      </c>
    </row>
    <row r="7929" spans="5:7" ht="15" customHeight="1">
      <c r="E7929" s="49" t="str">
        <f>IFERROR(VLOOKUP(D7929,'taxonomy map'!$A$1:$C$107,2,FALSE),"")</f>
        <v/>
      </c>
      <c r="F7929" s="49" t="str">
        <f>IFERROR(VLOOKUP(E7929,'Condensed Specialty Crosswalk'!$A$2:$C$106,2,FALSE),"")</f>
        <v/>
      </c>
      <c r="G7929" s="49" t="str">
        <f>IFERROR(VLOOKUP(E7929,'Condensed Specialty Crosswalk'!$A$2:$C$106,3,FALSE),"")</f>
        <v/>
      </c>
    </row>
    <row r="7930" spans="5:7" ht="15" customHeight="1">
      <c r="E7930" s="49" t="str">
        <f>IFERROR(VLOOKUP(D7930,'taxonomy map'!$A$1:$C$107,2,FALSE),"")</f>
        <v/>
      </c>
      <c r="F7930" s="49" t="str">
        <f>IFERROR(VLOOKUP(E7930,'Condensed Specialty Crosswalk'!$A$2:$C$106,2,FALSE),"")</f>
        <v/>
      </c>
      <c r="G7930" s="49" t="str">
        <f>IFERROR(VLOOKUP(E7930,'Condensed Specialty Crosswalk'!$A$2:$C$106,3,FALSE),"")</f>
        <v/>
      </c>
    </row>
    <row r="7931" spans="5:7" ht="15" customHeight="1">
      <c r="E7931" s="49" t="str">
        <f>IFERROR(VLOOKUP(D7931,'taxonomy map'!$A$1:$C$107,2,FALSE),"")</f>
        <v/>
      </c>
      <c r="F7931" s="49" t="str">
        <f>IFERROR(VLOOKUP(E7931,'Condensed Specialty Crosswalk'!$A$2:$C$106,2,FALSE),"")</f>
        <v/>
      </c>
      <c r="G7931" s="49" t="str">
        <f>IFERROR(VLOOKUP(E7931,'Condensed Specialty Crosswalk'!$A$2:$C$106,3,FALSE),"")</f>
        <v/>
      </c>
    </row>
    <row r="7932" spans="5:7" ht="15" customHeight="1">
      <c r="E7932" s="49" t="str">
        <f>IFERROR(VLOOKUP(D7932,'taxonomy map'!$A$1:$C$107,2,FALSE),"")</f>
        <v/>
      </c>
      <c r="F7932" s="49" t="str">
        <f>IFERROR(VLOOKUP(E7932,'Condensed Specialty Crosswalk'!$A$2:$C$106,2,FALSE),"")</f>
        <v/>
      </c>
      <c r="G7932" s="49" t="str">
        <f>IFERROR(VLOOKUP(E7932,'Condensed Specialty Crosswalk'!$A$2:$C$106,3,FALSE),"")</f>
        <v/>
      </c>
    </row>
    <row r="7933" spans="5:7" ht="15" customHeight="1">
      <c r="E7933" s="49" t="str">
        <f>IFERROR(VLOOKUP(D7933,'taxonomy map'!$A$1:$C$107,2,FALSE),"")</f>
        <v/>
      </c>
      <c r="F7933" s="49" t="str">
        <f>IFERROR(VLOOKUP(E7933,'Condensed Specialty Crosswalk'!$A$2:$C$106,2,FALSE),"")</f>
        <v/>
      </c>
      <c r="G7933" s="49" t="str">
        <f>IFERROR(VLOOKUP(E7933,'Condensed Specialty Crosswalk'!$A$2:$C$106,3,FALSE),"")</f>
        <v/>
      </c>
    </row>
    <row r="7934" spans="5:7" ht="15" customHeight="1">
      <c r="E7934" s="49" t="str">
        <f>IFERROR(VLOOKUP(D7934,'taxonomy map'!$A$1:$C$107,2,FALSE),"")</f>
        <v/>
      </c>
      <c r="F7934" s="49" t="str">
        <f>IFERROR(VLOOKUP(E7934,'Condensed Specialty Crosswalk'!$A$2:$C$106,2,FALSE),"")</f>
        <v/>
      </c>
      <c r="G7934" s="49" t="str">
        <f>IFERROR(VLOOKUP(E7934,'Condensed Specialty Crosswalk'!$A$2:$C$106,3,FALSE),"")</f>
        <v/>
      </c>
    </row>
    <row r="7935" spans="5:7" ht="15" customHeight="1">
      <c r="E7935" s="49" t="str">
        <f>IFERROR(VLOOKUP(D7935,'taxonomy map'!$A$1:$C$107,2,FALSE),"")</f>
        <v/>
      </c>
      <c r="F7935" s="49" t="str">
        <f>IFERROR(VLOOKUP(E7935,'Condensed Specialty Crosswalk'!$A$2:$C$106,2,FALSE),"")</f>
        <v/>
      </c>
      <c r="G7935" s="49" t="str">
        <f>IFERROR(VLOOKUP(E7935,'Condensed Specialty Crosswalk'!$A$2:$C$106,3,FALSE),"")</f>
        <v/>
      </c>
    </row>
    <row r="7936" spans="5:7" ht="15" customHeight="1">
      <c r="E7936" s="49" t="str">
        <f>IFERROR(VLOOKUP(D7936,'taxonomy map'!$A$1:$C$107,2,FALSE),"")</f>
        <v/>
      </c>
      <c r="F7936" s="49" t="str">
        <f>IFERROR(VLOOKUP(E7936,'Condensed Specialty Crosswalk'!$A$2:$C$106,2,FALSE),"")</f>
        <v/>
      </c>
      <c r="G7936" s="49" t="str">
        <f>IFERROR(VLOOKUP(E7936,'Condensed Specialty Crosswalk'!$A$2:$C$106,3,FALSE),"")</f>
        <v/>
      </c>
    </row>
    <row r="7937" spans="5:7" ht="15" customHeight="1">
      <c r="E7937" s="49" t="str">
        <f>IFERROR(VLOOKUP(D7937,'taxonomy map'!$A$1:$C$107,2,FALSE),"")</f>
        <v/>
      </c>
      <c r="F7937" s="49" t="str">
        <f>IFERROR(VLOOKUP(E7937,'Condensed Specialty Crosswalk'!$A$2:$C$106,2,FALSE),"")</f>
        <v/>
      </c>
      <c r="G7937" s="49" t="str">
        <f>IFERROR(VLOOKUP(E7937,'Condensed Specialty Crosswalk'!$A$2:$C$106,3,FALSE),"")</f>
        <v/>
      </c>
    </row>
    <row r="7938" spans="5:7" ht="15" customHeight="1">
      <c r="E7938" s="49" t="str">
        <f>IFERROR(VLOOKUP(D7938,'taxonomy map'!$A$1:$C$107,2,FALSE),"")</f>
        <v/>
      </c>
      <c r="F7938" s="49" t="str">
        <f>IFERROR(VLOOKUP(E7938,'Condensed Specialty Crosswalk'!$A$2:$C$106,2,FALSE),"")</f>
        <v/>
      </c>
      <c r="G7938" s="49" t="str">
        <f>IFERROR(VLOOKUP(E7938,'Condensed Specialty Crosswalk'!$A$2:$C$106,3,FALSE),"")</f>
        <v/>
      </c>
    </row>
    <row r="7939" spans="5:7" ht="15" customHeight="1">
      <c r="E7939" s="49" t="str">
        <f>IFERROR(VLOOKUP(D7939,'taxonomy map'!$A$1:$C$107,2,FALSE),"")</f>
        <v/>
      </c>
      <c r="F7939" s="49" t="str">
        <f>IFERROR(VLOOKUP(E7939,'Condensed Specialty Crosswalk'!$A$2:$C$106,2,FALSE),"")</f>
        <v/>
      </c>
      <c r="G7939" s="49" t="str">
        <f>IFERROR(VLOOKUP(E7939,'Condensed Specialty Crosswalk'!$A$2:$C$106,3,FALSE),"")</f>
        <v/>
      </c>
    </row>
    <row r="7940" spans="5:7" ht="15" customHeight="1">
      <c r="E7940" s="49" t="str">
        <f>IFERROR(VLOOKUP(D7940,'taxonomy map'!$A$1:$C$107,2,FALSE),"")</f>
        <v/>
      </c>
      <c r="F7940" s="49" t="str">
        <f>IFERROR(VLOOKUP(E7940,'Condensed Specialty Crosswalk'!$A$2:$C$106,2,FALSE),"")</f>
        <v/>
      </c>
      <c r="G7940" s="49" t="str">
        <f>IFERROR(VLOOKUP(E7940,'Condensed Specialty Crosswalk'!$A$2:$C$106,3,FALSE),"")</f>
        <v/>
      </c>
    </row>
    <row r="7941" spans="5:7" ht="15" customHeight="1">
      <c r="E7941" s="49" t="str">
        <f>IFERROR(VLOOKUP(D7941,'taxonomy map'!$A$1:$C$107,2,FALSE),"")</f>
        <v/>
      </c>
      <c r="F7941" s="49" t="str">
        <f>IFERROR(VLOOKUP(E7941,'Condensed Specialty Crosswalk'!$A$2:$C$106,2,FALSE),"")</f>
        <v/>
      </c>
      <c r="G7941" s="49" t="str">
        <f>IFERROR(VLOOKUP(E7941,'Condensed Specialty Crosswalk'!$A$2:$C$106,3,FALSE),"")</f>
        <v/>
      </c>
    </row>
    <row r="7942" spans="5:7" ht="15" customHeight="1">
      <c r="E7942" s="49" t="str">
        <f>IFERROR(VLOOKUP(D7942,'taxonomy map'!$A$1:$C$107,2,FALSE),"")</f>
        <v/>
      </c>
      <c r="F7942" s="49" t="str">
        <f>IFERROR(VLOOKUP(E7942,'Condensed Specialty Crosswalk'!$A$2:$C$106,2,FALSE),"")</f>
        <v/>
      </c>
      <c r="G7942" s="49" t="str">
        <f>IFERROR(VLOOKUP(E7942,'Condensed Specialty Crosswalk'!$A$2:$C$106,3,FALSE),"")</f>
        <v/>
      </c>
    </row>
    <row r="7943" spans="5:7" ht="15" customHeight="1">
      <c r="E7943" s="49" t="str">
        <f>IFERROR(VLOOKUP(D7943,'taxonomy map'!$A$1:$C$107,2,FALSE),"")</f>
        <v/>
      </c>
      <c r="F7943" s="49" t="str">
        <f>IFERROR(VLOOKUP(E7943,'Condensed Specialty Crosswalk'!$A$2:$C$106,2,FALSE),"")</f>
        <v/>
      </c>
      <c r="G7943" s="49" t="str">
        <f>IFERROR(VLOOKUP(E7943,'Condensed Specialty Crosswalk'!$A$2:$C$106,3,FALSE),"")</f>
        <v/>
      </c>
    </row>
    <row r="7944" spans="5:7" ht="15" customHeight="1">
      <c r="E7944" s="49" t="str">
        <f>IFERROR(VLOOKUP(D7944,'taxonomy map'!$A$1:$C$107,2,FALSE),"")</f>
        <v/>
      </c>
      <c r="F7944" s="49" t="str">
        <f>IFERROR(VLOOKUP(E7944,'Condensed Specialty Crosswalk'!$A$2:$C$106,2,FALSE),"")</f>
        <v/>
      </c>
      <c r="G7944" s="49" t="str">
        <f>IFERROR(VLOOKUP(E7944,'Condensed Specialty Crosswalk'!$A$2:$C$106,3,FALSE),"")</f>
        <v/>
      </c>
    </row>
    <row r="7945" spans="5:7" ht="15" customHeight="1">
      <c r="E7945" s="49" t="str">
        <f>IFERROR(VLOOKUP(D7945,'taxonomy map'!$A$1:$C$107,2,FALSE),"")</f>
        <v/>
      </c>
      <c r="F7945" s="49" t="str">
        <f>IFERROR(VLOOKUP(E7945,'Condensed Specialty Crosswalk'!$A$2:$C$106,2,FALSE),"")</f>
        <v/>
      </c>
      <c r="G7945" s="49" t="str">
        <f>IFERROR(VLOOKUP(E7945,'Condensed Specialty Crosswalk'!$A$2:$C$106,3,FALSE),"")</f>
        <v/>
      </c>
    </row>
    <row r="7946" spans="5:7" ht="15" customHeight="1">
      <c r="E7946" s="49" t="str">
        <f>IFERROR(VLOOKUP(D7946,'taxonomy map'!$A$1:$C$107,2,FALSE),"")</f>
        <v/>
      </c>
      <c r="F7946" s="49" t="str">
        <f>IFERROR(VLOOKUP(E7946,'Condensed Specialty Crosswalk'!$A$2:$C$106,2,FALSE),"")</f>
        <v/>
      </c>
      <c r="G7946" s="49" t="str">
        <f>IFERROR(VLOOKUP(E7946,'Condensed Specialty Crosswalk'!$A$2:$C$106,3,FALSE),"")</f>
        <v/>
      </c>
    </row>
    <row r="7947" spans="5:7" ht="15" customHeight="1">
      <c r="E7947" s="49" t="str">
        <f>IFERROR(VLOOKUP(D7947,'taxonomy map'!$A$1:$C$107,2,FALSE),"")</f>
        <v/>
      </c>
      <c r="F7947" s="49" t="str">
        <f>IFERROR(VLOOKUP(E7947,'Condensed Specialty Crosswalk'!$A$2:$C$106,2,FALSE),"")</f>
        <v/>
      </c>
      <c r="G7947" s="49" t="str">
        <f>IFERROR(VLOOKUP(E7947,'Condensed Specialty Crosswalk'!$A$2:$C$106,3,FALSE),"")</f>
        <v/>
      </c>
    </row>
    <row r="7948" spans="5:7" ht="15" customHeight="1">
      <c r="E7948" s="49" t="str">
        <f>IFERROR(VLOOKUP(D7948,'taxonomy map'!$A$1:$C$107,2,FALSE),"")</f>
        <v/>
      </c>
      <c r="F7948" s="49" t="str">
        <f>IFERROR(VLOOKUP(E7948,'Condensed Specialty Crosswalk'!$A$2:$C$106,2,FALSE),"")</f>
        <v/>
      </c>
      <c r="G7948" s="49" t="str">
        <f>IFERROR(VLOOKUP(E7948,'Condensed Specialty Crosswalk'!$A$2:$C$106,3,FALSE),"")</f>
        <v/>
      </c>
    </row>
    <row r="7949" spans="5:7" ht="15" customHeight="1">
      <c r="E7949" s="49" t="str">
        <f>IFERROR(VLOOKUP(D7949,'taxonomy map'!$A$1:$C$107,2,FALSE),"")</f>
        <v/>
      </c>
      <c r="F7949" s="49" t="str">
        <f>IFERROR(VLOOKUP(E7949,'Condensed Specialty Crosswalk'!$A$2:$C$106,2,FALSE),"")</f>
        <v/>
      </c>
      <c r="G7949" s="49" t="str">
        <f>IFERROR(VLOOKUP(E7949,'Condensed Specialty Crosswalk'!$A$2:$C$106,3,FALSE),"")</f>
        <v/>
      </c>
    </row>
    <row r="7950" spans="5:7" ht="15" customHeight="1">
      <c r="E7950" s="49" t="str">
        <f>IFERROR(VLOOKUP(D7950,'taxonomy map'!$A$1:$C$107,2,FALSE),"")</f>
        <v/>
      </c>
      <c r="F7950" s="49" t="str">
        <f>IFERROR(VLOOKUP(E7950,'Condensed Specialty Crosswalk'!$A$2:$C$106,2,FALSE),"")</f>
        <v/>
      </c>
      <c r="G7950" s="49" t="str">
        <f>IFERROR(VLOOKUP(E7950,'Condensed Specialty Crosswalk'!$A$2:$C$106,3,FALSE),"")</f>
        <v/>
      </c>
    </row>
    <row r="7951" spans="5:7" ht="15" customHeight="1">
      <c r="E7951" s="49" t="str">
        <f>IFERROR(VLOOKUP(D7951,'taxonomy map'!$A$1:$C$107,2,FALSE),"")</f>
        <v/>
      </c>
      <c r="F7951" s="49" t="str">
        <f>IFERROR(VLOOKUP(E7951,'Condensed Specialty Crosswalk'!$A$2:$C$106,2,FALSE),"")</f>
        <v/>
      </c>
      <c r="G7951" s="49" t="str">
        <f>IFERROR(VLOOKUP(E7951,'Condensed Specialty Crosswalk'!$A$2:$C$106,3,FALSE),"")</f>
        <v/>
      </c>
    </row>
    <row r="7952" spans="5:7" ht="15" customHeight="1">
      <c r="E7952" s="49" t="str">
        <f>IFERROR(VLOOKUP(D7952,'taxonomy map'!$A$1:$C$107,2,FALSE),"")</f>
        <v/>
      </c>
      <c r="F7952" s="49" t="str">
        <f>IFERROR(VLOOKUP(E7952,'Condensed Specialty Crosswalk'!$A$2:$C$106,2,FALSE),"")</f>
        <v/>
      </c>
      <c r="G7952" s="49" t="str">
        <f>IFERROR(VLOOKUP(E7952,'Condensed Specialty Crosswalk'!$A$2:$C$106,3,FALSE),"")</f>
        <v/>
      </c>
    </row>
    <row r="7953" spans="5:7" ht="15" customHeight="1">
      <c r="E7953" s="49" t="str">
        <f>IFERROR(VLOOKUP(D7953,'taxonomy map'!$A$1:$C$107,2,FALSE),"")</f>
        <v/>
      </c>
      <c r="F7953" s="49" t="str">
        <f>IFERROR(VLOOKUP(E7953,'Condensed Specialty Crosswalk'!$A$2:$C$106,2,FALSE),"")</f>
        <v/>
      </c>
      <c r="G7953" s="49" t="str">
        <f>IFERROR(VLOOKUP(E7953,'Condensed Specialty Crosswalk'!$A$2:$C$106,3,FALSE),"")</f>
        <v/>
      </c>
    </row>
    <row r="7954" spans="5:7" ht="15" customHeight="1">
      <c r="E7954" s="49" t="str">
        <f>IFERROR(VLOOKUP(D7954,'taxonomy map'!$A$1:$C$107,2,FALSE),"")</f>
        <v/>
      </c>
      <c r="F7954" s="49" t="str">
        <f>IFERROR(VLOOKUP(E7954,'Condensed Specialty Crosswalk'!$A$2:$C$106,2,FALSE),"")</f>
        <v/>
      </c>
      <c r="G7954" s="49" t="str">
        <f>IFERROR(VLOOKUP(E7954,'Condensed Specialty Crosswalk'!$A$2:$C$106,3,FALSE),"")</f>
        <v/>
      </c>
    </row>
    <row r="7955" spans="5:7" ht="15" customHeight="1">
      <c r="E7955" s="49" t="str">
        <f>IFERROR(VLOOKUP(D7955,'taxonomy map'!$A$1:$C$107,2,FALSE),"")</f>
        <v/>
      </c>
      <c r="F7955" s="49" t="str">
        <f>IFERROR(VLOOKUP(E7955,'Condensed Specialty Crosswalk'!$A$2:$C$106,2,FALSE),"")</f>
        <v/>
      </c>
      <c r="G7955" s="49" t="str">
        <f>IFERROR(VLOOKUP(E7955,'Condensed Specialty Crosswalk'!$A$2:$C$106,3,FALSE),"")</f>
        <v/>
      </c>
    </row>
    <row r="7956" spans="5:7" ht="15" customHeight="1">
      <c r="E7956" s="49" t="str">
        <f>IFERROR(VLOOKUP(D7956,'taxonomy map'!$A$1:$C$107,2,FALSE),"")</f>
        <v/>
      </c>
      <c r="F7956" s="49" t="str">
        <f>IFERROR(VLOOKUP(E7956,'Condensed Specialty Crosswalk'!$A$2:$C$106,2,FALSE),"")</f>
        <v/>
      </c>
      <c r="G7956" s="49" t="str">
        <f>IFERROR(VLOOKUP(E7956,'Condensed Specialty Crosswalk'!$A$2:$C$106,3,FALSE),"")</f>
        <v/>
      </c>
    </row>
    <row r="7957" spans="5:7" ht="15" customHeight="1">
      <c r="E7957" s="49" t="str">
        <f>IFERROR(VLOOKUP(D7957,'taxonomy map'!$A$1:$C$107,2,FALSE),"")</f>
        <v/>
      </c>
      <c r="F7957" s="49" t="str">
        <f>IFERROR(VLOOKUP(E7957,'Condensed Specialty Crosswalk'!$A$2:$C$106,2,FALSE),"")</f>
        <v/>
      </c>
      <c r="G7957" s="49" t="str">
        <f>IFERROR(VLOOKUP(E7957,'Condensed Specialty Crosswalk'!$A$2:$C$106,3,FALSE),"")</f>
        <v/>
      </c>
    </row>
    <row r="7958" spans="5:7" ht="15" customHeight="1">
      <c r="E7958" s="49" t="str">
        <f>IFERROR(VLOOKUP(D7958,'taxonomy map'!$A$1:$C$107,2,FALSE),"")</f>
        <v/>
      </c>
      <c r="F7958" s="49" t="str">
        <f>IFERROR(VLOOKUP(E7958,'Condensed Specialty Crosswalk'!$A$2:$C$106,2,FALSE),"")</f>
        <v/>
      </c>
      <c r="G7958" s="49" t="str">
        <f>IFERROR(VLOOKUP(E7958,'Condensed Specialty Crosswalk'!$A$2:$C$106,3,FALSE),"")</f>
        <v/>
      </c>
    </row>
    <row r="7959" spans="5:7" ht="15" customHeight="1">
      <c r="E7959" s="49" t="str">
        <f>IFERROR(VLOOKUP(D7959,'taxonomy map'!$A$1:$C$107,2,FALSE),"")</f>
        <v/>
      </c>
      <c r="F7959" s="49" t="str">
        <f>IFERROR(VLOOKUP(E7959,'Condensed Specialty Crosswalk'!$A$2:$C$106,2,FALSE),"")</f>
        <v/>
      </c>
      <c r="G7959" s="49" t="str">
        <f>IFERROR(VLOOKUP(E7959,'Condensed Specialty Crosswalk'!$A$2:$C$106,3,FALSE),"")</f>
        <v/>
      </c>
    </row>
    <row r="7960" spans="5:7" ht="15" customHeight="1">
      <c r="E7960" s="49" t="str">
        <f>IFERROR(VLOOKUP(D7960,'taxonomy map'!$A$1:$C$107,2,FALSE),"")</f>
        <v/>
      </c>
      <c r="F7960" s="49" t="str">
        <f>IFERROR(VLOOKUP(E7960,'Condensed Specialty Crosswalk'!$A$2:$C$106,2,FALSE),"")</f>
        <v/>
      </c>
      <c r="G7960" s="49" t="str">
        <f>IFERROR(VLOOKUP(E7960,'Condensed Specialty Crosswalk'!$A$2:$C$106,3,FALSE),"")</f>
        <v/>
      </c>
    </row>
    <row r="7961" spans="5:7" ht="15" customHeight="1">
      <c r="E7961" s="49" t="str">
        <f>IFERROR(VLOOKUP(D7961,'taxonomy map'!$A$1:$C$107,2,FALSE),"")</f>
        <v/>
      </c>
      <c r="F7961" s="49" t="str">
        <f>IFERROR(VLOOKUP(E7961,'Condensed Specialty Crosswalk'!$A$2:$C$106,2,FALSE),"")</f>
        <v/>
      </c>
      <c r="G7961" s="49" t="str">
        <f>IFERROR(VLOOKUP(E7961,'Condensed Specialty Crosswalk'!$A$2:$C$106,3,FALSE),"")</f>
        <v/>
      </c>
    </row>
    <row r="7962" spans="5:7" ht="15" customHeight="1">
      <c r="E7962" s="49" t="str">
        <f>IFERROR(VLOOKUP(D7962,'taxonomy map'!$A$1:$C$107,2,FALSE),"")</f>
        <v/>
      </c>
      <c r="F7962" s="49" t="str">
        <f>IFERROR(VLOOKUP(E7962,'Condensed Specialty Crosswalk'!$A$2:$C$106,2,FALSE),"")</f>
        <v/>
      </c>
      <c r="G7962" s="49" t="str">
        <f>IFERROR(VLOOKUP(E7962,'Condensed Specialty Crosswalk'!$A$2:$C$106,3,FALSE),"")</f>
        <v/>
      </c>
    </row>
    <row r="7963" spans="5:7" ht="15" customHeight="1">
      <c r="E7963" s="49" t="str">
        <f>IFERROR(VLOOKUP(D7963,'taxonomy map'!$A$1:$C$107,2,FALSE),"")</f>
        <v/>
      </c>
      <c r="F7963" s="49" t="str">
        <f>IFERROR(VLOOKUP(E7963,'Condensed Specialty Crosswalk'!$A$2:$C$106,2,FALSE),"")</f>
        <v/>
      </c>
      <c r="G7963" s="49" t="str">
        <f>IFERROR(VLOOKUP(E7963,'Condensed Specialty Crosswalk'!$A$2:$C$106,3,FALSE),"")</f>
        <v/>
      </c>
    </row>
    <row r="7964" spans="5:7" ht="15" customHeight="1">
      <c r="E7964" s="49" t="str">
        <f>IFERROR(VLOOKUP(D7964,'taxonomy map'!$A$1:$C$107,2,FALSE),"")</f>
        <v/>
      </c>
      <c r="F7964" s="49" t="str">
        <f>IFERROR(VLOOKUP(E7964,'Condensed Specialty Crosswalk'!$A$2:$C$106,2,FALSE),"")</f>
        <v/>
      </c>
      <c r="G7964" s="49" t="str">
        <f>IFERROR(VLOOKUP(E7964,'Condensed Specialty Crosswalk'!$A$2:$C$106,3,FALSE),"")</f>
        <v/>
      </c>
    </row>
    <row r="7965" spans="5:7" ht="15" customHeight="1">
      <c r="E7965" s="49" t="str">
        <f>IFERROR(VLOOKUP(D7965,'taxonomy map'!$A$1:$C$107,2,FALSE),"")</f>
        <v/>
      </c>
      <c r="F7965" s="49" t="str">
        <f>IFERROR(VLOOKUP(E7965,'Condensed Specialty Crosswalk'!$A$2:$C$106,2,FALSE),"")</f>
        <v/>
      </c>
      <c r="G7965" s="49" t="str">
        <f>IFERROR(VLOOKUP(E7965,'Condensed Specialty Crosswalk'!$A$2:$C$106,3,FALSE),"")</f>
        <v/>
      </c>
    </row>
    <row r="7966" spans="5:7" ht="15" customHeight="1">
      <c r="E7966" s="49" t="str">
        <f>IFERROR(VLOOKUP(D7966,'taxonomy map'!$A$1:$C$107,2,FALSE),"")</f>
        <v/>
      </c>
      <c r="F7966" s="49" t="str">
        <f>IFERROR(VLOOKUP(E7966,'Condensed Specialty Crosswalk'!$A$2:$C$106,2,FALSE),"")</f>
        <v/>
      </c>
      <c r="G7966" s="49" t="str">
        <f>IFERROR(VLOOKUP(E7966,'Condensed Specialty Crosswalk'!$A$2:$C$106,3,FALSE),"")</f>
        <v/>
      </c>
    </row>
    <row r="7967" spans="5:7" ht="15" customHeight="1">
      <c r="E7967" s="49" t="str">
        <f>IFERROR(VLOOKUP(D7967,'taxonomy map'!$A$1:$C$107,2,FALSE),"")</f>
        <v/>
      </c>
      <c r="F7967" s="49" t="str">
        <f>IFERROR(VLOOKUP(E7967,'Condensed Specialty Crosswalk'!$A$2:$C$106,2,FALSE),"")</f>
        <v/>
      </c>
      <c r="G7967" s="49" t="str">
        <f>IFERROR(VLOOKUP(E7967,'Condensed Specialty Crosswalk'!$A$2:$C$106,3,FALSE),"")</f>
        <v/>
      </c>
    </row>
    <row r="7968" spans="5:7" ht="15" customHeight="1">
      <c r="E7968" s="49" t="str">
        <f>IFERROR(VLOOKUP(D7968,'taxonomy map'!$A$1:$C$107,2,FALSE),"")</f>
        <v/>
      </c>
      <c r="F7968" s="49" t="str">
        <f>IFERROR(VLOOKUP(E7968,'Condensed Specialty Crosswalk'!$A$2:$C$106,2,FALSE),"")</f>
        <v/>
      </c>
      <c r="G7968" s="49" t="str">
        <f>IFERROR(VLOOKUP(E7968,'Condensed Specialty Crosswalk'!$A$2:$C$106,3,FALSE),"")</f>
        <v/>
      </c>
    </row>
    <row r="7969" spans="5:7" ht="15" customHeight="1">
      <c r="E7969" s="49" t="str">
        <f>IFERROR(VLOOKUP(D7969,'taxonomy map'!$A$1:$C$107,2,FALSE),"")</f>
        <v/>
      </c>
      <c r="F7969" s="49" t="str">
        <f>IFERROR(VLOOKUP(E7969,'Condensed Specialty Crosswalk'!$A$2:$C$106,2,FALSE),"")</f>
        <v/>
      </c>
      <c r="G7969" s="49" t="str">
        <f>IFERROR(VLOOKUP(E7969,'Condensed Specialty Crosswalk'!$A$2:$C$106,3,FALSE),"")</f>
        <v/>
      </c>
    </row>
    <row r="7970" spans="5:7" ht="15" customHeight="1">
      <c r="E7970" s="49" t="str">
        <f>IFERROR(VLOOKUP(D7970,'taxonomy map'!$A$1:$C$107,2,FALSE),"")</f>
        <v/>
      </c>
      <c r="F7970" s="49" t="str">
        <f>IFERROR(VLOOKUP(E7970,'Condensed Specialty Crosswalk'!$A$2:$C$106,2,FALSE),"")</f>
        <v/>
      </c>
      <c r="G7970" s="49" t="str">
        <f>IFERROR(VLOOKUP(E7970,'Condensed Specialty Crosswalk'!$A$2:$C$106,3,FALSE),"")</f>
        <v/>
      </c>
    </row>
    <row r="7971" spans="5:7" ht="15" customHeight="1">
      <c r="E7971" s="49" t="str">
        <f>IFERROR(VLOOKUP(D7971,'taxonomy map'!$A$1:$C$107,2,FALSE),"")</f>
        <v/>
      </c>
      <c r="F7971" s="49" t="str">
        <f>IFERROR(VLOOKUP(E7971,'Condensed Specialty Crosswalk'!$A$2:$C$106,2,FALSE),"")</f>
        <v/>
      </c>
      <c r="G7971" s="49" t="str">
        <f>IFERROR(VLOOKUP(E7971,'Condensed Specialty Crosswalk'!$A$2:$C$106,3,FALSE),"")</f>
        <v/>
      </c>
    </row>
    <row r="7972" spans="5:7" ht="15" customHeight="1">
      <c r="E7972" s="49" t="str">
        <f>IFERROR(VLOOKUP(D7972,'taxonomy map'!$A$1:$C$107,2,FALSE),"")</f>
        <v/>
      </c>
      <c r="F7972" s="49" t="str">
        <f>IFERROR(VLOOKUP(E7972,'Condensed Specialty Crosswalk'!$A$2:$C$106,2,FALSE),"")</f>
        <v/>
      </c>
      <c r="G7972" s="49" t="str">
        <f>IFERROR(VLOOKUP(E7972,'Condensed Specialty Crosswalk'!$A$2:$C$106,3,FALSE),"")</f>
        <v/>
      </c>
    </row>
    <row r="7973" spans="5:7" ht="15" customHeight="1">
      <c r="E7973" s="49" t="str">
        <f>IFERROR(VLOOKUP(D7973,'taxonomy map'!$A$1:$C$107,2,FALSE),"")</f>
        <v/>
      </c>
      <c r="F7973" s="49" t="str">
        <f>IFERROR(VLOOKUP(E7973,'Condensed Specialty Crosswalk'!$A$2:$C$106,2,FALSE),"")</f>
        <v/>
      </c>
      <c r="G7973" s="49" t="str">
        <f>IFERROR(VLOOKUP(E7973,'Condensed Specialty Crosswalk'!$A$2:$C$106,3,FALSE),"")</f>
        <v/>
      </c>
    </row>
    <row r="7974" spans="5:7" ht="15" customHeight="1">
      <c r="E7974" s="49" t="str">
        <f>IFERROR(VLOOKUP(D7974,'taxonomy map'!$A$1:$C$107,2,FALSE),"")</f>
        <v/>
      </c>
      <c r="F7974" s="49" t="str">
        <f>IFERROR(VLOOKUP(E7974,'Condensed Specialty Crosswalk'!$A$2:$C$106,2,FALSE),"")</f>
        <v/>
      </c>
      <c r="G7974" s="49" t="str">
        <f>IFERROR(VLOOKUP(E7974,'Condensed Specialty Crosswalk'!$A$2:$C$106,3,FALSE),"")</f>
        <v/>
      </c>
    </row>
    <row r="7975" spans="5:7" ht="15" customHeight="1">
      <c r="E7975" s="49" t="str">
        <f>IFERROR(VLOOKUP(D7975,'taxonomy map'!$A$1:$C$107,2,FALSE),"")</f>
        <v/>
      </c>
      <c r="F7975" s="49" t="str">
        <f>IFERROR(VLOOKUP(E7975,'Condensed Specialty Crosswalk'!$A$2:$C$106,2,FALSE),"")</f>
        <v/>
      </c>
      <c r="G7975" s="49" t="str">
        <f>IFERROR(VLOOKUP(E7975,'Condensed Specialty Crosswalk'!$A$2:$C$106,3,FALSE),"")</f>
        <v/>
      </c>
    </row>
    <row r="7976" spans="5:7" ht="15" customHeight="1">
      <c r="E7976" s="49" t="str">
        <f>IFERROR(VLOOKUP(D7976,'taxonomy map'!$A$1:$C$107,2,FALSE),"")</f>
        <v/>
      </c>
      <c r="F7976" s="49" t="str">
        <f>IFERROR(VLOOKUP(E7976,'Condensed Specialty Crosswalk'!$A$2:$C$106,2,FALSE),"")</f>
        <v/>
      </c>
      <c r="G7976" s="49" t="str">
        <f>IFERROR(VLOOKUP(E7976,'Condensed Specialty Crosswalk'!$A$2:$C$106,3,FALSE),"")</f>
        <v/>
      </c>
    </row>
    <row r="7977" spans="5:7" ht="15" customHeight="1">
      <c r="E7977" s="49" t="str">
        <f>IFERROR(VLOOKUP(D7977,'taxonomy map'!$A$1:$C$107,2,FALSE),"")</f>
        <v/>
      </c>
      <c r="F7977" s="49" t="str">
        <f>IFERROR(VLOOKUP(E7977,'Condensed Specialty Crosswalk'!$A$2:$C$106,2,FALSE),"")</f>
        <v/>
      </c>
      <c r="G7977" s="49" t="str">
        <f>IFERROR(VLOOKUP(E7977,'Condensed Specialty Crosswalk'!$A$2:$C$106,3,FALSE),"")</f>
        <v/>
      </c>
    </row>
    <row r="7978" spans="5:7" ht="15" customHeight="1">
      <c r="E7978" s="49" t="str">
        <f>IFERROR(VLOOKUP(D7978,'taxonomy map'!$A$1:$C$107,2,FALSE),"")</f>
        <v/>
      </c>
      <c r="F7978" s="49" t="str">
        <f>IFERROR(VLOOKUP(E7978,'Condensed Specialty Crosswalk'!$A$2:$C$106,2,FALSE),"")</f>
        <v/>
      </c>
      <c r="G7978" s="49" t="str">
        <f>IFERROR(VLOOKUP(E7978,'Condensed Specialty Crosswalk'!$A$2:$C$106,3,FALSE),"")</f>
        <v/>
      </c>
    </row>
    <row r="7979" spans="5:7" ht="15" customHeight="1">
      <c r="E7979" s="49" t="str">
        <f>IFERROR(VLOOKUP(D7979,'taxonomy map'!$A$1:$C$107,2,FALSE),"")</f>
        <v/>
      </c>
      <c r="F7979" s="49" t="str">
        <f>IFERROR(VLOOKUP(E7979,'Condensed Specialty Crosswalk'!$A$2:$C$106,2,FALSE),"")</f>
        <v/>
      </c>
      <c r="G7979" s="49" t="str">
        <f>IFERROR(VLOOKUP(E7979,'Condensed Specialty Crosswalk'!$A$2:$C$106,3,FALSE),"")</f>
        <v/>
      </c>
    </row>
    <row r="7980" spans="5:7" ht="15" customHeight="1">
      <c r="E7980" s="49" t="str">
        <f>IFERROR(VLOOKUP(D7980,'taxonomy map'!$A$1:$C$107,2,FALSE),"")</f>
        <v/>
      </c>
      <c r="F7980" s="49" t="str">
        <f>IFERROR(VLOOKUP(E7980,'Condensed Specialty Crosswalk'!$A$2:$C$106,2,FALSE),"")</f>
        <v/>
      </c>
      <c r="G7980" s="49" t="str">
        <f>IFERROR(VLOOKUP(E7980,'Condensed Specialty Crosswalk'!$A$2:$C$106,3,FALSE),"")</f>
        <v/>
      </c>
    </row>
    <row r="7981" spans="5:7" ht="15" customHeight="1">
      <c r="E7981" s="49" t="str">
        <f>IFERROR(VLOOKUP(D7981,'taxonomy map'!$A$1:$C$107,2,FALSE),"")</f>
        <v/>
      </c>
      <c r="F7981" s="49" t="str">
        <f>IFERROR(VLOOKUP(E7981,'Condensed Specialty Crosswalk'!$A$2:$C$106,2,FALSE),"")</f>
        <v/>
      </c>
      <c r="G7981" s="49" t="str">
        <f>IFERROR(VLOOKUP(E7981,'Condensed Specialty Crosswalk'!$A$2:$C$106,3,FALSE),"")</f>
        <v/>
      </c>
    </row>
    <row r="7982" spans="5:7" ht="15" customHeight="1">
      <c r="E7982" s="49" t="str">
        <f>IFERROR(VLOOKUP(D7982,'taxonomy map'!$A$1:$C$107,2,FALSE),"")</f>
        <v/>
      </c>
      <c r="F7982" s="49" t="str">
        <f>IFERROR(VLOOKUP(E7982,'Condensed Specialty Crosswalk'!$A$2:$C$106,2,FALSE),"")</f>
        <v/>
      </c>
      <c r="G7982" s="49" t="str">
        <f>IFERROR(VLOOKUP(E7982,'Condensed Specialty Crosswalk'!$A$2:$C$106,3,FALSE),"")</f>
        <v/>
      </c>
    </row>
    <row r="7983" spans="5:7" ht="15" customHeight="1">
      <c r="E7983" s="49" t="str">
        <f>IFERROR(VLOOKUP(D7983,'taxonomy map'!$A$1:$C$107,2,FALSE),"")</f>
        <v/>
      </c>
      <c r="F7983" s="49" t="str">
        <f>IFERROR(VLOOKUP(E7983,'Condensed Specialty Crosswalk'!$A$2:$C$106,2,FALSE),"")</f>
        <v/>
      </c>
      <c r="G7983" s="49" t="str">
        <f>IFERROR(VLOOKUP(E7983,'Condensed Specialty Crosswalk'!$A$2:$C$106,3,FALSE),"")</f>
        <v/>
      </c>
    </row>
    <row r="7984" spans="5:7" ht="15" customHeight="1">
      <c r="E7984" s="49" t="str">
        <f>IFERROR(VLOOKUP(D7984,'taxonomy map'!$A$1:$C$107,2,FALSE),"")</f>
        <v/>
      </c>
      <c r="F7984" s="49" t="str">
        <f>IFERROR(VLOOKUP(E7984,'Condensed Specialty Crosswalk'!$A$2:$C$106,2,FALSE),"")</f>
        <v/>
      </c>
      <c r="G7984" s="49" t="str">
        <f>IFERROR(VLOOKUP(E7984,'Condensed Specialty Crosswalk'!$A$2:$C$106,3,FALSE),"")</f>
        <v/>
      </c>
    </row>
    <row r="7985" spans="5:7" ht="15" customHeight="1">
      <c r="E7985" s="49" t="str">
        <f>IFERROR(VLOOKUP(D7985,'taxonomy map'!$A$1:$C$107,2,FALSE),"")</f>
        <v/>
      </c>
      <c r="F7985" s="49" t="str">
        <f>IFERROR(VLOOKUP(E7985,'Condensed Specialty Crosswalk'!$A$2:$C$106,2,FALSE),"")</f>
        <v/>
      </c>
      <c r="G7985" s="49" t="str">
        <f>IFERROR(VLOOKUP(E7985,'Condensed Specialty Crosswalk'!$A$2:$C$106,3,FALSE),"")</f>
        <v/>
      </c>
    </row>
    <row r="7986" spans="5:7" ht="15" customHeight="1">
      <c r="E7986" s="49" t="str">
        <f>IFERROR(VLOOKUP(D7986,'taxonomy map'!$A$1:$C$107,2,FALSE),"")</f>
        <v/>
      </c>
      <c r="F7986" s="49" t="str">
        <f>IFERROR(VLOOKUP(E7986,'Condensed Specialty Crosswalk'!$A$2:$C$106,2,FALSE),"")</f>
        <v/>
      </c>
      <c r="G7986" s="49" t="str">
        <f>IFERROR(VLOOKUP(E7986,'Condensed Specialty Crosswalk'!$A$2:$C$106,3,FALSE),"")</f>
        <v/>
      </c>
    </row>
    <row r="7987" spans="5:7" ht="15" customHeight="1">
      <c r="E7987" s="49" t="str">
        <f>IFERROR(VLOOKUP(D7987,'taxonomy map'!$A$1:$C$107,2,FALSE),"")</f>
        <v/>
      </c>
      <c r="F7987" s="49" t="str">
        <f>IFERROR(VLOOKUP(E7987,'Condensed Specialty Crosswalk'!$A$2:$C$106,2,FALSE),"")</f>
        <v/>
      </c>
      <c r="G7987" s="49" t="str">
        <f>IFERROR(VLOOKUP(E7987,'Condensed Specialty Crosswalk'!$A$2:$C$106,3,FALSE),"")</f>
        <v/>
      </c>
    </row>
    <row r="7988" spans="5:7" ht="15" customHeight="1">
      <c r="E7988" s="49" t="str">
        <f>IFERROR(VLOOKUP(D7988,'taxonomy map'!$A$1:$C$107,2,FALSE),"")</f>
        <v/>
      </c>
      <c r="F7988" s="49" t="str">
        <f>IFERROR(VLOOKUP(E7988,'Condensed Specialty Crosswalk'!$A$2:$C$106,2,FALSE),"")</f>
        <v/>
      </c>
      <c r="G7988" s="49" t="str">
        <f>IFERROR(VLOOKUP(E7988,'Condensed Specialty Crosswalk'!$A$2:$C$106,3,FALSE),"")</f>
        <v/>
      </c>
    </row>
    <row r="7989" spans="5:7" ht="15" customHeight="1">
      <c r="E7989" s="49" t="str">
        <f>IFERROR(VLOOKUP(D7989,'taxonomy map'!$A$1:$C$107,2,FALSE),"")</f>
        <v/>
      </c>
      <c r="F7989" s="49" t="str">
        <f>IFERROR(VLOOKUP(E7989,'Condensed Specialty Crosswalk'!$A$2:$C$106,2,FALSE),"")</f>
        <v/>
      </c>
      <c r="G7989" s="49" t="str">
        <f>IFERROR(VLOOKUP(E7989,'Condensed Specialty Crosswalk'!$A$2:$C$106,3,FALSE),"")</f>
        <v/>
      </c>
    </row>
    <row r="7990" spans="5:7" ht="15" customHeight="1">
      <c r="E7990" s="49" t="str">
        <f>IFERROR(VLOOKUP(D7990,'taxonomy map'!$A$1:$C$107,2,FALSE),"")</f>
        <v/>
      </c>
      <c r="F7990" s="49" t="str">
        <f>IFERROR(VLOOKUP(E7990,'Condensed Specialty Crosswalk'!$A$2:$C$106,2,FALSE),"")</f>
        <v/>
      </c>
      <c r="G7990" s="49" t="str">
        <f>IFERROR(VLOOKUP(E7990,'Condensed Specialty Crosswalk'!$A$2:$C$106,3,FALSE),"")</f>
        <v/>
      </c>
    </row>
    <row r="7991" spans="5:7" ht="15" customHeight="1">
      <c r="E7991" s="49" t="str">
        <f>IFERROR(VLOOKUP(D7991,'taxonomy map'!$A$1:$C$107,2,FALSE),"")</f>
        <v/>
      </c>
      <c r="F7991" s="49" t="str">
        <f>IFERROR(VLOOKUP(E7991,'Condensed Specialty Crosswalk'!$A$2:$C$106,2,FALSE),"")</f>
        <v/>
      </c>
      <c r="G7991" s="49" t="str">
        <f>IFERROR(VLOOKUP(E7991,'Condensed Specialty Crosswalk'!$A$2:$C$106,3,FALSE),"")</f>
        <v/>
      </c>
    </row>
    <row r="7992" spans="5:7" ht="15" customHeight="1">
      <c r="E7992" s="49" t="str">
        <f>IFERROR(VLOOKUP(D7992,'taxonomy map'!$A$1:$C$107,2,FALSE),"")</f>
        <v/>
      </c>
      <c r="F7992" s="49" t="str">
        <f>IFERROR(VLOOKUP(E7992,'Condensed Specialty Crosswalk'!$A$2:$C$106,2,FALSE),"")</f>
        <v/>
      </c>
      <c r="G7992" s="49" t="str">
        <f>IFERROR(VLOOKUP(E7992,'Condensed Specialty Crosswalk'!$A$2:$C$106,3,FALSE),"")</f>
        <v/>
      </c>
    </row>
    <row r="7993" spans="5:7" ht="15" customHeight="1">
      <c r="E7993" s="49" t="str">
        <f>IFERROR(VLOOKUP(D7993,'taxonomy map'!$A$1:$C$107,2,FALSE),"")</f>
        <v/>
      </c>
      <c r="F7993" s="49" t="str">
        <f>IFERROR(VLOOKUP(E7993,'Condensed Specialty Crosswalk'!$A$2:$C$106,2,FALSE),"")</f>
        <v/>
      </c>
      <c r="G7993" s="49" t="str">
        <f>IFERROR(VLOOKUP(E7993,'Condensed Specialty Crosswalk'!$A$2:$C$106,3,FALSE),"")</f>
        <v/>
      </c>
    </row>
    <row r="7994" spans="5:7" ht="15" customHeight="1">
      <c r="E7994" s="49" t="str">
        <f>IFERROR(VLOOKUP(D7994,'taxonomy map'!$A$1:$C$107,2,FALSE),"")</f>
        <v/>
      </c>
      <c r="F7994" s="49" t="str">
        <f>IFERROR(VLOOKUP(E7994,'Condensed Specialty Crosswalk'!$A$2:$C$106,2,FALSE),"")</f>
        <v/>
      </c>
      <c r="G7994" s="49" t="str">
        <f>IFERROR(VLOOKUP(E7994,'Condensed Specialty Crosswalk'!$A$2:$C$106,3,FALSE),"")</f>
        <v/>
      </c>
    </row>
    <row r="7995" spans="5:7" ht="15" customHeight="1">
      <c r="E7995" s="49" t="str">
        <f>IFERROR(VLOOKUP(D7995,'taxonomy map'!$A$1:$C$107,2,FALSE),"")</f>
        <v/>
      </c>
      <c r="F7995" s="49" t="str">
        <f>IFERROR(VLOOKUP(E7995,'Condensed Specialty Crosswalk'!$A$2:$C$106,2,FALSE),"")</f>
        <v/>
      </c>
      <c r="G7995" s="49" t="str">
        <f>IFERROR(VLOOKUP(E7995,'Condensed Specialty Crosswalk'!$A$2:$C$106,3,FALSE),"")</f>
        <v/>
      </c>
    </row>
    <row r="7996" spans="5:7" ht="15" customHeight="1">
      <c r="E7996" s="49" t="str">
        <f>IFERROR(VLOOKUP(D7996,'taxonomy map'!$A$1:$C$107,2,FALSE),"")</f>
        <v/>
      </c>
      <c r="F7996" s="49" t="str">
        <f>IFERROR(VLOOKUP(E7996,'Condensed Specialty Crosswalk'!$A$2:$C$106,2,FALSE),"")</f>
        <v/>
      </c>
      <c r="G7996" s="49" t="str">
        <f>IFERROR(VLOOKUP(E7996,'Condensed Specialty Crosswalk'!$A$2:$C$106,3,FALSE),"")</f>
        <v/>
      </c>
    </row>
    <row r="7997" spans="5:7" ht="15" customHeight="1">
      <c r="E7997" s="49" t="str">
        <f>IFERROR(VLOOKUP(D7997,'taxonomy map'!$A$1:$C$107,2,FALSE),"")</f>
        <v/>
      </c>
      <c r="F7997" s="49" t="str">
        <f>IFERROR(VLOOKUP(E7997,'Condensed Specialty Crosswalk'!$A$2:$C$106,2,FALSE),"")</f>
        <v/>
      </c>
      <c r="G7997" s="49" t="str">
        <f>IFERROR(VLOOKUP(E7997,'Condensed Specialty Crosswalk'!$A$2:$C$106,3,FALSE),"")</f>
        <v/>
      </c>
    </row>
    <row r="7998" spans="5:7" ht="15" customHeight="1">
      <c r="E7998" s="49" t="str">
        <f>IFERROR(VLOOKUP(D7998,'taxonomy map'!$A$1:$C$107,2,FALSE),"")</f>
        <v/>
      </c>
      <c r="F7998" s="49" t="str">
        <f>IFERROR(VLOOKUP(E7998,'Condensed Specialty Crosswalk'!$A$2:$C$106,2,FALSE),"")</f>
        <v/>
      </c>
      <c r="G7998" s="49" t="str">
        <f>IFERROR(VLOOKUP(E7998,'Condensed Specialty Crosswalk'!$A$2:$C$106,3,FALSE),"")</f>
        <v/>
      </c>
    </row>
    <row r="7999" spans="5:7" ht="15" customHeight="1">
      <c r="E7999" s="49" t="str">
        <f>IFERROR(VLOOKUP(D7999,'taxonomy map'!$A$1:$C$107,2,FALSE),"")</f>
        <v/>
      </c>
      <c r="F7999" s="49" t="str">
        <f>IFERROR(VLOOKUP(E7999,'Condensed Specialty Crosswalk'!$A$2:$C$106,2,FALSE),"")</f>
        <v/>
      </c>
      <c r="G7999" s="49" t="str">
        <f>IFERROR(VLOOKUP(E7999,'Condensed Specialty Crosswalk'!$A$2:$C$106,3,FALSE),"")</f>
        <v/>
      </c>
    </row>
    <row r="8000" spans="5:7" ht="15" customHeight="1">
      <c r="E8000" s="49" t="str">
        <f>IFERROR(VLOOKUP(D8000,'taxonomy map'!$A$1:$C$107,2,FALSE),"")</f>
        <v/>
      </c>
      <c r="F8000" s="49" t="str">
        <f>IFERROR(VLOOKUP(E8000,'Condensed Specialty Crosswalk'!$A$2:$C$106,2,FALSE),"")</f>
        <v/>
      </c>
      <c r="G8000" s="49" t="str">
        <f>IFERROR(VLOOKUP(E8000,'Condensed Specialty Crosswalk'!$A$2:$C$106,3,FALSE),"")</f>
        <v/>
      </c>
    </row>
    <row r="8001" spans="5:7" ht="15" customHeight="1">
      <c r="E8001" s="49" t="str">
        <f>IFERROR(VLOOKUP(D8001,'taxonomy map'!$A$1:$C$107,2,FALSE),"")</f>
        <v/>
      </c>
      <c r="F8001" s="49" t="str">
        <f>IFERROR(VLOOKUP(E8001,'Condensed Specialty Crosswalk'!$A$2:$C$106,2,FALSE),"")</f>
        <v/>
      </c>
      <c r="G8001" s="49" t="str">
        <f>IFERROR(VLOOKUP(E8001,'Condensed Specialty Crosswalk'!$A$2:$C$106,3,FALSE),"")</f>
        <v/>
      </c>
    </row>
    <row r="8002" spans="5:7" ht="15" customHeight="1">
      <c r="E8002" s="49" t="str">
        <f>IFERROR(VLOOKUP(D8002,'taxonomy map'!$A$1:$C$107,2,FALSE),"")</f>
        <v/>
      </c>
      <c r="F8002" s="49" t="str">
        <f>IFERROR(VLOOKUP(E8002,'Condensed Specialty Crosswalk'!$A$2:$C$106,2,FALSE),"")</f>
        <v/>
      </c>
      <c r="G8002" s="49" t="str">
        <f>IFERROR(VLOOKUP(E8002,'Condensed Specialty Crosswalk'!$A$2:$C$106,3,FALSE),"")</f>
        <v/>
      </c>
    </row>
    <row r="8003" spans="5:7" ht="15" customHeight="1">
      <c r="E8003" s="49" t="str">
        <f>IFERROR(VLOOKUP(D8003,'taxonomy map'!$A$1:$C$107,2,FALSE),"")</f>
        <v/>
      </c>
      <c r="F8003" s="49" t="str">
        <f>IFERROR(VLOOKUP(E8003,'Condensed Specialty Crosswalk'!$A$2:$C$106,2,FALSE),"")</f>
        <v/>
      </c>
      <c r="G8003" s="49" t="str">
        <f>IFERROR(VLOOKUP(E8003,'Condensed Specialty Crosswalk'!$A$2:$C$106,3,FALSE),"")</f>
        <v/>
      </c>
    </row>
    <row r="8004" spans="5:7" ht="15" customHeight="1">
      <c r="E8004" s="49" t="str">
        <f>IFERROR(VLOOKUP(D8004,'taxonomy map'!$A$1:$C$107,2,FALSE),"")</f>
        <v/>
      </c>
      <c r="F8004" s="49" t="str">
        <f>IFERROR(VLOOKUP(E8004,'Condensed Specialty Crosswalk'!$A$2:$C$106,2,FALSE),"")</f>
        <v/>
      </c>
      <c r="G8004" s="49" t="str">
        <f>IFERROR(VLOOKUP(E8004,'Condensed Specialty Crosswalk'!$A$2:$C$106,3,FALSE),"")</f>
        <v/>
      </c>
    </row>
    <row r="8005" spans="5:7" ht="15" customHeight="1">
      <c r="E8005" s="49" t="str">
        <f>IFERROR(VLOOKUP(D8005,'taxonomy map'!$A$1:$C$107,2,FALSE),"")</f>
        <v/>
      </c>
      <c r="F8005" s="49" t="str">
        <f>IFERROR(VLOOKUP(E8005,'Condensed Specialty Crosswalk'!$A$2:$C$106,2,FALSE),"")</f>
        <v/>
      </c>
      <c r="G8005" s="49" t="str">
        <f>IFERROR(VLOOKUP(E8005,'Condensed Specialty Crosswalk'!$A$2:$C$106,3,FALSE),"")</f>
        <v/>
      </c>
    </row>
    <row r="8006" spans="5:7" ht="15" customHeight="1">
      <c r="E8006" s="49" t="str">
        <f>IFERROR(VLOOKUP(D8006,'taxonomy map'!$A$1:$C$107,2,FALSE),"")</f>
        <v/>
      </c>
      <c r="F8006" s="49" t="str">
        <f>IFERROR(VLOOKUP(E8006,'Condensed Specialty Crosswalk'!$A$2:$C$106,2,FALSE),"")</f>
        <v/>
      </c>
      <c r="G8006" s="49" t="str">
        <f>IFERROR(VLOOKUP(E8006,'Condensed Specialty Crosswalk'!$A$2:$C$106,3,FALSE),"")</f>
        <v/>
      </c>
    </row>
    <row r="8007" spans="5:7" ht="15" customHeight="1">
      <c r="E8007" s="49" t="str">
        <f>IFERROR(VLOOKUP(D8007,'taxonomy map'!$A$1:$C$107,2,FALSE),"")</f>
        <v/>
      </c>
      <c r="F8007" s="49" t="str">
        <f>IFERROR(VLOOKUP(E8007,'Condensed Specialty Crosswalk'!$A$2:$C$106,2,FALSE),"")</f>
        <v/>
      </c>
      <c r="G8007" s="49" t="str">
        <f>IFERROR(VLOOKUP(E8007,'Condensed Specialty Crosswalk'!$A$2:$C$106,3,FALSE),"")</f>
        <v/>
      </c>
    </row>
    <row r="8008" spans="5:7" ht="15" customHeight="1">
      <c r="E8008" s="49" t="str">
        <f>IFERROR(VLOOKUP(D8008,'taxonomy map'!$A$1:$C$107,2,FALSE),"")</f>
        <v/>
      </c>
      <c r="F8008" s="49" t="str">
        <f>IFERROR(VLOOKUP(E8008,'Condensed Specialty Crosswalk'!$A$2:$C$106,2,FALSE),"")</f>
        <v/>
      </c>
      <c r="G8008" s="49" t="str">
        <f>IFERROR(VLOOKUP(E8008,'Condensed Specialty Crosswalk'!$A$2:$C$106,3,FALSE),"")</f>
        <v/>
      </c>
    </row>
    <row r="8009" spans="5:7" ht="15" customHeight="1">
      <c r="E8009" s="49" t="str">
        <f>IFERROR(VLOOKUP(D8009,'taxonomy map'!$A$1:$C$107,2,FALSE),"")</f>
        <v/>
      </c>
      <c r="F8009" s="49" t="str">
        <f>IFERROR(VLOOKUP(E8009,'Condensed Specialty Crosswalk'!$A$2:$C$106,2,FALSE),"")</f>
        <v/>
      </c>
      <c r="G8009" s="49" t="str">
        <f>IFERROR(VLOOKUP(E8009,'Condensed Specialty Crosswalk'!$A$2:$C$106,3,FALSE),"")</f>
        <v/>
      </c>
    </row>
    <row r="8010" spans="5:7" ht="15" customHeight="1">
      <c r="E8010" s="49" t="str">
        <f>IFERROR(VLOOKUP(D8010,'taxonomy map'!$A$1:$C$107,2,FALSE),"")</f>
        <v/>
      </c>
      <c r="F8010" s="49" t="str">
        <f>IFERROR(VLOOKUP(E8010,'Condensed Specialty Crosswalk'!$A$2:$C$106,2,FALSE),"")</f>
        <v/>
      </c>
      <c r="G8010" s="49" t="str">
        <f>IFERROR(VLOOKUP(E8010,'Condensed Specialty Crosswalk'!$A$2:$C$106,3,FALSE),"")</f>
        <v/>
      </c>
    </row>
    <row r="8011" spans="5:7" ht="15" customHeight="1">
      <c r="E8011" s="49" t="str">
        <f>IFERROR(VLOOKUP(D8011,'taxonomy map'!$A$1:$C$107,2,FALSE),"")</f>
        <v/>
      </c>
      <c r="F8011" s="49" t="str">
        <f>IFERROR(VLOOKUP(E8011,'Condensed Specialty Crosswalk'!$A$2:$C$106,2,FALSE),"")</f>
        <v/>
      </c>
      <c r="G8011" s="49" t="str">
        <f>IFERROR(VLOOKUP(E8011,'Condensed Specialty Crosswalk'!$A$2:$C$106,3,FALSE),"")</f>
        <v/>
      </c>
    </row>
    <row r="8012" spans="5:7" ht="15" customHeight="1">
      <c r="E8012" s="49" t="str">
        <f>IFERROR(VLOOKUP(D8012,'taxonomy map'!$A$1:$C$107,2,FALSE),"")</f>
        <v/>
      </c>
      <c r="F8012" s="49" t="str">
        <f>IFERROR(VLOOKUP(E8012,'Condensed Specialty Crosswalk'!$A$2:$C$106,2,FALSE),"")</f>
        <v/>
      </c>
      <c r="G8012" s="49" t="str">
        <f>IFERROR(VLOOKUP(E8012,'Condensed Specialty Crosswalk'!$A$2:$C$106,3,FALSE),"")</f>
        <v/>
      </c>
    </row>
    <row r="8013" spans="5:7" ht="15" customHeight="1">
      <c r="E8013" s="49" t="str">
        <f>IFERROR(VLOOKUP(D8013,'taxonomy map'!$A$1:$C$107,2,FALSE),"")</f>
        <v/>
      </c>
      <c r="F8013" s="49" t="str">
        <f>IFERROR(VLOOKUP(E8013,'Condensed Specialty Crosswalk'!$A$2:$C$106,2,FALSE),"")</f>
        <v/>
      </c>
      <c r="G8013" s="49" t="str">
        <f>IFERROR(VLOOKUP(E8013,'Condensed Specialty Crosswalk'!$A$2:$C$106,3,FALSE),"")</f>
        <v/>
      </c>
    </row>
    <row r="8014" spans="5:7" ht="15" customHeight="1">
      <c r="E8014" s="49" t="str">
        <f>IFERROR(VLOOKUP(D8014,'taxonomy map'!$A$1:$C$107,2,FALSE),"")</f>
        <v/>
      </c>
      <c r="F8014" s="49" t="str">
        <f>IFERROR(VLOOKUP(E8014,'Condensed Specialty Crosswalk'!$A$2:$C$106,2,FALSE),"")</f>
        <v/>
      </c>
      <c r="G8014" s="49" t="str">
        <f>IFERROR(VLOOKUP(E8014,'Condensed Specialty Crosswalk'!$A$2:$C$106,3,FALSE),"")</f>
        <v/>
      </c>
    </row>
    <row r="8015" spans="5:7" ht="15" customHeight="1">
      <c r="E8015" s="49" t="str">
        <f>IFERROR(VLOOKUP(D8015,'taxonomy map'!$A$1:$C$107,2,FALSE),"")</f>
        <v/>
      </c>
      <c r="F8015" s="49" t="str">
        <f>IFERROR(VLOOKUP(E8015,'Condensed Specialty Crosswalk'!$A$2:$C$106,2,FALSE),"")</f>
        <v/>
      </c>
      <c r="G8015" s="49" t="str">
        <f>IFERROR(VLOOKUP(E8015,'Condensed Specialty Crosswalk'!$A$2:$C$106,3,FALSE),"")</f>
        <v/>
      </c>
    </row>
    <row r="8016" spans="5:7" ht="15" customHeight="1">
      <c r="E8016" s="49" t="str">
        <f>IFERROR(VLOOKUP(D8016,'taxonomy map'!$A$1:$C$107,2,FALSE),"")</f>
        <v/>
      </c>
      <c r="F8016" s="49" t="str">
        <f>IFERROR(VLOOKUP(E8016,'Condensed Specialty Crosswalk'!$A$2:$C$106,2,FALSE),"")</f>
        <v/>
      </c>
      <c r="G8016" s="49" t="str">
        <f>IFERROR(VLOOKUP(E8016,'Condensed Specialty Crosswalk'!$A$2:$C$106,3,FALSE),"")</f>
        <v/>
      </c>
    </row>
    <row r="8017" spans="5:7" ht="15" customHeight="1">
      <c r="E8017" s="49" t="str">
        <f>IFERROR(VLOOKUP(D8017,'taxonomy map'!$A$1:$C$107,2,FALSE),"")</f>
        <v/>
      </c>
      <c r="F8017" s="49" t="str">
        <f>IFERROR(VLOOKUP(E8017,'Condensed Specialty Crosswalk'!$A$2:$C$106,2,FALSE),"")</f>
        <v/>
      </c>
      <c r="G8017" s="49" t="str">
        <f>IFERROR(VLOOKUP(E8017,'Condensed Specialty Crosswalk'!$A$2:$C$106,3,FALSE),"")</f>
        <v/>
      </c>
    </row>
    <row r="8018" spans="5:7" ht="15" customHeight="1">
      <c r="E8018" s="49" t="str">
        <f>IFERROR(VLOOKUP(D8018,'taxonomy map'!$A$1:$C$107,2,FALSE),"")</f>
        <v/>
      </c>
      <c r="F8018" s="49" t="str">
        <f>IFERROR(VLOOKUP(E8018,'Condensed Specialty Crosswalk'!$A$2:$C$106,2,FALSE),"")</f>
        <v/>
      </c>
      <c r="G8018" s="49" t="str">
        <f>IFERROR(VLOOKUP(E8018,'Condensed Specialty Crosswalk'!$A$2:$C$106,3,FALSE),"")</f>
        <v/>
      </c>
    </row>
    <row r="8019" spans="5:7" ht="15" customHeight="1">
      <c r="E8019" s="49" t="str">
        <f>IFERROR(VLOOKUP(D8019,'taxonomy map'!$A$1:$C$107,2,FALSE),"")</f>
        <v/>
      </c>
      <c r="F8019" s="49" t="str">
        <f>IFERROR(VLOOKUP(E8019,'Condensed Specialty Crosswalk'!$A$2:$C$106,2,FALSE),"")</f>
        <v/>
      </c>
      <c r="G8019" s="49" t="str">
        <f>IFERROR(VLOOKUP(E8019,'Condensed Specialty Crosswalk'!$A$2:$C$106,3,FALSE),"")</f>
        <v/>
      </c>
    </row>
    <row r="8020" spans="5:7" ht="15" customHeight="1">
      <c r="E8020" s="49" t="str">
        <f>IFERROR(VLOOKUP(D8020,'taxonomy map'!$A$1:$C$107,2,FALSE),"")</f>
        <v/>
      </c>
      <c r="F8020" s="49" t="str">
        <f>IFERROR(VLOOKUP(E8020,'Condensed Specialty Crosswalk'!$A$2:$C$106,2,FALSE),"")</f>
        <v/>
      </c>
      <c r="G8020" s="49" t="str">
        <f>IFERROR(VLOOKUP(E8020,'Condensed Specialty Crosswalk'!$A$2:$C$106,3,FALSE),"")</f>
        <v/>
      </c>
    </row>
    <row r="8021" spans="5:7" ht="15" customHeight="1">
      <c r="E8021" s="49" t="str">
        <f>IFERROR(VLOOKUP(D8021,'taxonomy map'!$A$1:$C$107,2,FALSE),"")</f>
        <v/>
      </c>
      <c r="F8021" s="49" t="str">
        <f>IFERROR(VLOOKUP(E8021,'Condensed Specialty Crosswalk'!$A$2:$C$106,2,FALSE),"")</f>
        <v/>
      </c>
      <c r="G8021" s="49" t="str">
        <f>IFERROR(VLOOKUP(E8021,'Condensed Specialty Crosswalk'!$A$2:$C$106,3,FALSE),"")</f>
        <v/>
      </c>
    </row>
    <row r="8022" spans="5:7" ht="15" customHeight="1">
      <c r="E8022" s="49" t="str">
        <f>IFERROR(VLOOKUP(D8022,'taxonomy map'!$A$1:$C$107,2,FALSE),"")</f>
        <v/>
      </c>
      <c r="F8022" s="49" t="str">
        <f>IFERROR(VLOOKUP(E8022,'Condensed Specialty Crosswalk'!$A$2:$C$106,2,FALSE),"")</f>
        <v/>
      </c>
      <c r="G8022" s="49" t="str">
        <f>IFERROR(VLOOKUP(E8022,'Condensed Specialty Crosswalk'!$A$2:$C$106,3,FALSE),"")</f>
        <v/>
      </c>
    </row>
    <row r="8023" spans="5:7" ht="15" customHeight="1">
      <c r="E8023" s="49" t="str">
        <f>IFERROR(VLOOKUP(D8023,'taxonomy map'!$A$1:$C$107,2,FALSE),"")</f>
        <v/>
      </c>
      <c r="F8023" s="49" t="str">
        <f>IFERROR(VLOOKUP(E8023,'Condensed Specialty Crosswalk'!$A$2:$C$106,2,FALSE),"")</f>
        <v/>
      </c>
      <c r="G8023" s="49" t="str">
        <f>IFERROR(VLOOKUP(E8023,'Condensed Specialty Crosswalk'!$A$2:$C$106,3,FALSE),"")</f>
        <v/>
      </c>
    </row>
    <row r="8024" spans="5:7" ht="15" customHeight="1">
      <c r="E8024" s="49" t="str">
        <f>IFERROR(VLOOKUP(D8024,'taxonomy map'!$A$1:$C$107,2,FALSE),"")</f>
        <v/>
      </c>
      <c r="F8024" s="49" t="str">
        <f>IFERROR(VLOOKUP(E8024,'Condensed Specialty Crosswalk'!$A$2:$C$106,2,FALSE),"")</f>
        <v/>
      </c>
      <c r="G8024" s="49" t="str">
        <f>IFERROR(VLOOKUP(E8024,'Condensed Specialty Crosswalk'!$A$2:$C$106,3,FALSE),"")</f>
        <v/>
      </c>
    </row>
    <row r="8025" spans="5:7" ht="15" customHeight="1">
      <c r="E8025" s="49" t="str">
        <f>IFERROR(VLOOKUP(D8025,'taxonomy map'!$A$1:$C$107,2,FALSE),"")</f>
        <v/>
      </c>
      <c r="F8025" s="49" t="str">
        <f>IFERROR(VLOOKUP(E8025,'Condensed Specialty Crosswalk'!$A$2:$C$106,2,FALSE),"")</f>
        <v/>
      </c>
      <c r="G8025" s="49" t="str">
        <f>IFERROR(VLOOKUP(E8025,'Condensed Specialty Crosswalk'!$A$2:$C$106,3,FALSE),"")</f>
        <v/>
      </c>
    </row>
    <row r="8026" spans="5:7" ht="15" customHeight="1">
      <c r="E8026" s="49" t="str">
        <f>IFERROR(VLOOKUP(D8026,'taxonomy map'!$A$1:$C$107,2,FALSE),"")</f>
        <v/>
      </c>
      <c r="F8026" s="49" t="str">
        <f>IFERROR(VLOOKUP(E8026,'Condensed Specialty Crosswalk'!$A$2:$C$106,2,FALSE),"")</f>
        <v/>
      </c>
      <c r="G8026" s="49" t="str">
        <f>IFERROR(VLOOKUP(E8026,'Condensed Specialty Crosswalk'!$A$2:$C$106,3,FALSE),"")</f>
        <v/>
      </c>
    </row>
    <row r="8027" spans="5:7" ht="15" customHeight="1">
      <c r="E8027" s="49" t="str">
        <f>IFERROR(VLOOKUP(D8027,'taxonomy map'!$A$1:$C$107,2,FALSE),"")</f>
        <v/>
      </c>
      <c r="F8027" s="49" t="str">
        <f>IFERROR(VLOOKUP(E8027,'Condensed Specialty Crosswalk'!$A$2:$C$106,2,FALSE),"")</f>
        <v/>
      </c>
      <c r="G8027" s="49" t="str">
        <f>IFERROR(VLOOKUP(E8027,'Condensed Specialty Crosswalk'!$A$2:$C$106,3,FALSE),"")</f>
        <v/>
      </c>
    </row>
    <row r="8028" spans="5:7" ht="15" customHeight="1">
      <c r="E8028" s="49" t="str">
        <f>IFERROR(VLOOKUP(D8028,'taxonomy map'!$A$1:$C$107,2,FALSE),"")</f>
        <v/>
      </c>
      <c r="F8028" s="49" t="str">
        <f>IFERROR(VLOOKUP(E8028,'Condensed Specialty Crosswalk'!$A$2:$C$106,2,FALSE),"")</f>
        <v/>
      </c>
      <c r="G8028" s="49" t="str">
        <f>IFERROR(VLOOKUP(E8028,'Condensed Specialty Crosswalk'!$A$2:$C$106,3,FALSE),"")</f>
        <v/>
      </c>
    </row>
    <row r="8029" spans="5:7" ht="15" customHeight="1">
      <c r="E8029" s="49" t="str">
        <f>IFERROR(VLOOKUP(D8029,'taxonomy map'!$A$1:$C$107,2,FALSE),"")</f>
        <v/>
      </c>
      <c r="F8029" s="49" t="str">
        <f>IFERROR(VLOOKUP(E8029,'Condensed Specialty Crosswalk'!$A$2:$C$106,2,FALSE),"")</f>
        <v/>
      </c>
      <c r="G8029" s="49" t="str">
        <f>IFERROR(VLOOKUP(E8029,'Condensed Specialty Crosswalk'!$A$2:$C$106,3,FALSE),"")</f>
        <v/>
      </c>
    </row>
    <row r="8030" spans="5:7" ht="15" customHeight="1">
      <c r="E8030" s="49" t="str">
        <f>IFERROR(VLOOKUP(D8030,'taxonomy map'!$A$1:$C$107,2,FALSE),"")</f>
        <v/>
      </c>
      <c r="F8030" s="49" t="str">
        <f>IFERROR(VLOOKUP(E8030,'Condensed Specialty Crosswalk'!$A$2:$C$106,2,FALSE),"")</f>
        <v/>
      </c>
      <c r="G8030" s="49" t="str">
        <f>IFERROR(VLOOKUP(E8030,'Condensed Specialty Crosswalk'!$A$2:$C$106,3,FALSE),"")</f>
        <v/>
      </c>
    </row>
    <row r="8031" spans="5:7" ht="15" customHeight="1">
      <c r="E8031" s="49" t="str">
        <f>IFERROR(VLOOKUP(D8031,'taxonomy map'!$A$1:$C$107,2,FALSE),"")</f>
        <v/>
      </c>
      <c r="F8031" s="49" t="str">
        <f>IFERROR(VLOOKUP(E8031,'Condensed Specialty Crosswalk'!$A$2:$C$106,2,FALSE),"")</f>
        <v/>
      </c>
      <c r="G8031" s="49" t="str">
        <f>IFERROR(VLOOKUP(E8031,'Condensed Specialty Crosswalk'!$A$2:$C$106,3,FALSE),"")</f>
        <v/>
      </c>
    </row>
    <row r="8032" spans="5:7" ht="15" customHeight="1">
      <c r="E8032" s="49" t="str">
        <f>IFERROR(VLOOKUP(D8032,'taxonomy map'!$A$1:$C$107,2,FALSE),"")</f>
        <v/>
      </c>
      <c r="F8032" s="49" t="str">
        <f>IFERROR(VLOOKUP(E8032,'Condensed Specialty Crosswalk'!$A$2:$C$106,2,FALSE),"")</f>
        <v/>
      </c>
      <c r="G8032" s="49" t="str">
        <f>IFERROR(VLOOKUP(E8032,'Condensed Specialty Crosswalk'!$A$2:$C$106,3,FALSE),"")</f>
        <v/>
      </c>
    </row>
    <row r="8033" spans="5:7" ht="15" customHeight="1">
      <c r="E8033" s="49" t="str">
        <f>IFERROR(VLOOKUP(D8033,'taxonomy map'!$A$1:$C$107,2,FALSE),"")</f>
        <v/>
      </c>
      <c r="F8033" s="49" t="str">
        <f>IFERROR(VLOOKUP(E8033,'Condensed Specialty Crosswalk'!$A$2:$C$106,2,FALSE),"")</f>
        <v/>
      </c>
      <c r="G8033" s="49" t="str">
        <f>IFERROR(VLOOKUP(E8033,'Condensed Specialty Crosswalk'!$A$2:$C$106,3,FALSE),"")</f>
        <v/>
      </c>
    </row>
    <row r="8034" spans="5:7" ht="15" customHeight="1">
      <c r="E8034" s="49" t="str">
        <f>IFERROR(VLOOKUP(D8034,'taxonomy map'!$A$1:$C$107,2,FALSE),"")</f>
        <v/>
      </c>
      <c r="F8034" s="49" t="str">
        <f>IFERROR(VLOOKUP(E8034,'Condensed Specialty Crosswalk'!$A$2:$C$106,2,FALSE),"")</f>
        <v/>
      </c>
      <c r="G8034" s="49" t="str">
        <f>IFERROR(VLOOKUP(E8034,'Condensed Specialty Crosswalk'!$A$2:$C$106,3,FALSE),"")</f>
        <v/>
      </c>
    </row>
    <row r="8035" spans="5:7" ht="15" customHeight="1">
      <c r="E8035" s="49" t="str">
        <f>IFERROR(VLOOKUP(D8035,'taxonomy map'!$A$1:$C$107,2,FALSE),"")</f>
        <v/>
      </c>
      <c r="F8035" s="49" t="str">
        <f>IFERROR(VLOOKUP(E8035,'Condensed Specialty Crosswalk'!$A$2:$C$106,2,FALSE),"")</f>
        <v/>
      </c>
      <c r="G8035" s="49" t="str">
        <f>IFERROR(VLOOKUP(E8035,'Condensed Specialty Crosswalk'!$A$2:$C$106,3,FALSE),"")</f>
        <v/>
      </c>
    </row>
    <row r="8036" spans="5:7" ht="15" customHeight="1">
      <c r="E8036" s="49" t="str">
        <f>IFERROR(VLOOKUP(D8036,'taxonomy map'!$A$1:$C$107,2,FALSE),"")</f>
        <v/>
      </c>
      <c r="F8036" s="49" t="str">
        <f>IFERROR(VLOOKUP(E8036,'Condensed Specialty Crosswalk'!$A$2:$C$106,2,FALSE),"")</f>
        <v/>
      </c>
      <c r="G8036" s="49" t="str">
        <f>IFERROR(VLOOKUP(E8036,'Condensed Specialty Crosswalk'!$A$2:$C$106,3,FALSE),"")</f>
        <v/>
      </c>
    </row>
    <row r="8037" spans="5:7" ht="15" customHeight="1">
      <c r="E8037" s="49" t="str">
        <f>IFERROR(VLOOKUP(D8037,'taxonomy map'!$A$1:$C$107,2,FALSE),"")</f>
        <v/>
      </c>
      <c r="F8037" s="49" t="str">
        <f>IFERROR(VLOOKUP(E8037,'Condensed Specialty Crosswalk'!$A$2:$C$106,2,FALSE),"")</f>
        <v/>
      </c>
      <c r="G8037" s="49" t="str">
        <f>IFERROR(VLOOKUP(E8037,'Condensed Specialty Crosswalk'!$A$2:$C$106,3,FALSE),"")</f>
        <v/>
      </c>
    </row>
    <row r="8038" spans="5:7" ht="15" customHeight="1">
      <c r="E8038" s="49" t="str">
        <f>IFERROR(VLOOKUP(D8038,'taxonomy map'!$A$1:$C$107,2,FALSE),"")</f>
        <v/>
      </c>
      <c r="F8038" s="49" t="str">
        <f>IFERROR(VLOOKUP(E8038,'Condensed Specialty Crosswalk'!$A$2:$C$106,2,FALSE),"")</f>
        <v/>
      </c>
      <c r="G8038" s="49" t="str">
        <f>IFERROR(VLOOKUP(E8038,'Condensed Specialty Crosswalk'!$A$2:$C$106,3,FALSE),"")</f>
        <v/>
      </c>
    </row>
    <row r="8039" spans="5:7" ht="15" customHeight="1">
      <c r="E8039" s="49" t="str">
        <f>IFERROR(VLOOKUP(D8039,'taxonomy map'!$A$1:$C$107,2,FALSE),"")</f>
        <v/>
      </c>
      <c r="F8039" s="49" t="str">
        <f>IFERROR(VLOOKUP(E8039,'Condensed Specialty Crosswalk'!$A$2:$C$106,2,FALSE),"")</f>
        <v/>
      </c>
      <c r="G8039" s="49" t="str">
        <f>IFERROR(VLOOKUP(E8039,'Condensed Specialty Crosswalk'!$A$2:$C$106,3,FALSE),"")</f>
        <v/>
      </c>
    </row>
    <row r="8040" spans="5:7" ht="15" customHeight="1">
      <c r="E8040" s="49" t="str">
        <f>IFERROR(VLOOKUP(D8040,'taxonomy map'!$A$1:$C$107,2,FALSE),"")</f>
        <v/>
      </c>
      <c r="F8040" s="49" t="str">
        <f>IFERROR(VLOOKUP(E8040,'Condensed Specialty Crosswalk'!$A$2:$C$106,2,FALSE),"")</f>
        <v/>
      </c>
      <c r="G8040" s="49" t="str">
        <f>IFERROR(VLOOKUP(E8040,'Condensed Specialty Crosswalk'!$A$2:$C$106,3,FALSE),"")</f>
        <v/>
      </c>
    </row>
    <row r="8041" spans="5:7" ht="15" customHeight="1">
      <c r="E8041" s="49" t="str">
        <f>IFERROR(VLOOKUP(D8041,'taxonomy map'!$A$1:$C$107,2,FALSE),"")</f>
        <v/>
      </c>
      <c r="F8041" s="49" t="str">
        <f>IFERROR(VLOOKUP(E8041,'Condensed Specialty Crosswalk'!$A$2:$C$106,2,FALSE),"")</f>
        <v/>
      </c>
      <c r="G8041" s="49" t="str">
        <f>IFERROR(VLOOKUP(E8041,'Condensed Specialty Crosswalk'!$A$2:$C$106,3,FALSE),"")</f>
        <v/>
      </c>
    </row>
    <row r="8042" spans="5:7" ht="15" customHeight="1">
      <c r="E8042" s="49" t="str">
        <f>IFERROR(VLOOKUP(D8042,'taxonomy map'!$A$1:$C$107,2,FALSE),"")</f>
        <v/>
      </c>
      <c r="F8042" s="49" t="str">
        <f>IFERROR(VLOOKUP(E8042,'Condensed Specialty Crosswalk'!$A$2:$C$106,2,FALSE),"")</f>
        <v/>
      </c>
      <c r="G8042" s="49" t="str">
        <f>IFERROR(VLOOKUP(E8042,'Condensed Specialty Crosswalk'!$A$2:$C$106,3,FALSE),"")</f>
        <v/>
      </c>
    </row>
    <row r="8043" spans="5:7" ht="15" customHeight="1">
      <c r="E8043" s="49" t="str">
        <f>IFERROR(VLOOKUP(D8043,'taxonomy map'!$A$1:$C$107,2,FALSE),"")</f>
        <v/>
      </c>
      <c r="F8043" s="49" t="str">
        <f>IFERROR(VLOOKUP(E8043,'Condensed Specialty Crosswalk'!$A$2:$C$106,2,FALSE),"")</f>
        <v/>
      </c>
      <c r="G8043" s="49" t="str">
        <f>IFERROR(VLOOKUP(E8043,'Condensed Specialty Crosswalk'!$A$2:$C$106,3,FALSE),"")</f>
        <v/>
      </c>
    </row>
    <row r="8044" spans="5:7" ht="15" customHeight="1">
      <c r="E8044" s="49" t="str">
        <f>IFERROR(VLOOKUP(D8044,'taxonomy map'!$A$1:$C$107,2,FALSE),"")</f>
        <v/>
      </c>
      <c r="F8044" s="49" t="str">
        <f>IFERROR(VLOOKUP(E8044,'Condensed Specialty Crosswalk'!$A$2:$C$106,2,FALSE),"")</f>
        <v/>
      </c>
      <c r="G8044" s="49" t="str">
        <f>IFERROR(VLOOKUP(E8044,'Condensed Specialty Crosswalk'!$A$2:$C$106,3,FALSE),"")</f>
        <v/>
      </c>
    </row>
    <row r="8045" spans="5:7" ht="15" customHeight="1">
      <c r="E8045" s="49" t="str">
        <f>IFERROR(VLOOKUP(D8045,'taxonomy map'!$A$1:$C$107,2,FALSE),"")</f>
        <v/>
      </c>
      <c r="F8045" s="49" t="str">
        <f>IFERROR(VLOOKUP(E8045,'Condensed Specialty Crosswalk'!$A$2:$C$106,2,FALSE),"")</f>
        <v/>
      </c>
      <c r="G8045" s="49" t="str">
        <f>IFERROR(VLOOKUP(E8045,'Condensed Specialty Crosswalk'!$A$2:$C$106,3,FALSE),"")</f>
        <v/>
      </c>
    </row>
    <row r="8046" spans="5:7" ht="15" customHeight="1">
      <c r="E8046" s="49" t="str">
        <f>IFERROR(VLOOKUP(D8046,'taxonomy map'!$A$1:$C$107,2,FALSE),"")</f>
        <v/>
      </c>
      <c r="F8046" s="49" t="str">
        <f>IFERROR(VLOOKUP(E8046,'Condensed Specialty Crosswalk'!$A$2:$C$106,2,FALSE),"")</f>
        <v/>
      </c>
      <c r="G8046" s="49" t="str">
        <f>IFERROR(VLOOKUP(E8046,'Condensed Specialty Crosswalk'!$A$2:$C$106,3,FALSE),"")</f>
        <v/>
      </c>
    </row>
    <row r="8047" spans="5:7" ht="15" customHeight="1">
      <c r="E8047" s="49" t="str">
        <f>IFERROR(VLOOKUP(D8047,'taxonomy map'!$A$1:$C$107,2,FALSE),"")</f>
        <v/>
      </c>
      <c r="F8047" s="49" t="str">
        <f>IFERROR(VLOOKUP(E8047,'Condensed Specialty Crosswalk'!$A$2:$C$106,2,FALSE),"")</f>
        <v/>
      </c>
      <c r="G8047" s="49" t="str">
        <f>IFERROR(VLOOKUP(E8047,'Condensed Specialty Crosswalk'!$A$2:$C$106,3,FALSE),"")</f>
        <v/>
      </c>
    </row>
    <row r="8048" spans="5:7" ht="15" customHeight="1">
      <c r="E8048" s="49" t="str">
        <f>IFERROR(VLOOKUP(D8048,'taxonomy map'!$A$1:$C$107,2,FALSE),"")</f>
        <v/>
      </c>
      <c r="F8048" s="49" t="str">
        <f>IFERROR(VLOOKUP(E8048,'Condensed Specialty Crosswalk'!$A$2:$C$106,2,FALSE),"")</f>
        <v/>
      </c>
      <c r="G8048" s="49" t="str">
        <f>IFERROR(VLOOKUP(E8048,'Condensed Specialty Crosswalk'!$A$2:$C$106,3,FALSE),"")</f>
        <v/>
      </c>
    </row>
    <row r="8049" spans="5:7" ht="15" customHeight="1">
      <c r="E8049" s="49" t="str">
        <f>IFERROR(VLOOKUP(D8049,'taxonomy map'!$A$1:$C$107,2,FALSE),"")</f>
        <v/>
      </c>
      <c r="F8049" s="49" t="str">
        <f>IFERROR(VLOOKUP(E8049,'Condensed Specialty Crosswalk'!$A$2:$C$106,2,FALSE),"")</f>
        <v/>
      </c>
      <c r="G8049" s="49" t="str">
        <f>IFERROR(VLOOKUP(E8049,'Condensed Specialty Crosswalk'!$A$2:$C$106,3,FALSE),"")</f>
        <v/>
      </c>
    </row>
    <row r="8050" spans="5:7" ht="15" customHeight="1">
      <c r="E8050" s="49" t="str">
        <f>IFERROR(VLOOKUP(D8050,'taxonomy map'!$A$1:$C$107,2,FALSE),"")</f>
        <v/>
      </c>
      <c r="F8050" s="49" t="str">
        <f>IFERROR(VLOOKUP(E8050,'Condensed Specialty Crosswalk'!$A$2:$C$106,2,FALSE),"")</f>
        <v/>
      </c>
      <c r="G8050" s="49" t="str">
        <f>IFERROR(VLOOKUP(E8050,'Condensed Specialty Crosswalk'!$A$2:$C$106,3,FALSE),"")</f>
        <v/>
      </c>
    </row>
    <row r="8051" spans="5:7" ht="15" customHeight="1">
      <c r="E8051" s="49" t="str">
        <f>IFERROR(VLOOKUP(D8051,'taxonomy map'!$A$1:$C$107,2,FALSE),"")</f>
        <v/>
      </c>
      <c r="F8051" s="49" t="str">
        <f>IFERROR(VLOOKUP(E8051,'Condensed Specialty Crosswalk'!$A$2:$C$106,2,FALSE),"")</f>
        <v/>
      </c>
      <c r="G8051" s="49" t="str">
        <f>IFERROR(VLOOKUP(E8051,'Condensed Specialty Crosswalk'!$A$2:$C$106,3,FALSE),"")</f>
        <v/>
      </c>
    </row>
    <row r="8052" spans="5:7" ht="15" customHeight="1">
      <c r="E8052" s="49" t="str">
        <f>IFERROR(VLOOKUP(D8052,'taxonomy map'!$A$1:$C$107,2,FALSE),"")</f>
        <v/>
      </c>
      <c r="F8052" s="49" t="str">
        <f>IFERROR(VLOOKUP(E8052,'Condensed Specialty Crosswalk'!$A$2:$C$106,2,FALSE),"")</f>
        <v/>
      </c>
      <c r="G8052" s="49" t="str">
        <f>IFERROR(VLOOKUP(E8052,'Condensed Specialty Crosswalk'!$A$2:$C$106,3,FALSE),"")</f>
        <v/>
      </c>
    </row>
    <row r="8053" spans="5:7" ht="15" customHeight="1">
      <c r="E8053" s="49" t="str">
        <f>IFERROR(VLOOKUP(D8053,'taxonomy map'!$A$1:$C$107,2,FALSE),"")</f>
        <v/>
      </c>
      <c r="F8053" s="49" t="str">
        <f>IFERROR(VLOOKUP(E8053,'Condensed Specialty Crosswalk'!$A$2:$C$106,2,FALSE),"")</f>
        <v/>
      </c>
      <c r="G8053" s="49" t="str">
        <f>IFERROR(VLOOKUP(E8053,'Condensed Specialty Crosswalk'!$A$2:$C$106,3,FALSE),"")</f>
        <v/>
      </c>
    </row>
    <row r="8054" spans="5:7" ht="15" customHeight="1">
      <c r="E8054" s="49" t="str">
        <f>IFERROR(VLOOKUP(D8054,'taxonomy map'!$A$1:$C$107,2,FALSE),"")</f>
        <v/>
      </c>
      <c r="F8054" s="49" t="str">
        <f>IFERROR(VLOOKUP(E8054,'Condensed Specialty Crosswalk'!$A$2:$C$106,2,FALSE),"")</f>
        <v/>
      </c>
      <c r="G8054" s="49" t="str">
        <f>IFERROR(VLOOKUP(E8054,'Condensed Specialty Crosswalk'!$A$2:$C$106,3,FALSE),"")</f>
        <v/>
      </c>
    </row>
    <row r="8055" spans="5:7" ht="15" customHeight="1">
      <c r="E8055" s="49" t="str">
        <f>IFERROR(VLOOKUP(D8055,'taxonomy map'!$A$1:$C$107,2,FALSE),"")</f>
        <v/>
      </c>
      <c r="F8055" s="49" t="str">
        <f>IFERROR(VLOOKUP(E8055,'Condensed Specialty Crosswalk'!$A$2:$C$106,2,FALSE),"")</f>
        <v/>
      </c>
      <c r="G8055" s="49" t="str">
        <f>IFERROR(VLOOKUP(E8055,'Condensed Specialty Crosswalk'!$A$2:$C$106,3,FALSE),"")</f>
        <v/>
      </c>
    </row>
    <row r="8056" spans="5:7" ht="15" customHeight="1">
      <c r="E8056" s="49" t="str">
        <f>IFERROR(VLOOKUP(D8056,'taxonomy map'!$A$1:$C$107,2,FALSE),"")</f>
        <v/>
      </c>
      <c r="F8056" s="49" t="str">
        <f>IFERROR(VLOOKUP(E8056,'Condensed Specialty Crosswalk'!$A$2:$C$106,2,FALSE),"")</f>
        <v/>
      </c>
      <c r="G8056" s="49" t="str">
        <f>IFERROR(VLOOKUP(E8056,'Condensed Specialty Crosswalk'!$A$2:$C$106,3,FALSE),"")</f>
        <v/>
      </c>
    </row>
    <row r="8057" spans="5:7" ht="15" customHeight="1">
      <c r="E8057" s="49" t="str">
        <f>IFERROR(VLOOKUP(D8057,'taxonomy map'!$A$1:$C$107,2,FALSE),"")</f>
        <v/>
      </c>
      <c r="F8057" s="49" t="str">
        <f>IFERROR(VLOOKUP(E8057,'Condensed Specialty Crosswalk'!$A$2:$C$106,2,FALSE),"")</f>
        <v/>
      </c>
      <c r="G8057" s="49" t="str">
        <f>IFERROR(VLOOKUP(E8057,'Condensed Specialty Crosswalk'!$A$2:$C$106,3,FALSE),"")</f>
        <v/>
      </c>
    </row>
    <row r="8058" spans="5:7" ht="15" customHeight="1">
      <c r="E8058" s="49" t="str">
        <f>IFERROR(VLOOKUP(D8058,'taxonomy map'!$A$1:$C$107,2,FALSE),"")</f>
        <v/>
      </c>
      <c r="F8058" s="49" t="str">
        <f>IFERROR(VLOOKUP(E8058,'Condensed Specialty Crosswalk'!$A$2:$C$106,2,FALSE),"")</f>
        <v/>
      </c>
      <c r="G8058" s="49" t="str">
        <f>IFERROR(VLOOKUP(E8058,'Condensed Specialty Crosswalk'!$A$2:$C$106,3,FALSE),"")</f>
        <v/>
      </c>
    </row>
    <row r="8059" spans="5:7" ht="15" customHeight="1">
      <c r="E8059" s="49" t="str">
        <f>IFERROR(VLOOKUP(D8059,'taxonomy map'!$A$1:$C$107,2,FALSE),"")</f>
        <v/>
      </c>
      <c r="F8059" s="49" t="str">
        <f>IFERROR(VLOOKUP(E8059,'Condensed Specialty Crosswalk'!$A$2:$C$106,2,FALSE),"")</f>
        <v/>
      </c>
      <c r="G8059" s="49" t="str">
        <f>IFERROR(VLOOKUP(E8059,'Condensed Specialty Crosswalk'!$A$2:$C$106,3,FALSE),"")</f>
        <v/>
      </c>
    </row>
    <row r="8060" spans="5:7" ht="15" customHeight="1">
      <c r="E8060" s="49" t="str">
        <f>IFERROR(VLOOKUP(D8060,'taxonomy map'!$A$1:$C$107,2,FALSE),"")</f>
        <v/>
      </c>
      <c r="F8060" s="49" t="str">
        <f>IFERROR(VLOOKUP(E8060,'Condensed Specialty Crosswalk'!$A$2:$C$106,2,FALSE),"")</f>
        <v/>
      </c>
      <c r="G8060" s="49" t="str">
        <f>IFERROR(VLOOKUP(E8060,'Condensed Specialty Crosswalk'!$A$2:$C$106,3,FALSE),"")</f>
        <v/>
      </c>
    </row>
    <row r="8061" spans="5:7" ht="15" customHeight="1">
      <c r="E8061" s="49" t="str">
        <f>IFERROR(VLOOKUP(D8061,'taxonomy map'!$A$1:$C$107,2,FALSE),"")</f>
        <v/>
      </c>
      <c r="F8061" s="49" t="str">
        <f>IFERROR(VLOOKUP(E8061,'Condensed Specialty Crosswalk'!$A$2:$C$106,2,FALSE),"")</f>
        <v/>
      </c>
      <c r="G8061" s="49" t="str">
        <f>IFERROR(VLOOKUP(E8061,'Condensed Specialty Crosswalk'!$A$2:$C$106,3,FALSE),"")</f>
        <v/>
      </c>
    </row>
    <row r="8062" spans="5:7" ht="15" customHeight="1">
      <c r="E8062" s="49" t="str">
        <f>IFERROR(VLOOKUP(D8062,'taxonomy map'!$A$1:$C$107,2,FALSE),"")</f>
        <v/>
      </c>
      <c r="F8062" s="49" t="str">
        <f>IFERROR(VLOOKUP(E8062,'Condensed Specialty Crosswalk'!$A$2:$C$106,2,FALSE),"")</f>
        <v/>
      </c>
      <c r="G8062" s="49" t="str">
        <f>IFERROR(VLOOKUP(E8062,'Condensed Specialty Crosswalk'!$A$2:$C$106,3,FALSE),"")</f>
        <v/>
      </c>
    </row>
    <row r="8063" spans="5:7" ht="15" customHeight="1">
      <c r="E8063" s="49" t="str">
        <f>IFERROR(VLOOKUP(D8063,'taxonomy map'!$A$1:$C$107,2,FALSE),"")</f>
        <v/>
      </c>
      <c r="F8063" s="49" t="str">
        <f>IFERROR(VLOOKUP(E8063,'Condensed Specialty Crosswalk'!$A$2:$C$106,2,FALSE),"")</f>
        <v/>
      </c>
      <c r="G8063" s="49" t="str">
        <f>IFERROR(VLOOKUP(E8063,'Condensed Specialty Crosswalk'!$A$2:$C$106,3,FALSE),"")</f>
        <v/>
      </c>
    </row>
    <row r="8064" spans="5:7" ht="15" customHeight="1">
      <c r="E8064" s="49" t="str">
        <f>IFERROR(VLOOKUP(D8064,'taxonomy map'!$A$1:$C$107,2,FALSE),"")</f>
        <v/>
      </c>
      <c r="F8064" s="49" t="str">
        <f>IFERROR(VLOOKUP(E8064,'Condensed Specialty Crosswalk'!$A$2:$C$106,2,FALSE),"")</f>
        <v/>
      </c>
      <c r="G8064" s="49" t="str">
        <f>IFERROR(VLOOKUP(E8064,'Condensed Specialty Crosswalk'!$A$2:$C$106,3,FALSE),"")</f>
        <v/>
      </c>
    </row>
    <row r="8065" spans="5:7" ht="15" customHeight="1">
      <c r="E8065" s="49" t="str">
        <f>IFERROR(VLOOKUP(D8065,'taxonomy map'!$A$1:$C$107,2,FALSE),"")</f>
        <v/>
      </c>
      <c r="F8065" s="49" t="str">
        <f>IFERROR(VLOOKUP(E8065,'Condensed Specialty Crosswalk'!$A$2:$C$106,2,FALSE),"")</f>
        <v/>
      </c>
      <c r="G8065" s="49" t="str">
        <f>IFERROR(VLOOKUP(E8065,'Condensed Specialty Crosswalk'!$A$2:$C$106,3,FALSE),"")</f>
        <v/>
      </c>
    </row>
    <row r="8066" spans="5:7" ht="15" customHeight="1">
      <c r="E8066" s="49" t="str">
        <f>IFERROR(VLOOKUP(D8066,'taxonomy map'!$A$1:$C$107,2,FALSE),"")</f>
        <v/>
      </c>
      <c r="F8066" s="49" t="str">
        <f>IFERROR(VLOOKUP(E8066,'Condensed Specialty Crosswalk'!$A$2:$C$106,2,FALSE),"")</f>
        <v/>
      </c>
      <c r="G8066" s="49" t="str">
        <f>IFERROR(VLOOKUP(E8066,'Condensed Specialty Crosswalk'!$A$2:$C$106,3,FALSE),"")</f>
        <v/>
      </c>
    </row>
    <row r="8067" spans="5:7" ht="15" customHeight="1">
      <c r="E8067" s="49" t="str">
        <f>IFERROR(VLOOKUP(D8067,'taxonomy map'!$A$1:$C$107,2,FALSE),"")</f>
        <v/>
      </c>
      <c r="F8067" s="49" t="str">
        <f>IFERROR(VLOOKUP(E8067,'Condensed Specialty Crosswalk'!$A$2:$C$106,2,FALSE),"")</f>
        <v/>
      </c>
      <c r="G8067" s="49" t="str">
        <f>IFERROR(VLOOKUP(E8067,'Condensed Specialty Crosswalk'!$A$2:$C$106,3,FALSE),"")</f>
        <v/>
      </c>
    </row>
    <row r="8068" spans="5:7" ht="15" customHeight="1">
      <c r="E8068" s="49" t="str">
        <f>IFERROR(VLOOKUP(D8068,'taxonomy map'!$A$1:$C$107,2,FALSE),"")</f>
        <v/>
      </c>
      <c r="F8068" s="49" t="str">
        <f>IFERROR(VLOOKUP(E8068,'Condensed Specialty Crosswalk'!$A$2:$C$106,2,FALSE),"")</f>
        <v/>
      </c>
      <c r="G8068" s="49" t="str">
        <f>IFERROR(VLOOKUP(E8068,'Condensed Specialty Crosswalk'!$A$2:$C$106,3,FALSE),"")</f>
        <v/>
      </c>
    </row>
    <row r="8069" spans="5:7" ht="15" customHeight="1">
      <c r="E8069" s="49" t="str">
        <f>IFERROR(VLOOKUP(D8069,'taxonomy map'!$A$1:$C$107,2,FALSE),"")</f>
        <v/>
      </c>
      <c r="F8069" s="49" t="str">
        <f>IFERROR(VLOOKUP(E8069,'Condensed Specialty Crosswalk'!$A$2:$C$106,2,FALSE),"")</f>
        <v/>
      </c>
      <c r="G8069" s="49" t="str">
        <f>IFERROR(VLOOKUP(E8069,'Condensed Specialty Crosswalk'!$A$2:$C$106,3,FALSE),"")</f>
        <v/>
      </c>
    </row>
    <row r="8070" spans="5:7" ht="15" customHeight="1">
      <c r="E8070" s="49" t="str">
        <f>IFERROR(VLOOKUP(D8070,'taxonomy map'!$A$1:$C$107,2,FALSE),"")</f>
        <v/>
      </c>
      <c r="F8070" s="49" t="str">
        <f>IFERROR(VLOOKUP(E8070,'Condensed Specialty Crosswalk'!$A$2:$C$106,2,FALSE),"")</f>
        <v/>
      </c>
      <c r="G8070" s="49" t="str">
        <f>IFERROR(VLOOKUP(E8070,'Condensed Specialty Crosswalk'!$A$2:$C$106,3,FALSE),"")</f>
        <v/>
      </c>
    </row>
    <row r="8071" spans="5:7" ht="15" customHeight="1">
      <c r="E8071" s="49" t="str">
        <f>IFERROR(VLOOKUP(D8071,'taxonomy map'!$A$1:$C$107,2,FALSE),"")</f>
        <v/>
      </c>
      <c r="F8071" s="49" t="str">
        <f>IFERROR(VLOOKUP(E8071,'Condensed Specialty Crosswalk'!$A$2:$C$106,2,FALSE),"")</f>
        <v/>
      </c>
      <c r="G8071" s="49" t="str">
        <f>IFERROR(VLOOKUP(E8071,'Condensed Specialty Crosswalk'!$A$2:$C$106,3,FALSE),"")</f>
        <v/>
      </c>
    </row>
    <row r="8072" spans="5:7" ht="15" customHeight="1">
      <c r="E8072" s="49" t="str">
        <f>IFERROR(VLOOKUP(D8072,'taxonomy map'!$A$1:$C$107,2,FALSE),"")</f>
        <v/>
      </c>
      <c r="F8072" s="49" t="str">
        <f>IFERROR(VLOOKUP(E8072,'Condensed Specialty Crosswalk'!$A$2:$C$106,2,FALSE),"")</f>
        <v/>
      </c>
      <c r="G8072" s="49" t="str">
        <f>IFERROR(VLOOKUP(E8072,'Condensed Specialty Crosswalk'!$A$2:$C$106,3,FALSE),"")</f>
        <v/>
      </c>
    </row>
    <row r="8073" spans="5:7" ht="15" customHeight="1">
      <c r="E8073" s="49" t="str">
        <f>IFERROR(VLOOKUP(D8073,'taxonomy map'!$A$1:$C$107,2,FALSE),"")</f>
        <v/>
      </c>
      <c r="F8073" s="49" t="str">
        <f>IFERROR(VLOOKUP(E8073,'Condensed Specialty Crosswalk'!$A$2:$C$106,2,FALSE),"")</f>
        <v/>
      </c>
      <c r="G8073" s="49" t="str">
        <f>IFERROR(VLOOKUP(E8073,'Condensed Specialty Crosswalk'!$A$2:$C$106,3,FALSE),"")</f>
        <v/>
      </c>
    </row>
    <row r="8074" spans="5:7" ht="15" customHeight="1">
      <c r="E8074" s="49" t="str">
        <f>IFERROR(VLOOKUP(D8074,'taxonomy map'!$A$1:$C$107,2,FALSE),"")</f>
        <v/>
      </c>
      <c r="F8074" s="49" t="str">
        <f>IFERROR(VLOOKUP(E8074,'Condensed Specialty Crosswalk'!$A$2:$C$106,2,FALSE),"")</f>
        <v/>
      </c>
      <c r="G8074" s="49" t="str">
        <f>IFERROR(VLOOKUP(E8074,'Condensed Specialty Crosswalk'!$A$2:$C$106,3,FALSE),"")</f>
        <v/>
      </c>
    </row>
    <row r="8075" spans="5:7" ht="15" customHeight="1">
      <c r="E8075" s="49" t="str">
        <f>IFERROR(VLOOKUP(D8075,'taxonomy map'!$A$1:$C$107,2,FALSE),"")</f>
        <v/>
      </c>
      <c r="F8075" s="49" t="str">
        <f>IFERROR(VLOOKUP(E8075,'Condensed Specialty Crosswalk'!$A$2:$C$106,2,FALSE),"")</f>
        <v/>
      </c>
      <c r="G8075" s="49" t="str">
        <f>IFERROR(VLOOKUP(E8075,'Condensed Specialty Crosswalk'!$A$2:$C$106,3,FALSE),"")</f>
        <v/>
      </c>
    </row>
    <row r="8076" spans="5:7" ht="15" customHeight="1">
      <c r="E8076" s="49" t="str">
        <f>IFERROR(VLOOKUP(D8076,'taxonomy map'!$A$1:$C$107,2,FALSE),"")</f>
        <v/>
      </c>
      <c r="F8076" s="49" t="str">
        <f>IFERROR(VLOOKUP(E8076,'Condensed Specialty Crosswalk'!$A$2:$C$106,2,FALSE),"")</f>
        <v/>
      </c>
      <c r="G8076" s="49" t="str">
        <f>IFERROR(VLOOKUP(E8076,'Condensed Specialty Crosswalk'!$A$2:$C$106,3,FALSE),"")</f>
        <v/>
      </c>
    </row>
    <row r="8077" spans="5:7" ht="15" customHeight="1">
      <c r="E8077" s="49" t="str">
        <f>IFERROR(VLOOKUP(D8077,'taxonomy map'!$A$1:$C$107,2,FALSE),"")</f>
        <v/>
      </c>
      <c r="F8077" s="49" t="str">
        <f>IFERROR(VLOOKUP(E8077,'Condensed Specialty Crosswalk'!$A$2:$C$106,2,FALSE),"")</f>
        <v/>
      </c>
      <c r="G8077" s="49" t="str">
        <f>IFERROR(VLOOKUP(E8077,'Condensed Specialty Crosswalk'!$A$2:$C$106,3,FALSE),"")</f>
        <v/>
      </c>
    </row>
    <row r="8078" spans="5:7" ht="15" customHeight="1">
      <c r="E8078" s="49" t="str">
        <f>IFERROR(VLOOKUP(D8078,'taxonomy map'!$A$1:$C$107,2,FALSE),"")</f>
        <v/>
      </c>
      <c r="F8078" s="49" t="str">
        <f>IFERROR(VLOOKUP(E8078,'Condensed Specialty Crosswalk'!$A$2:$C$106,2,FALSE),"")</f>
        <v/>
      </c>
      <c r="G8078" s="49" t="str">
        <f>IFERROR(VLOOKUP(E8078,'Condensed Specialty Crosswalk'!$A$2:$C$106,3,FALSE),"")</f>
        <v/>
      </c>
    </row>
    <row r="8079" spans="5:7" ht="15" customHeight="1">
      <c r="E8079" s="49" t="str">
        <f>IFERROR(VLOOKUP(D8079,'taxonomy map'!$A$1:$C$107,2,FALSE),"")</f>
        <v/>
      </c>
      <c r="F8079" s="49" t="str">
        <f>IFERROR(VLOOKUP(E8079,'Condensed Specialty Crosswalk'!$A$2:$C$106,2,FALSE),"")</f>
        <v/>
      </c>
      <c r="G8079" s="49" t="str">
        <f>IFERROR(VLOOKUP(E8079,'Condensed Specialty Crosswalk'!$A$2:$C$106,3,FALSE),"")</f>
        <v/>
      </c>
    </row>
    <row r="8080" spans="5:7" ht="15" customHeight="1">
      <c r="E8080" s="49" t="str">
        <f>IFERROR(VLOOKUP(D8080,'taxonomy map'!$A$1:$C$107,2,FALSE),"")</f>
        <v/>
      </c>
      <c r="F8080" s="49" t="str">
        <f>IFERROR(VLOOKUP(E8080,'Condensed Specialty Crosswalk'!$A$2:$C$106,2,FALSE),"")</f>
        <v/>
      </c>
      <c r="G8080" s="49" t="str">
        <f>IFERROR(VLOOKUP(E8080,'Condensed Specialty Crosswalk'!$A$2:$C$106,3,FALSE),"")</f>
        <v/>
      </c>
    </row>
    <row r="8081" spans="5:7" ht="15" customHeight="1">
      <c r="E8081" s="49" t="str">
        <f>IFERROR(VLOOKUP(D8081,'taxonomy map'!$A$1:$C$107,2,FALSE),"")</f>
        <v/>
      </c>
      <c r="F8081" s="49" t="str">
        <f>IFERROR(VLOOKUP(E8081,'Condensed Specialty Crosswalk'!$A$2:$C$106,2,FALSE),"")</f>
        <v/>
      </c>
      <c r="G8081" s="49" t="str">
        <f>IFERROR(VLOOKUP(E8081,'Condensed Specialty Crosswalk'!$A$2:$C$106,3,FALSE),"")</f>
        <v/>
      </c>
    </row>
    <row r="8082" spans="5:7" ht="15" customHeight="1">
      <c r="E8082" s="49" t="str">
        <f>IFERROR(VLOOKUP(D8082,'taxonomy map'!$A$1:$C$107,2,FALSE),"")</f>
        <v/>
      </c>
      <c r="F8082" s="49" t="str">
        <f>IFERROR(VLOOKUP(E8082,'Condensed Specialty Crosswalk'!$A$2:$C$106,2,FALSE),"")</f>
        <v/>
      </c>
      <c r="G8082" s="49" t="str">
        <f>IFERROR(VLOOKUP(E8082,'Condensed Specialty Crosswalk'!$A$2:$C$106,3,FALSE),"")</f>
        <v/>
      </c>
    </row>
    <row r="8083" spans="5:7" ht="15" customHeight="1">
      <c r="E8083" s="49" t="str">
        <f>IFERROR(VLOOKUP(D8083,'taxonomy map'!$A$1:$C$107,2,FALSE),"")</f>
        <v/>
      </c>
      <c r="F8083" s="49" t="str">
        <f>IFERROR(VLOOKUP(E8083,'Condensed Specialty Crosswalk'!$A$2:$C$106,2,FALSE),"")</f>
        <v/>
      </c>
      <c r="G8083" s="49" t="str">
        <f>IFERROR(VLOOKUP(E8083,'Condensed Specialty Crosswalk'!$A$2:$C$106,3,FALSE),"")</f>
        <v/>
      </c>
    </row>
    <row r="8084" spans="5:7" ht="15" customHeight="1">
      <c r="E8084" s="49" t="str">
        <f>IFERROR(VLOOKUP(D8084,'taxonomy map'!$A$1:$C$107,2,FALSE),"")</f>
        <v/>
      </c>
      <c r="F8084" s="49" t="str">
        <f>IFERROR(VLOOKUP(E8084,'Condensed Specialty Crosswalk'!$A$2:$C$106,2,FALSE),"")</f>
        <v/>
      </c>
      <c r="G8084" s="49" t="str">
        <f>IFERROR(VLOOKUP(E8084,'Condensed Specialty Crosswalk'!$A$2:$C$106,3,FALSE),"")</f>
        <v/>
      </c>
    </row>
    <row r="8085" spans="5:7" ht="15" customHeight="1">
      <c r="E8085" s="49" t="str">
        <f>IFERROR(VLOOKUP(D8085,'taxonomy map'!$A$1:$C$107,2,FALSE),"")</f>
        <v/>
      </c>
      <c r="F8085" s="49" t="str">
        <f>IFERROR(VLOOKUP(E8085,'Condensed Specialty Crosswalk'!$A$2:$C$106,2,FALSE),"")</f>
        <v/>
      </c>
      <c r="G8085" s="49" t="str">
        <f>IFERROR(VLOOKUP(E8085,'Condensed Specialty Crosswalk'!$A$2:$C$106,3,FALSE),"")</f>
        <v/>
      </c>
    </row>
    <row r="8086" spans="5:7" ht="15" customHeight="1">
      <c r="E8086" s="49" t="str">
        <f>IFERROR(VLOOKUP(D8086,'taxonomy map'!$A$1:$C$107,2,FALSE),"")</f>
        <v/>
      </c>
      <c r="F8086" s="49" t="str">
        <f>IFERROR(VLOOKUP(E8086,'Condensed Specialty Crosswalk'!$A$2:$C$106,2,FALSE),"")</f>
        <v/>
      </c>
      <c r="G8086" s="49" t="str">
        <f>IFERROR(VLOOKUP(E8086,'Condensed Specialty Crosswalk'!$A$2:$C$106,3,FALSE),"")</f>
        <v/>
      </c>
    </row>
    <row r="8087" spans="5:7" ht="15" customHeight="1">
      <c r="E8087" s="49" t="str">
        <f>IFERROR(VLOOKUP(D8087,'taxonomy map'!$A$1:$C$107,2,FALSE),"")</f>
        <v/>
      </c>
      <c r="F8087" s="49" t="str">
        <f>IFERROR(VLOOKUP(E8087,'Condensed Specialty Crosswalk'!$A$2:$C$106,2,FALSE),"")</f>
        <v/>
      </c>
      <c r="G8087" s="49" t="str">
        <f>IFERROR(VLOOKUP(E8087,'Condensed Specialty Crosswalk'!$A$2:$C$106,3,FALSE),"")</f>
        <v/>
      </c>
    </row>
    <row r="8088" spans="5:7" ht="15" customHeight="1">
      <c r="E8088" s="49" t="str">
        <f>IFERROR(VLOOKUP(D8088,'taxonomy map'!$A$1:$C$107,2,FALSE),"")</f>
        <v/>
      </c>
      <c r="F8088" s="49" t="str">
        <f>IFERROR(VLOOKUP(E8088,'Condensed Specialty Crosswalk'!$A$2:$C$106,2,FALSE),"")</f>
        <v/>
      </c>
      <c r="G8088" s="49" t="str">
        <f>IFERROR(VLOOKUP(E8088,'Condensed Specialty Crosswalk'!$A$2:$C$106,3,FALSE),"")</f>
        <v/>
      </c>
    </row>
    <row r="8089" spans="5:7" ht="15" customHeight="1">
      <c r="E8089" s="49" t="str">
        <f>IFERROR(VLOOKUP(D8089,'taxonomy map'!$A$1:$C$107,2,FALSE),"")</f>
        <v/>
      </c>
      <c r="F8089" s="49" t="str">
        <f>IFERROR(VLOOKUP(E8089,'Condensed Specialty Crosswalk'!$A$2:$C$106,2,FALSE),"")</f>
        <v/>
      </c>
      <c r="G8089" s="49" t="str">
        <f>IFERROR(VLOOKUP(E8089,'Condensed Specialty Crosswalk'!$A$2:$C$106,3,FALSE),"")</f>
        <v/>
      </c>
    </row>
    <row r="8090" spans="5:7" ht="15" customHeight="1">
      <c r="E8090" s="49" t="str">
        <f>IFERROR(VLOOKUP(D8090,'taxonomy map'!$A$1:$C$107,2,FALSE),"")</f>
        <v/>
      </c>
      <c r="F8090" s="49" t="str">
        <f>IFERROR(VLOOKUP(E8090,'Condensed Specialty Crosswalk'!$A$2:$C$106,2,FALSE),"")</f>
        <v/>
      </c>
      <c r="G8090" s="49" t="str">
        <f>IFERROR(VLOOKUP(E8090,'Condensed Specialty Crosswalk'!$A$2:$C$106,3,FALSE),"")</f>
        <v/>
      </c>
    </row>
    <row r="8091" spans="5:7" ht="15" customHeight="1">
      <c r="E8091" s="49" t="str">
        <f>IFERROR(VLOOKUP(D8091,'taxonomy map'!$A$1:$C$107,2,FALSE),"")</f>
        <v/>
      </c>
      <c r="F8091" s="49" t="str">
        <f>IFERROR(VLOOKUP(E8091,'Condensed Specialty Crosswalk'!$A$2:$C$106,2,FALSE),"")</f>
        <v/>
      </c>
      <c r="G8091" s="49" t="str">
        <f>IFERROR(VLOOKUP(E8091,'Condensed Specialty Crosswalk'!$A$2:$C$106,3,FALSE),"")</f>
        <v/>
      </c>
    </row>
    <row r="8092" spans="5:7" ht="15" customHeight="1">
      <c r="E8092" s="49" t="str">
        <f>IFERROR(VLOOKUP(D8092,'taxonomy map'!$A$1:$C$107,2,FALSE),"")</f>
        <v/>
      </c>
      <c r="F8092" s="49" t="str">
        <f>IFERROR(VLOOKUP(E8092,'Condensed Specialty Crosswalk'!$A$2:$C$106,2,FALSE),"")</f>
        <v/>
      </c>
      <c r="G8092" s="49" t="str">
        <f>IFERROR(VLOOKUP(E8092,'Condensed Specialty Crosswalk'!$A$2:$C$106,3,FALSE),"")</f>
        <v/>
      </c>
    </row>
    <row r="8093" spans="5:7" ht="15" customHeight="1">
      <c r="E8093" s="49" t="str">
        <f>IFERROR(VLOOKUP(D8093,'taxonomy map'!$A$1:$C$107,2,FALSE),"")</f>
        <v/>
      </c>
      <c r="F8093" s="49" t="str">
        <f>IFERROR(VLOOKUP(E8093,'Condensed Specialty Crosswalk'!$A$2:$C$106,2,FALSE),"")</f>
        <v/>
      </c>
      <c r="G8093" s="49" t="str">
        <f>IFERROR(VLOOKUP(E8093,'Condensed Specialty Crosswalk'!$A$2:$C$106,3,FALSE),"")</f>
        <v/>
      </c>
    </row>
    <row r="8094" spans="5:7" ht="15" customHeight="1">
      <c r="E8094" s="49" t="str">
        <f>IFERROR(VLOOKUP(D8094,'taxonomy map'!$A$1:$C$107,2,FALSE),"")</f>
        <v/>
      </c>
      <c r="F8094" s="49" t="str">
        <f>IFERROR(VLOOKUP(E8094,'Condensed Specialty Crosswalk'!$A$2:$C$106,2,FALSE),"")</f>
        <v/>
      </c>
      <c r="G8094" s="49" t="str">
        <f>IFERROR(VLOOKUP(E8094,'Condensed Specialty Crosswalk'!$A$2:$C$106,3,FALSE),"")</f>
        <v/>
      </c>
    </row>
    <row r="8095" spans="5:7" ht="15" customHeight="1">
      <c r="E8095" s="49" t="str">
        <f>IFERROR(VLOOKUP(D8095,'taxonomy map'!$A$1:$C$107,2,FALSE),"")</f>
        <v/>
      </c>
      <c r="F8095" s="49" t="str">
        <f>IFERROR(VLOOKUP(E8095,'Condensed Specialty Crosswalk'!$A$2:$C$106,2,FALSE),"")</f>
        <v/>
      </c>
      <c r="G8095" s="49" t="str">
        <f>IFERROR(VLOOKUP(E8095,'Condensed Specialty Crosswalk'!$A$2:$C$106,3,FALSE),"")</f>
        <v/>
      </c>
    </row>
    <row r="8096" spans="5:7" ht="15" customHeight="1">
      <c r="E8096" s="49" t="str">
        <f>IFERROR(VLOOKUP(D8096,'taxonomy map'!$A$1:$C$107,2,FALSE),"")</f>
        <v/>
      </c>
      <c r="F8096" s="49" t="str">
        <f>IFERROR(VLOOKUP(E8096,'Condensed Specialty Crosswalk'!$A$2:$C$106,2,FALSE),"")</f>
        <v/>
      </c>
      <c r="G8096" s="49" t="str">
        <f>IFERROR(VLOOKUP(E8096,'Condensed Specialty Crosswalk'!$A$2:$C$106,3,FALSE),"")</f>
        <v/>
      </c>
    </row>
    <row r="8097" spans="5:7" ht="15" customHeight="1">
      <c r="E8097" s="49" t="str">
        <f>IFERROR(VLOOKUP(D8097,'taxonomy map'!$A$1:$C$107,2,FALSE),"")</f>
        <v/>
      </c>
      <c r="F8097" s="49" t="str">
        <f>IFERROR(VLOOKUP(E8097,'Condensed Specialty Crosswalk'!$A$2:$C$106,2,FALSE),"")</f>
        <v/>
      </c>
      <c r="G8097" s="49" t="str">
        <f>IFERROR(VLOOKUP(E8097,'Condensed Specialty Crosswalk'!$A$2:$C$106,3,FALSE),"")</f>
        <v/>
      </c>
    </row>
    <row r="8098" spans="5:7" ht="15" customHeight="1">
      <c r="E8098" s="49" t="str">
        <f>IFERROR(VLOOKUP(D8098,'taxonomy map'!$A$1:$C$107,2,FALSE),"")</f>
        <v/>
      </c>
      <c r="F8098" s="49" t="str">
        <f>IFERROR(VLOOKUP(E8098,'Condensed Specialty Crosswalk'!$A$2:$C$106,2,FALSE),"")</f>
        <v/>
      </c>
      <c r="G8098" s="49" t="str">
        <f>IFERROR(VLOOKUP(E8098,'Condensed Specialty Crosswalk'!$A$2:$C$106,3,FALSE),"")</f>
        <v/>
      </c>
    </row>
    <row r="8099" spans="5:7" ht="15" customHeight="1">
      <c r="E8099" s="49" t="str">
        <f>IFERROR(VLOOKUP(D8099,'taxonomy map'!$A$1:$C$107,2,FALSE),"")</f>
        <v/>
      </c>
      <c r="F8099" s="49" t="str">
        <f>IFERROR(VLOOKUP(E8099,'Condensed Specialty Crosswalk'!$A$2:$C$106,2,FALSE),"")</f>
        <v/>
      </c>
      <c r="G8099" s="49" t="str">
        <f>IFERROR(VLOOKUP(E8099,'Condensed Specialty Crosswalk'!$A$2:$C$106,3,FALSE),"")</f>
        <v/>
      </c>
    </row>
    <row r="8100" spans="5:7" ht="15" customHeight="1">
      <c r="E8100" s="49" t="str">
        <f>IFERROR(VLOOKUP(D8100,'taxonomy map'!$A$1:$C$107,2,FALSE),"")</f>
        <v/>
      </c>
      <c r="F8100" s="49" t="str">
        <f>IFERROR(VLOOKUP(E8100,'Condensed Specialty Crosswalk'!$A$2:$C$106,2,FALSE),"")</f>
        <v/>
      </c>
      <c r="G8100" s="49" t="str">
        <f>IFERROR(VLOOKUP(E8100,'Condensed Specialty Crosswalk'!$A$2:$C$106,3,FALSE),"")</f>
        <v/>
      </c>
    </row>
    <row r="8101" spans="5:7" ht="15" customHeight="1">
      <c r="E8101" s="49" t="str">
        <f>IFERROR(VLOOKUP(D8101,'taxonomy map'!$A$1:$C$107,2,FALSE),"")</f>
        <v/>
      </c>
      <c r="F8101" s="49" t="str">
        <f>IFERROR(VLOOKUP(E8101,'Condensed Specialty Crosswalk'!$A$2:$C$106,2,FALSE),"")</f>
        <v/>
      </c>
      <c r="G8101" s="49" t="str">
        <f>IFERROR(VLOOKUP(E8101,'Condensed Specialty Crosswalk'!$A$2:$C$106,3,FALSE),"")</f>
        <v/>
      </c>
    </row>
    <row r="8102" spans="5:7" ht="15" customHeight="1">
      <c r="E8102" s="49" t="str">
        <f>IFERROR(VLOOKUP(D8102,'taxonomy map'!$A$1:$C$107,2,FALSE),"")</f>
        <v/>
      </c>
      <c r="F8102" s="49" t="str">
        <f>IFERROR(VLOOKUP(E8102,'Condensed Specialty Crosswalk'!$A$2:$C$106,2,FALSE),"")</f>
        <v/>
      </c>
      <c r="G8102" s="49" t="str">
        <f>IFERROR(VLOOKUP(E8102,'Condensed Specialty Crosswalk'!$A$2:$C$106,3,FALSE),"")</f>
        <v/>
      </c>
    </row>
    <row r="8103" spans="5:7" ht="15" customHeight="1">
      <c r="E8103" s="49" t="str">
        <f>IFERROR(VLOOKUP(D8103,'taxonomy map'!$A$1:$C$107,2,FALSE),"")</f>
        <v/>
      </c>
      <c r="F8103" s="49" t="str">
        <f>IFERROR(VLOOKUP(E8103,'Condensed Specialty Crosswalk'!$A$2:$C$106,2,FALSE),"")</f>
        <v/>
      </c>
      <c r="G8103" s="49" t="str">
        <f>IFERROR(VLOOKUP(E8103,'Condensed Specialty Crosswalk'!$A$2:$C$106,3,FALSE),"")</f>
        <v/>
      </c>
    </row>
    <row r="8104" spans="5:7" ht="15" customHeight="1">
      <c r="E8104" s="49" t="str">
        <f>IFERROR(VLOOKUP(D8104,'taxonomy map'!$A$1:$C$107,2,FALSE),"")</f>
        <v/>
      </c>
      <c r="F8104" s="49" t="str">
        <f>IFERROR(VLOOKUP(E8104,'Condensed Specialty Crosswalk'!$A$2:$C$106,2,FALSE),"")</f>
        <v/>
      </c>
      <c r="G8104" s="49" t="str">
        <f>IFERROR(VLOOKUP(E8104,'Condensed Specialty Crosswalk'!$A$2:$C$106,3,FALSE),"")</f>
        <v/>
      </c>
    </row>
    <row r="8105" spans="5:7" ht="15" customHeight="1">
      <c r="E8105" s="49" t="str">
        <f>IFERROR(VLOOKUP(D8105,'taxonomy map'!$A$1:$C$107,2,FALSE),"")</f>
        <v/>
      </c>
      <c r="F8105" s="49" t="str">
        <f>IFERROR(VLOOKUP(E8105,'Condensed Specialty Crosswalk'!$A$2:$C$106,2,FALSE),"")</f>
        <v/>
      </c>
      <c r="G8105" s="49" t="str">
        <f>IFERROR(VLOOKUP(E8105,'Condensed Specialty Crosswalk'!$A$2:$C$106,3,FALSE),"")</f>
        <v/>
      </c>
    </row>
    <row r="8106" spans="5:7" ht="15" customHeight="1">
      <c r="E8106" s="49" t="str">
        <f>IFERROR(VLOOKUP(D8106,'taxonomy map'!$A$1:$C$107,2,FALSE),"")</f>
        <v/>
      </c>
      <c r="F8106" s="49" t="str">
        <f>IFERROR(VLOOKUP(E8106,'Condensed Specialty Crosswalk'!$A$2:$C$106,2,FALSE),"")</f>
        <v/>
      </c>
      <c r="G8106" s="49" t="str">
        <f>IFERROR(VLOOKUP(E8106,'Condensed Specialty Crosswalk'!$A$2:$C$106,3,FALSE),"")</f>
        <v/>
      </c>
    </row>
    <row r="8107" spans="5:7" ht="15" customHeight="1">
      <c r="E8107" s="49" t="str">
        <f>IFERROR(VLOOKUP(D8107,'taxonomy map'!$A$1:$C$107,2,FALSE),"")</f>
        <v/>
      </c>
      <c r="F8107" s="49" t="str">
        <f>IFERROR(VLOOKUP(E8107,'Condensed Specialty Crosswalk'!$A$2:$C$106,2,FALSE),"")</f>
        <v/>
      </c>
      <c r="G8107" s="49" t="str">
        <f>IFERROR(VLOOKUP(E8107,'Condensed Specialty Crosswalk'!$A$2:$C$106,3,FALSE),"")</f>
        <v/>
      </c>
    </row>
    <row r="8108" spans="5:7" ht="15" customHeight="1">
      <c r="E8108" s="49" t="str">
        <f>IFERROR(VLOOKUP(D8108,'taxonomy map'!$A$1:$C$107,2,FALSE),"")</f>
        <v/>
      </c>
      <c r="F8108" s="49" t="str">
        <f>IFERROR(VLOOKUP(E8108,'Condensed Specialty Crosswalk'!$A$2:$C$106,2,FALSE),"")</f>
        <v/>
      </c>
      <c r="G8108" s="49" t="str">
        <f>IFERROR(VLOOKUP(E8108,'Condensed Specialty Crosswalk'!$A$2:$C$106,3,FALSE),"")</f>
        <v/>
      </c>
    </row>
    <row r="8109" spans="5:7" ht="15" customHeight="1">
      <c r="E8109" s="49" t="str">
        <f>IFERROR(VLOOKUP(D8109,'taxonomy map'!$A$1:$C$107,2,FALSE),"")</f>
        <v/>
      </c>
      <c r="F8109" s="49" t="str">
        <f>IFERROR(VLOOKUP(E8109,'Condensed Specialty Crosswalk'!$A$2:$C$106,2,FALSE),"")</f>
        <v/>
      </c>
      <c r="G8109" s="49" t="str">
        <f>IFERROR(VLOOKUP(E8109,'Condensed Specialty Crosswalk'!$A$2:$C$106,3,FALSE),"")</f>
        <v/>
      </c>
    </row>
    <row r="8110" spans="5:7" ht="15" customHeight="1">
      <c r="E8110" s="49" t="str">
        <f>IFERROR(VLOOKUP(D8110,'taxonomy map'!$A$1:$C$107,2,FALSE),"")</f>
        <v/>
      </c>
      <c r="F8110" s="49" t="str">
        <f>IFERROR(VLOOKUP(E8110,'Condensed Specialty Crosswalk'!$A$2:$C$106,2,FALSE),"")</f>
        <v/>
      </c>
      <c r="G8110" s="49" t="str">
        <f>IFERROR(VLOOKUP(E8110,'Condensed Specialty Crosswalk'!$A$2:$C$106,3,FALSE),"")</f>
        <v/>
      </c>
    </row>
    <row r="8111" spans="5:7" ht="15" customHeight="1">
      <c r="E8111" s="49" t="str">
        <f>IFERROR(VLOOKUP(D8111,'taxonomy map'!$A$1:$C$107,2,FALSE),"")</f>
        <v/>
      </c>
      <c r="F8111" s="49" t="str">
        <f>IFERROR(VLOOKUP(E8111,'Condensed Specialty Crosswalk'!$A$2:$C$106,2,FALSE),"")</f>
        <v/>
      </c>
      <c r="G8111" s="49" t="str">
        <f>IFERROR(VLOOKUP(E8111,'Condensed Specialty Crosswalk'!$A$2:$C$106,3,FALSE),"")</f>
        <v/>
      </c>
    </row>
    <row r="8112" spans="5:7" ht="15" customHeight="1">
      <c r="E8112" s="49" t="str">
        <f>IFERROR(VLOOKUP(D8112,'taxonomy map'!$A$1:$C$107,2,FALSE),"")</f>
        <v/>
      </c>
      <c r="F8112" s="49" t="str">
        <f>IFERROR(VLOOKUP(E8112,'Condensed Specialty Crosswalk'!$A$2:$C$106,2,FALSE),"")</f>
        <v/>
      </c>
      <c r="G8112" s="49" t="str">
        <f>IFERROR(VLOOKUP(E8112,'Condensed Specialty Crosswalk'!$A$2:$C$106,3,FALSE),"")</f>
        <v/>
      </c>
    </row>
    <row r="8113" spans="5:7" ht="15" customHeight="1">
      <c r="E8113" s="49" t="str">
        <f>IFERROR(VLOOKUP(D8113,'taxonomy map'!$A$1:$C$107,2,FALSE),"")</f>
        <v/>
      </c>
      <c r="F8113" s="49" t="str">
        <f>IFERROR(VLOOKUP(E8113,'Condensed Specialty Crosswalk'!$A$2:$C$106,2,FALSE),"")</f>
        <v/>
      </c>
      <c r="G8113" s="49" t="str">
        <f>IFERROR(VLOOKUP(E8113,'Condensed Specialty Crosswalk'!$A$2:$C$106,3,FALSE),"")</f>
        <v/>
      </c>
    </row>
    <row r="8114" spans="5:7" ht="15" customHeight="1">
      <c r="E8114" s="49" t="str">
        <f>IFERROR(VLOOKUP(D8114,'taxonomy map'!$A$1:$C$107,2,FALSE),"")</f>
        <v/>
      </c>
      <c r="F8114" s="49" t="str">
        <f>IFERROR(VLOOKUP(E8114,'Condensed Specialty Crosswalk'!$A$2:$C$106,2,FALSE),"")</f>
        <v/>
      </c>
      <c r="G8114" s="49" t="str">
        <f>IFERROR(VLOOKUP(E8114,'Condensed Specialty Crosswalk'!$A$2:$C$106,3,FALSE),"")</f>
        <v/>
      </c>
    </row>
    <row r="8115" spans="5:7" ht="15" customHeight="1">
      <c r="E8115" s="49" t="str">
        <f>IFERROR(VLOOKUP(D8115,'taxonomy map'!$A$1:$C$107,2,FALSE),"")</f>
        <v/>
      </c>
      <c r="F8115" s="49" t="str">
        <f>IFERROR(VLOOKUP(E8115,'Condensed Specialty Crosswalk'!$A$2:$C$106,2,FALSE),"")</f>
        <v/>
      </c>
      <c r="G8115" s="49" t="str">
        <f>IFERROR(VLOOKUP(E8115,'Condensed Specialty Crosswalk'!$A$2:$C$106,3,FALSE),"")</f>
        <v/>
      </c>
    </row>
    <row r="8116" spans="5:7" ht="15" customHeight="1">
      <c r="E8116" s="49" t="str">
        <f>IFERROR(VLOOKUP(D8116,'taxonomy map'!$A$1:$C$107,2,FALSE),"")</f>
        <v/>
      </c>
      <c r="F8116" s="49" t="str">
        <f>IFERROR(VLOOKUP(E8116,'Condensed Specialty Crosswalk'!$A$2:$C$106,2,FALSE),"")</f>
        <v/>
      </c>
      <c r="G8116" s="49" t="str">
        <f>IFERROR(VLOOKUP(E8116,'Condensed Specialty Crosswalk'!$A$2:$C$106,3,FALSE),"")</f>
        <v/>
      </c>
    </row>
    <row r="8117" spans="5:7" ht="15" customHeight="1">
      <c r="E8117" s="49" t="str">
        <f>IFERROR(VLOOKUP(D8117,'taxonomy map'!$A$1:$C$107,2,FALSE),"")</f>
        <v/>
      </c>
      <c r="F8117" s="49" t="str">
        <f>IFERROR(VLOOKUP(E8117,'Condensed Specialty Crosswalk'!$A$2:$C$106,2,FALSE),"")</f>
        <v/>
      </c>
      <c r="G8117" s="49" t="str">
        <f>IFERROR(VLOOKUP(E8117,'Condensed Specialty Crosswalk'!$A$2:$C$106,3,FALSE),"")</f>
        <v/>
      </c>
    </row>
    <row r="8118" spans="5:7" ht="15" customHeight="1">
      <c r="E8118" s="49" t="str">
        <f>IFERROR(VLOOKUP(D8118,'taxonomy map'!$A$1:$C$107,2,FALSE),"")</f>
        <v/>
      </c>
      <c r="F8118" s="49" t="str">
        <f>IFERROR(VLOOKUP(E8118,'Condensed Specialty Crosswalk'!$A$2:$C$106,2,FALSE),"")</f>
        <v/>
      </c>
      <c r="G8118" s="49" t="str">
        <f>IFERROR(VLOOKUP(E8118,'Condensed Specialty Crosswalk'!$A$2:$C$106,3,FALSE),"")</f>
        <v/>
      </c>
    </row>
    <row r="8119" spans="5:7" ht="15" customHeight="1">
      <c r="E8119" s="49" t="str">
        <f>IFERROR(VLOOKUP(D8119,'taxonomy map'!$A$1:$C$107,2,FALSE),"")</f>
        <v/>
      </c>
      <c r="F8119" s="49" t="str">
        <f>IFERROR(VLOOKUP(E8119,'Condensed Specialty Crosswalk'!$A$2:$C$106,2,FALSE),"")</f>
        <v/>
      </c>
      <c r="G8119" s="49" t="str">
        <f>IFERROR(VLOOKUP(E8119,'Condensed Specialty Crosswalk'!$A$2:$C$106,3,FALSE),"")</f>
        <v/>
      </c>
    </row>
    <row r="8120" spans="5:7" ht="15" customHeight="1">
      <c r="E8120" s="49" t="str">
        <f>IFERROR(VLOOKUP(D8120,'taxonomy map'!$A$1:$C$107,2,FALSE),"")</f>
        <v/>
      </c>
      <c r="F8120" s="49" t="str">
        <f>IFERROR(VLOOKUP(E8120,'Condensed Specialty Crosswalk'!$A$2:$C$106,2,FALSE),"")</f>
        <v/>
      </c>
      <c r="G8120" s="49" t="str">
        <f>IFERROR(VLOOKUP(E8120,'Condensed Specialty Crosswalk'!$A$2:$C$106,3,FALSE),"")</f>
        <v/>
      </c>
    </row>
    <row r="8121" spans="5:7" ht="15" customHeight="1">
      <c r="E8121" s="49" t="str">
        <f>IFERROR(VLOOKUP(D8121,'taxonomy map'!$A$1:$C$107,2,FALSE),"")</f>
        <v/>
      </c>
      <c r="F8121" s="49" t="str">
        <f>IFERROR(VLOOKUP(E8121,'Condensed Specialty Crosswalk'!$A$2:$C$106,2,FALSE),"")</f>
        <v/>
      </c>
      <c r="G8121" s="49" t="str">
        <f>IFERROR(VLOOKUP(E8121,'Condensed Specialty Crosswalk'!$A$2:$C$106,3,FALSE),"")</f>
        <v/>
      </c>
    </row>
    <row r="8122" spans="5:7" ht="15" customHeight="1">
      <c r="E8122" s="49" t="str">
        <f>IFERROR(VLOOKUP(D8122,'taxonomy map'!$A$1:$C$107,2,FALSE),"")</f>
        <v/>
      </c>
      <c r="F8122" s="49" t="str">
        <f>IFERROR(VLOOKUP(E8122,'Condensed Specialty Crosswalk'!$A$2:$C$106,2,FALSE),"")</f>
        <v/>
      </c>
      <c r="G8122" s="49" t="str">
        <f>IFERROR(VLOOKUP(E8122,'Condensed Specialty Crosswalk'!$A$2:$C$106,3,FALSE),"")</f>
        <v/>
      </c>
    </row>
    <row r="8123" spans="5:7" ht="15" customHeight="1">
      <c r="E8123" s="49" t="str">
        <f>IFERROR(VLOOKUP(D8123,'taxonomy map'!$A$1:$C$107,2,FALSE),"")</f>
        <v/>
      </c>
      <c r="F8123" s="49" t="str">
        <f>IFERROR(VLOOKUP(E8123,'Condensed Specialty Crosswalk'!$A$2:$C$106,2,FALSE),"")</f>
        <v/>
      </c>
      <c r="G8123" s="49" t="str">
        <f>IFERROR(VLOOKUP(E8123,'Condensed Specialty Crosswalk'!$A$2:$C$106,3,FALSE),"")</f>
        <v/>
      </c>
    </row>
    <row r="8124" spans="5:7" ht="15" customHeight="1">
      <c r="E8124" s="49" t="str">
        <f>IFERROR(VLOOKUP(D8124,'taxonomy map'!$A$1:$C$107,2,FALSE),"")</f>
        <v/>
      </c>
      <c r="F8124" s="49" t="str">
        <f>IFERROR(VLOOKUP(E8124,'Condensed Specialty Crosswalk'!$A$2:$C$106,2,FALSE),"")</f>
        <v/>
      </c>
      <c r="G8124" s="49" t="str">
        <f>IFERROR(VLOOKUP(E8124,'Condensed Specialty Crosswalk'!$A$2:$C$106,3,FALSE),"")</f>
        <v/>
      </c>
    </row>
    <row r="8125" spans="5:7" ht="15" customHeight="1">
      <c r="E8125" s="49" t="str">
        <f>IFERROR(VLOOKUP(D8125,'taxonomy map'!$A$1:$C$107,2,FALSE),"")</f>
        <v/>
      </c>
      <c r="F8125" s="49" t="str">
        <f>IFERROR(VLOOKUP(E8125,'Condensed Specialty Crosswalk'!$A$2:$C$106,2,FALSE),"")</f>
        <v/>
      </c>
      <c r="G8125" s="49" t="str">
        <f>IFERROR(VLOOKUP(E8125,'Condensed Specialty Crosswalk'!$A$2:$C$106,3,FALSE),"")</f>
        <v/>
      </c>
    </row>
    <row r="8126" spans="5:7" ht="15" customHeight="1">
      <c r="E8126" s="49" t="str">
        <f>IFERROR(VLOOKUP(D8126,'taxonomy map'!$A$1:$C$107,2,FALSE),"")</f>
        <v/>
      </c>
      <c r="F8126" s="49" t="str">
        <f>IFERROR(VLOOKUP(E8126,'Condensed Specialty Crosswalk'!$A$2:$C$106,2,FALSE),"")</f>
        <v/>
      </c>
      <c r="G8126" s="49" t="str">
        <f>IFERROR(VLOOKUP(E8126,'Condensed Specialty Crosswalk'!$A$2:$C$106,3,FALSE),"")</f>
        <v/>
      </c>
    </row>
    <row r="8127" spans="5:7" ht="15" customHeight="1">
      <c r="E8127" s="49" t="str">
        <f>IFERROR(VLOOKUP(D8127,'taxonomy map'!$A$1:$C$107,2,FALSE),"")</f>
        <v/>
      </c>
      <c r="F8127" s="49" t="str">
        <f>IFERROR(VLOOKUP(E8127,'Condensed Specialty Crosswalk'!$A$2:$C$106,2,FALSE),"")</f>
        <v/>
      </c>
      <c r="G8127" s="49" t="str">
        <f>IFERROR(VLOOKUP(E8127,'Condensed Specialty Crosswalk'!$A$2:$C$106,3,FALSE),"")</f>
        <v/>
      </c>
    </row>
    <row r="8128" spans="5:7" ht="15" customHeight="1">
      <c r="E8128" s="49" t="str">
        <f>IFERROR(VLOOKUP(D8128,'taxonomy map'!$A$1:$C$107,2,FALSE),"")</f>
        <v/>
      </c>
      <c r="F8128" s="49" t="str">
        <f>IFERROR(VLOOKUP(E8128,'Condensed Specialty Crosswalk'!$A$2:$C$106,2,FALSE),"")</f>
        <v/>
      </c>
      <c r="G8128" s="49" t="str">
        <f>IFERROR(VLOOKUP(E8128,'Condensed Specialty Crosswalk'!$A$2:$C$106,3,FALSE),"")</f>
        <v/>
      </c>
    </row>
    <row r="8129" spans="5:7" ht="15" customHeight="1">
      <c r="E8129" s="49" t="str">
        <f>IFERROR(VLOOKUP(D8129,'taxonomy map'!$A$1:$C$107,2,FALSE),"")</f>
        <v/>
      </c>
      <c r="F8129" s="49" t="str">
        <f>IFERROR(VLOOKUP(E8129,'Condensed Specialty Crosswalk'!$A$2:$C$106,2,FALSE),"")</f>
        <v/>
      </c>
      <c r="G8129" s="49" t="str">
        <f>IFERROR(VLOOKUP(E8129,'Condensed Specialty Crosswalk'!$A$2:$C$106,3,FALSE),"")</f>
        <v/>
      </c>
    </row>
    <row r="8130" spans="5:7" ht="15" customHeight="1">
      <c r="E8130" s="49" t="str">
        <f>IFERROR(VLOOKUP(D8130,'taxonomy map'!$A$1:$C$107,2,FALSE),"")</f>
        <v/>
      </c>
      <c r="F8130" s="49" t="str">
        <f>IFERROR(VLOOKUP(E8130,'Condensed Specialty Crosswalk'!$A$2:$C$106,2,FALSE),"")</f>
        <v/>
      </c>
      <c r="G8130" s="49" t="str">
        <f>IFERROR(VLOOKUP(E8130,'Condensed Specialty Crosswalk'!$A$2:$C$106,3,FALSE),"")</f>
        <v/>
      </c>
    </row>
    <row r="8131" spans="5:7" ht="15" customHeight="1">
      <c r="E8131" s="49" t="str">
        <f>IFERROR(VLOOKUP(D8131,'taxonomy map'!$A$1:$C$107,2,FALSE),"")</f>
        <v/>
      </c>
      <c r="F8131" s="49" t="str">
        <f>IFERROR(VLOOKUP(E8131,'Condensed Specialty Crosswalk'!$A$2:$C$106,2,FALSE),"")</f>
        <v/>
      </c>
      <c r="G8131" s="49" t="str">
        <f>IFERROR(VLOOKUP(E8131,'Condensed Specialty Crosswalk'!$A$2:$C$106,3,FALSE),"")</f>
        <v/>
      </c>
    </row>
    <row r="8132" spans="5:7" ht="15" customHeight="1">
      <c r="E8132" s="49" t="str">
        <f>IFERROR(VLOOKUP(D8132,'taxonomy map'!$A$1:$C$107,2,FALSE),"")</f>
        <v/>
      </c>
      <c r="F8132" s="49" t="str">
        <f>IFERROR(VLOOKUP(E8132,'Condensed Specialty Crosswalk'!$A$2:$C$106,2,FALSE),"")</f>
        <v/>
      </c>
      <c r="G8132" s="49" t="str">
        <f>IFERROR(VLOOKUP(E8132,'Condensed Specialty Crosswalk'!$A$2:$C$106,3,FALSE),"")</f>
        <v/>
      </c>
    </row>
    <row r="8133" spans="5:7" ht="15" customHeight="1">
      <c r="E8133" s="49" t="str">
        <f>IFERROR(VLOOKUP(D8133,'taxonomy map'!$A$1:$C$107,2,FALSE),"")</f>
        <v/>
      </c>
      <c r="F8133" s="49" t="str">
        <f>IFERROR(VLOOKUP(E8133,'Condensed Specialty Crosswalk'!$A$2:$C$106,2,FALSE),"")</f>
        <v/>
      </c>
      <c r="G8133" s="49" t="str">
        <f>IFERROR(VLOOKUP(E8133,'Condensed Specialty Crosswalk'!$A$2:$C$106,3,FALSE),"")</f>
        <v/>
      </c>
    </row>
    <row r="8134" spans="5:7" ht="15" customHeight="1">
      <c r="E8134" s="49" t="str">
        <f>IFERROR(VLOOKUP(D8134,'taxonomy map'!$A$1:$C$107,2,FALSE),"")</f>
        <v/>
      </c>
      <c r="F8134" s="49" t="str">
        <f>IFERROR(VLOOKUP(E8134,'Condensed Specialty Crosswalk'!$A$2:$C$106,2,FALSE),"")</f>
        <v/>
      </c>
      <c r="G8134" s="49" t="str">
        <f>IFERROR(VLOOKUP(E8134,'Condensed Specialty Crosswalk'!$A$2:$C$106,3,FALSE),"")</f>
        <v/>
      </c>
    </row>
    <row r="8135" spans="5:7" ht="15" customHeight="1">
      <c r="E8135" s="49" t="str">
        <f>IFERROR(VLOOKUP(D8135,'taxonomy map'!$A$1:$C$107,2,FALSE),"")</f>
        <v/>
      </c>
      <c r="F8135" s="49" t="str">
        <f>IFERROR(VLOOKUP(E8135,'Condensed Specialty Crosswalk'!$A$2:$C$106,2,FALSE),"")</f>
        <v/>
      </c>
      <c r="G8135" s="49" t="str">
        <f>IFERROR(VLOOKUP(E8135,'Condensed Specialty Crosswalk'!$A$2:$C$106,3,FALSE),"")</f>
        <v/>
      </c>
    </row>
    <row r="8136" spans="5:7" ht="15" customHeight="1">
      <c r="E8136" s="49" t="str">
        <f>IFERROR(VLOOKUP(D8136,'taxonomy map'!$A$1:$C$107,2,FALSE),"")</f>
        <v/>
      </c>
      <c r="F8136" s="49" t="str">
        <f>IFERROR(VLOOKUP(E8136,'Condensed Specialty Crosswalk'!$A$2:$C$106,2,FALSE),"")</f>
        <v/>
      </c>
      <c r="G8136" s="49" t="str">
        <f>IFERROR(VLOOKUP(E8136,'Condensed Specialty Crosswalk'!$A$2:$C$106,3,FALSE),"")</f>
        <v/>
      </c>
    </row>
    <row r="8137" spans="5:7" ht="15" customHeight="1">
      <c r="E8137" s="49" t="str">
        <f>IFERROR(VLOOKUP(D8137,'taxonomy map'!$A$1:$C$107,2,FALSE),"")</f>
        <v/>
      </c>
      <c r="F8137" s="49" t="str">
        <f>IFERROR(VLOOKUP(E8137,'Condensed Specialty Crosswalk'!$A$2:$C$106,2,FALSE),"")</f>
        <v/>
      </c>
      <c r="G8137" s="49" t="str">
        <f>IFERROR(VLOOKUP(E8137,'Condensed Specialty Crosswalk'!$A$2:$C$106,3,FALSE),"")</f>
        <v/>
      </c>
    </row>
    <row r="8138" spans="5:7" ht="15" customHeight="1">
      <c r="E8138" s="49" t="str">
        <f>IFERROR(VLOOKUP(D8138,'taxonomy map'!$A$1:$C$107,2,FALSE),"")</f>
        <v/>
      </c>
      <c r="F8138" s="49" t="str">
        <f>IFERROR(VLOOKUP(E8138,'Condensed Specialty Crosswalk'!$A$2:$C$106,2,FALSE),"")</f>
        <v/>
      </c>
      <c r="G8138" s="49" t="str">
        <f>IFERROR(VLOOKUP(E8138,'Condensed Specialty Crosswalk'!$A$2:$C$106,3,FALSE),"")</f>
        <v/>
      </c>
    </row>
    <row r="8139" spans="5:7" ht="15" customHeight="1">
      <c r="E8139" s="49" t="str">
        <f>IFERROR(VLOOKUP(D8139,'taxonomy map'!$A$1:$C$107,2,FALSE),"")</f>
        <v/>
      </c>
      <c r="F8139" s="49" t="str">
        <f>IFERROR(VLOOKUP(E8139,'Condensed Specialty Crosswalk'!$A$2:$C$106,2,FALSE),"")</f>
        <v/>
      </c>
      <c r="G8139" s="49" t="str">
        <f>IFERROR(VLOOKUP(E8139,'Condensed Specialty Crosswalk'!$A$2:$C$106,3,FALSE),"")</f>
        <v/>
      </c>
    </row>
    <row r="8140" spans="5:7" ht="15" customHeight="1">
      <c r="E8140" s="49" t="str">
        <f>IFERROR(VLOOKUP(D8140,'taxonomy map'!$A$1:$C$107,2,FALSE),"")</f>
        <v/>
      </c>
      <c r="F8140" s="49" t="str">
        <f>IFERROR(VLOOKUP(E8140,'Condensed Specialty Crosswalk'!$A$2:$C$106,2,FALSE),"")</f>
        <v/>
      </c>
      <c r="G8140" s="49" t="str">
        <f>IFERROR(VLOOKUP(E8140,'Condensed Specialty Crosswalk'!$A$2:$C$106,3,FALSE),"")</f>
        <v/>
      </c>
    </row>
    <row r="8141" spans="5:7" ht="15" customHeight="1">
      <c r="E8141" s="49" t="str">
        <f>IFERROR(VLOOKUP(D8141,'taxonomy map'!$A$1:$C$107,2,FALSE),"")</f>
        <v/>
      </c>
      <c r="F8141" s="49" t="str">
        <f>IFERROR(VLOOKUP(E8141,'Condensed Specialty Crosswalk'!$A$2:$C$106,2,FALSE),"")</f>
        <v/>
      </c>
      <c r="G8141" s="49" t="str">
        <f>IFERROR(VLOOKUP(E8141,'Condensed Specialty Crosswalk'!$A$2:$C$106,3,FALSE),"")</f>
        <v/>
      </c>
    </row>
    <row r="8142" spans="5:7" ht="15" customHeight="1">
      <c r="E8142" s="49" t="str">
        <f>IFERROR(VLOOKUP(D8142,'taxonomy map'!$A$1:$C$107,2,FALSE),"")</f>
        <v/>
      </c>
      <c r="F8142" s="49" t="str">
        <f>IFERROR(VLOOKUP(E8142,'Condensed Specialty Crosswalk'!$A$2:$C$106,2,FALSE),"")</f>
        <v/>
      </c>
      <c r="G8142" s="49" t="str">
        <f>IFERROR(VLOOKUP(E8142,'Condensed Specialty Crosswalk'!$A$2:$C$106,3,FALSE),"")</f>
        <v/>
      </c>
    </row>
    <row r="8143" spans="5:7" ht="15" customHeight="1">
      <c r="E8143" s="49" t="str">
        <f>IFERROR(VLOOKUP(D8143,'taxonomy map'!$A$1:$C$107,2,FALSE),"")</f>
        <v/>
      </c>
      <c r="F8143" s="49" t="str">
        <f>IFERROR(VLOOKUP(E8143,'Condensed Specialty Crosswalk'!$A$2:$C$106,2,FALSE),"")</f>
        <v/>
      </c>
      <c r="G8143" s="49" t="str">
        <f>IFERROR(VLOOKUP(E8143,'Condensed Specialty Crosswalk'!$A$2:$C$106,3,FALSE),"")</f>
        <v/>
      </c>
    </row>
    <row r="8144" spans="5:7" ht="15" customHeight="1">
      <c r="E8144" s="49" t="str">
        <f>IFERROR(VLOOKUP(D8144,'taxonomy map'!$A$1:$C$107,2,FALSE),"")</f>
        <v/>
      </c>
      <c r="F8144" s="49" t="str">
        <f>IFERROR(VLOOKUP(E8144,'Condensed Specialty Crosswalk'!$A$2:$C$106,2,FALSE),"")</f>
        <v/>
      </c>
      <c r="G8144" s="49" t="str">
        <f>IFERROR(VLOOKUP(E8144,'Condensed Specialty Crosswalk'!$A$2:$C$106,3,FALSE),"")</f>
        <v/>
      </c>
    </row>
    <row r="8145" spans="5:7" ht="15" customHeight="1">
      <c r="E8145" s="49" t="str">
        <f>IFERROR(VLOOKUP(D8145,'taxonomy map'!$A$1:$C$107,2,FALSE),"")</f>
        <v/>
      </c>
      <c r="F8145" s="49" t="str">
        <f>IFERROR(VLOOKUP(E8145,'Condensed Specialty Crosswalk'!$A$2:$C$106,2,FALSE),"")</f>
        <v/>
      </c>
      <c r="G8145" s="49" t="str">
        <f>IFERROR(VLOOKUP(E8145,'Condensed Specialty Crosswalk'!$A$2:$C$106,3,FALSE),"")</f>
        <v/>
      </c>
    </row>
    <row r="8146" spans="5:7" ht="15" customHeight="1">
      <c r="E8146" s="49" t="str">
        <f>IFERROR(VLOOKUP(D8146,'taxonomy map'!$A$1:$C$107,2,FALSE),"")</f>
        <v/>
      </c>
      <c r="F8146" s="49" t="str">
        <f>IFERROR(VLOOKUP(E8146,'Condensed Specialty Crosswalk'!$A$2:$C$106,2,FALSE),"")</f>
        <v/>
      </c>
      <c r="G8146" s="49" t="str">
        <f>IFERROR(VLOOKUP(E8146,'Condensed Specialty Crosswalk'!$A$2:$C$106,3,FALSE),"")</f>
        <v/>
      </c>
    </row>
    <row r="8147" spans="5:7" ht="15" customHeight="1">
      <c r="E8147" s="49" t="str">
        <f>IFERROR(VLOOKUP(D8147,'taxonomy map'!$A$1:$C$107,2,FALSE),"")</f>
        <v/>
      </c>
      <c r="F8147" s="49" t="str">
        <f>IFERROR(VLOOKUP(E8147,'Condensed Specialty Crosswalk'!$A$2:$C$106,2,FALSE),"")</f>
        <v/>
      </c>
      <c r="G8147" s="49" t="str">
        <f>IFERROR(VLOOKUP(E8147,'Condensed Specialty Crosswalk'!$A$2:$C$106,3,FALSE),"")</f>
        <v/>
      </c>
    </row>
    <row r="8148" spans="5:7" ht="15" customHeight="1">
      <c r="E8148" s="49" t="str">
        <f>IFERROR(VLOOKUP(D8148,'taxonomy map'!$A$1:$C$107,2,FALSE),"")</f>
        <v/>
      </c>
      <c r="F8148" s="49" t="str">
        <f>IFERROR(VLOOKUP(E8148,'Condensed Specialty Crosswalk'!$A$2:$C$106,2,FALSE),"")</f>
        <v/>
      </c>
      <c r="G8148" s="49" t="str">
        <f>IFERROR(VLOOKUP(E8148,'Condensed Specialty Crosswalk'!$A$2:$C$106,3,FALSE),"")</f>
        <v/>
      </c>
    </row>
    <row r="8149" spans="5:7" ht="15" customHeight="1">
      <c r="E8149" s="49" t="str">
        <f>IFERROR(VLOOKUP(D8149,'taxonomy map'!$A$1:$C$107,2,FALSE),"")</f>
        <v/>
      </c>
      <c r="F8149" s="49" t="str">
        <f>IFERROR(VLOOKUP(E8149,'Condensed Specialty Crosswalk'!$A$2:$C$106,2,FALSE),"")</f>
        <v/>
      </c>
      <c r="G8149" s="49" t="str">
        <f>IFERROR(VLOOKUP(E8149,'Condensed Specialty Crosswalk'!$A$2:$C$106,3,FALSE),"")</f>
        <v/>
      </c>
    </row>
    <row r="8150" spans="5:7" ht="15" customHeight="1">
      <c r="E8150" s="49" t="str">
        <f>IFERROR(VLOOKUP(D8150,'taxonomy map'!$A$1:$C$107,2,FALSE),"")</f>
        <v/>
      </c>
      <c r="F8150" s="49" t="str">
        <f>IFERROR(VLOOKUP(E8150,'Condensed Specialty Crosswalk'!$A$2:$C$106,2,FALSE),"")</f>
        <v/>
      </c>
      <c r="G8150" s="49" t="str">
        <f>IFERROR(VLOOKUP(E8150,'Condensed Specialty Crosswalk'!$A$2:$C$106,3,FALSE),"")</f>
        <v/>
      </c>
    </row>
    <row r="8151" spans="5:7" ht="15" customHeight="1">
      <c r="E8151" s="49" t="str">
        <f>IFERROR(VLOOKUP(D8151,'taxonomy map'!$A$1:$C$107,2,FALSE),"")</f>
        <v/>
      </c>
      <c r="F8151" s="49" t="str">
        <f>IFERROR(VLOOKUP(E8151,'Condensed Specialty Crosswalk'!$A$2:$C$106,2,FALSE),"")</f>
        <v/>
      </c>
      <c r="G8151" s="49" t="str">
        <f>IFERROR(VLOOKUP(E8151,'Condensed Specialty Crosswalk'!$A$2:$C$106,3,FALSE),"")</f>
        <v/>
      </c>
    </row>
    <row r="8152" spans="5:7" ht="15" customHeight="1">
      <c r="E8152" s="49" t="str">
        <f>IFERROR(VLOOKUP(D8152,'taxonomy map'!$A$1:$C$107,2,FALSE),"")</f>
        <v/>
      </c>
      <c r="F8152" s="49" t="str">
        <f>IFERROR(VLOOKUP(E8152,'Condensed Specialty Crosswalk'!$A$2:$C$106,2,FALSE),"")</f>
        <v/>
      </c>
      <c r="G8152" s="49" t="str">
        <f>IFERROR(VLOOKUP(E8152,'Condensed Specialty Crosswalk'!$A$2:$C$106,3,FALSE),"")</f>
        <v/>
      </c>
    </row>
    <row r="8153" spans="5:7" ht="15" customHeight="1">
      <c r="E8153" s="49" t="str">
        <f>IFERROR(VLOOKUP(D8153,'taxonomy map'!$A$1:$C$107,2,FALSE),"")</f>
        <v/>
      </c>
      <c r="F8153" s="49" t="str">
        <f>IFERROR(VLOOKUP(E8153,'Condensed Specialty Crosswalk'!$A$2:$C$106,2,FALSE),"")</f>
        <v/>
      </c>
      <c r="G8153" s="49" t="str">
        <f>IFERROR(VLOOKUP(E8153,'Condensed Specialty Crosswalk'!$A$2:$C$106,3,FALSE),"")</f>
        <v/>
      </c>
    </row>
    <row r="8154" spans="5:7" ht="15" customHeight="1">
      <c r="E8154" s="49" t="str">
        <f>IFERROR(VLOOKUP(D8154,'taxonomy map'!$A$1:$C$107,2,FALSE),"")</f>
        <v/>
      </c>
      <c r="F8154" s="49" t="str">
        <f>IFERROR(VLOOKUP(E8154,'Condensed Specialty Crosswalk'!$A$2:$C$106,2,FALSE),"")</f>
        <v/>
      </c>
      <c r="G8154" s="49" t="str">
        <f>IFERROR(VLOOKUP(E8154,'Condensed Specialty Crosswalk'!$A$2:$C$106,3,FALSE),"")</f>
        <v/>
      </c>
    </row>
    <row r="8155" spans="5:7" ht="15" customHeight="1">
      <c r="E8155" s="49" t="str">
        <f>IFERROR(VLOOKUP(D8155,'taxonomy map'!$A$1:$C$107,2,FALSE),"")</f>
        <v/>
      </c>
      <c r="F8155" s="49" t="str">
        <f>IFERROR(VLOOKUP(E8155,'Condensed Specialty Crosswalk'!$A$2:$C$106,2,FALSE),"")</f>
        <v/>
      </c>
      <c r="G8155" s="49" t="str">
        <f>IFERROR(VLOOKUP(E8155,'Condensed Specialty Crosswalk'!$A$2:$C$106,3,FALSE),"")</f>
        <v/>
      </c>
    </row>
    <row r="8156" spans="5:7" ht="15" customHeight="1">
      <c r="E8156" s="49" t="str">
        <f>IFERROR(VLOOKUP(D8156,'taxonomy map'!$A$1:$C$107,2,FALSE),"")</f>
        <v/>
      </c>
      <c r="F8156" s="49" t="str">
        <f>IFERROR(VLOOKUP(E8156,'Condensed Specialty Crosswalk'!$A$2:$C$106,2,FALSE),"")</f>
        <v/>
      </c>
      <c r="G8156" s="49" t="str">
        <f>IFERROR(VLOOKUP(E8156,'Condensed Specialty Crosswalk'!$A$2:$C$106,3,FALSE),"")</f>
        <v/>
      </c>
    </row>
    <row r="8157" spans="5:7" ht="15" customHeight="1">
      <c r="E8157" s="49" t="str">
        <f>IFERROR(VLOOKUP(D8157,'taxonomy map'!$A$1:$C$107,2,FALSE),"")</f>
        <v/>
      </c>
      <c r="F8157" s="49" t="str">
        <f>IFERROR(VLOOKUP(E8157,'Condensed Specialty Crosswalk'!$A$2:$C$106,2,FALSE),"")</f>
        <v/>
      </c>
      <c r="G8157" s="49" t="str">
        <f>IFERROR(VLOOKUP(E8157,'Condensed Specialty Crosswalk'!$A$2:$C$106,3,FALSE),"")</f>
        <v/>
      </c>
    </row>
    <row r="8158" spans="5:7" ht="15" customHeight="1">
      <c r="E8158" s="49" t="str">
        <f>IFERROR(VLOOKUP(D8158,'taxonomy map'!$A$1:$C$107,2,FALSE),"")</f>
        <v/>
      </c>
      <c r="F8158" s="49" t="str">
        <f>IFERROR(VLOOKUP(E8158,'Condensed Specialty Crosswalk'!$A$2:$C$106,2,FALSE),"")</f>
        <v/>
      </c>
      <c r="G8158" s="49" t="str">
        <f>IFERROR(VLOOKUP(E8158,'Condensed Specialty Crosswalk'!$A$2:$C$106,3,FALSE),"")</f>
        <v/>
      </c>
    </row>
    <row r="8159" spans="5:7" ht="15" customHeight="1">
      <c r="E8159" s="49" t="str">
        <f>IFERROR(VLOOKUP(D8159,'taxonomy map'!$A$1:$C$107,2,FALSE),"")</f>
        <v/>
      </c>
      <c r="F8159" s="49" t="str">
        <f>IFERROR(VLOOKUP(E8159,'Condensed Specialty Crosswalk'!$A$2:$C$106,2,FALSE),"")</f>
        <v/>
      </c>
      <c r="G8159" s="49" t="str">
        <f>IFERROR(VLOOKUP(E8159,'Condensed Specialty Crosswalk'!$A$2:$C$106,3,FALSE),"")</f>
        <v/>
      </c>
    </row>
    <row r="8160" spans="5:7" ht="15" customHeight="1">
      <c r="E8160" s="49" t="str">
        <f>IFERROR(VLOOKUP(D8160,'taxonomy map'!$A$1:$C$107,2,FALSE),"")</f>
        <v/>
      </c>
      <c r="F8160" s="49" t="str">
        <f>IFERROR(VLOOKUP(E8160,'Condensed Specialty Crosswalk'!$A$2:$C$106,2,FALSE),"")</f>
        <v/>
      </c>
      <c r="G8160" s="49" t="str">
        <f>IFERROR(VLOOKUP(E8160,'Condensed Specialty Crosswalk'!$A$2:$C$106,3,FALSE),"")</f>
        <v/>
      </c>
    </row>
    <row r="8161" spans="5:7" ht="15" customHeight="1">
      <c r="E8161" s="49" t="str">
        <f>IFERROR(VLOOKUP(D8161,'taxonomy map'!$A$1:$C$107,2,FALSE),"")</f>
        <v/>
      </c>
      <c r="F8161" s="49" t="str">
        <f>IFERROR(VLOOKUP(E8161,'Condensed Specialty Crosswalk'!$A$2:$C$106,2,FALSE),"")</f>
        <v/>
      </c>
      <c r="G8161" s="49" t="str">
        <f>IFERROR(VLOOKUP(E8161,'Condensed Specialty Crosswalk'!$A$2:$C$106,3,FALSE),"")</f>
        <v/>
      </c>
    </row>
    <row r="8162" spans="5:7" ht="15" customHeight="1">
      <c r="E8162" s="49" t="str">
        <f>IFERROR(VLOOKUP(D8162,'taxonomy map'!$A$1:$C$107,2,FALSE),"")</f>
        <v/>
      </c>
      <c r="F8162" s="49" t="str">
        <f>IFERROR(VLOOKUP(E8162,'Condensed Specialty Crosswalk'!$A$2:$C$106,2,FALSE),"")</f>
        <v/>
      </c>
      <c r="G8162" s="49" t="str">
        <f>IFERROR(VLOOKUP(E8162,'Condensed Specialty Crosswalk'!$A$2:$C$106,3,FALSE),"")</f>
        <v/>
      </c>
    </row>
    <row r="8163" spans="5:7" ht="15" customHeight="1">
      <c r="E8163" s="49" t="str">
        <f>IFERROR(VLOOKUP(D8163,'taxonomy map'!$A$1:$C$107,2,FALSE),"")</f>
        <v/>
      </c>
      <c r="F8163" s="49" t="str">
        <f>IFERROR(VLOOKUP(E8163,'Condensed Specialty Crosswalk'!$A$2:$C$106,2,FALSE),"")</f>
        <v/>
      </c>
      <c r="G8163" s="49" t="str">
        <f>IFERROR(VLOOKUP(E8163,'Condensed Specialty Crosswalk'!$A$2:$C$106,3,FALSE),"")</f>
        <v/>
      </c>
    </row>
    <row r="8164" spans="5:7" ht="15" customHeight="1">
      <c r="E8164" s="49" t="str">
        <f>IFERROR(VLOOKUP(D8164,'taxonomy map'!$A$1:$C$107,2,FALSE),"")</f>
        <v/>
      </c>
      <c r="F8164" s="49" t="str">
        <f>IFERROR(VLOOKUP(E8164,'Condensed Specialty Crosswalk'!$A$2:$C$106,2,FALSE),"")</f>
        <v/>
      </c>
      <c r="G8164" s="49" t="str">
        <f>IFERROR(VLOOKUP(E8164,'Condensed Specialty Crosswalk'!$A$2:$C$106,3,FALSE),"")</f>
        <v/>
      </c>
    </row>
    <row r="8165" spans="5:7" ht="15" customHeight="1">
      <c r="E8165" s="49" t="str">
        <f>IFERROR(VLOOKUP(D8165,'taxonomy map'!$A$1:$C$107,2,FALSE),"")</f>
        <v/>
      </c>
      <c r="F8165" s="49" t="str">
        <f>IFERROR(VLOOKUP(E8165,'Condensed Specialty Crosswalk'!$A$2:$C$106,2,FALSE),"")</f>
        <v/>
      </c>
      <c r="G8165" s="49" t="str">
        <f>IFERROR(VLOOKUP(E8165,'Condensed Specialty Crosswalk'!$A$2:$C$106,3,FALSE),"")</f>
        <v/>
      </c>
    </row>
    <row r="8166" spans="5:7" ht="15" customHeight="1">
      <c r="E8166" s="49" t="str">
        <f>IFERROR(VLOOKUP(D8166,'taxonomy map'!$A$1:$C$107,2,FALSE),"")</f>
        <v/>
      </c>
      <c r="F8166" s="49" t="str">
        <f>IFERROR(VLOOKUP(E8166,'Condensed Specialty Crosswalk'!$A$2:$C$106,2,FALSE),"")</f>
        <v/>
      </c>
      <c r="G8166" s="49" t="str">
        <f>IFERROR(VLOOKUP(E8166,'Condensed Specialty Crosswalk'!$A$2:$C$106,3,FALSE),"")</f>
        <v/>
      </c>
    </row>
    <row r="8167" spans="5:7" ht="15" customHeight="1">
      <c r="E8167" s="49" t="str">
        <f>IFERROR(VLOOKUP(D8167,'taxonomy map'!$A$1:$C$107,2,FALSE),"")</f>
        <v/>
      </c>
      <c r="F8167" s="49" t="str">
        <f>IFERROR(VLOOKUP(E8167,'Condensed Specialty Crosswalk'!$A$2:$C$106,2,FALSE),"")</f>
        <v/>
      </c>
      <c r="G8167" s="49" t="str">
        <f>IFERROR(VLOOKUP(E8167,'Condensed Specialty Crosswalk'!$A$2:$C$106,3,FALSE),"")</f>
        <v/>
      </c>
    </row>
    <row r="8168" spans="5:7" ht="15" customHeight="1">
      <c r="E8168" s="49" t="str">
        <f>IFERROR(VLOOKUP(D8168,'taxonomy map'!$A$1:$C$107,2,FALSE),"")</f>
        <v/>
      </c>
      <c r="F8168" s="49" t="str">
        <f>IFERROR(VLOOKUP(E8168,'Condensed Specialty Crosswalk'!$A$2:$C$106,2,FALSE),"")</f>
        <v/>
      </c>
      <c r="G8168" s="49" t="str">
        <f>IFERROR(VLOOKUP(E8168,'Condensed Specialty Crosswalk'!$A$2:$C$106,3,FALSE),"")</f>
        <v/>
      </c>
    </row>
    <row r="8169" spans="5:7" ht="15" customHeight="1">
      <c r="E8169" s="49" t="str">
        <f>IFERROR(VLOOKUP(D8169,'taxonomy map'!$A$1:$C$107,2,FALSE),"")</f>
        <v/>
      </c>
      <c r="F8169" s="49" t="str">
        <f>IFERROR(VLOOKUP(E8169,'Condensed Specialty Crosswalk'!$A$2:$C$106,2,FALSE),"")</f>
        <v/>
      </c>
      <c r="G8169" s="49" t="str">
        <f>IFERROR(VLOOKUP(E8169,'Condensed Specialty Crosswalk'!$A$2:$C$106,3,FALSE),"")</f>
        <v/>
      </c>
    </row>
    <row r="8170" spans="5:7" ht="15" customHeight="1">
      <c r="E8170" s="49" t="str">
        <f>IFERROR(VLOOKUP(D8170,'taxonomy map'!$A$1:$C$107,2,FALSE),"")</f>
        <v/>
      </c>
      <c r="F8170" s="49" t="str">
        <f>IFERROR(VLOOKUP(E8170,'Condensed Specialty Crosswalk'!$A$2:$C$106,2,FALSE),"")</f>
        <v/>
      </c>
      <c r="G8170" s="49" t="str">
        <f>IFERROR(VLOOKUP(E8170,'Condensed Specialty Crosswalk'!$A$2:$C$106,3,FALSE),"")</f>
        <v/>
      </c>
    </row>
    <row r="8171" spans="5:7" ht="15" customHeight="1">
      <c r="E8171" s="49" t="str">
        <f>IFERROR(VLOOKUP(D8171,'taxonomy map'!$A$1:$C$107,2,FALSE),"")</f>
        <v/>
      </c>
      <c r="F8171" s="49" t="str">
        <f>IFERROR(VLOOKUP(E8171,'Condensed Specialty Crosswalk'!$A$2:$C$106,2,FALSE),"")</f>
        <v/>
      </c>
      <c r="G8171" s="49" t="str">
        <f>IFERROR(VLOOKUP(E8171,'Condensed Specialty Crosswalk'!$A$2:$C$106,3,FALSE),"")</f>
        <v/>
      </c>
    </row>
    <row r="8172" spans="5:7" ht="15" customHeight="1">
      <c r="E8172" s="49" t="str">
        <f>IFERROR(VLOOKUP(D8172,'taxonomy map'!$A$1:$C$107,2,FALSE),"")</f>
        <v/>
      </c>
      <c r="F8172" s="49" t="str">
        <f>IFERROR(VLOOKUP(E8172,'Condensed Specialty Crosswalk'!$A$2:$C$106,2,FALSE),"")</f>
        <v/>
      </c>
      <c r="G8172" s="49" t="str">
        <f>IFERROR(VLOOKUP(E8172,'Condensed Specialty Crosswalk'!$A$2:$C$106,3,FALSE),"")</f>
        <v/>
      </c>
    </row>
    <row r="8173" spans="5:7" ht="15" customHeight="1">
      <c r="E8173" s="49" t="str">
        <f>IFERROR(VLOOKUP(D8173,'taxonomy map'!$A$1:$C$107,2,FALSE),"")</f>
        <v/>
      </c>
      <c r="F8173" s="49" t="str">
        <f>IFERROR(VLOOKUP(E8173,'Condensed Specialty Crosswalk'!$A$2:$C$106,2,FALSE),"")</f>
        <v/>
      </c>
      <c r="G8173" s="49" t="str">
        <f>IFERROR(VLOOKUP(E8173,'Condensed Specialty Crosswalk'!$A$2:$C$106,3,FALSE),"")</f>
        <v/>
      </c>
    </row>
    <row r="8174" spans="5:7" ht="15" customHeight="1">
      <c r="E8174" s="49" t="str">
        <f>IFERROR(VLOOKUP(D8174,'taxonomy map'!$A$1:$C$107,2,FALSE),"")</f>
        <v/>
      </c>
      <c r="F8174" s="49" t="str">
        <f>IFERROR(VLOOKUP(E8174,'Condensed Specialty Crosswalk'!$A$2:$C$106,2,FALSE),"")</f>
        <v/>
      </c>
      <c r="G8174" s="49" t="str">
        <f>IFERROR(VLOOKUP(E8174,'Condensed Specialty Crosswalk'!$A$2:$C$106,3,FALSE),"")</f>
        <v/>
      </c>
    </row>
    <row r="8175" spans="5:7" ht="15" customHeight="1">
      <c r="E8175" s="49" t="str">
        <f>IFERROR(VLOOKUP(D8175,'taxonomy map'!$A$1:$C$107,2,FALSE),"")</f>
        <v/>
      </c>
      <c r="F8175" s="49" t="str">
        <f>IFERROR(VLOOKUP(E8175,'Condensed Specialty Crosswalk'!$A$2:$C$106,2,FALSE),"")</f>
        <v/>
      </c>
      <c r="G8175" s="49" t="str">
        <f>IFERROR(VLOOKUP(E8175,'Condensed Specialty Crosswalk'!$A$2:$C$106,3,FALSE),"")</f>
        <v/>
      </c>
    </row>
    <row r="8176" spans="5:7" ht="15" customHeight="1">
      <c r="E8176" s="49" t="str">
        <f>IFERROR(VLOOKUP(D8176,'taxonomy map'!$A$1:$C$107,2,FALSE),"")</f>
        <v/>
      </c>
      <c r="F8176" s="49" t="str">
        <f>IFERROR(VLOOKUP(E8176,'Condensed Specialty Crosswalk'!$A$2:$C$106,2,FALSE),"")</f>
        <v/>
      </c>
      <c r="G8176" s="49" t="str">
        <f>IFERROR(VLOOKUP(E8176,'Condensed Specialty Crosswalk'!$A$2:$C$106,3,FALSE),"")</f>
        <v/>
      </c>
    </row>
    <row r="8177" spans="5:7" ht="15" customHeight="1">
      <c r="E8177" s="49" t="str">
        <f>IFERROR(VLOOKUP(D8177,'taxonomy map'!$A$1:$C$107,2,FALSE),"")</f>
        <v/>
      </c>
      <c r="F8177" s="49" t="str">
        <f>IFERROR(VLOOKUP(E8177,'Condensed Specialty Crosswalk'!$A$2:$C$106,2,FALSE),"")</f>
        <v/>
      </c>
      <c r="G8177" s="49" t="str">
        <f>IFERROR(VLOOKUP(E8177,'Condensed Specialty Crosswalk'!$A$2:$C$106,3,FALSE),"")</f>
        <v/>
      </c>
    </row>
    <row r="8178" spans="5:7" ht="15" customHeight="1">
      <c r="E8178" s="49" t="str">
        <f>IFERROR(VLOOKUP(D8178,'taxonomy map'!$A$1:$C$107,2,FALSE),"")</f>
        <v/>
      </c>
      <c r="F8178" s="49" t="str">
        <f>IFERROR(VLOOKUP(E8178,'Condensed Specialty Crosswalk'!$A$2:$C$106,2,FALSE),"")</f>
        <v/>
      </c>
      <c r="G8178" s="49" t="str">
        <f>IFERROR(VLOOKUP(E8178,'Condensed Specialty Crosswalk'!$A$2:$C$106,3,FALSE),"")</f>
        <v/>
      </c>
    </row>
    <row r="8179" spans="5:7" ht="15" customHeight="1">
      <c r="E8179" s="49" t="str">
        <f>IFERROR(VLOOKUP(D8179,'taxonomy map'!$A$1:$C$107,2,FALSE),"")</f>
        <v/>
      </c>
      <c r="F8179" s="49" t="str">
        <f>IFERROR(VLOOKUP(E8179,'Condensed Specialty Crosswalk'!$A$2:$C$106,2,FALSE),"")</f>
        <v/>
      </c>
      <c r="G8179" s="49" t="str">
        <f>IFERROR(VLOOKUP(E8179,'Condensed Specialty Crosswalk'!$A$2:$C$106,3,FALSE),"")</f>
        <v/>
      </c>
    </row>
    <row r="8180" spans="5:7" ht="15" customHeight="1">
      <c r="E8180" s="49" t="str">
        <f>IFERROR(VLOOKUP(D8180,'taxonomy map'!$A$1:$C$107,2,FALSE),"")</f>
        <v/>
      </c>
      <c r="F8180" s="49" t="str">
        <f>IFERROR(VLOOKUP(E8180,'Condensed Specialty Crosswalk'!$A$2:$C$106,2,FALSE),"")</f>
        <v/>
      </c>
      <c r="G8180" s="49" t="str">
        <f>IFERROR(VLOOKUP(E8180,'Condensed Specialty Crosswalk'!$A$2:$C$106,3,FALSE),"")</f>
        <v/>
      </c>
    </row>
    <row r="8181" spans="5:7" ht="15" customHeight="1">
      <c r="E8181" s="49" t="str">
        <f>IFERROR(VLOOKUP(D8181,'taxonomy map'!$A$1:$C$107,2,FALSE),"")</f>
        <v/>
      </c>
      <c r="F8181" s="49" t="str">
        <f>IFERROR(VLOOKUP(E8181,'Condensed Specialty Crosswalk'!$A$2:$C$106,2,FALSE),"")</f>
        <v/>
      </c>
      <c r="G8181" s="49" t="str">
        <f>IFERROR(VLOOKUP(E8181,'Condensed Specialty Crosswalk'!$A$2:$C$106,3,FALSE),"")</f>
        <v/>
      </c>
    </row>
    <row r="8182" spans="5:7" ht="15" customHeight="1">
      <c r="E8182" s="49" t="str">
        <f>IFERROR(VLOOKUP(D8182,'taxonomy map'!$A$1:$C$107,2,FALSE),"")</f>
        <v/>
      </c>
      <c r="F8182" s="49" t="str">
        <f>IFERROR(VLOOKUP(E8182,'Condensed Specialty Crosswalk'!$A$2:$C$106,2,FALSE),"")</f>
        <v/>
      </c>
      <c r="G8182" s="49" t="str">
        <f>IFERROR(VLOOKUP(E8182,'Condensed Specialty Crosswalk'!$A$2:$C$106,3,FALSE),"")</f>
        <v/>
      </c>
    </row>
    <row r="8183" spans="5:7" ht="15" customHeight="1">
      <c r="E8183" s="49" t="str">
        <f>IFERROR(VLOOKUP(D8183,'taxonomy map'!$A$1:$C$107,2,FALSE),"")</f>
        <v/>
      </c>
      <c r="F8183" s="49" t="str">
        <f>IFERROR(VLOOKUP(E8183,'Condensed Specialty Crosswalk'!$A$2:$C$106,2,FALSE),"")</f>
        <v/>
      </c>
      <c r="G8183" s="49" t="str">
        <f>IFERROR(VLOOKUP(E8183,'Condensed Specialty Crosswalk'!$A$2:$C$106,3,FALSE),"")</f>
        <v/>
      </c>
    </row>
    <row r="8184" spans="5:7" ht="15" customHeight="1">
      <c r="E8184" s="49" t="str">
        <f>IFERROR(VLOOKUP(D8184,'taxonomy map'!$A$1:$C$107,2,FALSE),"")</f>
        <v/>
      </c>
      <c r="F8184" s="49" t="str">
        <f>IFERROR(VLOOKUP(E8184,'Condensed Specialty Crosswalk'!$A$2:$C$106,2,FALSE),"")</f>
        <v/>
      </c>
      <c r="G8184" s="49" t="str">
        <f>IFERROR(VLOOKUP(E8184,'Condensed Specialty Crosswalk'!$A$2:$C$106,3,FALSE),"")</f>
        <v/>
      </c>
    </row>
    <row r="8185" spans="5:7" ht="15" customHeight="1">
      <c r="E8185" s="49" t="str">
        <f>IFERROR(VLOOKUP(D8185,'taxonomy map'!$A$1:$C$107,2,FALSE),"")</f>
        <v/>
      </c>
      <c r="F8185" s="49" t="str">
        <f>IFERROR(VLOOKUP(E8185,'Condensed Specialty Crosswalk'!$A$2:$C$106,2,FALSE),"")</f>
        <v/>
      </c>
      <c r="G8185" s="49" t="str">
        <f>IFERROR(VLOOKUP(E8185,'Condensed Specialty Crosswalk'!$A$2:$C$106,3,FALSE),"")</f>
        <v/>
      </c>
    </row>
    <row r="8186" spans="5:7" ht="15" customHeight="1">
      <c r="E8186" s="49" t="str">
        <f>IFERROR(VLOOKUP(D8186,'taxonomy map'!$A$1:$C$107,2,FALSE),"")</f>
        <v/>
      </c>
      <c r="F8186" s="49" t="str">
        <f>IFERROR(VLOOKUP(E8186,'Condensed Specialty Crosswalk'!$A$2:$C$106,2,FALSE),"")</f>
        <v/>
      </c>
      <c r="G8186" s="49" t="str">
        <f>IFERROR(VLOOKUP(E8186,'Condensed Specialty Crosswalk'!$A$2:$C$106,3,FALSE),"")</f>
        <v/>
      </c>
    </row>
    <row r="8187" spans="5:7" ht="15" customHeight="1">
      <c r="E8187" s="49" t="str">
        <f>IFERROR(VLOOKUP(D8187,'taxonomy map'!$A$1:$C$107,2,FALSE),"")</f>
        <v/>
      </c>
      <c r="F8187" s="49" t="str">
        <f>IFERROR(VLOOKUP(E8187,'Condensed Specialty Crosswalk'!$A$2:$C$106,2,FALSE),"")</f>
        <v/>
      </c>
      <c r="G8187" s="49" t="str">
        <f>IFERROR(VLOOKUP(E8187,'Condensed Specialty Crosswalk'!$A$2:$C$106,3,FALSE),"")</f>
        <v/>
      </c>
    </row>
    <row r="8188" spans="5:7" ht="15" customHeight="1">
      <c r="E8188" s="49" t="str">
        <f>IFERROR(VLOOKUP(D8188,'taxonomy map'!$A$1:$C$107,2,FALSE),"")</f>
        <v/>
      </c>
      <c r="F8188" s="49" t="str">
        <f>IFERROR(VLOOKUP(E8188,'Condensed Specialty Crosswalk'!$A$2:$C$106,2,FALSE),"")</f>
        <v/>
      </c>
      <c r="G8188" s="49" t="str">
        <f>IFERROR(VLOOKUP(E8188,'Condensed Specialty Crosswalk'!$A$2:$C$106,3,FALSE),"")</f>
        <v/>
      </c>
    </row>
    <row r="8189" spans="5:7" ht="15" customHeight="1">
      <c r="E8189" s="49" t="str">
        <f>IFERROR(VLOOKUP(D8189,'taxonomy map'!$A$1:$C$107,2,FALSE),"")</f>
        <v/>
      </c>
      <c r="F8189" s="49" t="str">
        <f>IFERROR(VLOOKUP(E8189,'Condensed Specialty Crosswalk'!$A$2:$C$106,2,FALSE),"")</f>
        <v/>
      </c>
      <c r="G8189" s="49" t="str">
        <f>IFERROR(VLOOKUP(E8189,'Condensed Specialty Crosswalk'!$A$2:$C$106,3,FALSE),"")</f>
        <v/>
      </c>
    </row>
    <row r="8190" spans="5:7" ht="15" customHeight="1">
      <c r="E8190" s="49" t="str">
        <f>IFERROR(VLOOKUP(D8190,'taxonomy map'!$A$1:$C$107,2,FALSE),"")</f>
        <v/>
      </c>
      <c r="F8190" s="49" t="str">
        <f>IFERROR(VLOOKUP(E8190,'Condensed Specialty Crosswalk'!$A$2:$C$106,2,FALSE),"")</f>
        <v/>
      </c>
      <c r="G8190" s="49" t="str">
        <f>IFERROR(VLOOKUP(E8190,'Condensed Specialty Crosswalk'!$A$2:$C$106,3,FALSE),"")</f>
        <v/>
      </c>
    </row>
    <row r="8191" spans="5:7" ht="15" customHeight="1">
      <c r="E8191" s="49" t="str">
        <f>IFERROR(VLOOKUP(D8191,'taxonomy map'!$A$1:$C$107,2,FALSE),"")</f>
        <v/>
      </c>
      <c r="F8191" s="49" t="str">
        <f>IFERROR(VLOOKUP(E8191,'Condensed Specialty Crosswalk'!$A$2:$C$106,2,FALSE),"")</f>
        <v/>
      </c>
      <c r="G8191" s="49" t="str">
        <f>IFERROR(VLOOKUP(E8191,'Condensed Specialty Crosswalk'!$A$2:$C$106,3,FALSE),"")</f>
        <v/>
      </c>
    </row>
    <row r="8192" spans="5:7" ht="15" customHeight="1">
      <c r="E8192" s="49" t="str">
        <f>IFERROR(VLOOKUP(D8192,'taxonomy map'!$A$1:$C$107,2,FALSE),"")</f>
        <v/>
      </c>
      <c r="F8192" s="49" t="str">
        <f>IFERROR(VLOOKUP(E8192,'Condensed Specialty Crosswalk'!$A$2:$C$106,2,FALSE),"")</f>
        <v/>
      </c>
      <c r="G8192" s="49" t="str">
        <f>IFERROR(VLOOKUP(E8192,'Condensed Specialty Crosswalk'!$A$2:$C$106,3,FALSE),"")</f>
        <v/>
      </c>
    </row>
    <row r="8193" spans="5:7" ht="15" customHeight="1">
      <c r="E8193" s="49" t="str">
        <f>IFERROR(VLOOKUP(D8193,'taxonomy map'!$A$1:$C$107,2,FALSE),"")</f>
        <v/>
      </c>
      <c r="F8193" s="49" t="str">
        <f>IFERROR(VLOOKUP(E8193,'Condensed Specialty Crosswalk'!$A$2:$C$106,2,FALSE),"")</f>
        <v/>
      </c>
      <c r="G8193" s="49" t="str">
        <f>IFERROR(VLOOKUP(E8193,'Condensed Specialty Crosswalk'!$A$2:$C$106,3,FALSE),"")</f>
        <v/>
      </c>
    </row>
    <row r="8194" spans="5:7" ht="15" customHeight="1">
      <c r="E8194" s="49" t="str">
        <f>IFERROR(VLOOKUP(D8194,'taxonomy map'!$A$1:$C$107,2,FALSE),"")</f>
        <v/>
      </c>
      <c r="F8194" s="49" t="str">
        <f>IFERROR(VLOOKUP(E8194,'Condensed Specialty Crosswalk'!$A$2:$C$106,2,FALSE),"")</f>
        <v/>
      </c>
      <c r="G8194" s="49" t="str">
        <f>IFERROR(VLOOKUP(E8194,'Condensed Specialty Crosswalk'!$A$2:$C$106,3,FALSE),"")</f>
        <v/>
      </c>
    </row>
    <row r="8195" spans="5:7" ht="15" customHeight="1">
      <c r="E8195" s="49" t="str">
        <f>IFERROR(VLOOKUP(D8195,'taxonomy map'!$A$1:$C$107,2,FALSE),"")</f>
        <v/>
      </c>
      <c r="F8195" s="49" t="str">
        <f>IFERROR(VLOOKUP(E8195,'Condensed Specialty Crosswalk'!$A$2:$C$106,2,FALSE),"")</f>
        <v/>
      </c>
      <c r="G8195" s="49" t="str">
        <f>IFERROR(VLOOKUP(E8195,'Condensed Specialty Crosswalk'!$A$2:$C$106,3,FALSE),"")</f>
        <v/>
      </c>
    </row>
    <row r="8196" spans="5:7" ht="15" customHeight="1">
      <c r="E8196" s="49" t="str">
        <f>IFERROR(VLOOKUP(D8196,'taxonomy map'!$A$1:$C$107,2,FALSE),"")</f>
        <v/>
      </c>
      <c r="F8196" s="49" t="str">
        <f>IFERROR(VLOOKUP(E8196,'Condensed Specialty Crosswalk'!$A$2:$C$106,2,FALSE),"")</f>
        <v/>
      </c>
      <c r="G8196" s="49" t="str">
        <f>IFERROR(VLOOKUP(E8196,'Condensed Specialty Crosswalk'!$A$2:$C$106,3,FALSE),"")</f>
        <v/>
      </c>
    </row>
    <row r="8197" spans="5:7" ht="15" customHeight="1">
      <c r="E8197" s="49" t="str">
        <f>IFERROR(VLOOKUP(D8197,'taxonomy map'!$A$1:$C$107,2,FALSE),"")</f>
        <v/>
      </c>
      <c r="F8197" s="49" t="str">
        <f>IFERROR(VLOOKUP(E8197,'Condensed Specialty Crosswalk'!$A$2:$C$106,2,FALSE),"")</f>
        <v/>
      </c>
      <c r="G8197" s="49" t="str">
        <f>IFERROR(VLOOKUP(E8197,'Condensed Specialty Crosswalk'!$A$2:$C$106,3,FALSE),"")</f>
        <v/>
      </c>
    </row>
    <row r="8198" spans="5:7" ht="15" customHeight="1">
      <c r="E8198" s="49" t="str">
        <f>IFERROR(VLOOKUP(D8198,'taxonomy map'!$A$1:$C$107,2,FALSE),"")</f>
        <v/>
      </c>
      <c r="F8198" s="49" t="str">
        <f>IFERROR(VLOOKUP(E8198,'Condensed Specialty Crosswalk'!$A$2:$C$106,2,FALSE),"")</f>
        <v/>
      </c>
      <c r="G8198" s="49" t="str">
        <f>IFERROR(VLOOKUP(E8198,'Condensed Specialty Crosswalk'!$A$2:$C$106,3,FALSE),"")</f>
        <v/>
      </c>
    </row>
    <row r="8199" spans="5:7" ht="15" customHeight="1">
      <c r="E8199" s="49" t="str">
        <f>IFERROR(VLOOKUP(D8199,'taxonomy map'!$A$1:$C$107,2,FALSE),"")</f>
        <v/>
      </c>
      <c r="F8199" s="49" t="str">
        <f>IFERROR(VLOOKUP(E8199,'Condensed Specialty Crosswalk'!$A$2:$C$106,2,FALSE),"")</f>
        <v/>
      </c>
      <c r="G8199" s="49" t="str">
        <f>IFERROR(VLOOKUP(E8199,'Condensed Specialty Crosswalk'!$A$2:$C$106,3,FALSE),"")</f>
        <v/>
      </c>
    </row>
    <row r="8200" spans="5:7" ht="15" customHeight="1">
      <c r="E8200" s="49" t="str">
        <f>IFERROR(VLOOKUP(D8200,'taxonomy map'!$A$1:$C$107,2,FALSE),"")</f>
        <v/>
      </c>
      <c r="F8200" s="49" t="str">
        <f>IFERROR(VLOOKUP(E8200,'Condensed Specialty Crosswalk'!$A$2:$C$106,2,FALSE),"")</f>
        <v/>
      </c>
      <c r="G8200" s="49" t="str">
        <f>IFERROR(VLOOKUP(E8200,'Condensed Specialty Crosswalk'!$A$2:$C$106,3,FALSE),"")</f>
        <v/>
      </c>
    </row>
    <row r="8201" spans="5:7" ht="15" customHeight="1">
      <c r="E8201" s="49" t="str">
        <f>IFERROR(VLOOKUP(D8201,'taxonomy map'!$A$1:$C$107,2,FALSE),"")</f>
        <v/>
      </c>
      <c r="F8201" s="49" t="str">
        <f>IFERROR(VLOOKUP(E8201,'Condensed Specialty Crosswalk'!$A$2:$C$106,2,FALSE),"")</f>
        <v/>
      </c>
      <c r="G8201" s="49" t="str">
        <f>IFERROR(VLOOKUP(E8201,'Condensed Specialty Crosswalk'!$A$2:$C$106,3,FALSE),"")</f>
        <v/>
      </c>
    </row>
    <row r="8202" spans="5:7" ht="15" customHeight="1">
      <c r="E8202" s="49" t="str">
        <f>IFERROR(VLOOKUP(D8202,'taxonomy map'!$A$1:$C$107,2,FALSE),"")</f>
        <v/>
      </c>
      <c r="F8202" s="49" t="str">
        <f>IFERROR(VLOOKUP(E8202,'Condensed Specialty Crosswalk'!$A$2:$C$106,2,FALSE),"")</f>
        <v/>
      </c>
      <c r="G8202" s="49" t="str">
        <f>IFERROR(VLOOKUP(E8202,'Condensed Specialty Crosswalk'!$A$2:$C$106,3,FALSE),"")</f>
        <v/>
      </c>
    </row>
    <row r="8203" spans="5:7" ht="15" customHeight="1">
      <c r="E8203" s="49" t="str">
        <f>IFERROR(VLOOKUP(D8203,'taxonomy map'!$A$1:$C$107,2,FALSE),"")</f>
        <v/>
      </c>
      <c r="F8203" s="49" t="str">
        <f>IFERROR(VLOOKUP(E8203,'Condensed Specialty Crosswalk'!$A$2:$C$106,2,FALSE),"")</f>
        <v/>
      </c>
      <c r="G8203" s="49" t="str">
        <f>IFERROR(VLOOKUP(E8203,'Condensed Specialty Crosswalk'!$A$2:$C$106,3,FALSE),"")</f>
        <v/>
      </c>
    </row>
    <row r="8204" spans="5:7" ht="15" customHeight="1">
      <c r="E8204" s="49" t="str">
        <f>IFERROR(VLOOKUP(D8204,'taxonomy map'!$A$1:$C$107,2,FALSE),"")</f>
        <v/>
      </c>
      <c r="F8204" s="49" t="str">
        <f>IFERROR(VLOOKUP(E8204,'Condensed Specialty Crosswalk'!$A$2:$C$106,2,FALSE),"")</f>
        <v/>
      </c>
      <c r="G8204" s="49" t="str">
        <f>IFERROR(VLOOKUP(E8204,'Condensed Specialty Crosswalk'!$A$2:$C$106,3,FALSE),"")</f>
        <v/>
      </c>
    </row>
    <row r="8205" spans="5:7" ht="15" customHeight="1">
      <c r="E8205" s="49" t="str">
        <f>IFERROR(VLOOKUP(D8205,'taxonomy map'!$A$1:$C$107,2,FALSE),"")</f>
        <v/>
      </c>
      <c r="F8205" s="49" t="str">
        <f>IFERROR(VLOOKUP(E8205,'Condensed Specialty Crosswalk'!$A$2:$C$106,2,FALSE),"")</f>
        <v/>
      </c>
      <c r="G8205" s="49" t="str">
        <f>IFERROR(VLOOKUP(E8205,'Condensed Specialty Crosswalk'!$A$2:$C$106,3,FALSE),"")</f>
        <v/>
      </c>
    </row>
    <row r="8206" spans="5:7" ht="15" customHeight="1">
      <c r="E8206" s="49" t="str">
        <f>IFERROR(VLOOKUP(D8206,'taxonomy map'!$A$1:$C$107,2,FALSE),"")</f>
        <v/>
      </c>
      <c r="F8206" s="49" t="str">
        <f>IFERROR(VLOOKUP(E8206,'Condensed Specialty Crosswalk'!$A$2:$C$106,2,FALSE),"")</f>
        <v/>
      </c>
      <c r="G8206" s="49" t="str">
        <f>IFERROR(VLOOKUP(E8206,'Condensed Specialty Crosswalk'!$A$2:$C$106,3,FALSE),"")</f>
        <v/>
      </c>
    </row>
    <row r="8207" spans="5:7" ht="15" customHeight="1">
      <c r="E8207" s="49" t="str">
        <f>IFERROR(VLOOKUP(D8207,'taxonomy map'!$A$1:$C$107,2,FALSE),"")</f>
        <v/>
      </c>
      <c r="F8207" s="49" t="str">
        <f>IFERROR(VLOOKUP(E8207,'Condensed Specialty Crosswalk'!$A$2:$C$106,2,FALSE),"")</f>
        <v/>
      </c>
      <c r="G8207" s="49" t="str">
        <f>IFERROR(VLOOKUP(E8207,'Condensed Specialty Crosswalk'!$A$2:$C$106,3,FALSE),"")</f>
        <v/>
      </c>
    </row>
    <row r="8208" spans="5:7" ht="15" customHeight="1">
      <c r="E8208" s="49" t="str">
        <f>IFERROR(VLOOKUP(D8208,'taxonomy map'!$A$1:$C$107,2,FALSE),"")</f>
        <v/>
      </c>
      <c r="F8208" s="49" t="str">
        <f>IFERROR(VLOOKUP(E8208,'Condensed Specialty Crosswalk'!$A$2:$C$106,2,FALSE),"")</f>
        <v/>
      </c>
      <c r="G8208" s="49" t="str">
        <f>IFERROR(VLOOKUP(E8208,'Condensed Specialty Crosswalk'!$A$2:$C$106,3,FALSE),"")</f>
        <v/>
      </c>
    </row>
    <row r="8209" spans="5:7" ht="15" customHeight="1">
      <c r="E8209" s="49" t="str">
        <f>IFERROR(VLOOKUP(D8209,'taxonomy map'!$A$1:$C$107,2,FALSE),"")</f>
        <v/>
      </c>
      <c r="F8209" s="49" t="str">
        <f>IFERROR(VLOOKUP(E8209,'Condensed Specialty Crosswalk'!$A$2:$C$106,2,FALSE),"")</f>
        <v/>
      </c>
      <c r="G8209" s="49" t="str">
        <f>IFERROR(VLOOKUP(E8209,'Condensed Specialty Crosswalk'!$A$2:$C$106,3,FALSE),"")</f>
        <v/>
      </c>
    </row>
    <row r="8210" spans="5:7" ht="15" customHeight="1">
      <c r="E8210" s="49" t="str">
        <f>IFERROR(VLOOKUP(D8210,'taxonomy map'!$A$1:$C$107,2,FALSE),"")</f>
        <v/>
      </c>
      <c r="F8210" s="49" t="str">
        <f>IFERROR(VLOOKUP(E8210,'Condensed Specialty Crosswalk'!$A$2:$C$106,2,FALSE),"")</f>
        <v/>
      </c>
      <c r="G8210" s="49" t="str">
        <f>IFERROR(VLOOKUP(E8210,'Condensed Specialty Crosswalk'!$A$2:$C$106,3,FALSE),"")</f>
        <v/>
      </c>
    </row>
    <row r="8211" spans="5:7" ht="15" customHeight="1">
      <c r="E8211" s="49" t="str">
        <f>IFERROR(VLOOKUP(D8211,'taxonomy map'!$A$1:$C$107,2,FALSE),"")</f>
        <v/>
      </c>
      <c r="F8211" s="49" t="str">
        <f>IFERROR(VLOOKUP(E8211,'Condensed Specialty Crosswalk'!$A$2:$C$106,2,FALSE),"")</f>
        <v/>
      </c>
      <c r="G8211" s="49" t="str">
        <f>IFERROR(VLOOKUP(E8211,'Condensed Specialty Crosswalk'!$A$2:$C$106,3,FALSE),"")</f>
        <v/>
      </c>
    </row>
    <row r="8212" spans="5:7" ht="15" customHeight="1">
      <c r="E8212" s="49" t="str">
        <f>IFERROR(VLOOKUP(D8212,'taxonomy map'!$A$1:$C$107,2,FALSE),"")</f>
        <v/>
      </c>
      <c r="F8212" s="49" t="str">
        <f>IFERROR(VLOOKUP(E8212,'Condensed Specialty Crosswalk'!$A$2:$C$106,2,FALSE),"")</f>
        <v/>
      </c>
      <c r="G8212" s="49" t="str">
        <f>IFERROR(VLOOKUP(E8212,'Condensed Specialty Crosswalk'!$A$2:$C$106,3,FALSE),"")</f>
        <v/>
      </c>
    </row>
    <row r="8213" spans="5:7" ht="15" customHeight="1">
      <c r="E8213" s="49" t="str">
        <f>IFERROR(VLOOKUP(D8213,'taxonomy map'!$A$1:$C$107,2,FALSE),"")</f>
        <v/>
      </c>
      <c r="F8213" s="49" t="str">
        <f>IFERROR(VLOOKUP(E8213,'Condensed Specialty Crosswalk'!$A$2:$C$106,2,FALSE),"")</f>
        <v/>
      </c>
      <c r="G8213" s="49" t="str">
        <f>IFERROR(VLOOKUP(E8213,'Condensed Specialty Crosswalk'!$A$2:$C$106,3,FALSE),"")</f>
        <v/>
      </c>
    </row>
    <row r="8214" spans="5:7" ht="15" customHeight="1">
      <c r="E8214" s="49" t="str">
        <f>IFERROR(VLOOKUP(D8214,'taxonomy map'!$A$1:$C$107,2,FALSE),"")</f>
        <v/>
      </c>
      <c r="F8214" s="49" t="str">
        <f>IFERROR(VLOOKUP(E8214,'Condensed Specialty Crosswalk'!$A$2:$C$106,2,FALSE),"")</f>
        <v/>
      </c>
      <c r="G8214" s="49" t="str">
        <f>IFERROR(VLOOKUP(E8214,'Condensed Specialty Crosswalk'!$A$2:$C$106,3,FALSE),"")</f>
        <v/>
      </c>
    </row>
    <row r="8215" spans="5:7" ht="15" customHeight="1">
      <c r="E8215" s="49" t="str">
        <f>IFERROR(VLOOKUP(D8215,'taxonomy map'!$A$1:$C$107,2,FALSE),"")</f>
        <v/>
      </c>
      <c r="F8215" s="49" t="str">
        <f>IFERROR(VLOOKUP(E8215,'Condensed Specialty Crosswalk'!$A$2:$C$106,2,FALSE),"")</f>
        <v/>
      </c>
      <c r="G8215" s="49" t="str">
        <f>IFERROR(VLOOKUP(E8215,'Condensed Specialty Crosswalk'!$A$2:$C$106,3,FALSE),"")</f>
        <v/>
      </c>
    </row>
    <row r="8216" spans="5:7" ht="15" customHeight="1">
      <c r="E8216" s="49" t="str">
        <f>IFERROR(VLOOKUP(D8216,'taxonomy map'!$A$1:$C$107,2,FALSE),"")</f>
        <v/>
      </c>
      <c r="F8216" s="49" t="str">
        <f>IFERROR(VLOOKUP(E8216,'Condensed Specialty Crosswalk'!$A$2:$C$106,2,FALSE),"")</f>
        <v/>
      </c>
      <c r="G8216" s="49" t="str">
        <f>IFERROR(VLOOKUP(E8216,'Condensed Specialty Crosswalk'!$A$2:$C$106,3,FALSE),"")</f>
        <v/>
      </c>
    </row>
    <row r="8217" spans="5:7" ht="15" customHeight="1">
      <c r="E8217" s="49" t="str">
        <f>IFERROR(VLOOKUP(D8217,'taxonomy map'!$A$1:$C$107,2,FALSE),"")</f>
        <v/>
      </c>
      <c r="F8217" s="49" t="str">
        <f>IFERROR(VLOOKUP(E8217,'Condensed Specialty Crosswalk'!$A$2:$C$106,2,FALSE),"")</f>
        <v/>
      </c>
      <c r="G8217" s="49" t="str">
        <f>IFERROR(VLOOKUP(E8217,'Condensed Specialty Crosswalk'!$A$2:$C$106,3,FALSE),"")</f>
        <v/>
      </c>
    </row>
    <row r="8218" spans="5:7" ht="15" customHeight="1">
      <c r="E8218" s="49" t="str">
        <f>IFERROR(VLOOKUP(D8218,'taxonomy map'!$A$1:$C$107,2,FALSE),"")</f>
        <v/>
      </c>
      <c r="F8218" s="49" t="str">
        <f>IFERROR(VLOOKUP(E8218,'Condensed Specialty Crosswalk'!$A$2:$C$106,2,FALSE),"")</f>
        <v/>
      </c>
      <c r="G8218" s="49" t="str">
        <f>IFERROR(VLOOKUP(E8218,'Condensed Specialty Crosswalk'!$A$2:$C$106,3,FALSE),"")</f>
        <v/>
      </c>
    </row>
    <row r="8219" spans="5:7" ht="15" customHeight="1">
      <c r="E8219" s="49" t="str">
        <f>IFERROR(VLOOKUP(D8219,'taxonomy map'!$A$1:$C$107,2,FALSE),"")</f>
        <v/>
      </c>
      <c r="F8219" s="49" t="str">
        <f>IFERROR(VLOOKUP(E8219,'Condensed Specialty Crosswalk'!$A$2:$C$106,2,FALSE),"")</f>
        <v/>
      </c>
      <c r="G8219" s="49" t="str">
        <f>IFERROR(VLOOKUP(E8219,'Condensed Specialty Crosswalk'!$A$2:$C$106,3,FALSE),"")</f>
        <v/>
      </c>
    </row>
    <row r="8220" spans="5:7" ht="15" customHeight="1">
      <c r="E8220" s="49" t="str">
        <f>IFERROR(VLOOKUP(D8220,'taxonomy map'!$A$1:$C$107,2,FALSE),"")</f>
        <v/>
      </c>
      <c r="F8220" s="49" t="str">
        <f>IFERROR(VLOOKUP(E8220,'Condensed Specialty Crosswalk'!$A$2:$C$106,2,FALSE),"")</f>
        <v/>
      </c>
      <c r="G8220" s="49" t="str">
        <f>IFERROR(VLOOKUP(E8220,'Condensed Specialty Crosswalk'!$A$2:$C$106,3,FALSE),"")</f>
        <v/>
      </c>
    </row>
    <row r="8221" spans="5:7" ht="15" customHeight="1">
      <c r="E8221" s="49" t="str">
        <f>IFERROR(VLOOKUP(D8221,'taxonomy map'!$A$1:$C$107,2,FALSE),"")</f>
        <v/>
      </c>
      <c r="F8221" s="49" t="str">
        <f>IFERROR(VLOOKUP(E8221,'Condensed Specialty Crosswalk'!$A$2:$C$106,2,FALSE),"")</f>
        <v/>
      </c>
      <c r="G8221" s="49" t="str">
        <f>IFERROR(VLOOKUP(E8221,'Condensed Specialty Crosswalk'!$A$2:$C$106,3,FALSE),"")</f>
        <v/>
      </c>
    </row>
    <row r="8222" spans="5:7" ht="15" customHeight="1">
      <c r="E8222" s="49" t="str">
        <f>IFERROR(VLOOKUP(D8222,'taxonomy map'!$A$1:$C$107,2,FALSE),"")</f>
        <v/>
      </c>
      <c r="F8222" s="49" t="str">
        <f>IFERROR(VLOOKUP(E8222,'Condensed Specialty Crosswalk'!$A$2:$C$106,2,FALSE),"")</f>
        <v/>
      </c>
      <c r="G8222" s="49" t="str">
        <f>IFERROR(VLOOKUP(E8222,'Condensed Specialty Crosswalk'!$A$2:$C$106,3,FALSE),"")</f>
        <v/>
      </c>
    </row>
    <row r="8223" spans="5:7" ht="15" customHeight="1">
      <c r="E8223" s="49" t="str">
        <f>IFERROR(VLOOKUP(D8223,'taxonomy map'!$A$1:$C$107,2,FALSE),"")</f>
        <v/>
      </c>
      <c r="F8223" s="49" t="str">
        <f>IFERROR(VLOOKUP(E8223,'Condensed Specialty Crosswalk'!$A$2:$C$106,2,FALSE),"")</f>
        <v/>
      </c>
      <c r="G8223" s="49" t="str">
        <f>IFERROR(VLOOKUP(E8223,'Condensed Specialty Crosswalk'!$A$2:$C$106,3,FALSE),"")</f>
        <v/>
      </c>
    </row>
    <row r="8224" spans="5:7" ht="15" customHeight="1">
      <c r="E8224" s="49" t="str">
        <f>IFERROR(VLOOKUP(D8224,'taxonomy map'!$A$1:$C$107,2,FALSE),"")</f>
        <v/>
      </c>
      <c r="F8224" s="49" t="str">
        <f>IFERROR(VLOOKUP(E8224,'Condensed Specialty Crosswalk'!$A$2:$C$106,2,FALSE),"")</f>
        <v/>
      </c>
      <c r="G8224" s="49" t="str">
        <f>IFERROR(VLOOKUP(E8224,'Condensed Specialty Crosswalk'!$A$2:$C$106,3,FALSE),"")</f>
        <v/>
      </c>
    </row>
    <row r="8225" spans="5:7" ht="15" customHeight="1">
      <c r="E8225" s="49" t="str">
        <f>IFERROR(VLOOKUP(D8225,'taxonomy map'!$A$1:$C$107,2,FALSE),"")</f>
        <v/>
      </c>
      <c r="F8225" s="49" t="str">
        <f>IFERROR(VLOOKUP(E8225,'Condensed Specialty Crosswalk'!$A$2:$C$106,2,FALSE),"")</f>
        <v/>
      </c>
      <c r="G8225" s="49" t="str">
        <f>IFERROR(VLOOKUP(E8225,'Condensed Specialty Crosswalk'!$A$2:$C$106,3,FALSE),"")</f>
        <v/>
      </c>
    </row>
    <row r="8226" spans="5:7" ht="15" customHeight="1">
      <c r="E8226" s="49" t="str">
        <f>IFERROR(VLOOKUP(D8226,'taxonomy map'!$A$1:$C$107,2,FALSE),"")</f>
        <v/>
      </c>
      <c r="F8226" s="49" t="str">
        <f>IFERROR(VLOOKUP(E8226,'Condensed Specialty Crosswalk'!$A$2:$C$106,2,FALSE),"")</f>
        <v/>
      </c>
      <c r="G8226" s="49" t="str">
        <f>IFERROR(VLOOKUP(E8226,'Condensed Specialty Crosswalk'!$A$2:$C$106,3,FALSE),"")</f>
        <v/>
      </c>
    </row>
    <row r="8227" spans="5:7" ht="15" customHeight="1">
      <c r="E8227" s="49" t="str">
        <f>IFERROR(VLOOKUP(D8227,'taxonomy map'!$A$1:$C$107,2,FALSE),"")</f>
        <v/>
      </c>
      <c r="F8227" s="49" t="str">
        <f>IFERROR(VLOOKUP(E8227,'Condensed Specialty Crosswalk'!$A$2:$C$106,2,FALSE),"")</f>
        <v/>
      </c>
      <c r="G8227" s="49" t="str">
        <f>IFERROR(VLOOKUP(E8227,'Condensed Specialty Crosswalk'!$A$2:$C$106,3,FALSE),"")</f>
        <v/>
      </c>
    </row>
    <row r="8228" spans="5:7" ht="15" customHeight="1">
      <c r="E8228" s="49" t="str">
        <f>IFERROR(VLOOKUP(D8228,'taxonomy map'!$A$1:$C$107,2,FALSE),"")</f>
        <v/>
      </c>
      <c r="F8228" s="49" t="str">
        <f>IFERROR(VLOOKUP(E8228,'Condensed Specialty Crosswalk'!$A$2:$C$106,2,FALSE),"")</f>
        <v/>
      </c>
      <c r="G8228" s="49" t="str">
        <f>IFERROR(VLOOKUP(E8228,'Condensed Specialty Crosswalk'!$A$2:$C$106,3,FALSE),"")</f>
        <v/>
      </c>
    </row>
    <row r="8229" spans="5:7" ht="15" customHeight="1">
      <c r="E8229" s="49" t="str">
        <f>IFERROR(VLOOKUP(D8229,'taxonomy map'!$A$1:$C$107,2,FALSE),"")</f>
        <v/>
      </c>
      <c r="F8229" s="49" t="str">
        <f>IFERROR(VLOOKUP(E8229,'Condensed Specialty Crosswalk'!$A$2:$C$106,2,FALSE),"")</f>
        <v/>
      </c>
      <c r="G8229" s="49" t="str">
        <f>IFERROR(VLOOKUP(E8229,'Condensed Specialty Crosswalk'!$A$2:$C$106,3,FALSE),"")</f>
        <v/>
      </c>
    </row>
    <row r="8230" spans="5:7" ht="15" customHeight="1">
      <c r="E8230" s="49" t="str">
        <f>IFERROR(VLOOKUP(D8230,'taxonomy map'!$A$1:$C$107,2,FALSE),"")</f>
        <v/>
      </c>
      <c r="F8230" s="49" t="str">
        <f>IFERROR(VLOOKUP(E8230,'Condensed Specialty Crosswalk'!$A$2:$C$106,2,FALSE),"")</f>
        <v/>
      </c>
      <c r="G8230" s="49" t="str">
        <f>IFERROR(VLOOKUP(E8230,'Condensed Specialty Crosswalk'!$A$2:$C$106,3,FALSE),"")</f>
        <v/>
      </c>
    </row>
    <row r="8231" spans="5:7" ht="15" customHeight="1">
      <c r="E8231" s="49" t="str">
        <f>IFERROR(VLOOKUP(D8231,'taxonomy map'!$A$1:$C$107,2,FALSE),"")</f>
        <v/>
      </c>
      <c r="F8231" s="49" t="str">
        <f>IFERROR(VLOOKUP(E8231,'Condensed Specialty Crosswalk'!$A$2:$C$106,2,FALSE),"")</f>
        <v/>
      </c>
      <c r="G8231" s="49" t="str">
        <f>IFERROR(VLOOKUP(E8231,'Condensed Specialty Crosswalk'!$A$2:$C$106,3,FALSE),"")</f>
        <v/>
      </c>
    </row>
    <row r="8232" spans="5:7" ht="15" customHeight="1">
      <c r="E8232" s="49" t="str">
        <f>IFERROR(VLOOKUP(D8232,'taxonomy map'!$A$1:$C$107,2,FALSE),"")</f>
        <v/>
      </c>
      <c r="F8232" s="49" t="str">
        <f>IFERROR(VLOOKUP(E8232,'Condensed Specialty Crosswalk'!$A$2:$C$106,2,FALSE),"")</f>
        <v/>
      </c>
      <c r="G8232" s="49" t="str">
        <f>IFERROR(VLOOKUP(E8232,'Condensed Specialty Crosswalk'!$A$2:$C$106,3,FALSE),"")</f>
        <v/>
      </c>
    </row>
    <row r="8233" spans="5:7" ht="15" customHeight="1">
      <c r="E8233" s="49" t="str">
        <f>IFERROR(VLOOKUP(D8233,'taxonomy map'!$A$1:$C$107,2,FALSE),"")</f>
        <v/>
      </c>
      <c r="F8233" s="49" t="str">
        <f>IFERROR(VLOOKUP(E8233,'Condensed Specialty Crosswalk'!$A$2:$C$106,2,FALSE),"")</f>
        <v/>
      </c>
      <c r="G8233" s="49" t="str">
        <f>IFERROR(VLOOKUP(E8233,'Condensed Specialty Crosswalk'!$A$2:$C$106,3,FALSE),"")</f>
        <v/>
      </c>
    </row>
    <row r="8234" spans="5:7" ht="15" customHeight="1">
      <c r="E8234" s="49" t="str">
        <f>IFERROR(VLOOKUP(D8234,'taxonomy map'!$A$1:$C$107,2,FALSE),"")</f>
        <v/>
      </c>
      <c r="F8234" s="49" t="str">
        <f>IFERROR(VLOOKUP(E8234,'Condensed Specialty Crosswalk'!$A$2:$C$106,2,FALSE),"")</f>
        <v/>
      </c>
      <c r="G8234" s="49" t="str">
        <f>IFERROR(VLOOKUP(E8234,'Condensed Specialty Crosswalk'!$A$2:$C$106,3,FALSE),"")</f>
        <v/>
      </c>
    </row>
    <row r="8235" spans="5:7" ht="15" customHeight="1">
      <c r="E8235" s="49" t="str">
        <f>IFERROR(VLOOKUP(D8235,'taxonomy map'!$A$1:$C$107,2,FALSE),"")</f>
        <v/>
      </c>
      <c r="F8235" s="49" t="str">
        <f>IFERROR(VLOOKUP(E8235,'Condensed Specialty Crosswalk'!$A$2:$C$106,2,FALSE),"")</f>
        <v/>
      </c>
      <c r="G8235" s="49" t="str">
        <f>IFERROR(VLOOKUP(E8235,'Condensed Specialty Crosswalk'!$A$2:$C$106,3,FALSE),"")</f>
        <v/>
      </c>
    </row>
    <row r="8236" spans="5:7" ht="15" customHeight="1">
      <c r="E8236" s="49" t="str">
        <f>IFERROR(VLOOKUP(D8236,'taxonomy map'!$A$1:$C$107,2,FALSE),"")</f>
        <v/>
      </c>
      <c r="F8236" s="49" t="str">
        <f>IFERROR(VLOOKUP(E8236,'Condensed Specialty Crosswalk'!$A$2:$C$106,2,FALSE),"")</f>
        <v/>
      </c>
      <c r="G8236" s="49" t="str">
        <f>IFERROR(VLOOKUP(E8236,'Condensed Specialty Crosswalk'!$A$2:$C$106,3,FALSE),"")</f>
        <v/>
      </c>
    </row>
    <row r="8237" spans="5:7" ht="15" customHeight="1">
      <c r="E8237" s="49" t="str">
        <f>IFERROR(VLOOKUP(D8237,'taxonomy map'!$A$1:$C$107,2,FALSE),"")</f>
        <v/>
      </c>
      <c r="F8237" s="49" t="str">
        <f>IFERROR(VLOOKUP(E8237,'Condensed Specialty Crosswalk'!$A$2:$C$106,2,FALSE),"")</f>
        <v/>
      </c>
      <c r="G8237" s="49" t="str">
        <f>IFERROR(VLOOKUP(E8237,'Condensed Specialty Crosswalk'!$A$2:$C$106,3,FALSE),"")</f>
        <v/>
      </c>
    </row>
    <row r="8238" spans="5:7" ht="15" customHeight="1">
      <c r="E8238" s="49" t="str">
        <f>IFERROR(VLOOKUP(D8238,'taxonomy map'!$A$1:$C$107,2,FALSE),"")</f>
        <v/>
      </c>
      <c r="F8238" s="49" t="str">
        <f>IFERROR(VLOOKUP(E8238,'Condensed Specialty Crosswalk'!$A$2:$C$106,2,FALSE),"")</f>
        <v/>
      </c>
      <c r="G8238" s="49" t="str">
        <f>IFERROR(VLOOKUP(E8238,'Condensed Specialty Crosswalk'!$A$2:$C$106,3,FALSE),"")</f>
        <v/>
      </c>
    </row>
    <row r="8239" spans="5:7" ht="15" customHeight="1">
      <c r="E8239" s="49" t="str">
        <f>IFERROR(VLOOKUP(D8239,'taxonomy map'!$A$1:$C$107,2,FALSE),"")</f>
        <v/>
      </c>
      <c r="F8239" s="49" t="str">
        <f>IFERROR(VLOOKUP(E8239,'Condensed Specialty Crosswalk'!$A$2:$C$106,2,FALSE),"")</f>
        <v/>
      </c>
      <c r="G8239" s="49" t="str">
        <f>IFERROR(VLOOKUP(E8239,'Condensed Specialty Crosswalk'!$A$2:$C$106,3,FALSE),"")</f>
        <v/>
      </c>
    </row>
    <row r="8240" spans="5:7" ht="15" customHeight="1">
      <c r="E8240" s="49" t="str">
        <f>IFERROR(VLOOKUP(D8240,'taxonomy map'!$A$1:$C$107,2,FALSE),"")</f>
        <v/>
      </c>
      <c r="F8240" s="49" t="str">
        <f>IFERROR(VLOOKUP(E8240,'Condensed Specialty Crosswalk'!$A$2:$C$106,2,FALSE),"")</f>
        <v/>
      </c>
      <c r="G8240" s="49" t="str">
        <f>IFERROR(VLOOKUP(E8240,'Condensed Specialty Crosswalk'!$A$2:$C$106,3,FALSE),"")</f>
        <v/>
      </c>
    </row>
    <row r="8241" spans="5:7" ht="15" customHeight="1">
      <c r="E8241" s="49" t="str">
        <f>IFERROR(VLOOKUP(D8241,'taxonomy map'!$A$1:$C$107,2,FALSE),"")</f>
        <v/>
      </c>
      <c r="F8241" s="49" t="str">
        <f>IFERROR(VLOOKUP(E8241,'Condensed Specialty Crosswalk'!$A$2:$C$106,2,FALSE),"")</f>
        <v/>
      </c>
      <c r="G8241" s="49" t="str">
        <f>IFERROR(VLOOKUP(E8241,'Condensed Specialty Crosswalk'!$A$2:$C$106,3,FALSE),"")</f>
        <v/>
      </c>
    </row>
    <row r="8242" spans="5:7" ht="15" customHeight="1">
      <c r="E8242" s="49" t="str">
        <f>IFERROR(VLOOKUP(D8242,'taxonomy map'!$A$1:$C$107,2,FALSE),"")</f>
        <v/>
      </c>
      <c r="F8242" s="49" t="str">
        <f>IFERROR(VLOOKUP(E8242,'Condensed Specialty Crosswalk'!$A$2:$C$106,2,FALSE),"")</f>
        <v/>
      </c>
      <c r="G8242" s="49" t="str">
        <f>IFERROR(VLOOKUP(E8242,'Condensed Specialty Crosswalk'!$A$2:$C$106,3,FALSE),"")</f>
        <v/>
      </c>
    </row>
    <row r="8243" spans="5:7" ht="15" customHeight="1">
      <c r="E8243" s="49" t="str">
        <f>IFERROR(VLOOKUP(D8243,'taxonomy map'!$A$1:$C$107,2,FALSE),"")</f>
        <v/>
      </c>
      <c r="F8243" s="49" t="str">
        <f>IFERROR(VLOOKUP(E8243,'Condensed Specialty Crosswalk'!$A$2:$C$106,2,FALSE),"")</f>
        <v/>
      </c>
      <c r="G8243" s="49" t="str">
        <f>IFERROR(VLOOKUP(E8243,'Condensed Specialty Crosswalk'!$A$2:$C$106,3,FALSE),"")</f>
        <v/>
      </c>
    </row>
    <row r="8244" spans="5:7" ht="15" customHeight="1">
      <c r="E8244" s="49" t="str">
        <f>IFERROR(VLOOKUP(D8244,'taxonomy map'!$A$1:$C$107,2,FALSE),"")</f>
        <v/>
      </c>
      <c r="F8244" s="49" t="str">
        <f>IFERROR(VLOOKUP(E8244,'Condensed Specialty Crosswalk'!$A$2:$C$106,2,FALSE),"")</f>
        <v/>
      </c>
      <c r="G8244" s="49" t="str">
        <f>IFERROR(VLOOKUP(E8244,'Condensed Specialty Crosswalk'!$A$2:$C$106,3,FALSE),"")</f>
        <v/>
      </c>
    </row>
    <row r="8245" spans="5:7" ht="15" customHeight="1">
      <c r="E8245" s="49" t="str">
        <f>IFERROR(VLOOKUP(D8245,'taxonomy map'!$A$1:$C$107,2,FALSE),"")</f>
        <v/>
      </c>
      <c r="F8245" s="49" t="str">
        <f>IFERROR(VLOOKUP(E8245,'Condensed Specialty Crosswalk'!$A$2:$C$106,2,FALSE),"")</f>
        <v/>
      </c>
      <c r="G8245" s="49" t="str">
        <f>IFERROR(VLOOKUP(E8245,'Condensed Specialty Crosswalk'!$A$2:$C$106,3,FALSE),"")</f>
        <v/>
      </c>
    </row>
    <row r="8246" spans="5:7" ht="15" customHeight="1">
      <c r="E8246" s="49" t="str">
        <f>IFERROR(VLOOKUP(D8246,'taxonomy map'!$A$1:$C$107,2,FALSE),"")</f>
        <v/>
      </c>
      <c r="F8246" s="49" t="str">
        <f>IFERROR(VLOOKUP(E8246,'Condensed Specialty Crosswalk'!$A$2:$C$106,2,FALSE),"")</f>
        <v/>
      </c>
      <c r="G8246" s="49" t="str">
        <f>IFERROR(VLOOKUP(E8246,'Condensed Specialty Crosswalk'!$A$2:$C$106,3,FALSE),"")</f>
        <v/>
      </c>
    </row>
    <row r="8247" spans="5:7" ht="15" customHeight="1">
      <c r="E8247" s="49" t="str">
        <f>IFERROR(VLOOKUP(D8247,'taxonomy map'!$A$1:$C$107,2,FALSE),"")</f>
        <v/>
      </c>
      <c r="F8247" s="49" t="str">
        <f>IFERROR(VLOOKUP(E8247,'Condensed Specialty Crosswalk'!$A$2:$C$106,2,FALSE),"")</f>
        <v/>
      </c>
      <c r="G8247" s="49" t="str">
        <f>IFERROR(VLOOKUP(E8247,'Condensed Specialty Crosswalk'!$A$2:$C$106,3,FALSE),"")</f>
        <v/>
      </c>
    </row>
    <row r="8248" spans="5:7" ht="15" customHeight="1">
      <c r="E8248" s="49" t="str">
        <f>IFERROR(VLOOKUP(D8248,'taxonomy map'!$A$1:$C$107,2,FALSE),"")</f>
        <v/>
      </c>
      <c r="F8248" s="49" t="str">
        <f>IFERROR(VLOOKUP(E8248,'Condensed Specialty Crosswalk'!$A$2:$C$106,2,FALSE),"")</f>
        <v/>
      </c>
      <c r="G8248" s="49" t="str">
        <f>IFERROR(VLOOKUP(E8248,'Condensed Specialty Crosswalk'!$A$2:$C$106,3,FALSE),"")</f>
        <v/>
      </c>
    </row>
    <row r="8249" spans="5:7" ht="15" customHeight="1">
      <c r="E8249" s="49" t="str">
        <f>IFERROR(VLOOKUP(D8249,'taxonomy map'!$A$1:$C$107,2,FALSE),"")</f>
        <v/>
      </c>
      <c r="F8249" s="49" t="str">
        <f>IFERROR(VLOOKUP(E8249,'Condensed Specialty Crosswalk'!$A$2:$C$106,2,FALSE),"")</f>
        <v/>
      </c>
      <c r="G8249" s="49" t="str">
        <f>IFERROR(VLOOKUP(E8249,'Condensed Specialty Crosswalk'!$A$2:$C$106,3,FALSE),"")</f>
        <v/>
      </c>
    </row>
    <row r="8250" spans="5:7" ht="15" customHeight="1">
      <c r="E8250" s="49" t="str">
        <f>IFERROR(VLOOKUP(D8250,'taxonomy map'!$A$1:$C$107,2,FALSE),"")</f>
        <v/>
      </c>
      <c r="F8250" s="49" t="str">
        <f>IFERROR(VLOOKUP(E8250,'Condensed Specialty Crosswalk'!$A$2:$C$106,2,FALSE),"")</f>
        <v/>
      </c>
      <c r="G8250" s="49" t="str">
        <f>IFERROR(VLOOKUP(E8250,'Condensed Specialty Crosswalk'!$A$2:$C$106,3,FALSE),"")</f>
        <v/>
      </c>
    </row>
    <row r="8251" spans="5:7" ht="15" customHeight="1">
      <c r="E8251" s="49" t="str">
        <f>IFERROR(VLOOKUP(D8251,'taxonomy map'!$A$1:$C$107,2,FALSE),"")</f>
        <v/>
      </c>
      <c r="F8251" s="49" t="str">
        <f>IFERROR(VLOOKUP(E8251,'Condensed Specialty Crosswalk'!$A$2:$C$106,2,FALSE),"")</f>
        <v/>
      </c>
      <c r="G8251" s="49" t="str">
        <f>IFERROR(VLOOKUP(E8251,'Condensed Specialty Crosswalk'!$A$2:$C$106,3,FALSE),"")</f>
        <v/>
      </c>
    </row>
    <row r="8252" spans="5:7" ht="15" customHeight="1">
      <c r="E8252" s="49" t="str">
        <f>IFERROR(VLOOKUP(D8252,'taxonomy map'!$A$1:$C$107,2,FALSE),"")</f>
        <v/>
      </c>
      <c r="F8252" s="49" t="str">
        <f>IFERROR(VLOOKUP(E8252,'Condensed Specialty Crosswalk'!$A$2:$C$106,2,FALSE),"")</f>
        <v/>
      </c>
      <c r="G8252" s="49" t="str">
        <f>IFERROR(VLOOKUP(E8252,'Condensed Specialty Crosswalk'!$A$2:$C$106,3,FALSE),"")</f>
        <v/>
      </c>
    </row>
    <row r="8253" spans="5:7" ht="15" customHeight="1">
      <c r="E8253" s="49" t="str">
        <f>IFERROR(VLOOKUP(D8253,'taxonomy map'!$A$1:$C$107,2,FALSE),"")</f>
        <v/>
      </c>
      <c r="F8253" s="49" t="str">
        <f>IFERROR(VLOOKUP(E8253,'Condensed Specialty Crosswalk'!$A$2:$C$106,2,FALSE),"")</f>
        <v/>
      </c>
      <c r="G8253" s="49" t="str">
        <f>IFERROR(VLOOKUP(E8253,'Condensed Specialty Crosswalk'!$A$2:$C$106,3,FALSE),"")</f>
        <v/>
      </c>
    </row>
    <row r="8254" spans="5:7" ht="15" customHeight="1">
      <c r="E8254" s="49" t="str">
        <f>IFERROR(VLOOKUP(D8254,'taxonomy map'!$A$1:$C$107,2,FALSE),"")</f>
        <v/>
      </c>
      <c r="F8254" s="49" t="str">
        <f>IFERROR(VLOOKUP(E8254,'Condensed Specialty Crosswalk'!$A$2:$C$106,2,FALSE),"")</f>
        <v/>
      </c>
      <c r="G8254" s="49" t="str">
        <f>IFERROR(VLOOKUP(E8254,'Condensed Specialty Crosswalk'!$A$2:$C$106,3,FALSE),"")</f>
        <v/>
      </c>
    </row>
    <row r="8255" spans="5:7" ht="15" customHeight="1">
      <c r="E8255" s="49" t="str">
        <f>IFERROR(VLOOKUP(D8255,'taxonomy map'!$A$1:$C$107,2,FALSE),"")</f>
        <v/>
      </c>
      <c r="F8255" s="49" t="str">
        <f>IFERROR(VLOOKUP(E8255,'Condensed Specialty Crosswalk'!$A$2:$C$106,2,FALSE),"")</f>
        <v/>
      </c>
      <c r="G8255" s="49" t="str">
        <f>IFERROR(VLOOKUP(E8255,'Condensed Specialty Crosswalk'!$A$2:$C$106,3,FALSE),"")</f>
        <v/>
      </c>
    </row>
    <row r="8256" spans="5:7" ht="15" customHeight="1">
      <c r="E8256" s="49" t="str">
        <f>IFERROR(VLOOKUP(D8256,'taxonomy map'!$A$1:$C$107,2,FALSE),"")</f>
        <v/>
      </c>
      <c r="F8256" s="49" t="str">
        <f>IFERROR(VLOOKUP(E8256,'Condensed Specialty Crosswalk'!$A$2:$C$106,2,FALSE),"")</f>
        <v/>
      </c>
      <c r="G8256" s="49" t="str">
        <f>IFERROR(VLOOKUP(E8256,'Condensed Specialty Crosswalk'!$A$2:$C$106,3,FALSE),"")</f>
        <v/>
      </c>
    </row>
    <row r="8257" spans="5:7" ht="15" customHeight="1">
      <c r="E8257" s="49" t="str">
        <f>IFERROR(VLOOKUP(D8257,'taxonomy map'!$A$1:$C$107,2,FALSE),"")</f>
        <v/>
      </c>
      <c r="F8257" s="49" t="str">
        <f>IFERROR(VLOOKUP(E8257,'Condensed Specialty Crosswalk'!$A$2:$C$106,2,FALSE),"")</f>
        <v/>
      </c>
      <c r="G8257" s="49" t="str">
        <f>IFERROR(VLOOKUP(E8257,'Condensed Specialty Crosswalk'!$A$2:$C$106,3,FALSE),"")</f>
        <v/>
      </c>
    </row>
    <row r="8258" spans="5:7" ht="15" customHeight="1">
      <c r="E8258" s="49" t="str">
        <f>IFERROR(VLOOKUP(D8258,'taxonomy map'!$A$1:$C$107,2,FALSE),"")</f>
        <v/>
      </c>
      <c r="F8258" s="49" t="str">
        <f>IFERROR(VLOOKUP(E8258,'Condensed Specialty Crosswalk'!$A$2:$C$106,2,FALSE),"")</f>
        <v/>
      </c>
      <c r="G8258" s="49" t="str">
        <f>IFERROR(VLOOKUP(E8258,'Condensed Specialty Crosswalk'!$A$2:$C$106,3,FALSE),"")</f>
        <v/>
      </c>
    </row>
    <row r="8259" spans="5:7" ht="15" customHeight="1">
      <c r="E8259" s="49" t="str">
        <f>IFERROR(VLOOKUP(D8259,'taxonomy map'!$A$1:$C$107,2,FALSE),"")</f>
        <v/>
      </c>
      <c r="F8259" s="49" t="str">
        <f>IFERROR(VLOOKUP(E8259,'Condensed Specialty Crosswalk'!$A$2:$C$106,2,FALSE),"")</f>
        <v/>
      </c>
      <c r="G8259" s="49" t="str">
        <f>IFERROR(VLOOKUP(E8259,'Condensed Specialty Crosswalk'!$A$2:$C$106,3,FALSE),"")</f>
        <v/>
      </c>
    </row>
    <row r="8260" spans="5:7" ht="15" customHeight="1">
      <c r="E8260" s="49" t="str">
        <f>IFERROR(VLOOKUP(D8260,'taxonomy map'!$A$1:$C$107,2,FALSE),"")</f>
        <v/>
      </c>
      <c r="F8260" s="49" t="str">
        <f>IFERROR(VLOOKUP(E8260,'Condensed Specialty Crosswalk'!$A$2:$C$106,2,FALSE),"")</f>
        <v/>
      </c>
      <c r="G8260" s="49" t="str">
        <f>IFERROR(VLOOKUP(E8260,'Condensed Specialty Crosswalk'!$A$2:$C$106,3,FALSE),"")</f>
        <v/>
      </c>
    </row>
    <row r="8261" spans="5:7" ht="15" customHeight="1">
      <c r="E8261" s="49" t="str">
        <f>IFERROR(VLOOKUP(D8261,'taxonomy map'!$A$1:$C$107,2,FALSE),"")</f>
        <v/>
      </c>
      <c r="F8261" s="49" t="str">
        <f>IFERROR(VLOOKUP(E8261,'Condensed Specialty Crosswalk'!$A$2:$C$106,2,FALSE),"")</f>
        <v/>
      </c>
      <c r="G8261" s="49" t="str">
        <f>IFERROR(VLOOKUP(E8261,'Condensed Specialty Crosswalk'!$A$2:$C$106,3,FALSE),"")</f>
        <v/>
      </c>
    </row>
    <row r="8262" spans="5:7" ht="15" customHeight="1">
      <c r="E8262" s="49" t="str">
        <f>IFERROR(VLOOKUP(D8262,'taxonomy map'!$A$1:$C$107,2,FALSE),"")</f>
        <v/>
      </c>
      <c r="F8262" s="49" t="str">
        <f>IFERROR(VLOOKUP(E8262,'Condensed Specialty Crosswalk'!$A$2:$C$106,2,FALSE),"")</f>
        <v/>
      </c>
      <c r="G8262" s="49" t="str">
        <f>IFERROR(VLOOKUP(E8262,'Condensed Specialty Crosswalk'!$A$2:$C$106,3,FALSE),"")</f>
        <v/>
      </c>
    </row>
    <row r="8263" spans="5:7" ht="15" customHeight="1">
      <c r="E8263" s="49" t="str">
        <f>IFERROR(VLOOKUP(D8263,'taxonomy map'!$A$1:$C$107,2,FALSE),"")</f>
        <v/>
      </c>
      <c r="F8263" s="49" t="str">
        <f>IFERROR(VLOOKUP(E8263,'Condensed Specialty Crosswalk'!$A$2:$C$106,2,FALSE),"")</f>
        <v/>
      </c>
      <c r="G8263" s="49" t="str">
        <f>IFERROR(VLOOKUP(E8263,'Condensed Specialty Crosswalk'!$A$2:$C$106,3,FALSE),"")</f>
        <v/>
      </c>
    </row>
    <row r="8264" spans="5:7" ht="15" customHeight="1">
      <c r="E8264" s="49" t="str">
        <f>IFERROR(VLOOKUP(D8264,'taxonomy map'!$A$1:$C$107,2,FALSE),"")</f>
        <v/>
      </c>
      <c r="F8264" s="49" t="str">
        <f>IFERROR(VLOOKUP(E8264,'Condensed Specialty Crosswalk'!$A$2:$C$106,2,FALSE),"")</f>
        <v/>
      </c>
      <c r="G8264" s="49" t="str">
        <f>IFERROR(VLOOKUP(E8264,'Condensed Specialty Crosswalk'!$A$2:$C$106,3,FALSE),"")</f>
        <v/>
      </c>
    </row>
    <row r="8265" spans="5:7" ht="15" customHeight="1">
      <c r="E8265" s="49" t="str">
        <f>IFERROR(VLOOKUP(D8265,'taxonomy map'!$A$1:$C$107,2,FALSE),"")</f>
        <v/>
      </c>
      <c r="F8265" s="49" t="str">
        <f>IFERROR(VLOOKUP(E8265,'Condensed Specialty Crosswalk'!$A$2:$C$106,2,FALSE),"")</f>
        <v/>
      </c>
      <c r="G8265" s="49" t="str">
        <f>IFERROR(VLOOKUP(E8265,'Condensed Specialty Crosswalk'!$A$2:$C$106,3,FALSE),"")</f>
        <v/>
      </c>
    </row>
    <row r="8266" spans="5:7" ht="15" customHeight="1">
      <c r="E8266" s="49" t="str">
        <f>IFERROR(VLOOKUP(D8266,'taxonomy map'!$A$1:$C$107,2,FALSE),"")</f>
        <v/>
      </c>
      <c r="F8266" s="49" t="str">
        <f>IFERROR(VLOOKUP(E8266,'Condensed Specialty Crosswalk'!$A$2:$C$106,2,FALSE),"")</f>
        <v/>
      </c>
      <c r="G8266" s="49" t="str">
        <f>IFERROR(VLOOKUP(E8266,'Condensed Specialty Crosswalk'!$A$2:$C$106,3,FALSE),"")</f>
        <v/>
      </c>
    </row>
    <row r="8267" spans="5:7" ht="15" customHeight="1">
      <c r="E8267" s="49" t="str">
        <f>IFERROR(VLOOKUP(D8267,'taxonomy map'!$A$1:$C$107,2,FALSE),"")</f>
        <v/>
      </c>
      <c r="F8267" s="49" t="str">
        <f>IFERROR(VLOOKUP(E8267,'Condensed Specialty Crosswalk'!$A$2:$C$106,2,FALSE),"")</f>
        <v/>
      </c>
      <c r="G8267" s="49" t="str">
        <f>IFERROR(VLOOKUP(E8267,'Condensed Specialty Crosswalk'!$A$2:$C$106,3,FALSE),"")</f>
        <v/>
      </c>
    </row>
    <row r="8268" spans="5:7" ht="15" customHeight="1">
      <c r="E8268" s="49" t="str">
        <f>IFERROR(VLOOKUP(D8268,'taxonomy map'!$A$1:$C$107,2,FALSE),"")</f>
        <v/>
      </c>
      <c r="F8268" s="49" t="str">
        <f>IFERROR(VLOOKUP(E8268,'Condensed Specialty Crosswalk'!$A$2:$C$106,2,FALSE),"")</f>
        <v/>
      </c>
      <c r="G8268" s="49" t="str">
        <f>IFERROR(VLOOKUP(E8268,'Condensed Specialty Crosswalk'!$A$2:$C$106,3,FALSE),"")</f>
        <v/>
      </c>
    </row>
    <row r="8269" spans="5:7" ht="15" customHeight="1">
      <c r="E8269" s="49" t="str">
        <f>IFERROR(VLOOKUP(D8269,'taxonomy map'!$A$1:$C$107,2,FALSE),"")</f>
        <v/>
      </c>
      <c r="F8269" s="49" t="str">
        <f>IFERROR(VLOOKUP(E8269,'Condensed Specialty Crosswalk'!$A$2:$C$106,2,FALSE),"")</f>
        <v/>
      </c>
      <c r="G8269" s="49" t="str">
        <f>IFERROR(VLOOKUP(E8269,'Condensed Specialty Crosswalk'!$A$2:$C$106,3,FALSE),"")</f>
        <v/>
      </c>
    </row>
    <row r="8270" spans="5:7" ht="15" customHeight="1">
      <c r="E8270" s="49" t="str">
        <f>IFERROR(VLOOKUP(D8270,'taxonomy map'!$A$1:$C$107,2,FALSE),"")</f>
        <v/>
      </c>
      <c r="F8270" s="49" t="str">
        <f>IFERROR(VLOOKUP(E8270,'Condensed Specialty Crosswalk'!$A$2:$C$106,2,FALSE),"")</f>
        <v/>
      </c>
      <c r="G8270" s="49" t="str">
        <f>IFERROR(VLOOKUP(E8270,'Condensed Specialty Crosswalk'!$A$2:$C$106,3,FALSE),"")</f>
        <v/>
      </c>
    </row>
    <row r="8271" spans="5:7" ht="15" customHeight="1">
      <c r="E8271" s="49" t="str">
        <f>IFERROR(VLOOKUP(D8271,'taxonomy map'!$A$1:$C$107,2,FALSE),"")</f>
        <v/>
      </c>
      <c r="F8271" s="49" t="str">
        <f>IFERROR(VLOOKUP(E8271,'Condensed Specialty Crosswalk'!$A$2:$C$106,2,FALSE),"")</f>
        <v/>
      </c>
      <c r="G8271" s="49" t="str">
        <f>IFERROR(VLOOKUP(E8271,'Condensed Specialty Crosswalk'!$A$2:$C$106,3,FALSE),"")</f>
        <v/>
      </c>
    </row>
    <row r="8272" spans="5:7" ht="15" customHeight="1">
      <c r="E8272" s="49" t="str">
        <f>IFERROR(VLOOKUP(D8272,'taxonomy map'!$A$1:$C$107,2,FALSE),"")</f>
        <v/>
      </c>
      <c r="F8272" s="49" t="str">
        <f>IFERROR(VLOOKUP(E8272,'Condensed Specialty Crosswalk'!$A$2:$C$106,2,FALSE),"")</f>
        <v/>
      </c>
      <c r="G8272" s="49" t="str">
        <f>IFERROR(VLOOKUP(E8272,'Condensed Specialty Crosswalk'!$A$2:$C$106,3,FALSE),"")</f>
        <v/>
      </c>
    </row>
    <row r="8273" spans="5:7" ht="15" customHeight="1">
      <c r="E8273" s="49" t="str">
        <f>IFERROR(VLOOKUP(D8273,'taxonomy map'!$A$1:$C$107,2,FALSE),"")</f>
        <v/>
      </c>
      <c r="F8273" s="49" t="str">
        <f>IFERROR(VLOOKUP(E8273,'Condensed Specialty Crosswalk'!$A$2:$C$106,2,FALSE),"")</f>
        <v/>
      </c>
      <c r="G8273" s="49" t="str">
        <f>IFERROR(VLOOKUP(E8273,'Condensed Specialty Crosswalk'!$A$2:$C$106,3,FALSE),"")</f>
        <v/>
      </c>
    </row>
    <row r="8274" spans="5:7" ht="15" customHeight="1">
      <c r="E8274" s="49" t="str">
        <f>IFERROR(VLOOKUP(D8274,'taxonomy map'!$A$1:$C$107,2,FALSE),"")</f>
        <v/>
      </c>
      <c r="F8274" s="49" t="str">
        <f>IFERROR(VLOOKUP(E8274,'Condensed Specialty Crosswalk'!$A$2:$C$106,2,FALSE),"")</f>
        <v/>
      </c>
      <c r="G8274" s="49" t="str">
        <f>IFERROR(VLOOKUP(E8274,'Condensed Specialty Crosswalk'!$A$2:$C$106,3,FALSE),"")</f>
        <v/>
      </c>
    </row>
    <row r="8275" spans="5:7" ht="15" customHeight="1">
      <c r="E8275" s="49" t="str">
        <f>IFERROR(VLOOKUP(D8275,'taxonomy map'!$A$1:$C$107,2,FALSE),"")</f>
        <v/>
      </c>
      <c r="F8275" s="49" t="str">
        <f>IFERROR(VLOOKUP(E8275,'Condensed Specialty Crosswalk'!$A$2:$C$106,2,FALSE),"")</f>
        <v/>
      </c>
      <c r="G8275" s="49" t="str">
        <f>IFERROR(VLOOKUP(E8275,'Condensed Specialty Crosswalk'!$A$2:$C$106,3,FALSE),"")</f>
        <v/>
      </c>
    </row>
    <row r="8276" spans="5:7" ht="15" customHeight="1">
      <c r="E8276" s="49" t="str">
        <f>IFERROR(VLOOKUP(D8276,'taxonomy map'!$A$1:$C$107,2,FALSE),"")</f>
        <v/>
      </c>
      <c r="F8276" s="49" t="str">
        <f>IFERROR(VLOOKUP(E8276,'Condensed Specialty Crosswalk'!$A$2:$C$106,2,FALSE),"")</f>
        <v/>
      </c>
      <c r="G8276" s="49" t="str">
        <f>IFERROR(VLOOKUP(E8276,'Condensed Specialty Crosswalk'!$A$2:$C$106,3,FALSE),"")</f>
        <v/>
      </c>
    </row>
    <row r="8277" spans="5:7" ht="15" customHeight="1">
      <c r="E8277" s="49" t="str">
        <f>IFERROR(VLOOKUP(D8277,'taxonomy map'!$A$1:$C$107,2,FALSE),"")</f>
        <v/>
      </c>
      <c r="F8277" s="49" t="str">
        <f>IFERROR(VLOOKUP(E8277,'Condensed Specialty Crosswalk'!$A$2:$C$106,2,FALSE),"")</f>
        <v/>
      </c>
      <c r="G8277" s="49" t="str">
        <f>IFERROR(VLOOKUP(E8277,'Condensed Specialty Crosswalk'!$A$2:$C$106,3,FALSE),"")</f>
        <v/>
      </c>
    </row>
    <row r="8278" spans="5:7" ht="15" customHeight="1">
      <c r="E8278" s="49" t="str">
        <f>IFERROR(VLOOKUP(D8278,'taxonomy map'!$A$1:$C$107,2,FALSE),"")</f>
        <v/>
      </c>
      <c r="F8278" s="49" t="str">
        <f>IFERROR(VLOOKUP(E8278,'Condensed Specialty Crosswalk'!$A$2:$C$106,2,FALSE),"")</f>
        <v/>
      </c>
      <c r="G8278" s="49" t="str">
        <f>IFERROR(VLOOKUP(E8278,'Condensed Specialty Crosswalk'!$A$2:$C$106,3,FALSE),"")</f>
        <v/>
      </c>
    </row>
    <row r="8279" spans="5:7" ht="15" customHeight="1">
      <c r="E8279" s="49" t="str">
        <f>IFERROR(VLOOKUP(D8279,'taxonomy map'!$A$1:$C$107,2,FALSE),"")</f>
        <v/>
      </c>
      <c r="F8279" s="49" t="str">
        <f>IFERROR(VLOOKUP(E8279,'Condensed Specialty Crosswalk'!$A$2:$C$106,2,FALSE),"")</f>
        <v/>
      </c>
      <c r="G8279" s="49" t="str">
        <f>IFERROR(VLOOKUP(E8279,'Condensed Specialty Crosswalk'!$A$2:$C$106,3,FALSE),"")</f>
        <v/>
      </c>
    </row>
    <row r="8280" spans="5:7" ht="15" customHeight="1">
      <c r="E8280" s="49" t="str">
        <f>IFERROR(VLOOKUP(D8280,'taxonomy map'!$A$1:$C$107,2,FALSE),"")</f>
        <v/>
      </c>
      <c r="F8280" s="49" t="str">
        <f>IFERROR(VLOOKUP(E8280,'Condensed Specialty Crosswalk'!$A$2:$C$106,2,FALSE),"")</f>
        <v/>
      </c>
      <c r="G8280" s="49" t="str">
        <f>IFERROR(VLOOKUP(E8280,'Condensed Specialty Crosswalk'!$A$2:$C$106,3,FALSE),"")</f>
        <v/>
      </c>
    </row>
    <row r="8281" spans="5:7" ht="15" customHeight="1">
      <c r="E8281" s="49" t="str">
        <f>IFERROR(VLOOKUP(D8281,'taxonomy map'!$A$1:$C$107,2,FALSE),"")</f>
        <v/>
      </c>
      <c r="F8281" s="49" t="str">
        <f>IFERROR(VLOOKUP(E8281,'Condensed Specialty Crosswalk'!$A$2:$C$106,2,FALSE),"")</f>
        <v/>
      </c>
      <c r="G8281" s="49" t="str">
        <f>IFERROR(VLOOKUP(E8281,'Condensed Specialty Crosswalk'!$A$2:$C$106,3,FALSE),"")</f>
        <v/>
      </c>
    </row>
    <row r="8282" spans="5:7" ht="15" customHeight="1">
      <c r="E8282" s="49" t="str">
        <f>IFERROR(VLOOKUP(D8282,'taxonomy map'!$A$1:$C$107,2,FALSE),"")</f>
        <v/>
      </c>
      <c r="F8282" s="49" t="str">
        <f>IFERROR(VLOOKUP(E8282,'Condensed Specialty Crosswalk'!$A$2:$C$106,2,FALSE),"")</f>
        <v/>
      </c>
      <c r="G8282" s="49" t="str">
        <f>IFERROR(VLOOKUP(E8282,'Condensed Specialty Crosswalk'!$A$2:$C$106,3,FALSE),"")</f>
        <v/>
      </c>
    </row>
    <row r="8283" spans="5:7" ht="15" customHeight="1">
      <c r="E8283" s="49" t="str">
        <f>IFERROR(VLOOKUP(D8283,'taxonomy map'!$A$1:$C$107,2,FALSE),"")</f>
        <v/>
      </c>
      <c r="F8283" s="49" t="str">
        <f>IFERROR(VLOOKUP(E8283,'Condensed Specialty Crosswalk'!$A$2:$C$106,2,FALSE),"")</f>
        <v/>
      </c>
      <c r="G8283" s="49" t="str">
        <f>IFERROR(VLOOKUP(E8283,'Condensed Specialty Crosswalk'!$A$2:$C$106,3,FALSE),"")</f>
        <v/>
      </c>
    </row>
    <row r="8284" spans="5:7" ht="15" customHeight="1">
      <c r="E8284" s="49" t="str">
        <f>IFERROR(VLOOKUP(D8284,'taxonomy map'!$A$1:$C$107,2,FALSE),"")</f>
        <v/>
      </c>
      <c r="F8284" s="49" t="str">
        <f>IFERROR(VLOOKUP(E8284,'Condensed Specialty Crosswalk'!$A$2:$C$106,2,FALSE),"")</f>
        <v/>
      </c>
      <c r="G8284" s="49" t="str">
        <f>IFERROR(VLOOKUP(E8284,'Condensed Specialty Crosswalk'!$A$2:$C$106,3,FALSE),"")</f>
        <v/>
      </c>
    </row>
    <row r="8285" spans="5:7" ht="15" customHeight="1">
      <c r="E8285" s="49" t="str">
        <f>IFERROR(VLOOKUP(D8285,'taxonomy map'!$A$1:$C$107,2,FALSE),"")</f>
        <v/>
      </c>
      <c r="F8285" s="49" t="str">
        <f>IFERROR(VLOOKUP(E8285,'Condensed Specialty Crosswalk'!$A$2:$C$106,2,FALSE),"")</f>
        <v/>
      </c>
      <c r="G8285" s="49" t="str">
        <f>IFERROR(VLOOKUP(E8285,'Condensed Specialty Crosswalk'!$A$2:$C$106,3,FALSE),"")</f>
        <v/>
      </c>
    </row>
    <row r="8286" spans="5:7" ht="15" customHeight="1">
      <c r="E8286" s="49" t="str">
        <f>IFERROR(VLOOKUP(D8286,'taxonomy map'!$A$1:$C$107,2,FALSE),"")</f>
        <v/>
      </c>
      <c r="F8286" s="49" t="str">
        <f>IFERROR(VLOOKUP(E8286,'Condensed Specialty Crosswalk'!$A$2:$C$106,2,FALSE),"")</f>
        <v/>
      </c>
      <c r="G8286" s="49" t="str">
        <f>IFERROR(VLOOKUP(E8286,'Condensed Specialty Crosswalk'!$A$2:$C$106,3,FALSE),"")</f>
        <v/>
      </c>
    </row>
    <row r="8287" spans="5:7" ht="15" customHeight="1">
      <c r="E8287" s="49" t="str">
        <f>IFERROR(VLOOKUP(D8287,'taxonomy map'!$A$1:$C$107,2,FALSE),"")</f>
        <v/>
      </c>
      <c r="F8287" s="49" t="str">
        <f>IFERROR(VLOOKUP(E8287,'Condensed Specialty Crosswalk'!$A$2:$C$106,2,FALSE),"")</f>
        <v/>
      </c>
      <c r="G8287" s="49" t="str">
        <f>IFERROR(VLOOKUP(E8287,'Condensed Specialty Crosswalk'!$A$2:$C$106,3,FALSE),"")</f>
        <v/>
      </c>
    </row>
    <row r="8288" spans="5:7" ht="15" customHeight="1">
      <c r="E8288" s="49" t="str">
        <f>IFERROR(VLOOKUP(D8288,'taxonomy map'!$A$1:$C$107,2,FALSE),"")</f>
        <v/>
      </c>
      <c r="F8288" s="49" t="str">
        <f>IFERROR(VLOOKUP(E8288,'Condensed Specialty Crosswalk'!$A$2:$C$106,2,FALSE),"")</f>
        <v/>
      </c>
      <c r="G8288" s="49" t="str">
        <f>IFERROR(VLOOKUP(E8288,'Condensed Specialty Crosswalk'!$A$2:$C$106,3,FALSE),"")</f>
        <v/>
      </c>
    </row>
    <row r="8289" spans="5:7" ht="15" customHeight="1">
      <c r="E8289" s="49" t="str">
        <f>IFERROR(VLOOKUP(D8289,'taxonomy map'!$A$1:$C$107,2,FALSE),"")</f>
        <v/>
      </c>
      <c r="F8289" s="49" t="str">
        <f>IFERROR(VLOOKUP(E8289,'Condensed Specialty Crosswalk'!$A$2:$C$106,2,FALSE),"")</f>
        <v/>
      </c>
      <c r="G8289" s="49" t="str">
        <f>IFERROR(VLOOKUP(E8289,'Condensed Specialty Crosswalk'!$A$2:$C$106,3,FALSE),"")</f>
        <v/>
      </c>
    </row>
    <row r="8290" spans="5:7" ht="15" customHeight="1">
      <c r="E8290" s="49" t="str">
        <f>IFERROR(VLOOKUP(D8290,'taxonomy map'!$A$1:$C$107,2,FALSE),"")</f>
        <v/>
      </c>
      <c r="F8290" s="49" t="str">
        <f>IFERROR(VLOOKUP(E8290,'Condensed Specialty Crosswalk'!$A$2:$C$106,2,FALSE),"")</f>
        <v/>
      </c>
      <c r="G8290" s="49" t="str">
        <f>IFERROR(VLOOKUP(E8290,'Condensed Specialty Crosswalk'!$A$2:$C$106,3,FALSE),"")</f>
        <v/>
      </c>
    </row>
    <row r="8291" spans="5:7" ht="15" customHeight="1">
      <c r="E8291" s="49" t="str">
        <f>IFERROR(VLOOKUP(D8291,'taxonomy map'!$A$1:$C$107,2,FALSE),"")</f>
        <v/>
      </c>
      <c r="F8291" s="49" t="str">
        <f>IFERROR(VLOOKUP(E8291,'Condensed Specialty Crosswalk'!$A$2:$C$106,2,FALSE),"")</f>
        <v/>
      </c>
      <c r="G8291" s="49" t="str">
        <f>IFERROR(VLOOKUP(E8291,'Condensed Specialty Crosswalk'!$A$2:$C$106,3,FALSE),"")</f>
        <v/>
      </c>
    </row>
    <row r="8292" spans="5:7" ht="15" customHeight="1">
      <c r="E8292" s="49" t="str">
        <f>IFERROR(VLOOKUP(D8292,'taxonomy map'!$A$1:$C$107,2,FALSE),"")</f>
        <v/>
      </c>
      <c r="F8292" s="49" t="str">
        <f>IFERROR(VLOOKUP(E8292,'Condensed Specialty Crosswalk'!$A$2:$C$106,2,FALSE),"")</f>
        <v/>
      </c>
      <c r="G8292" s="49" t="str">
        <f>IFERROR(VLOOKUP(E8292,'Condensed Specialty Crosswalk'!$A$2:$C$106,3,FALSE),"")</f>
        <v/>
      </c>
    </row>
    <row r="8293" spans="5:7" ht="15" customHeight="1">
      <c r="E8293" s="49" t="str">
        <f>IFERROR(VLOOKUP(D8293,'taxonomy map'!$A$1:$C$107,2,FALSE),"")</f>
        <v/>
      </c>
      <c r="F8293" s="49" t="str">
        <f>IFERROR(VLOOKUP(E8293,'Condensed Specialty Crosswalk'!$A$2:$C$106,2,FALSE),"")</f>
        <v/>
      </c>
      <c r="G8293" s="49" t="str">
        <f>IFERROR(VLOOKUP(E8293,'Condensed Specialty Crosswalk'!$A$2:$C$106,3,FALSE),"")</f>
        <v/>
      </c>
    </row>
    <row r="8294" spans="5:7" ht="15" customHeight="1">
      <c r="E8294" s="49" t="str">
        <f>IFERROR(VLOOKUP(D8294,'taxonomy map'!$A$1:$C$107,2,FALSE),"")</f>
        <v/>
      </c>
      <c r="F8294" s="49" t="str">
        <f>IFERROR(VLOOKUP(E8294,'Condensed Specialty Crosswalk'!$A$2:$C$106,2,FALSE),"")</f>
        <v/>
      </c>
      <c r="G8294" s="49" t="str">
        <f>IFERROR(VLOOKUP(E8294,'Condensed Specialty Crosswalk'!$A$2:$C$106,3,FALSE),"")</f>
        <v/>
      </c>
    </row>
    <row r="8295" spans="5:7" ht="15" customHeight="1">
      <c r="E8295" s="49" t="str">
        <f>IFERROR(VLOOKUP(D8295,'taxonomy map'!$A$1:$C$107,2,FALSE),"")</f>
        <v/>
      </c>
      <c r="F8295" s="49" t="str">
        <f>IFERROR(VLOOKUP(E8295,'Condensed Specialty Crosswalk'!$A$2:$C$106,2,FALSE),"")</f>
        <v/>
      </c>
      <c r="G8295" s="49" t="str">
        <f>IFERROR(VLOOKUP(E8295,'Condensed Specialty Crosswalk'!$A$2:$C$106,3,FALSE),"")</f>
        <v/>
      </c>
    </row>
    <row r="8296" spans="5:7" ht="15" customHeight="1">
      <c r="E8296" s="49" t="str">
        <f>IFERROR(VLOOKUP(D8296,'taxonomy map'!$A$1:$C$107,2,FALSE),"")</f>
        <v/>
      </c>
      <c r="F8296" s="49" t="str">
        <f>IFERROR(VLOOKUP(E8296,'Condensed Specialty Crosswalk'!$A$2:$C$106,2,FALSE),"")</f>
        <v/>
      </c>
      <c r="G8296" s="49" t="str">
        <f>IFERROR(VLOOKUP(E8296,'Condensed Specialty Crosswalk'!$A$2:$C$106,3,FALSE),"")</f>
        <v/>
      </c>
    </row>
    <row r="8297" spans="5:7" ht="15" customHeight="1">
      <c r="E8297" s="49" t="str">
        <f>IFERROR(VLOOKUP(D8297,'taxonomy map'!$A$1:$C$107,2,FALSE),"")</f>
        <v/>
      </c>
      <c r="F8297" s="49" t="str">
        <f>IFERROR(VLOOKUP(E8297,'Condensed Specialty Crosswalk'!$A$2:$C$106,2,FALSE),"")</f>
        <v/>
      </c>
      <c r="G8297" s="49" t="str">
        <f>IFERROR(VLOOKUP(E8297,'Condensed Specialty Crosswalk'!$A$2:$C$106,3,FALSE),"")</f>
        <v/>
      </c>
    </row>
    <row r="8298" spans="5:7" ht="15" customHeight="1">
      <c r="E8298" s="49" t="str">
        <f>IFERROR(VLOOKUP(D8298,'taxonomy map'!$A$1:$C$107,2,FALSE),"")</f>
        <v/>
      </c>
      <c r="F8298" s="49" t="str">
        <f>IFERROR(VLOOKUP(E8298,'Condensed Specialty Crosswalk'!$A$2:$C$106,2,FALSE),"")</f>
        <v/>
      </c>
      <c r="G8298" s="49" t="str">
        <f>IFERROR(VLOOKUP(E8298,'Condensed Specialty Crosswalk'!$A$2:$C$106,3,FALSE),"")</f>
        <v/>
      </c>
    </row>
    <row r="8299" spans="5:7" ht="15" customHeight="1">
      <c r="E8299" s="49" t="str">
        <f>IFERROR(VLOOKUP(D8299,'taxonomy map'!$A$1:$C$107,2,FALSE),"")</f>
        <v/>
      </c>
      <c r="F8299" s="49" t="str">
        <f>IFERROR(VLOOKUP(E8299,'Condensed Specialty Crosswalk'!$A$2:$C$106,2,FALSE),"")</f>
        <v/>
      </c>
      <c r="G8299" s="49" t="str">
        <f>IFERROR(VLOOKUP(E8299,'Condensed Specialty Crosswalk'!$A$2:$C$106,3,FALSE),"")</f>
        <v/>
      </c>
    </row>
    <row r="8300" spans="5:7" ht="15" customHeight="1">
      <c r="E8300" s="49" t="str">
        <f>IFERROR(VLOOKUP(D8300,'taxonomy map'!$A$1:$C$107,2,FALSE),"")</f>
        <v/>
      </c>
      <c r="F8300" s="49" t="str">
        <f>IFERROR(VLOOKUP(E8300,'Condensed Specialty Crosswalk'!$A$2:$C$106,2,FALSE),"")</f>
        <v/>
      </c>
      <c r="G8300" s="49" t="str">
        <f>IFERROR(VLOOKUP(E8300,'Condensed Specialty Crosswalk'!$A$2:$C$106,3,FALSE),"")</f>
        <v/>
      </c>
    </row>
    <row r="8301" spans="5:7" ht="15" customHeight="1">
      <c r="E8301" s="49" t="str">
        <f>IFERROR(VLOOKUP(D8301,'taxonomy map'!$A$1:$C$107,2,FALSE),"")</f>
        <v/>
      </c>
      <c r="F8301" s="49" t="str">
        <f>IFERROR(VLOOKUP(E8301,'Condensed Specialty Crosswalk'!$A$2:$C$106,2,FALSE),"")</f>
        <v/>
      </c>
      <c r="G8301" s="49" t="str">
        <f>IFERROR(VLOOKUP(E8301,'Condensed Specialty Crosswalk'!$A$2:$C$106,3,FALSE),"")</f>
        <v/>
      </c>
    </row>
    <row r="8302" spans="5:7" ht="15" customHeight="1">
      <c r="E8302" s="49" t="str">
        <f>IFERROR(VLOOKUP(D8302,'taxonomy map'!$A$1:$C$107,2,FALSE),"")</f>
        <v/>
      </c>
      <c r="F8302" s="49" t="str">
        <f>IFERROR(VLOOKUP(E8302,'Condensed Specialty Crosswalk'!$A$2:$C$106,2,FALSE),"")</f>
        <v/>
      </c>
      <c r="G8302" s="49" t="str">
        <f>IFERROR(VLOOKUP(E8302,'Condensed Specialty Crosswalk'!$A$2:$C$106,3,FALSE),"")</f>
        <v/>
      </c>
    </row>
    <row r="8303" spans="5:7" ht="15" customHeight="1">
      <c r="E8303" s="49" t="str">
        <f>IFERROR(VLOOKUP(D8303,'taxonomy map'!$A$1:$C$107,2,FALSE),"")</f>
        <v/>
      </c>
      <c r="F8303" s="49" t="str">
        <f>IFERROR(VLOOKUP(E8303,'Condensed Specialty Crosswalk'!$A$2:$C$106,2,FALSE),"")</f>
        <v/>
      </c>
      <c r="G8303" s="49" t="str">
        <f>IFERROR(VLOOKUP(E8303,'Condensed Specialty Crosswalk'!$A$2:$C$106,3,FALSE),"")</f>
        <v/>
      </c>
    </row>
    <row r="8304" spans="5:7" ht="15" customHeight="1">
      <c r="E8304" s="49" t="str">
        <f>IFERROR(VLOOKUP(D8304,'taxonomy map'!$A$1:$C$107,2,FALSE),"")</f>
        <v/>
      </c>
      <c r="F8304" s="49" t="str">
        <f>IFERROR(VLOOKUP(E8304,'Condensed Specialty Crosswalk'!$A$2:$C$106,2,FALSE),"")</f>
        <v/>
      </c>
      <c r="G8304" s="49" t="str">
        <f>IFERROR(VLOOKUP(E8304,'Condensed Specialty Crosswalk'!$A$2:$C$106,3,FALSE),"")</f>
        <v/>
      </c>
    </row>
    <row r="8305" spans="5:7" ht="15" customHeight="1">
      <c r="E8305" s="49" t="str">
        <f>IFERROR(VLOOKUP(D8305,'taxonomy map'!$A$1:$C$107,2,FALSE),"")</f>
        <v/>
      </c>
      <c r="F8305" s="49" t="str">
        <f>IFERROR(VLOOKUP(E8305,'Condensed Specialty Crosswalk'!$A$2:$C$106,2,FALSE),"")</f>
        <v/>
      </c>
      <c r="G8305" s="49" t="str">
        <f>IFERROR(VLOOKUP(E8305,'Condensed Specialty Crosswalk'!$A$2:$C$106,3,FALSE),"")</f>
        <v/>
      </c>
    </row>
    <row r="8306" spans="5:7" ht="15" customHeight="1">
      <c r="E8306" s="49" t="str">
        <f>IFERROR(VLOOKUP(D8306,'taxonomy map'!$A$1:$C$107,2,FALSE),"")</f>
        <v/>
      </c>
      <c r="F8306" s="49" t="str">
        <f>IFERROR(VLOOKUP(E8306,'Condensed Specialty Crosswalk'!$A$2:$C$106,2,FALSE),"")</f>
        <v/>
      </c>
      <c r="G8306" s="49" t="str">
        <f>IFERROR(VLOOKUP(E8306,'Condensed Specialty Crosswalk'!$A$2:$C$106,3,FALSE),"")</f>
        <v/>
      </c>
    </row>
    <row r="8307" spans="5:7" ht="15" customHeight="1">
      <c r="E8307" s="49" t="str">
        <f>IFERROR(VLOOKUP(D8307,'taxonomy map'!$A$1:$C$107,2,FALSE),"")</f>
        <v/>
      </c>
      <c r="F8307" s="49" t="str">
        <f>IFERROR(VLOOKUP(E8307,'Condensed Specialty Crosswalk'!$A$2:$C$106,2,FALSE),"")</f>
        <v/>
      </c>
      <c r="G8307" s="49" t="str">
        <f>IFERROR(VLOOKUP(E8307,'Condensed Specialty Crosswalk'!$A$2:$C$106,3,FALSE),"")</f>
        <v/>
      </c>
    </row>
    <row r="8308" spans="5:7" ht="15" customHeight="1">
      <c r="E8308" s="49" t="str">
        <f>IFERROR(VLOOKUP(D8308,'taxonomy map'!$A$1:$C$107,2,FALSE),"")</f>
        <v/>
      </c>
      <c r="F8308" s="49" t="str">
        <f>IFERROR(VLOOKUP(E8308,'Condensed Specialty Crosswalk'!$A$2:$C$106,2,FALSE),"")</f>
        <v/>
      </c>
      <c r="G8308" s="49" t="str">
        <f>IFERROR(VLOOKUP(E8308,'Condensed Specialty Crosswalk'!$A$2:$C$106,3,FALSE),"")</f>
        <v/>
      </c>
    </row>
    <row r="8309" spans="5:7" ht="15" customHeight="1">
      <c r="E8309" s="49" t="str">
        <f>IFERROR(VLOOKUP(D8309,'taxonomy map'!$A$1:$C$107,2,FALSE),"")</f>
        <v/>
      </c>
      <c r="F8309" s="49" t="str">
        <f>IFERROR(VLOOKUP(E8309,'Condensed Specialty Crosswalk'!$A$2:$C$106,2,FALSE),"")</f>
        <v/>
      </c>
      <c r="G8309" s="49" t="str">
        <f>IFERROR(VLOOKUP(E8309,'Condensed Specialty Crosswalk'!$A$2:$C$106,3,FALSE),"")</f>
        <v/>
      </c>
    </row>
    <row r="8310" spans="5:7" ht="15" customHeight="1">
      <c r="E8310" s="49" t="str">
        <f>IFERROR(VLOOKUP(D8310,'taxonomy map'!$A$1:$C$107,2,FALSE),"")</f>
        <v/>
      </c>
      <c r="F8310" s="49" t="str">
        <f>IFERROR(VLOOKUP(E8310,'Condensed Specialty Crosswalk'!$A$2:$C$106,2,FALSE),"")</f>
        <v/>
      </c>
      <c r="G8310" s="49" t="str">
        <f>IFERROR(VLOOKUP(E8310,'Condensed Specialty Crosswalk'!$A$2:$C$106,3,FALSE),"")</f>
        <v/>
      </c>
    </row>
    <row r="8311" spans="5:7" ht="15" customHeight="1">
      <c r="E8311" s="49" t="str">
        <f>IFERROR(VLOOKUP(D8311,'taxonomy map'!$A$1:$C$107,2,FALSE),"")</f>
        <v/>
      </c>
      <c r="F8311" s="49" t="str">
        <f>IFERROR(VLOOKUP(E8311,'Condensed Specialty Crosswalk'!$A$2:$C$106,2,FALSE),"")</f>
        <v/>
      </c>
      <c r="G8311" s="49" t="str">
        <f>IFERROR(VLOOKUP(E8311,'Condensed Specialty Crosswalk'!$A$2:$C$106,3,FALSE),"")</f>
        <v/>
      </c>
    </row>
    <row r="8312" spans="5:7" ht="15" customHeight="1">
      <c r="E8312" s="49" t="str">
        <f>IFERROR(VLOOKUP(D8312,'taxonomy map'!$A$1:$C$107,2,FALSE),"")</f>
        <v/>
      </c>
      <c r="F8312" s="49" t="str">
        <f>IFERROR(VLOOKUP(E8312,'Condensed Specialty Crosswalk'!$A$2:$C$106,2,FALSE),"")</f>
        <v/>
      </c>
      <c r="G8312" s="49" t="str">
        <f>IFERROR(VLOOKUP(E8312,'Condensed Specialty Crosswalk'!$A$2:$C$106,3,FALSE),"")</f>
        <v/>
      </c>
    </row>
    <row r="8313" spans="5:7" ht="15" customHeight="1">
      <c r="E8313" s="49" t="str">
        <f>IFERROR(VLOOKUP(D8313,'taxonomy map'!$A$1:$C$107,2,FALSE),"")</f>
        <v/>
      </c>
      <c r="F8313" s="49" t="str">
        <f>IFERROR(VLOOKUP(E8313,'Condensed Specialty Crosswalk'!$A$2:$C$106,2,FALSE),"")</f>
        <v/>
      </c>
      <c r="G8313" s="49" t="str">
        <f>IFERROR(VLOOKUP(E8313,'Condensed Specialty Crosswalk'!$A$2:$C$106,3,FALSE),"")</f>
        <v/>
      </c>
    </row>
    <row r="8314" spans="5:7" ht="15" customHeight="1">
      <c r="E8314" s="49" t="str">
        <f>IFERROR(VLOOKUP(D8314,'taxonomy map'!$A$1:$C$107,2,FALSE),"")</f>
        <v/>
      </c>
      <c r="F8314" s="49" t="str">
        <f>IFERROR(VLOOKUP(E8314,'Condensed Specialty Crosswalk'!$A$2:$C$106,2,FALSE),"")</f>
        <v/>
      </c>
      <c r="G8314" s="49" t="str">
        <f>IFERROR(VLOOKUP(E8314,'Condensed Specialty Crosswalk'!$A$2:$C$106,3,FALSE),"")</f>
        <v/>
      </c>
    </row>
    <row r="8315" spans="5:7" ht="15" customHeight="1">
      <c r="E8315" s="49" t="str">
        <f>IFERROR(VLOOKUP(D8315,'taxonomy map'!$A$1:$C$107,2,FALSE),"")</f>
        <v/>
      </c>
      <c r="F8315" s="49" t="str">
        <f>IFERROR(VLOOKUP(E8315,'Condensed Specialty Crosswalk'!$A$2:$C$106,2,FALSE),"")</f>
        <v/>
      </c>
      <c r="G8315" s="49" t="str">
        <f>IFERROR(VLOOKUP(E8315,'Condensed Specialty Crosswalk'!$A$2:$C$106,3,FALSE),"")</f>
        <v/>
      </c>
    </row>
    <row r="8316" spans="5:7" ht="15" customHeight="1">
      <c r="E8316" s="49" t="str">
        <f>IFERROR(VLOOKUP(D8316,'taxonomy map'!$A$1:$C$107,2,FALSE),"")</f>
        <v/>
      </c>
      <c r="F8316" s="49" t="str">
        <f>IFERROR(VLOOKUP(E8316,'Condensed Specialty Crosswalk'!$A$2:$C$106,2,FALSE),"")</f>
        <v/>
      </c>
      <c r="G8316" s="49" t="str">
        <f>IFERROR(VLOOKUP(E8316,'Condensed Specialty Crosswalk'!$A$2:$C$106,3,FALSE),"")</f>
        <v/>
      </c>
    </row>
    <row r="8317" spans="5:7" ht="15" customHeight="1">
      <c r="E8317" s="49" t="str">
        <f>IFERROR(VLOOKUP(D8317,'taxonomy map'!$A$1:$C$107,2,FALSE),"")</f>
        <v/>
      </c>
      <c r="F8317" s="49" t="str">
        <f>IFERROR(VLOOKUP(E8317,'Condensed Specialty Crosswalk'!$A$2:$C$106,2,FALSE),"")</f>
        <v/>
      </c>
      <c r="G8317" s="49" t="str">
        <f>IFERROR(VLOOKUP(E8317,'Condensed Specialty Crosswalk'!$A$2:$C$106,3,FALSE),"")</f>
        <v/>
      </c>
    </row>
    <row r="8318" spans="5:7" ht="15" customHeight="1">
      <c r="E8318" s="49" t="str">
        <f>IFERROR(VLOOKUP(D8318,'taxonomy map'!$A$1:$C$107,2,FALSE),"")</f>
        <v/>
      </c>
      <c r="F8318" s="49" t="str">
        <f>IFERROR(VLOOKUP(E8318,'Condensed Specialty Crosswalk'!$A$2:$C$106,2,FALSE),"")</f>
        <v/>
      </c>
      <c r="G8318" s="49" t="str">
        <f>IFERROR(VLOOKUP(E8318,'Condensed Specialty Crosswalk'!$A$2:$C$106,3,FALSE),"")</f>
        <v/>
      </c>
    </row>
    <row r="8319" spans="5:7" ht="15" customHeight="1">
      <c r="E8319" s="49" t="str">
        <f>IFERROR(VLOOKUP(D8319,'taxonomy map'!$A$1:$C$107,2,FALSE),"")</f>
        <v/>
      </c>
      <c r="F8319" s="49" t="str">
        <f>IFERROR(VLOOKUP(E8319,'Condensed Specialty Crosswalk'!$A$2:$C$106,2,FALSE),"")</f>
        <v/>
      </c>
      <c r="G8319" s="49" t="str">
        <f>IFERROR(VLOOKUP(E8319,'Condensed Specialty Crosswalk'!$A$2:$C$106,3,FALSE),"")</f>
        <v/>
      </c>
    </row>
    <row r="8320" spans="5:7" ht="15" customHeight="1">
      <c r="E8320" s="49" t="str">
        <f>IFERROR(VLOOKUP(D8320,'taxonomy map'!$A$1:$C$107,2,FALSE),"")</f>
        <v/>
      </c>
      <c r="F8320" s="49" t="str">
        <f>IFERROR(VLOOKUP(E8320,'Condensed Specialty Crosswalk'!$A$2:$C$106,2,FALSE),"")</f>
        <v/>
      </c>
      <c r="G8320" s="49" t="str">
        <f>IFERROR(VLOOKUP(E8320,'Condensed Specialty Crosswalk'!$A$2:$C$106,3,FALSE),"")</f>
        <v/>
      </c>
    </row>
    <row r="8321" spans="5:7" ht="15" customHeight="1">
      <c r="E8321" s="49" t="str">
        <f>IFERROR(VLOOKUP(D8321,'taxonomy map'!$A$1:$C$107,2,FALSE),"")</f>
        <v/>
      </c>
      <c r="F8321" s="49" t="str">
        <f>IFERROR(VLOOKUP(E8321,'Condensed Specialty Crosswalk'!$A$2:$C$106,2,FALSE),"")</f>
        <v/>
      </c>
      <c r="G8321" s="49" t="str">
        <f>IFERROR(VLOOKUP(E8321,'Condensed Specialty Crosswalk'!$A$2:$C$106,3,FALSE),"")</f>
        <v/>
      </c>
    </row>
    <row r="8322" spans="5:7" ht="15" customHeight="1">
      <c r="E8322" s="49" t="str">
        <f>IFERROR(VLOOKUP(D8322,'taxonomy map'!$A$1:$C$107,2,FALSE),"")</f>
        <v/>
      </c>
      <c r="F8322" s="49" t="str">
        <f>IFERROR(VLOOKUP(E8322,'Condensed Specialty Crosswalk'!$A$2:$C$106,2,FALSE),"")</f>
        <v/>
      </c>
      <c r="G8322" s="49" t="str">
        <f>IFERROR(VLOOKUP(E8322,'Condensed Specialty Crosswalk'!$A$2:$C$106,3,FALSE),"")</f>
        <v/>
      </c>
    </row>
    <row r="8323" spans="5:7" ht="15" customHeight="1">
      <c r="E8323" s="49" t="str">
        <f>IFERROR(VLOOKUP(D8323,'taxonomy map'!$A$1:$C$107,2,FALSE),"")</f>
        <v/>
      </c>
      <c r="F8323" s="49" t="str">
        <f>IFERROR(VLOOKUP(E8323,'Condensed Specialty Crosswalk'!$A$2:$C$106,2,FALSE),"")</f>
        <v/>
      </c>
      <c r="G8323" s="49" t="str">
        <f>IFERROR(VLOOKUP(E8323,'Condensed Specialty Crosswalk'!$A$2:$C$106,3,FALSE),"")</f>
        <v/>
      </c>
    </row>
    <row r="8324" spans="5:7" ht="15" customHeight="1">
      <c r="E8324" s="49" t="str">
        <f>IFERROR(VLOOKUP(D8324,'taxonomy map'!$A$1:$C$107,2,FALSE),"")</f>
        <v/>
      </c>
      <c r="F8324" s="49" t="str">
        <f>IFERROR(VLOOKUP(E8324,'Condensed Specialty Crosswalk'!$A$2:$C$106,2,FALSE),"")</f>
        <v/>
      </c>
      <c r="G8324" s="49" t="str">
        <f>IFERROR(VLOOKUP(E8324,'Condensed Specialty Crosswalk'!$A$2:$C$106,3,FALSE),"")</f>
        <v/>
      </c>
    </row>
    <row r="8325" spans="5:7" ht="15" customHeight="1">
      <c r="E8325" s="49" t="str">
        <f>IFERROR(VLOOKUP(D8325,'taxonomy map'!$A$1:$C$107,2,FALSE),"")</f>
        <v/>
      </c>
      <c r="F8325" s="49" t="str">
        <f>IFERROR(VLOOKUP(E8325,'Condensed Specialty Crosswalk'!$A$2:$C$106,2,FALSE),"")</f>
        <v/>
      </c>
      <c r="G8325" s="49" t="str">
        <f>IFERROR(VLOOKUP(E8325,'Condensed Specialty Crosswalk'!$A$2:$C$106,3,FALSE),"")</f>
        <v/>
      </c>
    </row>
    <row r="8326" spans="5:7" ht="15" customHeight="1">
      <c r="E8326" s="49" t="str">
        <f>IFERROR(VLOOKUP(D8326,'taxonomy map'!$A$1:$C$107,2,FALSE),"")</f>
        <v/>
      </c>
      <c r="F8326" s="49" t="str">
        <f>IFERROR(VLOOKUP(E8326,'Condensed Specialty Crosswalk'!$A$2:$C$106,2,FALSE),"")</f>
        <v/>
      </c>
      <c r="G8326" s="49" t="str">
        <f>IFERROR(VLOOKUP(E8326,'Condensed Specialty Crosswalk'!$A$2:$C$106,3,FALSE),"")</f>
        <v/>
      </c>
    </row>
    <row r="8327" spans="5:7" ht="15" customHeight="1">
      <c r="E8327" s="49" t="str">
        <f>IFERROR(VLOOKUP(D8327,'taxonomy map'!$A$1:$C$107,2,FALSE),"")</f>
        <v/>
      </c>
      <c r="F8327" s="49" t="str">
        <f>IFERROR(VLOOKUP(E8327,'Condensed Specialty Crosswalk'!$A$2:$C$106,2,FALSE),"")</f>
        <v/>
      </c>
      <c r="G8327" s="49" t="str">
        <f>IFERROR(VLOOKUP(E8327,'Condensed Specialty Crosswalk'!$A$2:$C$106,3,FALSE),"")</f>
        <v/>
      </c>
    </row>
    <row r="8328" spans="5:7" ht="15" customHeight="1">
      <c r="E8328" s="49" t="str">
        <f>IFERROR(VLOOKUP(D8328,'taxonomy map'!$A$1:$C$107,2,FALSE),"")</f>
        <v/>
      </c>
      <c r="F8328" s="49" t="str">
        <f>IFERROR(VLOOKUP(E8328,'Condensed Specialty Crosswalk'!$A$2:$C$106,2,FALSE),"")</f>
        <v/>
      </c>
      <c r="G8328" s="49" t="str">
        <f>IFERROR(VLOOKUP(E8328,'Condensed Specialty Crosswalk'!$A$2:$C$106,3,FALSE),"")</f>
        <v/>
      </c>
    </row>
    <row r="8329" spans="5:7" ht="15" customHeight="1">
      <c r="E8329" s="49" t="str">
        <f>IFERROR(VLOOKUP(D8329,'taxonomy map'!$A$1:$C$107,2,FALSE),"")</f>
        <v/>
      </c>
      <c r="F8329" s="49" t="str">
        <f>IFERROR(VLOOKUP(E8329,'Condensed Specialty Crosswalk'!$A$2:$C$106,2,FALSE),"")</f>
        <v/>
      </c>
      <c r="G8329" s="49" t="str">
        <f>IFERROR(VLOOKUP(E8329,'Condensed Specialty Crosswalk'!$A$2:$C$106,3,FALSE),"")</f>
        <v/>
      </c>
    </row>
    <row r="8330" spans="5:7" ht="15" customHeight="1">
      <c r="E8330" s="49" t="str">
        <f>IFERROR(VLOOKUP(D8330,'taxonomy map'!$A$1:$C$107,2,FALSE),"")</f>
        <v/>
      </c>
      <c r="F8330" s="49" t="str">
        <f>IFERROR(VLOOKUP(E8330,'Condensed Specialty Crosswalk'!$A$2:$C$106,2,FALSE),"")</f>
        <v/>
      </c>
      <c r="G8330" s="49" t="str">
        <f>IFERROR(VLOOKUP(E8330,'Condensed Specialty Crosswalk'!$A$2:$C$106,3,FALSE),"")</f>
        <v/>
      </c>
    </row>
    <row r="8331" spans="5:7" ht="15" customHeight="1">
      <c r="E8331" s="49" t="str">
        <f>IFERROR(VLOOKUP(D8331,'taxonomy map'!$A$1:$C$107,2,FALSE),"")</f>
        <v/>
      </c>
      <c r="F8331" s="49" t="str">
        <f>IFERROR(VLOOKUP(E8331,'Condensed Specialty Crosswalk'!$A$2:$C$106,2,FALSE),"")</f>
        <v/>
      </c>
      <c r="G8331" s="49" t="str">
        <f>IFERROR(VLOOKUP(E8331,'Condensed Specialty Crosswalk'!$A$2:$C$106,3,FALSE),"")</f>
        <v/>
      </c>
    </row>
    <row r="8332" spans="5:7" ht="15" customHeight="1">
      <c r="E8332" s="49" t="str">
        <f>IFERROR(VLOOKUP(D8332,'taxonomy map'!$A$1:$C$107,2,FALSE),"")</f>
        <v/>
      </c>
      <c r="F8332" s="49" t="str">
        <f>IFERROR(VLOOKUP(E8332,'Condensed Specialty Crosswalk'!$A$2:$C$106,2,FALSE),"")</f>
        <v/>
      </c>
      <c r="G8332" s="49" t="str">
        <f>IFERROR(VLOOKUP(E8332,'Condensed Specialty Crosswalk'!$A$2:$C$106,3,FALSE),"")</f>
        <v/>
      </c>
    </row>
    <row r="8333" spans="5:7" ht="15" customHeight="1">
      <c r="E8333" s="49" t="str">
        <f>IFERROR(VLOOKUP(D8333,'taxonomy map'!$A$1:$C$107,2,FALSE),"")</f>
        <v/>
      </c>
      <c r="F8333" s="49" t="str">
        <f>IFERROR(VLOOKUP(E8333,'Condensed Specialty Crosswalk'!$A$2:$C$106,2,FALSE),"")</f>
        <v/>
      </c>
      <c r="G8333" s="49" t="str">
        <f>IFERROR(VLOOKUP(E8333,'Condensed Specialty Crosswalk'!$A$2:$C$106,3,FALSE),"")</f>
        <v/>
      </c>
    </row>
    <row r="8334" spans="5:7" ht="15" customHeight="1">
      <c r="E8334" s="49" t="str">
        <f>IFERROR(VLOOKUP(D8334,'taxonomy map'!$A$1:$C$107,2,FALSE),"")</f>
        <v/>
      </c>
      <c r="F8334" s="49" t="str">
        <f>IFERROR(VLOOKUP(E8334,'Condensed Specialty Crosswalk'!$A$2:$C$106,2,FALSE),"")</f>
        <v/>
      </c>
      <c r="G8334" s="49" t="str">
        <f>IFERROR(VLOOKUP(E8334,'Condensed Specialty Crosswalk'!$A$2:$C$106,3,FALSE),"")</f>
        <v/>
      </c>
    </row>
    <row r="8335" spans="5:7" ht="15" customHeight="1">
      <c r="E8335" s="49" t="str">
        <f>IFERROR(VLOOKUP(D8335,'taxonomy map'!$A$1:$C$107,2,FALSE),"")</f>
        <v/>
      </c>
      <c r="F8335" s="49" t="str">
        <f>IFERROR(VLOOKUP(E8335,'Condensed Specialty Crosswalk'!$A$2:$C$106,2,FALSE),"")</f>
        <v/>
      </c>
      <c r="G8335" s="49" t="str">
        <f>IFERROR(VLOOKUP(E8335,'Condensed Specialty Crosswalk'!$A$2:$C$106,3,FALSE),"")</f>
        <v/>
      </c>
    </row>
    <row r="8336" spans="5:7" ht="15" customHeight="1">
      <c r="E8336" s="49" t="str">
        <f>IFERROR(VLOOKUP(D8336,'taxonomy map'!$A$1:$C$107,2,FALSE),"")</f>
        <v/>
      </c>
      <c r="F8336" s="49" t="str">
        <f>IFERROR(VLOOKUP(E8336,'Condensed Specialty Crosswalk'!$A$2:$C$106,2,FALSE),"")</f>
        <v/>
      </c>
      <c r="G8336" s="49" t="str">
        <f>IFERROR(VLOOKUP(E8336,'Condensed Specialty Crosswalk'!$A$2:$C$106,3,FALSE),"")</f>
        <v/>
      </c>
    </row>
    <row r="8337" spans="5:7" ht="15" customHeight="1">
      <c r="E8337" s="49" t="str">
        <f>IFERROR(VLOOKUP(D8337,'taxonomy map'!$A$1:$C$107,2,FALSE),"")</f>
        <v/>
      </c>
      <c r="F8337" s="49" t="str">
        <f>IFERROR(VLOOKUP(E8337,'Condensed Specialty Crosswalk'!$A$2:$C$106,2,FALSE),"")</f>
        <v/>
      </c>
      <c r="G8337" s="49" t="str">
        <f>IFERROR(VLOOKUP(E8337,'Condensed Specialty Crosswalk'!$A$2:$C$106,3,FALSE),"")</f>
        <v/>
      </c>
    </row>
    <row r="8338" spans="5:7" ht="15" customHeight="1">
      <c r="E8338" s="49" t="str">
        <f>IFERROR(VLOOKUP(D8338,'taxonomy map'!$A$1:$C$107,2,FALSE),"")</f>
        <v/>
      </c>
      <c r="F8338" s="49" t="str">
        <f>IFERROR(VLOOKUP(E8338,'Condensed Specialty Crosswalk'!$A$2:$C$106,2,FALSE),"")</f>
        <v/>
      </c>
      <c r="G8338" s="49" t="str">
        <f>IFERROR(VLOOKUP(E8338,'Condensed Specialty Crosswalk'!$A$2:$C$106,3,FALSE),"")</f>
        <v/>
      </c>
    </row>
    <row r="8339" spans="5:7" ht="15" customHeight="1">
      <c r="E8339" s="49" t="str">
        <f>IFERROR(VLOOKUP(D8339,'taxonomy map'!$A$1:$C$107,2,FALSE),"")</f>
        <v/>
      </c>
      <c r="F8339" s="49" t="str">
        <f>IFERROR(VLOOKUP(E8339,'Condensed Specialty Crosswalk'!$A$2:$C$106,2,FALSE),"")</f>
        <v/>
      </c>
      <c r="G8339" s="49" t="str">
        <f>IFERROR(VLOOKUP(E8339,'Condensed Specialty Crosswalk'!$A$2:$C$106,3,FALSE),"")</f>
        <v/>
      </c>
    </row>
    <row r="8340" spans="5:7" ht="15" customHeight="1">
      <c r="E8340" s="49" t="str">
        <f>IFERROR(VLOOKUP(D8340,'taxonomy map'!$A$1:$C$107,2,FALSE),"")</f>
        <v/>
      </c>
      <c r="F8340" s="49" t="str">
        <f>IFERROR(VLOOKUP(E8340,'Condensed Specialty Crosswalk'!$A$2:$C$106,2,FALSE),"")</f>
        <v/>
      </c>
      <c r="G8340" s="49" t="str">
        <f>IFERROR(VLOOKUP(E8340,'Condensed Specialty Crosswalk'!$A$2:$C$106,3,FALSE),"")</f>
        <v/>
      </c>
    </row>
    <row r="8341" spans="5:7" ht="15" customHeight="1">
      <c r="E8341" s="49" t="str">
        <f>IFERROR(VLOOKUP(D8341,'taxonomy map'!$A$1:$C$107,2,FALSE),"")</f>
        <v/>
      </c>
      <c r="F8341" s="49" t="str">
        <f>IFERROR(VLOOKUP(E8341,'Condensed Specialty Crosswalk'!$A$2:$C$106,2,FALSE),"")</f>
        <v/>
      </c>
      <c r="G8341" s="49" t="str">
        <f>IFERROR(VLOOKUP(E8341,'Condensed Specialty Crosswalk'!$A$2:$C$106,3,FALSE),"")</f>
        <v/>
      </c>
    </row>
    <row r="8342" spans="5:7" ht="15" customHeight="1">
      <c r="E8342" s="49" t="str">
        <f>IFERROR(VLOOKUP(D8342,'taxonomy map'!$A$1:$C$107,2,FALSE),"")</f>
        <v/>
      </c>
      <c r="F8342" s="49" t="str">
        <f>IFERROR(VLOOKUP(E8342,'Condensed Specialty Crosswalk'!$A$2:$C$106,2,FALSE),"")</f>
        <v/>
      </c>
      <c r="G8342" s="49" t="str">
        <f>IFERROR(VLOOKUP(E8342,'Condensed Specialty Crosswalk'!$A$2:$C$106,3,FALSE),"")</f>
        <v/>
      </c>
    </row>
    <row r="8343" spans="5:7" ht="15" customHeight="1">
      <c r="E8343" s="49" t="str">
        <f>IFERROR(VLOOKUP(D8343,'taxonomy map'!$A$1:$C$107,2,FALSE),"")</f>
        <v/>
      </c>
      <c r="F8343" s="49" t="str">
        <f>IFERROR(VLOOKUP(E8343,'Condensed Specialty Crosswalk'!$A$2:$C$106,2,FALSE),"")</f>
        <v/>
      </c>
      <c r="G8343" s="49" t="str">
        <f>IFERROR(VLOOKUP(E8343,'Condensed Specialty Crosswalk'!$A$2:$C$106,3,FALSE),"")</f>
        <v/>
      </c>
    </row>
    <row r="8344" spans="5:7" ht="15" customHeight="1">
      <c r="E8344" s="49" t="str">
        <f>IFERROR(VLOOKUP(D8344,'taxonomy map'!$A$1:$C$107,2,FALSE),"")</f>
        <v/>
      </c>
      <c r="F8344" s="49" t="str">
        <f>IFERROR(VLOOKUP(E8344,'Condensed Specialty Crosswalk'!$A$2:$C$106,2,FALSE),"")</f>
        <v/>
      </c>
      <c r="G8344" s="49" t="str">
        <f>IFERROR(VLOOKUP(E8344,'Condensed Specialty Crosswalk'!$A$2:$C$106,3,FALSE),"")</f>
        <v/>
      </c>
    </row>
    <row r="8345" spans="5:7" ht="15" customHeight="1">
      <c r="E8345" s="49" t="str">
        <f>IFERROR(VLOOKUP(D8345,'taxonomy map'!$A$1:$C$107,2,FALSE),"")</f>
        <v/>
      </c>
      <c r="F8345" s="49" t="str">
        <f>IFERROR(VLOOKUP(E8345,'Condensed Specialty Crosswalk'!$A$2:$C$106,2,FALSE),"")</f>
        <v/>
      </c>
      <c r="G8345" s="49" t="str">
        <f>IFERROR(VLOOKUP(E8345,'Condensed Specialty Crosswalk'!$A$2:$C$106,3,FALSE),"")</f>
        <v/>
      </c>
    </row>
    <row r="8346" spans="5:7" ht="15" customHeight="1">
      <c r="E8346" s="49" t="str">
        <f>IFERROR(VLOOKUP(D8346,'taxonomy map'!$A$1:$C$107,2,FALSE),"")</f>
        <v/>
      </c>
      <c r="F8346" s="49" t="str">
        <f>IFERROR(VLOOKUP(E8346,'Condensed Specialty Crosswalk'!$A$2:$C$106,2,FALSE),"")</f>
        <v/>
      </c>
      <c r="G8346" s="49" t="str">
        <f>IFERROR(VLOOKUP(E8346,'Condensed Specialty Crosswalk'!$A$2:$C$106,3,FALSE),"")</f>
        <v/>
      </c>
    </row>
    <row r="8347" spans="5:7" ht="15" customHeight="1">
      <c r="E8347" s="49" t="str">
        <f>IFERROR(VLOOKUP(D8347,'taxonomy map'!$A$1:$C$107,2,FALSE),"")</f>
        <v/>
      </c>
      <c r="F8347" s="49" t="str">
        <f>IFERROR(VLOOKUP(E8347,'Condensed Specialty Crosswalk'!$A$2:$C$106,2,FALSE),"")</f>
        <v/>
      </c>
      <c r="G8347" s="49" t="str">
        <f>IFERROR(VLOOKUP(E8347,'Condensed Specialty Crosswalk'!$A$2:$C$106,3,FALSE),"")</f>
        <v/>
      </c>
    </row>
    <row r="8348" spans="5:7" ht="15" customHeight="1">
      <c r="E8348" s="49" t="str">
        <f>IFERROR(VLOOKUP(D8348,'taxonomy map'!$A$1:$C$107,2,FALSE),"")</f>
        <v/>
      </c>
      <c r="F8348" s="49" t="str">
        <f>IFERROR(VLOOKUP(E8348,'Condensed Specialty Crosswalk'!$A$2:$C$106,2,FALSE),"")</f>
        <v/>
      </c>
      <c r="G8348" s="49" t="str">
        <f>IFERROR(VLOOKUP(E8348,'Condensed Specialty Crosswalk'!$A$2:$C$106,3,FALSE),"")</f>
        <v/>
      </c>
    </row>
    <row r="8349" spans="5:7" ht="15" customHeight="1">
      <c r="E8349" s="49" t="str">
        <f>IFERROR(VLOOKUP(D8349,'taxonomy map'!$A$1:$C$107,2,FALSE),"")</f>
        <v/>
      </c>
      <c r="F8349" s="49" t="str">
        <f>IFERROR(VLOOKUP(E8349,'Condensed Specialty Crosswalk'!$A$2:$C$106,2,FALSE),"")</f>
        <v/>
      </c>
      <c r="G8349" s="49" t="str">
        <f>IFERROR(VLOOKUP(E8349,'Condensed Specialty Crosswalk'!$A$2:$C$106,3,FALSE),"")</f>
        <v/>
      </c>
    </row>
    <row r="8350" spans="5:7" ht="15" customHeight="1">
      <c r="E8350" s="49" t="str">
        <f>IFERROR(VLOOKUP(D8350,'taxonomy map'!$A$1:$C$107,2,FALSE),"")</f>
        <v/>
      </c>
      <c r="F8350" s="49" t="str">
        <f>IFERROR(VLOOKUP(E8350,'Condensed Specialty Crosswalk'!$A$2:$C$106,2,FALSE),"")</f>
        <v/>
      </c>
      <c r="G8350" s="49" t="str">
        <f>IFERROR(VLOOKUP(E8350,'Condensed Specialty Crosswalk'!$A$2:$C$106,3,FALSE),"")</f>
        <v/>
      </c>
    </row>
    <row r="8351" spans="5:7" ht="15" customHeight="1">
      <c r="E8351" s="49" t="str">
        <f>IFERROR(VLOOKUP(D8351,'taxonomy map'!$A$1:$C$107,2,FALSE),"")</f>
        <v/>
      </c>
      <c r="F8351" s="49" t="str">
        <f>IFERROR(VLOOKUP(E8351,'Condensed Specialty Crosswalk'!$A$2:$C$106,2,FALSE),"")</f>
        <v/>
      </c>
      <c r="G8351" s="49" t="str">
        <f>IFERROR(VLOOKUP(E8351,'Condensed Specialty Crosswalk'!$A$2:$C$106,3,FALSE),"")</f>
        <v/>
      </c>
    </row>
    <row r="8352" spans="5:7" ht="15" customHeight="1">
      <c r="E8352" s="49" t="str">
        <f>IFERROR(VLOOKUP(D8352,'taxonomy map'!$A$1:$C$107,2,FALSE),"")</f>
        <v/>
      </c>
      <c r="F8352" s="49" t="str">
        <f>IFERROR(VLOOKUP(E8352,'Condensed Specialty Crosswalk'!$A$2:$C$106,2,FALSE),"")</f>
        <v/>
      </c>
      <c r="G8352" s="49" t="str">
        <f>IFERROR(VLOOKUP(E8352,'Condensed Specialty Crosswalk'!$A$2:$C$106,3,FALSE),"")</f>
        <v/>
      </c>
    </row>
    <row r="8353" spans="5:7" ht="15" customHeight="1">
      <c r="E8353" s="49" t="str">
        <f>IFERROR(VLOOKUP(D8353,'taxonomy map'!$A$1:$C$107,2,FALSE),"")</f>
        <v/>
      </c>
      <c r="F8353" s="49" t="str">
        <f>IFERROR(VLOOKUP(E8353,'Condensed Specialty Crosswalk'!$A$2:$C$106,2,FALSE),"")</f>
        <v/>
      </c>
      <c r="G8353" s="49" t="str">
        <f>IFERROR(VLOOKUP(E8353,'Condensed Specialty Crosswalk'!$A$2:$C$106,3,FALSE),"")</f>
        <v/>
      </c>
    </row>
    <row r="8354" spans="5:7" ht="15" customHeight="1">
      <c r="E8354" s="49" t="str">
        <f>IFERROR(VLOOKUP(D8354,'taxonomy map'!$A$1:$C$107,2,FALSE),"")</f>
        <v/>
      </c>
      <c r="F8354" s="49" t="str">
        <f>IFERROR(VLOOKUP(E8354,'Condensed Specialty Crosswalk'!$A$2:$C$106,2,FALSE),"")</f>
        <v/>
      </c>
      <c r="G8354" s="49" t="str">
        <f>IFERROR(VLOOKUP(E8354,'Condensed Specialty Crosswalk'!$A$2:$C$106,3,FALSE),"")</f>
        <v/>
      </c>
    </row>
    <row r="8355" spans="5:7" ht="15" customHeight="1">
      <c r="E8355" s="49" t="str">
        <f>IFERROR(VLOOKUP(D8355,'taxonomy map'!$A$1:$C$107,2,FALSE),"")</f>
        <v/>
      </c>
      <c r="F8355" s="49" t="str">
        <f>IFERROR(VLOOKUP(E8355,'Condensed Specialty Crosswalk'!$A$2:$C$106,2,FALSE),"")</f>
        <v/>
      </c>
      <c r="G8355" s="49" t="str">
        <f>IFERROR(VLOOKUP(E8355,'Condensed Specialty Crosswalk'!$A$2:$C$106,3,FALSE),"")</f>
        <v/>
      </c>
    </row>
    <row r="8356" spans="5:7" ht="15" customHeight="1">
      <c r="E8356" s="49" t="str">
        <f>IFERROR(VLOOKUP(D8356,'taxonomy map'!$A$1:$C$107,2,FALSE),"")</f>
        <v/>
      </c>
      <c r="F8356" s="49" t="str">
        <f>IFERROR(VLOOKUP(E8356,'Condensed Specialty Crosswalk'!$A$2:$C$106,2,FALSE),"")</f>
        <v/>
      </c>
      <c r="G8356" s="49" t="str">
        <f>IFERROR(VLOOKUP(E8356,'Condensed Specialty Crosswalk'!$A$2:$C$106,3,FALSE),"")</f>
        <v/>
      </c>
    </row>
    <row r="8357" spans="5:7" ht="15" customHeight="1">
      <c r="E8357" s="49" t="str">
        <f>IFERROR(VLOOKUP(D8357,'taxonomy map'!$A$1:$C$107,2,FALSE),"")</f>
        <v/>
      </c>
      <c r="F8357" s="49" t="str">
        <f>IFERROR(VLOOKUP(E8357,'Condensed Specialty Crosswalk'!$A$2:$C$106,2,FALSE),"")</f>
        <v/>
      </c>
      <c r="G8357" s="49" t="str">
        <f>IFERROR(VLOOKUP(E8357,'Condensed Specialty Crosswalk'!$A$2:$C$106,3,FALSE),"")</f>
        <v/>
      </c>
    </row>
    <row r="8358" spans="5:7" ht="15" customHeight="1">
      <c r="E8358" s="49" t="str">
        <f>IFERROR(VLOOKUP(D8358,'taxonomy map'!$A$1:$C$107,2,FALSE),"")</f>
        <v/>
      </c>
      <c r="F8358" s="49" t="str">
        <f>IFERROR(VLOOKUP(E8358,'Condensed Specialty Crosswalk'!$A$2:$C$106,2,FALSE),"")</f>
        <v/>
      </c>
      <c r="G8358" s="49" t="str">
        <f>IFERROR(VLOOKUP(E8358,'Condensed Specialty Crosswalk'!$A$2:$C$106,3,FALSE),"")</f>
        <v/>
      </c>
    </row>
    <row r="8359" spans="5:7" ht="15" customHeight="1">
      <c r="E8359" s="49" t="str">
        <f>IFERROR(VLOOKUP(D8359,'taxonomy map'!$A$1:$C$107,2,FALSE),"")</f>
        <v/>
      </c>
      <c r="F8359" s="49" t="str">
        <f>IFERROR(VLOOKUP(E8359,'Condensed Specialty Crosswalk'!$A$2:$C$106,2,FALSE),"")</f>
        <v/>
      </c>
      <c r="G8359" s="49" t="str">
        <f>IFERROR(VLOOKUP(E8359,'Condensed Specialty Crosswalk'!$A$2:$C$106,3,FALSE),"")</f>
        <v/>
      </c>
    </row>
    <row r="8360" spans="5:7" ht="15" customHeight="1">
      <c r="E8360" s="49" t="str">
        <f>IFERROR(VLOOKUP(D8360,'taxonomy map'!$A$1:$C$107,2,FALSE),"")</f>
        <v/>
      </c>
      <c r="F8360" s="49" t="str">
        <f>IFERROR(VLOOKUP(E8360,'Condensed Specialty Crosswalk'!$A$2:$C$106,2,FALSE),"")</f>
        <v/>
      </c>
      <c r="G8360" s="49" t="str">
        <f>IFERROR(VLOOKUP(E8360,'Condensed Specialty Crosswalk'!$A$2:$C$106,3,FALSE),"")</f>
        <v/>
      </c>
    </row>
    <row r="8361" spans="5:7" ht="15" customHeight="1">
      <c r="E8361" s="49" t="str">
        <f>IFERROR(VLOOKUP(D8361,'taxonomy map'!$A$1:$C$107,2,FALSE),"")</f>
        <v/>
      </c>
      <c r="F8361" s="49" t="str">
        <f>IFERROR(VLOOKUP(E8361,'Condensed Specialty Crosswalk'!$A$2:$C$106,2,FALSE),"")</f>
        <v/>
      </c>
      <c r="G8361" s="49" t="str">
        <f>IFERROR(VLOOKUP(E8361,'Condensed Specialty Crosswalk'!$A$2:$C$106,3,FALSE),"")</f>
        <v/>
      </c>
    </row>
    <row r="8362" spans="5:7" ht="15" customHeight="1">
      <c r="E8362" s="49" t="str">
        <f>IFERROR(VLOOKUP(D8362,'taxonomy map'!$A$1:$C$107,2,FALSE),"")</f>
        <v/>
      </c>
      <c r="F8362" s="49" t="str">
        <f>IFERROR(VLOOKUP(E8362,'Condensed Specialty Crosswalk'!$A$2:$C$106,2,FALSE),"")</f>
        <v/>
      </c>
      <c r="G8362" s="49" t="str">
        <f>IFERROR(VLOOKUP(E8362,'Condensed Specialty Crosswalk'!$A$2:$C$106,3,FALSE),"")</f>
        <v/>
      </c>
    </row>
    <row r="8363" spans="5:7" ht="15" customHeight="1">
      <c r="E8363" s="49" t="str">
        <f>IFERROR(VLOOKUP(D8363,'taxonomy map'!$A$1:$C$107,2,FALSE),"")</f>
        <v/>
      </c>
      <c r="F8363" s="49" t="str">
        <f>IFERROR(VLOOKUP(E8363,'Condensed Specialty Crosswalk'!$A$2:$C$106,2,FALSE),"")</f>
        <v/>
      </c>
      <c r="G8363" s="49" t="str">
        <f>IFERROR(VLOOKUP(E8363,'Condensed Specialty Crosswalk'!$A$2:$C$106,3,FALSE),"")</f>
        <v/>
      </c>
    </row>
    <row r="8364" spans="5:7" ht="15" customHeight="1">
      <c r="E8364" s="49" t="str">
        <f>IFERROR(VLOOKUP(D8364,'taxonomy map'!$A$1:$C$107,2,FALSE),"")</f>
        <v/>
      </c>
      <c r="F8364" s="49" t="str">
        <f>IFERROR(VLOOKUP(E8364,'Condensed Specialty Crosswalk'!$A$2:$C$106,2,FALSE),"")</f>
        <v/>
      </c>
      <c r="G8364" s="49" t="str">
        <f>IFERROR(VLOOKUP(E8364,'Condensed Specialty Crosswalk'!$A$2:$C$106,3,FALSE),"")</f>
        <v/>
      </c>
    </row>
    <row r="8365" spans="5:7" ht="15" customHeight="1">
      <c r="E8365" s="49" t="str">
        <f>IFERROR(VLOOKUP(D8365,'taxonomy map'!$A$1:$C$107,2,FALSE),"")</f>
        <v/>
      </c>
      <c r="F8365" s="49" t="str">
        <f>IFERROR(VLOOKUP(E8365,'Condensed Specialty Crosswalk'!$A$2:$C$106,2,FALSE),"")</f>
        <v/>
      </c>
      <c r="G8365" s="49" t="str">
        <f>IFERROR(VLOOKUP(E8365,'Condensed Specialty Crosswalk'!$A$2:$C$106,3,FALSE),"")</f>
        <v/>
      </c>
    </row>
    <row r="8366" spans="5:7" ht="15" customHeight="1">
      <c r="E8366" s="49" t="str">
        <f>IFERROR(VLOOKUP(D8366,'taxonomy map'!$A$1:$C$107,2,FALSE),"")</f>
        <v/>
      </c>
      <c r="F8366" s="49" t="str">
        <f>IFERROR(VLOOKUP(E8366,'Condensed Specialty Crosswalk'!$A$2:$C$106,2,FALSE),"")</f>
        <v/>
      </c>
      <c r="G8366" s="49" t="str">
        <f>IFERROR(VLOOKUP(E8366,'Condensed Specialty Crosswalk'!$A$2:$C$106,3,FALSE),"")</f>
        <v/>
      </c>
    </row>
    <row r="8367" spans="5:7" ht="15" customHeight="1">
      <c r="E8367" s="49" t="str">
        <f>IFERROR(VLOOKUP(D8367,'taxonomy map'!$A$1:$C$107,2,FALSE),"")</f>
        <v/>
      </c>
      <c r="F8367" s="49" t="str">
        <f>IFERROR(VLOOKUP(E8367,'Condensed Specialty Crosswalk'!$A$2:$C$106,2,FALSE),"")</f>
        <v/>
      </c>
      <c r="G8367" s="49" t="str">
        <f>IFERROR(VLOOKUP(E8367,'Condensed Specialty Crosswalk'!$A$2:$C$106,3,FALSE),"")</f>
        <v/>
      </c>
    </row>
    <row r="8368" spans="5:7" ht="15" customHeight="1">
      <c r="E8368" s="49" t="str">
        <f>IFERROR(VLOOKUP(D8368,'taxonomy map'!$A$1:$C$107,2,FALSE),"")</f>
        <v/>
      </c>
      <c r="F8368" s="49" t="str">
        <f>IFERROR(VLOOKUP(E8368,'Condensed Specialty Crosswalk'!$A$2:$C$106,2,FALSE),"")</f>
        <v/>
      </c>
      <c r="G8368" s="49" t="str">
        <f>IFERROR(VLOOKUP(E8368,'Condensed Specialty Crosswalk'!$A$2:$C$106,3,FALSE),"")</f>
        <v/>
      </c>
    </row>
    <row r="8369" spans="5:7" ht="15" customHeight="1">
      <c r="E8369" s="49" t="str">
        <f>IFERROR(VLOOKUP(D8369,'taxonomy map'!$A$1:$C$107,2,FALSE),"")</f>
        <v/>
      </c>
      <c r="F8369" s="49" t="str">
        <f>IFERROR(VLOOKUP(E8369,'Condensed Specialty Crosswalk'!$A$2:$C$106,2,FALSE),"")</f>
        <v/>
      </c>
      <c r="G8369" s="49" t="str">
        <f>IFERROR(VLOOKUP(E8369,'Condensed Specialty Crosswalk'!$A$2:$C$106,3,FALSE),"")</f>
        <v/>
      </c>
    </row>
    <row r="8370" spans="5:7" ht="15" customHeight="1">
      <c r="E8370" s="49" t="str">
        <f>IFERROR(VLOOKUP(D8370,'taxonomy map'!$A$1:$C$107,2,FALSE),"")</f>
        <v/>
      </c>
      <c r="F8370" s="49" t="str">
        <f>IFERROR(VLOOKUP(E8370,'Condensed Specialty Crosswalk'!$A$2:$C$106,2,FALSE),"")</f>
        <v/>
      </c>
      <c r="G8370" s="49" t="str">
        <f>IFERROR(VLOOKUP(E8370,'Condensed Specialty Crosswalk'!$A$2:$C$106,3,FALSE),"")</f>
        <v/>
      </c>
    </row>
    <row r="8371" spans="5:7" ht="15" customHeight="1">
      <c r="E8371" s="49" t="str">
        <f>IFERROR(VLOOKUP(D8371,'taxonomy map'!$A$1:$C$107,2,FALSE),"")</f>
        <v/>
      </c>
      <c r="F8371" s="49" t="str">
        <f>IFERROR(VLOOKUP(E8371,'Condensed Specialty Crosswalk'!$A$2:$C$106,2,FALSE),"")</f>
        <v/>
      </c>
      <c r="G8371" s="49" t="str">
        <f>IFERROR(VLOOKUP(E8371,'Condensed Specialty Crosswalk'!$A$2:$C$106,3,FALSE),"")</f>
        <v/>
      </c>
    </row>
    <row r="8372" spans="5:7" ht="15" customHeight="1">
      <c r="E8372" s="49" t="str">
        <f>IFERROR(VLOOKUP(D8372,'taxonomy map'!$A$1:$C$107,2,FALSE),"")</f>
        <v/>
      </c>
      <c r="F8372" s="49" t="str">
        <f>IFERROR(VLOOKUP(E8372,'Condensed Specialty Crosswalk'!$A$2:$C$106,2,FALSE),"")</f>
        <v/>
      </c>
      <c r="G8372" s="49" t="str">
        <f>IFERROR(VLOOKUP(E8372,'Condensed Specialty Crosswalk'!$A$2:$C$106,3,FALSE),"")</f>
        <v/>
      </c>
    </row>
    <row r="8373" spans="5:7" ht="15" customHeight="1">
      <c r="E8373" s="49" t="str">
        <f>IFERROR(VLOOKUP(D8373,'taxonomy map'!$A$1:$C$107,2,FALSE),"")</f>
        <v/>
      </c>
      <c r="F8373" s="49" t="str">
        <f>IFERROR(VLOOKUP(E8373,'Condensed Specialty Crosswalk'!$A$2:$C$106,2,FALSE),"")</f>
        <v/>
      </c>
      <c r="G8373" s="49" t="str">
        <f>IFERROR(VLOOKUP(E8373,'Condensed Specialty Crosswalk'!$A$2:$C$106,3,FALSE),"")</f>
        <v/>
      </c>
    </row>
    <row r="8374" spans="5:7" ht="15" customHeight="1">
      <c r="E8374" s="49" t="str">
        <f>IFERROR(VLOOKUP(D8374,'taxonomy map'!$A$1:$C$107,2,FALSE),"")</f>
        <v/>
      </c>
      <c r="F8374" s="49" t="str">
        <f>IFERROR(VLOOKUP(E8374,'Condensed Specialty Crosswalk'!$A$2:$C$106,2,FALSE),"")</f>
        <v/>
      </c>
      <c r="G8374" s="49" t="str">
        <f>IFERROR(VLOOKUP(E8374,'Condensed Specialty Crosswalk'!$A$2:$C$106,3,FALSE),"")</f>
        <v/>
      </c>
    </row>
    <row r="8375" spans="5:7" ht="15" customHeight="1">
      <c r="E8375" s="49" t="str">
        <f>IFERROR(VLOOKUP(D8375,'taxonomy map'!$A$1:$C$107,2,FALSE),"")</f>
        <v/>
      </c>
      <c r="F8375" s="49" t="str">
        <f>IFERROR(VLOOKUP(E8375,'Condensed Specialty Crosswalk'!$A$2:$C$106,2,FALSE),"")</f>
        <v/>
      </c>
      <c r="G8375" s="49" t="str">
        <f>IFERROR(VLOOKUP(E8375,'Condensed Specialty Crosswalk'!$A$2:$C$106,3,FALSE),"")</f>
        <v/>
      </c>
    </row>
    <row r="8376" spans="5:7" ht="15" customHeight="1">
      <c r="E8376" s="49" t="str">
        <f>IFERROR(VLOOKUP(D8376,'taxonomy map'!$A$1:$C$107,2,FALSE),"")</f>
        <v/>
      </c>
      <c r="F8376" s="49" t="str">
        <f>IFERROR(VLOOKUP(E8376,'Condensed Specialty Crosswalk'!$A$2:$C$106,2,FALSE),"")</f>
        <v/>
      </c>
      <c r="G8376" s="49" t="str">
        <f>IFERROR(VLOOKUP(E8376,'Condensed Specialty Crosswalk'!$A$2:$C$106,3,FALSE),"")</f>
        <v/>
      </c>
    </row>
    <row r="8377" spans="5:7" ht="15" customHeight="1">
      <c r="E8377" s="49" t="str">
        <f>IFERROR(VLOOKUP(D8377,'taxonomy map'!$A$1:$C$107,2,FALSE),"")</f>
        <v/>
      </c>
      <c r="F8377" s="49" t="str">
        <f>IFERROR(VLOOKUP(E8377,'Condensed Specialty Crosswalk'!$A$2:$C$106,2,FALSE),"")</f>
        <v/>
      </c>
      <c r="G8377" s="49" t="str">
        <f>IFERROR(VLOOKUP(E8377,'Condensed Specialty Crosswalk'!$A$2:$C$106,3,FALSE),"")</f>
        <v/>
      </c>
    </row>
    <row r="8378" spans="5:7" ht="15" customHeight="1">
      <c r="E8378" s="49" t="str">
        <f>IFERROR(VLOOKUP(D8378,'taxonomy map'!$A$1:$C$107,2,FALSE),"")</f>
        <v/>
      </c>
      <c r="F8378" s="49" t="str">
        <f>IFERROR(VLOOKUP(E8378,'Condensed Specialty Crosswalk'!$A$2:$C$106,2,FALSE),"")</f>
        <v/>
      </c>
      <c r="G8378" s="49" t="str">
        <f>IFERROR(VLOOKUP(E8378,'Condensed Specialty Crosswalk'!$A$2:$C$106,3,FALSE),"")</f>
        <v/>
      </c>
    </row>
    <row r="8379" spans="5:7" ht="15" customHeight="1">
      <c r="E8379" s="49" t="str">
        <f>IFERROR(VLOOKUP(D8379,'taxonomy map'!$A$1:$C$107,2,FALSE),"")</f>
        <v/>
      </c>
      <c r="F8379" s="49" t="str">
        <f>IFERROR(VLOOKUP(E8379,'Condensed Specialty Crosswalk'!$A$2:$C$106,2,FALSE),"")</f>
        <v/>
      </c>
      <c r="G8379" s="49" t="str">
        <f>IFERROR(VLOOKUP(E8379,'Condensed Specialty Crosswalk'!$A$2:$C$106,3,FALSE),"")</f>
        <v/>
      </c>
    </row>
    <row r="8380" spans="5:7" ht="15" customHeight="1">
      <c r="E8380" s="49" t="str">
        <f>IFERROR(VLOOKUP(D8380,'taxonomy map'!$A$1:$C$107,2,FALSE),"")</f>
        <v/>
      </c>
      <c r="F8380" s="49" t="str">
        <f>IFERROR(VLOOKUP(E8380,'Condensed Specialty Crosswalk'!$A$2:$C$106,2,FALSE),"")</f>
        <v/>
      </c>
      <c r="G8380" s="49" t="str">
        <f>IFERROR(VLOOKUP(E8380,'Condensed Specialty Crosswalk'!$A$2:$C$106,3,FALSE),"")</f>
        <v/>
      </c>
    </row>
    <row r="8381" spans="5:7" ht="15" customHeight="1">
      <c r="E8381" s="49" t="str">
        <f>IFERROR(VLOOKUP(D8381,'taxonomy map'!$A$1:$C$107,2,FALSE),"")</f>
        <v/>
      </c>
      <c r="F8381" s="49" t="str">
        <f>IFERROR(VLOOKUP(E8381,'Condensed Specialty Crosswalk'!$A$2:$C$106,2,FALSE),"")</f>
        <v/>
      </c>
      <c r="G8381" s="49" t="str">
        <f>IFERROR(VLOOKUP(E8381,'Condensed Specialty Crosswalk'!$A$2:$C$106,3,FALSE),"")</f>
        <v/>
      </c>
    </row>
    <row r="8382" spans="5:7" ht="15" customHeight="1">
      <c r="E8382" s="49" t="str">
        <f>IFERROR(VLOOKUP(D8382,'taxonomy map'!$A$1:$C$107,2,FALSE),"")</f>
        <v/>
      </c>
      <c r="F8382" s="49" t="str">
        <f>IFERROR(VLOOKUP(E8382,'Condensed Specialty Crosswalk'!$A$2:$C$106,2,FALSE),"")</f>
        <v/>
      </c>
      <c r="G8382" s="49" t="str">
        <f>IFERROR(VLOOKUP(E8382,'Condensed Specialty Crosswalk'!$A$2:$C$106,3,FALSE),"")</f>
        <v/>
      </c>
    </row>
    <row r="8383" spans="5:7" ht="15" customHeight="1">
      <c r="E8383" s="49" t="str">
        <f>IFERROR(VLOOKUP(D8383,'taxonomy map'!$A$1:$C$107,2,FALSE),"")</f>
        <v/>
      </c>
      <c r="F8383" s="49" t="str">
        <f>IFERROR(VLOOKUP(E8383,'Condensed Specialty Crosswalk'!$A$2:$C$106,2,FALSE),"")</f>
        <v/>
      </c>
      <c r="G8383" s="49" t="str">
        <f>IFERROR(VLOOKUP(E8383,'Condensed Specialty Crosswalk'!$A$2:$C$106,3,FALSE),"")</f>
        <v/>
      </c>
    </row>
    <row r="8384" spans="5:7" ht="15" customHeight="1">
      <c r="E8384" s="49" t="str">
        <f>IFERROR(VLOOKUP(D8384,'taxonomy map'!$A$1:$C$107,2,FALSE),"")</f>
        <v/>
      </c>
      <c r="F8384" s="49" t="str">
        <f>IFERROR(VLOOKUP(E8384,'Condensed Specialty Crosswalk'!$A$2:$C$106,2,FALSE),"")</f>
        <v/>
      </c>
      <c r="G8384" s="49" t="str">
        <f>IFERROR(VLOOKUP(E8384,'Condensed Specialty Crosswalk'!$A$2:$C$106,3,FALSE),"")</f>
        <v/>
      </c>
    </row>
    <row r="8385" spans="5:7" ht="15" customHeight="1">
      <c r="E8385" s="49" t="str">
        <f>IFERROR(VLOOKUP(D8385,'taxonomy map'!$A$1:$C$107,2,FALSE),"")</f>
        <v/>
      </c>
      <c r="F8385" s="49" t="str">
        <f>IFERROR(VLOOKUP(E8385,'Condensed Specialty Crosswalk'!$A$2:$C$106,2,FALSE),"")</f>
        <v/>
      </c>
      <c r="G8385" s="49" t="str">
        <f>IFERROR(VLOOKUP(E8385,'Condensed Specialty Crosswalk'!$A$2:$C$106,3,FALSE),"")</f>
        <v/>
      </c>
    </row>
    <row r="8386" spans="5:7" ht="15" customHeight="1">
      <c r="E8386" s="49" t="str">
        <f>IFERROR(VLOOKUP(D8386,'taxonomy map'!$A$1:$C$107,2,FALSE),"")</f>
        <v/>
      </c>
      <c r="F8386" s="49" t="str">
        <f>IFERROR(VLOOKUP(E8386,'Condensed Specialty Crosswalk'!$A$2:$C$106,2,FALSE),"")</f>
        <v/>
      </c>
      <c r="G8386" s="49" t="str">
        <f>IFERROR(VLOOKUP(E8386,'Condensed Specialty Crosswalk'!$A$2:$C$106,3,FALSE),"")</f>
        <v/>
      </c>
    </row>
    <row r="8387" spans="5:7" ht="15" customHeight="1">
      <c r="E8387" s="49" t="str">
        <f>IFERROR(VLOOKUP(D8387,'taxonomy map'!$A$1:$C$107,2,FALSE),"")</f>
        <v/>
      </c>
      <c r="F8387" s="49" t="str">
        <f>IFERROR(VLOOKUP(E8387,'Condensed Specialty Crosswalk'!$A$2:$C$106,2,FALSE),"")</f>
        <v/>
      </c>
      <c r="G8387" s="49" t="str">
        <f>IFERROR(VLOOKUP(E8387,'Condensed Specialty Crosswalk'!$A$2:$C$106,3,FALSE),"")</f>
        <v/>
      </c>
    </row>
    <row r="8388" spans="5:7" ht="15" customHeight="1">
      <c r="E8388" s="49" t="str">
        <f>IFERROR(VLOOKUP(D8388,'taxonomy map'!$A$1:$C$107,2,FALSE),"")</f>
        <v/>
      </c>
      <c r="F8388" s="49" t="str">
        <f>IFERROR(VLOOKUP(E8388,'Condensed Specialty Crosswalk'!$A$2:$C$106,2,FALSE),"")</f>
        <v/>
      </c>
      <c r="G8388" s="49" t="str">
        <f>IFERROR(VLOOKUP(E8388,'Condensed Specialty Crosswalk'!$A$2:$C$106,3,FALSE),"")</f>
        <v/>
      </c>
    </row>
    <row r="8389" spans="5:7" ht="15" customHeight="1">
      <c r="E8389" s="49" t="str">
        <f>IFERROR(VLOOKUP(D8389,'taxonomy map'!$A$1:$C$107,2,FALSE),"")</f>
        <v/>
      </c>
      <c r="F8389" s="49" t="str">
        <f>IFERROR(VLOOKUP(E8389,'Condensed Specialty Crosswalk'!$A$2:$C$106,2,FALSE),"")</f>
        <v/>
      </c>
      <c r="G8389" s="49" t="str">
        <f>IFERROR(VLOOKUP(E8389,'Condensed Specialty Crosswalk'!$A$2:$C$106,3,FALSE),"")</f>
        <v/>
      </c>
    </row>
    <row r="8390" spans="5:7" ht="15" customHeight="1">
      <c r="E8390" s="49" t="str">
        <f>IFERROR(VLOOKUP(D8390,'taxonomy map'!$A$1:$C$107,2,FALSE),"")</f>
        <v/>
      </c>
      <c r="F8390" s="49" t="str">
        <f>IFERROR(VLOOKUP(E8390,'Condensed Specialty Crosswalk'!$A$2:$C$106,2,FALSE),"")</f>
        <v/>
      </c>
      <c r="G8390" s="49" t="str">
        <f>IFERROR(VLOOKUP(E8390,'Condensed Specialty Crosswalk'!$A$2:$C$106,3,FALSE),"")</f>
        <v/>
      </c>
    </row>
    <row r="8391" spans="5:7" ht="15" customHeight="1">
      <c r="E8391" s="49" t="str">
        <f>IFERROR(VLOOKUP(D8391,'taxonomy map'!$A$1:$C$107,2,FALSE),"")</f>
        <v/>
      </c>
      <c r="F8391" s="49" t="str">
        <f>IFERROR(VLOOKUP(E8391,'Condensed Specialty Crosswalk'!$A$2:$C$106,2,FALSE),"")</f>
        <v/>
      </c>
      <c r="G8391" s="49" t="str">
        <f>IFERROR(VLOOKUP(E8391,'Condensed Specialty Crosswalk'!$A$2:$C$106,3,FALSE),"")</f>
        <v/>
      </c>
    </row>
    <row r="8392" spans="5:7" ht="15" customHeight="1">
      <c r="E8392" s="49" t="str">
        <f>IFERROR(VLOOKUP(D8392,'taxonomy map'!$A$1:$C$107,2,FALSE),"")</f>
        <v/>
      </c>
      <c r="F8392" s="49" t="str">
        <f>IFERROR(VLOOKUP(E8392,'Condensed Specialty Crosswalk'!$A$2:$C$106,2,FALSE),"")</f>
        <v/>
      </c>
      <c r="G8392" s="49" t="str">
        <f>IFERROR(VLOOKUP(E8392,'Condensed Specialty Crosswalk'!$A$2:$C$106,3,FALSE),"")</f>
        <v/>
      </c>
    </row>
    <row r="8393" spans="5:7" ht="15" customHeight="1">
      <c r="E8393" s="49" t="str">
        <f>IFERROR(VLOOKUP(D8393,'taxonomy map'!$A$1:$C$107,2,FALSE),"")</f>
        <v/>
      </c>
      <c r="F8393" s="49" t="str">
        <f>IFERROR(VLOOKUP(E8393,'Condensed Specialty Crosswalk'!$A$2:$C$106,2,FALSE),"")</f>
        <v/>
      </c>
      <c r="G8393" s="49" t="str">
        <f>IFERROR(VLOOKUP(E8393,'Condensed Specialty Crosswalk'!$A$2:$C$106,3,FALSE),"")</f>
        <v/>
      </c>
    </row>
    <row r="8394" spans="5:7" ht="15" customHeight="1">
      <c r="E8394" s="49" t="str">
        <f>IFERROR(VLOOKUP(D8394,'taxonomy map'!$A$1:$C$107,2,FALSE),"")</f>
        <v/>
      </c>
      <c r="F8394" s="49" t="str">
        <f>IFERROR(VLOOKUP(E8394,'Condensed Specialty Crosswalk'!$A$2:$C$106,2,FALSE),"")</f>
        <v/>
      </c>
      <c r="G8394" s="49" t="str">
        <f>IFERROR(VLOOKUP(E8394,'Condensed Specialty Crosswalk'!$A$2:$C$106,3,FALSE),"")</f>
        <v/>
      </c>
    </row>
    <row r="8395" spans="5:7" ht="15" customHeight="1">
      <c r="E8395" s="49" t="str">
        <f>IFERROR(VLOOKUP(D8395,'taxonomy map'!$A$1:$C$107,2,FALSE),"")</f>
        <v/>
      </c>
      <c r="F8395" s="49" t="str">
        <f>IFERROR(VLOOKUP(E8395,'Condensed Specialty Crosswalk'!$A$2:$C$106,2,FALSE),"")</f>
        <v/>
      </c>
      <c r="G8395" s="49" t="str">
        <f>IFERROR(VLOOKUP(E8395,'Condensed Specialty Crosswalk'!$A$2:$C$106,3,FALSE),"")</f>
        <v/>
      </c>
    </row>
    <row r="8396" spans="5:7" ht="15" customHeight="1">
      <c r="E8396" s="49" t="str">
        <f>IFERROR(VLOOKUP(D8396,'taxonomy map'!$A$1:$C$107,2,FALSE),"")</f>
        <v/>
      </c>
      <c r="F8396" s="49" t="str">
        <f>IFERROR(VLOOKUP(E8396,'Condensed Specialty Crosswalk'!$A$2:$C$106,2,FALSE),"")</f>
        <v/>
      </c>
      <c r="G8396" s="49" t="str">
        <f>IFERROR(VLOOKUP(E8396,'Condensed Specialty Crosswalk'!$A$2:$C$106,3,FALSE),"")</f>
        <v/>
      </c>
    </row>
    <row r="8397" spans="5:7" ht="15" customHeight="1">
      <c r="E8397" s="49" t="str">
        <f>IFERROR(VLOOKUP(D8397,'taxonomy map'!$A$1:$C$107,2,FALSE),"")</f>
        <v/>
      </c>
      <c r="F8397" s="49" t="str">
        <f>IFERROR(VLOOKUP(E8397,'Condensed Specialty Crosswalk'!$A$2:$C$106,2,FALSE),"")</f>
        <v/>
      </c>
      <c r="G8397" s="49" t="str">
        <f>IFERROR(VLOOKUP(E8397,'Condensed Specialty Crosswalk'!$A$2:$C$106,3,FALSE),"")</f>
        <v/>
      </c>
    </row>
    <row r="8398" spans="5:7" ht="15" customHeight="1">
      <c r="E8398" s="49" t="str">
        <f>IFERROR(VLOOKUP(D8398,'taxonomy map'!$A$1:$C$107,2,FALSE),"")</f>
        <v/>
      </c>
      <c r="F8398" s="49" t="str">
        <f>IFERROR(VLOOKUP(E8398,'Condensed Specialty Crosswalk'!$A$2:$C$106,2,FALSE),"")</f>
        <v/>
      </c>
      <c r="G8398" s="49" t="str">
        <f>IFERROR(VLOOKUP(E8398,'Condensed Specialty Crosswalk'!$A$2:$C$106,3,FALSE),"")</f>
        <v/>
      </c>
    </row>
    <row r="8399" spans="5:7" ht="15" customHeight="1">
      <c r="E8399" s="49" t="str">
        <f>IFERROR(VLOOKUP(D8399,'taxonomy map'!$A$1:$C$107,2,FALSE),"")</f>
        <v/>
      </c>
      <c r="F8399" s="49" t="str">
        <f>IFERROR(VLOOKUP(E8399,'Condensed Specialty Crosswalk'!$A$2:$C$106,2,FALSE),"")</f>
        <v/>
      </c>
      <c r="G8399" s="49" t="str">
        <f>IFERROR(VLOOKUP(E8399,'Condensed Specialty Crosswalk'!$A$2:$C$106,3,FALSE),"")</f>
        <v/>
      </c>
    </row>
    <row r="8400" spans="5:7" ht="15" customHeight="1">
      <c r="E8400" s="49" t="str">
        <f>IFERROR(VLOOKUP(D8400,'taxonomy map'!$A$1:$C$107,2,FALSE),"")</f>
        <v/>
      </c>
      <c r="F8400" s="49" t="str">
        <f>IFERROR(VLOOKUP(E8400,'Condensed Specialty Crosswalk'!$A$2:$C$106,2,FALSE),"")</f>
        <v/>
      </c>
      <c r="G8400" s="49" t="str">
        <f>IFERROR(VLOOKUP(E8400,'Condensed Specialty Crosswalk'!$A$2:$C$106,3,FALSE),"")</f>
        <v/>
      </c>
    </row>
    <row r="8401" spans="5:7" ht="15" customHeight="1">
      <c r="E8401" s="49" t="str">
        <f>IFERROR(VLOOKUP(D8401,'taxonomy map'!$A$1:$C$107,2,FALSE),"")</f>
        <v/>
      </c>
      <c r="F8401" s="49" t="str">
        <f>IFERROR(VLOOKUP(E8401,'Condensed Specialty Crosswalk'!$A$2:$C$106,2,FALSE),"")</f>
        <v/>
      </c>
      <c r="G8401" s="49" t="str">
        <f>IFERROR(VLOOKUP(E8401,'Condensed Specialty Crosswalk'!$A$2:$C$106,3,FALSE),"")</f>
        <v/>
      </c>
    </row>
    <row r="8402" spans="5:7" ht="15" customHeight="1">
      <c r="E8402" s="49" t="str">
        <f>IFERROR(VLOOKUP(D8402,'taxonomy map'!$A$1:$C$107,2,FALSE),"")</f>
        <v/>
      </c>
      <c r="F8402" s="49" t="str">
        <f>IFERROR(VLOOKUP(E8402,'Condensed Specialty Crosswalk'!$A$2:$C$106,2,FALSE),"")</f>
        <v/>
      </c>
      <c r="G8402" s="49" t="str">
        <f>IFERROR(VLOOKUP(E8402,'Condensed Specialty Crosswalk'!$A$2:$C$106,3,FALSE),"")</f>
        <v/>
      </c>
    </row>
    <row r="8403" spans="5:7" ht="15" customHeight="1">
      <c r="E8403" s="49" t="str">
        <f>IFERROR(VLOOKUP(D8403,'taxonomy map'!$A$1:$C$107,2,FALSE),"")</f>
        <v/>
      </c>
      <c r="F8403" s="49" t="str">
        <f>IFERROR(VLOOKUP(E8403,'Condensed Specialty Crosswalk'!$A$2:$C$106,2,FALSE),"")</f>
        <v/>
      </c>
      <c r="G8403" s="49" t="str">
        <f>IFERROR(VLOOKUP(E8403,'Condensed Specialty Crosswalk'!$A$2:$C$106,3,FALSE),"")</f>
        <v/>
      </c>
    </row>
    <row r="8404" spans="5:7" ht="15" customHeight="1">
      <c r="E8404" s="49" t="str">
        <f>IFERROR(VLOOKUP(D8404,'taxonomy map'!$A$1:$C$107,2,FALSE),"")</f>
        <v/>
      </c>
      <c r="F8404" s="49" t="str">
        <f>IFERROR(VLOOKUP(E8404,'Condensed Specialty Crosswalk'!$A$2:$C$106,2,FALSE),"")</f>
        <v/>
      </c>
      <c r="G8404" s="49" t="str">
        <f>IFERROR(VLOOKUP(E8404,'Condensed Specialty Crosswalk'!$A$2:$C$106,3,FALSE),"")</f>
        <v/>
      </c>
    </row>
    <row r="8405" spans="5:7" ht="15" customHeight="1">
      <c r="E8405" s="49" t="str">
        <f>IFERROR(VLOOKUP(D8405,'taxonomy map'!$A$1:$C$107,2,FALSE),"")</f>
        <v/>
      </c>
      <c r="F8405" s="49" t="str">
        <f>IFERROR(VLOOKUP(E8405,'Condensed Specialty Crosswalk'!$A$2:$C$106,2,FALSE),"")</f>
        <v/>
      </c>
      <c r="G8405" s="49" t="str">
        <f>IFERROR(VLOOKUP(E8405,'Condensed Specialty Crosswalk'!$A$2:$C$106,3,FALSE),"")</f>
        <v/>
      </c>
    </row>
    <row r="8406" spans="5:7" ht="15" customHeight="1">
      <c r="E8406" s="49" t="str">
        <f>IFERROR(VLOOKUP(D8406,'taxonomy map'!$A$1:$C$107,2,FALSE),"")</f>
        <v/>
      </c>
      <c r="F8406" s="49" t="str">
        <f>IFERROR(VLOOKUP(E8406,'Condensed Specialty Crosswalk'!$A$2:$C$106,2,FALSE),"")</f>
        <v/>
      </c>
      <c r="G8406" s="49" t="str">
        <f>IFERROR(VLOOKUP(E8406,'Condensed Specialty Crosswalk'!$A$2:$C$106,3,FALSE),"")</f>
        <v/>
      </c>
    </row>
    <row r="8407" spans="5:7" ht="15" customHeight="1">
      <c r="E8407" s="49" t="str">
        <f>IFERROR(VLOOKUP(D8407,'taxonomy map'!$A$1:$C$107,2,FALSE),"")</f>
        <v/>
      </c>
      <c r="F8407" s="49" t="str">
        <f>IFERROR(VLOOKUP(E8407,'Condensed Specialty Crosswalk'!$A$2:$C$106,2,FALSE),"")</f>
        <v/>
      </c>
      <c r="G8407" s="49" t="str">
        <f>IFERROR(VLOOKUP(E8407,'Condensed Specialty Crosswalk'!$A$2:$C$106,3,FALSE),"")</f>
        <v/>
      </c>
    </row>
    <row r="8408" spans="5:7" ht="15" customHeight="1">
      <c r="E8408" s="49" t="str">
        <f>IFERROR(VLOOKUP(D8408,'taxonomy map'!$A$1:$C$107,2,FALSE),"")</f>
        <v/>
      </c>
      <c r="F8408" s="49" t="str">
        <f>IFERROR(VLOOKUP(E8408,'Condensed Specialty Crosswalk'!$A$2:$C$106,2,FALSE),"")</f>
        <v/>
      </c>
      <c r="G8408" s="49" t="str">
        <f>IFERROR(VLOOKUP(E8408,'Condensed Specialty Crosswalk'!$A$2:$C$106,3,FALSE),"")</f>
        <v/>
      </c>
    </row>
    <row r="8409" spans="5:7" ht="15" customHeight="1">
      <c r="E8409" s="49" t="str">
        <f>IFERROR(VLOOKUP(D8409,'taxonomy map'!$A$1:$C$107,2,FALSE),"")</f>
        <v/>
      </c>
      <c r="F8409" s="49" t="str">
        <f>IFERROR(VLOOKUP(E8409,'Condensed Specialty Crosswalk'!$A$2:$C$106,2,FALSE),"")</f>
        <v/>
      </c>
      <c r="G8409" s="49" t="str">
        <f>IFERROR(VLOOKUP(E8409,'Condensed Specialty Crosswalk'!$A$2:$C$106,3,FALSE),"")</f>
        <v/>
      </c>
    </row>
    <row r="8410" spans="5:7" ht="15" customHeight="1">
      <c r="E8410" s="49" t="str">
        <f>IFERROR(VLOOKUP(D8410,'taxonomy map'!$A$1:$C$107,2,FALSE),"")</f>
        <v/>
      </c>
      <c r="F8410" s="49" t="str">
        <f>IFERROR(VLOOKUP(E8410,'Condensed Specialty Crosswalk'!$A$2:$C$106,2,FALSE),"")</f>
        <v/>
      </c>
      <c r="G8410" s="49" t="str">
        <f>IFERROR(VLOOKUP(E8410,'Condensed Specialty Crosswalk'!$A$2:$C$106,3,FALSE),"")</f>
        <v/>
      </c>
    </row>
    <row r="8411" spans="5:7" ht="15" customHeight="1">
      <c r="E8411" s="49" t="str">
        <f>IFERROR(VLOOKUP(D8411,'taxonomy map'!$A$1:$C$107,2,FALSE),"")</f>
        <v/>
      </c>
      <c r="F8411" s="49" t="str">
        <f>IFERROR(VLOOKUP(E8411,'Condensed Specialty Crosswalk'!$A$2:$C$106,2,FALSE),"")</f>
        <v/>
      </c>
      <c r="G8411" s="49" t="str">
        <f>IFERROR(VLOOKUP(E8411,'Condensed Specialty Crosswalk'!$A$2:$C$106,3,FALSE),"")</f>
        <v/>
      </c>
    </row>
    <row r="8412" spans="5:7" ht="15" customHeight="1">
      <c r="E8412" s="49" t="str">
        <f>IFERROR(VLOOKUP(D8412,'taxonomy map'!$A$1:$C$107,2,FALSE),"")</f>
        <v/>
      </c>
      <c r="F8412" s="49" t="str">
        <f>IFERROR(VLOOKUP(E8412,'Condensed Specialty Crosswalk'!$A$2:$C$106,2,FALSE),"")</f>
        <v/>
      </c>
      <c r="G8412" s="49" t="str">
        <f>IFERROR(VLOOKUP(E8412,'Condensed Specialty Crosswalk'!$A$2:$C$106,3,FALSE),"")</f>
        <v/>
      </c>
    </row>
    <row r="8413" spans="5:7" ht="15" customHeight="1">
      <c r="E8413" s="49" t="str">
        <f>IFERROR(VLOOKUP(D8413,'taxonomy map'!$A$1:$C$107,2,FALSE),"")</f>
        <v/>
      </c>
      <c r="F8413" s="49" t="str">
        <f>IFERROR(VLOOKUP(E8413,'Condensed Specialty Crosswalk'!$A$2:$C$106,2,FALSE),"")</f>
        <v/>
      </c>
      <c r="G8413" s="49" t="str">
        <f>IFERROR(VLOOKUP(E8413,'Condensed Specialty Crosswalk'!$A$2:$C$106,3,FALSE),"")</f>
        <v/>
      </c>
    </row>
    <row r="8414" spans="5:7" ht="15" customHeight="1">
      <c r="E8414" s="49" t="str">
        <f>IFERROR(VLOOKUP(D8414,'taxonomy map'!$A$1:$C$107,2,FALSE),"")</f>
        <v/>
      </c>
      <c r="F8414" s="49" t="str">
        <f>IFERROR(VLOOKUP(E8414,'Condensed Specialty Crosswalk'!$A$2:$C$106,2,FALSE),"")</f>
        <v/>
      </c>
      <c r="G8414" s="49" t="str">
        <f>IFERROR(VLOOKUP(E8414,'Condensed Specialty Crosswalk'!$A$2:$C$106,3,FALSE),"")</f>
        <v/>
      </c>
    </row>
    <row r="8415" spans="5:7" ht="15" customHeight="1">
      <c r="E8415" s="49" t="str">
        <f>IFERROR(VLOOKUP(D8415,'taxonomy map'!$A$1:$C$107,2,FALSE),"")</f>
        <v/>
      </c>
      <c r="F8415" s="49" t="str">
        <f>IFERROR(VLOOKUP(E8415,'Condensed Specialty Crosswalk'!$A$2:$C$106,2,FALSE),"")</f>
        <v/>
      </c>
      <c r="G8415" s="49" t="str">
        <f>IFERROR(VLOOKUP(E8415,'Condensed Specialty Crosswalk'!$A$2:$C$106,3,FALSE),"")</f>
        <v/>
      </c>
    </row>
    <row r="8416" spans="5:7" ht="15" customHeight="1">
      <c r="E8416" s="49" t="str">
        <f>IFERROR(VLOOKUP(D8416,'taxonomy map'!$A$1:$C$107,2,FALSE),"")</f>
        <v/>
      </c>
      <c r="F8416" s="49" t="str">
        <f>IFERROR(VLOOKUP(E8416,'Condensed Specialty Crosswalk'!$A$2:$C$106,2,FALSE),"")</f>
        <v/>
      </c>
      <c r="G8416" s="49" t="str">
        <f>IFERROR(VLOOKUP(E8416,'Condensed Specialty Crosswalk'!$A$2:$C$106,3,FALSE),"")</f>
        <v/>
      </c>
    </row>
    <row r="8417" spans="5:7" ht="15" customHeight="1">
      <c r="E8417" s="49" t="str">
        <f>IFERROR(VLOOKUP(D8417,'taxonomy map'!$A$1:$C$107,2,FALSE),"")</f>
        <v/>
      </c>
      <c r="F8417" s="49" t="str">
        <f>IFERROR(VLOOKUP(E8417,'Condensed Specialty Crosswalk'!$A$2:$C$106,2,FALSE),"")</f>
        <v/>
      </c>
      <c r="G8417" s="49" t="str">
        <f>IFERROR(VLOOKUP(E8417,'Condensed Specialty Crosswalk'!$A$2:$C$106,3,FALSE),"")</f>
        <v/>
      </c>
    </row>
    <row r="8418" spans="5:7" ht="15" customHeight="1">
      <c r="E8418" s="49" t="str">
        <f>IFERROR(VLOOKUP(D8418,'taxonomy map'!$A$1:$C$107,2,FALSE),"")</f>
        <v/>
      </c>
      <c r="F8418" s="49" t="str">
        <f>IFERROR(VLOOKUP(E8418,'Condensed Specialty Crosswalk'!$A$2:$C$106,2,FALSE),"")</f>
        <v/>
      </c>
      <c r="G8418" s="49" t="str">
        <f>IFERROR(VLOOKUP(E8418,'Condensed Specialty Crosswalk'!$A$2:$C$106,3,FALSE),"")</f>
        <v/>
      </c>
    </row>
    <row r="8419" spans="5:7" ht="15" customHeight="1">
      <c r="E8419" s="49" t="str">
        <f>IFERROR(VLOOKUP(D8419,'taxonomy map'!$A$1:$C$107,2,FALSE),"")</f>
        <v/>
      </c>
      <c r="F8419" s="49" t="str">
        <f>IFERROR(VLOOKUP(E8419,'Condensed Specialty Crosswalk'!$A$2:$C$106,2,FALSE),"")</f>
        <v/>
      </c>
      <c r="G8419" s="49" t="str">
        <f>IFERROR(VLOOKUP(E8419,'Condensed Specialty Crosswalk'!$A$2:$C$106,3,FALSE),"")</f>
        <v/>
      </c>
    </row>
    <row r="8420" spans="5:7" ht="15" customHeight="1">
      <c r="E8420" s="49" t="str">
        <f>IFERROR(VLOOKUP(D8420,'taxonomy map'!$A$1:$C$107,2,FALSE),"")</f>
        <v/>
      </c>
      <c r="F8420" s="49" t="str">
        <f>IFERROR(VLOOKUP(E8420,'Condensed Specialty Crosswalk'!$A$2:$C$106,2,FALSE),"")</f>
        <v/>
      </c>
      <c r="G8420" s="49" t="str">
        <f>IFERROR(VLOOKUP(E8420,'Condensed Specialty Crosswalk'!$A$2:$C$106,3,FALSE),"")</f>
        <v/>
      </c>
    </row>
    <row r="8421" spans="5:7" ht="15" customHeight="1">
      <c r="E8421" s="49" t="str">
        <f>IFERROR(VLOOKUP(D8421,'taxonomy map'!$A$1:$C$107,2,FALSE),"")</f>
        <v/>
      </c>
      <c r="F8421" s="49" t="str">
        <f>IFERROR(VLOOKUP(E8421,'Condensed Specialty Crosswalk'!$A$2:$C$106,2,FALSE),"")</f>
        <v/>
      </c>
      <c r="G8421" s="49" t="str">
        <f>IFERROR(VLOOKUP(E8421,'Condensed Specialty Crosswalk'!$A$2:$C$106,3,FALSE),"")</f>
        <v/>
      </c>
    </row>
    <row r="8422" spans="5:7" ht="15" customHeight="1">
      <c r="E8422" s="49" t="str">
        <f>IFERROR(VLOOKUP(D8422,'taxonomy map'!$A$1:$C$107,2,FALSE),"")</f>
        <v/>
      </c>
      <c r="F8422" s="49" t="str">
        <f>IFERROR(VLOOKUP(E8422,'Condensed Specialty Crosswalk'!$A$2:$C$106,2,FALSE),"")</f>
        <v/>
      </c>
      <c r="G8422" s="49" t="str">
        <f>IFERROR(VLOOKUP(E8422,'Condensed Specialty Crosswalk'!$A$2:$C$106,3,FALSE),"")</f>
        <v/>
      </c>
    </row>
    <row r="8423" spans="5:7" ht="15" customHeight="1">
      <c r="E8423" s="49" t="str">
        <f>IFERROR(VLOOKUP(D8423,'taxonomy map'!$A$1:$C$107,2,FALSE),"")</f>
        <v/>
      </c>
      <c r="F8423" s="49" t="str">
        <f>IFERROR(VLOOKUP(E8423,'Condensed Specialty Crosswalk'!$A$2:$C$106,2,FALSE),"")</f>
        <v/>
      </c>
      <c r="G8423" s="49" t="str">
        <f>IFERROR(VLOOKUP(E8423,'Condensed Specialty Crosswalk'!$A$2:$C$106,3,FALSE),"")</f>
        <v/>
      </c>
    </row>
    <row r="8424" spans="5:7" ht="15" customHeight="1">
      <c r="E8424" s="49" t="str">
        <f>IFERROR(VLOOKUP(D8424,'taxonomy map'!$A$1:$C$107,2,FALSE),"")</f>
        <v/>
      </c>
      <c r="F8424" s="49" t="str">
        <f>IFERROR(VLOOKUP(E8424,'Condensed Specialty Crosswalk'!$A$2:$C$106,2,FALSE),"")</f>
        <v/>
      </c>
      <c r="G8424" s="49" t="str">
        <f>IFERROR(VLOOKUP(E8424,'Condensed Specialty Crosswalk'!$A$2:$C$106,3,FALSE),"")</f>
        <v/>
      </c>
    </row>
    <row r="8425" spans="5:7" ht="15" customHeight="1">
      <c r="E8425" s="49" t="str">
        <f>IFERROR(VLOOKUP(D8425,'taxonomy map'!$A$1:$C$107,2,FALSE),"")</f>
        <v/>
      </c>
      <c r="F8425" s="49" t="str">
        <f>IFERROR(VLOOKUP(E8425,'Condensed Specialty Crosswalk'!$A$2:$C$106,2,FALSE),"")</f>
        <v/>
      </c>
      <c r="G8425" s="49" t="str">
        <f>IFERROR(VLOOKUP(E8425,'Condensed Specialty Crosswalk'!$A$2:$C$106,3,FALSE),"")</f>
        <v/>
      </c>
    </row>
    <row r="8426" spans="5:7" ht="15" customHeight="1">
      <c r="E8426" s="49" t="str">
        <f>IFERROR(VLOOKUP(D8426,'taxonomy map'!$A$1:$C$107,2,FALSE),"")</f>
        <v/>
      </c>
      <c r="F8426" s="49" t="str">
        <f>IFERROR(VLOOKUP(E8426,'Condensed Specialty Crosswalk'!$A$2:$C$106,2,FALSE),"")</f>
        <v/>
      </c>
      <c r="G8426" s="49" t="str">
        <f>IFERROR(VLOOKUP(E8426,'Condensed Specialty Crosswalk'!$A$2:$C$106,3,FALSE),"")</f>
        <v/>
      </c>
    </row>
    <row r="8427" spans="5:7" ht="15" customHeight="1">
      <c r="E8427" s="49" t="str">
        <f>IFERROR(VLOOKUP(D8427,'taxonomy map'!$A$1:$C$107,2,FALSE),"")</f>
        <v/>
      </c>
      <c r="F8427" s="49" t="str">
        <f>IFERROR(VLOOKUP(E8427,'Condensed Specialty Crosswalk'!$A$2:$C$106,2,FALSE),"")</f>
        <v/>
      </c>
      <c r="G8427" s="49" t="str">
        <f>IFERROR(VLOOKUP(E8427,'Condensed Specialty Crosswalk'!$A$2:$C$106,3,FALSE),"")</f>
        <v/>
      </c>
    </row>
    <row r="8428" spans="5:7" ht="15" customHeight="1">
      <c r="E8428" s="49" t="str">
        <f>IFERROR(VLOOKUP(D8428,'taxonomy map'!$A$1:$C$107,2,FALSE),"")</f>
        <v/>
      </c>
      <c r="F8428" s="49" t="str">
        <f>IFERROR(VLOOKUP(E8428,'Condensed Specialty Crosswalk'!$A$2:$C$106,2,FALSE),"")</f>
        <v/>
      </c>
      <c r="G8428" s="49" t="str">
        <f>IFERROR(VLOOKUP(E8428,'Condensed Specialty Crosswalk'!$A$2:$C$106,3,FALSE),"")</f>
        <v/>
      </c>
    </row>
    <row r="8429" spans="5:7" ht="15" customHeight="1">
      <c r="E8429" s="49" t="str">
        <f>IFERROR(VLOOKUP(D8429,'taxonomy map'!$A$1:$C$107,2,FALSE),"")</f>
        <v/>
      </c>
      <c r="F8429" s="49" t="str">
        <f>IFERROR(VLOOKUP(E8429,'Condensed Specialty Crosswalk'!$A$2:$C$106,2,FALSE),"")</f>
        <v/>
      </c>
      <c r="G8429" s="49" t="str">
        <f>IFERROR(VLOOKUP(E8429,'Condensed Specialty Crosswalk'!$A$2:$C$106,3,FALSE),"")</f>
        <v/>
      </c>
    </row>
    <row r="8430" spans="5:7" ht="15" customHeight="1">
      <c r="E8430" s="49" t="str">
        <f>IFERROR(VLOOKUP(D8430,'taxonomy map'!$A$1:$C$107,2,FALSE),"")</f>
        <v/>
      </c>
      <c r="F8430" s="49" t="str">
        <f>IFERROR(VLOOKUP(E8430,'Condensed Specialty Crosswalk'!$A$2:$C$106,2,FALSE),"")</f>
        <v/>
      </c>
      <c r="G8430" s="49" t="str">
        <f>IFERROR(VLOOKUP(E8430,'Condensed Specialty Crosswalk'!$A$2:$C$106,3,FALSE),"")</f>
        <v/>
      </c>
    </row>
    <row r="8431" spans="5:7" ht="15" customHeight="1">
      <c r="E8431" s="49" t="str">
        <f>IFERROR(VLOOKUP(D8431,'taxonomy map'!$A$1:$C$107,2,FALSE),"")</f>
        <v/>
      </c>
      <c r="F8431" s="49" t="str">
        <f>IFERROR(VLOOKUP(E8431,'Condensed Specialty Crosswalk'!$A$2:$C$106,2,FALSE),"")</f>
        <v/>
      </c>
      <c r="G8431" s="49" t="str">
        <f>IFERROR(VLOOKUP(E8431,'Condensed Specialty Crosswalk'!$A$2:$C$106,3,FALSE),"")</f>
        <v/>
      </c>
    </row>
    <row r="8432" spans="5:7" ht="15" customHeight="1">
      <c r="E8432" s="49" t="str">
        <f>IFERROR(VLOOKUP(D8432,'taxonomy map'!$A$1:$C$107,2,FALSE),"")</f>
        <v/>
      </c>
      <c r="F8432" s="49" t="str">
        <f>IFERROR(VLOOKUP(E8432,'Condensed Specialty Crosswalk'!$A$2:$C$106,2,FALSE),"")</f>
        <v/>
      </c>
      <c r="G8432" s="49" t="str">
        <f>IFERROR(VLOOKUP(E8432,'Condensed Specialty Crosswalk'!$A$2:$C$106,3,FALSE),"")</f>
        <v/>
      </c>
    </row>
    <row r="8433" spans="5:7" ht="15" customHeight="1">
      <c r="E8433" s="49" t="str">
        <f>IFERROR(VLOOKUP(D8433,'taxonomy map'!$A$1:$C$107,2,FALSE),"")</f>
        <v/>
      </c>
      <c r="F8433" s="49" t="str">
        <f>IFERROR(VLOOKUP(E8433,'Condensed Specialty Crosswalk'!$A$2:$C$106,2,FALSE),"")</f>
        <v/>
      </c>
      <c r="G8433" s="49" t="str">
        <f>IFERROR(VLOOKUP(E8433,'Condensed Specialty Crosswalk'!$A$2:$C$106,3,FALSE),"")</f>
        <v/>
      </c>
    </row>
    <row r="8434" spans="5:7" ht="15" customHeight="1">
      <c r="E8434" s="49" t="str">
        <f>IFERROR(VLOOKUP(D8434,'taxonomy map'!$A$1:$C$107,2,FALSE),"")</f>
        <v/>
      </c>
      <c r="F8434" s="49" t="str">
        <f>IFERROR(VLOOKUP(E8434,'Condensed Specialty Crosswalk'!$A$2:$C$106,2,FALSE),"")</f>
        <v/>
      </c>
      <c r="G8434" s="49" t="str">
        <f>IFERROR(VLOOKUP(E8434,'Condensed Specialty Crosswalk'!$A$2:$C$106,3,FALSE),"")</f>
        <v/>
      </c>
    </row>
    <row r="8435" spans="5:7" ht="15" customHeight="1">
      <c r="E8435" s="49" t="str">
        <f>IFERROR(VLOOKUP(D8435,'taxonomy map'!$A$1:$C$107,2,FALSE),"")</f>
        <v/>
      </c>
      <c r="F8435" s="49" t="str">
        <f>IFERROR(VLOOKUP(E8435,'Condensed Specialty Crosswalk'!$A$2:$C$106,2,FALSE),"")</f>
        <v/>
      </c>
      <c r="G8435" s="49" t="str">
        <f>IFERROR(VLOOKUP(E8435,'Condensed Specialty Crosswalk'!$A$2:$C$106,3,FALSE),"")</f>
        <v/>
      </c>
    </row>
    <row r="8436" spans="5:7" ht="15" customHeight="1">
      <c r="E8436" s="49" t="str">
        <f>IFERROR(VLOOKUP(D8436,'taxonomy map'!$A$1:$C$107,2,FALSE),"")</f>
        <v/>
      </c>
      <c r="F8436" s="49" t="str">
        <f>IFERROR(VLOOKUP(E8436,'Condensed Specialty Crosswalk'!$A$2:$C$106,2,FALSE),"")</f>
        <v/>
      </c>
      <c r="G8436" s="49" t="str">
        <f>IFERROR(VLOOKUP(E8436,'Condensed Specialty Crosswalk'!$A$2:$C$106,3,FALSE),"")</f>
        <v/>
      </c>
    </row>
    <row r="8437" spans="5:7" ht="15" customHeight="1">
      <c r="E8437" s="49" t="str">
        <f>IFERROR(VLOOKUP(D8437,'taxonomy map'!$A$1:$C$107,2,FALSE),"")</f>
        <v/>
      </c>
      <c r="F8437" s="49" t="str">
        <f>IFERROR(VLOOKUP(E8437,'Condensed Specialty Crosswalk'!$A$2:$C$106,2,FALSE),"")</f>
        <v/>
      </c>
      <c r="G8437" s="49" t="str">
        <f>IFERROR(VLOOKUP(E8437,'Condensed Specialty Crosswalk'!$A$2:$C$106,3,FALSE),"")</f>
        <v/>
      </c>
    </row>
    <row r="8438" spans="5:7" ht="15" customHeight="1">
      <c r="E8438" s="49" t="str">
        <f>IFERROR(VLOOKUP(D8438,'taxonomy map'!$A$1:$C$107,2,FALSE),"")</f>
        <v/>
      </c>
      <c r="F8438" s="49" t="str">
        <f>IFERROR(VLOOKUP(E8438,'Condensed Specialty Crosswalk'!$A$2:$C$106,2,FALSE),"")</f>
        <v/>
      </c>
      <c r="G8438" s="49" t="str">
        <f>IFERROR(VLOOKUP(E8438,'Condensed Specialty Crosswalk'!$A$2:$C$106,3,FALSE),"")</f>
        <v/>
      </c>
    </row>
    <row r="8439" spans="5:7" ht="15" customHeight="1">
      <c r="E8439" s="49" t="str">
        <f>IFERROR(VLOOKUP(D8439,'taxonomy map'!$A$1:$C$107,2,FALSE),"")</f>
        <v/>
      </c>
      <c r="F8439" s="49" t="str">
        <f>IFERROR(VLOOKUP(E8439,'Condensed Specialty Crosswalk'!$A$2:$C$106,2,FALSE),"")</f>
        <v/>
      </c>
      <c r="G8439" s="49" t="str">
        <f>IFERROR(VLOOKUP(E8439,'Condensed Specialty Crosswalk'!$A$2:$C$106,3,FALSE),"")</f>
        <v/>
      </c>
    </row>
    <row r="8440" spans="5:7" ht="15" customHeight="1">
      <c r="E8440" s="49" t="str">
        <f>IFERROR(VLOOKUP(D8440,'taxonomy map'!$A$1:$C$107,2,FALSE),"")</f>
        <v/>
      </c>
      <c r="F8440" s="49" t="str">
        <f>IFERROR(VLOOKUP(E8440,'Condensed Specialty Crosswalk'!$A$2:$C$106,2,FALSE),"")</f>
        <v/>
      </c>
      <c r="G8440" s="49" t="str">
        <f>IFERROR(VLOOKUP(E8440,'Condensed Specialty Crosswalk'!$A$2:$C$106,3,FALSE),"")</f>
        <v/>
      </c>
    </row>
    <row r="8441" spans="5:7" ht="15" customHeight="1">
      <c r="E8441" s="49" t="str">
        <f>IFERROR(VLOOKUP(D8441,'taxonomy map'!$A$1:$C$107,2,FALSE),"")</f>
        <v/>
      </c>
      <c r="F8441" s="49" t="str">
        <f>IFERROR(VLOOKUP(E8441,'Condensed Specialty Crosswalk'!$A$2:$C$106,2,FALSE),"")</f>
        <v/>
      </c>
      <c r="G8441" s="49" t="str">
        <f>IFERROR(VLOOKUP(E8441,'Condensed Specialty Crosswalk'!$A$2:$C$106,3,FALSE),"")</f>
        <v/>
      </c>
    </row>
    <row r="8442" spans="5:7" ht="15" customHeight="1">
      <c r="E8442" s="49" t="str">
        <f>IFERROR(VLOOKUP(D8442,'taxonomy map'!$A$1:$C$107,2,FALSE),"")</f>
        <v/>
      </c>
      <c r="F8442" s="49" t="str">
        <f>IFERROR(VLOOKUP(E8442,'Condensed Specialty Crosswalk'!$A$2:$C$106,2,FALSE),"")</f>
        <v/>
      </c>
      <c r="G8442" s="49" t="str">
        <f>IFERROR(VLOOKUP(E8442,'Condensed Specialty Crosswalk'!$A$2:$C$106,3,FALSE),"")</f>
        <v/>
      </c>
    </row>
    <row r="8443" spans="5:7" ht="15" customHeight="1">
      <c r="E8443" s="49" t="str">
        <f>IFERROR(VLOOKUP(D8443,'taxonomy map'!$A$1:$C$107,2,FALSE),"")</f>
        <v/>
      </c>
      <c r="F8443" s="49" t="str">
        <f>IFERROR(VLOOKUP(E8443,'Condensed Specialty Crosswalk'!$A$2:$C$106,2,FALSE),"")</f>
        <v/>
      </c>
      <c r="G8443" s="49" t="str">
        <f>IFERROR(VLOOKUP(E8443,'Condensed Specialty Crosswalk'!$A$2:$C$106,3,FALSE),"")</f>
        <v/>
      </c>
    </row>
    <row r="8444" spans="5:7" ht="15" customHeight="1">
      <c r="E8444" s="49" t="str">
        <f>IFERROR(VLOOKUP(D8444,'taxonomy map'!$A$1:$C$107,2,FALSE),"")</f>
        <v/>
      </c>
      <c r="F8444" s="49" t="str">
        <f>IFERROR(VLOOKUP(E8444,'Condensed Specialty Crosswalk'!$A$2:$C$106,2,FALSE),"")</f>
        <v/>
      </c>
      <c r="G8444" s="49" t="str">
        <f>IFERROR(VLOOKUP(E8444,'Condensed Specialty Crosswalk'!$A$2:$C$106,3,FALSE),"")</f>
        <v/>
      </c>
    </row>
    <row r="8445" spans="5:7" ht="15" customHeight="1">
      <c r="E8445" s="49" t="str">
        <f>IFERROR(VLOOKUP(D8445,'taxonomy map'!$A$1:$C$107,2,FALSE),"")</f>
        <v/>
      </c>
      <c r="F8445" s="49" t="str">
        <f>IFERROR(VLOOKUP(E8445,'Condensed Specialty Crosswalk'!$A$2:$C$106,2,FALSE),"")</f>
        <v/>
      </c>
      <c r="G8445" s="49" t="str">
        <f>IFERROR(VLOOKUP(E8445,'Condensed Specialty Crosswalk'!$A$2:$C$106,3,FALSE),"")</f>
        <v/>
      </c>
    </row>
    <row r="8446" spans="5:7" ht="15" customHeight="1">
      <c r="E8446" s="49" t="str">
        <f>IFERROR(VLOOKUP(D8446,'taxonomy map'!$A$1:$C$107,2,FALSE),"")</f>
        <v/>
      </c>
      <c r="F8446" s="49" t="str">
        <f>IFERROR(VLOOKUP(E8446,'Condensed Specialty Crosswalk'!$A$2:$C$106,2,FALSE),"")</f>
        <v/>
      </c>
      <c r="G8446" s="49" t="str">
        <f>IFERROR(VLOOKUP(E8446,'Condensed Specialty Crosswalk'!$A$2:$C$106,3,FALSE),"")</f>
        <v/>
      </c>
    </row>
    <row r="8447" spans="5:7" ht="15" customHeight="1">
      <c r="E8447" s="49" t="str">
        <f>IFERROR(VLOOKUP(D8447,'taxonomy map'!$A$1:$C$107,2,FALSE),"")</f>
        <v/>
      </c>
      <c r="F8447" s="49" t="str">
        <f>IFERROR(VLOOKUP(E8447,'Condensed Specialty Crosswalk'!$A$2:$C$106,2,FALSE),"")</f>
        <v/>
      </c>
      <c r="G8447" s="49" t="str">
        <f>IFERROR(VLOOKUP(E8447,'Condensed Specialty Crosswalk'!$A$2:$C$106,3,FALSE),"")</f>
        <v/>
      </c>
    </row>
    <row r="8448" spans="5:7" ht="15" customHeight="1">
      <c r="E8448" s="49" t="str">
        <f>IFERROR(VLOOKUP(D8448,'taxonomy map'!$A$1:$C$107,2,FALSE),"")</f>
        <v/>
      </c>
      <c r="F8448" s="49" t="str">
        <f>IFERROR(VLOOKUP(E8448,'Condensed Specialty Crosswalk'!$A$2:$C$106,2,FALSE),"")</f>
        <v/>
      </c>
      <c r="G8448" s="49" t="str">
        <f>IFERROR(VLOOKUP(E8448,'Condensed Specialty Crosswalk'!$A$2:$C$106,3,FALSE),"")</f>
        <v/>
      </c>
    </row>
    <row r="8449" spans="5:7" ht="15" customHeight="1">
      <c r="E8449" s="49" t="str">
        <f>IFERROR(VLOOKUP(D8449,'taxonomy map'!$A$1:$C$107,2,FALSE),"")</f>
        <v/>
      </c>
      <c r="F8449" s="49" t="str">
        <f>IFERROR(VLOOKUP(E8449,'Condensed Specialty Crosswalk'!$A$2:$C$106,2,FALSE),"")</f>
        <v/>
      </c>
      <c r="G8449" s="49" t="str">
        <f>IFERROR(VLOOKUP(E8449,'Condensed Specialty Crosswalk'!$A$2:$C$106,3,FALSE),"")</f>
        <v/>
      </c>
    </row>
    <row r="8450" spans="5:7" ht="15" customHeight="1">
      <c r="E8450" s="49" t="str">
        <f>IFERROR(VLOOKUP(D8450,'taxonomy map'!$A$1:$C$107,2,FALSE),"")</f>
        <v/>
      </c>
      <c r="F8450" s="49" t="str">
        <f>IFERROR(VLOOKUP(E8450,'Condensed Specialty Crosswalk'!$A$2:$C$106,2,FALSE),"")</f>
        <v/>
      </c>
      <c r="G8450" s="49" t="str">
        <f>IFERROR(VLOOKUP(E8450,'Condensed Specialty Crosswalk'!$A$2:$C$106,3,FALSE),"")</f>
        <v/>
      </c>
    </row>
    <row r="8451" spans="5:7" ht="15" customHeight="1">
      <c r="E8451" s="49" t="str">
        <f>IFERROR(VLOOKUP(D8451,'taxonomy map'!$A$1:$C$107,2,FALSE),"")</f>
        <v/>
      </c>
      <c r="F8451" s="49" t="str">
        <f>IFERROR(VLOOKUP(E8451,'Condensed Specialty Crosswalk'!$A$2:$C$106,2,FALSE),"")</f>
        <v/>
      </c>
      <c r="G8451" s="49" t="str">
        <f>IFERROR(VLOOKUP(E8451,'Condensed Specialty Crosswalk'!$A$2:$C$106,3,FALSE),"")</f>
        <v/>
      </c>
    </row>
    <row r="8452" spans="5:7" ht="15" customHeight="1">
      <c r="E8452" s="49" t="str">
        <f>IFERROR(VLOOKUP(D8452,'taxonomy map'!$A$1:$C$107,2,FALSE),"")</f>
        <v/>
      </c>
      <c r="F8452" s="49" t="str">
        <f>IFERROR(VLOOKUP(E8452,'Condensed Specialty Crosswalk'!$A$2:$C$106,2,FALSE),"")</f>
        <v/>
      </c>
      <c r="G8452" s="49" t="str">
        <f>IFERROR(VLOOKUP(E8452,'Condensed Specialty Crosswalk'!$A$2:$C$106,3,FALSE),"")</f>
        <v/>
      </c>
    </row>
    <row r="8453" spans="5:7" ht="15" customHeight="1">
      <c r="E8453" s="49" t="str">
        <f>IFERROR(VLOOKUP(D8453,'taxonomy map'!$A$1:$C$107,2,FALSE),"")</f>
        <v/>
      </c>
      <c r="F8453" s="49" t="str">
        <f>IFERROR(VLOOKUP(E8453,'Condensed Specialty Crosswalk'!$A$2:$C$106,2,FALSE),"")</f>
        <v/>
      </c>
      <c r="G8453" s="49" t="str">
        <f>IFERROR(VLOOKUP(E8453,'Condensed Specialty Crosswalk'!$A$2:$C$106,3,FALSE),"")</f>
        <v/>
      </c>
    </row>
    <row r="8454" spans="5:7" ht="15" customHeight="1">
      <c r="E8454" s="49" t="str">
        <f>IFERROR(VLOOKUP(D8454,'taxonomy map'!$A$1:$C$107,2,FALSE),"")</f>
        <v/>
      </c>
      <c r="F8454" s="49" t="str">
        <f>IFERROR(VLOOKUP(E8454,'Condensed Specialty Crosswalk'!$A$2:$C$106,2,FALSE),"")</f>
        <v/>
      </c>
      <c r="G8454" s="49" t="str">
        <f>IFERROR(VLOOKUP(E8454,'Condensed Specialty Crosswalk'!$A$2:$C$106,3,FALSE),"")</f>
        <v/>
      </c>
    </row>
    <row r="8455" spans="5:7" ht="15" customHeight="1">
      <c r="E8455" s="49" t="str">
        <f>IFERROR(VLOOKUP(D8455,'taxonomy map'!$A$1:$C$107,2,FALSE),"")</f>
        <v/>
      </c>
      <c r="F8455" s="49" t="str">
        <f>IFERROR(VLOOKUP(E8455,'Condensed Specialty Crosswalk'!$A$2:$C$106,2,FALSE),"")</f>
        <v/>
      </c>
      <c r="G8455" s="49" t="str">
        <f>IFERROR(VLOOKUP(E8455,'Condensed Specialty Crosswalk'!$A$2:$C$106,3,FALSE),"")</f>
        <v/>
      </c>
    </row>
    <row r="8456" spans="5:7" ht="15" customHeight="1">
      <c r="E8456" s="49" t="str">
        <f>IFERROR(VLOOKUP(D8456,'taxonomy map'!$A$1:$C$107,2,FALSE),"")</f>
        <v/>
      </c>
      <c r="F8456" s="49" t="str">
        <f>IFERROR(VLOOKUP(E8456,'Condensed Specialty Crosswalk'!$A$2:$C$106,2,FALSE),"")</f>
        <v/>
      </c>
      <c r="G8456" s="49" t="str">
        <f>IFERROR(VLOOKUP(E8456,'Condensed Specialty Crosswalk'!$A$2:$C$106,3,FALSE),"")</f>
        <v/>
      </c>
    </row>
    <row r="8457" spans="5:7" ht="15" customHeight="1">
      <c r="E8457" s="49" t="str">
        <f>IFERROR(VLOOKUP(D8457,'taxonomy map'!$A$1:$C$107,2,FALSE),"")</f>
        <v/>
      </c>
      <c r="F8457" s="49" t="str">
        <f>IFERROR(VLOOKUP(E8457,'Condensed Specialty Crosswalk'!$A$2:$C$106,2,FALSE),"")</f>
        <v/>
      </c>
      <c r="G8457" s="49" t="str">
        <f>IFERROR(VLOOKUP(E8457,'Condensed Specialty Crosswalk'!$A$2:$C$106,3,FALSE),"")</f>
        <v/>
      </c>
    </row>
    <row r="8458" spans="5:7" ht="15" customHeight="1">
      <c r="E8458" s="49" t="str">
        <f>IFERROR(VLOOKUP(D8458,'taxonomy map'!$A$1:$C$107,2,FALSE),"")</f>
        <v/>
      </c>
      <c r="F8458" s="49" t="str">
        <f>IFERROR(VLOOKUP(E8458,'Condensed Specialty Crosswalk'!$A$2:$C$106,2,FALSE),"")</f>
        <v/>
      </c>
      <c r="G8458" s="49" t="str">
        <f>IFERROR(VLOOKUP(E8458,'Condensed Specialty Crosswalk'!$A$2:$C$106,3,FALSE),"")</f>
        <v/>
      </c>
    </row>
    <row r="8459" spans="5:7" ht="15" customHeight="1">
      <c r="E8459" s="49" t="str">
        <f>IFERROR(VLOOKUP(D8459,'taxonomy map'!$A$1:$C$107,2,FALSE),"")</f>
        <v/>
      </c>
      <c r="F8459" s="49" t="str">
        <f>IFERROR(VLOOKUP(E8459,'Condensed Specialty Crosswalk'!$A$2:$C$106,2,FALSE),"")</f>
        <v/>
      </c>
      <c r="G8459" s="49" t="str">
        <f>IFERROR(VLOOKUP(E8459,'Condensed Specialty Crosswalk'!$A$2:$C$106,3,FALSE),"")</f>
        <v/>
      </c>
    </row>
    <row r="8460" spans="5:7" ht="15" customHeight="1">
      <c r="E8460" s="49" t="str">
        <f>IFERROR(VLOOKUP(D8460,'taxonomy map'!$A$1:$C$107,2,FALSE),"")</f>
        <v/>
      </c>
      <c r="F8460" s="49" t="str">
        <f>IFERROR(VLOOKUP(E8460,'Condensed Specialty Crosswalk'!$A$2:$C$106,2,FALSE),"")</f>
        <v/>
      </c>
      <c r="G8460" s="49" t="str">
        <f>IFERROR(VLOOKUP(E8460,'Condensed Specialty Crosswalk'!$A$2:$C$106,3,FALSE),"")</f>
        <v/>
      </c>
    </row>
    <row r="8461" spans="5:7" ht="15" customHeight="1">
      <c r="E8461" s="49" t="str">
        <f>IFERROR(VLOOKUP(D8461,'taxonomy map'!$A$1:$C$107,2,FALSE),"")</f>
        <v/>
      </c>
      <c r="F8461" s="49" t="str">
        <f>IFERROR(VLOOKUP(E8461,'Condensed Specialty Crosswalk'!$A$2:$C$106,2,FALSE),"")</f>
        <v/>
      </c>
      <c r="G8461" s="49" t="str">
        <f>IFERROR(VLOOKUP(E8461,'Condensed Specialty Crosswalk'!$A$2:$C$106,3,FALSE),"")</f>
        <v/>
      </c>
    </row>
    <row r="8462" spans="5:7" ht="15" customHeight="1">
      <c r="E8462" s="49" t="str">
        <f>IFERROR(VLOOKUP(D8462,'taxonomy map'!$A$1:$C$107,2,FALSE),"")</f>
        <v/>
      </c>
      <c r="F8462" s="49" t="str">
        <f>IFERROR(VLOOKUP(E8462,'Condensed Specialty Crosswalk'!$A$2:$C$106,2,FALSE),"")</f>
        <v/>
      </c>
      <c r="G8462" s="49" t="str">
        <f>IFERROR(VLOOKUP(E8462,'Condensed Specialty Crosswalk'!$A$2:$C$106,3,FALSE),"")</f>
        <v/>
      </c>
    </row>
    <row r="8463" spans="5:7" ht="15" customHeight="1">
      <c r="E8463" s="49" t="str">
        <f>IFERROR(VLOOKUP(D8463,'taxonomy map'!$A$1:$C$107,2,FALSE),"")</f>
        <v/>
      </c>
      <c r="F8463" s="49" t="str">
        <f>IFERROR(VLOOKUP(E8463,'Condensed Specialty Crosswalk'!$A$2:$C$106,2,FALSE),"")</f>
        <v/>
      </c>
      <c r="G8463" s="49" t="str">
        <f>IFERROR(VLOOKUP(E8463,'Condensed Specialty Crosswalk'!$A$2:$C$106,3,FALSE),"")</f>
        <v/>
      </c>
    </row>
    <row r="8464" spans="5:7" ht="15" customHeight="1">
      <c r="E8464" s="49" t="str">
        <f>IFERROR(VLOOKUP(D8464,'taxonomy map'!$A$1:$C$107,2,FALSE),"")</f>
        <v/>
      </c>
      <c r="F8464" s="49" t="str">
        <f>IFERROR(VLOOKUP(E8464,'Condensed Specialty Crosswalk'!$A$2:$C$106,2,FALSE),"")</f>
        <v/>
      </c>
      <c r="G8464" s="49" t="str">
        <f>IFERROR(VLOOKUP(E8464,'Condensed Specialty Crosswalk'!$A$2:$C$106,3,FALSE),"")</f>
        <v/>
      </c>
    </row>
    <row r="8465" spans="5:7" ht="15" customHeight="1">
      <c r="E8465" s="49" t="str">
        <f>IFERROR(VLOOKUP(D8465,'taxonomy map'!$A$1:$C$107,2,FALSE),"")</f>
        <v/>
      </c>
      <c r="F8465" s="49" t="str">
        <f>IFERROR(VLOOKUP(E8465,'Condensed Specialty Crosswalk'!$A$2:$C$106,2,FALSE),"")</f>
        <v/>
      </c>
      <c r="G8465" s="49" t="str">
        <f>IFERROR(VLOOKUP(E8465,'Condensed Specialty Crosswalk'!$A$2:$C$106,3,FALSE),"")</f>
        <v/>
      </c>
    </row>
    <row r="8466" spans="5:7" ht="15" customHeight="1">
      <c r="E8466" s="49" t="str">
        <f>IFERROR(VLOOKUP(D8466,'taxonomy map'!$A$1:$C$107,2,FALSE),"")</f>
        <v/>
      </c>
      <c r="F8466" s="49" t="str">
        <f>IFERROR(VLOOKUP(E8466,'Condensed Specialty Crosswalk'!$A$2:$C$106,2,FALSE),"")</f>
        <v/>
      </c>
      <c r="G8466" s="49" t="str">
        <f>IFERROR(VLOOKUP(E8466,'Condensed Specialty Crosswalk'!$A$2:$C$106,3,FALSE),"")</f>
        <v/>
      </c>
    </row>
    <row r="8467" spans="5:7" ht="15" customHeight="1">
      <c r="E8467" s="49" t="str">
        <f>IFERROR(VLOOKUP(D8467,'taxonomy map'!$A$1:$C$107,2,FALSE),"")</f>
        <v/>
      </c>
      <c r="F8467" s="49" t="str">
        <f>IFERROR(VLOOKUP(E8467,'Condensed Specialty Crosswalk'!$A$2:$C$106,2,FALSE),"")</f>
        <v/>
      </c>
      <c r="G8467" s="49" t="str">
        <f>IFERROR(VLOOKUP(E8467,'Condensed Specialty Crosswalk'!$A$2:$C$106,3,FALSE),"")</f>
        <v/>
      </c>
    </row>
    <row r="8468" spans="5:7" ht="15" customHeight="1">
      <c r="E8468" s="49" t="str">
        <f>IFERROR(VLOOKUP(D8468,'taxonomy map'!$A$1:$C$107,2,FALSE),"")</f>
        <v/>
      </c>
      <c r="F8468" s="49" t="str">
        <f>IFERROR(VLOOKUP(E8468,'Condensed Specialty Crosswalk'!$A$2:$C$106,2,FALSE),"")</f>
        <v/>
      </c>
      <c r="G8468" s="49" t="str">
        <f>IFERROR(VLOOKUP(E8468,'Condensed Specialty Crosswalk'!$A$2:$C$106,3,FALSE),"")</f>
        <v/>
      </c>
    </row>
    <row r="8469" spans="5:7" ht="15" customHeight="1">
      <c r="E8469" s="49" t="str">
        <f>IFERROR(VLOOKUP(D8469,'taxonomy map'!$A$1:$C$107,2,FALSE),"")</f>
        <v/>
      </c>
      <c r="F8469" s="49" t="str">
        <f>IFERROR(VLOOKUP(E8469,'Condensed Specialty Crosswalk'!$A$2:$C$106,2,FALSE),"")</f>
        <v/>
      </c>
      <c r="G8469" s="49" t="str">
        <f>IFERROR(VLOOKUP(E8469,'Condensed Specialty Crosswalk'!$A$2:$C$106,3,FALSE),"")</f>
        <v/>
      </c>
    </row>
    <row r="8470" spans="5:7" ht="15" customHeight="1">
      <c r="E8470" s="49" t="str">
        <f>IFERROR(VLOOKUP(D8470,'taxonomy map'!$A$1:$C$107,2,FALSE),"")</f>
        <v/>
      </c>
      <c r="F8470" s="49" t="str">
        <f>IFERROR(VLOOKUP(E8470,'Condensed Specialty Crosswalk'!$A$2:$C$106,2,FALSE),"")</f>
        <v/>
      </c>
      <c r="G8470" s="49" t="str">
        <f>IFERROR(VLOOKUP(E8470,'Condensed Specialty Crosswalk'!$A$2:$C$106,3,FALSE),"")</f>
        <v/>
      </c>
    </row>
    <row r="8471" spans="5:7" ht="15" customHeight="1">
      <c r="E8471" s="49" t="str">
        <f>IFERROR(VLOOKUP(D8471,'taxonomy map'!$A$1:$C$107,2,FALSE),"")</f>
        <v/>
      </c>
      <c r="F8471" s="49" t="str">
        <f>IFERROR(VLOOKUP(E8471,'Condensed Specialty Crosswalk'!$A$2:$C$106,2,FALSE),"")</f>
        <v/>
      </c>
      <c r="G8471" s="49" t="str">
        <f>IFERROR(VLOOKUP(E8471,'Condensed Specialty Crosswalk'!$A$2:$C$106,3,FALSE),"")</f>
        <v/>
      </c>
    </row>
    <row r="8472" spans="5:7" ht="15" customHeight="1">
      <c r="E8472" s="49" t="str">
        <f>IFERROR(VLOOKUP(D8472,'taxonomy map'!$A$1:$C$107,2,FALSE),"")</f>
        <v/>
      </c>
      <c r="F8472" s="49" t="str">
        <f>IFERROR(VLOOKUP(E8472,'Condensed Specialty Crosswalk'!$A$2:$C$106,2,FALSE),"")</f>
        <v/>
      </c>
      <c r="G8472" s="49" t="str">
        <f>IFERROR(VLOOKUP(E8472,'Condensed Specialty Crosswalk'!$A$2:$C$106,3,FALSE),"")</f>
        <v/>
      </c>
    </row>
    <row r="8473" spans="5:7" ht="15" customHeight="1">
      <c r="E8473" s="49" t="str">
        <f>IFERROR(VLOOKUP(D8473,'taxonomy map'!$A$1:$C$107,2,FALSE),"")</f>
        <v/>
      </c>
      <c r="F8473" s="49" t="str">
        <f>IFERROR(VLOOKUP(E8473,'Condensed Specialty Crosswalk'!$A$2:$C$106,2,FALSE),"")</f>
        <v/>
      </c>
      <c r="G8473" s="49" t="str">
        <f>IFERROR(VLOOKUP(E8473,'Condensed Specialty Crosswalk'!$A$2:$C$106,3,FALSE),"")</f>
        <v/>
      </c>
    </row>
    <row r="8474" spans="5:7" ht="15" customHeight="1">
      <c r="E8474" s="49" t="str">
        <f>IFERROR(VLOOKUP(D8474,'taxonomy map'!$A$1:$C$107,2,FALSE),"")</f>
        <v/>
      </c>
      <c r="F8474" s="49" t="str">
        <f>IFERROR(VLOOKUP(E8474,'Condensed Specialty Crosswalk'!$A$2:$C$106,2,FALSE),"")</f>
        <v/>
      </c>
      <c r="G8474" s="49" t="str">
        <f>IFERROR(VLOOKUP(E8474,'Condensed Specialty Crosswalk'!$A$2:$C$106,3,FALSE),"")</f>
        <v/>
      </c>
    </row>
    <row r="8475" spans="5:7" ht="15" customHeight="1">
      <c r="E8475" s="49" t="str">
        <f>IFERROR(VLOOKUP(D8475,'taxonomy map'!$A$1:$C$107,2,FALSE),"")</f>
        <v/>
      </c>
      <c r="F8475" s="49" t="str">
        <f>IFERROR(VLOOKUP(E8475,'Condensed Specialty Crosswalk'!$A$2:$C$106,2,FALSE),"")</f>
        <v/>
      </c>
      <c r="G8475" s="49" t="str">
        <f>IFERROR(VLOOKUP(E8475,'Condensed Specialty Crosswalk'!$A$2:$C$106,3,FALSE),"")</f>
        <v/>
      </c>
    </row>
    <row r="8476" spans="5:7" ht="15" customHeight="1">
      <c r="E8476" s="49" t="str">
        <f>IFERROR(VLOOKUP(D8476,'taxonomy map'!$A$1:$C$107,2,FALSE),"")</f>
        <v/>
      </c>
      <c r="F8476" s="49" t="str">
        <f>IFERROR(VLOOKUP(E8476,'Condensed Specialty Crosswalk'!$A$2:$C$106,2,FALSE),"")</f>
        <v/>
      </c>
      <c r="G8476" s="49" t="str">
        <f>IFERROR(VLOOKUP(E8476,'Condensed Specialty Crosswalk'!$A$2:$C$106,3,FALSE),"")</f>
        <v/>
      </c>
    </row>
    <row r="8477" spans="5:7" ht="15" customHeight="1">
      <c r="E8477" s="49" t="str">
        <f>IFERROR(VLOOKUP(D8477,'taxonomy map'!$A$1:$C$107,2,FALSE),"")</f>
        <v/>
      </c>
      <c r="F8477" s="49" t="str">
        <f>IFERROR(VLOOKUP(E8477,'Condensed Specialty Crosswalk'!$A$2:$C$106,2,FALSE),"")</f>
        <v/>
      </c>
      <c r="G8477" s="49" t="str">
        <f>IFERROR(VLOOKUP(E8477,'Condensed Specialty Crosswalk'!$A$2:$C$106,3,FALSE),"")</f>
        <v/>
      </c>
    </row>
    <row r="8478" spans="5:7" ht="15" customHeight="1">
      <c r="E8478" s="49" t="str">
        <f>IFERROR(VLOOKUP(D8478,'taxonomy map'!$A$1:$C$107,2,FALSE),"")</f>
        <v/>
      </c>
      <c r="F8478" s="49" t="str">
        <f>IFERROR(VLOOKUP(E8478,'Condensed Specialty Crosswalk'!$A$2:$C$106,2,FALSE),"")</f>
        <v/>
      </c>
      <c r="G8478" s="49" t="str">
        <f>IFERROR(VLOOKUP(E8478,'Condensed Specialty Crosswalk'!$A$2:$C$106,3,FALSE),"")</f>
        <v/>
      </c>
    </row>
    <row r="8479" spans="5:7" ht="15" customHeight="1">
      <c r="E8479" s="49" t="str">
        <f>IFERROR(VLOOKUP(D8479,'taxonomy map'!$A$1:$C$107,2,FALSE),"")</f>
        <v/>
      </c>
      <c r="F8479" s="49" t="str">
        <f>IFERROR(VLOOKUP(E8479,'Condensed Specialty Crosswalk'!$A$2:$C$106,2,FALSE),"")</f>
        <v/>
      </c>
      <c r="G8479" s="49" t="str">
        <f>IFERROR(VLOOKUP(E8479,'Condensed Specialty Crosswalk'!$A$2:$C$106,3,FALSE),"")</f>
        <v/>
      </c>
    </row>
    <row r="8480" spans="5:7" ht="15" customHeight="1">
      <c r="E8480" s="49" t="str">
        <f>IFERROR(VLOOKUP(D8480,'taxonomy map'!$A$1:$C$107,2,FALSE),"")</f>
        <v/>
      </c>
      <c r="F8480" s="49" t="str">
        <f>IFERROR(VLOOKUP(E8480,'Condensed Specialty Crosswalk'!$A$2:$C$106,2,FALSE),"")</f>
        <v/>
      </c>
      <c r="G8480" s="49" t="str">
        <f>IFERROR(VLOOKUP(E8480,'Condensed Specialty Crosswalk'!$A$2:$C$106,3,FALSE),"")</f>
        <v/>
      </c>
    </row>
    <row r="8481" spans="5:7" ht="15" customHeight="1">
      <c r="E8481" s="49" t="str">
        <f>IFERROR(VLOOKUP(D8481,'taxonomy map'!$A$1:$C$107,2,FALSE),"")</f>
        <v/>
      </c>
      <c r="F8481" s="49" t="str">
        <f>IFERROR(VLOOKUP(E8481,'Condensed Specialty Crosswalk'!$A$2:$C$106,2,FALSE),"")</f>
        <v/>
      </c>
      <c r="G8481" s="49" t="str">
        <f>IFERROR(VLOOKUP(E8481,'Condensed Specialty Crosswalk'!$A$2:$C$106,3,FALSE),"")</f>
        <v/>
      </c>
    </row>
    <row r="8482" spans="5:7" ht="15" customHeight="1">
      <c r="E8482" s="49" t="str">
        <f>IFERROR(VLOOKUP(D8482,'taxonomy map'!$A$1:$C$107,2,FALSE),"")</f>
        <v/>
      </c>
      <c r="F8482" s="49" t="str">
        <f>IFERROR(VLOOKUP(E8482,'Condensed Specialty Crosswalk'!$A$2:$C$106,2,FALSE),"")</f>
        <v/>
      </c>
      <c r="G8482" s="49" t="str">
        <f>IFERROR(VLOOKUP(E8482,'Condensed Specialty Crosswalk'!$A$2:$C$106,3,FALSE),"")</f>
        <v/>
      </c>
    </row>
    <row r="8483" spans="5:7" ht="15" customHeight="1">
      <c r="E8483" s="49" t="str">
        <f>IFERROR(VLOOKUP(D8483,'taxonomy map'!$A$1:$C$107,2,FALSE),"")</f>
        <v/>
      </c>
      <c r="F8483" s="49" t="str">
        <f>IFERROR(VLOOKUP(E8483,'Condensed Specialty Crosswalk'!$A$2:$C$106,2,FALSE),"")</f>
        <v/>
      </c>
      <c r="G8483" s="49" t="str">
        <f>IFERROR(VLOOKUP(E8483,'Condensed Specialty Crosswalk'!$A$2:$C$106,3,FALSE),"")</f>
        <v/>
      </c>
    </row>
    <row r="8484" spans="5:7" ht="15" customHeight="1">
      <c r="E8484" s="49" t="str">
        <f>IFERROR(VLOOKUP(D8484,'taxonomy map'!$A$1:$C$107,2,FALSE),"")</f>
        <v/>
      </c>
      <c r="F8484" s="49" t="str">
        <f>IFERROR(VLOOKUP(E8484,'Condensed Specialty Crosswalk'!$A$2:$C$106,2,FALSE),"")</f>
        <v/>
      </c>
      <c r="G8484" s="49" t="str">
        <f>IFERROR(VLOOKUP(E8484,'Condensed Specialty Crosswalk'!$A$2:$C$106,3,FALSE),"")</f>
        <v/>
      </c>
    </row>
    <row r="8485" spans="5:7" ht="15" customHeight="1">
      <c r="E8485" s="49" t="str">
        <f>IFERROR(VLOOKUP(D8485,'taxonomy map'!$A$1:$C$107,2,FALSE),"")</f>
        <v/>
      </c>
      <c r="F8485" s="49" t="str">
        <f>IFERROR(VLOOKUP(E8485,'Condensed Specialty Crosswalk'!$A$2:$C$106,2,FALSE),"")</f>
        <v/>
      </c>
      <c r="G8485" s="49" t="str">
        <f>IFERROR(VLOOKUP(E8485,'Condensed Specialty Crosswalk'!$A$2:$C$106,3,FALSE),"")</f>
        <v/>
      </c>
    </row>
    <row r="8486" spans="5:7" ht="15" customHeight="1">
      <c r="E8486" s="49" t="str">
        <f>IFERROR(VLOOKUP(D8486,'taxonomy map'!$A$1:$C$107,2,FALSE),"")</f>
        <v/>
      </c>
      <c r="F8486" s="49" t="str">
        <f>IFERROR(VLOOKUP(E8486,'Condensed Specialty Crosswalk'!$A$2:$C$106,2,FALSE),"")</f>
        <v/>
      </c>
      <c r="G8486" s="49" t="str">
        <f>IFERROR(VLOOKUP(E8486,'Condensed Specialty Crosswalk'!$A$2:$C$106,3,FALSE),"")</f>
        <v/>
      </c>
    </row>
    <row r="8487" spans="5:7" ht="15" customHeight="1">
      <c r="E8487" s="49" t="str">
        <f>IFERROR(VLOOKUP(D8487,'taxonomy map'!$A$1:$C$107,2,FALSE),"")</f>
        <v/>
      </c>
      <c r="F8487" s="49" t="str">
        <f>IFERROR(VLOOKUP(E8487,'Condensed Specialty Crosswalk'!$A$2:$C$106,2,FALSE),"")</f>
        <v/>
      </c>
      <c r="G8487" s="49" t="str">
        <f>IFERROR(VLOOKUP(E8487,'Condensed Specialty Crosswalk'!$A$2:$C$106,3,FALSE),"")</f>
        <v/>
      </c>
    </row>
    <row r="8488" spans="5:7" ht="15" customHeight="1">
      <c r="E8488" s="49" t="str">
        <f>IFERROR(VLOOKUP(D8488,'taxonomy map'!$A$1:$C$107,2,FALSE),"")</f>
        <v/>
      </c>
      <c r="F8488" s="49" t="str">
        <f>IFERROR(VLOOKUP(E8488,'Condensed Specialty Crosswalk'!$A$2:$C$106,2,FALSE),"")</f>
        <v/>
      </c>
      <c r="G8488" s="49" t="str">
        <f>IFERROR(VLOOKUP(E8488,'Condensed Specialty Crosswalk'!$A$2:$C$106,3,FALSE),"")</f>
        <v/>
      </c>
    </row>
    <row r="8489" spans="5:7" ht="15" customHeight="1">
      <c r="E8489" s="49" t="str">
        <f>IFERROR(VLOOKUP(D8489,'taxonomy map'!$A$1:$C$107,2,FALSE),"")</f>
        <v/>
      </c>
      <c r="F8489" s="49" t="str">
        <f>IFERROR(VLOOKUP(E8489,'Condensed Specialty Crosswalk'!$A$2:$C$106,2,FALSE),"")</f>
        <v/>
      </c>
      <c r="G8489" s="49" t="str">
        <f>IFERROR(VLOOKUP(E8489,'Condensed Specialty Crosswalk'!$A$2:$C$106,3,FALSE),"")</f>
        <v/>
      </c>
    </row>
    <row r="8490" spans="5:7" ht="15" customHeight="1">
      <c r="E8490" s="49" t="str">
        <f>IFERROR(VLOOKUP(D8490,'taxonomy map'!$A$1:$C$107,2,FALSE),"")</f>
        <v/>
      </c>
      <c r="F8490" s="49" t="str">
        <f>IFERROR(VLOOKUP(E8490,'Condensed Specialty Crosswalk'!$A$2:$C$106,2,FALSE),"")</f>
        <v/>
      </c>
      <c r="G8490" s="49" t="str">
        <f>IFERROR(VLOOKUP(E8490,'Condensed Specialty Crosswalk'!$A$2:$C$106,3,FALSE),"")</f>
        <v/>
      </c>
    </row>
    <row r="8491" spans="5:7" ht="15" customHeight="1">
      <c r="E8491" s="49" t="str">
        <f>IFERROR(VLOOKUP(D8491,'taxonomy map'!$A$1:$C$107,2,FALSE),"")</f>
        <v/>
      </c>
      <c r="F8491" s="49" t="str">
        <f>IFERROR(VLOOKUP(E8491,'Condensed Specialty Crosswalk'!$A$2:$C$106,2,FALSE),"")</f>
        <v/>
      </c>
      <c r="G8491" s="49" t="str">
        <f>IFERROR(VLOOKUP(E8491,'Condensed Specialty Crosswalk'!$A$2:$C$106,3,FALSE),"")</f>
        <v/>
      </c>
    </row>
    <row r="8492" spans="5:7" ht="15" customHeight="1">
      <c r="E8492" s="49" t="str">
        <f>IFERROR(VLOOKUP(D8492,'taxonomy map'!$A$1:$C$107,2,FALSE),"")</f>
        <v/>
      </c>
      <c r="F8492" s="49" t="str">
        <f>IFERROR(VLOOKUP(E8492,'Condensed Specialty Crosswalk'!$A$2:$C$106,2,FALSE),"")</f>
        <v/>
      </c>
      <c r="G8492" s="49" t="str">
        <f>IFERROR(VLOOKUP(E8492,'Condensed Specialty Crosswalk'!$A$2:$C$106,3,FALSE),"")</f>
        <v/>
      </c>
    </row>
    <row r="8493" spans="5:7" ht="15" customHeight="1">
      <c r="E8493" s="49" t="str">
        <f>IFERROR(VLOOKUP(D8493,'taxonomy map'!$A$1:$C$107,2,FALSE),"")</f>
        <v/>
      </c>
      <c r="F8493" s="49" t="str">
        <f>IFERROR(VLOOKUP(E8493,'Condensed Specialty Crosswalk'!$A$2:$C$106,2,FALSE),"")</f>
        <v/>
      </c>
      <c r="G8493" s="49" t="str">
        <f>IFERROR(VLOOKUP(E8493,'Condensed Specialty Crosswalk'!$A$2:$C$106,3,FALSE),"")</f>
        <v/>
      </c>
    </row>
    <row r="8494" spans="5:7" ht="15" customHeight="1">
      <c r="E8494" s="49" t="str">
        <f>IFERROR(VLOOKUP(D8494,'taxonomy map'!$A$1:$C$107,2,FALSE),"")</f>
        <v/>
      </c>
      <c r="F8494" s="49" t="str">
        <f>IFERROR(VLOOKUP(E8494,'Condensed Specialty Crosswalk'!$A$2:$C$106,2,FALSE),"")</f>
        <v/>
      </c>
      <c r="G8494" s="49" t="str">
        <f>IFERROR(VLOOKUP(E8494,'Condensed Specialty Crosswalk'!$A$2:$C$106,3,FALSE),"")</f>
        <v/>
      </c>
    </row>
    <row r="8495" spans="5:7" ht="15" customHeight="1">
      <c r="E8495" s="49" t="str">
        <f>IFERROR(VLOOKUP(D8495,'taxonomy map'!$A$1:$C$107,2,FALSE),"")</f>
        <v/>
      </c>
      <c r="F8495" s="49" t="str">
        <f>IFERROR(VLOOKUP(E8495,'Condensed Specialty Crosswalk'!$A$2:$C$106,2,FALSE),"")</f>
        <v/>
      </c>
      <c r="G8495" s="49" t="str">
        <f>IFERROR(VLOOKUP(E8495,'Condensed Specialty Crosswalk'!$A$2:$C$106,3,FALSE),"")</f>
        <v/>
      </c>
    </row>
    <row r="8496" spans="5:7" ht="15" customHeight="1">
      <c r="E8496" s="49" t="str">
        <f>IFERROR(VLOOKUP(D8496,'taxonomy map'!$A$1:$C$107,2,FALSE),"")</f>
        <v/>
      </c>
      <c r="F8496" s="49" t="str">
        <f>IFERROR(VLOOKUP(E8496,'Condensed Specialty Crosswalk'!$A$2:$C$106,2,FALSE),"")</f>
        <v/>
      </c>
      <c r="G8496" s="49" t="str">
        <f>IFERROR(VLOOKUP(E8496,'Condensed Specialty Crosswalk'!$A$2:$C$106,3,FALSE),"")</f>
        <v/>
      </c>
    </row>
    <row r="8497" spans="5:7" ht="15" customHeight="1">
      <c r="E8497" s="49" t="str">
        <f>IFERROR(VLOOKUP(D8497,'taxonomy map'!$A$1:$C$107,2,FALSE),"")</f>
        <v/>
      </c>
      <c r="F8497" s="49" t="str">
        <f>IFERROR(VLOOKUP(E8497,'Condensed Specialty Crosswalk'!$A$2:$C$106,2,FALSE),"")</f>
        <v/>
      </c>
      <c r="G8497" s="49" t="str">
        <f>IFERROR(VLOOKUP(E8497,'Condensed Specialty Crosswalk'!$A$2:$C$106,3,FALSE),"")</f>
        <v/>
      </c>
    </row>
    <row r="8498" spans="5:7" ht="15" customHeight="1">
      <c r="E8498" s="49" t="str">
        <f>IFERROR(VLOOKUP(D8498,'taxonomy map'!$A$1:$C$107,2,FALSE),"")</f>
        <v/>
      </c>
      <c r="F8498" s="49" t="str">
        <f>IFERROR(VLOOKUP(E8498,'Condensed Specialty Crosswalk'!$A$2:$C$106,2,FALSE),"")</f>
        <v/>
      </c>
      <c r="G8498" s="49" t="str">
        <f>IFERROR(VLOOKUP(E8498,'Condensed Specialty Crosswalk'!$A$2:$C$106,3,FALSE),"")</f>
        <v/>
      </c>
    </row>
    <row r="8499" spans="5:7" ht="15" customHeight="1">
      <c r="E8499" s="49" t="str">
        <f>IFERROR(VLOOKUP(D8499,'taxonomy map'!$A$1:$C$107,2,FALSE),"")</f>
        <v/>
      </c>
      <c r="F8499" s="49" t="str">
        <f>IFERROR(VLOOKUP(E8499,'Condensed Specialty Crosswalk'!$A$2:$C$106,2,FALSE),"")</f>
        <v/>
      </c>
      <c r="G8499" s="49" t="str">
        <f>IFERROR(VLOOKUP(E8499,'Condensed Specialty Crosswalk'!$A$2:$C$106,3,FALSE),"")</f>
        <v/>
      </c>
    </row>
    <row r="8500" spans="5:7" ht="15" customHeight="1">
      <c r="E8500" s="49" t="str">
        <f>IFERROR(VLOOKUP(D8500,'taxonomy map'!$A$1:$C$107,2,FALSE),"")</f>
        <v/>
      </c>
      <c r="F8500" s="49" t="str">
        <f>IFERROR(VLOOKUP(E8500,'Condensed Specialty Crosswalk'!$A$2:$C$106,2,FALSE),"")</f>
        <v/>
      </c>
      <c r="G8500" s="49" t="str">
        <f>IFERROR(VLOOKUP(E8500,'Condensed Specialty Crosswalk'!$A$2:$C$106,3,FALSE),"")</f>
        <v/>
      </c>
    </row>
    <row r="8501" spans="5:7" ht="15" customHeight="1">
      <c r="E8501" s="49" t="str">
        <f>IFERROR(VLOOKUP(D8501,'taxonomy map'!$A$1:$C$107,2,FALSE),"")</f>
        <v/>
      </c>
      <c r="F8501" s="49" t="str">
        <f>IFERROR(VLOOKUP(E8501,'Condensed Specialty Crosswalk'!$A$2:$C$106,2,FALSE),"")</f>
        <v/>
      </c>
      <c r="G8501" s="49" t="str">
        <f>IFERROR(VLOOKUP(E8501,'Condensed Specialty Crosswalk'!$A$2:$C$106,3,FALSE),"")</f>
        <v/>
      </c>
    </row>
    <row r="8502" spans="5:7" ht="15" customHeight="1">
      <c r="E8502" s="49" t="str">
        <f>IFERROR(VLOOKUP(D8502,'taxonomy map'!$A$1:$C$107,2,FALSE),"")</f>
        <v/>
      </c>
      <c r="F8502" s="49" t="str">
        <f>IFERROR(VLOOKUP(E8502,'Condensed Specialty Crosswalk'!$A$2:$C$106,2,FALSE),"")</f>
        <v/>
      </c>
      <c r="G8502" s="49" t="str">
        <f>IFERROR(VLOOKUP(E8502,'Condensed Specialty Crosswalk'!$A$2:$C$106,3,FALSE),"")</f>
        <v/>
      </c>
    </row>
    <row r="8503" spans="5:7" ht="15" customHeight="1">
      <c r="E8503" s="49" t="str">
        <f>IFERROR(VLOOKUP(D8503,'taxonomy map'!$A$1:$C$107,2,FALSE),"")</f>
        <v/>
      </c>
      <c r="F8503" s="49" t="str">
        <f>IFERROR(VLOOKUP(E8503,'Condensed Specialty Crosswalk'!$A$2:$C$106,2,FALSE),"")</f>
        <v/>
      </c>
      <c r="G8503" s="49" t="str">
        <f>IFERROR(VLOOKUP(E8503,'Condensed Specialty Crosswalk'!$A$2:$C$106,3,FALSE),"")</f>
        <v/>
      </c>
    </row>
    <row r="8504" spans="5:7" ht="15" customHeight="1">
      <c r="E8504" s="49" t="str">
        <f>IFERROR(VLOOKUP(D8504,'taxonomy map'!$A$1:$C$107,2,FALSE),"")</f>
        <v/>
      </c>
      <c r="F8504" s="49" t="str">
        <f>IFERROR(VLOOKUP(E8504,'Condensed Specialty Crosswalk'!$A$2:$C$106,2,FALSE),"")</f>
        <v/>
      </c>
      <c r="G8504" s="49" t="str">
        <f>IFERROR(VLOOKUP(E8504,'Condensed Specialty Crosswalk'!$A$2:$C$106,3,FALSE),"")</f>
        <v/>
      </c>
    </row>
    <row r="8505" spans="5:7" ht="15" customHeight="1">
      <c r="E8505" s="49" t="str">
        <f>IFERROR(VLOOKUP(D8505,'taxonomy map'!$A$1:$C$107,2,FALSE),"")</f>
        <v/>
      </c>
      <c r="F8505" s="49" t="str">
        <f>IFERROR(VLOOKUP(E8505,'Condensed Specialty Crosswalk'!$A$2:$C$106,2,FALSE),"")</f>
        <v/>
      </c>
      <c r="G8505" s="49" t="str">
        <f>IFERROR(VLOOKUP(E8505,'Condensed Specialty Crosswalk'!$A$2:$C$106,3,FALSE),"")</f>
        <v/>
      </c>
    </row>
    <row r="8506" spans="5:7" ht="15" customHeight="1">
      <c r="E8506" s="49" t="str">
        <f>IFERROR(VLOOKUP(D8506,'taxonomy map'!$A$1:$C$107,2,FALSE),"")</f>
        <v/>
      </c>
      <c r="F8506" s="49" t="str">
        <f>IFERROR(VLOOKUP(E8506,'Condensed Specialty Crosswalk'!$A$2:$C$106,2,FALSE),"")</f>
        <v/>
      </c>
      <c r="G8506" s="49" t="str">
        <f>IFERROR(VLOOKUP(E8506,'Condensed Specialty Crosswalk'!$A$2:$C$106,3,FALSE),"")</f>
        <v/>
      </c>
    </row>
    <row r="8507" spans="5:7" ht="15" customHeight="1">
      <c r="E8507" s="49" t="str">
        <f>IFERROR(VLOOKUP(D8507,'taxonomy map'!$A$1:$C$107,2,FALSE),"")</f>
        <v/>
      </c>
      <c r="F8507" s="49" t="str">
        <f>IFERROR(VLOOKUP(E8507,'Condensed Specialty Crosswalk'!$A$2:$C$106,2,FALSE),"")</f>
        <v/>
      </c>
      <c r="G8507" s="49" t="str">
        <f>IFERROR(VLOOKUP(E8507,'Condensed Specialty Crosswalk'!$A$2:$C$106,3,FALSE),"")</f>
        <v/>
      </c>
    </row>
    <row r="8508" spans="5:7" ht="15" customHeight="1">
      <c r="E8508" s="49" t="str">
        <f>IFERROR(VLOOKUP(D8508,'taxonomy map'!$A$1:$C$107,2,FALSE),"")</f>
        <v/>
      </c>
      <c r="F8508" s="49" t="str">
        <f>IFERROR(VLOOKUP(E8508,'Condensed Specialty Crosswalk'!$A$2:$C$106,2,FALSE),"")</f>
        <v/>
      </c>
      <c r="G8508" s="49" t="str">
        <f>IFERROR(VLOOKUP(E8508,'Condensed Specialty Crosswalk'!$A$2:$C$106,3,FALSE),"")</f>
        <v/>
      </c>
    </row>
    <row r="8509" spans="5:7" ht="15" customHeight="1">
      <c r="E8509" s="49" t="str">
        <f>IFERROR(VLOOKUP(D8509,'taxonomy map'!$A$1:$C$107,2,FALSE),"")</f>
        <v/>
      </c>
      <c r="F8509" s="49" t="str">
        <f>IFERROR(VLOOKUP(E8509,'Condensed Specialty Crosswalk'!$A$2:$C$106,2,FALSE),"")</f>
        <v/>
      </c>
      <c r="G8509" s="49" t="str">
        <f>IFERROR(VLOOKUP(E8509,'Condensed Specialty Crosswalk'!$A$2:$C$106,3,FALSE),"")</f>
        <v/>
      </c>
    </row>
    <row r="8510" spans="5:7" ht="15" customHeight="1">
      <c r="E8510" s="49" t="str">
        <f>IFERROR(VLOOKUP(D8510,'taxonomy map'!$A$1:$C$107,2,FALSE),"")</f>
        <v/>
      </c>
      <c r="F8510" s="49" t="str">
        <f>IFERROR(VLOOKUP(E8510,'Condensed Specialty Crosswalk'!$A$2:$C$106,2,FALSE),"")</f>
        <v/>
      </c>
      <c r="G8510" s="49" t="str">
        <f>IFERROR(VLOOKUP(E8510,'Condensed Specialty Crosswalk'!$A$2:$C$106,3,FALSE),"")</f>
        <v/>
      </c>
    </row>
    <row r="8511" spans="5:7" ht="15" customHeight="1">
      <c r="E8511" s="49" t="str">
        <f>IFERROR(VLOOKUP(D8511,'taxonomy map'!$A$1:$C$107,2,FALSE),"")</f>
        <v/>
      </c>
      <c r="F8511" s="49" t="str">
        <f>IFERROR(VLOOKUP(E8511,'Condensed Specialty Crosswalk'!$A$2:$C$106,2,FALSE),"")</f>
        <v/>
      </c>
      <c r="G8511" s="49" t="str">
        <f>IFERROR(VLOOKUP(E8511,'Condensed Specialty Crosswalk'!$A$2:$C$106,3,FALSE),"")</f>
        <v/>
      </c>
    </row>
    <row r="8512" spans="5:7" ht="15" customHeight="1">
      <c r="E8512" s="49" t="str">
        <f>IFERROR(VLOOKUP(D8512,'taxonomy map'!$A$1:$C$107,2,FALSE),"")</f>
        <v/>
      </c>
      <c r="F8512" s="49" t="str">
        <f>IFERROR(VLOOKUP(E8512,'Condensed Specialty Crosswalk'!$A$2:$C$106,2,FALSE),"")</f>
        <v/>
      </c>
      <c r="G8512" s="49" t="str">
        <f>IFERROR(VLOOKUP(E8512,'Condensed Specialty Crosswalk'!$A$2:$C$106,3,FALSE),"")</f>
        <v/>
      </c>
    </row>
    <row r="8513" spans="5:7" ht="15" customHeight="1">
      <c r="E8513" s="49" t="str">
        <f>IFERROR(VLOOKUP(D8513,'taxonomy map'!$A$1:$C$107,2,FALSE),"")</f>
        <v/>
      </c>
      <c r="F8513" s="49" t="str">
        <f>IFERROR(VLOOKUP(E8513,'Condensed Specialty Crosswalk'!$A$2:$C$106,2,FALSE),"")</f>
        <v/>
      </c>
      <c r="G8513" s="49" t="str">
        <f>IFERROR(VLOOKUP(E8513,'Condensed Specialty Crosswalk'!$A$2:$C$106,3,FALSE),"")</f>
        <v/>
      </c>
    </row>
    <row r="8514" spans="5:7" ht="15" customHeight="1">
      <c r="E8514" s="49" t="str">
        <f>IFERROR(VLOOKUP(D8514,'taxonomy map'!$A$1:$C$107,2,FALSE),"")</f>
        <v/>
      </c>
      <c r="F8514" s="49" t="str">
        <f>IFERROR(VLOOKUP(E8514,'Condensed Specialty Crosswalk'!$A$2:$C$106,2,FALSE),"")</f>
        <v/>
      </c>
      <c r="G8514" s="49" t="str">
        <f>IFERROR(VLOOKUP(E8514,'Condensed Specialty Crosswalk'!$A$2:$C$106,3,FALSE),"")</f>
        <v/>
      </c>
    </row>
    <row r="8515" spans="5:7" ht="15" customHeight="1">
      <c r="E8515" s="49" t="str">
        <f>IFERROR(VLOOKUP(D8515,'taxonomy map'!$A$1:$C$107,2,FALSE),"")</f>
        <v/>
      </c>
      <c r="F8515" s="49" t="str">
        <f>IFERROR(VLOOKUP(E8515,'Condensed Specialty Crosswalk'!$A$2:$C$106,2,FALSE),"")</f>
        <v/>
      </c>
      <c r="G8515" s="49" t="str">
        <f>IFERROR(VLOOKUP(E8515,'Condensed Specialty Crosswalk'!$A$2:$C$106,3,FALSE),"")</f>
        <v/>
      </c>
    </row>
    <row r="8516" spans="5:7" ht="15" customHeight="1">
      <c r="E8516" s="49" t="str">
        <f>IFERROR(VLOOKUP(D8516,'taxonomy map'!$A$1:$C$107,2,FALSE),"")</f>
        <v/>
      </c>
      <c r="F8516" s="49" t="str">
        <f>IFERROR(VLOOKUP(E8516,'Condensed Specialty Crosswalk'!$A$2:$C$106,2,FALSE),"")</f>
        <v/>
      </c>
      <c r="G8516" s="49" t="str">
        <f>IFERROR(VLOOKUP(E8516,'Condensed Specialty Crosswalk'!$A$2:$C$106,3,FALSE),"")</f>
        <v/>
      </c>
    </row>
    <row r="8517" spans="5:7" ht="15" customHeight="1">
      <c r="E8517" s="49" t="str">
        <f>IFERROR(VLOOKUP(D8517,'taxonomy map'!$A$1:$C$107,2,FALSE),"")</f>
        <v/>
      </c>
      <c r="F8517" s="49" t="str">
        <f>IFERROR(VLOOKUP(E8517,'Condensed Specialty Crosswalk'!$A$2:$C$106,2,FALSE),"")</f>
        <v/>
      </c>
      <c r="G8517" s="49" t="str">
        <f>IFERROR(VLOOKUP(E8517,'Condensed Specialty Crosswalk'!$A$2:$C$106,3,FALSE),"")</f>
        <v/>
      </c>
    </row>
    <row r="8518" spans="5:7" ht="15" customHeight="1">
      <c r="E8518" s="49" t="str">
        <f>IFERROR(VLOOKUP(D8518,'taxonomy map'!$A$1:$C$107,2,FALSE),"")</f>
        <v/>
      </c>
      <c r="F8518" s="49" t="str">
        <f>IFERROR(VLOOKUP(E8518,'Condensed Specialty Crosswalk'!$A$2:$C$106,2,FALSE),"")</f>
        <v/>
      </c>
      <c r="G8518" s="49" t="str">
        <f>IFERROR(VLOOKUP(E8518,'Condensed Specialty Crosswalk'!$A$2:$C$106,3,FALSE),"")</f>
        <v/>
      </c>
    </row>
    <row r="8519" spans="5:7" ht="15" customHeight="1">
      <c r="E8519" s="49" t="str">
        <f>IFERROR(VLOOKUP(D8519,'taxonomy map'!$A$1:$C$107,2,FALSE),"")</f>
        <v/>
      </c>
      <c r="F8519" s="49" t="str">
        <f>IFERROR(VLOOKUP(E8519,'Condensed Specialty Crosswalk'!$A$2:$C$106,2,FALSE),"")</f>
        <v/>
      </c>
      <c r="G8519" s="49" t="str">
        <f>IFERROR(VLOOKUP(E8519,'Condensed Specialty Crosswalk'!$A$2:$C$106,3,FALSE),"")</f>
        <v/>
      </c>
    </row>
    <row r="8520" spans="5:7" ht="15" customHeight="1">
      <c r="E8520" s="49" t="str">
        <f>IFERROR(VLOOKUP(D8520,'taxonomy map'!$A$1:$C$107,2,FALSE),"")</f>
        <v/>
      </c>
      <c r="F8520" s="49" t="str">
        <f>IFERROR(VLOOKUP(E8520,'Condensed Specialty Crosswalk'!$A$2:$C$106,2,FALSE),"")</f>
        <v/>
      </c>
      <c r="G8520" s="49" t="str">
        <f>IFERROR(VLOOKUP(E8520,'Condensed Specialty Crosswalk'!$A$2:$C$106,3,FALSE),"")</f>
        <v/>
      </c>
    </row>
    <row r="8521" spans="5:7" ht="15" customHeight="1">
      <c r="E8521" s="49" t="str">
        <f>IFERROR(VLOOKUP(D8521,'taxonomy map'!$A$1:$C$107,2,FALSE),"")</f>
        <v/>
      </c>
      <c r="F8521" s="49" t="str">
        <f>IFERROR(VLOOKUP(E8521,'Condensed Specialty Crosswalk'!$A$2:$C$106,2,FALSE),"")</f>
        <v/>
      </c>
      <c r="G8521" s="49" t="str">
        <f>IFERROR(VLOOKUP(E8521,'Condensed Specialty Crosswalk'!$A$2:$C$106,3,FALSE),"")</f>
        <v/>
      </c>
    </row>
    <row r="8522" spans="5:7" ht="15" customHeight="1">
      <c r="E8522" s="49" t="str">
        <f>IFERROR(VLOOKUP(D8522,'taxonomy map'!$A$1:$C$107,2,FALSE),"")</f>
        <v/>
      </c>
      <c r="F8522" s="49" t="str">
        <f>IFERROR(VLOOKUP(E8522,'Condensed Specialty Crosswalk'!$A$2:$C$106,2,FALSE),"")</f>
        <v/>
      </c>
      <c r="G8522" s="49" t="str">
        <f>IFERROR(VLOOKUP(E8522,'Condensed Specialty Crosswalk'!$A$2:$C$106,3,FALSE),"")</f>
        <v/>
      </c>
    </row>
    <row r="8523" spans="5:7" ht="15" customHeight="1">
      <c r="E8523" s="49" t="str">
        <f>IFERROR(VLOOKUP(D8523,'taxonomy map'!$A$1:$C$107,2,FALSE),"")</f>
        <v/>
      </c>
      <c r="F8523" s="49" t="str">
        <f>IFERROR(VLOOKUP(E8523,'Condensed Specialty Crosswalk'!$A$2:$C$106,2,FALSE),"")</f>
        <v/>
      </c>
      <c r="G8523" s="49" t="str">
        <f>IFERROR(VLOOKUP(E8523,'Condensed Specialty Crosswalk'!$A$2:$C$106,3,FALSE),"")</f>
        <v/>
      </c>
    </row>
    <row r="8524" spans="5:7" ht="15" customHeight="1">
      <c r="E8524" s="49" t="str">
        <f>IFERROR(VLOOKUP(D8524,'taxonomy map'!$A$1:$C$107,2,FALSE),"")</f>
        <v/>
      </c>
      <c r="F8524" s="49" t="str">
        <f>IFERROR(VLOOKUP(E8524,'Condensed Specialty Crosswalk'!$A$2:$C$106,2,FALSE),"")</f>
        <v/>
      </c>
      <c r="G8524" s="49" t="str">
        <f>IFERROR(VLOOKUP(E8524,'Condensed Specialty Crosswalk'!$A$2:$C$106,3,FALSE),"")</f>
        <v/>
      </c>
    </row>
    <row r="8525" spans="5:7" ht="15" customHeight="1">
      <c r="E8525" s="49" t="str">
        <f>IFERROR(VLOOKUP(D8525,'taxonomy map'!$A$1:$C$107,2,FALSE),"")</f>
        <v/>
      </c>
      <c r="F8525" s="49" t="str">
        <f>IFERROR(VLOOKUP(E8525,'Condensed Specialty Crosswalk'!$A$2:$C$106,2,FALSE),"")</f>
        <v/>
      </c>
      <c r="G8525" s="49" t="str">
        <f>IFERROR(VLOOKUP(E8525,'Condensed Specialty Crosswalk'!$A$2:$C$106,3,FALSE),"")</f>
        <v/>
      </c>
    </row>
    <row r="8526" spans="5:7" ht="15" customHeight="1">
      <c r="E8526" s="49" t="str">
        <f>IFERROR(VLOOKUP(D8526,'taxonomy map'!$A$1:$C$107,2,FALSE),"")</f>
        <v/>
      </c>
      <c r="F8526" s="49" t="str">
        <f>IFERROR(VLOOKUP(E8526,'Condensed Specialty Crosswalk'!$A$2:$C$106,2,FALSE),"")</f>
        <v/>
      </c>
      <c r="G8526" s="49" t="str">
        <f>IFERROR(VLOOKUP(E8526,'Condensed Specialty Crosswalk'!$A$2:$C$106,3,FALSE),"")</f>
        <v/>
      </c>
    </row>
    <row r="8527" spans="5:7" ht="15" customHeight="1">
      <c r="E8527" s="49" t="str">
        <f>IFERROR(VLOOKUP(D8527,'taxonomy map'!$A$1:$C$107,2,FALSE),"")</f>
        <v/>
      </c>
      <c r="F8527" s="49" t="str">
        <f>IFERROR(VLOOKUP(E8527,'Condensed Specialty Crosswalk'!$A$2:$C$106,2,FALSE),"")</f>
        <v/>
      </c>
      <c r="G8527" s="49" t="str">
        <f>IFERROR(VLOOKUP(E8527,'Condensed Specialty Crosswalk'!$A$2:$C$106,3,FALSE),"")</f>
        <v/>
      </c>
    </row>
    <row r="8528" spans="5:7" ht="15" customHeight="1">
      <c r="E8528" s="49" t="str">
        <f>IFERROR(VLOOKUP(D8528,'taxonomy map'!$A$1:$C$107,2,FALSE),"")</f>
        <v/>
      </c>
      <c r="F8528" s="49" t="str">
        <f>IFERROR(VLOOKUP(E8528,'Condensed Specialty Crosswalk'!$A$2:$C$106,2,FALSE),"")</f>
        <v/>
      </c>
      <c r="G8528" s="49" t="str">
        <f>IFERROR(VLOOKUP(E8528,'Condensed Specialty Crosswalk'!$A$2:$C$106,3,FALSE),"")</f>
        <v/>
      </c>
    </row>
    <row r="8529" spans="5:7" ht="15" customHeight="1">
      <c r="E8529" s="49" t="str">
        <f>IFERROR(VLOOKUP(D8529,'taxonomy map'!$A$1:$C$107,2,FALSE),"")</f>
        <v/>
      </c>
      <c r="F8529" s="49" t="str">
        <f>IFERROR(VLOOKUP(E8529,'Condensed Specialty Crosswalk'!$A$2:$C$106,2,FALSE),"")</f>
        <v/>
      </c>
      <c r="G8529" s="49" t="str">
        <f>IFERROR(VLOOKUP(E8529,'Condensed Specialty Crosswalk'!$A$2:$C$106,3,FALSE),"")</f>
        <v/>
      </c>
    </row>
    <row r="8530" spans="5:7" ht="15" customHeight="1">
      <c r="E8530" s="49" t="str">
        <f>IFERROR(VLOOKUP(D8530,'taxonomy map'!$A$1:$C$107,2,FALSE),"")</f>
        <v/>
      </c>
      <c r="F8530" s="49" t="str">
        <f>IFERROR(VLOOKUP(E8530,'Condensed Specialty Crosswalk'!$A$2:$C$106,2,FALSE),"")</f>
        <v/>
      </c>
      <c r="G8530" s="49" t="str">
        <f>IFERROR(VLOOKUP(E8530,'Condensed Specialty Crosswalk'!$A$2:$C$106,3,FALSE),"")</f>
        <v/>
      </c>
    </row>
    <row r="8531" spans="5:7" ht="15" customHeight="1">
      <c r="E8531" s="49" t="str">
        <f>IFERROR(VLOOKUP(D8531,'taxonomy map'!$A$1:$C$107,2,FALSE),"")</f>
        <v/>
      </c>
      <c r="F8531" s="49" t="str">
        <f>IFERROR(VLOOKUP(E8531,'Condensed Specialty Crosswalk'!$A$2:$C$106,2,FALSE),"")</f>
        <v/>
      </c>
      <c r="G8531" s="49" t="str">
        <f>IFERROR(VLOOKUP(E8531,'Condensed Specialty Crosswalk'!$A$2:$C$106,3,FALSE),"")</f>
        <v/>
      </c>
    </row>
    <row r="8532" spans="5:7" ht="15" customHeight="1">
      <c r="E8532" s="49" t="str">
        <f>IFERROR(VLOOKUP(D8532,'taxonomy map'!$A$1:$C$107,2,FALSE),"")</f>
        <v/>
      </c>
      <c r="F8532" s="49" t="str">
        <f>IFERROR(VLOOKUP(E8532,'Condensed Specialty Crosswalk'!$A$2:$C$106,2,FALSE),"")</f>
        <v/>
      </c>
      <c r="G8532" s="49" t="str">
        <f>IFERROR(VLOOKUP(E8532,'Condensed Specialty Crosswalk'!$A$2:$C$106,3,FALSE),"")</f>
        <v/>
      </c>
    </row>
    <row r="8533" spans="5:7" ht="15" customHeight="1">
      <c r="E8533" s="49" t="str">
        <f>IFERROR(VLOOKUP(D8533,'taxonomy map'!$A$1:$C$107,2,FALSE),"")</f>
        <v/>
      </c>
      <c r="F8533" s="49" t="str">
        <f>IFERROR(VLOOKUP(E8533,'Condensed Specialty Crosswalk'!$A$2:$C$106,2,FALSE),"")</f>
        <v/>
      </c>
      <c r="G8533" s="49" t="str">
        <f>IFERROR(VLOOKUP(E8533,'Condensed Specialty Crosswalk'!$A$2:$C$106,3,FALSE),"")</f>
        <v/>
      </c>
    </row>
    <row r="8534" spans="5:7" ht="15" customHeight="1">
      <c r="E8534" s="49" t="str">
        <f>IFERROR(VLOOKUP(D8534,'taxonomy map'!$A$1:$C$107,2,FALSE),"")</f>
        <v/>
      </c>
      <c r="F8534" s="49" t="str">
        <f>IFERROR(VLOOKUP(E8534,'Condensed Specialty Crosswalk'!$A$2:$C$106,2,FALSE),"")</f>
        <v/>
      </c>
      <c r="G8534" s="49" t="str">
        <f>IFERROR(VLOOKUP(E8534,'Condensed Specialty Crosswalk'!$A$2:$C$106,3,FALSE),"")</f>
        <v/>
      </c>
    </row>
    <row r="8535" spans="5:7" ht="15" customHeight="1">
      <c r="E8535" s="49" t="str">
        <f>IFERROR(VLOOKUP(D8535,'taxonomy map'!$A$1:$C$107,2,FALSE),"")</f>
        <v/>
      </c>
      <c r="F8535" s="49" t="str">
        <f>IFERROR(VLOOKUP(E8535,'Condensed Specialty Crosswalk'!$A$2:$C$106,2,FALSE),"")</f>
        <v/>
      </c>
      <c r="G8535" s="49" t="str">
        <f>IFERROR(VLOOKUP(E8535,'Condensed Specialty Crosswalk'!$A$2:$C$106,3,FALSE),"")</f>
        <v/>
      </c>
    </row>
    <row r="8536" spans="5:7" ht="15" customHeight="1">
      <c r="E8536" s="49" t="str">
        <f>IFERROR(VLOOKUP(D8536,'taxonomy map'!$A$1:$C$107,2,FALSE),"")</f>
        <v/>
      </c>
      <c r="F8536" s="49" t="str">
        <f>IFERROR(VLOOKUP(E8536,'Condensed Specialty Crosswalk'!$A$2:$C$106,2,FALSE),"")</f>
        <v/>
      </c>
      <c r="G8536" s="49" t="str">
        <f>IFERROR(VLOOKUP(E8536,'Condensed Specialty Crosswalk'!$A$2:$C$106,3,FALSE),"")</f>
        <v/>
      </c>
    </row>
    <row r="8537" spans="5:7" ht="15" customHeight="1">
      <c r="E8537" s="49" t="str">
        <f>IFERROR(VLOOKUP(D8537,'taxonomy map'!$A$1:$C$107,2,FALSE),"")</f>
        <v/>
      </c>
      <c r="F8537" s="49" t="str">
        <f>IFERROR(VLOOKUP(E8537,'Condensed Specialty Crosswalk'!$A$2:$C$106,2,FALSE),"")</f>
        <v/>
      </c>
      <c r="G8537" s="49" t="str">
        <f>IFERROR(VLOOKUP(E8537,'Condensed Specialty Crosswalk'!$A$2:$C$106,3,FALSE),"")</f>
        <v/>
      </c>
    </row>
    <row r="8538" spans="5:7" ht="15" customHeight="1">
      <c r="E8538" s="49" t="str">
        <f>IFERROR(VLOOKUP(D8538,'taxonomy map'!$A$1:$C$107,2,FALSE),"")</f>
        <v/>
      </c>
      <c r="F8538" s="49" t="str">
        <f>IFERROR(VLOOKUP(E8538,'Condensed Specialty Crosswalk'!$A$2:$C$106,2,FALSE),"")</f>
        <v/>
      </c>
      <c r="G8538" s="49" t="str">
        <f>IFERROR(VLOOKUP(E8538,'Condensed Specialty Crosswalk'!$A$2:$C$106,3,FALSE),"")</f>
        <v/>
      </c>
    </row>
    <row r="8539" spans="5:7" ht="15" customHeight="1">
      <c r="E8539" s="49" t="str">
        <f>IFERROR(VLOOKUP(D8539,'taxonomy map'!$A$1:$C$107,2,FALSE),"")</f>
        <v/>
      </c>
      <c r="F8539" s="49" t="str">
        <f>IFERROR(VLOOKUP(E8539,'Condensed Specialty Crosswalk'!$A$2:$C$106,2,FALSE),"")</f>
        <v/>
      </c>
      <c r="G8539" s="49" t="str">
        <f>IFERROR(VLOOKUP(E8539,'Condensed Specialty Crosswalk'!$A$2:$C$106,3,FALSE),"")</f>
        <v/>
      </c>
    </row>
    <row r="8540" spans="5:7" ht="15" customHeight="1">
      <c r="E8540" s="49" t="str">
        <f>IFERROR(VLOOKUP(D8540,'taxonomy map'!$A$1:$C$107,2,FALSE),"")</f>
        <v/>
      </c>
      <c r="F8540" s="49" t="str">
        <f>IFERROR(VLOOKUP(E8540,'Condensed Specialty Crosswalk'!$A$2:$C$106,2,FALSE),"")</f>
        <v/>
      </c>
      <c r="G8540" s="49" t="str">
        <f>IFERROR(VLOOKUP(E8540,'Condensed Specialty Crosswalk'!$A$2:$C$106,3,FALSE),"")</f>
        <v/>
      </c>
    </row>
    <row r="8541" spans="5:7" ht="15" customHeight="1">
      <c r="E8541" s="49" t="str">
        <f>IFERROR(VLOOKUP(D8541,'taxonomy map'!$A$1:$C$107,2,FALSE),"")</f>
        <v/>
      </c>
      <c r="F8541" s="49" t="str">
        <f>IFERROR(VLOOKUP(E8541,'Condensed Specialty Crosswalk'!$A$2:$C$106,2,FALSE),"")</f>
        <v/>
      </c>
      <c r="G8541" s="49" t="str">
        <f>IFERROR(VLOOKUP(E8541,'Condensed Specialty Crosswalk'!$A$2:$C$106,3,FALSE),"")</f>
        <v/>
      </c>
    </row>
    <row r="8542" spans="5:7" ht="15" customHeight="1">
      <c r="E8542" s="49" t="str">
        <f>IFERROR(VLOOKUP(D8542,'taxonomy map'!$A$1:$C$107,2,FALSE),"")</f>
        <v/>
      </c>
      <c r="F8542" s="49" t="str">
        <f>IFERROR(VLOOKUP(E8542,'Condensed Specialty Crosswalk'!$A$2:$C$106,2,FALSE),"")</f>
        <v/>
      </c>
      <c r="G8542" s="49" t="str">
        <f>IFERROR(VLOOKUP(E8542,'Condensed Specialty Crosswalk'!$A$2:$C$106,3,FALSE),"")</f>
        <v/>
      </c>
    </row>
    <row r="8543" spans="5:7" ht="15" customHeight="1">
      <c r="E8543" s="49" t="str">
        <f>IFERROR(VLOOKUP(D8543,'taxonomy map'!$A$1:$C$107,2,FALSE),"")</f>
        <v/>
      </c>
      <c r="F8543" s="49" t="str">
        <f>IFERROR(VLOOKUP(E8543,'Condensed Specialty Crosswalk'!$A$2:$C$106,2,FALSE),"")</f>
        <v/>
      </c>
      <c r="G8543" s="49" t="str">
        <f>IFERROR(VLOOKUP(E8543,'Condensed Specialty Crosswalk'!$A$2:$C$106,3,FALSE),"")</f>
        <v/>
      </c>
    </row>
    <row r="8544" spans="5:7" ht="15" customHeight="1">
      <c r="E8544" s="49" t="str">
        <f>IFERROR(VLOOKUP(D8544,'taxonomy map'!$A$1:$C$107,2,FALSE),"")</f>
        <v/>
      </c>
      <c r="F8544" s="49" t="str">
        <f>IFERROR(VLOOKUP(E8544,'Condensed Specialty Crosswalk'!$A$2:$C$106,2,FALSE),"")</f>
        <v/>
      </c>
      <c r="G8544" s="49" t="str">
        <f>IFERROR(VLOOKUP(E8544,'Condensed Specialty Crosswalk'!$A$2:$C$106,3,FALSE),"")</f>
        <v/>
      </c>
    </row>
    <row r="8545" spans="5:7" ht="15" customHeight="1">
      <c r="E8545" s="49" t="str">
        <f>IFERROR(VLOOKUP(D8545,'taxonomy map'!$A$1:$C$107,2,FALSE),"")</f>
        <v/>
      </c>
      <c r="F8545" s="49" t="str">
        <f>IFERROR(VLOOKUP(E8545,'Condensed Specialty Crosswalk'!$A$2:$C$106,2,FALSE),"")</f>
        <v/>
      </c>
      <c r="G8545" s="49" t="str">
        <f>IFERROR(VLOOKUP(E8545,'Condensed Specialty Crosswalk'!$A$2:$C$106,3,FALSE),"")</f>
        <v/>
      </c>
    </row>
    <row r="8546" spans="5:7" ht="15" customHeight="1">
      <c r="E8546" s="49" t="str">
        <f>IFERROR(VLOOKUP(D8546,'taxonomy map'!$A$1:$C$107,2,FALSE),"")</f>
        <v/>
      </c>
      <c r="F8546" s="49" t="str">
        <f>IFERROR(VLOOKUP(E8546,'Condensed Specialty Crosswalk'!$A$2:$C$106,2,FALSE),"")</f>
        <v/>
      </c>
      <c r="G8546" s="49" t="str">
        <f>IFERROR(VLOOKUP(E8546,'Condensed Specialty Crosswalk'!$A$2:$C$106,3,FALSE),"")</f>
        <v/>
      </c>
    </row>
    <row r="8547" spans="5:7" ht="15" customHeight="1">
      <c r="E8547" s="49" t="str">
        <f>IFERROR(VLOOKUP(D8547,'taxonomy map'!$A$1:$C$107,2,FALSE),"")</f>
        <v/>
      </c>
      <c r="F8547" s="49" t="str">
        <f>IFERROR(VLOOKUP(E8547,'Condensed Specialty Crosswalk'!$A$2:$C$106,2,FALSE),"")</f>
        <v/>
      </c>
      <c r="G8547" s="49" t="str">
        <f>IFERROR(VLOOKUP(E8547,'Condensed Specialty Crosswalk'!$A$2:$C$106,3,FALSE),"")</f>
        <v/>
      </c>
    </row>
    <row r="8548" spans="5:7" ht="15" customHeight="1">
      <c r="E8548" s="49" t="str">
        <f>IFERROR(VLOOKUP(D8548,'taxonomy map'!$A$1:$C$107,2,FALSE),"")</f>
        <v/>
      </c>
      <c r="F8548" s="49" t="str">
        <f>IFERROR(VLOOKUP(E8548,'Condensed Specialty Crosswalk'!$A$2:$C$106,2,FALSE),"")</f>
        <v/>
      </c>
      <c r="G8548" s="49" t="str">
        <f>IFERROR(VLOOKUP(E8548,'Condensed Specialty Crosswalk'!$A$2:$C$106,3,FALSE),"")</f>
        <v/>
      </c>
    </row>
    <row r="8549" spans="5:7" ht="15" customHeight="1">
      <c r="E8549" s="49" t="str">
        <f>IFERROR(VLOOKUP(D8549,'taxonomy map'!$A$1:$C$107,2,FALSE),"")</f>
        <v/>
      </c>
      <c r="F8549" s="49" t="str">
        <f>IFERROR(VLOOKUP(E8549,'Condensed Specialty Crosswalk'!$A$2:$C$106,2,FALSE),"")</f>
        <v/>
      </c>
      <c r="G8549" s="49" t="str">
        <f>IFERROR(VLOOKUP(E8549,'Condensed Specialty Crosswalk'!$A$2:$C$106,3,FALSE),"")</f>
        <v/>
      </c>
    </row>
    <row r="8550" spans="5:7" ht="15" customHeight="1">
      <c r="E8550" s="49" t="str">
        <f>IFERROR(VLOOKUP(D8550,'taxonomy map'!$A$1:$C$107,2,FALSE),"")</f>
        <v/>
      </c>
      <c r="F8550" s="49" t="str">
        <f>IFERROR(VLOOKUP(E8550,'Condensed Specialty Crosswalk'!$A$2:$C$106,2,FALSE),"")</f>
        <v/>
      </c>
      <c r="G8550" s="49" t="str">
        <f>IFERROR(VLOOKUP(E8550,'Condensed Specialty Crosswalk'!$A$2:$C$106,3,FALSE),"")</f>
        <v/>
      </c>
    </row>
    <row r="8551" spans="5:7" ht="15" customHeight="1">
      <c r="E8551" s="49" t="str">
        <f>IFERROR(VLOOKUP(D8551,'taxonomy map'!$A$1:$C$107,2,FALSE),"")</f>
        <v/>
      </c>
      <c r="F8551" s="49" t="str">
        <f>IFERROR(VLOOKUP(E8551,'Condensed Specialty Crosswalk'!$A$2:$C$106,2,FALSE),"")</f>
        <v/>
      </c>
      <c r="G8551" s="49" t="str">
        <f>IFERROR(VLOOKUP(E8551,'Condensed Specialty Crosswalk'!$A$2:$C$106,3,FALSE),"")</f>
        <v/>
      </c>
    </row>
    <row r="8552" spans="5:7" ht="15" customHeight="1">
      <c r="E8552" s="49" t="str">
        <f>IFERROR(VLOOKUP(D8552,'taxonomy map'!$A$1:$C$107,2,FALSE),"")</f>
        <v/>
      </c>
      <c r="F8552" s="49" t="str">
        <f>IFERROR(VLOOKUP(E8552,'Condensed Specialty Crosswalk'!$A$2:$C$106,2,FALSE),"")</f>
        <v/>
      </c>
      <c r="G8552" s="49" t="str">
        <f>IFERROR(VLOOKUP(E8552,'Condensed Specialty Crosswalk'!$A$2:$C$106,3,FALSE),"")</f>
        <v/>
      </c>
    </row>
    <row r="8553" spans="5:7" ht="15" customHeight="1">
      <c r="E8553" s="49" t="str">
        <f>IFERROR(VLOOKUP(D8553,'taxonomy map'!$A$1:$C$107,2,FALSE),"")</f>
        <v/>
      </c>
      <c r="F8553" s="49" t="str">
        <f>IFERROR(VLOOKUP(E8553,'Condensed Specialty Crosswalk'!$A$2:$C$106,2,FALSE),"")</f>
        <v/>
      </c>
      <c r="G8553" s="49" t="str">
        <f>IFERROR(VLOOKUP(E8553,'Condensed Specialty Crosswalk'!$A$2:$C$106,3,FALSE),"")</f>
        <v/>
      </c>
    </row>
    <row r="8554" spans="5:7" ht="15" customHeight="1">
      <c r="E8554" s="49" t="str">
        <f>IFERROR(VLOOKUP(D8554,'taxonomy map'!$A$1:$C$107,2,FALSE),"")</f>
        <v/>
      </c>
      <c r="F8554" s="49" t="str">
        <f>IFERROR(VLOOKUP(E8554,'Condensed Specialty Crosswalk'!$A$2:$C$106,2,FALSE),"")</f>
        <v/>
      </c>
      <c r="G8554" s="49" t="str">
        <f>IFERROR(VLOOKUP(E8554,'Condensed Specialty Crosswalk'!$A$2:$C$106,3,FALSE),"")</f>
        <v/>
      </c>
    </row>
    <row r="8555" spans="5:7" ht="15" customHeight="1">
      <c r="E8555" s="49" t="str">
        <f>IFERROR(VLOOKUP(D8555,'taxonomy map'!$A$1:$C$107,2,FALSE),"")</f>
        <v/>
      </c>
      <c r="F8555" s="49" t="str">
        <f>IFERROR(VLOOKUP(E8555,'Condensed Specialty Crosswalk'!$A$2:$C$106,2,FALSE),"")</f>
        <v/>
      </c>
      <c r="G8555" s="49" t="str">
        <f>IFERROR(VLOOKUP(E8555,'Condensed Specialty Crosswalk'!$A$2:$C$106,3,FALSE),"")</f>
        <v/>
      </c>
    </row>
    <row r="8556" spans="5:7" ht="15" customHeight="1">
      <c r="E8556" s="49" t="str">
        <f>IFERROR(VLOOKUP(D8556,'taxonomy map'!$A$1:$C$107,2,FALSE),"")</f>
        <v/>
      </c>
      <c r="F8556" s="49" t="str">
        <f>IFERROR(VLOOKUP(E8556,'Condensed Specialty Crosswalk'!$A$2:$C$106,2,FALSE),"")</f>
        <v/>
      </c>
      <c r="G8556" s="49" t="str">
        <f>IFERROR(VLOOKUP(E8556,'Condensed Specialty Crosswalk'!$A$2:$C$106,3,FALSE),"")</f>
        <v/>
      </c>
    </row>
    <row r="8557" spans="5:7" ht="15" customHeight="1">
      <c r="E8557" s="49" t="str">
        <f>IFERROR(VLOOKUP(D8557,'taxonomy map'!$A$1:$C$107,2,FALSE),"")</f>
        <v/>
      </c>
      <c r="F8557" s="49" t="str">
        <f>IFERROR(VLOOKUP(E8557,'Condensed Specialty Crosswalk'!$A$2:$C$106,2,FALSE),"")</f>
        <v/>
      </c>
      <c r="G8557" s="49" t="str">
        <f>IFERROR(VLOOKUP(E8557,'Condensed Specialty Crosswalk'!$A$2:$C$106,3,FALSE),"")</f>
        <v/>
      </c>
    </row>
    <row r="8558" spans="5:7" ht="15" customHeight="1">
      <c r="E8558" s="49" t="str">
        <f>IFERROR(VLOOKUP(D8558,'taxonomy map'!$A$1:$C$107,2,FALSE),"")</f>
        <v/>
      </c>
      <c r="F8558" s="49" t="str">
        <f>IFERROR(VLOOKUP(E8558,'Condensed Specialty Crosswalk'!$A$2:$C$106,2,FALSE),"")</f>
        <v/>
      </c>
      <c r="G8558" s="49" t="str">
        <f>IFERROR(VLOOKUP(E8558,'Condensed Specialty Crosswalk'!$A$2:$C$106,3,FALSE),"")</f>
        <v/>
      </c>
    </row>
    <row r="8559" spans="5:7" ht="15" customHeight="1">
      <c r="E8559" s="49" t="str">
        <f>IFERROR(VLOOKUP(D8559,'taxonomy map'!$A$1:$C$107,2,FALSE),"")</f>
        <v/>
      </c>
      <c r="F8559" s="49" t="str">
        <f>IFERROR(VLOOKUP(E8559,'Condensed Specialty Crosswalk'!$A$2:$C$106,2,FALSE),"")</f>
        <v/>
      </c>
      <c r="G8559" s="49" t="str">
        <f>IFERROR(VLOOKUP(E8559,'Condensed Specialty Crosswalk'!$A$2:$C$106,3,FALSE),"")</f>
        <v/>
      </c>
    </row>
    <row r="8560" spans="5:7" ht="15" customHeight="1">
      <c r="E8560" s="49" t="str">
        <f>IFERROR(VLOOKUP(D8560,'taxonomy map'!$A$1:$C$107,2,FALSE),"")</f>
        <v/>
      </c>
      <c r="F8560" s="49" t="str">
        <f>IFERROR(VLOOKUP(E8560,'Condensed Specialty Crosswalk'!$A$2:$C$106,2,FALSE),"")</f>
        <v/>
      </c>
      <c r="G8560" s="49" t="str">
        <f>IFERROR(VLOOKUP(E8560,'Condensed Specialty Crosswalk'!$A$2:$C$106,3,FALSE),"")</f>
        <v/>
      </c>
    </row>
    <row r="8561" spans="5:7" ht="15" customHeight="1">
      <c r="E8561" s="49" t="str">
        <f>IFERROR(VLOOKUP(D8561,'taxonomy map'!$A$1:$C$107,2,FALSE),"")</f>
        <v/>
      </c>
      <c r="F8561" s="49" t="str">
        <f>IFERROR(VLOOKUP(E8561,'Condensed Specialty Crosswalk'!$A$2:$C$106,2,FALSE),"")</f>
        <v/>
      </c>
      <c r="G8561" s="49" t="str">
        <f>IFERROR(VLOOKUP(E8561,'Condensed Specialty Crosswalk'!$A$2:$C$106,3,FALSE),"")</f>
        <v/>
      </c>
    </row>
    <row r="8562" spans="5:7" ht="15" customHeight="1">
      <c r="E8562" s="49" t="str">
        <f>IFERROR(VLOOKUP(D8562,'taxonomy map'!$A$1:$C$107,2,FALSE),"")</f>
        <v/>
      </c>
      <c r="F8562" s="49" t="str">
        <f>IFERROR(VLOOKUP(E8562,'Condensed Specialty Crosswalk'!$A$2:$C$106,2,FALSE),"")</f>
        <v/>
      </c>
      <c r="G8562" s="49" t="str">
        <f>IFERROR(VLOOKUP(E8562,'Condensed Specialty Crosswalk'!$A$2:$C$106,3,FALSE),"")</f>
        <v/>
      </c>
    </row>
    <row r="8563" spans="5:7" ht="15" customHeight="1">
      <c r="E8563" s="49" t="str">
        <f>IFERROR(VLOOKUP(D8563,'taxonomy map'!$A$1:$C$107,2,FALSE),"")</f>
        <v/>
      </c>
      <c r="F8563" s="49" t="str">
        <f>IFERROR(VLOOKUP(E8563,'Condensed Specialty Crosswalk'!$A$2:$C$106,2,FALSE),"")</f>
        <v/>
      </c>
      <c r="G8563" s="49" t="str">
        <f>IFERROR(VLOOKUP(E8563,'Condensed Specialty Crosswalk'!$A$2:$C$106,3,FALSE),"")</f>
        <v/>
      </c>
    </row>
    <row r="8564" spans="5:7" ht="15" customHeight="1">
      <c r="E8564" s="49" t="str">
        <f>IFERROR(VLOOKUP(D8564,'taxonomy map'!$A$1:$C$107,2,FALSE),"")</f>
        <v/>
      </c>
      <c r="F8564" s="49" t="str">
        <f>IFERROR(VLOOKUP(E8564,'Condensed Specialty Crosswalk'!$A$2:$C$106,2,FALSE),"")</f>
        <v/>
      </c>
      <c r="G8564" s="49" t="str">
        <f>IFERROR(VLOOKUP(E8564,'Condensed Specialty Crosswalk'!$A$2:$C$106,3,FALSE),"")</f>
        <v/>
      </c>
    </row>
    <row r="8565" spans="5:7" ht="15" customHeight="1">
      <c r="E8565" s="49" t="str">
        <f>IFERROR(VLOOKUP(D8565,'taxonomy map'!$A$1:$C$107,2,FALSE),"")</f>
        <v/>
      </c>
      <c r="F8565" s="49" t="str">
        <f>IFERROR(VLOOKUP(E8565,'Condensed Specialty Crosswalk'!$A$2:$C$106,2,FALSE),"")</f>
        <v/>
      </c>
      <c r="G8565" s="49" t="str">
        <f>IFERROR(VLOOKUP(E8565,'Condensed Specialty Crosswalk'!$A$2:$C$106,3,FALSE),"")</f>
        <v/>
      </c>
    </row>
    <row r="8566" spans="5:7" ht="15" customHeight="1">
      <c r="E8566" s="49" t="str">
        <f>IFERROR(VLOOKUP(D8566,'taxonomy map'!$A$1:$C$107,2,FALSE),"")</f>
        <v/>
      </c>
      <c r="F8566" s="49" t="str">
        <f>IFERROR(VLOOKUP(E8566,'Condensed Specialty Crosswalk'!$A$2:$C$106,2,FALSE),"")</f>
        <v/>
      </c>
      <c r="G8566" s="49" t="str">
        <f>IFERROR(VLOOKUP(E8566,'Condensed Specialty Crosswalk'!$A$2:$C$106,3,FALSE),"")</f>
        <v/>
      </c>
    </row>
    <row r="8567" spans="5:7" ht="15" customHeight="1">
      <c r="E8567" s="49" t="str">
        <f>IFERROR(VLOOKUP(D8567,'taxonomy map'!$A$1:$C$107,2,FALSE),"")</f>
        <v/>
      </c>
      <c r="F8567" s="49" t="str">
        <f>IFERROR(VLOOKUP(E8567,'Condensed Specialty Crosswalk'!$A$2:$C$106,2,FALSE),"")</f>
        <v/>
      </c>
      <c r="G8567" s="49" t="str">
        <f>IFERROR(VLOOKUP(E8567,'Condensed Specialty Crosswalk'!$A$2:$C$106,3,FALSE),"")</f>
        <v/>
      </c>
    </row>
    <row r="8568" spans="5:7" ht="15" customHeight="1">
      <c r="E8568" s="49" t="str">
        <f>IFERROR(VLOOKUP(D8568,'taxonomy map'!$A$1:$C$107,2,FALSE),"")</f>
        <v/>
      </c>
      <c r="F8568" s="49" t="str">
        <f>IFERROR(VLOOKUP(E8568,'Condensed Specialty Crosswalk'!$A$2:$C$106,2,FALSE),"")</f>
        <v/>
      </c>
      <c r="G8568" s="49" t="str">
        <f>IFERROR(VLOOKUP(E8568,'Condensed Specialty Crosswalk'!$A$2:$C$106,3,FALSE),"")</f>
        <v/>
      </c>
    </row>
    <row r="8569" spans="5:7" ht="15" customHeight="1">
      <c r="E8569" s="49" t="str">
        <f>IFERROR(VLOOKUP(D8569,'taxonomy map'!$A$1:$C$107,2,FALSE),"")</f>
        <v/>
      </c>
      <c r="F8569" s="49" t="str">
        <f>IFERROR(VLOOKUP(E8569,'Condensed Specialty Crosswalk'!$A$2:$C$106,2,FALSE),"")</f>
        <v/>
      </c>
      <c r="G8569" s="49" t="str">
        <f>IFERROR(VLOOKUP(E8569,'Condensed Specialty Crosswalk'!$A$2:$C$106,3,FALSE),"")</f>
        <v/>
      </c>
    </row>
    <row r="8570" spans="5:7" ht="15" customHeight="1">
      <c r="E8570" s="49" t="str">
        <f>IFERROR(VLOOKUP(D8570,'taxonomy map'!$A$1:$C$107,2,FALSE),"")</f>
        <v/>
      </c>
      <c r="F8570" s="49" t="str">
        <f>IFERROR(VLOOKUP(E8570,'Condensed Specialty Crosswalk'!$A$2:$C$106,2,FALSE),"")</f>
        <v/>
      </c>
      <c r="G8570" s="49" t="str">
        <f>IFERROR(VLOOKUP(E8570,'Condensed Specialty Crosswalk'!$A$2:$C$106,3,FALSE),"")</f>
        <v/>
      </c>
    </row>
    <row r="8571" spans="5:7" ht="15" customHeight="1">
      <c r="E8571" s="49" t="str">
        <f>IFERROR(VLOOKUP(D8571,'taxonomy map'!$A$1:$C$107,2,FALSE),"")</f>
        <v/>
      </c>
      <c r="F8571" s="49" t="str">
        <f>IFERROR(VLOOKUP(E8571,'Condensed Specialty Crosswalk'!$A$2:$C$106,2,FALSE),"")</f>
        <v/>
      </c>
      <c r="G8571" s="49" t="str">
        <f>IFERROR(VLOOKUP(E8571,'Condensed Specialty Crosswalk'!$A$2:$C$106,3,FALSE),"")</f>
        <v/>
      </c>
    </row>
    <row r="8572" spans="5:7" ht="15" customHeight="1">
      <c r="E8572" s="49" t="str">
        <f>IFERROR(VLOOKUP(D8572,'taxonomy map'!$A$1:$C$107,2,FALSE),"")</f>
        <v/>
      </c>
      <c r="F8572" s="49" t="str">
        <f>IFERROR(VLOOKUP(E8572,'Condensed Specialty Crosswalk'!$A$2:$C$106,2,FALSE),"")</f>
        <v/>
      </c>
      <c r="G8572" s="49" t="str">
        <f>IFERROR(VLOOKUP(E8572,'Condensed Specialty Crosswalk'!$A$2:$C$106,3,FALSE),"")</f>
        <v/>
      </c>
    </row>
    <row r="8573" spans="5:7" ht="15" customHeight="1">
      <c r="E8573" s="49" t="str">
        <f>IFERROR(VLOOKUP(D8573,'taxonomy map'!$A$1:$C$107,2,FALSE),"")</f>
        <v/>
      </c>
      <c r="F8573" s="49" t="str">
        <f>IFERROR(VLOOKUP(E8573,'Condensed Specialty Crosswalk'!$A$2:$C$106,2,FALSE),"")</f>
        <v/>
      </c>
      <c r="G8573" s="49" t="str">
        <f>IFERROR(VLOOKUP(E8573,'Condensed Specialty Crosswalk'!$A$2:$C$106,3,FALSE),"")</f>
        <v/>
      </c>
    </row>
    <row r="8574" spans="5:7" ht="15" customHeight="1">
      <c r="E8574" s="49" t="str">
        <f>IFERROR(VLOOKUP(D8574,'taxonomy map'!$A$1:$C$107,2,FALSE),"")</f>
        <v/>
      </c>
      <c r="F8574" s="49" t="str">
        <f>IFERROR(VLOOKUP(E8574,'Condensed Specialty Crosswalk'!$A$2:$C$106,2,FALSE),"")</f>
        <v/>
      </c>
      <c r="G8574" s="49" t="str">
        <f>IFERROR(VLOOKUP(E8574,'Condensed Specialty Crosswalk'!$A$2:$C$106,3,FALSE),"")</f>
        <v/>
      </c>
    </row>
    <row r="8575" spans="5:7" ht="15" customHeight="1">
      <c r="E8575" s="49" t="str">
        <f>IFERROR(VLOOKUP(D8575,'taxonomy map'!$A$1:$C$107,2,FALSE),"")</f>
        <v/>
      </c>
      <c r="F8575" s="49" t="str">
        <f>IFERROR(VLOOKUP(E8575,'Condensed Specialty Crosswalk'!$A$2:$C$106,2,FALSE),"")</f>
        <v/>
      </c>
      <c r="G8575" s="49" t="str">
        <f>IFERROR(VLOOKUP(E8575,'Condensed Specialty Crosswalk'!$A$2:$C$106,3,FALSE),"")</f>
        <v/>
      </c>
    </row>
    <row r="8576" spans="5:7" ht="15" customHeight="1">
      <c r="E8576" s="49" t="str">
        <f>IFERROR(VLOOKUP(D8576,'taxonomy map'!$A$1:$C$107,2,FALSE),"")</f>
        <v/>
      </c>
      <c r="F8576" s="49" t="str">
        <f>IFERROR(VLOOKUP(E8576,'Condensed Specialty Crosswalk'!$A$2:$C$106,2,FALSE),"")</f>
        <v/>
      </c>
      <c r="G8576" s="49" t="str">
        <f>IFERROR(VLOOKUP(E8576,'Condensed Specialty Crosswalk'!$A$2:$C$106,3,FALSE),"")</f>
        <v/>
      </c>
    </row>
    <row r="8577" spans="5:7" ht="15" customHeight="1">
      <c r="E8577" s="49" t="str">
        <f>IFERROR(VLOOKUP(D8577,'taxonomy map'!$A$1:$C$107,2,FALSE),"")</f>
        <v/>
      </c>
      <c r="F8577" s="49" t="str">
        <f>IFERROR(VLOOKUP(E8577,'Condensed Specialty Crosswalk'!$A$2:$C$106,2,FALSE),"")</f>
        <v/>
      </c>
      <c r="G8577" s="49" t="str">
        <f>IFERROR(VLOOKUP(E8577,'Condensed Specialty Crosswalk'!$A$2:$C$106,3,FALSE),"")</f>
        <v/>
      </c>
    </row>
    <row r="8578" spans="5:7" ht="15" customHeight="1">
      <c r="E8578" s="49" t="str">
        <f>IFERROR(VLOOKUP(D8578,'taxonomy map'!$A$1:$C$107,2,FALSE),"")</f>
        <v/>
      </c>
      <c r="F8578" s="49" t="str">
        <f>IFERROR(VLOOKUP(E8578,'Condensed Specialty Crosswalk'!$A$2:$C$106,2,FALSE),"")</f>
        <v/>
      </c>
      <c r="G8578" s="49" t="str">
        <f>IFERROR(VLOOKUP(E8578,'Condensed Specialty Crosswalk'!$A$2:$C$106,3,FALSE),"")</f>
        <v/>
      </c>
    </row>
    <row r="8579" spans="5:7" ht="15" customHeight="1">
      <c r="E8579" s="49" t="str">
        <f>IFERROR(VLOOKUP(D8579,'taxonomy map'!$A$1:$C$107,2,FALSE),"")</f>
        <v/>
      </c>
      <c r="F8579" s="49" t="str">
        <f>IFERROR(VLOOKUP(E8579,'Condensed Specialty Crosswalk'!$A$2:$C$106,2,FALSE),"")</f>
        <v/>
      </c>
      <c r="G8579" s="49" t="str">
        <f>IFERROR(VLOOKUP(E8579,'Condensed Specialty Crosswalk'!$A$2:$C$106,3,FALSE),"")</f>
        <v/>
      </c>
    </row>
    <row r="8580" spans="5:7" ht="15" customHeight="1">
      <c r="E8580" s="49" t="str">
        <f>IFERROR(VLOOKUP(D8580,'taxonomy map'!$A$1:$C$107,2,FALSE),"")</f>
        <v/>
      </c>
      <c r="F8580" s="49" t="str">
        <f>IFERROR(VLOOKUP(E8580,'Condensed Specialty Crosswalk'!$A$2:$C$106,2,FALSE),"")</f>
        <v/>
      </c>
      <c r="G8580" s="49" t="str">
        <f>IFERROR(VLOOKUP(E8580,'Condensed Specialty Crosswalk'!$A$2:$C$106,3,FALSE),"")</f>
        <v/>
      </c>
    </row>
    <row r="8581" spans="5:7" ht="15" customHeight="1">
      <c r="E8581" s="49" t="str">
        <f>IFERROR(VLOOKUP(D8581,'taxonomy map'!$A$1:$C$107,2,FALSE),"")</f>
        <v/>
      </c>
      <c r="F8581" s="49" t="str">
        <f>IFERROR(VLOOKUP(E8581,'Condensed Specialty Crosswalk'!$A$2:$C$106,2,FALSE),"")</f>
        <v/>
      </c>
      <c r="G8581" s="49" t="str">
        <f>IFERROR(VLOOKUP(E8581,'Condensed Specialty Crosswalk'!$A$2:$C$106,3,FALSE),"")</f>
        <v/>
      </c>
    </row>
    <row r="8582" spans="5:7" ht="15" customHeight="1">
      <c r="E8582" s="49" t="str">
        <f>IFERROR(VLOOKUP(D8582,'taxonomy map'!$A$1:$C$107,2,FALSE),"")</f>
        <v/>
      </c>
      <c r="F8582" s="49" t="str">
        <f>IFERROR(VLOOKUP(E8582,'Condensed Specialty Crosswalk'!$A$2:$C$106,2,FALSE),"")</f>
        <v/>
      </c>
      <c r="G8582" s="49" t="str">
        <f>IFERROR(VLOOKUP(E8582,'Condensed Specialty Crosswalk'!$A$2:$C$106,3,FALSE),"")</f>
        <v/>
      </c>
    </row>
    <row r="8583" spans="5:7" ht="15" customHeight="1">
      <c r="E8583" s="49" t="str">
        <f>IFERROR(VLOOKUP(D8583,'taxonomy map'!$A$1:$C$107,2,FALSE),"")</f>
        <v/>
      </c>
      <c r="F8583" s="49" t="str">
        <f>IFERROR(VLOOKUP(E8583,'Condensed Specialty Crosswalk'!$A$2:$C$106,2,FALSE),"")</f>
        <v/>
      </c>
      <c r="G8583" s="49" t="str">
        <f>IFERROR(VLOOKUP(E8583,'Condensed Specialty Crosswalk'!$A$2:$C$106,3,FALSE),"")</f>
        <v/>
      </c>
    </row>
    <row r="8584" spans="5:7" ht="15" customHeight="1">
      <c r="E8584" s="49" t="str">
        <f>IFERROR(VLOOKUP(D8584,'taxonomy map'!$A$1:$C$107,2,FALSE),"")</f>
        <v/>
      </c>
      <c r="F8584" s="49" t="str">
        <f>IFERROR(VLOOKUP(E8584,'Condensed Specialty Crosswalk'!$A$2:$C$106,2,FALSE),"")</f>
        <v/>
      </c>
      <c r="G8584" s="49" t="str">
        <f>IFERROR(VLOOKUP(E8584,'Condensed Specialty Crosswalk'!$A$2:$C$106,3,FALSE),"")</f>
        <v/>
      </c>
    </row>
    <row r="8585" spans="5:7" ht="15" customHeight="1">
      <c r="E8585" s="49" t="str">
        <f>IFERROR(VLOOKUP(D8585,'taxonomy map'!$A$1:$C$107,2,FALSE),"")</f>
        <v/>
      </c>
      <c r="F8585" s="49" t="str">
        <f>IFERROR(VLOOKUP(E8585,'Condensed Specialty Crosswalk'!$A$2:$C$106,2,FALSE),"")</f>
        <v/>
      </c>
      <c r="G8585" s="49" t="str">
        <f>IFERROR(VLOOKUP(E8585,'Condensed Specialty Crosswalk'!$A$2:$C$106,3,FALSE),"")</f>
        <v/>
      </c>
    </row>
    <row r="8586" spans="5:7" ht="15" customHeight="1">
      <c r="E8586" s="49" t="str">
        <f>IFERROR(VLOOKUP(D8586,'taxonomy map'!$A$1:$C$107,2,FALSE),"")</f>
        <v/>
      </c>
      <c r="F8586" s="49" t="str">
        <f>IFERROR(VLOOKUP(E8586,'Condensed Specialty Crosswalk'!$A$2:$C$106,2,FALSE),"")</f>
        <v/>
      </c>
      <c r="G8586" s="49" t="str">
        <f>IFERROR(VLOOKUP(E8586,'Condensed Specialty Crosswalk'!$A$2:$C$106,3,FALSE),"")</f>
        <v/>
      </c>
    </row>
    <row r="8587" spans="5:7" ht="15" customHeight="1">
      <c r="E8587" s="49" t="str">
        <f>IFERROR(VLOOKUP(D8587,'taxonomy map'!$A$1:$C$107,2,FALSE),"")</f>
        <v/>
      </c>
      <c r="F8587" s="49" t="str">
        <f>IFERROR(VLOOKUP(E8587,'Condensed Specialty Crosswalk'!$A$2:$C$106,2,FALSE),"")</f>
        <v/>
      </c>
      <c r="G8587" s="49" t="str">
        <f>IFERROR(VLOOKUP(E8587,'Condensed Specialty Crosswalk'!$A$2:$C$106,3,FALSE),"")</f>
        <v/>
      </c>
    </row>
    <row r="8588" spans="5:7" ht="15" customHeight="1">
      <c r="E8588" s="49" t="str">
        <f>IFERROR(VLOOKUP(D8588,'taxonomy map'!$A$1:$C$107,2,FALSE),"")</f>
        <v/>
      </c>
      <c r="F8588" s="49" t="str">
        <f>IFERROR(VLOOKUP(E8588,'Condensed Specialty Crosswalk'!$A$2:$C$106,2,FALSE),"")</f>
        <v/>
      </c>
      <c r="G8588" s="49" t="str">
        <f>IFERROR(VLOOKUP(E8588,'Condensed Specialty Crosswalk'!$A$2:$C$106,3,FALSE),"")</f>
        <v/>
      </c>
    </row>
    <row r="8589" spans="5:7" ht="15" customHeight="1">
      <c r="E8589" s="49" t="str">
        <f>IFERROR(VLOOKUP(D8589,'taxonomy map'!$A$1:$C$107,2,FALSE),"")</f>
        <v/>
      </c>
      <c r="F8589" s="49" t="str">
        <f>IFERROR(VLOOKUP(E8589,'Condensed Specialty Crosswalk'!$A$2:$C$106,2,FALSE),"")</f>
        <v/>
      </c>
      <c r="G8589" s="49" t="str">
        <f>IFERROR(VLOOKUP(E8589,'Condensed Specialty Crosswalk'!$A$2:$C$106,3,FALSE),"")</f>
        <v/>
      </c>
    </row>
    <row r="8590" spans="5:7" ht="15" customHeight="1">
      <c r="E8590" s="49" t="str">
        <f>IFERROR(VLOOKUP(D8590,'taxonomy map'!$A$1:$C$107,2,FALSE),"")</f>
        <v/>
      </c>
      <c r="F8590" s="49" t="str">
        <f>IFERROR(VLOOKUP(E8590,'Condensed Specialty Crosswalk'!$A$2:$C$106,2,FALSE),"")</f>
        <v/>
      </c>
      <c r="G8590" s="49" t="str">
        <f>IFERROR(VLOOKUP(E8590,'Condensed Specialty Crosswalk'!$A$2:$C$106,3,FALSE),"")</f>
        <v/>
      </c>
    </row>
    <row r="8591" spans="5:7" ht="15" customHeight="1">
      <c r="E8591" s="49" t="str">
        <f>IFERROR(VLOOKUP(D8591,'taxonomy map'!$A$1:$C$107,2,FALSE),"")</f>
        <v/>
      </c>
      <c r="F8591" s="49" t="str">
        <f>IFERROR(VLOOKUP(E8591,'Condensed Specialty Crosswalk'!$A$2:$C$106,2,FALSE),"")</f>
        <v/>
      </c>
      <c r="G8591" s="49" t="str">
        <f>IFERROR(VLOOKUP(E8591,'Condensed Specialty Crosswalk'!$A$2:$C$106,3,FALSE),"")</f>
        <v/>
      </c>
    </row>
    <row r="8592" spans="5:7" ht="15" customHeight="1">
      <c r="E8592" s="49" t="str">
        <f>IFERROR(VLOOKUP(D8592,'taxonomy map'!$A$1:$C$107,2,FALSE),"")</f>
        <v/>
      </c>
      <c r="F8592" s="49" t="str">
        <f>IFERROR(VLOOKUP(E8592,'Condensed Specialty Crosswalk'!$A$2:$C$106,2,FALSE),"")</f>
        <v/>
      </c>
      <c r="G8592" s="49" t="str">
        <f>IFERROR(VLOOKUP(E8592,'Condensed Specialty Crosswalk'!$A$2:$C$106,3,FALSE),"")</f>
        <v/>
      </c>
    </row>
    <row r="8593" spans="5:7" ht="15" customHeight="1">
      <c r="E8593" s="49" t="str">
        <f>IFERROR(VLOOKUP(D8593,'taxonomy map'!$A$1:$C$107,2,FALSE),"")</f>
        <v/>
      </c>
      <c r="F8593" s="49" t="str">
        <f>IFERROR(VLOOKUP(E8593,'Condensed Specialty Crosswalk'!$A$2:$C$106,2,FALSE),"")</f>
        <v/>
      </c>
      <c r="G8593" s="49" t="str">
        <f>IFERROR(VLOOKUP(E8593,'Condensed Specialty Crosswalk'!$A$2:$C$106,3,FALSE),"")</f>
        <v/>
      </c>
    </row>
    <row r="8594" spans="5:7" ht="15" customHeight="1">
      <c r="E8594" s="49" t="str">
        <f>IFERROR(VLOOKUP(D8594,'taxonomy map'!$A$1:$C$107,2,FALSE),"")</f>
        <v/>
      </c>
      <c r="F8594" s="49" t="str">
        <f>IFERROR(VLOOKUP(E8594,'Condensed Specialty Crosswalk'!$A$2:$C$106,2,FALSE),"")</f>
        <v/>
      </c>
      <c r="G8594" s="49" t="str">
        <f>IFERROR(VLOOKUP(E8594,'Condensed Specialty Crosswalk'!$A$2:$C$106,3,FALSE),"")</f>
        <v/>
      </c>
    </row>
    <row r="8595" spans="5:7" ht="15" customHeight="1">
      <c r="E8595" s="49" t="str">
        <f>IFERROR(VLOOKUP(D8595,'taxonomy map'!$A$1:$C$107,2,FALSE),"")</f>
        <v/>
      </c>
      <c r="F8595" s="49" t="str">
        <f>IFERROR(VLOOKUP(E8595,'Condensed Specialty Crosswalk'!$A$2:$C$106,2,FALSE),"")</f>
        <v/>
      </c>
      <c r="G8595" s="49" t="str">
        <f>IFERROR(VLOOKUP(E8595,'Condensed Specialty Crosswalk'!$A$2:$C$106,3,FALSE),"")</f>
        <v/>
      </c>
    </row>
    <row r="8596" spans="5:7" ht="15" customHeight="1">
      <c r="E8596" s="49" t="str">
        <f>IFERROR(VLOOKUP(D8596,'taxonomy map'!$A$1:$C$107,2,FALSE),"")</f>
        <v/>
      </c>
      <c r="F8596" s="49" t="str">
        <f>IFERROR(VLOOKUP(E8596,'Condensed Specialty Crosswalk'!$A$2:$C$106,2,FALSE),"")</f>
        <v/>
      </c>
      <c r="G8596" s="49" t="str">
        <f>IFERROR(VLOOKUP(E8596,'Condensed Specialty Crosswalk'!$A$2:$C$106,3,FALSE),"")</f>
        <v/>
      </c>
    </row>
    <row r="8597" spans="5:7" ht="15" customHeight="1">
      <c r="E8597" s="49" t="str">
        <f>IFERROR(VLOOKUP(D8597,'taxonomy map'!$A$1:$C$107,2,FALSE),"")</f>
        <v/>
      </c>
      <c r="F8597" s="49" t="str">
        <f>IFERROR(VLOOKUP(E8597,'Condensed Specialty Crosswalk'!$A$2:$C$106,2,FALSE),"")</f>
        <v/>
      </c>
      <c r="G8597" s="49" t="str">
        <f>IFERROR(VLOOKUP(E8597,'Condensed Specialty Crosswalk'!$A$2:$C$106,3,FALSE),"")</f>
        <v/>
      </c>
    </row>
    <row r="8598" spans="5:7" ht="15" customHeight="1">
      <c r="E8598" s="49" t="str">
        <f>IFERROR(VLOOKUP(D8598,'taxonomy map'!$A$1:$C$107,2,FALSE),"")</f>
        <v/>
      </c>
      <c r="F8598" s="49" t="str">
        <f>IFERROR(VLOOKUP(E8598,'Condensed Specialty Crosswalk'!$A$2:$C$106,2,FALSE),"")</f>
        <v/>
      </c>
      <c r="G8598" s="49" t="str">
        <f>IFERROR(VLOOKUP(E8598,'Condensed Specialty Crosswalk'!$A$2:$C$106,3,FALSE),"")</f>
        <v/>
      </c>
    </row>
    <row r="8599" spans="5:7" ht="15" customHeight="1">
      <c r="E8599" s="49" t="str">
        <f>IFERROR(VLOOKUP(D8599,'taxonomy map'!$A$1:$C$107,2,FALSE),"")</f>
        <v/>
      </c>
      <c r="F8599" s="49" t="str">
        <f>IFERROR(VLOOKUP(E8599,'Condensed Specialty Crosswalk'!$A$2:$C$106,2,FALSE),"")</f>
        <v/>
      </c>
      <c r="G8599" s="49" t="str">
        <f>IFERROR(VLOOKUP(E8599,'Condensed Specialty Crosswalk'!$A$2:$C$106,3,FALSE),"")</f>
        <v/>
      </c>
    </row>
    <row r="8600" spans="5:7" ht="15" customHeight="1">
      <c r="E8600" s="49" t="str">
        <f>IFERROR(VLOOKUP(D8600,'taxonomy map'!$A$1:$C$107,2,FALSE),"")</f>
        <v/>
      </c>
      <c r="F8600" s="49" t="str">
        <f>IFERROR(VLOOKUP(E8600,'Condensed Specialty Crosswalk'!$A$2:$C$106,2,FALSE),"")</f>
        <v/>
      </c>
      <c r="G8600" s="49" t="str">
        <f>IFERROR(VLOOKUP(E8600,'Condensed Specialty Crosswalk'!$A$2:$C$106,3,FALSE),"")</f>
        <v/>
      </c>
    </row>
    <row r="8601" spans="5:7" ht="15" customHeight="1">
      <c r="E8601" s="49" t="str">
        <f>IFERROR(VLOOKUP(D8601,'taxonomy map'!$A$1:$C$107,2,FALSE),"")</f>
        <v/>
      </c>
      <c r="F8601" s="49" t="str">
        <f>IFERROR(VLOOKUP(E8601,'Condensed Specialty Crosswalk'!$A$2:$C$106,2,FALSE),"")</f>
        <v/>
      </c>
      <c r="G8601" s="49" t="str">
        <f>IFERROR(VLOOKUP(E8601,'Condensed Specialty Crosswalk'!$A$2:$C$106,3,FALSE),"")</f>
        <v/>
      </c>
    </row>
    <row r="8602" spans="5:7" ht="15" customHeight="1">
      <c r="E8602" s="49" t="str">
        <f>IFERROR(VLOOKUP(D8602,'taxonomy map'!$A$1:$C$107,2,FALSE),"")</f>
        <v/>
      </c>
      <c r="F8602" s="49" t="str">
        <f>IFERROR(VLOOKUP(E8602,'Condensed Specialty Crosswalk'!$A$2:$C$106,2,FALSE),"")</f>
        <v/>
      </c>
      <c r="G8602" s="49" t="str">
        <f>IFERROR(VLOOKUP(E8602,'Condensed Specialty Crosswalk'!$A$2:$C$106,3,FALSE),"")</f>
        <v/>
      </c>
    </row>
    <row r="8603" spans="5:7" ht="15" customHeight="1">
      <c r="E8603" s="49" t="str">
        <f>IFERROR(VLOOKUP(D8603,'taxonomy map'!$A$1:$C$107,2,FALSE),"")</f>
        <v/>
      </c>
      <c r="F8603" s="49" t="str">
        <f>IFERROR(VLOOKUP(E8603,'Condensed Specialty Crosswalk'!$A$2:$C$106,2,FALSE),"")</f>
        <v/>
      </c>
      <c r="G8603" s="49" t="str">
        <f>IFERROR(VLOOKUP(E8603,'Condensed Specialty Crosswalk'!$A$2:$C$106,3,FALSE),"")</f>
        <v/>
      </c>
    </row>
    <row r="8604" spans="5:7" ht="15" customHeight="1">
      <c r="E8604" s="49" t="str">
        <f>IFERROR(VLOOKUP(D8604,'taxonomy map'!$A$1:$C$107,2,FALSE),"")</f>
        <v/>
      </c>
      <c r="F8604" s="49" t="str">
        <f>IFERROR(VLOOKUP(E8604,'Condensed Specialty Crosswalk'!$A$2:$C$106,2,FALSE),"")</f>
        <v/>
      </c>
      <c r="G8604" s="49" t="str">
        <f>IFERROR(VLOOKUP(E8604,'Condensed Specialty Crosswalk'!$A$2:$C$106,3,FALSE),"")</f>
        <v/>
      </c>
    </row>
    <row r="8605" spans="5:7" ht="15" customHeight="1">
      <c r="E8605" s="49" t="str">
        <f>IFERROR(VLOOKUP(D8605,'taxonomy map'!$A$1:$C$107,2,FALSE),"")</f>
        <v/>
      </c>
      <c r="F8605" s="49" t="str">
        <f>IFERROR(VLOOKUP(E8605,'Condensed Specialty Crosswalk'!$A$2:$C$106,2,FALSE),"")</f>
        <v/>
      </c>
      <c r="G8605" s="49" t="str">
        <f>IFERROR(VLOOKUP(E8605,'Condensed Specialty Crosswalk'!$A$2:$C$106,3,FALSE),"")</f>
        <v/>
      </c>
    </row>
    <row r="8606" spans="5:7" ht="15" customHeight="1">
      <c r="E8606" s="49" t="str">
        <f>IFERROR(VLOOKUP(D8606,'taxonomy map'!$A$1:$C$107,2,FALSE),"")</f>
        <v/>
      </c>
      <c r="F8606" s="49" t="str">
        <f>IFERROR(VLOOKUP(E8606,'Condensed Specialty Crosswalk'!$A$2:$C$106,2,FALSE),"")</f>
        <v/>
      </c>
      <c r="G8606" s="49" t="str">
        <f>IFERROR(VLOOKUP(E8606,'Condensed Specialty Crosswalk'!$A$2:$C$106,3,FALSE),"")</f>
        <v/>
      </c>
    </row>
    <row r="8607" spans="5:7" ht="15" customHeight="1">
      <c r="E8607" s="49" t="str">
        <f>IFERROR(VLOOKUP(D8607,'taxonomy map'!$A$1:$C$107,2,FALSE),"")</f>
        <v/>
      </c>
      <c r="F8607" s="49" t="str">
        <f>IFERROR(VLOOKUP(E8607,'Condensed Specialty Crosswalk'!$A$2:$C$106,2,FALSE),"")</f>
        <v/>
      </c>
      <c r="G8607" s="49" t="str">
        <f>IFERROR(VLOOKUP(E8607,'Condensed Specialty Crosswalk'!$A$2:$C$106,3,FALSE),"")</f>
        <v/>
      </c>
    </row>
    <row r="8608" spans="5:7" ht="15" customHeight="1">
      <c r="E8608" s="49" t="str">
        <f>IFERROR(VLOOKUP(D8608,'taxonomy map'!$A$1:$C$107,2,FALSE),"")</f>
        <v/>
      </c>
      <c r="F8608" s="49" t="str">
        <f>IFERROR(VLOOKUP(E8608,'Condensed Specialty Crosswalk'!$A$2:$C$106,2,FALSE),"")</f>
        <v/>
      </c>
      <c r="G8608" s="49" t="str">
        <f>IFERROR(VLOOKUP(E8608,'Condensed Specialty Crosswalk'!$A$2:$C$106,3,FALSE),"")</f>
        <v/>
      </c>
    </row>
    <row r="8609" spans="5:7" ht="15" customHeight="1">
      <c r="E8609" s="49" t="str">
        <f>IFERROR(VLOOKUP(D8609,'taxonomy map'!$A$1:$C$107,2,FALSE),"")</f>
        <v/>
      </c>
      <c r="F8609" s="49" t="str">
        <f>IFERROR(VLOOKUP(E8609,'Condensed Specialty Crosswalk'!$A$2:$C$106,2,FALSE),"")</f>
        <v/>
      </c>
      <c r="G8609" s="49" t="str">
        <f>IFERROR(VLOOKUP(E8609,'Condensed Specialty Crosswalk'!$A$2:$C$106,3,FALSE),"")</f>
        <v/>
      </c>
    </row>
    <row r="8610" spans="5:7" ht="15" customHeight="1">
      <c r="E8610" s="49" t="str">
        <f>IFERROR(VLOOKUP(D8610,'taxonomy map'!$A$1:$C$107,2,FALSE),"")</f>
        <v/>
      </c>
      <c r="F8610" s="49" t="str">
        <f>IFERROR(VLOOKUP(E8610,'Condensed Specialty Crosswalk'!$A$2:$C$106,2,FALSE),"")</f>
        <v/>
      </c>
      <c r="G8610" s="49" t="str">
        <f>IFERROR(VLOOKUP(E8610,'Condensed Specialty Crosswalk'!$A$2:$C$106,3,FALSE),"")</f>
        <v/>
      </c>
    </row>
    <row r="8611" spans="5:7" ht="15" customHeight="1">
      <c r="E8611" s="49" t="str">
        <f>IFERROR(VLOOKUP(D8611,'taxonomy map'!$A$1:$C$107,2,FALSE),"")</f>
        <v/>
      </c>
      <c r="F8611" s="49" t="str">
        <f>IFERROR(VLOOKUP(E8611,'Condensed Specialty Crosswalk'!$A$2:$C$106,2,FALSE),"")</f>
        <v/>
      </c>
      <c r="G8611" s="49" t="str">
        <f>IFERROR(VLOOKUP(E8611,'Condensed Specialty Crosswalk'!$A$2:$C$106,3,FALSE),"")</f>
        <v/>
      </c>
    </row>
    <row r="8612" spans="5:7" ht="15" customHeight="1">
      <c r="E8612" s="49" t="str">
        <f>IFERROR(VLOOKUP(D8612,'taxonomy map'!$A$1:$C$107,2,FALSE),"")</f>
        <v/>
      </c>
      <c r="F8612" s="49" t="str">
        <f>IFERROR(VLOOKUP(E8612,'Condensed Specialty Crosswalk'!$A$2:$C$106,2,FALSE),"")</f>
        <v/>
      </c>
      <c r="G8612" s="49" t="str">
        <f>IFERROR(VLOOKUP(E8612,'Condensed Specialty Crosswalk'!$A$2:$C$106,3,FALSE),"")</f>
        <v/>
      </c>
    </row>
    <row r="8613" spans="5:7" ht="15" customHeight="1">
      <c r="E8613" s="49" t="str">
        <f>IFERROR(VLOOKUP(D8613,'taxonomy map'!$A$1:$C$107,2,FALSE),"")</f>
        <v/>
      </c>
      <c r="F8613" s="49" t="str">
        <f>IFERROR(VLOOKUP(E8613,'Condensed Specialty Crosswalk'!$A$2:$C$106,2,FALSE),"")</f>
        <v/>
      </c>
      <c r="G8613" s="49" t="str">
        <f>IFERROR(VLOOKUP(E8613,'Condensed Specialty Crosswalk'!$A$2:$C$106,3,FALSE),"")</f>
        <v/>
      </c>
    </row>
    <row r="8614" spans="5:7" ht="15" customHeight="1">
      <c r="E8614" s="49" t="str">
        <f>IFERROR(VLOOKUP(D8614,'taxonomy map'!$A$1:$C$107,2,FALSE),"")</f>
        <v/>
      </c>
      <c r="F8614" s="49" t="str">
        <f>IFERROR(VLOOKUP(E8614,'Condensed Specialty Crosswalk'!$A$2:$C$106,2,FALSE),"")</f>
        <v/>
      </c>
      <c r="G8614" s="49" t="str">
        <f>IFERROR(VLOOKUP(E8614,'Condensed Specialty Crosswalk'!$A$2:$C$106,3,FALSE),"")</f>
        <v/>
      </c>
    </row>
    <row r="8615" spans="5:7" ht="15" customHeight="1">
      <c r="E8615" s="49" t="str">
        <f>IFERROR(VLOOKUP(D8615,'taxonomy map'!$A$1:$C$107,2,FALSE),"")</f>
        <v/>
      </c>
      <c r="F8615" s="49" t="str">
        <f>IFERROR(VLOOKUP(E8615,'Condensed Specialty Crosswalk'!$A$2:$C$106,2,FALSE),"")</f>
        <v/>
      </c>
      <c r="G8615" s="49" t="str">
        <f>IFERROR(VLOOKUP(E8615,'Condensed Specialty Crosswalk'!$A$2:$C$106,3,FALSE),"")</f>
        <v/>
      </c>
    </row>
    <row r="8616" spans="5:7" ht="15" customHeight="1">
      <c r="E8616" s="49" t="str">
        <f>IFERROR(VLOOKUP(D8616,'taxonomy map'!$A$1:$C$107,2,FALSE),"")</f>
        <v/>
      </c>
      <c r="F8616" s="49" t="str">
        <f>IFERROR(VLOOKUP(E8616,'Condensed Specialty Crosswalk'!$A$2:$C$106,2,FALSE),"")</f>
        <v/>
      </c>
      <c r="G8616" s="49" t="str">
        <f>IFERROR(VLOOKUP(E8616,'Condensed Specialty Crosswalk'!$A$2:$C$106,3,FALSE),"")</f>
        <v/>
      </c>
    </row>
    <row r="8617" spans="5:7" ht="15" customHeight="1">
      <c r="E8617" s="49" t="str">
        <f>IFERROR(VLOOKUP(D8617,'taxonomy map'!$A$1:$C$107,2,FALSE),"")</f>
        <v/>
      </c>
      <c r="F8617" s="49" t="str">
        <f>IFERROR(VLOOKUP(E8617,'Condensed Specialty Crosswalk'!$A$2:$C$106,2,FALSE),"")</f>
        <v/>
      </c>
      <c r="G8617" s="49" t="str">
        <f>IFERROR(VLOOKUP(E8617,'Condensed Specialty Crosswalk'!$A$2:$C$106,3,FALSE),"")</f>
        <v/>
      </c>
    </row>
    <row r="8618" spans="5:7" ht="15" customHeight="1">
      <c r="E8618" s="49" t="str">
        <f>IFERROR(VLOOKUP(D8618,'taxonomy map'!$A$1:$C$107,2,FALSE),"")</f>
        <v/>
      </c>
      <c r="F8618" s="49" t="str">
        <f>IFERROR(VLOOKUP(E8618,'Condensed Specialty Crosswalk'!$A$2:$C$106,2,FALSE),"")</f>
        <v/>
      </c>
      <c r="G8618" s="49" t="str">
        <f>IFERROR(VLOOKUP(E8618,'Condensed Specialty Crosswalk'!$A$2:$C$106,3,FALSE),"")</f>
        <v/>
      </c>
    </row>
    <row r="8619" spans="5:7" ht="15" customHeight="1">
      <c r="E8619" s="49" t="str">
        <f>IFERROR(VLOOKUP(D8619,'taxonomy map'!$A$1:$C$107,2,FALSE),"")</f>
        <v/>
      </c>
      <c r="F8619" s="49" t="str">
        <f>IFERROR(VLOOKUP(E8619,'Condensed Specialty Crosswalk'!$A$2:$C$106,2,FALSE),"")</f>
        <v/>
      </c>
      <c r="G8619" s="49" t="str">
        <f>IFERROR(VLOOKUP(E8619,'Condensed Specialty Crosswalk'!$A$2:$C$106,3,FALSE),"")</f>
        <v/>
      </c>
    </row>
    <row r="8620" spans="5:7" ht="15" customHeight="1">
      <c r="E8620" s="49" t="str">
        <f>IFERROR(VLOOKUP(D8620,'taxonomy map'!$A$1:$C$107,2,FALSE),"")</f>
        <v/>
      </c>
      <c r="F8620" s="49" t="str">
        <f>IFERROR(VLOOKUP(E8620,'Condensed Specialty Crosswalk'!$A$2:$C$106,2,FALSE),"")</f>
        <v/>
      </c>
      <c r="G8620" s="49" t="str">
        <f>IFERROR(VLOOKUP(E8620,'Condensed Specialty Crosswalk'!$A$2:$C$106,3,FALSE),"")</f>
        <v/>
      </c>
    </row>
    <row r="8621" spans="5:7" ht="15" customHeight="1">
      <c r="E8621" s="49" t="str">
        <f>IFERROR(VLOOKUP(D8621,'taxonomy map'!$A$1:$C$107,2,FALSE),"")</f>
        <v/>
      </c>
      <c r="F8621" s="49" t="str">
        <f>IFERROR(VLOOKUP(E8621,'Condensed Specialty Crosswalk'!$A$2:$C$106,2,FALSE),"")</f>
        <v/>
      </c>
      <c r="G8621" s="49" t="str">
        <f>IFERROR(VLOOKUP(E8621,'Condensed Specialty Crosswalk'!$A$2:$C$106,3,FALSE),"")</f>
        <v/>
      </c>
    </row>
    <row r="8622" spans="5:7" ht="15" customHeight="1">
      <c r="E8622" s="49" t="str">
        <f>IFERROR(VLOOKUP(D8622,'taxonomy map'!$A$1:$C$107,2,FALSE),"")</f>
        <v/>
      </c>
      <c r="F8622" s="49" t="str">
        <f>IFERROR(VLOOKUP(E8622,'Condensed Specialty Crosswalk'!$A$2:$C$106,2,FALSE),"")</f>
        <v/>
      </c>
      <c r="G8622" s="49" t="str">
        <f>IFERROR(VLOOKUP(E8622,'Condensed Specialty Crosswalk'!$A$2:$C$106,3,FALSE),"")</f>
        <v/>
      </c>
    </row>
    <row r="8623" spans="5:7" ht="15" customHeight="1">
      <c r="E8623" s="49" t="str">
        <f>IFERROR(VLOOKUP(D8623,'taxonomy map'!$A$1:$C$107,2,FALSE),"")</f>
        <v/>
      </c>
      <c r="F8623" s="49" t="str">
        <f>IFERROR(VLOOKUP(E8623,'Condensed Specialty Crosswalk'!$A$2:$C$106,2,FALSE),"")</f>
        <v/>
      </c>
      <c r="G8623" s="49" t="str">
        <f>IFERROR(VLOOKUP(E8623,'Condensed Specialty Crosswalk'!$A$2:$C$106,3,FALSE),"")</f>
        <v/>
      </c>
    </row>
    <row r="8624" spans="5:7" ht="15" customHeight="1">
      <c r="E8624" s="49" t="str">
        <f>IFERROR(VLOOKUP(D8624,'taxonomy map'!$A$1:$C$107,2,FALSE),"")</f>
        <v/>
      </c>
      <c r="F8624" s="49" t="str">
        <f>IFERROR(VLOOKUP(E8624,'Condensed Specialty Crosswalk'!$A$2:$C$106,2,FALSE),"")</f>
        <v/>
      </c>
      <c r="G8624" s="49" t="str">
        <f>IFERROR(VLOOKUP(E8624,'Condensed Specialty Crosswalk'!$A$2:$C$106,3,FALSE),"")</f>
        <v/>
      </c>
    </row>
    <row r="8625" spans="5:7" ht="15" customHeight="1">
      <c r="E8625" s="49" t="str">
        <f>IFERROR(VLOOKUP(D8625,'taxonomy map'!$A$1:$C$107,2,FALSE),"")</f>
        <v/>
      </c>
      <c r="F8625" s="49" t="str">
        <f>IFERROR(VLOOKUP(E8625,'Condensed Specialty Crosswalk'!$A$2:$C$106,2,FALSE),"")</f>
        <v/>
      </c>
      <c r="G8625" s="49" t="str">
        <f>IFERROR(VLOOKUP(E8625,'Condensed Specialty Crosswalk'!$A$2:$C$106,3,FALSE),"")</f>
        <v/>
      </c>
    </row>
    <row r="8626" spans="5:7" ht="15" customHeight="1">
      <c r="E8626" s="49" t="str">
        <f>IFERROR(VLOOKUP(D8626,'taxonomy map'!$A$1:$C$107,2,FALSE),"")</f>
        <v/>
      </c>
      <c r="F8626" s="49" t="str">
        <f>IFERROR(VLOOKUP(E8626,'Condensed Specialty Crosswalk'!$A$2:$C$106,2,FALSE),"")</f>
        <v/>
      </c>
      <c r="G8626" s="49" t="str">
        <f>IFERROR(VLOOKUP(E8626,'Condensed Specialty Crosswalk'!$A$2:$C$106,3,FALSE),"")</f>
        <v/>
      </c>
    </row>
    <row r="8627" spans="5:7" ht="15" customHeight="1">
      <c r="E8627" s="49" t="str">
        <f>IFERROR(VLOOKUP(D8627,'taxonomy map'!$A$1:$C$107,2,FALSE),"")</f>
        <v/>
      </c>
      <c r="F8627" s="49" t="str">
        <f>IFERROR(VLOOKUP(E8627,'Condensed Specialty Crosswalk'!$A$2:$C$106,2,FALSE),"")</f>
        <v/>
      </c>
      <c r="G8627" s="49" t="str">
        <f>IFERROR(VLOOKUP(E8627,'Condensed Specialty Crosswalk'!$A$2:$C$106,3,FALSE),"")</f>
        <v/>
      </c>
    </row>
    <row r="8628" spans="5:7" ht="15" customHeight="1">
      <c r="E8628" s="49" t="str">
        <f>IFERROR(VLOOKUP(D8628,'taxonomy map'!$A$1:$C$107,2,FALSE),"")</f>
        <v/>
      </c>
      <c r="F8628" s="49" t="str">
        <f>IFERROR(VLOOKUP(E8628,'Condensed Specialty Crosswalk'!$A$2:$C$106,2,FALSE),"")</f>
        <v/>
      </c>
      <c r="G8628" s="49" t="str">
        <f>IFERROR(VLOOKUP(E8628,'Condensed Specialty Crosswalk'!$A$2:$C$106,3,FALSE),"")</f>
        <v/>
      </c>
    </row>
    <row r="8629" spans="5:7" ht="15" customHeight="1">
      <c r="E8629" s="49" t="str">
        <f>IFERROR(VLOOKUP(D8629,'taxonomy map'!$A$1:$C$107,2,FALSE),"")</f>
        <v/>
      </c>
      <c r="F8629" s="49" t="str">
        <f>IFERROR(VLOOKUP(E8629,'Condensed Specialty Crosswalk'!$A$2:$C$106,2,FALSE),"")</f>
        <v/>
      </c>
      <c r="G8629" s="49" t="str">
        <f>IFERROR(VLOOKUP(E8629,'Condensed Specialty Crosswalk'!$A$2:$C$106,3,FALSE),"")</f>
        <v/>
      </c>
    </row>
    <row r="8630" spans="5:7" ht="15" customHeight="1">
      <c r="E8630" s="49" t="str">
        <f>IFERROR(VLOOKUP(D8630,'taxonomy map'!$A$1:$C$107,2,FALSE),"")</f>
        <v/>
      </c>
      <c r="F8630" s="49" t="str">
        <f>IFERROR(VLOOKUP(E8630,'Condensed Specialty Crosswalk'!$A$2:$C$106,2,FALSE),"")</f>
        <v/>
      </c>
      <c r="G8630" s="49" t="str">
        <f>IFERROR(VLOOKUP(E8630,'Condensed Specialty Crosswalk'!$A$2:$C$106,3,FALSE),"")</f>
        <v/>
      </c>
    </row>
    <row r="8631" spans="5:7" ht="15" customHeight="1">
      <c r="E8631" s="49" t="str">
        <f>IFERROR(VLOOKUP(D8631,'taxonomy map'!$A$1:$C$107,2,FALSE),"")</f>
        <v/>
      </c>
      <c r="F8631" s="49" t="str">
        <f>IFERROR(VLOOKUP(E8631,'Condensed Specialty Crosswalk'!$A$2:$C$106,2,FALSE),"")</f>
        <v/>
      </c>
      <c r="G8631" s="49" t="str">
        <f>IFERROR(VLOOKUP(E8631,'Condensed Specialty Crosswalk'!$A$2:$C$106,3,FALSE),"")</f>
        <v/>
      </c>
    </row>
    <row r="8632" spans="5:7" ht="15" customHeight="1">
      <c r="E8632" s="49" t="str">
        <f>IFERROR(VLOOKUP(D8632,'taxonomy map'!$A$1:$C$107,2,FALSE),"")</f>
        <v/>
      </c>
      <c r="F8632" s="49" t="str">
        <f>IFERROR(VLOOKUP(E8632,'Condensed Specialty Crosswalk'!$A$2:$C$106,2,FALSE),"")</f>
        <v/>
      </c>
      <c r="G8632" s="49" t="str">
        <f>IFERROR(VLOOKUP(E8632,'Condensed Specialty Crosswalk'!$A$2:$C$106,3,FALSE),"")</f>
        <v/>
      </c>
    </row>
    <row r="8633" spans="5:7" ht="15" customHeight="1">
      <c r="E8633" s="49" t="str">
        <f>IFERROR(VLOOKUP(D8633,'taxonomy map'!$A$1:$C$107,2,FALSE),"")</f>
        <v/>
      </c>
      <c r="F8633" s="49" t="str">
        <f>IFERROR(VLOOKUP(E8633,'Condensed Specialty Crosswalk'!$A$2:$C$106,2,FALSE),"")</f>
        <v/>
      </c>
      <c r="G8633" s="49" t="str">
        <f>IFERROR(VLOOKUP(E8633,'Condensed Specialty Crosswalk'!$A$2:$C$106,3,FALSE),"")</f>
        <v/>
      </c>
    </row>
    <row r="8634" spans="5:7" ht="15" customHeight="1">
      <c r="E8634" s="49" t="str">
        <f>IFERROR(VLOOKUP(D8634,'taxonomy map'!$A$1:$C$107,2,FALSE),"")</f>
        <v/>
      </c>
      <c r="F8634" s="49" t="str">
        <f>IFERROR(VLOOKUP(E8634,'Condensed Specialty Crosswalk'!$A$2:$C$106,2,FALSE),"")</f>
        <v/>
      </c>
      <c r="G8634" s="49" t="str">
        <f>IFERROR(VLOOKUP(E8634,'Condensed Specialty Crosswalk'!$A$2:$C$106,3,FALSE),"")</f>
        <v/>
      </c>
    </row>
    <row r="8635" spans="5:7" ht="15" customHeight="1">
      <c r="E8635" s="49" t="str">
        <f>IFERROR(VLOOKUP(D8635,'taxonomy map'!$A$1:$C$107,2,FALSE),"")</f>
        <v/>
      </c>
      <c r="F8635" s="49" t="str">
        <f>IFERROR(VLOOKUP(E8635,'Condensed Specialty Crosswalk'!$A$2:$C$106,2,FALSE),"")</f>
        <v/>
      </c>
      <c r="G8635" s="49" t="str">
        <f>IFERROR(VLOOKUP(E8635,'Condensed Specialty Crosswalk'!$A$2:$C$106,3,FALSE),"")</f>
        <v/>
      </c>
    </row>
    <row r="8636" spans="5:7" ht="15" customHeight="1">
      <c r="E8636" s="49" t="str">
        <f>IFERROR(VLOOKUP(D8636,'taxonomy map'!$A$1:$C$107,2,FALSE),"")</f>
        <v/>
      </c>
      <c r="F8636" s="49" t="str">
        <f>IFERROR(VLOOKUP(E8636,'Condensed Specialty Crosswalk'!$A$2:$C$106,2,FALSE),"")</f>
        <v/>
      </c>
      <c r="G8636" s="49" t="str">
        <f>IFERROR(VLOOKUP(E8636,'Condensed Specialty Crosswalk'!$A$2:$C$106,3,FALSE),"")</f>
        <v/>
      </c>
    </row>
    <row r="8637" spans="5:7" ht="15" customHeight="1">
      <c r="E8637" s="49" t="str">
        <f>IFERROR(VLOOKUP(D8637,'taxonomy map'!$A$1:$C$107,2,FALSE),"")</f>
        <v/>
      </c>
      <c r="F8637" s="49" t="str">
        <f>IFERROR(VLOOKUP(E8637,'Condensed Specialty Crosswalk'!$A$2:$C$106,2,FALSE),"")</f>
        <v/>
      </c>
      <c r="G8637" s="49" t="str">
        <f>IFERROR(VLOOKUP(E8637,'Condensed Specialty Crosswalk'!$A$2:$C$106,3,FALSE),"")</f>
        <v/>
      </c>
    </row>
    <row r="8638" spans="5:7" ht="15" customHeight="1">
      <c r="E8638" s="49" t="str">
        <f>IFERROR(VLOOKUP(D8638,'taxonomy map'!$A$1:$C$107,2,FALSE),"")</f>
        <v/>
      </c>
      <c r="F8638" s="49" t="str">
        <f>IFERROR(VLOOKUP(E8638,'Condensed Specialty Crosswalk'!$A$2:$C$106,2,FALSE),"")</f>
        <v/>
      </c>
      <c r="G8638" s="49" t="str">
        <f>IFERROR(VLOOKUP(E8638,'Condensed Specialty Crosswalk'!$A$2:$C$106,3,FALSE),"")</f>
        <v/>
      </c>
    </row>
    <row r="8639" spans="5:7" ht="15" customHeight="1">
      <c r="E8639" s="49" t="str">
        <f>IFERROR(VLOOKUP(D8639,'taxonomy map'!$A$1:$C$107,2,FALSE),"")</f>
        <v/>
      </c>
      <c r="F8639" s="49" t="str">
        <f>IFERROR(VLOOKUP(E8639,'Condensed Specialty Crosswalk'!$A$2:$C$106,2,FALSE),"")</f>
        <v/>
      </c>
      <c r="G8639" s="49" t="str">
        <f>IFERROR(VLOOKUP(E8639,'Condensed Specialty Crosswalk'!$A$2:$C$106,3,FALSE),"")</f>
        <v/>
      </c>
    </row>
    <row r="8640" spans="5:7" ht="15" customHeight="1">
      <c r="E8640" s="49" t="str">
        <f>IFERROR(VLOOKUP(D8640,'taxonomy map'!$A$1:$C$107,2,FALSE),"")</f>
        <v/>
      </c>
      <c r="F8640" s="49" t="str">
        <f>IFERROR(VLOOKUP(E8640,'Condensed Specialty Crosswalk'!$A$2:$C$106,2,FALSE),"")</f>
        <v/>
      </c>
      <c r="G8640" s="49" t="str">
        <f>IFERROR(VLOOKUP(E8640,'Condensed Specialty Crosswalk'!$A$2:$C$106,3,FALSE),"")</f>
        <v/>
      </c>
    </row>
    <row r="8641" spans="5:7" ht="15" customHeight="1">
      <c r="E8641" s="49" t="str">
        <f>IFERROR(VLOOKUP(D8641,'taxonomy map'!$A$1:$C$107,2,FALSE),"")</f>
        <v/>
      </c>
      <c r="F8641" s="49" t="str">
        <f>IFERROR(VLOOKUP(E8641,'Condensed Specialty Crosswalk'!$A$2:$C$106,2,FALSE),"")</f>
        <v/>
      </c>
      <c r="G8641" s="49" t="str">
        <f>IFERROR(VLOOKUP(E8641,'Condensed Specialty Crosswalk'!$A$2:$C$106,3,FALSE),"")</f>
        <v/>
      </c>
    </row>
    <row r="8642" spans="5:7" ht="15" customHeight="1">
      <c r="E8642" s="49" t="str">
        <f>IFERROR(VLOOKUP(D8642,'taxonomy map'!$A$1:$C$107,2,FALSE),"")</f>
        <v/>
      </c>
      <c r="F8642" s="49" t="str">
        <f>IFERROR(VLOOKUP(E8642,'Condensed Specialty Crosswalk'!$A$2:$C$106,2,FALSE),"")</f>
        <v/>
      </c>
      <c r="G8642" s="49" t="str">
        <f>IFERROR(VLOOKUP(E8642,'Condensed Specialty Crosswalk'!$A$2:$C$106,3,FALSE),"")</f>
        <v/>
      </c>
    </row>
    <row r="8643" spans="5:7" ht="15" customHeight="1">
      <c r="E8643" s="49" t="str">
        <f>IFERROR(VLOOKUP(D8643,'taxonomy map'!$A$1:$C$107,2,FALSE),"")</f>
        <v/>
      </c>
      <c r="F8643" s="49" t="str">
        <f>IFERROR(VLOOKUP(E8643,'Condensed Specialty Crosswalk'!$A$2:$C$106,2,FALSE),"")</f>
        <v/>
      </c>
      <c r="G8643" s="49" t="str">
        <f>IFERROR(VLOOKUP(E8643,'Condensed Specialty Crosswalk'!$A$2:$C$106,3,FALSE),"")</f>
        <v/>
      </c>
    </row>
    <row r="8644" spans="5:7" ht="15" customHeight="1">
      <c r="E8644" s="49" t="str">
        <f>IFERROR(VLOOKUP(D8644,'taxonomy map'!$A$1:$C$107,2,FALSE),"")</f>
        <v/>
      </c>
      <c r="F8644" s="49" t="str">
        <f>IFERROR(VLOOKUP(E8644,'Condensed Specialty Crosswalk'!$A$2:$C$106,2,FALSE),"")</f>
        <v/>
      </c>
      <c r="G8644" s="49" t="str">
        <f>IFERROR(VLOOKUP(E8644,'Condensed Specialty Crosswalk'!$A$2:$C$106,3,FALSE),"")</f>
        <v/>
      </c>
    </row>
    <row r="8645" spans="5:7" ht="15" customHeight="1">
      <c r="E8645" s="49" t="str">
        <f>IFERROR(VLOOKUP(D8645,'taxonomy map'!$A$1:$C$107,2,FALSE),"")</f>
        <v/>
      </c>
      <c r="F8645" s="49" t="str">
        <f>IFERROR(VLOOKUP(E8645,'Condensed Specialty Crosswalk'!$A$2:$C$106,2,FALSE),"")</f>
        <v/>
      </c>
      <c r="G8645" s="49" t="str">
        <f>IFERROR(VLOOKUP(E8645,'Condensed Specialty Crosswalk'!$A$2:$C$106,3,FALSE),"")</f>
        <v/>
      </c>
    </row>
    <row r="8646" spans="5:7" ht="15" customHeight="1">
      <c r="E8646" s="49" t="str">
        <f>IFERROR(VLOOKUP(D8646,'taxonomy map'!$A$1:$C$107,2,FALSE),"")</f>
        <v/>
      </c>
      <c r="F8646" s="49" t="str">
        <f>IFERROR(VLOOKUP(E8646,'Condensed Specialty Crosswalk'!$A$2:$C$106,2,FALSE),"")</f>
        <v/>
      </c>
      <c r="G8646" s="49" t="str">
        <f>IFERROR(VLOOKUP(E8646,'Condensed Specialty Crosswalk'!$A$2:$C$106,3,FALSE),"")</f>
        <v/>
      </c>
    </row>
    <row r="8647" spans="5:7" ht="15" customHeight="1">
      <c r="E8647" s="49" t="str">
        <f>IFERROR(VLOOKUP(D8647,'taxonomy map'!$A$1:$C$107,2,FALSE),"")</f>
        <v/>
      </c>
      <c r="F8647" s="49" t="str">
        <f>IFERROR(VLOOKUP(E8647,'Condensed Specialty Crosswalk'!$A$2:$C$106,2,FALSE),"")</f>
        <v/>
      </c>
      <c r="G8647" s="49" t="str">
        <f>IFERROR(VLOOKUP(E8647,'Condensed Specialty Crosswalk'!$A$2:$C$106,3,FALSE),"")</f>
        <v/>
      </c>
    </row>
    <row r="8648" spans="5:7" ht="15" customHeight="1">
      <c r="E8648" s="49" t="str">
        <f>IFERROR(VLOOKUP(D8648,'taxonomy map'!$A$1:$C$107,2,FALSE),"")</f>
        <v/>
      </c>
      <c r="F8648" s="49" t="str">
        <f>IFERROR(VLOOKUP(E8648,'Condensed Specialty Crosswalk'!$A$2:$C$106,2,FALSE),"")</f>
        <v/>
      </c>
      <c r="G8648" s="49" t="str">
        <f>IFERROR(VLOOKUP(E8648,'Condensed Specialty Crosswalk'!$A$2:$C$106,3,FALSE),"")</f>
        <v/>
      </c>
    </row>
    <row r="8649" spans="5:7" ht="15" customHeight="1">
      <c r="E8649" s="49" t="str">
        <f>IFERROR(VLOOKUP(D8649,'taxonomy map'!$A$1:$C$107,2,FALSE),"")</f>
        <v/>
      </c>
      <c r="F8649" s="49" t="str">
        <f>IFERROR(VLOOKUP(E8649,'Condensed Specialty Crosswalk'!$A$2:$C$106,2,FALSE),"")</f>
        <v/>
      </c>
      <c r="G8649" s="49" t="str">
        <f>IFERROR(VLOOKUP(E8649,'Condensed Specialty Crosswalk'!$A$2:$C$106,3,FALSE),"")</f>
        <v/>
      </c>
    </row>
    <row r="8650" spans="5:7" ht="15" customHeight="1">
      <c r="E8650" s="49" t="str">
        <f>IFERROR(VLOOKUP(D8650,'taxonomy map'!$A$1:$C$107,2,FALSE),"")</f>
        <v/>
      </c>
      <c r="F8650" s="49" t="str">
        <f>IFERROR(VLOOKUP(E8650,'Condensed Specialty Crosswalk'!$A$2:$C$106,2,FALSE),"")</f>
        <v/>
      </c>
      <c r="G8650" s="49" t="str">
        <f>IFERROR(VLOOKUP(E8650,'Condensed Specialty Crosswalk'!$A$2:$C$106,3,FALSE),"")</f>
        <v/>
      </c>
    </row>
    <row r="8651" spans="5:7" ht="15" customHeight="1">
      <c r="E8651" s="49" t="str">
        <f>IFERROR(VLOOKUP(D8651,'taxonomy map'!$A$1:$C$107,2,FALSE),"")</f>
        <v/>
      </c>
      <c r="F8651" s="49" t="str">
        <f>IFERROR(VLOOKUP(E8651,'Condensed Specialty Crosswalk'!$A$2:$C$106,2,FALSE),"")</f>
        <v/>
      </c>
      <c r="G8651" s="49" t="str">
        <f>IFERROR(VLOOKUP(E8651,'Condensed Specialty Crosswalk'!$A$2:$C$106,3,FALSE),"")</f>
        <v/>
      </c>
    </row>
    <row r="8652" spans="5:7" ht="15" customHeight="1">
      <c r="E8652" s="49" t="str">
        <f>IFERROR(VLOOKUP(D8652,'taxonomy map'!$A$1:$C$107,2,FALSE),"")</f>
        <v/>
      </c>
      <c r="F8652" s="49" t="str">
        <f>IFERROR(VLOOKUP(E8652,'Condensed Specialty Crosswalk'!$A$2:$C$106,2,FALSE),"")</f>
        <v/>
      </c>
      <c r="G8652" s="49" t="str">
        <f>IFERROR(VLOOKUP(E8652,'Condensed Specialty Crosswalk'!$A$2:$C$106,3,FALSE),"")</f>
        <v/>
      </c>
    </row>
    <row r="8653" spans="5:7" ht="15" customHeight="1">
      <c r="E8653" s="49" t="str">
        <f>IFERROR(VLOOKUP(D8653,'taxonomy map'!$A$1:$C$107,2,FALSE),"")</f>
        <v/>
      </c>
      <c r="F8653" s="49" t="str">
        <f>IFERROR(VLOOKUP(E8653,'Condensed Specialty Crosswalk'!$A$2:$C$106,2,FALSE),"")</f>
        <v/>
      </c>
      <c r="G8653" s="49" t="str">
        <f>IFERROR(VLOOKUP(E8653,'Condensed Specialty Crosswalk'!$A$2:$C$106,3,FALSE),"")</f>
        <v/>
      </c>
    </row>
    <row r="8654" spans="5:7" ht="15" customHeight="1">
      <c r="E8654" s="49" t="str">
        <f>IFERROR(VLOOKUP(D8654,'taxonomy map'!$A$1:$C$107,2,FALSE),"")</f>
        <v/>
      </c>
      <c r="F8654" s="49" t="str">
        <f>IFERROR(VLOOKUP(E8654,'Condensed Specialty Crosswalk'!$A$2:$C$106,2,FALSE),"")</f>
        <v/>
      </c>
      <c r="G8654" s="49" t="str">
        <f>IFERROR(VLOOKUP(E8654,'Condensed Specialty Crosswalk'!$A$2:$C$106,3,FALSE),"")</f>
        <v/>
      </c>
    </row>
    <row r="8655" spans="5:7" ht="15" customHeight="1">
      <c r="E8655" s="49" t="str">
        <f>IFERROR(VLOOKUP(D8655,'taxonomy map'!$A$1:$C$107,2,FALSE),"")</f>
        <v/>
      </c>
      <c r="F8655" s="49" t="str">
        <f>IFERROR(VLOOKUP(E8655,'Condensed Specialty Crosswalk'!$A$2:$C$106,2,FALSE),"")</f>
        <v/>
      </c>
      <c r="G8655" s="49" t="str">
        <f>IFERROR(VLOOKUP(E8655,'Condensed Specialty Crosswalk'!$A$2:$C$106,3,FALSE),"")</f>
        <v/>
      </c>
    </row>
    <row r="8656" spans="5:7" ht="15" customHeight="1">
      <c r="E8656" s="49" t="str">
        <f>IFERROR(VLOOKUP(D8656,'taxonomy map'!$A$1:$C$107,2,FALSE),"")</f>
        <v/>
      </c>
      <c r="F8656" s="49" t="str">
        <f>IFERROR(VLOOKUP(E8656,'Condensed Specialty Crosswalk'!$A$2:$C$106,2,FALSE),"")</f>
        <v/>
      </c>
      <c r="G8656" s="49" t="str">
        <f>IFERROR(VLOOKUP(E8656,'Condensed Specialty Crosswalk'!$A$2:$C$106,3,FALSE),"")</f>
        <v/>
      </c>
    </row>
    <row r="8657" spans="5:7" ht="15" customHeight="1">
      <c r="E8657" s="49" t="str">
        <f>IFERROR(VLOOKUP(D8657,'taxonomy map'!$A$1:$C$107,2,FALSE),"")</f>
        <v/>
      </c>
      <c r="F8657" s="49" t="str">
        <f>IFERROR(VLOOKUP(E8657,'Condensed Specialty Crosswalk'!$A$2:$C$106,2,FALSE),"")</f>
        <v/>
      </c>
      <c r="G8657" s="49" t="str">
        <f>IFERROR(VLOOKUP(E8657,'Condensed Specialty Crosswalk'!$A$2:$C$106,3,FALSE),"")</f>
        <v/>
      </c>
    </row>
    <row r="8658" spans="5:7" ht="15" customHeight="1">
      <c r="E8658" s="49" t="str">
        <f>IFERROR(VLOOKUP(D8658,'taxonomy map'!$A$1:$C$107,2,FALSE),"")</f>
        <v/>
      </c>
      <c r="F8658" s="49" t="str">
        <f>IFERROR(VLOOKUP(E8658,'Condensed Specialty Crosswalk'!$A$2:$C$106,2,FALSE),"")</f>
        <v/>
      </c>
      <c r="G8658" s="49" t="str">
        <f>IFERROR(VLOOKUP(E8658,'Condensed Specialty Crosswalk'!$A$2:$C$106,3,FALSE),"")</f>
        <v/>
      </c>
    </row>
    <row r="8659" spans="5:7" ht="15" customHeight="1">
      <c r="E8659" s="49" t="str">
        <f>IFERROR(VLOOKUP(D8659,'taxonomy map'!$A$1:$C$107,2,FALSE),"")</f>
        <v/>
      </c>
      <c r="F8659" s="49" t="str">
        <f>IFERROR(VLOOKUP(E8659,'Condensed Specialty Crosswalk'!$A$2:$C$106,2,FALSE),"")</f>
        <v/>
      </c>
      <c r="G8659" s="49" t="str">
        <f>IFERROR(VLOOKUP(E8659,'Condensed Specialty Crosswalk'!$A$2:$C$106,3,FALSE),"")</f>
        <v/>
      </c>
    </row>
    <row r="8660" spans="5:7" ht="15" customHeight="1">
      <c r="E8660" s="49" t="str">
        <f>IFERROR(VLOOKUP(D8660,'taxonomy map'!$A$1:$C$107,2,FALSE),"")</f>
        <v/>
      </c>
      <c r="F8660" s="49" t="str">
        <f>IFERROR(VLOOKUP(E8660,'Condensed Specialty Crosswalk'!$A$2:$C$106,2,FALSE),"")</f>
        <v/>
      </c>
      <c r="G8660" s="49" t="str">
        <f>IFERROR(VLOOKUP(E8660,'Condensed Specialty Crosswalk'!$A$2:$C$106,3,FALSE),"")</f>
        <v/>
      </c>
    </row>
    <row r="8661" spans="5:7" ht="15" customHeight="1">
      <c r="E8661" s="49" t="str">
        <f>IFERROR(VLOOKUP(D8661,'taxonomy map'!$A$1:$C$107,2,FALSE),"")</f>
        <v/>
      </c>
      <c r="F8661" s="49" t="str">
        <f>IFERROR(VLOOKUP(E8661,'Condensed Specialty Crosswalk'!$A$2:$C$106,2,FALSE),"")</f>
        <v/>
      </c>
      <c r="G8661" s="49" t="str">
        <f>IFERROR(VLOOKUP(E8661,'Condensed Specialty Crosswalk'!$A$2:$C$106,3,FALSE),"")</f>
        <v/>
      </c>
    </row>
    <row r="8662" spans="5:7" ht="15" customHeight="1">
      <c r="E8662" s="49" t="str">
        <f>IFERROR(VLOOKUP(D8662,'taxonomy map'!$A$1:$C$107,2,FALSE),"")</f>
        <v/>
      </c>
      <c r="F8662" s="49" t="str">
        <f>IFERROR(VLOOKUP(E8662,'Condensed Specialty Crosswalk'!$A$2:$C$106,2,FALSE),"")</f>
        <v/>
      </c>
      <c r="G8662" s="49" t="str">
        <f>IFERROR(VLOOKUP(E8662,'Condensed Specialty Crosswalk'!$A$2:$C$106,3,FALSE),"")</f>
        <v/>
      </c>
    </row>
    <row r="8663" spans="5:7" ht="15" customHeight="1">
      <c r="E8663" s="49" t="str">
        <f>IFERROR(VLOOKUP(D8663,'taxonomy map'!$A$1:$C$107,2,FALSE),"")</f>
        <v/>
      </c>
      <c r="F8663" s="49" t="str">
        <f>IFERROR(VLOOKUP(E8663,'Condensed Specialty Crosswalk'!$A$2:$C$106,2,FALSE),"")</f>
        <v/>
      </c>
      <c r="G8663" s="49" t="str">
        <f>IFERROR(VLOOKUP(E8663,'Condensed Specialty Crosswalk'!$A$2:$C$106,3,FALSE),"")</f>
        <v/>
      </c>
    </row>
    <row r="8664" spans="5:7" ht="15" customHeight="1">
      <c r="E8664" s="49" t="str">
        <f>IFERROR(VLOOKUP(D8664,'taxonomy map'!$A$1:$C$107,2,FALSE),"")</f>
        <v/>
      </c>
      <c r="F8664" s="49" t="str">
        <f>IFERROR(VLOOKUP(E8664,'Condensed Specialty Crosswalk'!$A$2:$C$106,2,FALSE),"")</f>
        <v/>
      </c>
      <c r="G8664" s="49" t="str">
        <f>IFERROR(VLOOKUP(E8664,'Condensed Specialty Crosswalk'!$A$2:$C$106,3,FALSE),"")</f>
        <v/>
      </c>
    </row>
    <row r="8665" spans="5:7" ht="15" customHeight="1">
      <c r="E8665" s="49" t="str">
        <f>IFERROR(VLOOKUP(D8665,'taxonomy map'!$A$1:$C$107,2,FALSE),"")</f>
        <v/>
      </c>
      <c r="F8665" s="49" t="str">
        <f>IFERROR(VLOOKUP(E8665,'Condensed Specialty Crosswalk'!$A$2:$C$106,2,FALSE),"")</f>
        <v/>
      </c>
      <c r="G8665" s="49" t="str">
        <f>IFERROR(VLOOKUP(E8665,'Condensed Specialty Crosswalk'!$A$2:$C$106,3,FALSE),"")</f>
        <v/>
      </c>
    </row>
    <row r="8666" spans="5:7" ht="15" customHeight="1">
      <c r="E8666" s="49" t="str">
        <f>IFERROR(VLOOKUP(D8666,'taxonomy map'!$A$1:$C$107,2,FALSE),"")</f>
        <v/>
      </c>
      <c r="F8666" s="49" t="str">
        <f>IFERROR(VLOOKUP(E8666,'Condensed Specialty Crosswalk'!$A$2:$C$106,2,FALSE),"")</f>
        <v/>
      </c>
      <c r="G8666" s="49" t="str">
        <f>IFERROR(VLOOKUP(E8666,'Condensed Specialty Crosswalk'!$A$2:$C$106,3,FALSE),"")</f>
        <v/>
      </c>
    </row>
    <row r="8667" spans="5:7" ht="15" customHeight="1">
      <c r="E8667" s="49" t="str">
        <f>IFERROR(VLOOKUP(D8667,'taxonomy map'!$A$1:$C$107,2,FALSE),"")</f>
        <v/>
      </c>
      <c r="F8667" s="49" t="str">
        <f>IFERROR(VLOOKUP(E8667,'Condensed Specialty Crosswalk'!$A$2:$C$106,2,FALSE),"")</f>
        <v/>
      </c>
      <c r="G8667" s="49" t="str">
        <f>IFERROR(VLOOKUP(E8667,'Condensed Specialty Crosswalk'!$A$2:$C$106,3,FALSE),"")</f>
        <v/>
      </c>
    </row>
    <row r="8668" spans="5:7" ht="15" customHeight="1">
      <c r="E8668" s="49" t="str">
        <f>IFERROR(VLOOKUP(D8668,'taxonomy map'!$A$1:$C$107,2,FALSE),"")</f>
        <v/>
      </c>
      <c r="F8668" s="49" t="str">
        <f>IFERROR(VLOOKUP(E8668,'Condensed Specialty Crosswalk'!$A$2:$C$106,2,FALSE),"")</f>
        <v/>
      </c>
      <c r="G8668" s="49" t="str">
        <f>IFERROR(VLOOKUP(E8668,'Condensed Specialty Crosswalk'!$A$2:$C$106,3,FALSE),"")</f>
        <v/>
      </c>
    </row>
    <row r="8669" spans="5:7" ht="15" customHeight="1">
      <c r="E8669" s="49" t="str">
        <f>IFERROR(VLOOKUP(D8669,'taxonomy map'!$A$1:$C$107,2,FALSE),"")</f>
        <v/>
      </c>
      <c r="F8669" s="49" t="str">
        <f>IFERROR(VLOOKUP(E8669,'Condensed Specialty Crosswalk'!$A$2:$C$106,2,FALSE),"")</f>
        <v/>
      </c>
      <c r="G8669" s="49" t="str">
        <f>IFERROR(VLOOKUP(E8669,'Condensed Specialty Crosswalk'!$A$2:$C$106,3,FALSE),"")</f>
        <v/>
      </c>
    </row>
    <row r="8670" spans="5:7" ht="15" customHeight="1">
      <c r="E8670" s="49" t="str">
        <f>IFERROR(VLOOKUP(D8670,'taxonomy map'!$A$1:$C$107,2,FALSE),"")</f>
        <v/>
      </c>
      <c r="F8670" s="49" t="str">
        <f>IFERROR(VLOOKUP(E8670,'Condensed Specialty Crosswalk'!$A$2:$C$106,2,FALSE),"")</f>
        <v/>
      </c>
      <c r="G8670" s="49" t="str">
        <f>IFERROR(VLOOKUP(E8670,'Condensed Specialty Crosswalk'!$A$2:$C$106,3,FALSE),"")</f>
        <v/>
      </c>
    </row>
    <row r="8671" spans="5:7" ht="15" customHeight="1">
      <c r="E8671" s="49" t="str">
        <f>IFERROR(VLOOKUP(D8671,'taxonomy map'!$A$1:$C$107,2,FALSE),"")</f>
        <v/>
      </c>
      <c r="F8671" s="49" t="str">
        <f>IFERROR(VLOOKUP(E8671,'Condensed Specialty Crosswalk'!$A$2:$C$106,2,FALSE),"")</f>
        <v/>
      </c>
      <c r="G8671" s="49" t="str">
        <f>IFERROR(VLOOKUP(E8671,'Condensed Specialty Crosswalk'!$A$2:$C$106,3,FALSE),"")</f>
        <v/>
      </c>
    </row>
    <row r="8672" spans="5:7" ht="15" customHeight="1">
      <c r="E8672" s="49" t="str">
        <f>IFERROR(VLOOKUP(D8672,'taxonomy map'!$A$1:$C$107,2,FALSE),"")</f>
        <v/>
      </c>
      <c r="F8672" s="49" t="str">
        <f>IFERROR(VLOOKUP(E8672,'Condensed Specialty Crosswalk'!$A$2:$C$106,2,FALSE),"")</f>
        <v/>
      </c>
      <c r="G8672" s="49" t="str">
        <f>IFERROR(VLOOKUP(E8672,'Condensed Specialty Crosswalk'!$A$2:$C$106,3,FALSE),"")</f>
        <v/>
      </c>
    </row>
    <row r="8673" spans="5:7" ht="15" customHeight="1">
      <c r="E8673" s="49" t="str">
        <f>IFERROR(VLOOKUP(D8673,'taxonomy map'!$A$1:$C$107,2,FALSE),"")</f>
        <v/>
      </c>
      <c r="F8673" s="49" t="str">
        <f>IFERROR(VLOOKUP(E8673,'Condensed Specialty Crosswalk'!$A$2:$C$106,2,FALSE),"")</f>
        <v/>
      </c>
      <c r="G8673" s="49" t="str">
        <f>IFERROR(VLOOKUP(E8673,'Condensed Specialty Crosswalk'!$A$2:$C$106,3,FALSE),"")</f>
        <v/>
      </c>
    </row>
    <row r="8674" spans="5:7" ht="15" customHeight="1">
      <c r="E8674" s="49" t="str">
        <f>IFERROR(VLOOKUP(D8674,'taxonomy map'!$A$1:$C$107,2,FALSE),"")</f>
        <v/>
      </c>
      <c r="F8674" s="49" t="str">
        <f>IFERROR(VLOOKUP(E8674,'Condensed Specialty Crosswalk'!$A$2:$C$106,2,FALSE),"")</f>
        <v/>
      </c>
      <c r="G8674" s="49" t="str">
        <f>IFERROR(VLOOKUP(E8674,'Condensed Specialty Crosswalk'!$A$2:$C$106,3,FALSE),"")</f>
        <v/>
      </c>
    </row>
    <row r="8675" spans="5:7" ht="15" customHeight="1">
      <c r="E8675" s="49" t="str">
        <f>IFERROR(VLOOKUP(D8675,'taxonomy map'!$A$1:$C$107,2,FALSE),"")</f>
        <v/>
      </c>
      <c r="F8675" s="49" t="str">
        <f>IFERROR(VLOOKUP(E8675,'Condensed Specialty Crosswalk'!$A$2:$C$106,2,FALSE),"")</f>
        <v/>
      </c>
      <c r="G8675" s="49" t="str">
        <f>IFERROR(VLOOKUP(E8675,'Condensed Specialty Crosswalk'!$A$2:$C$106,3,FALSE),"")</f>
        <v/>
      </c>
    </row>
    <row r="8676" spans="5:7" ht="15" customHeight="1">
      <c r="E8676" s="49" t="str">
        <f>IFERROR(VLOOKUP(D8676,'taxonomy map'!$A$1:$C$107,2,FALSE),"")</f>
        <v/>
      </c>
      <c r="F8676" s="49" t="str">
        <f>IFERROR(VLOOKUP(E8676,'Condensed Specialty Crosswalk'!$A$2:$C$106,2,FALSE),"")</f>
        <v/>
      </c>
      <c r="G8676" s="49" t="str">
        <f>IFERROR(VLOOKUP(E8676,'Condensed Specialty Crosswalk'!$A$2:$C$106,3,FALSE),"")</f>
        <v/>
      </c>
    </row>
    <row r="8677" spans="5:7" ht="15" customHeight="1">
      <c r="E8677" s="49" t="str">
        <f>IFERROR(VLOOKUP(D8677,'taxonomy map'!$A$1:$C$107,2,FALSE),"")</f>
        <v/>
      </c>
      <c r="F8677" s="49" t="str">
        <f>IFERROR(VLOOKUP(E8677,'Condensed Specialty Crosswalk'!$A$2:$C$106,2,FALSE),"")</f>
        <v/>
      </c>
      <c r="G8677" s="49" t="str">
        <f>IFERROR(VLOOKUP(E8677,'Condensed Specialty Crosswalk'!$A$2:$C$106,3,FALSE),"")</f>
        <v/>
      </c>
    </row>
    <row r="8678" spans="5:7" ht="15" customHeight="1">
      <c r="E8678" s="49" t="str">
        <f>IFERROR(VLOOKUP(D8678,'taxonomy map'!$A$1:$C$107,2,FALSE),"")</f>
        <v/>
      </c>
      <c r="F8678" s="49" t="str">
        <f>IFERROR(VLOOKUP(E8678,'Condensed Specialty Crosswalk'!$A$2:$C$106,2,FALSE),"")</f>
        <v/>
      </c>
      <c r="G8678" s="49" t="str">
        <f>IFERROR(VLOOKUP(E8678,'Condensed Specialty Crosswalk'!$A$2:$C$106,3,FALSE),"")</f>
        <v/>
      </c>
    </row>
    <row r="8679" spans="5:7" ht="15" customHeight="1">
      <c r="E8679" s="49" t="str">
        <f>IFERROR(VLOOKUP(D8679,'taxonomy map'!$A$1:$C$107,2,FALSE),"")</f>
        <v/>
      </c>
      <c r="F8679" s="49" t="str">
        <f>IFERROR(VLOOKUP(E8679,'Condensed Specialty Crosswalk'!$A$2:$C$106,2,FALSE),"")</f>
        <v/>
      </c>
      <c r="G8679" s="49" t="str">
        <f>IFERROR(VLOOKUP(E8679,'Condensed Specialty Crosswalk'!$A$2:$C$106,3,FALSE),"")</f>
        <v/>
      </c>
    </row>
    <row r="8680" spans="5:7" ht="15" customHeight="1">
      <c r="E8680" s="49" t="str">
        <f>IFERROR(VLOOKUP(D8680,'taxonomy map'!$A$1:$C$107,2,FALSE),"")</f>
        <v/>
      </c>
      <c r="F8680" s="49" t="str">
        <f>IFERROR(VLOOKUP(E8680,'Condensed Specialty Crosswalk'!$A$2:$C$106,2,FALSE),"")</f>
        <v/>
      </c>
      <c r="G8680" s="49" t="str">
        <f>IFERROR(VLOOKUP(E8680,'Condensed Specialty Crosswalk'!$A$2:$C$106,3,FALSE),"")</f>
        <v/>
      </c>
    </row>
    <row r="8681" spans="5:7" ht="15" customHeight="1">
      <c r="E8681" s="49" t="str">
        <f>IFERROR(VLOOKUP(D8681,'taxonomy map'!$A$1:$C$107,2,FALSE),"")</f>
        <v/>
      </c>
      <c r="F8681" s="49" t="str">
        <f>IFERROR(VLOOKUP(E8681,'Condensed Specialty Crosswalk'!$A$2:$C$106,2,FALSE),"")</f>
        <v/>
      </c>
      <c r="G8681" s="49" t="str">
        <f>IFERROR(VLOOKUP(E8681,'Condensed Specialty Crosswalk'!$A$2:$C$106,3,FALSE),"")</f>
        <v/>
      </c>
    </row>
    <row r="8682" spans="5:7" ht="15" customHeight="1">
      <c r="E8682" s="49" t="str">
        <f>IFERROR(VLOOKUP(D8682,'taxonomy map'!$A$1:$C$107,2,FALSE),"")</f>
        <v/>
      </c>
      <c r="F8682" s="49" t="str">
        <f>IFERROR(VLOOKUP(E8682,'Condensed Specialty Crosswalk'!$A$2:$C$106,2,FALSE),"")</f>
        <v/>
      </c>
      <c r="G8682" s="49" t="str">
        <f>IFERROR(VLOOKUP(E8682,'Condensed Specialty Crosswalk'!$A$2:$C$106,3,FALSE),"")</f>
        <v/>
      </c>
    </row>
    <row r="8683" spans="5:7" ht="15" customHeight="1">
      <c r="E8683" s="49" t="str">
        <f>IFERROR(VLOOKUP(D8683,'taxonomy map'!$A$1:$C$107,2,FALSE),"")</f>
        <v/>
      </c>
      <c r="F8683" s="49" t="str">
        <f>IFERROR(VLOOKUP(E8683,'Condensed Specialty Crosswalk'!$A$2:$C$106,2,FALSE),"")</f>
        <v/>
      </c>
      <c r="G8683" s="49" t="str">
        <f>IFERROR(VLOOKUP(E8683,'Condensed Specialty Crosswalk'!$A$2:$C$106,3,FALSE),"")</f>
        <v/>
      </c>
    </row>
    <row r="8684" spans="5:7" ht="15" customHeight="1">
      <c r="E8684" s="49" t="str">
        <f>IFERROR(VLOOKUP(D8684,'taxonomy map'!$A$1:$C$107,2,FALSE),"")</f>
        <v/>
      </c>
      <c r="F8684" s="49" t="str">
        <f>IFERROR(VLOOKUP(E8684,'Condensed Specialty Crosswalk'!$A$2:$C$106,2,FALSE),"")</f>
        <v/>
      </c>
      <c r="G8684" s="49" t="str">
        <f>IFERROR(VLOOKUP(E8684,'Condensed Specialty Crosswalk'!$A$2:$C$106,3,FALSE),"")</f>
        <v/>
      </c>
    </row>
    <row r="8685" spans="5:7" ht="15" customHeight="1">
      <c r="E8685" s="49" t="str">
        <f>IFERROR(VLOOKUP(D8685,'taxonomy map'!$A$1:$C$107,2,FALSE),"")</f>
        <v/>
      </c>
      <c r="F8685" s="49" t="str">
        <f>IFERROR(VLOOKUP(E8685,'Condensed Specialty Crosswalk'!$A$2:$C$106,2,FALSE),"")</f>
        <v/>
      </c>
      <c r="G8685" s="49" t="str">
        <f>IFERROR(VLOOKUP(E8685,'Condensed Specialty Crosswalk'!$A$2:$C$106,3,FALSE),"")</f>
        <v/>
      </c>
    </row>
    <row r="8686" spans="5:7" ht="15" customHeight="1">
      <c r="E8686" s="49" t="str">
        <f>IFERROR(VLOOKUP(D8686,'taxonomy map'!$A$1:$C$107,2,FALSE),"")</f>
        <v/>
      </c>
      <c r="F8686" s="49" t="str">
        <f>IFERROR(VLOOKUP(E8686,'Condensed Specialty Crosswalk'!$A$2:$C$106,2,FALSE),"")</f>
        <v/>
      </c>
      <c r="G8686" s="49" t="str">
        <f>IFERROR(VLOOKUP(E8686,'Condensed Specialty Crosswalk'!$A$2:$C$106,3,FALSE),"")</f>
        <v/>
      </c>
    </row>
    <row r="8687" spans="5:7" ht="15" customHeight="1">
      <c r="E8687" s="49" t="str">
        <f>IFERROR(VLOOKUP(D8687,'taxonomy map'!$A$1:$C$107,2,FALSE),"")</f>
        <v/>
      </c>
      <c r="F8687" s="49" t="str">
        <f>IFERROR(VLOOKUP(E8687,'Condensed Specialty Crosswalk'!$A$2:$C$106,2,FALSE),"")</f>
        <v/>
      </c>
      <c r="G8687" s="49" t="str">
        <f>IFERROR(VLOOKUP(E8687,'Condensed Specialty Crosswalk'!$A$2:$C$106,3,FALSE),"")</f>
        <v/>
      </c>
    </row>
    <row r="8688" spans="5:7" ht="15" customHeight="1">
      <c r="E8688" s="49" t="str">
        <f>IFERROR(VLOOKUP(D8688,'taxonomy map'!$A$1:$C$107,2,FALSE),"")</f>
        <v/>
      </c>
      <c r="F8688" s="49" t="str">
        <f>IFERROR(VLOOKUP(E8688,'Condensed Specialty Crosswalk'!$A$2:$C$106,2,FALSE),"")</f>
        <v/>
      </c>
      <c r="G8688" s="49" t="str">
        <f>IFERROR(VLOOKUP(E8688,'Condensed Specialty Crosswalk'!$A$2:$C$106,3,FALSE),"")</f>
        <v/>
      </c>
    </row>
    <row r="8689" spans="5:7" ht="15" customHeight="1">
      <c r="E8689" s="49" t="str">
        <f>IFERROR(VLOOKUP(D8689,'taxonomy map'!$A$1:$C$107,2,FALSE),"")</f>
        <v/>
      </c>
      <c r="F8689" s="49" t="str">
        <f>IFERROR(VLOOKUP(E8689,'Condensed Specialty Crosswalk'!$A$2:$C$106,2,FALSE),"")</f>
        <v/>
      </c>
      <c r="G8689" s="49" t="str">
        <f>IFERROR(VLOOKUP(E8689,'Condensed Specialty Crosswalk'!$A$2:$C$106,3,FALSE),"")</f>
        <v/>
      </c>
    </row>
    <row r="8690" spans="5:7" ht="15" customHeight="1">
      <c r="E8690" s="49" t="str">
        <f>IFERROR(VLOOKUP(D8690,'taxonomy map'!$A$1:$C$107,2,FALSE),"")</f>
        <v/>
      </c>
      <c r="F8690" s="49" t="str">
        <f>IFERROR(VLOOKUP(E8690,'Condensed Specialty Crosswalk'!$A$2:$C$106,2,FALSE),"")</f>
        <v/>
      </c>
      <c r="G8690" s="49" t="str">
        <f>IFERROR(VLOOKUP(E8690,'Condensed Specialty Crosswalk'!$A$2:$C$106,3,FALSE),"")</f>
        <v/>
      </c>
    </row>
    <row r="8691" spans="5:7" ht="15" customHeight="1">
      <c r="E8691" s="49" t="str">
        <f>IFERROR(VLOOKUP(D8691,'taxonomy map'!$A$1:$C$107,2,FALSE),"")</f>
        <v/>
      </c>
      <c r="F8691" s="49" t="str">
        <f>IFERROR(VLOOKUP(E8691,'Condensed Specialty Crosswalk'!$A$2:$C$106,2,FALSE),"")</f>
        <v/>
      </c>
      <c r="G8691" s="49" t="str">
        <f>IFERROR(VLOOKUP(E8691,'Condensed Specialty Crosswalk'!$A$2:$C$106,3,FALSE),"")</f>
        <v/>
      </c>
    </row>
    <row r="8692" spans="5:7" ht="15" customHeight="1">
      <c r="E8692" s="49" t="str">
        <f>IFERROR(VLOOKUP(D8692,'taxonomy map'!$A$1:$C$107,2,FALSE),"")</f>
        <v/>
      </c>
      <c r="F8692" s="49" t="str">
        <f>IFERROR(VLOOKUP(E8692,'Condensed Specialty Crosswalk'!$A$2:$C$106,2,FALSE),"")</f>
        <v/>
      </c>
      <c r="G8692" s="49" t="str">
        <f>IFERROR(VLOOKUP(E8692,'Condensed Specialty Crosswalk'!$A$2:$C$106,3,FALSE),"")</f>
        <v/>
      </c>
    </row>
    <row r="8693" spans="5:7" ht="15" customHeight="1">
      <c r="E8693" s="49" t="str">
        <f>IFERROR(VLOOKUP(D8693,'taxonomy map'!$A$1:$C$107,2,FALSE),"")</f>
        <v/>
      </c>
      <c r="F8693" s="49" t="str">
        <f>IFERROR(VLOOKUP(E8693,'Condensed Specialty Crosswalk'!$A$2:$C$106,2,FALSE),"")</f>
        <v/>
      </c>
      <c r="G8693" s="49" t="str">
        <f>IFERROR(VLOOKUP(E8693,'Condensed Specialty Crosswalk'!$A$2:$C$106,3,FALSE),"")</f>
        <v/>
      </c>
    </row>
    <row r="8694" spans="5:7" ht="15" customHeight="1">
      <c r="E8694" s="49" t="str">
        <f>IFERROR(VLOOKUP(D8694,'taxonomy map'!$A$1:$C$107,2,FALSE),"")</f>
        <v/>
      </c>
      <c r="F8694" s="49" t="str">
        <f>IFERROR(VLOOKUP(E8694,'Condensed Specialty Crosswalk'!$A$2:$C$106,2,FALSE),"")</f>
        <v/>
      </c>
      <c r="G8694" s="49" t="str">
        <f>IFERROR(VLOOKUP(E8694,'Condensed Specialty Crosswalk'!$A$2:$C$106,3,FALSE),"")</f>
        <v/>
      </c>
    </row>
    <row r="8695" spans="5:7" ht="15" customHeight="1">
      <c r="E8695" s="49" t="str">
        <f>IFERROR(VLOOKUP(D8695,'taxonomy map'!$A$1:$C$107,2,FALSE),"")</f>
        <v/>
      </c>
      <c r="F8695" s="49" t="str">
        <f>IFERROR(VLOOKUP(E8695,'Condensed Specialty Crosswalk'!$A$2:$C$106,2,FALSE),"")</f>
        <v/>
      </c>
      <c r="G8695" s="49" t="str">
        <f>IFERROR(VLOOKUP(E8695,'Condensed Specialty Crosswalk'!$A$2:$C$106,3,FALSE),"")</f>
        <v/>
      </c>
    </row>
    <row r="8696" spans="5:7" ht="15" customHeight="1">
      <c r="E8696" s="49" t="str">
        <f>IFERROR(VLOOKUP(D8696,'taxonomy map'!$A$1:$C$107,2,FALSE),"")</f>
        <v/>
      </c>
      <c r="F8696" s="49" t="str">
        <f>IFERROR(VLOOKUP(E8696,'Condensed Specialty Crosswalk'!$A$2:$C$106,2,FALSE),"")</f>
        <v/>
      </c>
      <c r="G8696" s="49" t="str">
        <f>IFERROR(VLOOKUP(E8696,'Condensed Specialty Crosswalk'!$A$2:$C$106,3,FALSE),"")</f>
        <v/>
      </c>
    </row>
    <row r="8697" spans="5:7" ht="15" customHeight="1">
      <c r="E8697" s="49" t="str">
        <f>IFERROR(VLOOKUP(D8697,'taxonomy map'!$A$1:$C$107,2,FALSE),"")</f>
        <v/>
      </c>
      <c r="F8697" s="49" t="str">
        <f>IFERROR(VLOOKUP(E8697,'Condensed Specialty Crosswalk'!$A$2:$C$106,2,FALSE),"")</f>
        <v/>
      </c>
      <c r="G8697" s="49" t="str">
        <f>IFERROR(VLOOKUP(E8697,'Condensed Specialty Crosswalk'!$A$2:$C$106,3,FALSE),"")</f>
        <v/>
      </c>
    </row>
    <row r="8698" spans="5:7" ht="15" customHeight="1">
      <c r="E8698" s="49" t="str">
        <f>IFERROR(VLOOKUP(D8698,'taxonomy map'!$A$1:$C$107,2,FALSE),"")</f>
        <v/>
      </c>
      <c r="F8698" s="49" t="str">
        <f>IFERROR(VLOOKUP(E8698,'Condensed Specialty Crosswalk'!$A$2:$C$106,2,FALSE),"")</f>
        <v/>
      </c>
      <c r="G8698" s="49" t="str">
        <f>IFERROR(VLOOKUP(E8698,'Condensed Specialty Crosswalk'!$A$2:$C$106,3,FALSE),"")</f>
        <v/>
      </c>
    </row>
    <row r="8699" spans="5:7" ht="15" customHeight="1">
      <c r="E8699" s="49" t="str">
        <f>IFERROR(VLOOKUP(D8699,'taxonomy map'!$A$1:$C$107,2,FALSE),"")</f>
        <v/>
      </c>
      <c r="F8699" s="49" t="str">
        <f>IFERROR(VLOOKUP(E8699,'Condensed Specialty Crosswalk'!$A$2:$C$106,2,FALSE),"")</f>
        <v/>
      </c>
      <c r="G8699" s="49" t="str">
        <f>IFERROR(VLOOKUP(E8699,'Condensed Specialty Crosswalk'!$A$2:$C$106,3,FALSE),"")</f>
        <v/>
      </c>
    </row>
    <row r="8700" spans="5:7" ht="15" customHeight="1">
      <c r="E8700" s="49" t="str">
        <f>IFERROR(VLOOKUP(D8700,'taxonomy map'!$A$1:$C$107,2,FALSE),"")</f>
        <v/>
      </c>
      <c r="F8700" s="49" t="str">
        <f>IFERROR(VLOOKUP(E8700,'Condensed Specialty Crosswalk'!$A$2:$C$106,2,FALSE),"")</f>
        <v/>
      </c>
      <c r="G8700" s="49" t="str">
        <f>IFERROR(VLOOKUP(E8700,'Condensed Specialty Crosswalk'!$A$2:$C$106,3,FALSE),"")</f>
        <v/>
      </c>
    </row>
    <row r="8701" spans="5:7" ht="15" customHeight="1">
      <c r="E8701" s="49" t="str">
        <f>IFERROR(VLOOKUP(D8701,'taxonomy map'!$A$1:$C$107,2,FALSE),"")</f>
        <v/>
      </c>
      <c r="F8701" s="49" t="str">
        <f>IFERROR(VLOOKUP(E8701,'Condensed Specialty Crosswalk'!$A$2:$C$106,2,FALSE),"")</f>
        <v/>
      </c>
      <c r="G8701" s="49" t="str">
        <f>IFERROR(VLOOKUP(E8701,'Condensed Specialty Crosswalk'!$A$2:$C$106,3,FALSE),"")</f>
        <v/>
      </c>
    </row>
    <row r="8702" spans="5:7" ht="15" customHeight="1">
      <c r="E8702" s="49" t="str">
        <f>IFERROR(VLOOKUP(D8702,'taxonomy map'!$A$1:$C$107,2,FALSE),"")</f>
        <v/>
      </c>
      <c r="F8702" s="49" t="str">
        <f>IFERROR(VLOOKUP(E8702,'Condensed Specialty Crosswalk'!$A$2:$C$106,2,FALSE),"")</f>
        <v/>
      </c>
      <c r="G8702" s="49" t="str">
        <f>IFERROR(VLOOKUP(E8702,'Condensed Specialty Crosswalk'!$A$2:$C$106,3,FALSE),"")</f>
        <v/>
      </c>
    </row>
    <row r="8703" spans="5:7" ht="15" customHeight="1">
      <c r="E8703" s="49" t="str">
        <f>IFERROR(VLOOKUP(D8703,'taxonomy map'!$A$1:$C$107,2,FALSE),"")</f>
        <v/>
      </c>
      <c r="F8703" s="49" t="str">
        <f>IFERROR(VLOOKUP(E8703,'Condensed Specialty Crosswalk'!$A$2:$C$106,2,FALSE),"")</f>
        <v/>
      </c>
      <c r="G8703" s="49" t="str">
        <f>IFERROR(VLOOKUP(E8703,'Condensed Specialty Crosswalk'!$A$2:$C$106,3,FALSE),"")</f>
        <v/>
      </c>
    </row>
    <row r="8704" spans="5:7" ht="15" customHeight="1">
      <c r="E8704" s="49" t="str">
        <f>IFERROR(VLOOKUP(D8704,'taxonomy map'!$A$1:$C$107,2,FALSE),"")</f>
        <v/>
      </c>
      <c r="F8704" s="49" t="str">
        <f>IFERROR(VLOOKUP(E8704,'Condensed Specialty Crosswalk'!$A$2:$C$106,2,FALSE),"")</f>
        <v/>
      </c>
      <c r="G8704" s="49" t="str">
        <f>IFERROR(VLOOKUP(E8704,'Condensed Specialty Crosswalk'!$A$2:$C$106,3,FALSE),"")</f>
        <v/>
      </c>
    </row>
    <row r="8705" spans="5:7" ht="15" customHeight="1">
      <c r="E8705" s="49" t="str">
        <f>IFERROR(VLOOKUP(D8705,'taxonomy map'!$A$1:$C$107,2,FALSE),"")</f>
        <v/>
      </c>
      <c r="F8705" s="49" t="str">
        <f>IFERROR(VLOOKUP(E8705,'Condensed Specialty Crosswalk'!$A$2:$C$106,2,FALSE),"")</f>
        <v/>
      </c>
      <c r="G8705" s="49" t="str">
        <f>IFERROR(VLOOKUP(E8705,'Condensed Specialty Crosswalk'!$A$2:$C$106,3,FALSE),"")</f>
        <v/>
      </c>
    </row>
    <row r="8706" spans="5:7" ht="15" customHeight="1">
      <c r="E8706" s="49" t="str">
        <f>IFERROR(VLOOKUP(D8706,'taxonomy map'!$A$1:$C$107,2,FALSE),"")</f>
        <v/>
      </c>
      <c r="F8706" s="49" t="str">
        <f>IFERROR(VLOOKUP(E8706,'Condensed Specialty Crosswalk'!$A$2:$C$106,2,FALSE),"")</f>
        <v/>
      </c>
      <c r="G8706" s="49" t="str">
        <f>IFERROR(VLOOKUP(E8706,'Condensed Specialty Crosswalk'!$A$2:$C$106,3,FALSE),"")</f>
        <v/>
      </c>
    </row>
    <row r="8707" spans="5:7" ht="15" customHeight="1">
      <c r="E8707" s="49" t="str">
        <f>IFERROR(VLOOKUP(D8707,'taxonomy map'!$A$1:$C$107,2,FALSE),"")</f>
        <v/>
      </c>
      <c r="F8707" s="49" t="str">
        <f>IFERROR(VLOOKUP(E8707,'Condensed Specialty Crosswalk'!$A$2:$C$106,2,FALSE),"")</f>
        <v/>
      </c>
      <c r="G8707" s="49" t="str">
        <f>IFERROR(VLOOKUP(E8707,'Condensed Specialty Crosswalk'!$A$2:$C$106,3,FALSE),"")</f>
        <v/>
      </c>
    </row>
    <row r="8708" spans="5:7" ht="15" customHeight="1">
      <c r="E8708" s="49" t="str">
        <f>IFERROR(VLOOKUP(D8708,'taxonomy map'!$A$1:$C$107,2,FALSE),"")</f>
        <v/>
      </c>
      <c r="F8708" s="49" t="str">
        <f>IFERROR(VLOOKUP(E8708,'Condensed Specialty Crosswalk'!$A$2:$C$106,2,FALSE),"")</f>
        <v/>
      </c>
      <c r="G8708" s="49" t="str">
        <f>IFERROR(VLOOKUP(E8708,'Condensed Specialty Crosswalk'!$A$2:$C$106,3,FALSE),"")</f>
        <v/>
      </c>
    </row>
    <row r="8709" spans="5:7" ht="15" customHeight="1">
      <c r="E8709" s="49" t="str">
        <f>IFERROR(VLOOKUP(D8709,'taxonomy map'!$A$1:$C$107,2,FALSE),"")</f>
        <v/>
      </c>
      <c r="F8709" s="49" t="str">
        <f>IFERROR(VLOOKUP(E8709,'Condensed Specialty Crosswalk'!$A$2:$C$106,2,FALSE),"")</f>
        <v/>
      </c>
      <c r="G8709" s="49" t="str">
        <f>IFERROR(VLOOKUP(E8709,'Condensed Specialty Crosswalk'!$A$2:$C$106,3,FALSE),"")</f>
        <v/>
      </c>
    </row>
    <row r="8710" spans="5:7" ht="15" customHeight="1">
      <c r="E8710" s="49" t="str">
        <f>IFERROR(VLOOKUP(D8710,'taxonomy map'!$A$1:$C$107,2,FALSE),"")</f>
        <v/>
      </c>
      <c r="F8710" s="49" t="str">
        <f>IFERROR(VLOOKUP(E8710,'Condensed Specialty Crosswalk'!$A$2:$C$106,2,FALSE),"")</f>
        <v/>
      </c>
      <c r="G8710" s="49" t="str">
        <f>IFERROR(VLOOKUP(E8710,'Condensed Specialty Crosswalk'!$A$2:$C$106,3,FALSE),"")</f>
        <v/>
      </c>
    </row>
    <row r="8711" spans="5:7" ht="15" customHeight="1">
      <c r="E8711" s="49" t="str">
        <f>IFERROR(VLOOKUP(D8711,'taxonomy map'!$A$1:$C$107,2,FALSE),"")</f>
        <v/>
      </c>
      <c r="F8711" s="49" t="str">
        <f>IFERROR(VLOOKUP(E8711,'Condensed Specialty Crosswalk'!$A$2:$C$106,2,FALSE),"")</f>
        <v/>
      </c>
      <c r="G8711" s="49" t="str">
        <f>IFERROR(VLOOKUP(E8711,'Condensed Specialty Crosswalk'!$A$2:$C$106,3,FALSE),"")</f>
        <v/>
      </c>
    </row>
    <row r="8712" spans="5:7" ht="15" customHeight="1">
      <c r="E8712" s="49" t="str">
        <f>IFERROR(VLOOKUP(D8712,'taxonomy map'!$A$1:$C$107,2,FALSE),"")</f>
        <v/>
      </c>
      <c r="F8712" s="49" t="str">
        <f>IFERROR(VLOOKUP(E8712,'Condensed Specialty Crosswalk'!$A$2:$C$106,2,FALSE),"")</f>
        <v/>
      </c>
      <c r="G8712" s="49" t="str">
        <f>IFERROR(VLOOKUP(E8712,'Condensed Specialty Crosswalk'!$A$2:$C$106,3,FALSE),"")</f>
        <v/>
      </c>
    </row>
    <row r="8713" spans="5:7" ht="15" customHeight="1">
      <c r="E8713" s="49" t="str">
        <f>IFERROR(VLOOKUP(D8713,'taxonomy map'!$A$1:$C$107,2,FALSE),"")</f>
        <v/>
      </c>
      <c r="F8713" s="49" t="str">
        <f>IFERROR(VLOOKUP(E8713,'Condensed Specialty Crosswalk'!$A$2:$C$106,2,FALSE),"")</f>
        <v/>
      </c>
      <c r="G8713" s="49" t="str">
        <f>IFERROR(VLOOKUP(E8713,'Condensed Specialty Crosswalk'!$A$2:$C$106,3,FALSE),"")</f>
        <v/>
      </c>
    </row>
    <row r="8714" spans="5:7" ht="15" customHeight="1">
      <c r="E8714" s="49" t="str">
        <f>IFERROR(VLOOKUP(D8714,'taxonomy map'!$A$1:$C$107,2,FALSE),"")</f>
        <v/>
      </c>
      <c r="F8714" s="49" t="str">
        <f>IFERROR(VLOOKUP(E8714,'Condensed Specialty Crosswalk'!$A$2:$C$106,2,FALSE),"")</f>
        <v/>
      </c>
      <c r="G8714" s="49" t="str">
        <f>IFERROR(VLOOKUP(E8714,'Condensed Specialty Crosswalk'!$A$2:$C$106,3,FALSE),"")</f>
        <v/>
      </c>
    </row>
    <row r="8715" spans="5:7" ht="15" customHeight="1">
      <c r="E8715" s="49" t="str">
        <f>IFERROR(VLOOKUP(D8715,'taxonomy map'!$A$1:$C$107,2,FALSE),"")</f>
        <v/>
      </c>
      <c r="F8715" s="49" t="str">
        <f>IFERROR(VLOOKUP(E8715,'Condensed Specialty Crosswalk'!$A$2:$C$106,2,FALSE),"")</f>
        <v/>
      </c>
      <c r="G8715" s="49" t="str">
        <f>IFERROR(VLOOKUP(E8715,'Condensed Specialty Crosswalk'!$A$2:$C$106,3,FALSE),"")</f>
        <v/>
      </c>
    </row>
    <row r="8716" spans="5:7" ht="15" customHeight="1">
      <c r="E8716" s="49" t="str">
        <f>IFERROR(VLOOKUP(D8716,'taxonomy map'!$A$1:$C$107,2,FALSE),"")</f>
        <v/>
      </c>
      <c r="F8716" s="49" t="str">
        <f>IFERROR(VLOOKUP(E8716,'Condensed Specialty Crosswalk'!$A$2:$C$106,2,FALSE),"")</f>
        <v/>
      </c>
      <c r="G8716" s="49" t="str">
        <f>IFERROR(VLOOKUP(E8716,'Condensed Specialty Crosswalk'!$A$2:$C$106,3,FALSE),"")</f>
        <v/>
      </c>
    </row>
    <row r="8717" spans="5:7" ht="15" customHeight="1">
      <c r="E8717" s="49" t="str">
        <f>IFERROR(VLOOKUP(D8717,'taxonomy map'!$A$1:$C$107,2,FALSE),"")</f>
        <v/>
      </c>
      <c r="F8717" s="49" t="str">
        <f>IFERROR(VLOOKUP(E8717,'Condensed Specialty Crosswalk'!$A$2:$C$106,2,FALSE),"")</f>
        <v/>
      </c>
      <c r="G8717" s="49" t="str">
        <f>IFERROR(VLOOKUP(E8717,'Condensed Specialty Crosswalk'!$A$2:$C$106,3,FALSE),"")</f>
        <v/>
      </c>
    </row>
    <row r="8718" spans="5:7" ht="15" customHeight="1">
      <c r="E8718" s="49" t="str">
        <f>IFERROR(VLOOKUP(D8718,'taxonomy map'!$A$1:$C$107,2,FALSE),"")</f>
        <v/>
      </c>
      <c r="F8718" s="49" t="str">
        <f>IFERROR(VLOOKUP(E8718,'Condensed Specialty Crosswalk'!$A$2:$C$106,2,FALSE),"")</f>
        <v/>
      </c>
      <c r="G8718" s="49" t="str">
        <f>IFERROR(VLOOKUP(E8718,'Condensed Specialty Crosswalk'!$A$2:$C$106,3,FALSE),"")</f>
        <v/>
      </c>
    </row>
    <row r="8719" spans="5:7" ht="15" customHeight="1">
      <c r="E8719" s="49" t="str">
        <f>IFERROR(VLOOKUP(D8719,'taxonomy map'!$A$1:$C$107,2,FALSE),"")</f>
        <v/>
      </c>
      <c r="F8719" s="49" t="str">
        <f>IFERROR(VLOOKUP(E8719,'Condensed Specialty Crosswalk'!$A$2:$C$106,2,FALSE),"")</f>
        <v/>
      </c>
      <c r="G8719" s="49" t="str">
        <f>IFERROR(VLOOKUP(E8719,'Condensed Specialty Crosswalk'!$A$2:$C$106,3,FALSE),"")</f>
        <v/>
      </c>
    </row>
    <row r="8720" spans="5:7" ht="15" customHeight="1">
      <c r="E8720" s="49" t="str">
        <f>IFERROR(VLOOKUP(D8720,'taxonomy map'!$A$1:$C$107,2,FALSE),"")</f>
        <v/>
      </c>
      <c r="F8720" s="49" t="str">
        <f>IFERROR(VLOOKUP(E8720,'Condensed Specialty Crosswalk'!$A$2:$C$106,2,FALSE),"")</f>
        <v/>
      </c>
      <c r="G8720" s="49" t="str">
        <f>IFERROR(VLOOKUP(E8720,'Condensed Specialty Crosswalk'!$A$2:$C$106,3,FALSE),"")</f>
        <v/>
      </c>
    </row>
    <row r="8721" spans="5:7" ht="15" customHeight="1">
      <c r="E8721" s="49" t="str">
        <f>IFERROR(VLOOKUP(D8721,'taxonomy map'!$A$1:$C$107,2,FALSE),"")</f>
        <v/>
      </c>
      <c r="F8721" s="49" t="str">
        <f>IFERROR(VLOOKUP(E8721,'Condensed Specialty Crosswalk'!$A$2:$C$106,2,FALSE),"")</f>
        <v/>
      </c>
      <c r="G8721" s="49" t="str">
        <f>IFERROR(VLOOKUP(E8721,'Condensed Specialty Crosswalk'!$A$2:$C$106,3,FALSE),"")</f>
        <v/>
      </c>
    </row>
    <row r="8722" spans="5:7" ht="15" customHeight="1">
      <c r="E8722" s="49" t="str">
        <f>IFERROR(VLOOKUP(D8722,'taxonomy map'!$A$1:$C$107,2,FALSE),"")</f>
        <v/>
      </c>
      <c r="F8722" s="49" t="str">
        <f>IFERROR(VLOOKUP(E8722,'Condensed Specialty Crosswalk'!$A$2:$C$106,2,FALSE),"")</f>
        <v/>
      </c>
      <c r="G8722" s="49" t="str">
        <f>IFERROR(VLOOKUP(E8722,'Condensed Specialty Crosswalk'!$A$2:$C$106,3,FALSE),"")</f>
        <v/>
      </c>
    </row>
    <row r="8723" spans="5:7" ht="15" customHeight="1">
      <c r="E8723" s="49" t="str">
        <f>IFERROR(VLOOKUP(D8723,'taxonomy map'!$A$1:$C$107,2,FALSE),"")</f>
        <v/>
      </c>
      <c r="F8723" s="49" t="str">
        <f>IFERROR(VLOOKUP(E8723,'Condensed Specialty Crosswalk'!$A$2:$C$106,2,FALSE),"")</f>
        <v/>
      </c>
      <c r="G8723" s="49" t="str">
        <f>IFERROR(VLOOKUP(E8723,'Condensed Specialty Crosswalk'!$A$2:$C$106,3,FALSE),"")</f>
        <v/>
      </c>
    </row>
    <row r="8724" spans="5:7" ht="15" customHeight="1">
      <c r="E8724" s="49" t="str">
        <f>IFERROR(VLOOKUP(D8724,'taxonomy map'!$A$1:$C$107,2,FALSE),"")</f>
        <v/>
      </c>
      <c r="F8724" s="49" t="str">
        <f>IFERROR(VLOOKUP(E8724,'Condensed Specialty Crosswalk'!$A$2:$C$106,2,FALSE),"")</f>
        <v/>
      </c>
      <c r="G8724" s="49" t="str">
        <f>IFERROR(VLOOKUP(E8724,'Condensed Specialty Crosswalk'!$A$2:$C$106,3,FALSE),"")</f>
        <v/>
      </c>
    </row>
    <row r="8725" spans="5:7" ht="15" customHeight="1">
      <c r="E8725" s="49" t="str">
        <f>IFERROR(VLOOKUP(D8725,'taxonomy map'!$A$1:$C$107,2,FALSE),"")</f>
        <v/>
      </c>
      <c r="F8725" s="49" t="str">
        <f>IFERROR(VLOOKUP(E8725,'Condensed Specialty Crosswalk'!$A$2:$C$106,2,FALSE),"")</f>
        <v/>
      </c>
      <c r="G8725" s="49" t="str">
        <f>IFERROR(VLOOKUP(E8725,'Condensed Specialty Crosswalk'!$A$2:$C$106,3,FALSE),"")</f>
        <v/>
      </c>
    </row>
    <row r="8726" spans="5:7" ht="15" customHeight="1">
      <c r="E8726" s="49" t="str">
        <f>IFERROR(VLOOKUP(D8726,'taxonomy map'!$A$1:$C$107,2,FALSE),"")</f>
        <v/>
      </c>
      <c r="F8726" s="49" t="str">
        <f>IFERROR(VLOOKUP(E8726,'Condensed Specialty Crosswalk'!$A$2:$C$106,2,FALSE),"")</f>
        <v/>
      </c>
      <c r="G8726" s="49" t="str">
        <f>IFERROR(VLOOKUP(E8726,'Condensed Specialty Crosswalk'!$A$2:$C$106,3,FALSE),"")</f>
        <v/>
      </c>
    </row>
    <row r="8727" spans="5:7" ht="15" customHeight="1">
      <c r="E8727" s="49" t="str">
        <f>IFERROR(VLOOKUP(D8727,'taxonomy map'!$A$1:$C$107,2,FALSE),"")</f>
        <v/>
      </c>
      <c r="F8727" s="49" t="str">
        <f>IFERROR(VLOOKUP(E8727,'Condensed Specialty Crosswalk'!$A$2:$C$106,2,FALSE),"")</f>
        <v/>
      </c>
      <c r="G8727" s="49" t="str">
        <f>IFERROR(VLOOKUP(E8727,'Condensed Specialty Crosswalk'!$A$2:$C$106,3,FALSE),"")</f>
        <v/>
      </c>
    </row>
    <row r="8728" spans="5:7" ht="15" customHeight="1">
      <c r="E8728" s="49" t="str">
        <f>IFERROR(VLOOKUP(D8728,'taxonomy map'!$A$1:$C$107,2,FALSE),"")</f>
        <v/>
      </c>
      <c r="F8728" s="49" t="str">
        <f>IFERROR(VLOOKUP(E8728,'Condensed Specialty Crosswalk'!$A$2:$C$106,2,FALSE),"")</f>
        <v/>
      </c>
      <c r="G8728" s="49" t="str">
        <f>IFERROR(VLOOKUP(E8728,'Condensed Specialty Crosswalk'!$A$2:$C$106,3,FALSE),"")</f>
        <v/>
      </c>
    </row>
    <row r="8729" spans="5:7" ht="15" customHeight="1">
      <c r="E8729" s="49" t="str">
        <f>IFERROR(VLOOKUP(D8729,'taxonomy map'!$A$1:$C$107,2,FALSE),"")</f>
        <v/>
      </c>
      <c r="F8729" s="49" t="str">
        <f>IFERROR(VLOOKUP(E8729,'Condensed Specialty Crosswalk'!$A$2:$C$106,2,FALSE),"")</f>
        <v/>
      </c>
      <c r="G8729" s="49" t="str">
        <f>IFERROR(VLOOKUP(E8729,'Condensed Specialty Crosswalk'!$A$2:$C$106,3,FALSE),"")</f>
        <v/>
      </c>
    </row>
    <row r="8730" spans="5:7" ht="15" customHeight="1">
      <c r="E8730" s="49" t="str">
        <f>IFERROR(VLOOKUP(D8730,'taxonomy map'!$A$1:$C$107,2,FALSE),"")</f>
        <v/>
      </c>
      <c r="F8730" s="49" t="str">
        <f>IFERROR(VLOOKUP(E8730,'Condensed Specialty Crosswalk'!$A$2:$C$106,2,FALSE),"")</f>
        <v/>
      </c>
      <c r="G8730" s="49" t="str">
        <f>IFERROR(VLOOKUP(E8730,'Condensed Specialty Crosswalk'!$A$2:$C$106,3,FALSE),"")</f>
        <v/>
      </c>
    </row>
    <row r="8731" spans="5:7" ht="15" customHeight="1">
      <c r="E8731" s="49" t="str">
        <f>IFERROR(VLOOKUP(D8731,'taxonomy map'!$A$1:$C$107,2,FALSE),"")</f>
        <v/>
      </c>
      <c r="F8731" s="49" t="str">
        <f>IFERROR(VLOOKUP(E8731,'Condensed Specialty Crosswalk'!$A$2:$C$106,2,FALSE),"")</f>
        <v/>
      </c>
      <c r="G8731" s="49" t="str">
        <f>IFERROR(VLOOKUP(E8731,'Condensed Specialty Crosswalk'!$A$2:$C$106,3,FALSE),"")</f>
        <v/>
      </c>
    </row>
    <row r="8732" spans="5:7" ht="15" customHeight="1">
      <c r="E8732" s="49" t="str">
        <f>IFERROR(VLOOKUP(D8732,'taxonomy map'!$A$1:$C$107,2,FALSE),"")</f>
        <v/>
      </c>
      <c r="F8732" s="49" t="str">
        <f>IFERROR(VLOOKUP(E8732,'Condensed Specialty Crosswalk'!$A$2:$C$106,2,FALSE),"")</f>
        <v/>
      </c>
      <c r="G8732" s="49" t="str">
        <f>IFERROR(VLOOKUP(E8732,'Condensed Specialty Crosswalk'!$A$2:$C$106,3,FALSE),"")</f>
        <v/>
      </c>
    </row>
    <row r="8733" spans="5:7" ht="15" customHeight="1">
      <c r="E8733" s="49" t="str">
        <f>IFERROR(VLOOKUP(D8733,'taxonomy map'!$A$1:$C$107,2,FALSE),"")</f>
        <v/>
      </c>
      <c r="F8733" s="49" t="str">
        <f>IFERROR(VLOOKUP(E8733,'Condensed Specialty Crosswalk'!$A$2:$C$106,2,FALSE),"")</f>
        <v/>
      </c>
      <c r="G8733" s="49" t="str">
        <f>IFERROR(VLOOKUP(E8733,'Condensed Specialty Crosswalk'!$A$2:$C$106,3,FALSE),"")</f>
        <v/>
      </c>
    </row>
    <row r="8734" spans="5:7" ht="15" customHeight="1">
      <c r="E8734" s="49" t="str">
        <f>IFERROR(VLOOKUP(D8734,'taxonomy map'!$A$1:$C$107,2,FALSE),"")</f>
        <v/>
      </c>
      <c r="F8734" s="49" t="str">
        <f>IFERROR(VLOOKUP(E8734,'Condensed Specialty Crosswalk'!$A$2:$C$106,2,FALSE),"")</f>
        <v/>
      </c>
      <c r="G8734" s="49" t="str">
        <f>IFERROR(VLOOKUP(E8734,'Condensed Specialty Crosswalk'!$A$2:$C$106,3,FALSE),"")</f>
        <v/>
      </c>
    </row>
    <row r="8735" spans="5:7" ht="15" customHeight="1">
      <c r="E8735" s="49" t="str">
        <f>IFERROR(VLOOKUP(D8735,'taxonomy map'!$A$1:$C$107,2,FALSE),"")</f>
        <v/>
      </c>
      <c r="F8735" s="49" t="str">
        <f>IFERROR(VLOOKUP(E8735,'Condensed Specialty Crosswalk'!$A$2:$C$106,2,FALSE),"")</f>
        <v/>
      </c>
      <c r="G8735" s="49" t="str">
        <f>IFERROR(VLOOKUP(E8735,'Condensed Specialty Crosswalk'!$A$2:$C$106,3,FALSE),"")</f>
        <v/>
      </c>
    </row>
    <row r="8736" spans="5:7" ht="15" customHeight="1">
      <c r="E8736" s="49" t="str">
        <f>IFERROR(VLOOKUP(D8736,'taxonomy map'!$A$1:$C$107,2,FALSE),"")</f>
        <v/>
      </c>
      <c r="F8736" s="49" t="str">
        <f>IFERROR(VLOOKUP(E8736,'Condensed Specialty Crosswalk'!$A$2:$C$106,2,FALSE),"")</f>
        <v/>
      </c>
      <c r="G8736" s="49" t="str">
        <f>IFERROR(VLOOKUP(E8736,'Condensed Specialty Crosswalk'!$A$2:$C$106,3,FALSE),"")</f>
        <v/>
      </c>
    </row>
    <row r="8737" spans="5:7" ht="15" customHeight="1">
      <c r="E8737" s="49" t="str">
        <f>IFERROR(VLOOKUP(D8737,'taxonomy map'!$A$1:$C$107,2,FALSE),"")</f>
        <v/>
      </c>
      <c r="F8737" s="49" t="str">
        <f>IFERROR(VLOOKUP(E8737,'Condensed Specialty Crosswalk'!$A$2:$C$106,2,FALSE),"")</f>
        <v/>
      </c>
      <c r="G8737" s="49" t="str">
        <f>IFERROR(VLOOKUP(E8737,'Condensed Specialty Crosswalk'!$A$2:$C$106,3,FALSE),"")</f>
        <v/>
      </c>
    </row>
    <row r="8738" spans="5:7" ht="15" customHeight="1">
      <c r="E8738" s="49" t="str">
        <f>IFERROR(VLOOKUP(D8738,'taxonomy map'!$A$1:$C$107,2,FALSE),"")</f>
        <v/>
      </c>
      <c r="F8738" s="49" t="str">
        <f>IFERROR(VLOOKUP(E8738,'Condensed Specialty Crosswalk'!$A$2:$C$106,2,FALSE),"")</f>
        <v/>
      </c>
      <c r="G8738" s="49" t="str">
        <f>IFERROR(VLOOKUP(E8738,'Condensed Specialty Crosswalk'!$A$2:$C$106,3,FALSE),"")</f>
        <v/>
      </c>
    </row>
    <row r="8739" spans="5:7" ht="15" customHeight="1">
      <c r="E8739" s="49" t="str">
        <f>IFERROR(VLOOKUP(D8739,'taxonomy map'!$A$1:$C$107,2,FALSE),"")</f>
        <v/>
      </c>
      <c r="F8739" s="49" t="str">
        <f>IFERROR(VLOOKUP(E8739,'Condensed Specialty Crosswalk'!$A$2:$C$106,2,FALSE),"")</f>
        <v/>
      </c>
      <c r="G8739" s="49" t="str">
        <f>IFERROR(VLOOKUP(E8739,'Condensed Specialty Crosswalk'!$A$2:$C$106,3,FALSE),"")</f>
        <v/>
      </c>
    </row>
    <row r="8740" spans="5:7" ht="15" customHeight="1">
      <c r="E8740" s="49" t="str">
        <f>IFERROR(VLOOKUP(D8740,'taxonomy map'!$A$1:$C$107,2,FALSE),"")</f>
        <v/>
      </c>
      <c r="F8740" s="49" t="str">
        <f>IFERROR(VLOOKUP(E8740,'Condensed Specialty Crosswalk'!$A$2:$C$106,2,FALSE),"")</f>
        <v/>
      </c>
      <c r="G8740" s="49" t="str">
        <f>IFERROR(VLOOKUP(E8740,'Condensed Specialty Crosswalk'!$A$2:$C$106,3,FALSE),"")</f>
        <v/>
      </c>
    </row>
    <row r="8741" spans="5:7" ht="15" customHeight="1">
      <c r="E8741" s="49" t="str">
        <f>IFERROR(VLOOKUP(D8741,'taxonomy map'!$A$1:$C$107,2,FALSE),"")</f>
        <v/>
      </c>
      <c r="F8741" s="49" t="str">
        <f>IFERROR(VLOOKUP(E8741,'Condensed Specialty Crosswalk'!$A$2:$C$106,2,FALSE),"")</f>
        <v/>
      </c>
      <c r="G8741" s="49" t="str">
        <f>IFERROR(VLOOKUP(E8741,'Condensed Specialty Crosswalk'!$A$2:$C$106,3,FALSE),"")</f>
        <v/>
      </c>
    </row>
    <row r="8742" spans="5:7" ht="15" customHeight="1">
      <c r="E8742" s="49" t="str">
        <f>IFERROR(VLOOKUP(D8742,'taxonomy map'!$A$1:$C$107,2,FALSE),"")</f>
        <v/>
      </c>
      <c r="F8742" s="49" t="str">
        <f>IFERROR(VLOOKUP(E8742,'Condensed Specialty Crosswalk'!$A$2:$C$106,2,FALSE),"")</f>
        <v/>
      </c>
      <c r="G8742" s="49" t="str">
        <f>IFERROR(VLOOKUP(E8742,'Condensed Specialty Crosswalk'!$A$2:$C$106,3,FALSE),"")</f>
        <v/>
      </c>
    </row>
    <row r="8743" spans="5:7" ht="15" customHeight="1">
      <c r="E8743" s="49" t="str">
        <f>IFERROR(VLOOKUP(D8743,'taxonomy map'!$A$1:$C$107,2,FALSE),"")</f>
        <v/>
      </c>
      <c r="F8743" s="49" t="str">
        <f>IFERROR(VLOOKUP(E8743,'Condensed Specialty Crosswalk'!$A$2:$C$106,2,FALSE),"")</f>
        <v/>
      </c>
      <c r="G8743" s="49" t="str">
        <f>IFERROR(VLOOKUP(E8743,'Condensed Specialty Crosswalk'!$A$2:$C$106,3,FALSE),"")</f>
        <v/>
      </c>
    </row>
    <row r="8744" spans="5:7" ht="15" customHeight="1">
      <c r="E8744" s="49" t="str">
        <f>IFERROR(VLOOKUP(D8744,'taxonomy map'!$A$1:$C$107,2,FALSE),"")</f>
        <v/>
      </c>
      <c r="F8744" s="49" t="str">
        <f>IFERROR(VLOOKUP(E8744,'Condensed Specialty Crosswalk'!$A$2:$C$106,2,FALSE),"")</f>
        <v/>
      </c>
      <c r="G8744" s="49" t="str">
        <f>IFERROR(VLOOKUP(E8744,'Condensed Specialty Crosswalk'!$A$2:$C$106,3,FALSE),"")</f>
        <v/>
      </c>
    </row>
    <row r="8745" spans="5:7" ht="15" customHeight="1">
      <c r="E8745" s="49" t="str">
        <f>IFERROR(VLOOKUP(D8745,'taxonomy map'!$A$1:$C$107,2,FALSE),"")</f>
        <v/>
      </c>
      <c r="F8745" s="49" t="str">
        <f>IFERROR(VLOOKUP(E8745,'Condensed Specialty Crosswalk'!$A$2:$C$106,2,FALSE),"")</f>
        <v/>
      </c>
      <c r="G8745" s="49" t="str">
        <f>IFERROR(VLOOKUP(E8745,'Condensed Specialty Crosswalk'!$A$2:$C$106,3,FALSE),"")</f>
        <v/>
      </c>
    </row>
    <row r="8746" spans="5:7" ht="15" customHeight="1">
      <c r="E8746" s="49" t="str">
        <f>IFERROR(VLOOKUP(D8746,'taxonomy map'!$A$1:$C$107,2,FALSE),"")</f>
        <v/>
      </c>
      <c r="F8746" s="49" t="str">
        <f>IFERROR(VLOOKUP(E8746,'Condensed Specialty Crosswalk'!$A$2:$C$106,2,FALSE),"")</f>
        <v/>
      </c>
      <c r="G8746" s="49" t="str">
        <f>IFERROR(VLOOKUP(E8746,'Condensed Specialty Crosswalk'!$A$2:$C$106,3,FALSE),"")</f>
        <v/>
      </c>
    </row>
    <row r="8747" spans="5:7" ht="15" customHeight="1">
      <c r="E8747" s="49" t="str">
        <f>IFERROR(VLOOKUP(D8747,'taxonomy map'!$A$1:$C$107,2,FALSE),"")</f>
        <v/>
      </c>
      <c r="F8747" s="49" t="str">
        <f>IFERROR(VLOOKUP(E8747,'Condensed Specialty Crosswalk'!$A$2:$C$106,2,FALSE),"")</f>
        <v/>
      </c>
      <c r="G8747" s="49" t="str">
        <f>IFERROR(VLOOKUP(E8747,'Condensed Specialty Crosswalk'!$A$2:$C$106,3,FALSE),"")</f>
        <v/>
      </c>
    </row>
    <row r="8748" spans="5:7" ht="15" customHeight="1">
      <c r="E8748" s="49" t="str">
        <f>IFERROR(VLOOKUP(D8748,'taxonomy map'!$A$1:$C$107,2,FALSE),"")</f>
        <v/>
      </c>
      <c r="F8748" s="49" t="str">
        <f>IFERROR(VLOOKUP(E8748,'Condensed Specialty Crosswalk'!$A$2:$C$106,2,FALSE),"")</f>
        <v/>
      </c>
      <c r="G8748" s="49" t="str">
        <f>IFERROR(VLOOKUP(E8748,'Condensed Specialty Crosswalk'!$A$2:$C$106,3,FALSE),"")</f>
        <v/>
      </c>
    </row>
    <row r="8749" spans="5:7" ht="15" customHeight="1">
      <c r="E8749" s="49" t="str">
        <f>IFERROR(VLOOKUP(D8749,'taxonomy map'!$A$1:$C$107,2,FALSE),"")</f>
        <v/>
      </c>
      <c r="F8749" s="49" t="str">
        <f>IFERROR(VLOOKUP(E8749,'Condensed Specialty Crosswalk'!$A$2:$C$106,2,FALSE),"")</f>
        <v/>
      </c>
      <c r="G8749" s="49" t="str">
        <f>IFERROR(VLOOKUP(E8749,'Condensed Specialty Crosswalk'!$A$2:$C$106,3,FALSE),"")</f>
        <v/>
      </c>
    </row>
    <row r="8750" spans="5:7" ht="15" customHeight="1">
      <c r="E8750" s="49" t="str">
        <f>IFERROR(VLOOKUP(D8750,'taxonomy map'!$A$1:$C$107,2,FALSE),"")</f>
        <v/>
      </c>
      <c r="F8750" s="49" t="str">
        <f>IFERROR(VLOOKUP(E8750,'Condensed Specialty Crosswalk'!$A$2:$C$106,2,FALSE),"")</f>
        <v/>
      </c>
      <c r="G8750" s="49" t="str">
        <f>IFERROR(VLOOKUP(E8750,'Condensed Specialty Crosswalk'!$A$2:$C$106,3,FALSE),"")</f>
        <v/>
      </c>
    </row>
    <row r="8751" spans="5:7" ht="15" customHeight="1">
      <c r="E8751" s="49" t="str">
        <f>IFERROR(VLOOKUP(D8751,'taxonomy map'!$A$1:$C$107,2,FALSE),"")</f>
        <v/>
      </c>
      <c r="F8751" s="49" t="str">
        <f>IFERROR(VLOOKUP(E8751,'Condensed Specialty Crosswalk'!$A$2:$C$106,2,FALSE),"")</f>
        <v/>
      </c>
      <c r="G8751" s="49" t="str">
        <f>IFERROR(VLOOKUP(E8751,'Condensed Specialty Crosswalk'!$A$2:$C$106,3,FALSE),"")</f>
        <v/>
      </c>
    </row>
    <row r="8752" spans="5:7" ht="15" customHeight="1">
      <c r="E8752" s="49" t="str">
        <f>IFERROR(VLOOKUP(D8752,'taxonomy map'!$A$1:$C$107,2,FALSE),"")</f>
        <v/>
      </c>
      <c r="F8752" s="49" t="str">
        <f>IFERROR(VLOOKUP(E8752,'Condensed Specialty Crosswalk'!$A$2:$C$106,2,FALSE),"")</f>
        <v/>
      </c>
      <c r="G8752" s="49" t="str">
        <f>IFERROR(VLOOKUP(E8752,'Condensed Specialty Crosswalk'!$A$2:$C$106,3,FALSE),"")</f>
        <v/>
      </c>
    </row>
    <row r="8753" spans="5:7" ht="15" customHeight="1">
      <c r="E8753" s="49" t="str">
        <f>IFERROR(VLOOKUP(D8753,'taxonomy map'!$A$1:$C$107,2,FALSE),"")</f>
        <v/>
      </c>
      <c r="F8753" s="49" t="str">
        <f>IFERROR(VLOOKUP(E8753,'Condensed Specialty Crosswalk'!$A$2:$C$106,2,FALSE),"")</f>
        <v/>
      </c>
      <c r="G8753" s="49" t="str">
        <f>IFERROR(VLOOKUP(E8753,'Condensed Specialty Crosswalk'!$A$2:$C$106,3,FALSE),"")</f>
        <v/>
      </c>
    </row>
    <row r="8754" spans="5:7" ht="15" customHeight="1">
      <c r="E8754" s="49" t="str">
        <f>IFERROR(VLOOKUP(D8754,'taxonomy map'!$A$1:$C$107,2,FALSE),"")</f>
        <v/>
      </c>
      <c r="F8754" s="49" t="str">
        <f>IFERROR(VLOOKUP(E8754,'Condensed Specialty Crosswalk'!$A$2:$C$106,2,FALSE),"")</f>
        <v/>
      </c>
      <c r="G8754" s="49" t="str">
        <f>IFERROR(VLOOKUP(E8754,'Condensed Specialty Crosswalk'!$A$2:$C$106,3,FALSE),"")</f>
        <v/>
      </c>
    </row>
    <row r="8755" spans="5:7" ht="15" customHeight="1">
      <c r="E8755" s="49" t="str">
        <f>IFERROR(VLOOKUP(D8755,'taxonomy map'!$A$1:$C$107,2,FALSE),"")</f>
        <v/>
      </c>
      <c r="F8755" s="49" t="str">
        <f>IFERROR(VLOOKUP(E8755,'Condensed Specialty Crosswalk'!$A$2:$C$106,2,FALSE),"")</f>
        <v/>
      </c>
      <c r="G8755" s="49" t="str">
        <f>IFERROR(VLOOKUP(E8755,'Condensed Specialty Crosswalk'!$A$2:$C$106,3,FALSE),"")</f>
        <v/>
      </c>
    </row>
    <row r="8756" spans="5:7" ht="15" customHeight="1">
      <c r="E8756" s="49" t="str">
        <f>IFERROR(VLOOKUP(D8756,'taxonomy map'!$A$1:$C$107,2,FALSE),"")</f>
        <v/>
      </c>
      <c r="F8756" s="49" t="str">
        <f>IFERROR(VLOOKUP(E8756,'Condensed Specialty Crosswalk'!$A$2:$C$106,2,FALSE),"")</f>
        <v/>
      </c>
      <c r="G8756" s="49" t="str">
        <f>IFERROR(VLOOKUP(E8756,'Condensed Specialty Crosswalk'!$A$2:$C$106,3,FALSE),"")</f>
        <v/>
      </c>
    </row>
    <row r="8757" spans="5:7" ht="15" customHeight="1">
      <c r="E8757" s="49" t="str">
        <f>IFERROR(VLOOKUP(D8757,'taxonomy map'!$A$1:$C$107,2,FALSE),"")</f>
        <v/>
      </c>
      <c r="F8757" s="49" t="str">
        <f>IFERROR(VLOOKUP(E8757,'Condensed Specialty Crosswalk'!$A$2:$C$106,2,FALSE),"")</f>
        <v/>
      </c>
      <c r="G8757" s="49" t="str">
        <f>IFERROR(VLOOKUP(E8757,'Condensed Specialty Crosswalk'!$A$2:$C$106,3,FALSE),"")</f>
        <v/>
      </c>
    </row>
    <row r="8758" spans="5:7" ht="15" customHeight="1">
      <c r="E8758" s="49" t="str">
        <f>IFERROR(VLOOKUP(D8758,'taxonomy map'!$A$1:$C$107,2,FALSE),"")</f>
        <v/>
      </c>
      <c r="F8758" s="49" t="str">
        <f>IFERROR(VLOOKUP(E8758,'Condensed Specialty Crosswalk'!$A$2:$C$106,2,FALSE),"")</f>
        <v/>
      </c>
      <c r="G8758" s="49" t="str">
        <f>IFERROR(VLOOKUP(E8758,'Condensed Specialty Crosswalk'!$A$2:$C$106,3,FALSE),"")</f>
        <v/>
      </c>
    </row>
    <row r="8759" spans="5:7" ht="15" customHeight="1">
      <c r="E8759" s="49" t="str">
        <f>IFERROR(VLOOKUP(D8759,'taxonomy map'!$A$1:$C$107,2,FALSE),"")</f>
        <v/>
      </c>
      <c r="F8759" s="49" t="str">
        <f>IFERROR(VLOOKUP(E8759,'Condensed Specialty Crosswalk'!$A$2:$C$106,2,FALSE),"")</f>
        <v/>
      </c>
      <c r="G8759" s="49" t="str">
        <f>IFERROR(VLOOKUP(E8759,'Condensed Specialty Crosswalk'!$A$2:$C$106,3,FALSE),"")</f>
        <v/>
      </c>
    </row>
    <row r="8760" spans="5:7" ht="15" customHeight="1">
      <c r="E8760" s="49" t="str">
        <f>IFERROR(VLOOKUP(D8760,'taxonomy map'!$A$1:$C$107,2,FALSE),"")</f>
        <v/>
      </c>
      <c r="F8760" s="49" t="str">
        <f>IFERROR(VLOOKUP(E8760,'Condensed Specialty Crosswalk'!$A$2:$C$106,2,FALSE),"")</f>
        <v/>
      </c>
      <c r="G8760" s="49" t="str">
        <f>IFERROR(VLOOKUP(E8760,'Condensed Specialty Crosswalk'!$A$2:$C$106,3,FALSE),"")</f>
        <v/>
      </c>
    </row>
    <row r="8761" spans="5:7" ht="15" customHeight="1">
      <c r="E8761" s="49" t="str">
        <f>IFERROR(VLOOKUP(D8761,'taxonomy map'!$A$1:$C$107,2,FALSE),"")</f>
        <v/>
      </c>
      <c r="F8761" s="49" t="str">
        <f>IFERROR(VLOOKUP(E8761,'Condensed Specialty Crosswalk'!$A$2:$C$106,2,FALSE),"")</f>
        <v/>
      </c>
      <c r="G8761" s="49" t="str">
        <f>IFERROR(VLOOKUP(E8761,'Condensed Specialty Crosswalk'!$A$2:$C$106,3,FALSE),"")</f>
        <v/>
      </c>
    </row>
    <row r="8762" spans="5:7" ht="15" customHeight="1">
      <c r="E8762" s="49" t="str">
        <f>IFERROR(VLOOKUP(D8762,'taxonomy map'!$A$1:$C$107,2,FALSE),"")</f>
        <v/>
      </c>
      <c r="F8762" s="49" t="str">
        <f>IFERROR(VLOOKUP(E8762,'Condensed Specialty Crosswalk'!$A$2:$C$106,2,FALSE),"")</f>
        <v/>
      </c>
      <c r="G8762" s="49" t="str">
        <f>IFERROR(VLOOKUP(E8762,'Condensed Specialty Crosswalk'!$A$2:$C$106,3,FALSE),"")</f>
        <v/>
      </c>
    </row>
    <row r="8763" spans="5:7" ht="15" customHeight="1">
      <c r="E8763" s="49" t="str">
        <f>IFERROR(VLOOKUP(D8763,'taxonomy map'!$A$1:$C$107,2,FALSE),"")</f>
        <v/>
      </c>
      <c r="F8763" s="49" t="str">
        <f>IFERROR(VLOOKUP(E8763,'Condensed Specialty Crosswalk'!$A$2:$C$106,2,FALSE),"")</f>
        <v/>
      </c>
      <c r="G8763" s="49" t="str">
        <f>IFERROR(VLOOKUP(E8763,'Condensed Specialty Crosswalk'!$A$2:$C$106,3,FALSE),"")</f>
        <v/>
      </c>
    </row>
    <row r="8764" spans="5:7" ht="15" customHeight="1">
      <c r="E8764" s="49" t="str">
        <f>IFERROR(VLOOKUP(D8764,'taxonomy map'!$A$1:$C$107,2,FALSE),"")</f>
        <v/>
      </c>
      <c r="F8764" s="49" t="str">
        <f>IFERROR(VLOOKUP(E8764,'Condensed Specialty Crosswalk'!$A$2:$C$106,2,FALSE),"")</f>
        <v/>
      </c>
      <c r="G8764" s="49" t="str">
        <f>IFERROR(VLOOKUP(E8764,'Condensed Specialty Crosswalk'!$A$2:$C$106,3,FALSE),"")</f>
        <v/>
      </c>
    </row>
    <row r="8765" spans="5:7" ht="15" customHeight="1">
      <c r="E8765" s="49" t="str">
        <f>IFERROR(VLOOKUP(D8765,'taxonomy map'!$A$1:$C$107,2,FALSE),"")</f>
        <v/>
      </c>
      <c r="F8765" s="49" t="str">
        <f>IFERROR(VLOOKUP(E8765,'Condensed Specialty Crosswalk'!$A$2:$C$106,2,FALSE),"")</f>
        <v/>
      </c>
      <c r="G8765" s="49" t="str">
        <f>IFERROR(VLOOKUP(E8765,'Condensed Specialty Crosswalk'!$A$2:$C$106,3,FALSE),"")</f>
        <v/>
      </c>
    </row>
    <row r="8766" spans="5:7" ht="15" customHeight="1">
      <c r="E8766" s="49" t="str">
        <f>IFERROR(VLOOKUP(D8766,'taxonomy map'!$A$1:$C$107,2,FALSE),"")</f>
        <v/>
      </c>
      <c r="F8766" s="49" t="str">
        <f>IFERROR(VLOOKUP(E8766,'Condensed Specialty Crosswalk'!$A$2:$C$106,2,FALSE),"")</f>
        <v/>
      </c>
      <c r="G8766" s="49" t="str">
        <f>IFERROR(VLOOKUP(E8766,'Condensed Specialty Crosswalk'!$A$2:$C$106,3,FALSE),"")</f>
        <v/>
      </c>
    </row>
    <row r="8767" spans="5:7" ht="15" customHeight="1">
      <c r="E8767" s="49" t="str">
        <f>IFERROR(VLOOKUP(D8767,'taxonomy map'!$A$1:$C$107,2,FALSE),"")</f>
        <v/>
      </c>
      <c r="F8767" s="49" t="str">
        <f>IFERROR(VLOOKUP(E8767,'Condensed Specialty Crosswalk'!$A$2:$C$106,2,FALSE),"")</f>
        <v/>
      </c>
      <c r="G8767" s="49" t="str">
        <f>IFERROR(VLOOKUP(E8767,'Condensed Specialty Crosswalk'!$A$2:$C$106,3,FALSE),"")</f>
        <v/>
      </c>
    </row>
    <row r="8768" spans="5:7" ht="15" customHeight="1">
      <c r="E8768" s="49" t="str">
        <f>IFERROR(VLOOKUP(D8768,'taxonomy map'!$A$1:$C$107,2,FALSE),"")</f>
        <v/>
      </c>
      <c r="F8768" s="49" t="str">
        <f>IFERROR(VLOOKUP(E8768,'Condensed Specialty Crosswalk'!$A$2:$C$106,2,FALSE),"")</f>
        <v/>
      </c>
      <c r="G8768" s="49" t="str">
        <f>IFERROR(VLOOKUP(E8768,'Condensed Specialty Crosswalk'!$A$2:$C$106,3,FALSE),"")</f>
        <v/>
      </c>
    </row>
    <row r="8769" spans="5:7" ht="15" customHeight="1">
      <c r="E8769" s="49" t="str">
        <f>IFERROR(VLOOKUP(D8769,'taxonomy map'!$A$1:$C$107,2,FALSE),"")</f>
        <v/>
      </c>
      <c r="F8769" s="49" t="str">
        <f>IFERROR(VLOOKUP(E8769,'Condensed Specialty Crosswalk'!$A$2:$C$106,2,FALSE),"")</f>
        <v/>
      </c>
      <c r="G8769" s="49" t="str">
        <f>IFERROR(VLOOKUP(E8769,'Condensed Specialty Crosswalk'!$A$2:$C$106,3,FALSE),"")</f>
        <v/>
      </c>
    </row>
    <row r="8770" spans="5:7" ht="15" customHeight="1">
      <c r="E8770" s="49" t="str">
        <f>IFERROR(VLOOKUP(D8770,'taxonomy map'!$A$1:$C$107,2,FALSE),"")</f>
        <v/>
      </c>
      <c r="F8770" s="49" t="str">
        <f>IFERROR(VLOOKUP(E8770,'Condensed Specialty Crosswalk'!$A$2:$C$106,2,FALSE),"")</f>
        <v/>
      </c>
      <c r="G8770" s="49" t="str">
        <f>IFERROR(VLOOKUP(E8770,'Condensed Specialty Crosswalk'!$A$2:$C$106,3,FALSE),"")</f>
        <v/>
      </c>
    </row>
    <row r="8771" spans="5:7" ht="15" customHeight="1">
      <c r="E8771" s="49" t="str">
        <f>IFERROR(VLOOKUP(D8771,'taxonomy map'!$A$1:$C$107,2,FALSE),"")</f>
        <v/>
      </c>
      <c r="F8771" s="49" t="str">
        <f>IFERROR(VLOOKUP(E8771,'Condensed Specialty Crosswalk'!$A$2:$C$106,2,FALSE),"")</f>
        <v/>
      </c>
      <c r="G8771" s="49" t="str">
        <f>IFERROR(VLOOKUP(E8771,'Condensed Specialty Crosswalk'!$A$2:$C$106,3,FALSE),"")</f>
        <v/>
      </c>
    </row>
    <row r="8772" spans="5:7" ht="15" customHeight="1">
      <c r="E8772" s="49" t="str">
        <f>IFERROR(VLOOKUP(D8772,'taxonomy map'!$A$1:$C$107,2,FALSE),"")</f>
        <v/>
      </c>
      <c r="F8772" s="49" t="str">
        <f>IFERROR(VLOOKUP(E8772,'Condensed Specialty Crosswalk'!$A$2:$C$106,2,FALSE),"")</f>
        <v/>
      </c>
      <c r="G8772" s="49" t="str">
        <f>IFERROR(VLOOKUP(E8772,'Condensed Specialty Crosswalk'!$A$2:$C$106,3,FALSE),"")</f>
        <v/>
      </c>
    </row>
    <row r="8773" spans="5:7" ht="15" customHeight="1">
      <c r="E8773" s="49" t="str">
        <f>IFERROR(VLOOKUP(D8773,'taxonomy map'!$A$1:$C$107,2,FALSE),"")</f>
        <v/>
      </c>
      <c r="F8773" s="49" t="str">
        <f>IFERROR(VLOOKUP(E8773,'Condensed Specialty Crosswalk'!$A$2:$C$106,2,FALSE),"")</f>
        <v/>
      </c>
      <c r="G8773" s="49" t="str">
        <f>IFERROR(VLOOKUP(E8773,'Condensed Specialty Crosswalk'!$A$2:$C$106,3,FALSE),"")</f>
        <v/>
      </c>
    </row>
    <row r="8774" spans="5:7" ht="15" customHeight="1">
      <c r="E8774" s="49" t="str">
        <f>IFERROR(VLOOKUP(D8774,'taxonomy map'!$A$1:$C$107,2,FALSE),"")</f>
        <v/>
      </c>
      <c r="F8774" s="49" t="str">
        <f>IFERROR(VLOOKUP(E8774,'Condensed Specialty Crosswalk'!$A$2:$C$106,2,FALSE),"")</f>
        <v/>
      </c>
      <c r="G8774" s="49" t="str">
        <f>IFERROR(VLOOKUP(E8774,'Condensed Specialty Crosswalk'!$A$2:$C$106,3,FALSE),"")</f>
        <v/>
      </c>
    </row>
    <row r="8775" spans="5:7" ht="15" customHeight="1">
      <c r="E8775" s="49" t="str">
        <f>IFERROR(VLOOKUP(D8775,'taxonomy map'!$A$1:$C$107,2,FALSE),"")</f>
        <v/>
      </c>
      <c r="F8775" s="49" t="str">
        <f>IFERROR(VLOOKUP(E8775,'Condensed Specialty Crosswalk'!$A$2:$C$106,2,FALSE),"")</f>
        <v/>
      </c>
      <c r="G8775" s="49" t="str">
        <f>IFERROR(VLOOKUP(E8775,'Condensed Specialty Crosswalk'!$A$2:$C$106,3,FALSE),"")</f>
        <v/>
      </c>
    </row>
    <row r="8776" spans="5:7" ht="15" customHeight="1">
      <c r="E8776" s="49" t="str">
        <f>IFERROR(VLOOKUP(D8776,'taxonomy map'!$A$1:$C$107,2,FALSE),"")</f>
        <v/>
      </c>
      <c r="F8776" s="49" t="str">
        <f>IFERROR(VLOOKUP(E8776,'Condensed Specialty Crosswalk'!$A$2:$C$106,2,FALSE),"")</f>
        <v/>
      </c>
      <c r="G8776" s="49" t="str">
        <f>IFERROR(VLOOKUP(E8776,'Condensed Specialty Crosswalk'!$A$2:$C$106,3,FALSE),"")</f>
        <v/>
      </c>
    </row>
    <row r="8777" spans="5:7" ht="15" customHeight="1">
      <c r="E8777" s="49" t="str">
        <f>IFERROR(VLOOKUP(D8777,'taxonomy map'!$A$1:$C$107,2,FALSE),"")</f>
        <v/>
      </c>
      <c r="F8777" s="49" t="str">
        <f>IFERROR(VLOOKUP(E8777,'Condensed Specialty Crosswalk'!$A$2:$C$106,2,FALSE),"")</f>
        <v/>
      </c>
      <c r="G8777" s="49" t="str">
        <f>IFERROR(VLOOKUP(E8777,'Condensed Specialty Crosswalk'!$A$2:$C$106,3,FALSE),"")</f>
        <v/>
      </c>
    </row>
    <row r="8778" spans="5:7" ht="15" customHeight="1">
      <c r="E8778" s="49" t="str">
        <f>IFERROR(VLOOKUP(D8778,'taxonomy map'!$A$1:$C$107,2,FALSE),"")</f>
        <v/>
      </c>
      <c r="F8778" s="49" t="str">
        <f>IFERROR(VLOOKUP(E8778,'Condensed Specialty Crosswalk'!$A$2:$C$106,2,FALSE),"")</f>
        <v/>
      </c>
      <c r="G8778" s="49" t="str">
        <f>IFERROR(VLOOKUP(E8778,'Condensed Specialty Crosswalk'!$A$2:$C$106,3,FALSE),"")</f>
        <v/>
      </c>
    </row>
    <row r="8779" spans="5:7" ht="15" customHeight="1">
      <c r="E8779" s="49" t="str">
        <f>IFERROR(VLOOKUP(D8779,'taxonomy map'!$A$1:$C$107,2,FALSE),"")</f>
        <v/>
      </c>
      <c r="F8779" s="49" t="str">
        <f>IFERROR(VLOOKUP(E8779,'Condensed Specialty Crosswalk'!$A$2:$C$106,2,FALSE),"")</f>
        <v/>
      </c>
      <c r="G8779" s="49" t="str">
        <f>IFERROR(VLOOKUP(E8779,'Condensed Specialty Crosswalk'!$A$2:$C$106,3,FALSE),"")</f>
        <v/>
      </c>
    </row>
    <row r="8780" spans="5:7" ht="15" customHeight="1">
      <c r="E8780" s="49" t="str">
        <f>IFERROR(VLOOKUP(D8780,'taxonomy map'!$A$1:$C$107,2,FALSE),"")</f>
        <v/>
      </c>
      <c r="F8780" s="49" t="str">
        <f>IFERROR(VLOOKUP(E8780,'Condensed Specialty Crosswalk'!$A$2:$C$106,2,FALSE),"")</f>
        <v/>
      </c>
      <c r="G8780" s="49" t="str">
        <f>IFERROR(VLOOKUP(E8780,'Condensed Specialty Crosswalk'!$A$2:$C$106,3,FALSE),"")</f>
        <v/>
      </c>
    </row>
    <row r="8781" spans="5:7" ht="15" customHeight="1">
      <c r="E8781" s="49" t="str">
        <f>IFERROR(VLOOKUP(D8781,'taxonomy map'!$A$1:$C$107,2,FALSE),"")</f>
        <v/>
      </c>
      <c r="F8781" s="49" t="str">
        <f>IFERROR(VLOOKUP(E8781,'Condensed Specialty Crosswalk'!$A$2:$C$106,2,FALSE),"")</f>
        <v/>
      </c>
      <c r="G8781" s="49" t="str">
        <f>IFERROR(VLOOKUP(E8781,'Condensed Specialty Crosswalk'!$A$2:$C$106,3,FALSE),"")</f>
        <v/>
      </c>
    </row>
    <row r="8782" spans="5:7" ht="15" customHeight="1">
      <c r="E8782" s="49" t="str">
        <f>IFERROR(VLOOKUP(D8782,'taxonomy map'!$A$1:$C$107,2,FALSE),"")</f>
        <v/>
      </c>
      <c r="F8782" s="49" t="str">
        <f>IFERROR(VLOOKUP(E8782,'Condensed Specialty Crosswalk'!$A$2:$C$106,2,FALSE),"")</f>
        <v/>
      </c>
      <c r="G8782" s="49" t="str">
        <f>IFERROR(VLOOKUP(E8782,'Condensed Specialty Crosswalk'!$A$2:$C$106,3,FALSE),"")</f>
        <v/>
      </c>
    </row>
    <row r="8783" spans="5:7" ht="15" customHeight="1">
      <c r="E8783" s="49" t="str">
        <f>IFERROR(VLOOKUP(D8783,'taxonomy map'!$A$1:$C$107,2,FALSE),"")</f>
        <v/>
      </c>
      <c r="F8783" s="49" t="str">
        <f>IFERROR(VLOOKUP(E8783,'Condensed Specialty Crosswalk'!$A$2:$C$106,2,FALSE),"")</f>
        <v/>
      </c>
      <c r="G8783" s="49" t="str">
        <f>IFERROR(VLOOKUP(E8783,'Condensed Specialty Crosswalk'!$A$2:$C$106,3,FALSE),"")</f>
        <v/>
      </c>
    </row>
    <row r="8784" spans="5:7" ht="15" customHeight="1">
      <c r="E8784" s="49" t="str">
        <f>IFERROR(VLOOKUP(D8784,'taxonomy map'!$A$1:$C$107,2,FALSE),"")</f>
        <v/>
      </c>
      <c r="F8784" s="49" t="str">
        <f>IFERROR(VLOOKUP(E8784,'Condensed Specialty Crosswalk'!$A$2:$C$106,2,FALSE),"")</f>
        <v/>
      </c>
      <c r="G8784" s="49" t="str">
        <f>IFERROR(VLOOKUP(E8784,'Condensed Specialty Crosswalk'!$A$2:$C$106,3,FALSE),"")</f>
        <v/>
      </c>
    </row>
    <row r="8785" spans="5:7" ht="15" customHeight="1">
      <c r="E8785" s="49" t="str">
        <f>IFERROR(VLOOKUP(D8785,'taxonomy map'!$A$1:$C$107,2,FALSE),"")</f>
        <v/>
      </c>
      <c r="F8785" s="49" t="str">
        <f>IFERROR(VLOOKUP(E8785,'Condensed Specialty Crosswalk'!$A$2:$C$106,2,FALSE),"")</f>
        <v/>
      </c>
      <c r="G8785" s="49" t="str">
        <f>IFERROR(VLOOKUP(E8785,'Condensed Specialty Crosswalk'!$A$2:$C$106,3,FALSE),"")</f>
        <v/>
      </c>
    </row>
    <row r="8786" spans="5:7" ht="15" customHeight="1">
      <c r="E8786" s="49" t="str">
        <f>IFERROR(VLOOKUP(D8786,'taxonomy map'!$A$1:$C$107,2,FALSE),"")</f>
        <v/>
      </c>
      <c r="F8786" s="49" t="str">
        <f>IFERROR(VLOOKUP(E8786,'Condensed Specialty Crosswalk'!$A$2:$C$106,2,FALSE),"")</f>
        <v/>
      </c>
      <c r="G8786" s="49" t="str">
        <f>IFERROR(VLOOKUP(E8786,'Condensed Specialty Crosswalk'!$A$2:$C$106,3,FALSE),"")</f>
        <v/>
      </c>
    </row>
    <row r="8787" spans="5:7" ht="15" customHeight="1">
      <c r="E8787" s="49" t="str">
        <f>IFERROR(VLOOKUP(D8787,'taxonomy map'!$A$1:$C$107,2,FALSE),"")</f>
        <v/>
      </c>
      <c r="F8787" s="49" t="str">
        <f>IFERROR(VLOOKUP(E8787,'Condensed Specialty Crosswalk'!$A$2:$C$106,2,FALSE),"")</f>
        <v/>
      </c>
      <c r="G8787" s="49" t="str">
        <f>IFERROR(VLOOKUP(E8787,'Condensed Specialty Crosswalk'!$A$2:$C$106,3,FALSE),"")</f>
        <v/>
      </c>
    </row>
    <row r="8788" spans="5:7" ht="15" customHeight="1">
      <c r="E8788" s="49" t="str">
        <f>IFERROR(VLOOKUP(D8788,'taxonomy map'!$A$1:$C$107,2,FALSE),"")</f>
        <v/>
      </c>
      <c r="F8788" s="49" t="str">
        <f>IFERROR(VLOOKUP(E8788,'Condensed Specialty Crosswalk'!$A$2:$C$106,2,FALSE),"")</f>
        <v/>
      </c>
      <c r="G8788" s="49" t="str">
        <f>IFERROR(VLOOKUP(E8788,'Condensed Specialty Crosswalk'!$A$2:$C$106,3,FALSE),"")</f>
        <v/>
      </c>
    </row>
    <row r="8789" spans="5:7" ht="15" customHeight="1">
      <c r="E8789" s="49" t="str">
        <f>IFERROR(VLOOKUP(D8789,'taxonomy map'!$A$1:$C$107,2,FALSE),"")</f>
        <v/>
      </c>
      <c r="F8789" s="49" t="str">
        <f>IFERROR(VLOOKUP(E8789,'Condensed Specialty Crosswalk'!$A$2:$C$106,2,FALSE),"")</f>
        <v/>
      </c>
      <c r="G8789" s="49" t="str">
        <f>IFERROR(VLOOKUP(E8789,'Condensed Specialty Crosswalk'!$A$2:$C$106,3,FALSE),"")</f>
        <v/>
      </c>
    </row>
    <row r="8790" spans="5:7" ht="15" customHeight="1">
      <c r="E8790" s="49" t="str">
        <f>IFERROR(VLOOKUP(D8790,'taxonomy map'!$A$1:$C$107,2,FALSE),"")</f>
        <v/>
      </c>
      <c r="F8790" s="49" t="str">
        <f>IFERROR(VLOOKUP(E8790,'Condensed Specialty Crosswalk'!$A$2:$C$106,2,FALSE),"")</f>
        <v/>
      </c>
      <c r="G8790" s="49" t="str">
        <f>IFERROR(VLOOKUP(E8790,'Condensed Specialty Crosswalk'!$A$2:$C$106,3,FALSE),"")</f>
        <v/>
      </c>
    </row>
    <row r="8791" spans="5:7" ht="15" customHeight="1">
      <c r="E8791" s="49" t="str">
        <f>IFERROR(VLOOKUP(D8791,'taxonomy map'!$A$1:$C$107,2,FALSE),"")</f>
        <v/>
      </c>
      <c r="F8791" s="49" t="str">
        <f>IFERROR(VLOOKUP(E8791,'Condensed Specialty Crosswalk'!$A$2:$C$106,2,FALSE),"")</f>
        <v/>
      </c>
      <c r="G8791" s="49" t="str">
        <f>IFERROR(VLOOKUP(E8791,'Condensed Specialty Crosswalk'!$A$2:$C$106,3,FALSE),"")</f>
        <v/>
      </c>
    </row>
    <row r="8792" spans="5:7" ht="15" customHeight="1">
      <c r="E8792" s="49" t="str">
        <f>IFERROR(VLOOKUP(D8792,'taxonomy map'!$A$1:$C$107,2,FALSE),"")</f>
        <v/>
      </c>
      <c r="F8792" s="49" t="str">
        <f>IFERROR(VLOOKUP(E8792,'Condensed Specialty Crosswalk'!$A$2:$C$106,2,FALSE),"")</f>
        <v/>
      </c>
      <c r="G8792" s="49" t="str">
        <f>IFERROR(VLOOKUP(E8792,'Condensed Specialty Crosswalk'!$A$2:$C$106,3,FALSE),"")</f>
        <v/>
      </c>
    </row>
    <row r="8793" spans="5:7" ht="15" customHeight="1">
      <c r="E8793" s="49" t="str">
        <f>IFERROR(VLOOKUP(D8793,'taxonomy map'!$A$1:$C$107,2,FALSE),"")</f>
        <v/>
      </c>
      <c r="F8793" s="49" t="str">
        <f>IFERROR(VLOOKUP(E8793,'Condensed Specialty Crosswalk'!$A$2:$C$106,2,FALSE),"")</f>
        <v/>
      </c>
      <c r="G8793" s="49" t="str">
        <f>IFERROR(VLOOKUP(E8793,'Condensed Specialty Crosswalk'!$A$2:$C$106,3,FALSE),"")</f>
        <v/>
      </c>
    </row>
    <row r="8794" spans="5:7" ht="15" customHeight="1">
      <c r="E8794" s="49" t="str">
        <f>IFERROR(VLOOKUP(D8794,'taxonomy map'!$A$1:$C$107,2,FALSE),"")</f>
        <v/>
      </c>
      <c r="F8794" s="49" t="str">
        <f>IFERROR(VLOOKUP(E8794,'Condensed Specialty Crosswalk'!$A$2:$C$106,2,FALSE),"")</f>
        <v/>
      </c>
      <c r="G8794" s="49" t="str">
        <f>IFERROR(VLOOKUP(E8794,'Condensed Specialty Crosswalk'!$A$2:$C$106,3,FALSE),"")</f>
        <v/>
      </c>
    </row>
    <row r="8795" spans="5:7" ht="15" customHeight="1">
      <c r="E8795" s="49" t="str">
        <f>IFERROR(VLOOKUP(D8795,'taxonomy map'!$A$1:$C$107,2,FALSE),"")</f>
        <v/>
      </c>
      <c r="F8795" s="49" t="str">
        <f>IFERROR(VLOOKUP(E8795,'Condensed Specialty Crosswalk'!$A$2:$C$106,2,FALSE),"")</f>
        <v/>
      </c>
      <c r="G8795" s="49" t="str">
        <f>IFERROR(VLOOKUP(E8795,'Condensed Specialty Crosswalk'!$A$2:$C$106,3,FALSE),"")</f>
        <v/>
      </c>
    </row>
    <row r="8796" spans="5:7" ht="15" customHeight="1">
      <c r="E8796" s="49" t="str">
        <f>IFERROR(VLOOKUP(D8796,'taxonomy map'!$A$1:$C$107,2,FALSE),"")</f>
        <v/>
      </c>
      <c r="F8796" s="49" t="str">
        <f>IFERROR(VLOOKUP(E8796,'Condensed Specialty Crosswalk'!$A$2:$C$106,2,FALSE),"")</f>
        <v/>
      </c>
      <c r="G8796" s="49" t="str">
        <f>IFERROR(VLOOKUP(E8796,'Condensed Specialty Crosswalk'!$A$2:$C$106,3,FALSE),"")</f>
        <v/>
      </c>
    </row>
    <row r="8797" spans="5:7" ht="15" customHeight="1">
      <c r="E8797" s="49" t="str">
        <f>IFERROR(VLOOKUP(D8797,'taxonomy map'!$A$1:$C$107,2,FALSE),"")</f>
        <v/>
      </c>
      <c r="F8797" s="49" t="str">
        <f>IFERROR(VLOOKUP(E8797,'Condensed Specialty Crosswalk'!$A$2:$C$106,2,FALSE),"")</f>
        <v/>
      </c>
      <c r="G8797" s="49" t="str">
        <f>IFERROR(VLOOKUP(E8797,'Condensed Specialty Crosswalk'!$A$2:$C$106,3,FALSE),"")</f>
        <v/>
      </c>
    </row>
    <row r="8798" spans="5:7" ht="15" customHeight="1">
      <c r="E8798" s="49" t="str">
        <f>IFERROR(VLOOKUP(D8798,'taxonomy map'!$A$1:$C$107,2,FALSE),"")</f>
        <v/>
      </c>
      <c r="F8798" s="49" t="str">
        <f>IFERROR(VLOOKUP(E8798,'Condensed Specialty Crosswalk'!$A$2:$C$106,2,FALSE),"")</f>
        <v/>
      </c>
      <c r="G8798" s="49" t="str">
        <f>IFERROR(VLOOKUP(E8798,'Condensed Specialty Crosswalk'!$A$2:$C$106,3,FALSE),"")</f>
        <v/>
      </c>
    </row>
    <row r="8799" spans="5:7" ht="15" customHeight="1">
      <c r="E8799" s="49" t="str">
        <f>IFERROR(VLOOKUP(D8799,'taxonomy map'!$A$1:$C$107,2,FALSE),"")</f>
        <v/>
      </c>
      <c r="F8799" s="49" t="str">
        <f>IFERROR(VLOOKUP(E8799,'Condensed Specialty Crosswalk'!$A$2:$C$106,2,FALSE),"")</f>
        <v/>
      </c>
      <c r="G8799" s="49" t="str">
        <f>IFERROR(VLOOKUP(E8799,'Condensed Specialty Crosswalk'!$A$2:$C$106,3,FALSE),"")</f>
        <v/>
      </c>
    </row>
    <row r="8800" spans="5:7" ht="15" customHeight="1">
      <c r="E8800" s="49" t="str">
        <f>IFERROR(VLOOKUP(D8800,'taxonomy map'!$A$1:$C$107,2,FALSE),"")</f>
        <v/>
      </c>
      <c r="F8800" s="49" t="str">
        <f>IFERROR(VLOOKUP(E8800,'Condensed Specialty Crosswalk'!$A$2:$C$106,2,FALSE),"")</f>
        <v/>
      </c>
      <c r="G8800" s="49" t="str">
        <f>IFERROR(VLOOKUP(E8800,'Condensed Specialty Crosswalk'!$A$2:$C$106,3,FALSE),"")</f>
        <v/>
      </c>
    </row>
    <row r="8801" spans="5:7" ht="15" customHeight="1">
      <c r="E8801" s="49" t="str">
        <f>IFERROR(VLOOKUP(D8801,'taxonomy map'!$A$1:$C$107,2,FALSE),"")</f>
        <v/>
      </c>
      <c r="F8801" s="49" t="str">
        <f>IFERROR(VLOOKUP(E8801,'Condensed Specialty Crosswalk'!$A$2:$C$106,2,FALSE),"")</f>
        <v/>
      </c>
      <c r="G8801" s="49" t="str">
        <f>IFERROR(VLOOKUP(E8801,'Condensed Specialty Crosswalk'!$A$2:$C$106,3,FALSE),"")</f>
        <v/>
      </c>
    </row>
    <row r="8802" spans="5:7" ht="15" customHeight="1">
      <c r="E8802" s="49" t="str">
        <f>IFERROR(VLOOKUP(D8802,'taxonomy map'!$A$1:$C$107,2,FALSE),"")</f>
        <v/>
      </c>
      <c r="F8802" s="49" t="str">
        <f>IFERROR(VLOOKUP(E8802,'Condensed Specialty Crosswalk'!$A$2:$C$106,2,FALSE),"")</f>
        <v/>
      </c>
      <c r="G8802" s="49" t="str">
        <f>IFERROR(VLOOKUP(E8802,'Condensed Specialty Crosswalk'!$A$2:$C$106,3,FALSE),"")</f>
        <v/>
      </c>
    </row>
    <row r="8803" spans="5:7" ht="15" customHeight="1">
      <c r="E8803" s="49" t="str">
        <f>IFERROR(VLOOKUP(D8803,'taxonomy map'!$A$1:$C$107,2,FALSE),"")</f>
        <v/>
      </c>
      <c r="F8803" s="49" t="str">
        <f>IFERROR(VLOOKUP(E8803,'Condensed Specialty Crosswalk'!$A$2:$C$106,2,FALSE),"")</f>
        <v/>
      </c>
      <c r="G8803" s="49" t="str">
        <f>IFERROR(VLOOKUP(E8803,'Condensed Specialty Crosswalk'!$A$2:$C$106,3,FALSE),"")</f>
        <v/>
      </c>
    </row>
    <row r="8804" spans="5:7" ht="15" customHeight="1">
      <c r="E8804" s="49" t="str">
        <f>IFERROR(VLOOKUP(D8804,'taxonomy map'!$A$1:$C$107,2,FALSE),"")</f>
        <v/>
      </c>
      <c r="F8804" s="49" t="str">
        <f>IFERROR(VLOOKUP(E8804,'Condensed Specialty Crosswalk'!$A$2:$C$106,2,FALSE),"")</f>
        <v/>
      </c>
      <c r="G8804" s="49" t="str">
        <f>IFERROR(VLOOKUP(E8804,'Condensed Specialty Crosswalk'!$A$2:$C$106,3,FALSE),"")</f>
        <v/>
      </c>
    </row>
    <row r="8805" spans="5:7" ht="15" customHeight="1">
      <c r="E8805" s="49" t="str">
        <f>IFERROR(VLOOKUP(D8805,'taxonomy map'!$A$1:$C$107,2,FALSE),"")</f>
        <v/>
      </c>
      <c r="F8805" s="49" t="str">
        <f>IFERROR(VLOOKUP(E8805,'Condensed Specialty Crosswalk'!$A$2:$C$106,2,FALSE),"")</f>
        <v/>
      </c>
      <c r="G8805" s="49" t="str">
        <f>IFERROR(VLOOKUP(E8805,'Condensed Specialty Crosswalk'!$A$2:$C$106,3,FALSE),"")</f>
        <v/>
      </c>
    </row>
    <row r="8806" spans="5:7" ht="15" customHeight="1">
      <c r="E8806" s="49" t="str">
        <f>IFERROR(VLOOKUP(D8806,'taxonomy map'!$A$1:$C$107,2,FALSE),"")</f>
        <v/>
      </c>
      <c r="F8806" s="49" t="str">
        <f>IFERROR(VLOOKUP(E8806,'Condensed Specialty Crosswalk'!$A$2:$C$106,2,FALSE),"")</f>
        <v/>
      </c>
      <c r="G8806" s="49" t="str">
        <f>IFERROR(VLOOKUP(E8806,'Condensed Specialty Crosswalk'!$A$2:$C$106,3,FALSE),"")</f>
        <v/>
      </c>
    </row>
    <row r="8807" spans="5:7" ht="15" customHeight="1">
      <c r="E8807" s="49" t="str">
        <f>IFERROR(VLOOKUP(D8807,'taxonomy map'!$A$1:$C$107,2,FALSE),"")</f>
        <v/>
      </c>
      <c r="F8807" s="49" t="str">
        <f>IFERROR(VLOOKUP(E8807,'Condensed Specialty Crosswalk'!$A$2:$C$106,2,FALSE),"")</f>
        <v/>
      </c>
      <c r="G8807" s="49" t="str">
        <f>IFERROR(VLOOKUP(E8807,'Condensed Specialty Crosswalk'!$A$2:$C$106,3,FALSE),"")</f>
        <v/>
      </c>
    </row>
    <row r="8808" spans="5:7" ht="15" customHeight="1">
      <c r="E8808" s="49" t="str">
        <f>IFERROR(VLOOKUP(D8808,'taxonomy map'!$A$1:$C$107,2,FALSE),"")</f>
        <v/>
      </c>
      <c r="F8808" s="49" t="str">
        <f>IFERROR(VLOOKUP(E8808,'Condensed Specialty Crosswalk'!$A$2:$C$106,2,FALSE),"")</f>
        <v/>
      </c>
      <c r="G8808" s="49" t="str">
        <f>IFERROR(VLOOKUP(E8808,'Condensed Specialty Crosswalk'!$A$2:$C$106,3,FALSE),"")</f>
        <v/>
      </c>
    </row>
    <row r="8809" spans="5:7" ht="15" customHeight="1">
      <c r="E8809" s="49" t="str">
        <f>IFERROR(VLOOKUP(D8809,'taxonomy map'!$A$1:$C$107,2,FALSE),"")</f>
        <v/>
      </c>
      <c r="F8809" s="49" t="str">
        <f>IFERROR(VLOOKUP(E8809,'Condensed Specialty Crosswalk'!$A$2:$C$106,2,FALSE),"")</f>
        <v/>
      </c>
      <c r="G8809" s="49" t="str">
        <f>IFERROR(VLOOKUP(E8809,'Condensed Specialty Crosswalk'!$A$2:$C$106,3,FALSE),"")</f>
        <v/>
      </c>
    </row>
    <row r="8810" spans="5:7" ht="15" customHeight="1">
      <c r="E8810" s="49" t="str">
        <f>IFERROR(VLOOKUP(D8810,'taxonomy map'!$A$1:$C$107,2,FALSE),"")</f>
        <v/>
      </c>
      <c r="F8810" s="49" t="str">
        <f>IFERROR(VLOOKUP(E8810,'Condensed Specialty Crosswalk'!$A$2:$C$106,2,FALSE),"")</f>
        <v/>
      </c>
      <c r="G8810" s="49" t="str">
        <f>IFERROR(VLOOKUP(E8810,'Condensed Specialty Crosswalk'!$A$2:$C$106,3,FALSE),"")</f>
        <v/>
      </c>
    </row>
    <row r="8811" spans="5:7" ht="15" customHeight="1">
      <c r="E8811" s="49" t="str">
        <f>IFERROR(VLOOKUP(D8811,'taxonomy map'!$A$1:$C$107,2,FALSE),"")</f>
        <v/>
      </c>
      <c r="F8811" s="49" t="str">
        <f>IFERROR(VLOOKUP(E8811,'Condensed Specialty Crosswalk'!$A$2:$C$106,2,FALSE),"")</f>
        <v/>
      </c>
      <c r="G8811" s="49" t="str">
        <f>IFERROR(VLOOKUP(E8811,'Condensed Specialty Crosswalk'!$A$2:$C$106,3,FALSE),"")</f>
        <v/>
      </c>
    </row>
    <row r="8812" spans="5:7" ht="15" customHeight="1">
      <c r="E8812" s="49" t="str">
        <f>IFERROR(VLOOKUP(D8812,'taxonomy map'!$A$1:$C$107,2,FALSE),"")</f>
        <v/>
      </c>
      <c r="F8812" s="49" t="str">
        <f>IFERROR(VLOOKUP(E8812,'Condensed Specialty Crosswalk'!$A$2:$C$106,2,FALSE),"")</f>
        <v/>
      </c>
      <c r="G8812" s="49" t="str">
        <f>IFERROR(VLOOKUP(E8812,'Condensed Specialty Crosswalk'!$A$2:$C$106,3,FALSE),"")</f>
        <v/>
      </c>
    </row>
    <row r="8813" spans="5:7" ht="15" customHeight="1">
      <c r="E8813" s="49" t="str">
        <f>IFERROR(VLOOKUP(D8813,'taxonomy map'!$A$1:$C$107,2,FALSE),"")</f>
        <v/>
      </c>
      <c r="F8813" s="49" t="str">
        <f>IFERROR(VLOOKUP(E8813,'Condensed Specialty Crosswalk'!$A$2:$C$106,2,FALSE),"")</f>
        <v/>
      </c>
      <c r="G8813" s="49" t="str">
        <f>IFERROR(VLOOKUP(E8813,'Condensed Specialty Crosswalk'!$A$2:$C$106,3,FALSE),"")</f>
        <v/>
      </c>
    </row>
    <row r="8814" spans="5:7" ht="15" customHeight="1">
      <c r="E8814" s="49" t="str">
        <f>IFERROR(VLOOKUP(D8814,'taxonomy map'!$A$1:$C$107,2,FALSE),"")</f>
        <v/>
      </c>
      <c r="F8814" s="49" t="str">
        <f>IFERROR(VLOOKUP(E8814,'Condensed Specialty Crosswalk'!$A$2:$C$106,2,FALSE),"")</f>
        <v/>
      </c>
      <c r="G8814" s="49" t="str">
        <f>IFERROR(VLOOKUP(E8814,'Condensed Specialty Crosswalk'!$A$2:$C$106,3,FALSE),"")</f>
        <v/>
      </c>
    </row>
    <row r="8815" spans="5:7" ht="15" customHeight="1">
      <c r="E8815" s="49" t="str">
        <f>IFERROR(VLOOKUP(D8815,'taxonomy map'!$A$1:$C$107,2,FALSE),"")</f>
        <v/>
      </c>
      <c r="F8815" s="49" t="str">
        <f>IFERROR(VLOOKUP(E8815,'Condensed Specialty Crosswalk'!$A$2:$C$106,2,FALSE),"")</f>
        <v/>
      </c>
      <c r="G8815" s="49" t="str">
        <f>IFERROR(VLOOKUP(E8815,'Condensed Specialty Crosswalk'!$A$2:$C$106,3,FALSE),"")</f>
        <v/>
      </c>
    </row>
    <row r="8816" spans="5:7" ht="15" customHeight="1">
      <c r="E8816" s="49" t="str">
        <f>IFERROR(VLOOKUP(D8816,'taxonomy map'!$A$1:$C$107,2,FALSE),"")</f>
        <v/>
      </c>
      <c r="F8816" s="49" t="str">
        <f>IFERROR(VLOOKUP(E8816,'Condensed Specialty Crosswalk'!$A$2:$C$106,2,FALSE),"")</f>
        <v/>
      </c>
      <c r="G8816" s="49" t="str">
        <f>IFERROR(VLOOKUP(E8816,'Condensed Specialty Crosswalk'!$A$2:$C$106,3,FALSE),"")</f>
        <v/>
      </c>
    </row>
    <row r="8817" spans="5:7" ht="15" customHeight="1">
      <c r="E8817" s="49" t="str">
        <f>IFERROR(VLOOKUP(D8817,'taxonomy map'!$A$1:$C$107,2,FALSE),"")</f>
        <v/>
      </c>
      <c r="F8817" s="49" t="str">
        <f>IFERROR(VLOOKUP(E8817,'Condensed Specialty Crosswalk'!$A$2:$C$106,2,FALSE),"")</f>
        <v/>
      </c>
      <c r="G8817" s="49" t="str">
        <f>IFERROR(VLOOKUP(E8817,'Condensed Specialty Crosswalk'!$A$2:$C$106,3,FALSE),"")</f>
        <v/>
      </c>
    </row>
    <row r="8818" spans="5:7" ht="15" customHeight="1">
      <c r="E8818" s="49" t="str">
        <f>IFERROR(VLOOKUP(D8818,'taxonomy map'!$A$1:$C$107,2,FALSE),"")</f>
        <v/>
      </c>
      <c r="F8818" s="49" t="str">
        <f>IFERROR(VLOOKUP(E8818,'Condensed Specialty Crosswalk'!$A$2:$C$106,2,FALSE),"")</f>
        <v/>
      </c>
      <c r="G8818" s="49" t="str">
        <f>IFERROR(VLOOKUP(E8818,'Condensed Specialty Crosswalk'!$A$2:$C$106,3,FALSE),"")</f>
        <v/>
      </c>
    </row>
    <row r="8819" spans="5:7" ht="15" customHeight="1">
      <c r="E8819" s="49" t="str">
        <f>IFERROR(VLOOKUP(D8819,'taxonomy map'!$A$1:$C$107,2,FALSE),"")</f>
        <v/>
      </c>
      <c r="F8819" s="49" t="str">
        <f>IFERROR(VLOOKUP(E8819,'Condensed Specialty Crosswalk'!$A$2:$C$106,2,FALSE),"")</f>
        <v/>
      </c>
      <c r="G8819" s="49" t="str">
        <f>IFERROR(VLOOKUP(E8819,'Condensed Specialty Crosswalk'!$A$2:$C$106,3,FALSE),"")</f>
        <v/>
      </c>
    </row>
    <row r="8820" spans="5:7" ht="15" customHeight="1">
      <c r="E8820" s="49" t="str">
        <f>IFERROR(VLOOKUP(D8820,'taxonomy map'!$A$1:$C$107,2,FALSE),"")</f>
        <v/>
      </c>
      <c r="F8820" s="49" t="str">
        <f>IFERROR(VLOOKUP(E8820,'Condensed Specialty Crosswalk'!$A$2:$C$106,2,FALSE),"")</f>
        <v/>
      </c>
      <c r="G8820" s="49" t="str">
        <f>IFERROR(VLOOKUP(E8820,'Condensed Specialty Crosswalk'!$A$2:$C$106,3,FALSE),"")</f>
        <v/>
      </c>
    </row>
    <row r="8821" spans="5:7" ht="15" customHeight="1">
      <c r="E8821" s="49" t="str">
        <f>IFERROR(VLOOKUP(D8821,'taxonomy map'!$A$1:$C$107,2,FALSE),"")</f>
        <v/>
      </c>
      <c r="F8821" s="49" t="str">
        <f>IFERROR(VLOOKUP(E8821,'Condensed Specialty Crosswalk'!$A$2:$C$106,2,FALSE),"")</f>
        <v/>
      </c>
      <c r="G8821" s="49" t="str">
        <f>IFERROR(VLOOKUP(E8821,'Condensed Specialty Crosswalk'!$A$2:$C$106,3,FALSE),"")</f>
        <v/>
      </c>
    </row>
    <row r="8822" spans="5:7" ht="15" customHeight="1">
      <c r="E8822" s="49" t="str">
        <f>IFERROR(VLOOKUP(D8822,'taxonomy map'!$A$1:$C$107,2,FALSE),"")</f>
        <v/>
      </c>
      <c r="F8822" s="49" t="str">
        <f>IFERROR(VLOOKUP(E8822,'Condensed Specialty Crosswalk'!$A$2:$C$106,2,FALSE),"")</f>
        <v/>
      </c>
      <c r="G8822" s="49" t="str">
        <f>IFERROR(VLOOKUP(E8822,'Condensed Specialty Crosswalk'!$A$2:$C$106,3,FALSE),"")</f>
        <v/>
      </c>
    </row>
    <row r="8823" spans="5:7" ht="15" customHeight="1">
      <c r="E8823" s="49" t="str">
        <f>IFERROR(VLOOKUP(D8823,'taxonomy map'!$A$1:$C$107,2,FALSE),"")</f>
        <v/>
      </c>
      <c r="F8823" s="49" t="str">
        <f>IFERROR(VLOOKUP(E8823,'Condensed Specialty Crosswalk'!$A$2:$C$106,2,FALSE),"")</f>
        <v/>
      </c>
      <c r="G8823" s="49" t="str">
        <f>IFERROR(VLOOKUP(E8823,'Condensed Specialty Crosswalk'!$A$2:$C$106,3,FALSE),"")</f>
        <v/>
      </c>
    </row>
    <row r="8824" spans="5:7" ht="15" customHeight="1">
      <c r="E8824" s="49" t="str">
        <f>IFERROR(VLOOKUP(D8824,'taxonomy map'!$A$1:$C$107,2,FALSE),"")</f>
        <v/>
      </c>
      <c r="F8824" s="49" t="str">
        <f>IFERROR(VLOOKUP(E8824,'Condensed Specialty Crosswalk'!$A$2:$C$106,2,FALSE),"")</f>
        <v/>
      </c>
      <c r="G8824" s="49" t="str">
        <f>IFERROR(VLOOKUP(E8824,'Condensed Specialty Crosswalk'!$A$2:$C$106,3,FALSE),"")</f>
        <v/>
      </c>
    </row>
    <row r="8825" spans="5:7" ht="15" customHeight="1">
      <c r="E8825" s="49" t="str">
        <f>IFERROR(VLOOKUP(D8825,'taxonomy map'!$A$1:$C$107,2,FALSE),"")</f>
        <v/>
      </c>
      <c r="F8825" s="49" t="str">
        <f>IFERROR(VLOOKUP(E8825,'Condensed Specialty Crosswalk'!$A$2:$C$106,2,FALSE),"")</f>
        <v/>
      </c>
      <c r="G8825" s="49" t="str">
        <f>IFERROR(VLOOKUP(E8825,'Condensed Specialty Crosswalk'!$A$2:$C$106,3,FALSE),"")</f>
        <v/>
      </c>
    </row>
    <row r="8826" spans="5:7" ht="15" customHeight="1">
      <c r="E8826" s="49" t="str">
        <f>IFERROR(VLOOKUP(D8826,'taxonomy map'!$A$1:$C$107,2,FALSE),"")</f>
        <v/>
      </c>
      <c r="F8826" s="49" t="str">
        <f>IFERROR(VLOOKUP(E8826,'Condensed Specialty Crosswalk'!$A$2:$C$106,2,FALSE),"")</f>
        <v/>
      </c>
      <c r="G8826" s="49" t="str">
        <f>IFERROR(VLOOKUP(E8826,'Condensed Specialty Crosswalk'!$A$2:$C$106,3,FALSE),"")</f>
        <v/>
      </c>
    </row>
    <row r="8827" spans="5:7" ht="15" customHeight="1">
      <c r="E8827" s="49" t="str">
        <f>IFERROR(VLOOKUP(D8827,'taxonomy map'!$A$1:$C$107,2,FALSE),"")</f>
        <v/>
      </c>
      <c r="F8827" s="49" t="str">
        <f>IFERROR(VLOOKUP(E8827,'Condensed Specialty Crosswalk'!$A$2:$C$106,2,FALSE),"")</f>
        <v/>
      </c>
      <c r="G8827" s="49" t="str">
        <f>IFERROR(VLOOKUP(E8827,'Condensed Specialty Crosswalk'!$A$2:$C$106,3,FALSE),"")</f>
        <v/>
      </c>
    </row>
    <row r="8828" spans="5:7" ht="15" customHeight="1">
      <c r="E8828" s="49" t="str">
        <f>IFERROR(VLOOKUP(D8828,'taxonomy map'!$A$1:$C$107,2,FALSE),"")</f>
        <v/>
      </c>
      <c r="F8828" s="49" t="str">
        <f>IFERROR(VLOOKUP(E8828,'Condensed Specialty Crosswalk'!$A$2:$C$106,2,FALSE),"")</f>
        <v/>
      </c>
      <c r="G8828" s="49" t="str">
        <f>IFERROR(VLOOKUP(E8828,'Condensed Specialty Crosswalk'!$A$2:$C$106,3,FALSE),"")</f>
        <v/>
      </c>
    </row>
    <row r="8829" spans="5:7" ht="15" customHeight="1">
      <c r="E8829" s="49" t="str">
        <f>IFERROR(VLOOKUP(D8829,'taxonomy map'!$A$1:$C$107,2,FALSE),"")</f>
        <v/>
      </c>
      <c r="F8829" s="49" t="str">
        <f>IFERROR(VLOOKUP(E8829,'Condensed Specialty Crosswalk'!$A$2:$C$106,2,FALSE),"")</f>
        <v/>
      </c>
      <c r="G8829" s="49" t="str">
        <f>IFERROR(VLOOKUP(E8829,'Condensed Specialty Crosswalk'!$A$2:$C$106,3,FALSE),"")</f>
        <v/>
      </c>
    </row>
    <row r="8830" spans="5:7" ht="15" customHeight="1">
      <c r="E8830" s="49" t="str">
        <f>IFERROR(VLOOKUP(D8830,'taxonomy map'!$A$1:$C$107,2,FALSE),"")</f>
        <v/>
      </c>
      <c r="F8830" s="49" t="str">
        <f>IFERROR(VLOOKUP(E8830,'Condensed Specialty Crosswalk'!$A$2:$C$106,2,FALSE),"")</f>
        <v/>
      </c>
      <c r="G8830" s="49" t="str">
        <f>IFERROR(VLOOKUP(E8830,'Condensed Specialty Crosswalk'!$A$2:$C$106,3,FALSE),"")</f>
        <v/>
      </c>
    </row>
    <row r="8831" spans="5:7" ht="15" customHeight="1">
      <c r="E8831" s="49" t="str">
        <f>IFERROR(VLOOKUP(D8831,'taxonomy map'!$A$1:$C$107,2,FALSE),"")</f>
        <v/>
      </c>
      <c r="F8831" s="49" t="str">
        <f>IFERROR(VLOOKUP(E8831,'Condensed Specialty Crosswalk'!$A$2:$C$106,2,FALSE),"")</f>
        <v/>
      </c>
      <c r="G8831" s="49" t="str">
        <f>IFERROR(VLOOKUP(E8831,'Condensed Specialty Crosswalk'!$A$2:$C$106,3,FALSE),"")</f>
        <v/>
      </c>
    </row>
    <row r="8832" spans="5:7" ht="15" customHeight="1">
      <c r="E8832" s="49" t="str">
        <f>IFERROR(VLOOKUP(D8832,'taxonomy map'!$A$1:$C$107,2,FALSE),"")</f>
        <v/>
      </c>
      <c r="F8832" s="49" t="str">
        <f>IFERROR(VLOOKUP(E8832,'Condensed Specialty Crosswalk'!$A$2:$C$106,2,FALSE),"")</f>
        <v/>
      </c>
      <c r="G8832" s="49" t="str">
        <f>IFERROR(VLOOKUP(E8832,'Condensed Specialty Crosswalk'!$A$2:$C$106,3,FALSE),"")</f>
        <v/>
      </c>
    </row>
    <row r="8833" spans="5:7" ht="15" customHeight="1">
      <c r="E8833" s="49" t="str">
        <f>IFERROR(VLOOKUP(D8833,'taxonomy map'!$A$1:$C$107,2,FALSE),"")</f>
        <v/>
      </c>
      <c r="F8833" s="49" t="str">
        <f>IFERROR(VLOOKUP(E8833,'Condensed Specialty Crosswalk'!$A$2:$C$106,2,FALSE),"")</f>
        <v/>
      </c>
      <c r="G8833" s="49" t="str">
        <f>IFERROR(VLOOKUP(E8833,'Condensed Specialty Crosswalk'!$A$2:$C$106,3,FALSE),"")</f>
        <v/>
      </c>
    </row>
    <row r="8834" spans="5:7" ht="15" customHeight="1">
      <c r="E8834" s="49" t="str">
        <f>IFERROR(VLOOKUP(D8834,'taxonomy map'!$A$1:$C$107,2,FALSE),"")</f>
        <v/>
      </c>
      <c r="F8834" s="49" t="str">
        <f>IFERROR(VLOOKUP(E8834,'Condensed Specialty Crosswalk'!$A$2:$C$106,2,FALSE),"")</f>
        <v/>
      </c>
      <c r="G8834" s="49" t="str">
        <f>IFERROR(VLOOKUP(E8834,'Condensed Specialty Crosswalk'!$A$2:$C$106,3,FALSE),"")</f>
        <v/>
      </c>
    </row>
    <row r="8835" spans="5:7" ht="15" customHeight="1">
      <c r="E8835" s="49" t="str">
        <f>IFERROR(VLOOKUP(D8835,'taxonomy map'!$A$1:$C$107,2,FALSE),"")</f>
        <v/>
      </c>
      <c r="F8835" s="49" t="str">
        <f>IFERROR(VLOOKUP(E8835,'Condensed Specialty Crosswalk'!$A$2:$C$106,2,FALSE),"")</f>
        <v/>
      </c>
      <c r="G8835" s="49" t="str">
        <f>IFERROR(VLOOKUP(E8835,'Condensed Specialty Crosswalk'!$A$2:$C$106,3,FALSE),"")</f>
        <v/>
      </c>
    </row>
    <row r="8836" spans="5:7" ht="15" customHeight="1">
      <c r="E8836" s="49" t="str">
        <f>IFERROR(VLOOKUP(D8836,'taxonomy map'!$A$1:$C$107,2,FALSE),"")</f>
        <v/>
      </c>
      <c r="F8836" s="49" t="str">
        <f>IFERROR(VLOOKUP(E8836,'Condensed Specialty Crosswalk'!$A$2:$C$106,2,FALSE),"")</f>
        <v/>
      </c>
      <c r="G8836" s="49" t="str">
        <f>IFERROR(VLOOKUP(E8836,'Condensed Specialty Crosswalk'!$A$2:$C$106,3,FALSE),"")</f>
        <v/>
      </c>
    </row>
    <row r="8837" spans="5:7" ht="15" customHeight="1">
      <c r="E8837" s="49" t="str">
        <f>IFERROR(VLOOKUP(D8837,'taxonomy map'!$A$1:$C$107,2,FALSE),"")</f>
        <v/>
      </c>
      <c r="F8837" s="49" t="str">
        <f>IFERROR(VLOOKUP(E8837,'Condensed Specialty Crosswalk'!$A$2:$C$106,2,FALSE),"")</f>
        <v/>
      </c>
      <c r="G8837" s="49" t="str">
        <f>IFERROR(VLOOKUP(E8837,'Condensed Specialty Crosswalk'!$A$2:$C$106,3,FALSE),"")</f>
        <v/>
      </c>
    </row>
    <row r="8838" spans="5:7" ht="15" customHeight="1">
      <c r="E8838" s="49" t="str">
        <f>IFERROR(VLOOKUP(D8838,'taxonomy map'!$A$1:$C$107,2,FALSE),"")</f>
        <v/>
      </c>
      <c r="F8838" s="49" t="str">
        <f>IFERROR(VLOOKUP(E8838,'Condensed Specialty Crosswalk'!$A$2:$C$106,2,FALSE),"")</f>
        <v/>
      </c>
      <c r="G8838" s="49" t="str">
        <f>IFERROR(VLOOKUP(E8838,'Condensed Specialty Crosswalk'!$A$2:$C$106,3,FALSE),"")</f>
        <v/>
      </c>
    </row>
    <row r="8839" spans="5:7" ht="15" customHeight="1">
      <c r="E8839" s="49" t="str">
        <f>IFERROR(VLOOKUP(D8839,'taxonomy map'!$A$1:$C$107,2,FALSE),"")</f>
        <v/>
      </c>
      <c r="F8839" s="49" t="str">
        <f>IFERROR(VLOOKUP(E8839,'Condensed Specialty Crosswalk'!$A$2:$C$106,2,FALSE),"")</f>
        <v/>
      </c>
      <c r="G8839" s="49" t="str">
        <f>IFERROR(VLOOKUP(E8839,'Condensed Specialty Crosswalk'!$A$2:$C$106,3,FALSE),"")</f>
        <v/>
      </c>
    </row>
    <row r="8840" spans="5:7" ht="15" customHeight="1">
      <c r="E8840" s="49" t="str">
        <f>IFERROR(VLOOKUP(D8840,'taxonomy map'!$A$1:$C$107,2,FALSE),"")</f>
        <v/>
      </c>
      <c r="F8840" s="49" t="str">
        <f>IFERROR(VLOOKUP(E8840,'Condensed Specialty Crosswalk'!$A$2:$C$106,2,FALSE),"")</f>
        <v/>
      </c>
      <c r="G8840" s="49" t="str">
        <f>IFERROR(VLOOKUP(E8840,'Condensed Specialty Crosswalk'!$A$2:$C$106,3,FALSE),"")</f>
        <v/>
      </c>
    </row>
    <row r="8841" spans="5:7" ht="15" customHeight="1">
      <c r="E8841" s="49" t="str">
        <f>IFERROR(VLOOKUP(D8841,'taxonomy map'!$A$1:$C$107,2,FALSE),"")</f>
        <v/>
      </c>
      <c r="F8841" s="49" t="str">
        <f>IFERROR(VLOOKUP(E8841,'Condensed Specialty Crosswalk'!$A$2:$C$106,2,FALSE),"")</f>
        <v/>
      </c>
      <c r="G8841" s="49" t="str">
        <f>IFERROR(VLOOKUP(E8841,'Condensed Specialty Crosswalk'!$A$2:$C$106,3,FALSE),"")</f>
        <v/>
      </c>
    </row>
    <row r="8842" spans="5:7" ht="15" customHeight="1">
      <c r="E8842" s="49" t="str">
        <f>IFERROR(VLOOKUP(D8842,'taxonomy map'!$A$1:$C$107,2,FALSE),"")</f>
        <v/>
      </c>
      <c r="F8842" s="49" t="str">
        <f>IFERROR(VLOOKUP(E8842,'Condensed Specialty Crosswalk'!$A$2:$C$106,2,FALSE),"")</f>
        <v/>
      </c>
      <c r="G8842" s="49" t="str">
        <f>IFERROR(VLOOKUP(E8842,'Condensed Specialty Crosswalk'!$A$2:$C$106,3,FALSE),"")</f>
        <v/>
      </c>
    </row>
    <row r="8843" spans="5:7" ht="15" customHeight="1">
      <c r="E8843" s="49" t="str">
        <f>IFERROR(VLOOKUP(D8843,'taxonomy map'!$A$1:$C$107,2,FALSE),"")</f>
        <v/>
      </c>
      <c r="F8843" s="49" t="str">
        <f>IFERROR(VLOOKUP(E8843,'Condensed Specialty Crosswalk'!$A$2:$C$106,2,FALSE),"")</f>
        <v/>
      </c>
      <c r="G8843" s="49" t="str">
        <f>IFERROR(VLOOKUP(E8843,'Condensed Specialty Crosswalk'!$A$2:$C$106,3,FALSE),"")</f>
        <v/>
      </c>
    </row>
    <row r="8844" spans="5:7" ht="15" customHeight="1">
      <c r="E8844" s="49" t="str">
        <f>IFERROR(VLOOKUP(D8844,'taxonomy map'!$A$1:$C$107,2,FALSE),"")</f>
        <v/>
      </c>
      <c r="F8844" s="49" t="str">
        <f>IFERROR(VLOOKUP(E8844,'Condensed Specialty Crosswalk'!$A$2:$C$106,2,FALSE),"")</f>
        <v/>
      </c>
      <c r="G8844" s="49" t="str">
        <f>IFERROR(VLOOKUP(E8844,'Condensed Specialty Crosswalk'!$A$2:$C$106,3,FALSE),"")</f>
        <v/>
      </c>
    </row>
    <row r="8845" spans="5:7" ht="15" customHeight="1">
      <c r="E8845" s="49" t="str">
        <f>IFERROR(VLOOKUP(D8845,'taxonomy map'!$A$1:$C$107,2,FALSE),"")</f>
        <v/>
      </c>
      <c r="F8845" s="49" t="str">
        <f>IFERROR(VLOOKUP(E8845,'Condensed Specialty Crosswalk'!$A$2:$C$106,2,FALSE),"")</f>
        <v/>
      </c>
      <c r="G8845" s="49" t="str">
        <f>IFERROR(VLOOKUP(E8845,'Condensed Specialty Crosswalk'!$A$2:$C$106,3,FALSE),"")</f>
        <v/>
      </c>
    </row>
    <row r="8846" spans="5:7" ht="15" customHeight="1">
      <c r="E8846" s="49" t="str">
        <f>IFERROR(VLOOKUP(D8846,'taxonomy map'!$A$1:$C$107,2,FALSE),"")</f>
        <v/>
      </c>
      <c r="F8846" s="49" t="str">
        <f>IFERROR(VLOOKUP(E8846,'Condensed Specialty Crosswalk'!$A$2:$C$106,2,FALSE),"")</f>
        <v/>
      </c>
      <c r="G8846" s="49" t="str">
        <f>IFERROR(VLOOKUP(E8846,'Condensed Specialty Crosswalk'!$A$2:$C$106,3,FALSE),"")</f>
        <v/>
      </c>
    </row>
    <row r="8847" spans="5:7" ht="15" customHeight="1">
      <c r="E8847" s="49" t="str">
        <f>IFERROR(VLOOKUP(D8847,'taxonomy map'!$A$1:$C$107,2,FALSE),"")</f>
        <v/>
      </c>
      <c r="F8847" s="49" t="str">
        <f>IFERROR(VLOOKUP(E8847,'Condensed Specialty Crosswalk'!$A$2:$C$106,2,FALSE),"")</f>
        <v/>
      </c>
      <c r="G8847" s="49" t="str">
        <f>IFERROR(VLOOKUP(E8847,'Condensed Specialty Crosswalk'!$A$2:$C$106,3,FALSE),"")</f>
        <v/>
      </c>
    </row>
    <row r="8848" spans="5:7" ht="15" customHeight="1">
      <c r="E8848" s="49" t="str">
        <f>IFERROR(VLOOKUP(D8848,'taxonomy map'!$A$1:$C$107,2,FALSE),"")</f>
        <v/>
      </c>
      <c r="F8848" s="49" t="str">
        <f>IFERROR(VLOOKUP(E8848,'Condensed Specialty Crosswalk'!$A$2:$C$106,2,FALSE),"")</f>
        <v/>
      </c>
      <c r="G8848" s="49" t="str">
        <f>IFERROR(VLOOKUP(E8848,'Condensed Specialty Crosswalk'!$A$2:$C$106,3,FALSE),"")</f>
        <v/>
      </c>
    </row>
    <row r="8849" spans="5:7" ht="15" customHeight="1">
      <c r="E8849" s="49" t="str">
        <f>IFERROR(VLOOKUP(D8849,'taxonomy map'!$A$1:$C$107,2,FALSE),"")</f>
        <v/>
      </c>
      <c r="F8849" s="49" t="str">
        <f>IFERROR(VLOOKUP(E8849,'Condensed Specialty Crosswalk'!$A$2:$C$106,2,FALSE),"")</f>
        <v/>
      </c>
      <c r="G8849" s="49" t="str">
        <f>IFERROR(VLOOKUP(E8849,'Condensed Specialty Crosswalk'!$A$2:$C$106,3,FALSE),"")</f>
        <v/>
      </c>
    </row>
    <row r="8850" spans="5:7" ht="15" customHeight="1">
      <c r="E8850" s="49" t="str">
        <f>IFERROR(VLOOKUP(D8850,'taxonomy map'!$A$1:$C$107,2,FALSE),"")</f>
        <v/>
      </c>
      <c r="F8850" s="49" t="str">
        <f>IFERROR(VLOOKUP(E8850,'Condensed Specialty Crosswalk'!$A$2:$C$106,2,FALSE),"")</f>
        <v/>
      </c>
      <c r="G8850" s="49" t="str">
        <f>IFERROR(VLOOKUP(E8850,'Condensed Specialty Crosswalk'!$A$2:$C$106,3,FALSE),"")</f>
        <v/>
      </c>
    </row>
    <row r="8851" spans="5:7" ht="15" customHeight="1">
      <c r="E8851" s="49" t="str">
        <f>IFERROR(VLOOKUP(D8851,'taxonomy map'!$A$1:$C$107,2,FALSE),"")</f>
        <v/>
      </c>
      <c r="F8851" s="49" t="str">
        <f>IFERROR(VLOOKUP(E8851,'Condensed Specialty Crosswalk'!$A$2:$C$106,2,FALSE),"")</f>
        <v/>
      </c>
      <c r="G8851" s="49" t="str">
        <f>IFERROR(VLOOKUP(E8851,'Condensed Specialty Crosswalk'!$A$2:$C$106,3,FALSE),"")</f>
        <v/>
      </c>
    </row>
    <row r="8852" spans="5:7" ht="15" customHeight="1">
      <c r="E8852" s="49" t="str">
        <f>IFERROR(VLOOKUP(D8852,'taxonomy map'!$A$1:$C$107,2,FALSE),"")</f>
        <v/>
      </c>
      <c r="F8852" s="49" t="str">
        <f>IFERROR(VLOOKUP(E8852,'Condensed Specialty Crosswalk'!$A$2:$C$106,2,FALSE),"")</f>
        <v/>
      </c>
      <c r="G8852" s="49" t="str">
        <f>IFERROR(VLOOKUP(E8852,'Condensed Specialty Crosswalk'!$A$2:$C$106,3,FALSE),"")</f>
        <v/>
      </c>
    </row>
    <row r="8853" spans="5:7" ht="15" customHeight="1">
      <c r="E8853" s="49" t="str">
        <f>IFERROR(VLOOKUP(D8853,'taxonomy map'!$A$1:$C$107,2,FALSE),"")</f>
        <v/>
      </c>
      <c r="F8853" s="49" t="str">
        <f>IFERROR(VLOOKUP(E8853,'Condensed Specialty Crosswalk'!$A$2:$C$106,2,FALSE),"")</f>
        <v/>
      </c>
      <c r="G8853" s="49" t="str">
        <f>IFERROR(VLOOKUP(E8853,'Condensed Specialty Crosswalk'!$A$2:$C$106,3,FALSE),"")</f>
        <v/>
      </c>
    </row>
    <row r="8854" spans="5:7" ht="15" customHeight="1">
      <c r="E8854" s="49" t="str">
        <f>IFERROR(VLOOKUP(D8854,'taxonomy map'!$A$1:$C$107,2,FALSE),"")</f>
        <v/>
      </c>
      <c r="F8854" s="49" t="str">
        <f>IFERROR(VLOOKUP(E8854,'Condensed Specialty Crosswalk'!$A$2:$C$106,2,FALSE),"")</f>
        <v/>
      </c>
      <c r="G8854" s="49" t="str">
        <f>IFERROR(VLOOKUP(E8854,'Condensed Specialty Crosswalk'!$A$2:$C$106,3,FALSE),"")</f>
        <v/>
      </c>
    </row>
    <row r="8855" spans="5:7" ht="15" customHeight="1">
      <c r="E8855" s="49" t="str">
        <f>IFERROR(VLOOKUP(D8855,'taxonomy map'!$A$1:$C$107,2,FALSE),"")</f>
        <v/>
      </c>
      <c r="F8855" s="49" t="str">
        <f>IFERROR(VLOOKUP(E8855,'Condensed Specialty Crosswalk'!$A$2:$C$106,2,FALSE),"")</f>
        <v/>
      </c>
      <c r="G8855" s="49" t="str">
        <f>IFERROR(VLOOKUP(E8855,'Condensed Specialty Crosswalk'!$A$2:$C$106,3,FALSE),"")</f>
        <v/>
      </c>
    </row>
    <row r="8856" spans="5:7" ht="15" customHeight="1">
      <c r="E8856" s="49" t="str">
        <f>IFERROR(VLOOKUP(D8856,'taxonomy map'!$A$1:$C$107,2,FALSE),"")</f>
        <v/>
      </c>
      <c r="F8856" s="49" t="str">
        <f>IFERROR(VLOOKUP(E8856,'Condensed Specialty Crosswalk'!$A$2:$C$106,2,FALSE),"")</f>
        <v/>
      </c>
      <c r="G8856" s="49" t="str">
        <f>IFERROR(VLOOKUP(E8856,'Condensed Specialty Crosswalk'!$A$2:$C$106,3,FALSE),"")</f>
        <v/>
      </c>
    </row>
    <row r="8857" spans="5:7" ht="15" customHeight="1">
      <c r="E8857" s="49" t="str">
        <f>IFERROR(VLOOKUP(D8857,'taxonomy map'!$A$1:$C$107,2,FALSE),"")</f>
        <v/>
      </c>
      <c r="F8857" s="49" t="str">
        <f>IFERROR(VLOOKUP(E8857,'Condensed Specialty Crosswalk'!$A$2:$C$106,2,FALSE),"")</f>
        <v/>
      </c>
      <c r="G8857" s="49" t="str">
        <f>IFERROR(VLOOKUP(E8857,'Condensed Specialty Crosswalk'!$A$2:$C$106,3,FALSE),"")</f>
        <v/>
      </c>
    </row>
    <row r="8858" spans="5:7" ht="15" customHeight="1">
      <c r="E8858" s="49" t="str">
        <f>IFERROR(VLOOKUP(D8858,'taxonomy map'!$A$1:$C$107,2,FALSE),"")</f>
        <v/>
      </c>
      <c r="F8858" s="49" t="str">
        <f>IFERROR(VLOOKUP(E8858,'Condensed Specialty Crosswalk'!$A$2:$C$106,2,FALSE),"")</f>
        <v/>
      </c>
      <c r="G8858" s="49" t="str">
        <f>IFERROR(VLOOKUP(E8858,'Condensed Specialty Crosswalk'!$A$2:$C$106,3,FALSE),"")</f>
        <v/>
      </c>
    </row>
    <row r="8859" spans="5:7" ht="15" customHeight="1">
      <c r="E8859" s="49" t="str">
        <f>IFERROR(VLOOKUP(D8859,'taxonomy map'!$A$1:$C$107,2,FALSE),"")</f>
        <v/>
      </c>
      <c r="F8859" s="49" t="str">
        <f>IFERROR(VLOOKUP(E8859,'Condensed Specialty Crosswalk'!$A$2:$C$106,2,FALSE),"")</f>
        <v/>
      </c>
      <c r="G8859" s="49" t="str">
        <f>IFERROR(VLOOKUP(E8859,'Condensed Specialty Crosswalk'!$A$2:$C$106,3,FALSE),"")</f>
        <v/>
      </c>
    </row>
    <row r="8860" spans="5:7" ht="15" customHeight="1">
      <c r="E8860" s="49" t="str">
        <f>IFERROR(VLOOKUP(D8860,'taxonomy map'!$A$1:$C$107,2,FALSE),"")</f>
        <v/>
      </c>
      <c r="F8860" s="49" t="str">
        <f>IFERROR(VLOOKUP(E8860,'Condensed Specialty Crosswalk'!$A$2:$C$106,2,FALSE),"")</f>
        <v/>
      </c>
      <c r="G8860" s="49" t="str">
        <f>IFERROR(VLOOKUP(E8860,'Condensed Specialty Crosswalk'!$A$2:$C$106,3,FALSE),"")</f>
        <v/>
      </c>
    </row>
    <row r="8861" spans="5:7" ht="15" customHeight="1">
      <c r="E8861" s="49" t="str">
        <f>IFERROR(VLOOKUP(D8861,'taxonomy map'!$A$1:$C$107,2,FALSE),"")</f>
        <v/>
      </c>
      <c r="F8861" s="49" t="str">
        <f>IFERROR(VLOOKUP(E8861,'Condensed Specialty Crosswalk'!$A$2:$C$106,2,FALSE),"")</f>
        <v/>
      </c>
      <c r="G8861" s="49" t="str">
        <f>IFERROR(VLOOKUP(E8861,'Condensed Specialty Crosswalk'!$A$2:$C$106,3,FALSE),"")</f>
        <v/>
      </c>
    </row>
    <row r="8862" spans="5:7" ht="15" customHeight="1">
      <c r="E8862" s="49" t="str">
        <f>IFERROR(VLOOKUP(D8862,'taxonomy map'!$A$1:$C$107,2,FALSE),"")</f>
        <v/>
      </c>
      <c r="F8862" s="49" t="str">
        <f>IFERROR(VLOOKUP(E8862,'Condensed Specialty Crosswalk'!$A$2:$C$106,2,FALSE),"")</f>
        <v/>
      </c>
      <c r="G8862" s="49" t="str">
        <f>IFERROR(VLOOKUP(E8862,'Condensed Specialty Crosswalk'!$A$2:$C$106,3,FALSE),"")</f>
        <v/>
      </c>
    </row>
    <row r="8863" spans="5:7" ht="15" customHeight="1">
      <c r="E8863" s="49" t="str">
        <f>IFERROR(VLOOKUP(D8863,'taxonomy map'!$A$1:$C$107,2,FALSE),"")</f>
        <v/>
      </c>
      <c r="F8863" s="49" t="str">
        <f>IFERROR(VLOOKUP(E8863,'Condensed Specialty Crosswalk'!$A$2:$C$106,2,FALSE),"")</f>
        <v/>
      </c>
      <c r="G8863" s="49" t="str">
        <f>IFERROR(VLOOKUP(E8863,'Condensed Specialty Crosswalk'!$A$2:$C$106,3,FALSE),"")</f>
        <v/>
      </c>
    </row>
    <row r="8864" spans="5:7" ht="15" customHeight="1">
      <c r="E8864" s="49" t="str">
        <f>IFERROR(VLOOKUP(D8864,'taxonomy map'!$A$1:$C$107,2,FALSE),"")</f>
        <v/>
      </c>
      <c r="F8864" s="49" t="str">
        <f>IFERROR(VLOOKUP(E8864,'Condensed Specialty Crosswalk'!$A$2:$C$106,2,FALSE),"")</f>
        <v/>
      </c>
      <c r="G8864" s="49" t="str">
        <f>IFERROR(VLOOKUP(E8864,'Condensed Specialty Crosswalk'!$A$2:$C$106,3,FALSE),"")</f>
        <v/>
      </c>
    </row>
    <row r="8865" spans="5:7" ht="15" customHeight="1">
      <c r="E8865" s="49" t="str">
        <f>IFERROR(VLOOKUP(D8865,'taxonomy map'!$A$1:$C$107,2,FALSE),"")</f>
        <v/>
      </c>
      <c r="F8865" s="49" t="str">
        <f>IFERROR(VLOOKUP(E8865,'Condensed Specialty Crosswalk'!$A$2:$C$106,2,FALSE),"")</f>
        <v/>
      </c>
      <c r="G8865" s="49" t="str">
        <f>IFERROR(VLOOKUP(E8865,'Condensed Specialty Crosswalk'!$A$2:$C$106,3,FALSE),"")</f>
        <v/>
      </c>
    </row>
    <row r="8866" spans="5:7" ht="15" customHeight="1">
      <c r="E8866" s="49" t="str">
        <f>IFERROR(VLOOKUP(D8866,'taxonomy map'!$A$1:$C$107,2,FALSE),"")</f>
        <v/>
      </c>
      <c r="F8866" s="49" t="str">
        <f>IFERROR(VLOOKUP(E8866,'Condensed Specialty Crosswalk'!$A$2:$C$106,2,FALSE),"")</f>
        <v/>
      </c>
      <c r="G8866" s="49" t="str">
        <f>IFERROR(VLOOKUP(E8866,'Condensed Specialty Crosswalk'!$A$2:$C$106,3,FALSE),"")</f>
        <v/>
      </c>
    </row>
    <row r="8867" spans="5:7" ht="15" customHeight="1">
      <c r="E8867" s="49" t="str">
        <f>IFERROR(VLOOKUP(D8867,'taxonomy map'!$A$1:$C$107,2,FALSE),"")</f>
        <v/>
      </c>
      <c r="F8867" s="49" t="str">
        <f>IFERROR(VLOOKUP(E8867,'Condensed Specialty Crosswalk'!$A$2:$C$106,2,FALSE),"")</f>
        <v/>
      </c>
      <c r="G8867" s="49" t="str">
        <f>IFERROR(VLOOKUP(E8867,'Condensed Specialty Crosswalk'!$A$2:$C$106,3,FALSE),"")</f>
        <v/>
      </c>
    </row>
    <row r="8868" spans="5:7" ht="15" customHeight="1">
      <c r="E8868" s="49" t="str">
        <f>IFERROR(VLOOKUP(D8868,'taxonomy map'!$A$1:$C$107,2,FALSE),"")</f>
        <v/>
      </c>
      <c r="F8868" s="49" t="str">
        <f>IFERROR(VLOOKUP(E8868,'Condensed Specialty Crosswalk'!$A$2:$C$106,2,FALSE),"")</f>
        <v/>
      </c>
      <c r="G8868" s="49" t="str">
        <f>IFERROR(VLOOKUP(E8868,'Condensed Specialty Crosswalk'!$A$2:$C$106,3,FALSE),"")</f>
        <v/>
      </c>
    </row>
    <row r="8869" spans="5:7" ht="15" customHeight="1">
      <c r="E8869" s="49" t="str">
        <f>IFERROR(VLOOKUP(D8869,'taxonomy map'!$A$1:$C$107,2,FALSE),"")</f>
        <v/>
      </c>
      <c r="F8869" s="49" t="str">
        <f>IFERROR(VLOOKUP(E8869,'Condensed Specialty Crosswalk'!$A$2:$C$106,2,FALSE),"")</f>
        <v/>
      </c>
      <c r="G8869" s="49" t="str">
        <f>IFERROR(VLOOKUP(E8869,'Condensed Specialty Crosswalk'!$A$2:$C$106,3,FALSE),"")</f>
        <v/>
      </c>
    </row>
    <row r="8870" spans="5:7" ht="15" customHeight="1">
      <c r="E8870" s="49" t="str">
        <f>IFERROR(VLOOKUP(D8870,'taxonomy map'!$A$1:$C$107,2,FALSE),"")</f>
        <v/>
      </c>
      <c r="F8870" s="49" t="str">
        <f>IFERROR(VLOOKUP(E8870,'Condensed Specialty Crosswalk'!$A$2:$C$106,2,FALSE),"")</f>
        <v/>
      </c>
      <c r="G8870" s="49" t="str">
        <f>IFERROR(VLOOKUP(E8870,'Condensed Specialty Crosswalk'!$A$2:$C$106,3,FALSE),"")</f>
        <v/>
      </c>
    </row>
    <row r="8871" spans="5:7" ht="15" customHeight="1">
      <c r="E8871" s="49" t="str">
        <f>IFERROR(VLOOKUP(D8871,'taxonomy map'!$A$1:$C$107,2,FALSE),"")</f>
        <v/>
      </c>
      <c r="F8871" s="49" t="str">
        <f>IFERROR(VLOOKUP(E8871,'Condensed Specialty Crosswalk'!$A$2:$C$106,2,FALSE),"")</f>
        <v/>
      </c>
      <c r="G8871" s="49" t="str">
        <f>IFERROR(VLOOKUP(E8871,'Condensed Specialty Crosswalk'!$A$2:$C$106,3,FALSE),"")</f>
        <v/>
      </c>
    </row>
    <row r="8872" spans="5:7" ht="15" customHeight="1">
      <c r="E8872" s="49" t="str">
        <f>IFERROR(VLOOKUP(D8872,'taxonomy map'!$A$1:$C$107,2,FALSE),"")</f>
        <v/>
      </c>
      <c r="F8872" s="49" t="str">
        <f>IFERROR(VLOOKUP(E8872,'Condensed Specialty Crosswalk'!$A$2:$C$106,2,FALSE),"")</f>
        <v/>
      </c>
      <c r="G8872" s="49" t="str">
        <f>IFERROR(VLOOKUP(E8872,'Condensed Specialty Crosswalk'!$A$2:$C$106,3,FALSE),"")</f>
        <v/>
      </c>
    </row>
    <row r="8873" spans="5:7" ht="15" customHeight="1">
      <c r="E8873" s="49" t="str">
        <f>IFERROR(VLOOKUP(D8873,'taxonomy map'!$A$1:$C$107,2,FALSE),"")</f>
        <v/>
      </c>
      <c r="F8873" s="49" t="str">
        <f>IFERROR(VLOOKUP(E8873,'Condensed Specialty Crosswalk'!$A$2:$C$106,2,FALSE),"")</f>
        <v/>
      </c>
      <c r="G8873" s="49" t="str">
        <f>IFERROR(VLOOKUP(E8873,'Condensed Specialty Crosswalk'!$A$2:$C$106,3,FALSE),"")</f>
        <v/>
      </c>
    </row>
    <row r="8874" spans="5:7" ht="15" customHeight="1">
      <c r="E8874" s="49" t="str">
        <f>IFERROR(VLOOKUP(D8874,'taxonomy map'!$A$1:$C$107,2,FALSE),"")</f>
        <v/>
      </c>
      <c r="F8874" s="49" t="str">
        <f>IFERROR(VLOOKUP(E8874,'Condensed Specialty Crosswalk'!$A$2:$C$106,2,FALSE),"")</f>
        <v/>
      </c>
      <c r="G8874" s="49" t="str">
        <f>IFERROR(VLOOKUP(E8874,'Condensed Specialty Crosswalk'!$A$2:$C$106,3,FALSE),"")</f>
        <v/>
      </c>
    </row>
    <row r="8875" spans="5:7" ht="15" customHeight="1">
      <c r="E8875" s="49" t="str">
        <f>IFERROR(VLOOKUP(D8875,'taxonomy map'!$A$1:$C$107,2,FALSE),"")</f>
        <v/>
      </c>
      <c r="F8875" s="49" t="str">
        <f>IFERROR(VLOOKUP(E8875,'Condensed Specialty Crosswalk'!$A$2:$C$106,2,FALSE),"")</f>
        <v/>
      </c>
      <c r="G8875" s="49" t="str">
        <f>IFERROR(VLOOKUP(E8875,'Condensed Specialty Crosswalk'!$A$2:$C$106,3,FALSE),"")</f>
        <v/>
      </c>
    </row>
    <row r="8876" spans="5:7" ht="15" customHeight="1">
      <c r="E8876" s="49" t="str">
        <f>IFERROR(VLOOKUP(D8876,'taxonomy map'!$A$1:$C$107,2,FALSE),"")</f>
        <v/>
      </c>
      <c r="F8876" s="49" t="str">
        <f>IFERROR(VLOOKUP(E8876,'Condensed Specialty Crosswalk'!$A$2:$C$106,2,FALSE),"")</f>
        <v/>
      </c>
      <c r="G8876" s="49" t="str">
        <f>IFERROR(VLOOKUP(E8876,'Condensed Specialty Crosswalk'!$A$2:$C$106,3,FALSE),"")</f>
        <v/>
      </c>
    </row>
    <row r="8877" spans="5:7" ht="15" customHeight="1">
      <c r="E8877" s="49" t="str">
        <f>IFERROR(VLOOKUP(D8877,'taxonomy map'!$A$1:$C$107,2,FALSE),"")</f>
        <v/>
      </c>
      <c r="F8877" s="49" t="str">
        <f>IFERROR(VLOOKUP(E8877,'Condensed Specialty Crosswalk'!$A$2:$C$106,2,FALSE),"")</f>
        <v/>
      </c>
      <c r="G8877" s="49" t="str">
        <f>IFERROR(VLOOKUP(E8877,'Condensed Specialty Crosswalk'!$A$2:$C$106,3,FALSE),"")</f>
        <v/>
      </c>
    </row>
    <row r="8878" spans="5:7" ht="15" customHeight="1">
      <c r="E8878" s="49" t="str">
        <f>IFERROR(VLOOKUP(D8878,'taxonomy map'!$A$1:$C$107,2,FALSE),"")</f>
        <v/>
      </c>
      <c r="F8878" s="49" t="str">
        <f>IFERROR(VLOOKUP(E8878,'Condensed Specialty Crosswalk'!$A$2:$C$106,2,FALSE),"")</f>
        <v/>
      </c>
      <c r="G8878" s="49" t="str">
        <f>IFERROR(VLOOKUP(E8878,'Condensed Specialty Crosswalk'!$A$2:$C$106,3,FALSE),"")</f>
        <v/>
      </c>
    </row>
    <row r="8879" spans="5:7" ht="15" customHeight="1">
      <c r="E8879" s="49" t="str">
        <f>IFERROR(VLOOKUP(D8879,'taxonomy map'!$A$1:$C$107,2,FALSE),"")</f>
        <v/>
      </c>
      <c r="F8879" s="49" t="str">
        <f>IFERROR(VLOOKUP(E8879,'Condensed Specialty Crosswalk'!$A$2:$C$106,2,FALSE),"")</f>
        <v/>
      </c>
      <c r="G8879" s="49" t="str">
        <f>IFERROR(VLOOKUP(E8879,'Condensed Specialty Crosswalk'!$A$2:$C$106,3,FALSE),"")</f>
        <v/>
      </c>
    </row>
    <row r="8880" spans="5:7" ht="15" customHeight="1">
      <c r="E8880" s="49" t="str">
        <f>IFERROR(VLOOKUP(D8880,'taxonomy map'!$A$1:$C$107,2,FALSE),"")</f>
        <v/>
      </c>
      <c r="F8880" s="49" t="str">
        <f>IFERROR(VLOOKUP(E8880,'Condensed Specialty Crosswalk'!$A$2:$C$106,2,FALSE),"")</f>
        <v/>
      </c>
      <c r="G8880" s="49" t="str">
        <f>IFERROR(VLOOKUP(E8880,'Condensed Specialty Crosswalk'!$A$2:$C$106,3,FALSE),"")</f>
        <v/>
      </c>
    </row>
    <row r="8881" spans="5:7" ht="15" customHeight="1">
      <c r="E8881" s="49" t="str">
        <f>IFERROR(VLOOKUP(D8881,'taxonomy map'!$A$1:$C$107,2,FALSE),"")</f>
        <v/>
      </c>
      <c r="F8881" s="49" t="str">
        <f>IFERROR(VLOOKUP(E8881,'Condensed Specialty Crosswalk'!$A$2:$C$106,2,FALSE),"")</f>
        <v/>
      </c>
      <c r="G8881" s="49" t="str">
        <f>IFERROR(VLOOKUP(E8881,'Condensed Specialty Crosswalk'!$A$2:$C$106,3,FALSE),"")</f>
        <v/>
      </c>
    </row>
    <row r="8882" spans="5:7" ht="15" customHeight="1">
      <c r="E8882" s="49" t="str">
        <f>IFERROR(VLOOKUP(D8882,'taxonomy map'!$A$1:$C$107,2,FALSE),"")</f>
        <v/>
      </c>
      <c r="F8882" s="49" t="str">
        <f>IFERROR(VLOOKUP(E8882,'Condensed Specialty Crosswalk'!$A$2:$C$106,2,FALSE),"")</f>
        <v/>
      </c>
      <c r="G8882" s="49" t="str">
        <f>IFERROR(VLOOKUP(E8882,'Condensed Specialty Crosswalk'!$A$2:$C$106,3,FALSE),"")</f>
        <v/>
      </c>
    </row>
    <row r="8883" spans="5:7" ht="15" customHeight="1">
      <c r="E8883" s="49" t="str">
        <f>IFERROR(VLOOKUP(D8883,'taxonomy map'!$A$1:$C$107,2,FALSE),"")</f>
        <v/>
      </c>
      <c r="F8883" s="49" t="str">
        <f>IFERROR(VLOOKUP(E8883,'Condensed Specialty Crosswalk'!$A$2:$C$106,2,FALSE),"")</f>
        <v/>
      </c>
      <c r="G8883" s="49" t="str">
        <f>IFERROR(VLOOKUP(E8883,'Condensed Specialty Crosswalk'!$A$2:$C$106,3,FALSE),"")</f>
        <v/>
      </c>
    </row>
    <row r="8884" spans="5:7" ht="15" customHeight="1">
      <c r="E8884" s="49" t="str">
        <f>IFERROR(VLOOKUP(D8884,'taxonomy map'!$A$1:$C$107,2,FALSE),"")</f>
        <v/>
      </c>
      <c r="F8884" s="49" t="str">
        <f>IFERROR(VLOOKUP(E8884,'Condensed Specialty Crosswalk'!$A$2:$C$106,2,FALSE),"")</f>
        <v/>
      </c>
      <c r="G8884" s="49" t="str">
        <f>IFERROR(VLOOKUP(E8884,'Condensed Specialty Crosswalk'!$A$2:$C$106,3,FALSE),"")</f>
        <v/>
      </c>
    </row>
    <row r="8885" spans="5:7" ht="15" customHeight="1">
      <c r="E8885" s="49" t="str">
        <f>IFERROR(VLOOKUP(D8885,'taxonomy map'!$A$1:$C$107,2,FALSE),"")</f>
        <v/>
      </c>
      <c r="F8885" s="49" t="str">
        <f>IFERROR(VLOOKUP(E8885,'Condensed Specialty Crosswalk'!$A$2:$C$106,2,FALSE),"")</f>
        <v/>
      </c>
      <c r="G8885" s="49" t="str">
        <f>IFERROR(VLOOKUP(E8885,'Condensed Specialty Crosswalk'!$A$2:$C$106,3,FALSE),"")</f>
        <v/>
      </c>
    </row>
    <row r="8886" spans="5:7" ht="15" customHeight="1">
      <c r="E8886" s="49" t="str">
        <f>IFERROR(VLOOKUP(D8886,'taxonomy map'!$A$1:$C$107,2,FALSE),"")</f>
        <v/>
      </c>
      <c r="F8886" s="49" t="str">
        <f>IFERROR(VLOOKUP(E8886,'Condensed Specialty Crosswalk'!$A$2:$C$106,2,FALSE),"")</f>
        <v/>
      </c>
      <c r="G8886" s="49" t="str">
        <f>IFERROR(VLOOKUP(E8886,'Condensed Specialty Crosswalk'!$A$2:$C$106,3,FALSE),"")</f>
        <v/>
      </c>
    </row>
    <row r="8887" spans="5:7" ht="15" customHeight="1">
      <c r="E8887" s="49" t="str">
        <f>IFERROR(VLOOKUP(D8887,'taxonomy map'!$A$1:$C$107,2,FALSE),"")</f>
        <v/>
      </c>
      <c r="F8887" s="49" t="str">
        <f>IFERROR(VLOOKUP(E8887,'Condensed Specialty Crosswalk'!$A$2:$C$106,2,FALSE),"")</f>
        <v/>
      </c>
      <c r="G8887" s="49" t="str">
        <f>IFERROR(VLOOKUP(E8887,'Condensed Specialty Crosswalk'!$A$2:$C$106,3,FALSE),"")</f>
        <v/>
      </c>
    </row>
    <row r="8888" spans="5:7" ht="15" customHeight="1">
      <c r="E8888" s="49" t="str">
        <f>IFERROR(VLOOKUP(D8888,'taxonomy map'!$A$1:$C$107,2,FALSE),"")</f>
        <v/>
      </c>
      <c r="F8888" s="49" t="str">
        <f>IFERROR(VLOOKUP(E8888,'Condensed Specialty Crosswalk'!$A$2:$C$106,2,FALSE),"")</f>
        <v/>
      </c>
      <c r="G8888" s="49" t="str">
        <f>IFERROR(VLOOKUP(E8888,'Condensed Specialty Crosswalk'!$A$2:$C$106,3,FALSE),"")</f>
        <v/>
      </c>
    </row>
    <row r="8889" spans="5:7" ht="15" customHeight="1">
      <c r="E8889" s="49" t="str">
        <f>IFERROR(VLOOKUP(D8889,'taxonomy map'!$A$1:$C$107,2,FALSE),"")</f>
        <v/>
      </c>
      <c r="F8889" s="49" t="str">
        <f>IFERROR(VLOOKUP(E8889,'Condensed Specialty Crosswalk'!$A$2:$C$106,2,FALSE),"")</f>
        <v/>
      </c>
      <c r="G8889" s="49" t="str">
        <f>IFERROR(VLOOKUP(E8889,'Condensed Specialty Crosswalk'!$A$2:$C$106,3,FALSE),"")</f>
        <v/>
      </c>
    </row>
    <row r="8890" spans="5:7" ht="15" customHeight="1">
      <c r="E8890" s="49" t="str">
        <f>IFERROR(VLOOKUP(D8890,'taxonomy map'!$A$1:$C$107,2,FALSE),"")</f>
        <v/>
      </c>
      <c r="F8890" s="49" t="str">
        <f>IFERROR(VLOOKUP(E8890,'Condensed Specialty Crosswalk'!$A$2:$C$106,2,FALSE),"")</f>
        <v/>
      </c>
      <c r="G8890" s="49" t="str">
        <f>IFERROR(VLOOKUP(E8890,'Condensed Specialty Crosswalk'!$A$2:$C$106,3,FALSE),"")</f>
        <v/>
      </c>
    </row>
    <row r="8891" spans="5:7" ht="15" customHeight="1">
      <c r="E8891" s="49" t="str">
        <f>IFERROR(VLOOKUP(D8891,'taxonomy map'!$A$1:$C$107,2,FALSE),"")</f>
        <v/>
      </c>
      <c r="F8891" s="49" t="str">
        <f>IFERROR(VLOOKUP(E8891,'Condensed Specialty Crosswalk'!$A$2:$C$106,2,FALSE),"")</f>
        <v/>
      </c>
      <c r="G8891" s="49" t="str">
        <f>IFERROR(VLOOKUP(E8891,'Condensed Specialty Crosswalk'!$A$2:$C$106,3,FALSE),"")</f>
        <v/>
      </c>
    </row>
    <row r="8892" spans="5:7" ht="15" customHeight="1">
      <c r="E8892" s="49" t="str">
        <f>IFERROR(VLOOKUP(D8892,'taxonomy map'!$A$1:$C$107,2,FALSE),"")</f>
        <v/>
      </c>
      <c r="F8892" s="49" t="str">
        <f>IFERROR(VLOOKUP(E8892,'Condensed Specialty Crosswalk'!$A$2:$C$106,2,FALSE),"")</f>
        <v/>
      </c>
      <c r="G8892" s="49" t="str">
        <f>IFERROR(VLOOKUP(E8892,'Condensed Specialty Crosswalk'!$A$2:$C$106,3,FALSE),"")</f>
        <v/>
      </c>
    </row>
    <row r="8893" spans="5:7" ht="15" customHeight="1">
      <c r="E8893" s="49" t="str">
        <f>IFERROR(VLOOKUP(D8893,'taxonomy map'!$A$1:$C$107,2,FALSE),"")</f>
        <v/>
      </c>
      <c r="F8893" s="49" t="str">
        <f>IFERROR(VLOOKUP(E8893,'Condensed Specialty Crosswalk'!$A$2:$C$106,2,FALSE),"")</f>
        <v/>
      </c>
      <c r="G8893" s="49" t="str">
        <f>IFERROR(VLOOKUP(E8893,'Condensed Specialty Crosswalk'!$A$2:$C$106,3,FALSE),"")</f>
        <v/>
      </c>
    </row>
    <row r="8894" spans="5:7" ht="15" customHeight="1">
      <c r="E8894" s="49" t="str">
        <f>IFERROR(VLOOKUP(D8894,'taxonomy map'!$A$1:$C$107,2,FALSE),"")</f>
        <v/>
      </c>
      <c r="F8894" s="49" t="str">
        <f>IFERROR(VLOOKUP(E8894,'Condensed Specialty Crosswalk'!$A$2:$C$106,2,FALSE),"")</f>
        <v/>
      </c>
      <c r="G8894" s="49" t="str">
        <f>IFERROR(VLOOKUP(E8894,'Condensed Specialty Crosswalk'!$A$2:$C$106,3,FALSE),"")</f>
        <v/>
      </c>
    </row>
    <row r="8895" spans="5:7" ht="15" customHeight="1">
      <c r="E8895" s="49" t="str">
        <f>IFERROR(VLOOKUP(D8895,'taxonomy map'!$A$1:$C$107,2,FALSE),"")</f>
        <v/>
      </c>
      <c r="F8895" s="49" t="str">
        <f>IFERROR(VLOOKUP(E8895,'Condensed Specialty Crosswalk'!$A$2:$C$106,2,FALSE),"")</f>
        <v/>
      </c>
      <c r="G8895" s="49" t="str">
        <f>IFERROR(VLOOKUP(E8895,'Condensed Specialty Crosswalk'!$A$2:$C$106,3,FALSE),"")</f>
        <v/>
      </c>
    </row>
    <row r="8896" spans="5:7" ht="15" customHeight="1">
      <c r="E8896" s="49" t="str">
        <f>IFERROR(VLOOKUP(D8896,'taxonomy map'!$A$1:$C$107,2,FALSE),"")</f>
        <v/>
      </c>
      <c r="F8896" s="49" t="str">
        <f>IFERROR(VLOOKUP(E8896,'Condensed Specialty Crosswalk'!$A$2:$C$106,2,FALSE),"")</f>
        <v/>
      </c>
      <c r="G8896" s="49" t="str">
        <f>IFERROR(VLOOKUP(E8896,'Condensed Specialty Crosswalk'!$A$2:$C$106,3,FALSE),"")</f>
        <v/>
      </c>
    </row>
    <row r="8897" spans="5:7" ht="15" customHeight="1">
      <c r="E8897" s="49" t="str">
        <f>IFERROR(VLOOKUP(D8897,'taxonomy map'!$A$1:$C$107,2,FALSE),"")</f>
        <v/>
      </c>
      <c r="F8897" s="49" t="str">
        <f>IFERROR(VLOOKUP(E8897,'Condensed Specialty Crosswalk'!$A$2:$C$106,2,FALSE),"")</f>
        <v/>
      </c>
      <c r="G8897" s="49" t="str">
        <f>IFERROR(VLOOKUP(E8897,'Condensed Specialty Crosswalk'!$A$2:$C$106,3,FALSE),"")</f>
        <v/>
      </c>
    </row>
    <row r="8898" spans="5:7" ht="15" customHeight="1">
      <c r="E8898" s="49" t="str">
        <f>IFERROR(VLOOKUP(D8898,'taxonomy map'!$A$1:$C$107,2,FALSE),"")</f>
        <v/>
      </c>
      <c r="F8898" s="49" t="str">
        <f>IFERROR(VLOOKUP(E8898,'Condensed Specialty Crosswalk'!$A$2:$C$106,2,FALSE),"")</f>
        <v/>
      </c>
      <c r="G8898" s="49" t="str">
        <f>IFERROR(VLOOKUP(E8898,'Condensed Specialty Crosswalk'!$A$2:$C$106,3,FALSE),"")</f>
        <v/>
      </c>
    </row>
    <row r="8899" spans="5:7" ht="15" customHeight="1">
      <c r="E8899" s="49" t="str">
        <f>IFERROR(VLOOKUP(D8899,'taxonomy map'!$A$1:$C$107,2,FALSE),"")</f>
        <v/>
      </c>
      <c r="F8899" s="49" t="str">
        <f>IFERROR(VLOOKUP(E8899,'Condensed Specialty Crosswalk'!$A$2:$C$106,2,FALSE),"")</f>
        <v/>
      </c>
      <c r="G8899" s="49" t="str">
        <f>IFERROR(VLOOKUP(E8899,'Condensed Specialty Crosswalk'!$A$2:$C$106,3,FALSE),"")</f>
        <v/>
      </c>
    </row>
    <row r="8900" spans="5:7" ht="15" customHeight="1">
      <c r="E8900" s="49" t="str">
        <f>IFERROR(VLOOKUP(D8900,'taxonomy map'!$A$1:$C$107,2,FALSE),"")</f>
        <v/>
      </c>
      <c r="F8900" s="49" t="str">
        <f>IFERROR(VLOOKUP(E8900,'Condensed Specialty Crosswalk'!$A$2:$C$106,2,FALSE),"")</f>
        <v/>
      </c>
      <c r="G8900" s="49" t="str">
        <f>IFERROR(VLOOKUP(E8900,'Condensed Specialty Crosswalk'!$A$2:$C$106,3,FALSE),"")</f>
        <v/>
      </c>
    </row>
    <row r="8901" spans="5:7" ht="15" customHeight="1">
      <c r="E8901" s="49" t="str">
        <f>IFERROR(VLOOKUP(D8901,'taxonomy map'!$A$1:$C$107,2,FALSE),"")</f>
        <v/>
      </c>
      <c r="F8901" s="49" t="str">
        <f>IFERROR(VLOOKUP(E8901,'Condensed Specialty Crosswalk'!$A$2:$C$106,2,FALSE),"")</f>
        <v/>
      </c>
      <c r="G8901" s="49" t="str">
        <f>IFERROR(VLOOKUP(E8901,'Condensed Specialty Crosswalk'!$A$2:$C$106,3,FALSE),"")</f>
        <v/>
      </c>
    </row>
    <row r="8902" spans="5:7" ht="15" customHeight="1">
      <c r="E8902" s="49" t="str">
        <f>IFERROR(VLOOKUP(D8902,'taxonomy map'!$A$1:$C$107,2,FALSE),"")</f>
        <v/>
      </c>
      <c r="F8902" s="49" t="str">
        <f>IFERROR(VLOOKUP(E8902,'Condensed Specialty Crosswalk'!$A$2:$C$106,2,FALSE),"")</f>
        <v/>
      </c>
      <c r="G8902" s="49" t="str">
        <f>IFERROR(VLOOKUP(E8902,'Condensed Specialty Crosswalk'!$A$2:$C$106,3,FALSE),"")</f>
        <v/>
      </c>
    </row>
    <row r="8903" spans="5:7" ht="15" customHeight="1">
      <c r="E8903" s="49" t="str">
        <f>IFERROR(VLOOKUP(D8903,'taxonomy map'!$A$1:$C$107,2,FALSE),"")</f>
        <v/>
      </c>
      <c r="F8903" s="49" t="str">
        <f>IFERROR(VLOOKUP(E8903,'Condensed Specialty Crosswalk'!$A$2:$C$106,2,FALSE),"")</f>
        <v/>
      </c>
      <c r="G8903" s="49" t="str">
        <f>IFERROR(VLOOKUP(E8903,'Condensed Specialty Crosswalk'!$A$2:$C$106,3,FALSE),"")</f>
        <v/>
      </c>
    </row>
    <row r="8904" spans="5:7" ht="15" customHeight="1">
      <c r="E8904" s="49" t="str">
        <f>IFERROR(VLOOKUP(D8904,'taxonomy map'!$A$1:$C$107,2,FALSE),"")</f>
        <v/>
      </c>
      <c r="F8904" s="49" t="str">
        <f>IFERROR(VLOOKUP(E8904,'Condensed Specialty Crosswalk'!$A$2:$C$106,2,FALSE),"")</f>
        <v/>
      </c>
      <c r="G8904" s="49" t="str">
        <f>IFERROR(VLOOKUP(E8904,'Condensed Specialty Crosswalk'!$A$2:$C$106,3,FALSE),"")</f>
        <v/>
      </c>
    </row>
    <row r="8905" spans="5:7" ht="15" customHeight="1">
      <c r="E8905" s="49" t="str">
        <f>IFERROR(VLOOKUP(D8905,'taxonomy map'!$A$1:$C$107,2,FALSE),"")</f>
        <v/>
      </c>
      <c r="F8905" s="49" t="str">
        <f>IFERROR(VLOOKUP(E8905,'Condensed Specialty Crosswalk'!$A$2:$C$106,2,FALSE),"")</f>
        <v/>
      </c>
      <c r="G8905" s="49" t="str">
        <f>IFERROR(VLOOKUP(E8905,'Condensed Specialty Crosswalk'!$A$2:$C$106,3,FALSE),"")</f>
        <v/>
      </c>
    </row>
    <row r="8906" spans="5:7" ht="15" customHeight="1">
      <c r="E8906" s="49" t="str">
        <f>IFERROR(VLOOKUP(D8906,'taxonomy map'!$A$1:$C$107,2,FALSE),"")</f>
        <v/>
      </c>
      <c r="F8906" s="49" t="str">
        <f>IFERROR(VLOOKUP(E8906,'Condensed Specialty Crosswalk'!$A$2:$C$106,2,FALSE),"")</f>
        <v/>
      </c>
      <c r="G8906" s="49" t="str">
        <f>IFERROR(VLOOKUP(E8906,'Condensed Specialty Crosswalk'!$A$2:$C$106,3,FALSE),"")</f>
        <v/>
      </c>
    </row>
    <row r="8907" spans="5:7" ht="15" customHeight="1">
      <c r="E8907" s="49" t="str">
        <f>IFERROR(VLOOKUP(D8907,'taxonomy map'!$A$1:$C$107,2,FALSE),"")</f>
        <v/>
      </c>
      <c r="F8907" s="49" t="str">
        <f>IFERROR(VLOOKUP(E8907,'Condensed Specialty Crosswalk'!$A$2:$C$106,2,FALSE),"")</f>
        <v/>
      </c>
      <c r="G8907" s="49" t="str">
        <f>IFERROR(VLOOKUP(E8907,'Condensed Specialty Crosswalk'!$A$2:$C$106,3,FALSE),"")</f>
        <v/>
      </c>
    </row>
    <row r="8908" spans="5:7" ht="15" customHeight="1">
      <c r="E8908" s="49" t="str">
        <f>IFERROR(VLOOKUP(D8908,'taxonomy map'!$A$1:$C$107,2,FALSE),"")</f>
        <v/>
      </c>
      <c r="F8908" s="49" t="str">
        <f>IFERROR(VLOOKUP(E8908,'Condensed Specialty Crosswalk'!$A$2:$C$106,2,FALSE),"")</f>
        <v/>
      </c>
      <c r="G8908" s="49" t="str">
        <f>IFERROR(VLOOKUP(E8908,'Condensed Specialty Crosswalk'!$A$2:$C$106,3,FALSE),"")</f>
        <v/>
      </c>
    </row>
    <row r="8909" spans="5:7" ht="15" customHeight="1">
      <c r="E8909" s="49" t="str">
        <f>IFERROR(VLOOKUP(D8909,'taxonomy map'!$A$1:$C$107,2,FALSE),"")</f>
        <v/>
      </c>
      <c r="F8909" s="49" t="str">
        <f>IFERROR(VLOOKUP(E8909,'Condensed Specialty Crosswalk'!$A$2:$C$106,2,FALSE),"")</f>
        <v/>
      </c>
      <c r="G8909" s="49" t="str">
        <f>IFERROR(VLOOKUP(E8909,'Condensed Specialty Crosswalk'!$A$2:$C$106,3,FALSE),"")</f>
        <v/>
      </c>
    </row>
    <row r="8910" spans="5:7" ht="15" customHeight="1">
      <c r="E8910" s="49" t="str">
        <f>IFERROR(VLOOKUP(D8910,'taxonomy map'!$A$1:$C$107,2,FALSE),"")</f>
        <v/>
      </c>
      <c r="F8910" s="49" t="str">
        <f>IFERROR(VLOOKUP(E8910,'Condensed Specialty Crosswalk'!$A$2:$C$106,2,FALSE),"")</f>
        <v/>
      </c>
      <c r="G8910" s="49" t="str">
        <f>IFERROR(VLOOKUP(E8910,'Condensed Specialty Crosswalk'!$A$2:$C$106,3,FALSE),"")</f>
        <v/>
      </c>
    </row>
    <row r="8911" spans="5:7" ht="15" customHeight="1">
      <c r="E8911" s="49" t="str">
        <f>IFERROR(VLOOKUP(D8911,'taxonomy map'!$A$1:$C$107,2,FALSE),"")</f>
        <v/>
      </c>
      <c r="F8911" s="49" t="str">
        <f>IFERROR(VLOOKUP(E8911,'Condensed Specialty Crosswalk'!$A$2:$C$106,2,FALSE),"")</f>
        <v/>
      </c>
      <c r="G8911" s="49" t="str">
        <f>IFERROR(VLOOKUP(E8911,'Condensed Specialty Crosswalk'!$A$2:$C$106,3,FALSE),"")</f>
        <v/>
      </c>
    </row>
    <row r="8912" spans="5:7" ht="15" customHeight="1">
      <c r="E8912" s="49" t="str">
        <f>IFERROR(VLOOKUP(D8912,'taxonomy map'!$A$1:$C$107,2,FALSE),"")</f>
        <v/>
      </c>
      <c r="F8912" s="49" t="str">
        <f>IFERROR(VLOOKUP(E8912,'Condensed Specialty Crosswalk'!$A$2:$C$106,2,FALSE),"")</f>
        <v/>
      </c>
      <c r="G8912" s="49" t="str">
        <f>IFERROR(VLOOKUP(E8912,'Condensed Specialty Crosswalk'!$A$2:$C$106,3,FALSE),"")</f>
        <v/>
      </c>
    </row>
    <row r="8913" spans="5:7" ht="15" customHeight="1">
      <c r="E8913" s="49" t="str">
        <f>IFERROR(VLOOKUP(D8913,'taxonomy map'!$A$1:$C$107,2,FALSE),"")</f>
        <v/>
      </c>
      <c r="F8913" s="49" t="str">
        <f>IFERROR(VLOOKUP(E8913,'Condensed Specialty Crosswalk'!$A$2:$C$106,2,FALSE),"")</f>
        <v/>
      </c>
      <c r="G8913" s="49" t="str">
        <f>IFERROR(VLOOKUP(E8913,'Condensed Specialty Crosswalk'!$A$2:$C$106,3,FALSE),"")</f>
        <v/>
      </c>
    </row>
    <row r="8914" spans="5:7" ht="15" customHeight="1">
      <c r="E8914" s="49" t="str">
        <f>IFERROR(VLOOKUP(D8914,'taxonomy map'!$A$1:$C$107,2,FALSE),"")</f>
        <v/>
      </c>
      <c r="F8914" s="49" t="str">
        <f>IFERROR(VLOOKUP(E8914,'Condensed Specialty Crosswalk'!$A$2:$C$106,2,FALSE),"")</f>
        <v/>
      </c>
      <c r="G8914" s="49" t="str">
        <f>IFERROR(VLOOKUP(E8914,'Condensed Specialty Crosswalk'!$A$2:$C$106,3,FALSE),"")</f>
        <v/>
      </c>
    </row>
    <row r="8915" spans="5:7" ht="15" customHeight="1">
      <c r="E8915" s="49" t="str">
        <f>IFERROR(VLOOKUP(D8915,'taxonomy map'!$A$1:$C$107,2,FALSE),"")</f>
        <v/>
      </c>
      <c r="F8915" s="49" t="str">
        <f>IFERROR(VLOOKUP(E8915,'Condensed Specialty Crosswalk'!$A$2:$C$106,2,FALSE),"")</f>
        <v/>
      </c>
      <c r="G8915" s="49" t="str">
        <f>IFERROR(VLOOKUP(E8915,'Condensed Specialty Crosswalk'!$A$2:$C$106,3,FALSE),"")</f>
        <v/>
      </c>
    </row>
    <row r="8916" spans="5:7" ht="15" customHeight="1">
      <c r="E8916" s="49" t="str">
        <f>IFERROR(VLOOKUP(D8916,'taxonomy map'!$A$1:$C$107,2,FALSE),"")</f>
        <v/>
      </c>
      <c r="F8916" s="49" t="str">
        <f>IFERROR(VLOOKUP(E8916,'Condensed Specialty Crosswalk'!$A$2:$C$106,2,FALSE),"")</f>
        <v/>
      </c>
      <c r="G8916" s="49" t="str">
        <f>IFERROR(VLOOKUP(E8916,'Condensed Specialty Crosswalk'!$A$2:$C$106,3,FALSE),"")</f>
        <v/>
      </c>
    </row>
    <row r="8917" spans="5:7" ht="15" customHeight="1">
      <c r="E8917" s="49" t="str">
        <f>IFERROR(VLOOKUP(D8917,'taxonomy map'!$A$1:$C$107,2,FALSE),"")</f>
        <v/>
      </c>
      <c r="F8917" s="49" t="str">
        <f>IFERROR(VLOOKUP(E8917,'Condensed Specialty Crosswalk'!$A$2:$C$106,2,FALSE),"")</f>
        <v/>
      </c>
      <c r="G8917" s="49" t="str">
        <f>IFERROR(VLOOKUP(E8917,'Condensed Specialty Crosswalk'!$A$2:$C$106,3,FALSE),"")</f>
        <v/>
      </c>
    </row>
    <row r="8918" spans="5:7" ht="15" customHeight="1">
      <c r="E8918" s="49" t="str">
        <f>IFERROR(VLOOKUP(D8918,'taxonomy map'!$A$1:$C$107,2,FALSE),"")</f>
        <v/>
      </c>
      <c r="F8918" s="49" t="str">
        <f>IFERROR(VLOOKUP(E8918,'Condensed Specialty Crosswalk'!$A$2:$C$106,2,FALSE),"")</f>
        <v/>
      </c>
      <c r="G8918" s="49" t="str">
        <f>IFERROR(VLOOKUP(E8918,'Condensed Specialty Crosswalk'!$A$2:$C$106,3,FALSE),"")</f>
        <v/>
      </c>
    </row>
    <row r="8919" spans="5:7" ht="15" customHeight="1">
      <c r="E8919" s="49" t="str">
        <f>IFERROR(VLOOKUP(D8919,'taxonomy map'!$A$1:$C$107,2,FALSE),"")</f>
        <v/>
      </c>
      <c r="F8919" s="49" t="str">
        <f>IFERROR(VLOOKUP(E8919,'Condensed Specialty Crosswalk'!$A$2:$C$106,2,FALSE),"")</f>
        <v/>
      </c>
      <c r="G8919" s="49" t="str">
        <f>IFERROR(VLOOKUP(E8919,'Condensed Specialty Crosswalk'!$A$2:$C$106,3,FALSE),"")</f>
        <v/>
      </c>
    </row>
    <row r="8920" spans="5:7" ht="15" customHeight="1">
      <c r="E8920" s="49" t="str">
        <f>IFERROR(VLOOKUP(D8920,'taxonomy map'!$A$1:$C$107,2,FALSE),"")</f>
        <v/>
      </c>
      <c r="F8920" s="49" t="str">
        <f>IFERROR(VLOOKUP(E8920,'Condensed Specialty Crosswalk'!$A$2:$C$106,2,FALSE),"")</f>
        <v/>
      </c>
      <c r="G8920" s="49" t="str">
        <f>IFERROR(VLOOKUP(E8920,'Condensed Specialty Crosswalk'!$A$2:$C$106,3,FALSE),"")</f>
        <v/>
      </c>
    </row>
    <row r="8921" spans="5:7" ht="15" customHeight="1">
      <c r="E8921" s="49" t="str">
        <f>IFERROR(VLOOKUP(D8921,'taxonomy map'!$A$1:$C$107,2,FALSE),"")</f>
        <v/>
      </c>
      <c r="F8921" s="49" t="str">
        <f>IFERROR(VLOOKUP(E8921,'Condensed Specialty Crosswalk'!$A$2:$C$106,2,FALSE),"")</f>
        <v/>
      </c>
      <c r="G8921" s="49" t="str">
        <f>IFERROR(VLOOKUP(E8921,'Condensed Specialty Crosswalk'!$A$2:$C$106,3,FALSE),"")</f>
        <v/>
      </c>
    </row>
    <row r="8922" spans="5:7" ht="15" customHeight="1">
      <c r="E8922" s="49" t="str">
        <f>IFERROR(VLOOKUP(D8922,'taxonomy map'!$A$1:$C$107,2,FALSE),"")</f>
        <v/>
      </c>
      <c r="F8922" s="49" t="str">
        <f>IFERROR(VLOOKUP(E8922,'Condensed Specialty Crosswalk'!$A$2:$C$106,2,FALSE),"")</f>
        <v/>
      </c>
      <c r="G8922" s="49" t="str">
        <f>IFERROR(VLOOKUP(E8922,'Condensed Specialty Crosswalk'!$A$2:$C$106,3,FALSE),"")</f>
        <v/>
      </c>
    </row>
    <row r="8923" spans="5:7" ht="15" customHeight="1">
      <c r="E8923" s="49" t="str">
        <f>IFERROR(VLOOKUP(D8923,'taxonomy map'!$A$1:$C$107,2,FALSE),"")</f>
        <v/>
      </c>
      <c r="F8923" s="49" t="str">
        <f>IFERROR(VLOOKUP(E8923,'Condensed Specialty Crosswalk'!$A$2:$C$106,2,FALSE),"")</f>
        <v/>
      </c>
      <c r="G8923" s="49" t="str">
        <f>IFERROR(VLOOKUP(E8923,'Condensed Specialty Crosswalk'!$A$2:$C$106,3,FALSE),"")</f>
        <v/>
      </c>
    </row>
    <row r="8924" spans="5:7" ht="15" customHeight="1">
      <c r="E8924" s="49" t="str">
        <f>IFERROR(VLOOKUP(D8924,'taxonomy map'!$A$1:$C$107,2,FALSE),"")</f>
        <v/>
      </c>
      <c r="F8924" s="49" t="str">
        <f>IFERROR(VLOOKUP(E8924,'Condensed Specialty Crosswalk'!$A$2:$C$106,2,FALSE),"")</f>
        <v/>
      </c>
      <c r="G8924" s="49" t="str">
        <f>IFERROR(VLOOKUP(E8924,'Condensed Specialty Crosswalk'!$A$2:$C$106,3,FALSE),"")</f>
        <v/>
      </c>
    </row>
    <row r="8925" spans="5:7" ht="15" customHeight="1">
      <c r="E8925" s="49" t="str">
        <f>IFERROR(VLOOKUP(D8925,'taxonomy map'!$A$1:$C$107,2,FALSE),"")</f>
        <v/>
      </c>
      <c r="F8925" s="49" t="str">
        <f>IFERROR(VLOOKUP(E8925,'Condensed Specialty Crosswalk'!$A$2:$C$106,2,FALSE),"")</f>
        <v/>
      </c>
      <c r="G8925" s="49" t="str">
        <f>IFERROR(VLOOKUP(E8925,'Condensed Specialty Crosswalk'!$A$2:$C$106,3,FALSE),"")</f>
        <v/>
      </c>
    </row>
    <row r="8926" spans="5:7" ht="15" customHeight="1">
      <c r="E8926" s="49" t="str">
        <f>IFERROR(VLOOKUP(D8926,'taxonomy map'!$A$1:$C$107,2,FALSE),"")</f>
        <v/>
      </c>
      <c r="F8926" s="49" t="str">
        <f>IFERROR(VLOOKUP(E8926,'Condensed Specialty Crosswalk'!$A$2:$C$106,2,FALSE),"")</f>
        <v/>
      </c>
      <c r="G8926" s="49" t="str">
        <f>IFERROR(VLOOKUP(E8926,'Condensed Specialty Crosswalk'!$A$2:$C$106,3,FALSE),"")</f>
        <v/>
      </c>
    </row>
    <row r="8927" spans="5:7" ht="15" customHeight="1">
      <c r="E8927" s="49" t="str">
        <f>IFERROR(VLOOKUP(D8927,'taxonomy map'!$A$1:$C$107,2,FALSE),"")</f>
        <v/>
      </c>
      <c r="F8927" s="49" t="str">
        <f>IFERROR(VLOOKUP(E8927,'Condensed Specialty Crosswalk'!$A$2:$C$106,2,FALSE),"")</f>
        <v/>
      </c>
      <c r="G8927" s="49" t="str">
        <f>IFERROR(VLOOKUP(E8927,'Condensed Specialty Crosswalk'!$A$2:$C$106,3,FALSE),"")</f>
        <v/>
      </c>
    </row>
    <row r="8928" spans="5:7" ht="15" customHeight="1">
      <c r="E8928" s="49" t="str">
        <f>IFERROR(VLOOKUP(D8928,'taxonomy map'!$A$1:$C$107,2,FALSE),"")</f>
        <v/>
      </c>
      <c r="F8928" s="49" t="str">
        <f>IFERROR(VLOOKUP(E8928,'Condensed Specialty Crosswalk'!$A$2:$C$106,2,FALSE),"")</f>
        <v/>
      </c>
      <c r="G8928" s="49" t="str">
        <f>IFERROR(VLOOKUP(E8928,'Condensed Specialty Crosswalk'!$A$2:$C$106,3,FALSE),"")</f>
        <v/>
      </c>
    </row>
    <row r="8929" spans="5:7" ht="15" customHeight="1">
      <c r="E8929" s="49" t="str">
        <f>IFERROR(VLOOKUP(D8929,'taxonomy map'!$A$1:$C$107,2,FALSE),"")</f>
        <v/>
      </c>
      <c r="F8929" s="49" t="str">
        <f>IFERROR(VLOOKUP(E8929,'Condensed Specialty Crosswalk'!$A$2:$C$106,2,FALSE),"")</f>
        <v/>
      </c>
      <c r="G8929" s="49" t="str">
        <f>IFERROR(VLOOKUP(E8929,'Condensed Specialty Crosswalk'!$A$2:$C$106,3,FALSE),"")</f>
        <v/>
      </c>
    </row>
    <row r="8930" spans="5:7" ht="15" customHeight="1">
      <c r="E8930" s="49" t="str">
        <f>IFERROR(VLOOKUP(D8930,'taxonomy map'!$A$1:$C$107,2,FALSE),"")</f>
        <v/>
      </c>
      <c r="F8930" s="49" t="str">
        <f>IFERROR(VLOOKUP(E8930,'Condensed Specialty Crosswalk'!$A$2:$C$106,2,FALSE),"")</f>
        <v/>
      </c>
      <c r="G8930" s="49" t="str">
        <f>IFERROR(VLOOKUP(E8930,'Condensed Specialty Crosswalk'!$A$2:$C$106,3,FALSE),"")</f>
        <v/>
      </c>
    </row>
    <row r="8931" spans="5:7" ht="15" customHeight="1">
      <c r="E8931" s="49" t="str">
        <f>IFERROR(VLOOKUP(D8931,'taxonomy map'!$A$1:$C$107,2,FALSE),"")</f>
        <v/>
      </c>
      <c r="F8931" s="49" t="str">
        <f>IFERROR(VLOOKUP(E8931,'Condensed Specialty Crosswalk'!$A$2:$C$106,2,FALSE),"")</f>
        <v/>
      </c>
      <c r="G8931" s="49" t="str">
        <f>IFERROR(VLOOKUP(E8931,'Condensed Specialty Crosswalk'!$A$2:$C$106,3,FALSE),"")</f>
        <v/>
      </c>
    </row>
    <row r="8932" spans="5:7" ht="15" customHeight="1">
      <c r="E8932" s="49" t="str">
        <f>IFERROR(VLOOKUP(D8932,'taxonomy map'!$A$1:$C$107,2,FALSE),"")</f>
        <v/>
      </c>
      <c r="F8932" s="49" t="str">
        <f>IFERROR(VLOOKUP(E8932,'Condensed Specialty Crosswalk'!$A$2:$C$106,2,FALSE),"")</f>
        <v/>
      </c>
      <c r="G8932" s="49" t="str">
        <f>IFERROR(VLOOKUP(E8932,'Condensed Specialty Crosswalk'!$A$2:$C$106,3,FALSE),"")</f>
        <v/>
      </c>
    </row>
    <row r="8933" spans="5:7" ht="15" customHeight="1">
      <c r="E8933" s="49" t="str">
        <f>IFERROR(VLOOKUP(D8933,'taxonomy map'!$A$1:$C$107,2,FALSE),"")</f>
        <v/>
      </c>
      <c r="F8933" s="49" t="str">
        <f>IFERROR(VLOOKUP(E8933,'Condensed Specialty Crosswalk'!$A$2:$C$106,2,FALSE),"")</f>
        <v/>
      </c>
      <c r="G8933" s="49" t="str">
        <f>IFERROR(VLOOKUP(E8933,'Condensed Specialty Crosswalk'!$A$2:$C$106,3,FALSE),"")</f>
        <v/>
      </c>
    </row>
    <row r="8934" spans="5:7" ht="15" customHeight="1">
      <c r="E8934" s="49" t="str">
        <f>IFERROR(VLOOKUP(D8934,'taxonomy map'!$A$1:$C$107,2,FALSE),"")</f>
        <v/>
      </c>
      <c r="F8934" s="49" t="str">
        <f>IFERROR(VLOOKUP(E8934,'Condensed Specialty Crosswalk'!$A$2:$C$106,2,FALSE),"")</f>
        <v/>
      </c>
      <c r="G8934" s="49" t="str">
        <f>IFERROR(VLOOKUP(E8934,'Condensed Specialty Crosswalk'!$A$2:$C$106,3,FALSE),"")</f>
        <v/>
      </c>
    </row>
    <row r="8935" spans="5:7" ht="15" customHeight="1">
      <c r="E8935" s="49" t="str">
        <f>IFERROR(VLOOKUP(D8935,'taxonomy map'!$A$1:$C$107,2,FALSE),"")</f>
        <v/>
      </c>
      <c r="F8935" s="49" t="str">
        <f>IFERROR(VLOOKUP(E8935,'Condensed Specialty Crosswalk'!$A$2:$C$106,2,FALSE),"")</f>
        <v/>
      </c>
      <c r="G8935" s="49" t="str">
        <f>IFERROR(VLOOKUP(E8935,'Condensed Specialty Crosswalk'!$A$2:$C$106,3,FALSE),"")</f>
        <v/>
      </c>
    </row>
    <row r="8936" spans="5:7" ht="15" customHeight="1">
      <c r="E8936" s="49" t="str">
        <f>IFERROR(VLOOKUP(D8936,'taxonomy map'!$A$1:$C$107,2,FALSE),"")</f>
        <v/>
      </c>
      <c r="F8936" s="49" t="str">
        <f>IFERROR(VLOOKUP(E8936,'Condensed Specialty Crosswalk'!$A$2:$C$106,2,FALSE),"")</f>
        <v/>
      </c>
      <c r="G8936" s="49" t="str">
        <f>IFERROR(VLOOKUP(E8936,'Condensed Specialty Crosswalk'!$A$2:$C$106,3,FALSE),"")</f>
        <v/>
      </c>
    </row>
    <row r="8937" spans="5:7" ht="15" customHeight="1">
      <c r="E8937" s="49" t="str">
        <f>IFERROR(VLOOKUP(D8937,'taxonomy map'!$A$1:$C$107,2,FALSE),"")</f>
        <v/>
      </c>
      <c r="F8937" s="49" t="str">
        <f>IFERROR(VLOOKUP(E8937,'Condensed Specialty Crosswalk'!$A$2:$C$106,2,FALSE),"")</f>
        <v/>
      </c>
      <c r="G8937" s="49" t="str">
        <f>IFERROR(VLOOKUP(E8937,'Condensed Specialty Crosswalk'!$A$2:$C$106,3,FALSE),"")</f>
        <v/>
      </c>
    </row>
    <row r="8938" spans="5:7" ht="15" customHeight="1">
      <c r="E8938" s="49" t="str">
        <f>IFERROR(VLOOKUP(D8938,'taxonomy map'!$A$1:$C$107,2,FALSE),"")</f>
        <v/>
      </c>
      <c r="F8938" s="49" t="str">
        <f>IFERROR(VLOOKUP(E8938,'Condensed Specialty Crosswalk'!$A$2:$C$106,2,FALSE),"")</f>
        <v/>
      </c>
      <c r="G8938" s="49" t="str">
        <f>IFERROR(VLOOKUP(E8938,'Condensed Specialty Crosswalk'!$A$2:$C$106,3,FALSE),"")</f>
        <v/>
      </c>
    </row>
    <row r="8939" spans="5:7" ht="15" customHeight="1">
      <c r="E8939" s="49" t="str">
        <f>IFERROR(VLOOKUP(D8939,'taxonomy map'!$A$1:$C$107,2,FALSE),"")</f>
        <v/>
      </c>
      <c r="F8939" s="49" t="str">
        <f>IFERROR(VLOOKUP(E8939,'Condensed Specialty Crosswalk'!$A$2:$C$106,2,FALSE),"")</f>
        <v/>
      </c>
      <c r="G8939" s="49" t="str">
        <f>IFERROR(VLOOKUP(E8939,'Condensed Specialty Crosswalk'!$A$2:$C$106,3,FALSE),"")</f>
        <v/>
      </c>
    </row>
    <row r="8940" spans="5:7" ht="15" customHeight="1">
      <c r="E8940" s="49" t="str">
        <f>IFERROR(VLOOKUP(D8940,'taxonomy map'!$A$1:$C$107,2,FALSE),"")</f>
        <v/>
      </c>
      <c r="F8940" s="49" t="str">
        <f>IFERROR(VLOOKUP(E8940,'Condensed Specialty Crosswalk'!$A$2:$C$106,2,FALSE),"")</f>
        <v/>
      </c>
      <c r="G8940" s="49" t="str">
        <f>IFERROR(VLOOKUP(E8940,'Condensed Specialty Crosswalk'!$A$2:$C$106,3,FALSE),"")</f>
        <v/>
      </c>
    </row>
    <row r="8941" spans="5:7" ht="15" customHeight="1">
      <c r="E8941" s="49" t="str">
        <f>IFERROR(VLOOKUP(D8941,'taxonomy map'!$A$1:$C$107,2,FALSE),"")</f>
        <v/>
      </c>
      <c r="F8941" s="49" t="str">
        <f>IFERROR(VLOOKUP(E8941,'Condensed Specialty Crosswalk'!$A$2:$C$106,2,FALSE),"")</f>
        <v/>
      </c>
      <c r="G8941" s="49" t="str">
        <f>IFERROR(VLOOKUP(E8941,'Condensed Specialty Crosswalk'!$A$2:$C$106,3,FALSE),"")</f>
        <v/>
      </c>
    </row>
    <row r="8942" spans="5:7" ht="15" customHeight="1">
      <c r="E8942" s="49" t="str">
        <f>IFERROR(VLOOKUP(D8942,'taxonomy map'!$A$1:$C$107,2,FALSE),"")</f>
        <v/>
      </c>
      <c r="F8942" s="49" t="str">
        <f>IFERROR(VLOOKUP(E8942,'Condensed Specialty Crosswalk'!$A$2:$C$106,2,FALSE),"")</f>
        <v/>
      </c>
      <c r="G8942" s="49" t="str">
        <f>IFERROR(VLOOKUP(E8942,'Condensed Specialty Crosswalk'!$A$2:$C$106,3,FALSE),"")</f>
        <v/>
      </c>
    </row>
    <row r="8943" spans="5:7" ht="15" customHeight="1">
      <c r="E8943" s="49" t="str">
        <f>IFERROR(VLOOKUP(D8943,'taxonomy map'!$A$1:$C$107,2,FALSE),"")</f>
        <v/>
      </c>
      <c r="F8943" s="49" t="str">
        <f>IFERROR(VLOOKUP(E8943,'Condensed Specialty Crosswalk'!$A$2:$C$106,2,FALSE),"")</f>
        <v/>
      </c>
      <c r="G8943" s="49" t="str">
        <f>IFERROR(VLOOKUP(E8943,'Condensed Specialty Crosswalk'!$A$2:$C$106,3,FALSE),"")</f>
        <v/>
      </c>
    </row>
    <row r="8944" spans="5:7" ht="15" customHeight="1">
      <c r="E8944" s="49" t="str">
        <f>IFERROR(VLOOKUP(D8944,'taxonomy map'!$A$1:$C$107,2,FALSE),"")</f>
        <v/>
      </c>
      <c r="F8944" s="49" t="str">
        <f>IFERROR(VLOOKUP(E8944,'Condensed Specialty Crosswalk'!$A$2:$C$106,2,FALSE),"")</f>
        <v/>
      </c>
      <c r="G8944" s="49" t="str">
        <f>IFERROR(VLOOKUP(E8944,'Condensed Specialty Crosswalk'!$A$2:$C$106,3,FALSE),"")</f>
        <v/>
      </c>
    </row>
    <row r="8945" spans="5:7" ht="15" customHeight="1">
      <c r="E8945" s="49" t="str">
        <f>IFERROR(VLOOKUP(D8945,'taxonomy map'!$A$1:$C$107,2,FALSE),"")</f>
        <v/>
      </c>
      <c r="F8945" s="49" t="str">
        <f>IFERROR(VLOOKUP(E8945,'Condensed Specialty Crosswalk'!$A$2:$C$106,2,FALSE),"")</f>
        <v/>
      </c>
      <c r="G8945" s="49" t="str">
        <f>IFERROR(VLOOKUP(E8945,'Condensed Specialty Crosswalk'!$A$2:$C$106,3,FALSE),"")</f>
        <v/>
      </c>
    </row>
    <row r="8946" spans="5:7" ht="15" customHeight="1">
      <c r="E8946" s="49" t="str">
        <f>IFERROR(VLOOKUP(D8946,'taxonomy map'!$A$1:$C$107,2,FALSE),"")</f>
        <v/>
      </c>
      <c r="F8946" s="49" t="str">
        <f>IFERROR(VLOOKUP(E8946,'Condensed Specialty Crosswalk'!$A$2:$C$106,2,FALSE),"")</f>
        <v/>
      </c>
      <c r="G8946" s="49" t="str">
        <f>IFERROR(VLOOKUP(E8946,'Condensed Specialty Crosswalk'!$A$2:$C$106,3,FALSE),"")</f>
        <v/>
      </c>
    </row>
    <row r="8947" spans="5:7" ht="15" customHeight="1">
      <c r="E8947" s="49" t="str">
        <f>IFERROR(VLOOKUP(D8947,'taxonomy map'!$A$1:$C$107,2,FALSE),"")</f>
        <v/>
      </c>
      <c r="F8947" s="49" t="str">
        <f>IFERROR(VLOOKUP(E8947,'Condensed Specialty Crosswalk'!$A$2:$C$106,2,FALSE),"")</f>
        <v/>
      </c>
      <c r="G8947" s="49" t="str">
        <f>IFERROR(VLOOKUP(E8947,'Condensed Specialty Crosswalk'!$A$2:$C$106,3,FALSE),"")</f>
        <v/>
      </c>
    </row>
    <row r="8948" spans="5:7" ht="15" customHeight="1">
      <c r="E8948" s="49" t="str">
        <f>IFERROR(VLOOKUP(D8948,'taxonomy map'!$A$1:$C$107,2,FALSE),"")</f>
        <v/>
      </c>
      <c r="F8948" s="49" t="str">
        <f>IFERROR(VLOOKUP(E8948,'Condensed Specialty Crosswalk'!$A$2:$C$106,2,FALSE),"")</f>
        <v/>
      </c>
      <c r="G8948" s="49" t="str">
        <f>IFERROR(VLOOKUP(E8948,'Condensed Specialty Crosswalk'!$A$2:$C$106,3,FALSE),"")</f>
        <v/>
      </c>
    </row>
    <row r="8949" spans="5:7" ht="15" customHeight="1">
      <c r="E8949" s="49" t="str">
        <f>IFERROR(VLOOKUP(D8949,'taxonomy map'!$A$1:$C$107,2,FALSE),"")</f>
        <v/>
      </c>
      <c r="F8949" s="49" t="str">
        <f>IFERROR(VLOOKUP(E8949,'Condensed Specialty Crosswalk'!$A$2:$C$106,2,FALSE),"")</f>
        <v/>
      </c>
      <c r="G8949" s="49" t="str">
        <f>IFERROR(VLOOKUP(E8949,'Condensed Specialty Crosswalk'!$A$2:$C$106,3,FALSE),"")</f>
        <v/>
      </c>
    </row>
    <row r="8950" spans="5:7" ht="15" customHeight="1">
      <c r="E8950" s="49" t="str">
        <f>IFERROR(VLOOKUP(D8950,'taxonomy map'!$A$1:$C$107,2,FALSE),"")</f>
        <v/>
      </c>
      <c r="F8950" s="49" t="str">
        <f>IFERROR(VLOOKUP(E8950,'Condensed Specialty Crosswalk'!$A$2:$C$106,2,FALSE),"")</f>
        <v/>
      </c>
      <c r="G8950" s="49" t="str">
        <f>IFERROR(VLOOKUP(E8950,'Condensed Specialty Crosswalk'!$A$2:$C$106,3,FALSE),"")</f>
        <v/>
      </c>
    </row>
    <row r="8951" spans="5:7" ht="15" customHeight="1">
      <c r="E8951" s="49" t="str">
        <f>IFERROR(VLOOKUP(D8951,'taxonomy map'!$A$1:$C$107,2,FALSE),"")</f>
        <v/>
      </c>
      <c r="F8951" s="49" t="str">
        <f>IFERROR(VLOOKUP(E8951,'Condensed Specialty Crosswalk'!$A$2:$C$106,2,FALSE),"")</f>
        <v/>
      </c>
      <c r="G8951" s="49" t="str">
        <f>IFERROR(VLOOKUP(E8951,'Condensed Specialty Crosswalk'!$A$2:$C$106,3,FALSE),"")</f>
        <v/>
      </c>
    </row>
    <row r="8952" spans="5:7" ht="15" customHeight="1">
      <c r="E8952" s="49" t="str">
        <f>IFERROR(VLOOKUP(D8952,'taxonomy map'!$A$1:$C$107,2,FALSE),"")</f>
        <v/>
      </c>
      <c r="F8952" s="49" t="str">
        <f>IFERROR(VLOOKUP(E8952,'Condensed Specialty Crosswalk'!$A$2:$C$106,2,FALSE),"")</f>
        <v/>
      </c>
      <c r="G8952" s="49" t="str">
        <f>IFERROR(VLOOKUP(E8952,'Condensed Specialty Crosswalk'!$A$2:$C$106,3,FALSE),"")</f>
        <v/>
      </c>
    </row>
    <row r="8953" spans="5:7" ht="15" customHeight="1">
      <c r="E8953" s="49" t="str">
        <f>IFERROR(VLOOKUP(D8953,'taxonomy map'!$A$1:$C$107,2,FALSE),"")</f>
        <v/>
      </c>
      <c r="F8953" s="49" t="str">
        <f>IFERROR(VLOOKUP(E8953,'Condensed Specialty Crosswalk'!$A$2:$C$106,2,FALSE),"")</f>
        <v/>
      </c>
      <c r="G8953" s="49" t="str">
        <f>IFERROR(VLOOKUP(E8953,'Condensed Specialty Crosswalk'!$A$2:$C$106,3,FALSE),"")</f>
        <v/>
      </c>
    </row>
    <row r="8954" spans="5:7" ht="15" customHeight="1">
      <c r="E8954" s="49" t="str">
        <f>IFERROR(VLOOKUP(D8954,'taxonomy map'!$A$1:$C$107,2,FALSE),"")</f>
        <v/>
      </c>
      <c r="F8954" s="49" t="str">
        <f>IFERROR(VLOOKUP(E8954,'Condensed Specialty Crosswalk'!$A$2:$C$106,2,FALSE),"")</f>
        <v/>
      </c>
      <c r="G8954" s="49" t="str">
        <f>IFERROR(VLOOKUP(E8954,'Condensed Specialty Crosswalk'!$A$2:$C$106,3,FALSE),"")</f>
        <v/>
      </c>
    </row>
    <row r="8955" spans="5:7" ht="15" customHeight="1">
      <c r="E8955" s="49" t="str">
        <f>IFERROR(VLOOKUP(D8955,'taxonomy map'!$A$1:$C$107,2,FALSE),"")</f>
        <v/>
      </c>
      <c r="F8955" s="49" t="str">
        <f>IFERROR(VLOOKUP(E8955,'Condensed Specialty Crosswalk'!$A$2:$C$106,2,FALSE),"")</f>
        <v/>
      </c>
      <c r="G8955" s="49" t="str">
        <f>IFERROR(VLOOKUP(E8955,'Condensed Specialty Crosswalk'!$A$2:$C$106,3,FALSE),"")</f>
        <v/>
      </c>
    </row>
    <row r="8956" spans="5:7" ht="15" customHeight="1">
      <c r="E8956" s="49" t="str">
        <f>IFERROR(VLOOKUP(D8956,'taxonomy map'!$A$1:$C$107,2,FALSE),"")</f>
        <v/>
      </c>
      <c r="F8956" s="49" t="str">
        <f>IFERROR(VLOOKUP(E8956,'Condensed Specialty Crosswalk'!$A$2:$C$106,2,FALSE),"")</f>
        <v/>
      </c>
      <c r="G8956" s="49" t="str">
        <f>IFERROR(VLOOKUP(E8956,'Condensed Specialty Crosswalk'!$A$2:$C$106,3,FALSE),"")</f>
        <v/>
      </c>
    </row>
    <row r="8957" spans="5:7" ht="15" customHeight="1">
      <c r="E8957" s="49" t="str">
        <f>IFERROR(VLOOKUP(D8957,'taxonomy map'!$A$1:$C$107,2,FALSE),"")</f>
        <v/>
      </c>
      <c r="F8957" s="49" t="str">
        <f>IFERROR(VLOOKUP(E8957,'Condensed Specialty Crosswalk'!$A$2:$C$106,2,FALSE),"")</f>
        <v/>
      </c>
      <c r="G8957" s="49" t="str">
        <f>IFERROR(VLOOKUP(E8957,'Condensed Specialty Crosswalk'!$A$2:$C$106,3,FALSE),"")</f>
        <v/>
      </c>
    </row>
    <row r="8958" spans="5:7" ht="15" customHeight="1">
      <c r="E8958" s="49" t="str">
        <f>IFERROR(VLOOKUP(D8958,'taxonomy map'!$A$1:$C$107,2,FALSE),"")</f>
        <v/>
      </c>
      <c r="F8958" s="49" t="str">
        <f>IFERROR(VLOOKUP(E8958,'Condensed Specialty Crosswalk'!$A$2:$C$106,2,FALSE),"")</f>
        <v/>
      </c>
      <c r="G8958" s="49" t="str">
        <f>IFERROR(VLOOKUP(E8958,'Condensed Specialty Crosswalk'!$A$2:$C$106,3,FALSE),"")</f>
        <v/>
      </c>
    </row>
    <row r="8959" spans="5:7" ht="15" customHeight="1">
      <c r="E8959" s="49" t="str">
        <f>IFERROR(VLOOKUP(D8959,'taxonomy map'!$A$1:$C$107,2,FALSE),"")</f>
        <v/>
      </c>
      <c r="F8959" s="49" t="str">
        <f>IFERROR(VLOOKUP(E8959,'Condensed Specialty Crosswalk'!$A$2:$C$106,2,FALSE),"")</f>
        <v/>
      </c>
      <c r="G8959" s="49" t="str">
        <f>IFERROR(VLOOKUP(E8959,'Condensed Specialty Crosswalk'!$A$2:$C$106,3,FALSE),"")</f>
        <v/>
      </c>
    </row>
    <row r="8960" spans="5:7" ht="15" customHeight="1">
      <c r="E8960" s="49" t="str">
        <f>IFERROR(VLOOKUP(D8960,'taxonomy map'!$A$1:$C$107,2,FALSE),"")</f>
        <v/>
      </c>
      <c r="F8960" s="49" t="str">
        <f>IFERROR(VLOOKUP(E8960,'Condensed Specialty Crosswalk'!$A$2:$C$106,2,FALSE),"")</f>
        <v/>
      </c>
      <c r="G8960" s="49" t="str">
        <f>IFERROR(VLOOKUP(E8960,'Condensed Specialty Crosswalk'!$A$2:$C$106,3,FALSE),"")</f>
        <v/>
      </c>
    </row>
    <row r="8961" spans="5:7" ht="15" customHeight="1">
      <c r="E8961" s="49" t="str">
        <f>IFERROR(VLOOKUP(D8961,'taxonomy map'!$A$1:$C$107,2,FALSE),"")</f>
        <v/>
      </c>
      <c r="F8961" s="49" t="str">
        <f>IFERROR(VLOOKUP(E8961,'Condensed Specialty Crosswalk'!$A$2:$C$106,2,FALSE),"")</f>
        <v/>
      </c>
      <c r="G8961" s="49" t="str">
        <f>IFERROR(VLOOKUP(E8961,'Condensed Specialty Crosswalk'!$A$2:$C$106,3,FALSE),"")</f>
        <v/>
      </c>
    </row>
    <row r="8962" spans="5:7" ht="15" customHeight="1">
      <c r="E8962" s="49" t="str">
        <f>IFERROR(VLOOKUP(D8962,'taxonomy map'!$A$1:$C$107,2,FALSE),"")</f>
        <v/>
      </c>
      <c r="F8962" s="49" t="str">
        <f>IFERROR(VLOOKUP(E8962,'Condensed Specialty Crosswalk'!$A$2:$C$106,2,FALSE),"")</f>
        <v/>
      </c>
      <c r="G8962" s="49" t="str">
        <f>IFERROR(VLOOKUP(E8962,'Condensed Specialty Crosswalk'!$A$2:$C$106,3,FALSE),"")</f>
        <v/>
      </c>
    </row>
    <row r="8963" spans="5:7" ht="15" customHeight="1">
      <c r="E8963" s="49" t="str">
        <f>IFERROR(VLOOKUP(D8963,'taxonomy map'!$A$1:$C$107,2,FALSE),"")</f>
        <v/>
      </c>
      <c r="F8963" s="49" t="str">
        <f>IFERROR(VLOOKUP(E8963,'Condensed Specialty Crosswalk'!$A$2:$C$106,2,FALSE),"")</f>
        <v/>
      </c>
      <c r="G8963" s="49" t="str">
        <f>IFERROR(VLOOKUP(E8963,'Condensed Specialty Crosswalk'!$A$2:$C$106,3,FALSE),"")</f>
        <v/>
      </c>
    </row>
    <row r="8964" spans="5:7" ht="15" customHeight="1">
      <c r="E8964" s="49" t="str">
        <f>IFERROR(VLOOKUP(D8964,'taxonomy map'!$A$1:$C$107,2,FALSE),"")</f>
        <v/>
      </c>
      <c r="F8964" s="49" t="str">
        <f>IFERROR(VLOOKUP(E8964,'Condensed Specialty Crosswalk'!$A$2:$C$106,2,FALSE),"")</f>
        <v/>
      </c>
      <c r="G8964" s="49" t="str">
        <f>IFERROR(VLOOKUP(E8964,'Condensed Specialty Crosswalk'!$A$2:$C$106,3,FALSE),"")</f>
        <v/>
      </c>
    </row>
    <row r="8965" spans="5:7" ht="15" customHeight="1">
      <c r="E8965" s="49" t="str">
        <f>IFERROR(VLOOKUP(D8965,'taxonomy map'!$A$1:$C$107,2,FALSE),"")</f>
        <v/>
      </c>
      <c r="F8965" s="49" t="str">
        <f>IFERROR(VLOOKUP(E8965,'Condensed Specialty Crosswalk'!$A$2:$C$106,2,FALSE),"")</f>
        <v/>
      </c>
      <c r="G8965" s="49" t="str">
        <f>IFERROR(VLOOKUP(E8965,'Condensed Specialty Crosswalk'!$A$2:$C$106,3,FALSE),"")</f>
        <v/>
      </c>
    </row>
    <row r="8966" spans="5:7" ht="15" customHeight="1">
      <c r="E8966" s="49" t="str">
        <f>IFERROR(VLOOKUP(D8966,'taxonomy map'!$A$1:$C$107,2,FALSE),"")</f>
        <v/>
      </c>
      <c r="F8966" s="49" t="str">
        <f>IFERROR(VLOOKUP(E8966,'Condensed Specialty Crosswalk'!$A$2:$C$106,2,FALSE),"")</f>
        <v/>
      </c>
      <c r="G8966" s="49" t="str">
        <f>IFERROR(VLOOKUP(E8966,'Condensed Specialty Crosswalk'!$A$2:$C$106,3,FALSE),"")</f>
        <v/>
      </c>
    </row>
    <row r="8967" spans="5:7" ht="15" customHeight="1">
      <c r="E8967" s="49" t="str">
        <f>IFERROR(VLOOKUP(D8967,'taxonomy map'!$A$1:$C$107,2,FALSE),"")</f>
        <v/>
      </c>
      <c r="F8967" s="49" t="str">
        <f>IFERROR(VLOOKUP(E8967,'Condensed Specialty Crosswalk'!$A$2:$C$106,2,FALSE),"")</f>
        <v/>
      </c>
      <c r="G8967" s="49" t="str">
        <f>IFERROR(VLOOKUP(E8967,'Condensed Specialty Crosswalk'!$A$2:$C$106,3,FALSE),"")</f>
        <v/>
      </c>
    </row>
    <row r="8968" spans="5:7" ht="15" customHeight="1">
      <c r="E8968" s="49" t="str">
        <f>IFERROR(VLOOKUP(D8968,'taxonomy map'!$A$1:$C$107,2,FALSE),"")</f>
        <v/>
      </c>
      <c r="F8968" s="49" t="str">
        <f>IFERROR(VLOOKUP(E8968,'Condensed Specialty Crosswalk'!$A$2:$C$106,2,FALSE),"")</f>
        <v/>
      </c>
      <c r="G8968" s="49" t="str">
        <f>IFERROR(VLOOKUP(E8968,'Condensed Specialty Crosswalk'!$A$2:$C$106,3,FALSE),"")</f>
        <v/>
      </c>
    </row>
    <row r="8969" spans="5:7" ht="15" customHeight="1">
      <c r="E8969" s="49" t="str">
        <f>IFERROR(VLOOKUP(D8969,'taxonomy map'!$A$1:$C$107,2,FALSE),"")</f>
        <v/>
      </c>
      <c r="F8969" s="49" t="str">
        <f>IFERROR(VLOOKUP(E8969,'Condensed Specialty Crosswalk'!$A$2:$C$106,2,FALSE),"")</f>
        <v/>
      </c>
      <c r="G8969" s="49" t="str">
        <f>IFERROR(VLOOKUP(E8969,'Condensed Specialty Crosswalk'!$A$2:$C$106,3,FALSE),"")</f>
        <v/>
      </c>
    </row>
    <row r="8970" spans="5:7" ht="15" customHeight="1">
      <c r="E8970" s="49" t="str">
        <f>IFERROR(VLOOKUP(D8970,'taxonomy map'!$A$1:$C$107,2,FALSE),"")</f>
        <v/>
      </c>
      <c r="F8970" s="49" t="str">
        <f>IFERROR(VLOOKUP(E8970,'Condensed Specialty Crosswalk'!$A$2:$C$106,2,FALSE),"")</f>
        <v/>
      </c>
      <c r="G8970" s="49" t="str">
        <f>IFERROR(VLOOKUP(E8970,'Condensed Specialty Crosswalk'!$A$2:$C$106,3,FALSE),"")</f>
        <v/>
      </c>
    </row>
    <row r="8971" spans="5:7" ht="15" customHeight="1">
      <c r="E8971" s="49" t="str">
        <f>IFERROR(VLOOKUP(D8971,'taxonomy map'!$A$1:$C$107,2,FALSE),"")</f>
        <v/>
      </c>
      <c r="F8971" s="49" t="str">
        <f>IFERROR(VLOOKUP(E8971,'Condensed Specialty Crosswalk'!$A$2:$C$106,2,FALSE),"")</f>
        <v/>
      </c>
      <c r="G8971" s="49" t="str">
        <f>IFERROR(VLOOKUP(E8971,'Condensed Specialty Crosswalk'!$A$2:$C$106,3,FALSE),"")</f>
        <v/>
      </c>
    </row>
    <row r="8972" spans="5:7" ht="15" customHeight="1">
      <c r="E8972" s="49" t="str">
        <f>IFERROR(VLOOKUP(D8972,'taxonomy map'!$A$1:$C$107,2,FALSE),"")</f>
        <v/>
      </c>
      <c r="F8972" s="49" t="str">
        <f>IFERROR(VLOOKUP(E8972,'Condensed Specialty Crosswalk'!$A$2:$C$106,2,FALSE),"")</f>
        <v/>
      </c>
      <c r="G8972" s="49" t="str">
        <f>IFERROR(VLOOKUP(E8972,'Condensed Specialty Crosswalk'!$A$2:$C$106,3,FALSE),"")</f>
        <v/>
      </c>
    </row>
    <row r="8973" spans="5:7" ht="15" customHeight="1">
      <c r="E8973" s="49" t="str">
        <f>IFERROR(VLOOKUP(D8973,'taxonomy map'!$A$1:$C$107,2,FALSE),"")</f>
        <v/>
      </c>
      <c r="F8973" s="49" t="str">
        <f>IFERROR(VLOOKUP(E8973,'Condensed Specialty Crosswalk'!$A$2:$C$106,2,FALSE),"")</f>
        <v/>
      </c>
      <c r="G8973" s="49" t="str">
        <f>IFERROR(VLOOKUP(E8973,'Condensed Specialty Crosswalk'!$A$2:$C$106,3,FALSE),"")</f>
        <v/>
      </c>
    </row>
    <row r="8974" spans="5:7" ht="15" customHeight="1">
      <c r="E8974" s="49" t="str">
        <f>IFERROR(VLOOKUP(D8974,'taxonomy map'!$A$1:$C$107,2,FALSE),"")</f>
        <v/>
      </c>
      <c r="F8974" s="49" t="str">
        <f>IFERROR(VLOOKUP(E8974,'Condensed Specialty Crosswalk'!$A$2:$C$106,2,FALSE),"")</f>
        <v/>
      </c>
      <c r="G8974" s="49" t="str">
        <f>IFERROR(VLOOKUP(E8974,'Condensed Specialty Crosswalk'!$A$2:$C$106,3,FALSE),"")</f>
        <v/>
      </c>
    </row>
    <row r="8975" spans="5:7" ht="15" customHeight="1">
      <c r="E8975" s="49" t="str">
        <f>IFERROR(VLOOKUP(D8975,'taxonomy map'!$A$1:$C$107,2,FALSE),"")</f>
        <v/>
      </c>
      <c r="F8975" s="49" t="str">
        <f>IFERROR(VLOOKUP(E8975,'Condensed Specialty Crosswalk'!$A$2:$C$106,2,FALSE),"")</f>
        <v/>
      </c>
      <c r="G8975" s="49" t="str">
        <f>IFERROR(VLOOKUP(E8975,'Condensed Specialty Crosswalk'!$A$2:$C$106,3,FALSE),"")</f>
        <v/>
      </c>
    </row>
    <row r="8976" spans="5:7" ht="15" customHeight="1">
      <c r="E8976" s="49" t="str">
        <f>IFERROR(VLOOKUP(D8976,'taxonomy map'!$A$1:$C$107,2,FALSE),"")</f>
        <v/>
      </c>
      <c r="F8976" s="49" t="str">
        <f>IFERROR(VLOOKUP(E8976,'Condensed Specialty Crosswalk'!$A$2:$C$106,2,FALSE),"")</f>
        <v/>
      </c>
      <c r="G8976" s="49" t="str">
        <f>IFERROR(VLOOKUP(E8976,'Condensed Specialty Crosswalk'!$A$2:$C$106,3,FALSE),"")</f>
        <v/>
      </c>
    </row>
    <row r="8977" spans="5:7" ht="15" customHeight="1">
      <c r="E8977" s="49" t="str">
        <f>IFERROR(VLOOKUP(D8977,'taxonomy map'!$A$1:$C$107,2,FALSE),"")</f>
        <v/>
      </c>
      <c r="F8977" s="49" t="str">
        <f>IFERROR(VLOOKUP(E8977,'Condensed Specialty Crosswalk'!$A$2:$C$106,2,FALSE),"")</f>
        <v/>
      </c>
      <c r="G8977" s="49" t="str">
        <f>IFERROR(VLOOKUP(E8977,'Condensed Specialty Crosswalk'!$A$2:$C$106,3,FALSE),"")</f>
        <v/>
      </c>
    </row>
    <row r="8978" spans="5:7" ht="15" customHeight="1">
      <c r="E8978" s="49" t="str">
        <f>IFERROR(VLOOKUP(D8978,'taxonomy map'!$A$1:$C$107,2,FALSE),"")</f>
        <v/>
      </c>
      <c r="F8978" s="49" t="str">
        <f>IFERROR(VLOOKUP(E8978,'Condensed Specialty Crosswalk'!$A$2:$C$106,2,FALSE),"")</f>
        <v/>
      </c>
      <c r="G8978" s="49" t="str">
        <f>IFERROR(VLOOKUP(E8978,'Condensed Specialty Crosswalk'!$A$2:$C$106,3,FALSE),"")</f>
        <v/>
      </c>
    </row>
    <row r="8979" spans="5:7" ht="15" customHeight="1">
      <c r="E8979" s="49" t="str">
        <f>IFERROR(VLOOKUP(D8979,'taxonomy map'!$A$1:$C$107,2,FALSE),"")</f>
        <v/>
      </c>
      <c r="F8979" s="49" t="str">
        <f>IFERROR(VLOOKUP(E8979,'Condensed Specialty Crosswalk'!$A$2:$C$106,2,FALSE),"")</f>
        <v/>
      </c>
      <c r="G8979" s="49" t="str">
        <f>IFERROR(VLOOKUP(E8979,'Condensed Specialty Crosswalk'!$A$2:$C$106,3,FALSE),"")</f>
        <v/>
      </c>
    </row>
    <row r="8980" spans="5:7" ht="15" customHeight="1">
      <c r="E8980" s="49" t="str">
        <f>IFERROR(VLOOKUP(D8980,'taxonomy map'!$A$1:$C$107,2,FALSE),"")</f>
        <v/>
      </c>
      <c r="F8980" s="49" t="str">
        <f>IFERROR(VLOOKUP(E8980,'Condensed Specialty Crosswalk'!$A$2:$C$106,2,FALSE),"")</f>
        <v/>
      </c>
      <c r="G8980" s="49" t="str">
        <f>IFERROR(VLOOKUP(E8980,'Condensed Specialty Crosswalk'!$A$2:$C$106,3,FALSE),"")</f>
        <v/>
      </c>
    </row>
    <row r="8981" spans="5:7" ht="15" customHeight="1">
      <c r="E8981" s="49" t="str">
        <f>IFERROR(VLOOKUP(D8981,'taxonomy map'!$A$1:$C$107,2,FALSE),"")</f>
        <v/>
      </c>
      <c r="F8981" s="49" t="str">
        <f>IFERROR(VLOOKUP(E8981,'Condensed Specialty Crosswalk'!$A$2:$C$106,2,FALSE),"")</f>
        <v/>
      </c>
      <c r="G8981" s="49" t="str">
        <f>IFERROR(VLOOKUP(E8981,'Condensed Specialty Crosswalk'!$A$2:$C$106,3,FALSE),"")</f>
        <v/>
      </c>
    </row>
    <row r="8982" spans="5:7" ht="15" customHeight="1">
      <c r="E8982" s="49" t="str">
        <f>IFERROR(VLOOKUP(D8982,'taxonomy map'!$A$1:$C$107,2,FALSE),"")</f>
        <v/>
      </c>
      <c r="F8982" s="49" t="str">
        <f>IFERROR(VLOOKUP(E8982,'Condensed Specialty Crosswalk'!$A$2:$C$106,2,FALSE),"")</f>
        <v/>
      </c>
      <c r="G8982" s="49" t="str">
        <f>IFERROR(VLOOKUP(E8982,'Condensed Specialty Crosswalk'!$A$2:$C$106,3,FALSE),"")</f>
        <v/>
      </c>
    </row>
    <row r="8983" spans="5:7" ht="15" customHeight="1">
      <c r="E8983" s="49" t="str">
        <f>IFERROR(VLOOKUP(D8983,'taxonomy map'!$A$1:$C$107,2,FALSE),"")</f>
        <v/>
      </c>
      <c r="F8983" s="49" t="str">
        <f>IFERROR(VLOOKUP(E8983,'Condensed Specialty Crosswalk'!$A$2:$C$106,2,FALSE),"")</f>
        <v/>
      </c>
      <c r="G8983" s="49" t="str">
        <f>IFERROR(VLOOKUP(E8983,'Condensed Specialty Crosswalk'!$A$2:$C$106,3,FALSE),"")</f>
        <v/>
      </c>
    </row>
    <row r="8984" spans="5:7" ht="15" customHeight="1">
      <c r="E8984" s="49" t="str">
        <f>IFERROR(VLOOKUP(D8984,'taxonomy map'!$A$1:$C$107,2,FALSE),"")</f>
        <v/>
      </c>
      <c r="F8984" s="49" t="str">
        <f>IFERROR(VLOOKUP(E8984,'Condensed Specialty Crosswalk'!$A$2:$C$106,2,FALSE),"")</f>
        <v/>
      </c>
      <c r="G8984" s="49" t="str">
        <f>IFERROR(VLOOKUP(E8984,'Condensed Specialty Crosswalk'!$A$2:$C$106,3,FALSE),"")</f>
        <v/>
      </c>
    </row>
    <row r="8985" spans="5:7" ht="15" customHeight="1">
      <c r="E8985" s="49" t="str">
        <f>IFERROR(VLOOKUP(D8985,'taxonomy map'!$A$1:$C$107,2,FALSE),"")</f>
        <v/>
      </c>
      <c r="F8985" s="49" t="str">
        <f>IFERROR(VLOOKUP(E8985,'Condensed Specialty Crosswalk'!$A$2:$C$106,2,FALSE),"")</f>
        <v/>
      </c>
      <c r="G8985" s="49" t="str">
        <f>IFERROR(VLOOKUP(E8985,'Condensed Specialty Crosswalk'!$A$2:$C$106,3,FALSE),"")</f>
        <v/>
      </c>
    </row>
    <row r="8986" spans="5:7" ht="15" customHeight="1">
      <c r="E8986" s="49" t="str">
        <f>IFERROR(VLOOKUP(D8986,'taxonomy map'!$A$1:$C$107,2,FALSE),"")</f>
        <v/>
      </c>
      <c r="F8986" s="49" t="str">
        <f>IFERROR(VLOOKUP(E8986,'Condensed Specialty Crosswalk'!$A$2:$C$106,2,FALSE),"")</f>
        <v/>
      </c>
      <c r="G8986" s="49" t="str">
        <f>IFERROR(VLOOKUP(E8986,'Condensed Specialty Crosswalk'!$A$2:$C$106,3,FALSE),"")</f>
        <v/>
      </c>
    </row>
    <row r="8987" spans="5:7" ht="15" customHeight="1">
      <c r="E8987" s="49" t="str">
        <f>IFERROR(VLOOKUP(D8987,'taxonomy map'!$A$1:$C$107,2,FALSE),"")</f>
        <v/>
      </c>
      <c r="F8987" s="49" t="str">
        <f>IFERROR(VLOOKUP(E8987,'Condensed Specialty Crosswalk'!$A$2:$C$106,2,FALSE),"")</f>
        <v/>
      </c>
      <c r="G8987" s="49" t="str">
        <f>IFERROR(VLOOKUP(E8987,'Condensed Specialty Crosswalk'!$A$2:$C$106,3,FALSE),"")</f>
        <v/>
      </c>
    </row>
    <row r="8988" spans="5:7" ht="15" customHeight="1">
      <c r="E8988" s="49" t="str">
        <f>IFERROR(VLOOKUP(D8988,'taxonomy map'!$A$1:$C$107,2,FALSE),"")</f>
        <v/>
      </c>
      <c r="F8988" s="49" t="str">
        <f>IFERROR(VLOOKUP(E8988,'Condensed Specialty Crosswalk'!$A$2:$C$106,2,FALSE),"")</f>
        <v/>
      </c>
      <c r="G8988" s="49" t="str">
        <f>IFERROR(VLOOKUP(E8988,'Condensed Specialty Crosswalk'!$A$2:$C$106,3,FALSE),"")</f>
        <v/>
      </c>
    </row>
    <row r="8989" spans="5:7" ht="15" customHeight="1">
      <c r="E8989" s="49" t="str">
        <f>IFERROR(VLOOKUP(D8989,'taxonomy map'!$A$1:$C$107,2,FALSE),"")</f>
        <v/>
      </c>
      <c r="F8989" s="49" t="str">
        <f>IFERROR(VLOOKUP(E8989,'Condensed Specialty Crosswalk'!$A$2:$C$106,2,FALSE),"")</f>
        <v/>
      </c>
      <c r="G8989" s="49" t="str">
        <f>IFERROR(VLOOKUP(E8989,'Condensed Specialty Crosswalk'!$A$2:$C$106,3,FALSE),"")</f>
        <v/>
      </c>
    </row>
    <row r="8990" spans="5:7" ht="15" customHeight="1">
      <c r="E8990" s="49" t="str">
        <f>IFERROR(VLOOKUP(D8990,'taxonomy map'!$A$1:$C$107,2,FALSE),"")</f>
        <v/>
      </c>
      <c r="F8990" s="49" t="str">
        <f>IFERROR(VLOOKUP(E8990,'Condensed Specialty Crosswalk'!$A$2:$C$106,2,FALSE),"")</f>
        <v/>
      </c>
      <c r="G8990" s="49" t="str">
        <f>IFERROR(VLOOKUP(E8990,'Condensed Specialty Crosswalk'!$A$2:$C$106,3,FALSE),"")</f>
        <v/>
      </c>
    </row>
    <row r="8991" spans="5:7" ht="15" customHeight="1">
      <c r="E8991" s="49" t="str">
        <f>IFERROR(VLOOKUP(D8991,'taxonomy map'!$A$1:$C$107,2,FALSE),"")</f>
        <v/>
      </c>
      <c r="F8991" s="49" t="str">
        <f>IFERROR(VLOOKUP(E8991,'Condensed Specialty Crosswalk'!$A$2:$C$106,2,FALSE),"")</f>
        <v/>
      </c>
      <c r="G8991" s="49" t="str">
        <f>IFERROR(VLOOKUP(E8991,'Condensed Specialty Crosswalk'!$A$2:$C$106,3,FALSE),"")</f>
        <v/>
      </c>
    </row>
    <row r="8992" spans="5:7" ht="15" customHeight="1">
      <c r="E8992" s="49" t="str">
        <f>IFERROR(VLOOKUP(D8992,'taxonomy map'!$A$1:$C$107,2,FALSE),"")</f>
        <v/>
      </c>
      <c r="F8992" s="49" t="str">
        <f>IFERROR(VLOOKUP(E8992,'Condensed Specialty Crosswalk'!$A$2:$C$106,2,FALSE),"")</f>
        <v/>
      </c>
      <c r="G8992" s="49" t="str">
        <f>IFERROR(VLOOKUP(E8992,'Condensed Specialty Crosswalk'!$A$2:$C$106,3,FALSE),"")</f>
        <v/>
      </c>
    </row>
    <row r="8993" spans="5:7" ht="15" customHeight="1">
      <c r="E8993" s="49" t="str">
        <f>IFERROR(VLOOKUP(D8993,'taxonomy map'!$A$1:$C$107,2,FALSE),"")</f>
        <v/>
      </c>
      <c r="F8993" s="49" t="str">
        <f>IFERROR(VLOOKUP(E8993,'Condensed Specialty Crosswalk'!$A$2:$C$106,2,FALSE),"")</f>
        <v/>
      </c>
      <c r="G8993" s="49" t="str">
        <f>IFERROR(VLOOKUP(E8993,'Condensed Specialty Crosswalk'!$A$2:$C$106,3,FALSE),"")</f>
        <v/>
      </c>
    </row>
    <row r="8994" spans="5:7" ht="15" customHeight="1">
      <c r="E8994" s="49" t="str">
        <f>IFERROR(VLOOKUP(D8994,'taxonomy map'!$A$1:$C$107,2,FALSE),"")</f>
        <v/>
      </c>
      <c r="F8994" s="49" t="str">
        <f>IFERROR(VLOOKUP(E8994,'Condensed Specialty Crosswalk'!$A$2:$C$106,2,FALSE),"")</f>
        <v/>
      </c>
      <c r="G8994" s="49" t="str">
        <f>IFERROR(VLOOKUP(E8994,'Condensed Specialty Crosswalk'!$A$2:$C$106,3,FALSE),"")</f>
        <v/>
      </c>
    </row>
    <row r="8995" spans="5:7" ht="15" customHeight="1">
      <c r="E8995" s="49" t="str">
        <f>IFERROR(VLOOKUP(D8995,'taxonomy map'!$A$1:$C$107,2,FALSE),"")</f>
        <v/>
      </c>
      <c r="F8995" s="49" t="str">
        <f>IFERROR(VLOOKUP(E8995,'Condensed Specialty Crosswalk'!$A$2:$C$106,2,FALSE),"")</f>
        <v/>
      </c>
      <c r="G8995" s="49" t="str">
        <f>IFERROR(VLOOKUP(E8995,'Condensed Specialty Crosswalk'!$A$2:$C$106,3,FALSE),"")</f>
        <v/>
      </c>
    </row>
    <row r="8996" spans="5:7" ht="15" customHeight="1">
      <c r="E8996" s="49" t="str">
        <f>IFERROR(VLOOKUP(D8996,'taxonomy map'!$A$1:$C$107,2,FALSE),"")</f>
        <v/>
      </c>
      <c r="F8996" s="49" t="str">
        <f>IFERROR(VLOOKUP(E8996,'Condensed Specialty Crosswalk'!$A$2:$C$106,2,FALSE),"")</f>
        <v/>
      </c>
      <c r="G8996" s="49" t="str">
        <f>IFERROR(VLOOKUP(E8996,'Condensed Specialty Crosswalk'!$A$2:$C$106,3,FALSE),"")</f>
        <v/>
      </c>
    </row>
    <row r="8997" spans="5:7" ht="15" customHeight="1">
      <c r="E8997" s="49" t="str">
        <f>IFERROR(VLOOKUP(D8997,'taxonomy map'!$A$1:$C$107,2,FALSE),"")</f>
        <v/>
      </c>
      <c r="F8997" s="49" t="str">
        <f>IFERROR(VLOOKUP(E8997,'Condensed Specialty Crosswalk'!$A$2:$C$106,2,FALSE),"")</f>
        <v/>
      </c>
      <c r="G8997" s="49" t="str">
        <f>IFERROR(VLOOKUP(E8997,'Condensed Specialty Crosswalk'!$A$2:$C$106,3,FALSE),"")</f>
        <v/>
      </c>
    </row>
    <row r="8998" spans="5:7" ht="15" customHeight="1">
      <c r="E8998" s="49" t="str">
        <f>IFERROR(VLOOKUP(D8998,'taxonomy map'!$A$1:$C$107,2,FALSE),"")</f>
        <v/>
      </c>
      <c r="F8998" s="49" t="str">
        <f>IFERROR(VLOOKUP(E8998,'Condensed Specialty Crosswalk'!$A$2:$C$106,2,FALSE),"")</f>
        <v/>
      </c>
      <c r="G8998" s="49" t="str">
        <f>IFERROR(VLOOKUP(E8998,'Condensed Specialty Crosswalk'!$A$2:$C$106,3,FALSE),"")</f>
        <v/>
      </c>
    </row>
    <row r="8999" spans="5:7" ht="15" customHeight="1">
      <c r="E8999" s="49" t="str">
        <f>IFERROR(VLOOKUP(D8999,'taxonomy map'!$A$1:$C$107,2,FALSE),"")</f>
        <v/>
      </c>
      <c r="F8999" s="49" t="str">
        <f>IFERROR(VLOOKUP(E8999,'Condensed Specialty Crosswalk'!$A$2:$C$106,2,FALSE),"")</f>
        <v/>
      </c>
      <c r="G8999" s="49" t="str">
        <f>IFERROR(VLOOKUP(E8999,'Condensed Specialty Crosswalk'!$A$2:$C$106,3,FALSE),"")</f>
        <v/>
      </c>
    </row>
    <row r="9000" spans="5:7" ht="15" customHeight="1">
      <c r="E9000" s="49" t="str">
        <f>IFERROR(VLOOKUP(D9000,'taxonomy map'!$A$1:$C$107,2,FALSE),"")</f>
        <v/>
      </c>
      <c r="F9000" s="49" t="str">
        <f>IFERROR(VLOOKUP(E9000,'Condensed Specialty Crosswalk'!$A$2:$C$106,2,FALSE),"")</f>
        <v/>
      </c>
      <c r="G9000" s="49" t="str">
        <f>IFERROR(VLOOKUP(E9000,'Condensed Specialty Crosswalk'!$A$2:$C$106,3,FALSE),"")</f>
        <v/>
      </c>
    </row>
    <row r="9001" spans="5:7" ht="15" customHeight="1">
      <c r="E9001" s="49" t="str">
        <f>IFERROR(VLOOKUP(D9001,'taxonomy map'!$A$1:$C$107,2,FALSE),"")</f>
        <v/>
      </c>
      <c r="F9001" s="49" t="str">
        <f>IFERROR(VLOOKUP(E9001,'Condensed Specialty Crosswalk'!$A$2:$C$106,2,FALSE),"")</f>
        <v/>
      </c>
      <c r="G9001" s="49" t="str">
        <f>IFERROR(VLOOKUP(E9001,'Condensed Specialty Crosswalk'!$A$2:$C$106,3,FALSE),"")</f>
        <v/>
      </c>
    </row>
    <row r="9002" spans="5:7" ht="15" customHeight="1">
      <c r="E9002" s="49" t="str">
        <f>IFERROR(VLOOKUP(D9002,'taxonomy map'!$A$1:$C$107,2,FALSE),"")</f>
        <v/>
      </c>
      <c r="F9002" s="49" t="str">
        <f>IFERROR(VLOOKUP(E9002,'Condensed Specialty Crosswalk'!$A$2:$C$106,2,FALSE),"")</f>
        <v/>
      </c>
      <c r="G9002" s="49" t="str">
        <f>IFERROR(VLOOKUP(E9002,'Condensed Specialty Crosswalk'!$A$2:$C$106,3,FALSE),"")</f>
        <v/>
      </c>
    </row>
    <row r="9003" spans="5:7" ht="15" customHeight="1">
      <c r="E9003" s="49" t="str">
        <f>IFERROR(VLOOKUP(D9003,'taxonomy map'!$A$1:$C$107,2,FALSE),"")</f>
        <v/>
      </c>
      <c r="F9003" s="49" t="str">
        <f>IFERROR(VLOOKUP(E9003,'Condensed Specialty Crosswalk'!$A$2:$C$106,2,FALSE),"")</f>
        <v/>
      </c>
      <c r="G9003" s="49" t="str">
        <f>IFERROR(VLOOKUP(E9003,'Condensed Specialty Crosswalk'!$A$2:$C$106,3,FALSE),"")</f>
        <v/>
      </c>
    </row>
    <row r="9004" spans="5:7" ht="15" customHeight="1">
      <c r="E9004" s="49" t="str">
        <f>IFERROR(VLOOKUP(D9004,'taxonomy map'!$A$1:$C$107,2,FALSE),"")</f>
        <v/>
      </c>
      <c r="F9004" s="49" t="str">
        <f>IFERROR(VLOOKUP(E9004,'Condensed Specialty Crosswalk'!$A$2:$C$106,2,FALSE),"")</f>
        <v/>
      </c>
      <c r="G9004" s="49" t="str">
        <f>IFERROR(VLOOKUP(E9004,'Condensed Specialty Crosswalk'!$A$2:$C$106,3,FALSE),"")</f>
        <v/>
      </c>
    </row>
    <row r="9005" spans="5:7" ht="15" customHeight="1">
      <c r="E9005" s="49" t="str">
        <f>IFERROR(VLOOKUP(D9005,'taxonomy map'!$A$1:$C$107,2,FALSE),"")</f>
        <v/>
      </c>
      <c r="F9005" s="49" t="str">
        <f>IFERROR(VLOOKUP(E9005,'Condensed Specialty Crosswalk'!$A$2:$C$106,2,FALSE),"")</f>
        <v/>
      </c>
      <c r="G9005" s="49" t="str">
        <f>IFERROR(VLOOKUP(E9005,'Condensed Specialty Crosswalk'!$A$2:$C$106,3,FALSE),"")</f>
        <v/>
      </c>
    </row>
    <row r="9006" spans="5:7" ht="15" customHeight="1">
      <c r="E9006" s="49" t="str">
        <f>IFERROR(VLOOKUP(D9006,'taxonomy map'!$A$1:$C$107,2,FALSE),"")</f>
        <v/>
      </c>
      <c r="F9006" s="49" t="str">
        <f>IFERROR(VLOOKUP(E9006,'Condensed Specialty Crosswalk'!$A$2:$C$106,2,FALSE),"")</f>
        <v/>
      </c>
      <c r="G9006" s="49" t="str">
        <f>IFERROR(VLOOKUP(E9006,'Condensed Specialty Crosswalk'!$A$2:$C$106,3,FALSE),"")</f>
        <v/>
      </c>
    </row>
    <row r="9007" spans="5:7" ht="15" customHeight="1">
      <c r="E9007" s="49" t="str">
        <f>IFERROR(VLOOKUP(D9007,'taxonomy map'!$A$1:$C$107,2,FALSE),"")</f>
        <v/>
      </c>
      <c r="F9007" s="49" t="str">
        <f>IFERROR(VLOOKUP(E9007,'Condensed Specialty Crosswalk'!$A$2:$C$106,2,FALSE),"")</f>
        <v/>
      </c>
      <c r="G9007" s="49" t="str">
        <f>IFERROR(VLOOKUP(E9007,'Condensed Specialty Crosswalk'!$A$2:$C$106,3,FALSE),"")</f>
        <v/>
      </c>
    </row>
    <row r="9008" spans="5:7" ht="15" customHeight="1">
      <c r="E9008" s="49" t="str">
        <f>IFERROR(VLOOKUP(D9008,'taxonomy map'!$A$1:$C$107,2,FALSE),"")</f>
        <v/>
      </c>
      <c r="F9008" s="49" t="str">
        <f>IFERROR(VLOOKUP(E9008,'Condensed Specialty Crosswalk'!$A$2:$C$106,2,FALSE),"")</f>
        <v/>
      </c>
      <c r="G9008" s="49" t="str">
        <f>IFERROR(VLOOKUP(E9008,'Condensed Specialty Crosswalk'!$A$2:$C$106,3,FALSE),"")</f>
        <v/>
      </c>
    </row>
    <row r="9009" spans="5:7" ht="15" customHeight="1">
      <c r="E9009" s="49" t="str">
        <f>IFERROR(VLOOKUP(D9009,'taxonomy map'!$A$1:$C$107,2,FALSE),"")</f>
        <v/>
      </c>
      <c r="F9009" s="49" t="str">
        <f>IFERROR(VLOOKUP(E9009,'Condensed Specialty Crosswalk'!$A$2:$C$106,2,FALSE),"")</f>
        <v/>
      </c>
      <c r="G9009" s="49" t="str">
        <f>IFERROR(VLOOKUP(E9009,'Condensed Specialty Crosswalk'!$A$2:$C$106,3,FALSE),"")</f>
        <v/>
      </c>
    </row>
    <row r="9010" spans="5:7" ht="15" customHeight="1">
      <c r="E9010" s="49" t="str">
        <f>IFERROR(VLOOKUP(D9010,'taxonomy map'!$A$1:$C$107,2,FALSE),"")</f>
        <v/>
      </c>
      <c r="F9010" s="49" t="str">
        <f>IFERROR(VLOOKUP(E9010,'Condensed Specialty Crosswalk'!$A$2:$C$106,2,FALSE),"")</f>
        <v/>
      </c>
      <c r="G9010" s="49" t="str">
        <f>IFERROR(VLOOKUP(E9010,'Condensed Specialty Crosswalk'!$A$2:$C$106,3,FALSE),"")</f>
        <v/>
      </c>
    </row>
    <row r="9011" spans="5:7" ht="15" customHeight="1">
      <c r="E9011" s="49" t="str">
        <f>IFERROR(VLOOKUP(D9011,'taxonomy map'!$A$1:$C$107,2,FALSE),"")</f>
        <v/>
      </c>
      <c r="F9011" s="49" t="str">
        <f>IFERROR(VLOOKUP(E9011,'Condensed Specialty Crosswalk'!$A$2:$C$106,2,FALSE),"")</f>
        <v/>
      </c>
      <c r="G9011" s="49" t="str">
        <f>IFERROR(VLOOKUP(E9011,'Condensed Specialty Crosswalk'!$A$2:$C$106,3,FALSE),"")</f>
        <v/>
      </c>
    </row>
    <row r="9012" spans="5:7" ht="15" customHeight="1">
      <c r="E9012" s="49" t="str">
        <f>IFERROR(VLOOKUP(D9012,'taxonomy map'!$A$1:$C$107,2,FALSE),"")</f>
        <v/>
      </c>
      <c r="F9012" s="49" t="str">
        <f>IFERROR(VLOOKUP(E9012,'Condensed Specialty Crosswalk'!$A$2:$C$106,2,FALSE),"")</f>
        <v/>
      </c>
      <c r="G9012" s="49" t="str">
        <f>IFERROR(VLOOKUP(E9012,'Condensed Specialty Crosswalk'!$A$2:$C$106,3,FALSE),"")</f>
        <v/>
      </c>
    </row>
    <row r="9013" spans="5:7" ht="15" customHeight="1">
      <c r="E9013" s="49" t="str">
        <f>IFERROR(VLOOKUP(D9013,'taxonomy map'!$A$1:$C$107,2,FALSE),"")</f>
        <v/>
      </c>
      <c r="F9013" s="49" t="str">
        <f>IFERROR(VLOOKUP(E9013,'Condensed Specialty Crosswalk'!$A$2:$C$106,2,FALSE),"")</f>
        <v/>
      </c>
      <c r="G9013" s="49" t="str">
        <f>IFERROR(VLOOKUP(E9013,'Condensed Specialty Crosswalk'!$A$2:$C$106,3,FALSE),"")</f>
        <v/>
      </c>
    </row>
    <row r="9014" spans="5:7" ht="15" customHeight="1">
      <c r="E9014" s="49" t="str">
        <f>IFERROR(VLOOKUP(D9014,'taxonomy map'!$A$1:$C$107,2,FALSE),"")</f>
        <v/>
      </c>
      <c r="F9014" s="49" t="str">
        <f>IFERROR(VLOOKUP(E9014,'Condensed Specialty Crosswalk'!$A$2:$C$106,2,FALSE),"")</f>
        <v/>
      </c>
      <c r="G9014" s="49" t="str">
        <f>IFERROR(VLOOKUP(E9014,'Condensed Specialty Crosswalk'!$A$2:$C$106,3,FALSE),"")</f>
        <v/>
      </c>
    </row>
    <row r="9015" spans="5:7" ht="15" customHeight="1">
      <c r="E9015" s="49" t="str">
        <f>IFERROR(VLOOKUP(D9015,'taxonomy map'!$A$1:$C$107,2,FALSE),"")</f>
        <v/>
      </c>
      <c r="F9015" s="49" t="str">
        <f>IFERROR(VLOOKUP(E9015,'Condensed Specialty Crosswalk'!$A$2:$C$106,2,FALSE),"")</f>
        <v/>
      </c>
      <c r="G9015" s="49" t="str">
        <f>IFERROR(VLOOKUP(E9015,'Condensed Specialty Crosswalk'!$A$2:$C$106,3,FALSE),"")</f>
        <v/>
      </c>
    </row>
    <row r="9016" spans="5:7" ht="15" customHeight="1">
      <c r="E9016" s="49" t="str">
        <f>IFERROR(VLOOKUP(D9016,'taxonomy map'!$A$1:$C$107,2,FALSE),"")</f>
        <v/>
      </c>
      <c r="F9016" s="49" t="str">
        <f>IFERROR(VLOOKUP(E9016,'Condensed Specialty Crosswalk'!$A$2:$C$106,2,FALSE),"")</f>
        <v/>
      </c>
      <c r="G9016" s="49" t="str">
        <f>IFERROR(VLOOKUP(E9016,'Condensed Specialty Crosswalk'!$A$2:$C$106,3,FALSE),"")</f>
        <v/>
      </c>
    </row>
    <row r="9017" spans="5:7" ht="15" customHeight="1">
      <c r="E9017" s="49" t="str">
        <f>IFERROR(VLOOKUP(D9017,'taxonomy map'!$A$1:$C$107,2,FALSE),"")</f>
        <v/>
      </c>
      <c r="F9017" s="49" t="str">
        <f>IFERROR(VLOOKUP(E9017,'Condensed Specialty Crosswalk'!$A$2:$C$106,2,FALSE),"")</f>
        <v/>
      </c>
      <c r="G9017" s="49" t="str">
        <f>IFERROR(VLOOKUP(E9017,'Condensed Specialty Crosswalk'!$A$2:$C$106,3,FALSE),"")</f>
        <v/>
      </c>
    </row>
    <row r="9018" spans="5:7" ht="15" customHeight="1">
      <c r="E9018" s="49" t="str">
        <f>IFERROR(VLOOKUP(D9018,'taxonomy map'!$A$1:$C$107,2,FALSE),"")</f>
        <v/>
      </c>
      <c r="F9018" s="49" t="str">
        <f>IFERROR(VLOOKUP(E9018,'Condensed Specialty Crosswalk'!$A$2:$C$106,2,FALSE),"")</f>
        <v/>
      </c>
      <c r="G9018" s="49" t="str">
        <f>IFERROR(VLOOKUP(E9018,'Condensed Specialty Crosswalk'!$A$2:$C$106,3,FALSE),"")</f>
        <v/>
      </c>
    </row>
    <row r="9019" spans="5:7" ht="15" customHeight="1">
      <c r="E9019" s="49" t="str">
        <f>IFERROR(VLOOKUP(D9019,'taxonomy map'!$A$1:$C$107,2,FALSE),"")</f>
        <v/>
      </c>
      <c r="F9019" s="49" t="str">
        <f>IFERROR(VLOOKUP(E9019,'Condensed Specialty Crosswalk'!$A$2:$C$106,2,FALSE),"")</f>
        <v/>
      </c>
      <c r="G9019" s="49" t="str">
        <f>IFERROR(VLOOKUP(E9019,'Condensed Specialty Crosswalk'!$A$2:$C$106,3,FALSE),"")</f>
        <v/>
      </c>
    </row>
    <row r="9020" spans="5:7" ht="15" customHeight="1">
      <c r="E9020" s="49" t="str">
        <f>IFERROR(VLOOKUP(D9020,'taxonomy map'!$A$1:$C$107,2,FALSE),"")</f>
        <v/>
      </c>
      <c r="F9020" s="49" t="str">
        <f>IFERROR(VLOOKUP(E9020,'Condensed Specialty Crosswalk'!$A$2:$C$106,2,FALSE),"")</f>
        <v/>
      </c>
      <c r="G9020" s="49" t="str">
        <f>IFERROR(VLOOKUP(E9020,'Condensed Specialty Crosswalk'!$A$2:$C$106,3,FALSE),"")</f>
        <v/>
      </c>
    </row>
    <row r="9021" spans="5:7" ht="15" customHeight="1">
      <c r="E9021" s="49" t="str">
        <f>IFERROR(VLOOKUP(D9021,'taxonomy map'!$A$1:$C$107,2,FALSE),"")</f>
        <v/>
      </c>
      <c r="F9021" s="49" t="str">
        <f>IFERROR(VLOOKUP(E9021,'Condensed Specialty Crosswalk'!$A$2:$C$106,2,FALSE),"")</f>
        <v/>
      </c>
      <c r="G9021" s="49" t="str">
        <f>IFERROR(VLOOKUP(E9021,'Condensed Specialty Crosswalk'!$A$2:$C$106,3,FALSE),"")</f>
        <v/>
      </c>
    </row>
    <row r="9022" spans="5:7" ht="15" customHeight="1">
      <c r="E9022" s="49" t="str">
        <f>IFERROR(VLOOKUP(D9022,'taxonomy map'!$A$1:$C$107,2,FALSE),"")</f>
        <v/>
      </c>
      <c r="F9022" s="49" t="str">
        <f>IFERROR(VLOOKUP(E9022,'Condensed Specialty Crosswalk'!$A$2:$C$106,2,FALSE),"")</f>
        <v/>
      </c>
      <c r="G9022" s="49" t="str">
        <f>IFERROR(VLOOKUP(E9022,'Condensed Specialty Crosswalk'!$A$2:$C$106,3,FALSE),"")</f>
        <v/>
      </c>
    </row>
    <row r="9023" spans="5:7" ht="15" customHeight="1">
      <c r="E9023" s="49" t="str">
        <f>IFERROR(VLOOKUP(D9023,'taxonomy map'!$A$1:$C$107,2,FALSE),"")</f>
        <v/>
      </c>
      <c r="F9023" s="49" t="str">
        <f>IFERROR(VLOOKUP(E9023,'Condensed Specialty Crosswalk'!$A$2:$C$106,2,FALSE),"")</f>
        <v/>
      </c>
      <c r="G9023" s="49" t="str">
        <f>IFERROR(VLOOKUP(E9023,'Condensed Specialty Crosswalk'!$A$2:$C$106,3,FALSE),"")</f>
        <v/>
      </c>
    </row>
    <row r="9024" spans="5:7" ht="15" customHeight="1">
      <c r="E9024" s="49" t="str">
        <f>IFERROR(VLOOKUP(D9024,'taxonomy map'!$A$1:$C$107,2,FALSE),"")</f>
        <v/>
      </c>
      <c r="F9024" s="49" t="str">
        <f>IFERROR(VLOOKUP(E9024,'Condensed Specialty Crosswalk'!$A$2:$C$106,2,FALSE),"")</f>
        <v/>
      </c>
      <c r="G9024" s="49" t="str">
        <f>IFERROR(VLOOKUP(E9024,'Condensed Specialty Crosswalk'!$A$2:$C$106,3,FALSE),"")</f>
        <v/>
      </c>
    </row>
    <row r="9025" spans="5:7" ht="15" customHeight="1">
      <c r="E9025" s="49" t="str">
        <f>IFERROR(VLOOKUP(D9025,'taxonomy map'!$A$1:$C$107,2,FALSE),"")</f>
        <v/>
      </c>
      <c r="F9025" s="49" t="str">
        <f>IFERROR(VLOOKUP(E9025,'Condensed Specialty Crosswalk'!$A$2:$C$106,2,FALSE),"")</f>
        <v/>
      </c>
      <c r="G9025" s="49" t="str">
        <f>IFERROR(VLOOKUP(E9025,'Condensed Specialty Crosswalk'!$A$2:$C$106,3,FALSE),"")</f>
        <v/>
      </c>
    </row>
    <row r="9026" spans="5:7" ht="15" customHeight="1">
      <c r="E9026" s="49" t="str">
        <f>IFERROR(VLOOKUP(D9026,'taxonomy map'!$A$1:$C$107,2,FALSE),"")</f>
        <v/>
      </c>
      <c r="F9026" s="49" t="str">
        <f>IFERROR(VLOOKUP(E9026,'Condensed Specialty Crosswalk'!$A$2:$C$106,2,FALSE),"")</f>
        <v/>
      </c>
      <c r="G9026" s="49" t="str">
        <f>IFERROR(VLOOKUP(E9026,'Condensed Specialty Crosswalk'!$A$2:$C$106,3,FALSE),"")</f>
        <v/>
      </c>
    </row>
    <row r="9027" spans="5:7" ht="15" customHeight="1">
      <c r="E9027" s="49" t="str">
        <f>IFERROR(VLOOKUP(D9027,'taxonomy map'!$A$1:$C$107,2,FALSE),"")</f>
        <v/>
      </c>
      <c r="F9027" s="49" t="str">
        <f>IFERROR(VLOOKUP(E9027,'Condensed Specialty Crosswalk'!$A$2:$C$106,2,FALSE),"")</f>
        <v/>
      </c>
      <c r="G9027" s="49" t="str">
        <f>IFERROR(VLOOKUP(E9027,'Condensed Specialty Crosswalk'!$A$2:$C$106,3,FALSE),"")</f>
        <v/>
      </c>
    </row>
    <row r="9028" spans="5:7" ht="15" customHeight="1">
      <c r="E9028" s="49" t="str">
        <f>IFERROR(VLOOKUP(D9028,'taxonomy map'!$A$1:$C$107,2,FALSE),"")</f>
        <v/>
      </c>
      <c r="F9028" s="49" t="str">
        <f>IFERROR(VLOOKUP(E9028,'Condensed Specialty Crosswalk'!$A$2:$C$106,2,FALSE),"")</f>
        <v/>
      </c>
      <c r="G9028" s="49" t="str">
        <f>IFERROR(VLOOKUP(E9028,'Condensed Specialty Crosswalk'!$A$2:$C$106,3,FALSE),"")</f>
        <v/>
      </c>
    </row>
    <row r="9029" spans="5:7" ht="15" customHeight="1">
      <c r="E9029" s="49" t="str">
        <f>IFERROR(VLOOKUP(D9029,'taxonomy map'!$A$1:$C$107,2,FALSE),"")</f>
        <v/>
      </c>
      <c r="F9029" s="49" t="str">
        <f>IFERROR(VLOOKUP(E9029,'Condensed Specialty Crosswalk'!$A$2:$C$106,2,FALSE),"")</f>
        <v/>
      </c>
      <c r="G9029" s="49" t="str">
        <f>IFERROR(VLOOKUP(E9029,'Condensed Specialty Crosswalk'!$A$2:$C$106,3,FALSE),"")</f>
        <v/>
      </c>
    </row>
    <row r="9030" spans="5:7" ht="15" customHeight="1">
      <c r="E9030" s="49" t="str">
        <f>IFERROR(VLOOKUP(D9030,'taxonomy map'!$A$1:$C$107,2,FALSE),"")</f>
        <v/>
      </c>
      <c r="F9030" s="49" t="str">
        <f>IFERROR(VLOOKUP(E9030,'Condensed Specialty Crosswalk'!$A$2:$C$106,2,FALSE),"")</f>
        <v/>
      </c>
      <c r="G9030" s="49" t="str">
        <f>IFERROR(VLOOKUP(E9030,'Condensed Specialty Crosswalk'!$A$2:$C$106,3,FALSE),"")</f>
        <v/>
      </c>
    </row>
    <row r="9031" spans="5:7" ht="15" customHeight="1">
      <c r="E9031" s="49" t="str">
        <f>IFERROR(VLOOKUP(D9031,'taxonomy map'!$A$1:$C$107,2,FALSE),"")</f>
        <v/>
      </c>
      <c r="F9031" s="49" t="str">
        <f>IFERROR(VLOOKUP(E9031,'Condensed Specialty Crosswalk'!$A$2:$C$106,2,FALSE),"")</f>
        <v/>
      </c>
      <c r="G9031" s="49" t="str">
        <f>IFERROR(VLOOKUP(E9031,'Condensed Specialty Crosswalk'!$A$2:$C$106,3,FALSE),"")</f>
        <v/>
      </c>
    </row>
    <row r="9032" spans="5:7" ht="15" customHeight="1">
      <c r="E9032" s="49" t="str">
        <f>IFERROR(VLOOKUP(D9032,'taxonomy map'!$A$1:$C$107,2,FALSE),"")</f>
        <v/>
      </c>
      <c r="F9032" s="49" t="str">
        <f>IFERROR(VLOOKUP(E9032,'Condensed Specialty Crosswalk'!$A$2:$C$106,2,FALSE),"")</f>
        <v/>
      </c>
      <c r="G9032" s="49" t="str">
        <f>IFERROR(VLOOKUP(E9032,'Condensed Specialty Crosswalk'!$A$2:$C$106,3,FALSE),"")</f>
        <v/>
      </c>
    </row>
    <row r="9033" spans="5:7" ht="15" customHeight="1">
      <c r="E9033" s="49" t="str">
        <f>IFERROR(VLOOKUP(D9033,'taxonomy map'!$A$1:$C$107,2,FALSE),"")</f>
        <v/>
      </c>
      <c r="F9033" s="49" t="str">
        <f>IFERROR(VLOOKUP(E9033,'Condensed Specialty Crosswalk'!$A$2:$C$106,2,FALSE),"")</f>
        <v/>
      </c>
      <c r="G9033" s="49" t="str">
        <f>IFERROR(VLOOKUP(E9033,'Condensed Specialty Crosswalk'!$A$2:$C$106,3,FALSE),"")</f>
        <v/>
      </c>
    </row>
    <row r="9034" spans="5:7" ht="15" customHeight="1">
      <c r="E9034" s="49" t="str">
        <f>IFERROR(VLOOKUP(D9034,'taxonomy map'!$A$1:$C$107,2,FALSE),"")</f>
        <v/>
      </c>
      <c r="F9034" s="49" t="str">
        <f>IFERROR(VLOOKUP(E9034,'Condensed Specialty Crosswalk'!$A$2:$C$106,2,FALSE),"")</f>
        <v/>
      </c>
      <c r="G9034" s="49" t="str">
        <f>IFERROR(VLOOKUP(E9034,'Condensed Specialty Crosswalk'!$A$2:$C$106,3,FALSE),"")</f>
        <v/>
      </c>
    </row>
    <row r="9035" spans="5:7" ht="15" customHeight="1">
      <c r="E9035" s="49" t="str">
        <f>IFERROR(VLOOKUP(D9035,'taxonomy map'!$A$1:$C$107,2,FALSE),"")</f>
        <v/>
      </c>
      <c r="F9035" s="49" t="str">
        <f>IFERROR(VLOOKUP(E9035,'Condensed Specialty Crosswalk'!$A$2:$C$106,2,FALSE),"")</f>
        <v/>
      </c>
      <c r="G9035" s="49" t="str">
        <f>IFERROR(VLOOKUP(E9035,'Condensed Specialty Crosswalk'!$A$2:$C$106,3,FALSE),"")</f>
        <v/>
      </c>
    </row>
    <row r="9036" spans="5:7" ht="15" customHeight="1">
      <c r="E9036" s="49" t="str">
        <f>IFERROR(VLOOKUP(D9036,'taxonomy map'!$A$1:$C$107,2,FALSE),"")</f>
        <v/>
      </c>
      <c r="F9036" s="49" t="str">
        <f>IFERROR(VLOOKUP(E9036,'Condensed Specialty Crosswalk'!$A$2:$C$106,2,FALSE),"")</f>
        <v/>
      </c>
      <c r="G9036" s="49" t="str">
        <f>IFERROR(VLOOKUP(E9036,'Condensed Specialty Crosswalk'!$A$2:$C$106,3,FALSE),"")</f>
        <v/>
      </c>
    </row>
    <row r="9037" spans="5:7" ht="15" customHeight="1">
      <c r="E9037" s="49" t="str">
        <f>IFERROR(VLOOKUP(D9037,'taxonomy map'!$A$1:$C$107,2,FALSE),"")</f>
        <v/>
      </c>
      <c r="F9037" s="49" t="str">
        <f>IFERROR(VLOOKUP(E9037,'Condensed Specialty Crosswalk'!$A$2:$C$106,2,FALSE),"")</f>
        <v/>
      </c>
      <c r="G9037" s="49" t="str">
        <f>IFERROR(VLOOKUP(E9037,'Condensed Specialty Crosswalk'!$A$2:$C$106,3,FALSE),"")</f>
        <v/>
      </c>
    </row>
    <row r="9038" spans="5:7" ht="15" customHeight="1">
      <c r="E9038" s="49" t="str">
        <f>IFERROR(VLOOKUP(D9038,'taxonomy map'!$A$1:$C$107,2,FALSE),"")</f>
        <v/>
      </c>
      <c r="F9038" s="49" t="str">
        <f>IFERROR(VLOOKUP(E9038,'Condensed Specialty Crosswalk'!$A$2:$C$106,2,FALSE),"")</f>
        <v/>
      </c>
      <c r="G9038" s="49" t="str">
        <f>IFERROR(VLOOKUP(E9038,'Condensed Specialty Crosswalk'!$A$2:$C$106,3,FALSE),"")</f>
        <v/>
      </c>
    </row>
    <row r="9039" spans="5:7" ht="15" customHeight="1">
      <c r="E9039" s="49" t="str">
        <f>IFERROR(VLOOKUP(D9039,'taxonomy map'!$A$1:$C$107,2,FALSE),"")</f>
        <v/>
      </c>
      <c r="F9039" s="49" t="str">
        <f>IFERROR(VLOOKUP(E9039,'Condensed Specialty Crosswalk'!$A$2:$C$106,2,FALSE),"")</f>
        <v/>
      </c>
      <c r="G9039" s="49" t="str">
        <f>IFERROR(VLOOKUP(E9039,'Condensed Specialty Crosswalk'!$A$2:$C$106,3,FALSE),"")</f>
        <v/>
      </c>
    </row>
    <row r="9040" spans="5:7" ht="15" customHeight="1">
      <c r="E9040" s="49" t="str">
        <f>IFERROR(VLOOKUP(D9040,'taxonomy map'!$A$1:$C$107,2,FALSE),"")</f>
        <v/>
      </c>
      <c r="F9040" s="49" t="str">
        <f>IFERROR(VLOOKUP(E9040,'Condensed Specialty Crosswalk'!$A$2:$C$106,2,FALSE),"")</f>
        <v/>
      </c>
      <c r="G9040" s="49" t="str">
        <f>IFERROR(VLOOKUP(E9040,'Condensed Specialty Crosswalk'!$A$2:$C$106,3,FALSE),"")</f>
        <v/>
      </c>
    </row>
    <row r="9041" spans="5:7" ht="15" customHeight="1">
      <c r="E9041" s="49" t="str">
        <f>IFERROR(VLOOKUP(D9041,'taxonomy map'!$A$1:$C$107,2,FALSE),"")</f>
        <v/>
      </c>
      <c r="F9041" s="49" t="str">
        <f>IFERROR(VLOOKUP(E9041,'Condensed Specialty Crosswalk'!$A$2:$C$106,2,FALSE),"")</f>
        <v/>
      </c>
      <c r="G9041" s="49" t="str">
        <f>IFERROR(VLOOKUP(E9041,'Condensed Specialty Crosswalk'!$A$2:$C$106,3,FALSE),"")</f>
        <v/>
      </c>
    </row>
    <row r="9042" spans="5:7" ht="15" customHeight="1">
      <c r="E9042" s="49" t="str">
        <f>IFERROR(VLOOKUP(D9042,'taxonomy map'!$A$1:$C$107,2,FALSE),"")</f>
        <v/>
      </c>
      <c r="F9042" s="49" t="str">
        <f>IFERROR(VLOOKUP(E9042,'Condensed Specialty Crosswalk'!$A$2:$C$106,2,FALSE),"")</f>
        <v/>
      </c>
      <c r="G9042" s="49" t="str">
        <f>IFERROR(VLOOKUP(E9042,'Condensed Specialty Crosswalk'!$A$2:$C$106,3,FALSE),"")</f>
        <v/>
      </c>
    </row>
    <row r="9043" spans="5:7" ht="15" customHeight="1">
      <c r="E9043" s="49" t="str">
        <f>IFERROR(VLOOKUP(D9043,'taxonomy map'!$A$1:$C$107,2,FALSE),"")</f>
        <v/>
      </c>
      <c r="F9043" s="49" t="str">
        <f>IFERROR(VLOOKUP(E9043,'Condensed Specialty Crosswalk'!$A$2:$C$106,2,FALSE),"")</f>
        <v/>
      </c>
      <c r="G9043" s="49" t="str">
        <f>IFERROR(VLOOKUP(E9043,'Condensed Specialty Crosswalk'!$A$2:$C$106,3,FALSE),"")</f>
        <v/>
      </c>
    </row>
    <row r="9044" spans="5:7" ht="15" customHeight="1">
      <c r="E9044" s="49" t="str">
        <f>IFERROR(VLOOKUP(D9044,'taxonomy map'!$A$1:$C$107,2,FALSE),"")</f>
        <v/>
      </c>
      <c r="F9044" s="49" t="str">
        <f>IFERROR(VLOOKUP(E9044,'Condensed Specialty Crosswalk'!$A$2:$C$106,2,FALSE),"")</f>
        <v/>
      </c>
      <c r="G9044" s="49" t="str">
        <f>IFERROR(VLOOKUP(E9044,'Condensed Specialty Crosswalk'!$A$2:$C$106,3,FALSE),"")</f>
        <v/>
      </c>
    </row>
    <row r="9045" spans="5:7" ht="15" customHeight="1">
      <c r="E9045" s="49" t="str">
        <f>IFERROR(VLOOKUP(D9045,'taxonomy map'!$A$1:$C$107,2,FALSE),"")</f>
        <v/>
      </c>
      <c r="F9045" s="49" t="str">
        <f>IFERROR(VLOOKUP(E9045,'Condensed Specialty Crosswalk'!$A$2:$C$106,2,FALSE),"")</f>
        <v/>
      </c>
      <c r="G9045" s="49" t="str">
        <f>IFERROR(VLOOKUP(E9045,'Condensed Specialty Crosswalk'!$A$2:$C$106,3,FALSE),"")</f>
        <v/>
      </c>
    </row>
    <row r="9046" spans="5:7" ht="15" customHeight="1">
      <c r="E9046" s="49" t="str">
        <f>IFERROR(VLOOKUP(D9046,'taxonomy map'!$A$1:$C$107,2,FALSE),"")</f>
        <v/>
      </c>
      <c r="F9046" s="49" t="str">
        <f>IFERROR(VLOOKUP(E9046,'Condensed Specialty Crosswalk'!$A$2:$C$106,2,FALSE),"")</f>
        <v/>
      </c>
      <c r="G9046" s="49" t="str">
        <f>IFERROR(VLOOKUP(E9046,'Condensed Specialty Crosswalk'!$A$2:$C$106,3,FALSE),"")</f>
        <v/>
      </c>
    </row>
    <row r="9047" spans="5:7" ht="15" customHeight="1">
      <c r="E9047" s="49" t="str">
        <f>IFERROR(VLOOKUP(D9047,'taxonomy map'!$A$1:$C$107,2,FALSE),"")</f>
        <v/>
      </c>
      <c r="F9047" s="49" t="str">
        <f>IFERROR(VLOOKUP(E9047,'Condensed Specialty Crosswalk'!$A$2:$C$106,2,FALSE),"")</f>
        <v/>
      </c>
      <c r="G9047" s="49" t="str">
        <f>IFERROR(VLOOKUP(E9047,'Condensed Specialty Crosswalk'!$A$2:$C$106,3,FALSE),"")</f>
        <v/>
      </c>
    </row>
    <row r="9048" spans="5:7" ht="15" customHeight="1">
      <c r="E9048" s="49" t="str">
        <f>IFERROR(VLOOKUP(D9048,'taxonomy map'!$A$1:$C$107,2,FALSE),"")</f>
        <v/>
      </c>
      <c r="F9048" s="49" t="str">
        <f>IFERROR(VLOOKUP(E9048,'Condensed Specialty Crosswalk'!$A$2:$C$106,2,FALSE),"")</f>
        <v/>
      </c>
      <c r="G9048" s="49" t="str">
        <f>IFERROR(VLOOKUP(E9048,'Condensed Specialty Crosswalk'!$A$2:$C$106,3,FALSE),"")</f>
        <v/>
      </c>
    </row>
    <row r="9049" spans="5:7" ht="15" customHeight="1">
      <c r="E9049" s="49" t="str">
        <f>IFERROR(VLOOKUP(D9049,'taxonomy map'!$A$1:$C$107,2,FALSE),"")</f>
        <v/>
      </c>
      <c r="F9049" s="49" t="str">
        <f>IFERROR(VLOOKUP(E9049,'Condensed Specialty Crosswalk'!$A$2:$C$106,2,FALSE),"")</f>
        <v/>
      </c>
      <c r="G9049" s="49" t="str">
        <f>IFERROR(VLOOKUP(E9049,'Condensed Specialty Crosswalk'!$A$2:$C$106,3,FALSE),"")</f>
        <v/>
      </c>
    </row>
    <row r="9050" spans="5:7" ht="15" customHeight="1">
      <c r="E9050" s="49" t="str">
        <f>IFERROR(VLOOKUP(D9050,'taxonomy map'!$A$1:$C$107,2,FALSE),"")</f>
        <v/>
      </c>
      <c r="F9050" s="49" t="str">
        <f>IFERROR(VLOOKUP(E9050,'Condensed Specialty Crosswalk'!$A$2:$C$106,2,FALSE),"")</f>
        <v/>
      </c>
      <c r="G9050" s="49" t="str">
        <f>IFERROR(VLOOKUP(E9050,'Condensed Specialty Crosswalk'!$A$2:$C$106,3,FALSE),"")</f>
        <v/>
      </c>
    </row>
    <row r="9051" spans="5:7" ht="15" customHeight="1">
      <c r="E9051" s="49" t="str">
        <f>IFERROR(VLOOKUP(D9051,'taxonomy map'!$A$1:$C$107,2,FALSE),"")</f>
        <v/>
      </c>
      <c r="F9051" s="49" t="str">
        <f>IFERROR(VLOOKUP(E9051,'Condensed Specialty Crosswalk'!$A$2:$C$106,2,FALSE),"")</f>
        <v/>
      </c>
      <c r="G9051" s="49" t="str">
        <f>IFERROR(VLOOKUP(E9051,'Condensed Specialty Crosswalk'!$A$2:$C$106,3,FALSE),"")</f>
        <v/>
      </c>
    </row>
    <row r="9052" spans="5:7" ht="15" customHeight="1">
      <c r="E9052" s="49" t="str">
        <f>IFERROR(VLOOKUP(D9052,'taxonomy map'!$A$1:$C$107,2,FALSE),"")</f>
        <v/>
      </c>
      <c r="F9052" s="49" t="str">
        <f>IFERROR(VLOOKUP(E9052,'Condensed Specialty Crosswalk'!$A$2:$C$106,2,FALSE),"")</f>
        <v/>
      </c>
      <c r="G9052" s="49" t="str">
        <f>IFERROR(VLOOKUP(E9052,'Condensed Specialty Crosswalk'!$A$2:$C$106,3,FALSE),"")</f>
        <v/>
      </c>
    </row>
    <row r="9053" spans="5:7" ht="15" customHeight="1">
      <c r="E9053" s="49" t="str">
        <f>IFERROR(VLOOKUP(D9053,'taxonomy map'!$A$1:$C$107,2,FALSE),"")</f>
        <v/>
      </c>
      <c r="F9053" s="49" t="str">
        <f>IFERROR(VLOOKUP(E9053,'Condensed Specialty Crosswalk'!$A$2:$C$106,2,FALSE),"")</f>
        <v/>
      </c>
      <c r="G9053" s="49" t="str">
        <f>IFERROR(VLOOKUP(E9053,'Condensed Specialty Crosswalk'!$A$2:$C$106,3,FALSE),"")</f>
        <v/>
      </c>
    </row>
    <row r="9054" spans="5:7" ht="15" customHeight="1">
      <c r="E9054" s="49" t="str">
        <f>IFERROR(VLOOKUP(D9054,'taxonomy map'!$A$1:$C$107,2,FALSE),"")</f>
        <v/>
      </c>
      <c r="F9054" s="49" t="str">
        <f>IFERROR(VLOOKUP(E9054,'Condensed Specialty Crosswalk'!$A$2:$C$106,2,FALSE),"")</f>
        <v/>
      </c>
      <c r="G9054" s="49" t="str">
        <f>IFERROR(VLOOKUP(E9054,'Condensed Specialty Crosswalk'!$A$2:$C$106,3,FALSE),"")</f>
        <v/>
      </c>
    </row>
    <row r="9055" spans="5:7" ht="15" customHeight="1">
      <c r="E9055" s="49" t="str">
        <f>IFERROR(VLOOKUP(D9055,'taxonomy map'!$A$1:$C$107,2,FALSE),"")</f>
        <v/>
      </c>
      <c r="F9055" s="49" t="str">
        <f>IFERROR(VLOOKUP(E9055,'Condensed Specialty Crosswalk'!$A$2:$C$106,2,FALSE),"")</f>
        <v/>
      </c>
      <c r="G9055" s="49" t="str">
        <f>IFERROR(VLOOKUP(E9055,'Condensed Specialty Crosswalk'!$A$2:$C$106,3,FALSE),"")</f>
        <v/>
      </c>
    </row>
    <row r="9056" spans="5:7" ht="15" customHeight="1">
      <c r="E9056" s="49" t="str">
        <f>IFERROR(VLOOKUP(D9056,'taxonomy map'!$A$1:$C$107,2,FALSE),"")</f>
        <v/>
      </c>
      <c r="F9056" s="49" t="str">
        <f>IFERROR(VLOOKUP(E9056,'Condensed Specialty Crosswalk'!$A$2:$C$106,2,FALSE),"")</f>
        <v/>
      </c>
      <c r="G9056" s="49" t="str">
        <f>IFERROR(VLOOKUP(E9056,'Condensed Specialty Crosswalk'!$A$2:$C$106,3,FALSE),"")</f>
        <v/>
      </c>
    </row>
    <row r="9057" spans="5:7" ht="15" customHeight="1">
      <c r="E9057" s="49" t="str">
        <f>IFERROR(VLOOKUP(D9057,'taxonomy map'!$A$1:$C$107,2,FALSE),"")</f>
        <v/>
      </c>
      <c r="F9057" s="49" t="str">
        <f>IFERROR(VLOOKUP(E9057,'Condensed Specialty Crosswalk'!$A$2:$C$106,2,FALSE),"")</f>
        <v/>
      </c>
      <c r="G9057" s="49" t="str">
        <f>IFERROR(VLOOKUP(E9057,'Condensed Specialty Crosswalk'!$A$2:$C$106,3,FALSE),"")</f>
        <v/>
      </c>
    </row>
    <row r="9058" spans="5:7" ht="15" customHeight="1">
      <c r="E9058" s="49" t="str">
        <f>IFERROR(VLOOKUP(D9058,'taxonomy map'!$A$1:$C$107,2,FALSE),"")</f>
        <v/>
      </c>
      <c r="F9058" s="49" t="str">
        <f>IFERROR(VLOOKUP(E9058,'Condensed Specialty Crosswalk'!$A$2:$C$106,2,FALSE),"")</f>
        <v/>
      </c>
      <c r="G9058" s="49" t="str">
        <f>IFERROR(VLOOKUP(E9058,'Condensed Specialty Crosswalk'!$A$2:$C$106,3,FALSE),"")</f>
        <v/>
      </c>
    </row>
    <row r="9059" spans="5:7" ht="15" customHeight="1">
      <c r="E9059" s="49" t="str">
        <f>IFERROR(VLOOKUP(D9059,'taxonomy map'!$A$1:$C$107,2,FALSE),"")</f>
        <v/>
      </c>
      <c r="F9059" s="49" t="str">
        <f>IFERROR(VLOOKUP(E9059,'Condensed Specialty Crosswalk'!$A$2:$C$106,2,FALSE),"")</f>
        <v/>
      </c>
      <c r="G9059" s="49" t="str">
        <f>IFERROR(VLOOKUP(E9059,'Condensed Specialty Crosswalk'!$A$2:$C$106,3,FALSE),"")</f>
        <v/>
      </c>
    </row>
    <row r="9060" spans="5:7" ht="15" customHeight="1">
      <c r="E9060" s="49" t="str">
        <f>IFERROR(VLOOKUP(D9060,'taxonomy map'!$A$1:$C$107,2,FALSE),"")</f>
        <v/>
      </c>
      <c r="F9060" s="49" t="str">
        <f>IFERROR(VLOOKUP(E9060,'Condensed Specialty Crosswalk'!$A$2:$C$106,2,FALSE),"")</f>
        <v/>
      </c>
      <c r="G9060" s="49" t="str">
        <f>IFERROR(VLOOKUP(E9060,'Condensed Specialty Crosswalk'!$A$2:$C$106,3,FALSE),"")</f>
        <v/>
      </c>
    </row>
    <row r="9061" spans="5:7" ht="15" customHeight="1">
      <c r="E9061" s="49" t="str">
        <f>IFERROR(VLOOKUP(D9061,'taxonomy map'!$A$1:$C$107,2,FALSE),"")</f>
        <v/>
      </c>
      <c r="F9061" s="49" t="str">
        <f>IFERROR(VLOOKUP(E9061,'Condensed Specialty Crosswalk'!$A$2:$C$106,2,FALSE),"")</f>
        <v/>
      </c>
      <c r="G9061" s="49" t="str">
        <f>IFERROR(VLOOKUP(E9061,'Condensed Specialty Crosswalk'!$A$2:$C$106,3,FALSE),"")</f>
        <v/>
      </c>
    </row>
    <row r="9062" spans="5:7" ht="15" customHeight="1">
      <c r="E9062" s="49" t="str">
        <f>IFERROR(VLOOKUP(D9062,'taxonomy map'!$A$1:$C$107,2,FALSE),"")</f>
        <v/>
      </c>
      <c r="F9062" s="49" t="str">
        <f>IFERROR(VLOOKUP(E9062,'Condensed Specialty Crosswalk'!$A$2:$C$106,2,FALSE),"")</f>
        <v/>
      </c>
      <c r="G9062" s="49" t="str">
        <f>IFERROR(VLOOKUP(E9062,'Condensed Specialty Crosswalk'!$A$2:$C$106,3,FALSE),"")</f>
        <v/>
      </c>
    </row>
    <row r="9063" spans="5:7" ht="15" customHeight="1">
      <c r="E9063" s="49" t="str">
        <f>IFERROR(VLOOKUP(D9063,'taxonomy map'!$A$1:$C$107,2,FALSE),"")</f>
        <v/>
      </c>
      <c r="F9063" s="49" t="str">
        <f>IFERROR(VLOOKUP(E9063,'Condensed Specialty Crosswalk'!$A$2:$C$106,2,FALSE),"")</f>
        <v/>
      </c>
      <c r="G9063" s="49" t="str">
        <f>IFERROR(VLOOKUP(E9063,'Condensed Specialty Crosswalk'!$A$2:$C$106,3,FALSE),"")</f>
        <v/>
      </c>
    </row>
    <row r="9064" spans="5:7" ht="15" customHeight="1">
      <c r="E9064" s="49" t="str">
        <f>IFERROR(VLOOKUP(D9064,'taxonomy map'!$A$1:$C$107,2,FALSE),"")</f>
        <v/>
      </c>
      <c r="F9064" s="49" t="str">
        <f>IFERROR(VLOOKUP(E9064,'Condensed Specialty Crosswalk'!$A$2:$C$106,2,FALSE),"")</f>
        <v/>
      </c>
      <c r="G9064" s="49" t="str">
        <f>IFERROR(VLOOKUP(E9064,'Condensed Specialty Crosswalk'!$A$2:$C$106,3,FALSE),"")</f>
        <v/>
      </c>
    </row>
    <row r="9065" spans="5:7" ht="15" customHeight="1">
      <c r="E9065" s="49" t="str">
        <f>IFERROR(VLOOKUP(D9065,'taxonomy map'!$A$1:$C$107,2,FALSE),"")</f>
        <v/>
      </c>
      <c r="F9065" s="49" t="str">
        <f>IFERROR(VLOOKUP(E9065,'Condensed Specialty Crosswalk'!$A$2:$C$106,2,FALSE),"")</f>
        <v/>
      </c>
      <c r="G9065" s="49" t="str">
        <f>IFERROR(VLOOKUP(E9065,'Condensed Specialty Crosswalk'!$A$2:$C$106,3,FALSE),"")</f>
        <v/>
      </c>
    </row>
    <row r="9066" spans="5:7" ht="15" customHeight="1">
      <c r="E9066" s="49" t="str">
        <f>IFERROR(VLOOKUP(D9066,'taxonomy map'!$A$1:$C$107,2,FALSE),"")</f>
        <v/>
      </c>
      <c r="F9066" s="49" t="str">
        <f>IFERROR(VLOOKUP(E9066,'Condensed Specialty Crosswalk'!$A$2:$C$106,2,FALSE),"")</f>
        <v/>
      </c>
      <c r="G9066" s="49" t="str">
        <f>IFERROR(VLOOKUP(E9066,'Condensed Specialty Crosswalk'!$A$2:$C$106,3,FALSE),"")</f>
        <v/>
      </c>
    </row>
    <row r="9067" spans="5:7" ht="15" customHeight="1">
      <c r="E9067" s="49" t="str">
        <f>IFERROR(VLOOKUP(D9067,'taxonomy map'!$A$1:$C$107,2,FALSE),"")</f>
        <v/>
      </c>
      <c r="F9067" s="49" t="str">
        <f>IFERROR(VLOOKUP(E9067,'Condensed Specialty Crosswalk'!$A$2:$C$106,2,FALSE),"")</f>
        <v/>
      </c>
      <c r="G9067" s="49" t="str">
        <f>IFERROR(VLOOKUP(E9067,'Condensed Specialty Crosswalk'!$A$2:$C$106,3,FALSE),"")</f>
        <v/>
      </c>
    </row>
    <row r="9068" spans="5:7" ht="15" customHeight="1">
      <c r="E9068" s="49" t="str">
        <f>IFERROR(VLOOKUP(D9068,'taxonomy map'!$A$1:$C$107,2,FALSE),"")</f>
        <v/>
      </c>
      <c r="F9068" s="49" t="str">
        <f>IFERROR(VLOOKUP(E9068,'Condensed Specialty Crosswalk'!$A$2:$C$106,2,FALSE),"")</f>
        <v/>
      </c>
      <c r="G9068" s="49" t="str">
        <f>IFERROR(VLOOKUP(E9068,'Condensed Specialty Crosswalk'!$A$2:$C$106,3,FALSE),"")</f>
        <v/>
      </c>
    </row>
    <row r="9069" spans="5:7" ht="15" customHeight="1">
      <c r="E9069" s="49" t="str">
        <f>IFERROR(VLOOKUP(D9069,'taxonomy map'!$A$1:$C$107,2,FALSE),"")</f>
        <v/>
      </c>
      <c r="F9069" s="49" t="str">
        <f>IFERROR(VLOOKUP(E9069,'Condensed Specialty Crosswalk'!$A$2:$C$106,2,FALSE),"")</f>
        <v/>
      </c>
      <c r="G9069" s="49" t="str">
        <f>IFERROR(VLOOKUP(E9069,'Condensed Specialty Crosswalk'!$A$2:$C$106,3,FALSE),"")</f>
        <v/>
      </c>
    </row>
    <row r="9070" spans="5:7" ht="15" customHeight="1">
      <c r="E9070" s="49" t="str">
        <f>IFERROR(VLOOKUP(D9070,'taxonomy map'!$A$1:$C$107,2,FALSE),"")</f>
        <v/>
      </c>
      <c r="F9070" s="49" t="str">
        <f>IFERROR(VLOOKUP(E9070,'Condensed Specialty Crosswalk'!$A$2:$C$106,2,FALSE),"")</f>
        <v/>
      </c>
      <c r="G9070" s="49" t="str">
        <f>IFERROR(VLOOKUP(E9070,'Condensed Specialty Crosswalk'!$A$2:$C$106,3,FALSE),"")</f>
        <v/>
      </c>
    </row>
    <row r="9071" spans="5:7" ht="15" customHeight="1">
      <c r="E9071" s="49" t="str">
        <f>IFERROR(VLOOKUP(D9071,'taxonomy map'!$A$1:$C$107,2,FALSE),"")</f>
        <v/>
      </c>
      <c r="F9071" s="49" t="str">
        <f>IFERROR(VLOOKUP(E9071,'Condensed Specialty Crosswalk'!$A$2:$C$106,2,FALSE),"")</f>
        <v/>
      </c>
      <c r="G9071" s="49" t="str">
        <f>IFERROR(VLOOKUP(E9071,'Condensed Specialty Crosswalk'!$A$2:$C$106,3,FALSE),"")</f>
        <v/>
      </c>
    </row>
    <row r="9072" spans="5:7" ht="15" customHeight="1">
      <c r="E9072" s="49" t="str">
        <f>IFERROR(VLOOKUP(D9072,'taxonomy map'!$A$1:$C$107,2,FALSE),"")</f>
        <v/>
      </c>
      <c r="F9072" s="49" t="str">
        <f>IFERROR(VLOOKUP(E9072,'Condensed Specialty Crosswalk'!$A$2:$C$106,2,FALSE),"")</f>
        <v/>
      </c>
      <c r="G9072" s="49" t="str">
        <f>IFERROR(VLOOKUP(E9072,'Condensed Specialty Crosswalk'!$A$2:$C$106,3,FALSE),"")</f>
        <v/>
      </c>
    </row>
    <row r="9073" spans="5:7" ht="15" customHeight="1">
      <c r="E9073" s="49" t="str">
        <f>IFERROR(VLOOKUP(D9073,'taxonomy map'!$A$1:$C$107,2,FALSE),"")</f>
        <v/>
      </c>
      <c r="F9073" s="49" t="str">
        <f>IFERROR(VLOOKUP(E9073,'Condensed Specialty Crosswalk'!$A$2:$C$106,2,FALSE),"")</f>
        <v/>
      </c>
      <c r="G9073" s="49" t="str">
        <f>IFERROR(VLOOKUP(E9073,'Condensed Specialty Crosswalk'!$A$2:$C$106,3,FALSE),"")</f>
        <v/>
      </c>
    </row>
    <row r="9074" spans="5:7" ht="15" customHeight="1">
      <c r="E9074" s="49" t="str">
        <f>IFERROR(VLOOKUP(D9074,'taxonomy map'!$A$1:$C$107,2,FALSE),"")</f>
        <v/>
      </c>
      <c r="F9074" s="49" t="str">
        <f>IFERROR(VLOOKUP(E9074,'Condensed Specialty Crosswalk'!$A$2:$C$106,2,FALSE),"")</f>
        <v/>
      </c>
      <c r="G9074" s="49" t="str">
        <f>IFERROR(VLOOKUP(E9074,'Condensed Specialty Crosswalk'!$A$2:$C$106,3,FALSE),"")</f>
        <v/>
      </c>
    </row>
    <row r="9075" spans="5:7" ht="15" customHeight="1">
      <c r="E9075" s="49" t="str">
        <f>IFERROR(VLOOKUP(D9075,'taxonomy map'!$A$1:$C$107,2,FALSE),"")</f>
        <v/>
      </c>
      <c r="F9075" s="49" t="str">
        <f>IFERROR(VLOOKUP(E9075,'Condensed Specialty Crosswalk'!$A$2:$C$106,2,FALSE),"")</f>
        <v/>
      </c>
      <c r="G9075" s="49" t="str">
        <f>IFERROR(VLOOKUP(E9075,'Condensed Specialty Crosswalk'!$A$2:$C$106,3,FALSE),"")</f>
        <v/>
      </c>
    </row>
    <row r="9076" spans="5:7" ht="15" customHeight="1">
      <c r="E9076" s="49" t="str">
        <f>IFERROR(VLOOKUP(D9076,'taxonomy map'!$A$1:$C$107,2,FALSE),"")</f>
        <v/>
      </c>
      <c r="F9076" s="49" t="str">
        <f>IFERROR(VLOOKUP(E9076,'Condensed Specialty Crosswalk'!$A$2:$C$106,2,FALSE),"")</f>
        <v/>
      </c>
      <c r="G9076" s="49" t="str">
        <f>IFERROR(VLOOKUP(E9076,'Condensed Specialty Crosswalk'!$A$2:$C$106,3,FALSE),"")</f>
        <v/>
      </c>
    </row>
    <row r="9077" spans="5:7" ht="15" customHeight="1">
      <c r="E9077" s="49" t="str">
        <f>IFERROR(VLOOKUP(D9077,'taxonomy map'!$A$1:$C$107,2,FALSE),"")</f>
        <v/>
      </c>
      <c r="F9077" s="49" t="str">
        <f>IFERROR(VLOOKUP(E9077,'Condensed Specialty Crosswalk'!$A$2:$C$106,2,FALSE),"")</f>
        <v/>
      </c>
      <c r="G9077" s="49" t="str">
        <f>IFERROR(VLOOKUP(E9077,'Condensed Specialty Crosswalk'!$A$2:$C$106,3,FALSE),"")</f>
        <v/>
      </c>
    </row>
    <row r="9078" spans="5:7" ht="15" customHeight="1">
      <c r="E9078" s="49" t="str">
        <f>IFERROR(VLOOKUP(D9078,'taxonomy map'!$A$1:$C$107,2,FALSE),"")</f>
        <v/>
      </c>
      <c r="F9078" s="49" t="str">
        <f>IFERROR(VLOOKUP(E9078,'Condensed Specialty Crosswalk'!$A$2:$C$106,2,FALSE),"")</f>
        <v/>
      </c>
      <c r="G9078" s="49" t="str">
        <f>IFERROR(VLOOKUP(E9078,'Condensed Specialty Crosswalk'!$A$2:$C$106,3,FALSE),"")</f>
        <v/>
      </c>
    </row>
    <row r="9079" spans="5:7" ht="15" customHeight="1">
      <c r="E9079" s="49" t="str">
        <f>IFERROR(VLOOKUP(D9079,'taxonomy map'!$A$1:$C$107,2,FALSE),"")</f>
        <v/>
      </c>
      <c r="F9079" s="49" t="str">
        <f>IFERROR(VLOOKUP(E9079,'Condensed Specialty Crosswalk'!$A$2:$C$106,2,FALSE),"")</f>
        <v/>
      </c>
      <c r="G9079" s="49" t="str">
        <f>IFERROR(VLOOKUP(E9079,'Condensed Specialty Crosswalk'!$A$2:$C$106,3,FALSE),"")</f>
        <v/>
      </c>
    </row>
    <row r="9080" spans="5:7" ht="15" customHeight="1">
      <c r="E9080" s="49" t="str">
        <f>IFERROR(VLOOKUP(D9080,'taxonomy map'!$A$1:$C$107,2,FALSE),"")</f>
        <v/>
      </c>
      <c r="F9080" s="49" t="str">
        <f>IFERROR(VLOOKUP(E9080,'Condensed Specialty Crosswalk'!$A$2:$C$106,2,FALSE),"")</f>
        <v/>
      </c>
      <c r="G9080" s="49" t="str">
        <f>IFERROR(VLOOKUP(E9080,'Condensed Specialty Crosswalk'!$A$2:$C$106,3,FALSE),"")</f>
        <v/>
      </c>
    </row>
    <row r="9081" spans="5:7" ht="15" customHeight="1">
      <c r="E9081" s="49" t="str">
        <f>IFERROR(VLOOKUP(D9081,'taxonomy map'!$A$1:$C$107,2,FALSE),"")</f>
        <v/>
      </c>
      <c r="F9081" s="49" t="str">
        <f>IFERROR(VLOOKUP(E9081,'Condensed Specialty Crosswalk'!$A$2:$C$106,2,FALSE),"")</f>
        <v/>
      </c>
      <c r="G9081" s="49" t="str">
        <f>IFERROR(VLOOKUP(E9081,'Condensed Specialty Crosswalk'!$A$2:$C$106,3,FALSE),"")</f>
        <v/>
      </c>
    </row>
    <row r="9082" spans="5:7" ht="15" customHeight="1">
      <c r="E9082" s="49" t="str">
        <f>IFERROR(VLOOKUP(D9082,'taxonomy map'!$A$1:$C$107,2,FALSE),"")</f>
        <v/>
      </c>
      <c r="F9082" s="49" t="str">
        <f>IFERROR(VLOOKUP(E9082,'Condensed Specialty Crosswalk'!$A$2:$C$106,2,FALSE),"")</f>
        <v/>
      </c>
      <c r="G9082" s="49" t="str">
        <f>IFERROR(VLOOKUP(E9082,'Condensed Specialty Crosswalk'!$A$2:$C$106,3,FALSE),"")</f>
        <v/>
      </c>
    </row>
    <row r="9083" spans="5:7" ht="15" customHeight="1">
      <c r="E9083" s="49" t="str">
        <f>IFERROR(VLOOKUP(D9083,'taxonomy map'!$A$1:$C$107,2,FALSE),"")</f>
        <v/>
      </c>
      <c r="F9083" s="49" t="str">
        <f>IFERROR(VLOOKUP(E9083,'Condensed Specialty Crosswalk'!$A$2:$C$106,2,FALSE),"")</f>
        <v/>
      </c>
      <c r="G9083" s="49" t="str">
        <f>IFERROR(VLOOKUP(E9083,'Condensed Specialty Crosswalk'!$A$2:$C$106,3,FALSE),"")</f>
        <v/>
      </c>
    </row>
    <row r="9084" spans="5:7" ht="15" customHeight="1">
      <c r="E9084" s="49" t="str">
        <f>IFERROR(VLOOKUP(D9084,'taxonomy map'!$A$1:$C$107,2,FALSE),"")</f>
        <v/>
      </c>
      <c r="F9084" s="49" t="str">
        <f>IFERROR(VLOOKUP(E9084,'Condensed Specialty Crosswalk'!$A$2:$C$106,2,FALSE),"")</f>
        <v/>
      </c>
      <c r="G9084" s="49" t="str">
        <f>IFERROR(VLOOKUP(E9084,'Condensed Specialty Crosswalk'!$A$2:$C$106,3,FALSE),"")</f>
        <v/>
      </c>
    </row>
    <row r="9085" spans="5:7" ht="15" customHeight="1">
      <c r="E9085" s="49" t="str">
        <f>IFERROR(VLOOKUP(D9085,'taxonomy map'!$A$1:$C$107,2,FALSE),"")</f>
        <v/>
      </c>
      <c r="F9085" s="49" t="str">
        <f>IFERROR(VLOOKUP(E9085,'Condensed Specialty Crosswalk'!$A$2:$C$106,2,FALSE),"")</f>
        <v/>
      </c>
      <c r="G9085" s="49" t="str">
        <f>IFERROR(VLOOKUP(E9085,'Condensed Specialty Crosswalk'!$A$2:$C$106,3,FALSE),"")</f>
        <v/>
      </c>
    </row>
    <row r="9086" spans="5:7" ht="15" customHeight="1">
      <c r="E9086" s="49" t="str">
        <f>IFERROR(VLOOKUP(D9086,'taxonomy map'!$A$1:$C$107,2,FALSE),"")</f>
        <v/>
      </c>
      <c r="F9086" s="49" t="str">
        <f>IFERROR(VLOOKUP(E9086,'Condensed Specialty Crosswalk'!$A$2:$C$106,2,FALSE),"")</f>
        <v/>
      </c>
      <c r="G9086" s="49" t="str">
        <f>IFERROR(VLOOKUP(E9086,'Condensed Specialty Crosswalk'!$A$2:$C$106,3,FALSE),"")</f>
        <v/>
      </c>
    </row>
    <row r="9087" spans="5:7" ht="15" customHeight="1">
      <c r="E9087" s="49" t="str">
        <f>IFERROR(VLOOKUP(D9087,'taxonomy map'!$A$1:$C$107,2,FALSE),"")</f>
        <v/>
      </c>
      <c r="F9087" s="49" t="str">
        <f>IFERROR(VLOOKUP(E9087,'Condensed Specialty Crosswalk'!$A$2:$C$106,2,FALSE),"")</f>
        <v/>
      </c>
      <c r="G9087" s="49" t="str">
        <f>IFERROR(VLOOKUP(E9087,'Condensed Specialty Crosswalk'!$A$2:$C$106,3,FALSE),"")</f>
        <v/>
      </c>
    </row>
    <row r="9088" spans="5:7" ht="15" customHeight="1">
      <c r="E9088" s="49" t="str">
        <f>IFERROR(VLOOKUP(D9088,'taxonomy map'!$A$1:$C$107,2,FALSE),"")</f>
        <v/>
      </c>
      <c r="F9088" s="49" t="str">
        <f>IFERROR(VLOOKUP(E9088,'Condensed Specialty Crosswalk'!$A$2:$C$106,2,FALSE),"")</f>
        <v/>
      </c>
      <c r="G9088" s="49" t="str">
        <f>IFERROR(VLOOKUP(E9088,'Condensed Specialty Crosswalk'!$A$2:$C$106,3,FALSE),"")</f>
        <v/>
      </c>
    </row>
    <row r="9089" spans="5:7" ht="15" customHeight="1">
      <c r="E9089" s="49" t="str">
        <f>IFERROR(VLOOKUP(D9089,'taxonomy map'!$A$1:$C$107,2,FALSE),"")</f>
        <v/>
      </c>
      <c r="F9089" s="49" t="str">
        <f>IFERROR(VLOOKUP(E9089,'Condensed Specialty Crosswalk'!$A$2:$C$106,2,FALSE),"")</f>
        <v/>
      </c>
      <c r="G9089" s="49" t="str">
        <f>IFERROR(VLOOKUP(E9089,'Condensed Specialty Crosswalk'!$A$2:$C$106,3,FALSE),"")</f>
        <v/>
      </c>
    </row>
    <row r="9090" spans="5:7" ht="15" customHeight="1">
      <c r="E9090" s="49" t="str">
        <f>IFERROR(VLOOKUP(D9090,'taxonomy map'!$A$1:$C$107,2,FALSE),"")</f>
        <v/>
      </c>
      <c r="F9090" s="49" t="str">
        <f>IFERROR(VLOOKUP(E9090,'Condensed Specialty Crosswalk'!$A$2:$C$106,2,FALSE),"")</f>
        <v/>
      </c>
      <c r="G9090" s="49" t="str">
        <f>IFERROR(VLOOKUP(E9090,'Condensed Specialty Crosswalk'!$A$2:$C$106,3,FALSE),"")</f>
        <v/>
      </c>
    </row>
    <row r="9091" spans="5:7" ht="15" customHeight="1">
      <c r="E9091" s="49" t="str">
        <f>IFERROR(VLOOKUP(D9091,'taxonomy map'!$A$1:$C$107,2,FALSE),"")</f>
        <v/>
      </c>
      <c r="F9091" s="49" t="str">
        <f>IFERROR(VLOOKUP(E9091,'Condensed Specialty Crosswalk'!$A$2:$C$106,2,FALSE),"")</f>
        <v/>
      </c>
      <c r="G9091" s="49" t="str">
        <f>IFERROR(VLOOKUP(E9091,'Condensed Specialty Crosswalk'!$A$2:$C$106,3,FALSE),"")</f>
        <v/>
      </c>
    </row>
    <row r="9092" spans="5:7" ht="15" customHeight="1">
      <c r="E9092" s="49" t="str">
        <f>IFERROR(VLOOKUP(D9092,'taxonomy map'!$A$1:$C$107,2,FALSE),"")</f>
        <v/>
      </c>
      <c r="F9092" s="49" t="str">
        <f>IFERROR(VLOOKUP(E9092,'Condensed Specialty Crosswalk'!$A$2:$C$106,2,FALSE),"")</f>
        <v/>
      </c>
      <c r="G9092" s="49" t="str">
        <f>IFERROR(VLOOKUP(E9092,'Condensed Specialty Crosswalk'!$A$2:$C$106,3,FALSE),"")</f>
        <v/>
      </c>
    </row>
    <row r="9093" spans="5:7" ht="15" customHeight="1">
      <c r="E9093" s="49" t="str">
        <f>IFERROR(VLOOKUP(D9093,'taxonomy map'!$A$1:$C$107,2,FALSE),"")</f>
        <v/>
      </c>
      <c r="F9093" s="49" t="str">
        <f>IFERROR(VLOOKUP(E9093,'Condensed Specialty Crosswalk'!$A$2:$C$106,2,FALSE),"")</f>
        <v/>
      </c>
      <c r="G9093" s="49" t="str">
        <f>IFERROR(VLOOKUP(E9093,'Condensed Specialty Crosswalk'!$A$2:$C$106,3,FALSE),"")</f>
        <v/>
      </c>
    </row>
    <row r="9094" spans="5:7" ht="15" customHeight="1">
      <c r="E9094" s="49" t="str">
        <f>IFERROR(VLOOKUP(D9094,'taxonomy map'!$A$1:$C$107,2,FALSE),"")</f>
        <v/>
      </c>
      <c r="F9094" s="49" t="str">
        <f>IFERROR(VLOOKUP(E9094,'Condensed Specialty Crosswalk'!$A$2:$C$106,2,FALSE),"")</f>
        <v/>
      </c>
      <c r="G9094" s="49" t="str">
        <f>IFERROR(VLOOKUP(E9094,'Condensed Specialty Crosswalk'!$A$2:$C$106,3,FALSE),"")</f>
        <v/>
      </c>
    </row>
    <row r="9095" spans="5:7" ht="15" customHeight="1">
      <c r="E9095" s="49" t="str">
        <f>IFERROR(VLOOKUP(D9095,'taxonomy map'!$A$1:$C$107,2,FALSE),"")</f>
        <v/>
      </c>
      <c r="F9095" s="49" t="str">
        <f>IFERROR(VLOOKUP(E9095,'Condensed Specialty Crosswalk'!$A$2:$C$106,2,FALSE),"")</f>
        <v/>
      </c>
      <c r="G9095" s="49" t="str">
        <f>IFERROR(VLOOKUP(E9095,'Condensed Specialty Crosswalk'!$A$2:$C$106,3,FALSE),"")</f>
        <v/>
      </c>
    </row>
    <row r="9096" spans="5:7" ht="15" customHeight="1">
      <c r="E9096" s="49" t="str">
        <f>IFERROR(VLOOKUP(D9096,'taxonomy map'!$A$1:$C$107,2,FALSE),"")</f>
        <v/>
      </c>
      <c r="F9096" s="49" t="str">
        <f>IFERROR(VLOOKUP(E9096,'Condensed Specialty Crosswalk'!$A$2:$C$106,2,FALSE),"")</f>
        <v/>
      </c>
      <c r="G9096" s="49" t="str">
        <f>IFERROR(VLOOKUP(E9096,'Condensed Specialty Crosswalk'!$A$2:$C$106,3,FALSE),"")</f>
        <v/>
      </c>
    </row>
    <row r="9097" spans="5:7" ht="15" customHeight="1">
      <c r="E9097" s="49" t="str">
        <f>IFERROR(VLOOKUP(D9097,'taxonomy map'!$A$1:$C$107,2,FALSE),"")</f>
        <v/>
      </c>
      <c r="F9097" s="49" t="str">
        <f>IFERROR(VLOOKUP(E9097,'Condensed Specialty Crosswalk'!$A$2:$C$106,2,FALSE),"")</f>
        <v/>
      </c>
      <c r="G9097" s="49" t="str">
        <f>IFERROR(VLOOKUP(E9097,'Condensed Specialty Crosswalk'!$A$2:$C$106,3,FALSE),"")</f>
        <v/>
      </c>
    </row>
    <row r="9098" spans="5:7" ht="15" customHeight="1">
      <c r="E9098" s="49" t="str">
        <f>IFERROR(VLOOKUP(D9098,'taxonomy map'!$A$1:$C$107,2,FALSE),"")</f>
        <v/>
      </c>
      <c r="F9098" s="49" t="str">
        <f>IFERROR(VLOOKUP(E9098,'Condensed Specialty Crosswalk'!$A$2:$C$106,2,FALSE),"")</f>
        <v/>
      </c>
      <c r="G9098" s="49" t="str">
        <f>IFERROR(VLOOKUP(E9098,'Condensed Specialty Crosswalk'!$A$2:$C$106,3,FALSE),"")</f>
        <v/>
      </c>
    </row>
    <row r="9099" spans="5:7" ht="15" customHeight="1">
      <c r="E9099" s="49" t="str">
        <f>IFERROR(VLOOKUP(D9099,'taxonomy map'!$A$1:$C$107,2,FALSE),"")</f>
        <v/>
      </c>
      <c r="F9099" s="49" t="str">
        <f>IFERROR(VLOOKUP(E9099,'Condensed Specialty Crosswalk'!$A$2:$C$106,2,FALSE),"")</f>
        <v/>
      </c>
      <c r="G9099" s="49" t="str">
        <f>IFERROR(VLOOKUP(E9099,'Condensed Specialty Crosswalk'!$A$2:$C$106,3,FALSE),"")</f>
        <v/>
      </c>
    </row>
    <row r="9100" spans="5:7" ht="15" customHeight="1">
      <c r="E9100" s="49" t="str">
        <f>IFERROR(VLOOKUP(D9100,'taxonomy map'!$A$1:$C$107,2,FALSE),"")</f>
        <v/>
      </c>
      <c r="F9100" s="49" t="str">
        <f>IFERROR(VLOOKUP(E9100,'Condensed Specialty Crosswalk'!$A$2:$C$106,2,FALSE),"")</f>
        <v/>
      </c>
      <c r="G9100" s="49" t="str">
        <f>IFERROR(VLOOKUP(E9100,'Condensed Specialty Crosswalk'!$A$2:$C$106,3,FALSE),"")</f>
        <v/>
      </c>
    </row>
    <row r="9101" spans="5:7" ht="15" customHeight="1">
      <c r="E9101" s="49" t="str">
        <f>IFERROR(VLOOKUP(D9101,'taxonomy map'!$A$1:$C$107,2,FALSE),"")</f>
        <v/>
      </c>
      <c r="F9101" s="49" t="str">
        <f>IFERROR(VLOOKUP(E9101,'Condensed Specialty Crosswalk'!$A$2:$C$106,2,FALSE),"")</f>
        <v/>
      </c>
      <c r="G9101" s="49" t="str">
        <f>IFERROR(VLOOKUP(E9101,'Condensed Specialty Crosswalk'!$A$2:$C$106,3,FALSE),"")</f>
        <v/>
      </c>
    </row>
    <row r="9102" spans="5:7" ht="15" customHeight="1">
      <c r="E9102" s="49" t="str">
        <f>IFERROR(VLOOKUP(D9102,'taxonomy map'!$A$1:$C$107,2,FALSE),"")</f>
        <v/>
      </c>
      <c r="F9102" s="49" t="str">
        <f>IFERROR(VLOOKUP(E9102,'Condensed Specialty Crosswalk'!$A$2:$C$106,2,FALSE),"")</f>
        <v/>
      </c>
      <c r="G9102" s="49" t="str">
        <f>IFERROR(VLOOKUP(E9102,'Condensed Specialty Crosswalk'!$A$2:$C$106,3,FALSE),"")</f>
        <v/>
      </c>
    </row>
    <row r="9103" spans="5:7" ht="15" customHeight="1">
      <c r="E9103" s="49" t="str">
        <f>IFERROR(VLOOKUP(D9103,'taxonomy map'!$A$1:$C$107,2,FALSE),"")</f>
        <v/>
      </c>
      <c r="F9103" s="49" t="str">
        <f>IFERROR(VLOOKUP(E9103,'Condensed Specialty Crosswalk'!$A$2:$C$106,2,FALSE),"")</f>
        <v/>
      </c>
      <c r="G9103" s="49" t="str">
        <f>IFERROR(VLOOKUP(E9103,'Condensed Specialty Crosswalk'!$A$2:$C$106,3,FALSE),"")</f>
        <v/>
      </c>
    </row>
    <row r="9104" spans="5:7" ht="15" customHeight="1">
      <c r="E9104" s="49" t="str">
        <f>IFERROR(VLOOKUP(D9104,'taxonomy map'!$A$1:$C$107,2,FALSE),"")</f>
        <v/>
      </c>
      <c r="F9104" s="49" t="str">
        <f>IFERROR(VLOOKUP(E9104,'Condensed Specialty Crosswalk'!$A$2:$C$106,2,FALSE),"")</f>
        <v/>
      </c>
      <c r="G9104" s="49" t="str">
        <f>IFERROR(VLOOKUP(E9104,'Condensed Specialty Crosswalk'!$A$2:$C$106,3,FALSE),"")</f>
        <v/>
      </c>
    </row>
    <row r="9105" spans="5:7" ht="15" customHeight="1">
      <c r="E9105" s="49" t="str">
        <f>IFERROR(VLOOKUP(D9105,'taxonomy map'!$A$1:$C$107,2,FALSE),"")</f>
        <v/>
      </c>
      <c r="F9105" s="49" t="str">
        <f>IFERROR(VLOOKUP(E9105,'Condensed Specialty Crosswalk'!$A$2:$C$106,2,FALSE),"")</f>
        <v/>
      </c>
      <c r="G9105" s="49" t="str">
        <f>IFERROR(VLOOKUP(E9105,'Condensed Specialty Crosswalk'!$A$2:$C$106,3,FALSE),"")</f>
        <v/>
      </c>
    </row>
    <row r="9106" spans="5:7" ht="15" customHeight="1">
      <c r="E9106" s="49" t="str">
        <f>IFERROR(VLOOKUP(D9106,'taxonomy map'!$A$1:$C$107,2,FALSE),"")</f>
        <v/>
      </c>
      <c r="F9106" s="49" t="str">
        <f>IFERROR(VLOOKUP(E9106,'Condensed Specialty Crosswalk'!$A$2:$C$106,2,FALSE),"")</f>
        <v/>
      </c>
      <c r="G9106" s="49" t="str">
        <f>IFERROR(VLOOKUP(E9106,'Condensed Specialty Crosswalk'!$A$2:$C$106,3,FALSE),"")</f>
        <v/>
      </c>
    </row>
    <row r="9107" spans="5:7" ht="15" customHeight="1">
      <c r="E9107" s="49" t="str">
        <f>IFERROR(VLOOKUP(D9107,'taxonomy map'!$A$1:$C$107,2,FALSE),"")</f>
        <v/>
      </c>
      <c r="F9107" s="49" t="str">
        <f>IFERROR(VLOOKUP(E9107,'Condensed Specialty Crosswalk'!$A$2:$C$106,2,FALSE),"")</f>
        <v/>
      </c>
      <c r="G9107" s="49" t="str">
        <f>IFERROR(VLOOKUP(E9107,'Condensed Specialty Crosswalk'!$A$2:$C$106,3,FALSE),"")</f>
        <v/>
      </c>
    </row>
    <row r="9108" spans="5:7" ht="15" customHeight="1">
      <c r="E9108" s="49" t="str">
        <f>IFERROR(VLOOKUP(D9108,'taxonomy map'!$A$1:$C$107,2,FALSE),"")</f>
        <v/>
      </c>
      <c r="F9108" s="49" t="str">
        <f>IFERROR(VLOOKUP(E9108,'Condensed Specialty Crosswalk'!$A$2:$C$106,2,FALSE),"")</f>
        <v/>
      </c>
      <c r="G9108" s="49" t="str">
        <f>IFERROR(VLOOKUP(E9108,'Condensed Specialty Crosswalk'!$A$2:$C$106,3,FALSE),"")</f>
        <v/>
      </c>
    </row>
    <row r="9109" spans="5:7" ht="15" customHeight="1">
      <c r="E9109" s="49" t="str">
        <f>IFERROR(VLOOKUP(D9109,'taxonomy map'!$A$1:$C$107,2,FALSE),"")</f>
        <v/>
      </c>
      <c r="F9109" s="49" t="str">
        <f>IFERROR(VLOOKUP(E9109,'Condensed Specialty Crosswalk'!$A$2:$C$106,2,FALSE),"")</f>
        <v/>
      </c>
      <c r="G9109" s="49" t="str">
        <f>IFERROR(VLOOKUP(E9109,'Condensed Specialty Crosswalk'!$A$2:$C$106,3,FALSE),"")</f>
        <v/>
      </c>
    </row>
    <row r="9110" spans="5:7" ht="15" customHeight="1">
      <c r="E9110" s="49" t="str">
        <f>IFERROR(VLOOKUP(D9110,'taxonomy map'!$A$1:$C$107,2,FALSE),"")</f>
        <v/>
      </c>
      <c r="F9110" s="49" t="str">
        <f>IFERROR(VLOOKUP(E9110,'Condensed Specialty Crosswalk'!$A$2:$C$106,2,FALSE),"")</f>
        <v/>
      </c>
      <c r="G9110" s="49" t="str">
        <f>IFERROR(VLOOKUP(E9110,'Condensed Specialty Crosswalk'!$A$2:$C$106,3,FALSE),"")</f>
        <v/>
      </c>
    </row>
    <row r="9111" spans="5:7" ht="15" customHeight="1">
      <c r="E9111" s="49" t="str">
        <f>IFERROR(VLOOKUP(D9111,'taxonomy map'!$A$1:$C$107,2,FALSE),"")</f>
        <v/>
      </c>
      <c r="F9111" s="49" t="str">
        <f>IFERROR(VLOOKUP(E9111,'Condensed Specialty Crosswalk'!$A$2:$C$106,2,FALSE),"")</f>
        <v/>
      </c>
      <c r="G9111" s="49" t="str">
        <f>IFERROR(VLOOKUP(E9111,'Condensed Specialty Crosswalk'!$A$2:$C$106,3,FALSE),"")</f>
        <v/>
      </c>
    </row>
    <row r="9112" spans="5:7" ht="15" customHeight="1">
      <c r="E9112" s="49" t="str">
        <f>IFERROR(VLOOKUP(D9112,'taxonomy map'!$A$1:$C$107,2,FALSE),"")</f>
        <v/>
      </c>
      <c r="F9112" s="49" t="str">
        <f>IFERROR(VLOOKUP(E9112,'Condensed Specialty Crosswalk'!$A$2:$C$106,2,FALSE),"")</f>
        <v/>
      </c>
      <c r="G9112" s="49" t="str">
        <f>IFERROR(VLOOKUP(E9112,'Condensed Specialty Crosswalk'!$A$2:$C$106,3,FALSE),"")</f>
        <v/>
      </c>
    </row>
    <row r="9113" spans="5:7" ht="15" customHeight="1">
      <c r="E9113" s="49" t="str">
        <f>IFERROR(VLOOKUP(D9113,'taxonomy map'!$A$1:$C$107,2,FALSE),"")</f>
        <v/>
      </c>
      <c r="F9113" s="49" t="str">
        <f>IFERROR(VLOOKUP(E9113,'Condensed Specialty Crosswalk'!$A$2:$C$106,2,FALSE),"")</f>
        <v/>
      </c>
      <c r="G9113" s="49" t="str">
        <f>IFERROR(VLOOKUP(E9113,'Condensed Specialty Crosswalk'!$A$2:$C$106,3,FALSE),"")</f>
        <v/>
      </c>
    </row>
    <row r="9114" spans="5:7" ht="15" customHeight="1">
      <c r="E9114" s="49" t="str">
        <f>IFERROR(VLOOKUP(D9114,'taxonomy map'!$A$1:$C$107,2,FALSE),"")</f>
        <v/>
      </c>
      <c r="F9114" s="49" t="str">
        <f>IFERROR(VLOOKUP(E9114,'Condensed Specialty Crosswalk'!$A$2:$C$106,2,FALSE),"")</f>
        <v/>
      </c>
      <c r="G9114" s="49" t="str">
        <f>IFERROR(VLOOKUP(E9114,'Condensed Specialty Crosswalk'!$A$2:$C$106,3,FALSE),"")</f>
        <v/>
      </c>
    </row>
    <row r="9115" spans="5:7" ht="15" customHeight="1">
      <c r="E9115" s="49" t="str">
        <f>IFERROR(VLOOKUP(D9115,'taxonomy map'!$A$1:$C$107,2,FALSE),"")</f>
        <v/>
      </c>
      <c r="F9115" s="49" t="str">
        <f>IFERROR(VLOOKUP(E9115,'Condensed Specialty Crosswalk'!$A$2:$C$106,2,FALSE),"")</f>
        <v/>
      </c>
      <c r="G9115" s="49" t="str">
        <f>IFERROR(VLOOKUP(E9115,'Condensed Specialty Crosswalk'!$A$2:$C$106,3,FALSE),"")</f>
        <v/>
      </c>
    </row>
    <row r="9116" spans="5:7" ht="15" customHeight="1">
      <c r="E9116" s="49" t="str">
        <f>IFERROR(VLOOKUP(D9116,'taxonomy map'!$A$1:$C$107,2,FALSE),"")</f>
        <v/>
      </c>
      <c r="F9116" s="49" t="str">
        <f>IFERROR(VLOOKUP(E9116,'Condensed Specialty Crosswalk'!$A$2:$C$106,2,FALSE),"")</f>
        <v/>
      </c>
      <c r="G9116" s="49" t="str">
        <f>IFERROR(VLOOKUP(E9116,'Condensed Specialty Crosswalk'!$A$2:$C$106,3,FALSE),"")</f>
        <v/>
      </c>
    </row>
    <row r="9117" spans="5:7" ht="15" customHeight="1">
      <c r="E9117" s="49" t="str">
        <f>IFERROR(VLOOKUP(D9117,'taxonomy map'!$A$1:$C$107,2,FALSE),"")</f>
        <v/>
      </c>
      <c r="F9117" s="49" t="str">
        <f>IFERROR(VLOOKUP(E9117,'Condensed Specialty Crosswalk'!$A$2:$C$106,2,FALSE),"")</f>
        <v/>
      </c>
      <c r="G9117" s="49" t="str">
        <f>IFERROR(VLOOKUP(E9117,'Condensed Specialty Crosswalk'!$A$2:$C$106,3,FALSE),"")</f>
        <v/>
      </c>
    </row>
    <row r="9118" spans="5:7" ht="15" customHeight="1">
      <c r="E9118" s="49" t="str">
        <f>IFERROR(VLOOKUP(D9118,'taxonomy map'!$A$1:$C$107,2,FALSE),"")</f>
        <v/>
      </c>
      <c r="F9118" s="49" t="str">
        <f>IFERROR(VLOOKUP(E9118,'Condensed Specialty Crosswalk'!$A$2:$C$106,2,FALSE),"")</f>
        <v/>
      </c>
      <c r="G9118" s="49" t="str">
        <f>IFERROR(VLOOKUP(E9118,'Condensed Specialty Crosswalk'!$A$2:$C$106,3,FALSE),"")</f>
        <v/>
      </c>
    </row>
    <row r="9119" spans="5:7" ht="15" customHeight="1">
      <c r="E9119" s="49" t="str">
        <f>IFERROR(VLOOKUP(D9119,'taxonomy map'!$A$1:$C$107,2,FALSE),"")</f>
        <v/>
      </c>
      <c r="F9119" s="49" t="str">
        <f>IFERROR(VLOOKUP(E9119,'Condensed Specialty Crosswalk'!$A$2:$C$106,2,FALSE),"")</f>
        <v/>
      </c>
      <c r="G9119" s="49" t="str">
        <f>IFERROR(VLOOKUP(E9119,'Condensed Specialty Crosswalk'!$A$2:$C$106,3,FALSE),"")</f>
        <v/>
      </c>
    </row>
    <row r="9120" spans="5:7" ht="15" customHeight="1">
      <c r="E9120" s="49" t="str">
        <f>IFERROR(VLOOKUP(D9120,'taxonomy map'!$A$1:$C$107,2,FALSE),"")</f>
        <v/>
      </c>
      <c r="F9120" s="49" t="str">
        <f>IFERROR(VLOOKUP(E9120,'Condensed Specialty Crosswalk'!$A$2:$C$106,2,FALSE),"")</f>
        <v/>
      </c>
      <c r="G9120" s="49" t="str">
        <f>IFERROR(VLOOKUP(E9120,'Condensed Specialty Crosswalk'!$A$2:$C$106,3,FALSE),"")</f>
        <v/>
      </c>
    </row>
    <row r="9121" spans="5:7" ht="15" customHeight="1">
      <c r="E9121" s="49" t="str">
        <f>IFERROR(VLOOKUP(D9121,'taxonomy map'!$A$1:$C$107,2,FALSE),"")</f>
        <v/>
      </c>
      <c r="F9121" s="49" t="str">
        <f>IFERROR(VLOOKUP(E9121,'Condensed Specialty Crosswalk'!$A$2:$C$106,2,FALSE),"")</f>
        <v/>
      </c>
      <c r="G9121" s="49" t="str">
        <f>IFERROR(VLOOKUP(E9121,'Condensed Specialty Crosswalk'!$A$2:$C$106,3,FALSE),"")</f>
        <v/>
      </c>
    </row>
    <row r="9122" spans="5:7" ht="15" customHeight="1">
      <c r="E9122" s="49" t="str">
        <f>IFERROR(VLOOKUP(D9122,'taxonomy map'!$A$1:$C$107,2,FALSE),"")</f>
        <v/>
      </c>
      <c r="F9122" s="49" t="str">
        <f>IFERROR(VLOOKUP(E9122,'Condensed Specialty Crosswalk'!$A$2:$C$106,2,FALSE),"")</f>
        <v/>
      </c>
      <c r="G9122" s="49" t="str">
        <f>IFERROR(VLOOKUP(E9122,'Condensed Specialty Crosswalk'!$A$2:$C$106,3,FALSE),"")</f>
        <v/>
      </c>
    </row>
    <row r="9123" spans="5:7" ht="15" customHeight="1">
      <c r="E9123" s="49" t="str">
        <f>IFERROR(VLOOKUP(D9123,'taxonomy map'!$A$1:$C$107,2,FALSE),"")</f>
        <v/>
      </c>
      <c r="F9123" s="49" t="str">
        <f>IFERROR(VLOOKUP(E9123,'Condensed Specialty Crosswalk'!$A$2:$C$106,2,FALSE),"")</f>
        <v/>
      </c>
      <c r="G9123" s="49" t="str">
        <f>IFERROR(VLOOKUP(E9123,'Condensed Specialty Crosswalk'!$A$2:$C$106,3,FALSE),"")</f>
        <v/>
      </c>
    </row>
    <row r="9124" spans="5:7" ht="15" customHeight="1">
      <c r="E9124" s="49" t="str">
        <f>IFERROR(VLOOKUP(D9124,'taxonomy map'!$A$1:$C$107,2,FALSE),"")</f>
        <v/>
      </c>
      <c r="F9124" s="49" t="str">
        <f>IFERROR(VLOOKUP(E9124,'Condensed Specialty Crosswalk'!$A$2:$C$106,2,FALSE),"")</f>
        <v/>
      </c>
      <c r="G9124" s="49" t="str">
        <f>IFERROR(VLOOKUP(E9124,'Condensed Specialty Crosswalk'!$A$2:$C$106,3,FALSE),"")</f>
        <v/>
      </c>
    </row>
    <row r="9125" spans="5:7" ht="15" customHeight="1">
      <c r="E9125" s="49" t="str">
        <f>IFERROR(VLOOKUP(D9125,'taxonomy map'!$A$1:$C$107,2,FALSE),"")</f>
        <v/>
      </c>
      <c r="F9125" s="49" t="str">
        <f>IFERROR(VLOOKUP(E9125,'Condensed Specialty Crosswalk'!$A$2:$C$106,2,FALSE),"")</f>
        <v/>
      </c>
      <c r="G9125" s="49" t="str">
        <f>IFERROR(VLOOKUP(E9125,'Condensed Specialty Crosswalk'!$A$2:$C$106,3,FALSE),"")</f>
        <v/>
      </c>
    </row>
    <row r="9126" spans="5:7" ht="15" customHeight="1">
      <c r="E9126" s="49" t="str">
        <f>IFERROR(VLOOKUP(D9126,'taxonomy map'!$A$1:$C$107,2,FALSE),"")</f>
        <v/>
      </c>
      <c r="F9126" s="49" t="str">
        <f>IFERROR(VLOOKUP(E9126,'Condensed Specialty Crosswalk'!$A$2:$C$106,2,FALSE),"")</f>
        <v/>
      </c>
      <c r="G9126" s="49" t="str">
        <f>IFERROR(VLOOKUP(E9126,'Condensed Specialty Crosswalk'!$A$2:$C$106,3,FALSE),"")</f>
        <v/>
      </c>
    </row>
    <row r="9127" spans="5:7" ht="15" customHeight="1">
      <c r="E9127" s="49" t="str">
        <f>IFERROR(VLOOKUP(D9127,'taxonomy map'!$A$1:$C$107,2,FALSE),"")</f>
        <v/>
      </c>
      <c r="F9127" s="49" t="str">
        <f>IFERROR(VLOOKUP(E9127,'Condensed Specialty Crosswalk'!$A$2:$C$106,2,FALSE),"")</f>
        <v/>
      </c>
      <c r="G9127" s="49" t="str">
        <f>IFERROR(VLOOKUP(E9127,'Condensed Specialty Crosswalk'!$A$2:$C$106,3,FALSE),"")</f>
        <v/>
      </c>
    </row>
    <row r="9128" spans="5:7" ht="15" customHeight="1">
      <c r="E9128" s="49" t="str">
        <f>IFERROR(VLOOKUP(D9128,'taxonomy map'!$A$1:$C$107,2,FALSE),"")</f>
        <v/>
      </c>
      <c r="F9128" s="49" t="str">
        <f>IFERROR(VLOOKUP(E9128,'Condensed Specialty Crosswalk'!$A$2:$C$106,2,FALSE),"")</f>
        <v/>
      </c>
      <c r="G9128" s="49" t="str">
        <f>IFERROR(VLOOKUP(E9128,'Condensed Specialty Crosswalk'!$A$2:$C$106,3,FALSE),"")</f>
        <v/>
      </c>
    </row>
    <row r="9129" spans="5:7" ht="15" customHeight="1">
      <c r="E9129" s="49" t="str">
        <f>IFERROR(VLOOKUP(D9129,'taxonomy map'!$A$1:$C$107,2,FALSE),"")</f>
        <v/>
      </c>
      <c r="F9129" s="49" t="str">
        <f>IFERROR(VLOOKUP(E9129,'Condensed Specialty Crosswalk'!$A$2:$C$106,2,FALSE),"")</f>
        <v/>
      </c>
      <c r="G9129" s="49" t="str">
        <f>IFERROR(VLOOKUP(E9129,'Condensed Specialty Crosswalk'!$A$2:$C$106,3,FALSE),"")</f>
        <v/>
      </c>
    </row>
    <row r="9130" spans="5:7" ht="15" customHeight="1">
      <c r="E9130" s="49" t="str">
        <f>IFERROR(VLOOKUP(D9130,'taxonomy map'!$A$1:$C$107,2,FALSE),"")</f>
        <v/>
      </c>
      <c r="F9130" s="49" t="str">
        <f>IFERROR(VLOOKUP(E9130,'Condensed Specialty Crosswalk'!$A$2:$C$106,2,FALSE),"")</f>
        <v/>
      </c>
      <c r="G9130" s="49" t="str">
        <f>IFERROR(VLOOKUP(E9130,'Condensed Specialty Crosswalk'!$A$2:$C$106,3,FALSE),"")</f>
        <v/>
      </c>
    </row>
    <row r="9131" spans="5:7" ht="15" customHeight="1">
      <c r="E9131" s="49" t="str">
        <f>IFERROR(VLOOKUP(D9131,'taxonomy map'!$A$1:$C$107,2,FALSE),"")</f>
        <v/>
      </c>
      <c r="F9131" s="49" t="str">
        <f>IFERROR(VLOOKUP(E9131,'Condensed Specialty Crosswalk'!$A$2:$C$106,2,FALSE),"")</f>
        <v/>
      </c>
      <c r="G9131" s="49" t="str">
        <f>IFERROR(VLOOKUP(E9131,'Condensed Specialty Crosswalk'!$A$2:$C$106,3,FALSE),"")</f>
        <v/>
      </c>
    </row>
    <row r="9132" spans="5:7" ht="15" customHeight="1">
      <c r="E9132" s="49" t="str">
        <f>IFERROR(VLOOKUP(D9132,'taxonomy map'!$A$1:$C$107,2,FALSE),"")</f>
        <v/>
      </c>
      <c r="F9132" s="49" t="str">
        <f>IFERROR(VLOOKUP(E9132,'Condensed Specialty Crosswalk'!$A$2:$C$106,2,FALSE),"")</f>
        <v/>
      </c>
      <c r="G9132" s="49" t="str">
        <f>IFERROR(VLOOKUP(E9132,'Condensed Specialty Crosswalk'!$A$2:$C$106,3,FALSE),"")</f>
        <v/>
      </c>
    </row>
    <row r="9133" spans="5:7" ht="15" customHeight="1">
      <c r="E9133" s="49" t="str">
        <f>IFERROR(VLOOKUP(D9133,'taxonomy map'!$A$1:$C$107,2,FALSE),"")</f>
        <v/>
      </c>
      <c r="F9133" s="49" t="str">
        <f>IFERROR(VLOOKUP(E9133,'Condensed Specialty Crosswalk'!$A$2:$C$106,2,FALSE),"")</f>
        <v/>
      </c>
      <c r="G9133" s="49" t="str">
        <f>IFERROR(VLOOKUP(E9133,'Condensed Specialty Crosswalk'!$A$2:$C$106,3,FALSE),"")</f>
        <v/>
      </c>
    </row>
    <row r="9134" spans="5:7" ht="15" customHeight="1">
      <c r="E9134" s="49" t="str">
        <f>IFERROR(VLOOKUP(D9134,'taxonomy map'!$A$1:$C$107,2,FALSE),"")</f>
        <v/>
      </c>
      <c r="F9134" s="49" t="str">
        <f>IFERROR(VLOOKUP(E9134,'Condensed Specialty Crosswalk'!$A$2:$C$106,2,FALSE),"")</f>
        <v/>
      </c>
      <c r="G9134" s="49" t="str">
        <f>IFERROR(VLOOKUP(E9134,'Condensed Specialty Crosswalk'!$A$2:$C$106,3,FALSE),"")</f>
        <v/>
      </c>
    </row>
    <row r="9135" spans="5:7" ht="15" customHeight="1">
      <c r="E9135" s="49" t="str">
        <f>IFERROR(VLOOKUP(D9135,'taxonomy map'!$A$1:$C$107,2,FALSE),"")</f>
        <v/>
      </c>
      <c r="F9135" s="49" t="str">
        <f>IFERROR(VLOOKUP(E9135,'Condensed Specialty Crosswalk'!$A$2:$C$106,2,FALSE),"")</f>
        <v/>
      </c>
      <c r="G9135" s="49" t="str">
        <f>IFERROR(VLOOKUP(E9135,'Condensed Specialty Crosswalk'!$A$2:$C$106,3,FALSE),"")</f>
        <v/>
      </c>
    </row>
    <row r="9136" spans="5:7" ht="15" customHeight="1">
      <c r="E9136" s="49" t="str">
        <f>IFERROR(VLOOKUP(D9136,'taxonomy map'!$A$1:$C$107,2,FALSE),"")</f>
        <v/>
      </c>
      <c r="F9136" s="49" t="str">
        <f>IFERROR(VLOOKUP(E9136,'Condensed Specialty Crosswalk'!$A$2:$C$106,2,FALSE),"")</f>
        <v/>
      </c>
      <c r="G9136" s="49" t="str">
        <f>IFERROR(VLOOKUP(E9136,'Condensed Specialty Crosswalk'!$A$2:$C$106,3,FALSE),"")</f>
        <v/>
      </c>
    </row>
    <row r="9137" spans="5:7" ht="15" customHeight="1">
      <c r="E9137" s="49" t="str">
        <f>IFERROR(VLOOKUP(D9137,'taxonomy map'!$A$1:$C$107,2,FALSE),"")</f>
        <v/>
      </c>
      <c r="F9137" s="49" t="str">
        <f>IFERROR(VLOOKUP(E9137,'Condensed Specialty Crosswalk'!$A$2:$C$106,2,FALSE),"")</f>
        <v/>
      </c>
      <c r="G9137" s="49" t="str">
        <f>IFERROR(VLOOKUP(E9137,'Condensed Specialty Crosswalk'!$A$2:$C$106,3,FALSE),"")</f>
        <v/>
      </c>
    </row>
    <row r="9138" spans="5:7" ht="15" customHeight="1">
      <c r="E9138" s="49" t="str">
        <f>IFERROR(VLOOKUP(D9138,'taxonomy map'!$A$1:$C$107,2,FALSE),"")</f>
        <v/>
      </c>
      <c r="F9138" s="49" t="str">
        <f>IFERROR(VLOOKUP(E9138,'Condensed Specialty Crosswalk'!$A$2:$C$106,2,FALSE),"")</f>
        <v/>
      </c>
      <c r="G9138" s="49" t="str">
        <f>IFERROR(VLOOKUP(E9138,'Condensed Specialty Crosswalk'!$A$2:$C$106,3,FALSE),"")</f>
        <v/>
      </c>
    </row>
    <row r="9139" spans="5:7" ht="15" customHeight="1">
      <c r="E9139" s="49" t="str">
        <f>IFERROR(VLOOKUP(D9139,'taxonomy map'!$A$1:$C$107,2,FALSE),"")</f>
        <v/>
      </c>
      <c r="F9139" s="49" t="str">
        <f>IFERROR(VLOOKUP(E9139,'Condensed Specialty Crosswalk'!$A$2:$C$106,2,FALSE),"")</f>
        <v/>
      </c>
      <c r="G9139" s="49" t="str">
        <f>IFERROR(VLOOKUP(E9139,'Condensed Specialty Crosswalk'!$A$2:$C$106,3,FALSE),"")</f>
        <v/>
      </c>
    </row>
    <row r="9140" spans="5:7" ht="15" customHeight="1">
      <c r="E9140" s="49" t="str">
        <f>IFERROR(VLOOKUP(D9140,'taxonomy map'!$A$1:$C$107,2,FALSE),"")</f>
        <v/>
      </c>
      <c r="F9140" s="49" t="str">
        <f>IFERROR(VLOOKUP(E9140,'Condensed Specialty Crosswalk'!$A$2:$C$106,2,FALSE),"")</f>
        <v/>
      </c>
      <c r="G9140" s="49" t="str">
        <f>IFERROR(VLOOKUP(E9140,'Condensed Specialty Crosswalk'!$A$2:$C$106,3,FALSE),"")</f>
        <v/>
      </c>
    </row>
    <row r="9141" spans="5:7" ht="15" customHeight="1">
      <c r="E9141" s="49" t="str">
        <f>IFERROR(VLOOKUP(D9141,'taxonomy map'!$A$1:$C$107,2,FALSE),"")</f>
        <v/>
      </c>
      <c r="F9141" s="49" t="str">
        <f>IFERROR(VLOOKUP(E9141,'Condensed Specialty Crosswalk'!$A$2:$C$106,2,FALSE),"")</f>
        <v/>
      </c>
      <c r="G9141" s="49" t="str">
        <f>IFERROR(VLOOKUP(E9141,'Condensed Specialty Crosswalk'!$A$2:$C$106,3,FALSE),"")</f>
        <v/>
      </c>
    </row>
    <row r="9142" spans="5:7" ht="15" customHeight="1">
      <c r="E9142" s="49" t="str">
        <f>IFERROR(VLOOKUP(D9142,'taxonomy map'!$A$1:$C$107,2,FALSE),"")</f>
        <v/>
      </c>
      <c r="F9142" s="49" t="str">
        <f>IFERROR(VLOOKUP(E9142,'Condensed Specialty Crosswalk'!$A$2:$C$106,2,FALSE),"")</f>
        <v/>
      </c>
      <c r="G9142" s="49" t="str">
        <f>IFERROR(VLOOKUP(E9142,'Condensed Specialty Crosswalk'!$A$2:$C$106,3,FALSE),"")</f>
        <v/>
      </c>
    </row>
    <row r="9143" spans="5:7" ht="15" customHeight="1">
      <c r="E9143" s="49" t="str">
        <f>IFERROR(VLOOKUP(D9143,'taxonomy map'!$A$1:$C$107,2,FALSE),"")</f>
        <v/>
      </c>
      <c r="F9143" s="49" t="str">
        <f>IFERROR(VLOOKUP(E9143,'Condensed Specialty Crosswalk'!$A$2:$C$106,2,FALSE),"")</f>
        <v/>
      </c>
      <c r="G9143" s="49" t="str">
        <f>IFERROR(VLOOKUP(E9143,'Condensed Specialty Crosswalk'!$A$2:$C$106,3,FALSE),"")</f>
        <v/>
      </c>
    </row>
    <row r="9144" spans="5:7" ht="15" customHeight="1">
      <c r="E9144" s="49" t="str">
        <f>IFERROR(VLOOKUP(D9144,'taxonomy map'!$A$1:$C$107,2,FALSE),"")</f>
        <v/>
      </c>
      <c r="F9144" s="49" t="str">
        <f>IFERROR(VLOOKUP(E9144,'Condensed Specialty Crosswalk'!$A$2:$C$106,2,FALSE),"")</f>
        <v/>
      </c>
      <c r="G9144" s="49" t="str">
        <f>IFERROR(VLOOKUP(E9144,'Condensed Specialty Crosswalk'!$A$2:$C$106,3,FALSE),"")</f>
        <v/>
      </c>
    </row>
    <row r="9145" spans="5:7" ht="15" customHeight="1">
      <c r="E9145" s="49" t="str">
        <f>IFERROR(VLOOKUP(D9145,'taxonomy map'!$A$1:$C$107,2,FALSE),"")</f>
        <v/>
      </c>
      <c r="F9145" s="49" t="str">
        <f>IFERROR(VLOOKUP(E9145,'Condensed Specialty Crosswalk'!$A$2:$C$106,2,FALSE),"")</f>
        <v/>
      </c>
      <c r="G9145" s="49" t="str">
        <f>IFERROR(VLOOKUP(E9145,'Condensed Specialty Crosswalk'!$A$2:$C$106,3,FALSE),"")</f>
        <v/>
      </c>
    </row>
    <row r="9146" spans="5:7" ht="15" customHeight="1">
      <c r="E9146" s="49" t="str">
        <f>IFERROR(VLOOKUP(D9146,'taxonomy map'!$A$1:$C$107,2,FALSE),"")</f>
        <v/>
      </c>
      <c r="F9146" s="49" t="str">
        <f>IFERROR(VLOOKUP(E9146,'Condensed Specialty Crosswalk'!$A$2:$C$106,2,FALSE),"")</f>
        <v/>
      </c>
      <c r="G9146" s="49" t="str">
        <f>IFERROR(VLOOKUP(E9146,'Condensed Specialty Crosswalk'!$A$2:$C$106,3,FALSE),"")</f>
        <v/>
      </c>
    </row>
    <row r="9147" spans="5:7" ht="15" customHeight="1">
      <c r="E9147" s="49" t="str">
        <f>IFERROR(VLOOKUP(D9147,'taxonomy map'!$A$1:$C$107,2,FALSE),"")</f>
        <v/>
      </c>
      <c r="F9147" s="49" t="str">
        <f>IFERROR(VLOOKUP(E9147,'Condensed Specialty Crosswalk'!$A$2:$C$106,2,FALSE),"")</f>
        <v/>
      </c>
      <c r="G9147" s="49" t="str">
        <f>IFERROR(VLOOKUP(E9147,'Condensed Specialty Crosswalk'!$A$2:$C$106,3,FALSE),"")</f>
        <v/>
      </c>
    </row>
    <row r="9148" spans="5:7" ht="15" customHeight="1">
      <c r="E9148" s="49" t="str">
        <f>IFERROR(VLOOKUP(D9148,'taxonomy map'!$A$1:$C$107,2,FALSE),"")</f>
        <v/>
      </c>
      <c r="F9148" s="49" t="str">
        <f>IFERROR(VLOOKUP(E9148,'Condensed Specialty Crosswalk'!$A$2:$C$106,2,FALSE),"")</f>
        <v/>
      </c>
      <c r="G9148" s="49" t="str">
        <f>IFERROR(VLOOKUP(E9148,'Condensed Specialty Crosswalk'!$A$2:$C$106,3,FALSE),"")</f>
        <v/>
      </c>
    </row>
    <row r="9149" spans="5:7" ht="15" customHeight="1">
      <c r="E9149" s="49" t="str">
        <f>IFERROR(VLOOKUP(D9149,'taxonomy map'!$A$1:$C$107,2,FALSE),"")</f>
        <v/>
      </c>
      <c r="F9149" s="49" t="str">
        <f>IFERROR(VLOOKUP(E9149,'Condensed Specialty Crosswalk'!$A$2:$C$106,2,FALSE),"")</f>
        <v/>
      </c>
      <c r="G9149" s="49" t="str">
        <f>IFERROR(VLOOKUP(E9149,'Condensed Specialty Crosswalk'!$A$2:$C$106,3,FALSE),"")</f>
        <v/>
      </c>
    </row>
    <row r="9150" spans="5:7" ht="15" customHeight="1">
      <c r="E9150" s="49" t="str">
        <f>IFERROR(VLOOKUP(D9150,'taxonomy map'!$A$1:$C$107,2,FALSE),"")</f>
        <v/>
      </c>
      <c r="F9150" s="49" t="str">
        <f>IFERROR(VLOOKUP(E9150,'Condensed Specialty Crosswalk'!$A$2:$C$106,2,FALSE),"")</f>
        <v/>
      </c>
      <c r="G9150" s="49" t="str">
        <f>IFERROR(VLOOKUP(E9150,'Condensed Specialty Crosswalk'!$A$2:$C$106,3,FALSE),"")</f>
        <v/>
      </c>
    </row>
    <row r="9151" spans="5:7" ht="15" customHeight="1">
      <c r="E9151" s="49" t="str">
        <f>IFERROR(VLOOKUP(D9151,'taxonomy map'!$A$1:$C$107,2,FALSE),"")</f>
        <v/>
      </c>
      <c r="F9151" s="49" t="str">
        <f>IFERROR(VLOOKUP(E9151,'Condensed Specialty Crosswalk'!$A$2:$C$106,2,FALSE),"")</f>
        <v/>
      </c>
      <c r="G9151" s="49" t="str">
        <f>IFERROR(VLOOKUP(E9151,'Condensed Specialty Crosswalk'!$A$2:$C$106,3,FALSE),"")</f>
        <v/>
      </c>
    </row>
    <row r="9152" spans="5:7" ht="15" customHeight="1">
      <c r="E9152" s="49" t="str">
        <f>IFERROR(VLOOKUP(D9152,'taxonomy map'!$A$1:$C$107,2,FALSE),"")</f>
        <v/>
      </c>
      <c r="F9152" s="49" t="str">
        <f>IFERROR(VLOOKUP(E9152,'Condensed Specialty Crosswalk'!$A$2:$C$106,2,FALSE),"")</f>
        <v/>
      </c>
      <c r="G9152" s="49" t="str">
        <f>IFERROR(VLOOKUP(E9152,'Condensed Specialty Crosswalk'!$A$2:$C$106,3,FALSE),"")</f>
        <v/>
      </c>
    </row>
    <row r="9153" spans="5:7" ht="15" customHeight="1">
      <c r="E9153" s="49" t="str">
        <f>IFERROR(VLOOKUP(D9153,'taxonomy map'!$A$1:$C$107,2,FALSE),"")</f>
        <v/>
      </c>
      <c r="F9153" s="49" t="str">
        <f>IFERROR(VLOOKUP(E9153,'Condensed Specialty Crosswalk'!$A$2:$C$106,2,FALSE),"")</f>
        <v/>
      </c>
      <c r="G9153" s="49" t="str">
        <f>IFERROR(VLOOKUP(E9153,'Condensed Specialty Crosswalk'!$A$2:$C$106,3,FALSE),"")</f>
        <v/>
      </c>
    </row>
    <row r="9154" spans="5:7" ht="15" customHeight="1">
      <c r="E9154" s="49" t="str">
        <f>IFERROR(VLOOKUP(D9154,'taxonomy map'!$A$1:$C$107,2,FALSE),"")</f>
        <v/>
      </c>
      <c r="F9154" s="49" t="str">
        <f>IFERROR(VLOOKUP(E9154,'Condensed Specialty Crosswalk'!$A$2:$C$106,2,FALSE),"")</f>
        <v/>
      </c>
      <c r="G9154" s="49" t="str">
        <f>IFERROR(VLOOKUP(E9154,'Condensed Specialty Crosswalk'!$A$2:$C$106,3,FALSE),"")</f>
        <v/>
      </c>
    </row>
    <row r="9155" spans="5:7" ht="15" customHeight="1">
      <c r="E9155" s="49" t="str">
        <f>IFERROR(VLOOKUP(D9155,'taxonomy map'!$A$1:$C$107,2,FALSE),"")</f>
        <v/>
      </c>
      <c r="F9155" s="49" t="str">
        <f>IFERROR(VLOOKUP(E9155,'Condensed Specialty Crosswalk'!$A$2:$C$106,2,FALSE),"")</f>
        <v/>
      </c>
      <c r="G9155" s="49" t="str">
        <f>IFERROR(VLOOKUP(E9155,'Condensed Specialty Crosswalk'!$A$2:$C$106,3,FALSE),"")</f>
        <v/>
      </c>
    </row>
    <row r="9156" spans="5:7" ht="15" customHeight="1">
      <c r="E9156" s="49" t="str">
        <f>IFERROR(VLOOKUP(D9156,'taxonomy map'!$A$1:$C$107,2,FALSE),"")</f>
        <v/>
      </c>
      <c r="F9156" s="49" t="str">
        <f>IFERROR(VLOOKUP(E9156,'Condensed Specialty Crosswalk'!$A$2:$C$106,2,FALSE),"")</f>
        <v/>
      </c>
      <c r="G9156" s="49" t="str">
        <f>IFERROR(VLOOKUP(E9156,'Condensed Specialty Crosswalk'!$A$2:$C$106,3,FALSE),"")</f>
        <v/>
      </c>
    </row>
    <row r="9157" spans="5:7" ht="15" customHeight="1">
      <c r="E9157" s="49" t="str">
        <f>IFERROR(VLOOKUP(D9157,'taxonomy map'!$A$1:$C$107,2,FALSE),"")</f>
        <v/>
      </c>
      <c r="F9157" s="49" t="str">
        <f>IFERROR(VLOOKUP(E9157,'Condensed Specialty Crosswalk'!$A$2:$C$106,2,FALSE),"")</f>
        <v/>
      </c>
      <c r="G9157" s="49" t="str">
        <f>IFERROR(VLOOKUP(E9157,'Condensed Specialty Crosswalk'!$A$2:$C$106,3,FALSE),"")</f>
        <v/>
      </c>
    </row>
    <row r="9158" spans="5:7" ht="15" customHeight="1">
      <c r="E9158" s="49" t="str">
        <f>IFERROR(VLOOKUP(D9158,'taxonomy map'!$A$1:$C$107,2,FALSE),"")</f>
        <v/>
      </c>
      <c r="F9158" s="49" t="str">
        <f>IFERROR(VLOOKUP(E9158,'Condensed Specialty Crosswalk'!$A$2:$C$106,2,FALSE),"")</f>
        <v/>
      </c>
      <c r="G9158" s="49" t="str">
        <f>IFERROR(VLOOKUP(E9158,'Condensed Specialty Crosswalk'!$A$2:$C$106,3,FALSE),"")</f>
        <v/>
      </c>
    </row>
    <row r="9159" spans="5:7" ht="15" customHeight="1">
      <c r="E9159" s="49" t="str">
        <f>IFERROR(VLOOKUP(D9159,'taxonomy map'!$A$1:$C$107,2,FALSE),"")</f>
        <v/>
      </c>
      <c r="F9159" s="49" t="str">
        <f>IFERROR(VLOOKUP(E9159,'Condensed Specialty Crosswalk'!$A$2:$C$106,2,FALSE),"")</f>
        <v/>
      </c>
      <c r="G9159" s="49" t="str">
        <f>IFERROR(VLOOKUP(E9159,'Condensed Specialty Crosswalk'!$A$2:$C$106,3,FALSE),"")</f>
        <v/>
      </c>
    </row>
    <row r="9160" spans="5:7" ht="15" customHeight="1">
      <c r="E9160" s="49" t="str">
        <f>IFERROR(VLOOKUP(D9160,'taxonomy map'!$A$1:$C$107,2,FALSE),"")</f>
        <v/>
      </c>
      <c r="F9160" s="49" t="str">
        <f>IFERROR(VLOOKUP(E9160,'Condensed Specialty Crosswalk'!$A$2:$C$106,2,FALSE),"")</f>
        <v/>
      </c>
      <c r="G9160" s="49" t="str">
        <f>IFERROR(VLOOKUP(E9160,'Condensed Specialty Crosswalk'!$A$2:$C$106,3,FALSE),"")</f>
        <v/>
      </c>
    </row>
    <row r="9161" spans="5:7" ht="15" customHeight="1">
      <c r="E9161" s="49" t="str">
        <f>IFERROR(VLOOKUP(D9161,'taxonomy map'!$A$1:$C$107,2,FALSE),"")</f>
        <v/>
      </c>
      <c r="F9161" s="49" t="str">
        <f>IFERROR(VLOOKUP(E9161,'Condensed Specialty Crosswalk'!$A$2:$C$106,2,FALSE),"")</f>
        <v/>
      </c>
      <c r="G9161" s="49" t="str">
        <f>IFERROR(VLOOKUP(E9161,'Condensed Specialty Crosswalk'!$A$2:$C$106,3,FALSE),"")</f>
        <v/>
      </c>
    </row>
    <row r="9162" spans="5:7" ht="15" customHeight="1">
      <c r="E9162" s="49" t="str">
        <f>IFERROR(VLOOKUP(D9162,'taxonomy map'!$A$1:$C$107,2,FALSE),"")</f>
        <v/>
      </c>
      <c r="F9162" s="49" t="str">
        <f>IFERROR(VLOOKUP(E9162,'Condensed Specialty Crosswalk'!$A$2:$C$106,2,FALSE),"")</f>
        <v/>
      </c>
      <c r="G9162" s="49" t="str">
        <f>IFERROR(VLOOKUP(E9162,'Condensed Specialty Crosswalk'!$A$2:$C$106,3,FALSE),"")</f>
        <v/>
      </c>
    </row>
    <row r="9163" spans="5:7" ht="15" customHeight="1">
      <c r="E9163" s="49" t="str">
        <f>IFERROR(VLOOKUP(D9163,'taxonomy map'!$A$1:$C$107,2,FALSE),"")</f>
        <v/>
      </c>
      <c r="F9163" s="49" t="str">
        <f>IFERROR(VLOOKUP(E9163,'Condensed Specialty Crosswalk'!$A$2:$C$106,2,FALSE),"")</f>
        <v/>
      </c>
      <c r="G9163" s="49" t="str">
        <f>IFERROR(VLOOKUP(E9163,'Condensed Specialty Crosswalk'!$A$2:$C$106,3,FALSE),"")</f>
        <v/>
      </c>
    </row>
    <row r="9164" spans="5:7" ht="15" customHeight="1">
      <c r="E9164" s="49" t="str">
        <f>IFERROR(VLOOKUP(D9164,'taxonomy map'!$A$1:$C$107,2,FALSE),"")</f>
        <v/>
      </c>
      <c r="F9164" s="49" t="str">
        <f>IFERROR(VLOOKUP(E9164,'Condensed Specialty Crosswalk'!$A$2:$C$106,2,FALSE),"")</f>
        <v/>
      </c>
      <c r="G9164" s="49" t="str">
        <f>IFERROR(VLOOKUP(E9164,'Condensed Specialty Crosswalk'!$A$2:$C$106,3,FALSE),"")</f>
        <v/>
      </c>
    </row>
    <row r="9165" spans="5:7" ht="15" customHeight="1">
      <c r="E9165" s="49" t="str">
        <f>IFERROR(VLOOKUP(D9165,'taxonomy map'!$A$1:$C$107,2,FALSE),"")</f>
        <v/>
      </c>
      <c r="F9165" s="49" t="str">
        <f>IFERROR(VLOOKUP(E9165,'Condensed Specialty Crosswalk'!$A$2:$C$106,2,FALSE),"")</f>
        <v/>
      </c>
      <c r="G9165" s="49" t="str">
        <f>IFERROR(VLOOKUP(E9165,'Condensed Specialty Crosswalk'!$A$2:$C$106,3,FALSE),"")</f>
        <v/>
      </c>
    </row>
    <row r="9166" spans="5:7" ht="15" customHeight="1">
      <c r="E9166" s="49" t="str">
        <f>IFERROR(VLOOKUP(D9166,'taxonomy map'!$A$1:$C$107,2,FALSE),"")</f>
        <v/>
      </c>
      <c r="F9166" s="49" t="str">
        <f>IFERROR(VLOOKUP(E9166,'Condensed Specialty Crosswalk'!$A$2:$C$106,2,FALSE),"")</f>
        <v/>
      </c>
      <c r="G9166" s="49" t="str">
        <f>IFERROR(VLOOKUP(E9166,'Condensed Specialty Crosswalk'!$A$2:$C$106,3,FALSE),"")</f>
        <v/>
      </c>
    </row>
    <row r="9167" spans="5:7" ht="15" customHeight="1">
      <c r="E9167" s="49" t="str">
        <f>IFERROR(VLOOKUP(D9167,'taxonomy map'!$A$1:$C$107,2,FALSE),"")</f>
        <v/>
      </c>
      <c r="F9167" s="49" t="str">
        <f>IFERROR(VLOOKUP(E9167,'Condensed Specialty Crosswalk'!$A$2:$C$106,2,FALSE),"")</f>
        <v/>
      </c>
      <c r="G9167" s="49" t="str">
        <f>IFERROR(VLOOKUP(E9167,'Condensed Specialty Crosswalk'!$A$2:$C$106,3,FALSE),"")</f>
        <v/>
      </c>
    </row>
    <row r="9168" spans="5:7" ht="15" customHeight="1">
      <c r="E9168" s="49" t="str">
        <f>IFERROR(VLOOKUP(D9168,'taxonomy map'!$A$1:$C$107,2,FALSE),"")</f>
        <v/>
      </c>
      <c r="F9168" s="49" t="str">
        <f>IFERROR(VLOOKUP(E9168,'Condensed Specialty Crosswalk'!$A$2:$C$106,2,FALSE),"")</f>
        <v/>
      </c>
      <c r="G9168" s="49" t="str">
        <f>IFERROR(VLOOKUP(E9168,'Condensed Specialty Crosswalk'!$A$2:$C$106,3,FALSE),"")</f>
        <v/>
      </c>
    </row>
    <row r="9169" spans="5:7" ht="15" customHeight="1">
      <c r="E9169" s="49" t="str">
        <f>IFERROR(VLOOKUP(D9169,'taxonomy map'!$A$1:$C$107,2,FALSE),"")</f>
        <v/>
      </c>
      <c r="F9169" s="49" t="str">
        <f>IFERROR(VLOOKUP(E9169,'Condensed Specialty Crosswalk'!$A$2:$C$106,2,FALSE),"")</f>
        <v/>
      </c>
      <c r="G9169" s="49" t="str">
        <f>IFERROR(VLOOKUP(E9169,'Condensed Specialty Crosswalk'!$A$2:$C$106,3,FALSE),"")</f>
        <v/>
      </c>
    </row>
    <row r="9170" spans="5:7" ht="15" customHeight="1">
      <c r="E9170" s="49" t="str">
        <f>IFERROR(VLOOKUP(D9170,'taxonomy map'!$A$1:$C$107,2,FALSE),"")</f>
        <v/>
      </c>
      <c r="F9170" s="49" t="str">
        <f>IFERROR(VLOOKUP(E9170,'Condensed Specialty Crosswalk'!$A$2:$C$106,2,FALSE),"")</f>
        <v/>
      </c>
      <c r="G9170" s="49" t="str">
        <f>IFERROR(VLOOKUP(E9170,'Condensed Specialty Crosswalk'!$A$2:$C$106,3,FALSE),"")</f>
        <v/>
      </c>
    </row>
    <row r="9171" spans="5:7" ht="15" customHeight="1">
      <c r="E9171" s="49" t="str">
        <f>IFERROR(VLOOKUP(D9171,'taxonomy map'!$A$1:$C$107,2,FALSE),"")</f>
        <v/>
      </c>
      <c r="F9171" s="49" t="str">
        <f>IFERROR(VLOOKUP(E9171,'Condensed Specialty Crosswalk'!$A$2:$C$106,2,FALSE),"")</f>
        <v/>
      </c>
      <c r="G9171" s="49" t="str">
        <f>IFERROR(VLOOKUP(E9171,'Condensed Specialty Crosswalk'!$A$2:$C$106,3,FALSE),"")</f>
        <v/>
      </c>
    </row>
    <row r="9172" spans="5:7" ht="15" customHeight="1">
      <c r="E9172" s="49" t="str">
        <f>IFERROR(VLOOKUP(D9172,'taxonomy map'!$A$1:$C$107,2,FALSE),"")</f>
        <v/>
      </c>
      <c r="F9172" s="49" t="str">
        <f>IFERROR(VLOOKUP(E9172,'Condensed Specialty Crosswalk'!$A$2:$C$106,2,FALSE),"")</f>
        <v/>
      </c>
      <c r="G9172" s="49" t="str">
        <f>IFERROR(VLOOKUP(E9172,'Condensed Specialty Crosswalk'!$A$2:$C$106,3,FALSE),"")</f>
        <v/>
      </c>
    </row>
    <row r="9173" spans="5:7" ht="15" customHeight="1">
      <c r="E9173" s="49" t="str">
        <f>IFERROR(VLOOKUP(D9173,'taxonomy map'!$A$1:$C$107,2,FALSE),"")</f>
        <v/>
      </c>
      <c r="F9173" s="49" t="str">
        <f>IFERROR(VLOOKUP(E9173,'Condensed Specialty Crosswalk'!$A$2:$C$106,2,FALSE),"")</f>
        <v/>
      </c>
      <c r="G9173" s="49" t="str">
        <f>IFERROR(VLOOKUP(E9173,'Condensed Specialty Crosswalk'!$A$2:$C$106,3,FALSE),"")</f>
        <v/>
      </c>
    </row>
    <row r="9174" spans="5:7" ht="15" customHeight="1">
      <c r="E9174" s="49" t="str">
        <f>IFERROR(VLOOKUP(D9174,'taxonomy map'!$A$1:$C$107,2,FALSE),"")</f>
        <v/>
      </c>
      <c r="F9174" s="49" t="str">
        <f>IFERROR(VLOOKUP(E9174,'Condensed Specialty Crosswalk'!$A$2:$C$106,2,FALSE),"")</f>
        <v/>
      </c>
      <c r="G9174" s="49" t="str">
        <f>IFERROR(VLOOKUP(E9174,'Condensed Specialty Crosswalk'!$A$2:$C$106,3,FALSE),"")</f>
        <v/>
      </c>
    </row>
    <row r="9175" spans="5:7" ht="15" customHeight="1">
      <c r="E9175" s="49" t="str">
        <f>IFERROR(VLOOKUP(D9175,'taxonomy map'!$A$1:$C$107,2,FALSE),"")</f>
        <v/>
      </c>
      <c r="F9175" s="49" t="str">
        <f>IFERROR(VLOOKUP(E9175,'Condensed Specialty Crosswalk'!$A$2:$C$106,2,FALSE),"")</f>
        <v/>
      </c>
      <c r="G9175" s="49" t="str">
        <f>IFERROR(VLOOKUP(E9175,'Condensed Specialty Crosswalk'!$A$2:$C$106,3,FALSE),"")</f>
        <v/>
      </c>
    </row>
    <row r="9176" spans="5:7" ht="15" customHeight="1">
      <c r="E9176" s="49" t="str">
        <f>IFERROR(VLOOKUP(D9176,'taxonomy map'!$A$1:$C$107,2,FALSE),"")</f>
        <v/>
      </c>
      <c r="F9176" s="49" t="str">
        <f>IFERROR(VLOOKUP(E9176,'Condensed Specialty Crosswalk'!$A$2:$C$106,2,FALSE),"")</f>
        <v/>
      </c>
      <c r="G9176" s="49" t="str">
        <f>IFERROR(VLOOKUP(E9176,'Condensed Specialty Crosswalk'!$A$2:$C$106,3,FALSE),"")</f>
        <v/>
      </c>
    </row>
    <row r="9177" spans="5:7" ht="15" customHeight="1">
      <c r="E9177" s="49" t="str">
        <f>IFERROR(VLOOKUP(D9177,'taxonomy map'!$A$1:$C$107,2,FALSE),"")</f>
        <v/>
      </c>
      <c r="F9177" s="49" t="str">
        <f>IFERROR(VLOOKUP(E9177,'Condensed Specialty Crosswalk'!$A$2:$C$106,2,FALSE),"")</f>
        <v/>
      </c>
      <c r="G9177" s="49" t="str">
        <f>IFERROR(VLOOKUP(E9177,'Condensed Specialty Crosswalk'!$A$2:$C$106,3,FALSE),"")</f>
        <v/>
      </c>
    </row>
    <row r="9178" spans="5:7" ht="15" customHeight="1">
      <c r="E9178" s="49" t="str">
        <f>IFERROR(VLOOKUP(D9178,'taxonomy map'!$A$1:$C$107,2,FALSE),"")</f>
        <v/>
      </c>
      <c r="F9178" s="49" t="str">
        <f>IFERROR(VLOOKUP(E9178,'Condensed Specialty Crosswalk'!$A$2:$C$106,2,FALSE),"")</f>
        <v/>
      </c>
      <c r="G9178" s="49" t="str">
        <f>IFERROR(VLOOKUP(E9178,'Condensed Specialty Crosswalk'!$A$2:$C$106,3,FALSE),"")</f>
        <v/>
      </c>
    </row>
    <row r="9179" spans="5:7" ht="15" customHeight="1">
      <c r="E9179" s="49" t="str">
        <f>IFERROR(VLOOKUP(D9179,'taxonomy map'!$A$1:$C$107,2,FALSE),"")</f>
        <v/>
      </c>
      <c r="F9179" s="49" t="str">
        <f>IFERROR(VLOOKUP(E9179,'Condensed Specialty Crosswalk'!$A$2:$C$106,2,FALSE),"")</f>
        <v/>
      </c>
      <c r="G9179" s="49" t="str">
        <f>IFERROR(VLOOKUP(E9179,'Condensed Specialty Crosswalk'!$A$2:$C$106,3,FALSE),"")</f>
        <v/>
      </c>
    </row>
    <row r="9180" spans="5:7" ht="15" customHeight="1">
      <c r="E9180" s="49" t="str">
        <f>IFERROR(VLOOKUP(D9180,'taxonomy map'!$A$1:$C$107,2,FALSE),"")</f>
        <v/>
      </c>
      <c r="F9180" s="49" t="str">
        <f>IFERROR(VLOOKUP(E9180,'Condensed Specialty Crosswalk'!$A$2:$C$106,2,FALSE),"")</f>
        <v/>
      </c>
      <c r="G9180" s="49" t="str">
        <f>IFERROR(VLOOKUP(E9180,'Condensed Specialty Crosswalk'!$A$2:$C$106,3,FALSE),"")</f>
        <v/>
      </c>
    </row>
    <row r="9181" spans="5:7" ht="15" customHeight="1">
      <c r="E9181" s="49" t="str">
        <f>IFERROR(VLOOKUP(D9181,'taxonomy map'!$A$1:$C$107,2,FALSE),"")</f>
        <v/>
      </c>
      <c r="F9181" s="49" t="str">
        <f>IFERROR(VLOOKUP(E9181,'Condensed Specialty Crosswalk'!$A$2:$C$106,2,FALSE),"")</f>
        <v/>
      </c>
      <c r="G9181" s="49" t="str">
        <f>IFERROR(VLOOKUP(E9181,'Condensed Specialty Crosswalk'!$A$2:$C$106,3,FALSE),"")</f>
        <v/>
      </c>
    </row>
    <row r="9182" spans="5:7" ht="15" customHeight="1">
      <c r="E9182" s="49" t="str">
        <f>IFERROR(VLOOKUP(D9182,'taxonomy map'!$A$1:$C$107,2,FALSE),"")</f>
        <v/>
      </c>
      <c r="F9182" s="49" t="str">
        <f>IFERROR(VLOOKUP(E9182,'Condensed Specialty Crosswalk'!$A$2:$C$106,2,FALSE),"")</f>
        <v/>
      </c>
      <c r="G9182" s="49" t="str">
        <f>IFERROR(VLOOKUP(E9182,'Condensed Specialty Crosswalk'!$A$2:$C$106,3,FALSE),"")</f>
        <v/>
      </c>
    </row>
    <row r="9183" spans="5:7" ht="15" customHeight="1">
      <c r="E9183" s="49" t="str">
        <f>IFERROR(VLOOKUP(D9183,'taxonomy map'!$A$1:$C$107,2,FALSE),"")</f>
        <v/>
      </c>
      <c r="F9183" s="49" t="str">
        <f>IFERROR(VLOOKUP(E9183,'Condensed Specialty Crosswalk'!$A$2:$C$106,2,FALSE),"")</f>
        <v/>
      </c>
      <c r="G9183" s="49" t="str">
        <f>IFERROR(VLOOKUP(E9183,'Condensed Specialty Crosswalk'!$A$2:$C$106,3,FALSE),"")</f>
        <v/>
      </c>
    </row>
    <row r="9184" spans="5:7" ht="15" customHeight="1">
      <c r="E9184" s="49" t="str">
        <f>IFERROR(VLOOKUP(D9184,'taxonomy map'!$A$1:$C$107,2,FALSE),"")</f>
        <v/>
      </c>
      <c r="F9184" s="49" t="str">
        <f>IFERROR(VLOOKUP(E9184,'Condensed Specialty Crosswalk'!$A$2:$C$106,2,FALSE),"")</f>
        <v/>
      </c>
      <c r="G9184" s="49" t="str">
        <f>IFERROR(VLOOKUP(E9184,'Condensed Specialty Crosswalk'!$A$2:$C$106,3,FALSE),"")</f>
        <v/>
      </c>
    </row>
    <row r="9185" spans="5:7" ht="15" customHeight="1">
      <c r="E9185" s="49" t="str">
        <f>IFERROR(VLOOKUP(D9185,'taxonomy map'!$A$1:$C$107,2,FALSE),"")</f>
        <v/>
      </c>
      <c r="F9185" s="49" t="str">
        <f>IFERROR(VLOOKUP(E9185,'Condensed Specialty Crosswalk'!$A$2:$C$106,2,FALSE),"")</f>
        <v/>
      </c>
      <c r="G9185" s="49" t="str">
        <f>IFERROR(VLOOKUP(E9185,'Condensed Specialty Crosswalk'!$A$2:$C$106,3,FALSE),"")</f>
        <v/>
      </c>
    </row>
    <row r="9186" spans="5:7" ht="15" customHeight="1">
      <c r="E9186" s="49" t="str">
        <f>IFERROR(VLOOKUP(D9186,'taxonomy map'!$A$1:$C$107,2,FALSE),"")</f>
        <v/>
      </c>
      <c r="F9186" s="49" t="str">
        <f>IFERROR(VLOOKUP(E9186,'Condensed Specialty Crosswalk'!$A$2:$C$106,2,FALSE),"")</f>
        <v/>
      </c>
      <c r="G9186" s="49" t="str">
        <f>IFERROR(VLOOKUP(E9186,'Condensed Specialty Crosswalk'!$A$2:$C$106,3,FALSE),"")</f>
        <v/>
      </c>
    </row>
    <row r="9187" spans="5:7" ht="15" customHeight="1">
      <c r="E9187" s="49" t="str">
        <f>IFERROR(VLOOKUP(D9187,'taxonomy map'!$A$1:$C$107,2,FALSE),"")</f>
        <v/>
      </c>
      <c r="F9187" s="49" t="str">
        <f>IFERROR(VLOOKUP(E9187,'Condensed Specialty Crosswalk'!$A$2:$C$106,2,FALSE),"")</f>
        <v/>
      </c>
      <c r="G9187" s="49" t="str">
        <f>IFERROR(VLOOKUP(E9187,'Condensed Specialty Crosswalk'!$A$2:$C$106,3,FALSE),"")</f>
        <v/>
      </c>
    </row>
    <row r="9188" spans="5:7" ht="15" customHeight="1">
      <c r="E9188" s="49" t="str">
        <f>IFERROR(VLOOKUP(D9188,'taxonomy map'!$A$1:$C$107,2,FALSE),"")</f>
        <v/>
      </c>
      <c r="F9188" s="49" t="str">
        <f>IFERROR(VLOOKUP(E9188,'Condensed Specialty Crosswalk'!$A$2:$C$106,2,FALSE),"")</f>
        <v/>
      </c>
      <c r="G9188" s="49" t="str">
        <f>IFERROR(VLOOKUP(E9188,'Condensed Specialty Crosswalk'!$A$2:$C$106,3,FALSE),"")</f>
        <v/>
      </c>
    </row>
    <row r="9189" spans="5:7" ht="15" customHeight="1">
      <c r="E9189" s="49" t="str">
        <f>IFERROR(VLOOKUP(D9189,'taxonomy map'!$A$1:$C$107,2,FALSE),"")</f>
        <v/>
      </c>
      <c r="F9189" s="49" t="str">
        <f>IFERROR(VLOOKUP(E9189,'Condensed Specialty Crosswalk'!$A$2:$C$106,2,FALSE),"")</f>
        <v/>
      </c>
      <c r="G9189" s="49" t="str">
        <f>IFERROR(VLOOKUP(E9189,'Condensed Specialty Crosswalk'!$A$2:$C$106,3,FALSE),"")</f>
        <v/>
      </c>
    </row>
    <row r="9190" spans="5:7" ht="15" customHeight="1">
      <c r="E9190" s="49" t="str">
        <f>IFERROR(VLOOKUP(D9190,'taxonomy map'!$A$1:$C$107,2,FALSE),"")</f>
        <v/>
      </c>
      <c r="F9190" s="49" t="str">
        <f>IFERROR(VLOOKUP(E9190,'Condensed Specialty Crosswalk'!$A$2:$C$106,2,FALSE),"")</f>
        <v/>
      </c>
      <c r="G9190" s="49" t="str">
        <f>IFERROR(VLOOKUP(E9190,'Condensed Specialty Crosswalk'!$A$2:$C$106,3,FALSE),"")</f>
        <v/>
      </c>
    </row>
    <row r="9191" spans="5:7" ht="15" customHeight="1">
      <c r="E9191" s="49" t="str">
        <f>IFERROR(VLOOKUP(D9191,'taxonomy map'!$A$1:$C$107,2,FALSE),"")</f>
        <v/>
      </c>
      <c r="F9191" s="49" t="str">
        <f>IFERROR(VLOOKUP(E9191,'Condensed Specialty Crosswalk'!$A$2:$C$106,2,FALSE),"")</f>
        <v/>
      </c>
      <c r="G9191" s="49" t="str">
        <f>IFERROR(VLOOKUP(E9191,'Condensed Specialty Crosswalk'!$A$2:$C$106,3,FALSE),"")</f>
        <v/>
      </c>
    </row>
    <row r="9192" spans="5:7" ht="15" customHeight="1">
      <c r="E9192" s="49" t="str">
        <f>IFERROR(VLOOKUP(D9192,'taxonomy map'!$A$1:$C$107,2,FALSE),"")</f>
        <v/>
      </c>
      <c r="F9192" s="49" t="str">
        <f>IFERROR(VLOOKUP(E9192,'Condensed Specialty Crosswalk'!$A$2:$C$106,2,FALSE),"")</f>
        <v/>
      </c>
      <c r="G9192" s="49" t="str">
        <f>IFERROR(VLOOKUP(E9192,'Condensed Specialty Crosswalk'!$A$2:$C$106,3,FALSE),"")</f>
        <v/>
      </c>
    </row>
    <row r="9193" spans="5:7" ht="15" customHeight="1">
      <c r="E9193" s="49" t="str">
        <f>IFERROR(VLOOKUP(D9193,'taxonomy map'!$A$1:$C$107,2,FALSE),"")</f>
        <v/>
      </c>
      <c r="F9193" s="49" t="str">
        <f>IFERROR(VLOOKUP(E9193,'Condensed Specialty Crosswalk'!$A$2:$C$106,2,FALSE),"")</f>
        <v/>
      </c>
      <c r="G9193" s="49" t="str">
        <f>IFERROR(VLOOKUP(E9193,'Condensed Specialty Crosswalk'!$A$2:$C$106,3,FALSE),"")</f>
        <v/>
      </c>
    </row>
    <row r="9194" spans="5:7" ht="15" customHeight="1">
      <c r="E9194" s="49" t="str">
        <f>IFERROR(VLOOKUP(D9194,'taxonomy map'!$A$1:$C$107,2,FALSE),"")</f>
        <v/>
      </c>
      <c r="F9194" s="49" t="str">
        <f>IFERROR(VLOOKUP(E9194,'Condensed Specialty Crosswalk'!$A$2:$C$106,2,FALSE),"")</f>
        <v/>
      </c>
      <c r="G9194" s="49" t="str">
        <f>IFERROR(VLOOKUP(E9194,'Condensed Specialty Crosswalk'!$A$2:$C$106,3,FALSE),"")</f>
        <v/>
      </c>
    </row>
    <row r="9195" spans="5:7" ht="15" customHeight="1">
      <c r="E9195" s="49" t="str">
        <f>IFERROR(VLOOKUP(D9195,'taxonomy map'!$A$1:$C$107,2,FALSE),"")</f>
        <v/>
      </c>
      <c r="F9195" s="49" t="str">
        <f>IFERROR(VLOOKUP(E9195,'Condensed Specialty Crosswalk'!$A$2:$C$106,2,FALSE),"")</f>
        <v/>
      </c>
      <c r="G9195" s="49" t="str">
        <f>IFERROR(VLOOKUP(E9195,'Condensed Specialty Crosswalk'!$A$2:$C$106,3,FALSE),"")</f>
        <v/>
      </c>
    </row>
    <row r="9196" spans="5:7" ht="15" customHeight="1">
      <c r="E9196" s="49" t="str">
        <f>IFERROR(VLOOKUP(D9196,'taxonomy map'!$A$1:$C$107,2,FALSE),"")</f>
        <v/>
      </c>
      <c r="F9196" s="49" t="str">
        <f>IFERROR(VLOOKUP(E9196,'Condensed Specialty Crosswalk'!$A$2:$C$106,2,FALSE),"")</f>
        <v/>
      </c>
      <c r="G9196" s="49" t="str">
        <f>IFERROR(VLOOKUP(E9196,'Condensed Specialty Crosswalk'!$A$2:$C$106,3,FALSE),"")</f>
        <v/>
      </c>
    </row>
    <row r="9197" spans="5:7" ht="15" customHeight="1">
      <c r="E9197" s="49" t="str">
        <f>IFERROR(VLOOKUP(D9197,'taxonomy map'!$A$1:$C$107,2,FALSE),"")</f>
        <v/>
      </c>
      <c r="F9197" s="49" t="str">
        <f>IFERROR(VLOOKUP(E9197,'Condensed Specialty Crosswalk'!$A$2:$C$106,2,FALSE),"")</f>
        <v/>
      </c>
      <c r="G9197" s="49" t="str">
        <f>IFERROR(VLOOKUP(E9197,'Condensed Specialty Crosswalk'!$A$2:$C$106,3,FALSE),"")</f>
        <v/>
      </c>
    </row>
    <row r="9198" spans="5:7" ht="15" customHeight="1">
      <c r="E9198" s="49" t="str">
        <f>IFERROR(VLOOKUP(D9198,'taxonomy map'!$A$1:$C$107,2,FALSE),"")</f>
        <v/>
      </c>
      <c r="F9198" s="49" t="str">
        <f>IFERROR(VLOOKUP(E9198,'Condensed Specialty Crosswalk'!$A$2:$C$106,2,FALSE),"")</f>
        <v/>
      </c>
      <c r="G9198" s="49" t="str">
        <f>IFERROR(VLOOKUP(E9198,'Condensed Specialty Crosswalk'!$A$2:$C$106,3,FALSE),"")</f>
        <v/>
      </c>
    </row>
    <row r="9199" spans="5:7" ht="15" customHeight="1">
      <c r="E9199" s="49" t="str">
        <f>IFERROR(VLOOKUP(D9199,'taxonomy map'!$A$1:$C$107,2,FALSE),"")</f>
        <v/>
      </c>
      <c r="F9199" s="49" t="str">
        <f>IFERROR(VLOOKUP(E9199,'Condensed Specialty Crosswalk'!$A$2:$C$106,2,FALSE),"")</f>
        <v/>
      </c>
      <c r="G9199" s="49" t="str">
        <f>IFERROR(VLOOKUP(E9199,'Condensed Specialty Crosswalk'!$A$2:$C$106,3,FALSE),"")</f>
        <v/>
      </c>
    </row>
    <row r="9200" spans="5:7" ht="15" customHeight="1">
      <c r="E9200" s="49" t="str">
        <f>IFERROR(VLOOKUP(D9200,'taxonomy map'!$A$1:$C$107,2,FALSE),"")</f>
        <v/>
      </c>
      <c r="F9200" s="49" t="str">
        <f>IFERROR(VLOOKUP(E9200,'Condensed Specialty Crosswalk'!$A$2:$C$106,2,FALSE),"")</f>
        <v/>
      </c>
      <c r="G9200" s="49" t="str">
        <f>IFERROR(VLOOKUP(E9200,'Condensed Specialty Crosswalk'!$A$2:$C$106,3,FALSE),"")</f>
        <v/>
      </c>
    </row>
    <row r="9201" spans="5:7" ht="15" customHeight="1">
      <c r="E9201" s="49" t="str">
        <f>IFERROR(VLOOKUP(D9201,'taxonomy map'!$A$1:$C$107,2,FALSE),"")</f>
        <v/>
      </c>
      <c r="F9201" s="49" t="str">
        <f>IFERROR(VLOOKUP(E9201,'Condensed Specialty Crosswalk'!$A$2:$C$106,2,FALSE),"")</f>
        <v/>
      </c>
      <c r="G9201" s="49" t="str">
        <f>IFERROR(VLOOKUP(E9201,'Condensed Specialty Crosswalk'!$A$2:$C$106,3,FALSE),"")</f>
        <v/>
      </c>
    </row>
    <row r="9202" spans="5:7" ht="15" customHeight="1">
      <c r="E9202" s="49" t="str">
        <f>IFERROR(VLOOKUP(D9202,'taxonomy map'!$A$1:$C$107,2,FALSE),"")</f>
        <v/>
      </c>
      <c r="F9202" s="49" t="str">
        <f>IFERROR(VLOOKUP(E9202,'Condensed Specialty Crosswalk'!$A$2:$C$106,2,FALSE),"")</f>
        <v/>
      </c>
      <c r="G9202" s="49" t="str">
        <f>IFERROR(VLOOKUP(E9202,'Condensed Specialty Crosswalk'!$A$2:$C$106,3,FALSE),"")</f>
        <v/>
      </c>
    </row>
    <row r="9203" spans="5:7" ht="15" customHeight="1">
      <c r="E9203" s="49" t="str">
        <f>IFERROR(VLOOKUP(D9203,'taxonomy map'!$A$1:$C$107,2,FALSE),"")</f>
        <v/>
      </c>
      <c r="F9203" s="49" t="str">
        <f>IFERROR(VLOOKUP(E9203,'Condensed Specialty Crosswalk'!$A$2:$C$106,2,FALSE),"")</f>
        <v/>
      </c>
      <c r="G9203" s="49" t="str">
        <f>IFERROR(VLOOKUP(E9203,'Condensed Specialty Crosswalk'!$A$2:$C$106,3,FALSE),"")</f>
        <v/>
      </c>
    </row>
    <row r="9204" spans="5:7" ht="15" customHeight="1">
      <c r="E9204" s="49" t="str">
        <f>IFERROR(VLOOKUP(D9204,'taxonomy map'!$A$1:$C$107,2,FALSE),"")</f>
        <v/>
      </c>
      <c r="F9204" s="49" t="str">
        <f>IFERROR(VLOOKUP(E9204,'Condensed Specialty Crosswalk'!$A$2:$C$106,2,FALSE),"")</f>
        <v/>
      </c>
      <c r="G9204" s="49" t="str">
        <f>IFERROR(VLOOKUP(E9204,'Condensed Specialty Crosswalk'!$A$2:$C$106,3,FALSE),"")</f>
        <v/>
      </c>
    </row>
    <row r="9205" spans="5:7" ht="15" customHeight="1">
      <c r="E9205" s="49" t="str">
        <f>IFERROR(VLOOKUP(D9205,'taxonomy map'!$A$1:$C$107,2,FALSE),"")</f>
        <v/>
      </c>
      <c r="F9205" s="49" t="str">
        <f>IFERROR(VLOOKUP(E9205,'Condensed Specialty Crosswalk'!$A$2:$C$106,2,FALSE),"")</f>
        <v/>
      </c>
      <c r="G9205" s="49" t="str">
        <f>IFERROR(VLOOKUP(E9205,'Condensed Specialty Crosswalk'!$A$2:$C$106,3,FALSE),"")</f>
        <v/>
      </c>
    </row>
    <row r="9206" spans="5:7" ht="15" customHeight="1">
      <c r="E9206" s="49" t="str">
        <f>IFERROR(VLOOKUP(D9206,'taxonomy map'!$A$1:$C$107,2,FALSE),"")</f>
        <v/>
      </c>
      <c r="F9206" s="49" t="str">
        <f>IFERROR(VLOOKUP(E9206,'Condensed Specialty Crosswalk'!$A$2:$C$106,2,FALSE),"")</f>
        <v/>
      </c>
      <c r="G9206" s="49" t="str">
        <f>IFERROR(VLOOKUP(E9206,'Condensed Specialty Crosswalk'!$A$2:$C$106,3,FALSE),"")</f>
        <v/>
      </c>
    </row>
    <row r="9207" spans="5:7" ht="15" customHeight="1">
      <c r="E9207" s="49" t="str">
        <f>IFERROR(VLOOKUP(D9207,'taxonomy map'!$A$1:$C$107,2,FALSE),"")</f>
        <v/>
      </c>
      <c r="F9207" s="49" t="str">
        <f>IFERROR(VLOOKUP(E9207,'Condensed Specialty Crosswalk'!$A$2:$C$106,2,FALSE),"")</f>
        <v/>
      </c>
      <c r="G9207" s="49" t="str">
        <f>IFERROR(VLOOKUP(E9207,'Condensed Specialty Crosswalk'!$A$2:$C$106,3,FALSE),"")</f>
        <v/>
      </c>
    </row>
    <row r="9208" spans="5:7" ht="15" customHeight="1">
      <c r="E9208" s="49" t="str">
        <f>IFERROR(VLOOKUP(D9208,'taxonomy map'!$A$1:$C$107,2,FALSE),"")</f>
        <v/>
      </c>
      <c r="F9208" s="49" t="str">
        <f>IFERROR(VLOOKUP(E9208,'Condensed Specialty Crosswalk'!$A$2:$C$106,2,FALSE),"")</f>
        <v/>
      </c>
      <c r="G9208" s="49" t="str">
        <f>IFERROR(VLOOKUP(E9208,'Condensed Specialty Crosswalk'!$A$2:$C$106,3,FALSE),"")</f>
        <v/>
      </c>
    </row>
    <row r="9209" spans="5:7" ht="15" customHeight="1">
      <c r="E9209" s="49" t="str">
        <f>IFERROR(VLOOKUP(D9209,'taxonomy map'!$A$1:$C$107,2,FALSE),"")</f>
        <v/>
      </c>
      <c r="F9209" s="49" t="str">
        <f>IFERROR(VLOOKUP(E9209,'Condensed Specialty Crosswalk'!$A$2:$C$106,2,FALSE),"")</f>
        <v/>
      </c>
      <c r="G9209" s="49" t="str">
        <f>IFERROR(VLOOKUP(E9209,'Condensed Specialty Crosswalk'!$A$2:$C$106,3,FALSE),"")</f>
        <v/>
      </c>
    </row>
    <row r="9210" spans="5:7" ht="15" customHeight="1">
      <c r="E9210" s="49" t="str">
        <f>IFERROR(VLOOKUP(D9210,'taxonomy map'!$A$1:$C$107,2,FALSE),"")</f>
        <v/>
      </c>
      <c r="F9210" s="49" t="str">
        <f>IFERROR(VLOOKUP(E9210,'Condensed Specialty Crosswalk'!$A$2:$C$106,2,FALSE),"")</f>
        <v/>
      </c>
      <c r="G9210" s="49" t="str">
        <f>IFERROR(VLOOKUP(E9210,'Condensed Specialty Crosswalk'!$A$2:$C$106,3,FALSE),"")</f>
        <v/>
      </c>
    </row>
    <row r="9211" spans="5:7" ht="15" customHeight="1">
      <c r="E9211" s="49" t="str">
        <f>IFERROR(VLOOKUP(D9211,'taxonomy map'!$A$1:$C$107,2,FALSE),"")</f>
        <v/>
      </c>
      <c r="F9211" s="49" t="str">
        <f>IFERROR(VLOOKUP(E9211,'Condensed Specialty Crosswalk'!$A$2:$C$106,2,FALSE),"")</f>
        <v/>
      </c>
      <c r="G9211" s="49" t="str">
        <f>IFERROR(VLOOKUP(E9211,'Condensed Specialty Crosswalk'!$A$2:$C$106,3,FALSE),"")</f>
        <v/>
      </c>
    </row>
    <row r="9212" spans="5:7" ht="15" customHeight="1">
      <c r="E9212" s="49" t="str">
        <f>IFERROR(VLOOKUP(D9212,'taxonomy map'!$A$1:$C$107,2,FALSE),"")</f>
        <v/>
      </c>
      <c r="F9212" s="49" t="str">
        <f>IFERROR(VLOOKUP(E9212,'Condensed Specialty Crosswalk'!$A$2:$C$106,2,FALSE),"")</f>
        <v/>
      </c>
      <c r="G9212" s="49" t="str">
        <f>IFERROR(VLOOKUP(E9212,'Condensed Specialty Crosswalk'!$A$2:$C$106,3,FALSE),"")</f>
        <v/>
      </c>
    </row>
    <row r="9213" spans="5:7" ht="15" customHeight="1">
      <c r="E9213" s="49" t="str">
        <f>IFERROR(VLOOKUP(D9213,'taxonomy map'!$A$1:$C$107,2,FALSE),"")</f>
        <v/>
      </c>
      <c r="F9213" s="49" t="str">
        <f>IFERROR(VLOOKUP(E9213,'Condensed Specialty Crosswalk'!$A$2:$C$106,2,FALSE),"")</f>
        <v/>
      </c>
      <c r="G9213" s="49" t="str">
        <f>IFERROR(VLOOKUP(E9213,'Condensed Specialty Crosswalk'!$A$2:$C$106,3,FALSE),"")</f>
        <v/>
      </c>
    </row>
    <row r="9214" spans="5:7" ht="15" customHeight="1">
      <c r="E9214" s="49" t="str">
        <f>IFERROR(VLOOKUP(D9214,'taxonomy map'!$A$1:$C$107,2,FALSE),"")</f>
        <v/>
      </c>
      <c r="F9214" s="49" t="str">
        <f>IFERROR(VLOOKUP(E9214,'Condensed Specialty Crosswalk'!$A$2:$C$106,2,FALSE),"")</f>
        <v/>
      </c>
      <c r="G9214" s="49" t="str">
        <f>IFERROR(VLOOKUP(E9214,'Condensed Specialty Crosswalk'!$A$2:$C$106,3,FALSE),"")</f>
        <v/>
      </c>
    </row>
    <row r="9215" spans="5:7" ht="15" customHeight="1">
      <c r="E9215" s="49" t="str">
        <f>IFERROR(VLOOKUP(D9215,'taxonomy map'!$A$1:$C$107,2,FALSE),"")</f>
        <v/>
      </c>
      <c r="F9215" s="49" t="str">
        <f>IFERROR(VLOOKUP(E9215,'Condensed Specialty Crosswalk'!$A$2:$C$106,2,FALSE),"")</f>
        <v/>
      </c>
      <c r="G9215" s="49" t="str">
        <f>IFERROR(VLOOKUP(E9215,'Condensed Specialty Crosswalk'!$A$2:$C$106,3,FALSE),"")</f>
        <v/>
      </c>
    </row>
    <row r="9216" spans="5:7" ht="15" customHeight="1">
      <c r="E9216" s="49" t="str">
        <f>IFERROR(VLOOKUP(D9216,'taxonomy map'!$A$1:$C$107,2,FALSE),"")</f>
        <v/>
      </c>
      <c r="F9216" s="49" t="str">
        <f>IFERROR(VLOOKUP(E9216,'Condensed Specialty Crosswalk'!$A$2:$C$106,2,FALSE),"")</f>
        <v/>
      </c>
      <c r="G9216" s="49" t="str">
        <f>IFERROR(VLOOKUP(E9216,'Condensed Specialty Crosswalk'!$A$2:$C$106,3,FALSE),"")</f>
        <v/>
      </c>
    </row>
    <row r="9217" spans="5:7" ht="15" customHeight="1">
      <c r="E9217" s="49" t="str">
        <f>IFERROR(VLOOKUP(D9217,'taxonomy map'!$A$1:$C$107,2,FALSE),"")</f>
        <v/>
      </c>
      <c r="F9217" s="49" t="str">
        <f>IFERROR(VLOOKUP(E9217,'Condensed Specialty Crosswalk'!$A$2:$C$106,2,FALSE),"")</f>
        <v/>
      </c>
      <c r="G9217" s="49" t="str">
        <f>IFERROR(VLOOKUP(E9217,'Condensed Specialty Crosswalk'!$A$2:$C$106,3,FALSE),"")</f>
        <v/>
      </c>
    </row>
    <row r="9218" spans="5:7" ht="15" customHeight="1">
      <c r="E9218" s="49" t="str">
        <f>IFERROR(VLOOKUP(D9218,'taxonomy map'!$A$1:$C$107,2,FALSE),"")</f>
        <v/>
      </c>
      <c r="F9218" s="49" t="str">
        <f>IFERROR(VLOOKUP(E9218,'Condensed Specialty Crosswalk'!$A$2:$C$106,2,FALSE),"")</f>
        <v/>
      </c>
      <c r="G9218" s="49" t="str">
        <f>IFERROR(VLOOKUP(E9218,'Condensed Specialty Crosswalk'!$A$2:$C$106,3,FALSE),"")</f>
        <v/>
      </c>
    </row>
    <row r="9219" spans="5:7" ht="15" customHeight="1">
      <c r="E9219" s="49" t="str">
        <f>IFERROR(VLOOKUP(D9219,'taxonomy map'!$A$1:$C$107,2,FALSE),"")</f>
        <v/>
      </c>
      <c r="F9219" s="49" t="str">
        <f>IFERROR(VLOOKUP(E9219,'Condensed Specialty Crosswalk'!$A$2:$C$106,2,FALSE),"")</f>
        <v/>
      </c>
      <c r="G9219" s="49" t="str">
        <f>IFERROR(VLOOKUP(E9219,'Condensed Specialty Crosswalk'!$A$2:$C$106,3,FALSE),"")</f>
        <v/>
      </c>
    </row>
    <row r="9220" spans="5:7" ht="15" customHeight="1">
      <c r="E9220" s="49" t="str">
        <f>IFERROR(VLOOKUP(D9220,'taxonomy map'!$A$1:$C$107,2,FALSE),"")</f>
        <v/>
      </c>
      <c r="F9220" s="49" t="str">
        <f>IFERROR(VLOOKUP(E9220,'Condensed Specialty Crosswalk'!$A$2:$C$106,2,FALSE),"")</f>
        <v/>
      </c>
      <c r="G9220" s="49" t="str">
        <f>IFERROR(VLOOKUP(E9220,'Condensed Specialty Crosswalk'!$A$2:$C$106,3,FALSE),"")</f>
        <v/>
      </c>
    </row>
    <row r="9221" spans="5:7" ht="15" customHeight="1">
      <c r="E9221" s="49" t="str">
        <f>IFERROR(VLOOKUP(D9221,'taxonomy map'!$A$1:$C$107,2,FALSE),"")</f>
        <v/>
      </c>
      <c r="F9221" s="49" t="str">
        <f>IFERROR(VLOOKUP(E9221,'Condensed Specialty Crosswalk'!$A$2:$C$106,2,FALSE),"")</f>
        <v/>
      </c>
      <c r="G9221" s="49" t="str">
        <f>IFERROR(VLOOKUP(E9221,'Condensed Specialty Crosswalk'!$A$2:$C$106,3,FALSE),"")</f>
        <v/>
      </c>
    </row>
    <row r="9222" spans="5:7" ht="15" customHeight="1">
      <c r="E9222" s="49" t="str">
        <f>IFERROR(VLOOKUP(D9222,'taxonomy map'!$A$1:$C$107,2,FALSE),"")</f>
        <v/>
      </c>
      <c r="F9222" s="49" t="str">
        <f>IFERROR(VLOOKUP(E9222,'Condensed Specialty Crosswalk'!$A$2:$C$106,2,FALSE),"")</f>
        <v/>
      </c>
      <c r="G9222" s="49" t="str">
        <f>IFERROR(VLOOKUP(E9222,'Condensed Specialty Crosswalk'!$A$2:$C$106,3,FALSE),"")</f>
        <v/>
      </c>
    </row>
    <row r="9223" spans="5:7" ht="15" customHeight="1">
      <c r="E9223" s="49" t="str">
        <f>IFERROR(VLOOKUP(D9223,'taxonomy map'!$A$1:$C$107,2,FALSE),"")</f>
        <v/>
      </c>
      <c r="F9223" s="49" t="str">
        <f>IFERROR(VLOOKUP(E9223,'Condensed Specialty Crosswalk'!$A$2:$C$106,2,FALSE),"")</f>
        <v/>
      </c>
      <c r="G9223" s="49" t="str">
        <f>IFERROR(VLOOKUP(E9223,'Condensed Specialty Crosswalk'!$A$2:$C$106,3,FALSE),"")</f>
        <v/>
      </c>
    </row>
    <row r="9224" spans="5:7" ht="15" customHeight="1">
      <c r="E9224" s="49" t="str">
        <f>IFERROR(VLOOKUP(D9224,'taxonomy map'!$A$1:$C$107,2,FALSE),"")</f>
        <v/>
      </c>
      <c r="F9224" s="49" t="str">
        <f>IFERROR(VLOOKUP(E9224,'Condensed Specialty Crosswalk'!$A$2:$C$106,2,FALSE),"")</f>
        <v/>
      </c>
      <c r="G9224" s="49" t="str">
        <f>IFERROR(VLOOKUP(E9224,'Condensed Specialty Crosswalk'!$A$2:$C$106,3,FALSE),"")</f>
        <v/>
      </c>
    </row>
    <row r="9225" spans="5:7" ht="15" customHeight="1">
      <c r="E9225" s="49" t="str">
        <f>IFERROR(VLOOKUP(D9225,'taxonomy map'!$A$1:$C$107,2,FALSE),"")</f>
        <v/>
      </c>
      <c r="F9225" s="49" t="str">
        <f>IFERROR(VLOOKUP(E9225,'Condensed Specialty Crosswalk'!$A$2:$C$106,2,FALSE),"")</f>
        <v/>
      </c>
      <c r="G9225" s="49" t="str">
        <f>IFERROR(VLOOKUP(E9225,'Condensed Specialty Crosswalk'!$A$2:$C$106,3,FALSE),"")</f>
        <v/>
      </c>
    </row>
    <row r="9226" spans="5:7" ht="15" customHeight="1">
      <c r="E9226" s="49" t="str">
        <f>IFERROR(VLOOKUP(D9226,'taxonomy map'!$A$1:$C$107,2,FALSE),"")</f>
        <v/>
      </c>
      <c r="F9226" s="49" t="str">
        <f>IFERROR(VLOOKUP(E9226,'Condensed Specialty Crosswalk'!$A$2:$C$106,2,FALSE),"")</f>
        <v/>
      </c>
      <c r="G9226" s="49" t="str">
        <f>IFERROR(VLOOKUP(E9226,'Condensed Specialty Crosswalk'!$A$2:$C$106,3,FALSE),"")</f>
        <v/>
      </c>
    </row>
    <row r="9227" spans="5:7" ht="15" customHeight="1">
      <c r="E9227" s="49" t="str">
        <f>IFERROR(VLOOKUP(D9227,'taxonomy map'!$A$1:$C$107,2,FALSE),"")</f>
        <v/>
      </c>
      <c r="F9227" s="49" t="str">
        <f>IFERROR(VLOOKUP(E9227,'Condensed Specialty Crosswalk'!$A$2:$C$106,2,FALSE),"")</f>
        <v/>
      </c>
      <c r="G9227" s="49" t="str">
        <f>IFERROR(VLOOKUP(E9227,'Condensed Specialty Crosswalk'!$A$2:$C$106,3,FALSE),"")</f>
        <v/>
      </c>
    </row>
    <row r="9228" spans="5:7" ht="15" customHeight="1">
      <c r="E9228" s="49" t="str">
        <f>IFERROR(VLOOKUP(D9228,'taxonomy map'!$A$1:$C$107,2,FALSE),"")</f>
        <v/>
      </c>
      <c r="F9228" s="49" t="str">
        <f>IFERROR(VLOOKUP(E9228,'Condensed Specialty Crosswalk'!$A$2:$C$106,2,FALSE),"")</f>
        <v/>
      </c>
      <c r="G9228" s="49" t="str">
        <f>IFERROR(VLOOKUP(E9228,'Condensed Specialty Crosswalk'!$A$2:$C$106,3,FALSE),"")</f>
        <v/>
      </c>
    </row>
    <row r="9229" spans="5:7" ht="15" customHeight="1">
      <c r="E9229" s="49" t="str">
        <f>IFERROR(VLOOKUP(D9229,'taxonomy map'!$A$1:$C$107,2,FALSE),"")</f>
        <v/>
      </c>
      <c r="F9229" s="49" t="str">
        <f>IFERROR(VLOOKUP(E9229,'Condensed Specialty Crosswalk'!$A$2:$C$106,2,FALSE),"")</f>
        <v/>
      </c>
      <c r="G9229" s="49" t="str">
        <f>IFERROR(VLOOKUP(E9229,'Condensed Specialty Crosswalk'!$A$2:$C$106,3,FALSE),"")</f>
        <v/>
      </c>
    </row>
    <row r="9230" spans="5:7" ht="15" customHeight="1">
      <c r="E9230" s="49" t="str">
        <f>IFERROR(VLOOKUP(D9230,'taxonomy map'!$A$1:$C$107,2,FALSE),"")</f>
        <v/>
      </c>
      <c r="F9230" s="49" t="str">
        <f>IFERROR(VLOOKUP(E9230,'Condensed Specialty Crosswalk'!$A$2:$C$106,2,FALSE),"")</f>
        <v/>
      </c>
      <c r="G9230" s="49" t="str">
        <f>IFERROR(VLOOKUP(E9230,'Condensed Specialty Crosswalk'!$A$2:$C$106,3,FALSE),"")</f>
        <v/>
      </c>
    </row>
    <row r="9231" spans="5:7" ht="15" customHeight="1">
      <c r="E9231" s="49" t="str">
        <f>IFERROR(VLOOKUP(D9231,'taxonomy map'!$A$1:$C$107,2,FALSE),"")</f>
        <v/>
      </c>
      <c r="F9231" s="49" t="str">
        <f>IFERROR(VLOOKUP(E9231,'Condensed Specialty Crosswalk'!$A$2:$C$106,2,FALSE),"")</f>
        <v/>
      </c>
      <c r="G9231" s="49" t="str">
        <f>IFERROR(VLOOKUP(E9231,'Condensed Specialty Crosswalk'!$A$2:$C$106,3,FALSE),"")</f>
        <v/>
      </c>
    </row>
    <row r="9232" spans="5:7" ht="15" customHeight="1">
      <c r="E9232" s="49" t="str">
        <f>IFERROR(VLOOKUP(D9232,'taxonomy map'!$A$1:$C$107,2,FALSE),"")</f>
        <v/>
      </c>
      <c r="F9232" s="49" t="str">
        <f>IFERROR(VLOOKUP(E9232,'Condensed Specialty Crosswalk'!$A$2:$C$106,2,FALSE),"")</f>
        <v/>
      </c>
      <c r="G9232" s="49" t="str">
        <f>IFERROR(VLOOKUP(E9232,'Condensed Specialty Crosswalk'!$A$2:$C$106,3,FALSE),"")</f>
        <v/>
      </c>
    </row>
    <row r="9233" spans="5:7" ht="15" customHeight="1">
      <c r="E9233" s="49" t="str">
        <f>IFERROR(VLOOKUP(D9233,'taxonomy map'!$A$1:$C$107,2,FALSE),"")</f>
        <v/>
      </c>
      <c r="F9233" s="49" t="str">
        <f>IFERROR(VLOOKUP(E9233,'Condensed Specialty Crosswalk'!$A$2:$C$106,2,FALSE),"")</f>
        <v/>
      </c>
      <c r="G9233" s="49" t="str">
        <f>IFERROR(VLOOKUP(E9233,'Condensed Specialty Crosswalk'!$A$2:$C$106,3,FALSE),"")</f>
        <v/>
      </c>
    </row>
    <row r="9234" spans="5:7" ht="15" customHeight="1">
      <c r="E9234" s="49" t="str">
        <f>IFERROR(VLOOKUP(D9234,'taxonomy map'!$A$1:$C$107,2,FALSE),"")</f>
        <v/>
      </c>
      <c r="F9234" s="49" t="str">
        <f>IFERROR(VLOOKUP(E9234,'Condensed Specialty Crosswalk'!$A$2:$C$106,2,FALSE),"")</f>
        <v/>
      </c>
      <c r="G9234" s="49" t="str">
        <f>IFERROR(VLOOKUP(E9234,'Condensed Specialty Crosswalk'!$A$2:$C$106,3,FALSE),"")</f>
        <v/>
      </c>
    </row>
    <row r="9235" spans="5:7" ht="15" customHeight="1">
      <c r="E9235" s="49" t="str">
        <f>IFERROR(VLOOKUP(D9235,'taxonomy map'!$A$1:$C$107,2,FALSE),"")</f>
        <v/>
      </c>
      <c r="F9235" s="49" t="str">
        <f>IFERROR(VLOOKUP(E9235,'Condensed Specialty Crosswalk'!$A$2:$C$106,2,FALSE),"")</f>
        <v/>
      </c>
      <c r="G9235" s="49" t="str">
        <f>IFERROR(VLOOKUP(E9235,'Condensed Specialty Crosswalk'!$A$2:$C$106,3,FALSE),"")</f>
        <v/>
      </c>
    </row>
    <row r="9236" spans="5:7" ht="15" customHeight="1">
      <c r="E9236" s="49" t="str">
        <f>IFERROR(VLOOKUP(D9236,'taxonomy map'!$A$1:$C$107,2,FALSE),"")</f>
        <v/>
      </c>
      <c r="F9236" s="49" t="str">
        <f>IFERROR(VLOOKUP(E9236,'Condensed Specialty Crosswalk'!$A$2:$C$106,2,FALSE),"")</f>
        <v/>
      </c>
      <c r="G9236" s="49" t="str">
        <f>IFERROR(VLOOKUP(E9236,'Condensed Specialty Crosswalk'!$A$2:$C$106,3,FALSE),"")</f>
        <v/>
      </c>
    </row>
    <row r="9237" spans="5:7" ht="15" customHeight="1">
      <c r="E9237" s="49" t="str">
        <f>IFERROR(VLOOKUP(D9237,'taxonomy map'!$A$1:$C$107,2,FALSE),"")</f>
        <v/>
      </c>
      <c r="F9237" s="49" t="str">
        <f>IFERROR(VLOOKUP(E9237,'Condensed Specialty Crosswalk'!$A$2:$C$106,2,FALSE),"")</f>
        <v/>
      </c>
      <c r="G9237" s="49" t="str">
        <f>IFERROR(VLOOKUP(E9237,'Condensed Specialty Crosswalk'!$A$2:$C$106,3,FALSE),"")</f>
        <v/>
      </c>
    </row>
    <row r="9238" spans="5:7" ht="15" customHeight="1">
      <c r="E9238" s="49" t="str">
        <f>IFERROR(VLOOKUP(D9238,'taxonomy map'!$A$1:$C$107,2,FALSE),"")</f>
        <v/>
      </c>
      <c r="F9238" s="49" t="str">
        <f>IFERROR(VLOOKUP(E9238,'Condensed Specialty Crosswalk'!$A$2:$C$106,2,FALSE),"")</f>
        <v/>
      </c>
      <c r="G9238" s="49" t="str">
        <f>IFERROR(VLOOKUP(E9238,'Condensed Specialty Crosswalk'!$A$2:$C$106,3,FALSE),"")</f>
        <v/>
      </c>
    </row>
    <row r="9239" spans="5:7" ht="15" customHeight="1">
      <c r="E9239" s="49" t="str">
        <f>IFERROR(VLOOKUP(D9239,'taxonomy map'!$A$1:$C$107,2,FALSE),"")</f>
        <v/>
      </c>
      <c r="F9239" s="49" t="str">
        <f>IFERROR(VLOOKUP(E9239,'Condensed Specialty Crosswalk'!$A$2:$C$106,2,FALSE),"")</f>
        <v/>
      </c>
      <c r="G9239" s="49" t="str">
        <f>IFERROR(VLOOKUP(E9239,'Condensed Specialty Crosswalk'!$A$2:$C$106,3,FALSE),"")</f>
        <v/>
      </c>
    </row>
    <row r="9240" spans="5:7" ht="15" customHeight="1">
      <c r="E9240" s="49" t="str">
        <f>IFERROR(VLOOKUP(D9240,'taxonomy map'!$A$1:$C$107,2,FALSE),"")</f>
        <v/>
      </c>
      <c r="F9240" s="49" t="str">
        <f>IFERROR(VLOOKUP(E9240,'Condensed Specialty Crosswalk'!$A$2:$C$106,2,FALSE),"")</f>
        <v/>
      </c>
      <c r="G9240" s="49" t="str">
        <f>IFERROR(VLOOKUP(E9240,'Condensed Specialty Crosswalk'!$A$2:$C$106,3,FALSE),"")</f>
        <v/>
      </c>
    </row>
    <row r="9241" spans="5:7" ht="15" customHeight="1">
      <c r="E9241" s="49" t="str">
        <f>IFERROR(VLOOKUP(D9241,'taxonomy map'!$A$1:$C$107,2,FALSE),"")</f>
        <v/>
      </c>
      <c r="F9241" s="49" t="str">
        <f>IFERROR(VLOOKUP(E9241,'Condensed Specialty Crosswalk'!$A$2:$C$106,2,FALSE),"")</f>
        <v/>
      </c>
      <c r="G9241" s="49" t="str">
        <f>IFERROR(VLOOKUP(E9241,'Condensed Specialty Crosswalk'!$A$2:$C$106,3,FALSE),"")</f>
        <v/>
      </c>
    </row>
    <row r="9242" spans="5:7" ht="15" customHeight="1">
      <c r="E9242" s="49" t="str">
        <f>IFERROR(VLOOKUP(D9242,'taxonomy map'!$A$1:$C$107,2,FALSE),"")</f>
        <v/>
      </c>
      <c r="F9242" s="49" t="str">
        <f>IFERROR(VLOOKUP(E9242,'Condensed Specialty Crosswalk'!$A$2:$C$106,2,FALSE),"")</f>
        <v/>
      </c>
      <c r="G9242" s="49" t="str">
        <f>IFERROR(VLOOKUP(E9242,'Condensed Specialty Crosswalk'!$A$2:$C$106,3,FALSE),"")</f>
        <v/>
      </c>
    </row>
    <row r="9243" spans="5:7" ht="15" customHeight="1">
      <c r="E9243" s="49" t="str">
        <f>IFERROR(VLOOKUP(D9243,'taxonomy map'!$A$1:$C$107,2,FALSE),"")</f>
        <v/>
      </c>
      <c r="F9243" s="49" t="str">
        <f>IFERROR(VLOOKUP(E9243,'Condensed Specialty Crosswalk'!$A$2:$C$106,2,FALSE),"")</f>
        <v/>
      </c>
      <c r="G9243" s="49" t="str">
        <f>IFERROR(VLOOKUP(E9243,'Condensed Specialty Crosswalk'!$A$2:$C$106,3,FALSE),"")</f>
        <v/>
      </c>
    </row>
    <row r="9244" spans="5:7" ht="15" customHeight="1">
      <c r="E9244" s="49" t="str">
        <f>IFERROR(VLOOKUP(D9244,'taxonomy map'!$A$1:$C$107,2,FALSE),"")</f>
        <v/>
      </c>
      <c r="F9244" s="49" t="str">
        <f>IFERROR(VLOOKUP(E9244,'Condensed Specialty Crosswalk'!$A$2:$C$106,2,FALSE),"")</f>
        <v/>
      </c>
      <c r="G9244" s="49" t="str">
        <f>IFERROR(VLOOKUP(E9244,'Condensed Specialty Crosswalk'!$A$2:$C$106,3,FALSE),"")</f>
        <v/>
      </c>
    </row>
    <row r="9245" spans="5:7" ht="15" customHeight="1">
      <c r="E9245" s="49" t="str">
        <f>IFERROR(VLOOKUP(D9245,'taxonomy map'!$A$1:$C$107,2,FALSE),"")</f>
        <v/>
      </c>
      <c r="F9245" s="49" t="str">
        <f>IFERROR(VLOOKUP(E9245,'Condensed Specialty Crosswalk'!$A$2:$C$106,2,FALSE),"")</f>
        <v/>
      </c>
      <c r="G9245" s="49" t="str">
        <f>IFERROR(VLOOKUP(E9245,'Condensed Specialty Crosswalk'!$A$2:$C$106,3,FALSE),"")</f>
        <v/>
      </c>
    </row>
    <row r="9246" spans="5:7" ht="15" customHeight="1">
      <c r="E9246" s="49" t="str">
        <f>IFERROR(VLOOKUP(D9246,'taxonomy map'!$A$1:$C$107,2,FALSE),"")</f>
        <v/>
      </c>
      <c r="F9246" s="49" t="str">
        <f>IFERROR(VLOOKUP(E9246,'Condensed Specialty Crosswalk'!$A$2:$C$106,2,FALSE),"")</f>
        <v/>
      </c>
      <c r="G9246" s="49" t="str">
        <f>IFERROR(VLOOKUP(E9246,'Condensed Specialty Crosswalk'!$A$2:$C$106,3,FALSE),"")</f>
        <v/>
      </c>
    </row>
    <row r="9247" spans="5:7" ht="15" customHeight="1">
      <c r="E9247" s="49" t="str">
        <f>IFERROR(VLOOKUP(D9247,'taxonomy map'!$A$1:$C$107,2,FALSE),"")</f>
        <v/>
      </c>
      <c r="F9247" s="49" t="str">
        <f>IFERROR(VLOOKUP(E9247,'Condensed Specialty Crosswalk'!$A$2:$C$106,2,FALSE),"")</f>
        <v/>
      </c>
      <c r="G9247" s="49" t="str">
        <f>IFERROR(VLOOKUP(E9247,'Condensed Specialty Crosswalk'!$A$2:$C$106,3,FALSE),"")</f>
        <v/>
      </c>
    </row>
    <row r="9248" spans="5:7" ht="15" customHeight="1">
      <c r="E9248" s="49" t="str">
        <f>IFERROR(VLOOKUP(D9248,'taxonomy map'!$A$1:$C$107,2,FALSE),"")</f>
        <v/>
      </c>
      <c r="F9248" s="49" t="str">
        <f>IFERROR(VLOOKUP(E9248,'Condensed Specialty Crosswalk'!$A$2:$C$106,2,FALSE),"")</f>
        <v/>
      </c>
      <c r="G9248" s="49" t="str">
        <f>IFERROR(VLOOKUP(E9248,'Condensed Specialty Crosswalk'!$A$2:$C$106,3,FALSE),"")</f>
        <v/>
      </c>
    </row>
    <row r="9249" spans="5:7" ht="15" customHeight="1">
      <c r="E9249" s="49" t="str">
        <f>IFERROR(VLOOKUP(D9249,'taxonomy map'!$A$1:$C$107,2,FALSE),"")</f>
        <v/>
      </c>
      <c r="F9249" s="49" t="str">
        <f>IFERROR(VLOOKUP(E9249,'Condensed Specialty Crosswalk'!$A$2:$C$106,2,FALSE),"")</f>
        <v/>
      </c>
      <c r="G9249" s="49" t="str">
        <f>IFERROR(VLOOKUP(E9249,'Condensed Specialty Crosswalk'!$A$2:$C$106,3,FALSE),"")</f>
        <v/>
      </c>
    </row>
    <row r="9250" spans="5:7" ht="15" customHeight="1">
      <c r="E9250" s="49" t="str">
        <f>IFERROR(VLOOKUP(D9250,'taxonomy map'!$A$1:$C$107,2,FALSE),"")</f>
        <v/>
      </c>
      <c r="F9250" s="49" t="str">
        <f>IFERROR(VLOOKUP(E9250,'Condensed Specialty Crosswalk'!$A$2:$C$106,2,FALSE),"")</f>
        <v/>
      </c>
      <c r="G9250" s="49" t="str">
        <f>IFERROR(VLOOKUP(E9250,'Condensed Specialty Crosswalk'!$A$2:$C$106,3,FALSE),"")</f>
        <v/>
      </c>
    </row>
    <row r="9251" spans="5:7" ht="15" customHeight="1">
      <c r="E9251" s="49" t="str">
        <f>IFERROR(VLOOKUP(D9251,'taxonomy map'!$A$1:$C$107,2,FALSE),"")</f>
        <v/>
      </c>
      <c r="F9251" s="49" t="str">
        <f>IFERROR(VLOOKUP(E9251,'Condensed Specialty Crosswalk'!$A$2:$C$106,2,FALSE),"")</f>
        <v/>
      </c>
      <c r="G9251" s="49" t="str">
        <f>IFERROR(VLOOKUP(E9251,'Condensed Specialty Crosswalk'!$A$2:$C$106,3,FALSE),"")</f>
        <v/>
      </c>
    </row>
    <row r="9252" spans="5:7" ht="15" customHeight="1">
      <c r="E9252" s="49" t="str">
        <f>IFERROR(VLOOKUP(D9252,'taxonomy map'!$A$1:$C$107,2,FALSE),"")</f>
        <v/>
      </c>
      <c r="F9252" s="49" t="str">
        <f>IFERROR(VLOOKUP(E9252,'Condensed Specialty Crosswalk'!$A$2:$C$106,2,FALSE),"")</f>
        <v/>
      </c>
      <c r="G9252" s="49" t="str">
        <f>IFERROR(VLOOKUP(E9252,'Condensed Specialty Crosswalk'!$A$2:$C$106,3,FALSE),"")</f>
        <v/>
      </c>
    </row>
    <row r="9253" spans="5:7" ht="15" customHeight="1">
      <c r="E9253" s="49" t="str">
        <f>IFERROR(VLOOKUP(D9253,'taxonomy map'!$A$1:$C$107,2,FALSE),"")</f>
        <v/>
      </c>
      <c r="F9253" s="49" t="str">
        <f>IFERROR(VLOOKUP(E9253,'Condensed Specialty Crosswalk'!$A$2:$C$106,2,FALSE),"")</f>
        <v/>
      </c>
      <c r="G9253" s="49" t="str">
        <f>IFERROR(VLOOKUP(E9253,'Condensed Specialty Crosswalk'!$A$2:$C$106,3,FALSE),"")</f>
        <v/>
      </c>
    </row>
    <row r="9254" spans="5:7" ht="15" customHeight="1">
      <c r="E9254" s="49" t="str">
        <f>IFERROR(VLOOKUP(D9254,'taxonomy map'!$A$1:$C$107,2,FALSE),"")</f>
        <v/>
      </c>
      <c r="F9254" s="49" t="str">
        <f>IFERROR(VLOOKUP(E9254,'Condensed Specialty Crosswalk'!$A$2:$C$106,2,FALSE),"")</f>
        <v/>
      </c>
      <c r="G9254" s="49" t="str">
        <f>IFERROR(VLOOKUP(E9254,'Condensed Specialty Crosswalk'!$A$2:$C$106,3,FALSE),"")</f>
        <v/>
      </c>
    </row>
    <row r="9255" spans="5:7" ht="15" customHeight="1">
      <c r="E9255" s="49" t="str">
        <f>IFERROR(VLOOKUP(D9255,'taxonomy map'!$A$1:$C$107,2,FALSE),"")</f>
        <v/>
      </c>
      <c r="F9255" s="49" t="str">
        <f>IFERROR(VLOOKUP(E9255,'Condensed Specialty Crosswalk'!$A$2:$C$106,2,FALSE),"")</f>
        <v/>
      </c>
      <c r="G9255" s="49" t="str">
        <f>IFERROR(VLOOKUP(E9255,'Condensed Specialty Crosswalk'!$A$2:$C$106,3,FALSE),"")</f>
        <v/>
      </c>
    </row>
    <row r="9256" spans="5:7" ht="15" customHeight="1">
      <c r="E9256" s="49" t="str">
        <f>IFERROR(VLOOKUP(D9256,'taxonomy map'!$A$1:$C$107,2,FALSE),"")</f>
        <v/>
      </c>
      <c r="F9256" s="49" t="str">
        <f>IFERROR(VLOOKUP(E9256,'Condensed Specialty Crosswalk'!$A$2:$C$106,2,FALSE),"")</f>
        <v/>
      </c>
      <c r="G9256" s="49" t="str">
        <f>IFERROR(VLOOKUP(E9256,'Condensed Specialty Crosswalk'!$A$2:$C$106,3,FALSE),"")</f>
        <v/>
      </c>
    </row>
    <row r="9257" spans="5:7" ht="15" customHeight="1">
      <c r="E9257" s="49" t="str">
        <f>IFERROR(VLOOKUP(D9257,'taxonomy map'!$A$1:$C$107,2,FALSE),"")</f>
        <v/>
      </c>
      <c r="F9257" s="49" t="str">
        <f>IFERROR(VLOOKUP(E9257,'Condensed Specialty Crosswalk'!$A$2:$C$106,2,FALSE),"")</f>
        <v/>
      </c>
      <c r="G9257" s="49" t="str">
        <f>IFERROR(VLOOKUP(E9257,'Condensed Specialty Crosswalk'!$A$2:$C$106,3,FALSE),"")</f>
        <v/>
      </c>
    </row>
    <row r="9258" spans="5:7" ht="15" customHeight="1">
      <c r="E9258" s="49" t="str">
        <f>IFERROR(VLOOKUP(D9258,'taxonomy map'!$A$1:$C$107,2,FALSE),"")</f>
        <v/>
      </c>
      <c r="F9258" s="49" t="str">
        <f>IFERROR(VLOOKUP(E9258,'Condensed Specialty Crosswalk'!$A$2:$C$106,2,FALSE),"")</f>
        <v/>
      </c>
      <c r="G9258" s="49" t="str">
        <f>IFERROR(VLOOKUP(E9258,'Condensed Specialty Crosswalk'!$A$2:$C$106,3,FALSE),"")</f>
        <v/>
      </c>
    </row>
    <row r="9259" spans="5:7" ht="15" customHeight="1">
      <c r="E9259" s="49" t="str">
        <f>IFERROR(VLOOKUP(D9259,'taxonomy map'!$A$1:$C$107,2,FALSE),"")</f>
        <v/>
      </c>
      <c r="F9259" s="49" t="str">
        <f>IFERROR(VLOOKUP(E9259,'Condensed Specialty Crosswalk'!$A$2:$C$106,2,FALSE),"")</f>
        <v/>
      </c>
      <c r="G9259" s="49" t="str">
        <f>IFERROR(VLOOKUP(E9259,'Condensed Specialty Crosswalk'!$A$2:$C$106,3,FALSE),"")</f>
        <v/>
      </c>
    </row>
    <row r="9260" spans="5:7" ht="15" customHeight="1">
      <c r="E9260" s="49" t="str">
        <f>IFERROR(VLOOKUP(D9260,'taxonomy map'!$A$1:$C$107,2,FALSE),"")</f>
        <v/>
      </c>
      <c r="F9260" s="49" t="str">
        <f>IFERROR(VLOOKUP(E9260,'Condensed Specialty Crosswalk'!$A$2:$C$106,2,FALSE),"")</f>
        <v/>
      </c>
      <c r="G9260" s="49" t="str">
        <f>IFERROR(VLOOKUP(E9260,'Condensed Specialty Crosswalk'!$A$2:$C$106,3,FALSE),"")</f>
        <v/>
      </c>
    </row>
    <row r="9261" spans="5:7" ht="15" customHeight="1">
      <c r="E9261" s="49" t="str">
        <f>IFERROR(VLOOKUP(D9261,'taxonomy map'!$A$1:$C$107,2,FALSE),"")</f>
        <v/>
      </c>
      <c r="F9261" s="49" t="str">
        <f>IFERROR(VLOOKUP(E9261,'Condensed Specialty Crosswalk'!$A$2:$C$106,2,FALSE),"")</f>
        <v/>
      </c>
      <c r="G9261" s="49" t="str">
        <f>IFERROR(VLOOKUP(E9261,'Condensed Specialty Crosswalk'!$A$2:$C$106,3,FALSE),"")</f>
        <v/>
      </c>
    </row>
    <row r="9262" spans="5:7" ht="15" customHeight="1">
      <c r="E9262" s="49" t="str">
        <f>IFERROR(VLOOKUP(D9262,'taxonomy map'!$A$1:$C$107,2,FALSE),"")</f>
        <v/>
      </c>
      <c r="F9262" s="49" t="str">
        <f>IFERROR(VLOOKUP(E9262,'Condensed Specialty Crosswalk'!$A$2:$C$106,2,FALSE),"")</f>
        <v/>
      </c>
      <c r="G9262" s="49" t="str">
        <f>IFERROR(VLOOKUP(E9262,'Condensed Specialty Crosswalk'!$A$2:$C$106,3,FALSE),"")</f>
        <v/>
      </c>
    </row>
    <row r="9263" spans="5:7" ht="15" customHeight="1">
      <c r="E9263" s="49" t="str">
        <f>IFERROR(VLOOKUP(D9263,'taxonomy map'!$A$1:$C$107,2,FALSE),"")</f>
        <v/>
      </c>
      <c r="F9263" s="49" t="str">
        <f>IFERROR(VLOOKUP(E9263,'Condensed Specialty Crosswalk'!$A$2:$C$106,2,FALSE),"")</f>
        <v/>
      </c>
      <c r="G9263" s="49" t="str">
        <f>IFERROR(VLOOKUP(E9263,'Condensed Specialty Crosswalk'!$A$2:$C$106,3,FALSE),"")</f>
        <v/>
      </c>
    </row>
    <row r="9264" spans="5:7" ht="15" customHeight="1">
      <c r="E9264" s="49" t="str">
        <f>IFERROR(VLOOKUP(D9264,'taxonomy map'!$A$1:$C$107,2,FALSE),"")</f>
        <v/>
      </c>
      <c r="F9264" s="49" t="str">
        <f>IFERROR(VLOOKUP(E9264,'Condensed Specialty Crosswalk'!$A$2:$C$106,2,FALSE),"")</f>
        <v/>
      </c>
      <c r="G9264" s="49" t="str">
        <f>IFERROR(VLOOKUP(E9264,'Condensed Specialty Crosswalk'!$A$2:$C$106,3,FALSE),"")</f>
        <v/>
      </c>
    </row>
    <row r="9265" spans="5:7" ht="15" customHeight="1">
      <c r="E9265" s="49" t="str">
        <f>IFERROR(VLOOKUP(D9265,'taxonomy map'!$A$1:$C$107,2,FALSE),"")</f>
        <v/>
      </c>
      <c r="F9265" s="49" t="str">
        <f>IFERROR(VLOOKUP(E9265,'Condensed Specialty Crosswalk'!$A$2:$C$106,2,FALSE),"")</f>
        <v/>
      </c>
      <c r="G9265" s="49" t="str">
        <f>IFERROR(VLOOKUP(E9265,'Condensed Specialty Crosswalk'!$A$2:$C$106,3,FALSE),"")</f>
        <v/>
      </c>
    </row>
    <row r="9266" spans="5:7" ht="15" customHeight="1">
      <c r="E9266" s="49" t="str">
        <f>IFERROR(VLOOKUP(D9266,'taxonomy map'!$A$1:$C$107,2,FALSE),"")</f>
        <v/>
      </c>
      <c r="F9266" s="49" t="str">
        <f>IFERROR(VLOOKUP(E9266,'Condensed Specialty Crosswalk'!$A$2:$C$106,2,FALSE),"")</f>
        <v/>
      </c>
      <c r="G9266" s="49" t="str">
        <f>IFERROR(VLOOKUP(E9266,'Condensed Specialty Crosswalk'!$A$2:$C$106,3,FALSE),"")</f>
        <v/>
      </c>
    </row>
    <row r="9267" spans="5:7" ht="15" customHeight="1">
      <c r="E9267" s="49" t="str">
        <f>IFERROR(VLOOKUP(D9267,'taxonomy map'!$A$1:$C$107,2,FALSE),"")</f>
        <v/>
      </c>
      <c r="F9267" s="49" t="str">
        <f>IFERROR(VLOOKUP(E9267,'Condensed Specialty Crosswalk'!$A$2:$C$106,2,FALSE),"")</f>
        <v/>
      </c>
      <c r="G9267" s="49" t="str">
        <f>IFERROR(VLOOKUP(E9267,'Condensed Specialty Crosswalk'!$A$2:$C$106,3,FALSE),"")</f>
        <v/>
      </c>
    </row>
    <row r="9268" spans="5:7" ht="15" customHeight="1">
      <c r="E9268" s="49" t="str">
        <f>IFERROR(VLOOKUP(D9268,'taxonomy map'!$A$1:$C$107,2,FALSE),"")</f>
        <v/>
      </c>
      <c r="F9268" s="49" t="str">
        <f>IFERROR(VLOOKUP(E9268,'Condensed Specialty Crosswalk'!$A$2:$C$106,2,FALSE),"")</f>
        <v/>
      </c>
      <c r="G9268" s="49" t="str">
        <f>IFERROR(VLOOKUP(E9268,'Condensed Specialty Crosswalk'!$A$2:$C$106,3,FALSE),"")</f>
        <v/>
      </c>
    </row>
    <row r="9269" spans="5:7" ht="15" customHeight="1">
      <c r="E9269" s="49" t="str">
        <f>IFERROR(VLOOKUP(D9269,'taxonomy map'!$A$1:$C$107,2,FALSE),"")</f>
        <v/>
      </c>
      <c r="F9269" s="49" t="str">
        <f>IFERROR(VLOOKUP(E9269,'Condensed Specialty Crosswalk'!$A$2:$C$106,2,FALSE),"")</f>
        <v/>
      </c>
      <c r="G9269" s="49" t="str">
        <f>IFERROR(VLOOKUP(E9269,'Condensed Specialty Crosswalk'!$A$2:$C$106,3,FALSE),"")</f>
        <v/>
      </c>
    </row>
    <row r="9270" spans="5:7" ht="15" customHeight="1">
      <c r="E9270" s="49" t="str">
        <f>IFERROR(VLOOKUP(D9270,'taxonomy map'!$A$1:$C$107,2,FALSE),"")</f>
        <v/>
      </c>
      <c r="F9270" s="49" t="str">
        <f>IFERROR(VLOOKUP(E9270,'Condensed Specialty Crosswalk'!$A$2:$C$106,2,FALSE),"")</f>
        <v/>
      </c>
      <c r="G9270" s="49" t="str">
        <f>IFERROR(VLOOKUP(E9270,'Condensed Specialty Crosswalk'!$A$2:$C$106,3,FALSE),"")</f>
        <v/>
      </c>
    </row>
    <row r="9271" spans="5:7" ht="15" customHeight="1">
      <c r="E9271" s="49" t="str">
        <f>IFERROR(VLOOKUP(D9271,'taxonomy map'!$A$1:$C$107,2,FALSE),"")</f>
        <v/>
      </c>
      <c r="F9271" s="49" t="str">
        <f>IFERROR(VLOOKUP(E9271,'Condensed Specialty Crosswalk'!$A$2:$C$106,2,FALSE),"")</f>
        <v/>
      </c>
      <c r="G9271" s="49" t="str">
        <f>IFERROR(VLOOKUP(E9271,'Condensed Specialty Crosswalk'!$A$2:$C$106,3,FALSE),"")</f>
        <v/>
      </c>
    </row>
    <row r="9272" spans="5:7" ht="15" customHeight="1">
      <c r="E9272" s="49" t="str">
        <f>IFERROR(VLOOKUP(D9272,'taxonomy map'!$A$1:$C$107,2,FALSE),"")</f>
        <v/>
      </c>
      <c r="F9272" s="49" t="str">
        <f>IFERROR(VLOOKUP(E9272,'Condensed Specialty Crosswalk'!$A$2:$C$106,2,FALSE),"")</f>
        <v/>
      </c>
      <c r="G9272" s="49" t="str">
        <f>IFERROR(VLOOKUP(E9272,'Condensed Specialty Crosswalk'!$A$2:$C$106,3,FALSE),"")</f>
        <v/>
      </c>
    </row>
    <row r="9273" spans="5:7" ht="15" customHeight="1">
      <c r="E9273" s="49" t="str">
        <f>IFERROR(VLOOKUP(D9273,'taxonomy map'!$A$1:$C$107,2,FALSE),"")</f>
        <v/>
      </c>
      <c r="F9273" s="49" t="str">
        <f>IFERROR(VLOOKUP(E9273,'Condensed Specialty Crosswalk'!$A$2:$C$106,2,FALSE),"")</f>
        <v/>
      </c>
      <c r="G9273" s="49" t="str">
        <f>IFERROR(VLOOKUP(E9273,'Condensed Specialty Crosswalk'!$A$2:$C$106,3,FALSE),"")</f>
        <v/>
      </c>
    </row>
    <row r="9274" spans="5:7" ht="15" customHeight="1">
      <c r="E9274" s="49" t="str">
        <f>IFERROR(VLOOKUP(D9274,'taxonomy map'!$A$1:$C$107,2,FALSE),"")</f>
        <v/>
      </c>
      <c r="F9274" s="49" t="str">
        <f>IFERROR(VLOOKUP(E9274,'Condensed Specialty Crosswalk'!$A$2:$C$106,2,FALSE),"")</f>
        <v/>
      </c>
      <c r="G9274" s="49" t="str">
        <f>IFERROR(VLOOKUP(E9274,'Condensed Specialty Crosswalk'!$A$2:$C$106,3,FALSE),"")</f>
        <v/>
      </c>
    </row>
    <row r="9275" spans="5:7" ht="15" customHeight="1">
      <c r="E9275" s="49" t="str">
        <f>IFERROR(VLOOKUP(D9275,'taxonomy map'!$A$1:$C$107,2,FALSE),"")</f>
        <v/>
      </c>
      <c r="F9275" s="49" t="str">
        <f>IFERROR(VLOOKUP(E9275,'Condensed Specialty Crosswalk'!$A$2:$C$106,2,FALSE),"")</f>
        <v/>
      </c>
      <c r="G9275" s="49" t="str">
        <f>IFERROR(VLOOKUP(E9275,'Condensed Specialty Crosswalk'!$A$2:$C$106,3,FALSE),"")</f>
        <v/>
      </c>
    </row>
    <row r="9276" spans="5:7" ht="15" customHeight="1">
      <c r="E9276" s="49" t="str">
        <f>IFERROR(VLOOKUP(D9276,'taxonomy map'!$A$1:$C$107,2,FALSE),"")</f>
        <v/>
      </c>
      <c r="F9276" s="49" t="str">
        <f>IFERROR(VLOOKUP(E9276,'Condensed Specialty Crosswalk'!$A$2:$C$106,2,FALSE),"")</f>
        <v/>
      </c>
      <c r="G9276" s="49" t="str">
        <f>IFERROR(VLOOKUP(E9276,'Condensed Specialty Crosswalk'!$A$2:$C$106,3,FALSE),"")</f>
        <v/>
      </c>
    </row>
    <row r="9277" spans="5:7" ht="15" customHeight="1">
      <c r="E9277" s="49" t="str">
        <f>IFERROR(VLOOKUP(D9277,'taxonomy map'!$A$1:$C$107,2,FALSE),"")</f>
        <v/>
      </c>
      <c r="F9277" s="49" t="str">
        <f>IFERROR(VLOOKUP(E9277,'Condensed Specialty Crosswalk'!$A$2:$C$106,2,FALSE),"")</f>
        <v/>
      </c>
      <c r="G9277" s="49" t="str">
        <f>IFERROR(VLOOKUP(E9277,'Condensed Specialty Crosswalk'!$A$2:$C$106,3,FALSE),"")</f>
        <v/>
      </c>
    </row>
    <row r="9278" spans="5:7" ht="15" customHeight="1">
      <c r="E9278" s="49" t="str">
        <f>IFERROR(VLOOKUP(D9278,'taxonomy map'!$A$1:$C$107,2,FALSE),"")</f>
        <v/>
      </c>
      <c r="F9278" s="49" t="str">
        <f>IFERROR(VLOOKUP(E9278,'Condensed Specialty Crosswalk'!$A$2:$C$106,2,FALSE),"")</f>
        <v/>
      </c>
      <c r="G9278" s="49" t="str">
        <f>IFERROR(VLOOKUP(E9278,'Condensed Specialty Crosswalk'!$A$2:$C$106,3,FALSE),"")</f>
        <v/>
      </c>
    </row>
    <row r="9279" spans="5:7" ht="15" customHeight="1">
      <c r="E9279" s="49" t="str">
        <f>IFERROR(VLOOKUP(D9279,'taxonomy map'!$A$1:$C$107,2,FALSE),"")</f>
        <v/>
      </c>
      <c r="F9279" s="49" t="str">
        <f>IFERROR(VLOOKUP(E9279,'Condensed Specialty Crosswalk'!$A$2:$C$106,2,FALSE),"")</f>
        <v/>
      </c>
      <c r="G9279" s="49" t="str">
        <f>IFERROR(VLOOKUP(E9279,'Condensed Specialty Crosswalk'!$A$2:$C$106,3,FALSE),"")</f>
        <v/>
      </c>
    </row>
    <row r="9280" spans="5:7" ht="15" customHeight="1">
      <c r="E9280" s="49" t="str">
        <f>IFERROR(VLOOKUP(D9280,'taxonomy map'!$A$1:$C$107,2,FALSE),"")</f>
        <v/>
      </c>
      <c r="F9280" s="49" t="str">
        <f>IFERROR(VLOOKUP(E9280,'Condensed Specialty Crosswalk'!$A$2:$C$106,2,FALSE),"")</f>
        <v/>
      </c>
      <c r="G9280" s="49" t="str">
        <f>IFERROR(VLOOKUP(E9280,'Condensed Specialty Crosswalk'!$A$2:$C$106,3,FALSE),"")</f>
        <v/>
      </c>
    </row>
    <row r="9281" spans="5:7" ht="15" customHeight="1">
      <c r="E9281" s="49" t="str">
        <f>IFERROR(VLOOKUP(D9281,'taxonomy map'!$A$1:$C$107,2,FALSE),"")</f>
        <v/>
      </c>
      <c r="F9281" s="49" t="str">
        <f>IFERROR(VLOOKUP(E9281,'Condensed Specialty Crosswalk'!$A$2:$C$106,2,FALSE),"")</f>
        <v/>
      </c>
      <c r="G9281" s="49" t="str">
        <f>IFERROR(VLOOKUP(E9281,'Condensed Specialty Crosswalk'!$A$2:$C$106,3,FALSE),"")</f>
        <v/>
      </c>
    </row>
    <row r="9282" spans="5:7" ht="15" customHeight="1">
      <c r="E9282" s="49" t="str">
        <f>IFERROR(VLOOKUP(D9282,'taxonomy map'!$A$1:$C$107,2,FALSE),"")</f>
        <v/>
      </c>
      <c r="F9282" s="49" t="str">
        <f>IFERROR(VLOOKUP(E9282,'Condensed Specialty Crosswalk'!$A$2:$C$106,2,FALSE),"")</f>
        <v/>
      </c>
      <c r="G9282" s="49" t="str">
        <f>IFERROR(VLOOKUP(E9282,'Condensed Specialty Crosswalk'!$A$2:$C$106,3,FALSE),"")</f>
        <v/>
      </c>
    </row>
    <row r="9283" spans="5:7" ht="15" customHeight="1">
      <c r="E9283" s="49" t="str">
        <f>IFERROR(VLOOKUP(D9283,'taxonomy map'!$A$1:$C$107,2,FALSE),"")</f>
        <v/>
      </c>
      <c r="F9283" s="49" t="str">
        <f>IFERROR(VLOOKUP(E9283,'Condensed Specialty Crosswalk'!$A$2:$C$106,2,FALSE),"")</f>
        <v/>
      </c>
      <c r="G9283" s="49" t="str">
        <f>IFERROR(VLOOKUP(E9283,'Condensed Specialty Crosswalk'!$A$2:$C$106,3,FALSE),"")</f>
        <v/>
      </c>
    </row>
    <row r="9284" spans="5:7" ht="15" customHeight="1">
      <c r="E9284" s="49" t="str">
        <f>IFERROR(VLOOKUP(D9284,'taxonomy map'!$A$1:$C$107,2,FALSE),"")</f>
        <v/>
      </c>
      <c r="F9284" s="49" t="str">
        <f>IFERROR(VLOOKUP(E9284,'Condensed Specialty Crosswalk'!$A$2:$C$106,2,FALSE),"")</f>
        <v/>
      </c>
      <c r="G9284" s="49" t="str">
        <f>IFERROR(VLOOKUP(E9284,'Condensed Specialty Crosswalk'!$A$2:$C$106,3,FALSE),"")</f>
        <v/>
      </c>
    </row>
    <row r="9285" spans="5:7" ht="15" customHeight="1">
      <c r="E9285" s="49" t="str">
        <f>IFERROR(VLOOKUP(D9285,'taxonomy map'!$A$1:$C$107,2,FALSE),"")</f>
        <v/>
      </c>
      <c r="F9285" s="49" t="str">
        <f>IFERROR(VLOOKUP(E9285,'Condensed Specialty Crosswalk'!$A$2:$C$106,2,FALSE),"")</f>
        <v/>
      </c>
      <c r="G9285" s="49" t="str">
        <f>IFERROR(VLOOKUP(E9285,'Condensed Specialty Crosswalk'!$A$2:$C$106,3,FALSE),"")</f>
        <v/>
      </c>
    </row>
    <row r="9286" spans="5:7" ht="15" customHeight="1">
      <c r="E9286" s="49" t="str">
        <f>IFERROR(VLOOKUP(D9286,'taxonomy map'!$A$1:$C$107,2,FALSE),"")</f>
        <v/>
      </c>
      <c r="F9286" s="49" t="str">
        <f>IFERROR(VLOOKUP(E9286,'Condensed Specialty Crosswalk'!$A$2:$C$106,2,FALSE),"")</f>
        <v/>
      </c>
      <c r="G9286" s="49" t="str">
        <f>IFERROR(VLOOKUP(E9286,'Condensed Specialty Crosswalk'!$A$2:$C$106,3,FALSE),"")</f>
        <v/>
      </c>
    </row>
    <row r="9287" spans="5:7" ht="15" customHeight="1">
      <c r="E9287" s="49" t="str">
        <f>IFERROR(VLOOKUP(D9287,'taxonomy map'!$A$1:$C$107,2,FALSE),"")</f>
        <v/>
      </c>
      <c r="F9287" s="49" t="str">
        <f>IFERROR(VLOOKUP(E9287,'Condensed Specialty Crosswalk'!$A$2:$C$106,2,FALSE),"")</f>
        <v/>
      </c>
      <c r="G9287" s="49" t="str">
        <f>IFERROR(VLOOKUP(E9287,'Condensed Specialty Crosswalk'!$A$2:$C$106,3,FALSE),"")</f>
        <v/>
      </c>
    </row>
    <row r="9288" spans="5:7" ht="15" customHeight="1">
      <c r="E9288" s="49" t="str">
        <f>IFERROR(VLOOKUP(D9288,'taxonomy map'!$A$1:$C$107,2,FALSE),"")</f>
        <v/>
      </c>
      <c r="F9288" s="49" t="str">
        <f>IFERROR(VLOOKUP(E9288,'Condensed Specialty Crosswalk'!$A$2:$C$106,2,FALSE),"")</f>
        <v/>
      </c>
      <c r="G9288" s="49" t="str">
        <f>IFERROR(VLOOKUP(E9288,'Condensed Specialty Crosswalk'!$A$2:$C$106,3,FALSE),"")</f>
        <v/>
      </c>
    </row>
    <row r="9289" spans="5:7" ht="15" customHeight="1">
      <c r="E9289" s="49" t="str">
        <f>IFERROR(VLOOKUP(D9289,'taxonomy map'!$A$1:$C$107,2,FALSE),"")</f>
        <v/>
      </c>
      <c r="F9289" s="49" t="str">
        <f>IFERROR(VLOOKUP(E9289,'Condensed Specialty Crosswalk'!$A$2:$C$106,2,FALSE),"")</f>
        <v/>
      </c>
      <c r="G9289" s="49" t="str">
        <f>IFERROR(VLOOKUP(E9289,'Condensed Specialty Crosswalk'!$A$2:$C$106,3,FALSE),"")</f>
        <v/>
      </c>
    </row>
    <row r="9290" spans="5:7" ht="15" customHeight="1">
      <c r="E9290" s="49" t="str">
        <f>IFERROR(VLOOKUP(D9290,'taxonomy map'!$A$1:$C$107,2,FALSE),"")</f>
        <v/>
      </c>
      <c r="F9290" s="49" t="str">
        <f>IFERROR(VLOOKUP(E9290,'Condensed Specialty Crosswalk'!$A$2:$C$106,2,FALSE),"")</f>
        <v/>
      </c>
      <c r="G9290" s="49" t="str">
        <f>IFERROR(VLOOKUP(E9290,'Condensed Specialty Crosswalk'!$A$2:$C$106,3,FALSE),"")</f>
        <v/>
      </c>
    </row>
    <row r="9291" spans="5:7" ht="15" customHeight="1">
      <c r="E9291" s="49" t="str">
        <f>IFERROR(VLOOKUP(D9291,'taxonomy map'!$A$1:$C$107,2,FALSE),"")</f>
        <v/>
      </c>
      <c r="F9291" s="49" t="str">
        <f>IFERROR(VLOOKUP(E9291,'Condensed Specialty Crosswalk'!$A$2:$C$106,2,FALSE),"")</f>
        <v/>
      </c>
      <c r="G9291" s="49" t="str">
        <f>IFERROR(VLOOKUP(E9291,'Condensed Specialty Crosswalk'!$A$2:$C$106,3,FALSE),"")</f>
        <v/>
      </c>
    </row>
    <row r="9292" spans="5:7" ht="15" customHeight="1">
      <c r="E9292" s="49" t="str">
        <f>IFERROR(VLOOKUP(D9292,'taxonomy map'!$A$1:$C$107,2,FALSE),"")</f>
        <v/>
      </c>
      <c r="F9292" s="49" t="str">
        <f>IFERROR(VLOOKUP(E9292,'Condensed Specialty Crosswalk'!$A$2:$C$106,2,FALSE),"")</f>
        <v/>
      </c>
      <c r="G9292" s="49" t="str">
        <f>IFERROR(VLOOKUP(E9292,'Condensed Specialty Crosswalk'!$A$2:$C$106,3,FALSE),"")</f>
        <v/>
      </c>
    </row>
    <row r="9293" spans="5:7" ht="15" customHeight="1">
      <c r="E9293" s="49" t="str">
        <f>IFERROR(VLOOKUP(D9293,'taxonomy map'!$A$1:$C$107,2,FALSE),"")</f>
        <v/>
      </c>
      <c r="F9293" s="49" t="str">
        <f>IFERROR(VLOOKUP(E9293,'Condensed Specialty Crosswalk'!$A$2:$C$106,2,FALSE),"")</f>
        <v/>
      </c>
      <c r="G9293" s="49" t="str">
        <f>IFERROR(VLOOKUP(E9293,'Condensed Specialty Crosswalk'!$A$2:$C$106,3,FALSE),"")</f>
        <v/>
      </c>
    </row>
    <row r="9294" spans="5:7" ht="15" customHeight="1">
      <c r="E9294" s="49" t="str">
        <f>IFERROR(VLOOKUP(D9294,'taxonomy map'!$A$1:$C$107,2,FALSE),"")</f>
        <v/>
      </c>
      <c r="F9294" s="49" t="str">
        <f>IFERROR(VLOOKUP(E9294,'Condensed Specialty Crosswalk'!$A$2:$C$106,2,FALSE),"")</f>
        <v/>
      </c>
      <c r="G9294" s="49" t="str">
        <f>IFERROR(VLOOKUP(E9294,'Condensed Specialty Crosswalk'!$A$2:$C$106,3,FALSE),"")</f>
        <v/>
      </c>
    </row>
    <row r="9295" spans="5:7" ht="15" customHeight="1">
      <c r="E9295" s="49" t="str">
        <f>IFERROR(VLOOKUP(D9295,'taxonomy map'!$A$1:$C$107,2,FALSE),"")</f>
        <v/>
      </c>
      <c r="F9295" s="49" t="str">
        <f>IFERROR(VLOOKUP(E9295,'Condensed Specialty Crosswalk'!$A$2:$C$106,2,FALSE),"")</f>
        <v/>
      </c>
      <c r="G9295" s="49" t="str">
        <f>IFERROR(VLOOKUP(E9295,'Condensed Specialty Crosswalk'!$A$2:$C$106,3,FALSE),"")</f>
        <v/>
      </c>
    </row>
    <row r="9296" spans="5:7" ht="15" customHeight="1">
      <c r="E9296" s="49" t="str">
        <f>IFERROR(VLOOKUP(D9296,'taxonomy map'!$A$1:$C$107,2,FALSE),"")</f>
        <v/>
      </c>
      <c r="F9296" s="49" t="str">
        <f>IFERROR(VLOOKUP(E9296,'Condensed Specialty Crosswalk'!$A$2:$C$106,2,FALSE),"")</f>
        <v/>
      </c>
      <c r="G9296" s="49" t="str">
        <f>IFERROR(VLOOKUP(E9296,'Condensed Specialty Crosswalk'!$A$2:$C$106,3,FALSE),"")</f>
        <v/>
      </c>
    </row>
    <row r="9297" spans="5:7" ht="15" customHeight="1">
      <c r="E9297" s="49" t="str">
        <f>IFERROR(VLOOKUP(D9297,'taxonomy map'!$A$1:$C$107,2,FALSE),"")</f>
        <v/>
      </c>
      <c r="F9297" s="49" t="str">
        <f>IFERROR(VLOOKUP(E9297,'Condensed Specialty Crosswalk'!$A$2:$C$106,2,FALSE),"")</f>
        <v/>
      </c>
      <c r="G9297" s="49" t="str">
        <f>IFERROR(VLOOKUP(E9297,'Condensed Specialty Crosswalk'!$A$2:$C$106,3,FALSE),"")</f>
        <v/>
      </c>
    </row>
    <row r="9298" spans="5:7" ht="15" customHeight="1">
      <c r="E9298" s="49" t="str">
        <f>IFERROR(VLOOKUP(D9298,'taxonomy map'!$A$1:$C$107,2,FALSE),"")</f>
        <v/>
      </c>
      <c r="F9298" s="49" t="str">
        <f>IFERROR(VLOOKUP(E9298,'Condensed Specialty Crosswalk'!$A$2:$C$106,2,FALSE),"")</f>
        <v/>
      </c>
      <c r="G9298" s="49" t="str">
        <f>IFERROR(VLOOKUP(E9298,'Condensed Specialty Crosswalk'!$A$2:$C$106,3,FALSE),"")</f>
        <v/>
      </c>
    </row>
    <row r="9299" spans="5:7" ht="15" customHeight="1">
      <c r="E9299" s="49" t="str">
        <f>IFERROR(VLOOKUP(D9299,'taxonomy map'!$A$1:$C$107,2,FALSE),"")</f>
        <v/>
      </c>
      <c r="F9299" s="49" t="str">
        <f>IFERROR(VLOOKUP(E9299,'Condensed Specialty Crosswalk'!$A$2:$C$106,2,FALSE),"")</f>
        <v/>
      </c>
      <c r="G9299" s="49" t="str">
        <f>IFERROR(VLOOKUP(E9299,'Condensed Specialty Crosswalk'!$A$2:$C$106,3,FALSE),"")</f>
        <v/>
      </c>
    </row>
    <row r="9300" spans="5:7" ht="15" customHeight="1">
      <c r="E9300" s="49" t="str">
        <f>IFERROR(VLOOKUP(D9300,'taxonomy map'!$A$1:$C$107,2,FALSE),"")</f>
        <v/>
      </c>
      <c r="F9300" s="49" t="str">
        <f>IFERROR(VLOOKUP(E9300,'Condensed Specialty Crosswalk'!$A$2:$C$106,2,FALSE),"")</f>
        <v/>
      </c>
      <c r="G9300" s="49" t="str">
        <f>IFERROR(VLOOKUP(E9300,'Condensed Specialty Crosswalk'!$A$2:$C$106,3,FALSE),"")</f>
        <v/>
      </c>
    </row>
    <row r="9301" spans="5:7" ht="15" customHeight="1">
      <c r="E9301" s="49" t="str">
        <f>IFERROR(VLOOKUP(D9301,'taxonomy map'!$A$1:$C$107,2,FALSE),"")</f>
        <v/>
      </c>
      <c r="F9301" s="49" t="str">
        <f>IFERROR(VLOOKUP(E9301,'Condensed Specialty Crosswalk'!$A$2:$C$106,2,FALSE),"")</f>
        <v/>
      </c>
      <c r="G9301" s="49" t="str">
        <f>IFERROR(VLOOKUP(E9301,'Condensed Specialty Crosswalk'!$A$2:$C$106,3,FALSE),"")</f>
        <v/>
      </c>
    </row>
    <row r="9302" spans="5:7" ht="15" customHeight="1">
      <c r="E9302" s="49" t="str">
        <f>IFERROR(VLOOKUP(D9302,'taxonomy map'!$A$1:$C$107,2,FALSE),"")</f>
        <v/>
      </c>
      <c r="F9302" s="49" t="str">
        <f>IFERROR(VLOOKUP(E9302,'Condensed Specialty Crosswalk'!$A$2:$C$106,2,FALSE),"")</f>
        <v/>
      </c>
      <c r="G9302" s="49" t="str">
        <f>IFERROR(VLOOKUP(E9302,'Condensed Specialty Crosswalk'!$A$2:$C$106,3,FALSE),"")</f>
        <v/>
      </c>
    </row>
    <row r="9303" spans="5:7" ht="15" customHeight="1">
      <c r="E9303" s="49" t="str">
        <f>IFERROR(VLOOKUP(D9303,'taxonomy map'!$A$1:$C$107,2,FALSE),"")</f>
        <v/>
      </c>
      <c r="F9303" s="49" t="str">
        <f>IFERROR(VLOOKUP(E9303,'Condensed Specialty Crosswalk'!$A$2:$C$106,2,FALSE),"")</f>
        <v/>
      </c>
      <c r="G9303" s="49" t="str">
        <f>IFERROR(VLOOKUP(E9303,'Condensed Specialty Crosswalk'!$A$2:$C$106,3,FALSE),"")</f>
        <v/>
      </c>
    </row>
    <row r="9304" spans="5:7" ht="15" customHeight="1">
      <c r="E9304" s="49" t="str">
        <f>IFERROR(VLOOKUP(D9304,'taxonomy map'!$A$1:$C$107,2,FALSE),"")</f>
        <v/>
      </c>
      <c r="F9304" s="49" t="str">
        <f>IFERROR(VLOOKUP(E9304,'Condensed Specialty Crosswalk'!$A$2:$C$106,2,FALSE),"")</f>
        <v/>
      </c>
      <c r="G9304" s="49" t="str">
        <f>IFERROR(VLOOKUP(E9304,'Condensed Specialty Crosswalk'!$A$2:$C$106,3,FALSE),"")</f>
        <v/>
      </c>
    </row>
    <row r="9305" spans="5:7" ht="15" customHeight="1">
      <c r="E9305" s="49" t="str">
        <f>IFERROR(VLOOKUP(D9305,'taxonomy map'!$A$1:$C$107,2,FALSE),"")</f>
        <v/>
      </c>
      <c r="F9305" s="49" t="str">
        <f>IFERROR(VLOOKUP(E9305,'Condensed Specialty Crosswalk'!$A$2:$C$106,2,FALSE),"")</f>
        <v/>
      </c>
      <c r="G9305" s="49" t="str">
        <f>IFERROR(VLOOKUP(E9305,'Condensed Specialty Crosswalk'!$A$2:$C$106,3,FALSE),"")</f>
        <v/>
      </c>
    </row>
    <row r="9306" spans="5:7" ht="15" customHeight="1">
      <c r="E9306" s="49" t="str">
        <f>IFERROR(VLOOKUP(D9306,'taxonomy map'!$A$1:$C$107,2,FALSE),"")</f>
        <v/>
      </c>
      <c r="F9306" s="49" t="str">
        <f>IFERROR(VLOOKUP(E9306,'Condensed Specialty Crosswalk'!$A$2:$C$106,2,FALSE),"")</f>
        <v/>
      </c>
      <c r="G9306" s="49" t="str">
        <f>IFERROR(VLOOKUP(E9306,'Condensed Specialty Crosswalk'!$A$2:$C$106,3,FALSE),"")</f>
        <v/>
      </c>
    </row>
    <row r="9307" spans="5:7" ht="15" customHeight="1">
      <c r="E9307" s="49" t="str">
        <f>IFERROR(VLOOKUP(D9307,'taxonomy map'!$A$1:$C$107,2,FALSE),"")</f>
        <v/>
      </c>
      <c r="F9307" s="49" t="str">
        <f>IFERROR(VLOOKUP(E9307,'Condensed Specialty Crosswalk'!$A$2:$C$106,2,FALSE),"")</f>
        <v/>
      </c>
      <c r="G9307" s="49" t="str">
        <f>IFERROR(VLOOKUP(E9307,'Condensed Specialty Crosswalk'!$A$2:$C$106,3,FALSE),"")</f>
        <v/>
      </c>
    </row>
    <row r="9308" spans="5:7" ht="15" customHeight="1">
      <c r="E9308" s="49" t="str">
        <f>IFERROR(VLOOKUP(D9308,'taxonomy map'!$A$1:$C$107,2,FALSE),"")</f>
        <v/>
      </c>
      <c r="F9308" s="49" t="str">
        <f>IFERROR(VLOOKUP(E9308,'Condensed Specialty Crosswalk'!$A$2:$C$106,2,FALSE),"")</f>
        <v/>
      </c>
      <c r="G9308" s="49" t="str">
        <f>IFERROR(VLOOKUP(E9308,'Condensed Specialty Crosswalk'!$A$2:$C$106,3,FALSE),"")</f>
        <v/>
      </c>
    </row>
    <row r="9309" spans="5:7" ht="15" customHeight="1">
      <c r="E9309" s="49" t="str">
        <f>IFERROR(VLOOKUP(D9309,'taxonomy map'!$A$1:$C$107,2,FALSE),"")</f>
        <v/>
      </c>
      <c r="F9309" s="49" t="str">
        <f>IFERROR(VLOOKUP(E9309,'Condensed Specialty Crosswalk'!$A$2:$C$106,2,FALSE),"")</f>
        <v/>
      </c>
      <c r="G9309" s="49" t="str">
        <f>IFERROR(VLOOKUP(E9309,'Condensed Specialty Crosswalk'!$A$2:$C$106,3,FALSE),"")</f>
        <v/>
      </c>
    </row>
    <row r="9310" spans="5:7" ht="15" customHeight="1">
      <c r="E9310" s="49" t="str">
        <f>IFERROR(VLOOKUP(D9310,'taxonomy map'!$A$1:$C$107,2,FALSE),"")</f>
        <v/>
      </c>
      <c r="F9310" s="49" t="str">
        <f>IFERROR(VLOOKUP(E9310,'Condensed Specialty Crosswalk'!$A$2:$C$106,2,FALSE),"")</f>
        <v/>
      </c>
      <c r="G9310" s="49" t="str">
        <f>IFERROR(VLOOKUP(E9310,'Condensed Specialty Crosswalk'!$A$2:$C$106,3,FALSE),"")</f>
        <v/>
      </c>
    </row>
    <row r="9311" spans="5:7" ht="15" customHeight="1">
      <c r="E9311" s="49" t="str">
        <f>IFERROR(VLOOKUP(D9311,'taxonomy map'!$A$1:$C$107,2,FALSE),"")</f>
        <v/>
      </c>
      <c r="F9311" s="49" t="str">
        <f>IFERROR(VLOOKUP(E9311,'Condensed Specialty Crosswalk'!$A$2:$C$106,2,FALSE),"")</f>
        <v/>
      </c>
      <c r="G9311" s="49" t="str">
        <f>IFERROR(VLOOKUP(E9311,'Condensed Specialty Crosswalk'!$A$2:$C$106,3,FALSE),"")</f>
        <v/>
      </c>
    </row>
    <row r="9312" spans="5:7" ht="15" customHeight="1">
      <c r="E9312" s="49" t="str">
        <f>IFERROR(VLOOKUP(D9312,'taxonomy map'!$A$1:$C$107,2,FALSE),"")</f>
        <v/>
      </c>
      <c r="F9312" s="49" t="str">
        <f>IFERROR(VLOOKUP(E9312,'Condensed Specialty Crosswalk'!$A$2:$C$106,2,FALSE),"")</f>
        <v/>
      </c>
      <c r="G9312" s="49" t="str">
        <f>IFERROR(VLOOKUP(E9312,'Condensed Specialty Crosswalk'!$A$2:$C$106,3,FALSE),"")</f>
        <v/>
      </c>
    </row>
    <row r="9313" spans="5:7" ht="15" customHeight="1">
      <c r="E9313" s="49" t="str">
        <f>IFERROR(VLOOKUP(D9313,'taxonomy map'!$A$1:$C$107,2,FALSE),"")</f>
        <v/>
      </c>
      <c r="F9313" s="49" t="str">
        <f>IFERROR(VLOOKUP(E9313,'Condensed Specialty Crosswalk'!$A$2:$C$106,2,FALSE),"")</f>
        <v/>
      </c>
      <c r="G9313" s="49" t="str">
        <f>IFERROR(VLOOKUP(E9313,'Condensed Specialty Crosswalk'!$A$2:$C$106,3,FALSE),"")</f>
        <v/>
      </c>
    </row>
    <row r="9314" spans="5:7" ht="15" customHeight="1">
      <c r="E9314" s="49" t="str">
        <f>IFERROR(VLOOKUP(D9314,'taxonomy map'!$A$1:$C$107,2,FALSE),"")</f>
        <v/>
      </c>
      <c r="F9314" s="49" t="str">
        <f>IFERROR(VLOOKUP(E9314,'Condensed Specialty Crosswalk'!$A$2:$C$106,2,FALSE),"")</f>
        <v/>
      </c>
      <c r="G9314" s="49" t="str">
        <f>IFERROR(VLOOKUP(E9314,'Condensed Specialty Crosswalk'!$A$2:$C$106,3,FALSE),"")</f>
        <v/>
      </c>
    </row>
    <row r="9315" spans="5:7" ht="15" customHeight="1">
      <c r="E9315" s="49" t="str">
        <f>IFERROR(VLOOKUP(D9315,'taxonomy map'!$A$1:$C$107,2,FALSE),"")</f>
        <v/>
      </c>
      <c r="F9315" s="49" t="str">
        <f>IFERROR(VLOOKUP(E9315,'Condensed Specialty Crosswalk'!$A$2:$C$106,2,FALSE),"")</f>
        <v/>
      </c>
      <c r="G9315" s="49" t="str">
        <f>IFERROR(VLOOKUP(E9315,'Condensed Specialty Crosswalk'!$A$2:$C$106,3,FALSE),"")</f>
        <v/>
      </c>
    </row>
    <row r="9316" spans="5:7" ht="15" customHeight="1">
      <c r="E9316" s="49" t="str">
        <f>IFERROR(VLOOKUP(D9316,'taxonomy map'!$A$1:$C$107,2,FALSE),"")</f>
        <v/>
      </c>
      <c r="F9316" s="49" t="str">
        <f>IFERROR(VLOOKUP(E9316,'Condensed Specialty Crosswalk'!$A$2:$C$106,2,FALSE),"")</f>
        <v/>
      </c>
      <c r="G9316" s="49" t="str">
        <f>IFERROR(VLOOKUP(E9316,'Condensed Specialty Crosswalk'!$A$2:$C$106,3,FALSE),"")</f>
        <v/>
      </c>
    </row>
    <row r="9317" spans="5:7" ht="15" customHeight="1">
      <c r="E9317" s="49" t="str">
        <f>IFERROR(VLOOKUP(D9317,'taxonomy map'!$A$1:$C$107,2,FALSE),"")</f>
        <v/>
      </c>
      <c r="F9317" s="49" t="str">
        <f>IFERROR(VLOOKUP(E9317,'Condensed Specialty Crosswalk'!$A$2:$C$106,2,FALSE),"")</f>
        <v/>
      </c>
      <c r="G9317" s="49" t="str">
        <f>IFERROR(VLOOKUP(E9317,'Condensed Specialty Crosswalk'!$A$2:$C$106,3,FALSE),"")</f>
        <v/>
      </c>
    </row>
    <row r="9318" spans="5:7" ht="15" customHeight="1">
      <c r="E9318" s="49" t="str">
        <f>IFERROR(VLOOKUP(D9318,'taxonomy map'!$A$1:$C$107,2,FALSE),"")</f>
        <v/>
      </c>
      <c r="F9318" s="49" t="str">
        <f>IFERROR(VLOOKUP(E9318,'Condensed Specialty Crosswalk'!$A$2:$C$106,2,FALSE),"")</f>
        <v/>
      </c>
      <c r="G9318" s="49" t="str">
        <f>IFERROR(VLOOKUP(E9318,'Condensed Specialty Crosswalk'!$A$2:$C$106,3,FALSE),"")</f>
        <v/>
      </c>
    </row>
    <row r="9319" spans="5:7" ht="15" customHeight="1">
      <c r="E9319" s="49" t="str">
        <f>IFERROR(VLOOKUP(D9319,'taxonomy map'!$A$1:$C$107,2,FALSE),"")</f>
        <v/>
      </c>
      <c r="F9319" s="49" t="str">
        <f>IFERROR(VLOOKUP(E9319,'Condensed Specialty Crosswalk'!$A$2:$C$106,2,FALSE),"")</f>
        <v/>
      </c>
      <c r="G9319" s="49" t="str">
        <f>IFERROR(VLOOKUP(E9319,'Condensed Specialty Crosswalk'!$A$2:$C$106,3,FALSE),"")</f>
        <v/>
      </c>
    </row>
    <row r="9320" spans="5:7" ht="15" customHeight="1">
      <c r="E9320" s="49" t="str">
        <f>IFERROR(VLOOKUP(D9320,'taxonomy map'!$A$1:$C$107,2,FALSE),"")</f>
        <v/>
      </c>
      <c r="F9320" s="49" t="str">
        <f>IFERROR(VLOOKUP(E9320,'Condensed Specialty Crosswalk'!$A$2:$C$106,2,FALSE),"")</f>
        <v/>
      </c>
      <c r="G9320" s="49" t="str">
        <f>IFERROR(VLOOKUP(E9320,'Condensed Specialty Crosswalk'!$A$2:$C$106,3,FALSE),"")</f>
        <v/>
      </c>
    </row>
    <row r="9321" spans="5:7" ht="15" customHeight="1">
      <c r="E9321" s="49" t="str">
        <f>IFERROR(VLOOKUP(D9321,'taxonomy map'!$A$1:$C$107,2,FALSE),"")</f>
        <v/>
      </c>
      <c r="F9321" s="49" t="str">
        <f>IFERROR(VLOOKUP(E9321,'Condensed Specialty Crosswalk'!$A$2:$C$106,2,FALSE),"")</f>
        <v/>
      </c>
      <c r="G9321" s="49" t="str">
        <f>IFERROR(VLOOKUP(E9321,'Condensed Specialty Crosswalk'!$A$2:$C$106,3,FALSE),"")</f>
        <v/>
      </c>
    </row>
    <row r="9322" spans="5:7" ht="15" customHeight="1">
      <c r="E9322" s="49" t="str">
        <f>IFERROR(VLOOKUP(D9322,'taxonomy map'!$A$1:$C$107,2,FALSE),"")</f>
        <v/>
      </c>
      <c r="F9322" s="49" t="str">
        <f>IFERROR(VLOOKUP(E9322,'Condensed Specialty Crosswalk'!$A$2:$C$106,2,FALSE),"")</f>
        <v/>
      </c>
      <c r="G9322" s="49" t="str">
        <f>IFERROR(VLOOKUP(E9322,'Condensed Specialty Crosswalk'!$A$2:$C$106,3,FALSE),"")</f>
        <v/>
      </c>
    </row>
    <row r="9323" spans="5:7" ht="15" customHeight="1">
      <c r="E9323" s="49" t="str">
        <f>IFERROR(VLOOKUP(D9323,'taxonomy map'!$A$1:$C$107,2,FALSE),"")</f>
        <v/>
      </c>
      <c r="F9323" s="49" t="str">
        <f>IFERROR(VLOOKUP(E9323,'Condensed Specialty Crosswalk'!$A$2:$C$106,2,FALSE),"")</f>
        <v/>
      </c>
      <c r="G9323" s="49" t="str">
        <f>IFERROR(VLOOKUP(E9323,'Condensed Specialty Crosswalk'!$A$2:$C$106,3,FALSE),"")</f>
        <v/>
      </c>
    </row>
    <row r="9324" spans="5:7" ht="15" customHeight="1">
      <c r="E9324" s="49" t="str">
        <f>IFERROR(VLOOKUP(D9324,'taxonomy map'!$A$1:$C$107,2,FALSE),"")</f>
        <v/>
      </c>
      <c r="F9324" s="49" t="str">
        <f>IFERROR(VLOOKUP(E9324,'Condensed Specialty Crosswalk'!$A$2:$C$106,2,FALSE),"")</f>
        <v/>
      </c>
      <c r="G9324" s="49" t="str">
        <f>IFERROR(VLOOKUP(E9324,'Condensed Specialty Crosswalk'!$A$2:$C$106,3,FALSE),"")</f>
        <v/>
      </c>
    </row>
    <row r="9325" spans="5:7" ht="15" customHeight="1">
      <c r="E9325" s="49" t="str">
        <f>IFERROR(VLOOKUP(D9325,'taxonomy map'!$A$1:$C$107,2,FALSE),"")</f>
        <v/>
      </c>
      <c r="F9325" s="49" t="str">
        <f>IFERROR(VLOOKUP(E9325,'Condensed Specialty Crosswalk'!$A$2:$C$106,2,FALSE),"")</f>
        <v/>
      </c>
      <c r="G9325" s="49" t="str">
        <f>IFERROR(VLOOKUP(E9325,'Condensed Specialty Crosswalk'!$A$2:$C$106,3,FALSE),"")</f>
        <v/>
      </c>
    </row>
    <row r="9326" spans="5:7" ht="15" customHeight="1">
      <c r="E9326" s="49" t="str">
        <f>IFERROR(VLOOKUP(D9326,'taxonomy map'!$A$1:$C$107,2,FALSE),"")</f>
        <v/>
      </c>
      <c r="F9326" s="49" t="str">
        <f>IFERROR(VLOOKUP(E9326,'Condensed Specialty Crosswalk'!$A$2:$C$106,2,FALSE),"")</f>
        <v/>
      </c>
      <c r="G9326" s="49" t="str">
        <f>IFERROR(VLOOKUP(E9326,'Condensed Specialty Crosswalk'!$A$2:$C$106,3,FALSE),"")</f>
        <v/>
      </c>
    </row>
    <row r="9327" spans="5:7" ht="15" customHeight="1">
      <c r="E9327" s="49" t="str">
        <f>IFERROR(VLOOKUP(D9327,'taxonomy map'!$A$1:$C$107,2,FALSE),"")</f>
        <v/>
      </c>
      <c r="F9327" s="49" t="str">
        <f>IFERROR(VLOOKUP(E9327,'Condensed Specialty Crosswalk'!$A$2:$C$106,2,FALSE),"")</f>
        <v/>
      </c>
      <c r="G9327" s="49" t="str">
        <f>IFERROR(VLOOKUP(E9327,'Condensed Specialty Crosswalk'!$A$2:$C$106,3,FALSE),"")</f>
        <v/>
      </c>
    </row>
    <row r="9328" spans="5:7" ht="15" customHeight="1">
      <c r="E9328" s="49" t="str">
        <f>IFERROR(VLOOKUP(D9328,'taxonomy map'!$A$1:$C$107,2,FALSE),"")</f>
        <v/>
      </c>
      <c r="F9328" s="49" t="str">
        <f>IFERROR(VLOOKUP(E9328,'Condensed Specialty Crosswalk'!$A$2:$C$106,2,FALSE),"")</f>
        <v/>
      </c>
      <c r="G9328" s="49" t="str">
        <f>IFERROR(VLOOKUP(E9328,'Condensed Specialty Crosswalk'!$A$2:$C$106,3,FALSE),"")</f>
        <v/>
      </c>
    </row>
    <row r="9329" spans="5:7" ht="15" customHeight="1">
      <c r="E9329" s="49" t="str">
        <f>IFERROR(VLOOKUP(D9329,'taxonomy map'!$A$1:$C$107,2,FALSE),"")</f>
        <v/>
      </c>
      <c r="F9329" s="49" t="str">
        <f>IFERROR(VLOOKUP(E9329,'Condensed Specialty Crosswalk'!$A$2:$C$106,2,FALSE),"")</f>
        <v/>
      </c>
      <c r="G9329" s="49" t="str">
        <f>IFERROR(VLOOKUP(E9329,'Condensed Specialty Crosswalk'!$A$2:$C$106,3,FALSE),"")</f>
        <v/>
      </c>
    </row>
    <row r="9330" spans="5:7" ht="15" customHeight="1">
      <c r="E9330" s="49" t="str">
        <f>IFERROR(VLOOKUP(D9330,'taxonomy map'!$A$1:$C$107,2,FALSE),"")</f>
        <v/>
      </c>
      <c r="F9330" s="49" t="str">
        <f>IFERROR(VLOOKUP(E9330,'Condensed Specialty Crosswalk'!$A$2:$C$106,2,FALSE),"")</f>
        <v/>
      </c>
      <c r="G9330" s="49" t="str">
        <f>IFERROR(VLOOKUP(E9330,'Condensed Specialty Crosswalk'!$A$2:$C$106,3,FALSE),"")</f>
        <v/>
      </c>
    </row>
    <row r="9331" spans="5:7" ht="15" customHeight="1">
      <c r="E9331" s="49" t="str">
        <f>IFERROR(VLOOKUP(D9331,'taxonomy map'!$A$1:$C$107,2,FALSE),"")</f>
        <v/>
      </c>
      <c r="F9331" s="49" t="str">
        <f>IFERROR(VLOOKUP(E9331,'Condensed Specialty Crosswalk'!$A$2:$C$106,2,FALSE),"")</f>
        <v/>
      </c>
      <c r="G9331" s="49" t="str">
        <f>IFERROR(VLOOKUP(E9331,'Condensed Specialty Crosswalk'!$A$2:$C$106,3,FALSE),"")</f>
        <v/>
      </c>
    </row>
    <row r="9332" spans="5:7" ht="15" customHeight="1">
      <c r="E9332" s="49" t="str">
        <f>IFERROR(VLOOKUP(D9332,'taxonomy map'!$A$1:$C$107,2,FALSE),"")</f>
        <v/>
      </c>
      <c r="F9332" s="49" t="str">
        <f>IFERROR(VLOOKUP(E9332,'Condensed Specialty Crosswalk'!$A$2:$C$106,2,FALSE),"")</f>
        <v/>
      </c>
      <c r="G9332" s="49" t="str">
        <f>IFERROR(VLOOKUP(E9332,'Condensed Specialty Crosswalk'!$A$2:$C$106,3,FALSE),"")</f>
        <v/>
      </c>
    </row>
    <row r="9333" spans="5:7" ht="15" customHeight="1">
      <c r="E9333" s="49" t="str">
        <f>IFERROR(VLOOKUP(D9333,'taxonomy map'!$A$1:$C$107,2,FALSE),"")</f>
        <v/>
      </c>
      <c r="F9333" s="49" t="str">
        <f>IFERROR(VLOOKUP(E9333,'Condensed Specialty Crosswalk'!$A$2:$C$106,2,FALSE),"")</f>
        <v/>
      </c>
      <c r="G9333" s="49" t="str">
        <f>IFERROR(VLOOKUP(E9333,'Condensed Specialty Crosswalk'!$A$2:$C$106,3,FALSE),"")</f>
        <v/>
      </c>
    </row>
    <row r="9334" spans="5:7" ht="15" customHeight="1">
      <c r="E9334" s="49" t="str">
        <f>IFERROR(VLOOKUP(D9334,'taxonomy map'!$A$1:$C$107,2,FALSE),"")</f>
        <v/>
      </c>
      <c r="F9334" s="49" t="str">
        <f>IFERROR(VLOOKUP(E9334,'Condensed Specialty Crosswalk'!$A$2:$C$106,2,FALSE),"")</f>
        <v/>
      </c>
      <c r="G9334" s="49" t="str">
        <f>IFERROR(VLOOKUP(E9334,'Condensed Specialty Crosswalk'!$A$2:$C$106,3,FALSE),"")</f>
        <v/>
      </c>
    </row>
    <row r="9335" spans="5:7" ht="15" customHeight="1">
      <c r="E9335" s="49" t="str">
        <f>IFERROR(VLOOKUP(D9335,'taxonomy map'!$A$1:$C$107,2,FALSE),"")</f>
        <v/>
      </c>
      <c r="F9335" s="49" t="str">
        <f>IFERROR(VLOOKUP(E9335,'Condensed Specialty Crosswalk'!$A$2:$C$106,2,FALSE),"")</f>
        <v/>
      </c>
      <c r="G9335" s="49" t="str">
        <f>IFERROR(VLOOKUP(E9335,'Condensed Specialty Crosswalk'!$A$2:$C$106,3,FALSE),"")</f>
        <v/>
      </c>
    </row>
    <row r="9336" spans="5:7" ht="15" customHeight="1">
      <c r="E9336" s="49" t="str">
        <f>IFERROR(VLOOKUP(D9336,'taxonomy map'!$A$1:$C$107,2,FALSE),"")</f>
        <v/>
      </c>
      <c r="F9336" s="49" t="str">
        <f>IFERROR(VLOOKUP(E9336,'Condensed Specialty Crosswalk'!$A$2:$C$106,2,FALSE),"")</f>
        <v/>
      </c>
      <c r="G9336" s="49" t="str">
        <f>IFERROR(VLOOKUP(E9336,'Condensed Specialty Crosswalk'!$A$2:$C$106,3,FALSE),"")</f>
        <v/>
      </c>
    </row>
    <row r="9337" spans="5:7" ht="15" customHeight="1">
      <c r="E9337" s="49" t="str">
        <f>IFERROR(VLOOKUP(D9337,'taxonomy map'!$A$1:$C$107,2,FALSE),"")</f>
        <v/>
      </c>
      <c r="F9337" s="49" t="str">
        <f>IFERROR(VLOOKUP(E9337,'Condensed Specialty Crosswalk'!$A$2:$C$106,2,FALSE),"")</f>
        <v/>
      </c>
      <c r="G9337" s="49" t="str">
        <f>IFERROR(VLOOKUP(E9337,'Condensed Specialty Crosswalk'!$A$2:$C$106,3,FALSE),"")</f>
        <v/>
      </c>
    </row>
    <row r="9338" spans="5:7" ht="15" customHeight="1">
      <c r="E9338" s="49" t="str">
        <f>IFERROR(VLOOKUP(D9338,'taxonomy map'!$A$1:$C$107,2,FALSE),"")</f>
        <v/>
      </c>
      <c r="F9338" s="49" t="str">
        <f>IFERROR(VLOOKUP(E9338,'Condensed Specialty Crosswalk'!$A$2:$C$106,2,FALSE),"")</f>
        <v/>
      </c>
      <c r="G9338" s="49" t="str">
        <f>IFERROR(VLOOKUP(E9338,'Condensed Specialty Crosswalk'!$A$2:$C$106,3,FALSE),"")</f>
        <v/>
      </c>
    </row>
    <row r="9339" spans="5:7" ht="15" customHeight="1">
      <c r="E9339" s="49" t="str">
        <f>IFERROR(VLOOKUP(D9339,'taxonomy map'!$A$1:$C$107,2,FALSE),"")</f>
        <v/>
      </c>
      <c r="F9339" s="49" t="str">
        <f>IFERROR(VLOOKUP(E9339,'Condensed Specialty Crosswalk'!$A$2:$C$106,2,FALSE),"")</f>
        <v/>
      </c>
      <c r="G9339" s="49" t="str">
        <f>IFERROR(VLOOKUP(E9339,'Condensed Specialty Crosswalk'!$A$2:$C$106,3,FALSE),"")</f>
        <v/>
      </c>
    </row>
    <row r="9340" spans="5:7" ht="15" customHeight="1">
      <c r="E9340" s="49" t="str">
        <f>IFERROR(VLOOKUP(D9340,'taxonomy map'!$A$1:$C$107,2,FALSE),"")</f>
        <v/>
      </c>
      <c r="F9340" s="49" t="str">
        <f>IFERROR(VLOOKUP(E9340,'Condensed Specialty Crosswalk'!$A$2:$C$106,2,FALSE),"")</f>
        <v/>
      </c>
      <c r="G9340" s="49" t="str">
        <f>IFERROR(VLOOKUP(E9340,'Condensed Specialty Crosswalk'!$A$2:$C$106,3,FALSE),"")</f>
        <v/>
      </c>
    </row>
    <row r="9341" spans="5:7" ht="15" customHeight="1">
      <c r="E9341" s="49" t="str">
        <f>IFERROR(VLOOKUP(D9341,'taxonomy map'!$A$1:$C$107,2,FALSE),"")</f>
        <v/>
      </c>
      <c r="F9341" s="49" t="str">
        <f>IFERROR(VLOOKUP(E9341,'Condensed Specialty Crosswalk'!$A$2:$C$106,2,FALSE),"")</f>
        <v/>
      </c>
      <c r="G9341" s="49" t="str">
        <f>IFERROR(VLOOKUP(E9341,'Condensed Specialty Crosswalk'!$A$2:$C$106,3,FALSE),"")</f>
        <v/>
      </c>
    </row>
    <row r="9342" spans="5:7" ht="15" customHeight="1">
      <c r="E9342" s="49" t="str">
        <f>IFERROR(VLOOKUP(D9342,'taxonomy map'!$A$1:$C$107,2,FALSE),"")</f>
        <v/>
      </c>
      <c r="F9342" s="49" t="str">
        <f>IFERROR(VLOOKUP(E9342,'Condensed Specialty Crosswalk'!$A$2:$C$106,2,FALSE),"")</f>
        <v/>
      </c>
      <c r="G9342" s="49" t="str">
        <f>IFERROR(VLOOKUP(E9342,'Condensed Specialty Crosswalk'!$A$2:$C$106,3,FALSE),"")</f>
        <v/>
      </c>
    </row>
    <row r="9343" spans="5:7" ht="15" customHeight="1">
      <c r="E9343" s="49" t="str">
        <f>IFERROR(VLOOKUP(D9343,'taxonomy map'!$A$1:$C$107,2,FALSE),"")</f>
        <v/>
      </c>
      <c r="F9343" s="49" t="str">
        <f>IFERROR(VLOOKUP(E9343,'Condensed Specialty Crosswalk'!$A$2:$C$106,2,FALSE),"")</f>
        <v/>
      </c>
      <c r="G9343" s="49" t="str">
        <f>IFERROR(VLOOKUP(E9343,'Condensed Specialty Crosswalk'!$A$2:$C$106,3,FALSE),"")</f>
        <v/>
      </c>
    </row>
    <row r="9344" spans="5:7" ht="15" customHeight="1">
      <c r="E9344" s="49" t="str">
        <f>IFERROR(VLOOKUP(D9344,'taxonomy map'!$A$1:$C$107,2,FALSE),"")</f>
        <v/>
      </c>
      <c r="F9344" s="49" t="str">
        <f>IFERROR(VLOOKUP(E9344,'Condensed Specialty Crosswalk'!$A$2:$C$106,2,FALSE),"")</f>
        <v/>
      </c>
      <c r="G9344" s="49" t="str">
        <f>IFERROR(VLOOKUP(E9344,'Condensed Specialty Crosswalk'!$A$2:$C$106,3,FALSE),"")</f>
        <v/>
      </c>
    </row>
    <row r="9345" spans="5:7" ht="15" customHeight="1">
      <c r="E9345" s="49" t="str">
        <f>IFERROR(VLOOKUP(D9345,'taxonomy map'!$A$1:$C$107,2,FALSE),"")</f>
        <v/>
      </c>
      <c r="F9345" s="49" t="str">
        <f>IFERROR(VLOOKUP(E9345,'Condensed Specialty Crosswalk'!$A$2:$C$106,2,FALSE),"")</f>
        <v/>
      </c>
      <c r="G9345" s="49" t="str">
        <f>IFERROR(VLOOKUP(E9345,'Condensed Specialty Crosswalk'!$A$2:$C$106,3,FALSE),"")</f>
        <v/>
      </c>
    </row>
    <row r="9346" spans="5:7" ht="15" customHeight="1">
      <c r="E9346" s="49" t="str">
        <f>IFERROR(VLOOKUP(D9346,'taxonomy map'!$A$1:$C$107,2,FALSE),"")</f>
        <v/>
      </c>
      <c r="F9346" s="49" t="str">
        <f>IFERROR(VLOOKUP(E9346,'Condensed Specialty Crosswalk'!$A$2:$C$106,2,FALSE),"")</f>
        <v/>
      </c>
      <c r="G9346" s="49" t="str">
        <f>IFERROR(VLOOKUP(E9346,'Condensed Specialty Crosswalk'!$A$2:$C$106,3,FALSE),"")</f>
        <v/>
      </c>
    </row>
    <row r="9347" spans="5:7" ht="15" customHeight="1">
      <c r="E9347" s="49" t="str">
        <f>IFERROR(VLOOKUP(D9347,'taxonomy map'!$A$1:$C$107,2,FALSE),"")</f>
        <v/>
      </c>
      <c r="F9347" s="49" t="str">
        <f>IFERROR(VLOOKUP(E9347,'Condensed Specialty Crosswalk'!$A$2:$C$106,2,FALSE),"")</f>
        <v/>
      </c>
      <c r="G9347" s="49" t="str">
        <f>IFERROR(VLOOKUP(E9347,'Condensed Specialty Crosswalk'!$A$2:$C$106,3,FALSE),"")</f>
        <v/>
      </c>
    </row>
    <row r="9348" spans="5:7" ht="15" customHeight="1">
      <c r="E9348" s="49" t="str">
        <f>IFERROR(VLOOKUP(D9348,'taxonomy map'!$A$1:$C$107,2,FALSE),"")</f>
        <v/>
      </c>
      <c r="F9348" s="49" t="str">
        <f>IFERROR(VLOOKUP(E9348,'Condensed Specialty Crosswalk'!$A$2:$C$106,2,FALSE),"")</f>
        <v/>
      </c>
      <c r="G9348" s="49" t="str">
        <f>IFERROR(VLOOKUP(E9348,'Condensed Specialty Crosswalk'!$A$2:$C$106,3,FALSE),"")</f>
        <v/>
      </c>
    </row>
    <row r="9349" spans="5:7" ht="15" customHeight="1">
      <c r="E9349" s="49" t="str">
        <f>IFERROR(VLOOKUP(D9349,'taxonomy map'!$A$1:$C$107,2,FALSE),"")</f>
        <v/>
      </c>
      <c r="F9349" s="49" t="str">
        <f>IFERROR(VLOOKUP(E9349,'Condensed Specialty Crosswalk'!$A$2:$C$106,2,FALSE),"")</f>
        <v/>
      </c>
      <c r="G9349" s="49" t="str">
        <f>IFERROR(VLOOKUP(E9349,'Condensed Specialty Crosswalk'!$A$2:$C$106,3,FALSE),"")</f>
        <v/>
      </c>
    </row>
    <row r="9350" spans="5:7" ht="15" customHeight="1">
      <c r="E9350" s="49" t="str">
        <f>IFERROR(VLOOKUP(D9350,'taxonomy map'!$A$1:$C$107,2,FALSE),"")</f>
        <v/>
      </c>
      <c r="F9350" s="49" t="str">
        <f>IFERROR(VLOOKUP(E9350,'Condensed Specialty Crosswalk'!$A$2:$C$106,2,FALSE),"")</f>
        <v/>
      </c>
      <c r="G9350" s="49" t="str">
        <f>IFERROR(VLOOKUP(E9350,'Condensed Specialty Crosswalk'!$A$2:$C$106,3,FALSE),"")</f>
        <v/>
      </c>
    </row>
    <row r="9351" spans="5:7" ht="15" customHeight="1">
      <c r="E9351" s="49" t="str">
        <f>IFERROR(VLOOKUP(D9351,'taxonomy map'!$A$1:$C$107,2,FALSE),"")</f>
        <v/>
      </c>
      <c r="F9351" s="49" t="str">
        <f>IFERROR(VLOOKUP(E9351,'Condensed Specialty Crosswalk'!$A$2:$C$106,2,FALSE),"")</f>
        <v/>
      </c>
      <c r="G9351" s="49" t="str">
        <f>IFERROR(VLOOKUP(E9351,'Condensed Specialty Crosswalk'!$A$2:$C$106,3,FALSE),"")</f>
        <v/>
      </c>
    </row>
    <row r="9352" spans="5:7" ht="15" customHeight="1">
      <c r="E9352" s="49" t="str">
        <f>IFERROR(VLOOKUP(D9352,'taxonomy map'!$A$1:$C$107,2,FALSE),"")</f>
        <v/>
      </c>
      <c r="F9352" s="49" t="str">
        <f>IFERROR(VLOOKUP(E9352,'Condensed Specialty Crosswalk'!$A$2:$C$106,2,FALSE),"")</f>
        <v/>
      </c>
      <c r="G9352" s="49" t="str">
        <f>IFERROR(VLOOKUP(E9352,'Condensed Specialty Crosswalk'!$A$2:$C$106,3,FALSE),"")</f>
        <v/>
      </c>
    </row>
    <row r="9353" spans="5:7" ht="15" customHeight="1">
      <c r="E9353" s="49" t="str">
        <f>IFERROR(VLOOKUP(D9353,'taxonomy map'!$A$1:$C$107,2,FALSE),"")</f>
        <v/>
      </c>
      <c r="F9353" s="49" t="str">
        <f>IFERROR(VLOOKUP(E9353,'Condensed Specialty Crosswalk'!$A$2:$C$106,2,FALSE),"")</f>
        <v/>
      </c>
      <c r="G9353" s="49" t="str">
        <f>IFERROR(VLOOKUP(E9353,'Condensed Specialty Crosswalk'!$A$2:$C$106,3,FALSE),"")</f>
        <v/>
      </c>
    </row>
    <row r="9354" spans="5:7" ht="15" customHeight="1">
      <c r="E9354" s="49" t="str">
        <f>IFERROR(VLOOKUP(D9354,'taxonomy map'!$A$1:$C$107,2,FALSE),"")</f>
        <v/>
      </c>
      <c r="F9354" s="49" t="str">
        <f>IFERROR(VLOOKUP(E9354,'Condensed Specialty Crosswalk'!$A$2:$C$106,2,FALSE),"")</f>
        <v/>
      </c>
      <c r="G9354" s="49" t="str">
        <f>IFERROR(VLOOKUP(E9354,'Condensed Specialty Crosswalk'!$A$2:$C$106,3,FALSE),"")</f>
        <v/>
      </c>
    </row>
    <row r="9355" spans="5:7" ht="15" customHeight="1">
      <c r="E9355" s="49" t="str">
        <f>IFERROR(VLOOKUP(D9355,'taxonomy map'!$A$1:$C$107,2,FALSE),"")</f>
        <v/>
      </c>
      <c r="F9355" s="49" t="str">
        <f>IFERROR(VLOOKUP(E9355,'Condensed Specialty Crosswalk'!$A$2:$C$106,2,FALSE),"")</f>
        <v/>
      </c>
      <c r="G9355" s="49" t="str">
        <f>IFERROR(VLOOKUP(E9355,'Condensed Specialty Crosswalk'!$A$2:$C$106,3,FALSE),"")</f>
        <v/>
      </c>
    </row>
    <row r="9356" spans="5:7" ht="15" customHeight="1">
      <c r="E9356" s="49" t="str">
        <f>IFERROR(VLOOKUP(D9356,'taxonomy map'!$A$1:$C$107,2,FALSE),"")</f>
        <v/>
      </c>
      <c r="F9356" s="49" t="str">
        <f>IFERROR(VLOOKUP(E9356,'Condensed Specialty Crosswalk'!$A$2:$C$106,2,FALSE),"")</f>
        <v/>
      </c>
      <c r="G9356" s="49" t="str">
        <f>IFERROR(VLOOKUP(E9356,'Condensed Specialty Crosswalk'!$A$2:$C$106,3,FALSE),"")</f>
        <v/>
      </c>
    </row>
    <row r="9357" spans="5:7" ht="15" customHeight="1">
      <c r="E9357" s="49" t="str">
        <f>IFERROR(VLOOKUP(D9357,'taxonomy map'!$A$1:$C$107,2,FALSE),"")</f>
        <v/>
      </c>
      <c r="F9357" s="49" t="str">
        <f>IFERROR(VLOOKUP(E9357,'Condensed Specialty Crosswalk'!$A$2:$C$106,2,FALSE),"")</f>
        <v/>
      </c>
      <c r="G9357" s="49" t="str">
        <f>IFERROR(VLOOKUP(E9357,'Condensed Specialty Crosswalk'!$A$2:$C$106,3,FALSE),"")</f>
        <v/>
      </c>
    </row>
    <row r="9358" spans="5:7" ht="15" customHeight="1">
      <c r="E9358" s="49" t="str">
        <f>IFERROR(VLOOKUP(D9358,'taxonomy map'!$A$1:$C$107,2,FALSE),"")</f>
        <v/>
      </c>
      <c r="F9358" s="49" t="str">
        <f>IFERROR(VLOOKUP(E9358,'Condensed Specialty Crosswalk'!$A$2:$C$106,2,FALSE),"")</f>
        <v/>
      </c>
      <c r="G9358" s="49" t="str">
        <f>IFERROR(VLOOKUP(E9358,'Condensed Specialty Crosswalk'!$A$2:$C$106,3,FALSE),"")</f>
        <v/>
      </c>
    </row>
    <row r="9359" spans="5:7" ht="15" customHeight="1">
      <c r="E9359" s="49" t="str">
        <f>IFERROR(VLOOKUP(D9359,'taxonomy map'!$A$1:$C$107,2,FALSE),"")</f>
        <v/>
      </c>
      <c r="F9359" s="49" t="str">
        <f>IFERROR(VLOOKUP(E9359,'Condensed Specialty Crosswalk'!$A$2:$C$106,2,FALSE),"")</f>
        <v/>
      </c>
      <c r="G9359" s="49" t="str">
        <f>IFERROR(VLOOKUP(E9359,'Condensed Specialty Crosswalk'!$A$2:$C$106,3,FALSE),"")</f>
        <v/>
      </c>
    </row>
    <row r="9360" spans="5:7" ht="15" customHeight="1">
      <c r="E9360" s="49" t="str">
        <f>IFERROR(VLOOKUP(D9360,'taxonomy map'!$A$1:$C$107,2,FALSE),"")</f>
        <v/>
      </c>
      <c r="F9360" s="49" t="str">
        <f>IFERROR(VLOOKUP(E9360,'Condensed Specialty Crosswalk'!$A$2:$C$106,2,FALSE),"")</f>
        <v/>
      </c>
      <c r="G9360" s="49" t="str">
        <f>IFERROR(VLOOKUP(E9360,'Condensed Specialty Crosswalk'!$A$2:$C$106,3,FALSE),"")</f>
        <v/>
      </c>
    </row>
    <row r="9361" spans="5:7" ht="15" customHeight="1">
      <c r="E9361" s="49" t="str">
        <f>IFERROR(VLOOKUP(D9361,'taxonomy map'!$A$1:$C$107,2,FALSE),"")</f>
        <v/>
      </c>
      <c r="F9361" s="49" t="str">
        <f>IFERROR(VLOOKUP(E9361,'Condensed Specialty Crosswalk'!$A$2:$C$106,2,FALSE),"")</f>
        <v/>
      </c>
      <c r="G9361" s="49" t="str">
        <f>IFERROR(VLOOKUP(E9361,'Condensed Specialty Crosswalk'!$A$2:$C$106,3,FALSE),"")</f>
        <v/>
      </c>
    </row>
    <row r="9362" spans="5:7" ht="15" customHeight="1">
      <c r="E9362" s="49" t="str">
        <f>IFERROR(VLOOKUP(D9362,'taxonomy map'!$A$1:$C$107,2,FALSE),"")</f>
        <v/>
      </c>
      <c r="F9362" s="49" t="str">
        <f>IFERROR(VLOOKUP(E9362,'Condensed Specialty Crosswalk'!$A$2:$C$106,2,FALSE),"")</f>
        <v/>
      </c>
      <c r="G9362" s="49" t="str">
        <f>IFERROR(VLOOKUP(E9362,'Condensed Specialty Crosswalk'!$A$2:$C$106,3,FALSE),"")</f>
        <v/>
      </c>
    </row>
    <row r="9363" spans="5:7" ht="15" customHeight="1">
      <c r="E9363" s="49" t="str">
        <f>IFERROR(VLOOKUP(D9363,'taxonomy map'!$A$1:$C$107,2,FALSE),"")</f>
        <v/>
      </c>
      <c r="F9363" s="49" t="str">
        <f>IFERROR(VLOOKUP(E9363,'Condensed Specialty Crosswalk'!$A$2:$C$106,2,FALSE),"")</f>
        <v/>
      </c>
      <c r="G9363" s="49" t="str">
        <f>IFERROR(VLOOKUP(E9363,'Condensed Specialty Crosswalk'!$A$2:$C$106,3,FALSE),"")</f>
        <v/>
      </c>
    </row>
    <row r="9364" spans="5:7" ht="15" customHeight="1">
      <c r="E9364" s="49" t="str">
        <f>IFERROR(VLOOKUP(D9364,'taxonomy map'!$A$1:$C$107,2,FALSE),"")</f>
        <v/>
      </c>
      <c r="F9364" s="49" t="str">
        <f>IFERROR(VLOOKUP(E9364,'Condensed Specialty Crosswalk'!$A$2:$C$106,2,FALSE),"")</f>
        <v/>
      </c>
      <c r="G9364" s="49" t="str">
        <f>IFERROR(VLOOKUP(E9364,'Condensed Specialty Crosswalk'!$A$2:$C$106,3,FALSE),"")</f>
        <v/>
      </c>
    </row>
    <row r="9365" spans="5:7" ht="15" customHeight="1">
      <c r="E9365" s="49" t="str">
        <f>IFERROR(VLOOKUP(D9365,'taxonomy map'!$A$1:$C$107,2,FALSE),"")</f>
        <v/>
      </c>
      <c r="F9365" s="49" t="str">
        <f>IFERROR(VLOOKUP(E9365,'Condensed Specialty Crosswalk'!$A$2:$C$106,2,FALSE),"")</f>
        <v/>
      </c>
      <c r="G9365" s="49" t="str">
        <f>IFERROR(VLOOKUP(E9365,'Condensed Specialty Crosswalk'!$A$2:$C$106,3,FALSE),"")</f>
        <v/>
      </c>
    </row>
    <row r="9366" spans="5:7" ht="15" customHeight="1">
      <c r="E9366" s="49" t="str">
        <f>IFERROR(VLOOKUP(D9366,'taxonomy map'!$A$1:$C$107,2,FALSE),"")</f>
        <v/>
      </c>
      <c r="F9366" s="49" t="str">
        <f>IFERROR(VLOOKUP(E9366,'Condensed Specialty Crosswalk'!$A$2:$C$106,2,FALSE),"")</f>
        <v/>
      </c>
      <c r="G9366" s="49" t="str">
        <f>IFERROR(VLOOKUP(E9366,'Condensed Specialty Crosswalk'!$A$2:$C$106,3,FALSE),"")</f>
        <v/>
      </c>
    </row>
    <row r="9367" spans="5:7" ht="15" customHeight="1">
      <c r="E9367" s="49" t="str">
        <f>IFERROR(VLOOKUP(D9367,'taxonomy map'!$A$1:$C$107,2,FALSE),"")</f>
        <v/>
      </c>
      <c r="F9367" s="49" t="str">
        <f>IFERROR(VLOOKUP(E9367,'Condensed Specialty Crosswalk'!$A$2:$C$106,2,FALSE),"")</f>
        <v/>
      </c>
      <c r="G9367" s="49" t="str">
        <f>IFERROR(VLOOKUP(E9367,'Condensed Specialty Crosswalk'!$A$2:$C$106,3,FALSE),"")</f>
        <v/>
      </c>
    </row>
    <row r="9368" spans="5:7" ht="15" customHeight="1">
      <c r="E9368" s="49" t="str">
        <f>IFERROR(VLOOKUP(D9368,'taxonomy map'!$A$1:$C$107,2,FALSE),"")</f>
        <v/>
      </c>
      <c r="F9368" s="49" t="str">
        <f>IFERROR(VLOOKUP(E9368,'Condensed Specialty Crosswalk'!$A$2:$C$106,2,FALSE),"")</f>
        <v/>
      </c>
      <c r="G9368" s="49" t="str">
        <f>IFERROR(VLOOKUP(E9368,'Condensed Specialty Crosswalk'!$A$2:$C$106,3,FALSE),"")</f>
        <v/>
      </c>
    </row>
    <row r="9369" spans="5:7" ht="15" customHeight="1">
      <c r="E9369" s="49" t="str">
        <f>IFERROR(VLOOKUP(D9369,'taxonomy map'!$A$1:$C$107,2,FALSE),"")</f>
        <v/>
      </c>
      <c r="F9369" s="49" t="str">
        <f>IFERROR(VLOOKUP(E9369,'Condensed Specialty Crosswalk'!$A$2:$C$106,2,FALSE),"")</f>
        <v/>
      </c>
      <c r="G9369" s="49" t="str">
        <f>IFERROR(VLOOKUP(E9369,'Condensed Specialty Crosswalk'!$A$2:$C$106,3,FALSE),"")</f>
        <v/>
      </c>
    </row>
    <row r="9370" spans="5:7" ht="15" customHeight="1">
      <c r="E9370" s="49" t="str">
        <f>IFERROR(VLOOKUP(D9370,'taxonomy map'!$A$1:$C$107,2,FALSE),"")</f>
        <v/>
      </c>
      <c r="F9370" s="49" t="str">
        <f>IFERROR(VLOOKUP(E9370,'Condensed Specialty Crosswalk'!$A$2:$C$106,2,FALSE),"")</f>
        <v/>
      </c>
      <c r="G9370" s="49" t="str">
        <f>IFERROR(VLOOKUP(E9370,'Condensed Specialty Crosswalk'!$A$2:$C$106,3,FALSE),"")</f>
        <v/>
      </c>
    </row>
    <row r="9371" spans="5:7" ht="15" customHeight="1">
      <c r="E9371" s="49" t="str">
        <f>IFERROR(VLOOKUP(D9371,'taxonomy map'!$A$1:$C$107,2,FALSE),"")</f>
        <v/>
      </c>
      <c r="F9371" s="49" t="str">
        <f>IFERROR(VLOOKUP(E9371,'Condensed Specialty Crosswalk'!$A$2:$C$106,2,FALSE),"")</f>
        <v/>
      </c>
      <c r="G9371" s="49" t="str">
        <f>IFERROR(VLOOKUP(E9371,'Condensed Specialty Crosswalk'!$A$2:$C$106,3,FALSE),"")</f>
        <v/>
      </c>
    </row>
    <row r="9372" spans="5:7" ht="15" customHeight="1">
      <c r="E9372" s="49" t="str">
        <f>IFERROR(VLOOKUP(D9372,'taxonomy map'!$A$1:$C$107,2,FALSE),"")</f>
        <v/>
      </c>
      <c r="F9372" s="49" t="str">
        <f>IFERROR(VLOOKUP(E9372,'Condensed Specialty Crosswalk'!$A$2:$C$106,2,FALSE),"")</f>
        <v/>
      </c>
      <c r="G9372" s="49" t="str">
        <f>IFERROR(VLOOKUP(E9372,'Condensed Specialty Crosswalk'!$A$2:$C$106,3,FALSE),"")</f>
        <v/>
      </c>
    </row>
    <row r="9373" spans="5:7" ht="15" customHeight="1">
      <c r="E9373" s="49" t="str">
        <f>IFERROR(VLOOKUP(D9373,'taxonomy map'!$A$1:$C$107,2,FALSE),"")</f>
        <v/>
      </c>
      <c r="F9373" s="49" t="str">
        <f>IFERROR(VLOOKUP(E9373,'Condensed Specialty Crosswalk'!$A$2:$C$106,2,FALSE),"")</f>
        <v/>
      </c>
      <c r="G9373" s="49" t="str">
        <f>IFERROR(VLOOKUP(E9373,'Condensed Specialty Crosswalk'!$A$2:$C$106,3,FALSE),"")</f>
        <v/>
      </c>
    </row>
    <row r="9374" spans="5:7" ht="15" customHeight="1">
      <c r="E9374" s="49" t="str">
        <f>IFERROR(VLOOKUP(D9374,'taxonomy map'!$A$1:$C$107,2,FALSE),"")</f>
        <v/>
      </c>
      <c r="F9374" s="49" t="str">
        <f>IFERROR(VLOOKUP(E9374,'Condensed Specialty Crosswalk'!$A$2:$C$106,2,FALSE),"")</f>
        <v/>
      </c>
      <c r="G9374" s="49" t="str">
        <f>IFERROR(VLOOKUP(E9374,'Condensed Specialty Crosswalk'!$A$2:$C$106,3,FALSE),"")</f>
        <v/>
      </c>
    </row>
    <row r="9375" spans="5:7" ht="15" customHeight="1">
      <c r="E9375" s="49" t="str">
        <f>IFERROR(VLOOKUP(D9375,'taxonomy map'!$A$1:$C$107,2,FALSE),"")</f>
        <v/>
      </c>
      <c r="F9375" s="49" t="str">
        <f>IFERROR(VLOOKUP(E9375,'Condensed Specialty Crosswalk'!$A$2:$C$106,2,FALSE),"")</f>
        <v/>
      </c>
      <c r="G9375" s="49" t="str">
        <f>IFERROR(VLOOKUP(E9375,'Condensed Specialty Crosswalk'!$A$2:$C$106,3,FALSE),"")</f>
        <v/>
      </c>
    </row>
    <row r="9376" spans="5:7" ht="15" customHeight="1">
      <c r="E9376" s="49" t="str">
        <f>IFERROR(VLOOKUP(D9376,'taxonomy map'!$A$1:$C$107,2,FALSE),"")</f>
        <v/>
      </c>
      <c r="F9376" s="49" t="str">
        <f>IFERROR(VLOOKUP(E9376,'Condensed Specialty Crosswalk'!$A$2:$C$106,2,FALSE),"")</f>
        <v/>
      </c>
      <c r="G9376" s="49" t="str">
        <f>IFERROR(VLOOKUP(E9376,'Condensed Specialty Crosswalk'!$A$2:$C$106,3,FALSE),"")</f>
        <v/>
      </c>
    </row>
    <row r="9377" spans="5:7" ht="15" customHeight="1">
      <c r="E9377" s="49" t="str">
        <f>IFERROR(VLOOKUP(D9377,'taxonomy map'!$A$1:$C$107,2,FALSE),"")</f>
        <v/>
      </c>
      <c r="F9377" s="49" t="str">
        <f>IFERROR(VLOOKUP(E9377,'Condensed Specialty Crosswalk'!$A$2:$C$106,2,FALSE),"")</f>
        <v/>
      </c>
      <c r="G9377" s="49" t="str">
        <f>IFERROR(VLOOKUP(E9377,'Condensed Specialty Crosswalk'!$A$2:$C$106,3,FALSE),"")</f>
        <v/>
      </c>
    </row>
    <row r="9378" spans="5:7" ht="15" customHeight="1">
      <c r="E9378" s="49" t="str">
        <f>IFERROR(VLOOKUP(D9378,'taxonomy map'!$A$1:$C$107,2,FALSE),"")</f>
        <v/>
      </c>
      <c r="F9378" s="49" t="str">
        <f>IFERROR(VLOOKUP(E9378,'Condensed Specialty Crosswalk'!$A$2:$C$106,2,FALSE),"")</f>
        <v/>
      </c>
      <c r="G9378" s="49" t="str">
        <f>IFERROR(VLOOKUP(E9378,'Condensed Specialty Crosswalk'!$A$2:$C$106,3,FALSE),"")</f>
        <v/>
      </c>
    </row>
    <row r="9379" spans="5:7" ht="15" customHeight="1">
      <c r="E9379" s="49" t="str">
        <f>IFERROR(VLOOKUP(D9379,'taxonomy map'!$A$1:$C$107,2,FALSE),"")</f>
        <v/>
      </c>
      <c r="F9379" s="49" t="str">
        <f>IFERROR(VLOOKUP(E9379,'Condensed Specialty Crosswalk'!$A$2:$C$106,2,FALSE),"")</f>
        <v/>
      </c>
      <c r="G9379" s="49" t="str">
        <f>IFERROR(VLOOKUP(E9379,'Condensed Specialty Crosswalk'!$A$2:$C$106,3,FALSE),"")</f>
        <v/>
      </c>
    </row>
    <row r="9380" spans="5:7" ht="15" customHeight="1">
      <c r="E9380" s="49" t="str">
        <f>IFERROR(VLOOKUP(D9380,'taxonomy map'!$A$1:$C$107,2,FALSE),"")</f>
        <v/>
      </c>
      <c r="F9380" s="49" t="str">
        <f>IFERROR(VLOOKUP(E9380,'Condensed Specialty Crosswalk'!$A$2:$C$106,2,FALSE),"")</f>
        <v/>
      </c>
      <c r="G9380" s="49" t="str">
        <f>IFERROR(VLOOKUP(E9380,'Condensed Specialty Crosswalk'!$A$2:$C$106,3,FALSE),"")</f>
        <v/>
      </c>
    </row>
    <row r="9381" spans="5:7" ht="15" customHeight="1">
      <c r="E9381" s="49" t="str">
        <f>IFERROR(VLOOKUP(D9381,'taxonomy map'!$A$1:$C$107,2,FALSE),"")</f>
        <v/>
      </c>
      <c r="F9381" s="49" t="str">
        <f>IFERROR(VLOOKUP(E9381,'Condensed Specialty Crosswalk'!$A$2:$C$106,2,FALSE),"")</f>
        <v/>
      </c>
      <c r="G9381" s="49" t="str">
        <f>IFERROR(VLOOKUP(E9381,'Condensed Specialty Crosswalk'!$A$2:$C$106,3,FALSE),"")</f>
        <v/>
      </c>
    </row>
    <row r="9382" spans="5:7" ht="15" customHeight="1">
      <c r="E9382" s="49" t="str">
        <f>IFERROR(VLOOKUP(D9382,'taxonomy map'!$A$1:$C$107,2,FALSE),"")</f>
        <v/>
      </c>
      <c r="F9382" s="49" t="str">
        <f>IFERROR(VLOOKUP(E9382,'Condensed Specialty Crosswalk'!$A$2:$C$106,2,FALSE),"")</f>
        <v/>
      </c>
      <c r="G9382" s="49" t="str">
        <f>IFERROR(VLOOKUP(E9382,'Condensed Specialty Crosswalk'!$A$2:$C$106,3,FALSE),"")</f>
        <v/>
      </c>
    </row>
    <row r="9383" spans="5:7" ht="15" customHeight="1">
      <c r="E9383" s="49" t="str">
        <f>IFERROR(VLOOKUP(D9383,'taxonomy map'!$A$1:$C$107,2,FALSE),"")</f>
        <v/>
      </c>
      <c r="F9383" s="49" t="str">
        <f>IFERROR(VLOOKUP(E9383,'Condensed Specialty Crosswalk'!$A$2:$C$106,2,FALSE),"")</f>
        <v/>
      </c>
      <c r="G9383" s="49" t="str">
        <f>IFERROR(VLOOKUP(E9383,'Condensed Specialty Crosswalk'!$A$2:$C$106,3,FALSE),"")</f>
        <v/>
      </c>
    </row>
    <row r="9384" spans="5:7" ht="15" customHeight="1">
      <c r="E9384" s="49" t="str">
        <f>IFERROR(VLOOKUP(D9384,'taxonomy map'!$A$1:$C$107,2,FALSE),"")</f>
        <v/>
      </c>
      <c r="F9384" s="49" t="str">
        <f>IFERROR(VLOOKUP(E9384,'Condensed Specialty Crosswalk'!$A$2:$C$106,2,FALSE),"")</f>
        <v/>
      </c>
      <c r="G9384" s="49" t="str">
        <f>IFERROR(VLOOKUP(E9384,'Condensed Specialty Crosswalk'!$A$2:$C$106,3,FALSE),"")</f>
        <v/>
      </c>
    </row>
    <row r="9385" spans="5:7" ht="15" customHeight="1">
      <c r="E9385" s="49" t="str">
        <f>IFERROR(VLOOKUP(D9385,'taxonomy map'!$A$1:$C$107,2,FALSE),"")</f>
        <v/>
      </c>
      <c r="F9385" s="49" t="str">
        <f>IFERROR(VLOOKUP(E9385,'Condensed Specialty Crosswalk'!$A$2:$C$106,2,FALSE),"")</f>
        <v/>
      </c>
      <c r="G9385" s="49" t="str">
        <f>IFERROR(VLOOKUP(E9385,'Condensed Specialty Crosswalk'!$A$2:$C$106,3,FALSE),"")</f>
        <v/>
      </c>
    </row>
    <row r="9386" spans="5:7" ht="15" customHeight="1">
      <c r="E9386" s="49" t="str">
        <f>IFERROR(VLOOKUP(D9386,'taxonomy map'!$A$1:$C$107,2,FALSE),"")</f>
        <v/>
      </c>
      <c r="F9386" s="49" t="str">
        <f>IFERROR(VLOOKUP(E9386,'Condensed Specialty Crosswalk'!$A$2:$C$106,2,FALSE),"")</f>
        <v/>
      </c>
      <c r="G9386" s="49" t="str">
        <f>IFERROR(VLOOKUP(E9386,'Condensed Specialty Crosswalk'!$A$2:$C$106,3,FALSE),"")</f>
        <v/>
      </c>
    </row>
    <row r="9387" spans="5:7" ht="15" customHeight="1">
      <c r="E9387" s="49" t="str">
        <f>IFERROR(VLOOKUP(D9387,'taxonomy map'!$A$1:$C$107,2,FALSE),"")</f>
        <v/>
      </c>
      <c r="F9387" s="49" t="str">
        <f>IFERROR(VLOOKUP(E9387,'Condensed Specialty Crosswalk'!$A$2:$C$106,2,FALSE),"")</f>
        <v/>
      </c>
      <c r="G9387" s="49" t="str">
        <f>IFERROR(VLOOKUP(E9387,'Condensed Specialty Crosswalk'!$A$2:$C$106,3,FALSE),"")</f>
        <v/>
      </c>
    </row>
    <row r="9388" spans="5:7" ht="15" customHeight="1">
      <c r="E9388" s="49" t="str">
        <f>IFERROR(VLOOKUP(D9388,'taxonomy map'!$A$1:$C$107,2,FALSE),"")</f>
        <v/>
      </c>
      <c r="F9388" s="49" t="str">
        <f>IFERROR(VLOOKUP(E9388,'Condensed Specialty Crosswalk'!$A$2:$C$106,2,FALSE),"")</f>
        <v/>
      </c>
      <c r="G9388" s="49" t="str">
        <f>IFERROR(VLOOKUP(E9388,'Condensed Specialty Crosswalk'!$A$2:$C$106,3,FALSE),"")</f>
        <v/>
      </c>
    </row>
    <row r="9389" spans="5:7" ht="15" customHeight="1">
      <c r="E9389" s="49" t="str">
        <f>IFERROR(VLOOKUP(D9389,'taxonomy map'!$A$1:$C$107,2,FALSE),"")</f>
        <v/>
      </c>
      <c r="F9389" s="49" t="str">
        <f>IFERROR(VLOOKUP(E9389,'Condensed Specialty Crosswalk'!$A$2:$C$106,2,FALSE),"")</f>
        <v/>
      </c>
      <c r="G9389" s="49" t="str">
        <f>IFERROR(VLOOKUP(E9389,'Condensed Specialty Crosswalk'!$A$2:$C$106,3,FALSE),"")</f>
        <v/>
      </c>
    </row>
    <row r="9390" spans="5:7" ht="15" customHeight="1">
      <c r="E9390" s="49" t="str">
        <f>IFERROR(VLOOKUP(D9390,'taxonomy map'!$A$1:$C$107,2,FALSE),"")</f>
        <v/>
      </c>
      <c r="F9390" s="49" t="str">
        <f>IFERROR(VLOOKUP(E9390,'Condensed Specialty Crosswalk'!$A$2:$C$106,2,FALSE),"")</f>
        <v/>
      </c>
      <c r="G9390" s="49" t="str">
        <f>IFERROR(VLOOKUP(E9390,'Condensed Specialty Crosswalk'!$A$2:$C$106,3,FALSE),"")</f>
        <v/>
      </c>
    </row>
    <row r="9391" spans="5:7" ht="15" customHeight="1">
      <c r="E9391" s="49" t="str">
        <f>IFERROR(VLOOKUP(D9391,'taxonomy map'!$A$1:$C$107,2,FALSE),"")</f>
        <v/>
      </c>
      <c r="F9391" s="49" t="str">
        <f>IFERROR(VLOOKUP(E9391,'Condensed Specialty Crosswalk'!$A$2:$C$106,2,FALSE),"")</f>
        <v/>
      </c>
      <c r="G9391" s="49" t="str">
        <f>IFERROR(VLOOKUP(E9391,'Condensed Specialty Crosswalk'!$A$2:$C$106,3,FALSE),"")</f>
        <v/>
      </c>
    </row>
    <row r="9392" spans="5:7" ht="15" customHeight="1">
      <c r="E9392" s="49" t="str">
        <f>IFERROR(VLOOKUP(D9392,'taxonomy map'!$A$1:$C$107,2,FALSE),"")</f>
        <v/>
      </c>
      <c r="F9392" s="49" t="str">
        <f>IFERROR(VLOOKUP(E9392,'Condensed Specialty Crosswalk'!$A$2:$C$106,2,FALSE),"")</f>
        <v/>
      </c>
      <c r="G9392" s="49" t="str">
        <f>IFERROR(VLOOKUP(E9392,'Condensed Specialty Crosswalk'!$A$2:$C$106,3,FALSE),"")</f>
        <v/>
      </c>
    </row>
    <row r="9393" spans="5:7" ht="15" customHeight="1">
      <c r="E9393" s="49" t="str">
        <f>IFERROR(VLOOKUP(D9393,'taxonomy map'!$A$1:$C$107,2,FALSE),"")</f>
        <v/>
      </c>
      <c r="F9393" s="49" t="str">
        <f>IFERROR(VLOOKUP(E9393,'Condensed Specialty Crosswalk'!$A$2:$C$106,2,FALSE),"")</f>
        <v/>
      </c>
      <c r="G9393" s="49" t="str">
        <f>IFERROR(VLOOKUP(E9393,'Condensed Specialty Crosswalk'!$A$2:$C$106,3,FALSE),"")</f>
        <v/>
      </c>
    </row>
    <row r="9394" spans="5:7" ht="15" customHeight="1">
      <c r="E9394" s="49" t="str">
        <f>IFERROR(VLOOKUP(D9394,'taxonomy map'!$A$1:$C$107,2,FALSE),"")</f>
        <v/>
      </c>
      <c r="F9394" s="49" t="str">
        <f>IFERROR(VLOOKUP(E9394,'Condensed Specialty Crosswalk'!$A$2:$C$106,2,FALSE),"")</f>
        <v/>
      </c>
      <c r="G9394" s="49" t="str">
        <f>IFERROR(VLOOKUP(E9394,'Condensed Specialty Crosswalk'!$A$2:$C$106,3,FALSE),"")</f>
        <v/>
      </c>
    </row>
    <row r="9395" spans="5:7" ht="15" customHeight="1">
      <c r="E9395" s="49" t="str">
        <f>IFERROR(VLOOKUP(D9395,'taxonomy map'!$A$1:$C$107,2,FALSE),"")</f>
        <v/>
      </c>
      <c r="F9395" s="49" t="str">
        <f>IFERROR(VLOOKUP(E9395,'Condensed Specialty Crosswalk'!$A$2:$C$106,2,FALSE),"")</f>
        <v/>
      </c>
      <c r="G9395" s="49" t="str">
        <f>IFERROR(VLOOKUP(E9395,'Condensed Specialty Crosswalk'!$A$2:$C$106,3,FALSE),"")</f>
        <v/>
      </c>
    </row>
    <row r="9396" spans="5:7" ht="15" customHeight="1">
      <c r="E9396" s="49" t="str">
        <f>IFERROR(VLOOKUP(D9396,'taxonomy map'!$A$1:$C$107,2,FALSE),"")</f>
        <v/>
      </c>
      <c r="F9396" s="49" t="str">
        <f>IFERROR(VLOOKUP(E9396,'Condensed Specialty Crosswalk'!$A$2:$C$106,2,FALSE),"")</f>
        <v/>
      </c>
      <c r="G9396" s="49" t="str">
        <f>IFERROR(VLOOKUP(E9396,'Condensed Specialty Crosswalk'!$A$2:$C$106,3,FALSE),"")</f>
        <v/>
      </c>
    </row>
    <row r="9397" spans="5:7" ht="15" customHeight="1">
      <c r="E9397" s="49" t="str">
        <f>IFERROR(VLOOKUP(D9397,'taxonomy map'!$A$1:$C$107,2,FALSE),"")</f>
        <v/>
      </c>
      <c r="F9397" s="49" t="str">
        <f>IFERROR(VLOOKUP(E9397,'Condensed Specialty Crosswalk'!$A$2:$C$106,2,FALSE),"")</f>
        <v/>
      </c>
      <c r="G9397" s="49" t="str">
        <f>IFERROR(VLOOKUP(E9397,'Condensed Specialty Crosswalk'!$A$2:$C$106,3,FALSE),"")</f>
        <v/>
      </c>
    </row>
    <row r="9398" spans="5:7" ht="15" customHeight="1">
      <c r="E9398" s="49" t="str">
        <f>IFERROR(VLOOKUP(D9398,'taxonomy map'!$A$1:$C$107,2,FALSE),"")</f>
        <v/>
      </c>
      <c r="F9398" s="49" t="str">
        <f>IFERROR(VLOOKUP(E9398,'Condensed Specialty Crosswalk'!$A$2:$C$106,2,FALSE),"")</f>
        <v/>
      </c>
      <c r="G9398" s="49" t="str">
        <f>IFERROR(VLOOKUP(E9398,'Condensed Specialty Crosswalk'!$A$2:$C$106,3,FALSE),"")</f>
        <v/>
      </c>
    </row>
    <row r="9399" spans="5:7" ht="15" customHeight="1">
      <c r="E9399" s="49" t="str">
        <f>IFERROR(VLOOKUP(D9399,'taxonomy map'!$A$1:$C$107,2,FALSE),"")</f>
        <v/>
      </c>
      <c r="F9399" s="49" t="str">
        <f>IFERROR(VLOOKUP(E9399,'Condensed Specialty Crosswalk'!$A$2:$C$106,2,FALSE),"")</f>
        <v/>
      </c>
      <c r="G9399" s="49" t="str">
        <f>IFERROR(VLOOKUP(E9399,'Condensed Specialty Crosswalk'!$A$2:$C$106,3,FALSE),"")</f>
        <v/>
      </c>
    </row>
    <row r="9400" spans="5:7" ht="15" customHeight="1">
      <c r="E9400" s="49" t="str">
        <f>IFERROR(VLOOKUP(D9400,'taxonomy map'!$A$1:$C$107,2,FALSE),"")</f>
        <v/>
      </c>
      <c r="F9400" s="49" t="str">
        <f>IFERROR(VLOOKUP(E9400,'Condensed Specialty Crosswalk'!$A$2:$C$106,2,FALSE),"")</f>
        <v/>
      </c>
      <c r="G9400" s="49" t="str">
        <f>IFERROR(VLOOKUP(E9400,'Condensed Specialty Crosswalk'!$A$2:$C$106,3,FALSE),"")</f>
        <v/>
      </c>
    </row>
    <row r="9401" spans="5:7" ht="15" customHeight="1">
      <c r="E9401" s="49" t="str">
        <f>IFERROR(VLOOKUP(D9401,'taxonomy map'!$A$1:$C$107,2,FALSE),"")</f>
        <v/>
      </c>
      <c r="F9401" s="49" t="str">
        <f>IFERROR(VLOOKUP(E9401,'Condensed Specialty Crosswalk'!$A$2:$C$106,2,FALSE),"")</f>
        <v/>
      </c>
      <c r="G9401" s="49" t="str">
        <f>IFERROR(VLOOKUP(E9401,'Condensed Specialty Crosswalk'!$A$2:$C$106,3,FALSE),"")</f>
        <v/>
      </c>
    </row>
    <row r="9402" spans="5:7" ht="15" customHeight="1">
      <c r="E9402" s="49" t="str">
        <f>IFERROR(VLOOKUP(D9402,'taxonomy map'!$A$1:$C$107,2,FALSE),"")</f>
        <v/>
      </c>
      <c r="F9402" s="49" t="str">
        <f>IFERROR(VLOOKUP(E9402,'Condensed Specialty Crosswalk'!$A$2:$C$106,2,FALSE),"")</f>
        <v/>
      </c>
      <c r="G9402" s="49" t="str">
        <f>IFERROR(VLOOKUP(E9402,'Condensed Specialty Crosswalk'!$A$2:$C$106,3,FALSE),"")</f>
        <v/>
      </c>
    </row>
    <row r="9403" spans="5:7" ht="15" customHeight="1">
      <c r="E9403" s="49" t="str">
        <f>IFERROR(VLOOKUP(D9403,'taxonomy map'!$A$1:$C$107,2,FALSE),"")</f>
        <v/>
      </c>
      <c r="F9403" s="49" t="str">
        <f>IFERROR(VLOOKUP(E9403,'Condensed Specialty Crosswalk'!$A$2:$C$106,2,FALSE),"")</f>
        <v/>
      </c>
      <c r="G9403" s="49" t="str">
        <f>IFERROR(VLOOKUP(E9403,'Condensed Specialty Crosswalk'!$A$2:$C$106,3,FALSE),"")</f>
        <v/>
      </c>
    </row>
    <row r="9404" spans="5:7" ht="15" customHeight="1">
      <c r="E9404" s="49" t="str">
        <f>IFERROR(VLOOKUP(D9404,'taxonomy map'!$A$1:$C$107,2,FALSE),"")</f>
        <v/>
      </c>
      <c r="F9404" s="49" t="str">
        <f>IFERROR(VLOOKUP(E9404,'Condensed Specialty Crosswalk'!$A$2:$C$106,2,FALSE),"")</f>
        <v/>
      </c>
      <c r="G9404" s="49" t="str">
        <f>IFERROR(VLOOKUP(E9404,'Condensed Specialty Crosswalk'!$A$2:$C$106,3,FALSE),"")</f>
        <v/>
      </c>
    </row>
    <row r="9405" spans="5:7" ht="15" customHeight="1">
      <c r="E9405" s="49" t="str">
        <f>IFERROR(VLOOKUP(D9405,'taxonomy map'!$A$1:$C$107,2,FALSE),"")</f>
        <v/>
      </c>
      <c r="F9405" s="49" t="str">
        <f>IFERROR(VLOOKUP(E9405,'Condensed Specialty Crosswalk'!$A$2:$C$106,2,FALSE),"")</f>
        <v/>
      </c>
      <c r="G9405" s="49" t="str">
        <f>IFERROR(VLOOKUP(E9405,'Condensed Specialty Crosswalk'!$A$2:$C$106,3,FALSE),"")</f>
        <v/>
      </c>
    </row>
    <row r="9406" spans="5:7" ht="15" customHeight="1">
      <c r="E9406" s="49" t="str">
        <f>IFERROR(VLOOKUP(D9406,'taxonomy map'!$A$1:$C$107,2,FALSE),"")</f>
        <v/>
      </c>
      <c r="F9406" s="49" t="str">
        <f>IFERROR(VLOOKUP(E9406,'Condensed Specialty Crosswalk'!$A$2:$C$106,2,FALSE),"")</f>
        <v/>
      </c>
      <c r="G9406" s="49" t="str">
        <f>IFERROR(VLOOKUP(E9406,'Condensed Specialty Crosswalk'!$A$2:$C$106,3,FALSE),"")</f>
        <v/>
      </c>
    </row>
    <row r="9407" spans="5:7" ht="15" customHeight="1">
      <c r="E9407" s="49" t="str">
        <f>IFERROR(VLOOKUP(D9407,'taxonomy map'!$A$1:$C$107,2,FALSE),"")</f>
        <v/>
      </c>
      <c r="F9407" s="49" t="str">
        <f>IFERROR(VLOOKUP(E9407,'Condensed Specialty Crosswalk'!$A$2:$C$106,2,FALSE),"")</f>
        <v/>
      </c>
      <c r="G9407" s="49" t="str">
        <f>IFERROR(VLOOKUP(E9407,'Condensed Specialty Crosswalk'!$A$2:$C$106,3,FALSE),"")</f>
        <v/>
      </c>
    </row>
    <row r="9408" spans="5:7" ht="15" customHeight="1">
      <c r="E9408" s="49" t="str">
        <f>IFERROR(VLOOKUP(D9408,'taxonomy map'!$A$1:$C$107,2,FALSE),"")</f>
        <v/>
      </c>
      <c r="F9408" s="49" t="str">
        <f>IFERROR(VLOOKUP(E9408,'Condensed Specialty Crosswalk'!$A$2:$C$106,2,FALSE),"")</f>
        <v/>
      </c>
      <c r="G9408" s="49" t="str">
        <f>IFERROR(VLOOKUP(E9408,'Condensed Specialty Crosswalk'!$A$2:$C$106,3,FALSE),"")</f>
        <v/>
      </c>
    </row>
    <row r="9409" spans="5:7" ht="15" customHeight="1">
      <c r="E9409" s="49" t="str">
        <f>IFERROR(VLOOKUP(D9409,'taxonomy map'!$A$1:$C$107,2,FALSE),"")</f>
        <v/>
      </c>
      <c r="F9409" s="49" t="str">
        <f>IFERROR(VLOOKUP(E9409,'Condensed Specialty Crosswalk'!$A$2:$C$106,2,FALSE),"")</f>
        <v/>
      </c>
      <c r="G9409" s="49" t="str">
        <f>IFERROR(VLOOKUP(E9409,'Condensed Specialty Crosswalk'!$A$2:$C$106,3,FALSE),"")</f>
        <v/>
      </c>
    </row>
    <row r="9410" spans="5:7" ht="15" customHeight="1">
      <c r="E9410" s="49" t="str">
        <f>IFERROR(VLOOKUP(D9410,'taxonomy map'!$A$1:$C$107,2,FALSE),"")</f>
        <v/>
      </c>
      <c r="F9410" s="49" t="str">
        <f>IFERROR(VLOOKUP(E9410,'Condensed Specialty Crosswalk'!$A$2:$C$106,2,FALSE),"")</f>
        <v/>
      </c>
      <c r="G9410" s="49" t="str">
        <f>IFERROR(VLOOKUP(E9410,'Condensed Specialty Crosswalk'!$A$2:$C$106,3,FALSE),"")</f>
        <v/>
      </c>
    </row>
    <row r="9411" spans="5:7" ht="15" customHeight="1">
      <c r="E9411" s="49" t="str">
        <f>IFERROR(VLOOKUP(D9411,'taxonomy map'!$A$1:$C$107,2,FALSE),"")</f>
        <v/>
      </c>
      <c r="F9411" s="49" t="str">
        <f>IFERROR(VLOOKUP(E9411,'Condensed Specialty Crosswalk'!$A$2:$C$106,2,FALSE),"")</f>
        <v/>
      </c>
      <c r="G9411" s="49" t="str">
        <f>IFERROR(VLOOKUP(E9411,'Condensed Specialty Crosswalk'!$A$2:$C$106,3,FALSE),"")</f>
        <v/>
      </c>
    </row>
    <row r="9412" spans="5:7" ht="15" customHeight="1">
      <c r="E9412" s="49" t="str">
        <f>IFERROR(VLOOKUP(D9412,'taxonomy map'!$A$1:$C$107,2,FALSE),"")</f>
        <v/>
      </c>
      <c r="F9412" s="49" t="str">
        <f>IFERROR(VLOOKUP(E9412,'Condensed Specialty Crosswalk'!$A$2:$C$106,2,FALSE),"")</f>
        <v/>
      </c>
      <c r="G9412" s="49" t="str">
        <f>IFERROR(VLOOKUP(E9412,'Condensed Specialty Crosswalk'!$A$2:$C$106,3,FALSE),"")</f>
        <v/>
      </c>
    </row>
    <row r="9413" spans="5:7" ht="15" customHeight="1">
      <c r="E9413" s="49" t="str">
        <f>IFERROR(VLOOKUP(D9413,'taxonomy map'!$A$1:$C$107,2,FALSE),"")</f>
        <v/>
      </c>
      <c r="F9413" s="49" t="str">
        <f>IFERROR(VLOOKUP(E9413,'Condensed Specialty Crosswalk'!$A$2:$C$106,2,FALSE),"")</f>
        <v/>
      </c>
      <c r="G9413" s="49" t="str">
        <f>IFERROR(VLOOKUP(E9413,'Condensed Specialty Crosswalk'!$A$2:$C$106,3,FALSE),"")</f>
        <v/>
      </c>
    </row>
    <row r="9414" spans="5:7" ht="15" customHeight="1">
      <c r="E9414" s="49" t="str">
        <f>IFERROR(VLOOKUP(D9414,'taxonomy map'!$A$1:$C$107,2,FALSE),"")</f>
        <v/>
      </c>
      <c r="F9414" s="49" t="str">
        <f>IFERROR(VLOOKUP(E9414,'Condensed Specialty Crosswalk'!$A$2:$C$106,2,FALSE),"")</f>
        <v/>
      </c>
      <c r="G9414" s="49" t="str">
        <f>IFERROR(VLOOKUP(E9414,'Condensed Specialty Crosswalk'!$A$2:$C$106,3,FALSE),"")</f>
        <v/>
      </c>
    </row>
    <row r="9415" spans="5:7" ht="15" customHeight="1">
      <c r="E9415" s="49" t="str">
        <f>IFERROR(VLOOKUP(D9415,'taxonomy map'!$A$1:$C$107,2,FALSE),"")</f>
        <v/>
      </c>
      <c r="F9415" s="49" t="str">
        <f>IFERROR(VLOOKUP(E9415,'Condensed Specialty Crosswalk'!$A$2:$C$106,2,FALSE),"")</f>
        <v/>
      </c>
      <c r="G9415" s="49" t="str">
        <f>IFERROR(VLOOKUP(E9415,'Condensed Specialty Crosswalk'!$A$2:$C$106,3,FALSE),"")</f>
        <v/>
      </c>
    </row>
    <row r="9416" spans="5:7" ht="15" customHeight="1">
      <c r="E9416" s="49" t="str">
        <f>IFERROR(VLOOKUP(D9416,'taxonomy map'!$A$1:$C$107,2,FALSE),"")</f>
        <v/>
      </c>
      <c r="F9416" s="49" t="str">
        <f>IFERROR(VLOOKUP(E9416,'Condensed Specialty Crosswalk'!$A$2:$C$106,2,FALSE),"")</f>
        <v/>
      </c>
      <c r="G9416" s="49" t="str">
        <f>IFERROR(VLOOKUP(E9416,'Condensed Specialty Crosswalk'!$A$2:$C$106,3,FALSE),"")</f>
        <v/>
      </c>
    </row>
    <row r="9417" spans="5:7" ht="15" customHeight="1">
      <c r="E9417" s="49" t="str">
        <f>IFERROR(VLOOKUP(D9417,'taxonomy map'!$A$1:$C$107,2,FALSE),"")</f>
        <v/>
      </c>
      <c r="F9417" s="49" t="str">
        <f>IFERROR(VLOOKUP(E9417,'Condensed Specialty Crosswalk'!$A$2:$C$106,2,FALSE),"")</f>
        <v/>
      </c>
      <c r="G9417" s="49" t="str">
        <f>IFERROR(VLOOKUP(E9417,'Condensed Specialty Crosswalk'!$A$2:$C$106,3,FALSE),"")</f>
        <v/>
      </c>
    </row>
    <row r="9418" spans="5:7" ht="15" customHeight="1">
      <c r="E9418" s="49" t="str">
        <f>IFERROR(VLOOKUP(D9418,'taxonomy map'!$A$1:$C$107,2,FALSE),"")</f>
        <v/>
      </c>
      <c r="F9418" s="49" t="str">
        <f>IFERROR(VLOOKUP(E9418,'Condensed Specialty Crosswalk'!$A$2:$C$106,2,FALSE),"")</f>
        <v/>
      </c>
      <c r="G9418" s="49" t="str">
        <f>IFERROR(VLOOKUP(E9418,'Condensed Specialty Crosswalk'!$A$2:$C$106,3,FALSE),"")</f>
        <v/>
      </c>
    </row>
    <row r="9419" spans="5:7" ht="15" customHeight="1">
      <c r="E9419" s="49" t="str">
        <f>IFERROR(VLOOKUP(D9419,'taxonomy map'!$A$1:$C$107,2,FALSE),"")</f>
        <v/>
      </c>
      <c r="F9419" s="49" t="str">
        <f>IFERROR(VLOOKUP(E9419,'Condensed Specialty Crosswalk'!$A$2:$C$106,2,FALSE),"")</f>
        <v/>
      </c>
      <c r="G9419" s="49" t="str">
        <f>IFERROR(VLOOKUP(E9419,'Condensed Specialty Crosswalk'!$A$2:$C$106,3,FALSE),"")</f>
        <v/>
      </c>
    </row>
    <row r="9420" spans="5:7" ht="15" customHeight="1">
      <c r="E9420" s="49" t="str">
        <f>IFERROR(VLOOKUP(D9420,'taxonomy map'!$A$1:$C$107,2,FALSE),"")</f>
        <v/>
      </c>
      <c r="F9420" s="49" t="str">
        <f>IFERROR(VLOOKUP(E9420,'Condensed Specialty Crosswalk'!$A$2:$C$106,2,FALSE),"")</f>
        <v/>
      </c>
      <c r="G9420" s="49" t="str">
        <f>IFERROR(VLOOKUP(E9420,'Condensed Specialty Crosswalk'!$A$2:$C$106,3,FALSE),"")</f>
        <v/>
      </c>
    </row>
    <row r="9421" spans="5:7" ht="15" customHeight="1">
      <c r="E9421" s="49" t="str">
        <f>IFERROR(VLOOKUP(D9421,'taxonomy map'!$A$1:$C$107,2,FALSE),"")</f>
        <v/>
      </c>
      <c r="F9421" s="49" t="str">
        <f>IFERROR(VLOOKUP(E9421,'Condensed Specialty Crosswalk'!$A$2:$C$106,2,FALSE),"")</f>
        <v/>
      </c>
      <c r="G9421" s="49" t="str">
        <f>IFERROR(VLOOKUP(E9421,'Condensed Specialty Crosswalk'!$A$2:$C$106,3,FALSE),"")</f>
        <v/>
      </c>
    </row>
    <row r="9422" spans="5:7" ht="15" customHeight="1">
      <c r="E9422" s="49" t="str">
        <f>IFERROR(VLOOKUP(D9422,'taxonomy map'!$A$1:$C$107,2,FALSE),"")</f>
        <v/>
      </c>
      <c r="F9422" s="49" t="str">
        <f>IFERROR(VLOOKUP(E9422,'Condensed Specialty Crosswalk'!$A$2:$C$106,2,FALSE),"")</f>
        <v/>
      </c>
      <c r="G9422" s="49" t="str">
        <f>IFERROR(VLOOKUP(E9422,'Condensed Specialty Crosswalk'!$A$2:$C$106,3,FALSE),"")</f>
        <v/>
      </c>
    </row>
    <row r="9423" spans="5:7" ht="15" customHeight="1">
      <c r="E9423" s="49" t="str">
        <f>IFERROR(VLOOKUP(D9423,'taxonomy map'!$A$1:$C$107,2,FALSE),"")</f>
        <v/>
      </c>
      <c r="F9423" s="49" t="str">
        <f>IFERROR(VLOOKUP(E9423,'Condensed Specialty Crosswalk'!$A$2:$C$106,2,FALSE),"")</f>
        <v/>
      </c>
      <c r="G9423" s="49" t="str">
        <f>IFERROR(VLOOKUP(E9423,'Condensed Specialty Crosswalk'!$A$2:$C$106,3,FALSE),"")</f>
        <v/>
      </c>
    </row>
    <row r="9424" spans="5:7" ht="15" customHeight="1">
      <c r="E9424" s="49" t="str">
        <f>IFERROR(VLOOKUP(D9424,'taxonomy map'!$A$1:$C$107,2,FALSE),"")</f>
        <v/>
      </c>
      <c r="F9424" s="49" t="str">
        <f>IFERROR(VLOOKUP(E9424,'Condensed Specialty Crosswalk'!$A$2:$C$106,2,FALSE),"")</f>
        <v/>
      </c>
      <c r="G9424" s="49" t="str">
        <f>IFERROR(VLOOKUP(E9424,'Condensed Specialty Crosswalk'!$A$2:$C$106,3,FALSE),"")</f>
        <v/>
      </c>
    </row>
    <row r="9425" spans="5:7" ht="15" customHeight="1">
      <c r="E9425" s="49" t="str">
        <f>IFERROR(VLOOKUP(D9425,'taxonomy map'!$A$1:$C$107,2,FALSE),"")</f>
        <v/>
      </c>
      <c r="F9425" s="49" t="str">
        <f>IFERROR(VLOOKUP(E9425,'Condensed Specialty Crosswalk'!$A$2:$C$106,2,FALSE),"")</f>
        <v/>
      </c>
      <c r="G9425" s="49" t="str">
        <f>IFERROR(VLOOKUP(E9425,'Condensed Specialty Crosswalk'!$A$2:$C$106,3,FALSE),"")</f>
        <v/>
      </c>
    </row>
    <row r="9426" spans="5:7" ht="15" customHeight="1">
      <c r="E9426" s="49" t="str">
        <f>IFERROR(VLOOKUP(D9426,'taxonomy map'!$A$1:$C$107,2,FALSE),"")</f>
        <v/>
      </c>
      <c r="F9426" s="49" t="str">
        <f>IFERROR(VLOOKUP(E9426,'Condensed Specialty Crosswalk'!$A$2:$C$106,2,FALSE),"")</f>
        <v/>
      </c>
      <c r="G9426" s="49" t="str">
        <f>IFERROR(VLOOKUP(E9426,'Condensed Specialty Crosswalk'!$A$2:$C$106,3,FALSE),"")</f>
        <v/>
      </c>
    </row>
    <row r="9427" spans="5:7" ht="15" customHeight="1">
      <c r="E9427" s="49" t="str">
        <f>IFERROR(VLOOKUP(D9427,'taxonomy map'!$A$1:$C$107,2,FALSE),"")</f>
        <v/>
      </c>
      <c r="F9427" s="49" t="str">
        <f>IFERROR(VLOOKUP(E9427,'Condensed Specialty Crosswalk'!$A$2:$C$106,2,FALSE),"")</f>
        <v/>
      </c>
      <c r="G9427" s="49" t="str">
        <f>IFERROR(VLOOKUP(E9427,'Condensed Specialty Crosswalk'!$A$2:$C$106,3,FALSE),"")</f>
        <v/>
      </c>
    </row>
    <row r="9428" spans="5:7" ht="15" customHeight="1">
      <c r="E9428" s="49" t="str">
        <f>IFERROR(VLOOKUP(D9428,'taxonomy map'!$A$1:$C$107,2,FALSE),"")</f>
        <v/>
      </c>
      <c r="F9428" s="49" t="str">
        <f>IFERROR(VLOOKUP(E9428,'Condensed Specialty Crosswalk'!$A$2:$C$106,2,FALSE),"")</f>
        <v/>
      </c>
      <c r="G9428" s="49" t="str">
        <f>IFERROR(VLOOKUP(E9428,'Condensed Specialty Crosswalk'!$A$2:$C$106,3,FALSE),"")</f>
        <v/>
      </c>
    </row>
    <row r="9429" spans="5:7" ht="15" customHeight="1">
      <c r="E9429" s="49" t="str">
        <f>IFERROR(VLOOKUP(D9429,'taxonomy map'!$A$1:$C$107,2,FALSE),"")</f>
        <v/>
      </c>
      <c r="F9429" s="49" t="str">
        <f>IFERROR(VLOOKUP(E9429,'Condensed Specialty Crosswalk'!$A$2:$C$106,2,FALSE),"")</f>
        <v/>
      </c>
      <c r="G9429" s="49" t="str">
        <f>IFERROR(VLOOKUP(E9429,'Condensed Specialty Crosswalk'!$A$2:$C$106,3,FALSE),"")</f>
        <v/>
      </c>
    </row>
    <row r="9430" spans="5:7" ht="15" customHeight="1">
      <c r="E9430" s="49" t="str">
        <f>IFERROR(VLOOKUP(D9430,'taxonomy map'!$A$1:$C$107,2,FALSE),"")</f>
        <v/>
      </c>
      <c r="F9430" s="49" t="str">
        <f>IFERROR(VLOOKUP(E9430,'Condensed Specialty Crosswalk'!$A$2:$C$106,2,FALSE),"")</f>
        <v/>
      </c>
      <c r="G9430" s="49" t="str">
        <f>IFERROR(VLOOKUP(E9430,'Condensed Specialty Crosswalk'!$A$2:$C$106,3,FALSE),"")</f>
        <v/>
      </c>
    </row>
    <row r="9431" spans="5:7" ht="15" customHeight="1">
      <c r="E9431" s="49" t="str">
        <f>IFERROR(VLOOKUP(D9431,'taxonomy map'!$A$1:$C$107,2,FALSE),"")</f>
        <v/>
      </c>
      <c r="F9431" s="49" t="str">
        <f>IFERROR(VLOOKUP(E9431,'Condensed Specialty Crosswalk'!$A$2:$C$106,2,FALSE),"")</f>
        <v/>
      </c>
      <c r="G9431" s="49" t="str">
        <f>IFERROR(VLOOKUP(E9431,'Condensed Specialty Crosswalk'!$A$2:$C$106,3,FALSE),"")</f>
        <v/>
      </c>
    </row>
    <row r="9432" spans="5:7" ht="15" customHeight="1">
      <c r="E9432" s="49" t="str">
        <f>IFERROR(VLOOKUP(D9432,'taxonomy map'!$A$1:$C$107,2,FALSE),"")</f>
        <v/>
      </c>
      <c r="F9432" s="49" t="str">
        <f>IFERROR(VLOOKUP(E9432,'Condensed Specialty Crosswalk'!$A$2:$C$106,2,FALSE),"")</f>
        <v/>
      </c>
      <c r="G9432" s="49" t="str">
        <f>IFERROR(VLOOKUP(E9432,'Condensed Specialty Crosswalk'!$A$2:$C$106,3,FALSE),"")</f>
        <v/>
      </c>
    </row>
    <row r="9433" spans="5:7" ht="15" customHeight="1">
      <c r="E9433" s="49" t="str">
        <f>IFERROR(VLOOKUP(D9433,'taxonomy map'!$A$1:$C$107,2,FALSE),"")</f>
        <v/>
      </c>
      <c r="F9433" s="49" t="str">
        <f>IFERROR(VLOOKUP(E9433,'Condensed Specialty Crosswalk'!$A$2:$C$106,2,FALSE),"")</f>
        <v/>
      </c>
      <c r="G9433" s="49" t="str">
        <f>IFERROR(VLOOKUP(E9433,'Condensed Specialty Crosswalk'!$A$2:$C$106,3,FALSE),"")</f>
        <v/>
      </c>
    </row>
    <row r="9434" spans="5:7" ht="15" customHeight="1">
      <c r="E9434" s="49" t="str">
        <f>IFERROR(VLOOKUP(D9434,'taxonomy map'!$A$1:$C$107,2,FALSE),"")</f>
        <v/>
      </c>
      <c r="F9434" s="49" t="str">
        <f>IFERROR(VLOOKUP(E9434,'Condensed Specialty Crosswalk'!$A$2:$C$106,2,FALSE),"")</f>
        <v/>
      </c>
      <c r="G9434" s="49" t="str">
        <f>IFERROR(VLOOKUP(E9434,'Condensed Specialty Crosswalk'!$A$2:$C$106,3,FALSE),"")</f>
        <v/>
      </c>
    </row>
    <row r="9435" spans="5:7" ht="15" customHeight="1">
      <c r="E9435" s="49" t="str">
        <f>IFERROR(VLOOKUP(D9435,'taxonomy map'!$A$1:$C$107,2,FALSE),"")</f>
        <v/>
      </c>
      <c r="F9435" s="49" t="str">
        <f>IFERROR(VLOOKUP(E9435,'Condensed Specialty Crosswalk'!$A$2:$C$106,2,FALSE),"")</f>
        <v/>
      </c>
      <c r="G9435" s="49" t="str">
        <f>IFERROR(VLOOKUP(E9435,'Condensed Specialty Crosswalk'!$A$2:$C$106,3,FALSE),"")</f>
        <v/>
      </c>
    </row>
    <row r="9436" spans="5:7" ht="15" customHeight="1">
      <c r="E9436" s="49" t="str">
        <f>IFERROR(VLOOKUP(D9436,'taxonomy map'!$A$1:$C$107,2,FALSE),"")</f>
        <v/>
      </c>
      <c r="F9436" s="49" t="str">
        <f>IFERROR(VLOOKUP(E9436,'Condensed Specialty Crosswalk'!$A$2:$C$106,2,FALSE),"")</f>
        <v/>
      </c>
      <c r="G9436" s="49" t="str">
        <f>IFERROR(VLOOKUP(E9436,'Condensed Specialty Crosswalk'!$A$2:$C$106,3,FALSE),"")</f>
        <v/>
      </c>
    </row>
    <row r="9437" spans="5:7" ht="15" customHeight="1">
      <c r="E9437" s="49" t="str">
        <f>IFERROR(VLOOKUP(D9437,'taxonomy map'!$A$1:$C$107,2,FALSE),"")</f>
        <v/>
      </c>
      <c r="F9437" s="49" t="str">
        <f>IFERROR(VLOOKUP(E9437,'Condensed Specialty Crosswalk'!$A$2:$C$106,2,FALSE),"")</f>
        <v/>
      </c>
      <c r="G9437" s="49" t="str">
        <f>IFERROR(VLOOKUP(E9437,'Condensed Specialty Crosswalk'!$A$2:$C$106,3,FALSE),"")</f>
        <v/>
      </c>
    </row>
    <row r="9438" spans="5:7" ht="15" customHeight="1">
      <c r="E9438" s="49" t="str">
        <f>IFERROR(VLOOKUP(D9438,'taxonomy map'!$A$1:$C$107,2,FALSE),"")</f>
        <v/>
      </c>
      <c r="F9438" s="49" t="str">
        <f>IFERROR(VLOOKUP(E9438,'Condensed Specialty Crosswalk'!$A$2:$C$106,2,FALSE),"")</f>
        <v/>
      </c>
      <c r="G9438" s="49" t="str">
        <f>IFERROR(VLOOKUP(E9438,'Condensed Specialty Crosswalk'!$A$2:$C$106,3,FALSE),"")</f>
        <v/>
      </c>
    </row>
    <row r="9439" spans="5:7" ht="15" customHeight="1">
      <c r="E9439" s="49" t="str">
        <f>IFERROR(VLOOKUP(D9439,'taxonomy map'!$A$1:$C$107,2,FALSE),"")</f>
        <v/>
      </c>
      <c r="F9439" s="49" t="str">
        <f>IFERROR(VLOOKUP(E9439,'Condensed Specialty Crosswalk'!$A$2:$C$106,2,FALSE),"")</f>
        <v/>
      </c>
      <c r="G9439" s="49" t="str">
        <f>IFERROR(VLOOKUP(E9439,'Condensed Specialty Crosswalk'!$A$2:$C$106,3,FALSE),"")</f>
        <v/>
      </c>
    </row>
    <row r="9440" spans="5:7" ht="15" customHeight="1">
      <c r="E9440" s="49" t="str">
        <f>IFERROR(VLOOKUP(D9440,'taxonomy map'!$A$1:$C$107,2,FALSE),"")</f>
        <v/>
      </c>
      <c r="F9440" s="49" t="str">
        <f>IFERROR(VLOOKUP(E9440,'Condensed Specialty Crosswalk'!$A$2:$C$106,2,FALSE),"")</f>
        <v/>
      </c>
      <c r="G9440" s="49" t="str">
        <f>IFERROR(VLOOKUP(E9440,'Condensed Specialty Crosswalk'!$A$2:$C$106,3,FALSE),"")</f>
        <v/>
      </c>
    </row>
    <row r="9441" spans="5:7" ht="15" customHeight="1">
      <c r="E9441" s="49" t="str">
        <f>IFERROR(VLOOKUP(D9441,'taxonomy map'!$A$1:$C$107,2,FALSE),"")</f>
        <v/>
      </c>
      <c r="F9441" s="49" t="str">
        <f>IFERROR(VLOOKUP(E9441,'Condensed Specialty Crosswalk'!$A$2:$C$106,2,FALSE),"")</f>
        <v/>
      </c>
      <c r="G9441" s="49" t="str">
        <f>IFERROR(VLOOKUP(E9441,'Condensed Specialty Crosswalk'!$A$2:$C$106,3,FALSE),"")</f>
        <v/>
      </c>
    </row>
    <row r="9442" spans="5:7" ht="15" customHeight="1">
      <c r="E9442" s="49" t="str">
        <f>IFERROR(VLOOKUP(D9442,'taxonomy map'!$A$1:$C$107,2,FALSE),"")</f>
        <v/>
      </c>
      <c r="F9442" s="49" t="str">
        <f>IFERROR(VLOOKUP(E9442,'Condensed Specialty Crosswalk'!$A$2:$C$106,2,FALSE),"")</f>
        <v/>
      </c>
      <c r="G9442" s="49" t="str">
        <f>IFERROR(VLOOKUP(E9442,'Condensed Specialty Crosswalk'!$A$2:$C$106,3,FALSE),"")</f>
        <v/>
      </c>
    </row>
    <row r="9443" spans="5:7" ht="15" customHeight="1">
      <c r="E9443" s="49" t="str">
        <f>IFERROR(VLOOKUP(D9443,'taxonomy map'!$A$1:$C$107,2,FALSE),"")</f>
        <v/>
      </c>
      <c r="F9443" s="49" t="str">
        <f>IFERROR(VLOOKUP(E9443,'Condensed Specialty Crosswalk'!$A$2:$C$106,2,FALSE),"")</f>
        <v/>
      </c>
      <c r="G9443" s="49" t="str">
        <f>IFERROR(VLOOKUP(E9443,'Condensed Specialty Crosswalk'!$A$2:$C$106,3,FALSE),"")</f>
        <v/>
      </c>
    </row>
    <row r="9444" spans="5:7" ht="15" customHeight="1">
      <c r="E9444" s="49" t="str">
        <f>IFERROR(VLOOKUP(D9444,'taxonomy map'!$A$1:$C$107,2,FALSE),"")</f>
        <v/>
      </c>
      <c r="F9444" s="49" t="str">
        <f>IFERROR(VLOOKUP(E9444,'Condensed Specialty Crosswalk'!$A$2:$C$106,2,FALSE),"")</f>
        <v/>
      </c>
      <c r="G9444" s="49" t="str">
        <f>IFERROR(VLOOKUP(E9444,'Condensed Specialty Crosswalk'!$A$2:$C$106,3,FALSE),"")</f>
        <v/>
      </c>
    </row>
    <row r="9445" spans="5:7" ht="15" customHeight="1">
      <c r="E9445" s="49" t="str">
        <f>IFERROR(VLOOKUP(D9445,'taxonomy map'!$A$1:$C$107,2,FALSE),"")</f>
        <v/>
      </c>
      <c r="F9445" s="49" t="str">
        <f>IFERROR(VLOOKUP(E9445,'Condensed Specialty Crosswalk'!$A$2:$C$106,2,FALSE),"")</f>
        <v/>
      </c>
      <c r="G9445" s="49" t="str">
        <f>IFERROR(VLOOKUP(E9445,'Condensed Specialty Crosswalk'!$A$2:$C$106,3,FALSE),"")</f>
        <v/>
      </c>
    </row>
    <row r="9446" spans="5:7" ht="15" customHeight="1">
      <c r="E9446" s="49" t="str">
        <f>IFERROR(VLOOKUP(D9446,'taxonomy map'!$A$1:$C$107,2,FALSE),"")</f>
        <v/>
      </c>
      <c r="F9446" s="49" t="str">
        <f>IFERROR(VLOOKUP(E9446,'Condensed Specialty Crosswalk'!$A$2:$C$106,2,FALSE),"")</f>
        <v/>
      </c>
      <c r="G9446" s="49" t="str">
        <f>IFERROR(VLOOKUP(E9446,'Condensed Specialty Crosswalk'!$A$2:$C$106,3,FALSE),"")</f>
        <v/>
      </c>
    </row>
    <row r="9447" spans="5:7" ht="15" customHeight="1">
      <c r="E9447" s="49" t="str">
        <f>IFERROR(VLOOKUP(D9447,'taxonomy map'!$A$1:$C$107,2,FALSE),"")</f>
        <v/>
      </c>
      <c r="F9447" s="49" t="str">
        <f>IFERROR(VLOOKUP(E9447,'Condensed Specialty Crosswalk'!$A$2:$C$106,2,FALSE),"")</f>
        <v/>
      </c>
      <c r="G9447" s="49" t="str">
        <f>IFERROR(VLOOKUP(E9447,'Condensed Specialty Crosswalk'!$A$2:$C$106,3,FALSE),"")</f>
        <v/>
      </c>
    </row>
    <row r="9448" spans="5:7" ht="15" customHeight="1">
      <c r="E9448" s="49" t="str">
        <f>IFERROR(VLOOKUP(D9448,'taxonomy map'!$A$1:$C$107,2,FALSE),"")</f>
        <v/>
      </c>
      <c r="F9448" s="49" t="str">
        <f>IFERROR(VLOOKUP(E9448,'Condensed Specialty Crosswalk'!$A$2:$C$106,2,FALSE),"")</f>
        <v/>
      </c>
      <c r="G9448" s="49" t="str">
        <f>IFERROR(VLOOKUP(E9448,'Condensed Specialty Crosswalk'!$A$2:$C$106,3,FALSE),"")</f>
        <v/>
      </c>
    </row>
    <row r="9449" spans="5:7" ht="15" customHeight="1">
      <c r="E9449" s="49" t="str">
        <f>IFERROR(VLOOKUP(D9449,'taxonomy map'!$A$1:$C$107,2,FALSE),"")</f>
        <v/>
      </c>
      <c r="F9449" s="49" t="str">
        <f>IFERROR(VLOOKUP(E9449,'Condensed Specialty Crosswalk'!$A$2:$C$106,2,FALSE),"")</f>
        <v/>
      </c>
      <c r="G9449" s="49" t="str">
        <f>IFERROR(VLOOKUP(E9449,'Condensed Specialty Crosswalk'!$A$2:$C$106,3,FALSE),"")</f>
        <v/>
      </c>
    </row>
    <row r="9450" spans="5:7" ht="15" customHeight="1">
      <c r="E9450" s="49" t="str">
        <f>IFERROR(VLOOKUP(D9450,'taxonomy map'!$A$1:$C$107,2,FALSE),"")</f>
        <v/>
      </c>
      <c r="F9450" s="49" t="str">
        <f>IFERROR(VLOOKUP(E9450,'Condensed Specialty Crosswalk'!$A$2:$C$106,2,FALSE),"")</f>
        <v/>
      </c>
      <c r="G9450" s="49" t="str">
        <f>IFERROR(VLOOKUP(E9450,'Condensed Specialty Crosswalk'!$A$2:$C$106,3,FALSE),"")</f>
        <v/>
      </c>
    </row>
    <row r="9451" spans="5:7" ht="15" customHeight="1">
      <c r="E9451" s="49" t="str">
        <f>IFERROR(VLOOKUP(D9451,'taxonomy map'!$A$1:$C$107,2,FALSE),"")</f>
        <v/>
      </c>
      <c r="F9451" s="49" t="str">
        <f>IFERROR(VLOOKUP(E9451,'Condensed Specialty Crosswalk'!$A$2:$C$106,2,FALSE),"")</f>
        <v/>
      </c>
      <c r="G9451" s="49" t="str">
        <f>IFERROR(VLOOKUP(E9451,'Condensed Specialty Crosswalk'!$A$2:$C$106,3,FALSE),"")</f>
        <v/>
      </c>
    </row>
    <row r="9452" spans="5:7" ht="15" customHeight="1">
      <c r="E9452" s="49" t="str">
        <f>IFERROR(VLOOKUP(D9452,'taxonomy map'!$A$1:$C$107,2,FALSE),"")</f>
        <v/>
      </c>
      <c r="F9452" s="49" t="str">
        <f>IFERROR(VLOOKUP(E9452,'Condensed Specialty Crosswalk'!$A$2:$C$106,2,FALSE),"")</f>
        <v/>
      </c>
      <c r="G9452" s="49" t="str">
        <f>IFERROR(VLOOKUP(E9452,'Condensed Specialty Crosswalk'!$A$2:$C$106,3,FALSE),"")</f>
        <v/>
      </c>
    </row>
    <row r="9453" spans="5:7" ht="15" customHeight="1">
      <c r="E9453" s="49" t="str">
        <f>IFERROR(VLOOKUP(D9453,'taxonomy map'!$A$1:$C$107,2,FALSE),"")</f>
        <v/>
      </c>
      <c r="F9453" s="49" t="str">
        <f>IFERROR(VLOOKUP(E9453,'Condensed Specialty Crosswalk'!$A$2:$C$106,2,FALSE),"")</f>
        <v/>
      </c>
      <c r="G9453" s="49" t="str">
        <f>IFERROR(VLOOKUP(E9453,'Condensed Specialty Crosswalk'!$A$2:$C$106,3,FALSE),"")</f>
        <v/>
      </c>
    </row>
    <row r="9454" spans="5:7" ht="15" customHeight="1">
      <c r="E9454" s="49" t="str">
        <f>IFERROR(VLOOKUP(D9454,'taxonomy map'!$A$1:$C$107,2,FALSE),"")</f>
        <v/>
      </c>
      <c r="F9454" s="49" t="str">
        <f>IFERROR(VLOOKUP(E9454,'Condensed Specialty Crosswalk'!$A$2:$C$106,2,FALSE),"")</f>
        <v/>
      </c>
      <c r="G9454" s="49" t="str">
        <f>IFERROR(VLOOKUP(E9454,'Condensed Specialty Crosswalk'!$A$2:$C$106,3,FALSE),"")</f>
        <v/>
      </c>
    </row>
    <row r="9455" spans="5:7" ht="15" customHeight="1">
      <c r="E9455" s="49" t="str">
        <f>IFERROR(VLOOKUP(D9455,'taxonomy map'!$A$1:$C$107,2,FALSE),"")</f>
        <v/>
      </c>
      <c r="F9455" s="49" t="str">
        <f>IFERROR(VLOOKUP(E9455,'Condensed Specialty Crosswalk'!$A$2:$C$106,2,FALSE),"")</f>
        <v/>
      </c>
      <c r="G9455" s="49" t="str">
        <f>IFERROR(VLOOKUP(E9455,'Condensed Specialty Crosswalk'!$A$2:$C$106,3,FALSE),"")</f>
        <v/>
      </c>
    </row>
    <row r="9456" spans="5:7" ht="15" customHeight="1">
      <c r="E9456" s="49" t="str">
        <f>IFERROR(VLOOKUP(D9456,'taxonomy map'!$A$1:$C$107,2,FALSE),"")</f>
        <v/>
      </c>
      <c r="F9456" s="49" t="str">
        <f>IFERROR(VLOOKUP(E9456,'Condensed Specialty Crosswalk'!$A$2:$C$106,2,FALSE),"")</f>
        <v/>
      </c>
      <c r="G9456" s="49" t="str">
        <f>IFERROR(VLOOKUP(E9456,'Condensed Specialty Crosswalk'!$A$2:$C$106,3,FALSE),"")</f>
        <v/>
      </c>
    </row>
    <row r="9457" spans="5:7" ht="15" customHeight="1">
      <c r="E9457" s="49" t="str">
        <f>IFERROR(VLOOKUP(D9457,'taxonomy map'!$A$1:$C$107,2,FALSE),"")</f>
        <v/>
      </c>
      <c r="F9457" s="49" t="str">
        <f>IFERROR(VLOOKUP(E9457,'Condensed Specialty Crosswalk'!$A$2:$C$106,2,FALSE),"")</f>
        <v/>
      </c>
      <c r="G9457" s="49" t="str">
        <f>IFERROR(VLOOKUP(E9457,'Condensed Specialty Crosswalk'!$A$2:$C$106,3,FALSE),"")</f>
        <v/>
      </c>
    </row>
    <row r="9458" spans="5:7" ht="15" customHeight="1">
      <c r="E9458" s="49" t="str">
        <f>IFERROR(VLOOKUP(D9458,'taxonomy map'!$A$1:$C$107,2,FALSE),"")</f>
        <v/>
      </c>
      <c r="F9458" s="49" t="str">
        <f>IFERROR(VLOOKUP(E9458,'Condensed Specialty Crosswalk'!$A$2:$C$106,2,FALSE),"")</f>
        <v/>
      </c>
      <c r="G9458" s="49" t="str">
        <f>IFERROR(VLOOKUP(E9458,'Condensed Specialty Crosswalk'!$A$2:$C$106,3,FALSE),"")</f>
        <v/>
      </c>
    </row>
    <row r="9459" spans="5:7" ht="15" customHeight="1">
      <c r="E9459" s="49" t="str">
        <f>IFERROR(VLOOKUP(D9459,'taxonomy map'!$A$1:$C$107,2,FALSE),"")</f>
        <v/>
      </c>
      <c r="F9459" s="49" t="str">
        <f>IFERROR(VLOOKUP(E9459,'Condensed Specialty Crosswalk'!$A$2:$C$106,2,FALSE),"")</f>
        <v/>
      </c>
      <c r="G9459" s="49" t="str">
        <f>IFERROR(VLOOKUP(E9459,'Condensed Specialty Crosswalk'!$A$2:$C$106,3,FALSE),"")</f>
        <v/>
      </c>
    </row>
    <row r="9460" spans="5:7" ht="15" customHeight="1">
      <c r="E9460" s="49" t="str">
        <f>IFERROR(VLOOKUP(D9460,'taxonomy map'!$A$1:$C$107,2,FALSE),"")</f>
        <v/>
      </c>
      <c r="F9460" s="49" t="str">
        <f>IFERROR(VLOOKUP(E9460,'Condensed Specialty Crosswalk'!$A$2:$C$106,2,FALSE),"")</f>
        <v/>
      </c>
      <c r="G9460" s="49" t="str">
        <f>IFERROR(VLOOKUP(E9460,'Condensed Specialty Crosswalk'!$A$2:$C$106,3,FALSE),"")</f>
        <v/>
      </c>
    </row>
    <row r="9461" spans="5:7" ht="15" customHeight="1">
      <c r="E9461" s="49" t="str">
        <f>IFERROR(VLOOKUP(D9461,'taxonomy map'!$A$1:$C$107,2,FALSE),"")</f>
        <v/>
      </c>
      <c r="F9461" s="49" t="str">
        <f>IFERROR(VLOOKUP(E9461,'Condensed Specialty Crosswalk'!$A$2:$C$106,2,FALSE),"")</f>
        <v/>
      </c>
      <c r="G9461" s="49" t="str">
        <f>IFERROR(VLOOKUP(E9461,'Condensed Specialty Crosswalk'!$A$2:$C$106,3,FALSE),"")</f>
        <v/>
      </c>
    </row>
    <row r="9462" spans="5:7" ht="15" customHeight="1">
      <c r="E9462" s="49" t="str">
        <f>IFERROR(VLOOKUP(D9462,'taxonomy map'!$A$1:$C$107,2,FALSE),"")</f>
        <v/>
      </c>
      <c r="F9462" s="49" t="str">
        <f>IFERROR(VLOOKUP(E9462,'Condensed Specialty Crosswalk'!$A$2:$C$106,2,FALSE),"")</f>
        <v/>
      </c>
      <c r="G9462" s="49" t="str">
        <f>IFERROR(VLOOKUP(E9462,'Condensed Specialty Crosswalk'!$A$2:$C$106,3,FALSE),"")</f>
        <v/>
      </c>
    </row>
    <row r="9463" spans="5:7" ht="15" customHeight="1">
      <c r="E9463" s="49" t="str">
        <f>IFERROR(VLOOKUP(D9463,'taxonomy map'!$A$1:$C$107,2,FALSE),"")</f>
        <v/>
      </c>
      <c r="F9463" s="49" t="str">
        <f>IFERROR(VLOOKUP(E9463,'Condensed Specialty Crosswalk'!$A$2:$C$106,2,FALSE),"")</f>
        <v/>
      </c>
      <c r="G9463" s="49" t="str">
        <f>IFERROR(VLOOKUP(E9463,'Condensed Specialty Crosswalk'!$A$2:$C$106,3,FALSE),"")</f>
        <v/>
      </c>
    </row>
    <row r="9464" spans="5:7" ht="15" customHeight="1">
      <c r="E9464" s="49" t="str">
        <f>IFERROR(VLOOKUP(D9464,'taxonomy map'!$A$1:$C$107,2,FALSE),"")</f>
        <v/>
      </c>
      <c r="F9464" s="49" t="str">
        <f>IFERROR(VLOOKUP(E9464,'Condensed Specialty Crosswalk'!$A$2:$C$106,2,FALSE),"")</f>
        <v/>
      </c>
      <c r="G9464" s="49" t="str">
        <f>IFERROR(VLOOKUP(E9464,'Condensed Specialty Crosswalk'!$A$2:$C$106,3,FALSE),"")</f>
        <v/>
      </c>
    </row>
    <row r="9465" spans="5:7" ht="15" customHeight="1">
      <c r="E9465" s="49" t="str">
        <f>IFERROR(VLOOKUP(D9465,'taxonomy map'!$A$1:$C$107,2,FALSE),"")</f>
        <v/>
      </c>
      <c r="F9465" s="49" t="str">
        <f>IFERROR(VLOOKUP(E9465,'Condensed Specialty Crosswalk'!$A$2:$C$106,2,FALSE),"")</f>
        <v/>
      </c>
      <c r="G9465" s="49" t="str">
        <f>IFERROR(VLOOKUP(E9465,'Condensed Specialty Crosswalk'!$A$2:$C$106,3,FALSE),"")</f>
        <v/>
      </c>
    </row>
    <row r="9466" spans="5:7" ht="15" customHeight="1">
      <c r="E9466" s="49" t="str">
        <f>IFERROR(VLOOKUP(D9466,'taxonomy map'!$A$1:$C$107,2,FALSE),"")</f>
        <v/>
      </c>
      <c r="F9466" s="49" t="str">
        <f>IFERROR(VLOOKUP(E9466,'Condensed Specialty Crosswalk'!$A$2:$C$106,2,FALSE),"")</f>
        <v/>
      </c>
      <c r="G9466" s="49" t="str">
        <f>IFERROR(VLOOKUP(E9466,'Condensed Specialty Crosswalk'!$A$2:$C$106,3,FALSE),"")</f>
        <v/>
      </c>
    </row>
    <row r="9467" spans="5:7" ht="15" customHeight="1">
      <c r="E9467" s="49" t="str">
        <f>IFERROR(VLOOKUP(D9467,'taxonomy map'!$A$1:$C$107,2,FALSE),"")</f>
        <v/>
      </c>
      <c r="F9467" s="49" t="str">
        <f>IFERROR(VLOOKUP(E9467,'Condensed Specialty Crosswalk'!$A$2:$C$106,2,FALSE),"")</f>
        <v/>
      </c>
      <c r="G9467" s="49" t="str">
        <f>IFERROR(VLOOKUP(E9467,'Condensed Specialty Crosswalk'!$A$2:$C$106,3,FALSE),"")</f>
        <v/>
      </c>
    </row>
    <row r="9468" spans="5:7" ht="15" customHeight="1">
      <c r="E9468" s="49" t="str">
        <f>IFERROR(VLOOKUP(D9468,'taxonomy map'!$A$1:$C$107,2,FALSE),"")</f>
        <v/>
      </c>
      <c r="F9468" s="49" t="str">
        <f>IFERROR(VLOOKUP(E9468,'Condensed Specialty Crosswalk'!$A$2:$C$106,2,FALSE),"")</f>
        <v/>
      </c>
      <c r="G9468" s="49" t="str">
        <f>IFERROR(VLOOKUP(E9468,'Condensed Specialty Crosswalk'!$A$2:$C$106,3,FALSE),"")</f>
        <v/>
      </c>
    </row>
    <row r="9469" spans="5:7" ht="15" customHeight="1">
      <c r="E9469" s="49" t="str">
        <f>IFERROR(VLOOKUP(D9469,'taxonomy map'!$A$1:$C$107,2,FALSE),"")</f>
        <v/>
      </c>
      <c r="F9469" s="49" t="str">
        <f>IFERROR(VLOOKUP(E9469,'Condensed Specialty Crosswalk'!$A$2:$C$106,2,FALSE),"")</f>
        <v/>
      </c>
      <c r="G9469" s="49" t="str">
        <f>IFERROR(VLOOKUP(E9469,'Condensed Specialty Crosswalk'!$A$2:$C$106,3,FALSE),"")</f>
        <v/>
      </c>
    </row>
    <row r="9470" spans="5:7" ht="15" customHeight="1">
      <c r="E9470" s="49" t="str">
        <f>IFERROR(VLOOKUP(D9470,'taxonomy map'!$A$1:$C$107,2,FALSE),"")</f>
        <v/>
      </c>
      <c r="F9470" s="49" t="str">
        <f>IFERROR(VLOOKUP(E9470,'Condensed Specialty Crosswalk'!$A$2:$C$106,2,FALSE),"")</f>
        <v/>
      </c>
      <c r="G9470" s="49" t="str">
        <f>IFERROR(VLOOKUP(E9470,'Condensed Specialty Crosswalk'!$A$2:$C$106,3,FALSE),"")</f>
        <v/>
      </c>
    </row>
    <row r="9471" spans="5:7" ht="15" customHeight="1">
      <c r="E9471" s="49" t="str">
        <f>IFERROR(VLOOKUP(D9471,'taxonomy map'!$A$1:$C$107,2,FALSE),"")</f>
        <v/>
      </c>
      <c r="F9471" s="49" t="str">
        <f>IFERROR(VLOOKUP(E9471,'Condensed Specialty Crosswalk'!$A$2:$C$106,2,FALSE),"")</f>
        <v/>
      </c>
      <c r="G9471" s="49" t="str">
        <f>IFERROR(VLOOKUP(E9471,'Condensed Specialty Crosswalk'!$A$2:$C$106,3,FALSE),"")</f>
        <v/>
      </c>
    </row>
    <row r="9472" spans="5:7" ht="15" customHeight="1">
      <c r="E9472" s="49" t="str">
        <f>IFERROR(VLOOKUP(D9472,'taxonomy map'!$A$1:$C$107,2,FALSE),"")</f>
        <v/>
      </c>
      <c r="F9472" s="49" t="str">
        <f>IFERROR(VLOOKUP(E9472,'Condensed Specialty Crosswalk'!$A$2:$C$106,2,FALSE),"")</f>
        <v/>
      </c>
      <c r="G9472" s="49" t="str">
        <f>IFERROR(VLOOKUP(E9472,'Condensed Specialty Crosswalk'!$A$2:$C$106,3,FALSE),"")</f>
        <v/>
      </c>
    </row>
    <row r="9473" spans="5:7" ht="15" customHeight="1">
      <c r="E9473" s="49" t="str">
        <f>IFERROR(VLOOKUP(D9473,'taxonomy map'!$A$1:$C$107,2,FALSE),"")</f>
        <v/>
      </c>
      <c r="F9473" s="49" t="str">
        <f>IFERROR(VLOOKUP(E9473,'Condensed Specialty Crosswalk'!$A$2:$C$106,2,FALSE),"")</f>
        <v/>
      </c>
      <c r="G9473" s="49" t="str">
        <f>IFERROR(VLOOKUP(E9473,'Condensed Specialty Crosswalk'!$A$2:$C$106,3,FALSE),"")</f>
        <v/>
      </c>
    </row>
    <row r="9474" spans="5:7" ht="15" customHeight="1">
      <c r="E9474" s="49" t="str">
        <f>IFERROR(VLOOKUP(D9474,'taxonomy map'!$A$1:$C$107,2,FALSE),"")</f>
        <v/>
      </c>
      <c r="F9474" s="49" t="str">
        <f>IFERROR(VLOOKUP(E9474,'Condensed Specialty Crosswalk'!$A$2:$C$106,2,FALSE),"")</f>
        <v/>
      </c>
      <c r="G9474" s="49" t="str">
        <f>IFERROR(VLOOKUP(E9474,'Condensed Specialty Crosswalk'!$A$2:$C$106,3,FALSE),"")</f>
        <v/>
      </c>
    </row>
    <row r="9475" spans="5:7" ht="15" customHeight="1">
      <c r="E9475" s="49" t="str">
        <f>IFERROR(VLOOKUP(D9475,'taxonomy map'!$A$1:$C$107,2,FALSE),"")</f>
        <v/>
      </c>
      <c r="F9475" s="49" t="str">
        <f>IFERROR(VLOOKUP(E9475,'Condensed Specialty Crosswalk'!$A$2:$C$106,2,FALSE),"")</f>
        <v/>
      </c>
      <c r="G9475" s="49" t="str">
        <f>IFERROR(VLOOKUP(E9475,'Condensed Specialty Crosswalk'!$A$2:$C$106,3,FALSE),"")</f>
        <v/>
      </c>
    </row>
    <row r="9476" spans="5:7" ht="15" customHeight="1">
      <c r="E9476" s="49" t="str">
        <f>IFERROR(VLOOKUP(D9476,'taxonomy map'!$A$1:$C$107,2,FALSE),"")</f>
        <v/>
      </c>
      <c r="F9476" s="49" t="str">
        <f>IFERROR(VLOOKUP(E9476,'Condensed Specialty Crosswalk'!$A$2:$C$106,2,FALSE),"")</f>
        <v/>
      </c>
      <c r="G9476" s="49" t="str">
        <f>IFERROR(VLOOKUP(E9476,'Condensed Specialty Crosswalk'!$A$2:$C$106,3,FALSE),"")</f>
        <v/>
      </c>
    </row>
    <row r="9477" spans="5:7" ht="15" customHeight="1">
      <c r="E9477" s="49" t="str">
        <f>IFERROR(VLOOKUP(D9477,'taxonomy map'!$A$1:$C$107,2,FALSE),"")</f>
        <v/>
      </c>
      <c r="F9477" s="49" t="str">
        <f>IFERROR(VLOOKUP(E9477,'Condensed Specialty Crosswalk'!$A$2:$C$106,2,FALSE),"")</f>
        <v/>
      </c>
      <c r="G9477" s="49" t="str">
        <f>IFERROR(VLOOKUP(E9477,'Condensed Specialty Crosswalk'!$A$2:$C$106,3,FALSE),"")</f>
        <v/>
      </c>
    </row>
    <row r="9478" spans="5:7" ht="15" customHeight="1">
      <c r="E9478" s="49" t="str">
        <f>IFERROR(VLOOKUP(D9478,'taxonomy map'!$A$1:$C$107,2,FALSE),"")</f>
        <v/>
      </c>
      <c r="F9478" s="49" t="str">
        <f>IFERROR(VLOOKUP(E9478,'Condensed Specialty Crosswalk'!$A$2:$C$106,2,FALSE),"")</f>
        <v/>
      </c>
      <c r="G9478" s="49" t="str">
        <f>IFERROR(VLOOKUP(E9478,'Condensed Specialty Crosswalk'!$A$2:$C$106,3,FALSE),"")</f>
        <v/>
      </c>
    </row>
    <row r="9479" spans="5:7" ht="15" customHeight="1">
      <c r="E9479" s="49" t="str">
        <f>IFERROR(VLOOKUP(D9479,'taxonomy map'!$A$1:$C$107,2,FALSE),"")</f>
        <v/>
      </c>
      <c r="F9479" s="49" t="str">
        <f>IFERROR(VLOOKUP(E9479,'Condensed Specialty Crosswalk'!$A$2:$C$106,2,FALSE),"")</f>
        <v/>
      </c>
      <c r="G9479" s="49" t="str">
        <f>IFERROR(VLOOKUP(E9479,'Condensed Specialty Crosswalk'!$A$2:$C$106,3,FALSE),"")</f>
        <v/>
      </c>
    </row>
    <row r="9480" spans="5:7" ht="15" customHeight="1">
      <c r="E9480" s="49" t="str">
        <f>IFERROR(VLOOKUP(D9480,'taxonomy map'!$A$1:$C$107,2,FALSE),"")</f>
        <v/>
      </c>
      <c r="F9480" s="49" t="str">
        <f>IFERROR(VLOOKUP(E9480,'Condensed Specialty Crosswalk'!$A$2:$C$106,2,FALSE),"")</f>
        <v/>
      </c>
      <c r="G9480" s="49" t="str">
        <f>IFERROR(VLOOKUP(E9480,'Condensed Specialty Crosswalk'!$A$2:$C$106,3,FALSE),"")</f>
        <v/>
      </c>
    </row>
    <row r="9481" spans="5:7" ht="15" customHeight="1">
      <c r="E9481" s="49" t="str">
        <f>IFERROR(VLOOKUP(D9481,'taxonomy map'!$A$1:$C$107,2,FALSE),"")</f>
        <v/>
      </c>
      <c r="F9481" s="49" t="str">
        <f>IFERROR(VLOOKUP(E9481,'Condensed Specialty Crosswalk'!$A$2:$C$106,2,FALSE),"")</f>
        <v/>
      </c>
      <c r="G9481" s="49" t="str">
        <f>IFERROR(VLOOKUP(E9481,'Condensed Specialty Crosswalk'!$A$2:$C$106,3,FALSE),"")</f>
        <v/>
      </c>
    </row>
    <row r="9482" spans="5:7" ht="15" customHeight="1">
      <c r="E9482" s="49" t="str">
        <f>IFERROR(VLOOKUP(D9482,'taxonomy map'!$A$1:$C$107,2,FALSE),"")</f>
        <v/>
      </c>
      <c r="F9482" s="49" t="str">
        <f>IFERROR(VLOOKUP(E9482,'Condensed Specialty Crosswalk'!$A$2:$C$106,2,FALSE),"")</f>
        <v/>
      </c>
      <c r="G9482" s="49" t="str">
        <f>IFERROR(VLOOKUP(E9482,'Condensed Specialty Crosswalk'!$A$2:$C$106,3,FALSE),"")</f>
        <v/>
      </c>
    </row>
    <row r="9483" spans="5:7" ht="15" customHeight="1">
      <c r="E9483" s="49" t="str">
        <f>IFERROR(VLOOKUP(D9483,'taxonomy map'!$A$1:$C$107,2,FALSE),"")</f>
        <v/>
      </c>
      <c r="F9483" s="49" t="str">
        <f>IFERROR(VLOOKUP(E9483,'Condensed Specialty Crosswalk'!$A$2:$C$106,2,FALSE),"")</f>
        <v/>
      </c>
      <c r="G9483" s="49" t="str">
        <f>IFERROR(VLOOKUP(E9483,'Condensed Specialty Crosswalk'!$A$2:$C$106,3,FALSE),"")</f>
        <v/>
      </c>
    </row>
    <row r="9484" spans="5:7" ht="15" customHeight="1">
      <c r="E9484" s="49" t="str">
        <f>IFERROR(VLOOKUP(D9484,'taxonomy map'!$A$1:$C$107,2,FALSE),"")</f>
        <v/>
      </c>
      <c r="F9484" s="49" t="str">
        <f>IFERROR(VLOOKUP(E9484,'Condensed Specialty Crosswalk'!$A$2:$C$106,2,FALSE),"")</f>
        <v/>
      </c>
      <c r="G9484" s="49" t="str">
        <f>IFERROR(VLOOKUP(E9484,'Condensed Specialty Crosswalk'!$A$2:$C$106,3,FALSE),"")</f>
        <v/>
      </c>
    </row>
    <row r="9485" spans="5:7" ht="15" customHeight="1">
      <c r="E9485" s="49" t="str">
        <f>IFERROR(VLOOKUP(D9485,'taxonomy map'!$A$1:$C$107,2,FALSE),"")</f>
        <v/>
      </c>
      <c r="F9485" s="49" t="str">
        <f>IFERROR(VLOOKUP(E9485,'Condensed Specialty Crosswalk'!$A$2:$C$106,2,FALSE),"")</f>
        <v/>
      </c>
      <c r="G9485" s="49" t="str">
        <f>IFERROR(VLOOKUP(E9485,'Condensed Specialty Crosswalk'!$A$2:$C$106,3,FALSE),"")</f>
        <v/>
      </c>
    </row>
    <row r="9486" spans="5:7" ht="15" customHeight="1">
      <c r="E9486" s="49" t="str">
        <f>IFERROR(VLOOKUP(D9486,'taxonomy map'!$A$1:$C$107,2,FALSE),"")</f>
        <v/>
      </c>
      <c r="F9486" s="49" t="str">
        <f>IFERROR(VLOOKUP(E9486,'Condensed Specialty Crosswalk'!$A$2:$C$106,2,FALSE),"")</f>
        <v/>
      </c>
      <c r="G9486" s="49" t="str">
        <f>IFERROR(VLOOKUP(E9486,'Condensed Specialty Crosswalk'!$A$2:$C$106,3,FALSE),"")</f>
        <v/>
      </c>
    </row>
    <row r="9487" spans="5:7" ht="15" customHeight="1">
      <c r="E9487" s="49" t="str">
        <f>IFERROR(VLOOKUP(D9487,'taxonomy map'!$A$1:$C$107,2,FALSE),"")</f>
        <v/>
      </c>
      <c r="F9487" s="49" t="str">
        <f>IFERROR(VLOOKUP(E9487,'Condensed Specialty Crosswalk'!$A$2:$C$106,2,FALSE),"")</f>
        <v/>
      </c>
      <c r="G9487" s="49" t="str">
        <f>IFERROR(VLOOKUP(E9487,'Condensed Specialty Crosswalk'!$A$2:$C$106,3,FALSE),"")</f>
        <v/>
      </c>
    </row>
    <row r="9488" spans="5:7" ht="15" customHeight="1">
      <c r="E9488" s="49" t="str">
        <f>IFERROR(VLOOKUP(D9488,'taxonomy map'!$A$1:$C$107,2,FALSE),"")</f>
        <v/>
      </c>
      <c r="F9488" s="49" t="str">
        <f>IFERROR(VLOOKUP(E9488,'Condensed Specialty Crosswalk'!$A$2:$C$106,2,FALSE),"")</f>
        <v/>
      </c>
      <c r="G9488" s="49" t="str">
        <f>IFERROR(VLOOKUP(E9488,'Condensed Specialty Crosswalk'!$A$2:$C$106,3,FALSE),"")</f>
        <v/>
      </c>
    </row>
    <row r="9489" spans="5:7" ht="15" customHeight="1">
      <c r="E9489" s="49" t="str">
        <f>IFERROR(VLOOKUP(D9489,'taxonomy map'!$A$1:$C$107,2,FALSE),"")</f>
        <v/>
      </c>
      <c r="F9489" s="49" t="str">
        <f>IFERROR(VLOOKUP(E9489,'Condensed Specialty Crosswalk'!$A$2:$C$106,2,FALSE),"")</f>
        <v/>
      </c>
      <c r="G9489" s="49" t="str">
        <f>IFERROR(VLOOKUP(E9489,'Condensed Specialty Crosswalk'!$A$2:$C$106,3,FALSE),"")</f>
        <v/>
      </c>
    </row>
    <row r="9490" spans="5:7" ht="15" customHeight="1">
      <c r="E9490" s="49" t="str">
        <f>IFERROR(VLOOKUP(D9490,'taxonomy map'!$A$1:$C$107,2,FALSE),"")</f>
        <v/>
      </c>
      <c r="F9490" s="49" t="str">
        <f>IFERROR(VLOOKUP(E9490,'Condensed Specialty Crosswalk'!$A$2:$C$106,2,FALSE),"")</f>
        <v/>
      </c>
      <c r="G9490" s="49" t="str">
        <f>IFERROR(VLOOKUP(E9490,'Condensed Specialty Crosswalk'!$A$2:$C$106,3,FALSE),"")</f>
        <v/>
      </c>
    </row>
    <row r="9491" spans="5:7" ht="15" customHeight="1">
      <c r="E9491" s="49" t="str">
        <f>IFERROR(VLOOKUP(D9491,'taxonomy map'!$A$1:$C$107,2,FALSE),"")</f>
        <v/>
      </c>
      <c r="F9491" s="49" t="str">
        <f>IFERROR(VLOOKUP(E9491,'Condensed Specialty Crosswalk'!$A$2:$C$106,2,FALSE),"")</f>
        <v/>
      </c>
      <c r="G9491" s="49" t="str">
        <f>IFERROR(VLOOKUP(E9491,'Condensed Specialty Crosswalk'!$A$2:$C$106,3,FALSE),"")</f>
        <v/>
      </c>
    </row>
    <row r="9492" spans="5:7" ht="15" customHeight="1">
      <c r="E9492" s="49" t="str">
        <f>IFERROR(VLOOKUP(D9492,'taxonomy map'!$A$1:$C$107,2,FALSE),"")</f>
        <v/>
      </c>
      <c r="F9492" s="49" t="str">
        <f>IFERROR(VLOOKUP(E9492,'Condensed Specialty Crosswalk'!$A$2:$C$106,2,FALSE),"")</f>
        <v/>
      </c>
      <c r="G9492" s="49" t="str">
        <f>IFERROR(VLOOKUP(E9492,'Condensed Specialty Crosswalk'!$A$2:$C$106,3,FALSE),"")</f>
        <v/>
      </c>
    </row>
    <row r="9493" spans="5:7" ht="15" customHeight="1">
      <c r="E9493" s="49" t="str">
        <f>IFERROR(VLOOKUP(D9493,'taxonomy map'!$A$1:$C$107,2,FALSE),"")</f>
        <v/>
      </c>
      <c r="F9493" s="49" t="str">
        <f>IFERROR(VLOOKUP(E9493,'Condensed Specialty Crosswalk'!$A$2:$C$106,2,FALSE),"")</f>
        <v/>
      </c>
      <c r="G9493" s="49" t="str">
        <f>IFERROR(VLOOKUP(E9493,'Condensed Specialty Crosswalk'!$A$2:$C$106,3,FALSE),"")</f>
        <v/>
      </c>
    </row>
    <row r="9494" spans="5:7" ht="15" customHeight="1">
      <c r="E9494" s="49" t="str">
        <f>IFERROR(VLOOKUP(D9494,'taxonomy map'!$A$1:$C$107,2,FALSE),"")</f>
        <v/>
      </c>
      <c r="F9494" s="49" t="str">
        <f>IFERROR(VLOOKUP(E9494,'Condensed Specialty Crosswalk'!$A$2:$C$106,2,FALSE),"")</f>
        <v/>
      </c>
      <c r="G9494" s="49" t="str">
        <f>IFERROR(VLOOKUP(E9494,'Condensed Specialty Crosswalk'!$A$2:$C$106,3,FALSE),"")</f>
        <v/>
      </c>
    </row>
    <row r="9495" spans="5:7" ht="15" customHeight="1">
      <c r="E9495" s="49" t="str">
        <f>IFERROR(VLOOKUP(D9495,'taxonomy map'!$A$1:$C$107,2,FALSE),"")</f>
        <v/>
      </c>
      <c r="F9495" s="49" t="str">
        <f>IFERROR(VLOOKUP(E9495,'Condensed Specialty Crosswalk'!$A$2:$C$106,2,FALSE),"")</f>
        <v/>
      </c>
      <c r="G9495" s="49" t="str">
        <f>IFERROR(VLOOKUP(E9495,'Condensed Specialty Crosswalk'!$A$2:$C$106,3,FALSE),"")</f>
        <v/>
      </c>
    </row>
    <row r="9496" spans="5:7" ht="15" customHeight="1">
      <c r="E9496" s="49" t="str">
        <f>IFERROR(VLOOKUP(D9496,'taxonomy map'!$A$1:$C$107,2,FALSE),"")</f>
        <v/>
      </c>
      <c r="F9496" s="49" t="str">
        <f>IFERROR(VLOOKUP(E9496,'Condensed Specialty Crosswalk'!$A$2:$C$106,2,FALSE),"")</f>
        <v/>
      </c>
      <c r="G9496" s="49" t="str">
        <f>IFERROR(VLOOKUP(E9496,'Condensed Specialty Crosswalk'!$A$2:$C$106,3,FALSE),"")</f>
        <v/>
      </c>
    </row>
    <row r="9497" spans="5:7" ht="15" customHeight="1">
      <c r="E9497" s="49" t="str">
        <f>IFERROR(VLOOKUP(D9497,'taxonomy map'!$A$1:$C$107,2,FALSE),"")</f>
        <v/>
      </c>
      <c r="F9497" s="49" t="str">
        <f>IFERROR(VLOOKUP(E9497,'Condensed Specialty Crosswalk'!$A$2:$C$106,2,FALSE),"")</f>
        <v/>
      </c>
      <c r="G9497" s="49" t="str">
        <f>IFERROR(VLOOKUP(E9497,'Condensed Specialty Crosswalk'!$A$2:$C$106,3,FALSE),"")</f>
        <v/>
      </c>
    </row>
    <row r="9498" spans="5:7" ht="15" customHeight="1">
      <c r="E9498" s="49" t="str">
        <f>IFERROR(VLOOKUP(D9498,'taxonomy map'!$A$1:$C$107,2,FALSE),"")</f>
        <v/>
      </c>
      <c r="F9498" s="49" t="str">
        <f>IFERROR(VLOOKUP(E9498,'Condensed Specialty Crosswalk'!$A$2:$C$106,2,FALSE),"")</f>
        <v/>
      </c>
      <c r="G9498" s="49" t="str">
        <f>IFERROR(VLOOKUP(E9498,'Condensed Specialty Crosswalk'!$A$2:$C$106,3,FALSE),"")</f>
        <v/>
      </c>
    </row>
    <row r="9499" spans="5:7" ht="15" customHeight="1">
      <c r="E9499" s="49" t="str">
        <f>IFERROR(VLOOKUP(D9499,'taxonomy map'!$A$1:$C$107,2,FALSE),"")</f>
        <v/>
      </c>
      <c r="F9499" s="49" t="str">
        <f>IFERROR(VLOOKUP(E9499,'Condensed Specialty Crosswalk'!$A$2:$C$106,2,FALSE),"")</f>
        <v/>
      </c>
      <c r="G9499" s="49" t="str">
        <f>IFERROR(VLOOKUP(E9499,'Condensed Specialty Crosswalk'!$A$2:$C$106,3,FALSE),"")</f>
        <v/>
      </c>
    </row>
    <row r="9500" spans="5:7" ht="15" customHeight="1">
      <c r="E9500" s="49" t="str">
        <f>IFERROR(VLOOKUP(D9500,'taxonomy map'!$A$1:$C$107,2,FALSE),"")</f>
        <v/>
      </c>
      <c r="F9500" s="49" t="str">
        <f>IFERROR(VLOOKUP(E9500,'Condensed Specialty Crosswalk'!$A$2:$C$106,2,FALSE),"")</f>
        <v/>
      </c>
      <c r="G9500" s="49" t="str">
        <f>IFERROR(VLOOKUP(E9500,'Condensed Specialty Crosswalk'!$A$2:$C$106,3,FALSE),"")</f>
        <v/>
      </c>
    </row>
    <row r="9501" spans="5:7" ht="15" customHeight="1">
      <c r="E9501" s="49" t="str">
        <f>IFERROR(VLOOKUP(D9501,'taxonomy map'!$A$1:$C$107,2,FALSE),"")</f>
        <v/>
      </c>
      <c r="F9501" s="49" t="str">
        <f>IFERROR(VLOOKUP(E9501,'Condensed Specialty Crosswalk'!$A$2:$C$106,2,FALSE),"")</f>
        <v/>
      </c>
      <c r="G9501" s="49" t="str">
        <f>IFERROR(VLOOKUP(E9501,'Condensed Specialty Crosswalk'!$A$2:$C$106,3,FALSE),"")</f>
        <v/>
      </c>
    </row>
    <row r="9502" spans="5:7" ht="15" customHeight="1">
      <c r="E9502" s="49" t="str">
        <f>IFERROR(VLOOKUP(D9502,'taxonomy map'!$A$1:$C$107,2,FALSE),"")</f>
        <v/>
      </c>
      <c r="F9502" s="49" t="str">
        <f>IFERROR(VLOOKUP(E9502,'Condensed Specialty Crosswalk'!$A$2:$C$106,2,FALSE),"")</f>
        <v/>
      </c>
      <c r="G9502" s="49" t="str">
        <f>IFERROR(VLOOKUP(E9502,'Condensed Specialty Crosswalk'!$A$2:$C$106,3,FALSE),"")</f>
        <v/>
      </c>
    </row>
    <row r="9503" spans="5:7" ht="15" customHeight="1">
      <c r="E9503" s="49" t="str">
        <f>IFERROR(VLOOKUP(D9503,'taxonomy map'!$A$1:$C$107,2,FALSE),"")</f>
        <v/>
      </c>
      <c r="F9503" s="49" t="str">
        <f>IFERROR(VLOOKUP(E9503,'Condensed Specialty Crosswalk'!$A$2:$C$106,2,FALSE),"")</f>
        <v/>
      </c>
      <c r="G9503" s="49" t="str">
        <f>IFERROR(VLOOKUP(E9503,'Condensed Specialty Crosswalk'!$A$2:$C$106,3,FALSE),"")</f>
        <v/>
      </c>
    </row>
    <row r="9504" spans="5:7" ht="15" customHeight="1">
      <c r="E9504" s="49" t="str">
        <f>IFERROR(VLOOKUP(D9504,'taxonomy map'!$A$1:$C$107,2,FALSE),"")</f>
        <v/>
      </c>
      <c r="F9504" s="49" t="str">
        <f>IFERROR(VLOOKUP(E9504,'Condensed Specialty Crosswalk'!$A$2:$C$106,2,FALSE),"")</f>
        <v/>
      </c>
      <c r="G9504" s="49" t="str">
        <f>IFERROR(VLOOKUP(E9504,'Condensed Specialty Crosswalk'!$A$2:$C$106,3,FALSE),"")</f>
        <v/>
      </c>
    </row>
    <row r="9505" spans="5:7" ht="15" customHeight="1">
      <c r="E9505" s="49" t="str">
        <f>IFERROR(VLOOKUP(D9505,'taxonomy map'!$A$1:$C$107,2,FALSE),"")</f>
        <v/>
      </c>
      <c r="F9505" s="49" t="str">
        <f>IFERROR(VLOOKUP(E9505,'Condensed Specialty Crosswalk'!$A$2:$C$106,2,FALSE),"")</f>
        <v/>
      </c>
      <c r="G9505" s="49" t="str">
        <f>IFERROR(VLOOKUP(E9505,'Condensed Specialty Crosswalk'!$A$2:$C$106,3,FALSE),"")</f>
        <v/>
      </c>
    </row>
    <row r="9506" spans="5:7" ht="15" customHeight="1">
      <c r="E9506" s="49" t="str">
        <f>IFERROR(VLOOKUP(D9506,'taxonomy map'!$A$1:$C$107,2,FALSE),"")</f>
        <v/>
      </c>
      <c r="F9506" s="49" t="str">
        <f>IFERROR(VLOOKUP(E9506,'Condensed Specialty Crosswalk'!$A$2:$C$106,2,FALSE),"")</f>
        <v/>
      </c>
      <c r="G9506" s="49" t="str">
        <f>IFERROR(VLOOKUP(E9506,'Condensed Specialty Crosswalk'!$A$2:$C$106,3,FALSE),"")</f>
        <v/>
      </c>
    </row>
    <row r="9507" spans="5:7" ht="15" customHeight="1">
      <c r="E9507" s="49" t="str">
        <f>IFERROR(VLOOKUP(D9507,'taxonomy map'!$A$1:$C$107,2,FALSE),"")</f>
        <v/>
      </c>
      <c r="F9507" s="49" t="str">
        <f>IFERROR(VLOOKUP(E9507,'Condensed Specialty Crosswalk'!$A$2:$C$106,2,FALSE),"")</f>
        <v/>
      </c>
      <c r="G9507" s="49" t="str">
        <f>IFERROR(VLOOKUP(E9507,'Condensed Specialty Crosswalk'!$A$2:$C$106,3,FALSE),"")</f>
        <v/>
      </c>
    </row>
    <row r="9508" spans="5:7" ht="15" customHeight="1">
      <c r="E9508" s="49" t="str">
        <f>IFERROR(VLOOKUP(D9508,'taxonomy map'!$A$1:$C$107,2,FALSE),"")</f>
        <v/>
      </c>
      <c r="F9508" s="49" t="str">
        <f>IFERROR(VLOOKUP(E9508,'Condensed Specialty Crosswalk'!$A$2:$C$106,2,FALSE),"")</f>
        <v/>
      </c>
      <c r="G9508" s="49" t="str">
        <f>IFERROR(VLOOKUP(E9508,'Condensed Specialty Crosswalk'!$A$2:$C$106,3,FALSE),"")</f>
        <v/>
      </c>
    </row>
    <row r="9509" spans="5:7" ht="15" customHeight="1">
      <c r="E9509" s="49" t="str">
        <f>IFERROR(VLOOKUP(D9509,'taxonomy map'!$A$1:$C$107,2,FALSE),"")</f>
        <v/>
      </c>
      <c r="F9509" s="49" t="str">
        <f>IFERROR(VLOOKUP(E9509,'Condensed Specialty Crosswalk'!$A$2:$C$106,2,FALSE),"")</f>
        <v/>
      </c>
      <c r="G9509" s="49" t="str">
        <f>IFERROR(VLOOKUP(E9509,'Condensed Specialty Crosswalk'!$A$2:$C$106,3,FALSE),"")</f>
        <v/>
      </c>
    </row>
    <row r="9510" spans="5:7" ht="15" customHeight="1">
      <c r="E9510" s="49" t="str">
        <f>IFERROR(VLOOKUP(D9510,'taxonomy map'!$A$1:$C$107,2,FALSE),"")</f>
        <v/>
      </c>
      <c r="F9510" s="49" t="str">
        <f>IFERROR(VLOOKUP(E9510,'Condensed Specialty Crosswalk'!$A$2:$C$106,2,FALSE),"")</f>
        <v/>
      </c>
      <c r="G9510" s="49" t="str">
        <f>IFERROR(VLOOKUP(E9510,'Condensed Specialty Crosswalk'!$A$2:$C$106,3,FALSE),"")</f>
        <v/>
      </c>
    </row>
    <row r="9511" spans="5:7" ht="15" customHeight="1">
      <c r="E9511" s="49" t="str">
        <f>IFERROR(VLOOKUP(D9511,'taxonomy map'!$A$1:$C$107,2,FALSE),"")</f>
        <v/>
      </c>
      <c r="F9511" s="49" t="str">
        <f>IFERROR(VLOOKUP(E9511,'Condensed Specialty Crosswalk'!$A$2:$C$106,2,FALSE),"")</f>
        <v/>
      </c>
      <c r="G9511" s="49" t="str">
        <f>IFERROR(VLOOKUP(E9511,'Condensed Specialty Crosswalk'!$A$2:$C$106,3,FALSE),"")</f>
        <v/>
      </c>
    </row>
    <row r="9512" spans="5:7" ht="15" customHeight="1">
      <c r="E9512" s="49" t="str">
        <f>IFERROR(VLOOKUP(D9512,'taxonomy map'!$A$1:$C$107,2,FALSE),"")</f>
        <v/>
      </c>
      <c r="F9512" s="49" t="str">
        <f>IFERROR(VLOOKUP(E9512,'Condensed Specialty Crosswalk'!$A$2:$C$106,2,FALSE),"")</f>
        <v/>
      </c>
      <c r="G9512" s="49" t="str">
        <f>IFERROR(VLOOKUP(E9512,'Condensed Specialty Crosswalk'!$A$2:$C$106,3,FALSE),"")</f>
        <v/>
      </c>
    </row>
    <row r="9513" spans="5:7" ht="15" customHeight="1">
      <c r="E9513" s="49" t="str">
        <f>IFERROR(VLOOKUP(D9513,'taxonomy map'!$A$1:$C$107,2,FALSE),"")</f>
        <v/>
      </c>
      <c r="F9513" s="49" t="str">
        <f>IFERROR(VLOOKUP(E9513,'Condensed Specialty Crosswalk'!$A$2:$C$106,2,FALSE),"")</f>
        <v/>
      </c>
      <c r="G9513" s="49" t="str">
        <f>IFERROR(VLOOKUP(E9513,'Condensed Specialty Crosswalk'!$A$2:$C$106,3,FALSE),"")</f>
        <v/>
      </c>
    </row>
    <row r="9514" spans="5:7" ht="15" customHeight="1">
      <c r="E9514" s="49" t="str">
        <f>IFERROR(VLOOKUP(D9514,'taxonomy map'!$A$1:$C$107,2,FALSE),"")</f>
        <v/>
      </c>
      <c r="F9514" s="49" t="str">
        <f>IFERROR(VLOOKUP(E9514,'Condensed Specialty Crosswalk'!$A$2:$C$106,2,FALSE),"")</f>
        <v/>
      </c>
      <c r="G9514" s="49" t="str">
        <f>IFERROR(VLOOKUP(E9514,'Condensed Specialty Crosswalk'!$A$2:$C$106,3,FALSE),"")</f>
        <v/>
      </c>
    </row>
    <row r="9515" spans="5:7" ht="15" customHeight="1">
      <c r="E9515" s="49" t="str">
        <f>IFERROR(VLOOKUP(D9515,'taxonomy map'!$A$1:$C$107,2,FALSE),"")</f>
        <v/>
      </c>
      <c r="F9515" s="49" t="str">
        <f>IFERROR(VLOOKUP(E9515,'Condensed Specialty Crosswalk'!$A$2:$C$106,2,FALSE),"")</f>
        <v/>
      </c>
      <c r="G9515" s="49" t="str">
        <f>IFERROR(VLOOKUP(E9515,'Condensed Specialty Crosswalk'!$A$2:$C$106,3,FALSE),"")</f>
        <v/>
      </c>
    </row>
    <row r="9516" spans="5:7" ht="15" customHeight="1">
      <c r="E9516" s="49" t="str">
        <f>IFERROR(VLOOKUP(D9516,'taxonomy map'!$A$1:$C$107,2,FALSE),"")</f>
        <v/>
      </c>
      <c r="F9516" s="49" t="str">
        <f>IFERROR(VLOOKUP(E9516,'Condensed Specialty Crosswalk'!$A$2:$C$106,2,FALSE),"")</f>
        <v/>
      </c>
      <c r="G9516" s="49" t="str">
        <f>IFERROR(VLOOKUP(E9516,'Condensed Specialty Crosswalk'!$A$2:$C$106,3,FALSE),"")</f>
        <v/>
      </c>
    </row>
    <row r="9517" spans="5:7" ht="15" customHeight="1">
      <c r="E9517" s="49" t="str">
        <f>IFERROR(VLOOKUP(D9517,'taxonomy map'!$A$1:$C$107,2,FALSE),"")</f>
        <v/>
      </c>
      <c r="F9517" s="49" t="str">
        <f>IFERROR(VLOOKUP(E9517,'Condensed Specialty Crosswalk'!$A$2:$C$106,2,FALSE),"")</f>
        <v/>
      </c>
      <c r="G9517" s="49" t="str">
        <f>IFERROR(VLOOKUP(E9517,'Condensed Specialty Crosswalk'!$A$2:$C$106,3,FALSE),"")</f>
        <v/>
      </c>
    </row>
    <row r="9518" spans="5:7" ht="15" customHeight="1">
      <c r="E9518" s="49" t="str">
        <f>IFERROR(VLOOKUP(D9518,'taxonomy map'!$A$1:$C$107,2,FALSE),"")</f>
        <v/>
      </c>
      <c r="F9518" s="49" t="str">
        <f>IFERROR(VLOOKUP(E9518,'Condensed Specialty Crosswalk'!$A$2:$C$106,2,FALSE),"")</f>
        <v/>
      </c>
      <c r="G9518" s="49" t="str">
        <f>IFERROR(VLOOKUP(E9518,'Condensed Specialty Crosswalk'!$A$2:$C$106,3,FALSE),"")</f>
        <v/>
      </c>
    </row>
    <row r="9519" spans="5:7" ht="15" customHeight="1">
      <c r="E9519" s="49" t="str">
        <f>IFERROR(VLOOKUP(D9519,'taxonomy map'!$A$1:$C$107,2,FALSE),"")</f>
        <v/>
      </c>
      <c r="F9519" s="49" t="str">
        <f>IFERROR(VLOOKUP(E9519,'Condensed Specialty Crosswalk'!$A$2:$C$106,2,FALSE),"")</f>
        <v/>
      </c>
      <c r="G9519" s="49" t="str">
        <f>IFERROR(VLOOKUP(E9519,'Condensed Specialty Crosswalk'!$A$2:$C$106,3,FALSE),"")</f>
        <v/>
      </c>
    </row>
    <row r="9520" spans="5:7" ht="15" customHeight="1">
      <c r="E9520" s="49" t="str">
        <f>IFERROR(VLOOKUP(D9520,'taxonomy map'!$A$1:$C$107,2,FALSE),"")</f>
        <v/>
      </c>
      <c r="F9520" s="49" t="str">
        <f>IFERROR(VLOOKUP(E9520,'Condensed Specialty Crosswalk'!$A$2:$C$106,2,FALSE),"")</f>
        <v/>
      </c>
      <c r="G9520" s="49" t="str">
        <f>IFERROR(VLOOKUP(E9520,'Condensed Specialty Crosswalk'!$A$2:$C$106,3,FALSE),"")</f>
        <v/>
      </c>
    </row>
    <row r="9521" spans="5:7" ht="15" customHeight="1">
      <c r="E9521" s="49" t="str">
        <f>IFERROR(VLOOKUP(D9521,'taxonomy map'!$A$1:$C$107,2,FALSE),"")</f>
        <v/>
      </c>
      <c r="F9521" s="49" t="str">
        <f>IFERROR(VLOOKUP(E9521,'Condensed Specialty Crosswalk'!$A$2:$C$106,2,FALSE),"")</f>
        <v/>
      </c>
      <c r="G9521" s="49" t="str">
        <f>IFERROR(VLOOKUP(E9521,'Condensed Specialty Crosswalk'!$A$2:$C$106,3,FALSE),"")</f>
        <v/>
      </c>
    </row>
    <row r="9522" spans="5:7" ht="15" customHeight="1">
      <c r="E9522" s="49" t="str">
        <f>IFERROR(VLOOKUP(D9522,'taxonomy map'!$A$1:$C$107,2,FALSE),"")</f>
        <v/>
      </c>
      <c r="F9522" s="49" t="str">
        <f>IFERROR(VLOOKUP(E9522,'Condensed Specialty Crosswalk'!$A$2:$C$106,2,FALSE),"")</f>
        <v/>
      </c>
      <c r="G9522" s="49" t="str">
        <f>IFERROR(VLOOKUP(E9522,'Condensed Specialty Crosswalk'!$A$2:$C$106,3,FALSE),"")</f>
        <v/>
      </c>
    </row>
    <row r="9523" spans="5:7" ht="15" customHeight="1">
      <c r="E9523" s="49" t="str">
        <f>IFERROR(VLOOKUP(D9523,'taxonomy map'!$A$1:$C$107,2,FALSE),"")</f>
        <v/>
      </c>
      <c r="F9523" s="49" t="str">
        <f>IFERROR(VLOOKUP(E9523,'Condensed Specialty Crosswalk'!$A$2:$C$106,2,FALSE),"")</f>
        <v/>
      </c>
      <c r="G9523" s="49" t="str">
        <f>IFERROR(VLOOKUP(E9523,'Condensed Specialty Crosswalk'!$A$2:$C$106,3,FALSE),"")</f>
        <v/>
      </c>
    </row>
    <row r="9524" spans="5:7" ht="15" customHeight="1">
      <c r="E9524" s="49" t="str">
        <f>IFERROR(VLOOKUP(D9524,'taxonomy map'!$A$1:$C$107,2,FALSE),"")</f>
        <v/>
      </c>
      <c r="F9524" s="49" t="str">
        <f>IFERROR(VLOOKUP(E9524,'Condensed Specialty Crosswalk'!$A$2:$C$106,2,FALSE),"")</f>
        <v/>
      </c>
      <c r="G9524" s="49" t="str">
        <f>IFERROR(VLOOKUP(E9524,'Condensed Specialty Crosswalk'!$A$2:$C$106,3,FALSE),"")</f>
        <v/>
      </c>
    </row>
    <row r="9525" spans="5:7" ht="15" customHeight="1">
      <c r="E9525" s="49" t="str">
        <f>IFERROR(VLOOKUP(D9525,'taxonomy map'!$A$1:$C$107,2,FALSE),"")</f>
        <v/>
      </c>
      <c r="F9525" s="49" t="str">
        <f>IFERROR(VLOOKUP(E9525,'Condensed Specialty Crosswalk'!$A$2:$C$106,2,FALSE),"")</f>
        <v/>
      </c>
      <c r="G9525" s="49" t="str">
        <f>IFERROR(VLOOKUP(E9525,'Condensed Specialty Crosswalk'!$A$2:$C$106,3,FALSE),"")</f>
        <v/>
      </c>
    </row>
    <row r="9526" spans="5:7" ht="15" customHeight="1">
      <c r="E9526" s="49" t="str">
        <f>IFERROR(VLOOKUP(D9526,'taxonomy map'!$A$1:$C$107,2,FALSE),"")</f>
        <v/>
      </c>
      <c r="F9526" s="49" t="str">
        <f>IFERROR(VLOOKUP(E9526,'Condensed Specialty Crosswalk'!$A$2:$C$106,2,FALSE),"")</f>
        <v/>
      </c>
      <c r="G9526" s="49" t="str">
        <f>IFERROR(VLOOKUP(E9526,'Condensed Specialty Crosswalk'!$A$2:$C$106,3,FALSE),"")</f>
        <v/>
      </c>
    </row>
    <row r="9527" spans="5:7" ht="15" customHeight="1">
      <c r="E9527" s="49" t="str">
        <f>IFERROR(VLOOKUP(D9527,'taxonomy map'!$A$1:$C$107,2,FALSE),"")</f>
        <v/>
      </c>
      <c r="F9527" s="49" t="str">
        <f>IFERROR(VLOOKUP(E9527,'Condensed Specialty Crosswalk'!$A$2:$C$106,2,FALSE),"")</f>
        <v/>
      </c>
      <c r="G9527" s="49" t="str">
        <f>IFERROR(VLOOKUP(E9527,'Condensed Specialty Crosswalk'!$A$2:$C$106,3,FALSE),"")</f>
        <v/>
      </c>
    </row>
    <row r="9528" spans="5:7" ht="15" customHeight="1">
      <c r="E9528" s="49" t="str">
        <f>IFERROR(VLOOKUP(D9528,'taxonomy map'!$A$1:$C$107,2,FALSE),"")</f>
        <v/>
      </c>
      <c r="F9528" s="49" t="str">
        <f>IFERROR(VLOOKUP(E9528,'Condensed Specialty Crosswalk'!$A$2:$C$106,2,FALSE),"")</f>
        <v/>
      </c>
      <c r="G9528" s="49" t="str">
        <f>IFERROR(VLOOKUP(E9528,'Condensed Specialty Crosswalk'!$A$2:$C$106,3,FALSE),"")</f>
        <v/>
      </c>
    </row>
    <row r="9529" spans="5:7" ht="15" customHeight="1">
      <c r="E9529" s="49" t="str">
        <f>IFERROR(VLOOKUP(D9529,'taxonomy map'!$A$1:$C$107,2,FALSE),"")</f>
        <v/>
      </c>
      <c r="F9529" s="49" t="str">
        <f>IFERROR(VLOOKUP(E9529,'Condensed Specialty Crosswalk'!$A$2:$C$106,2,FALSE),"")</f>
        <v/>
      </c>
      <c r="G9529" s="49" t="str">
        <f>IFERROR(VLOOKUP(E9529,'Condensed Specialty Crosswalk'!$A$2:$C$106,3,FALSE),"")</f>
        <v/>
      </c>
    </row>
    <row r="9530" spans="5:7" ht="15" customHeight="1">
      <c r="E9530" s="49" t="str">
        <f>IFERROR(VLOOKUP(D9530,'taxonomy map'!$A$1:$C$107,2,FALSE),"")</f>
        <v/>
      </c>
      <c r="F9530" s="49" t="str">
        <f>IFERROR(VLOOKUP(E9530,'Condensed Specialty Crosswalk'!$A$2:$C$106,2,FALSE),"")</f>
        <v/>
      </c>
      <c r="G9530" s="49" t="str">
        <f>IFERROR(VLOOKUP(E9530,'Condensed Specialty Crosswalk'!$A$2:$C$106,3,FALSE),"")</f>
        <v/>
      </c>
    </row>
    <row r="9531" spans="5:7" ht="15" customHeight="1">
      <c r="E9531" s="49" t="str">
        <f>IFERROR(VLOOKUP(D9531,'taxonomy map'!$A$1:$C$107,2,FALSE),"")</f>
        <v/>
      </c>
      <c r="F9531" s="49" t="str">
        <f>IFERROR(VLOOKUP(E9531,'Condensed Specialty Crosswalk'!$A$2:$C$106,2,FALSE),"")</f>
        <v/>
      </c>
      <c r="G9531" s="49" t="str">
        <f>IFERROR(VLOOKUP(E9531,'Condensed Specialty Crosswalk'!$A$2:$C$106,3,FALSE),"")</f>
        <v/>
      </c>
    </row>
    <row r="9532" spans="5:7" ht="15" customHeight="1">
      <c r="E9532" s="49" t="str">
        <f>IFERROR(VLOOKUP(D9532,'taxonomy map'!$A$1:$C$107,2,FALSE),"")</f>
        <v/>
      </c>
      <c r="F9532" s="49" t="str">
        <f>IFERROR(VLOOKUP(E9532,'Condensed Specialty Crosswalk'!$A$2:$C$106,2,FALSE),"")</f>
        <v/>
      </c>
      <c r="G9532" s="49" t="str">
        <f>IFERROR(VLOOKUP(E9532,'Condensed Specialty Crosswalk'!$A$2:$C$106,3,FALSE),"")</f>
        <v/>
      </c>
    </row>
    <row r="9533" spans="5:7" ht="15" customHeight="1">
      <c r="E9533" s="49" t="str">
        <f>IFERROR(VLOOKUP(D9533,'taxonomy map'!$A$1:$C$107,2,FALSE),"")</f>
        <v/>
      </c>
      <c r="F9533" s="49" t="str">
        <f>IFERROR(VLOOKUP(E9533,'Condensed Specialty Crosswalk'!$A$2:$C$106,2,FALSE),"")</f>
        <v/>
      </c>
      <c r="G9533" s="49" t="str">
        <f>IFERROR(VLOOKUP(E9533,'Condensed Specialty Crosswalk'!$A$2:$C$106,3,FALSE),"")</f>
        <v/>
      </c>
    </row>
    <row r="9534" spans="5:7" ht="15" customHeight="1">
      <c r="E9534" s="49" t="str">
        <f>IFERROR(VLOOKUP(D9534,'taxonomy map'!$A$1:$C$107,2,FALSE),"")</f>
        <v/>
      </c>
      <c r="F9534" s="49" t="str">
        <f>IFERROR(VLOOKUP(E9534,'Condensed Specialty Crosswalk'!$A$2:$C$106,2,FALSE),"")</f>
        <v/>
      </c>
      <c r="G9534" s="49" t="str">
        <f>IFERROR(VLOOKUP(E9534,'Condensed Specialty Crosswalk'!$A$2:$C$106,3,FALSE),"")</f>
        <v/>
      </c>
    </row>
    <row r="9535" spans="5:7" ht="15" customHeight="1">
      <c r="E9535" s="49" t="str">
        <f>IFERROR(VLOOKUP(D9535,'taxonomy map'!$A$1:$C$107,2,FALSE),"")</f>
        <v/>
      </c>
      <c r="F9535" s="49" t="str">
        <f>IFERROR(VLOOKUP(E9535,'Condensed Specialty Crosswalk'!$A$2:$C$106,2,FALSE),"")</f>
        <v/>
      </c>
      <c r="G9535" s="49" t="str">
        <f>IFERROR(VLOOKUP(E9535,'Condensed Specialty Crosswalk'!$A$2:$C$106,3,FALSE),"")</f>
        <v/>
      </c>
    </row>
    <row r="9536" spans="5:7" ht="15" customHeight="1">
      <c r="E9536" s="49" t="str">
        <f>IFERROR(VLOOKUP(D9536,'taxonomy map'!$A$1:$C$107,2,FALSE),"")</f>
        <v/>
      </c>
      <c r="F9536" s="49" t="str">
        <f>IFERROR(VLOOKUP(E9536,'Condensed Specialty Crosswalk'!$A$2:$C$106,2,FALSE),"")</f>
        <v/>
      </c>
      <c r="G9536" s="49" t="str">
        <f>IFERROR(VLOOKUP(E9536,'Condensed Specialty Crosswalk'!$A$2:$C$106,3,FALSE),"")</f>
        <v/>
      </c>
    </row>
    <row r="9537" spans="5:7" ht="15" customHeight="1">
      <c r="E9537" s="49" t="str">
        <f>IFERROR(VLOOKUP(D9537,'taxonomy map'!$A$1:$C$107,2,FALSE),"")</f>
        <v/>
      </c>
      <c r="F9537" s="49" t="str">
        <f>IFERROR(VLOOKUP(E9537,'Condensed Specialty Crosswalk'!$A$2:$C$106,2,FALSE),"")</f>
        <v/>
      </c>
      <c r="G9537" s="49" t="str">
        <f>IFERROR(VLOOKUP(E9537,'Condensed Specialty Crosswalk'!$A$2:$C$106,3,FALSE),"")</f>
        <v/>
      </c>
    </row>
    <row r="9538" spans="5:7" ht="15" customHeight="1">
      <c r="E9538" s="49" t="str">
        <f>IFERROR(VLOOKUP(D9538,'taxonomy map'!$A$1:$C$107,2,FALSE),"")</f>
        <v/>
      </c>
      <c r="F9538" s="49" t="str">
        <f>IFERROR(VLOOKUP(E9538,'Condensed Specialty Crosswalk'!$A$2:$C$106,2,FALSE),"")</f>
        <v/>
      </c>
      <c r="G9538" s="49" t="str">
        <f>IFERROR(VLOOKUP(E9538,'Condensed Specialty Crosswalk'!$A$2:$C$106,3,FALSE),"")</f>
        <v/>
      </c>
    </row>
    <row r="9539" spans="5:7" ht="15" customHeight="1">
      <c r="E9539" s="49" t="str">
        <f>IFERROR(VLOOKUP(D9539,'taxonomy map'!$A$1:$C$107,2,FALSE),"")</f>
        <v/>
      </c>
      <c r="F9539" s="49" t="str">
        <f>IFERROR(VLOOKUP(E9539,'Condensed Specialty Crosswalk'!$A$2:$C$106,2,FALSE),"")</f>
        <v/>
      </c>
      <c r="G9539" s="49" t="str">
        <f>IFERROR(VLOOKUP(E9539,'Condensed Specialty Crosswalk'!$A$2:$C$106,3,FALSE),"")</f>
        <v/>
      </c>
    </row>
    <row r="9540" spans="5:7" ht="15" customHeight="1">
      <c r="E9540" s="49" t="str">
        <f>IFERROR(VLOOKUP(D9540,'taxonomy map'!$A$1:$C$107,2,FALSE),"")</f>
        <v/>
      </c>
      <c r="F9540" s="49" t="str">
        <f>IFERROR(VLOOKUP(E9540,'Condensed Specialty Crosswalk'!$A$2:$C$106,2,FALSE),"")</f>
        <v/>
      </c>
      <c r="G9540" s="49" t="str">
        <f>IFERROR(VLOOKUP(E9540,'Condensed Specialty Crosswalk'!$A$2:$C$106,3,FALSE),"")</f>
        <v/>
      </c>
    </row>
    <row r="9541" spans="5:7" ht="15" customHeight="1">
      <c r="E9541" s="49" t="str">
        <f>IFERROR(VLOOKUP(D9541,'taxonomy map'!$A$1:$C$107,2,FALSE),"")</f>
        <v/>
      </c>
      <c r="F9541" s="49" t="str">
        <f>IFERROR(VLOOKUP(E9541,'Condensed Specialty Crosswalk'!$A$2:$C$106,2,FALSE),"")</f>
        <v/>
      </c>
      <c r="G9541" s="49" t="str">
        <f>IFERROR(VLOOKUP(E9541,'Condensed Specialty Crosswalk'!$A$2:$C$106,3,FALSE),"")</f>
        <v/>
      </c>
    </row>
    <row r="9542" spans="5:7" ht="15" customHeight="1">
      <c r="E9542" s="49" t="str">
        <f>IFERROR(VLOOKUP(D9542,'taxonomy map'!$A$1:$C$107,2,FALSE),"")</f>
        <v/>
      </c>
      <c r="F9542" s="49" t="str">
        <f>IFERROR(VLOOKUP(E9542,'Condensed Specialty Crosswalk'!$A$2:$C$106,2,FALSE),"")</f>
        <v/>
      </c>
      <c r="G9542" s="49" t="str">
        <f>IFERROR(VLOOKUP(E9542,'Condensed Specialty Crosswalk'!$A$2:$C$106,3,FALSE),"")</f>
        <v/>
      </c>
    </row>
    <row r="9543" spans="5:7" ht="15" customHeight="1">
      <c r="E9543" s="49" t="str">
        <f>IFERROR(VLOOKUP(D9543,'taxonomy map'!$A$1:$C$107,2,FALSE),"")</f>
        <v/>
      </c>
      <c r="F9543" s="49" t="str">
        <f>IFERROR(VLOOKUP(E9543,'Condensed Specialty Crosswalk'!$A$2:$C$106,2,FALSE),"")</f>
        <v/>
      </c>
      <c r="G9543" s="49" t="str">
        <f>IFERROR(VLOOKUP(E9543,'Condensed Specialty Crosswalk'!$A$2:$C$106,3,FALSE),"")</f>
        <v/>
      </c>
    </row>
    <row r="9544" spans="5:7" ht="15" customHeight="1">
      <c r="E9544" s="49" t="str">
        <f>IFERROR(VLOOKUP(D9544,'taxonomy map'!$A$1:$C$107,2,FALSE),"")</f>
        <v/>
      </c>
      <c r="F9544" s="49" t="str">
        <f>IFERROR(VLOOKUP(E9544,'Condensed Specialty Crosswalk'!$A$2:$C$106,2,FALSE),"")</f>
        <v/>
      </c>
      <c r="G9544" s="49" t="str">
        <f>IFERROR(VLOOKUP(E9544,'Condensed Specialty Crosswalk'!$A$2:$C$106,3,FALSE),"")</f>
        <v/>
      </c>
    </row>
    <row r="9545" spans="5:7" ht="15" customHeight="1">
      <c r="E9545" s="49" t="str">
        <f>IFERROR(VLOOKUP(D9545,'taxonomy map'!$A$1:$C$107,2,FALSE),"")</f>
        <v/>
      </c>
      <c r="F9545" s="49" t="str">
        <f>IFERROR(VLOOKUP(E9545,'Condensed Specialty Crosswalk'!$A$2:$C$106,2,FALSE),"")</f>
        <v/>
      </c>
      <c r="G9545" s="49" t="str">
        <f>IFERROR(VLOOKUP(E9545,'Condensed Specialty Crosswalk'!$A$2:$C$106,3,FALSE),"")</f>
        <v/>
      </c>
    </row>
    <row r="9546" spans="5:7" ht="15" customHeight="1">
      <c r="E9546" s="49" t="str">
        <f>IFERROR(VLOOKUP(D9546,'taxonomy map'!$A$1:$C$107,2,FALSE),"")</f>
        <v/>
      </c>
      <c r="F9546" s="49" t="str">
        <f>IFERROR(VLOOKUP(E9546,'Condensed Specialty Crosswalk'!$A$2:$C$106,2,FALSE),"")</f>
        <v/>
      </c>
      <c r="G9546" s="49" t="str">
        <f>IFERROR(VLOOKUP(E9546,'Condensed Specialty Crosswalk'!$A$2:$C$106,3,FALSE),"")</f>
        <v/>
      </c>
    </row>
    <row r="9547" spans="5:7" ht="15" customHeight="1">
      <c r="E9547" s="49" t="str">
        <f>IFERROR(VLOOKUP(D9547,'taxonomy map'!$A$1:$C$107,2,FALSE),"")</f>
        <v/>
      </c>
      <c r="F9547" s="49" t="str">
        <f>IFERROR(VLOOKUP(E9547,'Condensed Specialty Crosswalk'!$A$2:$C$106,2,FALSE),"")</f>
        <v/>
      </c>
      <c r="G9547" s="49" t="str">
        <f>IFERROR(VLOOKUP(E9547,'Condensed Specialty Crosswalk'!$A$2:$C$106,3,FALSE),"")</f>
        <v/>
      </c>
    </row>
    <row r="9548" spans="5:7" ht="15" customHeight="1">
      <c r="E9548" s="49" t="str">
        <f>IFERROR(VLOOKUP(D9548,'taxonomy map'!$A$1:$C$107,2,FALSE),"")</f>
        <v/>
      </c>
      <c r="F9548" s="49" t="str">
        <f>IFERROR(VLOOKUP(E9548,'Condensed Specialty Crosswalk'!$A$2:$C$106,2,FALSE),"")</f>
        <v/>
      </c>
      <c r="G9548" s="49" t="str">
        <f>IFERROR(VLOOKUP(E9548,'Condensed Specialty Crosswalk'!$A$2:$C$106,3,FALSE),"")</f>
        <v/>
      </c>
    </row>
    <row r="9549" spans="5:7" ht="15" customHeight="1">
      <c r="E9549" s="49" t="str">
        <f>IFERROR(VLOOKUP(D9549,'taxonomy map'!$A$1:$C$107,2,FALSE),"")</f>
        <v/>
      </c>
      <c r="F9549" s="49" t="str">
        <f>IFERROR(VLOOKUP(E9549,'Condensed Specialty Crosswalk'!$A$2:$C$106,2,FALSE),"")</f>
        <v/>
      </c>
      <c r="G9549" s="49" t="str">
        <f>IFERROR(VLOOKUP(E9549,'Condensed Specialty Crosswalk'!$A$2:$C$106,3,FALSE),"")</f>
        <v/>
      </c>
    </row>
    <row r="9550" spans="5:7" ht="15" customHeight="1">
      <c r="E9550" s="49" t="str">
        <f>IFERROR(VLOOKUP(D9550,'taxonomy map'!$A$1:$C$107,2,FALSE),"")</f>
        <v/>
      </c>
      <c r="F9550" s="49" t="str">
        <f>IFERROR(VLOOKUP(E9550,'Condensed Specialty Crosswalk'!$A$2:$C$106,2,FALSE),"")</f>
        <v/>
      </c>
      <c r="G9550" s="49" t="str">
        <f>IFERROR(VLOOKUP(E9550,'Condensed Specialty Crosswalk'!$A$2:$C$106,3,FALSE),"")</f>
        <v/>
      </c>
    </row>
    <row r="9551" spans="5:7" ht="15" customHeight="1">
      <c r="E9551" s="49" t="str">
        <f>IFERROR(VLOOKUP(D9551,'taxonomy map'!$A$1:$C$107,2,FALSE),"")</f>
        <v/>
      </c>
      <c r="F9551" s="49" t="str">
        <f>IFERROR(VLOOKUP(E9551,'Condensed Specialty Crosswalk'!$A$2:$C$106,2,FALSE),"")</f>
        <v/>
      </c>
      <c r="G9551" s="49" t="str">
        <f>IFERROR(VLOOKUP(E9551,'Condensed Specialty Crosswalk'!$A$2:$C$106,3,FALSE),"")</f>
        <v/>
      </c>
    </row>
    <row r="9552" spans="5:7" ht="15" customHeight="1">
      <c r="E9552" s="49" t="str">
        <f>IFERROR(VLOOKUP(D9552,'taxonomy map'!$A$1:$C$107,2,FALSE),"")</f>
        <v/>
      </c>
      <c r="F9552" s="49" t="str">
        <f>IFERROR(VLOOKUP(E9552,'Condensed Specialty Crosswalk'!$A$2:$C$106,2,FALSE),"")</f>
        <v/>
      </c>
      <c r="G9552" s="49" t="str">
        <f>IFERROR(VLOOKUP(E9552,'Condensed Specialty Crosswalk'!$A$2:$C$106,3,FALSE),"")</f>
        <v/>
      </c>
    </row>
    <row r="9553" spans="5:7" ht="15" customHeight="1">
      <c r="E9553" s="49" t="str">
        <f>IFERROR(VLOOKUP(D9553,'taxonomy map'!$A$1:$C$107,2,FALSE),"")</f>
        <v/>
      </c>
      <c r="F9553" s="49" t="str">
        <f>IFERROR(VLOOKUP(E9553,'Condensed Specialty Crosswalk'!$A$2:$C$106,2,FALSE),"")</f>
        <v/>
      </c>
      <c r="G9553" s="49" t="str">
        <f>IFERROR(VLOOKUP(E9553,'Condensed Specialty Crosswalk'!$A$2:$C$106,3,FALSE),"")</f>
        <v/>
      </c>
    </row>
    <row r="9554" spans="5:7" ht="15" customHeight="1">
      <c r="E9554" s="49" t="str">
        <f>IFERROR(VLOOKUP(D9554,'taxonomy map'!$A$1:$C$107,2,FALSE),"")</f>
        <v/>
      </c>
      <c r="F9554" s="49" t="str">
        <f>IFERROR(VLOOKUP(E9554,'Condensed Specialty Crosswalk'!$A$2:$C$106,2,FALSE),"")</f>
        <v/>
      </c>
      <c r="G9554" s="49" t="str">
        <f>IFERROR(VLOOKUP(E9554,'Condensed Specialty Crosswalk'!$A$2:$C$106,3,FALSE),"")</f>
        <v/>
      </c>
    </row>
    <row r="9555" spans="5:7" ht="15" customHeight="1">
      <c r="E9555" s="49" t="str">
        <f>IFERROR(VLOOKUP(D9555,'taxonomy map'!$A$1:$C$107,2,FALSE),"")</f>
        <v/>
      </c>
      <c r="F9555" s="49" t="str">
        <f>IFERROR(VLOOKUP(E9555,'Condensed Specialty Crosswalk'!$A$2:$C$106,2,FALSE),"")</f>
        <v/>
      </c>
      <c r="G9555" s="49" t="str">
        <f>IFERROR(VLOOKUP(E9555,'Condensed Specialty Crosswalk'!$A$2:$C$106,3,FALSE),"")</f>
        <v/>
      </c>
    </row>
    <row r="9556" spans="5:7" ht="15" customHeight="1">
      <c r="E9556" s="49" t="str">
        <f>IFERROR(VLOOKUP(D9556,'taxonomy map'!$A$1:$C$107,2,FALSE),"")</f>
        <v/>
      </c>
      <c r="F9556" s="49" t="str">
        <f>IFERROR(VLOOKUP(E9556,'Condensed Specialty Crosswalk'!$A$2:$C$106,2,FALSE),"")</f>
        <v/>
      </c>
      <c r="G9556" s="49" t="str">
        <f>IFERROR(VLOOKUP(E9556,'Condensed Specialty Crosswalk'!$A$2:$C$106,3,FALSE),"")</f>
        <v/>
      </c>
    </row>
    <row r="9557" spans="5:7" ht="15" customHeight="1">
      <c r="E9557" s="49" t="str">
        <f>IFERROR(VLOOKUP(D9557,'taxonomy map'!$A$1:$C$107,2,FALSE),"")</f>
        <v/>
      </c>
      <c r="F9557" s="49" t="str">
        <f>IFERROR(VLOOKUP(E9557,'Condensed Specialty Crosswalk'!$A$2:$C$106,2,FALSE),"")</f>
        <v/>
      </c>
      <c r="G9557" s="49" t="str">
        <f>IFERROR(VLOOKUP(E9557,'Condensed Specialty Crosswalk'!$A$2:$C$106,3,FALSE),"")</f>
        <v/>
      </c>
    </row>
    <row r="9558" spans="5:7" ht="15" customHeight="1">
      <c r="E9558" s="49" t="str">
        <f>IFERROR(VLOOKUP(D9558,'taxonomy map'!$A$1:$C$107,2,FALSE),"")</f>
        <v/>
      </c>
      <c r="F9558" s="49" t="str">
        <f>IFERROR(VLOOKUP(E9558,'Condensed Specialty Crosswalk'!$A$2:$C$106,2,FALSE),"")</f>
        <v/>
      </c>
      <c r="G9558" s="49" t="str">
        <f>IFERROR(VLOOKUP(E9558,'Condensed Specialty Crosswalk'!$A$2:$C$106,3,FALSE),"")</f>
        <v/>
      </c>
    </row>
    <row r="9559" spans="5:7" ht="15" customHeight="1">
      <c r="E9559" s="49" t="str">
        <f>IFERROR(VLOOKUP(D9559,'taxonomy map'!$A$1:$C$107,2,FALSE),"")</f>
        <v/>
      </c>
      <c r="F9559" s="49" t="str">
        <f>IFERROR(VLOOKUP(E9559,'Condensed Specialty Crosswalk'!$A$2:$C$106,2,FALSE),"")</f>
        <v/>
      </c>
      <c r="G9559" s="49" t="str">
        <f>IFERROR(VLOOKUP(E9559,'Condensed Specialty Crosswalk'!$A$2:$C$106,3,FALSE),"")</f>
        <v/>
      </c>
    </row>
    <row r="9560" spans="5:7" ht="15" customHeight="1">
      <c r="E9560" s="49" t="str">
        <f>IFERROR(VLOOKUP(D9560,'taxonomy map'!$A$1:$C$107,2,FALSE),"")</f>
        <v/>
      </c>
      <c r="F9560" s="49" t="str">
        <f>IFERROR(VLOOKUP(E9560,'Condensed Specialty Crosswalk'!$A$2:$C$106,2,FALSE),"")</f>
        <v/>
      </c>
      <c r="G9560" s="49" t="str">
        <f>IFERROR(VLOOKUP(E9560,'Condensed Specialty Crosswalk'!$A$2:$C$106,3,FALSE),"")</f>
        <v/>
      </c>
    </row>
    <row r="9561" spans="5:7" ht="15" customHeight="1">
      <c r="E9561" s="49" t="str">
        <f>IFERROR(VLOOKUP(D9561,'taxonomy map'!$A$1:$C$107,2,FALSE),"")</f>
        <v/>
      </c>
      <c r="F9561" s="49" t="str">
        <f>IFERROR(VLOOKUP(E9561,'Condensed Specialty Crosswalk'!$A$2:$C$106,2,FALSE),"")</f>
        <v/>
      </c>
      <c r="G9561" s="49" t="str">
        <f>IFERROR(VLOOKUP(E9561,'Condensed Specialty Crosswalk'!$A$2:$C$106,3,FALSE),"")</f>
        <v/>
      </c>
    </row>
    <row r="9562" spans="5:7" ht="15" customHeight="1">
      <c r="E9562" s="49" t="str">
        <f>IFERROR(VLOOKUP(D9562,'taxonomy map'!$A$1:$C$107,2,FALSE),"")</f>
        <v/>
      </c>
      <c r="F9562" s="49" t="str">
        <f>IFERROR(VLOOKUP(E9562,'Condensed Specialty Crosswalk'!$A$2:$C$106,2,FALSE),"")</f>
        <v/>
      </c>
      <c r="G9562" s="49" t="str">
        <f>IFERROR(VLOOKUP(E9562,'Condensed Specialty Crosswalk'!$A$2:$C$106,3,FALSE),"")</f>
        <v/>
      </c>
    </row>
    <row r="9563" spans="5:7" ht="15" customHeight="1">
      <c r="E9563" s="49" t="str">
        <f>IFERROR(VLOOKUP(D9563,'taxonomy map'!$A$1:$C$107,2,FALSE),"")</f>
        <v/>
      </c>
      <c r="F9563" s="49" t="str">
        <f>IFERROR(VLOOKUP(E9563,'Condensed Specialty Crosswalk'!$A$2:$C$106,2,FALSE),"")</f>
        <v/>
      </c>
      <c r="G9563" s="49" t="str">
        <f>IFERROR(VLOOKUP(E9563,'Condensed Specialty Crosswalk'!$A$2:$C$106,3,FALSE),"")</f>
        <v/>
      </c>
    </row>
    <row r="9564" spans="5:7" ht="15" customHeight="1">
      <c r="E9564" s="49" t="str">
        <f>IFERROR(VLOOKUP(D9564,'taxonomy map'!$A$1:$C$107,2,FALSE),"")</f>
        <v/>
      </c>
      <c r="F9564" s="49" t="str">
        <f>IFERROR(VLOOKUP(E9564,'Condensed Specialty Crosswalk'!$A$2:$C$106,2,FALSE),"")</f>
        <v/>
      </c>
      <c r="G9564" s="49" t="str">
        <f>IFERROR(VLOOKUP(E9564,'Condensed Specialty Crosswalk'!$A$2:$C$106,3,FALSE),"")</f>
        <v/>
      </c>
    </row>
    <row r="9565" spans="5:7" ht="15" customHeight="1">
      <c r="E9565" s="49" t="str">
        <f>IFERROR(VLOOKUP(D9565,'taxonomy map'!$A$1:$C$107,2,FALSE),"")</f>
        <v/>
      </c>
      <c r="F9565" s="49" t="str">
        <f>IFERROR(VLOOKUP(E9565,'Condensed Specialty Crosswalk'!$A$2:$C$106,2,FALSE),"")</f>
        <v/>
      </c>
      <c r="G9565" s="49" t="str">
        <f>IFERROR(VLOOKUP(E9565,'Condensed Specialty Crosswalk'!$A$2:$C$106,3,FALSE),"")</f>
        <v/>
      </c>
    </row>
    <row r="9566" spans="5:7" ht="15" customHeight="1">
      <c r="E9566" s="49" t="str">
        <f>IFERROR(VLOOKUP(D9566,'taxonomy map'!$A$1:$C$107,2,FALSE),"")</f>
        <v/>
      </c>
      <c r="F9566" s="49" t="str">
        <f>IFERROR(VLOOKUP(E9566,'Condensed Specialty Crosswalk'!$A$2:$C$106,2,FALSE),"")</f>
        <v/>
      </c>
      <c r="G9566" s="49" t="str">
        <f>IFERROR(VLOOKUP(E9566,'Condensed Specialty Crosswalk'!$A$2:$C$106,3,FALSE),"")</f>
        <v/>
      </c>
    </row>
    <row r="9567" spans="5:7" ht="15" customHeight="1">
      <c r="E9567" s="49" t="str">
        <f>IFERROR(VLOOKUP(D9567,'taxonomy map'!$A$1:$C$107,2,FALSE),"")</f>
        <v/>
      </c>
      <c r="F9567" s="49" t="str">
        <f>IFERROR(VLOOKUP(E9567,'Condensed Specialty Crosswalk'!$A$2:$C$106,2,FALSE),"")</f>
        <v/>
      </c>
      <c r="G9567" s="49" t="str">
        <f>IFERROR(VLOOKUP(E9567,'Condensed Specialty Crosswalk'!$A$2:$C$106,3,FALSE),"")</f>
        <v/>
      </c>
    </row>
    <row r="9568" spans="5:7" ht="15" customHeight="1">
      <c r="E9568" s="49" t="str">
        <f>IFERROR(VLOOKUP(D9568,'taxonomy map'!$A$1:$C$107,2,FALSE),"")</f>
        <v/>
      </c>
      <c r="F9568" s="49" t="str">
        <f>IFERROR(VLOOKUP(E9568,'Condensed Specialty Crosswalk'!$A$2:$C$106,2,FALSE),"")</f>
        <v/>
      </c>
      <c r="G9568" s="49" t="str">
        <f>IFERROR(VLOOKUP(E9568,'Condensed Specialty Crosswalk'!$A$2:$C$106,3,FALSE),"")</f>
        <v/>
      </c>
    </row>
    <row r="9569" spans="5:7" ht="15" customHeight="1">
      <c r="E9569" s="49" t="str">
        <f>IFERROR(VLOOKUP(D9569,'taxonomy map'!$A$1:$C$107,2,FALSE),"")</f>
        <v/>
      </c>
      <c r="F9569" s="49" t="str">
        <f>IFERROR(VLOOKUP(E9569,'Condensed Specialty Crosswalk'!$A$2:$C$106,2,FALSE),"")</f>
        <v/>
      </c>
      <c r="G9569" s="49" t="str">
        <f>IFERROR(VLOOKUP(E9569,'Condensed Specialty Crosswalk'!$A$2:$C$106,3,FALSE),"")</f>
        <v/>
      </c>
    </row>
    <row r="9570" spans="5:7" ht="15" customHeight="1">
      <c r="E9570" s="49" t="str">
        <f>IFERROR(VLOOKUP(D9570,'taxonomy map'!$A$1:$C$107,2,FALSE),"")</f>
        <v/>
      </c>
      <c r="F9570" s="49" t="str">
        <f>IFERROR(VLOOKUP(E9570,'Condensed Specialty Crosswalk'!$A$2:$C$106,2,FALSE),"")</f>
        <v/>
      </c>
      <c r="G9570" s="49" t="str">
        <f>IFERROR(VLOOKUP(E9570,'Condensed Specialty Crosswalk'!$A$2:$C$106,3,FALSE),"")</f>
        <v/>
      </c>
    </row>
    <row r="9571" spans="5:7" ht="15" customHeight="1">
      <c r="E9571" s="49" t="str">
        <f>IFERROR(VLOOKUP(D9571,'taxonomy map'!$A$1:$C$107,2,FALSE),"")</f>
        <v/>
      </c>
      <c r="F9571" s="49" t="str">
        <f>IFERROR(VLOOKUP(E9571,'Condensed Specialty Crosswalk'!$A$2:$C$106,2,FALSE),"")</f>
        <v/>
      </c>
      <c r="G9571" s="49" t="str">
        <f>IFERROR(VLOOKUP(E9571,'Condensed Specialty Crosswalk'!$A$2:$C$106,3,FALSE),"")</f>
        <v/>
      </c>
    </row>
    <row r="9572" spans="5:7" ht="15" customHeight="1">
      <c r="E9572" s="49" t="str">
        <f>IFERROR(VLOOKUP(D9572,'taxonomy map'!$A$1:$C$107,2,FALSE),"")</f>
        <v/>
      </c>
      <c r="F9572" s="49" t="str">
        <f>IFERROR(VLOOKUP(E9572,'Condensed Specialty Crosswalk'!$A$2:$C$106,2,FALSE),"")</f>
        <v/>
      </c>
      <c r="G9572" s="49" t="str">
        <f>IFERROR(VLOOKUP(E9572,'Condensed Specialty Crosswalk'!$A$2:$C$106,3,FALSE),"")</f>
        <v/>
      </c>
    </row>
    <row r="9573" spans="5:7" ht="15" customHeight="1">
      <c r="E9573" s="49" t="str">
        <f>IFERROR(VLOOKUP(D9573,'taxonomy map'!$A$1:$C$107,2,FALSE),"")</f>
        <v/>
      </c>
      <c r="F9573" s="49" t="str">
        <f>IFERROR(VLOOKUP(E9573,'Condensed Specialty Crosswalk'!$A$2:$C$106,2,FALSE),"")</f>
        <v/>
      </c>
      <c r="G9573" s="49" t="str">
        <f>IFERROR(VLOOKUP(E9573,'Condensed Specialty Crosswalk'!$A$2:$C$106,3,FALSE),"")</f>
        <v/>
      </c>
    </row>
    <row r="9574" spans="5:7" ht="15" customHeight="1">
      <c r="E9574" s="49" t="str">
        <f>IFERROR(VLOOKUP(D9574,'taxonomy map'!$A$1:$C$107,2,FALSE),"")</f>
        <v/>
      </c>
      <c r="F9574" s="49" t="str">
        <f>IFERROR(VLOOKUP(E9574,'Condensed Specialty Crosswalk'!$A$2:$C$106,2,FALSE),"")</f>
        <v/>
      </c>
      <c r="G9574" s="49" t="str">
        <f>IFERROR(VLOOKUP(E9574,'Condensed Specialty Crosswalk'!$A$2:$C$106,3,FALSE),"")</f>
        <v/>
      </c>
    </row>
    <row r="9575" spans="5:7" ht="15" customHeight="1">
      <c r="E9575" s="49" t="str">
        <f>IFERROR(VLOOKUP(D9575,'taxonomy map'!$A$1:$C$107,2,FALSE),"")</f>
        <v/>
      </c>
      <c r="F9575" s="49" t="str">
        <f>IFERROR(VLOOKUP(E9575,'Condensed Specialty Crosswalk'!$A$2:$C$106,2,FALSE),"")</f>
        <v/>
      </c>
      <c r="G9575" s="49" t="str">
        <f>IFERROR(VLOOKUP(E9575,'Condensed Specialty Crosswalk'!$A$2:$C$106,3,FALSE),"")</f>
        <v/>
      </c>
    </row>
    <row r="9576" spans="5:7" ht="15" customHeight="1">
      <c r="E9576" s="49" t="str">
        <f>IFERROR(VLOOKUP(D9576,'taxonomy map'!$A$1:$C$107,2,FALSE),"")</f>
        <v/>
      </c>
      <c r="F9576" s="49" t="str">
        <f>IFERROR(VLOOKUP(E9576,'Condensed Specialty Crosswalk'!$A$2:$C$106,2,FALSE),"")</f>
        <v/>
      </c>
      <c r="G9576" s="49" t="str">
        <f>IFERROR(VLOOKUP(E9576,'Condensed Specialty Crosswalk'!$A$2:$C$106,3,FALSE),"")</f>
        <v/>
      </c>
    </row>
    <row r="9577" spans="5:7" ht="15" customHeight="1">
      <c r="E9577" s="49" t="str">
        <f>IFERROR(VLOOKUP(D9577,'taxonomy map'!$A$1:$C$107,2,FALSE),"")</f>
        <v/>
      </c>
      <c r="F9577" s="49" t="str">
        <f>IFERROR(VLOOKUP(E9577,'Condensed Specialty Crosswalk'!$A$2:$C$106,2,FALSE),"")</f>
        <v/>
      </c>
      <c r="G9577" s="49" t="str">
        <f>IFERROR(VLOOKUP(E9577,'Condensed Specialty Crosswalk'!$A$2:$C$106,3,FALSE),"")</f>
        <v/>
      </c>
    </row>
    <row r="9578" spans="5:7" ht="15" customHeight="1">
      <c r="E9578" s="49" t="str">
        <f>IFERROR(VLOOKUP(D9578,'taxonomy map'!$A$1:$C$107,2,FALSE),"")</f>
        <v/>
      </c>
      <c r="F9578" s="49" t="str">
        <f>IFERROR(VLOOKUP(E9578,'Condensed Specialty Crosswalk'!$A$2:$C$106,2,FALSE),"")</f>
        <v/>
      </c>
      <c r="G9578" s="49" t="str">
        <f>IFERROR(VLOOKUP(E9578,'Condensed Specialty Crosswalk'!$A$2:$C$106,3,FALSE),"")</f>
        <v/>
      </c>
    </row>
    <row r="9579" spans="5:7" ht="15" customHeight="1">
      <c r="E9579" s="49" t="str">
        <f>IFERROR(VLOOKUP(D9579,'taxonomy map'!$A$1:$C$107,2,FALSE),"")</f>
        <v/>
      </c>
      <c r="F9579" s="49" t="str">
        <f>IFERROR(VLOOKUP(E9579,'Condensed Specialty Crosswalk'!$A$2:$C$106,2,FALSE),"")</f>
        <v/>
      </c>
      <c r="G9579" s="49" t="str">
        <f>IFERROR(VLOOKUP(E9579,'Condensed Specialty Crosswalk'!$A$2:$C$106,3,FALSE),"")</f>
        <v/>
      </c>
    </row>
    <row r="9580" spans="5:7" ht="15" customHeight="1">
      <c r="E9580" s="49" t="str">
        <f>IFERROR(VLOOKUP(D9580,'taxonomy map'!$A$1:$C$107,2,FALSE),"")</f>
        <v/>
      </c>
      <c r="F9580" s="49" t="str">
        <f>IFERROR(VLOOKUP(E9580,'Condensed Specialty Crosswalk'!$A$2:$C$106,2,FALSE),"")</f>
        <v/>
      </c>
      <c r="G9580" s="49" t="str">
        <f>IFERROR(VLOOKUP(E9580,'Condensed Specialty Crosswalk'!$A$2:$C$106,3,FALSE),"")</f>
        <v/>
      </c>
    </row>
    <row r="9581" spans="5:7" ht="15" customHeight="1">
      <c r="E9581" s="49" t="str">
        <f>IFERROR(VLOOKUP(D9581,'taxonomy map'!$A$1:$C$107,2,FALSE),"")</f>
        <v/>
      </c>
      <c r="F9581" s="49" t="str">
        <f>IFERROR(VLOOKUP(E9581,'Condensed Specialty Crosswalk'!$A$2:$C$106,2,FALSE),"")</f>
        <v/>
      </c>
      <c r="G9581" s="49" t="str">
        <f>IFERROR(VLOOKUP(E9581,'Condensed Specialty Crosswalk'!$A$2:$C$106,3,FALSE),"")</f>
        <v/>
      </c>
    </row>
    <row r="9582" spans="5:7" ht="15" customHeight="1">
      <c r="E9582" s="49" t="str">
        <f>IFERROR(VLOOKUP(D9582,'taxonomy map'!$A$1:$C$107,2,FALSE),"")</f>
        <v/>
      </c>
      <c r="F9582" s="49" t="str">
        <f>IFERROR(VLOOKUP(E9582,'Condensed Specialty Crosswalk'!$A$2:$C$106,2,FALSE),"")</f>
        <v/>
      </c>
      <c r="G9582" s="49" t="str">
        <f>IFERROR(VLOOKUP(E9582,'Condensed Specialty Crosswalk'!$A$2:$C$106,3,FALSE),"")</f>
        <v/>
      </c>
    </row>
    <row r="9583" spans="5:7" ht="15" customHeight="1">
      <c r="E9583" s="49" t="str">
        <f>IFERROR(VLOOKUP(D9583,'taxonomy map'!$A$1:$C$107,2,FALSE),"")</f>
        <v/>
      </c>
      <c r="F9583" s="49" t="str">
        <f>IFERROR(VLOOKUP(E9583,'Condensed Specialty Crosswalk'!$A$2:$C$106,2,FALSE),"")</f>
        <v/>
      </c>
      <c r="G9583" s="49" t="str">
        <f>IFERROR(VLOOKUP(E9583,'Condensed Specialty Crosswalk'!$A$2:$C$106,3,FALSE),"")</f>
        <v/>
      </c>
    </row>
    <row r="9584" spans="5:7" ht="15" customHeight="1">
      <c r="E9584" s="49" t="str">
        <f>IFERROR(VLOOKUP(D9584,'taxonomy map'!$A$1:$C$107,2,FALSE),"")</f>
        <v/>
      </c>
      <c r="F9584" s="49" t="str">
        <f>IFERROR(VLOOKUP(E9584,'Condensed Specialty Crosswalk'!$A$2:$C$106,2,FALSE),"")</f>
        <v/>
      </c>
      <c r="G9584" s="49" t="str">
        <f>IFERROR(VLOOKUP(E9584,'Condensed Specialty Crosswalk'!$A$2:$C$106,3,FALSE),"")</f>
        <v/>
      </c>
    </row>
    <row r="9585" spans="5:7" ht="15" customHeight="1">
      <c r="E9585" s="49" t="str">
        <f>IFERROR(VLOOKUP(D9585,'taxonomy map'!$A$1:$C$107,2,FALSE),"")</f>
        <v/>
      </c>
      <c r="F9585" s="49" t="str">
        <f>IFERROR(VLOOKUP(E9585,'Condensed Specialty Crosswalk'!$A$2:$C$106,2,FALSE),"")</f>
        <v/>
      </c>
      <c r="G9585" s="49" t="str">
        <f>IFERROR(VLOOKUP(E9585,'Condensed Specialty Crosswalk'!$A$2:$C$106,3,FALSE),"")</f>
        <v/>
      </c>
    </row>
    <row r="9586" spans="5:7" ht="15" customHeight="1">
      <c r="E9586" s="49" t="str">
        <f>IFERROR(VLOOKUP(D9586,'taxonomy map'!$A$1:$C$107,2,FALSE),"")</f>
        <v/>
      </c>
      <c r="F9586" s="49" t="str">
        <f>IFERROR(VLOOKUP(E9586,'Condensed Specialty Crosswalk'!$A$2:$C$106,2,FALSE),"")</f>
        <v/>
      </c>
      <c r="G9586" s="49" t="str">
        <f>IFERROR(VLOOKUP(E9586,'Condensed Specialty Crosswalk'!$A$2:$C$106,3,FALSE),"")</f>
        <v/>
      </c>
    </row>
    <row r="9587" spans="5:7" ht="15" customHeight="1">
      <c r="E9587" s="49" t="str">
        <f>IFERROR(VLOOKUP(D9587,'taxonomy map'!$A$1:$C$107,2,FALSE),"")</f>
        <v/>
      </c>
      <c r="F9587" s="49" t="str">
        <f>IFERROR(VLOOKUP(E9587,'Condensed Specialty Crosswalk'!$A$2:$C$106,2,FALSE),"")</f>
        <v/>
      </c>
      <c r="G9587" s="49" t="str">
        <f>IFERROR(VLOOKUP(E9587,'Condensed Specialty Crosswalk'!$A$2:$C$106,3,FALSE),"")</f>
        <v/>
      </c>
    </row>
    <row r="9588" spans="5:7" ht="15" customHeight="1">
      <c r="E9588" s="49" t="str">
        <f>IFERROR(VLOOKUP(D9588,'taxonomy map'!$A$1:$C$107,2,FALSE),"")</f>
        <v/>
      </c>
      <c r="F9588" s="49" t="str">
        <f>IFERROR(VLOOKUP(E9588,'Condensed Specialty Crosswalk'!$A$2:$C$106,2,FALSE),"")</f>
        <v/>
      </c>
      <c r="G9588" s="49" t="str">
        <f>IFERROR(VLOOKUP(E9588,'Condensed Specialty Crosswalk'!$A$2:$C$106,3,FALSE),"")</f>
        <v/>
      </c>
    </row>
    <row r="9589" spans="5:7" ht="15" customHeight="1">
      <c r="E9589" s="49" t="str">
        <f>IFERROR(VLOOKUP(D9589,'taxonomy map'!$A$1:$C$107,2,FALSE),"")</f>
        <v/>
      </c>
      <c r="F9589" s="49" t="str">
        <f>IFERROR(VLOOKUP(E9589,'Condensed Specialty Crosswalk'!$A$2:$C$106,2,FALSE),"")</f>
        <v/>
      </c>
      <c r="G9589" s="49" t="str">
        <f>IFERROR(VLOOKUP(E9589,'Condensed Specialty Crosswalk'!$A$2:$C$106,3,FALSE),"")</f>
        <v/>
      </c>
    </row>
    <row r="9590" spans="5:7" ht="15" customHeight="1">
      <c r="E9590" s="49" t="str">
        <f>IFERROR(VLOOKUP(D9590,'taxonomy map'!$A$1:$C$107,2,FALSE),"")</f>
        <v/>
      </c>
      <c r="F9590" s="49" t="str">
        <f>IFERROR(VLOOKUP(E9590,'Condensed Specialty Crosswalk'!$A$2:$C$106,2,FALSE),"")</f>
        <v/>
      </c>
      <c r="G9590" s="49" t="str">
        <f>IFERROR(VLOOKUP(E9590,'Condensed Specialty Crosswalk'!$A$2:$C$106,3,FALSE),"")</f>
        <v/>
      </c>
    </row>
    <row r="9591" spans="5:7" ht="15" customHeight="1">
      <c r="E9591" s="49" t="str">
        <f>IFERROR(VLOOKUP(D9591,'taxonomy map'!$A$1:$C$107,2,FALSE),"")</f>
        <v/>
      </c>
      <c r="F9591" s="49" t="str">
        <f>IFERROR(VLOOKUP(E9591,'Condensed Specialty Crosswalk'!$A$2:$C$106,2,FALSE),"")</f>
        <v/>
      </c>
      <c r="G9591" s="49" t="str">
        <f>IFERROR(VLOOKUP(E9591,'Condensed Specialty Crosswalk'!$A$2:$C$106,3,FALSE),"")</f>
        <v/>
      </c>
    </row>
    <row r="9592" spans="5:7" ht="15" customHeight="1">
      <c r="E9592" s="49" t="str">
        <f>IFERROR(VLOOKUP(D9592,'taxonomy map'!$A$1:$C$107,2,FALSE),"")</f>
        <v/>
      </c>
      <c r="F9592" s="49" t="str">
        <f>IFERROR(VLOOKUP(E9592,'Condensed Specialty Crosswalk'!$A$2:$C$106,2,FALSE),"")</f>
        <v/>
      </c>
      <c r="G9592" s="49" t="str">
        <f>IFERROR(VLOOKUP(E9592,'Condensed Specialty Crosswalk'!$A$2:$C$106,3,FALSE),"")</f>
        <v/>
      </c>
    </row>
    <row r="9593" spans="5:7" ht="15" customHeight="1">
      <c r="E9593" s="49" t="str">
        <f>IFERROR(VLOOKUP(D9593,'taxonomy map'!$A$1:$C$107,2,FALSE),"")</f>
        <v/>
      </c>
      <c r="F9593" s="49" t="str">
        <f>IFERROR(VLOOKUP(E9593,'Condensed Specialty Crosswalk'!$A$2:$C$106,2,FALSE),"")</f>
        <v/>
      </c>
      <c r="G9593" s="49" t="str">
        <f>IFERROR(VLOOKUP(E9593,'Condensed Specialty Crosswalk'!$A$2:$C$106,3,FALSE),"")</f>
        <v/>
      </c>
    </row>
    <row r="9594" spans="5:7" ht="15" customHeight="1">
      <c r="E9594" s="49" t="str">
        <f>IFERROR(VLOOKUP(D9594,'taxonomy map'!$A$1:$C$107,2,FALSE),"")</f>
        <v/>
      </c>
      <c r="F9594" s="49" t="str">
        <f>IFERROR(VLOOKUP(E9594,'Condensed Specialty Crosswalk'!$A$2:$C$106,2,FALSE),"")</f>
        <v/>
      </c>
      <c r="G9594" s="49" t="str">
        <f>IFERROR(VLOOKUP(E9594,'Condensed Specialty Crosswalk'!$A$2:$C$106,3,FALSE),"")</f>
        <v/>
      </c>
    </row>
    <row r="9595" spans="5:7" ht="15" customHeight="1">
      <c r="E9595" s="49" t="str">
        <f>IFERROR(VLOOKUP(D9595,'taxonomy map'!$A$1:$C$107,2,FALSE),"")</f>
        <v/>
      </c>
      <c r="F9595" s="49" t="str">
        <f>IFERROR(VLOOKUP(E9595,'Condensed Specialty Crosswalk'!$A$2:$C$106,2,FALSE),"")</f>
        <v/>
      </c>
      <c r="G9595" s="49" t="str">
        <f>IFERROR(VLOOKUP(E9595,'Condensed Specialty Crosswalk'!$A$2:$C$106,3,FALSE),"")</f>
        <v/>
      </c>
    </row>
    <row r="9596" spans="5:7" ht="15" customHeight="1">
      <c r="E9596" s="49" t="str">
        <f>IFERROR(VLOOKUP(D9596,'taxonomy map'!$A$1:$C$107,2,FALSE),"")</f>
        <v/>
      </c>
      <c r="F9596" s="49" t="str">
        <f>IFERROR(VLOOKUP(E9596,'Condensed Specialty Crosswalk'!$A$2:$C$106,2,FALSE),"")</f>
        <v/>
      </c>
      <c r="G9596" s="49" t="str">
        <f>IFERROR(VLOOKUP(E9596,'Condensed Specialty Crosswalk'!$A$2:$C$106,3,FALSE),"")</f>
        <v/>
      </c>
    </row>
    <row r="9597" spans="5:7" ht="15" customHeight="1">
      <c r="E9597" s="49" t="str">
        <f>IFERROR(VLOOKUP(D9597,'taxonomy map'!$A$1:$C$107,2,FALSE),"")</f>
        <v/>
      </c>
      <c r="F9597" s="49" t="str">
        <f>IFERROR(VLOOKUP(E9597,'Condensed Specialty Crosswalk'!$A$2:$C$106,2,FALSE),"")</f>
        <v/>
      </c>
      <c r="G9597" s="49" t="str">
        <f>IFERROR(VLOOKUP(E9597,'Condensed Specialty Crosswalk'!$A$2:$C$106,3,FALSE),"")</f>
        <v/>
      </c>
    </row>
    <row r="9598" spans="5:7" ht="15" customHeight="1">
      <c r="E9598" s="49" t="str">
        <f>IFERROR(VLOOKUP(D9598,'taxonomy map'!$A$1:$C$107,2,FALSE),"")</f>
        <v/>
      </c>
      <c r="F9598" s="49" t="str">
        <f>IFERROR(VLOOKUP(E9598,'Condensed Specialty Crosswalk'!$A$2:$C$106,2,FALSE),"")</f>
        <v/>
      </c>
      <c r="G9598" s="49" t="str">
        <f>IFERROR(VLOOKUP(E9598,'Condensed Specialty Crosswalk'!$A$2:$C$106,3,FALSE),"")</f>
        <v/>
      </c>
    </row>
    <row r="9599" spans="5:7" ht="15" customHeight="1">
      <c r="E9599" s="49" t="str">
        <f>IFERROR(VLOOKUP(D9599,'taxonomy map'!$A$1:$C$107,2,FALSE),"")</f>
        <v/>
      </c>
      <c r="F9599" s="49" t="str">
        <f>IFERROR(VLOOKUP(E9599,'Condensed Specialty Crosswalk'!$A$2:$C$106,2,FALSE),"")</f>
        <v/>
      </c>
      <c r="G9599" s="49" t="str">
        <f>IFERROR(VLOOKUP(E9599,'Condensed Specialty Crosswalk'!$A$2:$C$106,3,FALSE),"")</f>
        <v/>
      </c>
    </row>
    <row r="9600" spans="5:7" ht="15" customHeight="1">
      <c r="E9600" s="49" t="str">
        <f>IFERROR(VLOOKUP(D9600,'taxonomy map'!$A$1:$C$107,2,FALSE),"")</f>
        <v/>
      </c>
      <c r="F9600" s="49" t="str">
        <f>IFERROR(VLOOKUP(E9600,'Condensed Specialty Crosswalk'!$A$2:$C$106,2,FALSE),"")</f>
        <v/>
      </c>
      <c r="G9600" s="49" t="str">
        <f>IFERROR(VLOOKUP(E9600,'Condensed Specialty Crosswalk'!$A$2:$C$106,3,FALSE),"")</f>
        <v/>
      </c>
    </row>
    <row r="9601" spans="5:7" ht="15" customHeight="1">
      <c r="E9601" s="49" t="str">
        <f>IFERROR(VLOOKUP(D9601,'taxonomy map'!$A$1:$C$107,2,FALSE),"")</f>
        <v/>
      </c>
      <c r="F9601" s="49" t="str">
        <f>IFERROR(VLOOKUP(E9601,'Condensed Specialty Crosswalk'!$A$2:$C$106,2,FALSE),"")</f>
        <v/>
      </c>
      <c r="G9601" s="49" t="str">
        <f>IFERROR(VLOOKUP(E9601,'Condensed Specialty Crosswalk'!$A$2:$C$106,3,FALSE),"")</f>
        <v/>
      </c>
    </row>
    <row r="9602" spans="5:7" ht="15" customHeight="1">
      <c r="E9602" s="49" t="str">
        <f>IFERROR(VLOOKUP(D9602,'taxonomy map'!$A$1:$C$107,2,FALSE),"")</f>
        <v/>
      </c>
      <c r="F9602" s="49" t="str">
        <f>IFERROR(VLOOKUP(E9602,'Condensed Specialty Crosswalk'!$A$2:$C$106,2,FALSE),"")</f>
        <v/>
      </c>
      <c r="G9602" s="49" t="str">
        <f>IFERROR(VLOOKUP(E9602,'Condensed Specialty Crosswalk'!$A$2:$C$106,3,FALSE),"")</f>
        <v/>
      </c>
    </row>
    <row r="9603" spans="5:7" ht="15" customHeight="1">
      <c r="E9603" s="49" t="str">
        <f>IFERROR(VLOOKUP(D9603,'taxonomy map'!$A$1:$C$107,2,FALSE),"")</f>
        <v/>
      </c>
      <c r="F9603" s="49" t="str">
        <f>IFERROR(VLOOKUP(E9603,'Condensed Specialty Crosswalk'!$A$2:$C$106,2,FALSE),"")</f>
        <v/>
      </c>
      <c r="G9603" s="49" t="str">
        <f>IFERROR(VLOOKUP(E9603,'Condensed Specialty Crosswalk'!$A$2:$C$106,3,FALSE),"")</f>
        <v/>
      </c>
    </row>
    <row r="9604" spans="5:7" ht="15" customHeight="1">
      <c r="E9604" s="49" t="str">
        <f>IFERROR(VLOOKUP(D9604,'taxonomy map'!$A$1:$C$107,2,FALSE),"")</f>
        <v/>
      </c>
      <c r="F9604" s="49" t="str">
        <f>IFERROR(VLOOKUP(E9604,'Condensed Specialty Crosswalk'!$A$2:$C$106,2,FALSE),"")</f>
        <v/>
      </c>
      <c r="G9604" s="49" t="str">
        <f>IFERROR(VLOOKUP(E9604,'Condensed Specialty Crosswalk'!$A$2:$C$106,3,FALSE),"")</f>
        <v/>
      </c>
    </row>
    <row r="9605" spans="5:7" ht="15" customHeight="1">
      <c r="E9605" s="49" t="str">
        <f>IFERROR(VLOOKUP(D9605,'taxonomy map'!$A$1:$C$107,2,FALSE),"")</f>
        <v/>
      </c>
      <c r="F9605" s="49" t="str">
        <f>IFERROR(VLOOKUP(E9605,'Condensed Specialty Crosswalk'!$A$2:$C$106,2,FALSE),"")</f>
        <v/>
      </c>
      <c r="G9605" s="49" t="str">
        <f>IFERROR(VLOOKUP(E9605,'Condensed Specialty Crosswalk'!$A$2:$C$106,3,FALSE),"")</f>
        <v/>
      </c>
    </row>
    <row r="9606" spans="5:7" ht="15" customHeight="1">
      <c r="E9606" s="49" t="str">
        <f>IFERROR(VLOOKUP(D9606,'taxonomy map'!$A$1:$C$107,2,FALSE),"")</f>
        <v/>
      </c>
      <c r="F9606" s="49" t="str">
        <f>IFERROR(VLOOKUP(E9606,'Condensed Specialty Crosswalk'!$A$2:$C$106,2,FALSE),"")</f>
        <v/>
      </c>
      <c r="G9606" s="49" t="str">
        <f>IFERROR(VLOOKUP(E9606,'Condensed Specialty Crosswalk'!$A$2:$C$106,3,FALSE),"")</f>
        <v/>
      </c>
    </row>
    <row r="9607" spans="5:7" ht="15" customHeight="1">
      <c r="E9607" s="49" t="str">
        <f>IFERROR(VLOOKUP(D9607,'taxonomy map'!$A$1:$C$107,2,FALSE),"")</f>
        <v/>
      </c>
      <c r="F9607" s="49" t="str">
        <f>IFERROR(VLOOKUP(E9607,'Condensed Specialty Crosswalk'!$A$2:$C$106,2,FALSE),"")</f>
        <v/>
      </c>
      <c r="G9607" s="49" t="str">
        <f>IFERROR(VLOOKUP(E9607,'Condensed Specialty Crosswalk'!$A$2:$C$106,3,FALSE),"")</f>
        <v/>
      </c>
    </row>
    <row r="9608" spans="5:7" ht="15" customHeight="1">
      <c r="E9608" s="49" t="str">
        <f>IFERROR(VLOOKUP(D9608,'taxonomy map'!$A$1:$C$107,2,FALSE),"")</f>
        <v/>
      </c>
      <c r="F9608" s="49" t="str">
        <f>IFERROR(VLOOKUP(E9608,'Condensed Specialty Crosswalk'!$A$2:$C$106,2,FALSE),"")</f>
        <v/>
      </c>
      <c r="G9608" s="49" t="str">
        <f>IFERROR(VLOOKUP(E9608,'Condensed Specialty Crosswalk'!$A$2:$C$106,3,FALSE),"")</f>
        <v/>
      </c>
    </row>
    <row r="9609" spans="5:7" ht="15" customHeight="1">
      <c r="E9609" s="49" t="str">
        <f>IFERROR(VLOOKUP(D9609,'taxonomy map'!$A$1:$C$107,2,FALSE),"")</f>
        <v/>
      </c>
      <c r="F9609" s="49" t="str">
        <f>IFERROR(VLOOKUP(E9609,'Condensed Specialty Crosswalk'!$A$2:$C$106,2,FALSE),"")</f>
        <v/>
      </c>
      <c r="G9609" s="49" t="str">
        <f>IFERROR(VLOOKUP(E9609,'Condensed Specialty Crosswalk'!$A$2:$C$106,3,FALSE),"")</f>
        <v/>
      </c>
    </row>
    <row r="9610" spans="5:7" ht="15" customHeight="1">
      <c r="E9610" s="49" t="str">
        <f>IFERROR(VLOOKUP(D9610,'taxonomy map'!$A$1:$C$107,2,FALSE),"")</f>
        <v/>
      </c>
      <c r="F9610" s="49" t="str">
        <f>IFERROR(VLOOKUP(E9610,'Condensed Specialty Crosswalk'!$A$2:$C$106,2,FALSE),"")</f>
        <v/>
      </c>
      <c r="G9610" s="49" t="str">
        <f>IFERROR(VLOOKUP(E9610,'Condensed Specialty Crosswalk'!$A$2:$C$106,3,FALSE),"")</f>
        <v/>
      </c>
    </row>
    <row r="9611" spans="5:7" ht="15" customHeight="1">
      <c r="E9611" s="49" t="str">
        <f>IFERROR(VLOOKUP(D9611,'taxonomy map'!$A$1:$C$107,2,FALSE),"")</f>
        <v/>
      </c>
      <c r="F9611" s="49" t="str">
        <f>IFERROR(VLOOKUP(E9611,'Condensed Specialty Crosswalk'!$A$2:$C$106,2,FALSE),"")</f>
        <v/>
      </c>
      <c r="G9611" s="49" t="str">
        <f>IFERROR(VLOOKUP(E9611,'Condensed Specialty Crosswalk'!$A$2:$C$106,3,FALSE),"")</f>
        <v/>
      </c>
    </row>
    <row r="9612" spans="5:7" ht="15" customHeight="1">
      <c r="E9612" s="49" t="str">
        <f>IFERROR(VLOOKUP(D9612,'taxonomy map'!$A$1:$C$107,2,FALSE),"")</f>
        <v/>
      </c>
      <c r="F9612" s="49" t="str">
        <f>IFERROR(VLOOKUP(E9612,'Condensed Specialty Crosswalk'!$A$2:$C$106,2,FALSE),"")</f>
        <v/>
      </c>
      <c r="G9612" s="49" t="str">
        <f>IFERROR(VLOOKUP(E9612,'Condensed Specialty Crosswalk'!$A$2:$C$106,3,FALSE),"")</f>
        <v/>
      </c>
    </row>
    <row r="9613" spans="5:7" ht="15" customHeight="1">
      <c r="E9613" s="49" t="str">
        <f>IFERROR(VLOOKUP(D9613,'taxonomy map'!$A$1:$C$107,2,FALSE),"")</f>
        <v/>
      </c>
      <c r="F9613" s="49" t="str">
        <f>IFERROR(VLOOKUP(E9613,'Condensed Specialty Crosswalk'!$A$2:$C$106,2,FALSE),"")</f>
        <v/>
      </c>
      <c r="G9613" s="49" t="str">
        <f>IFERROR(VLOOKUP(E9613,'Condensed Specialty Crosswalk'!$A$2:$C$106,3,FALSE),"")</f>
        <v/>
      </c>
    </row>
    <row r="9614" spans="5:7" ht="15" customHeight="1">
      <c r="E9614" s="49" t="str">
        <f>IFERROR(VLOOKUP(D9614,'taxonomy map'!$A$1:$C$107,2,FALSE),"")</f>
        <v/>
      </c>
      <c r="F9614" s="49" t="str">
        <f>IFERROR(VLOOKUP(E9614,'Condensed Specialty Crosswalk'!$A$2:$C$106,2,FALSE),"")</f>
        <v/>
      </c>
      <c r="G9614" s="49" t="str">
        <f>IFERROR(VLOOKUP(E9614,'Condensed Specialty Crosswalk'!$A$2:$C$106,3,FALSE),"")</f>
        <v/>
      </c>
    </row>
    <row r="9615" spans="5:7" ht="15" customHeight="1">
      <c r="E9615" s="49" t="str">
        <f>IFERROR(VLOOKUP(D9615,'taxonomy map'!$A$1:$C$107,2,FALSE),"")</f>
        <v/>
      </c>
      <c r="F9615" s="49" t="str">
        <f>IFERROR(VLOOKUP(E9615,'Condensed Specialty Crosswalk'!$A$2:$C$106,2,FALSE),"")</f>
        <v/>
      </c>
      <c r="G9615" s="49" t="str">
        <f>IFERROR(VLOOKUP(E9615,'Condensed Specialty Crosswalk'!$A$2:$C$106,3,FALSE),"")</f>
        <v/>
      </c>
    </row>
    <row r="9616" spans="5:7" ht="15" customHeight="1">
      <c r="E9616" s="49" t="str">
        <f>IFERROR(VLOOKUP(D9616,'taxonomy map'!$A$1:$C$107,2,FALSE),"")</f>
        <v/>
      </c>
      <c r="F9616" s="49" t="str">
        <f>IFERROR(VLOOKUP(E9616,'Condensed Specialty Crosswalk'!$A$2:$C$106,2,FALSE),"")</f>
        <v/>
      </c>
      <c r="G9616" s="49" t="str">
        <f>IFERROR(VLOOKUP(E9616,'Condensed Specialty Crosswalk'!$A$2:$C$106,3,FALSE),"")</f>
        <v/>
      </c>
    </row>
    <row r="9617" spans="5:7" ht="15" customHeight="1">
      <c r="E9617" s="49" t="str">
        <f>IFERROR(VLOOKUP(D9617,'taxonomy map'!$A$1:$C$107,2,FALSE),"")</f>
        <v/>
      </c>
      <c r="F9617" s="49" t="str">
        <f>IFERROR(VLOOKUP(E9617,'Condensed Specialty Crosswalk'!$A$2:$C$106,2,FALSE),"")</f>
        <v/>
      </c>
      <c r="G9617" s="49" t="str">
        <f>IFERROR(VLOOKUP(E9617,'Condensed Specialty Crosswalk'!$A$2:$C$106,3,FALSE),"")</f>
        <v/>
      </c>
    </row>
    <row r="9618" spans="5:7" ht="15" customHeight="1">
      <c r="E9618" s="49" t="str">
        <f>IFERROR(VLOOKUP(D9618,'taxonomy map'!$A$1:$C$107,2,FALSE),"")</f>
        <v/>
      </c>
      <c r="F9618" s="49" t="str">
        <f>IFERROR(VLOOKUP(E9618,'Condensed Specialty Crosswalk'!$A$2:$C$106,2,FALSE),"")</f>
        <v/>
      </c>
      <c r="G9618" s="49" t="str">
        <f>IFERROR(VLOOKUP(E9618,'Condensed Specialty Crosswalk'!$A$2:$C$106,3,FALSE),"")</f>
        <v/>
      </c>
    </row>
    <row r="9619" spans="5:7" ht="15" customHeight="1">
      <c r="E9619" s="49" t="str">
        <f>IFERROR(VLOOKUP(D9619,'taxonomy map'!$A$1:$C$107,2,FALSE),"")</f>
        <v/>
      </c>
      <c r="F9619" s="49" t="str">
        <f>IFERROR(VLOOKUP(E9619,'Condensed Specialty Crosswalk'!$A$2:$C$106,2,FALSE),"")</f>
        <v/>
      </c>
      <c r="G9619" s="49" t="str">
        <f>IFERROR(VLOOKUP(E9619,'Condensed Specialty Crosswalk'!$A$2:$C$106,3,FALSE),"")</f>
        <v/>
      </c>
    </row>
    <row r="9620" spans="5:7" ht="15" customHeight="1">
      <c r="E9620" s="49" t="str">
        <f>IFERROR(VLOOKUP(D9620,'taxonomy map'!$A$1:$C$107,2,FALSE),"")</f>
        <v/>
      </c>
      <c r="F9620" s="49" t="str">
        <f>IFERROR(VLOOKUP(E9620,'Condensed Specialty Crosswalk'!$A$2:$C$106,2,FALSE),"")</f>
        <v/>
      </c>
      <c r="G9620" s="49" t="str">
        <f>IFERROR(VLOOKUP(E9620,'Condensed Specialty Crosswalk'!$A$2:$C$106,3,FALSE),"")</f>
        <v/>
      </c>
    </row>
    <row r="9621" spans="5:7" ht="15" customHeight="1">
      <c r="E9621" s="49" t="str">
        <f>IFERROR(VLOOKUP(D9621,'taxonomy map'!$A$1:$C$107,2,FALSE),"")</f>
        <v/>
      </c>
      <c r="F9621" s="49" t="str">
        <f>IFERROR(VLOOKUP(E9621,'Condensed Specialty Crosswalk'!$A$2:$C$106,2,FALSE),"")</f>
        <v/>
      </c>
      <c r="G9621" s="49" t="str">
        <f>IFERROR(VLOOKUP(E9621,'Condensed Specialty Crosswalk'!$A$2:$C$106,3,FALSE),"")</f>
        <v/>
      </c>
    </row>
    <row r="9622" spans="5:7" ht="15" customHeight="1">
      <c r="E9622" s="49" t="str">
        <f>IFERROR(VLOOKUP(D9622,'taxonomy map'!$A$1:$C$107,2,FALSE),"")</f>
        <v/>
      </c>
      <c r="F9622" s="49" t="str">
        <f>IFERROR(VLOOKUP(E9622,'Condensed Specialty Crosswalk'!$A$2:$C$106,2,FALSE),"")</f>
        <v/>
      </c>
      <c r="G9622" s="49" t="str">
        <f>IFERROR(VLOOKUP(E9622,'Condensed Specialty Crosswalk'!$A$2:$C$106,3,FALSE),"")</f>
        <v/>
      </c>
    </row>
    <row r="9623" spans="5:7" ht="15" customHeight="1">
      <c r="E9623" s="49" t="str">
        <f>IFERROR(VLOOKUP(D9623,'taxonomy map'!$A$1:$C$107,2,FALSE),"")</f>
        <v/>
      </c>
      <c r="F9623" s="49" t="str">
        <f>IFERROR(VLOOKUP(E9623,'Condensed Specialty Crosswalk'!$A$2:$C$106,2,FALSE),"")</f>
        <v/>
      </c>
      <c r="G9623" s="49" t="str">
        <f>IFERROR(VLOOKUP(E9623,'Condensed Specialty Crosswalk'!$A$2:$C$106,3,FALSE),"")</f>
        <v/>
      </c>
    </row>
    <row r="9624" spans="5:7" ht="15" customHeight="1">
      <c r="E9624" s="49" t="str">
        <f>IFERROR(VLOOKUP(D9624,'taxonomy map'!$A$1:$C$107,2,FALSE),"")</f>
        <v/>
      </c>
      <c r="F9624" s="49" t="str">
        <f>IFERROR(VLOOKUP(E9624,'Condensed Specialty Crosswalk'!$A$2:$C$106,2,FALSE),"")</f>
        <v/>
      </c>
      <c r="G9624" s="49" t="str">
        <f>IFERROR(VLOOKUP(E9624,'Condensed Specialty Crosswalk'!$A$2:$C$106,3,FALSE),"")</f>
        <v/>
      </c>
    </row>
    <row r="9625" spans="5:7" ht="15" customHeight="1">
      <c r="E9625" s="49" t="str">
        <f>IFERROR(VLOOKUP(D9625,'taxonomy map'!$A$1:$C$107,2,FALSE),"")</f>
        <v/>
      </c>
      <c r="F9625" s="49" t="str">
        <f>IFERROR(VLOOKUP(E9625,'Condensed Specialty Crosswalk'!$A$2:$C$106,2,FALSE),"")</f>
        <v/>
      </c>
      <c r="G9625" s="49" t="str">
        <f>IFERROR(VLOOKUP(E9625,'Condensed Specialty Crosswalk'!$A$2:$C$106,3,FALSE),"")</f>
        <v/>
      </c>
    </row>
    <row r="9626" spans="5:7" ht="15" customHeight="1">
      <c r="E9626" s="49" t="str">
        <f>IFERROR(VLOOKUP(D9626,'taxonomy map'!$A$1:$C$107,2,FALSE),"")</f>
        <v/>
      </c>
      <c r="F9626" s="49" t="str">
        <f>IFERROR(VLOOKUP(E9626,'Condensed Specialty Crosswalk'!$A$2:$C$106,2,FALSE),"")</f>
        <v/>
      </c>
      <c r="G9626" s="49" t="str">
        <f>IFERROR(VLOOKUP(E9626,'Condensed Specialty Crosswalk'!$A$2:$C$106,3,FALSE),"")</f>
        <v/>
      </c>
    </row>
    <row r="9627" spans="5:7" ht="15" customHeight="1">
      <c r="E9627" s="49" t="str">
        <f>IFERROR(VLOOKUP(D9627,'taxonomy map'!$A$1:$C$107,2,FALSE),"")</f>
        <v/>
      </c>
      <c r="F9627" s="49" t="str">
        <f>IFERROR(VLOOKUP(E9627,'Condensed Specialty Crosswalk'!$A$2:$C$106,2,FALSE),"")</f>
        <v/>
      </c>
      <c r="G9627" s="49" t="str">
        <f>IFERROR(VLOOKUP(E9627,'Condensed Specialty Crosswalk'!$A$2:$C$106,3,FALSE),"")</f>
        <v/>
      </c>
    </row>
    <row r="9628" spans="5:7" ht="15" customHeight="1">
      <c r="E9628" s="49" t="str">
        <f>IFERROR(VLOOKUP(D9628,'taxonomy map'!$A$1:$C$107,2,FALSE),"")</f>
        <v/>
      </c>
      <c r="F9628" s="49" t="str">
        <f>IFERROR(VLOOKUP(E9628,'Condensed Specialty Crosswalk'!$A$2:$C$106,2,FALSE),"")</f>
        <v/>
      </c>
      <c r="G9628" s="49" t="str">
        <f>IFERROR(VLOOKUP(E9628,'Condensed Specialty Crosswalk'!$A$2:$C$106,3,FALSE),"")</f>
        <v/>
      </c>
    </row>
    <row r="9629" spans="5:7" ht="15" customHeight="1">
      <c r="E9629" s="49" t="str">
        <f>IFERROR(VLOOKUP(D9629,'taxonomy map'!$A$1:$C$107,2,FALSE),"")</f>
        <v/>
      </c>
      <c r="F9629" s="49" t="str">
        <f>IFERROR(VLOOKUP(E9629,'Condensed Specialty Crosswalk'!$A$2:$C$106,2,FALSE),"")</f>
        <v/>
      </c>
      <c r="G9629" s="49" t="str">
        <f>IFERROR(VLOOKUP(E9629,'Condensed Specialty Crosswalk'!$A$2:$C$106,3,FALSE),"")</f>
        <v/>
      </c>
    </row>
    <row r="9630" spans="5:7" ht="15" customHeight="1">
      <c r="E9630" s="49" t="str">
        <f>IFERROR(VLOOKUP(D9630,'taxonomy map'!$A$1:$C$107,2,FALSE),"")</f>
        <v/>
      </c>
      <c r="F9630" s="49" t="str">
        <f>IFERROR(VLOOKUP(E9630,'Condensed Specialty Crosswalk'!$A$2:$C$106,2,FALSE),"")</f>
        <v/>
      </c>
      <c r="G9630" s="49" t="str">
        <f>IFERROR(VLOOKUP(E9630,'Condensed Specialty Crosswalk'!$A$2:$C$106,3,FALSE),"")</f>
        <v/>
      </c>
    </row>
    <row r="9631" spans="5:7" ht="15" customHeight="1">
      <c r="E9631" s="49" t="str">
        <f>IFERROR(VLOOKUP(D9631,'taxonomy map'!$A$1:$C$107,2,FALSE),"")</f>
        <v/>
      </c>
      <c r="F9631" s="49" t="str">
        <f>IFERROR(VLOOKUP(E9631,'Condensed Specialty Crosswalk'!$A$2:$C$106,2,FALSE),"")</f>
        <v/>
      </c>
      <c r="G9631" s="49" t="str">
        <f>IFERROR(VLOOKUP(E9631,'Condensed Specialty Crosswalk'!$A$2:$C$106,3,FALSE),"")</f>
        <v/>
      </c>
    </row>
    <row r="9632" spans="5:7" ht="15" customHeight="1">
      <c r="E9632" s="49" t="str">
        <f>IFERROR(VLOOKUP(D9632,'taxonomy map'!$A$1:$C$107,2,FALSE),"")</f>
        <v/>
      </c>
      <c r="F9632" s="49" t="str">
        <f>IFERROR(VLOOKUP(E9632,'Condensed Specialty Crosswalk'!$A$2:$C$106,2,FALSE),"")</f>
        <v/>
      </c>
      <c r="G9632" s="49" t="str">
        <f>IFERROR(VLOOKUP(E9632,'Condensed Specialty Crosswalk'!$A$2:$C$106,3,FALSE),"")</f>
        <v/>
      </c>
    </row>
    <row r="9633" spans="5:7" ht="15" customHeight="1">
      <c r="E9633" s="49" t="str">
        <f>IFERROR(VLOOKUP(D9633,'taxonomy map'!$A$1:$C$107,2,FALSE),"")</f>
        <v/>
      </c>
      <c r="F9633" s="49" t="str">
        <f>IFERROR(VLOOKUP(E9633,'Condensed Specialty Crosswalk'!$A$2:$C$106,2,FALSE),"")</f>
        <v/>
      </c>
      <c r="G9633" s="49" t="str">
        <f>IFERROR(VLOOKUP(E9633,'Condensed Specialty Crosswalk'!$A$2:$C$106,3,FALSE),"")</f>
        <v/>
      </c>
    </row>
    <row r="9634" spans="5:7" ht="15" customHeight="1">
      <c r="E9634" s="49" t="str">
        <f>IFERROR(VLOOKUP(D9634,'taxonomy map'!$A$1:$C$107,2,FALSE),"")</f>
        <v/>
      </c>
      <c r="F9634" s="49" t="str">
        <f>IFERROR(VLOOKUP(E9634,'Condensed Specialty Crosswalk'!$A$2:$C$106,2,FALSE),"")</f>
        <v/>
      </c>
      <c r="G9634" s="49" t="str">
        <f>IFERROR(VLOOKUP(E9634,'Condensed Specialty Crosswalk'!$A$2:$C$106,3,FALSE),"")</f>
        <v/>
      </c>
    </row>
    <row r="9635" spans="5:7" ht="15" customHeight="1">
      <c r="E9635" s="49" t="str">
        <f>IFERROR(VLOOKUP(D9635,'taxonomy map'!$A$1:$C$107,2,FALSE),"")</f>
        <v/>
      </c>
      <c r="F9635" s="49" t="str">
        <f>IFERROR(VLOOKUP(E9635,'Condensed Specialty Crosswalk'!$A$2:$C$106,2,FALSE),"")</f>
        <v/>
      </c>
      <c r="G9635" s="49" t="str">
        <f>IFERROR(VLOOKUP(E9635,'Condensed Specialty Crosswalk'!$A$2:$C$106,3,FALSE),"")</f>
        <v/>
      </c>
    </row>
    <row r="9636" spans="5:7" ht="15" customHeight="1">
      <c r="E9636" s="49" t="str">
        <f>IFERROR(VLOOKUP(D9636,'taxonomy map'!$A$1:$C$107,2,FALSE),"")</f>
        <v/>
      </c>
      <c r="F9636" s="49" t="str">
        <f>IFERROR(VLOOKUP(E9636,'Condensed Specialty Crosswalk'!$A$2:$C$106,2,FALSE),"")</f>
        <v/>
      </c>
      <c r="G9636" s="49" t="str">
        <f>IFERROR(VLOOKUP(E9636,'Condensed Specialty Crosswalk'!$A$2:$C$106,3,FALSE),"")</f>
        <v/>
      </c>
    </row>
    <row r="9637" spans="5:7" ht="15" customHeight="1">
      <c r="E9637" s="49" t="str">
        <f>IFERROR(VLOOKUP(D9637,'taxonomy map'!$A$1:$C$107,2,FALSE),"")</f>
        <v/>
      </c>
      <c r="F9637" s="49" t="str">
        <f>IFERROR(VLOOKUP(E9637,'Condensed Specialty Crosswalk'!$A$2:$C$106,2,FALSE),"")</f>
        <v/>
      </c>
      <c r="G9637" s="49" t="str">
        <f>IFERROR(VLOOKUP(E9637,'Condensed Specialty Crosswalk'!$A$2:$C$106,3,FALSE),"")</f>
        <v/>
      </c>
    </row>
    <row r="9638" spans="5:7" ht="15" customHeight="1">
      <c r="E9638" s="49" t="str">
        <f>IFERROR(VLOOKUP(D9638,'taxonomy map'!$A$1:$C$107,2,FALSE),"")</f>
        <v/>
      </c>
      <c r="F9638" s="49" t="str">
        <f>IFERROR(VLOOKUP(E9638,'Condensed Specialty Crosswalk'!$A$2:$C$106,2,FALSE),"")</f>
        <v/>
      </c>
      <c r="G9638" s="49" t="str">
        <f>IFERROR(VLOOKUP(E9638,'Condensed Specialty Crosswalk'!$A$2:$C$106,3,FALSE),"")</f>
        <v/>
      </c>
    </row>
    <row r="9639" spans="5:7" ht="15" customHeight="1">
      <c r="E9639" s="49" t="str">
        <f>IFERROR(VLOOKUP(D9639,'taxonomy map'!$A$1:$C$107,2,FALSE),"")</f>
        <v/>
      </c>
      <c r="F9639" s="49" t="str">
        <f>IFERROR(VLOOKUP(E9639,'Condensed Specialty Crosswalk'!$A$2:$C$106,2,FALSE),"")</f>
        <v/>
      </c>
      <c r="G9639" s="49" t="str">
        <f>IFERROR(VLOOKUP(E9639,'Condensed Specialty Crosswalk'!$A$2:$C$106,3,FALSE),"")</f>
        <v/>
      </c>
    </row>
    <row r="9640" spans="5:7" ht="15" customHeight="1">
      <c r="E9640" s="49" t="str">
        <f>IFERROR(VLOOKUP(D9640,'taxonomy map'!$A$1:$C$107,2,FALSE),"")</f>
        <v/>
      </c>
      <c r="F9640" s="49" t="str">
        <f>IFERROR(VLOOKUP(E9640,'Condensed Specialty Crosswalk'!$A$2:$C$106,2,FALSE),"")</f>
        <v/>
      </c>
      <c r="G9640" s="49" t="str">
        <f>IFERROR(VLOOKUP(E9640,'Condensed Specialty Crosswalk'!$A$2:$C$106,3,FALSE),"")</f>
        <v/>
      </c>
    </row>
    <row r="9641" spans="5:7" ht="15" customHeight="1">
      <c r="E9641" s="49" t="str">
        <f>IFERROR(VLOOKUP(D9641,'taxonomy map'!$A$1:$C$107,2,FALSE),"")</f>
        <v/>
      </c>
      <c r="F9641" s="49" t="str">
        <f>IFERROR(VLOOKUP(E9641,'Condensed Specialty Crosswalk'!$A$2:$C$106,2,FALSE),"")</f>
        <v/>
      </c>
      <c r="G9641" s="49" t="str">
        <f>IFERROR(VLOOKUP(E9641,'Condensed Specialty Crosswalk'!$A$2:$C$106,3,FALSE),"")</f>
        <v/>
      </c>
    </row>
    <row r="9642" spans="5:7" ht="15" customHeight="1">
      <c r="E9642" s="49" t="str">
        <f>IFERROR(VLOOKUP(D9642,'taxonomy map'!$A$1:$C$107,2,FALSE),"")</f>
        <v/>
      </c>
      <c r="F9642" s="49" t="str">
        <f>IFERROR(VLOOKUP(E9642,'Condensed Specialty Crosswalk'!$A$2:$C$106,2,FALSE),"")</f>
        <v/>
      </c>
      <c r="G9642" s="49" t="str">
        <f>IFERROR(VLOOKUP(E9642,'Condensed Specialty Crosswalk'!$A$2:$C$106,3,FALSE),"")</f>
        <v/>
      </c>
    </row>
    <row r="9643" spans="5:7" ht="15" customHeight="1">
      <c r="E9643" s="49" t="str">
        <f>IFERROR(VLOOKUP(D9643,'taxonomy map'!$A$1:$C$107,2,FALSE),"")</f>
        <v/>
      </c>
      <c r="F9643" s="49" t="str">
        <f>IFERROR(VLOOKUP(E9643,'Condensed Specialty Crosswalk'!$A$2:$C$106,2,FALSE),"")</f>
        <v/>
      </c>
      <c r="G9643" s="49" t="str">
        <f>IFERROR(VLOOKUP(E9643,'Condensed Specialty Crosswalk'!$A$2:$C$106,3,FALSE),"")</f>
        <v/>
      </c>
    </row>
    <row r="9644" spans="5:7" ht="15" customHeight="1">
      <c r="E9644" s="49" t="str">
        <f>IFERROR(VLOOKUP(D9644,'taxonomy map'!$A$1:$C$107,2,FALSE),"")</f>
        <v/>
      </c>
      <c r="F9644" s="49" t="str">
        <f>IFERROR(VLOOKUP(E9644,'Condensed Specialty Crosswalk'!$A$2:$C$106,2,FALSE),"")</f>
        <v/>
      </c>
      <c r="G9644" s="49" t="str">
        <f>IFERROR(VLOOKUP(E9644,'Condensed Specialty Crosswalk'!$A$2:$C$106,3,FALSE),"")</f>
        <v/>
      </c>
    </row>
    <row r="9645" spans="5:7" ht="15" customHeight="1">
      <c r="E9645" s="49" t="str">
        <f>IFERROR(VLOOKUP(D9645,'taxonomy map'!$A$1:$C$107,2,FALSE),"")</f>
        <v/>
      </c>
      <c r="F9645" s="49" t="str">
        <f>IFERROR(VLOOKUP(E9645,'Condensed Specialty Crosswalk'!$A$2:$C$106,2,FALSE),"")</f>
        <v/>
      </c>
      <c r="G9645" s="49" t="str">
        <f>IFERROR(VLOOKUP(E9645,'Condensed Specialty Crosswalk'!$A$2:$C$106,3,FALSE),"")</f>
        <v/>
      </c>
    </row>
    <row r="9646" spans="5:7" ht="15" customHeight="1">
      <c r="E9646" s="49" t="str">
        <f>IFERROR(VLOOKUP(D9646,'taxonomy map'!$A$1:$C$107,2,FALSE),"")</f>
        <v/>
      </c>
      <c r="F9646" s="49" t="str">
        <f>IFERROR(VLOOKUP(E9646,'Condensed Specialty Crosswalk'!$A$2:$C$106,2,FALSE),"")</f>
        <v/>
      </c>
      <c r="G9646" s="49" t="str">
        <f>IFERROR(VLOOKUP(E9646,'Condensed Specialty Crosswalk'!$A$2:$C$106,3,FALSE),"")</f>
        <v/>
      </c>
    </row>
    <row r="9647" spans="5:7" ht="15" customHeight="1">
      <c r="E9647" s="49" t="str">
        <f>IFERROR(VLOOKUP(D9647,'taxonomy map'!$A$1:$C$107,2,FALSE),"")</f>
        <v/>
      </c>
      <c r="F9647" s="49" t="str">
        <f>IFERROR(VLOOKUP(E9647,'Condensed Specialty Crosswalk'!$A$2:$C$106,2,FALSE),"")</f>
        <v/>
      </c>
      <c r="G9647" s="49" t="str">
        <f>IFERROR(VLOOKUP(E9647,'Condensed Specialty Crosswalk'!$A$2:$C$106,3,FALSE),"")</f>
        <v/>
      </c>
    </row>
    <row r="9648" spans="5:7" ht="15" customHeight="1">
      <c r="E9648" s="49" t="str">
        <f>IFERROR(VLOOKUP(D9648,'taxonomy map'!$A$1:$C$107,2,FALSE),"")</f>
        <v/>
      </c>
      <c r="F9648" s="49" t="str">
        <f>IFERROR(VLOOKUP(E9648,'Condensed Specialty Crosswalk'!$A$2:$C$106,2,FALSE),"")</f>
        <v/>
      </c>
      <c r="G9648" s="49" t="str">
        <f>IFERROR(VLOOKUP(E9648,'Condensed Specialty Crosswalk'!$A$2:$C$106,3,FALSE),"")</f>
        <v/>
      </c>
    </row>
    <row r="9649" spans="5:7" ht="15" customHeight="1">
      <c r="E9649" s="49" t="str">
        <f>IFERROR(VLOOKUP(D9649,'taxonomy map'!$A$1:$C$107,2,FALSE),"")</f>
        <v/>
      </c>
      <c r="F9649" s="49" t="str">
        <f>IFERROR(VLOOKUP(E9649,'Condensed Specialty Crosswalk'!$A$2:$C$106,2,FALSE),"")</f>
        <v/>
      </c>
      <c r="G9649" s="49" t="str">
        <f>IFERROR(VLOOKUP(E9649,'Condensed Specialty Crosswalk'!$A$2:$C$106,3,FALSE),"")</f>
        <v/>
      </c>
    </row>
    <row r="9650" spans="5:7" ht="15" customHeight="1">
      <c r="E9650" s="49" t="str">
        <f>IFERROR(VLOOKUP(D9650,'taxonomy map'!$A$1:$C$107,2,FALSE),"")</f>
        <v/>
      </c>
      <c r="F9650" s="49" t="str">
        <f>IFERROR(VLOOKUP(E9650,'Condensed Specialty Crosswalk'!$A$2:$C$106,2,FALSE),"")</f>
        <v/>
      </c>
      <c r="G9650" s="49" t="str">
        <f>IFERROR(VLOOKUP(E9650,'Condensed Specialty Crosswalk'!$A$2:$C$106,3,FALSE),"")</f>
        <v/>
      </c>
    </row>
    <row r="9651" spans="5:7" ht="15" customHeight="1">
      <c r="E9651" s="49" t="str">
        <f>IFERROR(VLOOKUP(D9651,'taxonomy map'!$A$1:$C$107,2,FALSE),"")</f>
        <v/>
      </c>
      <c r="F9651" s="49" t="str">
        <f>IFERROR(VLOOKUP(E9651,'Condensed Specialty Crosswalk'!$A$2:$C$106,2,FALSE),"")</f>
        <v/>
      </c>
      <c r="G9651" s="49" t="str">
        <f>IFERROR(VLOOKUP(E9651,'Condensed Specialty Crosswalk'!$A$2:$C$106,3,FALSE),"")</f>
        <v/>
      </c>
    </row>
    <row r="9652" spans="5:7" ht="15" customHeight="1">
      <c r="E9652" s="49" t="str">
        <f>IFERROR(VLOOKUP(D9652,'taxonomy map'!$A$1:$C$107,2,FALSE),"")</f>
        <v/>
      </c>
      <c r="F9652" s="49" t="str">
        <f>IFERROR(VLOOKUP(E9652,'Condensed Specialty Crosswalk'!$A$2:$C$106,2,FALSE),"")</f>
        <v/>
      </c>
      <c r="G9652" s="49" t="str">
        <f>IFERROR(VLOOKUP(E9652,'Condensed Specialty Crosswalk'!$A$2:$C$106,3,FALSE),"")</f>
        <v/>
      </c>
    </row>
    <row r="9653" spans="5:7" ht="15" customHeight="1">
      <c r="E9653" s="49" t="str">
        <f>IFERROR(VLOOKUP(D9653,'taxonomy map'!$A$1:$C$107,2,FALSE),"")</f>
        <v/>
      </c>
      <c r="F9653" s="49" t="str">
        <f>IFERROR(VLOOKUP(E9653,'Condensed Specialty Crosswalk'!$A$2:$C$106,2,FALSE),"")</f>
        <v/>
      </c>
      <c r="G9653" s="49" t="str">
        <f>IFERROR(VLOOKUP(E9653,'Condensed Specialty Crosswalk'!$A$2:$C$106,3,FALSE),"")</f>
        <v/>
      </c>
    </row>
    <row r="9654" spans="5:7" ht="15" customHeight="1">
      <c r="E9654" s="49" t="str">
        <f>IFERROR(VLOOKUP(D9654,'taxonomy map'!$A$1:$C$107,2,FALSE),"")</f>
        <v/>
      </c>
      <c r="F9654" s="49" t="str">
        <f>IFERROR(VLOOKUP(E9654,'Condensed Specialty Crosswalk'!$A$2:$C$106,2,FALSE),"")</f>
        <v/>
      </c>
      <c r="G9654" s="49" t="str">
        <f>IFERROR(VLOOKUP(E9654,'Condensed Specialty Crosswalk'!$A$2:$C$106,3,FALSE),"")</f>
        <v/>
      </c>
    </row>
    <row r="9655" spans="5:7" ht="15" customHeight="1">
      <c r="E9655" s="49" t="str">
        <f>IFERROR(VLOOKUP(D9655,'taxonomy map'!$A$1:$C$107,2,FALSE),"")</f>
        <v/>
      </c>
      <c r="F9655" s="49" t="str">
        <f>IFERROR(VLOOKUP(E9655,'Condensed Specialty Crosswalk'!$A$2:$C$106,2,FALSE),"")</f>
        <v/>
      </c>
      <c r="G9655" s="49" t="str">
        <f>IFERROR(VLOOKUP(E9655,'Condensed Specialty Crosswalk'!$A$2:$C$106,3,FALSE),"")</f>
        <v/>
      </c>
    </row>
    <row r="9656" spans="5:7" ht="15" customHeight="1">
      <c r="E9656" s="49" t="str">
        <f>IFERROR(VLOOKUP(D9656,'taxonomy map'!$A$1:$C$107,2,FALSE),"")</f>
        <v/>
      </c>
      <c r="F9656" s="49" t="str">
        <f>IFERROR(VLOOKUP(E9656,'Condensed Specialty Crosswalk'!$A$2:$C$106,2,FALSE),"")</f>
        <v/>
      </c>
      <c r="G9656" s="49" t="str">
        <f>IFERROR(VLOOKUP(E9656,'Condensed Specialty Crosswalk'!$A$2:$C$106,3,FALSE),"")</f>
        <v/>
      </c>
    </row>
    <row r="9657" spans="5:7" ht="15" customHeight="1">
      <c r="E9657" s="49" t="str">
        <f>IFERROR(VLOOKUP(D9657,'taxonomy map'!$A$1:$C$107,2,FALSE),"")</f>
        <v/>
      </c>
      <c r="F9657" s="49" t="str">
        <f>IFERROR(VLOOKUP(E9657,'Condensed Specialty Crosswalk'!$A$2:$C$106,2,FALSE),"")</f>
        <v/>
      </c>
      <c r="G9657" s="49" t="str">
        <f>IFERROR(VLOOKUP(E9657,'Condensed Specialty Crosswalk'!$A$2:$C$106,3,FALSE),"")</f>
        <v/>
      </c>
    </row>
    <row r="9658" spans="5:7" ht="15" customHeight="1">
      <c r="E9658" s="49" t="str">
        <f>IFERROR(VLOOKUP(D9658,'taxonomy map'!$A$1:$C$107,2,FALSE),"")</f>
        <v/>
      </c>
      <c r="F9658" s="49" t="str">
        <f>IFERROR(VLOOKUP(E9658,'Condensed Specialty Crosswalk'!$A$2:$C$106,2,FALSE),"")</f>
        <v/>
      </c>
      <c r="G9658" s="49" t="str">
        <f>IFERROR(VLOOKUP(E9658,'Condensed Specialty Crosswalk'!$A$2:$C$106,3,FALSE),"")</f>
        <v/>
      </c>
    </row>
    <row r="9659" spans="5:7" ht="15" customHeight="1">
      <c r="E9659" s="49" t="str">
        <f>IFERROR(VLOOKUP(D9659,'taxonomy map'!$A$1:$C$107,2,FALSE),"")</f>
        <v/>
      </c>
      <c r="F9659" s="49" t="str">
        <f>IFERROR(VLOOKUP(E9659,'Condensed Specialty Crosswalk'!$A$2:$C$106,2,FALSE),"")</f>
        <v/>
      </c>
      <c r="G9659" s="49" t="str">
        <f>IFERROR(VLOOKUP(E9659,'Condensed Specialty Crosswalk'!$A$2:$C$106,3,FALSE),"")</f>
        <v/>
      </c>
    </row>
    <row r="9660" spans="5:7" ht="15" customHeight="1">
      <c r="E9660" s="49" t="str">
        <f>IFERROR(VLOOKUP(D9660,'taxonomy map'!$A$1:$C$107,2,FALSE),"")</f>
        <v/>
      </c>
      <c r="F9660" s="49" t="str">
        <f>IFERROR(VLOOKUP(E9660,'Condensed Specialty Crosswalk'!$A$2:$C$106,2,FALSE),"")</f>
        <v/>
      </c>
      <c r="G9660" s="49" t="str">
        <f>IFERROR(VLOOKUP(E9660,'Condensed Specialty Crosswalk'!$A$2:$C$106,3,FALSE),"")</f>
        <v/>
      </c>
    </row>
    <row r="9661" spans="5:7" ht="15" customHeight="1">
      <c r="E9661" s="49" t="str">
        <f>IFERROR(VLOOKUP(D9661,'taxonomy map'!$A$1:$C$107,2,FALSE),"")</f>
        <v/>
      </c>
      <c r="F9661" s="49" t="str">
        <f>IFERROR(VLOOKUP(E9661,'Condensed Specialty Crosswalk'!$A$2:$C$106,2,FALSE),"")</f>
        <v/>
      </c>
      <c r="G9661" s="49" t="str">
        <f>IFERROR(VLOOKUP(E9661,'Condensed Specialty Crosswalk'!$A$2:$C$106,3,FALSE),"")</f>
        <v/>
      </c>
    </row>
    <row r="9662" spans="5:7" ht="15" customHeight="1">
      <c r="E9662" s="49" t="str">
        <f>IFERROR(VLOOKUP(D9662,'taxonomy map'!$A$1:$C$107,2,FALSE),"")</f>
        <v/>
      </c>
      <c r="F9662" s="49" t="str">
        <f>IFERROR(VLOOKUP(E9662,'Condensed Specialty Crosswalk'!$A$2:$C$106,2,FALSE),"")</f>
        <v/>
      </c>
      <c r="G9662" s="49" t="str">
        <f>IFERROR(VLOOKUP(E9662,'Condensed Specialty Crosswalk'!$A$2:$C$106,3,FALSE),"")</f>
        <v/>
      </c>
    </row>
    <row r="9663" spans="5:7" ht="15" customHeight="1">
      <c r="E9663" s="49" t="str">
        <f>IFERROR(VLOOKUP(D9663,'taxonomy map'!$A$1:$C$107,2,FALSE),"")</f>
        <v/>
      </c>
      <c r="F9663" s="49" t="str">
        <f>IFERROR(VLOOKUP(E9663,'Condensed Specialty Crosswalk'!$A$2:$C$106,2,FALSE),"")</f>
        <v/>
      </c>
      <c r="G9663" s="49" t="str">
        <f>IFERROR(VLOOKUP(E9663,'Condensed Specialty Crosswalk'!$A$2:$C$106,3,FALSE),"")</f>
        <v/>
      </c>
    </row>
    <row r="9664" spans="5:7" ht="15" customHeight="1">
      <c r="E9664" s="49" t="str">
        <f>IFERROR(VLOOKUP(D9664,'taxonomy map'!$A$1:$C$107,2,FALSE),"")</f>
        <v/>
      </c>
      <c r="F9664" s="49" t="str">
        <f>IFERROR(VLOOKUP(E9664,'Condensed Specialty Crosswalk'!$A$2:$C$106,2,FALSE),"")</f>
        <v/>
      </c>
      <c r="G9664" s="49" t="str">
        <f>IFERROR(VLOOKUP(E9664,'Condensed Specialty Crosswalk'!$A$2:$C$106,3,FALSE),"")</f>
        <v/>
      </c>
    </row>
    <row r="9665" spans="5:7" ht="15" customHeight="1">
      <c r="E9665" s="49" t="str">
        <f>IFERROR(VLOOKUP(D9665,'taxonomy map'!$A$1:$C$107,2,FALSE),"")</f>
        <v/>
      </c>
      <c r="F9665" s="49" t="str">
        <f>IFERROR(VLOOKUP(E9665,'Condensed Specialty Crosswalk'!$A$2:$C$106,2,FALSE),"")</f>
        <v/>
      </c>
      <c r="G9665" s="49" t="str">
        <f>IFERROR(VLOOKUP(E9665,'Condensed Specialty Crosswalk'!$A$2:$C$106,3,FALSE),"")</f>
        <v/>
      </c>
    </row>
    <row r="9666" spans="5:7" ht="15" customHeight="1">
      <c r="E9666" s="49" t="str">
        <f>IFERROR(VLOOKUP(D9666,'taxonomy map'!$A$1:$C$107,2,FALSE),"")</f>
        <v/>
      </c>
      <c r="F9666" s="49" t="str">
        <f>IFERROR(VLOOKUP(E9666,'Condensed Specialty Crosswalk'!$A$2:$C$106,2,FALSE),"")</f>
        <v/>
      </c>
      <c r="G9666" s="49" t="str">
        <f>IFERROR(VLOOKUP(E9666,'Condensed Specialty Crosswalk'!$A$2:$C$106,3,FALSE),"")</f>
        <v/>
      </c>
    </row>
    <row r="9667" spans="5:7" ht="15" customHeight="1">
      <c r="E9667" s="49" t="str">
        <f>IFERROR(VLOOKUP(D9667,'taxonomy map'!$A$1:$C$107,2,FALSE),"")</f>
        <v/>
      </c>
      <c r="F9667" s="49" t="str">
        <f>IFERROR(VLOOKUP(E9667,'Condensed Specialty Crosswalk'!$A$2:$C$106,2,FALSE),"")</f>
        <v/>
      </c>
      <c r="G9667" s="49" t="str">
        <f>IFERROR(VLOOKUP(E9667,'Condensed Specialty Crosswalk'!$A$2:$C$106,3,FALSE),"")</f>
        <v/>
      </c>
    </row>
    <row r="9668" spans="5:7" ht="15" customHeight="1">
      <c r="E9668" s="49" t="str">
        <f>IFERROR(VLOOKUP(D9668,'taxonomy map'!$A$1:$C$107,2,FALSE),"")</f>
        <v/>
      </c>
      <c r="F9668" s="49" t="str">
        <f>IFERROR(VLOOKUP(E9668,'Condensed Specialty Crosswalk'!$A$2:$C$106,2,FALSE),"")</f>
        <v/>
      </c>
      <c r="G9668" s="49" t="str">
        <f>IFERROR(VLOOKUP(E9668,'Condensed Specialty Crosswalk'!$A$2:$C$106,3,FALSE),"")</f>
        <v/>
      </c>
    </row>
    <row r="9669" spans="5:7" ht="15" customHeight="1">
      <c r="E9669" s="49" t="str">
        <f>IFERROR(VLOOKUP(D9669,'taxonomy map'!$A$1:$C$107,2,FALSE),"")</f>
        <v/>
      </c>
      <c r="F9669" s="49" t="str">
        <f>IFERROR(VLOOKUP(E9669,'Condensed Specialty Crosswalk'!$A$2:$C$106,2,FALSE),"")</f>
        <v/>
      </c>
      <c r="G9669" s="49" t="str">
        <f>IFERROR(VLOOKUP(E9669,'Condensed Specialty Crosswalk'!$A$2:$C$106,3,FALSE),"")</f>
        <v/>
      </c>
    </row>
    <row r="9670" spans="5:7" ht="15" customHeight="1">
      <c r="E9670" s="49" t="str">
        <f>IFERROR(VLOOKUP(D9670,'taxonomy map'!$A$1:$C$107,2,FALSE),"")</f>
        <v/>
      </c>
      <c r="F9670" s="49" t="str">
        <f>IFERROR(VLOOKUP(E9670,'Condensed Specialty Crosswalk'!$A$2:$C$106,2,FALSE),"")</f>
        <v/>
      </c>
      <c r="G9670" s="49" t="str">
        <f>IFERROR(VLOOKUP(E9670,'Condensed Specialty Crosswalk'!$A$2:$C$106,3,FALSE),"")</f>
        <v/>
      </c>
    </row>
    <row r="9671" spans="5:7" ht="15" customHeight="1">
      <c r="E9671" s="49" t="str">
        <f>IFERROR(VLOOKUP(D9671,'taxonomy map'!$A$1:$C$107,2,FALSE),"")</f>
        <v/>
      </c>
      <c r="F9671" s="49" t="str">
        <f>IFERROR(VLOOKUP(E9671,'Condensed Specialty Crosswalk'!$A$2:$C$106,2,FALSE),"")</f>
        <v/>
      </c>
      <c r="G9671" s="49" t="str">
        <f>IFERROR(VLOOKUP(E9671,'Condensed Specialty Crosswalk'!$A$2:$C$106,3,FALSE),"")</f>
        <v/>
      </c>
    </row>
    <row r="9672" spans="5:7" ht="15" customHeight="1">
      <c r="E9672" s="49" t="str">
        <f>IFERROR(VLOOKUP(D9672,'taxonomy map'!$A$1:$C$107,2,FALSE),"")</f>
        <v/>
      </c>
      <c r="F9672" s="49" t="str">
        <f>IFERROR(VLOOKUP(E9672,'Condensed Specialty Crosswalk'!$A$2:$C$106,2,FALSE),"")</f>
        <v/>
      </c>
      <c r="G9672" s="49" t="str">
        <f>IFERROR(VLOOKUP(E9672,'Condensed Specialty Crosswalk'!$A$2:$C$106,3,FALSE),"")</f>
        <v/>
      </c>
    </row>
    <row r="9673" spans="5:7" ht="15" customHeight="1">
      <c r="E9673" s="49" t="str">
        <f>IFERROR(VLOOKUP(D9673,'taxonomy map'!$A$1:$C$107,2,FALSE),"")</f>
        <v/>
      </c>
      <c r="F9673" s="49" t="str">
        <f>IFERROR(VLOOKUP(E9673,'Condensed Specialty Crosswalk'!$A$2:$C$106,2,FALSE),"")</f>
        <v/>
      </c>
      <c r="G9673" s="49" t="str">
        <f>IFERROR(VLOOKUP(E9673,'Condensed Specialty Crosswalk'!$A$2:$C$106,3,FALSE),"")</f>
        <v/>
      </c>
    </row>
    <row r="9674" spans="5:7" ht="15" customHeight="1">
      <c r="E9674" s="49" t="str">
        <f>IFERROR(VLOOKUP(D9674,'taxonomy map'!$A$1:$C$107,2,FALSE),"")</f>
        <v/>
      </c>
      <c r="F9674" s="49" t="str">
        <f>IFERROR(VLOOKUP(E9674,'Condensed Specialty Crosswalk'!$A$2:$C$106,2,FALSE),"")</f>
        <v/>
      </c>
      <c r="G9674" s="49" t="str">
        <f>IFERROR(VLOOKUP(E9674,'Condensed Specialty Crosswalk'!$A$2:$C$106,3,FALSE),"")</f>
        <v/>
      </c>
    </row>
    <row r="9675" spans="5:7" ht="15" customHeight="1">
      <c r="E9675" s="49" t="str">
        <f>IFERROR(VLOOKUP(D9675,'taxonomy map'!$A$1:$C$107,2,FALSE),"")</f>
        <v/>
      </c>
      <c r="F9675" s="49" t="str">
        <f>IFERROR(VLOOKUP(E9675,'Condensed Specialty Crosswalk'!$A$2:$C$106,2,FALSE),"")</f>
        <v/>
      </c>
      <c r="G9675" s="49" t="str">
        <f>IFERROR(VLOOKUP(E9675,'Condensed Specialty Crosswalk'!$A$2:$C$106,3,FALSE),"")</f>
        <v/>
      </c>
    </row>
    <row r="9676" spans="5:7" ht="15" customHeight="1">
      <c r="E9676" s="49" t="str">
        <f>IFERROR(VLOOKUP(D9676,'taxonomy map'!$A$1:$C$107,2,FALSE),"")</f>
        <v/>
      </c>
      <c r="F9676" s="49" t="str">
        <f>IFERROR(VLOOKUP(E9676,'Condensed Specialty Crosswalk'!$A$2:$C$106,2,FALSE),"")</f>
        <v/>
      </c>
      <c r="G9676" s="49" t="str">
        <f>IFERROR(VLOOKUP(E9676,'Condensed Specialty Crosswalk'!$A$2:$C$106,3,FALSE),"")</f>
        <v/>
      </c>
    </row>
    <row r="9677" spans="5:7" ht="15" customHeight="1">
      <c r="E9677" s="49" t="str">
        <f>IFERROR(VLOOKUP(D9677,'taxonomy map'!$A$1:$C$107,2,FALSE),"")</f>
        <v/>
      </c>
      <c r="F9677" s="49" t="str">
        <f>IFERROR(VLOOKUP(E9677,'Condensed Specialty Crosswalk'!$A$2:$C$106,2,FALSE),"")</f>
        <v/>
      </c>
      <c r="G9677" s="49" t="str">
        <f>IFERROR(VLOOKUP(E9677,'Condensed Specialty Crosswalk'!$A$2:$C$106,3,FALSE),"")</f>
        <v/>
      </c>
    </row>
    <row r="9678" spans="5:7" ht="15" customHeight="1">
      <c r="E9678" s="49" t="str">
        <f>IFERROR(VLOOKUP(D9678,'taxonomy map'!$A$1:$C$107,2,FALSE),"")</f>
        <v/>
      </c>
      <c r="F9678" s="49" t="str">
        <f>IFERROR(VLOOKUP(E9678,'Condensed Specialty Crosswalk'!$A$2:$C$106,2,FALSE),"")</f>
        <v/>
      </c>
      <c r="G9678" s="49" t="str">
        <f>IFERROR(VLOOKUP(E9678,'Condensed Specialty Crosswalk'!$A$2:$C$106,3,FALSE),"")</f>
        <v/>
      </c>
    </row>
    <row r="9679" spans="5:7" ht="15" customHeight="1">
      <c r="E9679" s="49" t="str">
        <f>IFERROR(VLOOKUP(D9679,'taxonomy map'!$A$1:$C$107,2,FALSE),"")</f>
        <v/>
      </c>
      <c r="F9679" s="49" t="str">
        <f>IFERROR(VLOOKUP(E9679,'Condensed Specialty Crosswalk'!$A$2:$C$106,2,FALSE),"")</f>
        <v/>
      </c>
      <c r="G9679" s="49" t="str">
        <f>IFERROR(VLOOKUP(E9679,'Condensed Specialty Crosswalk'!$A$2:$C$106,3,FALSE),"")</f>
        <v/>
      </c>
    </row>
    <row r="9680" spans="5:7" ht="15" customHeight="1">
      <c r="E9680" s="49" t="str">
        <f>IFERROR(VLOOKUP(D9680,'taxonomy map'!$A$1:$C$107,2,FALSE),"")</f>
        <v/>
      </c>
      <c r="F9680" s="49" t="str">
        <f>IFERROR(VLOOKUP(E9680,'Condensed Specialty Crosswalk'!$A$2:$C$106,2,FALSE),"")</f>
        <v/>
      </c>
      <c r="G9680" s="49" t="str">
        <f>IFERROR(VLOOKUP(E9680,'Condensed Specialty Crosswalk'!$A$2:$C$106,3,FALSE),"")</f>
        <v/>
      </c>
    </row>
    <row r="9681" spans="5:7" ht="15" customHeight="1">
      <c r="E9681" s="49" t="str">
        <f>IFERROR(VLOOKUP(D9681,'taxonomy map'!$A$1:$C$107,2,FALSE),"")</f>
        <v/>
      </c>
      <c r="F9681" s="49" t="str">
        <f>IFERROR(VLOOKUP(E9681,'Condensed Specialty Crosswalk'!$A$2:$C$106,2,FALSE),"")</f>
        <v/>
      </c>
      <c r="G9681" s="49" t="str">
        <f>IFERROR(VLOOKUP(E9681,'Condensed Specialty Crosswalk'!$A$2:$C$106,3,FALSE),"")</f>
        <v/>
      </c>
    </row>
    <row r="9682" spans="5:7" ht="15" customHeight="1">
      <c r="E9682" s="49" t="str">
        <f>IFERROR(VLOOKUP(D9682,'taxonomy map'!$A$1:$C$107,2,FALSE),"")</f>
        <v/>
      </c>
      <c r="F9682" s="49" t="str">
        <f>IFERROR(VLOOKUP(E9682,'Condensed Specialty Crosswalk'!$A$2:$C$106,2,FALSE),"")</f>
        <v/>
      </c>
      <c r="G9682" s="49" t="str">
        <f>IFERROR(VLOOKUP(E9682,'Condensed Specialty Crosswalk'!$A$2:$C$106,3,FALSE),"")</f>
        <v/>
      </c>
    </row>
    <row r="9683" spans="5:7" ht="15" customHeight="1">
      <c r="E9683" s="49" t="str">
        <f>IFERROR(VLOOKUP(D9683,'taxonomy map'!$A$1:$C$107,2,FALSE),"")</f>
        <v/>
      </c>
      <c r="F9683" s="49" t="str">
        <f>IFERROR(VLOOKUP(E9683,'Condensed Specialty Crosswalk'!$A$2:$C$106,2,FALSE),"")</f>
        <v/>
      </c>
      <c r="G9683" s="49" t="str">
        <f>IFERROR(VLOOKUP(E9683,'Condensed Specialty Crosswalk'!$A$2:$C$106,3,FALSE),"")</f>
        <v/>
      </c>
    </row>
    <row r="9684" spans="5:7" ht="15" customHeight="1">
      <c r="E9684" s="49" t="str">
        <f>IFERROR(VLOOKUP(D9684,'taxonomy map'!$A$1:$C$107,2,FALSE),"")</f>
        <v/>
      </c>
      <c r="F9684" s="49" t="str">
        <f>IFERROR(VLOOKUP(E9684,'Condensed Specialty Crosswalk'!$A$2:$C$106,2,FALSE),"")</f>
        <v/>
      </c>
      <c r="G9684" s="49" t="str">
        <f>IFERROR(VLOOKUP(E9684,'Condensed Specialty Crosswalk'!$A$2:$C$106,3,FALSE),"")</f>
        <v/>
      </c>
    </row>
    <row r="9685" spans="5:7" ht="15" customHeight="1">
      <c r="E9685" s="49" t="str">
        <f>IFERROR(VLOOKUP(D9685,'taxonomy map'!$A$1:$C$107,2,FALSE),"")</f>
        <v/>
      </c>
      <c r="F9685" s="49" t="str">
        <f>IFERROR(VLOOKUP(E9685,'Condensed Specialty Crosswalk'!$A$2:$C$106,2,FALSE),"")</f>
        <v/>
      </c>
      <c r="G9685" s="49" t="str">
        <f>IFERROR(VLOOKUP(E9685,'Condensed Specialty Crosswalk'!$A$2:$C$106,3,FALSE),"")</f>
        <v/>
      </c>
    </row>
    <row r="9686" spans="5:7" ht="15" customHeight="1">
      <c r="E9686" s="49" t="str">
        <f>IFERROR(VLOOKUP(D9686,'taxonomy map'!$A$1:$C$107,2,FALSE),"")</f>
        <v/>
      </c>
      <c r="F9686" s="49" t="str">
        <f>IFERROR(VLOOKUP(E9686,'Condensed Specialty Crosswalk'!$A$2:$C$106,2,FALSE),"")</f>
        <v/>
      </c>
      <c r="G9686" s="49" t="str">
        <f>IFERROR(VLOOKUP(E9686,'Condensed Specialty Crosswalk'!$A$2:$C$106,3,FALSE),"")</f>
        <v/>
      </c>
    </row>
    <row r="9687" spans="5:7" ht="15" customHeight="1">
      <c r="E9687" s="49" t="str">
        <f>IFERROR(VLOOKUP(D9687,'taxonomy map'!$A$1:$C$107,2,FALSE),"")</f>
        <v/>
      </c>
      <c r="F9687" s="49" t="str">
        <f>IFERROR(VLOOKUP(E9687,'Condensed Specialty Crosswalk'!$A$2:$C$106,2,FALSE),"")</f>
        <v/>
      </c>
      <c r="G9687" s="49" t="str">
        <f>IFERROR(VLOOKUP(E9687,'Condensed Specialty Crosswalk'!$A$2:$C$106,3,FALSE),"")</f>
        <v/>
      </c>
    </row>
    <row r="9688" spans="5:7" ht="15" customHeight="1">
      <c r="E9688" s="49" t="str">
        <f>IFERROR(VLOOKUP(D9688,'taxonomy map'!$A$1:$C$107,2,FALSE),"")</f>
        <v/>
      </c>
      <c r="F9688" s="49" t="str">
        <f>IFERROR(VLOOKUP(E9688,'Condensed Specialty Crosswalk'!$A$2:$C$106,2,FALSE),"")</f>
        <v/>
      </c>
      <c r="G9688" s="49" t="str">
        <f>IFERROR(VLOOKUP(E9688,'Condensed Specialty Crosswalk'!$A$2:$C$106,3,FALSE),"")</f>
        <v/>
      </c>
    </row>
    <row r="9689" spans="5:7" ht="15" customHeight="1">
      <c r="E9689" s="49" t="str">
        <f>IFERROR(VLOOKUP(D9689,'taxonomy map'!$A$1:$C$107,2,FALSE),"")</f>
        <v/>
      </c>
      <c r="F9689" s="49" t="str">
        <f>IFERROR(VLOOKUP(E9689,'Condensed Specialty Crosswalk'!$A$2:$C$106,2,FALSE),"")</f>
        <v/>
      </c>
      <c r="G9689" s="49" t="str">
        <f>IFERROR(VLOOKUP(E9689,'Condensed Specialty Crosswalk'!$A$2:$C$106,3,FALSE),"")</f>
        <v/>
      </c>
    </row>
    <row r="9690" spans="5:7" ht="15" customHeight="1">
      <c r="E9690" s="49" t="str">
        <f>IFERROR(VLOOKUP(D9690,'taxonomy map'!$A$1:$C$107,2,FALSE),"")</f>
        <v/>
      </c>
      <c r="F9690" s="49" t="str">
        <f>IFERROR(VLOOKUP(E9690,'Condensed Specialty Crosswalk'!$A$2:$C$106,2,FALSE),"")</f>
        <v/>
      </c>
      <c r="G9690" s="49" t="str">
        <f>IFERROR(VLOOKUP(E9690,'Condensed Specialty Crosswalk'!$A$2:$C$106,3,FALSE),"")</f>
        <v/>
      </c>
    </row>
    <row r="9691" spans="5:7" ht="15" customHeight="1">
      <c r="E9691" s="49" t="str">
        <f>IFERROR(VLOOKUP(D9691,'taxonomy map'!$A$1:$C$107,2,FALSE),"")</f>
        <v/>
      </c>
      <c r="F9691" s="49" t="str">
        <f>IFERROR(VLOOKUP(E9691,'Condensed Specialty Crosswalk'!$A$2:$C$106,2,FALSE),"")</f>
        <v/>
      </c>
      <c r="G9691" s="49" t="str">
        <f>IFERROR(VLOOKUP(E9691,'Condensed Specialty Crosswalk'!$A$2:$C$106,3,FALSE),"")</f>
        <v/>
      </c>
    </row>
    <row r="9692" spans="5:7" ht="15" customHeight="1">
      <c r="E9692" s="49" t="str">
        <f>IFERROR(VLOOKUP(D9692,'taxonomy map'!$A$1:$C$107,2,FALSE),"")</f>
        <v/>
      </c>
      <c r="F9692" s="49" t="str">
        <f>IFERROR(VLOOKUP(E9692,'Condensed Specialty Crosswalk'!$A$2:$C$106,2,FALSE),"")</f>
        <v/>
      </c>
      <c r="G9692" s="49" t="str">
        <f>IFERROR(VLOOKUP(E9692,'Condensed Specialty Crosswalk'!$A$2:$C$106,3,FALSE),"")</f>
        <v/>
      </c>
    </row>
    <row r="9693" spans="5:7" ht="15" customHeight="1">
      <c r="E9693" s="49" t="str">
        <f>IFERROR(VLOOKUP(D9693,'taxonomy map'!$A$1:$C$107,2,FALSE),"")</f>
        <v/>
      </c>
      <c r="F9693" s="49" t="str">
        <f>IFERROR(VLOOKUP(E9693,'Condensed Specialty Crosswalk'!$A$2:$C$106,2,FALSE),"")</f>
        <v/>
      </c>
      <c r="G9693" s="49" t="str">
        <f>IFERROR(VLOOKUP(E9693,'Condensed Specialty Crosswalk'!$A$2:$C$106,3,FALSE),"")</f>
        <v/>
      </c>
    </row>
    <row r="9694" spans="5:7" ht="15" customHeight="1">
      <c r="E9694" s="49" t="str">
        <f>IFERROR(VLOOKUP(D9694,'taxonomy map'!$A$1:$C$107,2,FALSE),"")</f>
        <v/>
      </c>
      <c r="F9694" s="49" t="str">
        <f>IFERROR(VLOOKUP(E9694,'Condensed Specialty Crosswalk'!$A$2:$C$106,2,FALSE),"")</f>
        <v/>
      </c>
      <c r="G9694" s="49" t="str">
        <f>IFERROR(VLOOKUP(E9694,'Condensed Specialty Crosswalk'!$A$2:$C$106,3,FALSE),"")</f>
        <v/>
      </c>
    </row>
    <row r="9695" spans="5:7" ht="15" customHeight="1">
      <c r="E9695" s="49" t="str">
        <f>IFERROR(VLOOKUP(D9695,'taxonomy map'!$A$1:$C$107,2,FALSE),"")</f>
        <v/>
      </c>
      <c r="F9695" s="49" t="str">
        <f>IFERROR(VLOOKUP(E9695,'Condensed Specialty Crosswalk'!$A$2:$C$106,2,FALSE),"")</f>
        <v/>
      </c>
      <c r="G9695" s="49" t="str">
        <f>IFERROR(VLOOKUP(E9695,'Condensed Specialty Crosswalk'!$A$2:$C$106,3,FALSE),"")</f>
        <v/>
      </c>
    </row>
    <row r="9696" spans="5:7" ht="15" customHeight="1">
      <c r="E9696" s="49" t="str">
        <f>IFERROR(VLOOKUP(D9696,'taxonomy map'!$A$1:$C$107,2,FALSE),"")</f>
        <v/>
      </c>
      <c r="F9696" s="49" t="str">
        <f>IFERROR(VLOOKUP(E9696,'Condensed Specialty Crosswalk'!$A$2:$C$106,2,FALSE),"")</f>
        <v/>
      </c>
      <c r="G9696" s="49" t="str">
        <f>IFERROR(VLOOKUP(E9696,'Condensed Specialty Crosswalk'!$A$2:$C$106,3,FALSE),"")</f>
        <v/>
      </c>
    </row>
    <row r="9697" spans="5:7" ht="15" customHeight="1">
      <c r="E9697" s="49" t="str">
        <f>IFERROR(VLOOKUP(D9697,'taxonomy map'!$A$1:$C$107,2,FALSE),"")</f>
        <v/>
      </c>
      <c r="F9697" s="49" t="str">
        <f>IFERROR(VLOOKUP(E9697,'Condensed Specialty Crosswalk'!$A$2:$C$106,2,FALSE),"")</f>
        <v/>
      </c>
      <c r="G9697" s="49" t="str">
        <f>IFERROR(VLOOKUP(E9697,'Condensed Specialty Crosswalk'!$A$2:$C$106,3,FALSE),"")</f>
        <v/>
      </c>
    </row>
    <row r="9698" spans="5:7" ht="15" customHeight="1">
      <c r="E9698" s="49" t="str">
        <f>IFERROR(VLOOKUP(D9698,'taxonomy map'!$A$1:$C$107,2,FALSE),"")</f>
        <v/>
      </c>
      <c r="F9698" s="49" t="str">
        <f>IFERROR(VLOOKUP(E9698,'Condensed Specialty Crosswalk'!$A$2:$C$106,2,FALSE),"")</f>
        <v/>
      </c>
      <c r="G9698" s="49" t="str">
        <f>IFERROR(VLOOKUP(E9698,'Condensed Specialty Crosswalk'!$A$2:$C$106,3,FALSE),"")</f>
        <v/>
      </c>
    </row>
    <row r="9699" spans="5:7" ht="15" customHeight="1">
      <c r="E9699" s="49" t="str">
        <f>IFERROR(VLOOKUP(D9699,'taxonomy map'!$A$1:$C$107,2,FALSE),"")</f>
        <v/>
      </c>
      <c r="F9699" s="49" t="str">
        <f>IFERROR(VLOOKUP(E9699,'Condensed Specialty Crosswalk'!$A$2:$C$106,2,FALSE),"")</f>
        <v/>
      </c>
      <c r="G9699" s="49" t="str">
        <f>IFERROR(VLOOKUP(E9699,'Condensed Specialty Crosswalk'!$A$2:$C$106,3,FALSE),"")</f>
        <v/>
      </c>
    </row>
    <row r="9700" spans="5:7" ht="15" customHeight="1">
      <c r="E9700" s="49" t="str">
        <f>IFERROR(VLOOKUP(D9700,'taxonomy map'!$A$1:$C$107,2,FALSE),"")</f>
        <v/>
      </c>
      <c r="F9700" s="49" t="str">
        <f>IFERROR(VLOOKUP(E9700,'Condensed Specialty Crosswalk'!$A$2:$C$106,2,FALSE),"")</f>
        <v/>
      </c>
      <c r="G9700" s="49" t="str">
        <f>IFERROR(VLOOKUP(E9700,'Condensed Specialty Crosswalk'!$A$2:$C$106,3,FALSE),"")</f>
        <v/>
      </c>
    </row>
    <row r="9701" spans="5:7" ht="15" customHeight="1">
      <c r="E9701" s="49" t="str">
        <f>IFERROR(VLOOKUP(D9701,'taxonomy map'!$A$1:$C$107,2,FALSE),"")</f>
        <v/>
      </c>
      <c r="F9701" s="49" t="str">
        <f>IFERROR(VLOOKUP(E9701,'Condensed Specialty Crosswalk'!$A$2:$C$106,2,FALSE),"")</f>
        <v/>
      </c>
      <c r="G9701" s="49" t="str">
        <f>IFERROR(VLOOKUP(E9701,'Condensed Specialty Crosswalk'!$A$2:$C$106,3,FALSE),"")</f>
        <v/>
      </c>
    </row>
    <row r="9702" spans="5:7" ht="15" customHeight="1">
      <c r="E9702" s="49" t="str">
        <f>IFERROR(VLOOKUP(D9702,'taxonomy map'!$A$1:$C$107,2,FALSE),"")</f>
        <v/>
      </c>
      <c r="F9702" s="49" t="str">
        <f>IFERROR(VLOOKUP(E9702,'Condensed Specialty Crosswalk'!$A$2:$C$106,2,FALSE),"")</f>
        <v/>
      </c>
      <c r="G9702" s="49" t="str">
        <f>IFERROR(VLOOKUP(E9702,'Condensed Specialty Crosswalk'!$A$2:$C$106,3,FALSE),"")</f>
        <v/>
      </c>
    </row>
    <row r="9703" spans="5:7" ht="15" customHeight="1">
      <c r="E9703" s="49" t="str">
        <f>IFERROR(VLOOKUP(D9703,'taxonomy map'!$A$1:$C$107,2,FALSE),"")</f>
        <v/>
      </c>
      <c r="F9703" s="49" t="str">
        <f>IFERROR(VLOOKUP(E9703,'Condensed Specialty Crosswalk'!$A$2:$C$106,2,FALSE),"")</f>
        <v/>
      </c>
      <c r="G9703" s="49" t="str">
        <f>IFERROR(VLOOKUP(E9703,'Condensed Specialty Crosswalk'!$A$2:$C$106,3,FALSE),"")</f>
        <v/>
      </c>
    </row>
    <row r="9704" spans="5:7" ht="15" customHeight="1">
      <c r="E9704" s="49" t="str">
        <f>IFERROR(VLOOKUP(D9704,'taxonomy map'!$A$1:$C$107,2,FALSE),"")</f>
        <v/>
      </c>
      <c r="F9704" s="49" t="str">
        <f>IFERROR(VLOOKUP(E9704,'Condensed Specialty Crosswalk'!$A$2:$C$106,2,FALSE),"")</f>
        <v/>
      </c>
      <c r="G9704" s="49" t="str">
        <f>IFERROR(VLOOKUP(E9704,'Condensed Specialty Crosswalk'!$A$2:$C$106,3,FALSE),"")</f>
        <v/>
      </c>
    </row>
    <row r="9705" spans="5:7" ht="15" customHeight="1">
      <c r="E9705" s="49" t="str">
        <f>IFERROR(VLOOKUP(D9705,'taxonomy map'!$A$1:$C$107,2,FALSE),"")</f>
        <v/>
      </c>
      <c r="F9705" s="49" t="str">
        <f>IFERROR(VLOOKUP(E9705,'Condensed Specialty Crosswalk'!$A$2:$C$106,2,FALSE),"")</f>
        <v/>
      </c>
      <c r="G9705" s="49" t="str">
        <f>IFERROR(VLOOKUP(E9705,'Condensed Specialty Crosswalk'!$A$2:$C$106,3,FALSE),"")</f>
        <v/>
      </c>
    </row>
    <row r="9706" spans="5:7" ht="15" customHeight="1">
      <c r="E9706" s="49" t="str">
        <f>IFERROR(VLOOKUP(D9706,'taxonomy map'!$A$1:$C$107,2,FALSE),"")</f>
        <v/>
      </c>
      <c r="F9706" s="49" t="str">
        <f>IFERROR(VLOOKUP(E9706,'Condensed Specialty Crosswalk'!$A$2:$C$106,2,FALSE),"")</f>
        <v/>
      </c>
      <c r="G9706" s="49" t="str">
        <f>IFERROR(VLOOKUP(E9706,'Condensed Specialty Crosswalk'!$A$2:$C$106,3,FALSE),"")</f>
        <v/>
      </c>
    </row>
    <row r="9707" spans="5:7" ht="15" customHeight="1">
      <c r="E9707" s="49" t="str">
        <f>IFERROR(VLOOKUP(D9707,'taxonomy map'!$A$1:$C$107,2,FALSE),"")</f>
        <v/>
      </c>
      <c r="F9707" s="49" t="str">
        <f>IFERROR(VLOOKUP(E9707,'Condensed Specialty Crosswalk'!$A$2:$C$106,2,FALSE),"")</f>
        <v/>
      </c>
      <c r="G9707" s="49" t="str">
        <f>IFERROR(VLOOKUP(E9707,'Condensed Specialty Crosswalk'!$A$2:$C$106,3,FALSE),"")</f>
        <v/>
      </c>
    </row>
    <row r="9708" spans="5:7" ht="15" customHeight="1">
      <c r="E9708" s="49" t="str">
        <f>IFERROR(VLOOKUP(D9708,'taxonomy map'!$A$1:$C$107,2,FALSE),"")</f>
        <v/>
      </c>
      <c r="F9708" s="49" t="str">
        <f>IFERROR(VLOOKUP(E9708,'Condensed Specialty Crosswalk'!$A$2:$C$106,2,FALSE),"")</f>
        <v/>
      </c>
      <c r="G9708" s="49" t="str">
        <f>IFERROR(VLOOKUP(E9708,'Condensed Specialty Crosswalk'!$A$2:$C$106,3,FALSE),"")</f>
        <v/>
      </c>
    </row>
    <row r="9709" spans="5:7" ht="15" customHeight="1">
      <c r="E9709" s="49" t="str">
        <f>IFERROR(VLOOKUP(D9709,'taxonomy map'!$A$1:$C$107,2,FALSE),"")</f>
        <v/>
      </c>
      <c r="F9709" s="49" t="str">
        <f>IFERROR(VLOOKUP(E9709,'Condensed Specialty Crosswalk'!$A$2:$C$106,2,FALSE),"")</f>
        <v/>
      </c>
      <c r="G9709" s="49" t="str">
        <f>IFERROR(VLOOKUP(E9709,'Condensed Specialty Crosswalk'!$A$2:$C$106,3,FALSE),"")</f>
        <v/>
      </c>
    </row>
    <row r="9710" spans="5:7" ht="15" customHeight="1">
      <c r="E9710" s="49" t="str">
        <f>IFERROR(VLOOKUP(D9710,'taxonomy map'!$A$1:$C$107,2,FALSE),"")</f>
        <v/>
      </c>
      <c r="F9710" s="49" t="str">
        <f>IFERROR(VLOOKUP(E9710,'Condensed Specialty Crosswalk'!$A$2:$C$106,2,FALSE),"")</f>
        <v/>
      </c>
      <c r="G9710" s="49" t="str">
        <f>IFERROR(VLOOKUP(E9710,'Condensed Specialty Crosswalk'!$A$2:$C$106,3,FALSE),"")</f>
        <v/>
      </c>
    </row>
    <row r="9711" spans="5:7" ht="15" customHeight="1">
      <c r="E9711" s="49" t="str">
        <f>IFERROR(VLOOKUP(D9711,'taxonomy map'!$A$1:$C$107,2,FALSE),"")</f>
        <v/>
      </c>
      <c r="F9711" s="49" t="str">
        <f>IFERROR(VLOOKUP(E9711,'Condensed Specialty Crosswalk'!$A$2:$C$106,2,FALSE),"")</f>
        <v/>
      </c>
      <c r="G9711" s="49" t="str">
        <f>IFERROR(VLOOKUP(E9711,'Condensed Specialty Crosswalk'!$A$2:$C$106,3,FALSE),"")</f>
        <v/>
      </c>
    </row>
    <row r="9712" spans="5:7" ht="15" customHeight="1">
      <c r="E9712" s="49" t="str">
        <f>IFERROR(VLOOKUP(D9712,'taxonomy map'!$A$1:$C$107,2,FALSE),"")</f>
        <v/>
      </c>
      <c r="F9712" s="49" t="str">
        <f>IFERROR(VLOOKUP(E9712,'Condensed Specialty Crosswalk'!$A$2:$C$106,2,FALSE),"")</f>
        <v/>
      </c>
      <c r="G9712" s="49" t="str">
        <f>IFERROR(VLOOKUP(E9712,'Condensed Specialty Crosswalk'!$A$2:$C$106,3,FALSE),"")</f>
        <v/>
      </c>
    </row>
    <row r="9713" spans="5:7" ht="15" customHeight="1">
      <c r="E9713" s="49" t="str">
        <f>IFERROR(VLOOKUP(D9713,'taxonomy map'!$A$1:$C$107,2,FALSE),"")</f>
        <v/>
      </c>
      <c r="F9713" s="49" t="str">
        <f>IFERROR(VLOOKUP(E9713,'Condensed Specialty Crosswalk'!$A$2:$C$106,2,FALSE),"")</f>
        <v/>
      </c>
      <c r="G9713" s="49" t="str">
        <f>IFERROR(VLOOKUP(E9713,'Condensed Specialty Crosswalk'!$A$2:$C$106,3,FALSE),"")</f>
        <v/>
      </c>
    </row>
    <row r="9714" spans="5:7" ht="15" customHeight="1">
      <c r="E9714" s="49" t="str">
        <f>IFERROR(VLOOKUP(D9714,'taxonomy map'!$A$1:$C$107,2,FALSE),"")</f>
        <v/>
      </c>
      <c r="F9714" s="49" t="str">
        <f>IFERROR(VLOOKUP(E9714,'Condensed Specialty Crosswalk'!$A$2:$C$106,2,FALSE),"")</f>
        <v/>
      </c>
      <c r="G9714" s="49" t="str">
        <f>IFERROR(VLOOKUP(E9714,'Condensed Specialty Crosswalk'!$A$2:$C$106,3,FALSE),"")</f>
        <v/>
      </c>
    </row>
    <row r="9715" spans="5:7" ht="15" customHeight="1">
      <c r="E9715" s="49" t="str">
        <f>IFERROR(VLOOKUP(D9715,'taxonomy map'!$A$1:$C$107,2,FALSE),"")</f>
        <v/>
      </c>
      <c r="F9715" s="49" t="str">
        <f>IFERROR(VLOOKUP(E9715,'Condensed Specialty Crosswalk'!$A$2:$C$106,2,FALSE),"")</f>
        <v/>
      </c>
      <c r="G9715" s="49" t="str">
        <f>IFERROR(VLOOKUP(E9715,'Condensed Specialty Crosswalk'!$A$2:$C$106,3,FALSE),"")</f>
        <v/>
      </c>
    </row>
    <row r="9716" spans="5:7" ht="15" customHeight="1">
      <c r="E9716" s="49" t="str">
        <f>IFERROR(VLOOKUP(D9716,'taxonomy map'!$A$1:$C$107,2,FALSE),"")</f>
        <v/>
      </c>
      <c r="F9716" s="49" t="str">
        <f>IFERROR(VLOOKUP(E9716,'Condensed Specialty Crosswalk'!$A$2:$C$106,2,FALSE),"")</f>
        <v/>
      </c>
      <c r="G9716" s="49" t="str">
        <f>IFERROR(VLOOKUP(E9716,'Condensed Specialty Crosswalk'!$A$2:$C$106,3,FALSE),"")</f>
        <v/>
      </c>
    </row>
    <row r="9717" spans="5:7" ht="15" customHeight="1">
      <c r="E9717" s="49" t="str">
        <f>IFERROR(VLOOKUP(D9717,'taxonomy map'!$A$1:$C$107,2,FALSE),"")</f>
        <v/>
      </c>
      <c r="F9717" s="49" t="str">
        <f>IFERROR(VLOOKUP(E9717,'Condensed Specialty Crosswalk'!$A$2:$C$106,2,FALSE),"")</f>
        <v/>
      </c>
      <c r="G9717" s="49" t="str">
        <f>IFERROR(VLOOKUP(E9717,'Condensed Specialty Crosswalk'!$A$2:$C$106,3,FALSE),"")</f>
        <v/>
      </c>
    </row>
    <row r="9718" spans="5:7" ht="15" customHeight="1">
      <c r="E9718" s="49" t="str">
        <f>IFERROR(VLOOKUP(D9718,'taxonomy map'!$A$1:$C$107,2,FALSE),"")</f>
        <v/>
      </c>
      <c r="F9718" s="49" t="str">
        <f>IFERROR(VLOOKUP(E9718,'Condensed Specialty Crosswalk'!$A$2:$C$106,2,FALSE),"")</f>
        <v/>
      </c>
      <c r="G9718" s="49" t="str">
        <f>IFERROR(VLOOKUP(E9718,'Condensed Specialty Crosswalk'!$A$2:$C$106,3,FALSE),"")</f>
        <v/>
      </c>
    </row>
    <row r="9719" spans="5:7" ht="15" customHeight="1">
      <c r="E9719" s="49" t="str">
        <f>IFERROR(VLOOKUP(D9719,'taxonomy map'!$A$1:$C$107,2,FALSE),"")</f>
        <v/>
      </c>
      <c r="F9719" s="49" t="str">
        <f>IFERROR(VLOOKUP(E9719,'Condensed Specialty Crosswalk'!$A$2:$C$106,2,FALSE),"")</f>
        <v/>
      </c>
      <c r="G9719" s="49" t="str">
        <f>IFERROR(VLOOKUP(E9719,'Condensed Specialty Crosswalk'!$A$2:$C$106,3,FALSE),"")</f>
        <v/>
      </c>
    </row>
    <row r="9720" spans="5:7" ht="15" customHeight="1">
      <c r="E9720" s="49" t="str">
        <f>IFERROR(VLOOKUP(D9720,'taxonomy map'!$A$1:$C$107,2,FALSE),"")</f>
        <v/>
      </c>
      <c r="F9720" s="49" t="str">
        <f>IFERROR(VLOOKUP(E9720,'Condensed Specialty Crosswalk'!$A$2:$C$106,2,FALSE),"")</f>
        <v/>
      </c>
      <c r="G9720" s="49" t="str">
        <f>IFERROR(VLOOKUP(E9720,'Condensed Specialty Crosswalk'!$A$2:$C$106,3,FALSE),"")</f>
        <v/>
      </c>
    </row>
    <row r="9721" spans="5:7" ht="15" customHeight="1">
      <c r="E9721" s="49" t="str">
        <f>IFERROR(VLOOKUP(D9721,'taxonomy map'!$A$1:$C$107,2,FALSE),"")</f>
        <v/>
      </c>
      <c r="F9721" s="49" t="str">
        <f>IFERROR(VLOOKUP(E9721,'Condensed Specialty Crosswalk'!$A$2:$C$106,2,FALSE),"")</f>
        <v/>
      </c>
      <c r="G9721" s="49" t="str">
        <f>IFERROR(VLOOKUP(E9721,'Condensed Specialty Crosswalk'!$A$2:$C$106,3,FALSE),"")</f>
        <v/>
      </c>
    </row>
    <row r="9722" spans="5:7" ht="15" customHeight="1">
      <c r="E9722" s="49" t="str">
        <f>IFERROR(VLOOKUP(D9722,'taxonomy map'!$A$1:$C$107,2,FALSE),"")</f>
        <v/>
      </c>
      <c r="F9722" s="49" t="str">
        <f>IFERROR(VLOOKUP(E9722,'Condensed Specialty Crosswalk'!$A$2:$C$106,2,FALSE),"")</f>
        <v/>
      </c>
      <c r="G9722" s="49" t="str">
        <f>IFERROR(VLOOKUP(E9722,'Condensed Specialty Crosswalk'!$A$2:$C$106,3,FALSE),"")</f>
        <v/>
      </c>
    </row>
    <row r="9723" spans="5:7" ht="15" customHeight="1">
      <c r="E9723" s="49" t="str">
        <f>IFERROR(VLOOKUP(D9723,'taxonomy map'!$A$1:$C$107,2,FALSE),"")</f>
        <v/>
      </c>
      <c r="F9723" s="49" t="str">
        <f>IFERROR(VLOOKUP(E9723,'Condensed Specialty Crosswalk'!$A$2:$C$106,2,FALSE),"")</f>
        <v/>
      </c>
      <c r="G9723" s="49" t="str">
        <f>IFERROR(VLOOKUP(E9723,'Condensed Specialty Crosswalk'!$A$2:$C$106,3,FALSE),"")</f>
        <v/>
      </c>
    </row>
    <row r="9724" spans="5:7" ht="15" customHeight="1">
      <c r="E9724" s="49" t="str">
        <f>IFERROR(VLOOKUP(D9724,'taxonomy map'!$A$1:$C$107,2,FALSE),"")</f>
        <v/>
      </c>
      <c r="F9724" s="49" t="str">
        <f>IFERROR(VLOOKUP(E9724,'Condensed Specialty Crosswalk'!$A$2:$C$106,2,FALSE),"")</f>
        <v/>
      </c>
      <c r="G9724" s="49" t="str">
        <f>IFERROR(VLOOKUP(E9724,'Condensed Specialty Crosswalk'!$A$2:$C$106,3,FALSE),"")</f>
        <v/>
      </c>
    </row>
    <row r="9725" spans="5:7" ht="15" customHeight="1">
      <c r="E9725" s="49" t="str">
        <f>IFERROR(VLOOKUP(D9725,'taxonomy map'!$A$1:$C$107,2,FALSE),"")</f>
        <v/>
      </c>
      <c r="F9725" s="49" t="str">
        <f>IFERROR(VLOOKUP(E9725,'Condensed Specialty Crosswalk'!$A$2:$C$106,2,FALSE),"")</f>
        <v/>
      </c>
      <c r="G9725" s="49" t="str">
        <f>IFERROR(VLOOKUP(E9725,'Condensed Specialty Crosswalk'!$A$2:$C$106,3,FALSE),"")</f>
        <v/>
      </c>
    </row>
    <row r="9726" spans="5:7" ht="15" customHeight="1">
      <c r="E9726" s="49" t="str">
        <f>IFERROR(VLOOKUP(D9726,'taxonomy map'!$A$1:$C$107,2,FALSE),"")</f>
        <v/>
      </c>
      <c r="F9726" s="49" t="str">
        <f>IFERROR(VLOOKUP(E9726,'Condensed Specialty Crosswalk'!$A$2:$C$106,2,FALSE),"")</f>
        <v/>
      </c>
      <c r="G9726" s="49" t="str">
        <f>IFERROR(VLOOKUP(E9726,'Condensed Specialty Crosswalk'!$A$2:$C$106,3,FALSE),"")</f>
        <v/>
      </c>
    </row>
    <row r="9727" spans="5:7" ht="15" customHeight="1">
      <c r="E9727" s="49" t="str">
        <f>IFERROR(VLOOKUP(D9727,'taxonomy map'!$A$1:$C$107,2,FALSE),"")</f>
        <v/>
      </c>
      <c r="F9727" s="49" t="str">
        <f>IFERROR(VLOOKUP(E9727,'Condensed Specialty Crosswalk'!$A$2:$C$106,2,FALSE),"")</f>
        <v/>
      </c>
      <c r="G9727" s="49" t="str">
        <f>IFERROR(VLOOKUP(E9727,'Condensed Specialty Crosswalk'!$A$2:$C$106,3,FALSE),"")</f>
        <v/>
      </c>
    </row>
    <row r="9728" spans="5:7" ht="15" customHeight="1">
      <c r="E9728" s="49" t="str">
        <f>IFERROR(VLOOKUP(D9728,'taxonomy map'!$A$1:$C$107,2,FALSE),"")</f>
        <v/>
      </c>
      <c r="F9728" s="49" t="str">
        <f>IFERROR(VLOOKUP(E9728,'Condensed Specialty Crosswalk'!$A$2:$C$106,2,FALSE),"")</f>
        <v/>
      </c>
      <c r="G9728" s="49" t="str">
        <f>IFERROR(VLOOKUP(E9728,'Condensed Specialty Crosswalk'!$A$2:$C$106,3,FALSE),"")</f>
        <v/>
      </c>
    </row>
    <row r="9729" spans="5:7" ht="15" customHeight="1">
      <c r="E9729" s="49" t="str">
        <f>IFERROR(VLOOKUP(D9729,'taxonomy map'!$A$1:$C$107,2,FALSE),"")</f>
        <v/>
      </c>
      <c r="F9729" s="49" t="str">
        <f>IFERROR(VLOOKUP(E9729,'Condensed Specialty Crosswalk'!$A$2:$C$106,2,FALSE),"")</f>
        <v/>
      </c>
      <c r="G9729" s="49" t="str">
        <f>IFERROR(VLOOKUP(E9729,'Condensed Specialty Crosswalk'!$A$2:$C$106,3,FALSE),"")</f>
        <v/>
      </c>
    </row>
    <row r="9730" spans="5:7" ht="15" customHeight="1">
      <c r="E9730" s="49" t="str">
        <f>IFERROR(VLOOKUP(D9730,'taxonomy map'!$A$1:$C$107,2,FALSE),"")</f>
        <v/>
      </c>
      <c r="F9730" s="49" t="str">
        <f>IFERROR(VLOOKUP(E9730,'Condensed Specialty Crosswalk'!$A$2:$C$106,2,FALSE),"")</f>
        <v/>
      </c>
      <c r="G9730" s="49" t="str">
        <f>IFERROR(VLOOKUP(E9730,'Condensed Specialty Crosswalk'!$A$2:$C$106,3,FALSE),"")</f>
        <v/>
      </c>
    </row>
    <row r="9731" spans="5:7" ht="15" customHeight="1">
      <c r="E9731" s="49" t="str">
        <f>IFERROR(VLOOKUP(D9731,'taxonomy map'!$A$1:$C$107,2,FALSE),"")</f>
        <v/>
      </c>
      <c r="F9731" s="49" t="str">
        <f>IFERROR(VLOOKUP(E9731,'Condensed Specialty Crosswalk'!$A$2:$C$106,2,FALSE),"")</f>
        <v/>
      </c>
      <c r="G9731" s="49" t="str">
        <f>IFERROR(VLOOKUP(E9731,'Condensed Specialty Crosswalk'!$A$2:$C$106,3,FALSE),"")</f>
        <v/>
      </c>
    </row>
    <row r="9732" spans="5:7" ht="15" customHeight="1">
      <c r="E9732" s="49" t="str">
        <f>IFERROR(VLOOKUP(D9732,'taxonomy map'!$A$1:$C$107,2,FALSE),"")</f>
        <v/>
      </c>
      <c r="F9732" s="49" t="str">
        <f>IFERROR(VLOOKUP(E9732,'Condensed Specialty Crosswalk'!$A$2:$C$106,2,FALSE),"")</f>
        <v/>
      </c>
      <c r="G9732" s="49" t="str">
        <f>IFERROR(VLOOKUP(E9732,'Condensed Specialty Crosswalk'!$A$2:$C$106,3,FALSE),"")</f>
        <v/>
      </c>
    </row>
    <row r="9733" spans="5:7" ht="15" customHeight="1">
      <c r="E9733" s="49" t="str">
        <f>IFERROR(VLOOKUP(D9733,'taxonomy map'!$A$1:$C$107,2,FALSE),"")</f>
        <v/>
      </c>
      <c r="F9733" s="49" t="str">
        <f>IFERROR(VLOOKUP(E9733,'Condensed Specialty Crosswalk'!$A$2:$C$106,2,FALSE),"")</f>
        <v/>
      </c>
      <c r="G9733" s="49" t="str">
        <f>IFERROR(VLOOKUP(E9733,'Condensed Specialty Crosswalk'!$A$2:$C$106,3,FALSE),"")</f>
        <v/>
      </c>
    </row>
    <row r="9734" spans="5:7" ht="15" customHeight="1">
      <c r="E9734" s="49" t="str">
        <f>IFERROR(VLOOKUP(D9734,'taxonomy map'!$A$1:$C$107,2,FALSE),"")</f>
        <v/>
      </c>
      <c r="F9734" s="49" t="str">
        <f>IFERROR(VLOOKUP(E9734,'Condensed Specialty Crosswalk'!$A$2:$C$106,2,FALSE),"")</f>
        <v/>
      </c>
      <c r="G9734" s="49" t="str">
        <f>IFERROR(VLOOKUP(E9734,'Condensed Specialty Crosswalk'!$A$2:$C$106,3,FALSE),"")</f>
        <v/>
      </c>
    </row>
    <row r="9735" spans="5:7" ht="15" customHeight="1">
      <c r="E9735" s="49" t="str">
        <f>IFERROR(VLOOKUP(D9735,'taxonomy map'!$A$1:$C$107,2,FALSE),"")</f>
        <v/>
      </c>
      <c r="F9735" s="49" t="str">
        <f>IFERROR(VLOOKUP(E9735,'Condensed Specialty Crosswalk'!$A$2:$C$106,2,FALSE),"")</f>
        <v/>
      </c>
      <c r="G9735" s="49" t="str">
        <f>IFERROR(VLOOKUP(E9735,'Condensed Specialty Crosswalk'!$A$2:$C$106,3,FALSE),"")</f>
        <v/>
      </c>
    </row>
    <row r="9736" spans="5:7" ht="15" customHeight="1">
      <c r="E9736" s="49" t="str">
        <f>IFERROR(VLOOKUP(D9736,'taxonomy map'!$A$1:$C$107,2,FALSE),"")</f>
        <v/>
      </c>
      <c r="F9736" s="49" t="str">
        <f>IFERROR(VLOOKUP(E9736,'Condensed Specialty Crosswalk'!$A$2:$C$106,2,FALSE),"")</f>
        <v/>
      </c>
      <c r="G9736" s="49" t="str">
        <f>IFERROR(VLOOKUP(E9736,'Condensed Specialty Crosswalk'!$A$2:$C$106,3,FALSE),"")</f>
        <v/>
      </c>
    </row>
    <row r="9737" spans="5:7" ht="15" customHeight="1">
      <c r="E9737" s="49" t="str">
        <f>IFERROR(VLOOKUP(D9737,'taxonomy map'!$A$1:$C$107,2,FALSE),"")</f>
        <v/>
      </c>
      <c r="F9737" s="49" t="str">
        <f>IFERROR(VLOOKUP(E9737,'Condensed Specialty Crosswalk'!$A$2:$C$106,2,FALSE),"")</f>
        <v/>
      </c>
      <c r="G9737" s="49" t="str">
        <f>IFERROR(VLOOKUP(E9737,'Condensed Specialty Crosswalk'!$A$2:$C$106,3,FALSE),"")</f>
        <v/>
      </c>
    </row>
    <row r="9738" spans="5:7" ht="15" customHeight="1">
      <c r="E9738" s="49" t="str">
        <f>IFERROR(VLOOKUP(D9738,'taxonomy map'!$A$1:$C$107,2,FALSE),"")</f>
        <v/>
      </c>
      <c r="F9738" s="49" t="str">
        <f>IFERROR(VLOOKUP(E9738,'Condensed Specialty Crosswalk'!$A$2:$C$106,2,FALSE),"")</f>
        <v/>
      </c>
      <c r="G9738" s="49" t="str">
        <f>IFERROR(VLOOKUP(E9738,'Condensed Specialty Crosswalk'!$A$2:$C$106,3,FALSE),"")</f>
        <v/>
      </c>
    </row>
    <row r="9739" spans="5:7" ht="15" customHeight="1">
      <c r="E9739" s="49" t="str">
        <f>IFERROR(VLOOKUP(D9739,'taxonomy map'!$A$1:$C$107,2,FALSE),"")</f>
        <v/>
      </c>
      <c r="F9739" s="49" t="str">
        <f>IFERROR(VLOOKUP(E9739,'Condensed Specialty Crosswalk'!$A$2:$C$106,2,FALSE),"")</f>
        <v/>
      </c>
      <c r="G9739" s="49" t="str">
        <f>IFERROR(VLOOKUP(E9739,'Condensed Specialty Crosswalk'!$A$2:$C$106,3,FALSE),"")</f>
        <v/>
      </c>
    </row>
    <row r="9740" spans="5:7" ht="15" customHeight="1">
      <c r="E9740" s="49" t="str">
        <f>IFERROR(VLOOKUP(D9740,'taxonomy map'!$A$1:$C$107,2,FALSE),"")</f>
        <v/>
      </c>
      <c r="F9740" s="49" t="str">
        <f>IFERROR(VLOOKUP(E9740,'Condensed Specialty Crosswalk'!$A$2:$C$106,2,FALSE),"")</f>
        <v/>
      </c>
      <c r="G9740" s="49" t="str">
        <f>IFERROR(VLOOKUP(E9740,'Condensed Specialty Crosswalk'!$A$2:$C$106,3,FALSE),"")</f>
        <v/>
      </c>
    </row>
    <row r="9741" spans="5:7" ht="15" customHeight="1">
      <c r="E9741" s="49" t="str">
        <f>IFERROR(VLOOKUP(D9741,'taxonomy map'!$A$1:$C$107,2,FALSE),"")</f>
        <v/>
      </c>
      <c r="F9741" s="49" t="str">
        <f>IFERROR(VLOOKUP(E9741,'Condensed Specialty Crosswalk'!$A$2:$C$106,2,FALSE),"")</f>
        <v/>
      </c>
      <c r="G9741" s="49" t="str">
        <f>IFERROR(VLOOKUP(E9741,'Condensed Specialty Crosswalk'!$A$2:$C$106,3,FALSE),"")</f>
        <v/>
      </c>
    </row>
    <row r="9742" spans="5:7" ht="15" customHeight="1">
      <c r="E9742" s="49" t="str">
        <f>IFERROR(VLOOKUP(D9742,'taxonomy map'!$A$1:$C$107,2,FALSE),"")</f>
        <v/>
      </c>
      <c r="F9742" s="49" t="str">
        <f>IFERROR(VLOOKUP(E9742,'Condensed Specialty Crosswalk'!$A$2:$C$106,2,FALSE),"")</f>
        <v/>
      </c>
      <c r="G9742" s="49" t="str">
        <f>IFERROR(VLOOKUP(E9742,'Condensed Specialty Crosswalk'!$A$2:$C$106,3,FALSE),"")</f>
        <v/>
      </c>
    </row>
    <row r="9743" spans="5:7" ht="15" customHeight="1">
      <c r="E9743" s="49" t="str">
        <f>IFERROR(VLOOKUP(D9743,'taxonomy map'!$A$1:$C$107,2,FALSE),"")</f>
        <v/>
      </c>
      <c r="F9743" s="49" t="str">
        <f>IFERROR(VLOOKUP(E9743,'Condensed Specialty Crosswalk'!$A$2:$C$106,2,FALSE),"")</f>
        <v/>
      </c>
      <c r="G9743" s="49" t="str">
        <f>IFERROR(VLOOKUP(E9743,'Condensed Specialty Crosswalk'!$A$2:$C$106,3,FALSE),"")</f>
        <v/>
      </c>
    </row>
    <row r="9744" spans="5:7" ht="15" customHeight="1">
      <c r="E9744" s="49" t="str">
        <f>IFERROR(VLOOKUP(D9744,'taxonomy map'!$A$1:$C$107,2,FALSE),"")</f>
        <v/>
      </c>
      <c r="F9744" s="49" t="str">
        <f>IFERROR(VLOOKUP(E9744,'Condensed Specialty Crosswalk'!$A$2:$C$106,2,FALSE),"")</f>
        <v/>
      </c>
      <c r="G9744" s="49" t="str">
        <f>IFERROR(VLOOKUP(E9744,'Condensed Specialty Crosswalk'!$A$2:$C$106,3,FALSE),"")</f>
        <v/>
      </c>
    </row>
    <row r="9745" spans="5:7" ht="15" customHeight="1">
      <c r="E9745" s="49" t="str">
        <f>IFERROR(VLOOKUP(D9745,'taxonomy map'!$A$1:$C$107,2,FALSE),"")</f>
        <v/>
      </c>
      <c r="F9745" s="49" t="str">
        <f>IFERROR(VLOOKUP(E9745,'Condensed Specialty Crosswalk'!$A$2:$C$106,2,FALSE),"")</f>
        <v/>
      </c>
      <c r="G9745" s="49" t="str">
        <f>IFERROR(VLOOKUP(E9745,'Condensed Specialty Crosswalk'!$A$2:$C$106,3,FALSE),"")</f>
        <v/>
      </c>
    </row>
    <row r="9746" spans="5:7" ht="15" customHeight="1">
      <c r="E9746" s="49" t="str">
        <f>IFERROR(VLOOKUP(D9746,'taxonomy map'!$A$1:$C$107,2,FALSE),"")</f>
        <v/>
      </c>
      <c r="F9746" s="49" t="str">
        <f>IFERROR(VLOOKUP(E9746,'Condensed Specialty Crosswalk'!$A$2:$C$106,2,FALSE),"")</f>
        <v/>
      </c>
      <c r="G9746" s="49" t="str">
        <f>IFERROR(VLOOKUP(E9746,'Condensed Specialty Crosswalk'!$A$2:$C$106,3,FALSE),"")</f>
        <v/>
      </c>
    </row>
    <row r="9747" spans="5:7" ht="15" customHeight="1">
      <c r="E9747" s="49" t="str">
        <f>IFERROR(VLOOKUP(D9747,'taxonomy map'!$A$1:$C$107,2,FALSE),"")</f>
        <v/>
      </c>
      <c r="F9747" s="49" t="str">
        <f>IFERROR(VLOOKUP(E9747,'Condensed Specialty Crosswalk'!$A$2:$C$106,2,FALSE),"")</f>
        <v/>
      </c>
      <c r="G9747" s="49" t="str">
        <f>IFERROR(VLOOKUP(E9747,'Condensed Specialty Crosswalk'!$A$2:$C$106,3,FALSE),"")</f>
        <v/>
      </c>
    </row>
    <row r="9748" spans="5:7" ht="15" customHeight="1">
      <c r="E9748" s="49" t="str">
        <f>IFERROR(VLOOKUP(D9748,'taxonomy map'!$A$1:$C$107,2,FALSE),"")</f>
        <v/>
      </c>
      <c r="F9748" s="49" t="str">
        <f>IFERROR(VLOOKUP(E9748,'Condensed Specialty Crosswalk'!$A$2:$C$106,2,FALSE),"")</f>
        <v/>
      </c>
      <c r="G9748" s="49" t="str">
        <f>IFERROR(VLOOKUP(E9748,'Condensed Specialty Crosswalk'!$A$2:$C$106,3,FALSE),"")</f>
        <v/>
      </c>
    </row>
    <row r="9749" spans="5:7" ht="15" customHeight="1">
      <c r="E9749" s="49" t="str">
        <f>IFERROR(VLOOKUP(D9749,'taxonomy map'!$A$1:$C$107,2,FALSE),"")</f>
        <v/>
      </c>
      <c r="F9749" s="49" t="str">
        <f>IFERROR(VLOOKUP(E9749,'Condensed Specialty Crosswalk'!$A$2:$C$106,2,FALSE),"")</f>
        <v/>
      </c>
      <c r="G9749" s="49" t="str">
        <f>IFERROR(VLOOKUP(E9749,'Condensed Specialty Crosswalk'!$A$2:$C$106,3,FALSE),"")</f>
        <v/>
      </c>
    </row>
    <row r="9750" spans="5:7" ht="15" customHeight="1">
      <c r="E9750" s="49" t="str">
        <f>IFERROR(VLOOKUP(D9750,'taxonomy map'!$A$1:$C$107,2,FALSE),"")</f>
        <v/>
      </c>
      <c r="F9750" s="49" t="str">
        <f>IFERROR(VLOOKUP(E9750,'Condensed Specialty Crosswalk'!$A$2:$C$106,2,FALSE),"")</f>
        <v/>
      </c>
      <c r="G9750" s="49" t="str">
        <f>IFERROR(VLOOKUP(E9750,'Condensed Specialty Crosswalk'!$A$2:$C$106,3,FALSE),"")</f>
        <v/>
      </c>
    </row>
    <row r="9751" spans="5:7" ht="15" customHeight="1">
      <c r="E9751" s="49" t="str">
        <f>IFERROR(VLOOKUP(D9751,'taxonomy map'!$A$1:$C$107,2,FALSE),"")</f>
        <v/>
      </c>
      <c r="F9751" s="49" t="str">
        <f>IFERROR(VLOOKUP(E9751,'Condensed Specialty Crosswalk'!$A$2:$C$106,2,FALSE),"")</f>
        <v/>
      </c>
      <c r="G9751" s="49" t="str">
        <f>IFERROR(VLOOKUP(E9751,'Condensed Specialty Crosswalk'!$A$2:$C$106,3,FALSE),"")</f>
        <v/>
      </c>
    </row>
    <row r="9752" spans="5:7" ht="15" customHeight="1">
      <c r="E9752" s="49" t="str">
        <f>IFERROR(VLOOKUP(D9752,'taxonomy map'!$A$1:$C$107,2,FALSE),"")</f>
        <v/>
      </c>
      <c r="F9752" s="49" t="str">
        <f>IFERROR(VLOOKUP(E9752,'Condensed Specialty Crosswalk'!$A$2:$C$106,2,FALSE),"")</f>
        <v/>
      </c>
      <c r="G9752" s="49" t="str">
        <f>IFERROR(VLOOKUP(E9752,'Condensed Specialty Crosswalk'!$A$2:$C$106,3,FALSE),"")</f>
        <v/>
      </c>
    </row>
    <row r="9753" spans="5:7" ht="15" customHeight="1">
      <c r="E9753" s="49" t="str">
        <f>IFERROR(VLOOKUP(D9753,'taxonomy map'!$A$1:$C$107,2,FALSE),"")</f>
        <v/>
      </c>
      <c r="F9753" s="49" t="str">
        <f>IFERROR(VLOOKUP(E9753,'Condensed Specialty Crosswalk'!$A$2:$C$106,2,FALSE),"")</f>
        <v/>
      </c>
      <c r="G9753" s="49" t="str">
        <f>IFERROR(VLOOKUP(E9753,'Condensed Specialty Crosswalk'!$A$2:$C$106,3,FALSE),"")</f>
        <v/>
      </c>
    </row>
    <row r="9754" spans="5:7" ht="15" customHeight="1">
      <c r="E9754" s="49" t="str">
        <f>IFERROR(VLOOKUP(D9754,'taxonomy map'!$A$1:$C$107,2,FALSE),"")</f>
        <v/>
      </c>
      <c r="F9754" s="49" t="str">
        <f>IFERROR(VLOOKUP(E9754,'Condensed Specialty Crosswalk'!$A$2:$C$106,2,FALSE),"")</f>
        <v/>
      </c>
      <c r="G9754" s="49" t="str">
        <f>IFERROR(VLOOKUP(E9754,'Condensed Specialty Crosswalk'!$A$2:$C$106,3,FALSE),"")</f>
        <v/>
      </c>
    </row>
    <row r="9755" spans="5:7" ht="15" customHeight="1">
      <c r="E9755" s="49" t="str">
        <f>IFERROR(VLOOKUP(D9755,'taxonomy map'!$A$1:$C$107,2,FALSE),"")</f>
        <v/>
      </c>
      <c r="F9755" s="49" t="str">
        <f>IFERROR(VLOOKUP(E9755,'Condensed Specialty Crosswalk'!$A$2:$C$106,2,FALSE),"")</f>
        <v/>
      </c>
      <c r="G9755" s="49" t="str">
        <f>IFERROR(VLOOKUP(E9755,'Condensed Specialty Crosswalk'!$A$2:$C$106,3,FALSE),"")</f>
        <v/>
      </c>
    </row>
    <row r="9756" spans="5:7" ht="15" customHeight="1">
      <c r="E9756" s="49" t="str">
        <f>IFERROR(VLOOKUP(D9756,'taxonomy map'!$A$1:$C$107,2,FALSE),"")</f>
        <v/>
      </c>
      <c r="F9756" s="49" t="str">
        <f>IFERROR(VLOOKUP(E9756,'Condensed Specialty Crosswalk'!$A$2:$C$106,2,FALSE),"")</f>
        <v/>
      </c>
      <c r="G9756" s="49" t="str">
        <f>IFERROR(VLOOKUP(E9756,'Condensed Specialty Crosswalk'!$A$2:$C$106,3,FALSE),"")</f>
        <v/>
      </c>
    </row>
    <row r="9757" spans="5:7" ht="15" customHeight="1">
      <c r="E9757" s="49" t="str">
        <f>IFERROR(VLOOKUP(D9757,'taxonomy map'!$A$1:$C$107,2,FALSE),"")</f>
        <v/>
      </c>
      <c r="F9757" s="49" t="str">
        <f>IFERROR(VLOOKUP(E9757,'Condensed Specialty Crosswalk'!$A$2:$C$106,2,FALSE),"")</f>
        <v/>
      </c>
      <c r="G9757" s="49" t="str">
        <f>IFERROR(VLOOKUP(E9757,'Condensed Specialty Crosswalk'!$A$2:$C$106,3,FALSE),"")</f>
        <v/>
      </c>
    </row>
    <row r="9758" spans="5:7" ht="15" customHeight="1">
      <c r="E9758" s="49" t="str">
        <f>IFERROR(VLOOKUP(D9758,'taxonomy map'!$A$1:$C$107,2,FALSE),"")</f>
        <v/>
      </c>
      <c r="F9758" s="49" t="str">
        <f>IFERROR(VLOOKUP(E9758,'Condensed Specialty Crosswalk'!$A$2:$C$106,2,FALSE),"")</f>
        <v/>
      </c>
      <c r="G9758" s="49" t="str">
        <f>IFERROR(VLOOKUP(E9758,'Condensed Specialty Crosswalk'!$A$2:$C$106,3,FALSE),"")</f>
        <v/>
      </c>
    </row>
    <row r="9759" spans="5:7" ht="15" customHeight="1">
      <c r="E9759" s="49" t="str">
        <f>IFERROR(VLOOKUP(D9759,'taxonomy map'!$A$1:$C$107,2,FALSE),"")</f>
        <v/>
      </c>
      <c r="F9759" s="49" t="str">
        <f>IFERROR(VLOOKUP(E9759,'Condensed Specialty Crosswalk'!$A$2:$C$106,2,FALSE),"")</f>
        <v/>
      </c>
      <c r="G9759" s="49" t="str">
        <f>IFERROR(VLOOKUP(E9759,'Condensed Specialty Crosswalk'!$A$2:$C$106,3,FALSE),"")</f>
        <v/>
      </c>
    </row>
    <row r="9760" spans="5:7" ht="15" customHeight="1">
      <c r="E9760" s="49" t="str">
        <f>IFERROR(VLOOKUP(D9760,'taxonomy map'!$A$1:$C$107,2,FALSE),"")</f>
        <v/>
      </c>
      <c r="F9760" s="49" t="str">
        <f>IFERROR(VLOOKUP(E9760,'Condensed Specialty Crosswalk'!$A$2:$C$106,2,FALSE),"")</f>
        <v/>
      </c>
      <c r="G9760" s="49" t="str">
        <f>IFERROR(VLOOKUP(E9760,'Condensed Specialty Crosswalk'!$A$2:$C$106,3,FALSE),"")</f>
        <v/>
      </c>
    </row>
    <row r="9761" spans="5:7" ht="15" customHeight="1">
      <c r="E9761" s="49" t="str">
        <f>IFERROR(VLOOKUP(D9761,'taxonomy map'!$A$1:$C$107,2,FALSE),"")</f>
        <v/>
      </c>
      <c r="F9761" s="49" t="str">
        <f>IFERROR(VLOOKUP(E9761,'Condensed Specialty Crosswalk'!$A$2:$C$106,2,FALSE),"")</f>
        <v/>
      </c>
      <c r="G9761" s="49" t="str">
        <f>IFERROR(VLOOKUP(E9761,'Condensed Specialty Crosswalk'!$A$2:$C$106,3,FALSE),"")</f>
        <v/>
      </c>
    </row>
    <row r="9762" spans="5:7" ht="15" customHeight="1">
      <c r="E9762" s="49" t="str">
        <f>IFERROR(VLOOKUP(D9762,'taxonomy map'!$A$1:$C$107,2,FALSE),"")</f>
        <v/>
      </c>
      <c r="F9762" s="49" t="str">
        <f>IFERROR(VLOOKUP(E9762,'Condensed Specialty Crosswalk'!$A$2:$C$106,2,FALSE),"")</f>
        <v/>
      </c>
      <c r="G9762" s="49" t="str">
        <f>IFERROR(VLOOKUP(E9762,'Condensed Specialty Crosswalk'!$A$2:$C$106,3,FALSE),"")</f>
        <v/>
      </c>
    </row>
    <row r="9763" spans="5:7" ht="15" customHeight="1">
      <c r="E9763" s="49" t="str">
        <f>IFERROR(VLOOKUP(D9763,'taxonomy map'!$A$1:$C$107,2,FALSE),"")</f>
        <v/>
      </c>
      <c r="F9763" s="49" t="str">
        <f>IFERROR(VLOOKUP(E9763,'Condensed Specialty Crosswalk'!$A$2:$C$106,2,FALSE),"")</f>
        <v/>
      </c>
      <c r="G9763" s="49" t="str">
        <f>IFERROR(VLOOKUP(E9763,'Condensed Specialty Crosswalk'!$A$2:$C$106,3,FALSE),"")</f>
        <v/>
      </c>
    </row>
    <row r="9764" spans="5:7" ht="15" customHeight="1">
      <c r="E9764" s="49" t="str">
        <f>IFERROR(VLOOKUP(D9764,'taxonomy map'!$A$1:$C$107,2,FALSE),"")</f>
        <v/>
      </c>
      <c r="F9764" s="49" t="str">
        <f>IFERROR(VLOOKUP(E9764,'Condensed Specialty Crosswalk'!$A$2:$C$106,2,FALSE),"")</f>
        <v/>
      </c>
      <c r="G9764" s="49" t="str">
        <f>IFERROR(VLOOKUP(E9764,'Condensed Specialty Crosswalk'!$A$2:$C$106,3,FALSE),"")</f>
        <v/>
      </c>
    </row>
    <row r="9765" spans="5:7" ht="15" customHeight="1">
      <c r="E9765" s="49" t="str">
        <f>IFERROR(VLOOKUP(D9765,'taxonomy map'!$A$1:$C$107,2,FALSE),"")</f>
        <v/>
      </c>
      <c r="F9765" s="49" t="str">
        <f>IFERROR(VLOOKUP(E9765,'Condensed Specialty Crosswalk'!$A$2:$C$106,2,FALSE),"")</f>
        <v/>
      </c>
      <c r="G9765" s="49" t="str">
        <f>IFERROR(VLOOKUP(E9765,'Condensed Specialty Crosswalk'!$A$2:$C$106,3,FALSE),"")</f>
        <v/>
      </c>
    </row>
    <row r="9766" spans="5:7" ht="15" customHeight="1">
      <c r="E9766" s="49" t="str">
        <f>IFERROR(VLOOKUP(D9766,'taxonomy map'!$A$1:$C$107,2,FALSE),"")</f>
        <v/>
      </c>
      <c r="F9766" s="49" t="str">
        <f>IFERROR(VLOOKUP(E9766,'Condensed Specialty Crosswalk'!$A$2:$C$106,2,FALSE),"")</f>
        <v/>
      </c>
      <c r="G9766" s="49" t="str">
        <f>IFERROR(VLOOKUP(E9766,'Condensed Specialty Crosswalk'!$A$2:$C$106,3,FALSE),"")</f>
        <v/>
      </c>
    </row>
    <row r="9767" spans="5:7" ht="15" customHeight="1">
      <c r="E9767" s="49" t="str">
        <f>IFERROR(VLOOKUP(D9767,'taxonomy map'!$A$1:$C$107,2,FALSE),"")</f>
        <v/>
      </c>
      <c r="F9767" s="49" t="str">
        <f>IFERROR(VLOOKUP(E9767,'Condensed Specialty Crosswalk'!$A$2:$C$106,2,FALSE),"")</f>
        <v/>
      </c>
      <c r="G9767" s="49" t="str">
        <f>IFERROR(VLOOKUP(E9767,'Condensed Specialty Crosswalk'!$A$2:$C$106,3,FALSE),"")</f>
        <v/>
      </c>
    </row>
    <row r="9768" spans="5:7" ht="15" customHeight="1">
      <c r="E9768" s="49" t="str">
        <f>IFERROR(VLOOKUP(D9768,'taxonomy map'!$A$1:$C$107,2,FALSE),"")</f>
        <v/>
      </c>
      <c r="F9768" s="49" t="str">
        <f>IFERROR(VLOOKUP(E9768,'Condensed Specialty Crosswalk'!$A$2:$C$106,2,FALSE),"")</f>
        <v/>
      </c>
      <c r="G9768" s="49" t="str">
        <f>IFERROR(VLOOKUP(E9768,'Condensed Specialty Crosswalk'!$A$2:$C$106,3,FALSE),"")</f>
        <v/>
      </c>
    </row>
    <row r="9769" spans="5:7" ht="15" customHeight="1">
      <c r="E9769" s="49" t="str">
        <f>IFERROR(VLOOKUP(D9769,'taxonomy map'!$A$1:$C$107,2,FALSE),"")</f>
        <v/>
      </c>
      <c r="F9769" s="49" t="str">
        <f>IFERROR(VLOOKUP(E9769,'Condensed Specialty Crosswalk'!$A$2:$C$106,2,FALSE),"")</f>
        <v/>
      </c>
      <c r="G9769" s="49" t="str">
        <f>IFERROR(VLOOKUP(E9769,'Condensed Specialty Crosswalk'!$A$2:$C$106,3,FALSE),"")</f>
        <v/>
      </c>
    </row>
    <row r="9770" spans="5:7" ht="15" customHeight="1">
      <c r="E9770" s="49" t="str">
        <f>IFERROR(VLOOKUP(D9770,'taxonomy map'!$A$1:$C$107,2,FALSE),"")</f>
        <v/>
      </c>
      <c r="F9770" s="49" t="str">
        <f>IFERROR(VLOOKUP(E9770,'Condensed Specialty Crosswalk'!$A$2:$C$106,2,FALSE),"")</f>
        <v/>
      </c>
      <c r="G9770" s="49" t="str">
        <f>IFERROR(VLOOKUP(E9770,'Condensed Specialty Crosswalk'!$A$2:$C$106,3,FALSE),"")</f>
        <v/>
      </c>
    </row>
    <row r="9771" spans="5:7" ht="15" customHeight="1">
      <c r="E9771" s="49" t="str">
        <f>IFERROR(VLOOKUP(D9771,'taxonomy map'!$A$1:$C$107,2,FALSE),"")</f>
        <v/>
      </c>
      <c r="F9771" s="49" t="str">
        <f>IFERROR(VLOOKUP(E9771,'Condensed Specialty Crosswalk'!$A$2:$C$106,2,FALSE),"")</f>
        <v/>
      </c>
      <c r="G9771" s="49" t="str">
        <f>IFERROR(VLOOKUP(E9771,'Condensed Specialty Crosswalk'!$A$2:$C$106,3,FALSE),"")</f>
        <v/>
      </c>
    </row>
    <row r="9772" spans="5:7" ht="15" customHeight="1">
      <c r="E9772" s="49" t="str">
        <f>IFERROR(VLOOKUP(D9772,'taxonomy map'!$A$1:$C$107,2,FALSE),"")</f>
        <v/>
      </c>
      <c r="F9772" s="49" t="str">
        <f>IFERROR(VLOOKUP(E9772,'Condensed Specialty Crosswalk'!$A$2:$C$106,2,FALSE),"")</f>
        <v/>
      </c>
      <c r="G9772" s="49" t="str">
        <f>IFERROR(VLOOKUP(E9772,'Condensed Specialty Crosswalk'!$A$2:$C$106,3,FALSE),"")</f>
        <v/>
      </c>
    </row>
    <row r="9773" spans="5:7" ht="15" customHeight="1">
      <c r="E9773" s="49" t="str">
        <f>IFERROR(VLOOKUP(D9773,'taxonomy map'!$A$1:$C$107,2,FALSE),"")</f>
        <v/>
      </c>
      <c r="F9773" s="49" t="str">
        <f>IFERROR(VLOOKUP(E9773,'Condensed Specialty Crosswalk'!$A$2:$C$106,2,FALSE),"")</f>
        <v/>
      </c>
      <c r="G9773" s="49" t="str">
        <f>IFERROR(VLOOKUP(E9773,'Condensed Specialty Crosswalk'!$A$2:$C$106,3,FALSE),"")</f>
        <v/>
      </c>
    </row>
    <row r="9774" spans="5:7" ht="15" customHeight="1">
      <c r="E9774" s="49" t="str">
        <f>IFERROR(VLOOKUP(D9774,'taxonomy map'!$A$1:$C$107,2,FALSE),"")</f>
        <v/>
      </c>
      <c r="F9774" s="49" t="str">
        <f>IFERROR(VLOOKUP(E9774,'Condensed Specialty Crosswalk'!$A$2:$C$106,2,FALSE),"")</f>
        <v/>
      </c>
      <c r="G9774" s="49" t="str">
        <f>IFERROR(VLOOKUP(E9774,'Condensed Specialty Crosswalk'!$A$2:$C$106,3,FALSE),"")</f>
        <v/>
      </c>
    </row>
    <row r="9775" spans="5:7" ht="15" customHeight="1">
      <c r="E9775" s="49" t="str">
        <f>IFERROR(VLOOKUP(D9775,'taxonomy map'!$A$1:$C$107,2,FALSE),"")</f>
        <v/>
      </c>
      <c r="F9775" s="49" t="str">
        <f>IFERROR(VLOOKUP(E9775,'Condensed Specialty Crosswalk'!$A$2:$C$106,2,FALSE),"")</f>
        <v/>
      </c>
      <c r="G9775" s="49" t="str">
        <f>IFERROR(VLOOKUP(E9775,'Condensed Specialty Crosswalk'!$A$2:$C$106,3,FALSE),"")</f>
        <v/>
      </c>
    </row>
    <row r="9776" spans="5:7" ht="15" customHeight="1">
      <c r="E9776" s="49" t="str">
        <f>IFERROR(VLOOKUP(D9776,'taxonomy map'!$A$1:$C$107,2,FALSE),"")</f>
        <v/>
      </c>
      <c r="F9776" s="49" t="str">
        <f>IFERROR(VLOOKUP(E9776,'Condensed Specialty Crosswalk'!$A$2:$C$106,2,FALSE),"")</f>
        <v/>
      </c>
      <c r="G9776" s="49" t="str">
        <f>IFERROR(VLOOKUP(E9776,'Condensed Specialty Crosswalk'!$A$2:$C$106,3,FALSE),"")</f>
        <v/>
      </c>
    </row>
    <row r="9777" spans="5:7" ht="15" customHeight="1">
      <c r="E9777" s="49" t="str">
        <f>IFERROR(VLOOKUP(D9777,'taxonomy map'!$A$1:$C$107,2,FALSE),"")</f>
        <v/>
      </c>
      <c r="F9777" s="49" t="str">
        <f>IFERROR(VLOOKUP(E9777,'Condensed Specialty Crosswalk'!$A$2:$C$106,2,FALSE),"")</f>
        <v/>
      </c>
      <c r="G9777" s="49" t="str">
        <f>IFERROR(VLOOKUP(E9777,'Condensed Specialty Crosswalk'!$A$2:$C$106,3,FALSE),"")</f>
        <v/>
      </c>
    </row>
    <row r="9778" spans="5:7" ht="15" customHeight="1">
      <c r="E9778" s="49" t="str">
        <f>IFERROR(VLOOKUP(D9778,'taxonomy map'!$A$1:$C$107,2,FALSE),"")</f>
        <v/>
      </c>
      <c r="F9778" s="49" t="str">
        <f>IFERROR(VLOOKUP(E9778,'Condensed Specialty Crosswalk'!$A$2:$C$106,2,FALSE),"")</f>
        <v/>
      </c>
      <c r="G9778" s="49" t="str">
        <f>IFERROR(VLOOKUP(E9778,'Condensed Specialty Crosswalk'!$A$2:$C$106,3,FALSE),"")</f>
        <v/>
      </c>
    </row>
    <row r="9779" spans="5:7" ht="15" customHeight="1">
      <c r="E9779" s="49" t="str">
        <f>IFERROR(VLOOKUP(D9779,'taxonomy map'!$A$1:$C$107,2,FALSE),"")</f>
        <v/>
      </c>
      <c r="F9779" s="49" t="str">
        <f>IFERROR(VLOOKUP(E9779,'Condensed Specialty Crosswalk'!$A$2:$C$106,2,FALSE),"")</f>
        <v/>
      </c>
      <c r="G9779" s="49" t="str">
        <f>IFERROR(VLOOKUP(E9779,'Condensed Specialty Crosswalk'!$A$2:$C$106,3,FALSE),"")</f>
        <v/>
      </c>
    </row>
    <row r="9780" spans="5:7" ht="15" customHeight="1">
      <c r="E9780" s="49" t="str">
        <f>IFERROR(VLOOKUP(D9780,'taxonomy map'!$A$1:$C$107,2,FALSE),"")</f>
        <v/>
      </c>
      <c r="F9780" s="49" t="str">
        <f>IFERROR(VLOOKUP(E9780,'Condensed Specialty Crosswalk'!$A$2:$C$106,2,FALSE),"")</f>
        <v/>
      </c>
      <c r="G9780" s="49" t="str">
        <f>IFERROR(VLOOKUP(E9780,'Condensed Specialty Crosswalk'!$A$2:$C$106,3,FALSE),"")</f>
        <v/>
      </c>
    </row>
    <row r="9781" spans="5:7" ht="15" customHeight="1">
      <c r="E9781" s="49" t="str">
        <f>IFERROR(VLOOKUP(D9781,'taxonomy map'!$A$1:$C$107,2,FALSE),"")</f>
        <v/>
      </c>
      <c r="F9781" s="49" t="str">
        <f>IFERROR(VLOOKUP(E9781,'Condensed Specialty Crosswalk'!$A$2:$C$106,2,FALSE),"")</f>
        <v/>
      </c>
      <c r="G9781" s="49" t="str">
        <f>IFERROR(VLOOKUP(E9781,'Condensed Specialty Crosswalk'!$A$2:$C$106,3,FALSE),"")</f>
        <v/>
      </c>
    </row>
    <row r="9782" spans="5:7" ht="15" customHeight="1">
      <c r="E9782" s="49" t="str">
        <f>IFERROR(VLOOKUP(D9782,'taxonomy map'!$A$1:$C$107,2,FALSE),"")</f>
        <v/>
      </c>
      <c r="F9782" s="49" t="str">
        <f>IFERROR(VLOOKUP(E9782,'Condensed Specialty Crosswalk'!$A$2:$C$106,2,FALSE),"")</f>
        <v/>
      </c>
      <c r="G9782" s="49" t="str">
        <f>IFERROR(VLOOKUP(E9782,'Condensed Specialty Crosswalk'!$A$2:$C$106,3,FALSE),"")</f>
        <v/>
      </c>
    </row>
    <row r="9783" spans="5:7" ht="15" customHeight="1">
      <c r="E9783" s="49" t="str">
        <f>IFERROR(VLOOKUP(D9783,'taxonomy map'!$A$1:$C$107,2,FALSE),"")</f>
        <v/>
      </c>
      <c r="F9783" s="49" t="str">
        <f>IFERROR(VLOOKUP(E9783,'Condensed Specialty Crosswalk'!$A$2:$C$106,2,FALSE),"")</f>
        <v/>
      </c>
      <c r="G9783" s="49" t="str">
        <f>IFERROR(VLOOKUP(E9783,'Condensed Specialty Crosswalk'!$A$2:$C$106,3,FALSE),"")</f>
        <v/>
      </c>
    </row>
    <row r="9784" spans="5:7" ht="15" customHeight="1">
      <c r="E9784" s="49" t="str">
        <f>IFERROR(VLOOKUP(D9784,'taxonomy map'!$A$1:$C$107,2,FALSE),"")</f>
        <v/>
      </c>
      <c r="F9784" s="49" t="str">
        <f>IFERROR(VLOOKUP(E9784,'Condensed Specialty Crosswalk'!$A$2:$C$106,2,FALSE),"")</f>
        <v/>
      </c>
      <c r="G9784" s="49" t="str">
        <f>IFERROR(VLOOKUP(E9784,'Condensed Specialty Crosswalk'!$A$2:$C$106,3,FALSE),"")</f>
        <v/>
      </c>
    </row>
    <row r="9785" spans="5:7" ht="15" customHeight="1">
      <c r="E9785" s="49" t="str">
        <f>IFERROR(VLOOKUP(D9785,'taxonomy map'!$A$1:$C$107,2,FALSE),"")</f>
        <v/>
      </c>
      <c r="F9785" s="49" t="str">
        <f>IFERROR(VLOOKUP(E9785,'Condensed Specialty Crosswalk'!$A$2:$C$106,2,FALSE),"")</f>
        <v/>
      </c>
      <c r="G9785" s="49" t="str">
        <f>IFERROR(VLOOKUP(E9785,'Condensed Specialty Crosswalk'!$A$2:$C$106,3,FALSE),"")</f>
        <v/>
      </c>
    </row>
    <row r="9786" spans="5:7" ht="15" customHeight="1">
      <c r="E9786" s="49" t="str">
        <f>IFERROR(VLOOKUP(D9786,'taxonomy map'!$A$1:$C$107,2,FALSE),"")</f>
        <v/>
      </c>
      <c r="F9786" s="49" t="str">
        <f>IFERROR(VLOOKUP(E9786,'Condensed Specialty Crosswalk'!$A$2:$C$106,2,FALSE),"")</f>
        <v/>
      </c>
      <c r="G9786" s="49" t="str">
        <f>IFERROR(VLOOKUP(E9786,'Condensed Specialty Crosswalk'!$A$2:$C$106,3,FALSE),"")</f>
        <v/>
      </c>
    </row>
    <row r="9787" spans="5:7" ht="15" customHeight="1">
      <c r="E9787" s="49" t="str">
        <f>IFERROR(VLOOKUP(D9787,'taxonomy map'!$A$1:$C$107,2,FALSE),"")</f>
        <v/>
      </c>
      <c r="F9787" s="49" t="str">
        <f>IFERROR(VLOOKUP(E9787,'Condensed Specialty Crosswalk'!$A$2:$C$106,2,FALSE),"")</f>
        <v/>
      </c>
      <c r="G9787" s="49" t="str">
        <f>IFERROR(VLOOKUP(E9787,'Condensed Specialty Crosswalk'!$A$2:$C$106,3,FALSE),"")</f>
        <v/>
      </c>
    </row>
    <row r="9788" spans="5:7" ht="15" customHeight="1">
      <c r="E9788" s="49" t="str">
        <f>IFERROR(VLOOKUP(D9788,'taxonomy map'!$A$1:$C$107,2,FALSE),"")</f>
        <v/>
      </c>
      <c r="F9788" s="49" t="str">
        <f>IFERROR(VLOOKUP(E9788,'Condensed Specialty Crosswalk'!$A$2:$C$106,2,FALSE),"")</f>
        <v/>
      </c>
      <c r="G9788" s="49" t="str">
        <f>IFERROR(VLOOKUP(E9788,'Condensed Specialty Crosswalk'!$A$2:$C$106,3,FALSE),"")</f>
        <v/>
      </c>
    </row>
    <row r="9789" spans="5:7" ht="15" customHeight="1">
      <c r="E9789" s="49" t="str">
        <f>IFERROR(VLOOKUP(D9789,'taxonomy map'!$A$1:$C$107,2,FALSE),"")</f>
        <v/>
      </c>
      <c r="F9789" s="49" t="str">
        <f>IFERROR(VLOOKUP(E9789,'Condensed Specialty Crosswalk'!$A$2:$C$106,2,FALSE),"")</f>
        <v/>
      </c>
      <c r="G9789" s="49" t="str">
        <f>IFERROR(VLOOKUP(E9789,'Condensed Specialty Crosswalk'!$A$2:$C$106,3,FALSE),"")</f>
        <v/>
      </c>
    </row>
    <row r="9790" spans="5:7" ht="15" customHeight="1">
      <c r="E9790" s="49" t="str">
        <f>IFERROR(VLOOKUP(D9790,'taxonomy map'!$A$1:$C$107,2,FALSE),"")</f>
        <v/>
      </c>
      <c r="F9790" s="49" t="str">
        <f>IFERROR(VLOOKUP(E9790,'Condensed Specialty Crosswalk'!$A$2:$C$106,2,FALSE),"")</f>
        <v/>
      </c>
      <c r="G9790" s="49" t="str">
        <f>IFERROR(VLOOKUP(E9790,'Condensed Specialty Crosswalk'!$A$2:$C$106,3,FALSE),"")</f>
        <v/>
      </c>
    </row>
    <row r="9791" spans="5:7" ht="15" customHeight="1">
      <c r="E9791" s="49" t="str">
        <f>IFERROR(VLOOKUP(D9791,'taxonomy map'!$A$1:$C$107,2,FALSE),"")</f>
        <v/>
      </c>
      <c r="F9791" s="49" t="str">
        <f>IFERROR(VLOOKUP(E9791,'Condensed Specialty Crosswalk'!$A$2:$C$106,2,FALSE),"")</f>
        <v/>
      </c>
      <c r="G9791" s="49" t="str">
        <f>IFERROR(VLOOKUP(E9791,'Condensed Specialty Crosswalk'!$A$2:$C$106,3,FALSE),"")</f>
        <v/>
      </c>
    </row>
    <row r="9792" spans="5:7" ht="15" customHeight="1">
      <c r="E9792" s="49" t="str">
        <f>IFERROR(VLOOKUP(D9792,'taxonomy map'!$A$1:$C$107,2,FALSE),"")</f>
        <v/>
      </c>
      <c r="F9792" s="49" t="str">
        <f>IFERROR(VLOOKUP(E9792,'Condensed Specialty Crosswalk'!$A$2:$C$106,2,FALSE),"")</f>
        <v/>
      </c>
      <c r="G9792" s="49" t="str">
        <f>IFERROR(VLOOKUP(E9792,'Condensed Specialty Crosswalk'!$A$2:$C$106,3,FALSE),"")</f>
        <v/>
      </c>
    </row>
    <row r="9793" spans="5:7" ht="15" customHeight="1">
      <c r="E9793" s="49" t="str">
        <f>IFERROR(VLOOKUP(D9793,'taxonomy map'!$A$1:$C$107,2,FALSE),"")</f>
        <v/>
      </c>
      <c r="F9793" s="49" t="str">
        <f>IFERROR(VLOOKUP(E9793,'Condensed Specialty Crosswalk'!$A$2:$C$106,2,FALSE),"")</f>
        <v/>
      </c>
      <c r="G9793" s="49" t="str">
        <f>IFERROR(VLOOKUP(E9793,'Condensed Specialty Crosswalk'!$A$2:$C$106,3,FALSE),"")</f>
        <v/>
      </c>
    </row>
    <row r="9794" spans="5:7" ht="15" customHeight="1">
      <c r="E9794" s="49" t="str">
        <f>IFERROR(VLOOKUP(D9794,'taxonomy map'!$A$1:$C$107,2,FALSE),"")</f>
        <v/>
      </c>
      <c r="F9794" s="49" t="str">
        <f>IFERROR(VLOOKUP(E9794,'Condensed Specialty Crosswalk'!$A$2:$C$106,2,FALSE),"")</f>
        <v/>
      </c>
      <c r="G9794" s="49" t="str">
        <f>IFERROR(VLOOKUP(E9794,'Condensed Specialty Crosswalk'!$A$2:$C$106,3,FALSE),"")</f>
        <v/>
      </c>
    </row>
    <row r="9795" spans="5:7" ht="15" customHeight="1">
      <c r="E9795" s="49" t="str">
        <f>IFERROR(VLOOKUP(D9795,'taxonomy map'!$A$1:$C$107,2,FALSE),"")</f>
        <v/>
      </c>
      <c r="F9795" s="49" t="str">
        <f>IFERROR(VLOOKUP(E9795,'Condensed Specialty Crosswalk'!$A$2:$C$106,2,FALSE),"")</f>
        <v/>
      </c>
      <c r="G9795" s="49" t="str">
        <f>IFERROR(VLOOKUP(E9795,'Condensed Specialty Crosswalk'!$A$2:$C$106,3,FALSE),"")</f>
        <v/>
      </c>
    </row>
    <row r="9796" spans="5:7" ht="15" customHeight="1">
      <c r="E9796" s="49" t="str">
        <f>IFERROR(VLOOKUP(D9796,'taxonomy map'!$A$1:$C$107,2,FALSE),"")</f>
        <v/>
      </c>
      <c r="F9796" s="49" t="str">
        <f>IFERROR(VLOOKUP(E9796,'Condensed Specialty Crosswalk'!$A$2:$C$106,2,FALSE),"")</f>
        <v/>
      </c>
      <c r="G9796" s="49" t="str">
        <f>IFERROR(VLOOKUP(E9796,'Condensed Specialty Crosswalk'!$A$2:$C$106,3,FALSE),"")</f>
        <v/>
      </c>
    </row>
    <row r="9797" spans="5:7" ht="15" customHeight="1">
      <c r="E9797" s="49" t="str">
        <f>IFERROR(VLOOKUP(D9797,'taxonomy map'!$A$1:$C$107,2,FALSE),"")</f>
        <v/>
      </c>
      <c r="F9797" s="49" t="str">
        <f>IFERROR(VLOOKUP(E9797,'Condensed Specialty Crosswalk'!$A$2:$C$106,2,FALSE),"")</f>
        <v/>
      </c>
      <c r="G9797" s="49" t="str">
        <f>IFERROR(VLOOKUP(E9797,'Condensed Specialty Crosswalk'!$A$2:$C$106,3,FALSE),"")</f>
        <v/>
      </c>
    </row>
    <row r="9798" spans="5:7" ht="15" customHeight="1">
      <c r="E9798" s="49" t="str">
        <f>IFERROR(VLOOKUP(D9798,'taxonomy map'!$A$1:$C$107,2,FALSE),"")</f>
        <v/>
      </c>
      <c r="F9798" s="49" t="str">
        <f>IFERROR(VLOOKUP(E9798,'Condensed Specialty Crosswalk'!$A$2:$C$106,2,FALSE),"")</f>
        <v/>
      </c>
      <c r="G9798" s="49" t="str">
        <f>IFERROR(VLOOKUP(E9798,'Condensed Specialty Crosswalk'!$A$2:$C$106,3,FALSE),"")</f>
        <v/>
      </c>
    </row>
    <row r="9799" spans="5:7" ht="15" customHeight="1">
      <c r="E9799" s="49" t="str">
        <f>IFERROR(VLOOKUP(D9799,'taxonomy map'!$A$1:$C$107,2,FALSE),"")</f>
        <v/>
      </c>
      <c r="F9799" s="49" t="str">
        <f>IFERROR(VLOOKUP(E9799,'Condensed Specialty Crosswalk'!$A$2:$C$106,2,FALSE),"")</f>
        <v/>
      </c>
      <c r="G9799" s="49" t="str">
        <f>IFERROR(VLOOKUP(E9799,'Condensed Specialty Crosswalk'!$A$2:$C$106,3,FALSE),"")</f>
        <v/>
      </c>
    </row>
    <row r="9800" spans="5:7" ht="15" customHeight="1">
      <c r="E9800" s="49" t="str">
        <f>IFERROR(VLOOKUP(D9800,'taxonomy map'!$A$1:$C$107,2,FALSE),"")</f>
        <v/>
      </c>
      <c r="F9800" s="49" t="str">
        <f>IFERROR(VLOOKUP(E9800,'Condensed Specialty Crosswalk'!$A$2:$C$106,2,FALSE),"")</f>
        <v/>
      </c>
      <c r="G9800" s="49" t="str">
        <f>IFERROR(VLOOKUP(E9800,'Condensed Specialty Crosswalk'!$A$2:$C$106,3,FALSE),"")</f>
        <v/>
      </c>
    </row>
    <row r="9801" spans="5:7" ht="15" customHeight="1">
      <c r="E9801" s="49" t="str">
        <f>IFERROR(VLOOKUP(D9801,'taxonomy map'!$A$1:$C$107,2,FALSE),"")</f>
        <v/>
      </c>
      <c r="F9801" s="49" t="str">
        <f>IFERROR(VLOOKUP(E9801,'Condensed Specialty Crosswalk'!$A$2:$C$106,2,FALSE),"")</f>
        <v/>
      </c>
      <c r="G9801" s="49" t="str">
        <f>IFERROR(VLOOKUP(E9801,'Condensed Specialty Crosswalk'!$A$2:$C$106,3,FALSE),"")</f>
        <v/>
      </c>
    </row>
    <row r="9802" spans="5:7" ht="15" customHeight="1">
      <c r="E9802" s="49" t="str">
        <f>IFERROR(VLOOKUP(D9802,'taxonomy map'!$A$1:$C$107,2,FALSE),"")</f>
        <v/>
      </c>
      <c r="F9802" s="49" t="str">
        <f>IFERROR(VLOOKUP(E9802,'Condensed Specialty Crosswalk'!$A$2:$C$106,2,FALSE),"")</f>
        <v/>
      </c>
      <c r="G9802" s="49" t="str">
        <f>IFERROR(VLOOKUP(E9802,'Condensed Specialty Crosswalk'!$A$2:$C$106,3,FALSE),"")</f>
        <v/>
      </c>
    </row>
    <row r="9803" spans="5:7" ht="15" customHeight="1">
      <c r="E9803" s="49" t="str">
        <f>IFERROR(VLOOKUP(D9803,'taxonomy map'!$A$1:$C$107,2,FALSE),"")</f>
        <v/>
      </c>
      <c r="F9803" s="49" t="str">
        <f>IFERROR(VLOOKUP(E9803,'Condensed Specialty Crosswalk'!$A$2:$C$106,2,FALSE),"")</f>
        <v/>
      </c>
      <c r="G9803" s="49" t="str">
        <f>IFERROR(VLOOKUP(E9803,'Condensed Specialty Crosswalk'!$A$2:$C$106,3,FALSE),"")</f>
        <v/>
      </c>
    </row>
    <row r="9804" spans="5:7" ht="15" customHeight="1">
      <c r="E9804" s="49" t="str">
        <f>IFERROR(VLOOKUP(D9804,'taxonomy map'!$A$1:$C$107,2,FALSE),"")</f>
        <v/>
      </c>
      <c r="F9804" s="49" t="str">
        <f>IFERROR(VLOOKUP(E9804,'Condensed Specialty Crosswalk'!$A$2:$C$106,2,FALSE),"")</f>
        <v/>
      </c>
      <c r="G9804" s="49" t="str">
        <f>IFERROR(VLOOKUP(E9804,'Condensed Specialty Crosswalk'!$A$2:$C$106,3,FALSE),"")</f>
        <v/>
      </c>
    </row>
    <row r="9805" spans="5:7" ht="15" customHeight="1">
      <c r="E9805" s="49" t="str">
        <f>IFERROR(VLOOKUP(D9805,'taxonomy map'!$A$1:$C$107,2,FALSE),"")</f>
        <v/>
      </c>
      <c r="F9805" s="49" t="str">
        <f>IFERROR(VLOOKUP(E9805,'Condensed Specialty Crosswalk'!$A$2:$C$106,2,FALSE),"")</f>
        <v/>
      </c>
      <c r="G9805" s="49" t="str">
        <f>IFERROR(VLOOKUP(E9805,'Condensed Specialty Crosswalk'!$A$2:$C$106,3,FALSE),"")</f>
        <v/>
      </c>
    </row>
    <row r="9806" spans="5:7" ht="15" customHeight="1">
      <c r="E9806" s="49" t="str">
        <f>IFERROR(VLOOKUP(D9806,'taxonomy map'!$A$1:$C$107,2,FALSE),"")</f>
        <v/>
      </c>
      <c r="F9806" s="49" t="str">
        <f>IFERROR(VLOOKUP(E9806,'Condensed Specialty Crosswalk'!$A$2:$C$106,2,FALSE),"")</f>
        <v/>
      </c>
      <c r="G9806" s="49" t="str">
        <f>IFERROR(VLOOKUP(E9806,'Condensed Specialty Crosswalk'!$A$2:$C$106,3,FALSE),"")</f>
        <v/>
      </c>
    </row>
    <row r="9807" spans="5:7" ht="15" customHeight="1">
      <c r="E9807" s="49" t="str">
        <f>IFERROR(VLOOKUP(D9807,'taxonomy map'!$A$1:$C$107,2,FALSE),"")</f>
        <v/>
      </c>
      <c r="F9807" s="49" t="str">
        <f>IFERROR(VLOOKUP(E9807,'Condensed Specialty Crosswalk'!$A$2:$C$106,2,FALSE),"")</f>
        <v/>
      </c>
      <c r="G9807" s="49" t="str">
        <f>IFERROR(VLOOKUP(E9807,'Condensed Specialty Crosswalk'!$A$2:$C$106,3,FALSE),"")</f>
        <v/>
      </c>
    </row>
    <row r="9808" spans="5:7" ht="15" customHeight="1">
      <c r="E9808" s="49" t="str">
        <f>IFERROR(VLOOKUP(D9808,'taxonomy map'!$A$1:$C$107,2,FALSE),"")</f>
        <v/>
      </c>
      <c r="F9808" s="49" t="str">
        <f>IFERROR(VLOOKUP(E9808,'Condensed Specialty Crosswalk'!$A$2:$C$106,2,FALSE),"")</f>
        <v/>
      </c>
      <c r="G9808" s="49" t="str">
        <f>IFERROR(VLOOKUP(E9808,'Condensed Specialty Crosswalk'!$A$2:$C$106,3,FALSE),"")</f>
        <v/>
      </c>
    </row>
    <row r="9809" spans="5:7" ht="15" customHeight="1">
      <c r="E9809" s="49" t="str">
        <f>IFERROR(VLOOKUP(D9809,'taxonomy map'!$A$1:$C$107,2,FALSE),"")</f>
        <v/>
      </c>
      <c r="F9809" s="49" t="str">
        <f>IFERROR(VLOOKUP(E9809,'Condensed Specialty Crosswalk'!$A$2:$C$106,2,FALSE),"")</f>
        <v/>
      </c>
      <c r="G9809" s="49" t="str">
        <f>IFERROR(VLOOKUP(E9809,'Condensed Specialty Crosswalk'!$A$2:$C$106,3,FALSE),"")</f>
        <v/>
      </c>
    </row>
    <row r="9810" spans="5:7" ht="15" customHeight="1">
      <c r="E9810" s="49" t="str">
        <f>IFERROR(VLOOKUP(D9810,'taxonomy map'!$A$1:$C$107,2,FALSE),"")</f>
        <v/>
      </c>
      <c r="F9810" s="49" t="str">
        <f>IFERROR(VLOOKUP(E9810,'Condensed Specialty Crosswalk'!$A$2:$C$106,2,FALSE),"")</f>
        <v/>
      </c>
      <c r="G9810" s="49" t="str">
        <f>IFERROR(VLOOKUP(E9810,'Condensed Specialty Crosswalk'!$A$2:$C$106,3,FALSE),"")</f>
        <v/>
      </c>
    </row>
    <row r="9811" spans="5:7" ht="15" customHeight="1">
      <c r="E9811" s="49" t="str">
        <f>IFERROR(VLOOKUP(D9811,'taxonomy map'!$A$1:$C$107,2,FALSE),"")</f>
        <v/>
      </c>
      <c r="F9811" s="49" t="str">
        <f>IFERROR(VLOOKUP(E9811,'Condensed Specialty Crosswalk'!$A$2:$C$106,2,FALSE),"")</f>
        <v/>
      </c>
      <c r="G9811" s="49" t="str">
        <f>IFERROR(VLOOKUP(E9811,'Condensed Specialty Crosswalk'!$A$2:$C$106,3,FALSE),"")</f>
        <v/>
      </c>
    </row>
    <row r="9812" spans="5:7" ht="15" customHeight="1">
      <c r="E9812" s="49" t="str">
        <f>IFERROR(VLOOKUP(D9812,'taxonomy map'!$A$1:$C$107,2,FALSE),"")</f>
        <v/>
      </c>
      <c r="F9812" s="49" t="str">
        <f>IFERROR(VLOOKUP(E9812,'Condensed Specialty Crosswalk'!$A$2:$C$106,2,FALSE),"")</f>
        <v/>
      </c>
      <c r="G9812" s="49" t="str">
        <f>IFERROR(VLOOKUP(E9812,'Condensed Specialty Crosswalk'!$A$2:$C$106,3,FALSE),"")</f>
        <v/>
      </c>
    </row>
    <row r="9813" spans="5:7" ht="15" customHeight="1">
      <c r="E9813" s="49" t="str">
        <f>IFERROR(VLOOKUP(D9813,'taxonomy map'!$A$1:$C$107,2,FALSE),"")</f>
        <v/>
      </c>
      <c r="F9813" s="49" t="str">
        <f>IFERROR(VLOOKUP(E9813,'Condensed Specialty Crosswalk'!$A$2:$C$106,2,FALSE),"")</f>
        <v/>
      </c>
      <c r="G9813" s="49" t="str">
        <f>IFERROR(VLOOKUP(E9813,'Condensed Specialty Crosswalk'!$A$2:$C$106,3,FALSE),"")</f>
        <v/>
      </c>
    </row>
    <row r="9814" spans="5:7" ht="15" customHeight="1">
      <c r="E9814" s="49" t="str">
        <f>IFERROR(VLOOKUP(D9814,'taxonomy map'!$A$1:$C$107,2,FALSE),"")</f>
        <v/>
      </c>
      <c r="F9814" s="49" t="str">
        <f>IFERROR(VLOOKUP(E9814,'Condensed Specialty Crosswalk'!$A$2:$C$106,2,FALSE),"")</f>
        <v/>
      </c>
      <c r="G9814" s="49" t="str">
        <f>IFERROR(VLOOKUP(E9814,'Condensed Specialty Crosswalk'!$A$2:$C$106,3,FALSE),"")</f>
        <v/>
      </c>
    </row>
    <row r="9815" spans="5:7" ht="15" customHeight="1">
      <c r="E9815" s="49" t="str">
        <f>IFERROR(VLOOKUP(D9815,'taxonomy map'!$A$1:$C$107,2,FALSE),"")</f>
        <v/>
      </c>
      <c r="F9815" s="49" t="str">
        <f>IFERROR(VLOOKUP(E9815,'Condensed Specialty Crosswalk'!$A$2:$C$106,2,FALSE),"")</f>
        <v/>
      </c>
      <c r="G9815" s="49" t="str">
        <f>IFERROR(VLOOKUP(E9815,'Condensed Specialty Crosswalk'!$A$2:$C$106,3,FALSE),"")</f>
        <v/>
      </c>
    </row>
    <row r="9816" spans="5:7" ht="15" customHeight="1">
      <c r="E9816" s="49" t="str">
        <f>IFERROR(VLOOKUP(D9816,'taxonomy map'!$A$1:$C$107,2,FALSE),"")</f>
        <v/>
      </c>
      <c r="F9816" s="49" t="str">
        <f>IFERROR(VLOOKUP(E9816,'Condensed Specialty Crosswalk'!$A$2:$C$106,2,FALSE),"")</f>
        <v/>
      </c>
      <c r="G9816" s="49" t="str">
        <f>IFERROR(VLOOKUP(E9816,'Condensed Specialty Crosswalk'!$A$2:$C$106,3,FALSE),"")</f>
        <v/>
      </c>
    </row>
    <row r="9817" spans="5:7" ht="15" customHeight="1">
      <c r="E9817" s="49" t="str">
        <f>IFERROR(VLOOKUP(D9817,'taxonomy map'!$A$1:$C$107,2,FALSE),"")</f>
        <v/>
      </c>
      <c r="F9817" s="49" t="str">
        <f>IFERROR(VLOOKUP(E9817,'Condensed Specialty Crosswalk'!$A$2:$C$106,2,FALSE),"")</f>
        <v/>
      </c>
      <c r="G9817" s="49" t="str">
        <f>IFERROR(VLOOKUP(E9817,'Condensed Specialty Crosswalk'!$A$2:$C$106,3,FALSE),"")</f>
        <v/>
      </c>
    </row>
    <row r="9818" spans="5:7" ht="15" customHeight="1">
      <c r="E9818" s="49" t="str">
        <f>IFERROR(VLOOKUP(D9818,'taxonomy map'!$A$1:$C$107,2,FALSE),"")</f>
        <v/>
      </c>
      <c r="F9818" s="49" t="str">
        <f>IFERROR(VLOOKUP(E9818,'Condensed Specialty Crosswalk'!$A$2:$C$106,2,FALSE),"")</f>
        <v/>
      </c>
      <c r="G9818" s="49" t="str">
        <f>IFERROR(VLOOKUP(E9818,'Condensed Specialty Crosswalk'!$A$2:$C$106,3,FALSE),"")</f>
        <v/>
      </c>
    </row>
    <row r="9819" spans="5:7" ht="15" customHeight="1">
      <c r="E9819" s="49" t="str">
        <f>IFERROR(VLOOKUP(D9819,'taxonomy map'!$A$1:$C$107,2,FALSE),"")</f>
        <v/>
      </c>
      <c r="F9819" s="49" t="str">
        <f>IFERROR(VLOOKUP(E9819,'Condensed Specialty Crosswalk'!$A$2:$C$106,2,FALSE),"")</f>
        <v/>
      </c>
      <c r="G9819" s="49" t="str">
        <f>IFERROR(VLOOKUP(E9819,'Condensed Specialty Crosswalk'!$A$2:$C$106,3,FALSE),"")</f>
        <v/>
      </c>
    </row>
    <row r="9820" spans="5:7" ht="15" customHeight="1">
      <c r="E9820" s="49" t="str">
        <f>IFERROR(VLOOKUP(D9820,'taxonomy map'!$A$1:$C$107,2,FALSE),"")</f>
        <v/>
      </c>
      <c r="F9820" s="49" t="str">
        <f>IFERROR(VLOOKUP(E9820,'Condensed Specialty Crosswalk'!$A$2:$C$106,2,FALSE),"")</f>
        <v/>
      </c>
      <c r="G9820" s="49" t="str">
        <f>IFERROR(VLOOKUP(E9820,'Condensed Specialty Crosswalk'!$A$2:$C$106,3,FALSE),"")</f>
        <v/>
      </c>
    </row>
    <row r="9821" spans="5:7" ht="15" customHeight="1">
      <c r="E9821" s="49" t="str">
        <f>IFERROR(VLOOKUP(D9821,'taxonomy map'!$A$1:$C$107,2,FALSE),"")</f>
        <v/>
      </c>
      <c r="F9821" s="49" t="str">
        <f>IFERROR(VLOOKUP(E9821,'Condensed Specialty Crosswalk'!$A$2:$C$106,2,FALSE),"")</f>
        <v/>
      </c>
      <c r="G9821" s="49" t="str">
        <f>IFERROR(VLOOKUP(E9821,'Condensed Specialty Crosswalk'!$A$2:$C$106,3,FALSE),"")</f>
        <v/>
      </c>
    </row>
    <row r="9822" spans="5:7" ht="15" customHeight="1">
      <c r="E9822" s="49" t="str">
        <f>IFERROR(VLOOKUP(D9822,'taxonomy map'!$A$1:$C$107,2,FALSE),"")</f>
        <v/>
      </c>
      <c r="F9822" s="49" t="str">
        <f>IFERROR(VLOOKUP(E9822,'Condensed Specialty Crosswalk'!$A$2:$C$106,2,FALSE),"")</f>
        <v/>
      </c>
      <c r="G9822" s="49" t="str">
        <f>IFERROR(VLOOKUP(E9822,'Condensed Specialty Crosswalk'!$A$2:$C$106,3,FALSE),"")</f>
        <v/>
      </c>
    </row>
    <row r="9823" spans="5:7" ht="15" customHeight="1">
      <c r="E9823" s="49" t="str">
        <f>IFERROR(VLOOKUP(D9823,'taxonomy map'!$A$1:$C$107,2,FALSE),"")</f>
        <v/>
      </c>
      <c r="F9823" s="49" t="str">
        <f>IFERROR(VLOOKUP(E9823,'Condensed Specialty Crosswalk'!$A$2:$C$106,2,FALSE),"")</f>
        <v/>
      </c>
      <c r="G9823" s="49" t="str">
        <f>IFERROR(VLOOKUP(E9823,'Condensed Specialty Crosswalk'!$A$2:$C$106,3,FALSE),"")</f>
        <v/>
      </c>
    </row>
    <row r="9824" spans="5:7" ht="15" customHeight="1">
      <c r="E9824" s="49" t="str">
        <f>IFERROR(VLOOKUP(D9824,'taxonomy map'!$A$1:$C$107,2,FALSE),"")</f>
        <v/>
      </c>
      <c r="F9824" s="49" t="str">
        <f>IFERROR(VLOOKUP(E9824,'Condensed Specialty Crosswalk'!$A$2:$C$106,2,FALSE),"")</f>
        <v/>
      </c>
      <c r="G9824" s="49" t="str">
        <f>IFERROR(VLOOKUP(E9824,'Condensed Specialty Crosswalk'!$A$2:$C$106,3,FALSE),"")</f>
        <v/>
      </c>
    </row>
    <row r="9825" spans="5:7" ht="15" customHeight="1">
      <c r="E9825" s="49" t="str">
        <f>IFERROR(VLOOKUP(D9825,'taxonomy map'!$A$1:$C$107,2,FALSE),"")</f>
        <v/>
      </c>
      <c r="F9825" s="49" t="str">
        <f>IFERROR(VLOOKUP(E9825,'Condensed Specialty Crosswalk'!$A$2:$C$106,2,FALSE),"")</f>
        <v/>
      </c>
      <c r="G9825" s="49" t="str">
        <f>IFERROR(VLOOKUP(E9825,'Condensed Specialty Crosswalk'!$A$2:$C$106,3,FALSE),"")</f>
        <v/>
      </c>
    </row>
    <row r="9826" spans="5:7" ht="15" customHeight="1">
      <c r="E9826" s="49" t="str">
        <f>IFERROR(VLOOKUP(D9826,'taxonomy map'!$A$1:$C$107,2,FALSE),"")</f>
        <v/>
      </c>
      <c r="F9826" s="49" t="str">
        <f>IFERROR(VLOOKUP(E9826,'Condensed Specialty Crosswalk'!$A$2:$C$106,2,FALSE),"")</f>
        <v/>
      </c>
      <c r="G9826" s="49" t="str">
        <f>IFERROR(VLOOKUP(E9826,'Condensed Specialty Crosswalk'!$A$2:$C$106,3,FALSE),"")</f>
        <v/>
      </c>
    </row>
    <row r="9827" spans="5:7" ht="15" customHeight="1">
      <c r="E9827" s="49" t="str">
        <f>IFERROR(VLOOKUP(D9827,'taxonomy map'!$A$1:$C$107,2,FALSE),"")</f>
        <v/>
      </c>
      <c r="F9827" s="49" t="str">
        <f>IFERROR(VLOOKUP(E9827,'Condensed Specialty Crosswalk'!$A$2:$C$106,2,FALSE),"")</f>
        <v/>
      </c>
      <c r="G9827" s="49" t="str">
        <f>IFERROR(VLOOKUP(E9827,'Condensed Specialty Crosswalk'!$A$2:$C$106,3,FALSE),"")</f>
        <v/>
      </c>
    </row>
    <row r="9828" spans="5:7" ht="15" customHeight="1">
      <c r="E9828" s="49" t="str">
        <f>IFERROR(VLOOKUP(D9828,'taxonomy map'!$A$1:$C$107,2,FALSE),"")</f>
        <v/>
      </c>
      <c r="F9828" s="49" t="str">
        <f>IFERROR(VLOOKUP(E9828,'Condensed Specialty Crosswalk'!$A$2:$C$106,2,FALSE),"")</f>
        <v/>
      </c>
      <c r="G9828" s="49" t="str">
        <f>IFERROR(VLOOKUP(E9828,'Condensed Specialty Crosswalk'!$A$2:$C$106,3,FALSE),"")</f>
        <v/>
      </c>
    </row>
    <row r="9829" spans="5:7" ht="15" customHeight="1">
      <c r="E9829" s="49" t="str">
        <f>IFERROR(VLOOKUP(D9829,'taxonomy map'!$A$1:$C$107,2,FALSE),"")</f>
        <v/>
      </c>
      <c r="F9829" s="49" t="str">
        <f>IFERROR(VLOOKUP(E9829,'Condensed Specialty Crosswalk'!$A$2:$C$106,2,FALSE),"")</f>
        <v/>
      </c>
      <c r="G9829" s="49" t="str">
        <f>IFERROR(VLOOKUP(E9829,'Condensed Specialty Crosswalk'!$A$2:$C$106,3,FALSE),"")</f>
        <v/>
      </c>
    </row>
    <row r="9830" spans="5:7" ht="15" customHeight="1">
      <c r="E9830" s="49" t="str">
        <f>IFERROR(VLOOKUP(D9830,'taxonomy map'!$A$1:$C$107,2,FALSE),"")</f>
        <v/>
      </c>
      <c r="F9830" s="49" t="str">
        <f>IFERROR(VLOOKUP(E9830,'Condensed Specialty Crosswalk'!$A$2:$C$106,2,FALSE),"")</f>
        <v/>
      </c>
      <c r="G9830" s="49" t="str">
        <f>IFERROR(VLOOKUP(E9830,'Condensed Specialty Crosswalk'!$A$2:$C$106,3,FALSE),"")</f>
        <v/>
      </c>
    </row>
    <row r="9831" spans="5:7" ht="15" customHeight="1">
      <c r="E9831" s="49" t="str">
        <f>IFERROR(VLOOKUP(D9831,'taxonomy map'!$A$1:$C$107,2,FALSE),"")</f>
        <v/>
      </c>
      <c r="F9831" s="49" t="str">
        <f>IFERROR(VLOOKUP(E9831,'Condensed Specialty Crosswalk'!$A$2:$C$106,2,FALSE),"")</f>
        <v/>
      </c>
      <c r="G9831" s="49" t="str">
        <f>IFERROR(VLOOKUP(E9831,'Condensed Specialty Crosswalk'!$A$2:$C$106,3,FALSE),"")</f>
        <v/>
      </c>
    </row>
    <row r="9832" spans="5:7" ht="15" customHeight="1">
      <c r="E9832" s="49" t="str">
        <f>IFERROR(VLOOKUP(D9832,'taxonomy map'!$A$1:$C$107,2,FALSE),"")</f>
        <v/>
      </c>
      <c r="F9832" s="49" t="str">
        <f>IFERROR(VLOOKUP(E9832,'Condensed Specialty Crosswalk'!$A$2:$C$106,2,FALSE),"")</f>
        <v/>
      </c>
      <c r="G9832" s="49" t="str">
        <f>IFERROR(VLOOKUP(E9832,'Condensed Specialty Crosswalk'!$A$2:$C$106,3,FALSE),"")</f>
        <v/>
      </c>
    </row>
    <row r="9833" spans="5:7" ht="15" customHeight="1">
      <c r="E9833" s="49" t="str">
        <f>IFERROR(VLOOKUP(D9833,'taxonomy map'!$A$1:$C$107,2,FALSE),"")</f>
        <v/>
      </c>
      <c r="F9833" s="49" t="str">
        <f>IFERROR(VLOOKUP(E9833,'Condensed Specialty Crosswalk'!$A$2:$C$106,2,FALSE),"")</f>
        <v/>
      </c>
      <c r="G9833" s="49" t="str">
        <f>IFERROR(VLOOKUP(E9833,'Condensed Specialty Crosswalk'!$A$2:$C$106,3,FALSE),"")</f>
        <v/>
      </c>
    </row>
    <row r="9834" spans="5:7" ht="15" customHeight="1">
      <c r="E9834" s="49" t="str">
        <f>IFERROR(VLOOKUP(D9834,'taxonomy map'!$A$1:$C$107,2,FALSE),"")</f>
        <v/>
      </c>
      <c r="F9834" s="49" t="str">
        <f>IFERROR(VLOOKUP(E9834,'Condensed Specialty Crosswalk'!$A$2:$C$106,2,FALSE),"")</f>
        <v/>
      </c>
      <c r="G9834" s="49" t="str">
        <f>IFERROR(VLOOKUP(E9834,'Condensed Specialty Crosswalk'!$A$2:$C$106,3,FALSE),"")</f>
        <v/>
      </c>
    </row>
    <row r="9835" spans="5:7" ht="15" customHeight="1">
      <c r="E9835" s="49" t="str">
        <f>IFERROR(VLOOKUP(D9835,'taxonomy map'!$A$1:$C$107,2,FALSE),"")</f>
        <v/>
      </c>
      <c r="F9835" s="49" t="str">
        <f>IFERROR(VLOOKUP(E9835,'Condensed Specialty Crosswalk'!$A$2:$C$106,2,FALSE),"")</f>
        <v/>
      </c>
      <c r="G9835" s="49" t="str">
        <f>IFERROR(VLOOKUP(E9835,'Condensed Specialty Crosswalk'!$A$2:$C$106,3,FALSE),"")</f>
        <v/>
      </c>
    </row>
    <row r="9836" spans="5:7" ht="15" customHeight="1">
      <c r="E9836" s="49" t="str">
        <f>IFERROR(VLOOKUP(D9836,'taxonomy map'!$A$1:$C$107,2,FALSE),"")</f>
        <v/>
      </c>
      <c r="F9836" s="49" t="str">
        <f>IFERROR(VLOOKUP(E9836,'Condensed Specialty Crosswalk'!$A$2:$C$106,2,FALSE),"")</f>
        <v/>
      </c>
      <c r="G9836" s="49" t="str">
        <f>IFERROR(VLOOKUP(E9836,'Condensed Specialty Crosswalk'!$A$2:$C$106,3,FALSE),"")</f>
        <v/>
      </c>
    </row>
    <row r="9837" spans="5:7" ht="15" customHeight="1">
      <c r="E9837" s="49" t="str">
        <f>IFERROR(VLOOKUP(D9837,'taxonomy map'!$A$1:$C$107,2,FALSE),"")</f>
        <v/>
      </c>
      <c r="F9837" s="49" t="str">
        <f>IFERROR(VLOOKUP(E9837,'Condensed Specialty Crosswalk'!$A$2:$C$106,2,FALSE),"")</f>
        <v/>
      </c>
      <c r="G9837" s="49" t="str">
        <f>IFERROR(VLOOKUP(E9837,'Condensed Specialty Crosswalk'!$A$2:$C$106,3,FALSE),"")</f>
        <v/>
      </c>
    </row>
    <row r="9838" spans="5:7" ht="15" customHeight="1">
      <c r="E9838" s="49" t="str">
        <f>IFERROR(VLOOKUP(D9838,'taxonomy map'!$A$1:$C$107,2,FALSE),"")</f>
        <v/>
      </c>
      <c r="F9838" s="49" t="str">
        <f>IFERROR(VLOOKUP(E9838,'Condensed Specialty Crosswalk'!$A$2:$C$106,2,FALSE),"")</f>
        <v/>
      </c>
      <c r="G9838" s="49" t="str">
        <f>IFERROR(VLOOKUP(E9838,'Condensed Specialty Crosswalk'!$A$2:$C$106,3,FALSE),"")</f>
        <v/>
      </c>
    </row>
    <row r="9839" spans="5:7" ht="15" customHeight="1">
      <c r="E9839" s="49" t="str">
        <f>IFERROR(VLOOKUP(D9839,'taxonomy map'!$A$1:$C$107,2,FALSE),"")</f>
        <v/>
      </c>
      <c r="F9839" s="49" t="str">
        <f>IFERROR(VLOOKUP(E9839,'Condensed Specialty Crosswalk'!$A$2:$C$106,2,FALSE),"")</f>
        <v/>
      </c>
      <c r="G9839" s="49" t="str">
        <f>IFERROR(VLOOKUP(E9839,'Condensed Specialty Crosswalk'!$A$2:$C$106,3,FALSE),"")</f>
        <v/>
      </c>
    </row>
    <row r="9840" spans="5:7" ht="15" customHeight="1">
      <c r="E9840" s="49" t="str">
        <f>IFERROR(VLOOKUP(D9840,'taxonomy map'!$A$1:$C$107,2,FALSE),"")</f>
        <v/>
      </c>
      <c r="F9840" s="49" t="str">
        <f>IFERROR(VLOOKUP(E9840,'Condensed Specialty Crosswalk'!$A$2:$C$106,2,FALSE),"")</f>
        <v/>
      </c>
      <c r="G9840" s="49" t="str">
        <f>IFERROR(VLOOKUP(E9840,'Condensed Specialty Crosswalk'!$A$2:$C$106,3,FALSE),"")</f>
        <v/>
      </c>
    </row>
    <row r="9841" spans="5:7" ht="15" customHeight="1">
      <c r="E9841" s="49" t="str">
        <f>IFERROR(VLOOKUP(D9841,'taxonomy map'!$A$1:$C$107,2,FALSE),"")</f>
        <v/>
      </c>
      <c r="F9841" s="49" t="str">
        <f>IFERROR(VLOOKUP(E9841,'Condensed Specialty Crosswalk'!$A$2:$C$106,2,FALSE),"")</f>
        <v/>
      </c>
      <c r="G9841" s="49" t="str">
        <f>IFERROR(VLOOKUP(E9841,'Condensed Specialty Crosswalk'!$A$2:$C$106,3,FALSE),"")</f>
        <v/>
      </c>
    </row>
    <row r="9842" spans="5:7" ht="15" customHeight="1">
      <c r="E9842" s="49" t="str">
        <f>IFERROR(VLOOKUP(D9842,'taxonomy map'!$A$1:$C$107,2,FALSE),"")</f>
        <v/>
      </c>
      <c r="F9842" s="49" t="str">
        <f>IFERROR(VLOOKUP(E9842,'Condensed Specialty Crosswalk'!$A$2:$C$106,2,FALSE),"")</f>
        <v/>
      </c>
      <c r="G9842" s="49" t="str">
        <f>IFERROR(VLOOKUP(E9842,'Condensed Specialty Crosswalk'!$A$2:$C$106,3,FALSE),"")</f>
        <v/>
      </c>
    </row>
    <row r="9843" spans="5:7" ht="15" customHeight="1">
      <c r="E9843" s="49" t="str">
        <f>IFERROR(VLOOKUP(D9843,'taxonomy map'!$A$1:$C$107,2,FALSE),"")</f>
        <v/>
      </c>
      <c r="F9843" s="49" t="str">
        <f>IFERROR(VLOOKUP(E9843,'Condensed Specialty Crosswalk'!$A$2:$C$106,2,FALSE),"")</f>
        <v/>
      </c>
      <c r="G9843" s="49" t="str">
        <f>IFERROR(VLOOKUP(E9843,'Condensed Specialty Crosswalk'!$A$2:$C$106,3,FALSE),"")</f>
        <v/>
      </c>
    </row>
    <row r="9844" spans="5:7" ht="15" customHeight="1">
      <c r="E9844" s="49" t="str">
        <f>IFERROR(VLOOKUP(D9844,'taxonomy map'!$A$1:$C$107,2,FALSE),"")</f>
        <v/>
      </c>
      <c r="F9844" s="49" t="str">
        <f>IFERROR(VLOOKUP(E9844,'Condensed Specialty Crosswalk'!$A$2:$C$106,2,FALSE),"")</f>
        <v/>
      </c>
      <c r="G9844" s="49" t="str">
        <f>IFERROR(VLOOKUP(E9844,'Condensed Specialty Crosswalk'!$A$2:$C$106,3,FALSE),"")</f>
        <v/>
      </c>
    </row>
    <row r="9845" spans="5:7" ht="15" customHeight="1">
      <c r="E9845" s="49" t="str">
        <f>IFERROR(VLOOKUP(D9845,'taxonomy map'!$A$1:$C$107,2,FALSE),"")</f>
        <v/>
      </c>
      <c r="F9845" s="49" t="str">
        <f>IFERROR(VLOOKUP(E9845,'Condensed Specialty Crosswalk'!$A$2:$C$106,2,FALSE),"")</f>
        <v/>
      </c>
      <c r="G9845" s="49" t="str">
        <f>IFERROR(VLOOKUP(E9845,'Condensed Specialty Crosswalk'!$A$2:$C$106,3,FALSE),"")</f>
        <v/>
      </c>
    </row>
    <row r="9846" spans="5:7" ht="15" customHeight="1">
      <c r="E9846" s="49" t="str">
        <f>IFERROR(VLOOKUP(D9846,'taxonomy map'!$A$1:$C$107,2,FALSE),"")</f>
        <v/>
      </c>
      <c r="F9846" s="49" t="str">
        <f>IFERROR(VLOOKUP(E9846,'Condensed Specialty Crosswalk'!$A$2:$C$106,2,FALSE),"")</f>
        <v/>
      </c>
      <c r="G9846" s="49" t="str">
        <f>IFERROR(VLOOKUP(E9846,'Condensed Specialty Crosswalk'!$A$2:$C$106,3,FALSE),"")</f>
        <v/>
      </c>
    </row>
    <row r="9847" spans="5:7" ht="15" customHeight="1">
      <c r="E9847" s="49" t="str">
        <f>IFERROR(VLOOKUP(D9847,'taxonomy map'!$A$1:$C$107,2,FALSE),"")</f>
        <v/>
      </c>
      <c r="F9847" s="49" t="str">
        <f>IFERROR(VLOOKUP(E9847,'Condensed Specialty Crosswalk'!$A$2:$C$106,2,FALSE),"")</f>
        <v/>
      </c>
      <c r="G9847" s="49" t="str">
        <f>IFERROR(VLOOKUP(E9847,'Condensed Specialty Crosswalk'!$A$2:$C$106,3,FALSE),"")</f>
        <v/>
      </c>
    </row>
    <row r="9848" spans="5:7" ht="15" customHeight="1">
      <c r="E9848" s="49" t="str">
        <f>IFERROR(VLOOKUP(D9848,'taxonomy map'!$A$1:$C$107,2,FALSE),"")</f>
        <v/>
      </c>
      <c r="F9848" s="49" t="str">
        <f>IFERROR(VLOOKUP(E9848,'Condensed Specialty Crosswalk'!$A$2:$C$106,2,FALSE),"")</f>
        <v/>
      </c>
      <c r="G9848" s="49" t="str">
        <f>IFERROR(VLOOKUP(E9848,'Condensed Specialty Crosswalk'!$A$2:$C$106,3,FALSE),"")</f>
        <v/>
      </c>
    </row>
    <row r="9849" spans="5:7" ht="15" customHeight="1">
      <c r="E9849" s="49" t="str">
        <f>IFERROR(VLOOKUP(D9849,'taxonomy map'!$A$1:$C$107,2,FALSE),"")</f>
        <v/>
      </c>
      <c r="F9849" s="49" t="str">
        <f>IFERROR(VLOOKUP(E9849,'Condensed Specialty Crosswalk'!$A$2:$C$106,2,FALSE),"")</f>
        <v/>
      </c>
      <c r="G9849" s="49" t="str">
        <f>IFERROR(VLOOKUP(E9849,'Condensed Specialty Crosswalk'!$A$2:$C$106,3,FALSE),"")</f>
        <v/>
      </c>
    </row>
    <row r="9850" spans="5:7" ht="15" customHeight="1">
      <c r="E9850" s="49" t="str">
        <f>IFERROR(VLOOKUP(D9850,'taxonomy map'!$A$1:$C$107,2,FALSE),"")</f>
        <v/>
      </c>
      <c r="F9850" s="49" t="str">
        <f>IFERROR(VLOOKUP(E9850,'Condensed Specialty Crosswalk'!$A$2:$C$106,2,FALSE),"")</f>
        <v/>
      </c>
      <c r="G9850" s="49" t="str">
        <f>IFERROR(VLOOKUP(E9850,'Condensed Specialty Crosswalk'!$A$2:$C$106,3,FALSE),"")</f>
        <v/>
      </c>
    </row>
    <row r="9851" spans="5:7" ht="15" customHeight="1">
      <c r="E9851" s="49" t="str">
        <f>IFERROR(VLOOKUP(D9851,'taxonomy map'!$A$1:$C$107,2,FALSE),"")</f>
        <v/>
      </c>
      <c r="F9851" s="49" t="str">
        <f>IFERROR(VLOOKUP(E9851,'Condensed Specialty Crosswalk'!$A$2:$C$106,2,FALSE),"")</f>
        <v/>
      </c>
      <c r="G9851" s="49" t="str">
        <f>IFERROR(VLOOKUP(E9851,'Condensed Specialty Crosswalk'!$A$2:$C$106,3,FALSE),"")</f>
        <v/>
      </c>
    </row>
    <row r="9852" spans="5:7" ht="15" customHeight="1">
      <c r="E9852" s="49" t="str">
        <f>IFERROR(VLOOKUP(D9852,'taxonomy map'!$A$1:$C$107,2,FALSE),"")</f>
        <v/>
      </c>
      <c r="F9852" s="49" t="str">
        <f>IFERROR(VLOOKUP(E9852,'Condensed Specialty Crosswalk'!$A$2:$C$106,2,FALSE),"")</f>
        <v/>
      </c>
      <c r="G9852" s="49" t="str">
        <f>IFERROR(VLOOKUP(E9852,'Condensed Specialty Crosswalk'!$A$2:$C$106,3,FALSE),"")</f>
        <v/>
      </c>
    </row>
    <row r="9853" spans="5:7" ht="15" customHeight="1">
      <c r="E9853" s="49" t="str">
        <f>IFERROR(VLOOKUP(D9853,'taxonomy map'!$A$1:$C$107,2,FALSE),"")</f>
        <v/>
      </c>
      <c r="F9853" s="49" t="str">
        <f>IFERROR(VLOOKUP(E9853,'Condensed Specialty Crosswalk'!$A$2:$C$106,2,FALSE),"")</f>
        <v/>
      </c>
      <c r="G9853" s="49" t="str">
        <f>IFERROR(VLOOKUP(E9853,'Condensed Specialty Crosswalk'!$A$2:$C$106,3,FALSE),"")</f>
        <v/>
      </c>
    </row>
    <row r="9854" spans="5:7" ht="15" customHeight="1">
      <c r="E9854" s="49" t="str">
        <f>IFERROR(VLOOKUP(D9854,'taxonomy map'!$A$1:$C$107,2,FALSE),"")</f>
        <v/>
      </c>
      <c r="F9854" s="49" t="str">
        <f>IFERROR(VLOOKUP(E9854,'Condensed Specialty Crosswalk'!$A$2:$C$106,2,FALSE),"")</f>
        <v/>
      </c>
      <c r="G9854" s="49" t="str">
        <f>IFERROR(VLOOKUP(E9854,'Condensed Specialty Crosswalk'!$A$2:$C$106,3,FALSE),"")</f>
        <v/>
      </c>
    </row>
    <row r="9855" spans="5:7" ht="15" customHeight="1">
      <c r="E9855" s="49" t="str">
        <f>IFERROR(VLOOKUP(D9855,'taxonomy map'!$A$1:$C$107,2,FALSE),"")</f>
        <v/>
      </c>
      <c r="F9855" s="49" t="str">
        <f>IFERROR(VLOOKUP(E9855,'Condensed Specialty Crosswalk'!$A$2:$C$106,2,FALSE),"")</f>
        <v/>
      </c>
      <c r="G9855" s="49" t="str">
        <f>IFERROR(VLOOKUP(E9855,'Condensed Specialty Crosswalk'!$A$2:$C$106,3,FALSE),"")</f>
        <v/>
      </c>
    </row>
    <row r="9856" spans="5:7" ht="15" customHeight="1">
      <c r="E9856" s="49" t="str">
        <f>IFERROR(VLOOKUP(D9856,'taxonomy map'!$A$1:$C$107,2,FALSE),"")</f>
        <v/>
      </c>
      <c r="F9856" s="49" t="str">
        <f>IFERROR(VLOOKUP(E9856,'Condensed Specialty Crosswalk'!$A$2:$C$106,2,FALSE),"")</f>
        <v/>
      </c>
      <c r="G9856" s="49" t="str">
        <f>IFERROR(VLOOKUP(E9856,'Condensed Specialty Crosswalk'!$A$2:$C$106,3,FALSE),"")</f>
        <v/>
      </c>
    </row>
    <row r="9857" spans="5:7" ht="15" customHeight="1">
      <c r="E9857" s="49" t="str">
        <f>IFERROR(VLOOKUP(D9857,'taxonomy map'!$A$1:$C$107,2,FALSE),"")</f>
        <v/>
      </c>
      <c r="F9857" s="49" t="str">
        <f>IFERROR(VLOOKUP(E9857,'Condensed Specialty Crosswalk'!$A$2:$C$106,2,FALSE),"")</f>
        <v/>
      </c>
      <c r="G9857" s="49" t="str">
        <f>IFERROR(VLOOKUP(E9857,'Condensed Specialty Crosswalk'!$A$2:$C$106,3,FALSE),"")</f>
        <v/>
      </c>
    </row>
    <row r="9858" spans="5:7" ht="15" customHeight="1">
      <c r="E9858" s="49" t="str">
        <f>IFERROR(VLOOKUP(D9858,'taxonomy map'!$A$1:$C$107,2,FALSE),"")</f>
        <v/>
      </c>
      <c r="F9858" s="49" t="str">
        <f>IFERROR(VLOOKUP(E9858,'Condensed Specialty Crosswalk'!$A$2:$C$106,2,FALSE),"")</f>
        <v/>
      </c>
      <c r="G9858" s="49" t="str">
        <f>IFERROR(VLOOKUP(E9858,'Condensed Specialty Crosswalk'!$A$2:$C$106,3,FALSE),"")</f>
        <v/>
      </c>
    </row>
    <row r="9859" spans="5:7" ht="15" customHeight="1">
      <c r="E9859" s="49" t="str">
        <f>IFERROR(VLOOKUP(D9859,'taxonomy map'!$A$1:$C$107,2,FALSE),"")</f>
        <v/>
      </c>
      <c r="F9859" s="49" t="str">
        <f>IFERROR(VLOOKUP(E9859,'Condensed Specialty Crosswalk'!$A$2:$C$106,2,FALSE),"")</f>
        <v/>
      </c>
      <c r="G9859" s="49" t="str">
        <f>IFERROR(VLOOKUP(E9859,'Condensed Specialty Crosswalk'!$A$2:$C$106,3,FALSE),"")</f>
        <v/>
      </c>
    </row>
    <row r="9860" spans="5:7" ht="15" customHeight="1">
      <c r="E9860" s="49" t="str">
        <f>IFERROR(VLOOKUP(D9860,'taxonomy map'!$A$1:$C$107,2,FALSE),"")</f>
        <v/>
      </c>
      <c r="F9860" s="49" t="str">
        <f>IFERROR(VLOOKUP(E9860,'Condensed Specialty Crosswalk'!$A$2:$C$106,2,FALSE),"")</f>
        <v/>
      </c>
      <c r="G9860" s="49" t="str">
        <f>IFERROR(VLOOKUP(E9860,'Condensed Specialty Crosswalk'!$A$2:$C$106,3,FALSE),"")</f>
        <v/>
      </c>
    </row>
    <row r="9861" spans="5:7" ht="15" customHeight="1">
      <c r="E9861" s="49" t="str">
        <f>IFERROR(VLOOKUP(D9861,'taxonomy map'!$A$1:$C$107,2,FALSE),"")</f>
        <v/>
      </c>
      <c r="F9861" s="49" t="str">
        <f>IFERROR(VLOOKUP(E9861,'Condensed Specialty Crosswalk'!$A$2:$C$106,2,FALSE),"")</f>
        <v/>
      </c>
      <c r="G9861" s="49" t="str">
        <f>IFERROR(VLOOKUP(E9861,'Condensed Specialty Crosswalk'!$A$2:$C$106,3,FALSE),"")</f>
        <v/>
      </c>
    </row>
    <row r="9862" spans="5:7" ht="15" customHeight="1">
      <c r="E9862" s="49" t="str">
        <f>IFERROR(VLOOKUP(D9862,'taxonomy map'!$A$1:$C$107,2,FALSE),"")</f>
        <v/>
      </c>
      <c r="F9862" s="49" t="str">
        <f>IFERROR(VLOOKUP(E9862,'Condensed Specialty Crosswalk'!$A$2:$C$106,2,FALSE),"")</f>
        <v/>
      </c>
      <c r="G9862" s="49" t="str">
        <f>IFERROR(VLOOKUP(E9862,'Condensed Specialty Crosswalk'!$A$2:$C$106,3,FALSE),"")</f>
        <v/>
      </c>
    </row>
    <row r="9863" spans="5:7" ht="15" customHeight="1">
      <c r="E9863" s="49" t="str">
        <f>IFERROR(VLOOKUP(D9863,'taxonomy map'!$A$1:$C$107,2,FALSE),"")</f>
        <v/>
      </c>
      <c r="F9863" s="49" t="str">
        <f>IFERROR(VLOOKUP(E9863,'Condensed Specialty Crosswalk'!$A$2:$C$106,2,FALSE),"")</f>
        <v/>
      </c>
      <c r="G9863" s="49" t="str">
        <f>IFERROR(VLOOKUP(E9863,'Condensed Specialty Crosswalk'!$A$2:$C$106,3,FALSE),"")</f>
        <v/>
      </c>
    </row>
    <row r="9864" spans="5:7" ht="15" customHeight="1">
      <c r="E9864" s="49" t="str">
        <f>IFERROR(VLOOKUP(D9864,'taxonomy map'!$A$1:$C$107,2,FALSE),"")</f>
        <v/>
      </c>
      <c r="F9864" s="49" t="str">
        <f>IFERROR(VLOOKUP(E9864,'Condensed Specialty Crosswalk'!$A$2:$C$106,2,FALSE),"")</f>
        <v/>
      </c>
      <c r="G9864" s="49" t="str">
        <f>IFERROR(VLOOKUP(E9864,'Condensed Specialty Crosswalk'!$A$2:$C$106,3,FALSE),"")</f>
        <v/>
      </c>
    </row>
    <row r="9865" spans="5:7" ht="15" customHeight="1">
      <c r="E9865" s="49" t="str">
        <f>IFERROR(VLOOKUP(D9865,'taxonomy map'!$A$1:$C$107,2,FALSE),"")</f>
        <v/>
      </c>
      <c r="F9865" s="49" t="str">
        <f>IFERROR(VLOOKUP(E9865,'Condensed Specialty Crosswalk'!$A$2:$C$106,2,FALSE),"")</f>
        <v/>
      </c>
      <c r="G9865" s="49" t="str">
        <f>IFERROR(VLOOKUP(E9865,'Condensed Specialty Crosswalk'!$A$2:$C$106,3,FALSE),"")</f>
        <v/>
      </c>
    </row>
    <row r="9866" spans="5:7" ht="15" customHeight="1">
      <c r="E9866" s="49" t="str">
        <f>IFERROR(VLOOKUP(D9866,'taxonomy map'!$A$1:$C$107,2,FALSE),"")</f>
        <v/>
      </c>
      <c r="F9866" s="49" t="str">
        <f>IFERROR(VLOOKUP(E9866,'Condensed Specialty Crosswalk'!$A$2:$C$106,2,FALSE),"")</f>
        <v/>
      </c>
      <c r="G9866" s="49" t="str">
        <f>IFERROR(VLOOKUP(E9866,'Condensed Specialty Crosswalk'!$A$2:$C$106,3,FALSE),"")</f>
        <v/>
      </c>
    </row>
    <row r="9867" spans="5:7" ht="15" customHeight="1">
      <c r="E9867" s="49" t="str">
        <f>IFERROR(VLOOKUP(D9867,'taxonomy map'!$A$1:$C$107,2,FALSE),"")</f>
        <v/>
      </c>
      <c r="F9867" s="49" t="str">
        <f>IFERROR(VLOOKUP(E9867,'Condensed Specialty Crosswalk'!$A$2:$C$106,2,FALSE),"")</f>
        <v/>
      </c>
      <c r="G9867" s="49" t="str">
        <f>IFERROR(VLOOKUP(E9867,'Condensed Specialty Crosswalk'!$A$2:$C$106,3,FALSE),"")</f>
        <v/>
      </c>
    </row>
    <row r="9868" spans="5:7" ht="15" customHeight="1">
      <c r="E9868" s="49" t="str">
        <f>IFERROR(VLOOKUP(D9868,'taxonomy map'!$A$1:$C$107,2,FALSE),"")</f>
        <v/>
      </c>
      <c r="F9868" s="49" t="str">
        <f>IFERROR(VLOOKUP(E9868,'Condensed Specialty Crosswalk'!$A$2:$C$106,2,FALSE),"")</f>
        <v/>
      </c>
      <c r="G9868" s="49" t="str">
        <f>IFERROR(VLOOKUP(E9868,'Condensed Specialty Crosswalk'!$A$2:$C$106,3,FALSE),"")</f>
        <v/>
      </c>
    </row>
    <row r="9869" spans="5:7" ht="15" customHeight="1">
      <c r="E9869" s="49" t="str">
        <f>IFERROR(VLOOKUP(D9869,'taxonomy map'!$A$1:$C$107,2,FALSE),"")</f>
        <v/>
      </c>
      <c r="F9869" s="49" t="str">
        <f>IFERROR(VLOOKUP(E9869,'Condensed Specialty Crosswalk'!$A$2:$C$106,2,FALSE),"")</f>
        <v/>
      </c>
      <c r="G9869" s="49" t="str">
        <f>IFERROR(VLOOKUP(E9869,'Condensed Specialty Crosswalk'!$A$2:$C$106,3,FALSE),"")</f>
        <v/>
      </c>
    </row>
    <row r="9870" spans="5:7" ht="15" customHeight="1">
      <c r="E9870" s="49" t="str">
        <f>IFERROR(VLOOKUP(D9870,'taxonomy map'!$A$1:$C$107,2,FALSE),"")</f>
        <v/>
      </c>
      <c r="F9870" s="49" t="str">
        <f>IFERROR(VLOOKUP(E9870,'Condensed Specialty Crosswalk'!$A$2:$C$106,2,FALSE),"")</f>
        <v/>
      </c>
      <c r="G9870" s="49" t="str">
        <f>IFERROR(VLOOKUP(E9870,'Condensed Specialty Crosswalk'!$A$2:$C$106,3,FALSE),"")</f>
        <v/>
      </c>
    </row>
    <row r="9871" spans="5:7" ht="15" customHeight="1">
      <c r="E9871" s="49" t="str">
        <f>IFERROR(VLOOKUP(D9871,'taxonomy map'!$A$1:$C$107,2,FALSE),"")</f>
        <v/>
      </c>
      <c r="F9871" s="49" t="str">
        <f>IFERROR(VLOOKUP(E9871,'Condensed Specialty Crosswalk'!$A$2:$C$106,2,FALSE),"")</f>
        <v/>
      </c>
      <c r="G9871" s="49" t="str">
        <f>IFERROR(VLOOKUP(E9871,'Condensed Specialty Crosswalk'!$A$2:$C$106,3,FALSE),"")</f>
        <v/>
      </c>
    </row>
    <row r="9872" spans="5:7" ht="15" customHeight="1">
      <c r="E9872" s="49" t="str">
        <f>IFERROR(VLOOKUP(D9872,'taxonomy map'!$A$1:$C$107,2,FALSE),"")</f>
        <v/>
      </c>
      <c r="F9872" s="49" t="str">
        <f>IFERROR(VLOOKUP(E9872,'Condensed Specialty Crosswalk'!$A$2:$C$106,2,FALSE),"")</f>
        <v/>
      </c>
      <c r="G9872" s="49" t="str">
        <f>IFERROR(VLOOKUP(E9872,'Condensed Specialty Crosswalk'!$A$2:$C$106,3,FALSE),"")</f>
        <v/>
      </c>
    </row>
    <row r="9873" spans="5:7" ht="15" customHeight="1">
      <c r="E9873" s="49" t="str">
        <f>IFERROR(VLOOKUP(D9873,'taxonomy map'!$A$1:$C$107,2,FALSE),"")</f>
        <v/>
      </c>
      <c r="F9873" s="49" t="str">
        <f>IFERROR(VLOOKUP(E9873,'Condensed Specialty Crosswalk'!$A$2:$C$106,2,FALSE),"")</f>
        <v/>
      </c>
      <c r="G9873" s="49" t="str">
        <f>IFERROR(VLOOKUP(E9873,'Condensed Specialty Crosswalk'!$A$2:$C$106,3,FALSE),"")</f>
        <v/>
      </c>
    </row>
    <row r="9874" spans="5:7" ht="15" customHeight="1">
      <c r="E9874" s="49" t="str">
        <f>IFERROR(VLOOKUP(D9874,'taxonomy map'!$A$1:$C$107,2,FALSE),"")</f>
        <v/>
      </c>
      <c r="F9874" s="49" t="str">
        <f>IFERROR(VLOOKUP(E9874,'Condensed Specialty Crosswalk'!$A$2:$C$106,2,FALSE),"")</f>
        <v/>
      </c>
      <c r="G9874" s="49" t="str">
        <f>IFERROR(VLOOKUP(E9874,'Condensed Specialty Crosswalk'!$A$2:$C$106,3,FALSE),"")</f>
        <v/>
      </c>
    </row>
    <row r="9875" spans="5:7" ht="15" customHeight="1">
      <c r="E9875" s="49" t="str">
        <f>IFERROR(VLOOKUP(D9875,'taxonomy map'!$A$1:$C$107,2,FALSE),"")</f>
        <v/>
      </c>
      <c r="F9875" s="49" t="str">
        <f>IFERROR(VLOOKUP(E9875,'Condensed Specialty Crosswalk'!$A$2:$C$106,2,FALSE),"")</f>
        <v/>
      </c>
      <c r="G9875" s="49" t="str">
        <f>IFERROR(VLOOKUP(E9875,'Condensed Specialty Crosswalk'!$A$2:$C$106,3,FALSE),"")</f>
        <v/>
      </c>
    </row>
    <row r="9876" spans="5:7" ht="15" customHeight="1">
      <c r="E9876" s="49" t="str">
        <f>IFERROR(VLOOKUP(D9876,'taxonomy map'!$A$1:$C$107,2,FALSE),"")</f>
        <v/>
      </c>
      <c r="F9876" s="49" t="str">
        <f>IFERROR(VLOOKUP(E9876,'Condensed Specialty Crosswalk'!$A$2:$C$106,2,FALSE),"")</f>
        <v/>
      </c>
      <c r="G9876" s="49" t="str">
        <f>IFERROR(VLOOKUP(E9876,'Condensed Specialty Crosswalk'!$A$2:$C$106,3,FALSE),"")</f>
        <v/>
      </c>
    </row>
    <row r="9877" spans="5:7" ht="15" customHeight="1">
      <c r="E9877" s="49" t="str">
        <f>IFERROR(VLOOKUP(D9877,'taxonomy map'!$A$1:$C$107,2,FALSE),"")</f>
        <v/>
      </c>
      <c r="F9877" s="49" t="str">
        <f>IFERROR(VLOOKUP(E9877,'Condensed Specialty Crosswalk'!$A$2:$C$106,2,FALSE),"")</f>
        <v/>
      </c>
      <c r="G9877" s="49" t="str">
        <f>IFERROR(VLOOKUP(E9877,'Condensed Specialty Crosswalk'!$A$2:$C$106,3,FALSE),"")</f>
        <v/>
      </c>
    </row>
    <row r="9878" spans="5:7" ht="15" customHeight="1">
      <c r="E9878" s="49" t="str">
        <f>IFERROR(VLOOKUP(D9878,'taxonomy map'!$A$1:$C$107,2,FALSE),"")</f>
        <v/>
      </c>
      <c r="F9878" s="49" t="str">
        <f>IFERROR(VLOOKUP(E9878,'Condensed Specialty Crosswalk'!$A$2:$C$106,2,FALSE),"")</f>
        <v/>
      </c>
      <c r="G9878" s="49" t="str">
        <f>IFERROR(VLOOKUP(E9878,'Condensed Specialty Crosswalk'!$A$2:$C$106,3,FALSE),"")</f>
        <v/>
      </c>
    </row>
    <row r="9879" spans="5:7" ht="15" customHeight="1">
      <c r="E9879" s="49" t="str">
        <f>IFERROR(VLOOKUP(D9879,'taxonomy map'!$A$1:$C$107,2,FALSE),"")</f>
        <v/>
      </c>
      <c r="F9879" s="49" t="str">
        <f>IFERROR(VLOOKUP(E9879,'Condensed Specialty Crosswalk'!$A$2:$C$106,2,FALSE),"")</f>
        <v/>
      </c>
      <c r="G9879" s="49" t="str">
        <f>IFERROR(VLOOKUP(E9879,'Condensed Specialty Crosswalk'!$A$2:$C$106,3,FALSE),"")</f>
        <v/>
      </c>
    </row>
    <row r="9880" spans="5:7" ht="15" customHeight="1">
      <c r="E9880" s="49" t="str">
        <f>IFERROR(VLOOKUP(D9880,'taxonomy map'!$A$1:$C$107,2,FALSE),"")</f>
        <v/>
      </c>
      <c r="F9880" s="49" t="str">
        <f>IFERROR(VLOOKUP(E9880,'Condensed Specialty Crosswalk'!$A$2:$C$106,2,FALSE),"")</f>
        <v/>
      </c>
      <c r="G9880" s="49" t="str">
        <f>IFERROR(VLOOKUP(E9880,'Condensed Specialty Crosswalk'!$A$2:$C$106,3,FALSE),"")</f>
        <v/>
      </c>
    </row>
    <row r="9881" spans="5:7" ht="15" customHeight="1">
      <c r="E9881" s="49" t="str">
        <f>IFERROR(VLOOKUP(D9881,'taxonomy map'!$A$1:$C$107,2,FALSE),"")</f>
        <v/>
      </c>
      <c r="F9881" s="49" t="str">
        <f>IFERROR(VLOOKUP(E9881,'Condensed Specialty Crosswalk'!$A$2:$C$106,2,FALSE),"")</f>
        <v/>
      </c>
      <c r="G9881" s="49" t="str">
        <f>IFERROR(VLOOKUP(E9881,'Condensed Specialty Crosswalk'!$A$2:$C$106,3,FALSE),"")</f>
        <v/>
      </c>
    </row>
    <row r="9882" spans="5:7" ht="15" customHeight="1">
      <c r="E9882" s="49" t="str">
        <f>IFERROR(VLOOKUP(D9882,'taxonomy map'!$A$1:$C$107,2,FALSE),"")</f>
        <v/>
      </c>
      <c r="F9882" s="49" t="str">
        <f>IFERROR(VLOOKUP(E9882,'Condensed Specialty Crosswalk'!$A$2:$C$106,2,FALSE),"")</f>
        <v/>
      </c>
      <c r="G9882" s="49" t="str">
        <f>IFERROR(VLOOKUP(E9882,'Condensed Specialty Crosswalk'!$A$2:$C$106,3,FALSE),"")</f>
        <v/>
      </c>
    </row>
    <row r="9883" spans="5:7" ht="15" customHeight="1">
      <c r="E9883" s="49" t="str">
        <f>IFERROR(VLOOKUP(D9883,'taxonomy map'!$A$1:$C$107,2,FALSE),"")</f>
        <v/>
      </c>
      <c r="F9883" s="49" t="str">
        <f>IFERROR(VLOOKUP(E9883,'Condensed Specialty Crosswalk'!$A$2:$C$106,2,FALSE),"")</f>
        <v/>
      </c>
      <c r="G9883" s="49" t="str">
        <f>IFERROR(VLOOKUP(E9883,'Condensed Specialty Crosswalk'!$A$2:$C$106,3,FALSE),"")</f>
        <v/>
      </c>
    </row>
    <row r="9884" spans="5:7" ht="15" customHeight="1">
      <c r="E9884" s="49" t="str">
        <f>IFERROR(VLOOKUP(D9884,'taxonomy map'!$A$1:$C$107,2,FALSE),"")</f>
        <v/>
      </c>
      <c r="F9884" s="49" t="str">
        <f>IFERROR(VLOOKUP(E9884,'Condensed Specialty Crosswalk'!$A$2:$C$106,2,FALSE),"")</f>
        <v/>
      </c>
      <c r="G9884" s="49" t="str">
        <f>IFERROR(VLOOKUP(E9884,'Condensed Specialty Crosswalk'!$A$2:$C$106,3,FALSE),"")</f>
        <v/>
      </c>
    </row>
    <row r="9885" spans="5:7" ht="15" customHeight="1">
      <c r="E9885" s="49" t="str">
        <f>IFERROR(VLOOKUP(D9885,'taxonomy map'!$A$1:$C$107,2,FALSE),"")</f>
        <v/>
      </c>
      <c r="F9885" s="49" t="str">
        <f>IFERROR(VLOOKUP(E9885,'Condensed Specialty Crosswalk'!$A$2:$C$106,2,FALSE),"")</f>
        <v/>
      </c>
      <c r="G9885" s="49" t="str">
        <f>IFERROR(VLOOKUP(E9885,'Condensed Specialty Crosswalk'!$A$2:$C$106,3,FALSE),"")</f>
        <v/>
      </c>
    </row>
    <row r="9886" spans="5:7" ht="15" customHeight="1">
      <c r="E9886" s="49" t="str">
        <f>IFERROR(VLOOKUP(D9886,'taxonomy map'!$A$1:$C$107,2,FALSE),"")</f>
        <v/>
      </c>
      <c r="F9886" s="49" t="str">
        <f>IFERROR(VLOOKUP(E9886,'Condensed Specialty Crosswalk'!$A$2:$C$106,2,FALSE),"")</f>
        <v/>
      </c>
      <c r="G9886" s="49" t="str">
        <f>IFERROR(VLOOKUP(E9886,'Condensed Specialty Crosswalk'!$A$2:$C$106,3,FALSE),"")</f>
        <v/>
      </c>
    </row>
    <row r="9887" spans="5:7" ht="15" customHeight="1">
      <c r="E9887" s="49" t="str">
        <f>IFERROR(VLOOKUP(D9887,'taxonomy map'!$A$1:$C$107,2,FALSE),"")</f>
        <v/>
      </c>
      <c r="F9887" s="49" t="str">
        <f>IFERROR(VLOOKUP(E9887,'Condensed Specialty Crosswalk'!$A$2:$C$106,2,FALSE),"")</f>
        <v/>
      </c>
      <c r="G9887" s="49" t="str">
        <f>IFERROR(VLOOKUP(E9887,'Condensed Specialty Crosswalk'!$A$2:$C$106,3,FALSE),"")</f>
        <v/>
      </c>
    </row>
    <row r="9888" spans="5:7" ht="15" customHeight="1">
      <c r="E9888" s="49" t="str">
        <f>IFERROR(VLOOKUP(D9888,'taxonomy map'!$A$1:$C$107,2,FALSE),"")</f>
        <v/>
      </c>
      <c r="F9888" s="49" t="str">
        <f>IFERROR(VLOOKUP(E9888,'Condensed Specialty Crosswalk'!$A$2:$C$106,2,FALSE),"")</f>
        <v/>
      </c>
      <c r="G9888" s="49" t="str">
        <f>IFERROR(VLOOKUP(E9888,'Condensed Specialty Crosswalk'!$A$2:$C$106,3,FALSE),"")</f>
        <v/>
      </c>
    </row>
    <row r="9889" spans="5:7" ht="15" customHeight="1">
      <c r="E9889" s="49" t="str">
        <f>IFERROR(VLOOKUP(D9889,'taxonomy map'!$A$1:$C$107,2,FALSE),"")</f>
        <v/>
      </c>
      <c r="F9889" s="49" t="str">
        <f>IFERROR(VLOOKUP(E9889,'Condensed Specialty Crosswalk'!$A$2:$C$106,2,FALSE),"")</f>
        <v/>
      </c>
      <c r="G9889" s="49" t="str">
        <f>IFERROR(VLOOKUP(E9889,'Condensed Specialty Crosswalk'!$A$2:$C$106,3,FALSE),"")</f>
        <v/>
      </c>
    </row>
    <row r="9890" spans="5:7" ht="15" customHeight="1">
      <c r="E9890" s="49" t="str">
        <f>IFERROR(VLOOKUP(D9890,'taxonomy map'!$A$1:$C$107,2,FALSE),"")</f>
        <v/>
      </c>
      <c r="F9890" s="49" t="str">
        <f>IFERROR(VLOOKUP(E9890,'Condensed Specialty Crosswalk'!$A$2:$C$106,2,FALSE),"")</f>
        <v/>
      </c>
      <c r="G9890" s="49" t="str">
        <f>IFERROR(VLOOKUP(E9890,'Condensed Specialty Crosswalk'!$A$2:$C$106,3,FALSE),"")</f>
        <v/>
      </c>
    </row>
    <row r="9891" spans="5:7" ht="15" customHeight="1">
      <c r="E9891" s="49" t="str">
        <f>IFERROR(VLOOKUP(D9891,'taxonomy map'!$A$1:$C$107,2,FALSE),"")</f>
        <v/>
      </c>
      <c r="F9891" s="49" t="str">
        <f>IFERROR(VLOOKUP(E9891,'Condensed Specialty Crosswalk'!$A$2:$C$106,2,FALSE),"")</f>
        <v/>
      </c>
      <c r="G9891" s="49" t="str">
        <f>IFERROR(VLOOKUP(E9891,'Condensed Specialty Crosswalk'!$A$2:$C$106,3,FALSE),"")</f>
        <v/>
      </c>
    </row>
    <row r="9892" spans="5:7" ht="15" customHeight="1">
      <c r="E9892" s="49" t="str">
        <f>IFERROR(VLOOKUP(D9892,'taxonomy map'!$A$1:$C$107,2,FALSE),"")</f>
        <v/>
      </c>
      <c r="F9892" s="49" t="str">
        <f>IFERROR(VLOOKUP(E9892,'Condensed Specialty Crosswalk'!$A$2:$C$106,2,FALSE),"")</f>
        <v/>
      </c>
      <c r="G9892" s="49" t="str">
        <f>IFERROR(VLOOKUP(E9892,'Condensed Specialty Crosswalk'!$A$2:$C$106,3,FALSE),"")</f>
        <v/>
      </c>
    </row>
    <row r="9893" spans="5:7" ht="15" customHeight="1">
      <c r="E9893" s="49" t="str">
        <f>IFERROR(VLOOKUP(D9893,'taxonomy map'!$A$1:$C$107,2,FALSE),"")</f>
        <v/>
      </c>
      <c r="F9893" s="49" t="str">
        <f>IFERROR(VLOOKUP(E9893,'Condensed Specialty Crosswalk'!$A$2:$C$106,2,FALSE),"")</f>
        <v/>
      </c>
      <c r="G9893" s="49" t="str">
        <f>IFERROR(VLOOKUP(E9893,'Condensed Specialty Crosswalk'!$A$2:$C$106,3,FALSE),"")</f>
        <v/>
      </c>
    </row>
    <row r="9894" spans="5:7" ht="15" customHeight="1">
      <c r="E9894" s="49" t="str">
        <f>IFERROR(VLOOKUP(D9894,'taxonomy map'!$A$1:$C$107,2,FALSE),"")</f>
        <v/>
      </c>
      <c r="F9894" s="49" t="str">
        <f>IFERROR(VLOOKUP(E9894,'Condensed Specialty Crosswalk'!$A$2:$C$106,2,FALSE),"")</f>
        <v/>
      </c>
      <c r="G9894" s="49" t="str">
        <f>IFERROR(VLOOKUP(E9894,'Condensed Specialty Crosswalk'!$A$2:$C$106,3,FALSE),"")</f>
        <v/>
      </c>
    </row>
    <row r="9895" spans="5:7" ht="15" customHeight="1">
      <c r="E9895" s="49" t="str">
        <f>IFERROR(VLOOKUP(D9895,'taxonomy map'!$A$1:$C$107,2,FALSE),"")</f>
        <v/>
      </c>
      <c r="F9895" s="49" t="str">
        <f>IFERROR(VLOOKUP(E9895,'Condensed Specialty Crosswalk'!$A$2:$C$106,2,FALSE),"")</f>
        <v/>
      </c>
      <c r="G9895" s="49" t="str">
        <f>IFERROR(VLOOKUP(E9895,'Condensed Specialty Crosswalk'!$A$2:$C$106,3,FALSE),"")</f>
        <v/>
      </c>
    </row>
    <row r="9896" spans="5:7" ht="15" customHeight="1">
      <c r="E9896" s="49" t="str">
        <f>IFERROR(VLOOKUP(D9896,'taxonomy map'!$A$1:$C$107,2,FALSE),"")</f>
        <v/>
      </c>
      <c r="F9896" s="49" t="str">
        <f>IFERROR(VLOOKUP(E9896,'Condensed Specialty Crosswalk'!$A$2:$C$106,2,FALSE),"")</f>
        <v/>
      </c>
      <c r="G9896" s="49" t="str">
        <f>IFERROR(VLOOKUP(E9896,'Condensed Specialty Crosswalk'!$A$2:$C$106,3,FALSE),"")</f>
        <v/>
      </c>
    </row>
    <row r="9897" spans="5:7" ht="15" customHeight="1">
      <c r="E9897" s="49" t="str">
        <f>IFERROR(VLOOKUP(D9897,'taxonomy map'!$A$1:$C$107,2,FALSE),"")</f>
        <v/>
      </c>
      <c r="F9897" s="49" t="str">
        <f>IFERROR(VLOOKUP(E9897,'Condensed Specialty Crosswalk'!$A$2:$C$106,2,FALSE),"")</f>
        <v/>
      </c>
      <c r="G9897" s="49" t="str">
        <f>IFERROR(VLOOKUP(E9897,'Condensed Specialty Crosswalk'!$A$2:$C$106,3,FALSE),"")</f>
        <v/>
      </c>
    </row>
    <row r="9898" spans="5:7" ht="15" customHeight="1">
      <c r="E9898" s="49" t="str">
        <f>IFERROR(VLOOKUP(D9898,'taxonomy map'!$A$1:$C$107,2,FALSE),"")</f>
        <v/>
      </c>
      <c r="F9898" s="49" t="str">
        <f>IFERROR(VLOOKUP(E9898,'Condensed Specialty Crosswalk'!$A$2:$C$106,2,FALSE),"")</f>
        <v/>
      </c>
      <c r="G9898" s="49" t="str">
        <f>IFERROR(VLOOKUP(E9898,'Condensed Specialty Crosswalk'!$A$2:$C$106,3,FALSE),"")</f>
        <v/>
      </c>
    </row>
    <row r="9899" spans="5:7" ht="15" customHeight="1">
      <c r="E9899" s="49" t="str">
        <f>IFERROR(VLOOKUP(D9899,'taxonomy map'!$A$1:$C$107,2,FALSE),"")</f>
        <v/>
      </c>
      <c r="F9899" s="49" t="str">
        <f>IFERROR(VLOOKUP(E9899,'Condensed Specialty Crosswalk'!$A$2:$C$106,2,FALSE),"")</f>
        <v/>
      </c>
      <c r="G9899" s="49" t="str">
        <f>IFERROR(VLOOKUP(E9899,'Condensed Specialty Crosswalk'!$A$2:$C$106,3,FALSE),"")</f>
        <v/>
      </c>
    </row>
    <row r="9900" spans="5:7" ht="15" customHeight="1">
      <c r="E9900" s="49" t="str">
        <f>IFERROR(VLOOKUP(D9900,'taxonomy map'!$A$1:$C$107,2,FALSE),"")</f>
        <v/>
      </c>
      <c r="F9900" s="49" t="str">
        <f>IFERROR(VLOOKUP(E9900,'Condensed Specialty Crosswalk'!$A$2:$C$106,2,FALSE),"")</f>
        <v/>
      </c>
      <c r="G9900" s="49" t="str">
        <f>IFERROR(VLOOKUP(E9900,'Condensed Specialty Crosswalk'!$A$2:$C$106,3,FALSE),"")</f>
        <v/>
      </c>
    </row>
    <row r="9901" spans="5:7" ht="15" customHeight="1">
      <c r="E9901" s="49" t="str">
        <f>IFERROR(VLOOKUP(D9901,'taxonomy map'!$A$1:$C$107,2,FALSE),"")</f>
        <v/>
      </c>
      <c r="F9901" s="49" t="str">
        <f>IFERROR(VLOOKUP(E9901,'Condensed Specialty Crosswalk'!$A$2:$C$106,2,FALSE),"")</f>
        <v/>
      </c>
      <c r="G9901" s="49" t="str">
        <f>IFERROR(VLOOKUP(E9901,'Condensed Specialty Crosswalk'!$A$2:$C$106,3,FALSE),"")</f>
        <v/>
      </c>
    </row>
    <row r="9902" spans="5:7" ht="15" customHeight="1">
      <c r="E9902" s="49" t="str">
        <f>IFERROR(VLOOKUP(D9902,'taxonomy map'!$A$1:$C$107,2,FALSE),"")</f>
        <v/>
      </c>
      <c r="F9902" s="49" t="str">
        <f>IFERROR(VLOOKUP(E9902,'Condensed Specialty Crosswalk'!$A$2:$C$106,2,FALSE),"")</f>
        <v/>
      </c>
      <c r="G9902" s="49" t="str">
        <f>IFERROR(VLOOKUP(E9902,'Condensed Specialty Crosswalk'!$A$2:$C$106,3,FALSE),"")</f>
        <v/>
      </c>
    </row>
    <row r="9903" spans="5:7" ht="15" customHeight="1">
      <c r="E9903" s="49" t="str">
        <f>IFERROR(VLOOKUP(D9903,'taxonomy map'!$A$1:$C$107,2,FALSE),"")</f>
        <v/>
      </c>
      <c r="F9903" s="49" t="str">
        <f>IFERROR(VLOOKUP(E9903,'Condensed Specialty Crosswalk'!$A$2:$C$106,2,FALSE),"")</f>
        <v/>
      </c>
      <c r="G9903" s="49" t="str">
        <f>IFERROR(VLOOKUP(E9903,'Condensed Specialty Crosswalk'!$A$2:$C$106,3,FALSE),"")</f>
        <v/>
      </c>
    </row>
    <row r="9904" spans="5:7" ht="15" customHeight="1">
      <c r="E9904" s="49" t="str">
        <f>IFERROR(VLOOKUP(D9904,'taxonomy map'!$A$1:$C$107,2,FALSE),"")</f>
        <v/>
      </c>
      <c r="F9904" s="49" t="str">
        <f>IFERROR(VLOOKUP(E9904,'Condensed Specialty Crosswalk'!$A$2:$C$106,2,FALSE),"")</f>
        <v/>
      </c>
      <c r="G9904" s="49" t="str">
        <f>IFERROR(VLOOKUP(E9904,'Condensed Specialty Crosswalk'!$A$2:$C$106,3,FALSE),"")</f>
        <v/>
      </c>
    </row>
    <row r="9905" spans="5:7" ht="15" customHeight="1">
      <c r="E9905" s="49" t="str">
        <f>IFERROR(VLOOKUP(D9905,'taxonomy map'!$A$1:$C$107,2,FALSE),"")</f>
        <v/>
      </c>
      <c r="F9905" s="49" t="str">
        <f>IFERROR(VLOOKUP(E9905,'Condensed Specialty Crosswalk'!$A$2:$C$106,2,FALSE),"")</f>
        <v/>
      </c>
      <c r="G9905" s="49" t="str">
        <f>IFERROR(VLOOKUP(E9905,'Condensed Specialty Crosswalk'!$A$2:$C$106,3,FALSE),"")</f>
        <v/>
      </c>
    </row>
    <row r="9906" spans="5:7" ht="15" customHeight="1">
      <c r="E9906" s="49" t="str">
        <f>IFERROR(VLOOKUP(D9906,'taxonomy map'!$A$1:$C$107,2,FALSE),"")</f>
        <v/>
      </c>
      <c r="F9906" s="49" t="str">
        <f>IFERROR(VLOOKUP(E9906,'Condensed Specialty Crosswalk'!$A$2:$C$106,2,FALSE),"")</f>
        <v/>
      </c>
      <c r="G9906" s="49" t="str">
        <f>IFERROR(VLOOKUP(E9906,'Condensed Specialty Crosswalk'!$A$2:$C$106,3,FALSE),"")</f>
        <v/>
      </c>
    </row>
    <row r="9907" spans="5:7" ht="15" customHeight="1">
      <c r="E9907" s="49" t="str">
        <f>IFERROR(VLOOKUP(D9907,'taxonomy map'!$A$1:$C$107,2,FALSE),"")</f>
        <v/>
      </c>
      <c r="F9907" s="49" t="str">
        <f>IFERROR(VLOOKUP(E9907,'Condensed Specialty Crosswalk'!$A$2:$C$106,2,FALSE),"")</f>
        <v/>
      </c>
      <c r="G9907" s="49" t="str">
        <f>IFERROR(VLOOKUP(E9907,'Condensed Specialty Crosswalk'!$A$2:$C$106,3,FALSE),"")</f>
        <v/>
      </c>
    </row>
    <row r="9908" spans="5:7" ht="15" customHeight="1">
      <c r="E9908" s="49" t="str">
        <f>IFERROR(VLOOKUP(D9908,'taxonomy map'!$A$1:$C$107,2,FALSE),"")</f>
        <v/>
      </c>
      <c r="F9908" s="49" t="str">
        <f>IFERROR(VLOOKUP(E9908,'Condensed Specialty Crosswalk'!$A$2:$C$106,2,FALSE),"")</f>
        <v/>
      </c>
      <c r="G9908" s="49" t="str">
        <f>IFERROR(VLOOKUP(E9908,'Condensed Specialty Crosswalk'!$A$2:$C$106,3,FALSE),"")</f>
        <v/>
      </c>
    </row>
    <row r="9909" spans="5:7" ht="15" customHeight="1">
      <c r="E9909" s="49" t="str">
        <f>IFERROR(VLOOKUP(D9909,'taxonomy map'!$A$1:$C$107,2,FALSE),"")</f>
        <v/>
      </c>
      <c r="F9909" s="49" t="str">
        <f>IFERROR(VLOOKUP(E9909,'Condensed Specialty Crosswalk'!$A$2:$C$106,2,FALSE),"")</f>
        <v/>
      </c>
      <c r="G9909" s="49" t="str">
        <f>IFERROR(VLOOKUP(E9909,'Condensed Specialty Crosswalk'!$A$2:$C$106,3,FALSE),"")</f>
        <v/>
      </c>
    </row>
    <row r="9910" spans="5:7" ht="15" customHeight="1">
      <c r="E9910" s="49" t="str">
        <f>IFERROR(VLOOKUP(D9910,'taxonomy map'!$A$1:$C$107,2,FALSE),"")</f>
        <v/>
      </c>
      <c r="F9910" s="49" t="str">
        <f>IFERROR(VLOOKUP(E9910,'Condensed Specialty Crosswalk'!$A$2:$C$106,2,FALSE),"")</f>
        <v/>
      </c>
      <c r="G9910" s="49" t="str">
        <f>IFERROR(VLOOKUP(E9910,'Condensed Specialty Crosswalk'!$A$2:$C$106,3,FALSE),"")</f>
        <v/>
      </c>
    </row>
    <row r="9911" spans="5:7" ht="15" customHeight="1">
      <c r="E9911" s="49" t="str">
        <f>IFERROR(VLOOKUP(D9911,'taxonomy map'!$A$1:$C$107,2,FALSE),"")</f>
        <v/>
      </c>
      <c r="F9911" s="49" t="str">
        <f>IFERROR(VLOOKUP(E9911,'Condensed Specialty Crosswalk'!$A$2:$C$106,2,FALSE),"")</f>
        <v/>
      </c>
      <c r="G9911" s="49" t="str">
        <f>IFERROR(VLOOKUP(E9911,'Condensed Specialty Crosswalk'!$A$2:$C$106,3,FALSE),"")</f>
        <v/>
      </c>
    </row>
    <row r="9912" spans="5:7" ht="15" customHeight="1">
      <c r="E9912" s="49" t="str">
        <f>IFERROR(VLOOKUP(D9912,'taxonomy map'!$A$1:$C$107,2,FALSE),"")</f>
        <v/>
      </c>
      <c r="F9912" s="49" t="str">
        <f>IFERROR(VLOOKUP(E9912,'Condensed Specialty Crosswalk'!$A$2:$C$106,2,FALSE),"")</f>
        <v/>
      </c>
      <c r="G9912" s="49" t="str">
        <f>IFERROR(VLOOKUP(E9912,'Condensed Specialty Crosswalk'!$A$2:$C$106,3,FALSE),"")</f>
        <v/>
      </c>
    </row>
    <row r="9913" spans="5:7" ht="15" customHeight="1">
      <c r="E9913" s="49" t="str">
        <f>IFERROR(VLOOKUP(D9913,'taxonomy map'!$A$1:$C$107,2,FALSE),"")</f>
        <v/>
      </c>
      <c r="F9913" s="49" t="str">
        <f>IFERROR(VLOOKUP(E9913,'Condensed Specialty Crosswalk'!$A$2:$C$106,2,FALSE),"")</f>
        <v/>
      </c>
      <c r="G9913" s="49" t="str">
        <f>IFERROR(VLOOKUP(E9913,'Condensed Specialty Crosswalk'!$A$2:$C$106,3,FALSE),"")</f>
        <v/>
      </c>
    </row>
    <row r="9914" spans="5:7" ht="15" customHeight="1">
      <c r="E9914" s="49" t="str">
        <f>IFERROR(VLOOKUP(D9914,'taxonomy map'!$A$1:$C$107,2,FALSE),"")</f>
        <v/>
      </c>
      <c r="F9914" s="49" t="str">
        <f>IFERROR(VLOOKUP(E9914,'Condensed Specialty Crosswalk'!$A$2:$C$106,2,FALSE),"")</f>
        <v/>
      </c>
      <c r="G9914" s="49" t="str">
        <f>IFERROR(VLOOKUP(E9914,'Condensed Specialty Crosswalk'!$A$2:$C$106,3,FALSE),"")</f>
        <v/>
      </c>
    </row>
    <row r="9915" spans="5:7" ht="15" customHeight="1">
      <c r="E9915" s="49" t="str">
        <f>IFERROR(VLOOKUP(D9915,'taxonomy map'!$A$1:$C$107,2,FALSE),"")</f>
        <v/>
      </c>
      <c r="F9915" s="49" t="str">
        <f>IFERROR(VLOOKUP(E9915,'Condensed Specialty Crosswalk'!$A$2:$C$106,2,FALSE),"")</f>
        <v/>
      </c>
      <c r="G9915" s="49" t="str">
        <f>IFERROR(VLOOKUP(E9915,'Condensed Specialty Crosswalk'!$A$2:$C$106,3,FALSE),"")</f>
        <v/>
      </c>
    </row>
    <row r="9916" spans="5:7" ht="15" customHeight="1">
      <c r="E9916" s="49" t="str">
        <f>IFERROR(VLOOKUP(D9916,'taxonomy map'!$A$1:$C$107,2,FALSE),"")</f>
        <v/>
      </c>
      <c r="F9916" s="49" t="str">
        <f>IFERROR(VLOOKUP(E9916,'Condensed Specialty Crosswalk'!$A$2:$C$106,2,FALSE),"")</f>
        <v/>
      </c>
      <c r="G9916" s="49" t="str">
        <f>IFERROR(VLOOKUP(E9916,'Condensed Specialty Crosswalk'!$A$2:$C$106,3,FALSE),"")</f>
        <v/>
      </c>
    </row>
    <row r="9917" spans="5:7" ht="15" customHeight="1">
      <c r="E9917" s="49" t="str">
        <f>IFERROR(VLOOKUP(D9917,'taxonomy map'!$A$1:$C$107,2,FALSE),"")</f>
        <v/>
      </c>
      <c r="F9917" s="49" t="str">
        <f>IFERROR(VLOOKUP(E9917,'Condensed Specialty Crosswalk'!$A$2:$C$106,2,FALSE),"")</f>
        <v/>
      </c>
      <c r="G9917" s="49" t="str">
        <f>IFERROR(VLOOKUP(E9917,'Condensed Specialty Crosswalk'!$A$2:$C$106,3,FALSE),"")</f>
        <v/>
      </c>
    </row>
    <row r="9918" spans="5:7" ht="15" customHeight="1">
      <c r="E9918" s="49" t="str">
        <f>IFERROR(VLOOKUP(D9918,'taxonomy map'!$A$1:$C$107,2,FALSE),"")</f>
        <v/>
      </c>
      <c r="F9918" s="49" t="str">
        <f>IFERROR(VLOOKUP(E9918,'Condensed Specialty Crosswalk'!$A$2:$C$106,2,FALSE),"")</f>
        <v/>
      </c>
      <c r="G9918" s="49" t="str">
        <f>IFERROR(VLOOKUP(E9918,'Condensed Specialty Crosswalk'!$A$2:$C$106,3,FALSE),"")</f>
        <v/>
      </c>
    </row>
    <row r="9919" spans="5:7" ht="15" customHeight="1">
      <c r="E9919" s="49" t="str">
        <f>IFERROR(VLOOKUP(D9919,'taxonomy map'!$A$1:$C$107,2,FALSE),"")</f>
        <v/>
      </c>
      <c r="F9919" s="49" t="str">
        <f>IFERROR(VLOOKUP(E9919,'Condensed Specialty Crosswalk'!$A$2:$C$106,2,FALSE),"")</f>
        <v/>
      </c>
      <c r="G9919" s="49" t="str">
        <f>IFERROR(VLOOKUP(E9919,'Condensed Specialty Crosswalk'!$A$2:$C$106,3,FALSE),"")</f>
        <v/>
      </c>
    </row>
    <row r="9920" spans="5:7" ht="15" customHeight="1">
      <c r="E9920" s="49" t="str">
        <f>IFERROR(VLOOKUP(D9920,'taxonomy map'!$A$1:$C$107,2,FALSE),"")</f>
        <v/>
      </c>
      <c r="F9920" s="49" t="str">
        <f>IFERROR(VLOOKUP(E9920,'Condensed Specialty Crosswalk'!$A$2:$C$106,2,FALSE),"")</f>
        <v/>
      </c>
      <c r="G9920" s="49" t="str">
        <f>IFERROR(VLOOKUP(E9920,'Condensed Specialty Crosswalk'!$A$2:$C$106,3,FALSE),"")</f>
        <v/>
      </c>
    </row>
    <row r="9921" spans="5:7" ht="15" customHeight="1">
      <c r="E9921" s="49" t="str">
        <f>IFERROR(VLOOKUP(D9921,'taxonomy map'!$A$1:$C$107,2,FALSE),"")</f>
        <v/>
      </c>
      <c r="F9921" s="49" t="str">
        <f>IFERROR(VLOOKUP(E9921,'Condensed Specialty Crosswalk'!$A$2:$C$106,2,FALSE),"")</f>
        <v/>
      </c>
      <c r="G9921" s="49" t="str">
        <f>IFERROR(VLOOKUP(E9921,'Condensed Specialty Crosswalk'!$A$2:$C$106,3,FALSE),"")</f>
        <v/>
      </c>
    </row>
    <row r="9922" spans="5:7" ht="15" customHeight="1">
      <c r="E9922" s="49" t="str">
        <f>IFERROR(VLOOKUP(D9922,'taxonomy map'!$A$1:$C$107,2,FALSE),"")</f>
        <v/>
      </c>
      <c r="F9922" s="49" t="str">
        <f>IFERROR(VLOOKUP(E9922,'Condensed Specialty Crosswalk'!$A$2:$C$106,2,FALSE),"")</f>
        <v/>
      </c>
      <c r="G9922" s="49" t="str">
        <f>IFERROR(VLOOKUP(E9922,'Condensed Specialty Crosswalk'!$A$2:$C$106,3,FALSE),"")</f>
        <v/>
      </c>
    </row>
    <row r="9923" spans="5:7" ht="15" customHeight="1">
      <c r="E9923" s="49" t="str">
        <f>IFERROR(VLOOKUP(D9923,'taxonomy map'!$A$1:$C$107,2,FALSE),"")</f>
        <v/>
      </c>
      <c r="F9923" s="49" t="str">
        <f>IFERROR(VLOOKUP(E9923,'Condensed Specialty Crosswalk'!$A$2:$C$106,2,FALSE),"")</f>
        <v/>
      </c>
      <c r="G9923" s="49" t="str">
        <f>IFERROR(VLOOKUP(E9923,'Condensed Specialty Crosswalk'!$A$2:$C$106,3,FALSE),"")</f>
        <v/>
      </c>
    </row>
    <row r="9924" spans="5:7" ht="15" customHeight="1">
      <c r="E9924" s="49" t="str">
        <f>IFERROR(VLOOKUP(D9924,'taxonomy map'!$A$1:$C$107,2,FALSE),"")</f>
        <v/>
      </c>
      <c r="F9924" s="49" t="str">
        <f>IFERROR(VLOOKUP(E9924,'Condensed Specialty Crosswalk'!$A$2:$C$106,2,FALSE),"")</f>
        <v/>
      </c>
      <c r="G9924" s="49" t="str">
        <f>IFERROR(VLOOKUP(E9924,'Condensed Specialty Crosswalk'!$A$2:$C$106,3,FALSE),"")</f>
        <v/>
      </c>
    </row>
    <row r="9925" spans="5:7" ht="15" customHeight="1">
      <c r="E9925" s="49" t="str">
        <f>IFERROR(VLOOKUP(D9925,'taxonomy map'!$A$1:$C$107,2,FALSE),"")</f>
        <v/>
      </c>
      <c r="F9925" s="49" t="str">
        <f>IFERROR(VLOOKUP(E9925,'Condensed Specialty Crosswalk'!$A$2:$C$106,2,FALSE),"")</f>
        <v/>
      </c>
      <c r="G9925" s="49" t="str">
        <f>IFERROR(VLOOKUP(E9925,'Condensed Specialty Crosswalk'!$A$2:$C$106,3,FALSE),"")</f>
        <v/>
      </c>
    </row>
    <row r="9926" spans="5:7" ht="15" customHeight="1">
      <c r="E9926" s="49" t="str">
        <f>IFERROR(VLOOKUP(D9926,'taxonomy map'!$A$1:$C$107,2,FALSE),"")</f>
        <v/>
      </c>
      <c r="F9926" s="49" t="str">
        <f>IFERROR(VLOOKUP(E9926,'Condensed Specialty Crosswalk'!$A$2:$C$106,2,FALSE),"")</f>
        <v/>
      </c>
      <c r="G9926" s="49" t="str">
        <f>IFERROR(VLOOKUP(E9926,'Condensed Specialty Crosswalk'!$A$2:$C$106,3,FALSE),"")</f>
        <v/>
      </c>
    </row>
    <row r="9927" spans="5:7" ht="15" customHeight="1">
      <c r="E9927" s="49" t="str">
        <f>IFERROR(VLOOKUP(D9927,'taxonomy map'!$A$1:$C$107,2,FALSE),"")</f>
        <v/>
      </c>
      <c r="F9927" s="49" t="str">
        <f>IFERROR(VLOOKUP(E9927,'Condensed Specialty Crosswalk'!$A$2:$C$106,2,FALSE),"")</f>
        <v/>
      </c>
      <c r="G9927" s="49" t="str">
        <f>IFERROR(VLOOKUP(E9927,'Condensed Specialty Crosswalk'!$A$2:$C$106,3,FALSE),"")</f>
        <v/>
      </c>
    </row>
    <row r="9928" spans="5:7" ht="15" customHeight="1">
      <c r="E9928" s="49" t="str">
        <f>IFERROR(VLOOKUP(D9928,'taxonomy map'!$A$1:$C$107,2,FALSE),"")</f>
        <v/>
      </c>
      <c r="F9928" s="49" t="str">
        <f>IFERROR(VLOOKUP(E9928,'Condensed Specialty Crosswalk'!$A$2:$C$106,2,FALSE),"")</f>
        <v/>
      </c>
      <c r="G9928" s="49" t="str">
        <f>IFERROR(VLOOKUP(E9928,'Condensed Specialty Crosswalk'!$A$2:$C$106,3,FALSE),"")</f>
        <v/>
      </c>
    </row>
    <row r="9929" spans="5:7" ht="15" customHeight="1">
      <c r="E9929" s="49" t="str">
        <f>IFERROR(VLOOKUP(D9929,'taxonomy map'!$A$1:$C$107,2,FALSE),"")</f>
        <v/>
      </c>
      <c r="F9929" s="49" t="str">
        <f>IFERROR(VLOOKUP(E9929,'Condensed Specialty Crosswalk'!$A$2:$C$106,2,FALSE),"")</f>
        <v/>
      </c>
      <c r="G9929" s="49" t="str">
        <f>IFERROR(VLOOKUP(E9929,'Condensed Specialty Crosswalk'!$A$2:$C$106,3,FALSE),"")</f>
        <v/>
      </c>
    </row>
    <row r="9930" spans="5:7" ht="15" customHeight="1">
      <c r="E9930" s="49" t="str">
        <f>IFERROR(VLOOKUP(D9930,'taxonomy map'!$A$1:$C$107,2,FALSE),"")</f>
        <v/>
      </c>
      <c r="F9930" s="49" t="str">
        <f>IFERROR(VLOOKUP(E9930,'Condensed Specialty Crosswalk'!$A$2:$C$106,2,FALSE),"")</f>
        <v/>
      </c>
      <c r="G9930" s="49" t="str">
        <f>IFERROR(VLOOKUP(E9930,'Condensed Specialty Crosswalk'!$A$2:$C$106,3,FALSE),"")</f>
        <v/>
      </c>
    </row>
    <row r="9931" spans="5:7" ht="15" customHeight="1">
      <c r="E9931" s="49" t="str">
        <f>IFERROR(VLOOKUP(D9931,'taxonomy map'!$A$1:$C$107,2,FALSE),"")</f>
        <v/>
      </c>
      <c r="F9931" s="49" t="str">
        <f>IFERROR(VLOOKUP(E9931,'Condensed Specialty Crosswalk'!$A$2:$C$106,2,FALSE),"")</f>
        <v/>
      </c>
      <c r="G9931" s="49" t="str">
        <f>IFERROR(VLOOKUP(E9931,'Condensed Specialty Crosswalk'!$A$2:$C$106,3,FALSE),"")</f>
        <v/>
      </c>
    </row>
    <row r="9932" spans="5:7" ht="15" customHeight="1">
      <c r="E9932" s="49" t="str">
        <f>IFERROR(VLOOKUP(D9932,'taxonomy map'!$A$1:$C$107,2,FALSE),"")</f>
        <v/>
      </c>
      <c r="F9932" s="49" t="str">
        <f>IFERROR(VLOOKUP(E9932,'Condensed Specialty Crosswalk'!$A$2:$C$106,2,FALSE),"")</f>
        <v/>
      </c>
      <c r="G9932" s="49" t="str">
        <f>IFERROR(VLOOKUP(E9932,'Condensed Specialty Crosswalk'!$A$2:$C$106,3,FALSE),"")</f>
        <v/>
      </c>
    </row>
    <row r="9933" spans="5:7" ht="15" customHeight="1">
      <c r="E9933" s="49" t="str">
        <f>IFERROR(VLOOKUP(D9933,'taxonomy map'!$A$1:$C$107,2,FALSE),"")</f>
        <v/>
      </c>
      <c r="F9933" s="49" t="str">
        <f>IFERROR(VLOOKUP(E9933,'Condensed Specialty Crosswalk'!$A$2:$C$106,2,FALSE),"")</f>
        <v/>
      </c>
      <c r="G9933" s="49" t="str">
        <f>IFERROR(VLOOKUP(E9933,'Condensed Specialty Crosswalk'!$A$2:$C$106,3,FALSE),"")</f>
        <v/>
      </c>
    </row>
    <row r="9934" spans="5:7" ht="15" customHeight="1">
      <c r="E9934" s="49" t="str">
        <f>IFERROR(VLOOKUP(D9934,'taxonomy map'!$A$1:$C$107,2,FALSE),"")</f>
        <v/>
      </c>
      <c r="F9934" s="49" t="str">
        <f>IFERROR(VLOOKUP(E9934,'Condensed Specialty Crosswalk'!$A$2:$C$106,2,FALSE),"")</f>
        <v/>
      </c>
      <c r="G9934" s="49" t="str">
        <f>IFERROR(VLOOKUP(E9934,'Condensed Specialty Crosswalk'!$A$2:$C$106,3,FALSE),"")</f>
        <v/>
      </c>
    </row>
    <row r="9935" spans="5:7" ht="15" customHeight="1">
      <c r="E9935" s="49" t="str">
        <f>IFERROR(VLOOKUP(D9935,'taxonomy map'!$A$1:$C$107,2,FALSE),"")</f>
        <v/>
      </c>
      <c r="F9935" s="49" t="str">
        <f>IFERROR(VLOOKUP(E9935,'Condensed Specialty Crosswalk'!$A$2:$C$106,2,FALSE),"")</f>
        <v/>
      </c>
      <c r="G9935" s="49" t="str">
        <f>IFERROR(VLOOKUP(E9935,'Condensed Specialty Crosswalk'!$A$2:$C$106,3,FALSE),"")</f>
        <v/>
      </c>
    </row>
    <row r="9936" spans="5:7" ht="15" customHeight="1">
      <c r="E9936" s="49" t="str">
        <f>IFERROR(VLOOKUP(D9936,'taxonomy map'!$A$1:$C$107,2,FALSE),"")</f>
        <v/>
      </c>
      <c r="F9936" s="49" t="str">
        <f>IFERROR(VLOOKUP(E9936,'Condensed Specialty Crosswalk'!$A$2:$C$106,2,FALSE),"")</f>
        <v/>
      </c>
      <c r="G9936" s="49" t="str">
        <f>IFERROR(VLOOKUP(E9936,'Condensed Specialty Crosswalk'!$A$2:$C$106,3,FALSE),"")</f>
        <v/>
      </c>
    </row>
    <row r="9937" spans="5:7" ht="15" customHeight="1">
      <c r="E9937" s="49" t="str">
        <f>IFERROR(VLOOKUP(D9937,'taxonomy map'!$A$1:$C$107,2,FALSE),"")</f>
        <v/>
      </c>
      <c r="F9937" s="49" t="str">
        <f>IFERROR(VLOOKUP(E9937,'Condensed Specialty Crosswalk'!$A$2:$C$106,2,FALSE),"")</f>
        <v/>
      </c>
      <c r="G9937" s="49" t="str">
        <f>IFERROR(VLOOKUP(E9937,'Condensed Specialty Crosswalk'!$A$2:$C$106,3,FALSE),"")</f>
        <v/>
      </c>
    </row>
    <row r="9938" spans="5:7" ht="15" customHeight="1">
      <c r="E9938" s="49" t="str">
        <f>IFERROR(VLOOKUP(D9938,'taxonomy map'!$A$1:$C$107,2,FALSE),"")</f>
        <v/>
      </c>
      <c r="F9938" s="49" t="str">
        <f>IFERROR(VLOOKUP(E9938,'Condensed Specialty Crosswalk'!$A$2:$C$106,2,FALSE),"")</f>
        <v/>
      </c>
      <c r="G9938" s="49" t="str">
        <f>IFERROR(VLOOKUP(E9938,'Condensed Specialty Crosswalk'!$A$2:$C$106,3,FALSE),"")</f>
        <v/>
      </c>
    </row>
    <row r="9939" spans="5:7" ht="15" customHeight="1">
      <c r="E9939" s="49" t="str">
        <f>IFERROR(VLOOKUP(D9939,'taxonomy map'!$A$1:$C$107,2,FALSE),"")</f>
        <v/>
      </c>
      <c r="F9939" s="49" t="str">
        <f>IFERROR(VLOOKUP(E9939,'Condensed Specialty Crosswalk'!$A$2:$C$106,2,FALSE),"")</f>
        <v/>
      </c>
      <c r="G9939" s="49" t="str">
        <f>IFERROR(VLOOKUP(E9939,'Condensed Specialty Crosswalk'!$A$2:$C$106,3,FALSE),"")</f>
        <v/>
      </c>
    </row>
    <row r="9940" spans="5:7" ht="15" customHeight="1">
      <c r="E9940" s="49" t="str">
        <f>IFERROR(VLOOKUP(D9940,'taxonomy map'!$A$1:$C$107,2,FALSE),"")</f>
        <v/>
      </c>
      <c r="F9940" s="49" t="str">
        <f>IFERROR(VLOOKUP(E9940,'Condensed Specialty Crosswalk'!$A$2:$C$106,2,FALSE),"")</f>
        <v/>
      </c>
      <c r="G9940" s="49" t="str">
        <f>IFERROR(VLOOKUP(E9940,'Condensed Specialty Crosswalk'!$A$2:$C$106,3,FALSE),"")</f>
        <v/>
      </c>
    </row>
    <row r="9941" spans="5:7" ht="15" customHeight="1">
      <c r="E9941" s="49" t="str">
        <f>IFERROR(VLOOKUP(D9941,'taxonomy map'!$A$1:$C$107,2,FALSE),"")</f>
        <v/>
      </c>
      <c r="F9941" s="49" t="str">
        <f>IFERROR(VLOOKUP(E9941,'Condensed Specialty Crosswalk'!$A$2:$C$106,2,FALSE),"")</f>
        <v/>
      </c>
      <c r="G9941" s="49" t="str">
        <f>IFERROR(VLOOKUP(E9941,'Condensed Specialty Crosswalk'!$A$2:$C$106,3,FALSE),"")</f>
        <v/>
      </c>
    </row>
    <row r="9942" spans="5:7" ht="15" customHeight="1">
      <c r="E9942" s="49" t="str">
        <f>IFERROR(VLOOKUP(D9942,'taxonomy map'!$A$1:$C$107,2,FALSE),"")</f>
        <v/>
      </c>
      <c r="F9942" s="49" t="str">
        <f>IFERROR(VLOOKUP(E9942,'Condensed Specialty Crosswalk'!$A$2:$C$106,2,FALSE),"")</f>
        <v/>
      </c>
      <c r="G9942" s="49" t="str">
        <f>IFERROR(VLOOKUP(E9942,'Condensed Specialty Crosswalk'!$A$2:$C$106,3,FALSE),"")</f>
        <v/>
      </c>
    </row>
    <row r="9943" spans="5:7" ht="15" customHeight="1">
      <c r="E9943" s="49" t="str">
        <f>IFERROR(VLOOKUP(D9943,'taxonomy map'!$A$1:$C$107,2,FALSE),"")</f>
        <v/>
      </c>
      <c r="F9943" s="49" t="str">
        <f>IFERROR(VLOOKUP(E9943,'Condensed Specialty Crosswalk'!$A$2:$C$106,2,FALSE),"")</f>
        <v/>
      </c>
      <c r="G9943" s="49" t="str">
        <f>IFERROR(VLOOKUP(E9943,'Condensed Specialty Crosswalk'!$A$2:$C$106,3,FALSE),"")</f>
        <v/>
      </c>
    </row>
    <row r="9944" spans="5:7" ht="15" customHeight="1">
      <c r="E9944" s="49" t="str">
        <f>IFERROR(VLOOKUP(D9944,'taxonomy map'!$A$1:$C$107,2,FALSE),"")</f>
        <v/>
      </c>
      <c r="F9944" s="49" t="str">
        <f>IFERROR(VLOOKUP(E9944,'Condensed Specialty Crosswalk'!$A$2:$C$106,2,FALSE),"")</f>
        <v/>
      </c>
      <c r="G9944" s="49" t="str">
        <f>IFERROR(VLOOKUP(E9944,'Condensed Specialty Crosswalk'!$A$2:$C$106,3,FALSE),"")</f>
        <v/>
      </c>
    </row>
    <row r="9945" spans="5:7" ht="15" customHeight="1">
      <c r="E9945" s="49" t="str">
        <f>IFERROR(VLOOKUP(D9945,'taxonomy map'!$A$1:$C$107,2,FALSE),"")</f>
        <v/>
      </c>
      <c r="F9945" s="49" t="str">
        <f>IFERROR(VLOOKUP(E9945,'Condensed Specialty Crosswalk'!$A$2:$C$106,2,FALSE),"")</f>
        <v/>
      </c>
      <c r="G9945" s="49" t="str">
        <f>IFERROR(VLOOKUP(E9945,'Condensed Specialty Crosswalk'!$A$2:$C$106,3,FALSE),"")</f>
        <v/>
      </c>
    </row>
    <row r="9946" spans="5:7" ht="15" customHeight="1">
      <c r="E9946" s="49" t="str">
        <f>IFERROR(VLOOKUP(D9946,'taxonomy map'!$A$1:$C$107,2,FALSE),"")</f>
        <v/>
      </c>
      <c r="F9946" s="49" t="str">
        <f>IFERROR(VLOOKUP(E9946,'Condensed Specialty Crosswalk'!$A$2:$C$106,2,FALSE),"")</f>
        <v/>
      </c>
      <c r="G9946" s="49" t="str">
        <f>IFERROR(VLOOKUP(E9946,'Condensed Specialty Crosswalk'!$A$2:$C$106,3,FALSE),"")</f>
        <v/>
      </c>
    </row>
    <row r="9947" spans="5:7" ht="15" customHeight="1">
      <c r="E9947" s="49" t="str">
        <f>IFERROR(VLOOKUP(D9947,'taxonomy map'!$A$1:$C$107,2,FALSE),"")</f>
        <v/>
      </c>
      <c r="F9947" s="49" t="str">
        <f>IFERROR(VLOOKUP(E9947,'Condensed Specialty Crosswalk'!$A$2:$C$106,2,FALSE),"")</f>
        <v/>
      </c>
      <c r="G9947" s="49" t="str">
        <f>IFERROR(VLOOKUP(E9947,'Condensed Specialty Crosswalk'!$A$2:$C$106,3,FALSE),"")</f>
        <v/>
      </c>
    </row>
    <row r="9948" spans="5:7" ht="15" customHeight="1">
      <c r="E9948" s="49" t="str">
        <f>IFERROR(VLOOKUP(D9948,'taxonomy map'!$A$1:$C$107,2,FALSE),"")</f>
        <v/>
      </c>
      <c r="F9948" s="49" t="str">
        <f>IFERROR(VLOOKUP(E9948,'Condensed Specialty Crosswalk'!$A$2:$C$106,2,FALSE),"")</f>
        <v/>
      </c>
      <c r="G9948" s="49" t="str">
        <f>IFERROR(VLOOKUP(E9948,'Condensed Specialty Crosswalk'!$A$2:$C$106,3,FALSE),"")</f>
        <v/>
      </c>
    </row>
    <row r="9949" spans="5:7" ht="15" customHeight="1">
      <c r="E9949" s="49" t="str">
        <f>IFERROR(VLOOKUP(D9949,'taxonomy map'!$A$1:$C$107,2,FALSE),"")</f>
        <v/>
      </c>
      <c r="F9949" s="49" t="str">
        <f>IFERROR(VLOOKUP(E9949,'Condensed Specialty Crosswalk'!$A$2:$C$106,2,FALSE),"")</f>
        <v/>
      </c>
      <c r="G9949" s="49" t="str">
        <f>IFERROR(VLOOKUP(E9949,'Condensed Specialty Crosswalk'!$A$2:$C$106,3,FALSE),"")</f>
        <v/>
      </c>
    </row>
    <row r="9950" spans="5:7" ht="15" customHeight="1">
      <c r="E9950" s="49" t="str">
        <f>IFERROR(VLOOKUP(D9950,'taxonomy map'!$A$1:$C$107,2,FALSE),"")</f>
        <v/>
      </c>
      <c r="F9950" s="49" t="str">
        <f>IFERROR(VLOOKUP(E9950,'Condensed Specialty Crosswalk'!$A$2:$C$106,2,FALSE),"")</f>
        <v/>
      </c>
      <c r="G9950" s="49" t="str">
        <f>IFERROR(VLOOKUP(E9950,'Condensed Specialty Crosswalk'!$A$2:$C$106,3,FALSE),"")</f>
        <v/>
      </c>
    </row>
    <row r="9951" spans="5:7" ht="15" customHeight="1">
      <c r="E9951" s="49" t="str">
        <f>IFERROR(VLOOKUP(D9951,'taxonomy map'!$A$1:$C$107,2,FALSE),"")</f>
        <v/>
      </c>
      <c r="F9951" s="49" t="str">
        <f>IFERROR(VLOOKUP(E9951,'Condensed Specialty Crosswalk'!$A$2:$C$106,2,FALSE),"")</f>
        <v/>
      </c>
      <c r="G9951" s="49" t="str">
        <f>IFERROR(VLOOKUP(E9951,'Condensed Specialty Crosswalk'!$A$2:$C$106,3,FALSE),"")</f>
        <v/>
      </c>
    </row>
    <row r="9952" spans="5:7" ht="15" customHeight="1">
      <c r="E9952" s="49" t="str">
        <f>IFERROR(VLOOKUP(D9952,'taxonomy map'!$A$1:$C$107,2,FALSE),"")</f>
        <v/>
      </c>
      <c r="F9952" s="49" t="str">
        <f>IFERROR(VLOOKUP(E9952,'Condensed Specialty Crosswalk'!$A$2:$C$106,2,FALSE),"")</f>
        <v/>
      </c>
      <c r="G9952" s="49" t="str">
        <f>IFERROR(VLOOKUP(E9952,'Condensed Specialty Crosswalk'!$A$2:$C$106,3,FALSE),"")</f>
        <v/>
      </c>
    </row>
    <row r="9953" spans="5:7" ht="15" customHeight="1">
      <c r="E9953" s="49" t="str">
        <f>IFERROR(VLOOKUP(D9953,'taxonomy map'!$A$1:$C$107,2,FALSE),"")</f>
        <v/>
      </c>
      <c r="F9953" s="49" t="str">
        <f>IFERROR(VLOOKUP(E9953,'Condensed Specialty Crosswalk'!$A$2:$C$106,2,FALSE),"")</f>
        <v/>
      </c>
      <c r="G9953" s="49" t="str">
        <f>IFERROR(VLOOKUP(E9953,'Condensed Specialty Crosswalk'!$A$2:$C$106,3,FALSE),"")</f>
        <v/>
      </c>
    </row>
    <row r="9954" spans="5:7" ht="15" customHeight="1">
      <c r="E9954" s="49" t="str">
        <f>IFERROR(VLOOKUP(D9954,'taxonomy map'!$A$1:$C$107,2,FALSE),"")</f>
        <v/>
      </c>
      <c r="F9954" s="49" t="str">
        <f>IFERROR(VLOOKUP(E9954,'Condensed Specialty Crosswalk'!$A$2:$C$106,2,FALSE),"")</f>
        <v/>
      </c>
      <c r="G9954" s="49" t="str">
        <f>IFERROR(VLOOKUP(E9954,'Condensed Specialty Crosswalk'!$A$2:$C$106,3,FALSE),"")</f>
        <v/>
      </c>
    </row>
    <row r="9955" spans="5:7" ht="15" customHeight="1">
      <c r="E9955" s="49" t="str">
        <f>IFERROR(VLOOKUP(D9955,'taxonomy map'!$A$1:$C$107,2,FALSE),"")</f>
        <v/>
      </c>
      <c r="F9955" s="49" t="str">
        <f>IFERROR(VLOOKUP(E9955,'Condensed Specialty Crosswalk'!$A$2:$C$106,2,FALSE),"")</f>
        <v/>
      </c>
      <c r="G9955" s="49" t="str">
        <f>IFERROR(VLOOKUP(E9955,'Condensed Specialty Crosswalk'!$A$2:$C$106,3,FALSE),"")</f>
        <v/>
      </c>
    </row>
    <row r="9956" spans="5:7" ht="15" customHeight="1">
      <c r="E9956" s="49" t="str">
        <f>IFERROR(VLOOKUP(D9956,'taxonomy map'!$A$1:$C$107,2,FALSE),"")</f>
        <v/>
      </c>
      <c r="F9956" s="49" t="str">
        <f>IFERROR(VLOOKUP(E9956,'Condensed Specialty Crosswalk'!$A$2:$C$106,2,FALSE),"")</f>
        <v/>
      </c>
      <c r="G9956" s="49" t="str">
        <f>IFERROR(VLOOKUP(E9956,'Condensed Specialty Crosswalk'!$A$2:$C$106,3,FALSE),"")</f>
        <v/>
      </c>
    </row>
    <row r="9957" spans="5:7" ht="15" customHeight="1">
      <c r="E9957" s="49" t="str">
        <f>IFERROR(VLOOKUP(D9957,'taxonomy map'!$A$1:$C$107,2,FALSE),"")</f>
        <v/>
      </c>
      <c r="F9957" s="49" t="str">
        <f>IFERROR(VLOOKUP(E9957,'Condensed Specialty Crosswalk'!$A$2:$C$106,2,FALSE),"")</f>
        <v/>
      </c>
      <c r="G9957" s="49" t="str">
        <f>IFERROR(VLOOKUP(E9957,'Condensed Specialty Crosswalk'!$A$2:$C$106,3,FALSE),"")</f>
        <v/>
      </c>
    </row>
    <row r="9958" spans="5:7" ht="15" customHeight="1">
      <c r="E9958" s="49" t="str">
        <f>IFERROR(VLOOKUP(D9958,'taxonomy map'!$A$1:$C$107,2,FALSE),"")</f>
        <v/>
      </c>
      <c r="F9958" s="49" t="str">
        <f>IFERROR(VLOOKUP(E9958,'Condensed Specialty Crosswalk'!$A$2:$C$106,2,FALSE),"")</f>
        <v/>
      </c>
      <c r="G9958" s="49" t="str">
        <f>IFERROR(VLOOKUP(E9958,'Condensed Specialty Crosswalk'!$A$2:$C$106,3,FALSE),"")</f>
        <v/>
      </c>
    </row>
    <row r="9959" spans="5:7" ht="15" customHeight="1">
      <c r="E9959" s="49" t="str">
        <f>IFERROR(VLOOKUP(D9959,'taxonomy map'!$A$1:$C$107,2,FALSE),"")</f>
        <v/>
      </c>
      <c r="F9959" s="49" t="str">
        <f>IFERROR(VLOOKUP(E9959,'Condensed Specialty Crosswalk'!$A$2:$C$106,2,FALSE),"")</f>
        <v/>
      </c>
      <c r="G9959" s="49" t="str">
        <f>IFERROR(VLOOKUP(E9959,'Condensed Specialty Crosswalk'!$A$2:$C$106,3,FALSE),"")</f>
        <v/>
      </c>
    </row>
    <row r="9960" spans="5:7" ht="15" customHeight="1">
      <c r="E9960" s="49" t="str">
        <f>IFERROR(VLOOKUP(D9960,'taxonomy map'!$A$1:$C$107,2,FALSE),"")</f>
        <v/>
      </c>
      <c r="F9960" s="49" t="str">
        <f>IFERROR(VLOOKUP(E9960,'Condensed Specialty Crosswalk'!$A$2:$C$106,2,FALSE),"")</f>
        <v/>
      </c>
      <c r="G9960" s="49" t="str">
        <f>IFERROR(VLOOKUP(E9960,'Condensed Specialty Crosswalk'!$A$2:$C$106,3,FALSE),"")</f>
        <v/>
      </c>
    </row>
    <row r="9961" spans="5:7" ht="15" customHeight="1">
      <c r="E9961" s="49" t="str">
        <f>IFERROR(VLOOKUP(D9961,'taxonomy map'!$A$1:$C$107,2,FALSE),"")</f>
        <v/>
      </c>
      <c r="F9961" s="49" t="str">
        <f>IFERROR(VLOOKUP(E9961,'Condensed Specialty Crosswalk'!$A$2:$C$106,2,FALSE),"")</f>
        <v/>
      </c>
      <c r="G9961" s="49" t="str">
        <f>IFERROR(VLOOKUP(E9961,'Condensed Specialty Crosswalk'!$A$2:$C$106,3,FALSE),"")</f>
        <v/>
      </c>
    </row>
    <row r="9962" spans="5:7" ht="15" customHeight="1">
      <c r="E9962" s="49" t="str">
        <f>IFERROR(VLOOKUP(D9962,'taxonomy map'!$A$1:$C$107,2,FALSE),"")</f>
        <v/>
      </c>
      <c r="F9962" s="49" t="str">
        <f>IFERROR(VLOOKUP(E9962,'Condensed Specialty Crosswalk'!$A$2:$C$106,2,FALSE),"")</f>
        <v/>
      </c>
      <c r="G9962" s="49" t="str">
        <f>IFERROR(VLOOKUP(E9962,'Condensed Specialty Crosswalk'!$A$2:$C$106,3,FALSE),"")</f>
        <v/>
      </c>
    </row>
    <row r="9963" spans="5:7" ht="15" customHeight="1">
      <c r="E9963" s="49" t="str">
        <f>IFERROR(VLOOKUP(D9963,'taxonomy map'!$A$1:$C$107,2,FALSE),"")</f>
        <v/>
      </c>
      <c r="F9963" s="49" t="str">
        <f>IFERROR(VLOOKUP(E9963,'Condensed Specialty Crosswalk'!$A$2:$C$106,2,FALSE),"")</f>
        <v/>
      </c>
      <c r="G9963" s="49" t="str">
        <f>IFERROR(VLOOKUP(E9963,'Condensed Specialty Crosswalk'!$A$2:$C$106,3,FALSE),"")</f>
        <v/>
      </c>
    </row>
    <row r="9964" spans="5:7" ht="15" customHeight="1">
      <c r="E9964" s="49" t="str">
        <f>IFERROR(VLOOKUP(D9964,'taxonomy map'!$A$1:$C$107,2,FALSE),"")</f>
        <v/>
      </c>
      <c r="F9964" s="49" t="str">
        <f>IFERROR(VLOOKUP(E9964,'Condensed Specialty Crosswalk'!$A$2:$C$106,2,FALSE),"")</f>
        <v/>
      </c>
      <c r="G9964" s="49" t="str">
        <f>IFERROR(VLOOKUP(E9964,'Condensed Specialty Crosswalk'!$A$2:$C$106,3,FALSE),"")</f>
        <v/>
      </c>
    </row>
    <row r="9965" spans="5:7" ht="15" customHeight="1">
      <c r="E9965" s="49" t="str">
        <f>IFERROR(VLOOKUP(D9965,'taxonomy map'!$A$1:$C$107,2,FALSE),"")</f>
        <v/>
      </c>
      <c r="F9965" s="49" t="str">
        <f>IFERROR(VLOOKUP(E9965,'Condensed Specialty Crosswalk'!$A$2:$C$106,2,FALSE),"")</f>
        <v/>
      </c>
      <c r="G9965" s="49" t="str">
        <f>IFERROR(VLOOKUP(E9965,'Condensed Specialty Crosswalk'!$A$2:$C$106,3,FALSE),"")</f>
        <v/>
      </c>
    </row>
    <row r="9966" spans="5:7" ht="15" customHeight="1">
      <c r="E9966" s="49" t="str">
        <f>IFERROR(VLOOKUP(D9966,'taxonomy map'!$A$1:$C$107,2,FALSE),"")</f>
        <v/>
      </c>
      <c r="F9966" s="49" t="str">
        <f>IFERROR(VLOOKUP(E9966,'Condensed Specialty Crosswalk'!$A$2:$C$106,2,FALSE),"")</f>
        <v/>
      </c>
      <c r="G9966" s="49" t="str">
        <f>IFERROR(VLOOKUP(E9966,'Condensed Specialty Crosswalk'!$A$2:$C$106,3,FALSE),"")</f>
        <v/>
      </c>
    </row>
    <row r="9967" spans="5:7" ht="15" customHeight="1">
      <c r="E9967" s="49" t="str">
        <f>IFERROR(VLOOKUP(D9967,'taxonomy map'!$A$1:$C$107,2,FALSE),"")</f>
        <v/>
      </c>
      <c r="F9967" s="49" t="str">
        <f>IFERROR(VLOOKUP(E9967,'Condensed Specialty Crosswalk'!$A$2:$C$106,2,FALSE),"")</f>
        <v/>
      </c>
      <c r="G9967" s="49" t="str">
        <f>IFERROR(VLOOKUP(E9967,'Condensed Specialty Crosswalk'!$A$2:$C$106,3,FALSE),"")</f>
        <v/>
      </c>
    </row>
    <row r="9968" spans="5:7" ht="15" customHeight="1">
      <c r="E9968" s="49" t="str">
        <f>IFERROR(VLOOKUP(D9968,'taxonomy map'!$A$1:$C$107,2,FALSE),"")</f>
        <v/>
      </c>
      <c r="F9968" s="49" t="str">
        <f>IFERROR(VLOOKUP(E9968,'Condensed Specialty Crosswalk'!$A$2:$C$106,2,FALSE),"")</f>
        <v/>
      </c>
      <c r="G9968" s="49" t="str">
        <f>IFERROR(VLOOKUP(E9968,'Condensed Specialty Crosswalk'!$A$2:$C$106,3,FALSE),"")</f>
        <v/>
      </c>
    </row>
    <row r="9969" spans="5:7" ht="15" customHeight="1">
      <c r="E9969" s="49" t="str">
        <f>IFERROR(VLOOKUP(D9969,'taxonomy map'!$A$1:$C$107,2,FALSE),"")</f>
        <v/>
      </c>
      <c r="F9969" s="49" t="str">
        <f>IFERROR(VLOOKUP(E9969,'Condensed Specialty Crosswalk'!$A$2:$C$106,2,FALSE),"")</f>
        <v/>
      </c>
      <c r="G9969" s="49" t="str">
        <f>IFERROR(VLOOKUP(E9969,'Condensed Specialty Crosswalk'!$A$2:$C$106,3,FALSE),"")</f>
        <v/>
      </c>
    </row>
    <row r="9970" spans="5:7" ht="15" customHeight="1">
      <c r="E9970" s="49" t="str">
        <f>IFERROR(VLOOKUP(D9970,'taxonomy map'!$A$1:$C$107,2,FALSE),"")</f>
        <v/>
      </c>
      <c r="F9970" s="49" t="str">
        <f>IFERROR(VLOOKUP(E9970,'Condensed Specialty Crosswalk'!$A$2:$C$106,2,FALSE),"")</f>
        <v/>
      </c>
      <c r="G9970" s="49" t="str">
        <f>IFERROR(VLOOKUP(E9970,'Condensed Specialty Crosswalk'!$A$2:$C$106,3,FALSE),"")</f>
        <v/>
      </c>
    </row>
    <row r="9971" spans="5:7" ht="15" customHeight="1">
      <c r="E9971" s="49" t="str">
        <f>IFERROR(VLOOKUP(D9971,'taxonomy map'!$A$1:$C$107,2,FALSE),"")</f>
        <v/>
      </c>
      <c r="F9971" s="49" t="str">
        <f>IFERROR(VLOOKUP(E9971,'Condensed Specialty Crosswalk'!$A$2:$C$106,2,FALSE),"")</f>
        <v/>
      </c>
      <c r="G9971" s="49" t="str">
        <f>IFERROR(VLOOKUP(E9971,'Condensed Specialty Crosswalk'!$A$2:$C$106,3,FALSE),"")</f>
        <v/>
      </c>
    </row>
    <row r="9972" spans="5:7" ht="15" customHeight="1">
      <c r="E9972" s="49" t="str">
        <f>IFERROR(VLOOKUP(D9972,'taxonomy map'!$A$1:$C$107,2,FALSE),"")</f>
        <v/>
      </c>
      <c r="F9972" s="49" t="str">
        <f>IFERROR(VLOOKUP(E9972,'Condensed Specialty Crosswalk'!$A$2:$C$106,2,FALSE),"")</f>
        <v/>
      </c>
      <c r="G9972" s="49" t="str">
        <f>IFERROR(VLOOKUP(E9972,'Condensed Specialty Crosswalk'!$A$2:$C$106,3,FALSE),"")</f>
        <v/>
      </c>
    </row>
    <row r="9973" spans="5:7" ht="15" customHeight="1">
      <c r="E9973" s="49" t="str">
        <f>IFERROR(VLOOKUP(D9973,'taxonomy map'!$A$1:$C$107,2,FALSE),"")</f>
        <v/>
      </c>
      <c r="F9973" s="49" t="str">
        <f>IFERROR(VLOOKUP(E9973,'Condensed Specialty Crosswalk'!$A$2:$C$106,2,FALSE),"")</f>
        <v/>
      </c>
      <c r="G9973" s="49" t="str">
        <f>IFERROR(VLOOKUP(E9973,'Condensed Specialty Crosswalk'!$A$2:$C$106,3,FALSE),"")</f>
        <v/>
      </c>
    </row>
    <row r="9974" spans="5:7" ht="15" customHeight="1">
      <c r="E9974" s="49" t="str">
        <f>IFERROR(VLOOKUP(D9974,'taxonomy map'!$A$1:$C$107,2,FALSE),"")</f>
        <v/>
      </c>
      <c r="F9974" s="49" t="str">
        <f>IFERROR(VLOOKUP(E9974,'Condensed Specialty Crosswalk'!$A$2:$C$106,2,FALSE),"")</f>
        <v/>
      </c>
      <c r="G9974" s="49" t="str">
        <f>IFERROR(VLOOKUP(E9974,'Condensed Specialty Crosswalk'!$A$2:$C$106,3,FALSE),"")</f>
        <v/>
      </c>
    </row>
    <row r="9975" spans="5:7" ht="15" customHeight="1">
      <c r="E9975" s="49" t="str">
        <f>IFERROR(VLOOKUP(D9975,'taxonomy map'!$A$1:$C$107,2,FALSE),"")</f>
        <v/>
      </c>
      <c r="F9975" s="49" t="str">
        <f>IFERROR(VLOOKUP(E9975,'Condensed Specialty Crosswalk'!$A$2:$C$106,2,FALSE),"")</f>
        <v/>
      </c>
      <c r="G9975" s="49" t="str">
        <f>IFERROR(VLOOKUP(E9975,'Condensed Specialty Crosswalk'!$A$2:$C$106,3,FALSE),"")</f>
        <v/>
      </c>
    </row>
    <row r="9976" spans="5:7" ht="15" customHeight="1">
      <c r="E9976" s="49" t="str">
        <f>IFERROR(VLOOKUP(D9976,'taxonomy map'!$A$1:$C$107,2,FALSE),"")</f>
        <v/>
      </c>
      <c r="F9976" s="49" t="str">
        <f>IFERROR(VLOOKUP(E9976,'Condensed Specialty Crosswalk'!$A$2:$C$106,2,FALSE),"")</f>
        <v/>
      </c>
      <c r="G9976" s="49" t="str">
        <f>IFERROR(VLOOKUP(E9976,'Condensed Specialty Crosswalk'!$A$2:$C$106,3,FALSE),"")</f>
        <v/>
      </c>
    </row>
    <row r="9977" spans="5:7" ht="15" customHeight="1">
      <c r="E9977" s="49" t="str">
        <f>IFERROR(VLOOKUP(D9977,'taxonomy map'!$A$1:$C$107,2,FALSE),"")</f>
        <v/>
      </c>
      <c r="F9977" s="49" t="str">
        <f>IFERROR(VLOOKUP(E9977,'Condensed Specialty Crosswalk'!$A$2:$C$106,2,FALSE),"")</f>
        <v/>
      </c>
      <c r="G9977" s="49" t="str">
        <f>IFERROR(VLOOKUP(E9977,'Condensed Specialty Crosswalk'!$A$2:$C$106,3,FALSE),"")</f>
        <v/>
      </c>
    </row>
    <row r="9978" spans="5:7" ht="15" customHeight="1">
      <c r="E9978" s="49" t="str">
        <f>IFERROR(VLOOKUP(D9978,'taxonomy map'!$A$1:$C$107,2,FALSE),"")</f>
        <v/>
      </c>
      <c r="F9978" s="49" t="str">
        <f>IFERROR(VLOOKUP(E9978,'Condensed Specialty Crosswalk'!$A$2:$C$106,2,FALSE),"")</f>
        <v/>
      </c>
      <c r="G9978" s="49" t="str">
        <f>IFERROR(VLOOKUP(E9978,'Condensed Specialty Crosswalk'!$A$2:$C$106,3,FALSE),"")</f>
        <v/>
      </c>
    </row>
    <row r="9979" spans="5:7" ht="15" customHeight="1">
      <c r="E9979" s="49" t="str">
        <f>IFERROR(VLOOKUP(D9979,'taxonomy map'!$A$1:$C$107,2,FALSE),"")</f>
        <v/>
      </c>
      <c r="F9979" s="49" t="str">
        <f>IFERROR(VLOOKUP(E9979,'Condensed Specialty Crosswalk'!$A$2:$C$106,2,FALSE),"")</f>
        <v/>
      </c>
      <c r="G9979" s="49" t="str">
        <f>IFERROR(VLOOKUP(E9979,'Condensed Specialty Crosswalk'!$A$2:$C$106,3,FALSE),"")</f>
        <v/>
      </c>
    </row>
    <row r="9980" spans="5:7" ht="15" customHeight="1">
      <c r="E9980" s="49" t="str">
        <f>IFERROR(VLOOKUP(D9980,'taxonomy map'!$A$1:$C$107,2,FALSE),"")</f>
        <v/>
      </c>
      <c r="F9980" s="49" t="str">
        <f>IFERROR(VLOOKUP(E9980,'Condensed Specialty Crosswalk'!$A$2:$C$106,2,FALSE),"")</f>
        <v/>
      </c>
      <c r="G9980" s="49" t="str">
        <f>IFERROR(VLOOKUP(E9980,'Condensed Specialty Crosswalk'!$A$2:$C$106,3,FALSE),"")</f>
        <v/>
      </c>
    </row>
    <row r="9981" spans="5:7" ht="15" customHeight="1">
      <c r="E9981" s="49" t="str">
        <f>IFERROR(VLOOKUP(D9981,'taxonomy map'!$A$1:$C$107,2,FALSE),"")</f>
        <v/>
      </c>
      <c r="F9981" s="49" t="str">
        <f>IFERROR(VLOOKUP(E9981,'Condensed Specialty Crosswalk'!$A$2:$C$106,2,FALSE),"")</f>
        <v/>
      </c>
      <c r="G9981" s="49" t="str">
        <f>IFERROR(VLOOKUP(E9981,'Condensed Specialty Crosswalk'!$A$2:$C$106,3,FALSE),"")</f>
        <v/>
      </c>
    </row>
    <row r="9982" spans="5:7" ht="15" customHeight="1">
      <c r="E9982" s="49" t="str">
        <f>IFERROR(VLOOKUP(D9982,'taxonomy map'!$A$1:$C$107,2,FALSE),"")</f>
        <v/>
      </c>
      <c r="F9982" s="49" t="str">
        <f>IFERROR(VLOOKUP(E9982,'Condensed Specialty Crosswalk'!$A$2:$C$106,2,FALSE),"")</f>
        <v/>
      </c>
      <c r="G9982" s="49" t="str">
        <f>IFERROR(VLOOKUP(E9982,'Condensed Specialty Crosswalk'!$A$2:$C$106,3,FALSE),"")</f>
        <v/>
      </c>
    </row>
    <row r="9983" spans="5:7" ht="15" customHeight="1">
      <c r="E9983" s="49" t="str">
        <f>IFERROR(VLOOKUP(D9983,'taxonomy map'!$A$1:$C$107,2,FALSE),"")</f>
        <v/>
      </c>
      <c r="F9983" s="49" t="str">
        <f>IFERROR(VLOOKUP(E9983,'Condensed Specialty Crosswalk'!$A$2:$C$106,2,FALSE),"")</f>
        <v/>
      </c>
      <c r="G9983" s="49" t="str">
        <f>IFERROR(VLOOKUP(E9983,'Condensed Specialty Crosswalk'!$A$2:$C$106,3,FALSE),"")</f>
        <v/>
      </c>
    </row>
    <row r="9984" spans="5:7" ht="15" customHeight="1">
      <c r="E9984" s="49" t="str">
        <f>IFERROR(VLOOKUP(D9984,'taxonomy map'!$A$1:$C$107,2,FALSE),"")</f>
        <v/>
      </c>
      <c r="F9984" s="49" t="str">
        <f>IFERROR(VLOOKUP(E9984,'Condensed Specialty Crosswalk'!$A$2:$C$106,2,FALSE),"")</f>
        <v/>
      </c>
      <c r="G9984" s="49" t="str">
        <f>IFERROR(VLOOKUP(E9984,'Condensed Specialty Crosswalk'!$A$2:$C$106,3,FALSE),"")</f>
        <v/>
      </c>
    </row>
    <row r="9985" spans="5:7" ht="15" customHeight="1">
      <c r="E9985" s="49" t="str">
        <f>IFERROR(VLOOKUP(D9985,'taxonomy map'!$A$1:$C$107,2,FALSE),"")</f>
        <v/>
      </c>
      <c r="F9985" s="49" t="str">
        <f>IFERROR(VLOOKUP(E9985,'Condensed Specialty Crosswalk'!$A$2:$C$106,2,FALSE),"")</f>
        <v/>
      </c>
      <c r="G9985" s="49" t="str">
        <f>IFERROR(VLOOKUP(E9985,'Condensed Specialty Crosswalk'!$A$2:$C$106,3,FALSE),"")</f>
        <v/>
      </c>
    </row>
    <row r="9986" spans="5:7" ht="15" customHeight="1">
      <c r="E9986" s="49" t="str">
        <f>IFERROR(VLOOKUP(D9986,'taxonomy map'!$A$1:$C$107,2,FALSE),"")</f>
        <v/>
      </c>
      <c r="F9986" s="49" t="str">
        <f>IFERROR(VLOOKUP(E9986,'Condensed Specialty Crosswalk'!$A$2:$C$106,2,FALSE),"")</f>
        <v/>
      </c>
      <c r="G9986" s="49" t="str">
        <f>IFERROR(VLOOKUP(E9986,'Condensed Specialty Crosswalk'!$A$2:$C$106,3,FALSE),"")</f>
        <v/>
      </c>
    </row>
    <row r="9987" spans="5:7" ht="15" customHeight="1">
      <c r="E9987" s="49" t="str">
        <f>IFERROR(VLOOKUP(D9987,'taxonomy map'!$A$1:$C$107,2,FALSE),"")</f>
        <v/>
      </c>
      <c r="F9987" s="49" t="str">
        <f>IFERROR(VLOOKUP(E9987,'Condensed Specialty Crosswalk'!$A$2:$C$106,2,FALSE),"")</f>
        <v/>
      </c>
      <c r="G9987" s="49" t="str">
        <f>IFERROR(VLOOKUP(E9987,'Condensed Specialty Crosswalk'!$A$2:$C$106,3,FALSE),"")</f>
        <v/>
      </c>
    </row>
    <row r="9988" spans="5:7" ht="15" customHeight="1">
      <c r="E9988" s="49" t="str">
        <f>IFERROR(VLOOKUP(D9988,'taxonomy map'!$A$1:$C$107,2,FALSE),"")</f>
        <v/>
      </c>
      <c r="F9988" s="49" t="str">
        <f>IFERROR(VLOOKUP(E9988,'Condensed Specialty Crosswalk'!$A$2:$C$106,2,FALSE),"")</f>
        <v/>
      </c>
      <c r="G9988" s="49" t="str">
        <f>IFERROR(VLOOKUP(E9988,'Condensed Specialty Crosswalk'!$A$2:$C$106,3,FALSE),"")</f>
        <v/>
      </c>
    </row>
    <row r="9989" spans="5:7" ht="15" customHeight="1">
      <c r="E9989" s="49" t="str">
        <f>IFERROR(VLOOKUP(D9989,'taxonomy map'!$A$1:$C$107,2,FALSE),"")</f>
        <v/>
      </c>
      <c r="F9989" s="49" t="str">
        <f>IFERROR(VLOOKUP(E9989,'Condensed Specialty Crosswalk'!$A$2:$C$106,2,FALSE),"")</f>
        <v/>
      </c>
      <c r="G9989" s="49" t="str">
        <f>IFERROR(VLOOKUP(E9989,'Condensed Specialty Crosswalk'!$A$2:$C$106,3,FALSE),"")</f>
        <v/>
      </c>
    </row>
    <row r="9990" spans="5:7" ht="15" customHeight="1">
      <c r="E9990" s="49" t="str">
        <f>IFERROR(VLOOKUP(D9990,'taxonomy map'!$A$1:$C$107,2,FALSE),"")</f>
        <v/>
      </c>
      <c r="F9990" s="49" t="str">
        <f>IFERROR(VLOOKUP(E9990,'Condensed Specialty Crosswalk'!$A$2:$C$106,2,FALSE),"")</f>
        <v/>
      </c>
      <c r="G9990" s="49" t="str">
        <f>IFERROR(VLOOKUP(E9990,'Condensed Specialty Crosswalk'!$A$2:$C$106,3,FALSE),"")</f>
        <v/>
      </c>
    </row>
    <row r="9991" spans="5:7" ht="15" customHeight="1">
      <c r="E9991" s="49" t="str">
        <f>IFERROR(VLOOKUP(D9991,'taxonomy map'!$A$1:$C$107,2,FALSE),"")</f>
        <v/>
      </c>
      <c r="F9991" s="49" t="str">
        <f>IFERROR(VLOOKUP(E9991,'Condensed Specialty Crosswalk'!$A$2:$C$106,2,FALSE),"")</f>
        <v/>
      </c>
      <c r="G9991" s="49" t="str">
        <f>IFERROR(VLOOKUP(E9991,'Condensed Specialty Crosswalk'!$A$2:$C$106,3,FALSE),"")</f>
        <v/>
      </c>
    </row>
    <row r="9992" spans="5:7" ht="15" customHeight="1">
      <c r="E9992" s="49" t="str">
        <f>IFERROR(VLOOKUP(D9992,'taxonomy map'!$A$1:$C$107,2,FALSE),"")</f>
        <v/>
      </c>
      <c r="F9992" s="49" t="str">
        <f>IFERROR(VLOOKUP(E9992,'Condensed Specialty Crosswalk'!$A$2:$C$106,2,FALSE),"")</f>
        <v/>
      </c>
      <c r="G9992" s="49" t="str">
        <f>IFERROR(VLOOKUP(E9992,'Condensed Specialty Crosswalk'!$A$2:$C$106,3,FALSE),"")</f>
        <v/>
      </c>
    </row>
    <row r="9993" spans="5:7" ht="15" customHeight="1">
      <c r="E9993" s="49" t="str">
        <f>IFERROR(VLOOKUP(D9993,'taxonomy map'!$A$1:$C$107,2,FALSE),"")</f>
        <v/>
      </c>
      <c r="F9993" s="49" t="str">
        <f>IFERROR(VLOOKUP(E9993,'Condensed Specialty Crosswalk'!$A$2:$C$106,2,FALSE),"")</f>
        <v/>
      </c>
      <c r="G9993" s="49" t="str">
        <f>IFERROR(VLOOKUP(E9993,'Condensed Specialty Crosswalk'!$A$2:$C$106,3,FALSE),"")</f>
        <v/>
      </c>
    </row>
    <row r="9994" spans="5:7" ht="15" customHeight="1">
      <c r="E9994" s="49" t="str">
        <f>IFERROR(VLOOKUP(D9994,'taxonomy map'!$A$1:$C$107,2,FALSE),"")</f>
        <v/>
      </c>
      <c r="F9994" s="49" t="str">
        <f>IFERROR(VLOOKUP(E9994,'Condensed Specialty Crosswalk'!$A$2:$C$106,2,FALSE),"")</f>
        <v/>
      </c>
      <c r="G9994" s="49" t="str">
        <f>IFERROR(VLOOKUP(E9994,'Condensed Specialty Crosswalk'!$A$2:$C$106,3,FALSE),"")</f>
        <v/>
      </c>
    </row>
    <row r="9995" spans="5:7" ht="15" customHeight="1">
      <c r="E9995" s="49" t="str">
        <f>IFERROR(VLOOKUP(D9995,'taxonomy map'!$A$1:$C$107,2,FALSE),"")</f>
        <v/>
      </c>
      <c r="F9995" s="49" t="str">
        <f>IFERROR(VLOOKUP(E9995,'Condensed Specialty Crosswalk'!$A$2:$C$106,2,FALSE),"")</f>
        <v/>
      </c>
      <c r="G9995" s="49" t="str">
        <f>IFERROR(VLOOKUP(E9995,'Condensed Specialty Crosswalk'!$A$2:$C$106,3,FALSE),"")</f>
        <v/>
      </c>
    </row>
    <row r="9996" spans="5:7" ht="15" customHeight="1">
      <c r="E9996" s="49" t="str">
        <f>IFERROR(VLOOKUP(D9996,'taxonomy map'!$A$1:$C$107,2,FALSE),"")</f>
        <v/>
      </c>
      <c r="F9996" s="49" t="str">
        <f>IFERROR(VLOOKUP(E9996,'Condensed Specialty Crosswalk'!$A$2:$C$106,2,FALSE),"")</f>
        <v/>
      </c>
      <c r="G9996" s="49" t="str">
        <f>IFERROR(VLOOKUP(E9996,'Condensed Specialty Crosswalk'!$A$2:$C$106,3,FALSE),"")</f>
        <v/>
      </c>
    </row>
    <row r="9997" spans="5:7" ht="15" customHeight="1">
      <c r="E9997" s="49" t="str">
        <f>IFERROR(VLOOKUP(D9997,'taxonomy map'!$A$1:$C$107,2,FALSE),"")</f>
        <v/>
      </c>
      <c r="F9997" s="49" t="str">
        <f>IFERROR(VLOOKUP(E9997,'Condensed Specialty Crosswalk'!$A$2:$C$106,2,FALSE),"")</f>
        <v/>
      </c>
      <c r="G9997" s="49" t="str">
        <f>IFERROR(VLOOKUP(E9997,'Condensed Specialty Crosswalk'!$A$2:$C$106,3,FALSE),"")</f>
        <v/>
      </c>
    </row>
    <row r="9998" spans="5:7" ht="15" customHeight="1">
      <c r="E9998" s="49" t="str">
        <f>IFERROR(VLOOKUP(D9998,'taxonomy map'!$A$1:$C$107,2,FALSE),"")</f>
        <v/>
      </c>
      <c r="F9998" s="49" t="str">
        <f>IFERROR(VLOOKUP(E9998,'Condensed Specialty Crosswalk'!$A$2:$C$106,2,FALSE),"")</f>
        <v/>
      </c>
      <c r="G9998" s="49" t="str">
        <f>IFERROR(VLOOKUP(E9998,'Condensed Specialty Crosswalk'!$A$2:$C$106,3,FALSE),"")</f>
        <v/>
      </c>
    </row>
    <row r="9999" spans="5:7" ht="15" customHeight="1">
      <c r="E9999" s="49" t="str">
        <f>IFERROR(VLOOKUP(D9999,'taxonomy map'!$A$1:$C$107,2,FALSE),"")</f>
        <v/>
      </c>
      <c r="F9999" s="49" t="str">
        <f>IFERROR(VLOOKUP(E9999,'Condensed Specialty Crosswalk'!$A$2:$C$106,2,FALSE),"")</f>
        <v/>
      </c>
      <c r="G9999" s="49" t="str">
        <f>IFERROR(VLOOKUP(E9999,'Condensed Specialty Crosswalk'!$A$2:$C$106,3,FALSE),"")</f>
        <v/>
      </c>
    </row>
    <row r="10000" spans="5:7" ht="15" customHeight="1">
      <c r="F10000" s="49" t="str">
        <f>IFERROR(VLOOKUP(E10000,'Condensed Specialty Crosswalk'!$A$2:$C$106,2,FALSE),"")</f>
        <v/>
      </c>
      <c r="G10000" s="49" t="str">
        <f>IFERROR(VLOOKUP(E10000,'Condensed Specialty Crosswalk'!$A$2:$C$106,3,FALSE),"")</f>
        <v/>
      </c>
    </row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'Condensed Specialty Crosswalk'!$A$2:$A$106</xm:f>
          </x14:formula1>
          <xm:sqref>E1</xm:sqref>
        </x14:dataValidation>
        <x14:dataValidation type="list" allowBlank="1" showInputMessage="1" xr:uid="{E0DE28EB-A0DA-1949-AAA5-870317182B80}">
          <x14:formula1>
            <xm:f>'taxonomy map'!$A$2:$A$155</xm:f>
          </x14:formula1>
          <xm:sqref>E3:E2426</xm:sqref>
        </x14:dataValidation>
        <x14:dataValidation type="list" allowBlank="1" showInputMessage="1" showErrorMessage="1" xr:uid="{16D68BA0-1154-A349-9CF9-51EB833BA7D6}">
          <x14:formula1>
            <xm:f>'Condensed Specialty Crosswalk'!$A$2:$A$157</xm:f>
          </x14:formula1>
          <xm:sqref>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5693-FCA7-F445-B8F6-DAC03BB55D5B}">
  <sheetPr codeName="Sheet6"/>
  <dimension ref="A1:C171"/>
  <sheetViews>
    <sheetView topLeftCell="A153" zoomScale="136" workbookViewId="0">
      <selection activeCell="A169" sqref="A169"/>
    </sheetView>
  </sheetViews>
  <sheetFormatPr baseColWidth="10" defaultColWidth="10.7109375" defaultRowHeight="16"/>
  <cols>
    <col min="1" max="2" width="39.85546875" customWidth="1"/>
    <col min="3" max="3" width="33.85546875" customWidth="1"/>
  </cols>
  <sheetData>
    <row r="1" spans="1:3" ht="24">
      <c r="A1" s="99" t="s">
        <v>213</v>
      </c>
      <c r="B1" s="99" t="s">
        <v>214</v>
      </c>
      <c r="C1" s="73" t="s">
        <v>360</v>
      </c>
    </row>
    <row r="2" spans="1:3">
      <c r="A2" s="100" t="s">
        <v>411</v>
      </c>
      <c r="B2" s="100" t="s">
        <v>411</v>
      </c>
      <c r="C2" s="74" t="s">
        <v>49</v>
      </c>
    </row>
    <row r="3" spans="1:3">
      <c r="A3" s="100" t="s">
        <v>408</v>
      </c>
      <c r="B3" s="100" t="s">
        <v>408</v>
      </c>
      <c r="C3" s="74" t="s">
        <v>112</v>
      </c>
    </row>
    <row r="4" spans="1:3">
      <c r="A4" s="100" t="s">
        <v>409</v>
      </c>
      <c r="B4" s="100" t="s">
        <v>409</v>
      </c>
      <c r="C4" s="74" t="s">
        <v>8</v>
      </c>
    </row>
    <row r="5" spans="1:3">
      <c r="A5" s="100" t="s">
        <v>396</v>
      </c>
      <c r="B5" s="100" t="s">
        <v>396</v>
      </c>
      <c r="C5" s="74" t="s">
        <v>66</v>
      </c>
    </row>
    <row r="6" spans="1:3">
      <c r="A6" s="100" t="s">
        <v>215</v>
      </c>
      <c r="B6" s="100" t="s">
        <v>215</v>
      </c>
      <c r="C6" s="74" t="s">
        <v>147</v>
      </c>
    </row>
    <row r="7" spans="1:3">
      <c r="A7" s="100" t="s">
        <v>216</v>
      </c>
      <c r="B7" s="100" t="s">
        <v>216</v>
      </c>
      <c r="C7" s="74" t="s">
        <v>13</v>
      </c>
    </row>
    <row r="8" spans="1:3">
      <c r="A8" s="100" t="s">
        <v>385</v>
      </c>
      <c r="B8" s="100" t="s">
        <v>385</v>
      </c>
      <c r="C8" s="74" t="s">
        <v>29</v>
      </c>
    </row>
    <row r="9" spans="1:3">
      <c r="A9" s="100" t="s">
        <v>217</v>
      </c>
      <c r="B9" s="100" t="s">
        <v>217</v>
      </c>
      <c r="C9" s="74" t="s">
        <v>35</v>
      </c>
    </row>
    <row r="10" spans="1:3">
      <c r="A10" s="100" t="s">
        <v>218</v>
      </c>
      <c r="B10" s="100" t="s">
        <v>218</v>
      </c>
      <c r="C10" s="74" t="s">
        <v>69</v>
      </c>
    </row>
    <row r="11" spans="1:3">
      <c r="A11" s="100" t="s">
        <v>8</v>
      </c>
      <c r="B11" s="100" t="s">
        <v>8</v>
      </c>
      <c r="C11" s="74" t="s">
        <v>107</v>
      </c>
    </row>
    <row r="12" spans="1:3">
      <c r="A12" s="100" t="s">
        <v>219</v>
      </c>
      <c r="B12" s="100" t="s">
        <v>219</v>
      </c>
      <c r="C12" s="74" t="s">
        <v>114</v>
      </c>
    </row>
    <row r="13" spans="1:3">
      <c r="A13" s="100" t="s">
        <v>379</v>
      </c>
      <c r="B13" s="100" t="s">
        <v>379</v>
      </c>
      <c r="C13" s="74" t="s">
        <v>76</v>
      </c>
    </row>
    <row r="14" spans="1:3">
      <c r="A14" s="100" t="s">
        <v>379</v>
      </c>
      <c r="B14" s="100" t="s">
        <v>379</v>
      </c>
      <c r="C14" s="74" t="s">
        <v>72</v>
      </c>
    </row>
    <row r="15" spans="1:3">
      <c r="A15" s="100" t="s">
        <v>220</v>
      </c>
      <c r="B15" s="100" t="s">
        <v>220</v>
      </c>
      <c r="C15" s="74" t="s">
        <v>110</v>
      </c>
    </row>
    <row r="16" spans="1:3">
      <c r="A16" s="100" t="s">
        <v>391</v>
      </c>
      <c r="B16" s="100" t="s">
        <v>391</v>
      </c>
      <c r="C16" s="74" t="s">
        <v>50</v>
      </c>
    </row>
    <row r="17" spans="1:3">
      <c r="A17" s="100" t="s">
        <v>397</v>
      </c>
      <c r="B17" s="100" t="s">
        <v>397</v>
      </c>
      <c r="C17" s="74" t="s">
        <v>87</v>
      </c>
    </row>
    <row r="18" spans="1:3">
      <c r="A18" s="100" t="s">
        <v>221</v>
      </c>
      <c r="B18" s="100" t="s">
        <v>221</v>
      </c>
      <c r="C18" s="74" t="s">
        <v>4</v>
      </c>
    </row>
    <row r="19" spans="1:3">
      <c r="A19" s="100" t="s">
        <v>222</v>
      </c>
      <c r="B19" s="100" t="s">
        <v>222</v>
      </c>
      <c r="C19" s="74" t="s">
        <v>9</v>
      </c>
    </row>
    <row r="20" spans="1:3">
      <c r="A20" s="100" t="s">
        <v>223</v>
      </c>
      <c r="B20" s="100" t="s">
        <v>223</v>
      </c>
      <c r="C20" s="74" t="s">
        <v>12</v>
      </c>
    </row>
    <row r="21" spans="1:3">
      <c r="A21" s="100" t="s">
        <v>422</v>
      </c>
      <c r="B21" s="100" t="s">
        <v>422</v>
      </c>
      <c r="C21" s="74" t="s">
        <v>14</v>
      </c>
    </row>
    <row r="22" spans="1:3">
      <c r="A22" s="100" t="s">
        <v>428</v>
      </c>
      <c r="B22" s="100" t="s">
        <v>428</v>
      </c>
      <c r="C22" s="74" t="s">
        <v>18</v>
      </c>
    </row>
    <row r="23" spans="1:3">
      <c r="A23" s="100" t="s">
        <v>429</v>
      </c>
      <c r="B23" s="100" t="s">
        <v>429</v>
      </c>
      <c r="C23" s="74" t="s">
        <v>20</v>
      </c>
    </row>
    <row r="24" spans="1:3">
      <c r="A24" s="100" t="s">
        <v>430</v>
      </c>
      <c r="B24" s="100" t="s">
        <v>430</v>
      </c>
      <c r="C24" s="74" t="s">
        <v>24</v>
      </c>
    </row>
    <row r="25" spans="1:3">
      <c r="A25" s="100" t="s">
        <v>431</v>
      </c>
      <c r="B25" s="100" t="s">
        <v>431</v>
      </c>
      <c r="C25" s="74" t="s">
        <v>26</v>
      </c>
    </row>
    <row r="26" spans="1:3">
      <c r="A26" s="100" t="s">
        <v>432</v>
      </c>
      <c r="B26" s="100" t="s">
        <v>432</v>
      </c>
      <c r="C26" s="74" t="s">
        <v>28</v>
      </c>
    </row>
    <row r="27" spans="1:3">
      <c r="A27" s="100" t="s">
        <v>224</v>
      </c>
      <c r="B27" s="100" t="s">
        <v>224</v>
      </c>
      <c r="C27" s="74" t="s">
        <v>11</v>
      </c>
    </row>
    <row r="28" spans="1:3">
      <c r="A28" s="100" t="s">
        <v>362</v>
      </c>
      <c r="B28" s="100" t="s">
        <v>362</v>
      </c>
      <c r="C28" s="74" t="s">
        <v>31</v>
      </c>
    </row>
    <row r="29" spans="1:3">
      <c r="A29" s="100" t="s">
        <v>415</v>
      </c>
      <c r="B29" s="100" t="s">
        <v>415</v>
      </c>
      <c r="C29" s="74" t="s">
        <v>34</v>
      </c>
    </row>
    <row r="30" spans="1:3">
      <c r="A30" s="100" t="s">
        <v>417</v>
      </c>
      <c r="B30" s="100" t="s">
        <v>417</v>
      </c>
      <c r="C30" s="74" t="s">
        <v>36</v>
      </c>
    </row>
    <row r="31" spans="1:3">
      <c r="A31" s="100" t="s">
        <v>225</v>
      </c>
      <c r="B31" s="100" t="s">
        <v>225</v>
      </c>
      <c r="C31" s="74" t="s">
        <v>38</v>
      </c>
    </row>
    <row r="32" spans="1:3">
      <c r="A32" s="100" t="s">
        <v>405</v>
      </c>
      <c r="B32" s="100" t="s">
        <v>405</v>
      </c>
      <c r="C32" s="74" t="s">
        <v>40</v>
      </c>
    </row>
    <row r="33" spans="1:3">
      <c r="A33" s="100" t="s">
        <v>421</v>
      </c>
      <c r="B33" s="100" t="s">
        <v>421</v>
      </c>
      <c r="C33" s="74" t="s">
        <v>44</v>
      </c>
    </row>
    <row r="34" spans="1:3">
      <c r="A34" s="100" t="s">
        <v>426</v>
      </c>
      <c r="B34" s="100" t="s">
        <v>426</v>
      </c>
      <c r="C34" s="74" t="s">
        <v>48</v>
      </c>
    </row>
    <row r="35" spans="1:3">
      <c r="A35" s="100" t="s">
        <v>50</v>
      </c>
      <c r="B35" s="100" t="s">
        <v>50</v>
      </c>
      <c r="C35" s="74" t="s">
        <v>65</v>
      </c>
    </row>
    <row r="36" spans="1:3">
      <c r="A36" s="100" t="s">
        <v>13</v>
      </c>
      <c r="B36" s="100" t="s">
        <v>13</v>
      </c>
      <c r="C36" s="74" t="s">
        <v>15</v>
      </c>
    </row>
    <row r="37" spans="1:3">
      <c r="A37" s="100" t="s">
        <v>324</v>
      </c>
      <c r="B37" s="100" t="s">
        <v>324</v>
      </c>
      <c r="C37" s="74" t="s">
        <v>68</v>
      </c>
    </row>
    <row r="38" spans="1:3">
      <c r="A38" s="100" t="s">
        <v>226</v>
      </c>
      <c r="B38" s="100" t="s">
        <v>226</v>
      </c>
      <c r="C38" s="74" t="s">
        <v>19</v>
      </c>
    </row>
    <row r="39" spans="1:3">
      <c r="A39" s="100" t="s">
        <v>228</v>
      </c>
      <c r="B39" s="100" t="s">
        <v>228</v>
      </c>
      <c r="C39" s="74" t="s">
        <v>70</v>
      </c>
    </row>
    <row r="40" spans="1:3">
      <c r="A40" s="100" t="s">
        <v>229</v>
      </c>
      <c r="B40" s="100" t="s">
        <v>229</v>
      </c>
      <c r="C40" s="74" t="s">
        <v>73</v>
      </c>
    </row>
    <row r="41" spans="1:3">
      <c r="A41" s="100" t="s">
        <v>230</v>
      </c>
      <c r="B41" s="100" t="s">
        <v>230</v>
      </c>
      <c r="C41" s="74" t="s">
        <v>77</v>
      </c>
    </row>
    <row r="42" spans="1:3">
      <c r="A42" s="100" t="s">
        <v>378</v>
      </c>
      <c r="B42" s="100" t="s">
        <v>378</v>
      </c>
      <c r="C42" s="74" t="s">
        <v>22</v>
      </c>
    </row>
    <row r="43" spans="1:3">
      <c r="A43" s="100" t="s">
        <v>378</v>
      </c>
      <c r="B43" s="100" t="s">
        <v>378</v>
      </c>
      <c r="C43" s="74" t="s">
        <v>78</v>
      </c>
    </row>
    <row r="44" spans="1:3">
      <c r="A44" s="100" t="s">
        <v>72</v>
      </c>
      <c r="B44" s="100" t="s">
        <v>72</v>
      </c>
      <c r="C44" s="74" t="s">
        <v>81</v>
      </c>
    </row>
    <row r="45" spans="1:3">
      <c r="A45" s="100" t="s">
        <v>366</v>
      </c>
      <c r="B45" s="100" t="s">
        <v>366</v>
      </c>
      <c r="C45" s="74" t="s">
        <v>82</v>
      </c>
    </row>
    <row r="46" spans="1:3">
      <c r="A46" s="100" t="s">
        <v>435</v>
      </c>
      <c r="B46" s="100" t="s">
        <v>435</v>
      </c>
      <c r="C46" s="74" t="s">
        <v>84</v>
      </c>
    </row>
    <row r="47" spans="1:3">
      <c r="A47" s="100" t="s">
        <v>436</v>
      </c>
      <c r="B47" s="100" t="s">
        <v>436</v>
      </c>
      <c r="C47" s="74" t="s">
        <v>85</v>
      </c>
    </row>
    <row r="48" spans="1:3">
      <c r="A48" s="100" t="s">
        <v>386</v>
      </c>
      <c r="B48" s="100" t="s">
        <v>386</v>
      </c>
      <c r="C48" s="74" t="s">
        <v>89</v>
      </c>
    </row>
    <row r="49" spans="1:3">
      <c r="A49" s="100" t="s">
        <v>392</v>
      </c>
      <c r="B49" s="100" t="s">
        <v>392</v>
      </c>
      <c r="C49" s="74" t="s">
        <v>91</v>
      </c>
    </row>
    <row r="50" spans="1:3">
      <c r="A50" s="100" t="s">
        <v>410</v>
      </c>
      <c r="B50" s="100" t="s">
        <v>410</v>
      </c>
      <c r="C50" s="74" t="s">
        <v>23</v>
      </c>
    </row>
    <row r="51" spans="1:3">
      <c r="A51" s="100" t="s">
        <v>76</v>
      </c>
      <c r="B51" s="100" t="s">
        <v>76</v>
      </c>
      <c r="C51" s="74" t="s">
        <v>25</v>
      </c>
    </row>
    <row r="52" spans="1:3">
      <c r="A52" s="100" t="s">
        <v>367</v>
      </c>
      <c r="B52" s="100" t="s">
        <v>367</v>
      </c>
      <c r="C52" s="74" t="s">
        <v>93</v>
      </c>
    </row>
    <row r="53" spans="1:3">
      <c r="A53" s="100" t="s">
        <v>437</v>
      </c>
      <c r="B53" s="100" t="s">
        <v>437</v>
      </c>
      <c r="C53" s="74" t="s">
        <v>94</v>
      </c>
    </row>
    <row r="54" spans="1:3">
      <c r="A54" s="100" t="s">
        <v>232</v>
      </c>
      <c r="B54" s="100" t="s">
        <v>232</v>
      </c>
      <c r="C54" s="74" t="s">
        <v>97</v>
      </c>
    </row>
    <row r="55" spans="1:3">
      <c r="A55" s="100" t="s">
        <v>382</v>
      </c>
      <c r="B55" s="100" t="s">
        <v>382</v>
      </c>
      <c r="C55" s="74" t="s">
        <v>27</v>
      </c>
    </row>
    <row r="56" spans="1:3">
      <c r="A56" s="100" t="s">
        <v>423</v>
      </c>
      <c r="B56" s="100" t="s">
        <v>423</v>
      </c>
      <c r="C56" s="74" t="s">
        <v>101</v>
      </c>
    </row>
    <row r="57" spans="1:3">
      <c r="A57" s="100" t="s">
        <v>424</v>
      </c>
      <c r="B57" s="100" t="s">
        <v>424</v>
      </c>
      <c r="C57" s="74" t="s">
        <v>102</v>
      </c>
    </row>
    <row r="58" spans="1:3">
      <c r="A58" s="100" t="s">
        <v>425</v>
      </c>
      <c r="B58" s="100" t="s">
        <v>425</v>
      </c>
      <c r="C58" s="74" t="s">
        <v>103</v>
      </c>
    </row>
    <row r="59" spans="1:3">
      <c r="A59" s="100" t="s">
        <v>329</v>
      </c>
      <c r="B59" s="100" t="s">
        <v>329</v>
      </c>
      <c r="C59" s="74" t="s">
        <v>104</v>
      </c>
    </row>
    <row r="60" spans="1:3">
      <c r="A60" s="100" t="s">
        <v>233</v>
      </c>
      <c r="B60" s="100" t="s">
        <v>233</v>
      </c>
      <c r="C60" s="74" t="s">
        <v>105</v>
      </c>
    </row>
    <row r="61" spans="1:3">
      <c r="A61" s="100" t="s">
        <v>87</v>
      </c>
      <c r="B61" s="100" t="s">
        <v>87</v>
      </c>
      <c r="C61" s="74" t="s">
        <v>106</v>
      </c>
    </row>
    <row r="62" spans="1:3">
      <c r="A62" s="100" t="s">
        <v>368</v>
      </c>
      <c r="B62" s="100" t="s">
        <v>368</v>
      </c>
      <c r="C62" s="74" t="s">
        <v>108</v>
      </c>
    </row>
    <row r="63" spans="1:3">
      <c r="A63" s="100" t="s">
        <v>234</v>
      </c>
      <c r="B63" s="100" t="s">
        <v>234</v>
      </c>
      <c r="C63" s="74" t="s">
        <v>30</v>
      </c>
    </row>
    <row r="64" spans="1:3">
      <c r="A64" s="100" t="s">
        <v>235</v>
      </c>
      <c r="B64" s="100" t="s">
        <v>235</v>
      </c>
      <c r="C64" s="74" t="s">
        <v>115</v>
      </c>
    </row>
    <row r="65" spans="1:3">
      <c r="A65" s="100" t="s">
        <v>420</v>
      </c>
      <c r="B65" s="76" t="s">
        <v>25</v>
      </c>
      <c r="C65" s="74" t="s">
        <v>116</v>
      </c>
    </row>
    <row r="66" spans="1:3">
      <c r="A66" s="100" t="s">
        <v>236</v>
      </c>
      <c r="B66" s="100" t="s">
        <v>236</v>
      </c>
      <c r="C66" s="74" t="s">
        <v>33</v>
      </c>
    </row>
    <row r="67" spans="1:3">
      <c r="A67" s="100" t="s">
        <v>237</v>
      </c>
      <c r="B67" s="8" t="s">
        <v>27</v>
      </c>
      <c r="C67" s="74" t="s">
        <v>37</v>
      </c>
    </row>
    <row r="68" spans="1:3">
      <c r="A68" s="100" t="s">
        <v>238</v>
      </c>
      <c r="B68" s="100" t="s">
        <v>238</v>
      </c>
      <c r="C68" s="74" t="s">
        <v>118</v>
      </c>
    </row>
    <row r="69" spans="1:3">
      <c r="A69" s="100" t="s">
        <v>376</v>
      </c>
      <c r="B69" s="100" t="s">
        <v>376</v>
      </c>
      <c r="C69" s="74" t="s">
        <v>39</v>
      </c>
    </row>
    <row r="70" spans="1:3">
      <c r="A70" s="100" t="s">
        <v>375</v>
      </c>
      <c r="B70" s="100" t="s">
        <v>375</v>
      </c>
      <c r="C70" s="74" t="s">
        <v>41</v>
      </c>
    </row>
    <row r="71" spans="1:3">
      <c r="A71" s="100" t="s">
        <v>393</v>
      </c>
      <c r="B71" s="100" t="s">
        <v>393</v>
      </c>
      <c r="C71" s="74" t="s">
        <v>120</v>
      </c>
    </row>
    <row r="72" spans="1:3">
      <c r="A72" s="100" t="s">
        <v>370</v>
      </c>
      <c r="B72" s="100" t="s">
        <v>370</v>
      </c>
      <c r="C72" s="74" t="s">
        <v>47</v>
      </c>
    </row>
    <row r="73" spans="1:3">
      <c r="A73" s="100" t="s">
        <v>363</v>
      </c>
      <c r="B73" s="100" t="s">
        <v>363</v>
      </c>
      <c r="C73" s="74" t="s">
        <v>124</v>
      </c>
    </row>
    <row r="74" spans="1:3">
      <c r="A74" s="100" t="s">
        <v>433</v>
      </c>
      <c r="B74" s="100" t="s">
        <v>433</v>
      </c>
      <c r="C74" s="74" t="s">
        <v>125</v>
      </c>
    </row>
    <row r="75" spans="1:3">
      <c r="A75" s="100" t="s">
        <v>239</v>
      </c>
      <c r="B75" s="100" t="s">
        <v>239</v>
      </c>
      <c r="C75" s="74" t="s">
        <v>126</v>
      </c>
    </row>
    <row r="76" spans="1:3">
      <c r="A76" s="100" t="s">
        <v>377</v>
      </c>
      <c r="B76" s="100" t="s">
        <v>377</v>
      </c>
      <c r="C76" s="74" t="s">
        <v>127</v>
      </c>
    </row>
    <row r="77" spans="1:3">
      <c r="A77" s="100" t="s">
        <v>240</v>
      </c>
      <c r="B77" s="100" t="s">
        <v>240</v>
      </c>
      <c r="C77" s="74" t="s">
        <v>128</v>
      </c>
    </row>
    <row r="78" spans="1:3">
      <c r="A78" s="100" t="s">
        <v>412</v>
      </c>
      <c r="B78" s="100" t="s">
        <v>412</v>
      </c>
      <c r="C78" s="74" t="s">
        <v>129</v>
      </c>
    </row>
    <row r="79" spans="1:3">
      <c r="A79" s="100" t="s">
        <v>241</v>
      </c>
      <c r="B79" s="100" t="s">
        <v>241</v>
      </c>
      <c r="C79" s="74" t="s">
        <v>130</v>
      </c>
    </row>
    <row r="80" spans="1:3">
      <c r="A80" s="100" t="s">
        <v>107</v>
      </c>
      <c r="B80" s="100" t="s">
        <v>107</v>
      </c>
      <c r="C80" s="74" t="s">
        <v>132</v>
      </c>
    </row>
    <row r="81" spans="1:3">
      <c r="A81" s="100" t="s">
        <v>380</v>
      </c>
      <c r="B81" s="100" t="s">
        <v>380</v>
      </c>
      <c r="C81" s="74" t="s">
        <v>133</v>
      </c>
    </row>
    <row r="82" spans="1:3">
      <c r="A82" s="100" t="s">
        <v>242</v>
      </c>
      <c r="B82" s="100" t="s">
        <v>242</v>
      </c>
      <c r="C82" s="74" t="s">
        <v>134</v>
      </c>
    </row>
    <row r="83" spans="1:3">
      <c r="A83" s="100" t="s">
        <v>29</v>
      </c>
      <c r="B83" s="100" t="s">
        <v>29</v>
      </c>
      <c r="C83" s="74" t="s">
        <v>135</v>
      </c>
    </row>
    <row r="84" spans="1:3">
      <c r="A84" s="100" t="s">
        <v>381</v>
      </c>
      <c r="B84" s="100" t="s">
        <v>381</v>
      </c>
      <c r="C84" s="74" t="s">
        <v>136</v>
      </c>
    </row>
    <row r="85" spans="1:3">
      <c r="A85" s="100" t="s">
        <v>381</v>
      </c>
      <c r="B85" s="100" t="s">
        <v>381</v>
      </c>
      <c r="C85" s="74" t="s">
        <v>137</v>
      </c>
    </row>
    <row r="86" spans="1:3">
      <c r="A86" s="100" t="s">
        <v>110</v>
      </c>
      <c r="B86" s="100" t="s">
        <v>110</v>
      </c>
      <c r="C86" s="74" t="s">
        <v>138</v>
      </c>
    </row>
    <row r="87" spans="1:3">
      <c r="A87" s="100" t="s">
        <v>112</v>
      </c>
      <c r="B87" s="100" t="s">
        <v>112</v>
      </c>
      <c r="C87" s="74" t="s">
        <v>139</v>
      </c>
    </row>
    <row r="88" spans="1:3">
      <c r="A88" s="100" t="s">
        <v>114</v>
      </c>
      <c r="B88" s="100" t="s">
        <v>114</v>
      </c>
      <c r="C88" s="74" t="s">
        <v>140</v>
      </c>
    </row>
    <row r="89" spans="1:3">
      <c r="A89" s="100" t="s">
        <v>243</v>
      </c>
      <c r="B89" s="100" t="s">
        <v>243</v>
      </c>
      <c r="C89" s="74" t="s">
        <v>141</v>
      </c>
    </row>
    <row r="90" spans="1:3">
      <c r="A90" s="100" t="s">
        <v>413</v>
      </c>
      <c r="B90" s="100" t="s">
        <v>413</v>
      </c>
      <c r="C90" s="74" t="s">
        <v>142</v>
      </c>
    </row>
    <row r="91" spans="1:3">
      <c r="A91" s="100" t="s">
        <v>244</v>
      </c>
      <c r="B91" s="100" t="s">
        <v>244</v>
      </c>
      <c r="C91" s="74" t="s">
        <v>51</v>
      </c>
    </row>
    <row r="92" spans="1:3">
      <c r="A92" s="100" t="s">
        <v>245</v>
      </c>
      <c r="B92" s="100" t="s">
        <v>245</v>
      </c>
      <c r="C92" s="74" t="s">
        <v>143</v>
      </c>
    </row>
    <row r="93" spans="1:3">
      <c r="A93" s="100" t="s">
        <v>384</v>
      </c>
      <c r="B93" s="100" t="s">
        <v>384</v>
      </c>
      <c r="C93" s="74" t="s">
        <v>64</v>
      </c>
    </row>
    <row r="94" spans="1:3">
      <c r="A94" s="100" t="s">
        <v>35</v>
      </c>
      <c r="B94" s="100" t="s">
        <v>35</v>
      </c>
      <c r="C94" s="74" t="s">
        <v>144</v>
      </c>
    </row>
    <row r="95" spans="1:3">
      <c r="A95" s="100" t="s">
        <v>246</v>
      </c>
      <c r="B95" s="100" t="s">
        <v>246</v>
      </c>
      <c r="C95" s="74" t="s">
        <v>67</v>
      </c>
    </row>
    <row r="96" spans="1:3">
      <c r="A96" s="100" t="s">
        <v>247</v>
      </c>
      <c r="B96" s="100" t="s">
        <v>247</v>
      </c>
      <c r="C96" s="74" t="s">
        <v>146</v>
      </c>
    </row>
    <row r="97" spans="1:3">
      <c r="A97" s="100" t="s">
        <v>387</v>
      </c>
      <c r="B97" s="100" t="s">
        <v>387</v>
      </c>
      <c r="C97" s="74" t="s">
        <v>148</v>
      </c>
    </row>
    <row r="98" spans="1:3">
      <c r="A98" s="100" t="s">
        <v>388</v>
      </c>
      <c r="B98" s="100" t="s">
        <v>388</v>
      </c>
      <c r="C98" s="74" t="s">
        <v>149</v>
      </c>
    </row>
    <row r="99" spans="1:3">
      <c r="A99" s="100" t="s">
        <v>438</v>
      </c>
      <c r="B99" s="100" t="s">
        <v>438</v>
      </c>
      <c r="C99" s="74" t="s">
        <v>150</v>
      </c>
    </row>
    <row r="100" spans="1:3">
      <c r="A100" s="100" t="s">
        <v>390</v>
      </c>
      <c r="B100" s="100" t="s">
        <v>390</v>
      </c>
      <c r="C100" s="74" t="s">
        <v>151</v>
      </c>
    </row>
    <row r="101" spans="1:3">
      <c r="A101" s="100" t="s">
        <v>361</v>
      </c>
      <c r="B101" s="100" t="s">
        <v>361</v>
      </c>
      <c r="C101" s="74" t="s">
        <v>152</v>
      </c>
    </row>
    <row r="102" spans="1:3">
      <c r="A102" s="100" t="s">
        <v>249</v>
      </c>
      <c r="B102" s="100" t="s">
        <v>249</v>
      </c>
      <c r="C102" s="74" t="s">
        <v>153</v>
      </c>
    </row>
    <row r="103" spans="1:3">
      <c r="A103" s="100" t="s">
        <v>250</v>
      </c>
      <c r="B103" s="100" t="s">
        <v>250</v>
      </c>
      <c r="C103" s="74" t="s">
        <v>154</v>
      </c>
    </row>
    <row r="104" spans="1:3">
      <c r="A104" s="100" t="s">
        <v>251</v>
      </c>
      <c r="B104" s="100" t="s">
        <v>251</v>
      </c>
      <c r="C104" s="74" t="s">
        <v>155</v>
      </c>
    </row>
    <row r="105" spans="1:3">
      <c r="A105" s="100" t="s">
        <v>252</v>
      </c>
      <c r="B105" s="100" t="s">
        <v>252</v>
      </c>
      <c r="C105" s="74" t="s">
        <v>157</v>
      </c>
    </row>
    <row r="106" spans="1:3">
      <c r="A106" s="100" t="s">
        <v>364</v>
      </c>
      <c r="B106" s="100" t="s">
        <v>364</v>
      </c>
      <c r="C106" s="74" t="s">
        <v>158</v>
      </c>
    </row>
    <row r="107" spans="1:3">
      <c r="A107" s="100" t="s">
        <v>364</v>
      </c>
      <c r="B107" s="100" t="s">
        <v>364</v>
      </c>
      <c r="C107" s="74"/>
    </row>
    <row r="108" spans="1:3">
      <c r="A108" s="100" t="s">
        <v>253</v>
      </c>
      <c r="B108" s="100" t="s">
        <v>253</v>
      </c>
    </row>
    <row r="109" spans="1:3">
      <c r="A109" s="100" t="s">
        <v>254</v>
      </c>
      <c r="B109" s="100" t="s">
        <v>254</v>
      </c>
    </row>
    <row r="110" spans="1:3">
      <c r="A110" s="100" t="s">
        <v>398</v>
      </c>
      <c r="B110" s="76" t="s">
        <v>132</v>
      </c>
    </row>
    <row r="111" spans="1:3">
      <c r="A111" s="100" t="s">
        <v>449</v>
      </c>
      <c r="B111" s="76" t="s">
        <v>134</v>
      </c>
    </row>
    <row r="112" spans="1:3">
      <c r="A112" s="100" t="s">
        <v>346</v>
      </c>
      <c r="B112" s="100" t="s">
        <v>346</v>
      </c>
    </row>
    <row r="113" spans="1:2">
      <c r="A113" s="100" t="s">
        <v>389</v>
      </c>
      <c r="B113" s="100" t="s">
        <v>389</v>
      </c>
    </row>
    <row r="114" spans="1:2">
      <c r="A114" s="100" t="s">
        <v>255</v>
      </c>
      <c r="B114" s="100" t="s">
        <v>255</v>
      </c>
    </row>
    <row r="115" spans="1:2">
      <c r="A115" s="100" t="s">
        <v>394</v>
      </c>
      <c r="B115" s="100" t="s">
        <v>394</v>
      </c>
    </row>
    <row r="116" spans="1:2">
      <c r="A116" s="100" t="s">
        <v>256</v>
      </c>
      <c r="B116" s="100" t="s">
        <v>256</v>
      </c>
    </row>
    <row r="117" spans="1:2">
      <c r="A117" s="100" t="s">
        <v>257</v>
      </c>
      <c r="B117" s="100" t="s">
        <v>257</v>
      </c>
    </row>
    <row r="118" spans="1:2">
      <c r="A118" s="100" t="s">
        <v>403</v>
      </c>
      <c r="B118" s="100" t="s">
        <v>403</v>
      </c>
    </row>
    <row r="119" spans="1:2">
      <c r="A119" s="100" t="s">
        <v>399</v>
      </c>
      <c r="B119" s="76" t="s">
        <v>138</v>
      </c>
    </row>
    <row r="120" spans="1:2">
      <c r="A120" s="100" t="s">
        <v>365</v>
      </c>
      <c r="B120" s="100" t="s">
        <v>365</v>
      </c>
    </row>
    <row r="121" spans="1:2">
      <c r="A121" s="100" t="s">
        <v>400</v>
      </c>
      <c r="B121" s="100" t="s">
        <v>400</v>
      </c>
    </row>
    <row r="122" spans="1:2">
      <c r="A122" s="100" t="s">
        <v>258</v>
      </c>
      <c r="B122" s="100" t="s">
        <v>258</v>
      </c>
    </row>
    <row r="123" spans="1:2">
      <c r="A123" s="100" t="s">
        <v>401</v>
      </c>
      <c r="B123" s="100" t="s">
        <v>401</v>
      </c>
    </row>
    <row r="124" spans="1:2">
      <c r="A124" s="100" t="s">
        <v>259</v>
      </c>
      <c r="B124" s="100" t="s">
        <v>259</v>
      </c>
    </row>
    <row r="125" spans="1:2">
      <c r="A125" s="100" t="s">
        <v>49</v>
      </c>
      <c r="B125" s="100" t="s">
        <v>49</v>
      </c>
    </row>
    <row r="126" spans="1:2">
      <c r="A126" s="100" t="s">
        <v>260</v>
      </c>
      <c r="B126" s="100" t="s">
        <v>260</v>
      </c>
    </row>
    <row r="127" spans="1:2">
      <c r="A127" s="100" t="s">
        <v>261</v>
      </c>
      <c r="B127" s="100" t="s">
        <v>261</v>
      </c>
    </row>
    <row r="128" spans="1:2">
      <c r="A128" s="100" t="s">
        <v>404</v>
      </c>
      <c r="B128" s="76" t="s">
        <v>64</v>
      </c>
    </row>
    <row r="129" spans="1:2">
      <c r="A129" s="100" t="s">
        <v>406</v>
      </c>
      <c r="B129" s="100" t="s">
        <v>406</v>
      </c>
    </row>
    <row r="130" spans="1:2">
      <c r="A130" s="100" t="s">
        <v>66</v>
      </c>
      <c r="B130" s="100" t="s">
        <v>66</v>
      </c>
    </row>
    <row r="131" spans="1:2">
      <c r="A131" s="100" t="s">
        <v>371</v>
      </c>
      <c r="B131" s="100" t="s">
        <v>371</v>
      </c>
    </row>
    <row r="132" spans="1:2">
      <c r="A132" s="100" t="s">
        <v>372</v>
      </c>
      <c r="B132" s="76" t="s">
        <v>144</v>
      </c>
    </row>
    <row r="133" spans="1:2">
      <c r="A133" s="100" t="s">
        <v>262</v>
      </c>
      <c r="B133" s="100" t="s">
        <v>262</v>
      </c>
    </row>
    <row r="134" spans="1:2">
      <c r="A134" s="100" t="s">
        <v>227</v>
      </c>
      <c r="B134" s="100" t="s">
        <v>227</v>
      </c>
    </row>
    <row r="135" spans="1:2">
      <c r="A135" s="100" t="s">
        <v>263</v>
      </c>
      <c r="B135" s="100" t="s">
        <v>263</v>
      </c>
    </row>
    <row r="136" spans="1:2">
      <c r="A136" s="100" t="s">
        <v>383</v>
      </c>
      <c r="B136" s="100" t="s">
        <v>383</v>
      </c>
    </row>
    <row r="137" spans="1:2">
      <c r="A137" s="100" t="s">
        <v>147</v>
      </c>
      <c r="B137" s="100" t="s">
        <v>147</v>
      </c>
    </row>
    <row r="138" spans="1:2">
      <c r="A138" s="100" t="s">
        <v>395</v>
      </c>
      <c r="B138" s="100" t="s">
        <v>395</v>
      </c>
    </row>
    <row r="139" spans="1:2">
      <c r="A139" s="100" t="s">
        <v>373</v>
      </c>
      <c r="B139" s="100" t="s">
        <v>373</v>
      </c>
    </row>
    <row r="140" spans="1:2">
      <c r="A140" s="100" t="s">
        <v>402</v>
      </c>
      <c r="B140" s="100" t="s">
        <v>402</v>
      </c>
    </row>
    <row r="141" spans="1:2">
      <c r="A141" s="100" t="s">
        <v>369</v>
      </c>
      <c r="B141" s="100" t="s">
        <v>369</v>
      </c>
    </row>
    <row r="142" spans="1:2">
      <c r="A142" s="100" t="s">
        <v>439</v>
      </c>
      <c r="B142" s="100" t="s">
        <v>439</v>
      </c>
    </row>
    <row r="143" spans="1:2">
      <c r="A143" s="100" t="s">
        <v>231</v>
      </c>
      <c r="B143" s="100" t="s">
        <v>231</v>
      </c>
    </row>
    <row r="144" spans="1:2">
      <c r="A144" s="100" t="s">
        <v>264</v>
      </c>
      <c r="B144" s="100" t="s">
        <v>264</v>
      </c>
    </row>
    <row r="145" spans="1:2">
      <c r="A145" s="100" t="s">
        <v>265</v>
      </c>
      <c r="B145" s="100" t="s">
        <v>265</v>
      </c>
    </row>
    <row r="146" spans="1:2">
      <c r="A146" s="100" t="s">
        <v>418</v>
      </c>
      <c r="B146" s="100" t="s">
        <v>418</v>
      </c>
    </row>
    <row r="147" spans="1:2">
      <c r="A147" s="100" t="s">
        <v>419</v>
      </c>
      <c r="B147" s="100" t="s">
        <v>419</v>
      </c>
    </row>
    <row r="148" spans="1:2">
      <c r="A148" s="100" t="s">
        <v>374</v>
      </c>
      <c r="B148" s="100" t="s">
        <v>374</v>
      </c>
    </row>
    <row r="149" spans="1:2">
      <c r="A149" s="100" t="s">
        <v>407</v>
      </c>
      <c r="B149" s="100" t="s">
        <v>407</v>
      </c>
    </row>
    <row r="150" spans="1:2">
      <c r="A150" s="100" t="s">
        <v>434</v>
      </c>
      <c r="B150" s="100" t="s">
        <v>434</v>
      </c>
    </row>
    <row r="151" spans="1:2">
      <c r="A151" s="100" t="s">
        <v>69</v>
      </c>
      <c r="B151" s="100" t="s">
        <v>69</v>
      </c>
    </row>
    <row r="152" spans="1:2">
      <c r="A152" s="100" t="s">
        <v>414</v>
      </c>
      <c r="B152" s="76" t="s">
        <v>154</v>
      </c>
    </row>
    <row r="153" spans="1:2">
      <c r="A153" s="100" t="s">
        <v>266</v>
      </c>
      <c r="B153" s="100" t="s">
        <v>266</v>
      </c>
    </row>
    <row r="154" spans="1:2">
      <c r="A154" s="100" t="s">
        <v>267</v>
      </c>
      <c r="B154" s="100" t="s">
        <v>267</v>
      </c>
    </row>
    <row r="155" spans="1:2">
      <c r="A155" s="100" t="s">
        <v>416</v>
      </c>
      <c r="B155" s="100" t="s">
        <v>416</v>
      </c>
    </row>
    <row r="156" spans="1:2">
      <c r="A156" s="104" t="s">
        <v>440</v>
      </c>
      <c r="B156" s="104" t="s">
        <v>440</v>
      </c>
    </row>
    <row r="157" spans="1:2">
      <c r="A157" s="104" t="s">
        <v>441</v>
      </c>
      <c r="B157" s="104" t="s">
        <v>441</v>
      </c>
    </row>
    <row r="158" spans="1:2">
      <c r="A158" s="104" t="s">
        <v>442</v>
      </c>
      <c r="B158" s="104" t="s">
        <v>442</v>
      </c>
    </row>
    <row r="159" spans="1:2">
      <c r="A159" s="104" t="s">
        <v>443</v>
      </c>
      <c r="B159" s="104" t="s">
        <v>443</v>
      </c>
    </row>
    <row r="160" spans="1:2">
      <c r="A160" s="104" t="s">
        <v>444</v>
      </c>
      <c r="B160" s="104" t="s">
        <v>444</v>
      </c>
    </row>
    <row r="161" spans="1:2">
      <c r="A161" s="104" t="s">
        <v>445</v>
      </c>
      <c r="B161" s="104" t="s">
        <v>445</v>
      </c>
    </row>
    <row r="162" spans="1:2">
      <c r="A162" s="104" t="s">
        <v>446</v>
      </c>
      <c r="B162" s="104" t="s">
        <v>446</v>
      </c>
    </row>
    <row r="163" spans="1:2">
      <c r="A163" s="104" t="s">
        <v>447</v>
      </c>
      <c r="B163" s="104" t="s">
        <v>447</v>
      </c>
    </row>
    <row r="164" spans="1:2">
      <c r="A164" s="104" t="s">
        <v>448</v>
      </c>
      <c r="B164" s="104" t="s">
        <v>448</v>
      </c>
    </row>
    <row r="165" spans="1:2">
      <c r="A165" s="101" t="s">
        <v>451</v>
      </c>
      <c r="B165" s="76" t="s">
        <v>144</v>
      </c>
    </row>
    <row r="166" spans="1:2">
      <c r="A166" s="101" t="s">
        <v>450</v>
      </c>
      <c r="B166" s="76" t="s">
        <v>25</v>
      </c>
    </row>
    <row r="167" spans="1:2">
      <c r="A167" s="101" t="s">
        <v>454</v>
      </c>
      <c r="B167" s="76" t="s">
        <v>138</v>
      </c>
    </row>
    <row r="168" spans="1:2">
      <c r="A168" s="101" t="s">
        <v>455</v>
      </c>
      <c r="B168" s="76" t="s">
        <v>154</v>
      </c>
    </row>
    <row r="169" spans="1:2">
      <c r="A169" s="101" t="s">
        <v>453</v>
      </c>
      <c r="B169" s="76" t="s">
        <v>132</v>
      </c>
    </row>
    <row r="170" spans="1:2">
      <c r="A170" s="101" t="s">
        <v>237</v>
      </c>
      <c r="B170" s="76" t="s">
        <v>27</v>
      </c>
    </row>
    <row r="171" spans="1:2">
      <c r="A171" s="101" t="s">
        <v>452</v>
      </c>
      <c r="B171" s="76" t="s">
        <v>64</v>
      </c>
    </row>
  </sheetData>
  <sortState xmlns:xlrd2="http://schemas.microsoft.com/office/spreadsheetml/2017/richdata2" ref="B2:B156">
    <sortCondition ref="B2:B15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RoleOutput"/>
  <dimension ref="A1:AA99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2" sqref="F12"/>
    </sheetView>
  </sheetViews>
  <sheetFormatPr baseColWidth="10" defaultColWidth="11.28515625" defaultRowHeight="15" customHeight="1"/>
  <cols>
    <col min="1" max="1" width="36.5703125" customWidth="1"/>
    <col min="2" max="3" width="10.5703125" customWidth="1"/>
    <col min="4" max="4" width="21.7109375" customWidth="1"/>
    <col min="5" max="5" width="16.140625" customWidth="1"/>
    <col min="6" max="6" width="18.85546875" customWidth="1"/>
    <col min="7" max="7" width="28.42578125" customWidth="1"/>
    <col min="8" max="8" width="21" customWidth="1"/>
    <col min="9" max="9" width="15" customWidth="1"/>
    <col min="10" max="10" width="20.5703125" customWidth="1"/>
    <col min="11" max="11" width="22.5703125" customWidth="1"/>
    <col min="12" max="12" width="12.85546875" customWidth="1"/>
    <col min="13" max="13" width="10.5703125" customWidth="1"/>
    <col min="14" max="14" width="24.28515625" customWidth="1"/>
    <col min="15" max="27" width="10.5703125" customWidth="1"/>
  </cols>
  <sheetData>
    <row r="1" spans="1:27" s="71" customFormat="1" ht="63.75" customHeight="1">
      <c r="A1" s="72" t="s">
        <v>1</v>
      </c>
      <c r="B1" s="72" t="s">
        <v>6</v>
      </c>
      <c r="C1" s="72" t="s">
        <v>16</v>
      </c>
      <c r="D1" s="72" t="s">
        <v>186</v>
      </c>
      <c r="E1" s="72" t="s">
        <v>188</v>
      </c>
      <c r="F1" s="72" t="s">
        <v>209</v>
      </c>
      <c r="G1" s="72" t="s">
        <v>212</v>
      </c>
      <c r="H1" s="72" t="s">
        <v>194</v>
      </c>
      <c r="I1" s="72" t="s">
        <v>196</v>
      </c>
      <c r="J1" s="72" t="s">
        <v>198</v>
      </c>
      <c r="K1" s="72" t="s">
        <v>200</v>
      </c>
      <c r="L1" s="72" t="s">
        <v>210</v>
      </c>
      <c r="M1" s="72" t="s">
        <v>204</v>
      </c>
      <c r="N1" s="72" t="s">
        <v>206</v>
      </c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</row>
    <row r="2" spans="1:27" ht="15.75" customHeight="1">
      <c r="A2" s="4" t="s">
        <v>8</v>
      </c>
      <c r="B2" s="55">
        <v>1</v>
      </c>
      <c r="C2" s="55">
        <v>4</v>
      </c>
      <c r="D2" s="4">
        <v>0</v>
      </c>
      <c r="E2" s="57">
        <v>0</v>
      </c>
      <c r="F2" s="58">
        <v>0</v>
      </c>
      <c r="G2" s="4">
        <v>0</v>
      </c>
      <c r="H2" s="58">
        <v>0</v>
      </c>
      <c r="I2" s="58">
        <v>0</v>
      </c>
      <c r="J2" s="58">
        <v>0</v>
      </c>
      <c r="K2" s="58">
        <v>0</v>
      </c>
      <c r="L2" s="58">
        <v>0</v>
      </c>
      <c r="M2" s="58">
        <v>0</v>
      </c>
      <c r="N2" s="58">
        <v>0</v>
      </c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spans="1:27" ht="15.75" customHeight="1">
      <c r="A3" s="4" t="s">
        <v>11</v>
      </c>
      <c r="B3" s="55">
        <v>1</v>
      </c>
      <c r="C3" s="55">
        <v>5</v>
      </c>
      <c r="D3" s="4">
        <v>0</v>
      </c>
      <c r="E3" s="58">
        <v>0</v>
      </c>
      <c r="F3" s="4">
        <v>0</v>
      </c>
      <c r="G3" s="4">
        <v>0</v>
      </c>
      <c r="H3" s="9">
        <v>0</v>
      </c>
      <c r="I3" s="58">
        <v>0</v>
      </c>
      <c r="J3" s="58">
        <v>0</v>
      </c>
      <c r="K3" s="4">
        <v>0</v>
      </c>
      <c r="L3" s="58">
        <v>0</v>
      </c>
      <c r="M3" s="58">
        <v>0</v>
      </c>
      <c r="N3" s="4">
        <v>0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spans="1:27" ht="15.75" customHeight="1">
      <c r="A4" s="4" t="s">
        <v>13</v>
      </c>
      <c r="B4" s="55">
        <v>1</v>
      </c>
      <c r="C4" s="55">
        <v>4</v>
      </c>
      <c r="D4" s="4">
        <v>0</v>
      </c>
      <c r="E4" s="58">
        <v>0</v>
      </c>
      <c r="F4" s="4">
        <v>0</v>
      </c>
      <c r="G4" s="4">
        <v>0</v>
      </c>
      <c r="H4" s="4">
        <v>0</v>
      </c>
      <c r="I4" s="57">
        <v>0</v>
      </c>
      <c r="J4" s="58">
        <v>0</v>
      </c>
      <c r="K4" s="4">
        <v>0</v>
      </c>
      <c r="L4" s="58">
        <v>0</v>
      </c>
      <c r="M4" s="58">
        <v>0</v>
      </c>
      <c r="N4" s="4">
        <v>0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ht="15.75" customHeight="1">
      <c r="A5" s="4" t="s">
        <v>15</v>
      </c>
      <c r="B5" s="55">
        <v>2</v>
      </c>
      <c r="C5" s="55">
        <v>5</v>
      </c>
      <c r="D5" s="4">
        <v>0</v>
      </c>
      <c r="E5" s="58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58">
        <v>0</v>
      </c>
      <c r="M5" s="58">
        <v>0</v>
      </c>
      <c r="N5" s="4">
        <v>0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ht="15.75" customHeight="1">
      <c r="A6" s="4" t="s">
        <v>19</v>
      </c>
      <c r="B6" s="55">
        <v>1</v>
      </c>
      <c r="C6" s="55">
        <v>3</v>
      </c>
      <c r="D6" s="4">
        <v>0</v>
      </c>
      <c r="E6" s="58">
        <v>0</v>
      </c>
      <c r="F6" s="4">
        <v>0</v>
      </c>
      <c r="G6" s="4">
        <v>0</v>
      </c>
      <c r="H6" s="4">
        <v>0</v>
      </c>
      <c r="I6" s="4">
        <v>0</v>
      </c>
      <c r="J6" s="58">
        <v>0</v>
      </c>
      <c r="K6" s="58">
        <v>0</v>
      </c>
      <c r="L6" s="4">
        <v>0</v>
      </c>
      <c r="M6" s="4">
        <v>0</v>
      </c>
      <c r="N6" s="58">
        <v>0</v>
      </c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7" ht="15.75" customHeight="1">
      <c r="A7" s="4" t="s">
        <v>22</v>
      </c>
      <c r="B7" s="55">
        <v>1</v>
      </c>
      <c r="C7" s="55">
        <v>5</v>
      </c>
      <c r="D7" s="58">
        <v>0</v>
      </c>
      <c r="E7" s="57">
        <v>0</v>
      </c>
      <c r="F7" s="4">
        <v>0</v>
      </c>
      <c r="G7" s="4">
        <v>0</v>
      </c>
      <c r="H7" s="58">
        <v>0</v>
      </c>
      <c r="I7" s="58">
        <v>0</v>
      </c>
      <c r="J7" s="58">
        <v>0</v>
      </c>
      <c r="K7" s="58">
        <v>0</v>
      </c>
      <c r="L7" s="4">
        <v>0</v>
      </c>
      <c r="M7" s="4">
        <v>0</v>
      </c>
      <c r="N7" s="4">
        <v>0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ht="15.75" customHeight="1">
      <c r="A8" s="4" t="s">
        <v>456</v>
      </c>
      <c r="B8" s="55">
        <v>1</v>
      </c>
      <c r="C8" s="55">
        <v>4</v>
      </c>
      <c r="D8" s="58">
        <v>0</v>
      </c>
      <c r="E8" s="58">
        <v>0</v>
      </c>
      <c r="F8" s="4">
        <v>0</v>
      </c>
      <c r="G8" s="4">
        <v>0</v>
      </c>
      <c r="H8" s="57">
        <v>0</v>
      </c>
      <c r="I8" s="58">
        <v>0</v>
      </c>
      <c r="J8" s="58">
        <v>0</v>
      </c>
      <c r="K8" s="4">
        <v>0</v>
      </c>
      <c r="L8" s="58">
        <v>0</v>
      </c>
      <c r="M8" s="58">
        <v>0</v>
      </c>
      <c r="N8" s="4">
        <v>0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27" ht="15.75" customHeight="1">
      <c r="A9" s="4" t="s">
        <v>25</v>
      </c>
      <c r="B9" s="55">
        <v>1</v>
      </c>
      <c r="C9" s="55">
        <v>4</v>
      </c>
      <c r="D9" s="58">
        <v>0</v>
      </c>
      <c r="E9" s="58">
        <v>0</v>
      </c>
      <c r="F9" s="4">
        <v>0</v>
      </c>
      <c r="G9" s="4">
        <v>0</v>
      </c>
      <c r="H9" s="4">
        <v>0</v>
      </c>
      <c r="I9" s="58">
        <v>0</v>
      </c>
      <c r="J9" s="58">
        <v>0</v>
      </c>
      <c r="K9" s="4">
        <v>0</v>
      </c>
      <c r="L9" s="58">
        <v>0</v>
      </c>
      <c r="M9" s="58">
        <v>0</v>
      </c>
      <c r="N9" s="4">
        <v>0</v>
      </c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</row>
    <row r="10" spans="1:27" ht="15.75" customHeight="1">
      <c r="A10" s="4" t="s">
        <v>27</v>
      </c>
      <c r="B10" s="55">
        <v>1</v>
      </c>
      <c r="C10" s="55">
        <v>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56">
        <v>0</v>
      </c>
      <c r="L10" s="4">
        <v>0</v>
      </c>
      <c r="M10" s="4">
        <v>0</v>
      </c>
      <c r="N10" s="4">
        <v>0</v>
      </c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</row>
    <row r="11" spans="1:27" ht="15.75" customHeight="1">
      <c r="A11" s="4" t="s">
        <v>29</v>
      </c>
      <c r="B11" s="55">
        <v>1</v>
      </c>
      <c r="C11" s="55">
        <v>4</v>
      </c>
      <c r="D11" s="4">
        <v>0</v>
      </c>
      <c r="E11" s="58">
        <v>0</v>
      </c>
      <c r="F11" s="4">
        <v>0</v>
      </c>
      <c r="G11" s="4">
        <v>0</v>
      </c>
      <c r="H11" s="4">
        <v>0</v>
      </c>
      <c r="I11" s="58">
        <v>0</v>
      </c>
      <c r="J11" s="58">
        <v>0</v>
      </c>
      <c r="K11" s="4">
        <v>0</v>
      </c>
      <c r="L11" s="58">
        <v>0</v>
      </c>
      <c r="M11" s="58">
        <v>0</v>
      </c>
      <c r="N11" s="4">
        <v>0</v>
      </c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</row>
    <row r="12" spans="1:27" ht="15.75" customHeight="1">
      <c r="A12" s="4" t="s">
        <v>30</v>
      </c>
      <c r="B12" s="55">
        <v>1</v>
      </c>
      <c r="C12" s="55">
        <v>7</v>
      </c>
      <c r="D12" s="4">
        <v>0</v>
      </c>
      <c r="E12" s="58">
        <v>0</v>
      </c>
      <c r="F12" s="4">
        <v>0</v>
      </c>
      <c r="G12" s="4">
        <v>0</v>
      </c>
      <c r="H12" s="58">
        <v>0</v>
      </c>
      <c r="I12" s="58">
        <v>0</v>
      </c>
      <c r="J12" s="58">
        <v>0</v>
      </c>
      <c r="K12" s="58">
        <v>0</v>
      </c>
      <c r="L12" s="58">
        <v>0</v>
      </c>
      <c r="M12" s="58">
        <v>0</v>
      </c>
      <c r="N12" s="4">
        <v>0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</row>
    <row r="13" spans="1:27" ht="15.75" customHeight="1">
      <c r="A13" s="4" t="s">
        <v>33</v>
      </c>
      <c r="B13" s="55">
        <v>1</v>
      </c>
      <c r="C13" s="55">
        <v>4</v>
      </c>
      <c r="D13" s="58">
        <v>0</v>
      </c>
      <c r="E13" s="58">
        <v>0</v>
      </c>
      <c r="F13" s="4">
        <v>0</v>
      </c>
      <c r="G13" s="4">
        <v>0</v>
      </c>
      <c r="H13" s="4">
        <v>0</v>
      </c>
      <c r="I13" s="58">
        <v>0</v>
      </c>
      <c r="J13" s="58">
        <v>0</v>
      </c>
      <c r="K13" s="4">
        <v>0</v>
      </c>
      <c r="L13" s="58">
        <v>0</v>
      </c>
      <c r="M13" s="58">
        <v>0</v>
      </c>
      <c r="N13" s="4">
        <v>0</v>
      </c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ht="15.75" customHeight="1">
      <c r="A14" s="4" t="s">
        <v>35</v>
      </c>
      <c r="B14" s="55">
        <v>2</v>
      </c>
      <c r="C14" s="55">
        <v>4</v>
      </c>
      <c r="D14" s="4">
        <v>0</v>
      </c>
      <c r="E14" s="58">
        <v>0</v>
      </c>
      <c r="F14" s="4">
        <v>0</v>
      </c>
      <c r="G14" s="4">
        <v>0</v>
      </c>
      <c r="H14" s="4">
        <v>0</v>
      </c>
      <c r="I14" s="58">
        <v>0</v>
      </c>
      <c r="J14" s="58">
        <v>0</v>
      </c>
      <c r="K14" s="4">
        <v>0</v>
      </c>
      <c r="L14" s="58">
        <v>0</v>
      </c>
      <c r="M14" s="58">
        <v>0</v>
      </c>
      <c r="N14" s="4">
        <v>0</v>
      </c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ht="15.75" customHeight="1">
      <c r="A15" s="4" t="s">
        <v>37</v>
      </c>
      <c r="B15" s="55">
        <v>1</v>
      </c>
      <c r="C15" s="55">
        <v>6</v>
      </c>
      <c r="D15" s="4">
        <v>0</v>
      </c>
      <c r="E15" s="58">
        <v>0</v>
      </c>
      <c r="F15" s="4">
        <v>0</v>
      </c>
      <c r="G15" s="4">
        <v>0</v>
      </c>
      <c r="H15" s="4">
        <v>0</v>
      </c>
      <c r="I15" s="58">
        <v>0</v>
      </c>
      <c r="J15" s="58">
        <v>0</v>
      </c>
      <c r="K15" s="4">
        <v>0</v>
      </c>
      <c r="L15" s="58">
        <v>0</v>
      </c>
      <c r="M15" s="58">
        <v>0</v>
      </c>
      <c r="N15" s="4">
        <v>0</v>
      </c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ht="15.75" customHeight="1">
      <c r="A16" s="4" t="s">
        <v>39</v>
      </c>
      <c r="B16" s="55">
        <v>1</v>
      </c>
      <c r="C16" s="55">
        <v>5</v>
      </c>
      <c r="D16" s="4">
        <v>0</v>
      </c>
      <c r="E16" s="58">
        <v>0</v>
      </c>
      <c r="F16" s="4">
        <v>0</v>
      </c>
      <c r="G16" s="4">
        <v>0</v>
      </c>
      <c r="H16" s="4">
        <v>0</v>
      </c>
      <c r="I16" s="58">
        <v>0</v>
      </c>
      <c r="J16" s="58">
        <v>0</v>
      </c>
      <c r="K16" s="4">
        <v>0</v>
      </c>
      <c r="L16" s="58">
        <v>0</v>
      </c>
      <c r="M16" s="58">
        <v>0</v>
      </c>
      <c r="N16" s="4">
        <v>0</v>
      </c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ht="15.75" customHeight="1">
      <c r="A17" s="4" t="s">
        <v>41</v>
      </c>
      <c r="B17" s="55">
        <v>1</v>
      </c>
      <c r="C17" s="55">
        <v>5</v>
      </c>
      <c r="D17" s="4">
        <v>0</v>
      </c>
      <c r="E17" s="58">
        <v>0</v>
      </c>
      <c r="F17" s="4">
        <v>0</v>
      </c>
      <c r="G17" s="4">
        <v>0</v>
      </c>
      <c r="H17" s="4">
        <v>0</v>
      </c>
      <c r="I17" s="58">
        <v>0</v>
      </c>
      <c r="J17" s="58">
        <v>0</v>
      </c>
      <c r="K17" s="4">
        <v>0</v>
      </c>
      <c r="L17" s="58">
        <v>0</v>
      </c>
      <c r="M17" s="58">
        <v>0</v>
      </c>
      <c r="N17" s="58">
        <v>0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ht="15.75" customHeight="1">
      <c r="A18" s="4" t="s">
        <v>47</v>
      </c>
      <c r="B18" s="55">
        <v>1</v>
      </c>
      <c r="C18" s="55">
        <v>4</v>
      </c>
      <c r="D18" s="4">
        <v>0</v>
      </c>
      <c r="E18" s="58">
        <v>0</v>
      </c>
      <c r="F18" s="4">
        <v>0</v>
      </c>
      <c r="G18" s="4">
        <v>0</v>
      </c>
      <c r="H18" s="4">
        <v>0</v>
      </c>
      <c r="I18" s="58">
        <v>0</v>
      </c>
      <c r="J18" s="58">
        <v>0</v>
      </c>
      <c r="K18" s="4">
        <v>0</v>
      </c>
      <c r="L18" s="58">
        <v>0</v>
      </c>
      <c r="M18" s="58">
        <v>0</v>
      </c>
      <c r="N18" s="4">
        <v>0</v>
      </c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</row>
    <row r="19" spans="1:27" ht="15.75" customHeight="1">
      <c r="A19" s="4" t="s">
        <v>49</v>
      </c>
      <c r="B19" s="55">
        <v>1</v>
      </c>
      <c r="C19" s="55">
        <v>4</v>
      </c>
      <c r="D19" s="4">
        <v>0</v>
      </c>
      <c r="E19" s="58">
        <v>0</v>
      </c>
      <c r="F19" s="4">
        <v>0</v>
      </c>
      <c r="G19" s="4">
        <v>0</v>
      </c>
      <c r="H19" s="4">
        <v>0</v>
      </c>
      <c r="I19" s="58">
        <v>0</v>
      </c>
      <c r="J19" s="58">
        <v>0</v>
      </c>
      <c r="K19" s="4">
        <v>0</v>
      </c>
      <c r="L19" s="58">
        <v>0</v>
      </c>
      <c r="M19" s="58">
        <v>0</v>
      </c>
      <c r="N19" s="4">
        <v>0</v>
      </c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ht="15.75" customHeight="1">
      <c r="A20" s="4" t="s">
        <v>51</v>
      </c>
      <c r="B20" s="55">
        <v>1</v>
      </c>
      <c r="C20" s="55">
        <v>4</v>
      </c>
      <c r="D20" s="4">
        <v>0</v>
      </c>
      <c r="E20" s="58">
        <v>0</v>
      </c>
      <c r="F20" s="58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58">
        <v>0</v>
      </c>
      <c r="M20" s="58">
        <v>0</v>
      </c>
      <c r="N20" s="4">
        <v>0</v>
      </c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</row>
    <row r="21" spans="1:27" ht="15.75" customHeight="1">
      <c r="A21" s="4" t="s">
        <v>64</v>
      </c>
      <c r="B21" s="55">
        <v>1</v>
      </c>
      <c r="C21" s="55">
        <v>6</v>
      </c>
      <c r="D21" s="4">
        <v>0</v>
      </c>
      <c r="E21" s="57">
        <v>0</v>
      </c>
      <c r="F21" s="4">
        <v>0</v>
      </c>
      <c r="G21" s="4">
        <v>0</v>
      </c>
      <c r="H21" s="4">
        <v>0</v>
      </c>
      <c r="I21" s="57">
        <v>0</v>
      </c>
      <c r="J21" s="57">
        <v>0</v>
      </c>
      <c r="K21" s="4">
        <v>0</v>
      </c>
      <c r="L21" s="57">
        <v>0</v>
      </c>
      <c r="M21" s="57">
        <v>0</v>
      </c>
      <c r="N21" s="4">
        <v>0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customHeight="1">
      <c r="A22" s="4" t="s">
        <v>66</v>
      </c>
      <c r="B22" s="55">
        <v>1</v>
      </c>
      <c r="C22" s="55">
        <v>4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57">
        <v>0</v>
      </c>
      <c r="K22" s="4">
        <v>0</v>
      </c>
      <c r="L22" s="58">
        <v>0</v>
      </c>
      <c r="M22" s="58">
        <v>0</v>
      </c>
      <c r="N22" s="4">
        <v>0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ht="15.75" customHeight="1">
      <c r="A23" s="4" t="s">
        <v>67</v>
      </c>
      <c r="B23" s="55">
        <v>2</v>
      </c>
      <c r="C23" s="55">
        <v>5</v>
      </c>
      <c r="D23" s="4">
        <v>0</v>
      </c>
      <c r="E23" s="58">
        <v>0</v>
      </c>
      <c r="F23" s="4">
        <v>0</v>
      </c>
      <c r="G23" s="4">
        <v>0</v>
      </c>
      <c r="H23" s="4">
        <v>0</v>
      </c>
      <c r="I23" s="57">
        <v>0</v>
      </c>
      <c r="J23" s="58">
        <v>0</v>
      </c>
      <c r="K23" s="4">
        <v>0</v>
      </c>
      <c r="L23" s="58">
        <v>0</v>
      </c>
      <c r="M23" s="58">
        <v>0</v>
      </c>
      <c r="N23" s="4">
        <v>0</v>
      </c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ht="15.75" customHeight="1">
      <c r="A24" s="4" t="s">
        <v>268</v>
      </c>
      <c r="B24" s="55">
        <v>1</v>
      </c>
      <c r="C24" s="55">
        <v>6</v>
      </c>
      <c r="D24" s="4">
        <v>0</v>
      </c>
      <c r="E24" s="58">
        <v>0</v>
      </c>
      <c r="F24" s="4">
        <v>0</v>
      </c>
      <c r="G24" s="4">
        <v>0</v>
      </c>
      <c r="H24" s="58">
        <v>0</v>
      </c>
      <c r="I24" s="58">
        <v>0</v>
      </c>
      <c r="J24" s="58">
        <v>0</v>
      </c>
      <c r="K24" s="58">
        <v>0</v>
      </c>
      <c r="L24" s="58">
        <v>0</v>
      </c>
      <c r="M24" s="58">
        <v>0</v>
      </c>
      <c r="N24" s="4">
        <v>0</v>
      </c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1:27" ht="15.75" customHeight="1">
      <c r="A25" s="4" t="s">
        <v>69</v>
      </c>
      <c r="B25" s="55">
        <v>1</v>
      </c>
      <c r="C25" s="55">
        <v>5</v>
      </c>
      <c r="D25" s="58">
        <v>0</v>
      </c>
      <c r="E25" s="58">
        <v>0</v>
      </c>
      <c r="F25" s="4">
        <v>0</v>
      </c>
      <c r="G25" s="4">
        <v>0</v>
      </c>
      <c r="H25" s="4">
        <v>0</v>
      </c>
      <c r="I25" s="58">
        <v>0</v>
      </c>
      <c r="J25" s="58">
        <v>0</v>
      </c>
      <c r="K25" s="4">
        <v>0</v>
      </c>
      <c r="L25" s="58">
        <v>0</v>
      </c>
      <c r="M25" s="58">
        <v>0</v>
      </c>
      <c r="N25" s="4">
        <v>0</v>
      </c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 ht="15.75" customHeight="1">
      <c r="A26" s="4" t="s">
        <v>71</v>
      </c>
      <c r="B26" s="55">
        <v>1</v>
      </c>
      <c r="C26" s="55">
        <v>6</v>
      </c>
      <c r="D26" s="58">
        <v>0</v>
      </c>
      <c r="E26" s="57">
        <v>0</v>
      </c>
      <c r="F26" s="4">
        <v>0</v>
      </c>
      <c r="G26" s="4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4">
        <v>0</v>
      </c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27" ht="15.75" customHeight="1">
      <c r="A27" s="4" t="s">
        <v>10</v>
      </c>
      <c r="B27" s="4">
        <v>3</v>
      </c>
      <c r="C27" s="4">
        <v>8</v>
      </c>
      <c r="D27" s="4">
        <v>0</v>
      </c>
      <c r="E27" s="4">
        <v>0</v>
      </c>
      <c r="F27" s="9">
        <v>0</v>
      </c>
      <c r="G27" s="9">
        <v>0</v>
      </c>
      <c r="H27" s="9">
        <v>0</v>
      </c>
      <c r="I27" s="4">
        <v>0</v>
      </c>
      <c r="J27" s="4">
        <v>0</v>
      </c>
      <c r="K27" s="9">
        <v>0</v>
      </c>
      <c r="L27" s="4">
        <v>0</v>
      </c>
      <c r="M27" s="4">
        <v>0</v>
      </c>
      <c r="N27" s="4">
        <v>0</v>
      </c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27" ht="15.75" customHeight="1">
      <c r="A28" s="4" t="s">
        <v>207</v>
      </c>
      <c r="B28" s="4">
        <v>3</v>
      </c>
      <c r="C28" s="4">
        <v>8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9">
        <v>0</v>
      </c>
      <c r="L28" s="4">
        <v>0</v>
      </c>
      <c r="M28" s="4">
        <v>0</v>
      </c>
      <c r="N28" s="4">
        <v>0</v>
      </c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1:27" ht="15.75" customHeight="1">
      <c r="A29" s="4" t="s">
        <v>208</v>
      </c>
      <c r="B29" s="4">
        <v>3</v>
      </c>
      <c r="C29" s="4">
        <v>8</v>
      </c>
      <c r="D29" s="9">
        <v>0</v>
      </c>
      <c r="E29" s="4">
        <v>0</v>
      </c>
      <c r="F29" s="4">
        <v>0</v>
      </c>
      <c r="G29" s="4">
        <v>0</v>
      </c>
      <c r="H29" s="9">
        <v>0</v>
      </c>
      <c r="I29" s="4">
        <v>0</v>
      </c>
      <c r="J29" s="9">
        <v>0</v>
      </c>
      <c r="K29" s="4">
        <v>0</v>
      </c>
      <c r="L29" s="4">
        <v>0</v>
      </c>
      <c r="M29" s="4">
        <v>0</v>
      </c>
      <c r="N29" s="4">
        <v>0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1:27" ht="15.75" customHeight="1">
      <c r="A30" s="4" t="s">
        <v>21</v>
      </c>
      <c r="B30" s="4">
        <v>3</v>
      </c>
      <c r="C30" s="4">
        <v>8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9">
        <v>0</v>
      </c>
      <c r="K30" s="4">
        <v>0</v>
      </c>
      <c r="L30" s="9">
        <v>0</v>
      </c>
      <c r="M30" s="9">
        <v>0</v>
      </c>
      <c r="N30" s="4">
        <v>0</v>
      </c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</row>
    <row r="31" spans="1:27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1:27" ht="15.75" customHeight="1">
      <c r="A32" s="4"/>
      <c r="B32" s="55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:27" ht="15.75" customHeight="1">
      <c r="A33" s="89" t="s">
        <v>211</v>
      </c>
      <c r="B33" s="60"/>
      <c r="C33" s="60"/>
      <c r="D33" s="90">
        <f t="shared" ref="D33:N33" si="0">SUM(D2:D30)</f>
        <v>0</v>
      </c>
      <c r="E33" s="90">
        <f t="shared" si="0"/>
        <v>0</v>
      </c>
      <c r="F33" s="90">
        <f t="shared" si="0"/>
        <v>0</v>
      </c>
      <c r="G33" s="90">
        <f t="shared" si="0"/>
        <v>0</v>
      </c>
      <c r="H33" s="90">
        <f t="shared" si="0"/>
        <v>0</v>
      </c>
      <c r="I33" s="90">
        <f t="shared" si="0"/>
        <v>0</v>
      </c>
      <c r="J33" s="90">
        <f t="shared" si="0"/>
        <v>0</v>
      </c>
      <c r="K33" s="90">
        <f t="shared" si="0"/>
        <v>0</v>
      </c>
      <c r="L33" s="90">
        <f t="shared" si="0"/>
        <v>0</v>
      </c>
      <c r="M33" s="90">
        <f t="shared" si="0"/>
        <v>0</v>
      </c>
      <c r="N33" s="90">
        <f t="shared" si="0"/>
        <v>0</v>
      </c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</row>
    <row r="34" spans="1:27" ht="15.75" customHeight="1">
      <c r="A34" s="79"/>
      <c r="B34" s="77"/>
      <c r="C34" s="77"/>
      <c r="D34" s="78"/>
      <c r="E34" s="78"/>
      <c r="F34" s="78"/>
      <c r="G34" s="78"/>
      <c r="H34" s="78"/>
      <c r="I34" s="78"/>
      <c r="K34" s="78"/>
      <c r="L34" s="78"/>
      <c r="M34" s="78"/>
      <c r="N34" s="78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1:27" ht="15.75" customHeight="1">
      <c r="A35" s="77"/>
      <c r="B35" s="77"/>
      <c r="C35" s="77"/>
      <c r="D35" s="77"/>
      <c r="E35" s="77"/>
      <c r="F35" s="77"/>
      <c r="G35" s="77"/>
      <c r="H35" s="77"/>
      <c r="I35" s="77"/>
      <c r="J35" s="4"/>
      <c r="K35" s="77"/>
      <c r="L35" s="77"/>
      <c r="M35" s="77"/>
      <c r="N35" s="77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</row>
    <row r="36" spans="1:27" ht="15.75" customHeight="1">
      <c r="A36" s="77"/>
      <c r="B36" s="77"/>
      <c r="C36" s="77"/>
      <c r="D36" s="77"/>
      <c r="E36" s="77"/>
      <c r="F36" s="77"/>
      <c r="G36" s="77"/>
      <c r="H36" s="77"/>
      <c r="I36" s="77"/>
      <c r="J36" s="4"/>
      <c r="K36" s="77"/>
      <c r="L36" s="77"/>
      <c r="M36" s="77"/>
      <c r="N36" s="77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:27" ht="15.75" customHeight="1">
      <c r="A37" s="77"/>
      <c r="B37" s="77"/>
      <c r="C37" s="77"/>
      <c r="D37" s="77"/>
      <c r="E37" s="77"/>
      <c r="F37" s="77"/>
      <c r="G37" s="77"/>
      <c r="H37" s="77"/>
      <c r="I37" s="77"/>
      <c r="J37" s="4"/>
      <c r="K37" s="77"/>
      <c r="L37" s="77"/>
      <c r="M37" s="77"/>
      <c r="N37" s="77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:27" ht="15.75" customHeight="1">
      <c r="A38" s="77"/>
      <c r="B38" s="77"/>
      <c r="C38" s="77"/>
      <c r="D38" s="77"/>
      <c r="E38" s="88"/>
      <c r="F38" s="77"/>
      <c r="G38" s="77"/>
      <c r="H38" s="77"/>
      <c r="I38" s="77"/>
      <c r="J38" s="4"/>
      <c r="K38" s="77"/>
      <c r="L38" s="77"/>
      <c r="M38" s="77"/>
      <c r="N38" s="77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:27" ht="15.75" customHeight="1">
      <c r="A39" s="77"/>
      <c r="B39" s="77"/>
      <c r="C39" s="77"/>
      <c r="D39" s="77"/>
      <c r="E39" s="77"/>
      <c r="F39" s="77"/>
      <c r="G39" s="77"/>
      <c r="H39" s="77"/>
      <c r="I39" s="77"/>
      <c r="J39" s="4"/>
      <c r="K39" s="77"/>
      <c r="L39" s="77"/>
      <c r="M39" s="77"/>
      <c r="N39" s="77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ht="15.75" customHeight="1">
      <c r="A40" s="77"/>
      <c r="B40" s="77"/>
      <c r="C40" s="77"/>
      <c r="D40" s="77"/>
      <c r="E40" s="77"/>
      <c r="F40" s="77"/>
      <c r="G40" s="77"/>
      <c r="H40" s="77"/>
      <c r="I40" s="77"/>
      <c r="J40" s="4"/>
      <c r="K40" s="77"/>
      <c r="L40" s="77"/>
      <c r="M40" s="77"/>
      <c r="N40" s="77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:27" ht="15.75" customHeight="1">
      <c r="A41" s="77"/>
      <c r="B41" s="77"/>
      <c r="C41" s="77"/>
      <c r="D41" s="77"/>
      <c r="E41" s="77"/>
      <c r="F41" s="77"/>
      <c r="G41" s="77"/>
      <c r="H41" s="77"/>
      <c r="I41" s="77"/>
      <c r="J41" s="4"/>
      <c r="K41" s="77"/>
      <c r="L41" s="77"/>
      <c r="M41" s="77"/>
      <c r="N41" s="77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:27" ht="15.75" customHeight="1">
      <c r="A42" s="77"/>
      <c r="B42" s="77"/>
      <c r="C42" s="77"/>
      <c r="D42" s="77"/>
      <c r="E42" s="77"/>
      <c r="F42" s="77"/>
      <c r="G42" s="77"/>
      <c r="H42" s="77"/>
      <c r="I42" s="77"/>
      <c r="J42" s="4"/>
      <c r="K42" s="77"/>
      <c r="L42" s="77"/>
      <c r="M42" s="77"/>
      <c r="N42" s="77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:27" ht="15.75" customHeight="1">
      <c r="A43" s="77"/>
      <c r="B43" s="77"/>
      <c r="C43" s="77"/>
      <c r="D43" s="77"/>
      <c r="E43" s="77"/>
      <c r="F43" s="77"/>
      <c r="G43" s="77"/>
      <c r="H43" s="77"/>
      <c r="I43" s="77"/>
      <c r="J43" s="4"/>
      <c r="K43" s="77"/>
      <c r="L43" s="77"/>
      <c r="M43" s="77"/>
      <c r="N43" s="77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:27" ht="15.75" customHeight="1">
      <c r="A44" s="77"/>
      <c r="B44" s="77"/>
      <c r="C44" s="77"/>
      <c r="D44" s="77"/>
      <c r="E44" s="77"/>
      <c r="F44" s="77"/>
      <c r="G44" s="77"/>
      <c r="H44" s="77"/>
      <c r="I44" s="77"/>
      <c r="J44" s="4"/>
      <c r="K44" s="77"/>
      <c r="L44" s="77"/>
      <c r="M44" s="77"/>
      <c r="N44" s="77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:27" ht="15.75" customHeight="1">
      <c r="A45" s="77"/>
      <c r="B45" s="77"/>
      <c r="C45" s="77"/>
      <c r="D45" s="77"/>
      <c r="E45" s="77"/>
      <c r="F45" s="77"/>
      <c r="G45" s="77"/>
      <c r="H45" s="77"/>
      <c r="I45" s="77"/>
      <c r="J45" s="4"/>
      <c r="K45" s="77"/>
      <c r="L45" s="77"/>
      <c r="M45" s="77"/>
      <c r="N45" s="77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:27" ht="15.75" customHeight="1">
      <c r="A46" s="77"/>
      <c r="B46" s="77"/>
      <c r="C46" s="77"/>
      <c r="D46" s="77"/>
      <c r="E46" s="77"/>
      <c r="F46" s="77"/>
      <c r="G46" s="77"/>
      <c r="H46" s="77"/>
      <c r="I46" s="77"/>
      <c r="J46" s="4"/>
      <c r="K46" s="77"/>
      <c r="L46" s="77"/>
      <c r="M46" s="77"/>
      <c r="N46" s="77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:27" ht="15.75" customHeight="1">
      <c r="A47" s="77"/>
      <c r="B47" s="77"/>
      <c r="C47" s="77"/>
      <c r="D47" s="77"/>
      <c r="E47" s="77"/>
      <c r="F47" s="77"/>
      <c r="G47" s="77"/>
      <c r="H47" s="77"/>
      <c r="I47" s="77"/>
      <c r="J47" s="4"/>
      <c r="K47" s="77"/>
      <c r="L47" s="77"/>
      <c r="M47" s="77"/>
      <c r="N47" s="77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</row>
    <row r="48" spans="1:27" ht="15.75" customHeight="1">
      <c r="A48" s="77"/>
      <c r="B48" s="77"/>
      <c r="C48" s="77"/>
      <c r="D48" s="77"/>
      <c r="E48" s="77"/>
      <c r="F48" s="77"/>
      <c r="G48" s="77"/>
      <c r="H48" s="77"/>
      <c r="I48" s="77"/>
      <c r="J48" s="4"/>
      <c r="K48" s="77"/>
      <c r="L48" s="77"/>
      <c r="M48" s="77"/>
      <c r="N48" s="77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</row>
    <row r="49" spans="1:27" ht="15.75" customHeight="1">
      <c r="A49" s="77"/>
      <c r="B49" s="77"/>
      <c r="C49" s="77"/>
      <c r="D49" s="77"/>
      <c r="E49" s="77"/>
      <c r="F49" s="77"/>
      <c r="G49" s="77"/>
      <c r="H49" s="77"/>
      <c r="I49" s="77"/>
      <c r="J49" s="4"/>
      <c r="K49" s="77"/>
      <c r="L49" s="77"/>
      <c r="M49" s="77"/>
      <c r="N49" s="77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</row>
    <row r="50" spans="1:27" ht="15.75" customHeight="1">
      <c r="A50" s="77"/>
      <c r="B50" s="77"/>
      <c r="C50" s="77"/>
      <c r="D50" s="77"/>
      <c r="E50" s="77"/>
      <c r="F50" s="77"/>
      <c r="G50" s="77"/>
      <c r="H50" s="77"/>
      <c r="I50" s="77"/>
      <c r="J50" s="4"/>
      <c r="K50" s="77"/>
      <c r="L50" s="77"/>
      <c r="M50" s="77"/>
      <c r="N50" s="77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</row>
    <row r="51" spans="1:27" ht="15.75" customHeight="1">
      <c r="A51" s="77"/>
      <c r="B51" s="77"/>
      <c r="C51" s="77"/>
      <c r="D51" s="77"/>
      <c r="E51" s="77"/>
      <c r="F51" s="77"/>
      <c r="G51" s="77"/>
      <c r="H51" s="77"/>
      <c r="I51" s="77"/>
      <c r="J51" s="4"/>
      <c r="K51" s="77"/>
      <c r="L51" s="77"/>
      <c r="M51" s="77"/>
      <c r="N51" s="77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</row>
    <row r="52" spans="1:27" ht="15.75" customHeight="1">
      <c r="A52" s="77"/>
      <c r="B52" s="77"/>
      <c r="C52" s="77"/>
      <c r="D52" s="77"/>
      <c r="E52" s="77"/>
      <c r="F52" s="77"/>
      <c r="G52" s="77"/>
      <c r="H52" s="77"/>
      <c r="I52" s="77"/>
      <c r="J52" s="4"/>
      <c r="K52" s="77"/>
      <c r="L52" s="77"/>
      <c r="M52" s="77"/>
      <c r="N52" s="77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</row>
    <row r="53" spans="1:27" ht="15.75" customHeight="1">
      <c r="A53" s="77"/>
      <c r="B53" s="77"/>
      <c r="C53" s="77"/>
      <c r="D53" s="77"/>
      <c r="E53" s="77"/>
      <c r="F53" s="77"/>
      <c r="G53" s="77"/>
      <c r="H53" s="77"/>
      <c r="I53" s="77"/>
      <c r="J53" s="4"/>
      <c r="K53" s="77"/>
      <c r="L53" s="77"/>
      <c r="M53" s="77"/>
      <c r="N53" s="77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</row>
    <row r="54" spans="1:27" ht="15.75" customHeight="1">
      <c r="A54" s="77"/>
      <c r="B54" s="77"/>
      <c r="C54" s="77"/>
      <c r="D54" s="77"/>
      <c r="E54" s="77"/>
      <c r="F54" s="77"/>
      <c r="G54" s="77"/>
      <c r="H54" s="77"/>
      <c r="I54" s="77"/>
      <c r="J54" s="4"/>
      <c r="K54" s="77"/>
      <c r="L54" s="77"/>
      <c r="M54" s="77"/>
      <c r="N54" s="77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</row>
    <row r="55" spans="1:27" ht="15.75" customHeight="1">
      <c r="A55" s="77"/>
      <c r="B55" s="77"/>
      <c r="C55" s="77"/>
      <c r="D55" s="77"/>
      <c r="E55" s="77"/>
      <c r="F55" s="77"/>
      <c r="G55" s="77"/>
      <c r="H55" s="77"/>
      <c r="I55" s="77"/>
      <c r="J55" s="4"/>
      <c r="K55" s="77"/>
      <c r="L55" s="77"/>
      <c r="M55" s="77"/>
      <c r="N55" s="77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</row>
    <row r="56" spans="1:27" ht="15.75" customHeight="1">
      <c r="A56" s="77"/>
      <c r="B56" s="77"/>
      <c r="C56" s="77"/>
      <c r="D56" s="77"/>
      <c r="E56" s="77"/>
      <c r="F56" s="77"/>
      <c r="G56" s="77"/>
      <c r="H56" s="77"/>
      <c r="I56" s="77"/>
      <c r="J56" s="4"/>
      <c r="K56" s="77"/>
      <c r="L56" s="77"/>
      <c r="M56" s="77"/>
      <c r="N56" s="77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  <row r="57" spans="1:27" ht="15.75" customHeight="1">
      <c r="A57" s="77"/>
      <c r="B57" s="77"/>
      <c r="C57" s="77"/>
      <c r="D57" s="77"/>
      <c r="E57" s="77"/>
      <c r="F57" s="77"/>
      <c r="G57" s="77"/>
      <c r="H57" s="77"/>
      <c r="I57" s="77"/>
      <c r="J57" s="4"/>
      <c r="K57" s="77"/>
      <c r="L57" s="77"/>
      <c r="M57" s="77"/>
      <c r="N57" s="77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ht="15.75" customHeight="1">
      <c r="A58" s="77"/>
      <c r="B58" s="77"/>
      <c r="C58" s="77"/>
      <c r="D58" s="77"/>
      <c r="E58" s="77"/>
      <c r="F58" s="77"/>
      <c r="G58" s="77"/>
      <c r="H58" s="77"/>
      <c r="I58" s="77"/>
      <c r="J58" s="4"/>
      <c r="K58" s="77"/>
      <c r="L58" s="77"/>
      <c r="M58" s="77"/>
      <c r="N58" s="77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</row>
    <row r="59" spans="1:27" ht="15.75" customHeight="1">
      <c r="A59" s="77"/>
      <c r="B59" s="77"/>
      <c r="C59" s="77"/>
      <c r="D59" s="77"/>
      <c r="E59" s="77"/>
      <c r="F59" s="77"/>
      <c r="G59" s="77"/>
      <c r="H59" s="77"/>
      <c r="I59" s="77"/>
      <c r="J59" s="4"/>
      <c r="K59" s="77"/>
      <c r="L59" s="77"/>
      <c r="M59" s="77"/>
      <c r="N59" s="77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</row>
    <row r="60" spans="1:27" ht="15.75" customHeight="1">
      <c r="A60" s="77"/>
      <c r="B60" s="77"/>
      <c r="C60" s="77"/>
      <c r="D60" s="77"/>
      <c r="E60" s="77"/>
      <c r="F60" s="77"/>
      <c r="G60" s="77"/>
      <c r="H60" s="77"/>
      <c r="I60" s="77"/>
      <c r="J60" s="4"/>
      <c r="K60" s="77"/>
      <c r="L60" s="77"/>
      <c r="M60" s="77"/>
      <c r="N60" s="77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</row>
    <row r="61" spans="1:27" ht="15.75" customHeight="1">
      <c r="A61" s="77"/>
      <c r="B61" s="77"/>
      <c r="C61" s="77"/>
      <c r="D61" s="77"/>
      <c r="E61" s="77"/>
      <c r="F61" s="77"/>
      <c r="G61" s="77"/>
      <c r="H61" s="77"/>
      <c r="I61" s="77"/>
      <c r="J61" s="4"/>
      <c r="K61" s="77"/>
      <c r="L61" s="77"/>
      <c r="M61" s="77"/>
      <c r="N61" s="77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</row>
    <row r="62" spans="1:27" ht="15.75" customHeight="1">
      <c r="A62" s="77"/>
      <c r="B62" s="77"/>
      <c r="C62" s="77"/>
      <c r="D62" s="77"/>
      <c r="E62" s="77"/>
      <c r="F62" s="77"/>
      <c r="G62" s="77"/>
      <c r="H62" s="77"/>
      <c r="I62" s="77"/>
      <c r="J62" s="4"/>
      <c r="K62" s="77"/>
      <c r="L62" s="77"/>
      <c r="M62" s="77"/>
      <c r="N62" s="77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ht="15.75" customHeight="1">
      <c r="A63" s="77"/>
      <c r="B63" s="77"/>
      <c r="C63" s="77"/>
      <c r="D63" s="77"/>
      <c r="E63" s="77"/>
      <c r="F63" s="77"/>
      <c r="G63" s="77"/>
      <c r="H63" s="77"/>
      <c r="I63" s="77"/>
      <c r="J63" s="4"/>
      <c r="K63" s="77"/>
      <c r="L63" s="77"/>
      <c r="M63" s="77"/>
      <c r="N63" s="77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</row>
    <row r="64" spans="1:27" ht="15.75" customHeight="1">
      <c r="A64" s="77"/>
      <c r="B64" s="77"/>
      <c r="C64" s="77"/>
      <c r="D64" s="77"/>
      <c r="E64" s="77"/>
      <c r="F64" s="77"/>
      <c r="G64" s="77"/>
      <c r="H64" s="77"/>
      <c r="I64" s="77"/>
      <c r="J64" s="4"/>
      <c r="K64" s="77"/>
      <c r="L64" s="77"/>
      <c r="M64" s="77"/>
      <c r="N64" s="77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</row>
    <row r="65" spans="1:27" ht="15.75" customHeight="1">
      <c r="A65" s="77"/>
      <c r="B65" s="77"/>
      <c r="C65" s="77"/>
      <c r="D65" s="77"/>
      <c r="E65" s="77"/>
      <c r="F65" s="77"/>
      <c r="G65" s="77"/>
      <c r="H65" s="77"/>
      <c r="I65" s="77"/>
      <c r="J65" s="4"/>
      <c r="K65" s="77"/>
      <c r="L65" s="77"/>
      <c r="M65" s="77"/>
      <c r="N65" s="77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</row>
    <row r="66" spans="1:27" ht="15.75" customHeight="1">
      <c r="A66" s="77"/>
      <c r="B66" s="77"/>
      <c r="C66" s="77"/>
      <c r="D66" s="77"/>
      <c r="E66" s="77"/>
      <c r="F66" s="77"/>
      <c r="G66" s="77"/>
      <c r="H66" s="77"/>
      <c r="I66" s="77"/>
      <c r="J66" s="4"/>
      <c r="K66" s="77"/>
      <c r="L66" s="77"/>
      <c r="M66" s="77"/>
      <c r="N66" s="77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</row>
    <row r="67" spans="1:27" ht="15.75" customHeight="1">
      <c r="A67" s="77"/>
      <c r="B67" s="77"/>
      <c r="C67" s="77"/>
      <c r="D67" s="77"/>
      <c r="E67" s="77"/>
      <c r="F67" s="77"/>
      <c r="G67" s="77"/>
      <c r="H67" s="77"/>
      <c r="I67" s="77"/>
      <c r="J67" s="4"/>
      <c r="K67" s="77"/>
      <c r="L67" s="77"/>
      <c r="M67" s="77"/>
      <c r="N67" s="77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</row>
    <row r="68" spans="1:27" ht="15.75" customHeight="1">
      <c r="A68" s="77"/>
      <c r="B68" s="77"/>
      <c r="C68" s="77"/>
      <c r="D68" s="77"/>
      <c r="E68" s="77"/>
      <c r="F68" s="77"/>
      <c r="G68" s="77"/>
      <c r="H68" s="77"/>
      <c r="I68" s="77"/>
      <c r="J68" s="4"/>
      <c r="K68" s="77"/>
      <c r="L68" s="77"/>
      <c r="M68" s="77"/>
      <c r="N68" s="77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1:27" ht="15.75" customHeight="1">
      <c r="A69" s="77"/>
      <c r="B69" s="77"/>
      <c r="C69" s="77"/>
      <c r="D69" s="77"/>
      <c r="E69" s="77"/>
      <c r="F69" s="77"/>
      <c r="G69" s="77"/>
      <c r="H69" s="77"/>
      <c r="I69" s="77"/>
      <c r="J69" s="4"/>
      <c r="K69" s="77"/>
      <c r="L69" s="77"/>
      <c r="M69" s="77"/>
      <c r="N69" s="77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</row>
    <row r="70" spans="1:27" ht="15.75" customHeight="1">
      <c r="A70" s="77"/>
      <c r="B70" s="77"/>
      <c r="C70" s="77"/>
      <c r="D70" s="77"/>
      <c r="E70" s="77"/>
      <c r="F70" s="77"/>
      <c r="G70" s="77"/>
      <c r="H70" s="77"/>
      <c r="I70" s="77"/>
      <c r="J70" s="4"/>
      <c r="K70" s="77"/>
      <c r="L70" s="77"/>
      <c r="M70" s="77"/>
      <c r="N70" s="77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</row>
    <row r="71" spans="1:27" ht="15.75" customHeight="1">
      <c r="A71" s="77"/>
      <c r="B71" s="77"/>
      <c r="C71" s="77"/>
      <c r="D71" s="77"/>
      <c r="E71" s="77"/>
      <c r="F71" s="77"/>
      <c r="G71" s="77"/>
      <c r="H71" s="77"/>
      <c r="I71" s="77"/>
      <c r="J71" s="4"/>
      <c r="K71" s="77"/>
      <c r="L71" s="77"/>
      <c r="M71" s="77"/>
      <c r="N71" s="77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</row>
    <row r="72" spans="1:27" ht="15.75" customHeight="1">
      <c r="A72" s="77"/>
      <c r="B72" s="77"/>
      <c r="C72" s="77"/>
      <c r="D72" s="77"/>
      <c r="E72" s="77"/>
      <c r="F72" s="77"/>
      <c r="G72" s="77"/>
      <c r="H72" s="77"/>
      <c r="I72" s="77"/>
      <c r="J72" s="4"/>
      <c r="K72" s="77"/>
      <c r="L72" s="77"/>
      <c r="M72" s="77"/>
      <c r="N72" s="77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</row>
    <row r="73" spans="1:27" ht="15.75" customHeight="1">
      <c r="A73" s="77"/>
      <c r="B73" s="77"/>
      <c r="C73" s="77"/>
      <c r="D73" s="77"/>
      <c r="E73" s="77"/>
      <c r="F73" s="77"/>
      <c r="G73" s="77"/>
      <c r="H73" s="77"/>
      <c r="I73" s="77"/>
      <c r="J73" s="4"/>
      <c r="K73" s="77"/>
      <c r="L73" s="77"/>
      <c r="M73" s="77"/>
      <c r="N73" s="77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</row>
    <row r="74" spans="1:27" ht="15.75" customHeight="1">
      <c r="A74" s="77"/>
      <c r="B74" s="77"/>
      <c r="C74" s="77"/>
      <c r="D74" s="77"/>
      <c r="E74" s="77"/>
      <c r="F74" s="77"/>
      <c r="G74" s="77"/>
      <c r="H74" s="77"/>
      <c r="I74" s="77"/>
      <c r="J74" s="4"/>
      <c r="K74" s="77"/>
      <c r="L74" s="77"/>
      <c r="M74" s="77"/>
      <c r="N74" s="77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</row>
    <row r="75" spans="1:27" ht="15.75" customHeight="1">
      <c r="A75" s="77"/>
      <c r="B75" s="77"/>
      <c r="C75" s="77"/>
      <c r="D75" s="77"/>
      <c r="E75" s="77"/>
      <c r="F75" s="77"/>
      <c r="G75" s="77"/>
      <c r="H75" s="77"/>
      <c r="I75" s="77"/>
      <c r="J75" s="4"/>
      <c r="K75" s="77"/>
      <c r="L75" s="77"/>
      <c r="M75" s="77"/>
      <c r="N75" s="77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</row>
    <row r="76" spans="1:27" ht="15.75" customHeight="1">
      <c r="A76" s="77"/>
      <c r="B76" s="77"/>
      <c r="C76" s="77"/>
      <c r="D76" s="77"/>
      <c r="E76" s="77"/>
      <c r="F76" s="77"/>
      <c r="G76" s="77"/>
      <c r="H76" s="77"/>
      <c r="I76" s="77"/>
      <c r="J76" s="4"/>
      <c r="K76" s="77"/>
      <c r="L76" s="77"/>
      <c r="M76" s="77"/>
      <c r="N76" s="77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</row>
    <row r="77" spans="1:27" ht="15.75" customHeight="1">
      <c r="A77" s="77"/>
      <c r="B77" s="77"/>
      <c r="C77" s="77"/>
      <c r="D77" s="77"/>
      <c r="E77" s="77"/>
      <c r="F77" s="77"/>
      <c r="G77" s="77"/>
      <c r="H77" s="77"/>
      <c r="I77" s="77"/>
      <c r="J77" s="4"/>
      <c r="K77" s="77"/>
      <c r="L77" s="77"/>
      <c r="M77" s="77"/>
      <c r="N77" s="77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</row>
    <row r="78" spans="1:27" ht="15.75" customHeight="1">
      <c r="A78" s="77"/>
      <c r="B78" s="77"/>
      <c r="C78" s="77"/>
      <c r="D78" s="77"/>
      <c r="E78" s="77"/>
      <c r="F78" s="77"/>
      <c r="G78" s="77"/>
      <c r="H78" s="77"/>
      <c r="I78" s="77"/>
      <c r="J78" s="4"/>
      <c r="K78" s="77"/>
      <c r="L78" s="77"/>
      <c r="M78" s="77"/>
      <c r="N78" s="77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</row>
    <row r="79" spans="1:27" ht="15.75" customHeight="1">
      <c r="A79" s="77"/>
      <c r="B79" s="77"/>
      <c r="C79" s="77"/>
      <c r="D79" s="77"/>
      <c r="E79" s="77"/>
      <c r="F79" s="77"/>
      <c r="G79" s="77"/>
      <c r="H79" s="77"/>
      <c r="I79" s="77"/>
      <c r="J79" s="4"/>
      <c r="K79" s="77"/>
      <c r="L79" s="77"/>
      <c r="M79" s="77"/>
      <c r="N79" s="77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</row>
    <row r="80" spans="1:27" ht="15.75" customHeight="1">
      <c r="A80" s="77"/>
      <c r="B80" s="77"/>
      <c r="C80" s="77"/>
      <c r="D80" s="77"/>
      <c r="E80" s="77"/>
      <c r="F80" s="77"/>
      <c r="G80" s="77"/>
      <c r="H80" s="77"/>
      <c r="I80" s="77"/>
      <c r="J80" s="4"/>
      <c r="K80" s="77"/>
      <c r="L80" s="77"/>
      <c r="M80" s="77"/>
      <c r="N80" s="77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</row>
    <row r="81" spans="1:27" ht="15.75" customHeight="1">
      <c r="A81" s="77"/>
      <c r="B81" s="77"/>
      <c r="C81" s="77"/>
      <c r="D81" s="77"/>
      <c r="E81" s="77"/>
      <c r="F81" s="77"/>
      <c r="G81" s="77"/>
      <c r="H81" s="77"/>
      <c r="I81" s="77"/>
      <c r="J81" s="4"/>
      <c r="K81" s="77"/>
      <c r="L81" s="77"/>
      <c r="M81" s="77"/>
      <c r="N81" s="77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</row>
    <row r="82" spans="1:27" ht="15.75" customHeight="1">
      <c r="A82" s="77"/>
      <c r="B82" s="77"/>
      <c r="C82" s="77"/>
      <c r="D82" s="77"/>
      <c r="E82" s="77"/>
      <c r="F82" s="77"/>
      <c r="G82" s="77"/>
      <c r="H82" s="77"/>
      <c r="I82" s="77"/>
      <c r="J82" s="4"/>
      <c r="K82" s="77"/>
      <c r="L82" s="77"/>
      <c r="M82" s="77"/>
      <c r="N82" s="77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</row>
    <row r="83" spans="1:27" ht="15.75" customHeight="1">
      <c r="A83" s="77"/>
      <c r="B83" s="77"/>
      <c r="C83" s="77"/>
      <c r="D83" s="77"/>
      <c r="E83" s="77"/>
      <c r="F83" s="77"/>
      <c r="G83" s="77"/>
      <c r="H83" s="77"/>
      <c r="I83" s="77"/>
      <c r="J83" s="4"/>
      <c r="K83" s="77"/>
      <c r="L83" s="77"/>
      <c r="M83" s="77"/>
      <c r="N83" s="77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</row>
    <row r="84" spans="1:27" ht="15.75" customHeight="1">
      <c r="A84" s="77"/>
      <c r="B84" s="77"/>
      <c r="C84" s="77"/>
      <c r="D84" s="77"/>
      <c r="E84" s="77"/>
      <c r="F84" s="77"/>
      <c r="G84" s="77"/>
      <c r="H84" s="77"/>
      <c r="I84" s="77"/>
      <c r="J84" s="4"/>
      <c r="K84" s="77"/>
      <c r="L84" s="77"/>
      <c r="M84" s="77"/>
      <c r="N84" s="77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</row>
    <row r="85" spans="1:27" ht="15.75" customHeight="1">
      <c r="A85" s="77"/>
      <c r="B85" s="77"/>
      <c r="C85" s="77"/>
      <c r="D85" s="77"/>
      <c r="E85" s="77"/>
      <c r="F85" s="77"/>
      <c r="G85" s="77"/>
      <c r="H85" s="77"/>
      <c r="I85" s="77"/>
      <c r="J85" s="4"/>
      <c r="K85" s="77"/>
      <c r="L85" s="77"/>
      <c r="M85" s="77"/>
      <c r="N85" s="77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</row>
    <row r="86" spans="1:27" ht="15.75" customHeight="1">
      <c r="A86" s="77"/>
      <c r="B86" s="77"/>
      <c r="C86" s="77"/>
      <c r="D86" s="77"/>
      <c r="E86" s="77"/>
      <c r="F86" s="77"/>
      <c r="G86" s="77"/>
      <c r="H86" s="77"/>
      <c r="I86" s="77"/>
      <c r="J86" s="4"/>
      <c r="K86" s="77"/>
      <c r="L86" s="77"/>
      <c r="M86" s="77"/>
      <c r="N86" s="77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</row>
    <row r="87" spans="1:27" ht="15.75" customHeight="1">
      <c r="A87" s="77"/>
      <c r="B87" s="77"/>
      <c r="C87" s="77"/>
      <c r="D87" s="77"/>
      <c r="E87" s="77"/>
      <c r="F87" s="77"/>
      <c r="G87" s="77"/>
      <c r="H87" s="77"/>
      <c r="I87" s="77"/>
      <c r="J87" s="4"/>
      <c r="K87" s="77"/>
      <c r="L87" s="77"/>
      <c r="M87" s="77"/>
      <c r="N87" s="77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</row>
    <row r="88" spans="1:27" ht="15.75" customHeight="1">
      <c r="A88" s="77"/>
      <c r="B88" s="77"/>
      <c r="C88" s="77"/>
      <c r="D88" s="77"/>
      <c r="E88" s="77"/>
      <c r="F88" s="77"/>
      <c r="G88" s="77"/>
      <c r="H88" s="77"/>
      <c r="I88" s="77"/>
      <c r="J88" s="4"/>
      <c r="K88" s="77"/>
      <c r="L88" s="77"/>
      <c r="M88" s="77"/>
      <c r="N88" s="77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</row>
    <row r="89" spans="1:27" ht="15.75" customHeight="1">
      <c r="A89" s="77"/>
      <c r="B89" s="77"/>
      <c r="C89" s="77"/>
      <c r="D89" s="77"/>
      <c r="E89" s="77"/>
      <c r="F89" s="77"/>
      <c r="G89" s="77"/>
      <c r="H89" s="77"/>
      <c r="I89" s="77"/>
      <c r="J89" s="4"/>
      <c r="K89" s="77"/>
      <c r="L89" s="77"/>
      <c r="M89" s="77"/>
      <c r="N89" s="77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ht="15.75" customHeight="1">
      <c r="A90" s="77"/>
      <c r="B90" s="77"/>
      <c r="C90" s="77"/>
      <c r="D90" s="77"/>
      <c r="E90" s="77"/>
      <c r="F90" s="77"/>
      <c r="G90" s="77"/>
      <c r="H90" s="77"/>
      <c r="I90" s="77"/>
      <c r="J90" s="4"/>
      <c r="K90" s="77"/>
      <c r="L90" s="77"/>
      <c r="M90" s="77"/>
      <c r="N90" s="77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</row>
    <row r="91" spans="1:27" ht="15.75" customHeight="1">
      <c r="A91" s="77"/>
      <c r="B91" s="77"/>
      <c r="C91" s="77"/>
      <c r="D91" s="77"/>
      <c r="E91" s="77"/>
      <c r="F91" s="77"/>
      <c r="G91" s="77"/>
      <c r="H91" s="77"/>
      <c r="I91" s="77"/>
      <c r="J91" s="4"/>
      <c r="K91" s="77"/>
      <c r="L91" s="77"/>
      <c r="M91" s="77"/>
      <c r="N91" s="77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</row>
    <row r="92" spans="1:27" ht="15.75" customHeight="1">
      <c r="A92" s="77"/>
      <c r="B92" s="77"/>
      <c r="C92" s="77"/>
      <c r="D92" s="77"/>
      <c r="E92" s="77"/>
      <c r="F92" s="77"/>
      <c r="G92" s="77"/>
      <c r="H92" s="77"/>
      <c r="I92" s="77"/>
      <c r="J92" s="4"/>
      <c r="K92" s="77"/>
      <c r="L92" s="77"/>
      <c r="M92" s="77"/>
      <c r="N92" s="77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</row>
    <row r="93" spans="1:27" ht="15.75" customHeight="1">
      <c r="A93" s="77"/>
      <c r="B93" s="77"/>
      <c r="C93" s="77"/>
      <c r="D93" s="77"/>
      <c r="E93" s="77"/>
      <c r="F93" s="77"/>
      <c r="G93" s="77"/>
      <c r="H93" s="77"/>
      <c r="I93" s="77"/>
      <c r="J93" s="4"/>
      <c r="K93" s="77"/>
      <c r="L93" s="77"/>
      <c r="M93" s="77"/>
      <c r="N93" s="77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</row>
    <row r="94" spans="1:27" ht="15.75" customHeight="1">
      <c r="A94" s="77"/>
      <c r="B94" s="77"/>
      <c r="C94" s="77"/>
      <c r="D94" s="77"/>
      <c r="E94" s="77"/>
      <c r="F94" s="77"/>
      <c r="G94" s="77"/>
      <c r="H94" s="77"/>
      <c r="I94" s="77"/>
      <c r="J94" s="4"/>
      <c r="K94" s="77"/>
      <c r="L94" s="77"/>
      <c r="M94" s="77"/>
      <c r="N94" s="77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ht="15.75" customHeight="1">
      <c r="A95" s="77"/>
      <c r="B95" s="77"/>
      <c r="C95" s="77"/>
      <c r="D95" s="77"/>
      <c r="E95" s="77"/>
      <c r="F95" s="77"/>
      <c r="G95" s="77"/>
      <c r="H95" s="77"/>
      <c r="I95" s="77"/>
      <c r="J95" s="4"/>
      <c r="K95" s="77"/>
      <c r="L95" s="77"/>
      <c r="M95" s="77"/>
      <c r="N95" s="77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</row>
    <row r="96" spans="1:27" ht="15.75" customHeight="1">
      <c r="A96" s="77"/>
      <c r="B96" s="77"/>
      <c r="C96" s="77"/>
      <c r="D96" s="77"/>
      <c r="E96" s="77"/>
      <c r="F96" s="77"/>
      <c r="G96" s="77"/>
      <c r="H96" s="77"/>
      <c r="I96" s="77"/>
      <c r="J96" s="4"/>
      <c r="K96" s="77"/>
      <c r="L96" s="77"/>
      <c r="M96" s="77"/>
      <c r="N96" s="77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</row>
    <row r="97" spans="1:27" ht="15.75" customHeight="1">
      <c r="A97" s="77"/>
      <c r="B97" s="77"/>
      <c r="C97" s="77"/>
      <c r="D97" s="77"/>
      <c r="E97" s="77"/>
      <c r="F97" s="77"/>
      <c r="G97" s="77"/>
      <c r="H97" s="77"/>
      <c r="I97" s="77"/>
      <c r="J97" s="4"/>
      <c r="K97" s="77"/>
      <c r="L97" s="77"/>
      <c r="M97" s="77"/>
      <c r="N97" s="77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</row>
    <row r="98" spans="1:27" ht="15.75" customHeight="1">
      <c r="A98" s="77"/>
      <c r="B98" s="77"/>
      <c r="C98" s="77"/>
      <c r="D98" s="77"/>
      <c r="E98" s="77"/>
      <c r="F98" s="77"/>
      <c r="G98" s="77"/>
      <c r="H98" s="77"/>
      <c r="I98" s="77"/>
      <c r="J98" s="4"/>
      <c r="K98" s="77"/>
      <c r="L98" s="77"/>
      <c r="M98" s="77"/>
      <c r="N98" s="77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</row>
    <row r="99" spans="1:27" ht="15.75" customHeight="1">
      <c r="A99" s="77"/>
      <c r="B99" s="77"/>
      <c r="C99" s="77"/>
      <c r="D99" s="77"/>
      <c r="E99" s="77"/>
      <c r="F99" s="77"/>
      <c r="G99" s="77"/>
      <c r="H99" s="77"/>
      <c r="I99" s="77"/>
      <c r="J99" s="4"/>
      <c r="K99" s="77"/>
      <c r="L99" s="77"/>
      <c r="M99" s="77"/>
      <c r="N99" s="77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</row>
    <row r="100" spans="1:27" ht="15.75" customHeight="1">
      <c r="A100" s="77"/>
      <c r="B100" s="77"/>
      <c r="C100" s="77"/>
      <c r="D100" s="77"/>
      <c r="E100" s="77"/>
      <c r="F100" s="77"/>
      <c r="G100" s="77"/>
      <c r="H100" s="77"/>
      <c r="I100" s="77"/>
      <c r="J100" s="4"/>
      <c r="K100" s="77"/>
      <c r="L100" s="77"/>
      <c r="M100" s="77"/>
      <c r="N100" s="77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</row>
    <row r="101" spans="1:27" ht="15.75" customHeight="1">
      <c r="A101" s="77"/>
      <c r="B101" s="77"/>
      <c r="C101" s="77"/>
      <c r="D101" s="77"/>
      <c r="E101" s="77"/>
      <c r="F101" s="77"/>
      <c r="G101" s="77"/>
      <c r="H101" s="77"/>
      <c r="I101" s="77"/>
      <c r="J101" s="4"/>
      <c r="K101" s="77"/>
      <c r="L101" s="77"/>
      <c r="M101" s="77"/>
      <c r="N101" s="77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</row>
    <row r="102" spans="1:27" ht="15.75" customHeight="1">
      <c r="A102" s="77"/>
      <c r="B102" s="77"/>
      <c r="C102" s="77"/>
      <c r="D102" s="77"/>
      <c r="E102" s="77"/>
      <c r="F102" s="77"/>
      <c r="G102" s="77"/>
      <c r="H102" s="77"/>
      <c r="I102" s="77"/>
      <c r="J102" s="4"/>
      <c r="K102" s="77"/>
      <c r="L102" s="77"/>
      <c r="M102" s="77"/>
      <c r="N102" s="77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</row>
    <row r="103" spans="1:27" ht="15.75" customHeight="1">
      <c r="A103" s="77"/>
      <c r="B103" s="77"/>
      <c r="C103" s="77"/>
      <c r="D103" s="77"/>
      <c r="E103" s="77"/>
      <c r="F103" s="77"/>
      <c r="G103" s="77"/>
      <c r="H103" s="77"/>
      <c r="I103" s="77"/>
      <c r="J103" s="4"/>
      <c r="K103" s="77"/>
      <c r="L103" s="77"/>
      <c r="M103" s="77"/>
      <c r="N103" s="77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</row>
    <row r="104" spans="1:27" ht="15.75" customHeight="1">
      <c r="A104" s="77"/>
      <c r="B104" s="77"/>
      <c r="C104" s="77"/>
      <c r="D104" s="77"/>
      <c r="E104" s="77"/>
      <c r="F104" s="77"/>
      <c r="G104" s="77"/>
      <c r="H104" s="77"/>
      <c r="I104" s="77"/>
      <c r="J104" s="4"/>
      <c r="K104" s="77"/>
      <c r="L104" s="77"/>
      <c r="M104" s="77"/>
      <c r="N104" s="77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</row>
    <row r="105" spans="1:27" ht="15.75" customHeight="1">
      <c r="A105" s="77"/>
      <c r="B105" s="77"/>
      <c r="C105" s="77"/>
      <c r="D105" s="77"/>
      <c r="E105" s="77"/>
      <c r="F105" s="77"/>
      <c r="G105" s="77"/>
      <c r="H105" s="77"/>
      <c r="I105" s="77"/>
      <c r="J105" s="4"/>
      <c r="K105" s="77"/>
      <c r="L105" s="77"/>
      <c r="M105" s="77"/>
      <c r="N105" s="77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</row>
    <row r="106" spans="1:27" ht="15.75" customHeight="1">
      <c r="A106" s="77"/>
      <c r="B106" s="77"/>
      <c r="C106" s="77"/>
      <c r="D106" s="77"/>
      <c r="E106" s="77"/>
      <c r="F106" s="77"/>
      <c r="G106" s="77"/>
      <c r="H106" s="77"/>
      <c r="I106" s="77"/>
      <c r="J106" s="4"/>
      <c r="K106" s="77"/>
      <c r="L106" s="77"/>
      <c r="M106" s="77"/>
      <c r="N106" s="77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</row>
    <row r="107" spans="1:27" ht="15.75" customHeight="1">
      <c r="A107" s="77"/>
      <c r="B107" s="77"/>
      <c r="C107" s="77"/>
      <c r="D107" s="77"/>
      <c r="E107" s="77"/>
      <c r="F107" s="77"/>
      <c r="G107" s="77"/>
      <c r="H107" s="77"/>
      <c r="I107" s="77"/>
      <c r="J107" s="4"/>
      <c r="K107" s="77"/>
      <c r="L107" s="77"/>
      <c r="M107" s="77"/>
      <c r="N107" s="77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</row>
    <row r="108" spans="1:27" ht="15.75" customHeight="1">
      <c r="A108" s="77"/>
      <c r="B108" s="77"/>
      <c r="C108" s="77"/>
      <c r="D108" s="77"/>
      <c r="E108" s="77"/>
      <c r="F108" s="77"/>
      <c r="G108" s="77"/>
      <c r="H108" s="77"/>
      <c r="I108" s="77"/>
      <c r="J108" s="4"/>
      <c r="K108" s="77"/>
      <c r="L108" s="77"/>
      <c r="M108" s="77"/>
      <c r="N108" s="77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</row>
    <row r="109" spans="1:27" ht="15.75" customHeight="1">
      <c r="A109" s="77"/>
      <c r="B109" s="77"/>
      <c r="C109" s="77"/>
      <c r="D109" s="77"/>
      <c r="E109" s="77"/>
      <c r="F109" s="77"/>
      <c r="G109" s="77"/>
      <c r="H109" s="77"/>
      <c r="I109" s="77"/>
      <c r="J109" s="4"/>
      <c r="K109" s="77"/>
      <c r="L109" s="77"/>
      <c r="M109" s="77"/>
      <c r="N109" s="77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</row>
    <row r="110" spans="1:27" ht="15.75" customHeight="1">
      <c r="A110" s="77"/>
      <c r="B110" s="77"/>
      <c r="C110" s="77"/>
      <c r="D110" s="77"/>
      <c r="E110" s="77"/>
      <c r="F110" s="77"/>
      <c r="G110" s="77"/>
      <c r="H110" s="77"/>
      <c r="I110" s="77"/>
      <c r="J110" s="4"/>
      <c r="K110" s="77"/>
      <c r="L110" s="77"/>
      <c r="M110" s="77"/>
      <c r="N110" s="77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</row>
    <row r="111" spans="1:27" ht="15.75" customHeight="1">
      <c r="A111" s="77"/>
      <c r="B111" s="77"/>
      <c r="C111" s="77"/>
      <c r="D111" s="77"/>
      <c r="E111" s="77"/>
      <c r="F111" s="77"/>
      <c r="G111" s="77"/>
      <c r="H111" s="77"/>
      <c r="I111" s="77"/>
      <c r="J111" s="4"/>
      <c r="K111" s="77"/>
      <c r="L111" s="77"/>
      <c r="M111" s="77"/>
      <c r="N111" s="77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</row>
    <row r="112" spans="1:27" ht="15.75" customHeight="1">
      <c r="A112" s="77"/>
      <c r="B112" s="77"/>
      <c r="C112" s="77"/>
      <c r="D112" s="77"/>
      <c r="E112" s="77"/>
      <c r="F112" s="77"/>
      <c r="G112" s="77"/>
      <c r="H112" s="77"/>
      <c r="I112" s="77"/>
      <c r="J112" s="4"/>
      <c r="K112" s="77"/>
      <c r="L112" s="77"/>
      <c r="M112" s="77"/>
      <c r="N112" s="77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</row>
    <row r="113" spans="1:27" ht="15.75" customHeight="1">
      <c r="A113" s="77"/>
      <c r="B113" s="77"/>
      <c r="C113" s="77"/>
      <c r="D113" s="77"/>
      <c r="E113" s="77"/>
      <c r="F113" s="77"/>
      <c r="G113" s="77"/>
      <c r="H113" s="77"/>
      <c r="I113" s="77"/>
      <c r="J113" s="4"/>
      <c r="K113" s="77"/>
      <c r="L113" s="77"/>
      <c r="M113" s="77"/>
      <c r="N113" s="77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</row>
    <row r="114" spans="1:27" ht="15.75" customHeight="1">
      <c r="A114" s="77"/>
      <c r="B114" s="77"/>
      <c r="C114" s="77"/>
      <c r="D114" s="77"/>
      <c r="E114" s="77"/>
      <c r="F114" s="77"/>
      <c r="G114" s="77"/>
      <c r="H114" s="77"/>
      <c r="I114" s="77"/>
      <c r="J114" s="4"/>
      <c r="K114" s="77"/>
      <c r="L114" s="77"/>
      <c r="M114" s="77"/>
      <c r="N114" s="77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</row>
    <row r="115" spans="1:27" ht="15.75" customHeight="1">
      <c r="A115" s="77"/>
      <c r="B115" s="77"/>
      <c r="C115" s="77"/>
      <c r="D115" s="77"/>
      <c r="E115" s="77"/>
      <c r="F115" s="77"/>
      <c r="G115" s="77"/>
      <c r="H115" s="77"/>
      <c r="I115" s="77"/>
      <c r="J115" s="4"/>
      <c r="K115" s="77"/>
      <c r="L115" s="77"/>
      <c r="M115" s="77"/>
      <c r="N115" s="77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</row>
    <row r="116" spans="1:27" ht="15.75" customHeight="1">
      <c r="A116" s="77"/>
      <c r="B116" s="77"/>
      <c r="C116" s="77"/>
      <c r="D116" s="77"/>
      <c r="E116" s="77"/>
      <c r="F116" s="77"/>
      <c r="G116" s="77"/>
      <c r="H116" s="77"/>
      <c r="I116" s="77"/>
      <c r="J116" s="4"/>
      <c r="K116" s="77"/>
      <c r="L116" s="77"/>
      <c r="M116" s="77"/>
      <c r="N116" s="77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</row>
    <row r="117" spans="1:27" ht="15.75" customHeight="1">
      <c r="A117" s="77"/>
      <c r="B117" s="77"/>
      <c r="C117" s="77"/>
      <c r="D117" s="77"/>
      <c r="E117" s="77"/>
      <c r="F117" s="77"/>
      <c r="G117" s="77"/>
      <c r="H117" s="77"/>
      <c r="I117" s="77"/>
      <c r="J117" s="4"/>
      <c r="K117" s="77"/>
      <c r="L117" s="77"/>
      <c r="M117" s="77"/>
      <c r="N117" s="77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</row>
    <row r="118" spans="1:27" ht="15.75" customHeight="1">
      <c r="A118" s="77"/>
      <c r="B118" s="77"/>
      <c r="C118" s="77"/>
      <c r="D118" s="77"/>
      <c r="E118" s="77"/>
      <c r="F118" s="77"/>
      <c r="G118" s="77"/>
      <c r="H118" s="77"/>
      <c r="I118" s="77"/>
      <c r="J118" s="4"/>
      <c r="K118" s="77"/>
      <c r="L118" s="77"/>
      <c r="M118" s="77"/>
      <c r="N118" s="77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</row>
    <row r="119" spans="1:27" ht="15.75" customHeight="1">
      <c r="A119" s="77"/>
      <c r="B119" s="77"/>
      <c r="C119" s="77"/>
      <c r="D119" s="77"/>
      <c r="E119" s="77"/>
      <c r="F119" s="77"/>
      <c r="G119" s="77"/>
      <c r="H119" s="77"/>
      <c r="I119" s="77"/>
      <c r="J119" s="4"/>
      <c r="K119" s="77"/>
      <c r="L119" s="77"/>
      <c r="M119" s="77"/>
      <c r="N119" s="77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</row>
    <row r="120" spans="1:27" ht="15.75" customHeight="1">
      <c r="A120" s="77"/>
      <c r="B120" s="77"/>
      <c r="C120" s="77"/>
      <c r="D120" s="77"/>
      <c r="E120" s="77"/>
      <c r="F120" s="77"/>
      <c r="G120" s="77"/>
      <c r="H120" s="77"/>
      <c r="I120" s="77"/>
      <c r="J120" s="4"/>
      <c r="K120" s="77"/>
      <c r="L120" s="77"/>
      <c r="M120" s="77"/>
      <c r="N120" s="77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</row>
    <row r="121" spans="1:27" ht="15.75" customHeight="1">
      <c r="A121" s="77"/>
      <c r="B121" s="77"/>
      <c r="C121" s="77"/>
      <c r="D121" s="77"/>
      <c r="E121" s="77"/>
      <c r="F121" s="77"/>
      <c r="G121" s="77"/>
      <c r="H121" s="77"/>
      <c r="I121" s="77"/>
      <c r="J121" s="4"/>
      <c r="K121" s="77"/>
      <c r="L121" s="77"/>
      <c r="M121" s="77"/>
      <c r="N121" s="77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</row>
    <row r="122" spans="1:27" ht="15.75" customHeight="1">
      <c r="A122" s="77"/>
      <c r="B122" s="77"/>
      <c r="C122" s="77"/>
      <c r="D122" s="77"/>
      <c r="E122" s="77"/>
      <c r="F122" s="77"/>
      <c r="G122" s="77"/>
      <c r="H122" s="77"/>
      <c r="I122" s="77"/>
      <c r="J122" s="4"/>
      <c r="K122" s="77"/>
      <c r="L122" s="77"/>
      <c r="M122" s="77"/>
      <c r="N122" s="77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</row>
    <row r="123" spans="1:27" ht="15.75" customHeight="1">
      <c r="A123" s="77"/>
      <c r="B123" s="77"/>
      <c r="C123" s="77"/>
      <c r="D123" s="77"/>
      <c r="E123" s="77"/>
      <c r="F123" s="77"/>
      <c r="G123" s="77"/>
      <c r="H123" s="77"/>
      <c r="I123" s="77"/>
      <c r="J123" s="4"/>
      <c r="K123" s="77"/>
      <c r="L123" s="77"/>
      <c r="M123" s="77"/>
      <c r="N123" s="77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</row>
    <row r="124" spans="1:27" ht="15.75" customHeight="1">
      <c r="A124" s="77"/>
      <c r="B124" s="77"/>
      <c r="C124" s="77"/>
      <c r="D124" s="77"/>
      <c r="E124" s="77"/>
      <c r="F124" s="77"/>
      <c r="G124" s="77"/>
      <c r="H124" s="77"/>
      <c r="I124" s="77"/>
      <c r="J124" s="4"/>
      <c r="K124" s="77"/>
      <c r="L124" s="77"/>
      <c r="M124" s="77"/>
      <c r="N124" s="77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</row>
    <row r="125" spans="1:27" ht="15.75" customHeight="1">
      <c r="A125" s="77"/>
      <c r="B125" s="77"/>
      <c r="C125" s="77"/>
      <c r="D125" s="77"/>
      <c r="E125" s="77"/>
      <c r="F125" s="77"/>
      <c r="G125" s="77"/>
      <c r="H125" s="77"/>
      <c r="I125" s="77"/>
      <c r="J125" s="4"/>
      <c r="K125" s="77"/>
      <c r="L125" s="77"/>
      <c r="M125" s="77"/>
      <c r="N125" s="77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</row>
    <row r="126" spans="1:27" ht="15.75" customHeight="1">
      <c r="A126" s="77"/>
      <c r="B126" s="77"/>
      <c r="C126" s="77"/>
      <c r="D126" s="77"/>
      <c r="E126" s="77"/>
      <c r="F126" s="77"/>
      <c r="G126" s="77"/>
      <c r="H126" s="77"/>
      <c r="I126" s="77"/>
      <c r="J126" s="4"/>
      <c r="K126" s="77"/>
      <c r="L126" s="77"/>
      <c r="M126" s="77"/>
      <c r="N126" s="77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</row>
    <row r="127" spans="1:27" ht="15.75" customHeight="1">
      <c r="A127" s="77"/>
      <c r="B127" s="77"/>
      <c r="C127" s="77"/>
      <c r="D127" s="77"/>
      <c r="E127" s="77"/>
      <c r="F127" s="77"/>
      <c r="G127" s="77"/>
      <c r="H127" s="77"/>
      <c r="I127" s="77"/>
      <c r="J127" s="4"/>
      <c r="K127" s="77"/>
      <c r="L127" s="77"/>
      <c r="M127" s="77"/>
      <c r="N127" s="77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</row>
    <row r="128" spans="1:27" ht="15.75" customHeight="1">
      <c r="A128" s="77"/>
      <c r="B128" s="77"/>
      <c r="C128" s="77"/>
      <c r="D128" s="77"/>
      <c r="E128" s="77"/>
      <c r="F128" s="77"/>
      <c r="G128" s="77"/>
      <c r="H128" s="77"/>
      <c r="I128" s="77"/>
      <c r="J128" s="4"/>
      <c r="K128" s="77"/>
      <c r="L128" s="77"/>
      <c r="M128" s="77"/>
      <c r="N128" s="77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</row>
    <row r="129" spans="1:27" ht="15.75" customHeight="1">
      <c r="A129" s="77"/>
      <c r="B129" s="77"/>
      <c r="C129" s="77"/>
      <c r="D129" s="77"/>
      <c r="E129" s="77"/>
      <c r="F129" s="77"/>
      <c r="G129" s="77"/>
      <c r="H129" s="77"/>
      <c r="I129" s="77"/>
      <c r="J129" s="4"/>
      <c r="K129" s="77"/>
      <c r="L129" s="77"/>
      <c r="M129" s="77"/>
      <c r="N129" s="77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</row>
    <row r="130" spans="1:27" ht="15.75" customHeight="1">
      <c r="A130" s="77"/>
      <c r="B130" s="77"/>
      <c r="C130" s="77"/>
      <c r="D130" s="77"/>
      <c r="E130" s="77"/>
      <c r="F130" s="77"/>
      <c r="G130" s="77"/>
      <c r="H130" s="77"/>
      <c r="I130" s="77"/>
      <c r="J130" s="4"/>
      <c r="K130" s="77"/>
      <c r="L130" s="77"/>
      <c r="M130" s="77"/>
      <c r="N130" s="77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</row>
    <row r="131" spans="1:27" ht="15.75" customHeight="1">
      <c r="A131" s="77"/>
      <c r="B131" s="77"/>
      <c r="C131" s="77"/>
      <c r="D131" s="77"/>
      <c r="E131" s="77"/>
      <c r="F131" s="77"/>
      <c r="G131" s="77"/>
      <c r="H131" s="77"/>
      <c r="I131" s="77"/>
      <c r="J131" s="4"/>
      <c r="K131" s="77"/>
      <c r="L131" s="77"/>
      <c r="M131" s="77"/>
      <c r="N131" s="77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</row>
    <row r="132" spans="1:27" ht="15.75" customHeight="1">
      <c r="A132" s="77"/>
      <c r="B132" s="77"/>
      <c r="C132" s="77"/>
      <c r="D132" s="77"/>
      <c r="E132" s="77"/>
      <c r="F132" s="77"/>
      <c r="G132" s="77"/>
      <c r="H132" s="77"/>
      <c r="I132" s="77"/>
      <c r="J132" s="4"/>
      <c r="K132" s="77"/>
      <c r="L132" s="77"/>
      <c r="M132" s="77"/>
      <c r="N132" s="77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</row>
    <row r="133" spans="1:27" ht="15.75" customHeight="1">
      <c r="A133" s="77"/>
      <c r="B133" s="77"/>
      <c r="C133" s="77"/>
      <c r="D133" s="77"/>
      <c r="E133" s="77"/>
      <c r="F133" s="77"/>
      <c r="G133" s="77"/>
      <c r="H133" s="77"/>
      <c r="I133" s="77"/>
      <c r="J133" s="4"/>
      <c r="K133" s="77"/>
      <c r="L133" s="77"/>
      <c r="M133" s="77"/>
      <c r="N133" s="77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</row>
    <row r="134" spans="1:27" ht="15.75" customHeight="1">
      <c r="A134" s="77"/>
      <c r="B134" s="77"/>
      <c r="C134" s="77"/>
      <c r="D134" s="77"/>
      <c r="E134" s="77"/>
      <c r="F134" s="77"/>
      <c r="G134" s="77"/>
      <c r="H134" s="77"/>
      <c r="I134" s="77"/>
      <c r="J134" s="4"/>
      <c r="K134" s="77"/>
      <c r="L134" s="77"/>
      <c r="M134" s="77"/>
      <c r="N134" s="77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</row>
    <row r="135" spans="1:27" ht="15.75" customHeight="1">
      <c r="A135" s="77"/>
      <c r="B135" s="77"/>
      <c r="C135" s="77"/>
      <c r="D135" s="77"/>
      <c r="E135" s="77"/>
      <c r="F135" s="77"/>
      <c r="G135" s="77"/>
      <c r="H135" s="77"/>
      <c r="I135" s="77"/>
      <c r="J135" s="4"/>
      <c r="K135" s="77"/>
      <c r="L135" s="77"/>
      <c r="M135" s="77"/>
      <c r="N135" s="77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</row>
    <row r="136" spans="1:27" ht="15.75" customHeight="1">
      <c r="A136" s="77"/>
      <c r="B136" s="77"/>
      <c r="C136" s="77"/>
      <c r="D136" s="77"/>
      <c r="E136" s="77"/>
      <c r="F136" s="77"/>
      <c r="G136" s="77"/>
      <c r="H136" s="77"/>
      <c r="I136" s="77"/>
      <c r="J136" s="4"/>
      <c r="K136" s="77"/>
      <c r="L136" s="77"/>
      <c r="M136" s="77"/>
      <c r="N136" s="77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</row>
    <row r="137" spans="1:27" ht="15.75" customHeight="1">
      <c r="A137" s="77"/>
      <c r="B137" s="77"/>
      <c r="C137" s="77"/>
      <c r="D137" s="77"/>
      <c r="E137" s="77"/>
      <c r="F137" s="77"/>
      <c r="G137" s="77"/>
      <c r="H137" s="77"/>
      <c r="I137" s="77"/>
      <c r="J137" s="4"/>
      <c r="K137" s="77"/>
      <c r="L137" s="77"/>
      <c r="M137" s="77"/>
      <c r="N137" s="77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</row>
    <row r="138" spans="1:27" ht="15.75" customHeight="1">
      <c r="A138" s="77"/>
      <c r="B138" s="77"/>
      <c r="C138" s="77"/>
      <c r="D138" s="77"/>
      <c r="E138" s="77"/>
      <c r="F138" s="77"/>
      <c r="G138" s="77"/>
      <c r="H138" s="77"/>
      <c r="I138" s="77"/>
      <c r="J138" s="4"/>
      <c r="K138" s="77"/>
      <c r="L138" s="77"/>
      <c r="M138" s="77"/>
      <c r="N138" s="77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</row>
    <row r="139" spans="1:27" ht="15.75" customHeight="1">
      <c r="A139" s="77"/>
      <c r="B139" s="77"/>
      <c r="C139" s="77"/>
      <c r="D139" s="77"/>
      <c r="E139" s="77"/>
      <c r="F139" s="77"/>
      <c r="G139" s="77"/>
      <c r="H139" s="77"/>
      <c r="I139" s="77"/>
      <c r="J139" s="4"/>
      <c r="K139" s="77"/>
      <c r="L139" s="77"/>
      <c r="M139" s="77"/>
      <c r="N139" s="77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</row>
    <row r="140" spans="1:27" ht="15.75" customHeight="1">
      <c r="A140" s="77"/>
      <c r="B140" s="77"/>
      <c r="C140" s="77"/>
      <c r="D140" s="77"/>
      <c r="E140" s="77"/>
      <c r="F140" s="77"/>
      <c r="G140" s="77"/>
      <c r="H140" s="77"/>
      <c r="I140" s="77"/>
      <c r="J140" s="4"/>
      <c r="K140" s="77"/>
      <c r="L140" s="77"/>
      <c r="M140" s="77"/>
      <c r="N140" s="77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</row>
    <row r="141" spans="1:27" ht="15.75" customHeight="1">
      <c r="A141" s="77"/>
      <c r="B141" s="77"/>
      <c r="C141" s="77"/>
      <c r="D141" s="77"/>
      <c r="E141" s="77"/>
      <c r="F141" s="77"/>
      <c r="G141" s="77"/>
      <c r="H141" s="77"/>
      <c r="I141" s="77"/>
      <c r="J141" s="4"/>
      <c r="K141" s="77"/>
      <c r="L141" s="77"/>
      <c r="M141" s="77"/>
      <c r="N141" s="77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</row>
    <row r="142" spans="1:27" ht="15.75" customHeight="1">
      <c r="A142" s="77"/>
      <c r="B142" s="77"/>
      <c r="C142" s="77"/>
      <c r="D142" s="77"/>
      <c r="E142" s="77"/>
      <c r="F142" s="77"/>
      <c r="G142" s="77"/>
      <c r="H142" s="77"/>
      <c r="I142" s="77"/>
      <c r="J142" s="4"/>
      <c r="K142" s="77"/>
      <c r="L142" s="77"/>
      <c r="M142" s="77"/>
      <c r="N142" s="77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</row>
    <row r="143" spans="1:27" ht="15.75" customHeight="1">
      <c r="A143" s="77"/>
      <c r="B143" s="77"/>
      <c r="C143" s="77"/>
      <c r="D143" s="77"/>
      <c r="E143" s="77"/>
      <c r="F143" s="77"/>
      <c r="G143" s="77"/>
      <c r="H143" s="77"/>
      <c r="I143" s="77"/>
      <c r="J143" s="4"/>
      <c r="K143" s="77"/>
      <c r="L143" s="77"/>
      <c r="M143" s="77"/>
      <c r="N143" s="77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</row>
    <row r="144" spans="1:27" ht="15.75" customHeight="1">
      <c r="A144" s="77"/>
      <c r="B144" s="77"/>
      <c r="C144" s="77"/>
      <c r="D144" s="77"/>
      <c r="E144" s="77"/>
      <c r="F144" s="77"/>
      <c r="G144" s="77"/>
      <c r="H144" s="77"/>
      <c r="I144" s="77"/>
      <c r="J144" s="4"/>
      <c r="K144" s="77"/>
      <c r="L144" s="77"/>
      <c r="M144" s="77"/>
      <c r="N144" s="77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</row>
    <row r="145" spans="1:27" ht="15.75" customHeight="1">
      <c r="A145" s="77"/>
      <c r="B145" s="77"/>
      <c r="C145" s="77"/>
      <c r="D145" s="77"/>
      <c r="E145" s="77"/>
      <c r="F145" s="77"/>
      <c r="G145" s="77"/>
      <c r="H145" s="77"/>
      <c r="I145" s="77"/>
      <c r="J145" s="4"/>
      <c r="K145" s="77"/>
      <c r="L145" s="77"/>
      <c r="M145" s="77"/>
      <c r="N145" s="77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</row>
    <row r="146" spans="1:27" ht="15.75" customHeight="1">
      <c r="A146" s="77"/>
      <c r="B146" s="77"/>
      <c r="C146" s="77"/>
      <c r="D146" s="77"/>
      <c r="E146" s="77"/>
      <c r="F146" s="77"/>
      <c r="G146" s="77"/>
      <c r="H146" s="77"/>
      <c r="I146" s="77"/>
      <c r="J146" s="4"/>
      <c r="K146" s="77"/>
      <c r="L146" s="77"/>
      <c r="M146" s="77"/>
      <c r="N146" s="77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</row>
    <row r="147" spans="1:27" ht="15.75" customHeight="1">
      <c r="A147" s="77"/>
      <c r="B147" s="77"/>
      <c r="C147" s="77"/>
      <c r="D147" s="77"/>
      <c r="E147" s="77"/>
      <c r="F147" s="77"/>
      <c r="G147" s="77"/>
      <c r="H147" s="77"/>
      <c r="I147" s="77"/>
      <c r="J147" s="4"/>
      <c r="K147" s="77"/>
      <c r="L147" s="77"/>
      <c r="M147" s="77"/>
      <c r="N147" s="77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</row>
    <row r="148" spans="1:27" ht="15.75" customHeight="1">
      <c r="A148" s="77"/>
      <c r="B148" s="77"/>
      <c r="C148" s="77"/>
      <c r="D148" s="77"/>
      <c r="E148" s="77"/>
      <c r="F148" s="77"/>
      <c r="G148" s="77"/>
      <c r="H148" s="77"/>
      <c r="I148" s="77"/>
      <c r="J148" s="4"/>
      <c r="K148" s="77"/>
      <c r="L148" s="77"/>
      <c r="M148" s="77"/>
      <c r="N148" s="77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</row>
    <row r="149" spans="1:27" ht="15.75" customHeight="1">
      <c r="A149" s="77"/>
      <c r="B149" s="77"/>
      <c r="C149" s="77"/>
      <c r="D149" s="77"/>
      <c r="E149" s="77"/>
      <c r="F149" s="77"/>
      <c r="G149" s="77"/>
      <c r="H149" s="77"/>
      <c r="I149" s="77"/>
      <c r="J149" s="4"/>
      <c r="K149" s="77"/>
      <c r="L149" s="77"/>
      <c r="M149" s="77"/>
      <c r="N149" s="77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</row>
    <row r="150" spans="1:27" ht="15.75" customHeight="1">
      <c r="A150" s="77"/>
      <c r="B150" s="77"/>
      <c r="C150" s="77"/>
      <c r="D150" s="77"/>
      <c r="E150" s="77"/>
      <c r="F150" s="77"/>
      <c r="G150" s="77"/>
      <c r="H150" s="77"/>
      <c r="I150" s="77"/>
      <c r="J150" s="4"/>
      <c r="K150" s="77"/>
      <c r="L150" s="77"/>
      <c r="M150" s="77"/>
      <c r="N150" s="77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</row>
    <row r="151" spans="1:27" ht="15.75" customHeight="1">
      <c r="A151" s="77"/>
      <c r="B151" s="77"/>
      <c r="C151" s="77"/>
      <c r="D151" s="77"/>
      <c r="E151" s="77"/>
      <c r="F151" s="77"/>
      <c r="G151" s="77"/>
      <c r="H151" s="77"/>
      <c r="I151" s="77"/>
      <c r="J151" s="4"/>
      <c r="K151" s="77"/>
      <c r="L151" s="77"/>
      <c r="M151" s="77"/>
      <c r="N151" s="77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</row>
    <row r="152" spans="1:27" ht="15.75" customHeight="1">
      <c r="A152" s="77"/>
      <c r="B152" s="77"/>
      <c r="C152" s="77"/>
      <c r="D152" s="77"/>
      <c r="E152" s="77"/>
      <c r="F152" s="77"/>
      <c r="G152" s="77"/>
      <c r="H152" s="77"/>
      <c r="I152" s="77"/>
      <c r="J152" s="4"/>
      <c r="K152" s="77"/>
      <c r="L152" s="77"/>
      <c r="M152" s="77"/>
      <c r="N152" s="77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</row>
    <row r="153" spans="1:27" ht="15.75" customHeight="1">
      <c r="A153" s="77"/>
      <c r="B153" s="77"/>
      <c r="C153" s="77"/>
      <c r="D153" s="77"/>
      <c r="E153" s="77"/>
      <c r="F153" s="77"/>
      <c r="G153" s="77"/>
      <c r="H153" s="77"/>
      <c r="I153" s="77"/>
      <c r="J153" s="4"/>
      <c r="K153" s="77"/>
      <c r="L153" s="77"/>
      <c r="M153" s="77"/>
      <c r="N153" s="77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</row>
    <row r="154" spans="1:27" ht="15.75" customHeight="1">
      <c r="A154" s="77"/>
      <c r="B154" s="77"/>
      <c r="C154" s="77"/>
      <c r="D154" s="77"/>
      <c r="E154" s="77"/>
      <c r="F154" s="77"/>
      <c r="G154" s="77"/>
      <c r="H154" s="77"/>
      <c r="I154" s="77"/>
      <c r="J154" s="4"/>
      <c r="K154" s="77"/>
      <c r="L154" s="77"/>
      <c r="M154" s="77"/>
      <c r="N154" s="77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</row>
    <row r="155" spans="1:27" ht="15.75" customHeight="1">
      <c r="A155" s="77"/>
      <c r="B155" s="77"/>
      <c r="C155" s="77"/>
      <c r="D155" s="77"/>
      <c r="E155" s="77"/>
      <c r="F155" s="77"/>
      <c r="G155" s="77"/>
      <c r="H155" s="77"/>
      <c r="I155" s="77"/>
      <c r="J155" s="4"/>
      <c r="K155" s="77"/>
      <c r="L155" s="77"/>
      <c r="M155" s="77"/>
      <c r="N155" s="77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</row>
    <row r="156" spans="1:27" ht="15.75" customHeight="1">
      <c r="A156" s="77"/>
      <c r="B156" s="77"/>
      <c r="C156" s="77"/>
      <c r="D156" s="77"/>
      <c r="E156" s="77"/>
      <c r="F156" s="77"/>
      <c r="G156" s="77"/>
      <c r="H156" s="77"/>
      <c r="I156" s="77"/>
      <c r="J156" s="4"/>
      <c r="K156" s="77"/>
      <c r="L156" s="77"/>
      <c r="M156" s="77"/>
      <c r="N156" s="77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</row>
    <row r="157" spans="1:27" ht="15.75" customHeight="1">
      <c r="A157" s="77"/>
      <c r="B157" s="77"/>
      <c r="C157" s="77"/>
      <c r="D157" s="77"/>
      <c r="E157" s="77"/>
      <c r="F157" s="77"/>
      <c r="G157" s="77"/>
      <c r="H157" s="77"/>
      <c r="I157" s="77"/>
      <c r="J157" s="4"/>
      <c r="K157" s="77"/>
      <c r="L157" s="77"/>
      <c r="M157" s="77"/>
      <c r="N157" s="77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</row>
    <row r="158" spans="1:27" ht="15.75" customHeight="1">
      <c r="A158" s="77"/>
      <c r="B158" s="77"/>
      <c r="C158" s="77"/>
      <c r="D158" s="77"/>
      <c r="E158" s="77"/>
      <c r="F158" s="77"/>
      <c r="G158" s="77"/>
      <c r="H158" s="77"/>
      <c r="I158" s="77"/>
      <c r="J158" s="4"/>
      <c r="K158" s="77"/>
      <c r="L158" s="77"/>
      <c r="M158" s="77"/>
      <c r="N158" s="77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</row>
    <row r="159" spans="1:27" ht="15.75" customHeight="1">
      <c r="A159" s="77"/>
      <c r="B159" s="77"/>
      <c r="C159" s="77"/>
      <c r="D159" s="77"/>
      <c r="E159" s="77"/>
      <c r="F159" s="77"/>
      <c r="G159" s="77"/>
      <c r="H159" s="77"/>
      <c r="I159" s="77"/>
      <c r="J159" s="4"/>
      <c r="K159" s="77"/>
      <c r="L159" s="77"/>
      <c r="M159" s="77"/>
      <c r="N159" s="77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</row>
    <row r="160" spans="1:27" ht="15.75" customHeight="1">
      <c r="A160" s="77"/>
      <c r="B160" s="77"/>
      <c r="C160" s="77"/>
      <c r="D160" s="77"/>
      <c r="E160" s="77"/>
      <c r="F160" s="77"/>
      <c r="G160" s="77"/>
      <c r="H160" s="77"/>
      <c r="I160" s="77"/>
      <c r="J160" s="4"/>
      <c r="K160" s="77"/>
      <c r="L160" s="77"/>
      <c r="M160" s="77"/>
      <c r="N160" s="77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</row>
    <row r="161" spans="1:27" ht="15.75" customHeight="1">
      <c r="A161" s="77"/>
      <c r="B161" s="77"/>
      <c r="C161" s="77"/>
      <c r="D161" s="77"/>
      <c r="E161" s="77"/>
      <c r="F161" s="77"/>
      <c r="G161" s="77"/>
      <c r="H161" s="77"/>
      <c r="I161" s="77"/>
      <c r="J161" s="4"/>
      <c r="K161" s="77"/>
      <c r="L161" s="77"/>
      <c r="M161" s="77"/>
      <c r="N161" s="77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</row>
    <row r="162" spans="1:27" ht="15.75" customHeight="1">
      <c r="A162" s="77"/>
      <c r="B162" s="77"/>
      <c r="C162" s="77"/>
      <c r="D162" s="77"/>
      <c r="E162" s="77"/>
      <c r="F162" s="77"/>
      <c r="G162" s="77"/>
      <c r="H162" s="77"/>
      <c r="I162" s="77"/>
      <c r="J162" s="4"/>
      <c r="K162" s="77"/>
      <c r="L162" s="77"/>
      <c r="M162" s="77"/>
      <c r="N162" s="77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</row>
    <row r="163" spans="1:27" ht="15.75" customHeight="1">
      <c r="A163" s="77"/>
      <c r="B163" s="77"/>
      <c r="C163" s="77"/>
      <c r="D163" s="77"/>
      <c r="E163" s="77"/>
      <c r="F163" s="77"/>
      <c r="G163" s="77"/>
      <c r="H163" s="77"/>
      <c r="I163" s="77"/>
      <c r="J163" s="4"/>
      <c r="K163" s="77"/>
      <c r="L163" s="77"/>
      <c r="M163" s="77"/>
      <c r="N163" s="77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</row>
    <row r="164" spans="1:27" ht="15.75" customHeight="1">
      <c r="A164" s="77"/>
      <c r="B164" s="77"/>
      <c r="C164" s="77"/>
      <c r="D164" s="77"/>
      <c r="E164" s="77"/>
      <c r="F164" s="77"/>
      <c r="G164" s="77"/>
      <c r="H164" s="77"/>
      <c r="I164" s="77"/>
      <c r="J164" s="4"/>
      <c r="K164" s="77"/>
      <c r="L164" s="77"/>
      <c r="M164" s="77"/>
      <c r="N164" s="77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</row>
    <row r="165" spans="1:27" ht="15.75" customHeight="1">
      <c r="A165" s="77"/>
      <c r="B165" s="77"/>
      <c r="C165" s="77"/>
      <c r="D165" s="77"/>
      <c r="E165" s="77"/>
      <c r="F165" s="77"/>
      <c r="G165" s="77"/>
      <c r="H165" s="77"/>
      <c r="I165" s="77"/>
      <c r="J165" s="4"/>
      <c r="K165" s="77"/>
      <c r="L165" s="77"/>
      <c r="M165" s="77"/>
      <c r="N165" s="77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</row>
    <row r="166" spans="1:27" ht="15.75" customHeight="1">
      <c r="A166" s="77"/>
      <c r="B166" s="77"/>
      <c r="C166" s="77"/>
      <c r="D166" s="77"/>
      <c r="E166" s="77"/>
      <c r="F166" s="77"/>
      <c r="G166" s="77"/>
      <c r="H166" s="77"/>
      <c r="I166" s="77"/>
      <c r="J166" s="4"/>
      <c r="K166" s="77"/>
      <c r="L166" s="77"/>
      <c r="M166" s="77"/>
      <c r="N166" s="77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</row>
    <row r="167" spans="1:27" ht="15.75" customHeight="1">
      <c r="A167" s="77"/>
      <c r="B167" s="77"/>
      <c r="C167" s="77"/>
      <c r="D167" s="77"/>
      <c r="E167" s="77"/>
      <c r="F167" s="77"/>
      <c r="G167" s="77"/>
      <c r="H167" s="77"/>
      <c r="I167" s="77"/>
      <c r="J167" s="4"/>
      <c r="K167" s="77"/>
      <c r="L167" s="77"/>
      <c r="M167" s="77"/>
      <c r="N167" s="77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</row>
    <row r="168" spans="1:27" ht="15.75" customHeight="1">
      <c r="A168" s="77"/>
      <c r="B168" s="77"/>
      <c r="C168" s="77"/>
      <c r="D168" s="77"/>
      <c r="E168" s="77"/>
      <c r="F168" s="77"/>
      <c r="G168" s="77"/>
      <c r="H168" s="77"/>
      <c r="I168" s="77"/>
      <c r="J168" s="4"/>
      <c r="K168" s="77"/>
      <c r="L168" s="77"/>
      <c r="M168" s="77"/>
      <c r="N168" s="77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</row>
    <row r="169" spans="1:27" ht="15.75" customHeight="1">
      <c r="A169" s="77"/>
      <c r="B169" s="77"/>
      <c r="C169" s="77"/>
      <c r="D169" s="77"/>
      <c r="E169" s="77"/>
      <c r="F169" s="77"/>
      <c r="G169" s="77"/>
      <c r="H169" s="77"/>
      <c r="I169" s="77"/>
      <c r="J169" s="4"/>
      <c r="K169" s="77"/>
      <c r="L169" s="77"/>
      <c r="M169" s="77"/>
      <c r="N169" s="77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</row>
    <row r="170" spans="1:27" ht="15.75" customHeight="1">
      <c r="A170" s="77"/>
      <c r="B170" s="77"/>
      <c r="C170" s="77"/>
      <c r="D170" s="77"/>
      <c r="E170" s="77"/>
      <c r="F170" s="77"/>
      <c r="G170" s="77"/>
      <c r="H170" s="77"/>
      <c r="I170" s="77"/>
      <c r="J170" s="4"/>
      <c r="K170" s="77"/>
      <c r="L170" s="77"/>
      <c r="M170" s="77"/>
      <c r="N170" s="77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</row>
    <row r="171" spans="1:27" ht="15.75" customHeight="1">
      <c r="A171" s="77"/>
      <c r="B171" s="77"/>
      <c r="C171" s="77"/>
      <c r="D171" s="77"/>
      <c r="E171" s="77"/>
      <c r="F171" s="77"/>
      <c r="G171" s="77"/>
      <c r="H171" s="77"/>
      <c r="I171" s="77"/>
      <c r="J171" s="4"/>
      <c r="K171" s="77"/>
      <c r="L171" s="77"/>
      <c r="M171" s="77"/>
      <c r="N171" s="77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</row>
    <row r="172" spans="1:27" ht="15.75" customHeight="1">
      <c r="A172" s="77"/>
      <c r="B172" s="77"/>
      <c r="C172" s="77"/>
      <c r="D172" s="77"/>
      <c r="E172" s="77"/>
      <c r="F172" s="77"/>
      <c r="G172" s="77"/>
      <c r="H172" s="77"/>
      <c r="I172" s="77"/>
      <c r="J172" s="4"/>
      <c r="K172" s="77"/>
      <c r="L172" s="77"/>
      <c r="M172" s="77"/>
      <c r="N172" s="77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</row>
    <row r="173" spans="1:27" ht="15.75" customHeight="1">
      <c r="A173" s="77"/>
      <c r="B173" s="77"/>
      <c r="C173" s="77"/>
      <c r="D173" s="77"/>
      <c r="E173" s="77"/>
      <c r="F173" s="77"/>
      <c r="G173" s="77"/>
      <c r="H173" s="77"/>
      <c r="I173" s="77"/>
      <c r="J173" s="4"/>
      <c r="K173" s="77"/>
      <c r="L173" s="77"/>
      <c r="M173" s="77"/>
      <c r="N173" s="77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</row>
    <row r="174" spans="1:27" ht="15.75" customHeight="1">
      <c r="A174" s="77"/>
      <c r="B174" s="77"/>
      <c r="C174" s="77"/>
      <c r="D174" s="77"/>
      <c r="E174" s="77"/>
      <c r="F174" s="77"/>
      <c r="G174" s="77"/>
      <c r="H174" s="77"/>
      <c r="I174" s="77"/>
      <c r="J174" s="4"/>
      <c r="K174" s="77"/>
      <c r="L174" s="77"/>
      <c r="M174" s="77"/>
      <c r="N174" s="77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</row>
    <row r="175" spans="1:27" ht="15.75" customHeight="1">
      <c r="A175" s="77"/>
      <c r="B175" s="77"/>
      <c r="C175" s="77"/>
      <c r="D175" s="77"/>
      <c r="E175" s="77"/>
      <c r="F175" s="77"/>
      <c r="G175" s="77"/>
      <c r="H175" s="77"/>
      <c r="I175" s="77"/>
      <c r="J175" s="4"/>
      <c r="K175" s="77"/>
      <c r="L175" s="77"/>
      <c r="M175" s="77"/>
      <c r="N175" s="77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</row>
    <row r="176" spans="1:27" ht="15.75" customHeight="1">
      <c r="A176" s="77"/>
      <c r="B176" s="77"/>
      <c r="C176" s="77"/>
      <c r="D176" s="77"/>
      <c r="E176" s="77"/>
      <c r="F176" s="77"/>
      <c r="G176" s="77"/>
      <c r="H176" s="77"/>
      <c r="I176" s="77"/>
      <c r="J176" s="4"/>
      <c r="K176" s="77"/>
      <c r="L176" s="77"/>
      <c r="M176" s="77"/>
      <c r="N176" s="77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</row>
    <row r="177" spans="1:27" ht="15.75" customHeight="1">
      <c r="A177" s="77"/>
      <c r="B177" s="77"/>
      <c r="C177" s="77"/>
      <c r="D177" s="77"/>
      <c r="E177" s="77"/>
      <c r="F177" s="77"/>
      <c r="G177" s="77"/>
      <c r="H177" s="77"/>
      <c r="I177" s="77"/>
      <c r="J177" s="4"/>
      <c r="K177" s="77"/>
      <c r="L177" s="77"/>
      <c r="M177" s="77"/>
      <c r="N177" s="77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</row>
    <row r="178" spans="1:27" ht="15.75" customHeight="1">
      <c r="A178" s="77"/>
      <c r="B178" s="77"/>
      <c r="C178" s="77"/>
      <c r="D178" s="77"/>
      <c r="E178" s="77"/>
      <c r="F178" s="77"/>
      <c r="G178" s="77"/>
      <c r="H178" s="77"/>
      <c r="I178" s="77"/>
      <c r="J178" s="4"/>
      <c r="K178" s="77"/>
      <c r="L178" s="77"/>
      <c r="M178" s="77"/>
      <c r="N178" s="77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</row>
    <row r="179" spans="1:27" ht="15.75" customHeight="1">
      <c r="A179" s="77"/>
      <c r="B179" s="77"/>
      <c r="C179" s="77"/>
      <c r="D179" s="77"/>
      <c r="E179" s="77"/>
      <c r="F179" s="77"/>
      <c r="G179" s="77"/>
      <c r="H179" s="77"/>
      <c r="I179" s="77"/>
      <c r="J179" s="4"/>
      <c r="K179" s="77"/>
      <c r="L179" s="77"/>
      <c r="M179" s="77"/>
      <c r="N179" s="77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</row>
    <row r="180" spans="1:27" ht="15.75" customHeight="1">
      <c r="A180" s="77"/>
      <c r="B180" s="77"/>
      <c r="C180" s="77"/>
      <c r="D180" s="77"/>
      <c r="E180" s="77"/>
      <c r="F180" s="77"/>
      <c r="G180" s="77"/>
      <c r="H180" s="77"/>
      <c r="I180" s="77"/>
      <c r="J180" s="4"/>
      <c r="K180" s="77"/>
      <c r="L180" s="77"/>
      <c r="M180" s="77"/>
      <c r="N180" s="77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</row>
    <row r="181" spans="1:27" ht="15.75" customHeight="1">
      <c r="A181" s="77"/>
      <c r="B181" s="77"/>
      <c r="C181" s="77"/>
      <c r="D181" s="77"/>
      <c r="E181" s="77"/>
      <c r="F181" s="77"/>
      <c r="G181" s="77"/>
      <c r="H181" s="77"/>
      <c r="I181" s="77"/>
      <c r="J181" s="4"/>
      <c r="K181" s="77"/>
      <c r="L181" s="77"/>
      <c r="M181" s="77"/>
      <c r="N181" s="77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</row>
    <row r="182" spans="1:27" ht="15.75" customHeight="1">
      <c r="A182" s="77"/>
      <c r="B182" s="77"/>
      <c r="C182" s="77"/>
      <c r="D182" s="77"/>
      <c r="E182" s="77"/>
      <c r="F182" s="77"/>
      <c r="G182" s="77"/>
      <c r="H182" s="77"/>
      <c r="I182" s="77"/>
      <c r="J182" s="4"/>
      <c r="K182" s="77"/>
      <c r="L182" s="77"/>
      <c r="M182" s="77"/>
      <c r="N182" s="77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</row>
    <row r="183" spans="1:27" ht="15.75" customHeight="1">
      <c r="A183" s="77"/>
      <c r="B183" s="77"/>
      <c r="C183" s="77"/>
      <c r="D183" s="77"/>
      <c r="E183" s="77"/>
      <c r="F183" s="77"/>
      <c r="G183" s="77"/>
      <c r="H183" s="77"/>
      <c r="I183" s="77"/>
      <c r="J183" s="4"/>
      <c r="K183" s="77"/>
      <c r="L183" s="77"/>
      <c r="M183" s="77"/>
      <c r="N183" s="77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</row>
    <row r="184" spans="1:27" ht="15.75" customHeight="1">
      <c r="A184" s="77"/>
      <c r="B184" s="77"/>
      <c r="C184" s="77"/>
      <c r="D184" s="77"/>
      <c r="E184" s="77"/>
      <c r="F184" s="77"/>
      <c r="G184" s="77"/>
      <c r="H184" s="77"/>
      <c r="I184" s="77"/>
      <c r="J184" s="4"/>
      <c r="K184" s="77"/>
      <c r="L184" s="77"/>
      <c r="M184" s="77"/>
      <c r="N184" s="77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</row>
    <row r="185" spans="1:27" ht="15.75" customHeight="1">
      <c r="A185" s="77"/>
      <c r="B185" s="77"/>
      <c r="C185" s="77"/>
      <c r="D185" s="77"/>
      <c r="E185" s="77"/>
      <c r="F185" s="77"/>
      <c r="G185" s="77"/>
      <c r="H185" s="77"/>
      <c r="I185" s="77"/>
      <c r="J185" s="4"/>
      <c r="K185" s="77"/>
      <c r="L185" s="77"/>
      <c r="M185" s="77"/>
      <c r="N185" s="77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</row>
    <row r="186" spans="1:27" ht="15.75" customHeight="1">
      <c r="A186" s="77"/>
      <c r="B186" s="77"/>
      <c r="C186" s="77"/>
      <c r="D186" s="77"/>
      <c r="E186" s="77"/>
      <c r="F186" s="77"/>
      <c r="G186" s="77"/>
      <c r="H186" s="77"/>
      <c r="I186" s="77"/>
      <c r="J186" s="4"/>
      <c r="K186" s="77"/>
      <c r="L186" s="77"/>
      <c r="M186" s="77"/>
      <c r="N186" s="77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</row>
    <row r="187" spans="1:27" ht="15.75" customHeight="1">
      <c r="A187" s="77"/>
      <c r="B187" s="77"/>
      <c r="C187" s="77"/>
      <c r="D187" s="77"/>
      <c r="E187" s="77"/>
      <c r="F187" s="77"/>
      <c r="G187" s="77"/>
      <c r="H187" s="77"/>
      <c r="I187" s="77"/>
      <c r="J187" s="4"/>
      <c r="K187" s="77"/>
      <c r="L187" s="77"/>
      <c r="M187" s="77"/>
      <c r="N187" s="77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</row>
    <row r="188" spans="1:27" ht="15.75" customHeight="1">
      <c r="A188" s="77"/>
      <c r="B188" s="77"/>
      <c r="C188" s="77"/>
      <c r="D188" s="77"/>
      <c r="E188" s="77"/>
      <c r="F188" s="77"/>
      <c r="G188" s="77"/>
      <c r="H188" s="77"/>
      <c r="I188" s="77"/>
      <c r="J188" s="4"/>
      <c r="K188" s="77"/>
      <c r="L188" s="77"/>
      <c r="M188" s="77"/>
      <c r="N188" s="77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</row>
    <row r="189" spans="1:27" ht="15.75" customHeight="1">
      <c r="A189" s="77"/>
      <c r="B189" s="77"/>
      <c r="C189" s="77"/>
      <c r="D189" s="77"/>
      <c r="E189" s="77"/>
      <c r="F189" s="77"/>
      <c r="G189" s="77"/>
      <c r="H189" s="77"/>
      <c r="I189" s="77"/>
      <c r="J189" s="4"/>
      <c r="K189" s="77"/>
      <c r="L189" s="77"/>
      <c r="M189" s="77"/>
      <c r="N189" s="77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</row>
    <row r="190" spans="1:27" ht="15.75" customHeight="1">
      <c r="A190" s="77"/>
      <c r="B190" s="77"/>
      <c r="C190" s="77"/>
      <c r="D190" s="77"/>
      <c r="E190" s="77"/>
      <c r="F190" s="77"/>
      <c r="G190" s="77"/>
      <c r="H190" s="77"/>
      <c r="I190" s="77"/>
      <c r="J190" s="4"/>
      <c r="K190" s="77"/>
      <c r="L190" s="77"/>
      <c r="M190" s="77"/>
      <c r="N190" s="77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</row>
    <row r="191" spans="1:27" ht="15.75" customHeight="1">
      <c r="A191" s="77"/>
      <c r="B191" s="77"/>
      <c r="C191" s="77"/>
      <c r="D191" s="77"/>
      <c r="E191" s="77"/>
      <c r="F191" s="77"/>
      <c r="G191" s="77"/>
      <c r="H191" s="77"/>
      <c r="I191" s="77"/>
      <c r="J191" s="4"/>
      <c r="K191" s="77"/>
      <c r="L191" s="77"/>
      <c r="M191" s="77"/>
      <c r="N191" s="77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</row>
    <row r="192" spans="1:27" ht="15.75" customHeight="1">
      <c r="A192" s="77"/>
      <c r="B192" s="77"/>
      <c r="C192" s="77"/>
      <c r="D192" s="77"/>
      <c r="E192" s="77"/>
      <c r="F192" s="77"/>
      <c r="G192" s="77"/>
      <c r="H192" s="77"/>
      <c r="I192" s="77"/>
      <c r="J192" s="4"/>
      <c r="K192" s="77"/>
      <c r="L192" s="77"/>
      <c r="M192" s="77"/>
      <c r="N192" s="77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</row>
    <row r="193" spans="1:27" ht="15.75" customHeight="1">
      <c r="A193" s="77"/>
      <c r="B193" s="77"/>
      <c r="C193" s="77"/>
      <c r="D193" s="77"/>
      <c r="E193" s="77"/>
      <c r="F193" s="77"/>
      <c r="G193" s="77"/>
      <c r="H193" s="77"/>
      <c r="I193" s="77"/>
      <c r="J193" s="4"/>
      <c r="K193" s="77"/>
      <c r="L193" s="77"/>
      <c r="M193" s="77"/>
      <c r="N193" s="77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</row>
    <row r="194" spans="1:27" ht="15.75" customHeight="1">
      <c r="A194" s="77"/>
      <c r="B194" s="77"/>
      <c r="C194" s="77"/>
      <c r="D194" s="77"/>
      <c r="E194" s="77"/>
      <c r="F194" s="77"/>
      <c r="G194" s="77"/>
      <c r="H194" s="77"/>
      <c r="I194" s="77"/>
      <c r="J194" s="4"/>
      <c r="K194" s="77"/>
      <c r="L194" s="77"/>
      <c r="M194" s="77"/>
      <c r="N194" s="77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</row>
    <row r="195" spans="1:27" ht="15.75" customHeight="1">
      <c r="A195" s="77"/>
      <c r="B195" s="77"/>
      <c r="C195" s="77"/>
      <c r="D195" s="77"/>
      <c r="E195" s="77"/>
      <c r="F195" s="77"/>
      <c r="G195" s="77"/>
      <c r="H195" s="77"/>
      <c r="I195" s="77"/>
      <c r="J195" s="4"/>
      <c r="K195" s="77"/>
      <c r="L195" s="77"/>
      <c r="M195" s="77"/>
      <c r="N195" s="77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</row>
    <row r="196" spans="1:27" ht="15.75" customHeight="1">
      <c r="A196" s="77"/>
      <c r="B196" s="77"/>
      <c r="C196" s="77"/>
      <c r="D196" s="77"/>
      <c r="E196" s="77"/>
      <c r="F196" s="77"/>
      <c r="G196" s="77"/>
      <c r="H196" s="77"/>
      <c r="I196" s="77"/>
      <c r="J196" s="4"/>
      <c r="K196" s="77"/>
      <c r="L196" s="77"/>
      <c r="M196" s="77"/>
      <c r="N196" s="77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</row>
    <row r="197" spans="1:27" ht="15.75" customHeight="1">
      <c r="A197" s="77"/>
      <c r="B197" s="77"/>
      <c r="C197" s="77"/>
      <c r="D197" s="77"/>
      <c r="E197" s="77"/>
      <c r="F197" s="77"/>
      <c r="G197" s="77"/>
      <c r="H197" s="77"/>
      <c r="I197" s="77"/>
      <c r="J197" s="4"/>
      <c r="K197" s="77"/>
      <c r="L197" s="77"/>
      <c r="M197" s="77"/>
      <c r="N197" s="77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</row>
    <row r="198" spans="1:27" ht="15.75" customHeight="1">
      <c r="A198" s="77"/>
      <c r="B198" s="77"/>
      <c r="C198" s="77"/>
      <c r="D198" s="77"/>
      <c r="E198" s="77"/>
      <c r="F198" s="77"/>
      <c r="G198" s="77"/>
      <c r="H198" s="77"/>
      <c r="I198" s="77"/>
      <c r="J198" s="4"/>
      <c r="K198" s="77"/>
      <c r="L198" s="77"/>
      <c r="M198" s="77"/>
      <c r="N198" s="77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</row>
    <row r="199" spans="1:27" ht="15.75" customHeight="1">
      <c r="A199" s="77"/>
      <c r="B199" s="77"/>
      <c r="C199" s="77"/>
      <c r="D199" s="77"/>
      <c r="E199" s="77"/>
      <c r="F199" s="77"/>
      <c r="G199" s="77"/>
      <c r="H199" s="77"/>
      <c r="I199" s="77"/>
      <c r="J199" s="4"/>
      <c r="K199" s="77"/>
      <c r="L199" s="77"/>
      <c r="M199" s="77"/>
      <c r="N199" s="77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</row>
    <row r="200" spans="1:27" ht="15.75" customHeight="1">
      <c r="A200" s="77"/>
      <c r="B200" s="77"/>
      <c r="C200" s="77"/>
      <c r="D200" s="77"/>
      <c r="E200" s="77"/>
      <c r="F200" s="77"/>
      <c r="G200" s="77"/>
      <c r="H200" s="77"/>
      <c r="I200" s="77"/>
      <c r="J200" s="4"/>
      <c r="K200" s="77"/>
      <c r="L200" s="77"/>
      <c r="M200" s="77"/>
      <c r="N200" s="77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</row>
    <row r="201" spans="1:27" ht="15.75" customHeight="1">
      <c r="A201" s="77"/>
      <c r="B201" s="77"/>
      <c r="C201" s="77"/>
      <c r="D201" s="77"/>
      <c r="E201" s="77"/>
      <c r="F201" s="77"/>
      <c r="G201" s="77"/>
      <c r="H201" s="77"/>
      <c r="I201" s="77"/>
      <c r="J201" s="4"/>
      <c r="K201" s="77"/>
      <c r="L201" s="77"/>
      <c r="M201" s="77"/>
      <c r="N201" s="77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</row>
    <row r="202" spans="1:27" ht="15.75" customHeight="1">
      <c r="A202" s="77"/>
      <c r="B202" s="77"/>
      <c r="C202" s="77"/>
      <c r="D202" s="77"/>
      <c r="E202" s="77"/>
      <c r="F202" s="77"/>
      <c r="G202" s="77"/>
      <c r="H202" s="77"/>
      <c r="I202" s="77"/>
      <c r="J202" s="4"/>
      <c r="K202" s="77"/>
      <c r="L202" s="77"/>
      <c r="M202" s="77"/>
      <c r="N202" s="77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</row>
    <row r="203" spans="1:27" ht="15.75" customHeight="1">
      <c r="A203" s="77"/>
      <c r="B203" s="77"/>
      <c r="C203" s="77"/>
      <c r="D203" s="77"/>
      <c r="E203" s="77"/>
      <c r="F203" s="77"/>
      <c r="G203" s="77"/>
      <c r="H203" s="77"/>
      <c r="I203" s="77"/>
      <c r="J203" s="4"/>
      <c r="K203" s="77"/>
      <c r="L203" s="77"/>
      <c r="M203" s="77"/>
      <c r="N203" s="77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</row>
    <row r="204" spans="1:27" ht="15.75" customHeight="1">
      <c r="A204" s="77"/>
      <c r="B204" s="77"/>
      <c r="C204" s="77"/>
      <c r="D204" s="77"/>
      <c r="E204" s="77"/>
      <c r="F204" s="77"/>
      <c r="G204" s="77"/>
      <c r="H204" s="77"/>
      <c r="I204" s="77"/>
      <c r="J204" s="4"/>
      <c r="K204" s="77"/>
      <c r="L204" s="77"/>
      <c r="M204" s="77"/>
      <c r="N204" s="77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</row>
    <row r="205" spans="1:27" ht="15.75" customHeight="1">
      <c r="A205" s="77"/>
      <c r="B205" s="77"/>
      <c r="C205" s="77"/>
      <c r="D205" s="77"/>
      <c r="E205" s="77"/>
      <c r="F205" s="77"/>
      <c r="G205" s="77"/>
      <c r="H205" s="77"/>
      <c r="I205" s="77"/>
      <c r="J205" s="4"/>
      <c r="K205" s="77"/>
      <c r="L205" s="77"/>
      <c r="M205" s="77"/>
      <c r="N205" s="77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</row>
    <row r="206" spans="1:27" ht="15.75" customHeight="1">
      <c r="A206" s="77"/>
      <c r="B206" s="77"/>
      <c r="C206" s="77"/>
      <c r="D206" s="77"/>
      <c r="E206" s="77"/>
      <c r="F206" s="77"/>
      <c r="G206" s="77"/>
      <c r="H206" s="77"/>
      <c r="I206" s="77"/>
      <c r="J206" s="4"/>
      <c r="K206" s="77"/>
      <c r="L206" s="77"/>
      <c r="M206" s="77"/>
      <c r="N206" s="77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</row>
    <row r="207" spans="1:27" ht="15.75" customHeight="1">
      <c r="A207" s="77"/>
      <c r="B207" s="77"/>
      <c r="C207" s="77"/>
      <c r="D207" s="77"/>
      <c r="E207" s="77"/>
      <c r="F207" s="77"/>
      <c r="G207" s="77"/>
      <c r="H207" s="77"/>
      <c r="I207" s="77"/>
      <c r="J207" s="4"/>
      <c r="K207" s="77"/>
      <c r="L207" s="77"/>
      <c r="M207" s="77"/>
      <c r="N207" s="77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</row>
    <row r="208" spans="1:27" ht="15.75" customHeight="1">
      <c r="A208" s="77"/>
      <c r="B208" s="77"/>
      <c r="C208" s="77"/>
      <c r="D208" s="77"/>
      <c r="E208" s="77"/>
      <c r="F208" s="77"/>
      <c r="G208" s="77"/>
      <c r="H208" s="77"/>
      <c r="I208" s="77"/>
      <c r="J208" s="4"/>
      <c r="K208" s="77"/>
      <c r="L208" s="77"/>
      <c r="M208" s="77"/>
      <c r="N208" s="77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</row>
    <row r="209" spans="1:27" ht="15.75" customHeight="1">
      <c r="A209" s="77"/>
      <c r="B209" s="77"/>
      <c r="C209" s="77"/>
      <c r="D209" s="77"/>
      <c r="E209" s="77"/>
      <c r="F209" s="77"/>
      <c r="G209" s="77"/>
      <c r="H209" s="77"/>
      <c r="I209" s="77"/>
      <c r="J209" s="4"/>
      <c r="K209" s="77"/>
      <c r="L209" s="77"/>
      <c r="M209" s="77"/>
      <c r="N209" s="77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</row>
    <row r="210" spans="1:27" ht="15.75" customHeight="1">
      <c r="A210" s="77"/>
      <c r="B210" s="77"/>
      <c r="C210" s="77"/>
      <c r="D210" s="77"/>
      <c r="E210" s="77"/>
      <c r="F210" s="77"/>
      <c r="G210" s="77"/>
      <c r="H210" s="77"/>
      <c r="I210" s="77"/>
      <c r="J210" s="4"/>
      <c r="K210" s="77"/>
      <c r="L210" s="77"/>
      <c r="M210" s="77"/>
      <c r="N210" s="77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</row>
    <row r="211" spans="1:27" ht="15.75" customHeight="1">
      <c r="A211" s="77"/>
      <c r="B211" s="77"/>
      <c r="C211" s="77"/>
      <c r="D211" s="77"/>
      <c r="E211" s="77"/>
      <c r="F211" s="77"/>
      <c r="G211" s="77"/>
      <c r="H211" s="77"/>
      <c r="I211" s="77"/>
      <c r="J211" s="4"/>
      <c r="K211" s="77"/>
      <c r="L211" s="77"/>
      <c r="M211" s="77"/>
      <c r="N211" s="77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</row>
    <row r="212" spans="1:27" ht="15.75" customHeight="1">
      <c r="A212" s="77"/>
      <c r="B212" s="77"/>
      <c r="C212" s="77"/>
      <c r="D212" s="77"/>
      <c r="E212" s="77"/>
      <c r="F212" s="77"/>
      <c r="G212" s="77"/>
      <c r="H212" s="77"/>
      <c r="I212" s="77"/>
      <c r="J212" s="4"/>
      <c r="K212" s="77"/>
      <c r="L212" s="77"/>
      <c r="M212" s="77"/>
      <c r="N212" s="77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</row>
    <row r="213" spans="1:27" ht="15.75" customHeight="1">
      <c r="A213" s="77"/>
      <c r="B213" s="77"/>
      <c r="C213" s="77"/>
      <c r="D213" s="77"/>
      <c r="E213" s="77"/>
      <c r="F213" s="77"/>
      <c r="G213" s="77"/>
      <c r="H213" s="77"/>
      <c r="I213" s="77"/>
      <c r="J213" s="4"/>
      <c r="K213" s="77"/>
      <c r="L213" s="77"/>
      <c r="M213" s="77"/>
      <c r="N213" s="77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</row>
    <row r="214" spans="1:27" ht="15.75" customHeight="1">
      <c r="A214" s="77"/>
      <c r="B214" s="77"/>
      <c r="C214" s="77"/>
      <c r="D214" s="77"/>
      <c r="E214" s="77"/>
      <c r="F214" s="77"/>
      <c r="G214" s="77"/>
      <c r="H214" s="77"/>
      <c r="I214" s="77"/>
      <c r="J214" s="4"/>
      <c r="K214" s="77"/>
      <c r="L214" s="77"/>
      <c r="M214" s="77"/>
      <c r="N214" s="77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</row>
    <row r="215" spans="1:27" ht="15.75" customHeight="1">
      <c r="A215" s="77"/>
      <c r="B215" s="77"/>
      <c r="C215" s="77"/>
      <c r="D215" s="77"/>
      <c r="E215" s="77"/>
      <c r="F215" s="77"/>
      <c r="G215" s="77"/>
      <c r="H215" s="77"/>
      <c r="I215" s="77"/>
      <c r="J215" s="4"/>
      <c r="K215" s="77"/>
      <c r="L215" s="77"/>
      <c r="M215" s="77"/>
      <c r="N215" s="77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</row>
    <row r="216" spans="1:27" ht="15.75" customHeight="1">
      <c r="A216" s="77"/>
      <c r="B216" s="77"/>
      <c r="C216" s="77"/>
      <c r="D216" s="77"/>
      <c r="E216" s="77"/>
      <c r="F216" s="77"/>
      <c r="G216" s="77"/>
      <c r="H216" s="77"/>
      <c r="I216" s="77"/>
      <c r="J216" s="4"/>
      <c r="K216" s="77"/>
      <c r="L216" s="77"/>
      <c r="M216" s="77"/>
      <c r="N216" s="77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</row>
    <row r="217" spans="1:27" ht="15.75" customHeight="1">
      <c r="A217" s="77"/>
      <c r="B217" s="77"/>
      <c r="C217" s="77"/>
      <c r="D217" s="77"/>
      <c r="E217" s="77"/>
      <c r="F217" s="77"/>
      <c r="G217" s="77"/>
      <c r="H217" s="77"/>
      <c r="I217" s="77"/>
      <c r="J217" s="4"/>
      <c r="K217" s="77"/>
      <c r="L217" s="77"/>
      <c r="M217" s="77"/>
      <c r="N217" s="77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</row>
    <row r="218" spans="1:27" ht="15.75" customHeight="1">
      <c r="A218" s="77"/>
      <c r="B218" s="77"/>
      <c r="C218" s="77"/>
      <c r="D218" s="77"/>
      <c r="E218" s="77"/>
      <c r="F218" s="77"/>
      <c r="G218" s="77"/>
      <c r="H218" s="77"/>
      <c r="I218" s="77"/>
      <c r="J218" s="4"/>
      <c r="K218" s="77"/>
      <c r="L218" s="77"/>
      <c r="M218" s="77"/>
      <c r="N218" s="77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</row>
    <row r="219" spans="1:27" ht="15.75" customHeight="1">
      <c r="A219" s="77"/>
      <c r="B219" s="77"/>
      <c r="C219" s="77"/>
      <c r="D219" s="77"/>
      <c r="E219" s="77"/>
      <c r="F219" s="77"/>
      <c r="G219" s="77"/>
      <c r="H219" s="77"/>
      <c r="I219" s="77"/>
      <c r="J219" s="4"/>
      <c r="K219" s="77"/>
      <c r="L219" s="77"/>
      <c r="M219" s="77"/>
      <c r="N219" s="77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</row>
    <row r="220" spans="1:27" ht="15.75" customHeight="1">
      <c r="A220" s="77"/>
      <c r="B220" s="77"/>
      <c r="C220" s="77"/>
      <c r="D220" s="77"/>
      <c r="E220" s="77"/>
      <c r="F220" s="77"/>
      <c r="G220" s="77"/>
      <c r="H220" s="77"/>
      <c r="I220" s="77"/>
      <c r="J220" s="4"/>
      <c r="K220" s="77"/>
      <c r="L220" s="77"/>
      <c r="M220" s="77"/>
      <c r="N220" s="77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</row>
    <row r="221" spans="1:27" ht="15.75" customHeight="1">
      <c r="A221" s="77"/>
      <c r="B221" s="77"/>
      <c r="C221" s="77"/>
      <c r="D221" s="77"/>
      <c r="E221" s="77"/>
      <c r="F221" s="77"/>
      <c r="G221" s="77"/>
      <c r="H221" s="77"/>
      <c r="I221" s="77"/>
      <c r="J221" s="4"/>
      <c r="K221" s="77"/>
      <c r="L221" s="77"/>
      <c r="M221" s="77"/>
      <c r="N221" s="77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</row>
    <row r="222" spans="1:27" ht="15.75" customHeight="1">
      <c r="A222" s="77"/>
      <c r="B222" s="77"/>
      <c r="C222" s="77"/>
      <c r="D222" s="77"/>
      <c r="E222" s="77"/>
      <c r="F222" s="77"/>
      <c r="G222" s="77"/>
      <c r="H222" s="77"/>
      <c r="I222" s="77"/>
      <c r="J222" s="4"/>
      <c r="K222" s="77"/>
      <c r="L222" s="77"/>
      <c r="M222" s="77"/>
      <c r="N222" s="77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</row>
    <row r="223" spans="1:27" ht="15.75" customHeight="1">
      <c r="A223" s="77"/>
      <c r="B223" s="77"/>
      <c r="C223" s="77"/>
      <c r="D223" s="77"/>
      <c r="E223" s="77"/>
      <c r="F223" s="77"/>
      <c r="G223" s="77"/>
      <c r="H223" s="77"/>
      <c r="I223" s="77"/>
      <c r="J223" s="4"/>
      <c r="K223" s="77"/>
      <c r="L223" s="77"/>
      <c r="M223" s="77"/>
      <c r="N223" s="77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</row>
    <row r="224" spans="1:27" ht="15.75" customHeight="1">
      <c r="A224" s="77"/>
      <c r="B224" s="77"/>
      <c r="C224" s="77"/>
      <c r="D224" s="77"/>
      <c r="E224" s="77"/>
      <c r="F224" s="77"/>
      <c r="G224" s="77"/>
      <c r="H224" s="77"/>
      <c r="I224" s="77"/>
      <c r="J224" s="4"/>
      <c r="K224" s="77"/>
      <c r="L224" s="77"/>
      <c r="M224" s="77"/>
      <c r="N224" s="77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</row>
    <row r="225" spans="1:27" ht="15.75" customHeight="1">
      <c r="A225" s="77"/>
      <c r="B225" s="77"/>
      <c r="C225" s="77"/>
      <c r="D225" s="77"/>
      <c r="E225" s="77"/>
      <c r="F225" s="77"/>
      <c r="G225" s="77"/>
      <c r="H225" s="77"/>
      <c r="I225" s="77"/>
      <c r="J225" s="4"/>
      <c r="K225" s="77"/>
      <c r="L225" s="77"/>
      <c r="M225" s="77"/>
      <c r="N225" s="77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</row>
    <row r="226" spans="1:27" ht="15.75" customHeight="1">
      <c r="A226" s="77"/>
      <c r="B226" s="77"/>
      <c r="C226" s="77"/>
      <c r="D226" s="77"/>
      <c r="E226" s="77"/>
      <c r="F226" s="77"/>
      <c r="G226" s="77"/>
      <c r="H226" s="77"/>
      <c r="I226" s="77"/>
      <c r="J226" s="4"/>
      <c r="K226" s="77"/>
      <c r="L226" s="77"/>
      <c r="M226" s="77"/>
      <c r="N226" s="77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</row>
    <row r="227" spans="1:27" ht="15.75" customHeight="1">
      <c r="A227" s="77"/>
      <c r="B227" s="77"/>
      <c r="C227" s="77"/>
      <c r="D227" s="77"/>
      <c r="E227" s="77"/>
      <c r="F227" s="77"/>
      <c r="G227" s="77"/>
      <c r="H227" s="77"/>
      <c r="I227" s="77"/>
      <c r="J227" s="4"/>
      <c r="K227" s="77"/>
      <c r="L227" s="77"/>
      <c r="M227" s="77"/>
      <c r="N227" s="7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</row>
    <row r="228" spans="1:27" ht="15.75" customHeight="1">
      <c r="A228" s="77"/>
      <c r="B228" s="77"/>
      <c r="C228" s="77"/>
      <c r="D228" s="77"/>
      <c r="E228" s="77"/>
      <c r="F228" s="77"/>
      <c r="G228" s="77"/>
      <c r="H228" s="77"/>
      <c r="I228" s="77"/>
      <c r="J228" s="4"/>
      <c r="K228" s="77"/>
      <c r="L228" s="77"/>
      <c r="M228" s="77"/>
      <c r="N228" s="7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</row>
    <row r="229" spans="1:27" ht="15.75" customHeight="1">
      <c r="A229" s="77"/>
      <c r="B229" s="77"/>
      <c r="C229" s="77"/>
      <c r="D229" s="77"/>
      <c r="E229" s="77"/>
      <c r="F229" s="77"/>
      <c r="G229" s="77"/>
      <c r="H229" s="77"/>
      <c r="I229" s="77"/>
      <c r="J229" s="4"/>
      <c r="K229" s="77"/>
      <c r="L229" s="77"/>
      <c r="M229" s="77"/>
      <c r="N229" s="77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</row>
    <row r="230" spans="1:27" ht="15.75" customHeight="1">
      <c r="A230" s="77"/>
      <c r="B230" s="77"/>
      <c r="C230" s="77"/>
      <c r="D230" s="77"/>
      <c r="E230" s="77"/>
      <c r="F230" s="77"/>
      <c r="G230" s="77"/>
      <c r="H230" s="77"/>
      <c r="I230" s="77"/>
      <c r="J230" s="4"/>
      <c r="K230" s="77"/>
      <c r="L230" s="77"/>
      <c r="M230" s="77"/>
      <c r="N230" s="77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</row>
    <row r="231" spans="1:27" ht="15.75" customHeight="1">
      <c r="A231" s="77"/>
      <c r="B231" s="77"/>
      <c r="C231" s="77"/>
      <c r="D231" s="77"/>
      <c r="E231" s="77"/>
      <c r="F231" s="77"/>
      <c r="G231" s="77"/>
      <c r="H231" s="77"/>
      <c r="I231" s="77"/>
      <c r="J231" s="4"/>
      <c r="K231" s="77"/>
      <c r="L231" s="77"/>
      <c r="M231" s="77"/>
      <c r="N231" s="77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</row>
    <row r="232" spans="1:27" ht="15.75" customHeight="1">
      <c r="A232" s="77"/>
      <c r="B232" s="77"/>
      <c r="C232" s="77"/>
      <c r="D232" s="77"/>
      <c r="E232" s="77"/>
      <c r="F232" s="77"/>
      <c r="G232" s="77"/>
      <c r="H232" s="77"/>
      <c r="I232" s="77"/>
      <c r="J232" s="4"/>
      <c r="K232" s="77"/>
      <c r="L232" s="77"/>
      <c r="M232" s="77"/>
      <c r="N232" s="77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</row>
    <row r="233" spans="1:27" ht="15.75" customHeight="1">
      <c r="A233" s="77"/>
      <c r="B233" s="77"/>
      <c r="C233" s="77"/>
      <c r="D233" s="77"/>
      <c r="E233" s="77"/>
      <c r="F233" s="77"/>
      <c r="G233" s="77"/>
      <c r="H233" s="77"/>
      <c r="I233" s="77"/>
      <c r="J233" s="4"/>
      <c r="K233" s="77"/>
      <c r="L233" s="77"/>
      <c r="M233" s="77"/>
      <c r="N233" s="77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</row>
    <row r="234" spans="1:27" ht="15.75" customHeight="1">
      <c r="A234" s="77"/>
      <c r="B234" s="77"/>
      <c r="C234" s="77"/>
      <c r="D234" s="77"/>
      <c r="E234" s="77"/>
      <c r="F234" s="77"/>
      <c r="G234" s="77"/>
      <c r="H234" s="77"/>
      <c r="I234" s="77"/>
      <c r="J234" s="4"/>
      <c r="K234" s="77"/>
      <c r="L234" s="77"/>
      <c r="M234" s="77"/>
      <c r="N234" s="77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</row>
    <row r="235" spans="1:27" ht="15.75" customHeight="1">
      <c r="A235" s="77"/>
      <c r="B235" s="77"/>
      <c r="C235" s="77"/>
      <c r="D235" s="77"/>
      <c r="E235" s="77"/>
      <c r="F235" s="77"/>
      <c r="G235" s="77"/>
      <c r="H235" s="77"/>
      <c r="I235" s="77"/>
      <c r="J235" s="4"/>
      <c r="K235" s="77"/>
      <c r="L235" s="77"/>
      <c r="M235" s="77"/>
      <c r="N235" s="77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</row>
    <row r="236" spans="1:27" ht="15.75" customHeight="1">
      <c r="A236" s="77"/>
      <c r="B236" s="77"/>
      <c r="C236" s="77"/>
      <c r="D236" s="77"/>
      <c r="E236" s="77"/>
      <c r="F236" s="77"/>
      <c r="G236" s="77"/>
      <c r="H236" s="77"/>
      <c r="I236" s="77"/>
      <c r="J236" s="4"/>
      <c r="K236" s="77"/>
      <c r="L236" s="77"/>
      <c r="M236" s="77"/>
      <c r="N236" s="77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</row>
    <row r="237" spans="1:27" ht="15.75" customHeight="1">
      <c r="A237" s="77"/>
      <c r="B237" s="77"/>
      <c r="C237" s="77"/>
      <c r="D237" s="77"/>
      <c r="E237" s="77"/>
      <c r="F237" s="77"/>
      <c r="G237" s="77"/>
      <c r="H237" s="77"/>
      <c r="I237" s="77"/>
      <c r="J237" s="4"/>
      <c r="K237" s="77"/>
      <c r="L237" s="77"/>
      <c r="M237" s="77"/>
      <c r="N237" s="77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</row>
    <row r="238" spans="1:27" ht="15.75" customHeight="1">
      <c r="A238" s="77"/>
      <c r="B238" s="77"/>
      <c r="C238" s="77"/>
      <c r="D238" s="77"/>
      <c r="E238" s="77"/>
      <c r="F238" s="77"/>
      <c r="G238" s="77"/>
      <c r="H238" s="77"/>
      <c r="I238" s="77"/>
      <c r="J238" s="4"/>
      <c r="K238" s="77"/>
      <c r="L238" s="77"/>
      <c r="M238" s="77"/>
      <c r="N238" s="77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</row>
    <row r="239" spans="1:27" ht="15.75" customHeight="1">
      <c r="A239" s="77"/>
      <c r="B239" s="77"/>
      <c r="C239" s="77"/>
      <c r="D239" s="77"/>
      <c r="E239" s="77"/>
      <c r="F239" s="77"/>
      <c r="G239" s="77"/>
      <c r="H239" s="77"/>
      <c r="I239" s="77"/>
      <c r="J239" s="4"/>
      <c r="K239" s="77"/>
      <c r="L239" s="77"/>
      <c r="M239" s="77"/>
      <c r="N239" s="77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</row>
    <row r="240" spans="1:27" ht="15.75" customHeight="1">
      <c r="A240" s="77"/>
      <c r="B240" s="77"/>
      <c r="C240" s="77"/>
      <c r="D240" s="77"/>
      <c r="E240" s="77"/>
      <c r="F240" s="77"/>
      <c r="G240" s="77"/>
      <c r="H240" s="77"/>
      <c r="I240" s="77"/>
      <c r="J240" s="4"/>
      <c r="K240" s="77"/>
      <c r="L240" s="77"/>
      <c r="M240" s="77"/>
      <c r="N240" s="77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</row>
    <row r="241" spans="1:27" ht="15.75" customHeight="1">
      <c r="A241" s="77"/>
      <c r="B241" s="77"/>
      <c r="C241" s="77"/>
      <c r="D241" s="77"/>
      <c r="E241" s="77"/>
      <c r="F241" s="77"/>
      <c r="G241" s="77"/>
      <c r="H241" s="77"/>
      <c r="I241" s="77"/>
      <c r="J241" s="4"/>
      <c r="K241" s="77"/>
      <c r="L241" s="77"/>
      <c r="M241" s="77"/>
      <c r="N241" s="77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</row>
    <row r="242" spans="1:27" ht="15.75" customHeight="1">
      <c r="A242" s="77"/>
      <c r="B242" s="77"/>
      <c r="C242" s="77"/>
      <c r="D242" s="77"/>
      <c r="E242" s="77"/>
      <c r="F242" s="77"/>
      <c r="G242" s="77"/>
      <c r="H242" s="77"/>
      <c r="I242" s="77"/>
      <c r="J242" s="4"/>
      <c r="K242" s="77"/>
      <c r="L242" s="77"/>
      <c r="M242" s="77"/>
      <c r="N242" s="77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</row>
    <row r="243" spans="1:27" ht="15.75" customHeight="1">
      <c r="A243" s="77"/>
      <c r="B243" s="77"/>
      <c r="C243" s="77"/>
      <c r="D243" s="77"/>
      <c r="E243" s="77"/>
      <c r="F243" s="77"/>
      <c r="G243" s="77"/>
      <c r="H243" s="77"/>
      <c r="I243" s="77"/>
      <c r="J243" s="4"/>
      <c r="K243" s="77"/>
      <c r="L243" s="77"/>
      <c r="M243" s="77"/>
      <c r="N243" s="77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</row>
    <row r="244" spans="1:27" ht="15.75" customHeight="1">
      <c r="A244" s="77"/>
      <c r="B244" s="77"/>
      <c r="C244" s="77"/>
      <c r="D244" s="77"/>
      <c r="E244" s="77"/>
      <c r="F244" s="77"/>
      <c r="G244" s="77"/>
      <c r="H244" s="77"/>
      <c r="I244" s="77"/>
      <c r="J244" s="4"/>
      <c r="K244" s="77"/>
      <c r="L244" s="77"/>
      <c r="M244" s="77"/>
      <c r="N244" s="77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</row>
    <row r="245" spans="1:27" ht="15.75" customHeight="1">
      <c r="A245" s="77"/>
      <c r="B245" s="77"/>
      <c r="C245" s="77"/>
      <c r="D245" s="77"/>
      <c r="E245" s="77"/>
      <c r="F245" s="77"/>
      <c r="G245" s="77"/>
      <c r="H245" s="77"/>
      <c r="I245" s="77"/>
      <c r="J245" s="4"/>
      <c r="K245" s="77"/>
      <c r="L245" s="77"/>
      <c r="M245" s="77"/>
      <c r="N245" s="77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</row>
    <row r="246" spans="1:27" ht="15.75" customHeight="1">
      <c r="A246" s="77"/>
      <c r="B246" s="77"/>
      <c r="C246" s="77"/>
      <c r="D246" s="77"/>
      <c r="E246" s="77"/>
      <c r="F246" s="77"/>
      <c r="G246" s="77"/>
      <c r="H246" s="77"/>
      <c r="I246" s="77"/>
      <c r="J246" s="4"/>
      <c r="K246" s="77"/>
      <c r="L246" s="77"/>
      <c r="M246" s="77"/>
      <c r="N246" s="77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</row>
    <row r="247" spans="1:27" ht="15.75" customHeight="1">
      <c r="A247" s="77"/>
      <c r="B247" s="77"/>
      <c r="C247" s="77"/>
      <c r="D247" s="77"/>
      <c r="E247" s="77"/>
      <c r="F247" s="77"/>
      <c r="G247" s="77"/>
      <c r="H247" s="77"/>
      <c r="I247" s="77"/>
      <c r="J247" s="4"/>
      <c r="K247" s="77"/>
      <c r="L247" s="77"/>
      <c r="M247" s="77"/>
      <c r="N247" s="77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</row>
    <row r="248" spans="1:27" ht="15.75" customHeight="1">
      <c r="A248" s="77"/>
      <c r="B248" s="77"/>
      <c r="C248" s="77"/>
      <c r="D248" s="77"/>
      <c r="E248" s="77"/>
      <c r="F248" s="77"/>
      <c r="G248" s="77"/>
      <c r="H248" s="77"/>
      <c r="I248" s="77"/>
      <c r="J248" s="4"/>
      <c r="K248" s="77"/>
      <c r="L248" s="77"/>
      <c r="M248" s="77"/>
      <c r="N248" s="77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</row>
    <row r="249" spans="1:27" ht="15.75" customHeight="1">
      <c r="A249" s="77"/>
      <c r="B249" s="77"/>
      <c r="C249" s="77"/>
      <c r="D249" s="77"/>
      <c r="E249" s="77"/>
      <c r="F249" s="77"/>
      <c r="G249" s="77"/>
      <c r="H249" s="77"/>
      <c r="I249" s="77"/>
      <c r="J249" s="4"/>
      <c r="K249" s="77"/>
      <c r="L249" s="77"/>
      <c r="M249" s="77"/>
      <c r="N249" s="77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</row>
    <row r="250" spans="1:27" ht="15.75" customHeight="1">
      <c r="A250" s="77"/>
      <c r="B250" s="77"/>
      <c r="C250" s="77"/>
      <c r="D250" s="77"/>
      <c r="E250" s="77"/>
      <c r="F250" s="77"/>
      <c r="G250" s="77"/>
      <c r="H250" s="77"/>
      <c r="I250" s="77"/>
      <c r="J250" s="4"/>
      <c r="K250" s="77"/>
      <c r="L250" s="77"/>
      <c r="M250" s="77"/>
      <c r="N250" s="77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</row>
    <row r="251" spans="1:27" ht="15.75" customHeight="1">
      <c r="A251" s="77"/>
      <c r="B251" s="77"/>
      <c r="C251" s="77"/>
      <c r="D251" s="77"/>
      <c r="E251" s="77"/>
      <c r="F251" s="77"/>
      <c r="G251" s="77"/>
      <c r="H251" s="77"/>
      <c r="I251" s="77"/>
      <c r="J251" s="4"/>
      <c r="K251" s="77"/>
      <c r="L251" s="77"/>
      <c r="M251" s="77"/>
      <c r="N251" s="77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</row>
    <row r="252" spans="1:27" ht="15.75" customHeight="1">
      <c r="A252" s="77"/>
      <c r="B252" s="77"/>
      <c r="C252" s="77"/>
      <c r="D252" s="77"/>
      <c r="E252" s="77"/>
      <c r="F252" s="77"/>
      <c r="G252" s="77"/>
      <c r="H252" s="77"/>
      <c r="I252" s="77"/>
      <c r="J252" s="4"/>
      <c r="K252" s="77"/>
      <c r="L252" s="77"/>
      <c r="M252" s="77"/>
      <c r="N252" s="77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</row>
    <row r="253" spans="1:27" ht="15.75" customHeight="1">
      <c r="A253" s="77"/>
      <c r="B253" s="77"/>
      <c r="C253" s="77"/>
      <c r="D253" s="77"/>
      <c r="E253" s="77"/>
      <c r="F253" s="77"/>
      <c r="G253" s="77"/>
      <c r="H253" s="77"/>
      <c r="I253" s="77"/>
      <c r="J253" s="4"/>
      <c r="K253" s="77"/>
      <c r="L253" s="77"/>
      <c r="M253" s="77"/>
      <c r="N253" s="77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</row>
    <row r="254" spans="1:27" ht="15.75" customHeight="1">
      <c r="A254" s="77"/>
      <c r="B254" s="77"/>
      <c r="C254" s="77"/>
      <c r="D254" s="77"/>
      <c r="E254" s="77"/>
      <c r="F254" s="77"/>
      <c r="G254" s="77"/>
      <c r="H254" s="77"/>
      <c r="I254" s="77"/>
      <c r="J254" s="4"/>
      <c r="K254" s="77"/>
      <c r="L254" s="77"/>
      <c r="M254" s="77"/>
      <c r="N254" s="77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</row>
    <row r="255" spans="1:27" ht="15.75" customHeight="1">
      <c r="A255" s="77"/>
      <c r="B255" s="77"/>
      <c r="C255" s="77"/>
      <c r="D255" s="77"/>
      <c r="E255" s="77"/>
      <c r="F255" s="77"/>
      <c r="G255" s="77"/>
      <c r="H255" s="77"/>
      <c r="I255" s="77"/>
      <c r="J255" s="4"/>
      <c r="K255" s="77"/>
      <c r="L255" s="77"/>
      <c r="M255" s="77"/>
      <c r="N255" s="77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</row>
    <row r="256" spans="1:27" ht="15.75" customHeight="1">
      <c r="A256" s="77"/>
      <c r="B256" s="77"/>
      <c r="C256" s="77"/>
      <c r="D256" s="77"/>
      <c r="E256" s="77"/>
      <c r="F256" s="77"/>
      <c r="G256" s="77"/>
      <c r="H256" s="77"/>
      <c r="I256" s="77"/>
      <c r="J256" s="4"/>
      <c r="K256" s="77"/>
      <c r="L256" s="77"/>
      <c r="M256" s="77"/>
      <c r="N256" s="77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</row>
    <row r="257" spans="1:27" ht="15.75" customHeight="1">
      <c r="A257" s="77"/>
      <c r="B257" s="77"/>
      <c r="C257" s="77"/>
      <c r="D257" s="77"/>
      <c r="E257" s="77"/>
      <c r="F257" s="77"/>
      <c r="G257" s="77"/>
      <c r="H257" s="77"/>
      <c r="I257" s="77"/>
      <c r="J257" s="4"/>
      <c r="K257" s="77"/>
      <c r="L257" s="77"/>
      <c r="M257" s="77"/>
      <c r="N257" s="77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</row>
    <row r="258" spans="1:27" ht="15.75" customHeight="1">
      <c r="A258" s="77"/>
      <c r="B258" s="77"/>
      <c r="C258" s="77"/>
      <c r="D258" s="77"/>
      <c r="E258" s="77"/>
      <c r="F258" s="77"/>
      <c r="G258" s="77"/>
      <c r="H258" s="77"/>
      <c r="I258" s="77"/>
      <c r="J258" s="4"/>
      <c r="K258" s="77"/>
      <c r="L258" s="77"/>
      <c r="M258" s="77"/>
      <c r="N258" s="77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</row>
    <row r="259" spans="1:27" ht="15.75" customHeight="1">
      <c r="A259" s="77"/>
      <c r="B259" s="77"/>
      <c r="C259" s="77"/>
      <c r="D259" s="77"/>
      <c r="E259" s="77"/>
      <c r="F259" s="77"/>
      <c r="G259" s="77"/>
      <c r="H259" s="77"/>
      <c r="I259" s="77"/>
      <c r="J259" s="4"/>
      <c r="K259" s="77"/>
      <c r="L259" s="77"/>
      <c r="M259" s="77"/>
      <c r="N259" s="77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</row>
    <row r="260" spans="1:27" ht="15.75" customHeight="1">
      <c r="A260" s="77"/>
      <c r="B260" s="77"/>
      <c r="C260" s="77"/>
      <c r="D260" s="77"/>
      <c r="E260" s="77"/>
      <c r="F260" s="77"/>
      <c r="G260" s="77"/>
      <c r="H260" s="77"/>
      <c r="I260" s="77"/>
      <c r="J260" s="4"/>
      <c r="K260" s="77"/>
      <c r="L260" s="77"/>
      <c r="M260" s="77"/>
      <c r="N260" s="77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</row>
    <row r="261" spans="1:27" ht="15.75" customHeight="1">
      <c r="A261" s="77"/>
      <c r="B261" s="77"/>
      <c r="C261" s="77"/>
      <c r="D261" s="77"/>
      <c r="E261" s="77"/>
      <c r="F261" s="77"/>
      <c r="G261" s="77"/>
      <c r="H261" s="77"/>
      <c r="I261" s="77"/>
      <c r="J261" s="4"/>
      <c r="K261" s="77"/>
      <c r="L261" s="77"/>
      <c r="M261" s="77"/>
      <c r="N261" s="77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</row>
    <row r="262" spans="1:27" ht="15.75" customHeight="1">
      <c r="A262" s="77"/>
      <c r="B262" s="77"/>
      <c r="C262" s="77"/>
      <c r="D262" s="77"/>
      <c r="E262" s="77"/>
      <c r="F262" s="77"/>
      <c r="G262" s="77"/>
      <c r="H262" s="77"/>
      <c r="I262" s="77"/>
      <c r="J262" s="4"/>
      <c r="K262" s="77"/>
      <c r="L262" s="77"/>
      <c r="M262" s="77"/>
      <c r="N262" s="77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</row>
    <row r="263" spans="1:27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</row>
    <row r="264" spans="1:27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</row>
    <row r="265" spans="1:27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</row>
    <row r="266" spans="1:27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</row>
    <row r="267" spans="1:2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</row>
    <row r="268" spans="1:27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</row>
    <row r="269" spans="1:27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</row>
    <row r="270" spans="1:27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</row>
    <row r="271" spans="1:27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</row>
    <row r="272" spans="1:27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</row>
    <row r="273" spans="1:27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</row>
    <row r="274" spans="1:27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</row>
    <row r="275" spans="1:27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</row>
    <row r="276" spans="1:27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</row>
    <row r="277" spans="1:2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</row>
    <row r="278" spans="1:27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</row>
    <row r="279" spans="1:27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</row>
    <row r="280" spans="1:27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</row>
    <row r="281" spans="1:27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</row>
    <row r="282" spans="1:27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</row>
    <row r="283" spans="1:27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</row>
    <row r="284" spans="1:27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</row>
    <row r="285" spans="1:27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</row>
    <row r="286" spans="1:27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</row>
    <row r="287" spans="1:2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</row>
    <row r="288" spans="1:27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</row>
    <row r="289" spans="1:27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</row>
    <row r="290" spans="1:27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</row>
    <row r="291" spans="1:27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</row>
    <row r="292" spans="1:27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</row>
    <row r="293" spans="1:27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</row>
    <row r="294" spans="1:27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</row>
    <row r="295" spans="1:27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</row>
    <row r="296" spans="1:27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</row>
    <row r="297" spans="1:2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</row>
    <row r="298" spans="1:27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</row>
    <row r="299" spans="1:27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</row>
    <row r="300" spans="1:27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</row>
    <row r="301" spans="1:27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</row>
    <row r="302" spans="1:27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</row>
    <row r="303" spans="1:27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</row>
    <row r="304" spans="1:27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</row>
    <row r="305" spans="1:27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</row>
    <row r="306" spans="1:27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</row>
    <row r="307" spans="1:2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</row>
    <row r="308" spans="1:27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</row>
    <row r="309" spans="1:27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</row>
    <row r="310" spans="1:27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</row>
    <row r="311" spans="1:27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</row>
    <row r="312" spans="1:27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</row>
    <row r="313" spans="1:27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</row>
    <row r="314" spans="1:27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</row>
    <row r="315" spans="1:27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</row>
    <row r="316" spans="1:27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</row>
    <row r="317" spans="1:2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</row>
    <row r="318" spans="1:27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</row>
    <row r="319" spans="1:27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</row>
    <row r="320" spans="1:27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</row>
    <row r="321" spans="1:27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</row>
    <row r="322" spans="1:27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</row>
    <row r="323" spans="1:27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</row>
    <row r="324" spans="1:27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</row>
    <row r="325" spans="1:27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</row>
    <row r="326" spans="1:27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</row>
    <row r="327" spans="1: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</row>
    <row r="328" spans="1:27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</row>
    <row r="329" spans="1:27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</row>
    <row r="330" spans="1:27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</row>
    <row r="331" spans="1:27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</row>
    <row r="332" spans="1:27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</row>
    <row r="333" spans="1:27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</row>
    <row r="334" spans="1:27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</row>
    <row r="335" spans="1:27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</row>
    <row r="336" spans="1:27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</row>
    <row r="337" spans="1:2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</row>
    <row r="338" spans="1:27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</row>
    <row r="339" spans="1:27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</row>
    <row r="340" spans="1:27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</row>
    <row r="341" spans="1:27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</row>
    <row r="342" spans="1:27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</row>
    <row r="343" spans="1:27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</row>
    <row r="344" spans="1:27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</row>
    <row r="345" spans="1:27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</row>
    <row r="346" spans="1:27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</row>
    <row r="347" spans="1:2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</row>
    <row r="348" spans="1:27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</row>
    <row r="349" spans="1:27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</row>
    <row r="350" spans="1:27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</row>
    <row r="351" spans="1:27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</row>
    <row r="352" spans="1:27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</row>
    <row r="353" spans="1:27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</row>
    <row r="354" spans="1:27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</row>
    <row r="355" spans="1:27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</row>
    <row r="356" spans="1:27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</row>
    <row r="357" spans="1:2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</row>
    <row r="358" spans="1:27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</row>
    <row r="359" spans="1:27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</row>
    <row r="360" spans="1:27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</row>
    <row r="361" spans="1:27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</row>
    <row r="362" spans="1:27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</row>
    <row r="363" spans="1:27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</row>
    <row r="364" spans="1:27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</row>
    <row r="365" spans="1:27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</row>
    <row r="366" spans="1:27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</row>
    <row r="367" spans="1:2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</row>
    <row r="368" spans="1:27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</row>
    <row r="369" spans="1:27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</row>
    <row r="370" spans="1:27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</row>
    <row r="371" spans="1:27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</row>
    <row r="372" spans="1:27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</row>
    <row r="373" spans="1:27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</row>
    <row r="374" spans="1:27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</row>
    <row r="375" spans="1:27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</row>
    <row r="376" spans="1:27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</row>
    <row r="377" spans="1:2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</row>
    <row r="378" spans="1:27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</row>
    <row r="379" spans="1:27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</row>
    <row r="380" spans="1:27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</row>
    <row r="381" spans="1:27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</row>
    <row r="382" spans="1:27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</row>
    <row r="383" spans="1:27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</row>
    <row r="384" spans="1:27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</row>
    <row r="385" spans="1:27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</row>
    <row r="386" spans="1:27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</row>
    <row r="387" spans="1:2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</row>
    <row r="388" spans="1:27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</row>
    <row r="389" spans="1:27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</row>
    <row r="390" spans="1:27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</row>
    <row r="391" spans="1:27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</row>
    <row r="392" spans="1:27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</row>
    <row r="393" spans="1:27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</row>
    <row r="394" spans="1:27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</row>
    <row r="395" spans="1:27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</row>
    <row r="396" spans="1:27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</row>
    <row r="397" spans="1:2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</row>
    <row r="398" spans="1:27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</row>
    <row r="399" spans="1:27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</row>
    <row r="400" spans="1:27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</row>
    <row r="401" spans="1:27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</row>
    <row r="402" spans="1:27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</row>
    <row r="403" spans="1:27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</row>
    <row r="404" spans="1:27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</row>
    <row r="405" spans="1:27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</row>
    <row r="406" spans="1:27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</row>
    <row r="407" spans="1:2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</row>
    <row r="408" spans="1:27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</row>
    <row r="409" spans="1:27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</row>
    <row r="410" spans="1:27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</row>
    <row r="411" spans="1:27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</row>
    <row r="412" spans="1:27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</row>
    <row r="413" spans="1:27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</row>
    <row r="414" spans="1:27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</row>
    <row r="415" spans="1:27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</row>
    <row r="416" spans="1:27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</row>
    <row r="417" spans="1:2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</row>
    <row r="418" spans="1:27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</row>
    <row r="419" spans="1:27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</row>
    <row r="420" spans="1:27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</row>
    <row r="421" spans="1:27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</row>
    <row r="422" spans="1:27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</row>
    <row r="423" spans="1:27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</row>
    <row r="424" spans="1:27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</row>
    <row r="425" spans="1:27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</row>
    <row r="426" spans="1:27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</row>
    <row r="427" spans="1: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</row>
    <row r="428" spans="1:27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</row>
    <row r="429" spans="1:27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</row>
    <row r="430" spans="1:27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</row>
    <row r="431" spans="1:27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</row>
    <row r="432" spans="1:27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</row>
    <row r="433" spans="1:27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</row>
    <row r="434" spans="1:27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</row>
    <row r="435" spans="1:27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</row>
    <row r="436" spans="1:27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</row>
    <row r="437" spans="1:2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</row>
    <row r="438" spans="1:27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</row>
    <row r="439" spans="1:27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</row>
    <row r="440" spans="1:27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</row>
    <row r="441" spans="1:27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</row>
    <row r="442" spans="1:27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</row>
    <row r="443" spans="1:27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</row>
    <row r="444" spans="1:27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</row>
    <row r="445" spans="1:27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</row>
    <row r="446" spans="1:27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</row>
    <row r="447" spans="1:2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</row>
    <row r="448" spans="1:27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</row>
    <row r="449" spans="1:27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</row>
    <row r="450" spans="1:27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</row>
    <row r="451" spans="1:27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</row>
    <row r="452" spans="1:27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</row>
    <row r="453" spans="1:27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</row>
    <row r="454" spans="1:27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</row>
    <row r="455" spans="1:27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</row>
    <row r="456" spans="1:27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</row>
    <row r="457" spans="1:2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</row>
    <row r="458" spans="1:27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</row>
    <row r="459" spans="1:27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</row>
    <row r="460" spans="1:27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</row>
    <row r="461" spans="1:27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</row>
    <row r="462" spans="1:27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</row>
    <row r="463" spans="1:27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</row>
    <row r="464" spans="1:27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</row>
    <row r="465" spans="1:27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</row>
    <row r="466" spans="1:27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</row>
    <row r="467" spans="1:2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</row>
    <row r="468" spans="1:27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</row>
    <row r="469" spans="1:27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</row>
    <row r="470" spans="1:27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</row>
    <row r="471" spans="1:27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</row>
    <row r="472" spans="1:27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</row>
    <row r="473" spans="1:27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</row>
    <row r="474" spans="1:27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</row>
    <row r="475" spans="1:27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</row>
    <row r="476" spans="1:27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</row>
    <row r="477" spans="1:2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</row>
    <row r="478" spans="1:27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</row>
    <row r="479" spans="1:27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</row>
    <row r="480" spans="1:27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</row>
    <row r="481" spans="1:27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</row>
    <row r="482" spans="1:27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</row>
    <row r="483" spans="1:27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</row>
    <row r="484" spans="1:27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</row>
    <row r="485" spans="1:27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</row>
    <row r="486" spans="1:27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</row>
    <row r="487" spans="1:2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</row>
    <row r="488" spans="1:27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</row>
    <row r="489" spans="1:27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</row>
    <row r="490" spans="1:27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</row>
    <row r="491" spans="1:27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</row>
    <row r="492" spans="1:27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</row>
    <row r="493" spans="1:27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</row>
    <row r="494" spans="1:27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</row>
    <row r="495" spans="1:27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</row>
    <row r="496" spans="1:27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</row>
    <row r="497" spans="1:2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</row>
    <row r="498" spans="1:27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</row>
    <row r="499" spans="1:27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</row>
    <row r="500" spans="1:27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</row>
    <row r="501" spans="1:27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</row>
    <row r="502" spans="1:27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</row>
    <row r="503" spans="1:27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</row>
    <row r="504" spans="1:27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</row>
    <row r="505" spans="1:27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</row>
    <row r="506" spans="1:27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</row>
    <row r="507" spans="1:2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</row>
    <row r="508" spans="1:27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</row>
    <row r="509" spans="1:27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</row>
    <row r="510" spans="1:27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</row>
    <row r="511" spans="1:27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</row>
    <row r="512" spans="1:27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</row>
    <row r="513" spans="1:27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</row>
    <row r="514" spans="1:27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</row>
    <row r="515" spans="1:27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</row>
    <row r="516" spans="1:27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</row>
    <row r="517" spans="1:2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</row>
    <row r="518" spans="1:27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</row>
    <row r="519" spans="1:27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</row>
    <row r="520" spans="1:27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</row>
    <row r="521" spans="1:27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</row>
    <row r="522" spans="1:27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</row>
    <row r="523" spans="1:27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</row>
    <row r="524" spans="1:27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</row>
    <row r="525" spans="1:27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</row>
    <row r="526" spans="1:27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</row>
    <row r="527" spans="1: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</row>
    <row r="528" spans="1:27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</row>
    <row r="529" spans="1:27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</row>
    <row r="530" spans="1:27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</row>
    <row r="531" spans="1:27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</row>
    <row r="532" spans="1:27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</row>
    <row r="533" spans="1:27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</row>
    <row r="534" spans="1:27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</row>
    <row r="535" spans="1:27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</row>
    <row r="536" spans="1:27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</row>
    <row r="537" spans="1:2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</row>
    <row r="538" spans="1:27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</row>
    <row r="539" spans="1:27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</row>
    <row r="540" spans="1:27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</row>
    <row r="541" spans="1:27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</row>
    <row r="542" spans="1:27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</row>
    <row r="543" spans="1:27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</row>
    <row r="544" spans="1:27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</row>
    <row r="545" spans="1:27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</row>
    <row r="546" spans="1:27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</row>
    <row r="547" spans="1:2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</row>
    <row r="548" spans="1:27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</row>
    <row r="549" spans="1:27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</row>
    <row r="550" spans="1:27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</row>
    <row r="551" spans="1:27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</row>
    <row r="552" spans="1:27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</row>
    <row r="553" spans="1:27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</row>
    <row r="554" spans="1:27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</row>
    <row r="555" spans="1:27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</row>
    <row r="556" spans="1:27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</row>
    <row r="557" spans="1:2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</row>
    <row r="558" spans="1:27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</row>
    <row r="559" spans="1:27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</row>
    <row r="560" spans="1:27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</row>
    <row r="561" spans="1:27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</row>
    <row r="562" spans="1:27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</row>
    <row r="563" spans="1:27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</row>
    <row r="564" spans="1:27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</row>
    <row r="565" spans="1:27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</row>
    <row r="566" spans="1:27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</row>
    <row r="567" spans="1:2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</row>
    <row r="568" spans="1:27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</row>
    <row r="569" spans="1:27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</row>
    <row r="570" spans="1:27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</row>
    <row r="571" spans="1:27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</row>
    <row r="572" spans="1:27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</row>
    <row r="573" spans="1:27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</row>
    <row r="574" spans="1:27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</row>
    <row r="575" spans="1:27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</row>
    <row r="576" spans="1:27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</row>
    <row r="577" spans="1:2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</row>
    <row r="578" spans="1:27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</row>
    <row r="579" spans="1:27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</row>
    <row r="580" spans="1:27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</row>
    <row r="581" spans="1:27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</row>
    <row r="582" spans="1:27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</row>
    <row r="583" spans="1:27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</row>
    <row r="584" spans="1:27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</row>
    <row r="585" spans="1:27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</row>
    <row r="586" spans="1:27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</row>
    <row r="587" spans="1:2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</row>
    <row r="588" spans="1:27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</row>
    <row r="589" spans="1:27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</row>
    <row r="590" spans="1:27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</row>
    <row r="591" spans="1:27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</row>
    <row r="592" spans="1:27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</row>
    <row r="593" spans="1:27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</row>
    <row r="594" spans="1:27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</row>
    <row r="595" spans="1:27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</row>
    <row r="596" spans="1:27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</row>
    <row r="597" spans="1:2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</row>
    <row r="598" spans="1:27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</row>
    <row r="599" spans="1:27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</row>
    <row r="600" spans="1:27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</row>
    <row r="601" spans="1:27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</row>
    <row r="602" spans="1:27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</row>
    <row r="603" spans="1:27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</row>
    <row r="604" spans="1:27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</row>
    <row r="605" spans="1:27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</row>
    <row r="606" spans="1:27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</row>
    <row r="607" spans="1:2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</row>
    <row r="608" spans="1:27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</row>
    <row r="609" spans="1:27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</row>
    <row r="610" spans="1:27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</row>
    <row r="611" spans="1:27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</row>
    <row r="612" spans="1:27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</row>
    <row r="613" spans="1:27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</row>
    <row r="614" spans="1:27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</row>
    <row r="615" spans="1:27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</row>
    <row r="616" spans="1:27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</row>
    <row r="617" spans="1:2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</row>
    <row r="618" spans="1:27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</row>
    <row r="619" spans="1:27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</row>
    <row r="620" spans="1:27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</row>
    <row r="621" spans="1:27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</row>
    <row r="622" spans="1:27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</row>
    <row r="623" spans="1:27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</row>
    <row r="624" spans="1:27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</row>
    <row r="625" spans="1:27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</row>
    <row r="626" spans="1:27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</row>
    <row r="627" spans="1: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</row>
    <row r="628" spans="1:27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</row>
    <row r="629" spans="1:27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</row>
    <row r="630" spans="1:27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</row>
    <row r="631" spans="1:27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</row>
    <row r="632" spans="1:27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</row>
    <row r="633" spans="1:27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</row>
    <row r="634" spans="1:27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</row>
    <row r="635" spans="1:27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</row>
    <row r="636" spans="1:27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</row>
    <row r="637" spans="1:2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</row>
    <row r="638" spans="1:27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</row>
    <row r="639" spans="1:27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</row>
    <row r="640" spans="1:27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</row>
    <row r="641" spans="1:27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</row>
    <row r="642" spans="1:27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</row>
    <row r="643" spans="1:27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</row>
    <row r="644" spans="1:27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</row>
    <row r="645" spans="1:27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</row>
    <row r="646" spans="1:27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</row>
    <row r="647" spans="1:2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</row>
    <row r="648" spans="1:27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</row>
    <row r="649" spans="1:27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</row>
    <row r="650" spans="1:27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</row>
    <row r="651" spans="1:27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</row>
    <row r="652" spans="1:27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</row>
    <row r="653" spans="1:27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</row>
    <row r="654" spans="1:27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</row>
    <row r="655" spans="1:27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</row>
    <row r="656" spans="1:27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</row>
    <row r="657" spans="1:2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</row>
    <row r="658" spans="1:27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</row>
    <row r="659" spans="1:27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</row>
    <row r="660" spans="1:27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</row>
    <row r="661" spans="1:27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</row>
    <row r="662" spans="1:27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</row>
    <row r="663" spans="1:27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</row>
    <row r="664" spans="1:27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</row>
    <row r="665" spans="1:27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</row>
    <row r="666" spans="1:27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</row>
    <row r="667" spans="1:2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</row>
    <row r="668" spans="1:27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</row>
    <row r="669" spans="1:27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</row>
    <row r="670" spans="1:27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</row>
    <row r="671" spans="1:27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</row>
    <row r="672" spans="1:27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</row>
    <row r="673" spans="1:27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</row>
    <row r="674" spans="1:27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</row>
    <row r="675" spans="1:27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</row>
    <row r="676" spans="1:27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</row>
    <row r="677" spans="1:2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</row>
    <row r="678" spans="1:27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</row>
    <row r="679" spans="1:27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</row>
    <row r="680" spans="1:27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</row>
    <row r="681" spans="1:27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</row>
    <row r="682" spans="1:27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</row>
    <row r="683" spans="1:27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</row>
    <row r="684" spans="1:27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</row>
    <row r="685" spans="1:27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</row>
    <row r="686" spans="1:27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</row>
    <row r="687" spans="1:2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</row>
    <row r="688" spans="1:27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</row>
    <row r="689" spans="1:27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</row>
    <row r="690" spans="1:27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</row>
    <row r="691" spans="1:27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</row>
    <row r="692" spans="1:27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</row>
    <row r="693" spans="1:27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</row>
    <row r="694" spans="1:27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</row>
    <row r="695" spans="1:27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</row>
    <row r="696" spans="1:27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</row>
    <row r="697" spans="1:2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</row>
    <row r="698" spans="1:27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</row>
    <row r="699" spans="1:27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</row>
    <row r="700" spans="1:27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</row>
    <row r="701" spans="1:27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</row>
    <row r="702" spans="1:27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</row>
    <row r="703" spans="1:27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</row>
    <row r="704" spans="1:27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</row>
    <row r="705" spans="1:27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</row>
    <row r="706" spans="1:27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</row>
    <row r="707" spans="1:2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</row>
    <row r="708" spans="1:27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</row>
    <row r="709" spans="1:27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</row>
    <row r="710" spans="1:27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</row>
    <row r="711" spans="1:27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</row>
    <row r="712" spans="1:27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</row>
    <row r="713" spans="1:27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</row>
    <row r="714" spans="1:27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</row>
    <row r="715" spans="1:27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</row>
    <row r="716" spans="1:27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</row>
    <row r="717" spans="1:2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</row>
    <row r="718" spans="1:27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</row>
    <row r="719" spans="1:27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</row>
    <row r="720" spans="1:27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</row>
    <row r="721" spans="1:27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</row>
    <row r="722" spans="1:27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</row>
    <row r="723" spans="1:27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</row>
    <row r="724" spans="1:27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</row>
    <row r="725" spans="1:27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</row>
    <row r="726" spans="1:27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</row>
    <row r="727" spans="1: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</row>
    <row r="728" spans="1:27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</row>
    <row r="729" spans="1:27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</row>
    <row r="730" spans="1:27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</row>
    <row r="731" spans="1:27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</row>
    <row r="732" spans="1:27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</row>
    <row r="733" spans="1:27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</row>
    <row r="734" spans="1:27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</row>
    <row r="735" spans="1:27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</row>
    <row r="736" spans="1:27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</row>
    <row r="737" spans="1:2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</row>
    <row r="738" spans="1:27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</row>
    <row r="739" spans="1:27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</row>
    <row r="740" spans="1:27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</row>
    <row r="741" spans="1:27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</row>
    <row r="742" spans="1:27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</row>
    <row r="743" spans="1:27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</row>
    <row r="744" spans="1:27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</row>
    <row r="745" spans="1:27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</row>
    <row r="746" spans="1:27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</row>
    <row r="747" spans="1:2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</row>
    <row r="748" spans="1:27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</row>
    <row r="749" spans="1:27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</row>
    <row r="750" spans="1:27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</row>
    <row r="751" spans="1:27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</row>
    <row r="752" spans="1:27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</row>
    <row r="753" spans="1:27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</row>
    <row r="754" spans="1:27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</row>
    <row r="755" spans="1:27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</row>
    <row r="756" spans="1:27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</row>
    <row r="757" spans="1:2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</row>
    <row r="758" spans="1:27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</row>
    <row r="759" spans="1:27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</row>
    <row r="760" spans="1:27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</row>
    <row r="761" spans="1:27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</row>
    <row r="762" spans="1:27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</row>
    <row r="763" spans="1:27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</row>
    <row r="764" spans="1:27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</row>
    <row r="765" spans="1:27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</row>
    <row r="766" spans="1:27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</row>
    <row r="767" spans="1:2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</row>
    <row r="768" spans="1:27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</row>
    <row r="769" spans="1:27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</row>
    <row r="770" spans="1:27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</row>
    <row r="771" spans="1:27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</row>
    <row r="772" spans="1:27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</row>
    <row r="773" spans="1:27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</row>
    <row r="774" spans="1:27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</row>
    <row r="775" spans="1:27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</row>
    <row r="776" spans="1:27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</row>
    <row r="777" spans="1:2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</row>
    <row r="778" spans="1:27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</row>
    <row r="779" spans="1:27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</row>
    <row r="780" spans="1:27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</row>
    <row r="781" spans="1:27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</row>
    <row r="782" spans="1:27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</row>
    <row r="783" spans="1:27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</row>
    <row r="784" spans="1:27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</row>
    <row r="785" spans="1:27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</row>
    <row r="786" spans="1:27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</row>
    <row r="787" spans="1:2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</row>
    <row r="788" spans="1:27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</row>
    <row r="789" spans="1:27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</row>
    <row r="790" spans="1:27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</row>
    <row r="791" spans="1:27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</row>
    <row r="792" spans="1:27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</row>
    <row r="793" spans="1:27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</row>
    <row r="794" spans="1:27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</row>
    <row r="795" spans="1:27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</row>
    <row r="796" spans="1:27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</row>
    <row r="797" spans="1:2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</row>
    <row r="798" spans="1:27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</row>
    <row r="799" spans="1:27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</row>
    <row r="800" spans="1:27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</row>
    <row r="801" spans="1:27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</row>
    <row r="802" spans="1:27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</row>
    <row r="803" spans="1:27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</row>
    <row r="804" spans="1:27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</row>
    <row r="805" spans="1:27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</row>
    <row r="806" spans="1:27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</row>
    <row r="807" spans="1:2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</row>
    <row r="808" spans="1:27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</row>
    <row r="809" spans="1:27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</row>
    <row r="810" spans="1:27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</row>
    <row r="811" spans="1:27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</row>
    <row r="812" spans="1:27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</row>
    <row r="813" spans="1:27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</row>
    <row r="814" spans="1:27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</row>
    <row r="815" spans="1:27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</row>
    <row r="816" spans="1:27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</row>
    <row r="817" spans="1:2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</row>
    <row r="818" spans="1:27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</row>
    <row r="819" spans="1:27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</row>
    <row r="820" spans="1:27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</row>
    <row r="821" spans="1:27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</row>
    <row r="822" spans="1:27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</row>
    <row r="823" spans="1:27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</row>
    <row r="824" spans="1:27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</row>
    <row r="825" spans="1:27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</row>
    <row r="826" spans="1:27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</row>
    <row r="827" spans="1: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</row>
    <row r="828" spans="1:27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</row>
    <row r="829" spans="1:27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</row>
    <row r="830" spans="1:27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</row>
    <row r="831" spans="1:27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</row>
    <row r="832" spans="1:27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</row>
    <row r="833" spans="1:27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</row>
    <row r="834" spans="1:27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</row>
    <row r="835" spans="1:27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</row>
    <row r="836" spans="1:27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</row>
    <row r="837" spans="1:2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</row>
    <row r="838" spans="1:27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</row>
    <row r="839" spans="1:27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</row>
    <row r="840" spans="1:27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</row>
    <row r="841" spans="1:27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</row>
    <row r="842" spans="1:27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</row>
    <row r="843" spans="1:27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</row>
    <row r="844" spans="1:27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</row>
    <row r="845" spans="1:27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</row>
    <row r="846" spans="1:27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</row>
    <row r="847" spans="1:2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</row>
    <row r="848" spans="1:27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</row>
    <row r="849" spans="1:27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</row>
    <row r="850" spans="1:27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</row>
    <row r="851" spans="1:27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</row>
    <row r="852" spans="1:27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</row>
    <row r="853" spans="1:27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</row>
    <row r="854" spans="1:27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</row>
    <row r="855" spans="1:27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</row>
    <row r="856" spans="1:27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</row>
    <row r="857" spans="1:2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</row>
    <row r="858" spans="1:27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</row>
    <row r="859" spans="1:27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</row>
    <row r="860" spans="1:27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</row>
    <row r="861" spans="1:27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</row>
    <row r="862" spans="1:27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</row>
    <row r="863" spans="1:27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</row>
    <row r="864" spans="1:27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</row>
    <row r="865" spans="1:27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</row>
    <row r="866" spans="1:27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</row>
    <row r="867" spans="1:2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</row>
    <row r="868" spans="1:27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</row>
    <row r="869" spans="1:27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</row>
    <row r="870" spans="1:27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</row>
    <row r="871" spans="1:27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</row>
    <row r="872" spans="1:27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</row>
    <row r="873" spans="1:27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</row>
    <row r="874" spans="1:27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</row>
    <row r="875" spans="1:27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</row>
    <row r="876" spans="1:27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</row>
    <row r="877" spans="1:2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</row>
    <row r="878" spans="1:27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</row>
    <row r="879" spans="1:27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</row>
    <row r="880" spans="1:27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</row>
    <row r="881" spans="1:27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</row>
    <row r="882" spans="1:27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</row>
    <row r="883" spans="1:27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</row>
    <row r="884" spans="1:27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</row>
    <row r="885" spans="1:27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</row>
    <row r="886" spans="1:27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</row>
    <row r="887" spans="1:2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</row>
    <row r="888" spans="1:27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</row>
    <row r="889" spans="1:27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</row>
    <row r="890" spans="1:27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</row>
    <row r="891" spans="1:27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</row>
    <row r="892" spans="1:27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</row>
    <row r="893" spans="1:27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</row>
    <row r="894" spans="1:27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</row>
    <row r="895" spans="1:27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</row>
    <row r="896" spans="1:27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</row>
    <row r="897" spans="1:2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</row>
    <row r="898" spans="1:27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</row>
    <row r="899" spans="1:27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</row>
    <row r="900" spans="1:27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</row>
    <row r="901" spans="1:27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</row>
    <row r="902" spans="1:27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</row>
    <row r="903" spans="1:27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</row>
    <row r="904" spans="1:27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</row>
    <row r="905" spans="1:27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</row>
    <row r="906" spans="1:27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</row>
    <row r="907" spans="1:2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</row>
    <row r="908" spans="1:27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</row>
    <row r="909" spans="1:27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</row>
    <row r="910" spans="1:27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</row>
    <row r="911" spans="1:27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</row>
    <row r="912" spans="1:27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</row>
    <row r="913" spans="1:27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</row>
    <row r="914" spans="1:27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</row>
    <row r="915" spans="1:27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</row>
    <row r="916" spans="1:27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</row>
    <row r="917" spans="1:2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</row>
    <row r="918" spans="1:27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</row>
    <row r="919" spans="1:27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</row>
    <row r="920" spans="1:27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</row>
    <row r="921" spans="1:27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</row>
    <row r="922" spans="1:27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</row>
    <row r="923" spans="1:27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</row>
    <row r="924" spans="1:27" ht="15.75" customHeight="1"/>
    <row r="925" spans="1:27" ht="15.75" customHeight="1"/>
    <row r="926" spans="1:27" ht="15.75" customHeight="1"/>
    <row r="927" spans="1:27" ht="15.75" customHeight="1"/>
    <row r="928" spans="1:27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DABB1-DB57-AD41-ACE9-895DC7FCEC35}">
  <sheetPr codeName="Sheet8"/>
  <dimension ref="A1:X5"/>
  <sheetViews>
    <sheetView zoomScaleNormal="100" workbookViewId="0">
      <selection activeCell="B2" sqref="B2"/>
    </sheetView>
  </sheetViews>
  <sheetFormatPr baseColWidth="10" defaultRowHeight="16"/>
  <cols>
    <col min="1" max="1" width="26.28515625" customWidth="1"/>
    <col min="2" max="2" width="22.5703125" customWidth="1"/>
    <col min="4" max="4" width="22.28515625" customWidth="1"/>
    <col min="6" max="6" width="20" customWidth="1"/>
    <col min="8" max="8" width="23.5703125" customWidth="1"/>
    <col min="11" max="11" width="16.5703125" customWidth="1"/>
    <col min="12" max="12" width="27.28515625" customWidth="1"/>
    <col min="13" max="13" width="20.28515625" customWidth="1"/>
    <col min="14" max="14" width="19.7109375" customWidth="1"/>
    <col min="15" max="15" width="20.85546875" customWidth="1"/>
    <col min="16" max="16" width="19.42578125" customWidth="1"/>
    <col min="17" max="17" width="19.28515625" customWidth="1"/>
    <col min="18" max="18" width="18.7109375" customWidth="1"/>
    <col min="19" max="19" width="18.28515625" customWidth="1"/>
    <col min="20" max="20" width="17.5703125" customWidth="1"/>
    <col min="21" max="21" width="31" customWidth="1"/>
    <col min="24" max="24" width="21.85546875" customWidth="1"/>
  </cols>
  <sheetData>
    <row r="1" spans="1:24" s="92" customFormat="1" ht="24" customHeight="1">
      <c r="A1" s="92" t="s">
        <v>282</v>
      </c>
      <c r="B1" s="92" t="s">
        <v>283</v>
      </c>
      <c r="C1" s="92" t="s">
        <v>284</v>
      </c>
      <c r="D1" s="92" t="s">
        <v>285</v>
      </c>
      <c r="E1" s="92" t="s">
        <v>286</v>
      </c>
      <c r="F1" s="92" t="s">
        <v>287</v>
      </c>
      <c r="G1" s="92" t="s">
        <v>288</v>
      </c>
      <c r="H1" s="92" t="s">
        <v>289</v>
      </c>
      <c r="I1" s="92" t="s">
        <v>290</v>
      </c>
      <c r="J1" s="92" t="s">
        <v>291</v>
      </c>
      <c r="K1" s="92" t="s">
        <v>292</v>
      </c>
      <c r="L1" s="92" t="s">
        <v>293</v>
      </c>
      <c r="M1" s="92" t="s">
        <v>294</v>
      </c>
      <c r="N1" s="92" t="s">
        <v>295</v>
      </c>
      <c r="O1" s="92" t="s">
        <v>296</v>
      </c>
      <c r="P1" s="92" t="s">
        <v>297</v>
      </c>
      <c r="Q1" s="92" t="s">
        <v>298</v>
      </c>
      <c r="R1" s="92" t="s">
        <v>299</v>
      </c>
      <c r="S1" s="92" t="s">
        <v>300</v>
      </c>
      <c r="T1" s="92" t="s">
        <v>301</v>
      </c>
      <c r="U1" s="92" t="s">
        <v>302</v>
      </c>
      <c r="V1" s="92" t="s">
        <v>303</v>
      </c>
      <c r="W1" s="92" t="s">
        <v>304</v>
      </c>
      <c r="X1" s="92" t="s">
        <v>305</v>
      </c>
    </row>
    <row r="2" spans="1:24">
      <c r="B2" s="78"/>
      <c r="E2" s="78"/>
      <c r="F2" s="78"/>
      <c r="G2" s="78"/>
    </row>
    <row r="5" spans="1:24">
      <c r="B5" s="7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15983-0762-564E-AF52-C68A6F4F4425}">
  <sheetPr codeName="Sheet7"/>
  <dimension ref="A1:AA992"/>
  <sheetViews>
    <sheetView topLeftCell="A46" workbookViewId="0">
      <selection activeCell="B244" sqref="B244"/>
    </sheetView>
  </sheetViews>
  <sheetFormatPr baseColWidth="10" defaultColWidth="11.28515625" defaultRowHeight="15" customHeight="1"/>
  <cols>
    <col min="1" max="1" width="36.5703125" customWidth="1"/>
    <col min="2" max="2" width="21.7109375" customWidth="1"/>
    <col min="3" max="3" width="16.140625" customWidth="1"/>
    <col min="4" max="4" width="18.85546875" customWidth="1"/>
    <col min="5" max="5" width="28.42578125" customWidth="1"/>
    <col min="6" max="6" width="21" customWidth="1"/>
    <col min="7" max="7" width="15" customWidth="1"/>
    <col min="8" max="8" width="20.5703125" customWidth="1"/>
    <col min="9" max="9" width="22.5703125" customWidth="1"/>
    <col min="10" max="10" width="12.85546875" customWidth="1"/>
    <col min="11" max="11" width="10.5703125" customWidth="1"/>
    <col min="12" max="12" width="24.28515625" customWidth="1"/>
    <col min="13" max="25" width="10.5703125" customWidth="1"/>
  </cols>
  <sheetData>
    <row r="1" spans="1:25" s="71" customFormat="1" ht="63.75" customHeight="1">
      <c r="A1" s="72" t="s">
        <v>1</v>
      </c>
      <c r="B1" s="72" t="s">
        <v>59</v>
      </c>
      <c r="C1" s="72" t="s">
        <v>61</v>
      </c>
      <c r="D1" s="72" t="s">
        <v>269</v>
      </c>
      <c r="E1" s="72" t="s">
        <v>270</v>
      </c>
      <c r="F1" s="72" t="s">
        <v>52</v>
      </c>
      <c r="G1" s="72" t="s">
        <v>55</v>
      </c>
      <c r="H1" s="72" t="s">
        <v>63</v>
      </c>
      <c r="I1" s="72" t="s">
        <v>62</v>
      </c>
      <c r="J1" s="72" t="s">
        <v>271</v>
      </c>
      <c r="K1" s="72" t="s">
        <v>272</v>
      </c>
      <c r="L1" s="72" t="s">
        <v>273</v>
      </c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</row>
    <row r="2" spans="1:25" ht="15.75" customHeight="1">
      <c r="A2" s="80" t="s">
        <v>8</v>
      </c>
      <c r="B2" s="80">
        <v>0</v>
      </c>
      <c r="C2" s="81">
        <v>0</v>
      </c>
      <c r="D2" s="82">
        <v>0</v>
      </c>
      <c r="E2" s="80">
        <v>0</v>
      </c>
      <c r="F2" s="82">
        <v>0</v>
      </c>
      <c r="G2" s="82">
        <v>0</v>
      </c>
      <c r="H2" s="82">
        <v>0</v>
      </c>
      <c r="I2" s="82">
        <v>0</v>
      </c>
      <c r="J2" s="82">
        <v>0</v>
      </c>
      <c r="K2" s="82">
        <v>0</v>
      </c>
      <c r="L2" s="82">
        <v>0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ht="15.75" customHeight="1">
      <c r="A3" s="4" t="s">
        <v>274</v>
      </c>
      <c r="B3" s="4">
        <v>0</v>
      </c>
      <c r="C3" s="58">
        <v>0</v>
      </c>
      <c r="D3" s="4">
        <v>0</v>
      </c>
      <c r="E3" s="4">
        <v>0</v>
      </c>
      <c r="F3" s="9">
        <v>0</v>
      </c>
      <c r="G3" s="58">
        <v>0</v>
      </c>
      <c r="H3" s="58">
        <v>0</v>
      </c>
      <c r="I3" s="4">
        <v>0</v>
      </c>
      <c r="J3" s="58">
        <v>0</v>
      </c>
      <c r="K3" s="58">
        <v>0</v>
      </c>
      <c r="L3" s="4">
        <v>0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ht="15.75" customHeight="1">
      <c r="A4" s="4" t="s">
        <v>275</v>
      </c>
      <c r="B4" s="4">
        <v>0</v>
      </c>
      <c r="C4" s="58">
        <v>0</v>
      </c>
      <c r="D4" s="4">
        <v>0</v>
      </c>
      <c r="E4" s="4">
        <v>0</v>
      </c>
      <c r="F4" s="4">
        <v>0</v>
      </c>
      <c r="G4" s="57">
        <v>0</v>
      </c>
      <c r="H4" s="58">
        <v>0</v>
      </c>
      <c r="I4" s="4">
        <v>0</v>
      </c>
      <c r="J4" s="58">
        <v>0</v>
      </c>
      <c r="K4" s="58">
        <v>0</v>
      </c>
      <c r="L4" s="4">
        <v>0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ht="15.75" customHeight="1">
      <c r="A5" s="4" t="s">
        <v>276</v>
      </c>
      <c r="B5" s="4">
        <v>0</v>
      </c>
      <c r="C5" s="58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58">
        <v>0</v>
      </c>
      <c r="K5" s="58">
        <v>0</v>
      </c>
      <c r="L5" s="4">
        <v>0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ht="15.75" customHeight="1">
      <c r="A6" s="4" t="s">
        <v>277</v>
      </c>
      <c r="B6" s="4">
        <v>0</v>
      </c>
      <c r="C6" s="58">
        <v>0</v>
      </c>
      <c r="D6" s="4">
        <v>0</v>
      </c>
      <c r="E6" s="4">
        <v>0</v>
      </c>
      <c r="F6" s="4">
        <v>0</v>
      </c>
      <c r="G6" s="4">
        <v>0</v>
      </c>
      <c r="H6" s="58">
        <v>0</v>
      </c>
      <c r="I6" s="58">
        <v>0</v>
      </c>
      <c r="J6" s="4">
        <v>0</v>
      </c>
      <c r="K6" s="4">
        <v>0</v>
      </c>
      <c r="L6" s="58">
        <v>0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5" ht="15.75" customHeight="1">
      <c r="A7" s="4" t="s">
        <v>278</v>
      </c>
      <c r="B7" s="58">
        <v>0</v>
      </c>
      <c r="C7" s="57">
        <v>0</v>
      </c>
      <c r="D7" s="4">
        <v>0</v>
      </c>
      <c r="E7" s="4">
        <v>0</v>
      </c>
      <c r="F7" s="58">
        <v>0</v>
      </c>
      <c r="G7" s="58">
        <v>0</v>
      </c>
      <c r="H7" s="58">
        <v>0</v>
      </c>
      <c r="I7" s="58">
        <v>0</v>
      </c>
      <c r="J7" s="4">
        <v>0</v>
      </c>
      <c r="K7" s="4">
        <v>0</v>
      </c>
      <c r="L7" s="4">
        <v>0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spans="1:25" ht="15.75" customHeight="1">
      <c r="A8" s="4" t="s">
        <v>279</v>
      </c>
      <c r="B8" s="58">
        <v>0</v>
      </c>
      <c r="C8" s="58">
        <v>0</v>
      </c>
      <c r="D8" s="4">
        <v>0</v>
      </c>
      <c r="E8" s="4">
        <v>0</v>
      </c>
      <c r="F8" s="57">
        <v>0</v>
      </c>
      <c r="G8" s="58">
        <v>0</v>
      </c>
      <c r="H8" s="58">
        <v>0</v>
      </c>
      <c r="I8" s="4">
        <v>0</v>
      </c>
      <c r="J8" s="58">
        <v>0</v>
      </c>
      <c r="K8" s="58">
        <v>0</v>
      </c>
      <c r="L8" s="4">
        <v>0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5" ht="15.75" customHeight="1">
      <c r="A9" s="4" t="s">
        <v>280</v>
      </c>
      <c r="B9" s="58">
        <v>0</v>
      </c>
      <c r="C9" s="58">
        <v>0</v>
      </c>
      <c r="D9" s="4">
        <v>0</v>
      </c>
      <c r="E9" s="4">
        <v>0</v>
      </c>
      <c r="F9" s="4">
        <v>0</v>
      </c>
      <c r="G9" s="58">
        <v>0</v>
      </c>
      <c r="H9" s="58">
        <v>0</v>
      </c>
      <c r="I9" s="4">
        <v>0</v>
      </c>
      <c r="J9" s="58">
        <v>0</v>
      </c>
      <c r="K9" s="58">
        <v>0</v>
      </c>
      <c r="L9" s="4">
        <v>0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5" ht="15.75" customHeight="1">
      <c r="A10" s="4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56">
        <v>0</v>
      </c>
      <c r="J10" s="4">
        <v>0</v>
      </c>
      <c r="K10" s="4">
        <v>0</v>
      </c>
      <c r="L10" s="4">
        <v>0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ht="15.75" customHeight="1">
      <c r="A11" s="80" t="s">
        <v>11</v>
      </c>
      <c r="B11" s="80">
        <v>0</v>
      </c>
      <c r="C11" s="82">
        <v>0</v>
      </c>
      <c r="D11" s="80">
        <v>0</v>
      </c>
      <c r="E11" s="80">
        <v>0</v>
      </c>
      <c r="F11" s="80">
        <v>0</v>
      </c>
      <c r="G11" s="82">
        <v>0</v>
      </c>
      <c r="H11" s="82">
        <v>0</v>
      </c>
      <c r="I11" s="80">
        <v>0</v>
      </c>
      <c r="J11" s="82">
        <v>0</v>
      </c>
      <c r="K11" s="82">
        <v>0</v>
      </c>
      <c r="L11" s="80">
        <v>0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spans="1:25" ht="15.75" customHeight="1">
      <c r="A12" s="4" t="s">
        <v>274</v>
      </c>
      <c r="B12" s="4">
        <v>0</v>
      </c>
      <c r="C12" s="58">
        <v>0</v>
      </c>
      <c r="D12" s="4">
        <v>0</v>
      </c>
      <c r="E12" s="4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4">
        <v>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ht="15.75" customHeight="1">
      <c r="A13" s="4" t="s">
        <v>275</v>
      </c>
      <c r="B13" s="58">
        <v>0</v>
      </c>
      <c r="C13" s="58">
        <v>0</v>
      </c>
      <c r="D13" s="4">
        <v>0</v>
      </c>
      <c r="E13" s="4">
        <v>0</v>
      </c>
      <c r="F13" s="4">
        <v>0</v>
      </c>
      <c r="G13" s="58">
        <v>0</v>
      </c>
      <c r="H13" s="58">
        <v>0</v>
      </c>
      <c r="I13" s="4">
        <v>0</v>
      </c>
      <c r="J13" s="58">
        <v>0</v>
      </c>
      <c r="K13" s="58">
        <v>0</v>
      </c>
      <c r="L13" s="4">
        <v>0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5" ht="15.75" customHeight="1">
      <c r="A14" s="4" t="s">
        <v>276</v>
      </c>
      <c r="B14" s="4">
        <v>0</v>
      </c>
      <c r="C14" s="58">
        <v>0</v>
      </c>
      <c r="D14" s="4">
        <v>0</v>
      </c>
      <c r="E14" s="4">
        <v>0</v>
      </c>
      <c r="F14" s="4">
        <v>0</v>
      </c>
      <c r="G14" s="58">
        <v>0</v>
      </c>
      <c r="H14" s="58">
        <v>0</v>
      </c>
      <c r="I14" s="4">
        <v>0</v>
      </c>
      <c r="J14" s="58">
        <v>0</v>
      </c>
      <c r="K14" s="58">
        <v>0</v>
      </c>
      <c r="L14" s="4">
        <v>0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5" ht="15.75" customHeight="1">
      <c r="A15" s="4" t="s">
        <v>277</v>
      </c>
      <c r="B15" s="4">
        <v>0</v>
      </c>
      <c r="C15" s="58">
        <v>0</v>
      </c>
      <c r="D15" s="4">
        <v>0</v>
      </c>
      <c r="E15" s="4">
        <v>0</v>
      </c>
      <c r="F15" s="4">
        <v>0</v>
      </c>
      <c r="G15" s="58">
        <v>0</v>
      </c>
      <c r="H15" s="58">
        <v>0</v>
      </c>
      <c r="I15" s="4">
        <v>0</v>
      </c>
      <c r="J15" s="58">
        <v>0</v>
      </c>
      <c r="K15" s="58">
        <v>0</v>
      </c>
      <c r="L15" s="4">
        <v>0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5" ht="15.75" customHeight="1">
      <c r="A16" s="4" t="s">
        <v>278</v>
      </c>
      <c r="B16" s="4">
        <v>0</v>
      </c>
      <c r="C16" s="58">
        <v>0</v>
      </c>
      <c r="D16" s="4">
        <v>0</v>
      </c>
      <c r="E16" s="4">
        <v>0</v>
      </c>
      <c r="F16" s="4">
        <v>0</v>
      </c>
      <c r="G16" s="58">
        <v>0</v>
      </c>
      <c r="H16" s="58">
        <v>0</v>
      </c>
      <c r="I16" s="4">
        <v>0</v>
      </c>
      <c r="J16" s="58">
        <v>0</v>
      </c>
      <c r="K16" s="58">
        <v>0</v>
      </c>
      <c r="L16" s="4">
        <v>0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1:25" ht="15.75" customHeight="1">
      <c r="A17" s="4" t="s">
        <v>279</v>
      </c>
      <c r="B17" s="4">
        <v>0</v>
      </c>
      <c r="C17" s="58">
        <v>0</v>
      </c>
      <c r="D17" s="4">
        <v>0</v>
      </c>
      <c r="E17" s="4">
        <v>0</v>
      </c>
      <c r="F17" s="4">
        <v>0</v>
      </c>
      <c r="G17" s="58">
        <v>0</v>
      </c>
      <c r="H17" s="58">
        <v>0</v>
      </c>
      <c r="I17" s="4">
        <v>0</v>
      </c>
      <c r="J17" s="58">
        <v>0</v>
      </c>
      <c r="K17" s="58">
        <v>0</v>
      </c>
      <c r="L17" s="58">
        <v>0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1:25" ht="15.75" customHeight="1">
      <c r="A18" s="4" t="s">
        <v>280</v>
      </c>
      <c r="B18" s="4">
        <v>0</v>
      </c>
      <c r="C18" s="58">
        <v>0</v>
      </c>
      <c r="D18" s="4">
        <v>0</v>
      </c>
      <c r="E18" s="4">
        <v>0</v>
      </c>
      <c r="F18" s="4">
        <v>0</v>
      </c>
      <c r="G18" s="58">
        <v>0</v>
      </c>
      <c r="H18" s="58">
        <v>0</v>
      </c>
      <c r="I18" s="4">
        <v>0</v>
      </c>
      <c r="J18" s="58">
        <v>0</v>
      </c>
      <c r="K18" s="58">
        <v>0</v>
      </c>
      <c r="L18" s="4">
        <v>0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1:25" ht="15.75" customHeight="1">
      <c r="A19" s="4" t="s">
        <v>281</v>
      </c>
      <c r="B19" s="4">
        <v>0</v>
      </c>
      <c r="C19" s="58">
        <v>0</v>
      </c>
      <c r="D19" s="4">
        <v>0</v>
      </c>
      <c r="E19" s="4">
        <v>0</v>
      </c>
      <c r="F19" s="4">
        <v>0</v>
      </c>
      <c r="G19" s="58">
        <v>0</v>
      </c>
      <c r="H19" s="58">
        <v>0</v>
      </c>
      <c r="I19" s="4">
        <v>0</v>
      </c>
      <c r="J19" s="58">
        <v>0</v>
      </c>
      <c r="K19" s="58">
        <v>0</v>
      </c>
      <c r="L19" s="4">
        <v>0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1:25" ht="15.75" customHeight="1">
      <c r="A20" s="80" t="s">
        <v>13</v>
      </c>
      <c r="B20" s="80">
        <v>0</v>
      </c>
      <c r="C20" s="82">
        <v>0</v>
      </c>
      <c r="D20" s="82">
        <v>0</v>
      </c>
      <c r="E20" s="80">
        <v>0</v>
      </c>
      <c r="F20" s="80">
        <v>0</v>
      </c>
      <c r="G20" s="80">
        <v>0</v>
      </c>
      <c r="H20" s="80">
        <v>0</v>
      </c>
      <c r="I20" s="80">
        <v>0</v>
      </c>
      <c r="J20" s="82">
        <v>0</v>
      </c>
      <c r="K20" s="82">
        <v>0</v>
      </c>
      <c r="L20" s="80">
        <v>0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1:25" ht="15.75" customHeight="1">
      <c r="A21" s="4" t="s">
        <v>274</v>
      </c>
      <c r="B21" s="4">
        <v>0</v>
      </c>
      <c r="C21" s="57">
        <v>0</v>
      </c>
      <c r="D21" s="4">
        <v>0</v>
      </c>
      <c r="E21" s="4">
        <v>0</v>
      </c>
      <c r="F21" s="4">
        <v>0</v>
      </c>
      <c r="G21" s="57">
        <v>0</v>
      </c>
      <c r="H21" s="57">
        <v>0</v>
      </c>
      <c r="I21" s="4">
        <v>0</v>
      </c>
      <c r="J21" s="57">
        <v>0</v>
      </c>
      <c r="K21" s="57">
        <v>0</v>
      </c>
      <c r="L21" s="4">
        <v>0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1:25" ht="15.75" customHeight="1">
      <c r="A22" s="4" t="s">
        <v>275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57">
        <v>0</v>
      </c>
      <c r="I22" s="4">
        <v>0</v>
      </c>
      <c r="J22" s="58">
        <v>0</v>
      </c>
      <c r="K22" s="58">
        <v>0</v>
      </c>
      <c r="L22" s="4">
        <v>0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spans="1:25" ht="15.75" customHeight="1">
      <c r="A23" s="4" t="s">
        <v>276</v>
      </c>
      <c r="B23" s="4">
        <v>0</v>
      </c>
      <c r="C23" s="58">
        <v>0</v>
      </c>
      <c r="D23" s="4">
        <v>0</v>
      </c>
      <c r="E23" s="4">
        <v>0</v>
      </c>
      <c r="F23" s="4">
        <v>0</v>
      </c>
      <c r="G23" s="57">
        <v>0</v>
      </c>
      <c r="H23" s="58">
        <v>0</v>
      </c>
      <c r="I23" s="4">
        <v>0</v>
      </c>
      <c r="J23" s="58">
        <v>0</v>
      </c>
      <c r="K23" s="58">
        <v>0</v>
      </c>
      <c r="L23" s="4">
        <v>0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spans="1:25" ht="15.75" customHeight="1">
      <c r="A24" s="4" t="s">
        <v>277</v>
      </c>
      <c r="B24" s="4">
        <v>0</v>
      </c>
      <c r="C24" s="58">
        <v>0</v>
      </c>
      <c r="D24" s="4">
        <v>0</v>
      </c>
      <c r="E24" s="4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4">
        <v>0</v>
      </c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spans="1:25" ht="15.75" customHeight="1">
      <c r="A25" s="4" t="s">
        <v>278</v>
      </c>
      <c r="B25" s="58">
        <v>0</v>
      </c>
      <c r="C25" s="58">
        <v>0</v>
      </c>
      <c r="D25" s="4">
        <v>0</v>
      </c>
      <c r="E25" s="4">
        <v>0</v>
      </c>
      <c r="F25" s="4">
        <v>0</v>
      </c>
      <c r="G25" s="58">
        <v>0</v>
      </c>
      <c r="H25" s="58">
        <v>0</v>
      </c>
      <c r="I25" s="4">
        <v>0</v>
      </c>
      <c r="J25" s="58">
        <v>0</v>
      </c>
      <c r="K25" s="58">
        <v>0</v>
      </c>
      <c r="L25" s="4">
        <v>0</v>
      </c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spans="1:25" ht="15.75" customHeight="1">
      <c r="A26" s="4" t="s">
        <v>279</v>
      </c>
      <c r="B26" s="58">
        <v>0</v>
      </c>
      <c r="C26" s="57">
        <v>0</v>
      </c>
      <c r="D26" s="4">
        <v>0</v>
      </c>
      <c r="E26" s="4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4">
        <v>0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1:25" ht="15.75" customHeight="1">
      <c r="A27" s="4" t="s">
        <v>280</v>
      </c>
      <c r="B27" s="4">
        <v>0</v>
      </c>
      <c r="C27" s="4">
        <v>0</v>
      </c>
      <c r="D27" s="9">
        <v>0</v>
      </c>
      <c r="E27" s="9">
        <v>0</v>
      </c>
      <c r="F27" s="9">
        <v>0</v>
      </c>
      <c r="G27" s="4">
        <v>0</v>
      </c>
      <c r="H27" s="4">
        <v>0</v>
      </c>
      <c r="I27" s="9">
        <v>0</v>
      </c>
      <c r="J27" s="4">
        <v>0</v>
      </c>
      <c r="K27" s="4">
        <v>0</v>
      </c>
      <c r="L27" s="4">
        <v>0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spans="1:25" ht="15.75" customHeight="1">
      <c r="A28" s="4" t="s">
        <v>281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9">
        <v>0</v>
      </c>
      <c r="J28" s="4">
        <v>0</v>
      </c>
      <c r="K28" s="4">
        <v>0</v>
      </c>
      <c r="L28" s="4">
        <v>0</v>
      </c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spans="1:25" ht="15.75" customHeight="1">
      <c r="A29" s="80" t="s">
        <v>15</v>
      </c>
      <c r="B29" s="83">
        <v>0</v>
      </c>
      <c r="C29" s="80">
        <v>0</v>
      </c>
      <c r="D29" s="80">
        <v>0</v>
      </c>
      <c r="E29" s="80">
        <v>0</v>
      </c>
      <c r="F29" s="83">
        <v>0</v>
      </c>
      <c r="G29" s="80">
        <v>0</v>
      </c>
      <c r="H29" s="83">
        <v>0</v>
      </c>
      <c r="I29" s="80">
        <v>0</v>
      </c>
      <c r="J29" s="80">
        <v>0</v>
      </c>
      <c r="K29" s="80">
        <v>0</v>
      </c>
      <c r="L29" s="80">
        <v>0</v>
      </c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1:25" ht="15.75" customHeight="1">
      <c r="A30" s="4" t="s">
        <v>274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9">
        <v>0</v>
      </c>
      <c r="I30" s="4">
        <v>0</v>
      </c>
      <c r="J30" s="9">
        <v>0</v>
      </c>
      <c r="K30" s="9">
        <v>0</v>
      </c>
      <c r="L30" s="4">
        <v>0</v>
      </c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1:25" ht="15.75" customHeight="1">
      <c r="A31" s="4" t="s">
        <v>275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1:25" ht="15.75" customHeight="1">
      <c r="A32" s="4" t="s">
        <v>276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1:25" ht="15" customHeight="1">
      <c r="A33" t="s">
        <v>277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25" ht="15.75" customHeight="1">
      <c r="A34" s="79" t="s">
        <v>278</v>
      </c>
      <c r="B34" s="78">
        <v>0</v>
      </c>
      <c r="C34" s="78">
        <v>0</v>
      </c>
      <c r="D34" s="78">
        <v>0</v>
      </c>
      <c r="E34" s="78">
        <v>0</v>
      </c>
      <c r="F34" s="78">
        <v>0</v>
      </c>
      <c r="G34" s="78">
        <v>0</v>
      </c>
      <c r="H34">
        <v>0</v>
      </c>
      <c r="I34" s="78">
        <v>0</v>
      </c>
      <c r="J34" s="78">
        <v>0</v>
      </c>
      <c r="K34" s="78">
        <v>0</v>
      </c>
      <c r="L34" s="78">
        <v>0</v>
      </c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1:25" ht="15.75" customHeight="1">
      <c r="A35" s="77" t="s">
        <v>279</v>
      </c>
      <c r="B35" s="77">
        <v>0</v>
      </c>
      <c r="C35" s="77">
        <v>0</v>
      </c>
      <c r="D35" s="77">
        <v>0</v>
      </c>
      <c r="E35" s="77">
        <v>0</v>
      </c>
      <c r="F35" s="77">
        <v>0</v>
      </c>
      <c r="G35" s="77">
        <v>0</v>
      </c>
      <c r="H35" s="4">
        <v>0</v>
      </c>
      <c r="I35" s="77">
        <v>0</v>
      </c>
      <c r="J35" s="77">
        <v>0</v>
      </c>
      <c r="K35" s="77">
        <v>0</v>
      </c>
      <c r="L35" s="77">
        <v>0</v>
      </c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1:25" ht="15.75" customHeight="1">
      <c r="A36" s="77" t="s">
        <v>280</v>
      </c>
      <c r="B36" s="77">
        <v>0</v>
      </c>
      <c r="C36" s="77">
        <v>0</v>
      </c>
      <c r="D36" s="77">
        <v>0</v>
      </c>
      <c r="E36" s="77">
        <v>0</v>
      </c>
      <c r="F36" s="77">
        <v>0</v>
      </c>
      <c r="G36" s="77">
        <v>0</v>
      </c>
      <c r="H36" s="4">
        <v>0</v>
      </c>
      <c r="I36" s="77">
        <v>0</v>
      </c>
      <c r="J36" s="77">
        <v>0</v>
      </c>
      <c r="K36" s="77">
        <v>0</v>
      </c>
      <c r="L36" s="77">
        <v>0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1:25" ht="15.75" customHeight="1">
      <c r="A37" s="77" t="s">
        <v>281</v>
      </c>
      <c r="B37" s="77">
        <v>0</v>
      </c>
      <c r="C37" s="77">
        <v>0</v>
      </c>
      <c r="D37" s="77">
        <v>0</v>
      </c>
      <c r="E37" s="77">
        <v>0</v>
      </c>
      <c r="F37" s="77">
        <v>0</v>
      </c>
      <c r="G37" s="77">
        <v>0</v>
      </c>
      <c r="H37" s="4">
        <v>0</v>
      </c>
      <c r="I37" s="77">
        <v>0</v>
      </c>
      <c r="J37" s="77">
        <v>0</v>
      </c>
      <c r="K37" s="77">
        <v>0</v>
      </c>
      <c r="L37" s="77">
        <v>0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1:25" ht="15.75" customHeight="1">
      <c r="A38" s="84" t="s">
        <v>19</v>
      </c>
      <c r="B38" s="84">
        <v>0</v>
      </c>
      <c r="C38" s="85">
        <v>0</v>
      </c>
      <c r="D38" s="84">
        <v>0</v>
      </c>
      <c r="E38" s="84">
        <v>0</v>
      </c>
      <c r="F38" s="84">
        <v>0</v>
      </c>
      <c r="G38" s="84">
        <v>0</v>
      </c>
      <c r="H38" s="80">
        <v>0</v>
      </c>
      <c r="I38" s="84">
        <v>0</v>
      </c>
      <c r="J38" s="84">
        <v>0</v>
      </c>
      <c r="K38" s="84">
        <v>0</v>
      </c>
      <c r="L38" s="84">
        <v>0</v>
      </c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1:25" ht="15.75" customHeight="1">
      <c r="A39" s="77" t="s">
        <v>274</v>
      </c>
      <c r="B39" s="77">
        <v>0</v>
      </c>
      <c r="C39" s="77">
        <v>0</v>
      </c>
      <c r="D39" s="77">
        <v>0</v>
      </c>
      <c r="E39" s="77">
        <v>0</v>
      </c>
      <c r="F39" s="77">
        <v>0</v>
      </c>
      <c r="G39" s="77">
        <v>0</v>
      </c>
      <c r="H39" s="4">
        <v>0</v>
      </c>
      <c r="I39" s="77">
        <v>0</v>
      </c>
      <c r="J39" s="77">
        <v>0</v>
      </c>
      <c r="K39" s="77">
        <v>0</v>
      </c>
      <c r="L39" s="77">
        <v>0</v>
      </c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1:25" ht="15.75" customHeight="1">
      <c r="A40" s="77" t="s">
        <v>275</v>
      </c>
      <c r="B40" s="77">
        <v>0</v>
      </c>
      <c r="C40" s="77">
        <v>0</v>
      </c>
      <c r="D40" s="77">
        <v>0</v>
      </c>
      <c r="E40" s="77">
        <v>0</v>
      </c>
      <c r="F40" s="77">
        <v>0</v>
      </c>
      <c r="G40" s="77">
        <v>0</v>
      </c>
      <c r="H40" s="4">
        <v>0</v>
      </c>
      <c r="I40" s="77">
        <v>0</v>
      </c>
      <c r="J40" s="77">
        <v>0</v>
      </c>
      <c r="K40" s="77">
        <v>0</v>
      </c>
      <c r="L40" s="77">
        <v>0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1:25" ht="15.75" customHeight="1">
      <c r="A41" s="77" t="s">
        <v>276</v>
      </c>
      <c r="B41" s="77">
        <v>0</v>
      </c>
      <c r="C41" s="77">
        <v>0</v>
      </c>
      <c r="D41" s="77">
        <v>0</v>
      </c>
      <c r="E41" s="77">
        <v>0</v>
      </c>
      <c r="F41" s="77">
        <v>0</v>
      </c>
      <c r="G41" s="77">
        <v>0</v>
      </c>
      <c r="H41" s="4">
        <v>0</v>
      </c>
      <c r="I41" s="77">
        <v>0</v>
      </c>
      <c r="J41" s="77">
        <v>0</v>
      </c>
      <c r="K41" s="77">
        <v>0</v>
      </c>
      <c r="L41" s="77">
        <v>0</v>
      </c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25" ht="15.75" customHeight="1">
      <c r="A42" s="77" t="s">
        <v>277</v>
      </c>
      <c r="B42" s="77">
        <v>0</v>
      </c>
      <c r="C42" s="77">
        <v>0</v>
      </c>
      <c r="D42" s="77">
        <v>0</v>
      </c>
      <c r="E42" s="77">
        <v>0</v>
      </c>
      <c r="F42" s="77">
        <v>0</v>
      </c>
      <c r="G42" s="77">
        <v>0</v>
      </c>
      <c r="H42" s="4">
        <v>0</v>
      </c>
      <c r="I42" s="77">
        <v>0</v>
      </c>
      <c r="J42" s="77">
        <v>0</v>
      </c>
      <c r="K42" s="77">
        <v>0</v>
      </c>
      <c r="L42" s="77">
        <v>0</v>
      </c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ht="15.75" customHeight="1">
      <c r="A43" s="77" t="s">
        <v>278</v>
      </c>
      <c r="B43" s="77">
        <v>0</v>
      </c>
      <c r="C43" s="77">
        <v>0</v>
      </c>
      <c r="D43" s="77">
        <v>0</v>
      </c>
      <c r="E43" s="77">
        <v>0</v>
      </c>
      <c r="F43" s="77">
        <v>0</v>
      </c>
      <c r="G43" s="77">
        <v>0</v>
      </c>
      <c r="H43" s="4">
        <v>0</v>
      </c>
      <c r="I43" s="77">
        <v>0</v>
      </c>
      <c r="J43" s="77">
        <v>0</v>
      </c>
      <c r="K43" s="77">
        <v>0</v>
      </c>
      <c r="L43" s="77">
        <v>0</v>
      </c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15.75" customHeight="1">
      <c r="A44" s="77" t="s">
        <v>279</v>
      </c>
      <c r="B44" s="77">
        <v>0</v>
      </c>
      <c r="C44" s="77">
        <v>0</v>
      </c>
      <c r="D44" s="77">
        <v>0</v>
      </c>
      <c r="E44" s="77">
        <v>0</v>
      </c>
      <c r="F44" s="77">
        <v>0</v>
      </c>
      <c r="G44" s="77">
        <v>0</v>
      </c>
      <c r="H44" s="4">
        <v>0</v>
      </c>
      <c r="I44" s="77">
        <v>0</v>
      </c>
      <c r="J44" s="77">
        <v>0</v>
      </c>
      <c r="K44" s="77">
        <v>0</v>
      </c>
      <c r="L44" s="77">
        <v>0</v>
      </c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15.75" customHeight="1">
      <c r="A45" s="77" t="s">
        <v>280</v>
      </c>
      <c r="B45" s="77">
        <v>0</v>
      </c>
      <c r="C45" s="77">
        <v>0</v>
      </c>
      <c r="D45" s="77">
        <v>0</v>
      </c>
      <c r="E45" s="77">
        <v>0</v>
      </c>
      <c r="F45" s="77">
        <v>0</v>
      </c>
      <c r="G45" s="77">
        <v>0</v>
      </c>
      <c r="H45" s="4">
        <v>0</v>
      </c>
      <c r="I45" s="77">
        <v>0</v>
      </c>
      <c r="J45" s="77">
        <v>0</v>
      </c>
      <c r="K45" s="77">
        <v>0</v>
      </c>
      <c r="L45" s="77">
        <v>0</v>
      </c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15.75" customHeight="1">
      <c r="A46" s="77" t="s">
        <v>281</v>
      </c>
      <c r="B46" s="77">
        <v>0</v>
      </c>
      <c r="C46" s="77">
        <v>0</v>
      </c>
      <c r="D46" s="77">
        <v>0</v>
      </c>
      <c r="E46" s="77">
        <v>0</v>
      </c>
      <c r="F46" s="77">
        <v>0</v>
      </c>
      <c r="G46" s="77">
        <v>0</v>
      </c>
      <c r="H46" s="4">
        <v>0</v>
      </c>
      <c r="I46" s="77">
        <v>0</v>
      </c>
      <c r="J46" s="77">
        <v>0</v>
      </c>
      <c r="K46" s="77">
        <v>0</v>
      </c>
      <c r="L46" s="77">
        <v>0</v>
      </c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15.75" customHeight="1">
      <c r="A47" s="84" t="s">
        <v>22</v>
      </c>
      <c r="B47" s="84">
        <v>0</v>
      </c>
      <c r="C47" s="84">
        <v>0</v>
      </c>
      <c r="D47" s="84">
        <v>0</v>
      </c>
      <c r="E47" s="84">
        <v>0</v>
      </c>
      <c r="F47" s="84">
        <v>0</v>
      </c>
      <c r="G47" s="84">
        <v>0</v>
      </c>
      <c r="H47" s="80">
        <v>0</v>
      </c>
      <c r="I47" s="84">
        <v>0</v>
      </c>
      <c r="J47" s="84">
        <v>0</v>
      </c>
      <c r="K47" s="84">
        <v>0</v>
      </c>
      <c r="L47" s="84">
        <v>0</v>
      </c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ht="15.75" customHeight="1">
      <c r="A48" s="77" t="s">
        <v>274</v>
      </c>
      <c r="B48" s="77">
        <v>0</v>
      </c>
      <c r="C48" s="77">
        <v>0</v>
      </c>
      <c r="D48" s="77">
        <v>0</v>
      </c>
      <c r="E48" s="77">
        <v>0</v>
      </c>
      <c r="F48" s="77">
        <v>0</v>
      </c>
      <c r="G48" s="77">
        <v>0</v>
      </c>
      <c r="H48" s="4">
        <v>0</v>
      </c>
      <c r="I48" s="77">
        <v>0</v>
      </c>
      <c r="J48" s="77">
        <v>0</v>
      </c>
      <c r="K48" s="77">
        <v>0</v>
      </c>
      <c r="L48" s="77">
        <v>0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15.75" customHeight="1">
      <c r="A49" s="77" t="s">
        <v>275</v>
      </c>
      <c r="B49" s="77">
        <v>0</v>
      </c>
      <c r="C49" s="77">
        <v>0</v>
      </c>
      <c r="D49" s="77">
        <v>0</v>
      </c>
      <c r="E49" s="77">
        <v>0</v>
      </c>
      <c r="F49" s="77">
        <v>0</v>
      </c>
      <c r="G49" s="77">
        <v>0</v>
      </c>
      <c r="H49" s="4">
        <v>0</v>
      </c>
      <c r="I49" s="77">
        <v>0</v>
      </c>
      <c r="J49" s="77">
        <v>0</v>
      </c>
      <c r="K49" s="77">
        <v>0</v>
      </c>
      <c r="L49" s="77">
        <v>0</v>
      </c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15.75" customHeight="1">
      <c r="A50" s="77" t="s">
        <v>276</v>
      </c>
      <c r="B50" s="77">
        <v>0</v>
      </c>
      <c r="C50" s="77">
        <v>0</v>
      </c>
      <c r="D50" s="77">
        <v>0</v>
      </c>
      <c r="E50" s="77">
        <v>0</v>
      </c>
      <c r="F50" s="77">
        <v>0</v>
      </c>
      <c r="G50" s="77">
        <v>0</v>
      </c>
      <c r="H50" s="4">
        <v>0</v>
      </c>
      <c r="I50" s="77">
        <v>0</v>
      </c>
      <c r="J50" s="77">
        <v>0</v>
      </c>
      <c r="K50" s="77">
        <v>0</v>
      </c>
      <c r="L50" s="77">
        <v>0</v>
      </c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.75" customHeight="1">
      <c r="A51" s="77" t="s">
        <v>277</v>
      </c>
      <c r="B51" s="77">
        <v>0</v>
      </c>
      <c r="C51" s="77">
        <v>0</v>
      </c>
      <c r="D51" s="77">
        <v>0</v>
      </c>
      <c r="E51" s="77">
        <v>0</v>
      </c>
      <c r="F51" s="77">
        <v>0</v>
      </c>
      <c r="G51" s="77">
        <v>0</v>
      </c>
      <c r="H51" s="4">
        <v>0</v>
      </c>
      <c r="I51" s="77">
        <v>0</v>
      </c>
      <c r="J51" s="77">
        <v>0</v>
      </c>
      <c r="K51" s="77">
        <v>0</v>
      </c>
      <c r="L51" s="77">
        <v>0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ht="15.75" customHeight="1">
      <c r="A52" s="77" t="s">
        <v>278</v>
      </c>
      <c r="B52" s="77">
        <v>0</v>
      </c>
      <c r="C52" s="77">
        <v>0</v>
      </c>
      <c r="D52" s="77">
        <v>0</v>
      </c>
      <c r="E52" s="77">
        <v>0</v>
      </c>
      <c r="F52" s="77">
        <v>0</v>
      </c>
      <c r="G52" s="77">
        <v>0</v>
      </c>
      <c r="H52" s="4">
        <v>0</v>
      </c>
      <c r="I52" s="77">
        <v>0</v>
      </c>
      <c r="J52" s="77">
        <v>0</v>
      </c>
      <c r="K52" s="77">
        <v>0</v>
      </c>
      <c r="L52" s="77">
        <v>0</v>
      </c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.75" customHeight="1">
      <c r="A53" s="77" t="s">
        <v>279</v>
      </c>
      <c r="B53" s="77">
        <v>0</v>
      </c>
      <c r="C53" s="77">
        <v>0</v>
      </c>
      <c r="D53" s="77">
        <v>0</v>
      </c>
      <c r="E53" s="77">
        <v>0</v>
      </c>
      <c r="F53" s="77">
        <v>0</v>
      </c>
      <c r="G53" s="77">
        <v>0</v>
      </c>
      <c r="H53" s="4">
        <v>0</v>
      </c>
      <c r="I53" s="77">
        <v>0</v>
      </c>
      <c r="J53" s="77">
        <v>0</v>
      </c>
      <c r="K53" s="77">
        <v>0</v>
      </c>
      <c r="L53" s="77">
        <v>0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.75" customHeight="1">
      <c r="A54" s="77" t="s">
        <v>280</v>
      </c>
      <c r="B54" s="77">
        <v>0</v>
      </c>
      <c r="C54" s="77">
        <v>0</v>
      </c>
      <c r="D54" s="77">
        <v>0</v>
      </c>
      <c r="E54" s="77">
        <v>0</v>
      </c>
      <c r="F54" s="77">
        <v>0</v>
      </c>
      <c r="G54" s="77">
        <v>0</v>
      </c>
      <c r="H54" s="4">
        <v>0</v>
      </c>
      <c r="I54" s="77">
        <v>0</v>
      </c>
      <c r="J54" s="77">
        <v>0</v>
      </c>
      <c r="K54" s="77">
        <v>0</v>
      </c>
      <c r="L54" s="77">
        <v>0</v>
      </c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.75" customHeight="1">
      <c r="A55" s="77" t="s">
        <v>281</v>
      </c>
      <c r="B55" s="77">
        <v>0</v>
      </c>
      <c r="C55" s="77">
        <v>0</v>
      </c>
      <c r="D55" s="77">
        <v>0</v>
      </c>
      <c r="E55" s="77">
        <v>0</v>
      </c>
      <c r="F55" s="77">
        <v>0</v>
      </c>
      <c r="G55" s="77">
        <v>0</v>
      </c>
      <c r="H55" s="4">
        <v>0</v>
      </c>
      <c r="I55" s="77">
        <v>0</v>
      </c>
      <c r="J55" s="77">
        <v>0</v>
      </c>
      <c r="K55" s="77">
        <v>0</v>
      </c>
      <c r="L55" s="77">
        <v>0</v>
      </c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.75" customHeight="1">
      <c r="A56" s="84" t="s">
        <v>456</v>
      </c>
      <c r="B56" s="84">
        <v>0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0">
        <v>0</v>
      </c>
      <c r="I56" s="84">
        <v>0</v>
      </c>
      <c r="J56" s="84">
        <v>0</v>
      </c>
      <c r="K56" s="84">
        <v>0</v>
      </c>
      <c r="L56" s="84">
        <v>0</v>
      </c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.75" customHeight="1">
      <c r="A57" s="77" t="s">
        <v>274</v>
      </c>
      <c r="B57" s="77">
        <v>0</v>
      </c>
      <c r="C57" s="77">
        <v>0</v>
      </c>
      <c r="D57" s="77">
        <v>0</v>
      </c>
      <c r="E57" s="77">
        <v>0</v>
      </c>
      <c r="F57" s="77">
        <v>0</v>
      </c>
      <c r="G57" s="77">
        <v>0</v>
      </c>
      <c r="H57" s="4">
        <v>0</v>
      </c>
      <c r="I57" s="77">
        <v>0</v>
      </c>
      <c r="J57" s="77">
        <v>0</v>
      </c>
      <c r="K57" s="77">
        <v>0</v>
      </c>
      <c r="L57" s="77">
        <v>0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.75" customHeight="1">
      <c r="A58" s="77" t="s">
        <v>275</v>
      </c>
      <c r="B58" s="77">
        <v>0</v>
      </c>
      <c r="C58" s="77">
        <v>0</v>
      </c>
      <c r="D58" s="77">
        <v>0</v>
      </c>
      <c r="E58" s="77">
        <v>0</v>
      </c>
      <c r="F58" s="77">
        <v>0</v>
      </c>
      <c r="G58" s="77">
        <v>0</v>
      </c>
      <c r="H58" s="4">
        <v>0</v>
      </c>
      <c r="I58" s="77">
        <v>0</v>
      </c>
      <c r="J58" s="77">
        <v>0</v>
      </c>
      <c r="K58" s="77">
        <v>0</v>
      </c>
      <c r="L58" s="77">
        <v>0</v>
      </c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ht="15.75" customHeight="1">
      <c r="A59" s="77" t="s">
        <v>276</v>
      </c>
      <c r="B59" s="77">
        <v>0</v>
      </c>
      <c r="C59" s="77">
        <v>0</v>
      </c>
      <c r="D59" s="77">
        <v>0</v>
      </c>
      <c r="E59" s="77">
        <v>0</v>
      </c>
      <c r="F59" s="77">
        <v>0</v>
      </c>
      <c r="G59" s="77">
        <v>0</v>
      </c>
      <c r="H59" s="4">
        <v>0</v>
      </c>
      <c r="I59" s="77">
        <v>0</v>
      </c>
      <c r="J59" s="77">
        <v>0</v>
      </c>
      <c r="K59" s="77">
        <v>0</v>
      </c>
      <c r="L59" s="77">
        <v>0</v>
      </c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ht="15.75" customHeight="1">
      <c r="A60" s="77" t="s">
        <v>277</v>
      </c>
      <c r="B60" s="77">
        <v>0</v>
      </c>
      <c r="C60" s="77">
        <v>0</v>
      </c>
      <c r="D60" s="77">
        <v>0</v>
      </c>
      <c r="E60" s="77">
        <v>0</v>
      </c>
      <c r="F60" s="77">
        <v>0</v>
      </c>
      <c r="G60" s="77">
        <v>0</v>
      </c>
      <c r="H60" s="4">
        <v>0</v>
      </c>
      <c r="I60" s="77">
        <v>0</v>
      </c>
      <c r="J60" s="77">
        <v>0</v>
      </c>
      <c r="K60" s="77">
        <v>0</v>
      </c>
      <c r="L60" s="77">
        <v>0</v>
      </c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.75" customHeight="1">
      <c r="A61" s="77" t="s">
        <v>278</v>
      </c>
      <c r="B61" s="77">
        <v>0</v>
      </c>
      <c r="C61" s="77">
        <v>0</v>
      </c>
      <c r="D61" s="77">
        <v>0</v>
      </c>
      <c r="E61" s="77">
        <v>0</v>
      </c>
      <c r="F61" s="77">
        <v>0</v>
      </c>
      <c r="G61" s="77">
        <v>0</v>
      </c>
      <c r="H61" s="4">
        <v>0</v>
      </c>
      <c r="I61" s="77">
        <v>0</v>
      </c>
      <c r="J61" s="77">
        <v>0</v>
      </c>
      <c r="K61" s="77">
        <v>0</v>
      </c>
      <c r="L61" s="77">
        <v>0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.75" customHeight="1">
      <c r="A62" s="77" t="s">
        <v>279</v>
      </c>
      <c r="B62" s="77">
        <v>0</v>
      </c>
      <c r="C62" s="77">
        <v>0</v>
      </c>
      <c r="D62" s="77">
        <v>0</v>
      </c>
      <c r="E62" s="77">
        <v>0</v>
      </c>
      <c r="F62" s="77">
        <v>0</v>
      </c>
      <c r="G62" s="77">
        <v>0</v>
      </c>
      <c r="H62" s="4">
        <v>0</v>
      </c>
      <c r="I62" s="77">
        <v>0</v>
      </c>
      <c r="J62" s="77">
        <v>0</v>
      </c>
      <c r="K62" s="77">
        <v>0</v>
      </c>
      <c r="L62" s="77">
        <v>0</v>
      </c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15.75" customHeight="1">
      <c r="A63" s="77" t="s">
        <v>280</v>
      </c>
      <c r="B63" s="77">
        <v>0</v>
      </c>
      <c r="C63" s="77">
        <v>0</v>
      </c>
      <c r="D63" s="77">
        <v>0</v>
      </c>
      <c r="E63" s="77">
        <v>0</v>
      </c>
      <c r="F63" s="77">
        <v>0</v>
      </c>
      <c r="G63" s="77">
        <v>0</v>
      </c>
      <c r="H63" s="4">
        <v>0</v>
      </c>
      <c r="I63" s="77">
        <v>0</v>
      </c>
      <c r="J63" s="77">
        <v>0</v>
      </c>
      <c r="K63" s="77">
        <v>0</v>
      </c>
      <c r="L63" s="77">
        <v>0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15.75" customHeight="1">
      <c r="A64" s="77" t="s">
        <v>281</v>
      </c>
      <c r="B64" s="77">
        <v>0</v>
      </c>
      <c r="C64" s="77">
        <v>0</v>
      </c>
      <c r="D64" s="77">
        <v>0</v>
      </c>
      <c r="E64" s="77">
        <v>0</v>
      </c>
      <c r="F64" s="77">
        <v>0</v>
      </c>
      <c r="G64" s="77">
        <v>0</v>
      </c>
      <c r="H64" s="4">
        <v>0</v>
      </c>
      <c r="I64" s="77">
        <v>0</v>
      </c>
      <c r="J64" s="77">
        <v>0</v>
      </c>
      <c r="K64" s="77">
        <v>0</v>
      </c>
      <c r="L64" s="77">
        <v>0</v>
      </c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.75" customHeight="1">
      <c r="A65" s="84" t="s">
        <v>25</v>
      </c>
      <c r="B65" s="84">
        <v>0</v>
      </c>
      <c r="C65" s="84">
        <v>0</v>
      </c>
      <c r="D65" s="84">
        <v>0</v>
      </c>
      <c r="E65" s="84">
        <v>0</v>
      </c>
      <c r="F65" s="84">
        <v>0</v>
      </c>
      <c r="G65" s="84">
        <v>0</v>
      </c>
      <c r="H65" s="80">
        <v>0</v>
      </c>
      <c r="I65" s="84">
        <v>0</v>
      </c>
      <c r="J65" s="84">
        <v>0</v>
      </c>
      <c r="K65" s="84">
        <v>0</v>
      </c>
      <c r="L65" s="84">
        <v>0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.75" customHeight="1">
      <c r="A66" s="77" t="s">
        <v>274</v>
      </c>
      <c r="B66" s="77">
        <v>0</v>
      </c>
      <c r="C66" s="77">
        <v>0</v>
      </c>
      <c r="D66" s="77">
        <v>0</v>
      </c>
      <c r="E66" s="77">
        <v>0</v>
      </c>
      <c r="F66" s="77">
        <v>0</v>
      </c>
      <c r="G66" s="77">
        <v>0</v>
      </c>
      <c r="H66" s="4">
        <v>0</v>
      </c>
      <c r="I66" s="77">
        <v>0</v>
      </c>
      <c r="J66" s="77">
        <v>0</v>
      </c>
      <c r="K66" s="77">
        <v>0</v>
      </c>
      <c r="L66" s="77">
        <v>0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ht="15.75" customHeight="1">
      <c r="A67" s="77" t="s">
        <v>275</v>
      </c>
      <c r="B67" s="77">
        <v>0</v>
      </c>
      <c r="C67" s="77">
        <v>0</v>
      </c>
      <c r="D67" s="77">
        <v>0</v>
      </c>
      <c r="E67" s="77">
        <v>0</v>
      </c>
      <c r="F67" s="77">
        <v>0</v>
      </c>
      <c r="G67" s="77">
        <v>0</v>
      </c>
      <c r="H67" s="4">
        <v>0</v>
      </c>
      <c r="I67" s="77">
        <v>0</v>
      </c>
      <c r="J67" s="77">
        <v>0</v>
      </c>
      <c r="K67" s="77">
        <v>0</v>
      </c>
      <c r="L67" s="77">
        <v>0</v>
      </c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ht="15.75" customHeight="1">
      <c r="A68" s="77" t="s">
        <v>276</v>
      </c>
      <c r="B68" s="77">
        <v>0</v>
      </c>
      <c r="C68" s="77">
        <v>0</v>
      </c>
      <c r="D68" s="77">
        <v>0</v>
      </c>
      <c r="E68" s="77">
        <v>0</v>
      </c>
      <c r="F68" s="77">
        <v>0</v>
      </c>
      <c r="G68" s="77">
        <v>0</v>
      </c>
      <c r="H68" s="4">
        <v>0</v>
      </c>
      <c r="I68" s="77">
        <v>0</v>
      </c>
      <c r="J68" s="77">
        <v>0</v>
      </c>
      <c r="K68" s="77">
        <v>0</v>
      </c>
      <c r="L68" s="77">
        <v>0</v>
      </c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ht="15.75" customHeight="1">
      <c r="A69" s="77" t="s">
        <v>277</v>
      </c>
      <c r="B69" s="77">
        <v>0</v>
      </c>
      <c r="C69" s="77">
        <v>0</v>
      </c>
      <c r="D69" s="77">
        <v>0</v>
      </c>
      <c r="E69" s="77">
        <v>0</v>
      </c>
      <c r="F69" s="77">
        <v>0</v>
      </c>
      <c r="G69" s="77">
        <v>0</v>
      </c>
      <c r="H69" s="4">
        <v>0</v>
      </c>
      <c r="I69" s="77">
        <v>0</v>
      </c>
      <c r="J69" s="77">
        <v>0</v>
      </c>
      <c r="K69" s="77">
        <v>0</v>
      </c>
      <c r="L69" s="77">
        <v>0</v>
      </c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ht="15.75" customHeight="1">
      <c r="A70" s="77" t="s">
        <v>278</v>
      </c>
      <c r="B70" s="77">
        <v>0</v>
      </c>
      <c r="C70" s="77">
        <v>0</v>
      </c>
      <c r="D70" s="77">
        <v>0</v>
      </c>
      <c r="E70" s="77">
        <v>0</v>
      </c>
      <c r="F70" s="77">
        <v>0</v>
      </c>
      <c r="G70" s="77">
        <v>0</v>
      </c>
      <c r="H70" s="4">
        <v>0</v>
      </c>
      <c r="I70" s="77">
        <v>0</v>
      </c>
      <c r="J70" s="77">
        <v>0</v>
      </c>
      <c r="K70" s="77">
        <v>0</v>
      </c>
      <c r="L70" s="77">
        <v>0</v>
      </c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ht="15.75" customHeight="1">
      <c r="A71" s="77" t="s">
        <v>279</v>
      </c>
      <c r="B71" s="77">
        <v>0</v>
      </c>
      <c r="C71" s="77">
        <v>0</v>
      </c>
      <c r="D71" s="77">
        <v>0</v>
      </c>
      <c r="E71" s="77">
        <v>0</v>
      </c>
      <c r="F71" s="77">
        <v>0</v>
      </c>
      <c r="G71" s="77">
        <v>0</v>
      </c>
      <c r="H71" s="4">
        <v>0</v>
      </c>
      <c r="I71" s="77">
        <v>0</v>
      </c>
      <c r="J71" s="77">
        <v>0</v>
      </c>
      <c r="K71" s="77">
        <v>0</v>
      </c>
      <c r="L71" s="77">
        <v>0</v>
      </c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ht="15.75" customHeight="1">
      <c r="A72" s="77" t="s">
        <v>280</v>
      </c>
      <c r="B72" s="77">
        <v>0</v>
      </c>
      <c r="C72" s="77">
        <v>0</v>
      </c>
      <c r="D72" s="77">
        <v>0</v>
      </c>
      <c r="E72" s="77">
        <v>0</v>
      </c>
      <c r="F72" s="77">
        <v>0</v>
      </c>
      <c r="G72" s="77">
        <v>0</v>
      </c>
      <c r="H72" s="4">
        <v>0</v>
      </c>
      <c r="I72" s="77">
        <v>0</v>
      </c>
      <c r="J72" s="77">
        <v>0</v>
      </c>
      <c r="K72" s="77">
        <v>0</v>
      </c>
      <c r="L72" s="77">
        <v>0</v>
      </c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ht="15.75" customHeight="1">
      <c r="A73" s="77" t="s">
        <v>281</v>
      </c>
      <c r="B73" s="77">
        <v>0</v>
      </c>
      <c r="C73" s="77">
        <v>0</v>
      </c>
      <c r="D73" s="77">
        <v>0</v>
      </c>
      <c r="E73" s="77">
        <v>0</v>
      </c>
      <c r="F73" s="77">
        <v>0</v>
      </c>
      <c r="G73" s="77">
        <v>0</v>
      </c>
      <c r="H73" s="4">
        <v>0</v>
      </c>
      <c r="I73" s="77">
        <v>0</v>
      </c>
      <c r="J73" s="77">
        <v>0</v>
      </c>
      <c r="K73" s="77">
        <v>0</v>
      </c>
      <c r="L73" s="77">
        <v>0</v>
      </c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ht="15.75" customHeight="1">
      <c r="A74" s="84" t="s">
        <v>27</v>
      </c>
      <c r="B74" s="84">
        <v>0</v>
      </c>
      <c r="C74" s="84">
        <v>0</v>
      </c>
      <c r="D74" s="84">
        <v>0</v>
      </c>
      <c r="E74" s="84">
        <v>0</v>
      </c>
      <c r="F74" s="84">
        <v>0</v>
      </c>
      <c r="G74" s="84">
        <v>0</v>
      </c>
      <c r="H74" s="80">
        <v>0</v>
      </c>
      <c r="I74" s="84">
        <v>0</v>
      </c>
      <c r="J74" s="84">
        <v>0</v>
      </c>
      <c r="K74" s="84">
        <v>0</v>
      </c>
      <c r="L74" s="84">
        <v>0</v>
      </c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ht="15.75" customHeight="1">
      <c r="A75" s="77" t="s">
        <v>274</v>
      </c>
      <c r="B75" s="77">
        <v>0</v>
      </c>
      <c r="C75" s="77">
        <v>0</v>
      </c>
      <c r="D75" s="77">
        <v>0</v>
      </c>
      <c r="E75" s="77">
        <v>0</v>
      </c>
      <c r="F75" s="77">
        <v>0</v>
      </c>
      <c r="G75" s="77">
        <v>0</v>
      </c>
      <c r="H75" s="4">
        <v>0</v>
      </c>
      <c r="I75" s="77">
        <v>0</v>
      </c>
      <c r="J75" s="77">
        <v>0</v>
      </c>
      <c r="K75" s="77">
        <v>0</v>
      </c>
      <c r="L75" s="77">
        <v>0</v>
      </c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ht="15.75" customHeight="1">
      <c r="A76" s="77" t="s">
        <v>275</v>
      </c>
      <c r="B76" s="77">
        <v>0</v>
      </c>
      <c r="C76" s="77">
        <v>0</v>
      </c>
      <c r="D76" s="77">
        <v>0</v>
      </c>
      <c r="E76" s="77">
        <v>0</v>
      </c>
      <c r="F76" s="77">
        <v>0</v>
      </c>
      <c r="G76" s="77">
        <v>0</v>
      </c>
      <c r="H76" s="4">
        <v>0</v>
      </c>
      <c r="I76" s="77">
        <v>0</v>
      </c>
      <c r="J76" s="77">
        <v>0</v>
      </c>
      <c r="K76" s="77">
        <v>0</v>
      </c>
      <c r="L76" s="77">
        <v>0</v>
      </c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ht="15.75" customHeight="1">
      <c r="A77" s="77" t="s">
        <v>276</v>
      </c>
      <c r="B77" s="77">
        <v>0</v>
      </c>
      <c r="C77" s="77">
        <v>0</v>
      </c>
      <c r="D77" s="77">
        <v>0</v>
      </c>
      <c r="E77" s="77">
        <v>0</v>
      </c>
      <c r="F77" s="77">
        <v>0</v>
      </c>
      <c r="G77" s="77">
        <v>0</v>
      </c>
      <c r="H77" s="4">
        <v>0</v>
      </c>
      <c r="I77" s="77">
        <v>0</v>
      </c>
      <c r="J77" s="77">
        <v>0</v>
      </c>
      <c r="K77" s="77">
        <v>0</v>
      </c>
      <c r="L77" s="77">
        <v>0</v>
      </c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ht="15.75" customHeight="1">
      <c r="A78" s="77" t="s">
        <v>277</v>
      </c>
      <c r="B78" s="77">
        <v>0</v>
      </c>
      <c r="C78" s="77">
        <v>0</v>
      </c>
      <c r="D78" s="77">
        <v>0</v>
      </c>
      <c r="E78" s="77">
        <v>0</v>
      </c>
      <c r="F78" s="77">
        <v>0</v>
      </c>
      <c r="G78" s="77">
        <v>0</v>
      </c>
      <c r="H78" s="4">
        <v>0</v>
      </c>
      <c r="I78" s="77">
        <v>0</v>
      </c>
      <c r="J78" s="77">
        <v>0</v>
      </c>
      <c r="K78" s="77">
        <v>0</v>
      </c>
      <c r="L78" s="77">
        <v>0</v>
      </c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ht="15.75" customHeight="1">
      <c r="A79" s="77" t="s">
        <v>278</v>
      </c>
      <c r="B79" s="77">
        <v>0</v>
      </c>
      <c r="C79" s="77">
        <v>0</v>
      </c>
      <c r="D79" s="77">
        <v>0</v>
      </c>
      <c r="E79" s="77">
        <v>0</v>
      </c>
      <c r="F79" s="77">
        <v>0</v>
      </c>
      <c r="G79" s="77">
        <v>0</v>
      </c>
      <c r="H79" s="4">
        <v>0</v>
      </c>
      <c r="I79" s="77">
        <v>0</v>
      </c>
      <c r="J79" s="77">
        <v>0</v>
      </c>
      <c r="K79" s="77">
        <v>0</v>
      </c>
      <c r="L79" s="77">
        <v>0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ht="15.75" customHeight="1">
      <c r="A80" s="77" t="s">
        <v>279</v>
      </c>
      <c r="B80" s="77">
        <v>0</v>
      </c>
      <c r="C80" s="77">
        <v>0</v>
      </c>
      <c r="D80" s="77">
        <v>0</v>
      </c>
      <c r="E80" s="77">
        <v>0</v>
      </c>
      <c r="F80" s="77">
        <v>0</v>
      </c>
      <c r="G80" s="77">
        <v>0</v>
      </c>
      <c r="H80" s="4">
        <v>0</v>
      </c>
      <c r="I80" s="77">
        <v>0</v>
      </c>
      <c r="J80" s="77">
        <v>0</v>
      </c>
      <c r="K80" s="77">
        <v>0</v>
      </c>
      <c r="L80" s="77">
        <v>0</v>
      </c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ht="15.75" customHeight="1">
      <c r="A81" s="77" t="s">
        <v>280</v>
      </c>
      <c r="B81" s="77">
        <v>0</v>
      </c>
      <c r="C81" s="77">
        <v>0</v>
      </c>
      <c r="D81" s="77">
        <v>0</v>
      </c>
      <c r="E81" s="77">
        <v>0</v>
      </c>
      <c r="F81" s="77">
        <v>0</v>
      </c>
      <c r="G81" s="77">
        <v>0</v>
      </c>
      <c r="H81" s="4">
        <v>0</v>
      </c>
      <c r="I81" s="77">
        <v>0</v>
      </c>
      <c r="J81" s="77">
        <v>0</v>
      </c>
      <c r="K81" s="77">
        <v>0</v>
      </c>
      <c r="L81" s="77">
        <v>0</v>
      </c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ht="15.75" customHeight="1">
      <c r="A82" s="77" t="s">
        <v>281</v>
      </c>
      <c r="B82" s="77">
        <v>0</v>
      </c>
      <c r="C82" s="77">
        <v>0</v>
      </c>
      <c r="D82" s="77">
        <v>0</v>
      </c>
      <c r="E82" s="77">
        <v>0</v>
      </c>
      <c r="F82" s="77">
        <v>0</v>
      </c>
      <c r="G82" s="77">
        <v>0</v>
      </c>
      <c r="H82" s="4">
        <v>0</v>
      </c>
      <c r="I82" s="77">
        <v>0</v>
      </c>
      <c r="J82" s="77">
        <v>0</v>
      </c>
      <c r="K82" s="77">
        <v>0</v>
      </c>
      <c r="L82" s="77">
        <v>0</v>
      </c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ht="15.75" customHeight="1">
      <c r="A83" s="84" t="s">
        <v>29</v>
      </c>
      <c r="B83" s="84">
        <v>0</v>
      </c>
      <c r="C83" s="84">
        <v>0</v>
      </c>
      <c r="D83" s="84">
        <v>0</v>
      </c>
      <c r="E83" s="84">
        <v>0</v>
      </c>
      <c r="F83" s="84">
        <v>0</v>
      </c>
      <c r="G83" s="84">
        <v>0</v>
      </c>
      <c r="H83" s="80">
        <v>0</v>
      </c>
      <c r="I83" s="84">
        <v>0</v>
      </c>
      <c r="J83" s="84">
        <v>0</v>
      </c>
      <c r="K83" s="84">
        <v>0</v>
      </c>
      <c r="L83" s="84">
        <v>0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ht="15.75" customHeight="1">
      <c r="A84" s="77" t="s">
        <v>274</v>
      </c>
      <c r="B84" s="77">
        <v>0</v>
      </c>
      <c r="C84" s="77">
        <v>0</v>
      </c>
      <c r="D84" s="77">
        <v>0</v>
      </c>
      <c r="E84" s="77">
        <v>0</v>
      </c>
      <c r="F84" s="77">
        <v>0</v>
      </c>
      <c r="G84" s="77">
        <v>0</v>
      </c>
      <c r="H84" s="4">
        <v>0</v>
      </c>
      <c r="I84" s="77">
        <v>0</v>
      </c>
      <c r="J84" s="77">
        <v>0</v>
      </c>
      <c r="K84" s="77">
        <v>0</v>
      </c>
      <c r="L84" s="77">
        <v>0</v>
      </c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ht="15.75" customHeight="1">
      <c r="A85" s="77" t="s">
        <v>275</v>
      </c>
      <c r="B85" s="77">
        <v>0</v>
      </c>
      <c r="C85" s="77">
        <v>0</v>
      </c>
      <c r="D85" s="77">
        <v>0</v>
      </c>
      <c r="E85" s="77">
        <v>0</v>
      </c>
      <c r="F85" s="77">
        <v>0</v>
      </c>
      <c r="G85" s="77">
        <v>0</v>
      </c>
      <c r="H85" s="4">
        <v>0</v>
      </c>
      <c r="I85" s="77">
        <v>0</v>
      </c>
      <c r="J85" s="77">
        <v>0</v>
      </c>
      <c r="K85" s="77">
        <v>0</v>
      </c>
      <c r="L85" s="77">
        <v>0</v>
      </c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ht="15.75" customHeight="1">
      <c r="A86" s="77" t="s">
        <v>276</v>
      </c>
      <c r="B86" s="77">
        <v>0</v>
      </c>
      <c r="C86" s="77">
        <v>0</v>
      </c>
      <c r="D86" s="77">
        <v>0</v>
      </c>
      <c r="E86" s="77">
        <v>0</v>
      </c>
      <c r="F86" s="77">
        <v>0</v>
      </c>
      <c r="G86" s="77">
        <v>0</v>
      </c>
      <c r="H86" s="4">
        <v>0</v>
      </c>
      <c r="I86" s="77">
        <v>0</v>
      </c>
      <c r="J86" s="77">
        <v>0</v>
      </c>
      <c r="K86" s="77">
        <v>0</v>
      </c>
      <c r="L86" s="77">
        <v>0</v>
      </c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ht="15.75" customHeight="1">
      <c r="A87" s="77" t="s">
        <v>277</v>
      </c>
      <c r="B87" s="77">
        <v>0</v>
      </c>
      <c r="C87" s="77">
        <v>0</v>
      </c>
      <c r="D87" s="77">
        <v>0</v>
      </c>
      <c r="E87" s="77">
        <v>0</v>
      </c>
      <c r="F87" s="77">
        <v>0</v>
      </c>
      <c r="G87" s="77">
        <v>0</v>
      </c>
      <c r="H87" s="4">
        <v>0</v>
      </c>
      <c r="I87" s="77">
        <v>0</v>
      </c>
      <c r="J87" s="77">
        <v>0</v>
      </c>
      <c r="K87" s="77">
        <v>0</v>
      </c>
      <c r="L87" s="77">
        <v>0</v>
      </c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ht="15.75" customHeight="1">
      <c r="A88" s="77" t="s">
        <v>278</v>
      </c>
      <c r="B88" s="77">
        <v>0</v>
      </c>
      <c r="C88" s="77">
        <v>0</v>
      </c>
      <c r="D88" s="77">
        <v>0</v>
      </c>
      <c r="E88" s="77">
        <v>0</v>
      </c>
      <c r="F88" s="77">
        <v>0</v>
      </c>
      <c r="G88" s="77">
        <v>0</v>
      </c>
      <c r="H88" s="4">
        <v>0</v>
      </c>
      <c r="I88" s="77">
        <v>0</v>
      </c>
      <c r="J88" s="77">
        <v>0</v>
      </c>
      <c r="K88" s="77">
        <v>0</v>
      </c>
      <c r="L88" s="77">
        <v>0</v>
      </c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ht="15.75" customHeight="1">
      <c r="A89" s="77" t="s">
        <v>279</v>
      </c>
      <c r="B89" s="77">
        <v>0</v>
      </c>
      <c r="C89" s="77">
        <v>0</v>
      </c>
      <c r="D89" s="77">
        <v>0</v>
      </c>
      <c r="E89" s="77">
        <v>0</v>
      </c>
      <c r="F89" s="77">
        <v>0</v>
      </c>
      <c r="G89" s="77">
        <v>0</v>
      </c>
      <c r="H89" s="4">
        <v>0</v>
      </c>
      <c r="I89" s="77">
        <v>0</v>
      </c>
      <c r="J89" s="77">
        <v>0</v>
      </c>
      <c r="K89" s="77">
        <v>0</v>
      </c>
      <c r="L89" s="77">
        <v>0</v>
      </c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ht="15.75" customHeight="1">
      <c r="A90" s="77" t="s">
        <v>280</v>
      </c>
      <c r="B90" s="77">
        <v>0</v>
      </c>
      <c r="C90" s="77">
        <v>0</v>
      </c>
      <c r="D90" s="77">
        <v>0</v>
      </c>
      <c r="E90" s="77">
        <v>0</v>
      </c>
      <c r="F90" s="77">
        <v>0</v>
      </c>
      <c r="G90" s="77">
        <v>0</v>
      </c>
      <c r="H90" s="4">
        <v>0</v>
      </c>
      <c r="I90" s="77">
        <v>0</v>
      </c>
      <c r="J90" s="77">
        <v>0</v>
      </c>
      <c r="K90" s="77">
        <v>0</v>
      </c>
      <c r="L90" s="77">
        <v>0</v>
      </c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ht="15.75" customHeight="1">
      <c r="A91" s="77" t="s">
        <v>281</v>
      </c>
      <c r="B91" s="77">
        <v>0</v>
      </c>
      <c r="C91" s="77">
        <v>0</v>
      </c>
      <c r="D91" s="77">
        <v>0</v>
      </c>
      <c r="E91" s="77">
        <v>0</v>
      </c>
      <c r="F91" s="77">
        <v>0</v>
      </c>
      <c r="G91" s="77">
        <v>0</v>
      </c>
      <c r="H91" s="4">
        <v>0</v>
      </c>
      <c r="I91" s="77">
        <v>0</v>
      </c>
      <c r="J91" s="77">
        <v>0</v>
      </c>
      <c r="K91" s="77">
        <v>0</v>
      </c>
      <c r="L91" s="77">
        <v>0</v>
      </c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ht="15.75" customHeight="1">
      <c r="A92" s="84" t="s">
        <v>30</v>
      </c>
      <c r="B92" s="84">
        <v>0</v>
      </c>
      <c r="C92" s="84">
        <v>0</v>
      </c>
      <c r="D92" s="84">
        <v>0</v>
      </c>
      <c r="E92" s="84">
        <v>0</v>
      </c>
      <c r="F92" s="84">
        <v>0</v>
      </c>
      <c r="G92" s="84">
        <v>0</v>
      </c>
      <c r="H92" s="80">
        <v>0</v>
      </c>
      <c r="I92" s="84">
        <v>0</v>
      </c>
      <c r="J92" s="84">
        <v>0</v>
      </c>
      <c r="K92" s="84">
        <v>0</v>
      </c>
      <c r="L92" s="84">
        <v>0</v>
      </c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ht="15.75" customHeight="1">
      <c r="A93" s="77" t="s">
        <v>274</v>
      </c>
      <c r="B93" s="77">
        <v>0</v>
      </c>
      <c r="C93" s="77">
        <v>0</v>
      </c>
      <c r="D93" s="77">
        <v>0</v>
      </c>
      <c r="E93" s="77">
        <v>0</v>
      </c>
      <c r="F93" s="77">
        <v>0</v>
      </c>
      <c r="G93" s="77">
        <v>0</v>
      </c>
      <c r="H93" s="4">
        <v>0</v>
      </c>
      <c r="I93" s="77">
        <v>0</v>
      </c>
      <c r="J93" s="77">
        <v>0</v>
      </c>
      <c r="K93" s="77">
        <v>0</v>
      </c>
      <c r="L93" s="77">
        <v>0</v>
      </c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.75" customHeight="1">
      <c r="A94" s="77" t="s">
        <v>275</v>
      </c>
      <c r="B94" s="77">
        <v>0</v>
      </c>
      <c r="C94" s="77">
        <v>0</v>
      </c>
      <c r="D94" s="77">
        <v>0</v>
      </c>
      <c r="E94" s="77">
        <v>0</v>
      </c>
      <c r="F94" s="77">
        <v>0</v>
      </c>
      <c r="G94" s="77">
        <v>0</v>
      </c>
      <c r="H94" s="4">
        <v>0</v>
      </c>
      <c r="I94" s="77">
        <v>0</v>
      </c>
      <c r="J94" s="77">
        <v>0</v>
      </c>
      <c r="K94" s="77">
        <v>0</v>
      </c>
      <c r="L94" s="77">
        <v>0</v>
      </c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15.75" customHeight="1">
      <c r="A95" s="77" t="s">
        <v>276</v>
      </c>
      <c r="B95" s="77">
        <v>0</v>
      </c>
      <c r="C95" s="77">
        <v>0</v>
      </c>
      <c r="D95" s="77">
        <v>0</v>
      </c>
      <c r="E95" s="77">
        <v>0</v>
      </c>
      <c r="F95" s="77">
        <v>0</v>
      </c>
      <c r="G95" s="77">
        <v>0</v>
      </c>
      <c r="H95" s="4">
        <v>0</v>
      </c>
      <c r="I95" s="77">
        <v>0</v>
      </c>
      <c r="J95" s="77">
        <v>0</v>
      </c>
      <c r="K95" s="77">
        <v>0</v>
      </c>
      <c r="L95" s="77">
        <v>0</v>
      </c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.75" customHeight="1">
      <c r="A96" s="77" t="s">
        <v>277</v>
      </c>
      <c r="B96" s="77">
        <v>0</v>
      </c>
      <c r="C96" s="77">
        <v>0</v>
      </c>
      <c r="D96" s="77">
        <v>0</v>
      </c>
      <c r="E96" s="77">
        <v>0</v>
      </c>
      <c r="F96" s="77">
        <v>0</v>
      </c>
      <c r="G96" s="77">
        <v>0</v>
      </c>
      <c r="H96" s="4">
        <v>0</v>
      </c>
      <c r="I96" s="77">
        <v>0</v>
      </c>
      <c r="J96" s="77">
        <v>0</v>
      </c>
      <c r="K96" s="77">
        <v>0</v>
      </c>
      <c r="L96" s="77">
        <v>0</v>
      </c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.75" customHeight="1">
      <c r="A97" s="77" t="s">
        <v>278</v>
      </c>
      <c r="B97" s="77">
        <v>0</v>
      </c>
      <c r="C97" s="77">
        <v>0</v>
      </c>
      <c r="D97" s="77">
        <v>0</v>
      </c>
      <c r="E97" s="77">
        <v>0</v>
      </c>
      <c r="F97" s="77">
        <v>0</v>
      </c>
      <c r="G97" s="77">
        <v>0</v>
      </c>
      <c r="H97" s="4">
        <v>0</v>
      </c>
      <c r="I97" s="77">
        <v>0</v>
      </c>
      <c r="J97" s="77">
        <v>0</v>
      </c>
      <c r="K97" s="77">
        <v>0</v>
      </c>
      <c r="L97" s="77">
        <v>0</v>
      </c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.75" customHeight="1">
      <c r="A98" s="77" t="s">
        <v>279</v>
      </c>
      <c r="B98" s="77">
        <v>0</v>
      </c>
      <c r="C98" s="77">
        <v>0</v>
      </c>
      <c r="D98" s="77">
        <v>0</v>
      </c>
      <c r="E98" s="77">
        <v>0</v>
      </c>
      <c r="F98" s="77">
        <v>0</v>
      </c>
      <c r="G98" s="77">
        <v>0</v>
      </c>
      <c r="H98" s="4">
        <v>0</v>
      </c>
      <c r="I98" s="77">
        <v>0</v>
      </c>
      <c r="J98" s="77">
        <v>0</v>
      </c>
      <c r="K98" s="77">
        <v>0</v>
      </c>
      <c r="L98" s="77">
        <v>0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.75" customHeight="1">
      <c r="A99" s="77" t="s">
        <v>280</v>
      </c>
      <c r="B99" s="77">
        <v>0</v>
      </c>
      <c r="C99" s="77">
        <v>0</v>
      </c>
      <c r="D99" s="77">
        <v>0</v>
      </c>
      <c r="E99" s="77">
        <v>0</v>
      </c>
      <c r="F99" s="77">
        <v>0</v>
      </c>
      <c r="G99" s="77">
        <v>0</v>
      </c>
      <c r="H99" s="4">
        <v>0</v>
      </c>
      <c r="I99" s="77">
        <v>0</v>
      </c>
      <c r="J99" s="77">
        <v>0</v>
      </c>
      <c r="K99" s="77">
        <v>0</v>
      </c>
      <c r="L99" s="77">
        <v>0</v>
      </c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15.75" customHeight="1">
      <c r="A100" s="77" t="s">
        <v>281</v>
      </c>
      <c r="B100" s="77">
        <v>0</v>
      </c>
      <c r="C100" s="77">
        <v>0</v>
      </c>
      <c r="D100" s="77">
        <v>0</v>
      </c>
      <c r="E100" s="77">
        <v>0</v>
      </c>
      <c r="F100" s="77">
        <v>0</v>
      </c>
      <c r="G100" s="77">
        <v>0</v>
      </c>
      <c r="H100" s="4">
        <v>0</v>
      </c>
      <c r="I100" s="77">
        <v>0</v>
      </c>
      <c r="J100" s="77">
        <v>0</v>
      </c>
      <c r="K100" s="77">
        <v>0</v>
      </c>
      <c r="L100" s="77">
        <v>0</v>
      </c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15.75" customHeight="1">
      <c r="A101" s="84" t="s">
        <v>33</v>
      </c>
      <c r="B101" s="84">
        <v>0</v>
      </c>
      <c r="C101" s="84">
        <v>0</v>
      </c>
      <c r="D101" s="84">
        <v>0</v>
      </c>
      <c r="E101" s="84">
        <v>0</v>
      </c>
      <c r="F101" s="84">
        <v>0</v>
      </c>
      <c r="G101" s="84">
        <v>0</v>
      </c>
      <c r="H101" s="80">
        <v>0</v>
      </c>
      <c r="I101" s="84">
        <v>0</v>
      </c>
      <c r="J101" s="84">
        <v>0</v>
      </c>
      <c r="K101" s="84">
        <v>0</v>
      </c>
      <c r="L101" s="84">
        <v>0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.75" customHeight="1">
      <c r="A102" s="77" t="s">
        <v>274</v>
      </c>
      <c r="B102" s="77">
        <v>0</v>
      </c>
      <c r="C102" s="77">
        <v>0</v>
      </c>
      <c r="D102" s="77">
        <v>0</v>
      </c>
      <c r="E102" s="77">
        <v>0</v>
      </c>
      <c r="F102" s="77">
        <v>0</v>
      </c>
      <c r="G102" s="77">
        <v>0</v>
      </c>
      <c r="H102" s="4">
        <v>0</v>
      </c>
      <c r="I102" s="77">
        <v>0</v>
      </c>
      <c r="J102" s="77">
        <v>0</v>
      </c>
      <c r="K102" s="77">
        <v>0</v>
      </c>
      <c r="L102" s="77">
        <v>0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15.75" customHeight="1">
      <c r="A103" s="77" t="s">
        <v>275</v>
      </c>
      <c r="B103" s="77">
        <v>0</v>
      </c>
      <c r="C103" s="77">
        <v>0</v>
      </c>
      <c r="D103" s="77">
        <v>0</v>
      </c>
      <c r="E103" s="77">
        <v>0</v>
      </c>
      <c r="F103" s="77">
        <v>0</v>
      </c>
      <c r="G103" s="77">
        <v>0</v>
      </c>
      <c r="H103" s="4">
        <v>0</v>
      </c>
      <c r="I103" s="77">
        <v>0</v>
      </c>
      <c r="J103" s="77">
        <v>0</v>
      </c>
      <c r="K103" s="77">
        <v>0</v>
      </c>
      <c r="L103" s="77">
        <v>0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15.75" customHeight="1">
      <c r="A104" s="77" t="s">
        <v>276</v>
      </c>
      <c r="B104" s="77">
        <v>0</v>
      </c>
      <c r="C104" s="77">
        <v>0</v>
      </c>
      <c r="D104" s="77">
        <v>0</v>
      </c>
      <c r="E104" s="77">
        <v>0</v>
      </c>
      <c r="F104" s="77">
        <v>0</v>
      </c>
      <c r="G104" s="77">
        <v>0</v>
      </c>
      <c r="H104" s="4">
        <v>0</v>
      </c>
      <c r="I104" s="77">
        <v>0</v>
      </c>
      <c r="J104" s="77">
        <v>0</v>
      </c>
      <c r="K104" s="77">
        <v>0</v>
      </c>
      <c r="L104" s="77">
        <v>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.75" customHeight="1">
      <c r="A105" s="77" t="s">
        <v>277</v>
      </c>
      <c r="B105" s="77">
        <v>0</v>
      </c>
      <c r="C105" s="77">
        <v>0</v>
      </c>
      <c r="D105" s="77">
        <v>0</v>
      </c>
      <c r="E105" s="77">
        <v>0</v>
      </c>
      <c r="F105" s="77">
        <v>0</v>
      </c>
      <c r="G105" s="77">
        <v>0</v>
      </c>
      <c r="H105" s="4">
        <v>0</v>
      </c>
      <c r="I105" s="77">
        <v>0</v>
      </c>
      <c r="J105" s="77">
        <v>0</v>
      </c>
      <c r="K105" s="77">
        <v>0</v>
      </c>
      <c r="L105" s="77">
        <v>0</v>
      </c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15.75" customHeight="1">
      <c r="A106" s="77" t="s">
        <v>278</v>
      </c>
      <c r="B106" s="77">
        <v>0</v>
      </c>
      <c r="C106" s="77">
        <v>0</v>
      </c>
      <c r="D106" s="77">
        <v>0</v>
      </c>
      <c r="E106" s="77">
        <v>0</v>
      </c>
      <c r="F106" s="77">
        <v>0</v>
      </c>
      <c r="G106" s="77">
        <v>0</v>
      </c>
      <c r="H106" s="4">
        <v>0</v>
      </c>
      <c r="I106" s="77">
        <v>0</v>
      </c>
      <c r="J106" s="77">
        <v>0</v>
      </c>
      <c r="K106" s="77">
        <v>0</v>
      </c>
      <c r="L106" s="77">
        <v>0</v>
      </c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.75" customHeight="1">
      <c r="A107" s="77" t="s">
        <v>279</v>
      </c>
      <c r="B107" s="77">
        <v>0</v>
      </c>
      <c r="C107" s="77">
        <v>0</v>
      </c>
      <c r="D107" s="77">
        <v>0</v>
      </c>
      <c r="E107" s="77">
        <v>0</v>
      </c>
      <c r="F107" s="77">
        <v>0</v>
      </c>
      <c r="G107" s="77">
        <v>0</v>
      </c>
      <c r="H107" s="4">
        <v>0</v>
      </c>
      <c r="I107" s="77">
        <v>0</v>
      </c>
      <c r="J107" s="77">
        <v>0</v>
      </c>
      <c r="K107" s="77">
        <v>0</v>
      </c>
      <c r="L107" s="77">
        <v>0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15.75" customHeight="1">
      <c r="A108" s="77" t="s">
        <v>280</v>
      </c>
      <c r="B108" s="77">
        <v>0</v>
      </c>
      <c r="C108" s="77">
        <v>0</v>
      </c>
      <c r="D108" s="77">
        <v>0</v>
      </c>
      <c r="E108" s="77">
        <v>0</v>
      </c>
      <c r="F108" s="77">
        <v>0</v>
      </c>
      <c r="G108" s="77">
        <v>0</v>
      </c>
      <c r="H108" s="4">
        <v>0</v>
      </c>
      <c r="I108" s="77">
        <v>0</v>
      </c>
      <c r="J108" s="77">
        <v>0</v>
      </c>
      <c r="K108" s="77">
        <v>0</v>
      </c>
      <c r="L108" s="77">
        <v>0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15.75" customHeight="1">
      <c r="A109" s="77" t="s">
        <v>281</v>
      </c>
      <c r="B109" s="77">
        <v>0</v>
      </c>
      <c r="C109" s="77">
        <v>0</v>
      </c>
      <c r="D109" s="77">
        <v>0</v>
      </c>
      <c r="E109" s="77">
        <v>0</v>
      </c>
      <c r="F109" s="77">
        <v>0</v>
      </c>
      <c r="G109" s="77">
        <v>0</v>
      </c>
      <c r="H109" s="4">
        <v>0</v>
      </c>
      <c r="I109" s="77">
        <v>0</v>
      </c>
      <c r="J109" s="77">
        <v>0</v>
      </c>
      <c r="K109" s="77">
        <v>0</v>
      </c>
      <c r="L109" s="77">
        <v>0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ht="15.75" customHeight="1">
      <c r="A110" s="84" t="s">
        <v>35</v>
      </c>
      <c r="B110" s="84">
        <v>0</v>
      </c>
      <c r="C110" s="84">
        <v>0</v>
      </c>
      <c r="D110" s="84">
        <v>0</v>
      </c>
      <c r="E110" s="84">
        <v>0</v>
      </c>
      <c r="F110" s="84">
        <v>0</v>
      </c>
      <c r="G110" s="84">
        <v>0</v>
      </c>
      <c r="H110" s="80">
        <v>0</v>
      </c>
      <c r="I110" s="84">
        <v>0</v>
      </c>
      <c r="J110" s="84">
        <v>0</v>
      </c>
      <c r="K110" s="84">
        <v>0</v>
      </c>
      <c r="L110" s="84">
        <v>0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.75" customHeight="1">
      <c r="A111" s="77" t="s">
        <v>274</v>
      </c>
      <c r="B111" s="77">
        <v>0</v>
      </c>
      <c r="C111" s="77">
        <v>0</v>
      </c>
      <c r="D111" s="77">
        <v>0</v>
      </c>
      <c r="E111" s="77">
        <v>0</v>
      </c>
      <c r="F111" s="77">
        <v>0</v>
      </c>
      <c r="G111" s="77">
        <v>0</v>
      </c>
      <c r="H111" s="4">
        <v>0</v>
      </c>
      <c r="I111" s="77">
        <v>0</v>
      </c>
      <c r="J111" s="77">
        <v>0</v>
      </c>
      <c r="K111" s="77">
        <v>0</v>
      </c>
      <c r="L111" s="77">
        <v>0</v>
      </c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.75" customHeight="1">
      <c r="A112" s="77" t="s">
        <v>275</v>
      </c>
      <c r="B112" s="77">
        <v>0</v>
      </c>
      <c r="C112" s="77">
        <v>0</v>
      </c>
      <c r="D112" s="77">
        <v>0</v>
      </c>
      <c r="E112" s="77">
        <v>0</v>
      </c>
      <c r="F112" s="77">
        <v>0</v>
      </c>
      <c r="G112" s="77">
        <v>0</v>
      </c>
      <c r="H112" s="4">
        <v>0</v>
      </c>
      <c r="I112" s="77">
        <v>0</v>
      </c>
      <c r="J112" s="77">
        <v>0</v>
      </c>
      <c r="K112" s="77">
        <v>0</v>
      </c>
      <c r="L112" s="77">
        <v>0</v>
      </c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.75" customHeight="1">
      <c r="A113" s="77" t="s">
        <v>276</v>
      </c>
      <c r="B113" s="77">
        <v>0</v>
      </c>
      <c r="C113" s="77">
        <v>0</v>
      </c>
      <c r="D113" s="77">
        <v>0</v>
      </c>
      <c r="E113" s="77">
        <v>0</v>
      </c>
      <c r="F113" s="77">
        <v>0</v>
      </c>
      <c r="G113" s="77">
        <v>0</v>
      </c>
      <c r="H113" s="4">
        <v>0</v>
      </c>
      <c r="I113" s="77">
        <v>0</v>
      </c>
      <c r="J113" s="77">
        <v>0</v>
      </c>
      <c r="K113" s="77">
        <v>0</v>
      </c>
      <c r="L113" s="77">
        <v>0</v>
      </c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.75" customHeight="1">
      <c r="A114" s="77" t="s">
        <v>277</v>
      </c>
      <c r="B114" s="77">
        <v>0</v>
      </c>
      <c r="C114" s="77">
        <v>0</v>
      </c>
      <c r="D114" s="77">
        <v>0</v>
      </c>
      <c r="E114" s="77">
        <v>0</v>
      </c>
      <c r="F114" s="77">
        <v>0</v>
      </c>
      <c r="G114" s="77">
        <v>0</v>
      </c>
      <c r="H114" s="4">
        <v>0</v>
      </c>
      <c r="I114" s="77">
        <v>0</v>
      </c>
      <c r="J114" s="77">
        <v>0</v>
      </c>
      <c r="K114" s="77">
        <v>0</v>
      </c>
      <c r="L114" s="77">
        <v>0</v>
      </c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.75" customHeight="1">
      <c r="A115" s="77" t="s">
        <v>278</v>
      </c>
      <c r="B115" s="77">
        <v>0</v>
      </c>
      <c r="C115" s="77">
        <v>0</v>
      </c>
      <c r="D115" s="77">
        <v>0</v>
      </c>
      <c r="E115" s="77">
        <v>0</v>
      </c>
      <c r="F115" s="77">
        <v>0</v>
      </c>
      <c r="G115" s="77">
        <v>0</v>
      </c>
      <c r="H115" s="4">
        <v>0</v>
      </c>
      <c r="I115" s="77">
        <v>0</v>
      </c>
      <c r="J115" s="77">
        <v>0</v>
      </c>
      <c r="K115" s="77">
        <v>0</v>
      </c>
      <c r="L115" s="77">
        <v>0</v>
      </c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15.75" customHeight="1">
      <c r="A116" s="77" t="s">
        <v>279</v>
      </c>
      <c r="B116" s="77">
        <v>0</v>
      </c>
      <c r="C116" s="77">
        <v>0</v>
      </c>
      <c r="D116" s="77">
        <v>0</v>
      </c>
      <c r="E116" s="77">
        <v>0</v>
      </c>
      <c r="F116" s="77">
        <v>0</v>
      </c>
      <c r="G116" s="77">
        <v>0</v>
      </c>
      <c r="H116" s="4">
        <v>0</v>
      </c>
      <c r="I116" s="77">
        <v>0</v>
      </c>
      <c r="J116" s="77">
        <v>0</v>
      </c>
      <c r="K116" s="77">
        <v>0</v>
      </c>
      <c r="L116" s="77">
        <v>0</v>
      </c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.75" customHeight="1">
      <c r="A117" s="77" t="s">
        <v>280</v>
      </c>
      <c r="B117" s="77">
        <v>0</v>
      </c>
      <c r="C117" s="77">
        <v>0</v>
      </c>
      <c r="D117" s="77">
        <v>0</v>
      </c>
      <c r="E117" s="77">
        <v>0</v>
      </c>
      <c r="F117" s="77">
        <v>0</v>
      </c>
      <c r="G117" s="77">
        <v>0</v>
      </c>
      <c r="H117" s="4">
        <v>0</v>
      </c>
      <c r="I117" s="77">
        <v>0</v>
      </c>
      <c r="J117" s="77">
        <v>0</v>
      </c>
      <c r="K117" s="77">
        <v>0</v>
      </c>
      <c r="L117" s="77">
        <v>0</v>
      </c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.75" customHeight="1">
      <c r="A118" s="77" t="s">
        <v>281</v>
      </c>
      <c r="B118" s="77">
        <v>0</v>
      </c>
      <c r="C118" s="77">
        <v>0</v>
      </c>
      <c r="D118" s="77">
        <v>0</v>
      </c>
      <c r="E118" s="77">
        <v>0</v>
      </c>
      <c r="F118" s="77">
        <v>0</v>
      </c>
      <c r="G118" s="77">
        <v>0</v>
      </c>
      <c r="H118" s="4">
        <v>0</v>
      </c>
      <c r="I118" s="77">
        <v>0</v>
      </c>
      <c r="J118" s="77">
        <v>0</v>
      </c>
      <c r="K118" s="77">
        <v>0</v>
      </c>
      <c r="L118" s="77">
        <v>0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.75" customHeight="1">
      <c r="A119" s="84" t="s">
        <v>37</v>
      </c>
      <c r="B119" s="84">
        <v>0</v>
      </c>
      <c r="C119" s="84">
        <v>0</v>
      </c>
      <c r="D119" s="84">
        <v>0</v>
      </c>
      <c r="E119" s="84">
        <v>0</v>
      </c>
      <c r="F119" s="84">
        <v>0</v>
      </c>
      <c r="G119" s="84">
        <v>0</v>
      </c>
      <c r="H119" s="80">
        <v>0</v>
      </c>
      <c r="I119" s="84">
        <v>0</v>
      </c>
      <c r="J119" s="84">
        <v>0</v>
      </c>
      <c r="K119" s="84">
        <v>0</v>
      </c>
      <c r="L119" s="84">
        <v>0</v>
      </c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.75" customHeight="1">
      <c r="A120" s="77" t="s">
        <v>274</v>
      </c>
      <c r="B120" s="77">
        <v>0</v>
      </c>
      <c r="C120" s="77">
        <v>0</v>
      </c>
      <c r="D120" s="77">
        <v>0</v>
      </c>
      <c r="E120" s="77">
        <v>0</v>
      </c>
      <c r="F120" s="77">
        <v>0</v>
      </c>
      <c r="G120" s="77">
        <v>0</v>
      </c>
      <c r="H120" s="4">
        <v>0</v>
      </c>
      <c r="I120" s="77">
        <v>0</v>
      </c>
      <c r="J120" s="77">
        <v>0</v>
      </c>
      <c r="K120" s="77">
        <v>0</v>
      </c>
      <c r="L120" s="77">
        <v>0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.75" customHeight="1">
      <c r="A121" s="77" t="s">
        <v>275</v>
      </c>
      <c r="B121" s="77">
        <v>0</v>
      </c>
      <c r="C121" s="77">
        <v>0</v>
      </c>
      <c r="D121" s="77">
        <v>0</v>
      </c>
      <c r="E121" s="77">
        <v>0</v>
      </c>
      <c r="F121" s="77">
        <v>0</v>
      </c>
      <c r="G121" s="77">
        <v>0</v>
      </c>
      <c r="H121" s="4">
        <v>0</v>
      </c>
      <c r="I121" s="77">
        <v>0</v>
      </c>
      <c r="J121" s="77">
        <v>0</v>
      </c>
      <c r="K121" s="77">
        <v>0</v>
      </c>
      <c r="L121" s="77">
        <v>0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.75" customHeight="1">
      <c r="A122" s="77" t="s">
        <v>276</v>
      </c>
      <c r="B122" s="77">
        <v>0</v>
      </c>
      <c r="C122" s="77">
        <v>0</v>
      </c>
      <c r="D122" s="77">
        <v>0</v>
      </c>
      <c r="E122" s="77">
        <v>0</v>
      </c>
      <c r="F122" s="77">
        <v>0</v>
      </c>
      <c r="G122" s="77">
        <v>0</v>
      </c>
      <c r="H122" s="4">
        <v>0</v>
      </c>
      <c r="I122" s="77">
        <v>0</v>
      </c>
      <c r="J122" s="77">
        <v>0</v>
      </c>
      <c r="K122" s="77">
        <v>0</v>
      </c>
      <c r="L122" s="77">
        <v>0</v>
      </c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.75" customHeight="1">
      <c r="A123" s="77" t="s">
        <v>277</v>
      </c>
      <c r="B123" s="77">
        <v>0</v>
      </c>
      <c r="C123" s="77">
        <v>0</v>
      </c>
      <c r="D123" s="77">
        <v>0</v>
      </c>
      <c r="E123" s="77">
        <v>0</v>
      </c>
      <c r="F123" s="77">
        <v>0</v>
      </c>
      <c r="G123" s="77">
        <v>0</v>
      </c>
      <c r="H123" s="4">
        <v>0</v>
      </c>
      <c r="I123" s="77">
        <v>0</v>
      </c>
      <c r="J123" s="77">
        <v>0</v>
      </c>
      <c r="K123" s="77">
        <v>0</v>
      </c>
      <c r="L123" s="77">
        <v>0</v>
      </c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.75" customHeight="1">
      <c r="A124" s="77" t="s">
        <v>278</v>
      </c>
      <c r="B124" s="77">
        <v>0</v>
      </c>
      <c r="C124" s="77">
        <v>0</v>
      </c>
      <c r="D124" s="77">
        <v>0</v>
      </c>
      <c r="E124" s="77">
        <v>0</v>
      </c>
      <c r="F124" s="77">
        <v>0</v>
      </c>
      <c r="G124" s="77">
        <v>0</v>
      </c>
      <c r="H124" s="4">
        <v>0</v>
      </c>
      <c r="I124" s="77">
        <v>0</v>
      </c>
      <c r="J124" s="77">
        <v>0</v>
      </c>
      <c r="K124" s="77">
        <v>0</v>
      </c>
      <c r="L124" s="77">
        <v>0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.75" customHeight="1">
      <c r="A125" s="77" t="s">
        <v>279</v>
      </c>
      <c r="B125" s="77">
        <v>0</v>
      </c>
      <c r="C125" s="77">
        <v>0</v>
      </c>
      <c r="D125" s="77">
        <v>0</v>
      </c>
      <c r="E125" s="77">
        <v>0</v>
      </c>
      <c r="F125" s="77">
        <v>0</v>
      </c>
      <c r="G125" s="77">
        <v>0</v>
      </c>
      <c r="H125" s="4">
        <v>0</v>
      </c>
      <c r="I125" s="77">
        <v>0</v>
      </c>
      <c r="J125" s="77">
        <v>0</v>
      </c>
      <c r="K125" s="77">
        <v>0</v>
      </c>
      <c r="L125" s="77">
        <v>0</v>
      </c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.75" customHeight="1">
      <c r="A126" s="77" t="s">
        <v>280</v>
      </c>
      <c r="B126" s="77">
        <v>0</v>
      </c>
      <c r="C126" s="77">
        <v>0</v>
      </c>
      <c r="D126" s="77">
        <v>0</v>
      </c>
      <c r="E126" s="77">
        <v>0</v>
      </c>
      <c r="F126" s="77">
        <v>0</v>
      </c>
      <c r="G126" s="77">
        <v>0</v>
      </c>
      <c r="H126" s="4">
        <v>0</v>
      </c>
      <c r="I126" s="77">
        <v>0</v>
      </c>
      <c r="J126" s="77">
        <v>0</v>
      </c>
      <c r="K126" s="77">
        <v>0</v>
      </c>
      <c r="L126" s="77">
        <v>0</v>
      </c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.75" customHeight="1">
      <c r="A127" s="77" t="s">
        <v>281</v>
      </c>
      <c r="B127" s="77">
        <v>0</v>
      </c>
      <c r="C127" s="77">
        <v>0</v>
      </c>
      <c r="D127" s="77">
        <v>0</v>
      </c>
      <c r="E127" s="77">
        <v>0</v>
      </c>
      <c r="F127" s="77">
        <v>0</v>
      </c>
      <c r="G127" s="77">
        <v>0</v>
      </c>
      <c r="H127" s="4">
        <v>0</v>
      </c>
      <c r="I127" s="77">
        <v>0</v>
      </c>
      <c r="J127" s="77">
        <v>0</v>
      </c>
      <c r="K127" s="77">
        <v>0</v>
      </c>
      <c r="L127" s="77">
        <v>0</v>
      </c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.75" customHeight="1">
      <c r="A128" s="84" t="s">
        <v>39</v>
      </c>
      <c r="B128" s="84">
        <v>0</v>
      </c>
      <c r="C128" s="84">
        <v>0</v>
      </c>
      <c r="D128" s="84">
        <v>0</v>
      </c>
      <c r="E128" s="84">
        <v>0</v>
      </c>
      <c r="F128" s="84">
        <v>0</v>
      </c>
      <c r="G128" s="84">
        <v>0</v>
      </c>
      <c r="H128" s="80">
        <v>0</v>
      </c>
      <c r="I128" s="84">
        <v>0</v>
      </c>
      <c r="J128" s="84">
        <v>0</v>
      </c>
      <c r="K128" s="84">
        <v>0</v>
      </c>
      <c r="L128" s="84">
        <v>0</v>
      </c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.75" customHeight="1">
      <c r="A129" s="77" t="s">
        <v>274</v>
      </c>
      <c r="B129" s="77">
        <v>0</v>
      </c>
      <c r="C129" s="77">
        <v>0</v>
      </c>
      <c r="D129" s="77">
        <v>0</v>
      </c>
      <c r="E129" s="77">
        <v>0</v>
      </c>
      <c r="F129" s="77">
        <v>0</v>
      </c>
      <c r="G129" s="77">
        <v>0</v>
      </c>
      <c r="H129" s="4">
        <v>0</v>
      </c>
      <c r="I129" s="77">
        <v>0</v>
      </c>
      <c r="J129" s="77">
        <v>0</v>
      </c>
      <c r="K129" s="77">
        <v>0</v>
      </c>
      <c r="L129" s="77">
        <v>0</v>
      </c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.75" customHeight="1">
      <c r="A130" s="77" t="s">
        <v>275</v>
      </c>
      <c r="B130" s="77">
        <v>0</v>
      </c>
      <c r="C130" s="77">
        <v>0</v>
      </c>
      <c r="D130" s="77">
        <v>0</v>
      </c>
      <c r="E130" s="77">
        <v>0</v>
      </c>
      <c r="F130" s="77">
        <v>0</v>
      </c>
      <c r="G130" s="77">
        <v>0</v>
      </c>
      <c r="H130" s="4">
        <v>0</v>
      </c>
      <c r="I130" s="77">
        <v>0</v>
      </c>
      <c r="J130" s="77">
        <v>0</v>
      </c>
      <c r="K130" s="77">
        <v>0</v>
      </c>
      <c r="L130" s="77">
        <v>0</v>
      </c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.75" customHeight="1">
      <c r="A131" s="77" t="s">
        <v>276</v>
      </c>
      <c r="B131" s="77">
        <v>0</v>
      </c>
      <c r="C131" s="77">
        <v>0</v>
      </c>
      <c r="D131" s="77">
        <v>0</v>
      </c>
      <c r="E131" s="77">
        <v>0</v>
      </c>
      <c r="F131" s="77">
        <v>0</v>
      </c>
      <c r="G131" s="77">
        <v>0</v>
      </c>
      <c r="H131" s="4">
        <v>0</v>
      </c>
      <c r="I131" s="77">
        <v>0</v>
      </c>
      <c r="J131" s="77">
        <v>0</v>
      </c>
      <c r="K131" s="77">
        <v>0</v>
      </c>
      <c r="L131" s="77">
        <v>0</v>
      </c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.75" customHeight="1">
      <c r="A132" s="77" t="s">
        <v>277</v>
      </c>
      <c r="B132" s="77">
        <v>0</v>
      </c>
      <c r="C132" s="77">
        <v>0</v>
      </c>
      <c r="D132" s="77">
        <v>0</v>
      </c>
      <c r="E132" s="77">
        <v>0</v>
      </c>
      <c r="F132" s="77">
        <v>0</v>
      </c>
      <c r="G132" s="77">
        <v>0</v>
      </c>
      <c r="H132" s="4">
        <v>0</v>
      </c>
      <c r="I132" s="77">
        <v>0</v>
      </c>
      <c r="J132" s="77">
        <v>0</v>
      </c>
      <c r="K132" s="77">
        <v>0</v>
      </c>
      <c r="L132" s="77">
        <v>0</v>
      </c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.75" customHeight="1">
      <c r="A133" s="77" t="s">
        <v>278</v>
      </c>
      <c r="B133" s="77">
        <v>0</v>
      </c>
      <c r="C133" s="77">
        <v>0</v>
      </c>
      <c r="D133" s="77">
        <v>0</v>
      </c>
      <c r="E133" s="77">
        <v>0</v>
      </c>
      <c r="F133" s="77">
        <v>0</v>
      </c>
      <c r="G133" s="77">
        <v>0</v>
      </c>
      <c r="H133" s="4">
        <v>0</v>
      </c>
      <c r="I133" s="77">
        <v>0</v>
      </c>
      <c r="J133" s="77">
        <v>0</v>
      </c>
      <c r="K133" s="77">
        <v>0</v>
      </c>
      <c r="L133" s="77">
        <v>0</v>
      </c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.75" customHeight="1">
      <c r="A134" s="77" t="s">
        <v>279</v>
      </c>
      <c r="B134" s="77">
        <v>0</v>
      </c>
      <c r="C134" s="77">
        <v>0</v>
      </c>
      <c r="D134" s="77">
        <v>0</v>
      </c>
      <c r="E134" s="77">
        <v>0</v>
      </c>
      <c r="F134" s="77">
        <v>0</v>
      </c>
      <c r="G134" s="77">
        <v>0</v>
      </c>
      <c r="H134" s="4">
        <v>0</v>
      </c>
      <c r="I134" s="77">
        <v>0</v>
      </c>
      <c r="J134" s="77">
        <v>0</v>
      </c>
      <c r="K134" s="77">
        <v>0</v>
      </c>
      <c r="L134" s="77">
        <v>0</v>
      </c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.75" customHeight="1">
      <c r="A135" s="77" t="s">
        <v>280</v>
      </c>
      <c r="B135" s="77">
        <v>0</v>
      </c>
      <c r="C135" s="77">
        <v>0</v>
      </c>
      <c r="D135" s="77">
        <v>0</v>
      </c>
      <c r="E135" s="77">
        <v>0</v>
      </c>
      <c r="F135" s="77">
        <v>0</v>
      </c>
      <c r="G135" s="77">
        <v>0</v>
      </c>
      <c r="H135" s="4">
        <v>0</v>
      </c>
      <c r="I135" s="77">
        <v>0</v>
      </c>
      <c r="J135" s="77">
        <v>0</v>
      </c>
      <c r="K135" s="77">
        <v>0</v>
      </c>
      <c r="L135" s="77">
        <v>0</v>
      </c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.75" customHeight="1">
      <c r="A136" s="77" t="s">
        <v>281</v>
      </c>
      <c r="B136" s="77">
        <v>0</v>
      </c>
      <c r="C136" s="77">
        <v>0</v>
      </c>
      <c r="D136" s="77">
        <v>0</v>
      </c>
      <c r="E136" s="77">
        <v>0</v>
      </c>
      <c r="F136" s="77">
        <v>0</v>
      </c>
      <c r="G136" s="77">
        <v>0</v>
      </c>
      <c r="H136" s="4">
        <v>0</v>
      </c>
      <c r="I136" s="77">
        <v>0</v>
      </c>
      <c r="J136" s="77">
        <v>0</v>
      </c>
      <c r="K136" s="77">
        <v>0</v>
      </c>
      <c r="L136" s="77">
        <v>0</v>
      </c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.75" customHeight="1">
      <c r="A137" s="84" t="s">
        <v>41</v>
      </c>
      <c r="B137" s="84">
        <v>0</v>
      </c>
      <c r="C137" s="84">
        <v>0</v>
      </c>
      <c r="D137" s="84">
        <v>0</v>
      </c>
      <c r="E137" s="84">
        <v>0</v>
      </c>
      <c r="F137" s="84">
        <v>0</v>
      </c>
      <c r="G137" s="84">
        <v>0</v>
      </c>
      <c r="H137" s="80">
        <v>0</v>
      </c>
      <c r="I137" s="84">
        <v>0</v>
      </c>
      <c r="J137" s="84">
        <v>0</v>
      </c>
      <c r="K137" s="84">
        <v>0</v>
      </c>
      <c r="L137" s="84">
        <v>0</v>
      </c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.75" customHeight="1">
      <c r="A138" s="77" t="s">
        <v>274</v>
      </c>
      <c r="B138" s="77">
        <v>0</v>
      </c>
      <c r="C138" s="77">
        <v>0</v>
      </c>
      <c r="D138" s="77">
        <v>0</v>
      </c>
      <c r="E138" s="77">
        <v>0</v>
      </c>
      <c r="F138" s="77">
        <v>0</v>
      </c>
      <c r="G138" s="77">
        <v>0</v>
      </c>
      <c r="H138" s="4">
        <v>0</v>
      </c>
      <c r="I138" s="77">
        <v>0</v>
      </c>
      <c r="J138" s="77">
        <v>0</v>
      </c>
      <c r="K138" s="77">
        <v>0</v>
      </c>
      <c r="L138" s="77">
        <v>0</v>
      </c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.75" customHeight="1">
      <c r="A139" s="77" t="s">
        <v>275</v>
      </c>
      <c r="B139" s="77">
        <v>0</v>
      </c>
      <c r="C139" s="77">
        <v>0</v>
      </c>
      <c r="D139" s="77">
        <v>0</v>
      </c>
      <c r="E139" s="77">
        <v>0</v>
      </c>
      <c r="F139" s="77">
        <v>0</v>
      </c>
      <c r="G139" s="77">
        <v>0</v>
      </c>
      <c r="H139" s="4">
        <v>0</v>
      </c>
      <c r="I139" s="77">
        <v>0</v>
      </c>
      <c r="J139" s="77">
        <v>0</v>
      </c>
      <c r="K139" s="77">
        <v>0</v>
      </c>
      <c r="L139" s="77">
        <v>0</v>
      </c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.75" customHeight="1">
      <c r="A140" s="77" t="s">
        <v>276</v>
      </c>
      <c r="B140" s="77">
        <v>0</v>
      </c>
      <c r="C140" s="77">
        <v>0</v>
      </c>
      <c r="D140" s="77">
        <v>0</v>
      </c>
      <c r="E140" s="77">
        <v>0</v>
      </c>
      <c r="F140" s="77">
        <v>0</v>
      </c>
      <c r="G140" s="77">
        <v>0</v>
      </c>
      <c r="H140" s="4">
        <v>0</v>
      </c>
      <c r="I140" s="77">
        <v>0</v>
      </c>
      <c r="J140" s="77">
        <v>0</v>
      </c>
      <c r="K140" s="77">
        <v>0</v>
      </c>
      <c r="L140" s="77">
        <v>0</v>
      </c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.75" customHeight="1">
      <c r="A141" s="77" t="s">
        <v>277</v>
      </c>
      <c r="B141" s="77">
        <v>0</v>
      </c>
      <c r="C141" s="77">
        <v>0</v>
      </c>
      <c r="D141" s="77">
        <v>0</v>
      </c>
      <c r="E141" s="77">
        <v>0</v>
      </c>
      <c r="F141" s="77">
        <v>0</v>
      </c>
      <c r="G141" s="77">
        <v>0</v>
      </c>
      <c r="H141" s="4">
        <v>0</v>
      </c>
      <c r="I141" s="77">
        <v>0</v>
      </c>
      <c r="J141" s="77">
        <v>0</v>
      </c>
      <c r="K141" s="77">
        <v>0</v>
      </c>
      <c r="L141" s="77">
        <v>0</v>
      </c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.75" customHeight="1">
      <c r="A142" s="77" t="s">
        <v>278</v>
      </c>
      <c r="B142" s="77">
        <v>0</v>
      </c>
      <c r="C142" s="77">
        <v>0</v>
      </c>
      <c r="D142" s="77">
        <v>0</v>
      </c>
      <c r="E142" s="77">
        <v>0</v>
      </c>
      <c r="F142" s="77">
        <v>0</v>
      </c>
      <c r="G142" s="77">
        <v>0</v>
      </c>
      <c r="H142" s="4">
        <v>0</v>
      </c>
      <c r="I142" s="77">
        <v>0</v>
      </c>
      <c r="J142" s="77">
        <v>0</v>
      </c>
      <c r="K142" s="77">
        <v>0</v>
      </c>
      <c r="L142" s="77">
        <v>0</v>
      </c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.75" customHeight="1">
      <c r="A143" s="77" t="s">
        <v>279</v>
      </c>
      <c r="B143" s="77">
        <v>0</v>
      </c>
      <c r="C143" s="77">
        <v>0</v>
      </c>
      <c r="D143" s="77">
        <v>0</v>
      </c>
      <c r="E143" s="77">
        <v>0</v>
      </c>
      <c r="F143" s="77">
        <v>0</v>
      </c>
      <c r="G143" s="77">
        <v>0</v>
      </c>
      <c r="H143" s="4">
        <v>0</v>
      </c>
      <c r="I143" s="77">
        <v>0</v>
      </c>
      <c r="J143" s="77">
        <v>0</v>
      </c>
      <c r="K143" s="77">
        <v>0</v>
      </c>
      <c r="L143" s="77">
        <v>0</v>
      </c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.75" customHeight="1">
      <c r="A144" s="77" t="s">
        <v>280</v>
      </c>
      <c r="B144" s="77">
        <v>0</v>
      </c>
      <c r="C144" s="77">
        <v>0</v>
      </c>
      <c r="D144" s="77">
        <v>0</v>
      </c>
      <c r="E144" s="77">
        <v>0</v>
      </c>
      <c r="F144" s="77">
        <v>0</v>
      </c>
      <c r="G144" s="77">
        <v>0</v>
      </c>
      <c r="H144" s="4">
        <v>0</v>
      </c>
      <c r="I144" s="77">
        <v>0</v>
      </c>
      <c r="J144" s="77">
        <v>0</v>
      </c>
      <c r="K144" s="77">
        <v>0</v>
      </c>
      <c r="L144" s="77">
        <v>0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.75" customHeight="1">
      <c r="A145" s="77" t="s">
        <v>281</v>
      </c>
      <c r="B145" s="77">
        <v>0</v>
      </c>
      <c r="C145" s="77">
        <v>0</v>
      </c>
      <c r="D145" s="77">
        <v>0</v>
      </c>
      <c r="E145" s="77">
        <v>0</v>
      </c>
      <c r="F145" s="77">
        <v>0</v>
      </c>
      <c r="G145" s="77">
        <v>0</v>
      </c>
      <c r="H145" s="4">
        <v>0</v>
      </c>
      <c r="I145" s="77">
        <v>0</v>
      </c>
      <c r="J145" s="77">
        <v>0</v>
      </c>
      <c r="K145" s="77">
        <v>0</v>
      </c>
      <c r="L145" s="77">
        <v>0</v>
      </c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.75" customHeight="1">
      <c r="A146" s="84" t="s">
        <v>47</v>
      </c>
      <c r="B146" s="84">
        <v>0</v>
      </c>
      <c r="C146" s="84">
        <v>0</v>
      </c>
      <c r="D146" s="84">
        <v>0</v>
      </c>
      <c r="E146" s="84">
        <v>0</v>
      </c>
      <c r="F146" s="84">
        <v>0</v>
      </c>
      <c r="G146" s="84">
        <v>0</v>
      </c>
      <c r="H146" s="80">
        <v>0</v>
      </c>
      <c r="I146" s="84">
        <v>0</v>
      </c>
      <c r="J146" s="84">
        <v>0</v>
      </c>
      <c r="K146" s="84">
        <v>0</v>
      </c>
      <c r="L146" s="84">
        <v>0</v>
      </c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.75" customHeight="1">
      <c r="A147" s="77" t="s">
        <v>274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4">
        <v>0</v>
      </c>
      <c r="I147" s="77">
        <v>0</v>
      </c>
      <c r="J147" s="77">
        <v>0</v>
      </c>
      <c r="K147" s="77">
        <v>0</v>
      </c>
      <c r="L147" s="77">
        <v>0</v>
      </c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.75" customHeight="1">
      <c r="A148" s="77" t="s">
        <v>275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4">
        <v>0</v>
      </c>
      <c r="I148" s="77">
        <v>0</v>
      </c>
      <c r="J148" s="77">
        <v>0</v>
      </c>
      <c r="K148" s="77">
        <v>0</v>
      </c>
      <c r="L148" s="77">
        <v>0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.75" customHeight="1">
      <c r="A149" s="77" t="s">
        <v>276</v>
      </c>
      <c r="B149" s="77">
        <v>0</v>
      </c>
      <c r="C149" s="77">
        <v>0</v>
      </c>
      <c r="D149" s="77">
        <v>0</v>
      </c>
      <c r="E149" s="77">
        <v>0</v>
      </c>
      <c r="F149" s="77">
        <v>0</v>
      </c>
      <c r="G149" s="77">
        <v>0</v>
      </c>
      <c r="H149" s="4">
        <v>0</v>
      </c>
      <c r="I149" s="77">
        <v>0</v>
      </c>
      <c r="J149" s="77">
        <v>0</v>
      </c>
      <c r="K149" s="77">
        <v>0</v>
      </c>
      <c r="L149" s="77">
        <v>0</v>
      </c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.75" customHeight="1">
      <c r="A150" s="77" t="s">
        <v>277</v>
      </c>
      <c r="B150" s="77">
        <v>0</v>
      </c>
      <c r="C150" s="77">
        <v>0</v>
      </c>
      <c r="D150" s="77">
        <v>0</v>
      </c>
      <c r="E150" s="77">
        <v>0</v>
      </c>
      <c r="F150" s="77">
        <v>0</v>
      </c>
      <c r="G150" s="77">
        <v>0</v>
      </c>
      <c r="H150" s="4">
        <v>0</v>
      </c>
      <c r="I150" s="77">
        <v>0</v>
      </c>
      <c r="J150" s="77">
        <v>0</v>
      </c>
      <c r="K150" s="77">
        <v>0</v>
      </c>
      <c r="L150" s="77">
        <v>0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.75" customHeight="1">
      <c r="A151" s="77" t="s">
        <v>278</v>
      </c>
      <c r="B151" s="77">
        <v>0</v>
      </c>
      <c r="C151" s="77">
        <v>0</v>
      </c>
      <c r="D151" s="77">
        <v>0</v>
      </c>
      <c r="E151" s="77">
        <v>0</v>
      </c>
      <c r="F151" s="77">
        <v>0</v>
      </c>
      <c r="G151" s="77">
        <v>0</v>
      </c>
      <c r="H151" s="4">
        <v>0</v>
      </c>
      <c r="I151" s="77">
        <v>0</v>
      </c>
      <c r="J151" s="77">
        <v>0</v>
      </c>
      <c r="K151" s="77">
        <v>0</v>
      </c>
      <c r="L151" s="77">
        <v>0</v>
      </c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.75" customHeight="1">
      <c r="A152" s="77" t="s">
        <v>279</v>
      </c>
      <c r="B152" s="77">
        <v>0</v>
      </c>
      <c r="C152" s="77">
        <v>0</v>
      </c>
      <c r="D152" s="77">
        <v>0</v>
      </c>
      <c r="E152" s="77">
        <v>0</v>
      </c>
      <c r="F152" s="77">
        <v>0</v>
      </c>
      <c r="G152" s="77">
        <v>0</v>
      </c>
      <c r="H152" s="4">
        <v>0</v>
      </c>
      <c r="I152" s="77">
        <v>0</v>
      </c>
      <c r="J152" s="77">
        <v>0</v>
      </c>
      <c r="K152" s="77">
        <v>0</v>
      </c>
      <c r="L152" s="77">
        <v>0</v>
      </c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.75" customHeight="1">
      <c r="A153" s="77" t="s">
        <v>280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4">
        <v>0</v>
      </c>
      <c r="I153" s="77">
        <v>0</v>
      </c>
      <c r="J153" s="77">
        <v>0</v>
      </c>
      <c r="K153" s="77">
        <v>0</v>
      </c>
      <c r="L153" s="77">
        <v>0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.75" customHeight="1">
      <c r="A154" s="77" t="s">
        <v>281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4">
        <v>0</v>
      </c>
      <c r="I154" s="77">
        <v>0</v>
      </c>
      <c r="J154" s="77">
        <v>0</v>
      </c>
      <c r="K154" s="77">
        <v>0</v>
      </c>
      <c r="L154" s="77">
        <v>0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.75" customHeight="1">
      <c r="A155" s="84" t="s">
        <v>49</v>
      </c>
      <c r="B155" s="84">
        <v>0</v>
      </c>
      <c r="C155" s="84">
        <v>0</v>
      </c>
      <c r="D155" s="84">
        <v>0</v>
      </c>
      <c r="E155" s="84">
        <v>0</v>
      </c>
      <c r="F155" s="84">
        <v>0</v>
      </c>
      <c r="G155" s="84">
        <v>0</v>
      </c>
      <c r="H155" s="80">
        <v>0</v>
      </c>
      <c r="I155" s="84">
        <v>0</v>
      </c>
      <c r="J155" s="84">
        <v>0</v>
      </c>
      <c r="K155" s="84">
        <v>0</v>
      </c>
      <c r="L155" s="84">
        <v>0</v>
      </c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.75" customHeight="1">
      <c r="A156" s="77" t="s">
        <v>274</v>
      </c>
      <c r="B156" s="77">
        <v>0</v>
      </c>
      <c r="C156" s="77">
        <v>0</v>
      </c>
      <c r="D156" s="77">
        <v>0</v>
      </c>
      <c r="E156" s="77">
        <v>0</v>
      </c>
      <c r="F156" s="77">
        <v>0</v>
      </c>
      <c r="G156" s="77">
        <v>0</v>
      </c>
      <c r="H156" s="4">
        <v>0</v>
      </c>
      <c r="I156" s="77">
        <v>0</v>
      </c>
      <c r="J156" s="77">
        <v>0</v>
      </c>
      <c r="K156" s="77">
        <v>0</v>
      </c>
      <c r="L156" s="77">
        <v>0</v>
      </c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.75" customHeight="1">
      <c r="A157" s="77" t="s">
        <v>275</v>
      </c>
      <c r="B157" s="77">
        <v>0</v>
      </c>
      <c r="C157" s="77">
        <v>0</v>
      </c>
      <c r="D157" s="77">
        <v>0</v>
      </c>
      <c r="E157" s="77">
        <v>0</v>
      </c>
      <c r="F157" s="77">
        <v>0</v>
      </c>
      <c r="G157" s="77">
        <v>0</v>
      </c>
      <c r="H157" s="4">
        <v>0</v>
      </c>
      <c r="I157" s="77">
        <v>0</v>
      </c>
      <c r="J157" s="77">
        <v>0</v>
      </c>
      <c r="K157" s="77">
        <v>0</v>
      </c>
      <c r="L157" s="77">
        <v>0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.75" customHeight="1">
      <c r="A158" s="77" t="s">
        <v>276</v>
      </c>
      <c r="B158" s="77">
        <v>0</v>
      </c>
      <c r="C158" s="77">
        <v>0</v>
      </c>
      <c r="D158" s="77">
        <v>0</v>
      </c>
      <c r="E158" s="77">
        <v>0</v>
      </c>
      <c r="F158" s="77">
        <v>0</v>
      </c>
      <c r="G158" s="77">
        <v>0</v>
      </c>
      <c r="H158" s="4">
        <v>0</v>
      </c>
      <c r="I158" s="77">
        <v>0</v>
      </c>
      <c r="J158" s="77">
        <v>0</v>
      </c>
      <c r="K158" s="77">
        <v>0</v>
      </c>
      <c r="L158" s="77">
        <v>0</v>
      </c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.75" customHeight="1">
      <c r="A159" s="77" t="s">
        <v>277</v>
      </c>
      <c r="B159" s="77">
        <v>0</v>
      </c>
      <c r="C159" s="77">
        <v>0</v>
      </c>
      <c r="D159" s="77">
        <v>0</v>
      </c>
      <c r="E159" s="77">
        <v>0</v>
      </c>
      <c r="F159" s="77">
        <v>0</v>
      </c>
      <c r="G159" s="77">
        <v>0</v>
      </c>
      <c r="H159" s="4">
        <v>0</v>
      </c>
      <c r="I159" s="77">
        <v>0</v>
      </c>
      <c r="J159" s="77">
        <v>0</v>
      </c>
      <c r="K159" s="77">
        <v>0</v>
      </c>
      <c r="L159" s="77">
        <v>0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.75" customHeight="1">
      <c r="A160" s="77" t="s">
        <v>278</v>
      </c>
      <c r="B160" s="77">
        <v>0</v>
      </c>
      <c r="C160" s="77">
        <v>0</v>
      </c>
      <c r="D160" s="77">
        <v>0</v>
      </c>
      <c r="E160" s="77">
        <v>0</v>
      </c>
      <c r="F160" s="77">
        <v>0</v>
      </c>
      <c r="G160" s="77">
        <v>0</v>
      </c>
      <c r="H160" s="4">
        <v>0</v>
      </c>
      <c r="I160" s="77">
        <v>0</v>
      </c>
      <c r="J160" s="77">
        <v>0</v>
      </c>
      <c r="K160" s="77">
        <v>0</v>
      </c>
      <c r="L160" s="77">
        <v>0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.75" customHeight="1">
      <c r="A161" s="77" t="s">
        <v>279</v>
      </c>
      <c r="B161" s="77">
        <v>0</v>
      </c>
      <c r="C161" s="77">
        <v>0</v>
      </c>
      <c r="D161" s="77">
        <v>0</v>
      </c>
      <c r="E161" s="77">
        <v>0</v>
      </c>
      <c r="F161" s="77">
        <v>0</v>
      </c>
      <c r="G161" s="77">
        <v>0</v>
      </c>
      <c r="H161" s="4">
        <v>0</v>
      </c>
      <c r="I161" s="77">
        <v>0</v>
      </c>
      <c r="J161" s="77">
        <v>0</v>
      </c>
      <c r="K161" s="77">
        <v>0</v>
      </c>
      <c r="L161" s="77">
        <v>0</v>
      </c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.75" customHeight="1">
      <c r="A162" s="77" t="s">
        <v>280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4">
        <v>0</v>
      </c>
      <c r="I162" s="77">
        <v>0</v>
      </c>
      <c r="J162" s="77">
        <v>0</v>
      </c>
      <c r="K162" s="77">
        <v>0</v>
      </c>
      <c r="L162" s="77">
        <v>0</v>
      </c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.75" customHeight="1">
      <c r="A163" s="77" t="s">
        <v>281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4">
        <v>0</v>
      </c>
      <c r="I163" s="77">
        <v>0</v>
      </c>
      <c r="J163" s="77">
        <v>0</v>
      </c>
      <c r="K163" s="77">
        <v>0</v>
      </c>
      <c r="L163" s="77">
        <v>0</v>
      </c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.75" customHeight="1">
      <c r="A164" s="84" t="s">
        <v>51</v>
      </c>
      <c r="B164" s="84">
        <v>0</v>
      </c>
      <c r="C164" s="84">
        <v>0</v>
      </c>
      <c r="D164" s="84">
        <v>0</v>
      </c>
      <c r="E164" s="84">
        <v>0</v>
      </c>
      <c r="F164" s="84">
        <v>0</v>
      </c>
      <c r="G164" s="84">
        <v>0</v>
      </c>
      <c r="H164" s="80">
        <v>0</v>
      </c>
      <c r="I164" s="84">
        <v>0</v>
      </c>
      <c r="J164" s="84">
        <v>0</v>
      </c>
      <c r="K164" s="84">
        <v>0</v>
      </c>
      <c r="L164" s="84">
        <v>0</v>
      </c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.75" customHeight="1">
      <c r="A165" s="77" t="s">
        <v>274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4">
        <v>0</v>
      </c>
      <c r="I165" s="77">
        <v>0</v>
      </c>
      <c r="J165" s="77">
        <v>0</v>
      </c>
      <c r="K165" s="77">
        <v>0</v>
      </c>
      <c r="L165" s="77">
        <v>0</v>
      </c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.75" customHeight="1">
      <c r="A166" s="77" t="s">
        <v>275</v>
      </c>
      <c r="B166" s="77">
        <v>0</v>
      </c>
      <c r="C166" s="77">
        <v>0</v>
      </c>
      <c r="D166" s="77">
        <v>0</v>
      </c>
      <c r="E166" s="77">
        <v>0</v>
      </c>
      <c r="F166" s="77">
        <v>0</v>
      </c>
      <c r="G166" s="77">
        <v>0</v>
      </c>
      <c r="H166" s="4">
        <v>0</v>
      </c>
      <c r="I166" s="77">
        <v>0</v>
      </c>
      <c r="J166" s="77">
        <v>0</v>
      </c>
      <c r="K166" s="77">
        <v>0</v>
      </c>
      <c r="L166" s="77">
        <v>0</v>
      </c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.75" customHeight="1">
      <c r="A167" s="77" t="s">
        <v>276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4">
        <v>0</v>
      </c>
      <c r="I167" s="77">
        <v>0</v>
      </c>
      <c r="J167" s="77">
        <v>0</v>
      </c>
      <c r="K167" s="77">
        <v>0</v>
      </c>
      <c r="L167" s="77">
        <v>0</v>
      </c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.75" customHeight="1">
      <c r="A168" s="77" t="s">
        <v>277</v>
      </c>
      <c r="B168" s="77">
        <v>0</v>
      </c>
      <c r="C168" s="77">
        <v>0</v>
      </c>
      <c r="D168" s="77">
        <v>0</v>
      </c>
      <c r="E168" s="77">
        <v>0</v>
      </c>
      <c r="F168" s="77">
        <v>0</v>
      </c>
      <c r="G168" s="77">
        <v>0</v>
      </c>
      <c r="H168" s="4">
        <v>0</v>
      </c>
      <c r="I168" s="77">
        <v>0</v>
      </c>
      <c r="J168" s="77">
        <v>0</v>
      </c>
      <c r="K168" s="77">
        <v>0</v>
      </c>
      <c r="L168" s="77">
        <v>0</v>
      </c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.75" customHeight="1">
      <c r="A169" s="77" t="s">
        <v>278</v>
      </c>
      <c r="B169" s="77">
        <v>0</v>
      </c>
      <c r="C169" s="77">
        <v>0</v>
      </c>
      <c r="D169" s="77">
        <v>0</v>
      </c>
      <c r="E169" s="77">
        <v>0</v>
      </c>
      <c r="F169" s="77">
        <v>0</v>
      </c>
      <c r="G169" s="77">
        <v>0</v>
      </c>
      <c r="H169" s="4">
        <v>0</v>
      </c>
      <c r="I169" s="77">
        <v>0</v>
      </c>
      <c r="J169" s="77">
        <v>0</v>
      </c>
      <c r="K169" s="77">
        <v>0</v>
      </c>
      <c r="L169" s="77">
        <v>0</v>
      </c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.75" customHeight="1">
      <c r="A170" s="77" t="s">
        <v>279</v>
      </c>
      <c r="B170" s="77">
        <v>0</v>
      </c>
      <c r="C170" s="77">
        <v>0</v>
      </c>
      <c r="D170" s="77">
        <v>0</v>
      </c>
      <c r="E170" s="77">
        <v>0</v>
      </c>
      <c r="F170" s="77">
        <v>0</v>
      </c>
      <c r="G170" s="77">
        <v>0</v>
      </c>
      <c r="H170" s="4">
        <v>0</v>
      </c>
      <c r="I170" s="77">
        <v>0</v>
      </c>
      <c r="J170" s="77">
        <v>0</v>
      </c>
      <c r="K170" s="77">
        <v>0</v>
      </c>
      <c r="L170" s="77">
        <v>0</v>
      </c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.75" customHeight="1">
      <c r="A171" s="77" t="s">
        <v>280</v>
      </c>
      <c r="B171" s="77">
        <v>0</v>
      </c>
      <c r="C171" s="77">
        <v>0</v>
      </c>
      <c r="D171" s="77">
        <v>0</v>
      </c>
      <c r="E171" s="77">
        <v>0</v>
      </c>
      <c r="F171" s="77">
        <v>0</v>
      </c>
      <c r="G171" s="77">
        <v>0</v>
      </c>
      <c r="H171" s="4">
        <v>0</v>
      </c>
      <c r="I171" s="77">
        <v>0</v>
      </c>
      <c r="J171" s="77">
        <v>0</v>
      </c>
      <c r="K171" s="77">
        <v>0</v>
      </c>
      <c r="L171" s="77">
        <v>0</v>
      </c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.75" customHeight="1">
      <c r="A172" s="77" t="s">
        <v>281</v>
      </c>
      <c r="B172" s="77">
        <v>0</v>
      </c>
      <c r="C172" s="77">
        <v>0</v>
      </c>
      <c r="D172" s="77">
        <v>0</v>
      </c>
      <c r="E172" s="77">
        <v>0</v>
      </c>
      <c r="F172" s="77">
        <v>0</v>
      </c>
      <c r="G172" s="77">
        <v>0</v>
      </c>
      <c r="H172" s="4">
        <v>0</v>
      </c>
      <c r="I172" s="77">
        <v>0</v>
      </c>
      <c r="J172" s="77">
        <v>0</v>
      </c>
      <c r="K172" s="77">
        <v>0</v>
      </c>
      <c r="L172" s="77">
        <v>0</v>
      </c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.75" customHeight="1">
      <c r="A173" s="84" t="s">
        <v>64</v>
      </c>
      <c r="B173" s="84">
        <v>0</v>
      </c>
      <c r="C173" s="84">
        <v>0</v>
      </c>
      <c r="D173" s="84">
        <v>0</v>
      </c>
      <c r="E173" s="84">
        <v>0</v>
      </c>
      <c r="F173" s="84">
        <v>0</v>
      </c>
      <c r="G173" s="84">
        <v>0</v>
      </c>
      <c r="H173" s="80">
        <v>0</v>
      </c>
      <c r="I173" s="84">
        <v>0</v>
      </c>
      <c r="J173" s="84">
        <v>0</v>
      </c>
      <c r="K173" s="84">
        <v>0</v>
      </c>
      <c r="L173" s="84">
        <v>0</v>
      </c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.75" customHeight="1">
      <c r="A174" s="77" t="s">
        <v>274</v>
      </c>
      <c r="B174" s="77">
        <v>0</v>
      </c>
      <c r="C174" s="77">
        <v>0</v>
      </c>
      <c r="D174" s="77">
        <v>0</v>
      </c>
      <c r="E174" s="77">
        <v>0</v>
      </c>
      <c r="F174" s="77">
        <v>0</v>
      </c>
      <c r="G174" s="77">
        <v>0</v>
      </c>
      <c r="H174" s="4">
        <v>0</v>
      </c>
      <c r="I174" s="77">
        <v>0</v>
      </c>
      <c r="J174" s="77">
        <v>0</v>
      </c>
      <c r="K174" s="77">
        <v>0</v>
      </c>
      <c r="L174" s="77">
        <v>0</v>
      </c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.75" customHeight="1">
      <c r="A175" s="77" t="s">
        <v>275</v>
      </c>
      <c r="B175" s="77">
        <v>0</v>
      </c>
      <c r="C175" s="77">
        <v>0</v>
      </c>
      <c r="D175" s="77">
        <v>0</v>
      </c>
      <c r="E175" s="77">
        <v>0</v>
      </c>
      <c r="F175" s="77">
        <v>0</v>
      </c>
      <c r="G175" s="77">
        <v>0</v>
      </c>
      <c r="H175" s="4">
        <v>0</v>
      </c>
      <c r="I175" s="77">
        <v>0</v>
      </c>
      <c r="J175" s="77">
        <v>0</v>
      </c>
      <c r="K175" s="77">
        <v>0</v>
      </c>
      <c r="L175" s="77">
        <v>0</v>
      </c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.75" customHeight="1">
      <c r="A176" s="77" t="s">
        <v>276</v>
      </c>
      <c r="B176" s="77">
        <v>0</v>
      </c>
      <c r="C176" s="77">
        <v>0</v>
      </c>
      <c r="D176" s="77">
        <v>0</v>
      </c>
      <c r="E176" s="77">
        <v>0</v>
      </c>
      <c r="F176" s="77">
        <v>0</v>
      </c>
      <c r="G176" s="77">
        <v>0</v>
      </c>
      <c r="H176" s="4">
        <v>0</v>
      </c>
      <c r="I176" s="77">
        <v>0</v>
      </c>
      <c r="J176" s="77">
        <v>0</v>
      </c>
      <c r="K176" s="77">
        <v>0</v>
      </c>
      <c r="L176" s="77">
        <v>0</v>
      </c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.75" customHeight="1">
      <c r="A177" s="77" t="s">
        <v>277</v>
      </c>
      <c r="B177" s="77">
        <v>0</v>
      </c>
      <c r="C177" s="77">
        <v>0</v>
      </c>
      <c r="D177" s="77">
        <v>0</v>
      </c>
      <c r="E177" s="77">
        <v>0</v>
      </c>
      <c r="F177" s="77">
        <v>0</v>
      </c>
      <c r="G177" s="77">
        <v>0</v>
      </c>
      <c r="H177" s="4">
        <v>0</v>
      </c>
      <c r="I177" s="77">
        <v>0</v>
      </c>
      <c r="J177" s="77">
        <v>0</v>
      </c>
      <c r="K177" s="77">
        <v>0</v>
      </c>
      <c r="L177" s="77">
        <v>0</v>
      </c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.75" customHeight="1">
      <c r="A178" s="77" t="s">
        <v>278</v>
      </c>
      <c r="B178" s="77">
        <v>0</v>
      </c>
      <c r="C178" s="77">
        <v>0</v>
      </c>
      <c r="D178" s="77">
        <v>0</v>
      </c>
      <c r="E178" s="77">
        <v>0</v>
      </c>
      <c r="F178" s="77">
        <v>0</v>
      </c>
      <c r="G178" s="77">
        <v>0</v>
      </c>
      <c r="H178" s="4">
        <v>0</v>
      </c>
      <c r="I178" s="77">
        <v>0</v>
      </c>
      <c r="J178" s="77">
        <v>0</v>
      </c>
      <c r="K178" s="77">
        <v>0</v>
      </c>
      <c r="L178" s="77">
        <v>0</v>
      </c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.75" customHeight="1">
      <c r="A179" s="77" t="s">
        <v>279</v>
      </c>
      <c r="B179" s="77">
        <v>0</v>
      </c>
      <c r="C179" s="77">
        <v>0</v>
      </c>
      <c r="D179" s="77">
        <v>0</v>
      </c>
      <c r="E179" s="77">
        <v>0</v>
      </c>
      <c r="F179" s="77">
        <v>0</v>
      </c>
      <c r="G179" s="77">
        <v>0</v>
      </c>
      <c r="H179" s="4">
        <v>0</v>
      </c>
      <c r="I179" s="77">
        <v>0</v>
      </c>
      <c r="J179" s="77">
        <v>0</v>
      </c>
      <c r="K179" s="77">
        <v>0</v>
      </c>
      <c r="L179" s="77">
        <v>0</v>
      </c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.75" customHeight="1">
      <c r="A180" s="77" t="s">
        <v>280</v>
      </c>
      <c r="B180" s="77">
        <v>0</v>
      </c>
      <c r="C180" s="77">
        <v>0</v>
      </c>
      <c r="D180" s="77">
        <v>0</v>
      </c>
      <c r="E180" s="77">
        <v>0</v>
      </c>
      <c r="F180" s="77">
        <v>0</v>
      </c>
      <c r="G180" s="77">
        <v>0</v>
      </c>
      <c r="H180" s="4">
        <v>0</v>
      </c>
      <c r="I180" s="77">
        <v>0</v>
      </c>
      <c r="J180" s="77">
        <v>0</v>
      </c>
      <c r="K180" s="77">
        <v>0</v>
      </c>
      <c r="L180" s="77">
        <v>0</v>
      </c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.75" customHeight="1">
      <c r="A181" s="77" t="s">
        <v>281</v>
      </c>
      <c r="B181" s="77">
        <v>0</v>
      </c>
      <c r="C181" s="77">
        <v>0</v>
      </c>
      <c r="D181" s="77">
        <v>0</v>
      </c>
      <c r="E181" s="77">
        <v>0</v>
      </c>
      <c r="F181" s="77">
        <v>0</v>
      </c>
      <c r="G181" s="77">
        <v>0</v>
      </c>
      <c r="H181" s="4">
        <v>0</v>
      </c>
      <c r="I181" s="77">
        <v>0</v>
      </c>
      <c r="J181" s="77">
        <v>0</v>
      </c>
      <c r="K181" s="77">
        <v>0</v>
      </c>
      <c r="L181" s="77">
        <v>0</v>
      </c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.75" customHeight="1">
      <c r="A182" s="84" t="s">
        <v>66</v>
      </c>
      <c r="B182" s="84">
        <v>0</v>
      </c>
      <c r="C182" s="84">
        <v>0</v>
      </c>
      <c r="D182" s="84">
        <v>0</v>
      </c>
      <c r="E182" s="84">
        <v>0</v>
      </c>
      <c r="F182" s="84">
        <v>0</v>
      </c>
      <c r="G182" s="84">
        <v>0</v>
      </c>
      <c r="H182" s="80">
        <v>0</v>
      </c>
      <c r="I182" s="84">
        <v>0</v>
      </c>
      <c r="J182" s="84">
        <v>0</v>
      </c>
      <c r="K182" s="84">
        <v>0</v>
      </c>
      <c r="L182" s="84">
        <v>0</v>
      </c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.75" customHeight="1">
      <c r="A183" s="77" t="s">
        <v>274</v>
      </c>
      <c r="B183" s="77">
        <v>0</v>
      </c>
      <c r="C183" s="77">
        <v>0</v>
      </c>
      <c r="D183" s="77">
        <v>0</v>
      </c>
      <c r="E183" s="77">
        <v>0</v>
      </c>
      <c r="F183" s="77">
        <v>0</v>
      </c>
      <c r="G183" s="77">
        <v>0</v>
      </c>
      <c r="H183" s="4">
        <v>0</v>
      </c>
      <c r="I183" s="77">
        <v>0</v>
      </c>
      <c r="J183" s="77">
        <v>0</v>
      </c>
      <c r="K183" s="77">
        <v>0</v>
      </c>
      <c r="L183" s="77">
        <v>0</v>
      </c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.75" customHeight="1">
      <c r="A184" s="77" t="s">
        <v>275</v>
      </c>
      <c r="B184" s="77">
        <v>0</v>
      </c>
      <c r="C184" s="77">
        <v>0</v>
      </c>
      <c r="D184" s="77">
        <v>0</v>
      </c>
      <c r="E184" s="77">
        <v>0</v>
      </c>
      <c r="F184" s="77">
        <v>0</v>
      </c>
      <c r="G184" s="77">
        <v>0</v>
      </c>
      <c r="H184" s="4">
        <v>0</v>
      </c>
      <c r="I184" s="77">
        <v>0</v>
      </c>
      <c r="J184" s="77">
        <v>0</v>
      </c>
      <c r="K184" s="77">
        <v>0</v>
      </c>
      <c r="L184" s="77">
        <v>0</v>
      </c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.75" customHeight="1">
      <c r="A185" s="77" t="s">
        <v>276</v>
      </c>
      <c r="B185" s="77">
        <v>0</v>
      </c>
      <c r="C185" s="77">
        <v>0</v>
      </c>
      <c r="D185" s="77">
        <v>0</v>
      </c>
      <c r="E185" s="77">
        <v>0</v>
      </c>
      <c r="F185" s="77">
        <v>0</v>
      </c>
      <c r="G185" s="77">
        <v>0</v>
      </c>
      <c r="H185" s="4">
        <v>0</v>
      </c>
      <c r="I185" s="77">
        <v>0</v>
      </c>
      <c r="J185" s="77">
        <v>0</v>
      </c>
      <c r="K185" s="77">
        <v>0</v>
      </c>
      <c r="L185" s="77">
        <v>0</v>
      </c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.75" customHeight="1">
      <c r="A186" s="77" t="s">
        <v>277</v>
      </c>
      <c r="B186" s="77">
        <v>0</v>
      </c>
      <c r="C186" s="77">
        <v>0</v>
      </c>
      <c r="D186" s="77">
        <v>0</v>
      </c>
      <c r="E186" s="77">
        <v>0</v>
      </c>
      <c r="F186" s="77">
        <v>0</v>
      </c>
      <c r="G186" s="77">
        <v>0</v>
      </c>
      <c r="H186" s="4">
        <v>0</v>
      </c>
      <c r="I186" s="77">
        <v>0</v>
      </c>
      <c r="J186" s="77">
        <v>0</v>
      </c>
      <c r="K186" s="77">
        <v>0</v>
      </c>
      <c r="L186" s="77">
        <v>0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.75" customHeight="1">
      <c r="A187" s="77" t="s">
        <v>278</v>
      </c>
      <c r="B187" s="77">
        <v>0</v>
      </c>
      <c r="C187" s="77">
        <v>0</v>
      </c>
      <c r="D187" s="77">
        <v>0</v>
      </c>
      <c r="E187" s="77">
        <v>0</v>
      </c>
      <c r="F187" s="77">
        <v>0</v>
      </c>
      <c r="G187" s="77">
        <v>0</v>
      </c>
      <c r="H187" s="4">
        <v>0</v>
      </c>
      <c r="I187" s="77">
        <v>0</v>
      </c>
      <c r="J187" s="77">
        <v>0</v>
      </c>
      <c r="K187" s="77">
        <v>0</v>
      </c>
      <c r="L187" s="77">
        <v>0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.75" customHeight="1">
      <c r="A188" s="77" t="s">
        <v>279</v>
      </c>
      <c r="B188" s="77">
        <v>0</v>
      </c>
      <c r="C188" s="77">
        <v>0</v>
      </c>
      <c r="D188" s="77">
        <v>0</v>
      </c>
      <c r="E188" s="77">
        <v>0</v>
      </c>
      <c r="F188" s="77">
        <v>0</v>
      </c>
      <c r="G188" s="77">
        <v>0</v>
      </c>
      <c r="H188" s="4">
        <v>0</v>
      </c>
      <c r="I188" s="77">
        <v>0</v>
      </c>
      <c r="J188" s="77">
        <v>0</v>
      </c>
      <c r="K188" s="77">
        <v>0</v>
      </c>
      <c r="L188" s="77">
        <v>0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.75" customHeight="1">
      <c r="A189" s="77" t="s">
        <v>280</v>
      </c>
      <c r="B189" s="77">
        <v>0</v>
      </c>
      <c r="C189" s="77">
        <v>0</v>
      </c>
      <c r="D189" s="77">
        <v>0</v>
      </c>
      <c r="E189" s="77">
        <v>0</v>
      </c>
      <c r="F189" s="77">
        <v>0</v>
      </c>
      <c r="G189" s="77">
        <v>0</v>
      </c>
      <c r="H189" s="4">
        <v>0</v>
      </c>
      <c r="I189" s="77">
        <v>0</v>
      </c>
      <c r="J189" s="77">
        <v>0</v>
      </c>
      <c r="K189" s="77">
        <v>0</v>
      </c>
      <c r="L189" s="77">
        <v>0</v>
      </c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.75" customHeight="1">
      <c r="A190" s="77" t="s">
        <v>281</v>
      </c>
      <c r="B190" s="77">
        <v>0</v>
      </c>
      <c r="C190" s="77">
        <v>0</v>
      </c>
      <c r="D190" s="77">
        <v>0</v>
      </c>
      <c r="E190" s="77">
        <v>0</v>
      </c>
      <c r="F190" s="77">
        <v>0</v>
      </c>
      <c r="G190" s="77">
        <v>0</v>
      </c>
      <c r="H190" s="4">
        <v>0</v>
      </c>
      <c r="I190" s="77">
        <v>0</v>
      </c>
      <c r="J190" s="77">
        <v>0</v>
      </c>
      <c r="K190" s="77">
        <v>0</v>
      </c>
      <c r="L190" s="77">
        <v>0</v>
      </c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.75" customHeight="1">
      <c r="A191" s="84" t="s">
        <v>67</v>
      </c>
      <c r="B191" s="84">
        <v>0</v>
      </c>
      <c r="C191" s="84">
        <v>0</v>
      </c>
      <c r="D191" s="84">
        <v>0</v>
      </c>
      <c r="E191" s="84">
        <v>0</v>
      </c>
      <c r="F191" s="84">
        <v>0</v>
      </c>
      <c r="G191" s="84">
        <v>0</v>
      </c>
      <c r="H191" s="80">
        <v>0</v>
      </c>
      <c r="I191" s="84">
        <v>0</v>
      </c>
      <c r="J191" s="84">
        <v>0</v>
      </c>
      <c r="K191" s="84">
        <v>0</v>
      </c>
      <c r="L191" s="84">
        <v>0</v>
      </c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.75" customHeight="1">
      <c r="A192" s="77" t="s">
        <v>274</v>
      </c>
      <c r="B192" s="77">
        <v>0</v>
      </c>
      <c r="C192" s="77">
        <v>0</v>
      </c>
      <c r="D192" s="77">
        <v>0</v>
      </c>
      <c r="E192" s="77">
        <v>0</v>
      </c>
      <c r="F192" s="77">
        <v>0</v>
      </c>
      <c r="G192" s="77">
        <v>0</v>
      </c>
      <c r="H192" s="4">
        <v>0</v>
      </c>
      <c r="I192" s="77">
        <v>0</v>
      </c>
      <c r="J192" s="77">
        <v>0</v>
      </c>
      <c r="K192" s="77">
        <v>0</v>
      </c>
      <c r="L192" s="77">
        <v>0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.75" customHeight="1">
      <c r="A193" s="77" t="s">
        <v>275</v>
      </c>
      <c r="B193" s="77">
        <v>0</v>
      </c>
      <c r="C193" s="77">
        <v>0</v>
      </c>
      <c r="D193" s="77">
        <v>0</v>
      </c>
      <c r="E193" s="77">
        <v>0</v>
      </c>
      <c r="F193" s="77">
        <v>0</v>
      </c>
      <c r="G193" s="77">
        <v>0</v>
      </c>
      <c r="H193" s="4">
        <v>0</v>
      </c>
      <c r="I193" s="77">
        <v>0</v>
      </c>
      <c r="J193" s="77">
        <v>0</v>
      </c>
      <c r="K193" s="77">
        <v>0</v>
      </c>
      <c r="L193" s="77">
        <v>0</v>
      </c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.75" customHeight="1">
      <c r="A194" s="77" t="s">
        <v>276</v>
      </c>
      <c r="B194" s="77">
        <v>0</v>
      </c>
      <c r="C194" s="77">
        <v>0</v>
      </c>
      <c r="D194" s="77">
        <v>0</v>
      </c>
      <c r="E194" s="77">
        <v>0</v>
      </c>
      <c r="F194" s="77">
        <v>0</v>
      </c>
      <c r="G194" s="77">
        <v>0</v>
      </c>
      <c r="H194" s="4">
        <v>0</v>
      </c>
      <c r="I194" s="77">
        <v>0</v>
      </c>
      <c r="J194" s="77">
        <v>0</v>
      </c>
      <c r="K194" s="77">
        <v>0</v>
      </c>
      <c r="L194" s="77">
        <v>0</v>
      </c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.75" customHeight="1">
      <c r="A195" s="77" t="s">
        <v>277</v>
      </c>
      <c r="B195" s="77">
        <v>0</v>
      </c>
      <c r="C195" s="77">
        <v>0</v>
      </c>
      <c r="D195" s="77">
        <v>0</v>
      </c>
      <c r="E195" s="77">
        <v>0</v>
      </c>
      <c r="F195" s="77">
        <v>0</v>
      </c>
      <c r="G195" s="77">
        <v>0</v>
      </c>
      <c r="H195" s="4">
        <v>0</v>
      </c>
      <c r="I195" s="77">
        <v>0</v>
      </c>
      <c r="J195" s="77">
        <v>0</v>
      </c>
      <c r="K195" s="77">
        <v>0</v>
      </c>
      <c r="L195" s="77">
        <v>0</v>
      </c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.75" customHeight="1">
      <c r="A196" s="77" t="s">
        <v>278</v>
      </c>
      <c r="B196" s="77">
        <v>0</v>
      </c>
      <c r="C196" s="77">
        <v>0</v>
      </c>
      <c r="D196" s="77">
        <v>0</v>
      </c>
      <c r="E196" s="77">
        <v>0</v>
      </c>
      <c r="F196" s="77">
        <v>0</v>
      </c>
      <c r="G196" s="77">
        <v>0</v>
      </c>
      <c r="H196" s="4">
        <v>0</v>
      </c>
      <c r="I196" s="77">
        <v>0</v>
      </c>
      <c r="J196" s="77">
        <v>0</v>
      </c>
      <c r="K196" s="77">
        <v>0</v>
      </c>
      <c r="L196" s="77">
        <v>0</v>
      </c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.75" customHeight="1">
      <c r="A197" s="77" t="s">
        <v>279</v>
      </c>
      <c r="B197" s="77">
        <v>0</v>
      </c>
      <c r="C197" s="77">
        <v>0</v>
      </c>
      <c r="D197" s="77">
        <v>0</v>
      </c>
      <c r="E197" s="77">
        <v>0</v>
      </c>
      <c r="F197" s="77">
        <v>0</v>
      </c>
      <c r="G197" s="77">
        <v>0</v>
      </c>
      <c r="H197" s="4">
        <v>0</v>
      </c>
      <c r="I197" s="77">
        <v>0</v>
      </c>
      <c r="J197" s="77">
        <v>0</v>
      </c>
      <c r="K197" s="77">
        <v>0</v>
      </c>
      <c r="L197" s="77">
        <v>0</v>
      </c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.75" customHeight="1">
      <c r="A198" s="77" t="s">
        <v>280</v>
      </c>
      <c r="B198" s="77">
        <v>0</v>
      </c>
      <c r="C198" s="77">
        <v>0</v>
      </c>
      <c r="D198" s="77">
        <v>0</v>
      </c>
      <c r="E198" s="77">
        <v>0</v>
      </c>
      <c r="F198" s="77">
        <v>0</v>
      </c>
      <c r="G198" s="77">
        <v>0</v>
      </c>
      <c r="H198" s="4">
        <v>0</v>
      </c>
      <c r="I198" s="77">
        <v>0</v>
      </c>
      <c r="J198" s="77">
        <v>0</v>
      </c>
      <c r="K198" s="77">
        <v>0</v>
      </c>
      <c r="L198" s="77">
        <v>0</v>
      </c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.75" customHeight="1">
      <c r="A199" s="77" t="s">
        <v>281</v>
      </c>
      <c r="B199" s="77">
        <v>0</v>
      </c>
      <c r="C199" s="77">
        <v>0</v>
      </c>
      <c r="D199" s="77">
        <v>0</v>
      </c>
      <c r="E199" s="77">
        <v>0</v>
      </c>
      <c r="F199" s="77">
        <v>0</v>
      </c>
      <c r="G199" s="77">
        <v>0</v>
      </c>
      <c r="H199" s="4">
        <v>0</v>
      </c>
      <c r="I199" s="77">
        <v>0</v>
      </c>
      <c r="J199" s="77">
        <v>0</v>
      </c>
      <c r="K199" s="77">
        <v>0</v>
      </c>
      <c r="L199" s="77">
        <v>0</v>
      </c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.75" customHeight="1">
      <c r="A200" s="84" t="s">
        <v>268</v>
      </c>
      <c r="B200" s="84">
        <v>0</v>
      </c>
      <c r="C200" s="84">
        <v>0</v>
      </c>
      <c r="D200" s="84">
        <v>0</v>
      </c>
      <c r="E200" s="84">
        <v>0</v>
      </c>
      <c r="F200" s="84">
        <v>0</v>
      </c>
      <c r="G200" s="84">
        <v>0</v>
      </c>
      <c r="H200" s="80">
        <v>0</v>
      </c>
      <c r="I200" s="84">
        <v>0</v>
      </c>
      <c r="J200" s="84">
        <v>0</v>
      </c>
      <c r="K200" s="84">
        <v>0</v>
      </c>
      <c r="L200" s="84">
        <v>0</v>
      </c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.75" customHeight="1">
      <c r="A201" s="77" t="s">
        <v>274</v>
      </c>
      <c r="B201" s="77">
        <v>0</v>
      </c>
      <c r="C201" s="77">
        <v>0</v>
      </c>
      <c r="D201" s="77">
        <v>0</v>
      </c>
      <c r="E201" s="77">
        <v>0</v>
      </c>
      <c r="F201" s="77">
        <v>0</v>
      </c>
      <c r="G201" s="77">
        <v>0</v>
      </c>
      <c r="H201" s="4">
        <v>0</v>
      </c>
      <c r="I201" s="77">
        <v>0</v>
      </c>
      <c r="J201" s="77">
        <v>0</v>
      </c>
      <c r="K201" s="77">
        <v>0</v>
      </c>
      <c r="L201" s="77">
        <v>0</v>
      </c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.75" customHeight="1">
      <c r="A202" s="77" t="s">
        <v>275</v>
      </c>
      <c r="B202" s="77">
        <v>0</v>
      </c>
      <c r="C202" s="77">
        <v>0</v>
      </c>
      <c r="D202" s="77">
        <v>0</v>
      </c>
      <c r="E202" s="77">
        <v>0</v>
      </c>
      <c r="F202" s="77">
        <v>0</v>
      </c>
      <c r="G202" s="77">
        <v>0</v>
      </c>
      <c r="H202" s="4">
        <v>0</v>
      </c>
      <c r="I202" s="77">
        <v>0</v>
      </c>
      <c r="J202" s="77">
        <v>0</v>
      </c>
      <c r="K202" s="77">
        <v>0</v>
      </c>
      <c r="L202" s="77">
        <v>0</v>
      </c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.75" customHeight="1">
      <c r="A203" s="77" t="s">
        <v>276</v>
      </c>
      <c r="B203" s="77">
        <v>0</v>
      </c>
      <c r="C203" s="77">
        <v>0</v>
      </c>
      <c r="D203" s="77">
        <v>0</v>
      </c>
      <c r="E203" s="77">
        <v>0</v>
      </c>
      <c r="F203" s="77">
        <v>0</v>
      </c>
      <c r="G203" s="77">
        <v>0</v>
      </c>
      <c r="H203" s="4">
        <v>0</v>
      </c>
      <c r="I203" s="77">
        <v>0</v>
      </c>
      <c r="J203" s="77">
        <v>0</v>
      </c>
      <c r="K203" s="77">
        <v>0</v>
      </c>
      <c r="L203" s="77">
        <v>0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.75" customHeight="1">
      <c r="A204" s="77" t="s">
        <v>277</v>
      </c>
      <c r="B204" s="77">
        <v>0</v>
      </c>
      <c r="C204" s="77">
        <v>0</v>
      </c>
      <c r="D204" s="77">
        <v>0</v>
      </c>
      <c r="E204" s="77">
        <v>0</v>
      </c>
      <c r="F204" s="77">
        <v>0</v>
      </c>
      <c r="G204" s="77">
        <v>0</v>
      </c>
      <c r="H204" s="4">
        <v>0</v>
      </c>
      <c r="I204" s="77">
        <v>0</v>
      </c>
      <c r="J204" s="77">
        <v>0</v>
      </c>
      <c r="K204" s="77">
        <v>0</v>
      </c>
      <c r="L204" s="77">
        <v>0</v>
      </c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.75" customHeight="1">
      <c r="A205" s="77" t="s">
        <v>278</v>
      </c>
      <c r="B205" s="77">
        <v>0</v>
      </c>
      <c r="C205" s="77">
        <v>0</v>
      </c>
      <c r="D205" s="77">
        <v>0</v>
      </c>
      <c r="E205" s="77">
        <v>0</v>
      </c>
      <c r="F205" s="77">
        <v>0</v>
      </c>
      <c r="G205" s="77">
        <v>0</v>
      </c>
      <c r="H205" s="4">
        <v>0</v>
      </c>
      <c r="I205" s="77">
        <v>0</v>
      </c>
      <c r="J205" s="77">
        <v>0</v>
      </c>
      <c r="K205" s="77">
        <v>0</v>
      </c>
      <c r="L205" s="77">
        <v>0</v>
      </c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.75" customHeight="1">
      <c r="A206" s="77" t="s">
        <v>279</v>
      </c>
      <c r="B206" s="77">
        <v>0</v>
      </c>
      <c r="C206" s="77">
        <v>0</v>
      </c>
      <c r="D206" s="77">
        <v>0</v>
      </c>
      <c r="E206" s="77">
        <v>0</v>
      </c>
      <c r="F206" s="77">
        <v>0</v>
      </c>
      <c r="G206" s="77">
        <v>0</v>
      </c>
      <c r="H206" s="4">
        <v>0</v>
      </c>
      <c r="I206" s="77">
        <v>0</v>
      </c>
      <c r="J206" s="77">
        <v>0</v>
      </c>
      <c r="K206" s="77">
        <v>0</v>
      </c>
      <c r="L206" s="77">
        <v>0</v>
      </c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.75" customHeight="1">
      <c r="A207" s="77" t="s">
        <v>280</v>
      </c>
      <c r="B207" s="77">
        <v>0</v>
      </c>
      <c r="C207" s="77">
        <v>0</v>
      </c>
      <c r="D207" s="77">
        <v>0</v>
      </c>
      <c r="E207" s="77">
        <v>0</v>
      </c>
      <c r="F207" s="77">
        <v>0</v>
      </c>
      <c r="G207" s="77">
        <v>0</v>
      </c>
      <c r="H207" s="4">
        <v>0</v>
      </c>
      <c r="I207" s="77">
        <v>0</v>
      </c>
      <c r="J207" s="77">
        <v>0</v>
      </c>
      <c r="K207" s="77">
        <v>0</v>
      </c>
      <c r="L207" s="77">
        <v>0</v>
      </c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.75" customHeight="1">
      <c r="A208" s="77" t="s">
        <v>281</v>
      </c>
      <c r="B208" s="77">
        <v>0</v>
      </c>
      <c r="C208" s="77">
        <v>0</v>
      </c>
      <c r="D208" s="77">
        <v>0</v>
      </c>
      <c r="E208" s="77">
        <v>0</v>
      </c>
      <c r="F208" s="77">
        <v>0</v>
      </c>
      <c r="G208" s="77">
        <v>0</v>
      </c>
      <c r="H208" s="4">
        <v>0</v>
      </c>
      <c r="I208" s="77">
        <v>0</v>
      </c>
      <c r="J208" s="77">
        <v>0</v>
      </c>
      <c r="K208" s="77">
        <v>0</v>
      </c>
      <c r="L208" s="77">
        <v>0</v>
      </c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.75" customHeight="1">
      <c r="A209" s="84" t="s">
        <v>69</v>
      </c>
      <c r="B209" s="84">
        <v>0</v>
      </c>
      <c r="C209" s="84">
        <v>0</v>
      </c>
      <c r="D209" s="84">
        <v>0</v>
      </c>
      <c r="E209" s="84">
        <v>0</v>
      </c>
      <c r="F209" s="84">
        <v>0</v>
      </c>
      <c r="G209" s="84">
        <v>0</v>
      </c>
      <c r="H209" s="80">
        <v>0</v>
      </c>
      <c r="I209" s="84">
        <v>0</v>
      </c>
      <c r="J209" s="84">
        <v>0</v>
      </c>
      <c r="K209" s="84">
        <v>0</v>
      </c>
      <c r="L209" s="84">
        <v>0</v>
      </c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.75" customHeight="1">
      <c r="A210" s="77" t="s">
        <v>274</v>
      </c>
      <c r="B210" s="77">
        <v>0</v>
      </c>
      <c r="C210" s="77">
        <v>0</v>
      </c>
      <c r="D210" s="77">
        <v>0</v>
      </c>
      <c r="E210" s="77">
        <v>0</v>
      </c>
      <c r="F210" s="77">
        <v>0</v>
      </c>
      <c r="G210" s="77">
        <v>0</v>
      </c>
      <c r="H210" s="4">
        <v>0</v>
      </c>
      <c r="I210" s="77">
        <v>0</v>
      </c>
      <c r="J210" s="77">
        <v>0</v>
      </c>
      <c r="K210" s="77">
        <v>0</v>
      </c>
      <c r="L210" s="77">
        <v>0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.75" customHeight="1">
      <c r="A211" s="77" t="s">
        <v>275</v>
      </c>
      <c r="B211" s="77">
        <v>0</v>
      </c>
      <c r="C211" s="77">
        <v>0</v>
      </c>
      <c r="D211" s="77">
        <v>0</v>
      </c>
      <c r="E211" s="77">
        <v>0</v>
      </c>
      <c r="F211" s="77">
        <v>0</v>
      </c>
      <c r="G211" s="77">
        <v>0</v>
      </c>
      <c r="H211" s="4">
        <v>0</v>
      </c>
      <c r="I211" s="77">
        <v>0</v>
      </c>
      <c r="J211" s="77">
        <v>0</v>
      </c>
      <c r="K211" s="77">
        <v>0</v>
      </c>
      <c r="L211" s="77">
        <v>0</v>
      </c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.75" customHeight="1">
      <c r="A212" s="77" t="s">
        <v>276</v>
      </c>
      <c r="B212" s="77">
        <v>0</v>
      </c>
      <c r="C212" s="77">
        <v>0</v>
      </c>
      <c r="D212" s="77">
        <v>0</v>
      </c>
      <c r="E212" s="77">
        <v>0</v>
      </c>
      <c r="F212" s="77">
        <v>0</v>
      </c>
      <c r="G212" s="77">
        <v>0</v>
      </c>
      <c r="H212" s="4">
        <v>0</v>
      </c>
      <c r="I212" s="77">
        <v>0</v>
      </c>
      <c r="J212" s="77">
        <v>0</v>
      </c>
      <c r="K212" s="77">
        <v>0</v>
      </c>
      <c r="L212" s="77">
        <v>0</v>
      </c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.75" customHeight="1">
      <c r="A213" s="77" t="s">
        <v>277</v>
      </c>
      <c r="B213" s="77">
        <v>0</v>
      </c>
      <c r="C213" s="77">
        <v>0</v>
      </c>
      <c r="D213" s="77">
        <v>0</v>
      </c>
      <c r="E213" s="77">
        <v>0</v>
      </c>
      <c r="F213" s="77">
        <v>0</v>
      </c>
      <c r="G213" s="77">
        <v>0</v>
      </c>
      <c r="H213" s="4">
        <v>0</v>
      </c>
      <c r="I213" s="77">
        <v>0</v>
      </c>
      <c r="J213" s="77">
        <v>0</v>
      </c>
      <c r="K213" s="77">
        <v>0</v>
      </c>
      <c r="L213" s="77">
        <v>0</v>
      </c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.75" customHeight="1">
      <c r="A214" s="77" t="s">
        <v>278</v>
      </c>
      <c r="B214" s="77">
        <v>0</v>
      </c>
      <c r="C214" s="77">
        <v>0</v>
      </c>
      <c r="D214" s="77">
        <v>0</v>
      </c>
      <c r="E214" s="77">
        <v>0</v>
      </c>
      <c r="F214" s="77">
        <v>0</v>
      </c>
      <c r="G214" s="77">
        <v>0</v>
      </c>
      <c r="H214" s="4">
        <v>0</v>
      </c>
      <c r="I214" s="77">
        <v>0</v>
      </c>
      <c r="J214" s="77">
        <v>0</v>
      </c>
      <c r="K214" s="77">
        <v>0</v>
      </c>
      <c r="L214" s="77">
        <v>0</v>
      </c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.75" customHeight="1">
      <c r="A215" s="77" t="s">
        <v>279</v>
      </c>
      <c r="B215" s="77">
        <v>0</v>
      </c>
      <c r="C215" s="77">
        <v>0</v>
      </c>
      <c r="D215" s="77">
        <v>0</v>
      </c>
      <c r="E215" s="77">
        <v>0</v>
      </c>
      <c r="F215" s="77">
        <v>0</v>
      </c>
      <c r="G215" s="77">
        <v>0</v>
      </c>
      <c r="H215" s="4">
        <v>0</v>
      </c>
      <c r="I215" s="77">
        <v>0</v>
      </c>
      <c r="J215" s="77">
        <v>0</v>
      </c>
      <c r="K215" s="77">
        <v>0</v>
      </c>
      <c r="L215" s="77">
        <v>0</v>
      </c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.75" customHeight="1">
      <c r="A216" s="77" t="s">
        <v>280</v>
      </c>
      <c r="B216" s="77">
        <v>0</v>
      </c>
      <c r="C216" s="77">
        <v>0</v>
      </c>
      <c r="D216" s="77">
        <v>0</v>
      </c>
      <c r="E216" s="77">
        <v>0</v>
      </c>
      <c r="F216" s="77">
        <v>0</v>
      </c>
      <c r="G216" s="77">
        <v>0</v>
      </c>
      <c r="H216" s="4">
        <v>0</v>
      </c>
      <c r="I216" s="77">
        <v>0</v>
      </c>
      <c r="J216" s="77">
        <v>0</v>
      </c>
      <c r="K216" s="77">
        <v>0</v>
      </c>
      <c r="L216" s="77">
        <v>0</v>
      </c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.75" customHeight="1">
      <c r="A217" s="77" t="s">
        <v>281</v>
      </c>
      <c r="B217" s="77">
        <v>0</v>
      </c>
      <c r="C217" s="77">
        <v>0</v>
      </c>
      <c r="D217" s="77">
        <v>0</v>
      </c>
      <c r="E217" s="77">
        <v>0</v>
      </c>
      <c r="F217" s="77">
        <v>0</v>
      </c>
      <c r="G217" s="77">
        <v>0</v>
      </c>
      <c r="H217" s="4">
        <v>0</v>
      </c>
      <c r="I217" s="77">
        <v>0</v>
      </c>
      <c r="J217" s="77">
        <v>0</v>
      </c>
      <c r="K217" s="77">
        <v>0</v>
      </c>
      <c r="L217" s="77">
        <v>0</v>
      </c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.75" customHeight="1">
      <c r="A218" s="84" t="s">
        <v>71</v>
      </c>
      <c r="B218" s="84">
        <v>0</v>
      </c>
      <c r="C218" s="84">
        <v>0</v>
      </c>
      <c r="D218" s="84">
        <v>0</v>
      </c>
      <c r="E218" s="84">
        <v>0</v>
      </c>
      <c r="F218" s="84">
        <v>0</v>
      </c>
      <c r="G218" s="84">
        <v>0</v>
      </c>
      <c r="H218" s="80">
        <v>0</v>
      </c>
      <c r="I218" s="84">
        <v>0</v>
      </c>
      <c r="J218" s="84">
        <v>0</v>
      </c>
      <c r="K218" s="84">
        <v>0</v>
      </c>
      <c r="L218" s="84">
        <v>0</v>
      </c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.75" customHeight="1">
      <c r="A219" s="77" t="s">
        <v>274</v>
      </c>
      <c r="B219" s="77">
        <v>0</v>
      </c>
      <c r="C219" s="77">
        <v>0</v>
      </c>
      <c r="D219" s="77">
        <v>0</v>
      </c>
      <c r="E219" s="77">
        <v>0</v>
      </c>
      <c r="F219" s="77">
        <v>0</v>
      </c>
      <c r="G219" s="77">
        <v>0</v>
      </c>
      <c r="H219" s="4">
        <v>0</v>
      </c>
      <c r="I219" s="77">
        <v>0</v>
      </c>
      <c r="J219" s="77">
        <v>0</v>
      </c>
      <c r="K219" s="77">
        <v>0</v>
      </c>
      <c r="L219" s="77">
        <v>0</v>
      </c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.75" customHeight="1">
      <c r="A220" s="77" t="s">
        <v>275</v>
      </c>
      <c r="B220" s="77">
        <v>0</v>
      </c>
      <c r="C220" s="77">
        <v>0</v>
      </c>
      <c r="D220" s="77">
        <v>0</v>
      </c>
      <c r="E220" s="77">
        <v>0</v>
      </c>
      <c r="F220" s="77">
        <v>0</v>
      </c>
      <c r="G220" s="77">
        <v>0</v>
      </c>
      <c r="H220" s="4">
        <v>0</v>
      </c>
      <c r="I220" s="77">
        <v>0</v>
      </c>
      <c r="J220" s="77">
        <v>0</v>
      </c>
      <c r="K220" s="77">
        <v>0</v>
      </c>
      <c r="L220" s="77">
        <v>0</v>
      </c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.75" customHeight="1">
      <c r="A221" s="77" t="s">
        <v>276</v>
      </c>
      <c r="B221" s="77">
        <v>0</v>
      </c>
      <c r="C221" s="77">
        <v>0</v>
      </c>
      <c r="D221" s="77">
        <v>0</v>
      </c>
      <c r="E221" s="77">
        <v>0</v>
      </c>
      <c r="F221" s="77">
        <v>0</v>
      </c>
      <c r="G221" s="77">
        <v>0</v>
      </c>
      <c r="H221" s="4">
        <v>0</v>
      </c>
      <c r="I221" s="77">
        <v>0</v>
      </c>
      <c r="J221" s="77">
        <v>0</v>
      </c>
      <c r="K221" s="77">
        <v>0</v>
      </c>
      <c r="L221" s="77">
        <v>0</v>
      </c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.75" customHeight="1">
      <c r="A222" s="77" t="s">
        <v>277</v>
      </c>
      <c r="B222" s="77">
        <v>0</v>
      </c>
      <c r="C222" s="77">
        <v>0</v>
      </c>
      <c r="D222" s="77">
        <v>0</v>
      </c>
      <c r="E222" s="77">
        <v>0</v>
      </c>
      <c r="F222" s="77">
        <v>0</v>
      </c>
      <c r="G222" s="77">
        <v>0</v>
      </c>
      <c r="H222" s="4">
        <v>0</v>
      </c>
      <c r="I222" s="77">
        <v>0</v>
      </c>
      <c r="J222" s="77">
        <v>0</v>
      </c>
      <c r="K222" s="77">
        <v>0</v>
      </c>
      <c r="L222" s="77">
        <v>0</v>
      </c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.75" customHeight="1">
      <c r="A223" s="77" t="s">
        <v>278</v>
      </c>
      <c r="B223" s="77">
        <v>0</v>
      </c>
      <c r="C223" s="77">
        <v>0</v>
      </c>
      <c r="D223" s="77">
        <v>0</v>
      </c>
      <c r="E223" s="77">
        <v>0</v>
      </c>
      <c r="F223" s="77">
        <v>0</v>
      </c>
      <c r="G223" s="77">
        <v>0</v>
      </c>
      <c r="H223" s="4">
        <v>0</v>
      </c>
      <c r="I223" s="77">
        <v>0</v>
      </c>
      <c r="J223" s="77">
        <v>0</v>
      </c>
      <c r="K223" s="77">
        <v>0</v>
      </c>
      <c r="L223" s="77">
        <v>0</v>
      </c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.75" customHeight="1">
      <c r="A224" s="77" t="s">
        <v>279</v>
      </c>
      <c r="B224" s="77">
        <v>0</v>
      </c>
      <c r="C224" s="77">
        <v>0</v>
      </c>
      <c r="D224" s="77">
        <v>0</v>
      </c>
      <c r="E224" s="77">
        <v>0</v>
      </c>
      <c r="F224" s="77">
        <v>0</v>
      </c>
      <c r="G224" s="77">
        <v>0</v>
      </c>
      <c r="H224" s="4">
        <v>0</v>
      </c>
      <c r="I224" s="77">
        <v>0</v>
      </c>
      <c r="J224" s="77">
        <v>0</v>
      </c>
      <c r="K224" s="77">
        <v>0</v>
      </c>
      <c r="L224" s="77">
        <v>0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.75" customHeight="1">
      <c r="A225" s="77" t="s">
        <v>280</v>
      </c>
      <c r="B225" s="77">
        <v>0</v>
      </c>
      <c r="C225" s="77">
        <v>0</v>
      </c>
      <c r="D225" s="77">
        <v>0</v>
      </c>
      <c r="E225" s="77">
        <v>0</v>
      </c>
      <c r="F225" s="77">
        <v>0</v>
      </c>
      <c r="G225" s="77">
        <v>0</v>
      </c>
      <c r="H225" s="4">
        <v>0</v>
      </c>
      <c r="I225" s="77">
        <v>0</v>
      </c>
      <c r="J225" s="77">
        <v>0</v>
      </c>
      <c r="K225" s="77">
        <v>0</v>
      </c>
      <c r="L225" s="77">
        <v>0</v>
      </c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.75" customHeight="1">
      <c r="A226" s="77" t="s">
        <v>281</v>
      </c>
      <c r="B226" s="77">
        <v>0</v>
      </c>
      <c r="C226" s="77">
        <v>0</v>
      </c>
      <c r="D226" s="77">
        <v>0</v>
      </c>
      <c r="E226" s="77">
        <v>0</v>
      </c>
      <c r="F226" s="77">
        <v>0</v>
      </c>
      <c r="G226" s="77">
        <v>0</v>
      </c>
      <c r="H226" s="4">
        <v>0</v>
      </c>
      <c r="I226" s="77">
        <v>0</v>
      </c>
      <c r="J226" s="77">
        <v>0</v>
      </c>
      <c r="K226" s="77">
        <v>0</v>
      </c>
      <c r="L226" s="77">
        <v>0</v>
      </c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.75" customHeight="1">
      <c r="A227" s="84" t="s">
        <v>10</v>
      </c>
      <c r="B227" s="84">
        <v>0</v>
      </c>
      <c r="C227" s="84">
        <v>0</v>
      </c>
      <c r="D227" s="84">
        <v>0</v>
      </c>
      <c r="E227" s="84">
        <v>0</v>
      </c>
      <c r="F227" s="84">
        <v>0</v>
      </c>
      <c r="G227" s="84">
        <v>0</v>
      </c>
      <c r="H227" s="80">
        <v>0</v>
      </c>
      <c r="I227" s="84">
        <v>0</v>
      </c>
      <c r="J227" s="84">
        <v>0</v>
      </c>
      <c r="K227" s="84">
        <v>0</v>
      </c>
      <c r="L227" s="84">
        <v>0</v>
      </c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.75" customHeight="1">
      <c r="A228" s="77" t="s">
        <v>274</v>
      </c>
      <c r="B228" s="77">
        <v>0</v>
      </c>
      <c r="C228" s="77">
        <v>0</v>
      </c>
      <c r="D228" s="77">
        <v>0</v>
      </c>
      <c r="E228" s="77">
        <v>0</v>
      </c>
      <c r="F228" s="77">
        <v>0</v>
      </c>
      <c r="G228" s="77">
        <v>0</v>
      </c>
      <c r="H228" s="4">
        <v>0</v>
      </c>
      <c r="I228" s="77">
        <v>0</v>
      </c>
      <c r="J228" s="77">
        <v>0</v>
      </c>
      <c r="K228" s="77">
        <v>0</v>
      </c>
      <c r="L228" s="77">
        <v>0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.75" customHeight="1">
      <c r="A229" s="77" t="s">
        <v>275</v>
      </c>
      <c r="B229" s="77">
        <v>0</v>
      </c>
      <c r="C229" s="77">
        <v>0</v>
      </c>
      <c r="D229" s="77">
        <v>0</v>
      </c>
      <c r="E229" s="77">
        <v>0</v>
      </c>
      <c r="F229" s="77">
        <v>0</v>
      </c>
      <c r="G229" s="77">
        <v>0</v>
      </c>
      <c r="H229" s="4">
        <v>0</v>
      </c>
      <c r="I229" s="77">
        <v>0</v>
      </c>
      <c r="J229" s="77">
        <v>0</v>
      </c>
      <c r="K229" s="77">
        <v>0</v>
      </c>
      <c r="L229" s="77">
        <v>0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.75" customHeight="1">
      <c r="A230" s="77" t="s">
        <v>276</v>
      </c>
      <c r="B230" s="77">
        <v>0</v>
      </c>
      <c r="C230" s="77">
        <v>0</v>
      </c>
      <c r="D230" s="77">
        <v>0</v>
      </c>
      <c r="E230" s="77">
        <v>0</v>
      </c>
      <c r="F230" s="77">
        <v>0</v>
      </c>
      <c r="G230" s="77">
        <v>0</v>
      </c>
      <c r="H230" s="4">
        <v>0</v>
      </c>
      <c r="I230" s="77">
        <v>0</v>
      </c>
      <c r="J230" s="77">
        <v>0</v>
      </c>
      <c r="K230" s="77">
        <v>0</v>
      </c>
      <c r="L230" s="77">
        <v>0</v>
      </c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.75" customHeight="1">
      <c r="A231" s="77" t="s">
        <v>277</v>
      </c>
      <c r="B231" s="77">
        <v>0</v>
      </c>
      <c r="C231" s="77">
        <v>0</v>
      </c>
      <c r="D231" s="77">
        <v>0</v>
      </c>
      <c r="E231" s="77">
        <v>0</v>
      </c>
      <c r="F231" s="77">
        <v>0</v>
      </c>
      <c r="G231" s="77">
        <v>0</v>
      </c>
      <c r="H231" s="4">
        <v>0</v>
      </c>
      <c r="I231" s="77">
        <v>0</v>
      </c>
      <c r="J231" s="77">
        <v>0</v>
      </c>
      <c r="K231" s="77">
        <v>0</v>
      </c>
      <c r="L231" s="77">
        <v>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.75" customHeight="1">
      <c r="A232" s="77" t="s">
        <v>278</v>
      </c>
      <c r="B232" s="77">
        <v>0</v>
      </c>
      <c r="C232" s="77">
        <v>0</v>
      </c>
      <c r="D232" s="77">
        <v>0</v>
      </c>
      <c r="E232" s="77">
        <v>0</v>
      </c>
      <c r="F232" s="77">
        <v>0</v>
      </c>
      <c r="G232" s="77">
        <v>0</v>
      </c>
      <c r="H232" s="4">
        <v>0</v>
      </c>
      <c r="I232" s="77">
        <v>0</v>
      </c>
      <c r="J232" s="77">
        <v>0</v>
      </c>
      <c r="K232" s="77">
        <v>0</v>
      </c>
      <c r="L232" s="77">
        <v>0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.75" customHeight="1">
      <c r="A233" s="77" t="s">
        <v>279</v>
      </c>
      <c r="B233" s="77">
        <v>0</v>
      </c>
      <c r="C233" s="77">
        <v>0</v>
      </c>
      <c r="D233" s="77">
        <v>0</v>
      </c>
      <c r="E233" s="77">
        <v>0</v>
      </c>
      <c r="F233" s="77">
        <v>0</v>
      </c>
      <c r="G233" s="77">
        <v>0</v>
      </c>
      <c r="H233" s="4">
        <v>0</v>
      </c>
      <c r="I233" s="77">
        <v>0</v>
      </c>
      <c r="J233" s="77">
        <v>0</v>
      </c>
      <c r="K233" s="77">
        <v>0</v>
      </c>
      <c r="L233" s="77">
        <v>0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.75" customHeight="1">
      <c r="A234" s="77" t="s">
        <v>280</v>
      </c>
      <c r="B234" s="77">
        <v>0</v>
      </c>
      <c r="C234" s="77">
        <v>0</v>
      </c>
      <c r="D234" s="77">
        <v>0</v>
      </c>
      <c r="E234" s="77">
        <v>0</v>
      </c>
      <c r="F234" s="77">
        <v>0</v>
      </c>
      <c r="G234" s="77">
        <v>0</v>
      </c>
      <c r="H234" s="4">
        <v>0</v>
      </c>
      <c r="I234" s="77">
        <v>0</v>
      </c>
      <c r="J234" s="77">
        <v>0</v>
      </c>
      <c r="K234" s="77">
        <v>0</v>
      </c>
      <c r="L234" s="77">
        <v>0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.75" customHeight="1">
      <c r="A235" s="77" t="s">
        <v>281</v>
      </c>
      <c r="B235" s="77">
        <v>0</v>
      </c>
      <c r="C235" s="77">
        <v>0</v>
      </c>
      <c r="D235" s="77">
        <v>0</v>
      </c>
      <c r="E235" s="77">
        <v>0</v>
      </c>
      <c r="F235" s="77">
        <v>0</v>
      </c>
      <c r="G235" s="77">
        <v>0</v>
      </c>
      <c r="H235" s="4">
        <v>0</v>
      </c>
      <c r="I235" s="77">
        <v>0</v>
      </c>
      <c r="J235" s="77">
        <v>0</v>
      </c>
      <c r="K235" s="77">
        <v>0</v>
      </c>
      <c r="L235" s="77">
        <v>0</v>
      </c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.75" customHeight="1">
      <c r="A236" s="84" t="s">
        <v>207</v>
      </c>
      <c r="B236" s="84">
        <v>0</v>
      </c>
      <c r="C236" s="84">
        <v>0</v>
      </c>
      <c r="D236" s="84">
        <v>0</v>
      </c>
      <c r="E236" s="84">
        <v>0</v>
      </c>
      <c r="F236" s="84">
        <v>0</v>
      </c>
      <c r="G236" s="84">
        <v>0</v>
      </c>
      <c r="H236" s="80">
        <v>0</v>
      </c>
      <c r="I236" s="84">
        <v>0</v>
      </c>
      <c r="J236" s="84">
        <v>0</v>
      </c>
      <c r="K236" s="84">
        <v>0</v>
      </c>
      <c r="L236" s="84">
        <v>0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.75" customHeight="1">
      <c r="A237" s="77" t="s">
        <v>274</v>
      </c>
      <c r="B237" s="77">
        <v>0</v>
      </c>
      <c r="C237" s="77">
        <v>0</v>
      </c>
      <c r="D237" s="77">
        <v>0</v>
      </c>
      <c r="E237" s="77">
        <v>0</v>
      </c>
      <c r="F237" s="77">
        <v>0</v>
      </c>
      <c r="G237" s="77">
        <v>0</v>
      </c>
      <c r="H237" s="4">
        <v>0</v>
      </c>
      <c r="I237" s="77">
        <v>0</v>
      </c>
      <c r="J237" s="77">
        <v>0</v>
      </c>
      <c r="K237" s="77">
        <v>0</v>
      </c>
      <c r="L237" s="77">
        <v>0</v>
      </c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.75" customHeight="1">
      <c r="A238" s="77" t="s">
        <v>275</v>
      </c>
      <c r="B238" s="77">
        <v>0</v>
      </c>
      <c r="C238" s="77">
        <v>0</v>
      </c>
      <c r="D238" s="77">
        <v>0</v>
      </c>
      <c r="E238" s="77">
        <v>0</v>
      </c>
      <c r="F238" s="77">
        <v>0</v>
      </c>
      <c r="G238" s="77">
        <v>0</v>
      </c>
      <c r="H238" s="4">
        <v>0</v>
      </c>
      <c r="I238" s="77">
        <v>0</v>
      </c>
      <c r="J238" s="77">
        <v>0</v>
      </c>
      <c r="K238" s="77">
        <v>0</v>
      </c>
      <c r="L238" s="77">
        <v>0</v>
      </c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.75" customHeight="1">
      <c r="A239" s="77" t="s">
        <v>276</v>
      </c>
      <c r="B239" s="77">
        <v>0</v>
      </c>
      <c r="C239" s="77">
        <v>0</v>
      </c>
      <c r="D239" s="77">
        <v>0</v>
      </c>
      <c r="E239" s="77">
        <v>0</v>
      </c>
      <c r="F239" s="77">
        <v>0</v>
      </c>
      <c r="G239" s="77">
        <v>0</v>
      </c>
      <c r="H239" s="4">
        <v>0</v>
      </c>
      <c r="I239" s="77">
        <v>0</v>
      </c>
      <c r="J239" s="77">
        <v>0</v>
      </c>
      <c r="K239" s="77">
        <v>0</v>
      </c>
      <c r="L239" s="77">
        <v>0</v>
      </c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.75" customHeight="1">
      <c r="A240" s="77" t="s">
        <v>277</v>
      </c>
      <c r="B240" s="77">
        <v>0</v>
      </c>
      <c r="C240" s="77">
        <v>0</v>
      </c>
      <c r="D240" s="77">
        <v>0</v>
      </c>
      <c r="E240" s="77">
        <v>0</v>
      </c>
      <c r="F240" s="77">
        <v>0</v>
      </c>
      <c r="G240" s="77">
        <v>0</v>
      </c>
      <c r="H240" s="4">
        <v>0</v>
      </c>
      <c r="I240" s="77">
        <v>0</v>
      </c>
      <c r="J240" s="77">
        <v>0</v>
      </c>
      <c r="K240" s="77">
        <v>0</v>
      </c>
      <c r="L240" s="77">
        <v>0</v>
      </c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.75" customHeight="1">
      <c r="A241" s="77" t="s">
        <v>278</v>
      </c>
      <c r="B241" s="77">
        <v>0</v>
      </c>
      <c r="C241" s="77">
        <v>0</v>
      </c>
      <c r="D241" s="77">
        <v>0</v>
      </c>
      <c r="E241" s="77">
        <v>0</v>
      </c>
      <c r="F241" s="77">
        <v>0</v>
      </c>
      <c r="G241" s="77">
        <v>0</v>
      </c>
      <c r="H241" s="4">
        <v>0</v>
      </c>
      <c r="I241" s="77">
        <v>0</v>
      </c>
      <c r="J241" s="77">
        <v>0</v>
      </c>
      <c r="K241" s="77">
        <v>0</v>
      </c>
      <c r="L241" s="77">
        <v>0</v>
      </c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.75" customHeight="1">
      <c r="A242" s="77" t="s">
        <v>279</v>
      </c>
      <c r="B242" s="77">
        <v>0</v>
      </c>
      <c r="C242" s="77">
        <v>0</v>
      </c>
      <c r="D242" s="77">
        <v>0</v>
      </c>
      <c r="E242" s="77">
        <v>0</v>
      </c>
      <c r="F242" s="77">
        <v>0</v>
      </c>
      <c r="G242" s="77">
        <v>0</v>
      </c>
      <c r="H242" s="4">
        <v>0</v>
      </c>
      <c r="I242" s="77">
        <v>0</v>
      </c>
      <c r="J242" s="77">
        <v>0</v>
      </c>
      <c r="K242" s="77">
        <v>0</v>
      </c>
      <c r="L242" s="77">
        <v>0</v>
      </c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.75" customHeight="1">
      <c r="A243" s="77" t="s">
        <v>280</v>
      </c>
      <c r="B243" s="77">
        <v>0</v>
      </c>
      <c r="C243" s="77">
        <v>0</v>
      </c>
      <c r="D243" s="77">
        <v>0</v>
      </c>
      <c r="E243" s="77">
        <v>0</v>
      </c>
      <c r="F243" s="77">
        <v>0</v>
      </c>
      <c r="G243" s="77">
        <v>0</v>
      </c>
      <c r="H243" s="4">
        <v>0</v>
      </c>
      <c r="I243" s="77">
        <v>0</v>
      </c>
      <c r="J243" s="77">
        <v>0</v>
      </c>
      <c r="K243" s="77">
        <v>0</v>
      </c>
      <c r="L243" s="77">
        <v>0</v>
      </c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.75" customHeight="1">
      <c r="A244" s="77" t="s">
        <v>281</v>
      </c>
      <c r="B244" s="77">
        <v>0</v>
      </c>
      <c r="C244" s="77">
        <v>0</v>
      </c>
      <c r="D244" s="77">
        <v>0</v>
      </c>
      <c r="E244" s="77">
        <v>0</v>
      </c>
      <c r="F244" s="77">
        <v>0</v>
      </c>
      <c r="G244" s="77">
        <v>0</v>
      </c>
      <c r="H244" s="4">
        <v>0</v>
      </c>
      <c r="I244" s="77">
        <v>0</v>
      </c>
      <c r="J244" s="77">
        <v>0</v>
      </c>
      <c r="K244" s="77">
        <v>0</v>
      </c>
      <c r="L244" s="77">
        <v>0</v>
      </c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.75" customHeight="1">
      <c r="A245" s="84" t="s">
        <v>208</v>
      </c>
      <c r="B245" s="84">
        <v>0</v>
      </c>
      <c r="C245" s="84">
        <v>0</v>
      </c>
      <c r="D245" s="84">
        <v>0</v>
      </c>
      <c r="E245" s="84">
        <v>0</v>
      </c>
      <c r="F245" s="84">
        <v>0</v>
      </c>
      <c r="G245" s="84">
        <v>0</v>
      </c>
      <c r="H245" s="80">
        <v>0</v>
      </c>
      <c r="I245" s="84">
        <v>0</v>
      </c>
      <c r="J245" s="84">
        <v>0</v>
      </c>
      <c r="K245" s="84">
        <v>0</v>
      </c>
      <c r="L245" s="84">
        <v>0</v>
      </c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.75" customHeight="1">
      <c r="A246" s="77" t="s">
        <v>274</v>
      </c>
      <c r="B246" s="77">
        <v>0</v>
      </c>
      <c r="C246" s="77">
        <v>0</v>
      </c>
      <c r="D246" s="77">
        <v>0</v>
      </c>
      <c r="E246" s="77">
        <v>0</v>
      </c>
      <c r="F246" s="77">
        <v>0</v>
      </c>
      <c r="G246" s="77">
        <v>0</v>
      </c>
      <c r="H246" s="4">
        <v>0</v>
      </c>
      <c r="I246" s="77">
        <v>0</v>
      </c>
      <c r="J246" s="77">
        <v>0</v>
      </c>
      <c r="K246" s="77">
        <v>0</v>
      </c>
      <c r="L246" s="77">
        <v>0</v>
      </c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.75" customHeight="1">
      <c r="A247" s="77" t="s">
        <v>275</v>
      </c>
      <c r="B247" s="77">
        <v>0</v>
      </c>
      <c r="C247" s="77">
        <v>0</v>
      </c>
      <c r="D247" s="77">
        <v>0</v>
      </c>
      <c r="E247" s="77">
        <v>0</v>
      </c>
      <c r="F247" s="77">
        <v>0</v>
      </c>
      <c r="G247" s="77">
        <v>0</v>
      </c>
      <c r="H247" s="4">
        <v>0</v>
      </c>
      <c r="I247" s="77">
        <v>0</v>
      </c>
      <c r="J247" s="77">
        <v>0</v>
      </c>
      <c r="K247" s="77">
        <v>0</v>
      </c>
      <c r="L247" s="77">
        <v>0</v>
      </c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.75" customHeight="1">
      <c r="A248" s="77" t="s">
        <v>276</v>
      </c>
      <c r="B248" s="77">
        <v>0</v>
      </c>
      <c r="C248" s="77">
        <v>0</v>
      </c>
      <c r="D248" s="77">
        <v>0</v>
      </c>
      <c r="E248" s="77">
        <v>0</v>
      </c>
      <c r="F248" s="77">
        <v>0</v>
      </c>
      <c r="G248" s="77">
        <v>0</v>
      </c>
      <c r="H248" s="4">
        <v>0</v>
      </c>
      <c r="I248" s="77">
        <v>0</v>
      </c>
      <c r="J248" s="77">
        <v>0</v>
      </c>
      <c r="K248" s="77">
        <v>0</v>
      </c>
      <c r="L248" s="77">
        <v>0</v>
      </c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.75" customHeight="1">
      <c r="A249" s="77" t="s">
        <v>277</v>
      </c>
      <c r="B249" s="77">
        <v>0</v>
      </c>
      <c r="C249" s="77">
        <v>0</v>
      </c>
      <c r="D249" s="77">
        <v>0</v>
      </c>
      <c r="E249" s="77">
        <v>0</v>
      </c>
      <c r="F249" s="77">
        <v>0</v>
      </c>
      <c r="G249" s="77">
        <v>0</v>
      </c>
      <c r="H249" s="4">
        <v>0</v>
      </c>
      <c r="I249" s="77">
        <v>0</v>
      </c>
      <c r="J249" s="77">
        <v>0</v>
      </c>
      <c r="K249" s="77">
        <v>0</v>
      </c>
      <c r="L249" s="77">
        <v>0</v>
      </c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.75" customHeight="1">
      <c r="A250" s="77" t="s">
        <v>278</v>
      </c>
      <c r="B250" s="77">
        <v>0</v>
      </c>
      <c r="C250" s="77">
        <v>0</v>
      </c>
      <c r="D250" s="77">
        <v>0</v>
      </c>
      <c r="E250" s="77">
        <v>0</v>
      </c>
      <c r="F250" s="77">
        <v>0</v>
      </c>
      <c r="G250" s="77">
        <v>0</v>
      </c>
      <c r="H250" s="4">
        <v>0</v>
      </c>
      <c r="I250" s="77">
        <v>0</v>
      </c>
      <c r="J250" s="77">
        <v>0</v>
      </c>
      <c r="K250" s="77">
        <v>0</v>
      </c>
      <c r="L250" s="77">
        <v>0</v>
      </c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.75" customHeight="1">
      <c r="A251" s="77" t="s">
        <v>279</v>
      </c>
      <c r="B251" s="77">
        <v>0</v>
      </c>
      <c r="C251" s="77">
        <v>0</v>
      </c>
      <c r="D251" s="77">
        <v>0</v>
      </c>
      <c r="E251" s="77">
        <v>0</v>
      </c>
      <c r="F251" s="77">
        <v>0</v>
      </c>
      <c r="G251" s="77">
        <v>0</v>
      </c>
      <c r="H251" s="4">
        <v>0</v>
      </c>
      <c r="I251" s="77">
        <v>0</v>
      </c>
      <c r="J251" s="77">
        <v>0</v>
      </c>
      <c r="K251" s="77">
        <v>0</v>
      </c>
      <c r="L251" s="77">
        <v>0</v>
      </c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.75" customHeight="1">
      <c r="A252" s="77" t="s">
        <v>280</v>
      </c>
      <c r="B252" s="77">
        <v>0</v>
      </c>
      <c r="C252" s="77">
        <v>0</v>
      </c>
      <c r="D252" s="77">
        <v>0</v>
      </c>
      <c r="E252" s="77">
        <v>0</v>
      </c>
      <c r="F252" s="77">
        <v>0</v>
      </c>
      <c r="G252" s="77">
        <v>0</v>
      </c>
      <c r="H252" s="4">
        <v>0</v>
      </c>
      <c r="I252" s="77">
        <v>0</v>
      </c>
      <c r="J252" s="77">
        <v>0</v>
      </c>
      <c r="K252" s="77">
        <v>0</v>
      </c>
      <c r="L252" s="77">
        <v>0</v>
      </c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.75" customHeight="1">
      <c r="A253" s="77" t="s">
        <v>281</v>
      </c>
      <c r="B253" s="77">
        <v>0</v>
      </c>
      <c r="C253" s="77">
        <v>0</v>
      </c>
      <c r="D253" s="77">
        <v>0</v>
      </c>
      <c r="E253" s="77">
        <v>0</v>
      </c>
      <c r="F253" s="77">
        <v>0</v>
      </c>
      <c r="G253" s="77">
        <v>0</v>
      </c>
      <c r="H253" s="4">
        <v>0</v>
      </c>
      <c r="I253" s="77">
        <v>0</v>
      </c>
      <c r="J253" s="77">
        <v>0</v>
      </c>
      <c r="K253" s="77">
        <v>0</v>
      </c>
      <c r="L253" s="77">
        <v>0</v>
      </c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.75" customHeight="1">
      <c r="A254" s="84" t="s">
        <v>21</v>
      </c>
      <c r="B254" s="84">
        <v>0</v>
      </c>
      <c r="C254" s="84">
        <v>0</v>
      </c>
      <c r="D254" s="84">
        <v>0</v>
      </c>
      <c r="E254" s="84">
        <v>0</v>
      </c>
      <c r="F254" s="84">
        <v>0</v>
      </c>
      <c r="G254" s="84">
        <v>0</v>
      </c>
      <c r="H254" s="80">
        <v>0</v>
      </c>
      <c r="I254" s="84">
        <v>0</v>
      </c>
      <c r="J254" s="84">
        <v>0</v>
      </c>
      <c r="K254" s="84">
        <v>0</v>
      </c>
      <c r="L254" s="84">
        <v>0</v>
      </c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.75" customHeight="1">
      <c r="A255" s="77" t="s">
        <v>274</v>
      </c>
      <c r="B255" s="77">
        <v>0</v>
      </c>
      <c r="C255" s="77">
        <v>0</v>
      </c>
      <c r="D255" s="77">
        <v>0</v>
      </c>
      <c r="E255" s="77">
        <v>0</v>
      </c>
      <c r="F255" s="77">
        <v>0</v>
      </c>
      <c r="G255" s="77">
        <v>0</v>
      </c>
      <c r="H255" s="4">
        <v>0</v>
      </c>
      <c r="I255" s="77">
        <v>0</v>
      </c>
      <c r="J255" s="77">
        <v>0</v>
      </c>
      <c r="K255" s="77">
        <v>0</v>
      </c>
      <c r="L255" s="77">
        <v>0</v>
      </c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.75" customHeight="1">
      <c r="A256" s="77" t="s">
        <v>275</v>
      </c>
      <c r="B256" s="77">
        <v>0</v>
      </c>
      <c r="C256" s="77">
        <v>0</v>
      </c>
      <c r="D256" s="77">
        <v>0</v>
      </c>
      <c r="E256" s="77">
        <v>0</v>
      </c>
      <c r="F256" s="77">
        <v>0</v>
      </c>
      <c r="G256" s="77">
        <v>0</v>
      </c>
      <c r="H256" s="4">
        <v>0</v>
      </c>
      <c r="I256" s="77">
        <v>0</v>
      </c>
      <c r="J256" s="77">
        <v>0</v>
      </c>
      <c r="K256" s="77">
        <v>0</v>
      </c>
      <c r="L256" s="77">
        <v>0</v>
      </c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7" ht="15.75" customHeight="1">
      <c r="A257" s="77" t="s">
        <v>276</v>
      </c>
      <c r="B257" s="77">
        <v>0</v>
      </c>
      <c r="C257" s="77">
        <v>0</v>
      </c>
      <c r="D257" s="77">
        <v>0</v>
      </c>
      <c r="E257" s="77">
        <v>0</v>
      </c>
      <c r="F257" s="77">
        <v>0</v>
      </c>
      <c r="G257" s="77">
        <v>0</v>
      </c>
      <c r="H257" s="4">
        <v>0</v>
      </c>
      <c r="I257" s="77">
        <v>0</v>
      </c>
      <c r="J257" s="77">
        <v>0</v>
      </c>
      <c r="K257" s="77">
        <v>0</v>
      </c>
      <c r="L257" s="77">
        <v>0</v>
      </c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7" ht="15.75" customHeight="1">
      <c r="A258" s="77" t="s">
        <v>277</v>
      </c>
      <c r="B258" s="77">
        <v>0</v>
      </c>
      <c r="C258" s="77">
        <v>0</v>
      </c>
      <c r="D258" s="77">
        <v>0</v>
      </c>
      <c r="E258" s="77">
        <v>0</v>
      </c>
      <c r="F258" s="77">
        <v>0</v>
      </c>
      <c r="G258" s="77">
        <v>0</v>
      </c>
      <c r="H258" s="4">
        <v>0</v>
      </c>
      <c r="I258" s="77">
        <v>0</v>
      </c>
      <c r="J258" s="77">
        <v>0</v>
      </c>
      <c r="K258" s="77">
        <v>0</v>
      </c>
      <c r="L258" s="77">
        <v>0</v>
      </c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7" ht="15.75" customHeight="1">
      <c r="A259" s="77" t="s">
        <v>278</v>
      </c>
      <c r="B259" s="77">
        <v>0</v>
      </c>
      <c r="C259" s="77">
        <v>0</v>
      </c>
      <c r="D259" s="77">
        <v>0</v>
      </c>
      <c r="E259" s="77">
        <v>0</v>
      </c>
      <c r="F259" s="77">
        <v>0</v>
      </c>
      <c r="G259" s="77">
        <v>0</v>
      </c>
      <c r="H259" s="4">
        <v>0</v>
      </c>
      <c r="I259" s="77">
        <v>0</v>
      </c>
      <c r="J259" s="77">
        <v>0</v>
      </c>
      <c r="K259" s="77">
        <v>0</v>
      </c>
      <c r="L259" s="77">
        <v>0</v>
      </c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7" ht="15.75" customHeight="1">
      <c r="A260" s="77" t="s">
        <v>279</v>
      </c>
      <c r="B260" s="77">
        <v>0</v>
      </c>
      <c r="C260" s="77">
        <v>0</v>
      </c>
      <c r="D260" s="77">
        <v>0</v>
      </c>
      <c r="E260" s="77">
        <v>0</v>
      </c>
      <c r="F260" s="77">
        <v>0</v>
      </c>
      <c r="G260" s="77">
        <v>0</v>
      </c>
      <c r="H260" s="4">
        <v>0</v>
      </c>
      <c r="I260" s="77">
        <v>0</v>
      </c>
      <c r="J260" s="77">
        <v>0</v>
      </c>
      <c r="K260" s="77">
        <v>0</v>
      </c>
      <c r="L260" s="77">
        <v>0</v>
      </c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7" ht="15.75" customHeight="1">
      <c r="A261" s="77" t="s">
        <v>280</v>
      </c>
      <c r="B261" s="77">
        <v>0</v>
      </c>
      <c r="C261" s="77">
        <v>0</v>
      </c>
      <c r="D261" s="77">
        <v>0</v>
      </c>
      <c r="E261" s="77">
        <v>0</v>
      </c>
      <c r="F261" s="77">
        <v>0</v>
      </c>
      <c r="G261" s="77">
        <v>0</v>
      </c>
      <c r="H261" s="4">
        <v>0</v>
      </c>
      <c r="I261" s="77">
        <v>0</v>
      </c>
      <c r="J261" s="77">
        <v>0</v>
      </c>
      <c r="K261" s="77">
        <v>0</v>
      </c>
      <c r="L261" s="77">
        <v>0</v>
      </c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7" ht="15.75" customHeight="1">
      <c r="A262" s="77" t="s">
        <v>281</v>
      </c>
      <c r="B262" s="77">
        <v>0</v>
      </c>
      <c r="C262" s="77">
        <v>0</v>
      </c>
      <c r="D262" s="77">
        <v>0</v>
      </c>
      <c r="E262" s="77">
        <v>0</v>
      </c>
      <c r="F262" s="77">
        <v>0</v>
      </c>
      <c r="G262" s="77">
        <v>0</v>
      </c>
      <c r="H262" s="4">
        <v>0</v>
      </c>
      <c r="I262" s="77">
        <v>0</v>
      </c>
      <c r="J262" s="77">
        <v>0</v>
      </c>
      <c r="K262" s="77">
        <v>0</v>
      </c>
      <c r="L262" s="77">
        <v>0</v>
      </c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7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7" ht="15.75" customHeight="1">
      <c r="A264" s="59" t="s">
        <v>211</v>
      </c>
      <c r="B264" s="60">
        <f>SUM(B2, B11,B20,B29,B38,B47,B56,B65,B75,B83,B92,B101,B110,B119,B128,B137,B146,B155,B164,B173,B182,B191,B200,B209,B218,B227,B236,B245,B254)</f>
        <v>0</v>
      </c>
      <c r="C264" s="60">
        <f t="shared" ref="C264:L264" si="0">SUM(C2,C11,C20,C29,C38,C47,C56,C65,C75,C83,C92,C101,C110,C119,C128,C137,C146,C155,C164,C173,C182,C191,C200,C209,C218,C227,C236,C245,C254)</f>
        <v>0</v>
      </c>
      <c r="D264" s="61">
        <f t="shared" si="0"/>
        <v>0</v>
      </c>
      <c r="E264" s="61">
        <f t="shared" si="0"/>
        <v>0</v>
      </c>
      <c r="F264" s="61">
        <f t="shared" si="0"/>
        <v>0</v>
      </c>
      <c r="G264" s="61">
        <f t="shared" si="0"/>
        <v>0</v>
      </c>
      <c r="H264" s="61">
        <f t="shared" si="0"/>
        <v>0</v>
      </c>
      <c r="I264" s="61">
        <f t="shared" si="0"/>
        <v>0</v>
      </c>
      <c r="J264" s="61">
        <f t="shared" si="0"/>
        <v>0</v>
      </c>
      <c r="K264" s="61">
        <f t="shared" si="0"/>
        <v>0</v>
      </c>
      <c r="L264" s="61">
        <f t="shared" si="0"/>
        <v>0</v>
      </c>
      <c r="M264" s="86"/>
      <c r="N264" s="86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  <c r="AA264" s="87"/>
    </row>
    <row r="265" spans="1:27" ht="15.75" customHeight="1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7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7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7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7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7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7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1:25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1:25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1:25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1:25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1:25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1:25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1:25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1:25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1: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1:25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1:25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1:25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1:25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1:25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1:25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1:25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1:25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1:25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1:2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1:25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1:25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1:25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1:25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1:25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1:25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1:25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1:25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1:25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1:2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1:25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1:25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1:25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1:25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1:25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1:25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1:25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1:25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1:25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1:2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1:25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1:25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1:25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1:25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1:25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1:25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1:25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1:25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1:25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1:2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1:25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1:25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1:25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1:25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1:25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1:25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1:25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1:25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1:25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1:2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1:25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1:25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1:25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1:25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1:25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1:25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1:25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1:25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1:25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1:2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1:25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1:25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1:25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1:25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1:25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1:25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1:25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1:25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1:25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1:2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1:25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1:25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1:25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1:25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1:25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1:25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1:25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1:25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1:25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1:2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1:25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1:25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1:25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1:25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1:25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1:25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1:25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1:25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1:25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1:2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1:25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1:25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1:25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1:25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1:25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1:25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1:25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1:25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1:25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1: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1:25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1:25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1:25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1:25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1:25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1:25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1:25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1:25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1:25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1:2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1:25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1:25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1:25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1:25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1:25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1:25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1:25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1:25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1:25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1:2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1:25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1:25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1:25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1:25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1:25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1:25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1:25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1:25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1:25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1:2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1:25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1:25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1:25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1:25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1:25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1:25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1:25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1:25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1:25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1:2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1:25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1:25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1:25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1:25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1:25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1:25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1:25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1:25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1:25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1:2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1:25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1:25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1:25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1:25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1:25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1:25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1:25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1:25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1:25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1:2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1:25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1:25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1:25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1:25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1:25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1:25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1:25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1:25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1:25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1:2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1:25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1:25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1:25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1:25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1:25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1:25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1:25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1:25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1:25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1:2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1:25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1:25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1:25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1:25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1:25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1:25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1:25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1:25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1:25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1:2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1:25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1:25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1:25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1:25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1:25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1:25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1:25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1:25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1:25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1: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1:25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1:25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1:25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1:25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1:25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1:25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1:25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1:25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1:25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1:2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1:25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1:25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1:25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1:25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1:25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1:25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1:25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1:25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1:25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1:2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1:25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1:25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1:25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1:25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1:25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1:25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1:25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1:25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1:25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1:2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1:25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1:25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1:25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1:25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1:25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1:25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1:25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1:25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1:25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1:2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1:25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1:25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1:25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1:25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1:25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1:25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1:25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1:25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1:25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1:2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1:25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1:25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1:25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1:25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1:25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1:25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1:25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1:25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1:25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1:2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1:25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1:25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1:25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1:25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1:25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1:25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1:25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1:25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1:25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1:2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1:25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1:25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1:25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1:25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1:25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1:25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1:25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1:25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1:25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1:2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1:25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1:25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1:25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1:25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1:25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1:25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1:25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1:25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1:25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1:2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1:25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1:25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1:25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1:25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1:25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1:25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1:25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1:25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1:25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1: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1:25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1:25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1:25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1:25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1:25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1:25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1:25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1:25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1:25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1:2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1:25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1:25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1:25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1:25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1:25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1:25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1:25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1:25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1:25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1:2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1:25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1:25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1:25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1:25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1:25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1:25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1:25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1:25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1:25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1:2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1:25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1:25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1:25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1:25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1:25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1:25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1:25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1:25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1:25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1:2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1:25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1:25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1:25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1:25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1:25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1:25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1:25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1:25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1:25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1:2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1:25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1:25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1:25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1:25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1:25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1:25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1:25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1:25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1:25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1:2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1:25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1:25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1:25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1:25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1:25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1:25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1:25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1:25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1:25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1:2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1:25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1:25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1:25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1:25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1:25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1:25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1:25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1:25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1:25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1:2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1:25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1:25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1:25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1:25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1:25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1:25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1:25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1:25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1:25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1:2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1:25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1:25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1:25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1:25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1:25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1:25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1:25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1:25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1:25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1: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1:25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1:25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1:25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1:25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1:25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1:25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1:25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1:25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1:25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1:2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1:25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1:25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1:25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1:25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1:25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1:25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1:25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1:25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1:25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1:2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1:25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1:25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1:25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1:25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1:25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1:25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1:25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1:25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1:25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1:2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1:25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1:25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1:25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1:25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1:25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1:25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1:25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1:25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1:25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1:2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1:25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1:25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1:25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1:25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1:25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1:25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1:25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1:25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1:25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1:2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1:25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1:25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1:25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1:25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1:25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1:25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1:25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1:25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1:25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1:2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1:25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1:25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1:25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1:25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1:25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1:25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1:25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1:25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1:25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1:2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1:25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1:25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1:25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1:25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1:25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1:25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1:25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1:25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1:25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1:2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1:25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1:25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1:25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1:25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1:25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1:25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1:25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1:25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1:25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1:2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1:25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1:25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1:25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1:25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1:25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1:25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1:25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1:25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1:25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1: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1:25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1:25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1:25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1:25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1:25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1:25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1:25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1:25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1:25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1:2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1:25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1:25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1:25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1:25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1:25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1:25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1:25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1:25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1:25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1:2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1:25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1:25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1:25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1:25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1:25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1:25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1:25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1:25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1:25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1:2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1:25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1:25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1:25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1:25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1:25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1:25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1:25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1:25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1:25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1:2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1:25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1:25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1:25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1:25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1:25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1:25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1:25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1:25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1:25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1:2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1:25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1:25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1:25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1:25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1:25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1:25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1:25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1:25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1:25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1:2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1:25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1:25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1:25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1:25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1:25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1:25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1:25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1:25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1:25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1:2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1:25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1:25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1:25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1:25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1:25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1:25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1:25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1:25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1:25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1:2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1:25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1:25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1:25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1:25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1:25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1:25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1:25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1:25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1:25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1:2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1:25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1:25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1:25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1:25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1:25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1:25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1:25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1:25" ht="15.75" customHeight="1"/>
    <row r="924" spans="1:25" ht="15.75" customHeight="1"/>
    <row r="925" spans="1:25" ht="15.75" customHeight="1"/>
    <row r="926" spans="1:25" ht="15.75" customHeight="1"/>
    <row r="927" spans="1:25" ht="15.75" customHeight="1"/>
    <row r="928" spans="1:25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99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1" sqref="A11"/>
    </sheetView>
  </sheetViews>
  <sheetFormatPr baseColWidth="10" defaultColWidth="11.28515625" defaultRowHeight="15" customHeight="1"/>
  <cols>
    <col min="1" max="1" width="36.5703125" customWidth="1"/>
    <col min="2" max="38" width="10.5703125" customWidth="1"/>
  </cols>
  <sheetData>
    <row r="1" spans="1:38" ht="50.25" customHeight="1">
      <c r="A1" s="45" t="s">
        <v>1</v>
      </c>
      <c r="B1" s="45" t="s">
        <v>6</v>
      </c>
      <c r="C1" s="53" t="s">
        <v>16</v>
      </c>
      <c r="D1" s="53" t="s">
        <v>185</v>
      </c>
      <c r="E1" s="53" t="s">
        <v>186</v>
      </c>
      <c r="F1" s="53" t="s">
        <v>187</v>
      </c>
      <c r="G1" s="53" t="s">
        <v>188</v>
      </c>
      <c r="H1" s="54" t="s">
        <v>189</v>
      </c>
      <c r="I1" s="54" t="s">
        <v>190</v>
      </c>
      <c r="J1" s="53" t="s">
        <v>191</v>
      </c>
      <c r="K1" s="53" t="s">
        <v>192</v>
      </c>
      <c r="L1" s="53" t="s">
        <v>193</v>
      </c>
      <c r="M1" s="53" t="s">
        <v>194</v>
      </c>
      <c r="N1" s="53" t="s">
        <v>195</v>
      </c>
      <c r="O1" s="53" t="s">
        <v>196</v>
      </c>
      <c r="P1" s="53" t="s">
        <v>197</v>
      </c>
      <c r="Q1" s="53" t="s">
        <v>198</v>
      </c>
      <c r="R1" s="53" t="s">
        <v>199</v>
      </c>
      <c r="S1" s="53" t="s">
        <v>200</v>
      </c>
      <c r="T1" s="54" t="s">
        <v>201</v>
      </c>
      <c r="U1" s="54" t="s">
        <v>202</v>
      </c>
      <c r="V1" s="54" t="s">
        <v>203</v>
      </c>
      <c r="W1" s="54" t="s">
        <v>204</v>
      </c>
      <c r="X1" s="53" t="s">
        <v>205</v>
      </c>
      <c r="Y1" s="53" t="s">
        <v>206</v>
      </c>
    </row>
    <row r="2" spans="1:38" ht="15.75" customHeight="1">
      <c r="A2" s="4" t="s">
        <v>8</v>
      </c>
      <c r="B2" s="55">
        <v>1</v>
      </c>
      <c r="C2" s="55">
        <v>4</v>
      </c>
      <c r="D2" s="4"/>
      <c r="E2" s="4"/>
      <c r="F2" s="56">
        <v>1</v>
      </c>
      <c r="G2" s="56">
        <v>1</v>
      </c>
      <c r="H2" s="55">
        <v>3</v>
      </c>
      <c r="I2" s="55">
        <v>4</v>
      </c>
      <c r="J2" s="4"/>
      <c r="K2" s="4"/>
      <c r="L2" s="55">
        <v>2</v>
      </c>
      <c r="M2" s="55">
        <v>4</v>
      </c>
      <c r="N2" s="55">
        <v>1</v>
      </c>
      <c r="O2" s="55">
        <v>1</v>
      </c>
      <c r="P2" s="55">
        <v>1</v>
      </c>
      <c r="Q2" s="55">
        <v>1</v>
      </c>
      <c r="R2" s="55">
        <v>2</v>
      </c>
      <c r="S2" s="55">
        <v>4</v>
      </c>
      <c r="T2" s="55">
        <v>1</v>
      </c>
      <c r="U2" s="55">
        <v>1</v>
      </c>
      <c r="V2" s="55">
        <v>1</v>
      </c>
      <c r="W2" s="55">
        <v>1</v>
      </c>
      <c r="X2" s="55">
        <v>2</v>
      </c>
      <c r="Y2" s="55">
        <v>4</v>
      </c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</row>
    <row r="3" spans="1:38" ht="15.75" customHeight="1">
      <c r="A3" s="4" t="s">
        <v>11</v>
      </c>
      <c r="B3" s="55">
        <v>1</v>
      </c>
      <c r="C3" s="55">
        <v>5</v>
      </c>
      <c r="D3" s="4"/>
      <c r="E3" s="4"/>
      <c r="F3" s="55">
        <v>1</v>
      </c>
      <c r="G3" s="55">
        <v>5</v>
      </c>
      <c r="H3" s="4"/>
      <c r="I3" s="4"/>
      <c r="J3" s="4"/>
      <c r="K3" s="4"/>
      <c r="L3" s="4"/>
      <c r="M3" s="4"/>
      <c r="N3" s="55">
        <v>1</v>
      </c>
      <c r="O3" s="55">
        <v>5</v>
      </c>
      <c r="P3" s="55">
        <v>1</v>
      </c>
      <c r="Q3" s="55">
        <v>5</v>
      </c>
      <c r="R3" s="4"/>
      <c r="S3" s="4"/>
      <c r="T3" s="55">
        <v>1</v>
      </c>
      <c r="U3" s="55">
        <v>5</v>
      </c>
      <c r="V3" s="55">
        <v>1</v>
      </c>
      <c r="W3" s="55">
        <v>5</v>
      </c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5.75" customHeight="1">
      <c r="A4" s="4" t="s">
        <v>13</v>
      </c>
      <c r="B4" s="55">
        <v>1</v>
      </c>
      <c r="C4" s="55">
        <v>4</v>
      </c>
      <c r="D4" s="4"/>
      <c r="E4" s="4"/>
      <c r="F4" s="55">
        <v>1</v>
      </c>
      <c r="G4" s="55">
        <v>4</v>
      </c>
      <c r="H4" s="4"/>
      <c r="I4" s="4"/>
      <c r="J4" s="4"/>
      <c r="K4" s="4"/>
      <c r="L4" s="4"/>
      <c r="M4" s="4"/>
      <c r="N4" s="56">
        <v>1</v>
      </c>
      <c r="O4" s="56">
        <v>4</v>
      </c>
      <c r="P4" s="55">
        <v>2</v>
      </c>
      <c r="Q4" s="55">
        <v>4</v>
      </c>
      <c r="R4" s="4"/>
      <c r="S4" s="4"/>
      <c r="T4" s="55">
        <v>2</v>
      </c>
      <c r="U4" s="55">
        <v>4</v>
      </c>
      <c r="V4" s="55">
        <v>2</v>
      </c>
      <c r="W4" s="55">
        <v>4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38" ht="15.75" customHeight="1">
      <c r="A5" s="4" t="s">
        <v>15</v>
      </c>
      <c r="B5" s="55">
        <v>2</v>
      </c>
      <c r="C5" s="55">
        <v>5</v>
      </c>
      <c r="D5" s="4"/>
      <c r="E5" s="4"/>
      <c r="F5" s="55">
        <v>2</v>
      </c>
      <c r="G5" s="55">
        <v>5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55">
        <v>2</v>
      </c>
      <c r="U5" s="55">
        <v>5</v>
      </c>
      <c r="V5" s="55">
        <v>2</v>
      </c>
      <c r="W5" s="55">
        <v>5</v>
      </c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</row>
    <row r="6" spans="1:38" ht="15.75" customHeight="1">
      <c r="A6" s="4" t="s">
        <v>19</v>
      </c>
      <c r="B6" s="55">
        <v>1</v>
      </c>
      <c r="C6" s="55">
        <v>3</v>
      </c>
      <c r="D6" s="55">
        <v>3</v>
      </c>
      <c r="E6" s="4"/>
      <c r="F6" s="55">
        <v>1</v>
      </c>
      <c r="G6" s="55">
        <v>2</v>
      </c>
      <c r="H6" s="4"/>
      <c r="I6" s="4"/>
      <c r="J6" s="4"/>
      <c r="K6" s="4"/>
      <c r="L6" s="56">
        <v>3</v>
      </c>
      <c r="M6" s="4"/>
      <c r="N6" s="55">
        <v>1</v>
      </c>
      <c r="O6" s="4"/>
      <c r="P6" s="55">
        <v>1</v>
      </c>
      <c r="Q6" s="55">
        <v>2</v>
      </c>
      <c r="R6" s="55">
        <v>2</v>
      </c>
      <c r="S6" s="55">
        <v>3</v>
      </c>
      <c r="T6" s="55">
        <v>1</v>
      </c>
      <c r="U6" s="4"/>
      <c r="V6" s="55">
        <v>1</v>
      </c>
      <c r="W6" s="4"/>
      <c r="X6" s="55">
        <v>2</v>
      </c>
      <c r="Y6" s="55">
        <v>3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</row>
    <row r="7" spans="1:38" ht="15.75" customHeight="1">
      <c r="A7" s="4" t="s">
        <v>22</v>
      </c>
      <c r="B7" s="55">
        <v>1</v>
      </c>
      <c r="C7" s="55">
        <v>5</v>
      </c>
      <c r="D7" s="55">
        <v>3</v>
      </c>
      <c r="E7" s="55">
        <v>5</v>
      </c>
      <c r="F7" s="56">
        <v>1</v>
      </c>
      <c r="G7" s="56">
        <v>2</v>
      </c>
      <c r="H7" s="4"/>
      <c r="I7" s="4"/>
      <c r="J7" s="4"/>
      <c r="K7" s="4"/>
      <c r="L7" s="55">
        <v>3</v>
      </c>
      <c r="M7" s="55">
        <v>5</v>
      </c>
      <c r="N7" s="55">
        <v>1</v>
      </c>
      <c r="O7" s="55">
        <v>2</v>
      </c>
      <c r="P7" s="55">
        <v>1</v>
      </c>
      <c r="Q7" s="55">
        <v>2</v>
      </c>
      <c r="R7" s="55">
        <v>3</v>
      </c>
      <c r="S7" s="55">
        <v>5</v>
      </c>
      <c r="T7" s="55">
        <v>1</v>
      </c>
      <c r="U7" s="4"/>
      <c r="V7" s="55">
        <v>1</v>
      </c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5.75" customHeight="1">
      <c r="A8" s="77" t="s">
        <v>456</v>
      </c>
      <c r="B8" s="55">
        <v>1</v>
      </c>
      <c r="C8" s="55">
        <v>4</v>
      </c>
      <c r="D8" s="55">
        <v>3</v>
      </c>
      <c r="E8" s="55">
        <v>4</v>
      </c>
      <c r="F8" s="55">
        <v>1</v>
      </c>
      <c r="G8" s="55">
        <v>2</v>
      </c>
      <c r="H8" s="4"/>
      <c r="I8" s="4"/>
      <c r="J8" s="4"/>
      <c r="K8" s="4"/>
      <c r="L8" s="56">
        <v>3</v>
      </c>
      <c r="M8" s="56">
        <v>4</v>
      </c>
      <c r="N8" s="55">
        <v>1</v>
      </c>
      <c r="O8" s="55">
        <v>2</v>
      </c>
      <c r="P8" s="55">
        <v>1</v>
      </c>
      <c r="Q8" s="55">
        <v>2</v>
      </c>
      <c r="R8" s="4"/>
      <c r="S8" s="4"/>
      <c r="T8" s="55">
        <v>1</v>
      </c>
      <c r="U8" s="55">
        <v>4</v>
      </c>
      <c r="V8" s="55">
        <v>1</v>
      </c>
      <c r="W8" s="55">
        <v>4</v>
      </c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38" ht="15.75" customHeight="1">
      <c r="A9" s="4" t="s">
        <v>25</v>
      </c>
      <c r="B9" s="55">
        <v>1</v>
      </c>
      <c r="C9" s="55">
        <v>4</v>
      </c>
      <c r="D9" s="55">
        <v>3</v>
      </c>
      <c r="E9" s="55">
        <v>4</v>
      </c>
      <c r="F9" s="55">
        <v>1</v>
      </c>
      <c r="G9" s="55">
        <v>2</v>
      </c>
      <c r="H9" s="4"/>
      <c r="I9" s="4"/>
      <c r="J9" s="4"/>
      <c r="K9" s="4"/>
      <c r="L9" s="4"/>
      <c r="M9" s="4"/>
      <c r="N9" s="55">
        <v>1</v>
      </c>
      <c r="O9" s="55">
        <v>4</v>
      </c>
      <c r="P9" s="55">
        <v>1</v>
      </c>
      <c r="Q9" s="55">
        <v>4</v>
      </c>
      <c r="R9" s="4"/>
      <c r="S9" s="4"/>
      <c r="T9" s="55">
        <v>1</v>
      </c>
      <c r="U9" s="55">
        <v>2</v>
      </c>
      <c r="V9" s="55">
        <v>1</v>
      </c>
      <c r="W9" s="55">
        <v>2</v>
      </c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38" ht="15.75" customHeight="1">
      <c r="A10" s="4" t="s">
        <v>27</v>
      </c>
      <c r="B10" s="55">
        <v>1</v>
      </c>
      <c r="C10" s="55">
        <v>5</v>
      </c>
      <c r="D10" s="4"/>
      <c r="E10" s="4"/>
      <c r="F10" s="55">
        <v>2</v>
      </c>
      <c r="G10" s="4"/>
      <c r="H10" s="4"/>
      <c r="I10" s="4"/>
      <c r="J10" s="4"/>
      <c r="K10" s="4"/>
      <c r="L10" s="4"/>
      <c r="M10" s="4"/>
      <c r="N10" s="56">
        <v>2</v>
      </c>
      <c r="O10" s="4"/>
      <c r="P10" s="55">
        <v>2</v>
      </c>
      <c r="Q10" s="4"/>
      <c r="R10" s="56">
        <v>3</v>
      </c>
      <c r="S10" s="56">
        <v>5</v>
      </c>
      <c r="T10" s="55">
        <v>2</v>
      </c>
      <c r="U10" s="4"/>
      <c r="V10" s="55">
        <v>2</v>
      </c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15.75" customHeight="1">
      <c r="A11" s="4" t="s">
        <v>29</v>
      </c>
      <c r="B11" s="55">
        <v>1</v>
      </c>
      <c r="C11" s="55">
        <v>4</v>
      </c>
      <c r="D11" s="4"/>
      <c r="E11" s="4"/>
      <c r="F11" s="55">
        <v>1</v>
      </c>
      <c r="G11" s="55">
        <v>4</v>
      </c>
      <c r="H11" s="4"/>
      <c r="I11" s="4"/>
      <c r="J11" s="4"/>
      <c r="K11" s="4"/>
      <c r="L11" s="4"/>
      <c r="M11" s="4"/>
      <c r="N11" s="55">
        <v>1</v>
      </c>
      <c r="O11" s="55">
        <v>4</v>
      </c>
      <c r="P11" s="55">
        <v>1</v>
      </c>
      <c r="Q11" s="55">
        <v>4</v>
      </c>
      <c r="R11" s="4"/>
      <c r="S11" s="4"/>
      <c r="T11" s="55">
        <v>1</v>
      </c>
      <c r="U11" s="55">
        <v>4</v>
      </c>
      <c r="V11" s="55">
        <v>1</v>
      </c>
      <c r="W11" s="55">
        <v>4</v>
      </c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15.75" customHeight="1">
      <c r="A12" s="4" t="s">
        <v>30</v>
      </c>
      <c r="B12" s="55">
        <v>1</v>
      </c>
      <c r="C12" s="55">
        <v>7</v>
      </c>
      <c r="D12" s="4"/>
      <c r="E12" s="4"/>
      <c r="F12" s="55">
        <v>1</v>
      </c>
      <c r="G12" s="55">
        <v>2</v>
      </c>
      <c r="H12" s="4"/>
      <c r="I12" s="4"/>
      <c r="J12" s="4"/>
      <c r="K12" s="4"/>
      <c r="L12" s="55">
        <v>3</v>
      </c>
      <c r="M12" s="55">
        <v>7</v>
      </c>
      <c r="N12" s="55">
        <v>1</v>
      </c>
      <c r="O12" s="55">
        <v>7</v>
      </c>
      <c r="P12" s="55">
        <v>1</v>
      </c>
      <c r="Q12" s="55">
        <v>7</v>
      </c>
      <c r="R12" s="55">
        <v>5</v>
      </c>
      <c r="S12" s="55">
        <v>7</v>
      </c>
      <c r="T12" s="55">
        <v>1</v>
      </c>
      <c r="U12" s="55">
        <v>4</v>
      </c>
      <c r="V12" s="55">
        <v>1</v>
      </c>
      <c r="W12" s="55">
        <v>4</v>
      </c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15.75" customHeight="1">
      <c r="A13" s="4" t="s">
        <v>33</v>
      </c>
      <c r="B13" s="55">
        <v>1</v>
      </c>
      <c r="C13" s="55">
        <v>4</v>
      </c>
      <c r="D13" s="55">
        <v>3</v>
      </c>
      <c r="E13" s="55">
        <v>4</v>
      </c>
      <c r="F13" s="55">
        <v>1</v>
      </c>
      <c r="G13" s="55">
        <v>2</v>
      </c>
      <c r="H13" s="4"/>
      <c r="I13" s="4"/>
      <c r="J13" s="4"/>
      <c r="K13" s="4"/>
      <c r="L13" s="4"/>
      <c r="M13" s="4"/>
      <c r="N13" s="55">
        <v>1</v>
      </c>
      <c r="O13" s="55">
        <v>4</v>
      </c>
      <c r="P13" s="55">
        <v>1</v>
      </c>
      <c r="Q13" s="55">
        <v>4</v>
      </c>
      <c r="R13" s="4"/>
      <c r="S13" s="4"/>
      <c r="T13" s="55">
        <v>1</v>
      </c>
      <c r="U13" s="55">
        <v>4</v>
      </c>
      <c r="V13" s="55">
        <v>1</v>
      </c>
      <c r="W13" s="55">
        <v>4</v>
      </c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15.75" customHeight="1">
      <c r="A14" s="4" t="s">
        <v>35</v>
      </c>
      <c r="B14" s="55">
        <v>2</v>
      </c>
      <c r="C14" s="55">
        <v>4</v>
      </c>
      <c r="D14" s="4"/>
      <c r="E14" s="4"/>
      <c r="F14" s="55">
        <v>2</v>
      </c>
      <c r="G14" s="55">
        <v>4</v>
      </c>
      <c r="H14" s="4"/>
      <c r="I14" s="4"/>
      <c r="J14" s="4"/>
      <c r="K14" s="4"/>
      <c r="L14" s="4"/>
      <c r="M14" s="4"/>
      <c r="N14" s="55">
        <v>2</v>
      </c>
      <c r="O14" s="55">
        <v>4</v>
      </c>
      <c r="P14" s="55">
        <v>2</v>
      </c>
      <c r="Q14" s="55">
        <v>4</v>
      </c>
      <c r="R14" s="4"/>
      <c r="S14" s="4"/>
      <c r="T14" s="55">
        <v>2</v>
      </c>
      <c r="U14" s="55">
        <v>4</v>
      </c>
      <c r="V14" s="55">
        <v>2</v>
      </c>
      <c r="W14" s="55">
        <v>4</v>
      </c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15.75" customHeight="1">
      <c r="A15" s="4" t="s">
        <v>37</v>
      </c>
      <c r="B15" s="55">
        <v>1</v>
      </c>
      <c r="C15" s="55">
        <v>6</v>
      </c>
      <c r="D15" s="4"/>
      <c r="E15" s="4"/>
      <c r="F15" s="55">
        <v>1</v>
      </c>
      <c r="G15" s="55">
        <v>6</v>
      </c>
      <c r="H15" s="4"/>
      <c r="I15" s="4"/>
      <c r="J15" s="4"/>
      <c r="K15" s="4"/>
      <c r="L15" s="4"/>
      <c r="M15" s="4"/>
      <c r="N15" s="55">
        <v>1</v>
      </c>
      <c r="O15" s="55">
        <v>6</v>
      </c>
      <c r="P15" s="55">
        <v>1</v>
      </c>
      <c r="Q15" s="55">
        <v>6</v>
      </c>
      <c r="R15" s="4"/>
      <c r="S15" s="4"/>
      <c r="T15" s="55">
        <v>1</v>
      </c>
      <c r="U15" s="55">
        <v>6</v>
      </c>
      <c r="V15" s="55">
        <v>1</v>
      </c>
      <c r="W15" s="55">
        <v>6</v>
      </c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15.75" customHeight="1">
      <c r="A16" s="4" t="s">
        <v>39</v>
      </c>
      <c r="B16" s="55">
        <v>1</v>
      </c>
      <c r="C16" s="55">
        <v>5</v>
      </c>
      <c r="D16" s="4"/>
      <c r="E16" s="4"/>
      <c r="F16" s="55">
        <v>1</v>
      </c>
      <c r="G16" s="55">
        <v>5</v>
      </c>
      <c r="H16" s="4"/>
      <c r="I16" s="4"/>
      <c r="J16" s="4"/>
      <c r="K16" s="4"/>
      <c r="L16" s="4"/>
      <c r="M16" s="4"/>
      <c r="N16" s="55">
        <v>1</v>
      </c>
      <c r="O16" s="55">
        <v>5</v>
      </c>
      <c r="P16" s="55">
        <v>1</v>
      </c>
      <c r="Q16" s="55">
        <v>5</v>
      </c>
      <c r="R16" s="4"/>
      <c r="S16" s="4"/>
      <c r="T16" s="55">
        <v>1</v>
      </c>
      <c r="U16" s="55">
        <v>5</v>
      </c>
      <c r="V16" s="55">
        <v>1</v>
      </c>
      <c r="W16" s="55">
        <v>5</v>
      </c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:38" ht="15.75" customHeight="1">
      <c r="A17" s="4" t="s">
        <v>41</v>
      </c>
      <c r="B17" s="55">
        <v>1</v>
      </c>
      <c r="C17" s="55">
        <v>5</v>
      </c>
      <c r="D17" s="4"/>
      <c r="E17" s="4"/>
      <c r="F17" s="55">
        <v>1</v>
      </c>
      <c r="G17" s="55">
        <v>2</v>
      </c>
      <c r="H17" s="4"/>
      <c r="I17" s="4"/>
      <c r="J17" s="4"/>
      <c r="K17" s="4"/>
      <c r="L17" s="4"/>
      <c r="M17" s="4"/>
      <c r="N17" s="55">
        <v>1</v>
      </c>
      <c r="O17" s="55">
        <v>3</v>
      </c>
      <c r="P17" s="55">
        <v>1</v>
      </c>
      <c r="Q17" s="55">
        <v>2</v>
      </c>
      <c r="R17" s="4"/>
      <c r="S17" s="4"/>
      <c r="T17" s="55">
        <v>1</v>
      </c>
      <c r="U17" s="55">
        <v>2</v>
      </c>
      <c r="V17" s="55">
        <v>1</v>
      </c>
      <c r="W17" s="55">
        <v>2</v>
      </c>
      <c r="X17" s="55">
        <v>3</v>
      </c>
      <c r="Y17" s="55">
        <v>5</v>
      </c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:38" ht="15.75" customHeight="1">
      <c r="A18" s="4" t="s">
        <v>47</v>
      </c>
      <c r="B18" s="55">
        <v>1</v>
      </c>
      <c r="C18" s="55">
        <v>4</v>
      </c>
      <c r="D18" s="4"/>
      <c r="E18" s="4"/>
      <c r="F18" s="55">
        <v>1</v>
      </c>
      <c r="G18" s="55">
        <v>4</v>
      </c>
      <c r="H18" s="4"/>
      <c r="I18" s="4"/>
      <c r="J18" s="4"/>
      <c r="K18" s="4"/>
      <c r="L18" s="4"/>
      <c r="M18" s="4"/>
      <c r="N18" s="55">
        <v>1</v>
      </c>
      <c r="O18" s="55">
        <v>4</v>
      </c>
      <c r="P18" s="55">
        <v>1</v>
      </c>
      <c r="Q18" s="55">
        <v>4</v>
      </c>
      <c r="R18" s="4"/>
      <c r="S18" s="4"/>
      <c r="T18" s="55">
        <v>1</v>
      </c>
      <c r="U18" s="55">
        <v>4</v>
      </c>
      <c r="V18" s="55">
        <v>1</v>
      </c>
      <c r="W18" s="55">
        <v>4</v>
      </c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</row>
    <row r="19" spans="1:38" ht="15.75" customHeight="1">
      <c r="A19" s="4" t="s">
        <v>49</v>
      </c>
      <c r="B19" s="55">
        <v>1</v>
      </c>
      <c r="C19" s="55">
        <v>4</v>
      </c>
      <c r="D19" s="4"/>
      <c r="E19" s="4"/>
      <c r="F19" s="55">
        <v>1</v>
      </c>
      <c r="G19" s="55">
        <v>4</v>
      </c>
      <c r="H19" s="4"/>
      <c r="I19" s="4"/>
      <c r="J19" s="4"/>
      <c r="K19" s="4"/>
      <c r="L19" s="4"/>
      <c r="M19" s="4"/>
      <c r="N19" s="55">
        <v>1</v>
      </c>
      <c r="O19" s="55">
        <v>4</v>
      </c>
      <c r="P19" s="55">
        <v>1</v>
      </c>
      <c r="Q19" s="55">
        <v>4</v>
      </c>
      <c r="R19" s="4"/>
      <c r="S19" s="4"/>
      <c r="T19" s="55">
        <v>1</v>
      </c>
      <c r="U19" s="55">
        <v>4</v>
      </c>
      <c r="V19" s="55">
        <v>1</v>
      </c>
      <c r="W19" s="55">
        <v>4</v>
      </c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</row>
    <row r="20" spans="1:38" ht="15.75" customHeight="1">
      <c r="A20" s="4" t="s">
        <v>51</v>
      </c>
      <c r="B20" s="55">
        <v>1</v>
      </c>
      <c r="C20" s="55">
        <v>4</v>
      </c>
      <c r="D20" s="4"/>
      <c r="E20" s="4"/>
      <c r="F20" s="55">
        <v>1</v>
      </c>
      <c r="G20" s="55">
        <v>4</v>
      </c>
      <c r="H20" s="55">
        <v>2</v>
      </c>
      <c r="I20" s="55">
        <v>4</v>
      </c>
      <c r="J20" s="4"/>
      <c r="K20" s="4"/>
      <c r="L20" s="4"/>
      <c r="M20" s="4"/>
      <c r="N20" s="4"/>
      <c r="O20" s="4"/>
      <c r="P20" s="55">
        <v>1</v>
      </c>
      <c r="Q20" s="4"/>
      <c r="R20" s="4"/>
      <c r="S20" s="4"/>
      <c r="T20" s="55">
        <v>1</v>
      </c>
      <c r="U20" s="55">
        <v>4</v>
      </c>
      <c r="V20" s="55">
        <v>1</v>
      </c>
      <c r="W20" s="55">
        <v>4</v>
      </c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</row>
    <row r="21" spans="1:38" ht="15.75" customHeight="1">
      <c r="A21" s="4" t="s">
        <v>64</v>
      </c>
      <c r="B21" s="55">
        <v>1</v>
      </c>
      <c r="C21" s="55">
        <v>6</v>
      </c>
      <c r="D21" s="4"/>
      <c r="E21" s="4"/>
      <c r="F21" s="56">
        <v>1</v>
      </c>
      <c r="G21" s="56">
        <v>3</v>
      </c>
      <c r="H21" s="4"/>
      <c r="I21" s="4"/>
      <c r="J21" s="4"/>
      <c r="K21" s="4"/>
      <c r="L21" s="4"/>
      <c r="M21" s="4"/>
      <c r="N21" s="56">
        <v>1</v>
      </c>
      <c r="O21" s="56">
        <v>6</v>
      </c>
      <c r="P21" s="56">
        <v>1</v>
      </c>
      <c r="Q21" s="56">
        <v>6</v>
      </c>
      <c r="R21" s="4"/>
      <c r="S21" s="4"/>
      <c r="T21" s="56">
        <v>1</v>
      </c>
      <c r="U21" s="56">
        <v>6</v>
      </c>
      <c r="V21" s="56">
        <v>1</v>
      </c>
      <c r="W21" s="56">
        <v>6</v>
      </c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</row>
    <row r="22" spans="1:38" ht="15.75" customHeight="1">
      <c r="A22" s="4" t="s">
        <v>66</v>
      </c>
      <c r="B22" s="55">
        <v>1</v>
      </c>
      <c r="C22" s="55">
        <v>4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56">
        <v>1</v>
      </c>
      <c r="Q22" s="56">
        <v>4</v>
      </c>
      <c r="R22" s="4"/>
      <c r="S22" s="4"/>
      <c r="T22" s="55">
        <v>1</v>
      </c>
      <c r="U22" s="55">
        <v>4</v>
      </c>
      <c r="V22" s="55">
        <v>1</v>
      </c>
      <c r="W22" s="55">
        <v>4</v>
      </c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</row>
    <row r="23" spans="1:38" ht="15.75" customHeight="1">
      <c r="A23" s="4" t="s">
        <v>67</v>
      </c>
      <c r="B23" s="55">
        <v>2</v>
      </c>
      <c r="C23" s="55">
        <v>5</v>
      </c>
      <c r="D23" s="4"/>
      <c r="E23" s="4"/>
      <c r="F23" s="55">
        <v>2</v>
      </c>
      <c r="G23" s="55">
        <v>5</v>
      </c>
      <c r="H23" s="4"/>
      <c r="I23" s="4"/>
      <c r="J23" s="4"/>
      <c r="K23" s="4"/>
      <c r="L23" s="4"/>
      <c r="M23" s="4"/>
      <c r="N23" s="56">
        <v>2</v>
      </c>
      <c r="O23" s="56">
        <v>5</v>
      </c>
      <c r="P23" s="55">
        <v>2</v>
      </c>
      <c r="Q23" s="55">
        <v>5</v>
      </c>
      <c r="R23" s="4"/>
      <c r="S23" s="4"/>
      <c r="T23" s="55">
        <v>2</v>
      </c>
      <c r="U23" s="55">
        <v>5</v>
      </c>
      <c r="V23" s="55">
        <v>2</v>
      </c>
      <c r="W23" s="55">
        <v>5</v>
      </c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</row>
    <row r="24" spans="1:38" ht="15.75" customHeight="1">
      <c r="A24" s="77" t="s">
        <v>268</v>
      </c>
      <c r="B24" s="55">
        <v>1</v>
      </c>
      <c r="C24" s="55">
        <v>6</v>
      </c>
      <c r="D24" s="4"/>
      <c r="E24" s="4"/>
      <c r="F24" s="55">
        <v>1</v>
      </c>
      <c r="G24" s="55">
        <v>2</v>
      </c>
      <c r="H24" s="4"/>
      <c r="I24" s="4"/>
      <c r="J24" s="4"/>
      <c r="K24" s="4"/>
      <c r="L24" s="55">
        <v>4</v>
      </c>
      <c r="M24" s="55">
        <v>6</v>
      </c>
      <c r="N24" s="55">
        <v>1</v>
      </c>
      <c r="O24" s="55">
        <v>3</v>
      </c>
      <c r="P24" s="55">
        <v>1</v>
      </c>
      <c r="Q24" s="55">
        <v>3</v>
      </c>
      <c r="R24" s="55">
        <v>4</v>
      </c>
      <c r="S24" s="55">
        <v>6</v>
      </c>
      <c r="T24" s="55">
        <v>1</v>
      </c>
      <c r="U24" s="55">
        <v>3</v>
      </c>
      <c r="V24" s="55">
        <v>1</v>
      </c>
      <c r="W24" s="55">
        <v>3</v>
      </c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</row>
    <row r="25" spans="1:38" ht="15.75" customHeight="1">
      <c r="A25" s="4" t="s">
        <v>69</v>
      </c>
      <c r="B25" s="55">
        <v>1</v>
      </c>
      <c r="C25" s="55">
        <v>5</v>
      </c>
      <c r="D25" s="55">
        <v>4</v>
      </c>
      <c r="E25" s="55">
        <v>5</v>
      </c>
      <c r="F25" s="55">
        <v>1</v>
      </c>
      <c r="G25" s="55">
        <v>3</v>
      </c>
      <c r="H25" s="4"/>
      <c r="I25" s="4"/>
      <c r="J25" s="4"/>
      <c r="K25" s="4"/>
      <c r="L25" s="4"/>
      <c r="M25" s="4"/>
      <c r="N25" s="55">
        <v>1</v>
      </c>
      <c r="O25" s="55">
        <v>5</v>
      </c>
      <c r="P25" s="55">
        <v>1</v>
      </c>
      <c r="Q25" s="55">
        <v>5</v>
      </c>
      <c r="R25" s="4"/>
      <c r="S25" s="4"/>
      <c r="T25" s="55">
        <v>1</v>
      </c>
      <c r="U25" s="55">
        <v>5</v>
      </c>
      <c r="V25" s="55">
        <v>1</v>
      </c>
      <c r="W25" s="55">
        <v>5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</row>
    <row r="26" spans="1:38" ht="15.75" customHeight="1">
      <c r="A26" s="4" t="s">
        <v>71</v>
      </c>
      <c r="B26" s="55">
        <v>1</v>
      </c>
      <c r="C26" s="55">
        <v>6</v>
      </c>
      <c r="D26" s="55">
        <v>3</v>
      </c>
      <c r="E26" s="55">
        <v>5</v>
      </c>
      <c r="F26" s="56">
        <v>1</v>
      </c>
      <c r="G26" s="56">
        <v>2</v>
      </c>
      <c r="H26" s="4"/>
      <c r="I26" s="4"/>
      <c r="J26" s="4"/>
      <c r="K26" s="4"/>
      <c r="L26" s="55">
        <v>4</v>
      </c>
      <c r="M26" s="55">
        <v>6</v>
      </c>
      <c r="N26" s="55">
        <v>1</v>
      </c>
      <c r="O26" s="55">
        <v>2</v>
      </c>
      <c r="P26" s="55">
        <v>1</v>
      </c>
      <c r="Q26" s="55">
        <v>2</v>
      </c>
      <c r="R26" s="55">
        <v>3</v>
      </c>
      <c r="S26" s="55">
        <v>6</v>
      </c>
      <c r="T26" s="55">
        <v>1</v>
      </c>
      <c r="U26" s="55">
        <v>2</v>
      </c>
      <c r="V26" s="55">
        <v>1</v>
      </c>
      <c r="W26" s="55">
        <v>2</v>
      </c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</row>
    <row r="27" spans="1:38" ht="15.75" customHeight="1">
      <c r="A27" s="26" t="s">
        <v>10</v>
      </c>
      <c r="B27" s="4">
        <v>3</v>
      </c>
      <c r="C27" s="4">
        <v>8</v>
      </c>
      <c r="D27" s="4"/>
      <c r="E27" s="4"/>
      <c r="F27" s="4"/>
      <c r="G27" s="4"/>
      <c r="H27" s="4">
        <v>3</v>
      </c>
      <c r="I27" s="4">
        <v>8</v>
      </c>
      <c r="J27" s="4">
        <v>3</v>
      </c>
      <c r="K27" s="4">
        <v>8</v>
      </c>
      <c r="L27" s="4">
        <v>3</v>
      </c>
      <c r="M27" s="4">
        <v>8</v>
      </c>
      <c r="N27" s="4"/>
      <c r="O27" s="4"/>
      <c r="P27" s="4"/>
      <c r="Q27" s="4"/>
      <c r="R27" s="4">
        <v>3</v>
      </c>
      <c r="S27" s="4">
        <v>8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</row>
    <row r="28" spans="1:38" ht="15.75" customHeight="1">
      <c r="A28" s="4" t="s">
        <v>207</v>
      </c>
      <c r="B28" s="4">
        <v>3</v>
      </c>
      <c r="C28" s="4">
        <v>8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>
        <v>3</v>
      </c>
      <c r="S28" s="4">
        <v>8</v>
      </c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</row>
    <row r="29" spans="1:38" ht="15.75" customHeight="1">
      <c r="A29" s="4" t="s">
        <v>208</v>
      </c>
      <c r="B29" s="4">
        <v>3</v>
      </c>
      <c r="C29" s="4">
        <v>8</v>
      </c>
      <c r="D29" s="4">
        <v>3</v>
      </c>
      <c r="E29" s="4">
        <v>8</v>
      </c>
      <c r="F29" s="4"/>
      <c r="G29" s="4"/>
      <c r="H29" s="4"/>
      <c r="I29" s="4"/>
      <c r="J29" s="4"/>
      <c r="K29" s="4"/>
      <c r="L29" s="4">
        <v>3</v>
      </c>
      <c r="M29" s="4">
        <v>8</v>
      </c>
      <c r="N29" s="4"/>
      <c r="O29" s="4"/>
      <c r="P29" s="4">
        <v>3</v>
      </c>
      <c r="Q29" s="4">
        <v>8</v>
      </c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</row>
    <row r="30" spans="1:38" ht="15.75" customHeight="1">
      <c r="A30" s="4" t="s">
        <v>21</v>
      </c>
      <c r="B30" s="4">
        <v>3</v>
      </c>
      <c r="C30" s="4">
        <v>8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>
        <v>3</v>
      </c>
      <c r="Q30" s="4">
        <v>8</v>
      </c>
      <c r="R30" s="4"/>
      <c r="S30" s="4"/>
      <c r="T30" s="4">
        <v>3</v>
      </c>
      <c r="U30" s="4">
        <v>8</v>
      </c>
      <c r="V30" s="4">
        <v>3</v>
      </c>
      <c r="W30" s="4">
        <v>8</v>
      </c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</row>
    <row r="31" spans="1:38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</row>
    <row r="32" spans="1:38" ht="15.75" customHeight="1">
      <c r="A32" s="4"/>
      <c r="B32" s="55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</row>
    <row r="33" spans="1:38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</row>
    <row r="34" spans="1:38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</row>
    <row r="35" spans="1:38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</row>
    <row r="36" spans="1:38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</row>
    <row r="37" spans="1:38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</row>
    <row r="38" spans="1:38" ht="15.75" customHeight="1">
      <c r="A38" s="4"/>
      <c r="B38" s="4"/>
      <c r="C38" s="4"/>
      <c r="D38" s="4"/>
      <c r="E38" s="4"/>
      <c r="F38" s="4"/>
      <c r="G38" s="55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1:38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1:38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1:38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1:38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1:38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1:38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1:38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1:38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1:38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1:3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:38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:38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:38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:38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:38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:38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:38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:38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:38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:38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:38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:38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8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:38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:38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:38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:38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:38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:3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:38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:38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:38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:38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:38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:38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:38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:38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8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:3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:38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:38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:38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:38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:38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:38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:38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:38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:38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:3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:38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:38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:38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:38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:38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:38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:38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:38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:38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:3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  <row r="99" spans="1:38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</row>
    <row r="100" spans="1:38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</row>
    <row r="101" spans="1:38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</row>
    <row r="102" spans="1:38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</row>
    <row r="103" spans="1:38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</row>
    <row r="104" spans="1:38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</row>
    <row r="105" spans="1:38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</row>
    <row r="106" spans="1:38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</row>
    <row r="107" spans="1:38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</row>
    <row r="108" spans="1:3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</row>
    <row r="109" spans="1:38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</row>
    <row r="110" spans="1:38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</row>
    <row r="111" spans="1:38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</row>
    <row r="112" spans="1:38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</row>
    <row r="113" spans="1:38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</row>
    <row r="114" spans="1:38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</row>
    <row r="115" spans="1:38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</row>
    <row r="116" spans="1:38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</row>
    <row r="117" spans="1:38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</row>
    <row r="118" spans="1:3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</row>
    <row r="119" spans="1:38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</row>
    <row r="120" spans="1:38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</row>
    <row r="121" spans="1:38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</row>
    <row r="122" spans="1:38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</row>
    <row r="123" spans="1:38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</row>
    <row r="124" spans="1:38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</row>
    <row r="125" spans="1:38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</row>
    <row r="126" spans="1:38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</row>
    <row r="127" spans="1:38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</row>
    <row r="128" spans="1:3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</row>
    <row r="129" spans="1:38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</row>
    <row r="130" spans="1:38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</row>
    <row r="131" spans="1:38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</row>
    <row r="132" spans="1:38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</row>
    <row r="133" spans="1:38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</row>
    <row r="134" spans="1:38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</row>
    <row r="135" spans="1:38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</row>
    <row r="136" spans="1:38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</row>
    <row r="137" spans="1:38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</row>
    <row r="138" spans="1: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</row>
    <row r="139" spans="1:38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</row>
    <row r="140" spans="1:38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</row>
    <row r="141" spans="1:38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</row>
    <row r="142" spans="1:38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</row>
    <row r="143" spans="1:38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</row>
    <row r="144" spans="1:38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</row>
    <row r="145" spans="1:38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</row>
    <row r="146" spans="1:38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</row>
    <row r="147" spans="1:38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</row>
    <row r="148" spans="1:3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</row>
    <row r="149" spans="1:38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</row>
    <row r="150" spans="1:38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</row>
    <row r="151" spans="1:38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</row>
    <row r="152" spans="1:38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</row>
    <row r="153" spans="1:38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</row>
    <row r="154" spans="1:38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</row>
    <row r="155" spans="1:38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</row>
    <row r="156" spans="1:38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</row>
    <row r="157" spans="1:38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</row>
    <row r="158" spans="1:3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</row>
    <row r="159" spans="1:38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</row>
    <row r="160" spans="1:38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</row>
    <row r="161" spans="1:38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</row>
    <row r="162" spans="1:38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</row>
    <row r="163" spans="1:38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</row>
    <row r="164" spans="1:38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</row>
    <row r="165" spans="1:38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</row>
    <row r="166" spans="1:38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</row>
    <row r="167" spans="1:38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</row>
    <row r="168" spans="1:3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</row>
    <row r="169" spans="1:38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</row>
    <row r="170" spans="1:38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</row>
    <row r="171" spans="1:38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</row>
    <row r="172" spans="1:38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</row>
    <row r="173" spans="1:38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</row>
    <row r="174" spans="1:38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</row>
    <row r="175" spans="1:38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</row>
    <row r="176" spans="1:38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</row>
    <row r="177" spans="1:38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</row>
    <row r="178" spans="1:3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</row>
    <row r="179" spans="1:38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</row>
    <row r="180" spans="1:38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</row>
    <row r="181" spans="1:38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</row>
    <row r="182" spans="1:38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</row>
    <row r="183" spans="1:38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</row>
    <row r="184" spans="1:38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</row>
    <row r="185" spans="1:38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</row>
    <row r="186" spans="1:38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</row>
    <row r="187" spans="1:38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</row>
    <row r="188" spans="1:3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</row>
    <row r="189" spans="1:38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</row>
    <row r="190" spans="1:38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</row>
    <row r="191" spans="1:38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</row>
    <row r="192" spans="1:38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</row>
    <row r="193" spans="1:38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</row>
    <row r="194" spans="1:38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</row>
    <row r="195" spans="1:38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</row>
    <row r="196" spans="1:38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</row>
    <row r="197" spans="1:38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</row>
    <row r="198" spans="1:3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</row>
    <row r="199" spans="1:38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</row>
    <row r="200" spans="1:38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</row>
    <row r="201" spans="1:38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</row>
    <row r="202" spans="1:38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</row>
    <row r="203" spans="1:38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</row>
    <row r="204" spans="1:38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</row>
    <row r="205" spans="1:38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</row>
    <row r="206" spans="1:38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</row>
    <row r="207" spans="1:38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</row>
    <row r="208" spans="1:3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</row>
    <row r="209" spans="1:38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</row>
    <row r="210" spans="1:38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</row>
    <row r="211" spans="1:38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</row>
    <row r="212" spans="1:38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</row>
    <row r="213" spans="1:38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</row>
    <row r="214" spans="1:38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</row>
    <row r="215" spans="1:38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</row>
    <row r="216" spans="1:38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</row>
    <row r="217" spans="1:38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</row>
    <row r="218" spans="1:3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</row>
    <row r="219" spans="1:38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</row>
    <row r="220" spans="1:38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</row>
    <row r="221" spans="1:38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</row>
    <row r="222" spans="1:38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</row>
    <row r="223" spans="1:38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</row>
    <row r="224" spans="1:38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</row>
    <row r="225" spans="1:38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</row>
    <row r="226" spans="1:38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</row>
    <row r="227" spans="1:38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</row>
    <row r="228" spans="1:3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</row>
    <row r="229" spans="1:38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</row>
    <row r="230" spans="1:38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</row>
    <row r="231" spans="1:38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</row>
    <row r="232" spans="1:38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</row>
    <row r="233" spans="1:38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</row>
    <row r="234" spans="1:38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</row>
    <row r="235" spans="1:38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</row>
    <row r="236" spans="1:38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</row>
    <row r="237" spans="1:38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</row>
    <row r="238" spans="1: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</row>
    <row r="239" spans="1:38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</row>
    <row r="240" spans="1:38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</row>
    <row r="241" spans="1:38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</row>
    <row r="242" spans="1:38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</row>
    <row r="243" spans="1:38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</row>
    <row r="244" spans="1:38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</row>
    <row r="245" spans="1:38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</row>
    <row r="246" spans="1:38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</row>
    <row r="247" spans="1:38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</row>
    <row r="248" spans="1:3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</row>
    <row r="249" spans="1:38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</row>
    <row r="250" spans="1:38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</row>
    <row r="251" spans="1:38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</row>
    <row r="252" spans="1:38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</row>
    <row r="253" spans="1:38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</row>
    <row r="254" spans="1:38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</row>
    <row r="255" spans="1:38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</row>
    <row r="256" spans="1:38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</row>
    <row r="257" spans="1:38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</row>
    <row r="258" spans="1:3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</row>
    <row r="259" spans="1:38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</row>
    <row r="260" spans="1:38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</row>
    <row r="261" spans="1:38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</row>
    <row r="262" spans="1:38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</row>
    <row r="263" spans="1:38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</row>
    <row r="264" spans="1:38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</row>
    <row r="265" spans="1:38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</row>
    <row r="266" spans="1:38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</row>
    <row r="267" spans="1:38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</row>
    <row r="268" spans="1:3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</row>
    <row r="269" spans="1:38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</row>
    <row r="270" spans="1:38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</row>
    <row r="271" spans="1:38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</row>
    <row r="272" spans="1:38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</row>
    <row r="273" spans="1:38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</row>
    <row r="274" spans="1:38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</row>
    <row r="275" spans="1:38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</row>
    <row r="276" spans="1:38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</row>
    <row r="277" spans="1:38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</row>
    <row r="278" spans="1:3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</row>
    <row r="279" spans="1:38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</row>
    <row r="280" spans="1:38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</row>
    <row r="281" spans="1:38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</row>
    <row r="282" spans="1:38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</row>
    <row r="283" spans="1:38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</row>
    <row r="284" spans="1:38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</row>
    <row r="285" spans="1:38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</row>
    <row r="286" spans="1:38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</row>
    <row r="287" spans="1:38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</row>
    <row r="288" spans="1:3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</row>
    <row r="289" spans="1:38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</row>
    <row r="290" spans="1:38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</row>
    <row r="291" spans="1:38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</row>
    <row r="292" spans="1:38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</row>
    <row r="293" spans="1:38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</row>
    <row r="294" spans="1:38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</row>
    <row r="295" spans="1:38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</row>
    <row r="296" spans="1:38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</row>
    <row r="297" spans="1:38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</row>
    <row r="298" spans="1:3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</row>
    <row r="299" spans="1:38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</row>
    <row r="300" spans="1:38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</row>
    <row r="301" spans="1:38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</row>
    <row r="302" spans="1:38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</row>
    <row r="303" spans="1:38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</row>
    <row r="304" spans="1:38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</row>
    <row r="305" spans="1:38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</row>
    <row r="306" spans="1:38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</row>
    <row r="307" spans="1:38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</row>
    <row r="308" spans="1:3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</row>
    <row r="309" spans="1:38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</row>
    <row r="310" spans="1:38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</row>
    <row r="311" spans="1:38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</row>
    <row r="312" spans="1:38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</row>
    <row r="313" spans="1:38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</row>
    <row r="314" spans="1:38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</row>
    <row r="315" spans="1:38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</row>
    <row r="316" spans="1:38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</row>
    <row r="317" spans="1:38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</row>
    <row r="318" spans="1:3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</row>
    <row r="319" spans="1:38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</row>
    <row r="320" spans="1:38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</row>
    <row r="321" spans="1:38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</row>
    <row r="322" spans="1:38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</row>
    <row r="323" spans="1:38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</row>
    <row r="324" spans="1:38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</row>
    <row r="325" spans="1:38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</row>
    <row r="326" spans="1:38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</row>
    <row r="327" spans="1:38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</row>
    <row r="328" spans="1:3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</row>
    <row r="329" spans="1:38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</row>
    <row r="330" spans="1:38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</row>
    <row r="331" spans="1:38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</row>
    <row r="332" spans="1:38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</row>
    <row r="333" spans="1:38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</row>
    <row r="334" spans="1:38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</row>
    <row r="335" spans="1:38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</row>
    <row r="336" spans="1:38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</row>
    <row r="337" spans="1:38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</row>
    <row r="338" spans="1: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</row>
    <row r="339" spans="1:38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</row>
    <row r="340" spans="1:38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</row>
    <row r="341" spans="1:38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</row>
    <row r="342" spans="1:38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</row>
    <row r="343" spans="1:38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</row>
    <row r="344" spans="1:38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</row>
    <row r="345" spans="1:38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</row>
    <row r="346" spans="1:38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</row>
    <row r="347" spans="1:38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</row>
    <row r="348" spans="1:3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</row>
    <row r="349" spans="1:38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</row>
    <row r="350" spans="1:38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</row>
    <row r="351" spans="1:38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</row>
    <row r="352" spans="1:38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</row>
    <row r="353" spans="1:38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</row>
    <row r="354" spans="1:38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</row>
    <row r="355" spans="1:38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</row>
    <row r="356" spans="1:38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</row>
    <row r="357" spans="1:38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</row>
    <row r="358" spans="1:3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</row>
    <row r="359" spans="1:38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</row>
    <row r="360" spans="1:38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</row>
    <row r="361" spans="1:38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</row>
    <row r="362" spans="1:38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</row>
    <row r="363" spans="1:38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</row>
    <row r="364" spans="1:38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</row>
    <row r="365" spans="1:38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</row>
    <row r="366" spans="1:38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</row>
    <row r="367" spans="1:38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</row>
    <row r="368" spans="1:3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</row>
    <row r="369" spans="1:38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</row>
    <row r="370" spans="1:38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</row>
    <row r="371" spans="1:38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</row>
    <row r="372" spans="1:38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</row>
    <row r="373" spans="1:38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</row>
    <row r="374" spans="1:38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</row>
    <row r="375" spans="1:38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</row>
    <row r="376" spans="1:38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</row>
    <row r="377" spans="1:38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</row>
    <row r="378" spans="1:3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</row>
    <row r="379" spans="1:38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</row>
    <row r="380" spans="1:38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</row>
    <row r="381" spans="1:38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</row>
    <row r="382" spans="1:38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</row>
    <row r="383" spans="1:38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</row>
    <row r="384" spans="1:38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</row>
    <row r="385" spans="1:38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</row>
    <row r="386" spans="1:38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</row>
    <row r="387" spans="1:38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</row>
    <row r="388" spans="1:3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</row>
    <row r="389" spans="1:38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</row>
    <row r="390" spans="1:38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</row>
    <row r="391" spans="1:38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</row>
    <row r="392" spans="1:38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</row>
    <row r="393" spans="1:38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</row>
    <row r="394" spans="1:38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</row>
    <row r="395" spans="1:38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</row>
    <row r="396" spans="1:38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</row>
    <row r="397" spans="1:38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</row>
    <row r="398" spans="1:3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</row>
    <row r="399" spans="1:38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</row>
    <row r="400" spans="1:38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</row>
    <row r="401" spans="1:38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</row>
    <row r="402" spans="1:38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</row>
    <row r="403" spans="1:38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</row>
    <row r="404" spans="1:38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</row>
    <row r="405" spans="1:38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</row>
    <row r="406" spans="1:38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</row>
    <row r="407" spans="1:38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</row>
    <row r="408" spans="1:3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</row>
    <row r="409" spans="1:38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</row>
    <row r="410" spans="1:38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</row>
    <row r="411" spans="1:38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</row>
    <row r="412" spans="1:38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</row>
    <row r="413" spans="1:38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</row>
    <row r="414" spans="1:38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</row>
    <row r="415" spans="1:38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</row>
    <row r="416" spans="1:38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</row>
    <row r="417" spans="1:38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</row>
    <row r="418" spans="1:3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</row>
    <row r="419" spans="1:38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</row>
    <row r="420" spans="1:38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</row>
    <row r="421" spans="1:38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</row>
    <row r="422" spans="1:38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</row>
    <row r="423" spans="1:38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</row>
    <row r="424" spans="1:38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</row>
    <row r="425" spans="1:38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</row>
    <row r="426" spans="1:38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</row>
    <row r="427" spans="1:38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</row>
    <row r="428" spans="1:3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</row>
    <row r="429" spans="1:38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</row>
    <row r="430" spans="1:38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</row>
    <row r="431" spans="1:38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</row>
    <row r="432" spans="1:38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</row>
    <row r="433" spans="1:38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</row>
    <row r="434" spans="1:38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</row>
    <row r="435" spans="1:38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</row>
    <row r="436" spans="1:38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</row>
    <row r="437" spans="1:38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</row>
    <row r="438" spans="1: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</row>
    <row r="439" spans="1:38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</row>
    <row r="440" spans="1:38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</row>
    <row r="441" spans="1:38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</row>
    <row r="442" spans="1:38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</row>
    <row r="443" spans="1:38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</row>
    <row r="444" spans="1:38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</row>
    <row r="445" spans="1:38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</row>
    <row r="446" spans="1:38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</row>
    <row r="447" spans="1:38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</row>
    <row r="448" spans="1:3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</row>
    <row r="449" spans="1:38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</row>
    <row r="450" spans="1:38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</row>
    <row r="451" spans="1:38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</row>
    <row r="452" spans="1:38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</row>
    <row r="453" spans="1:38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</row>
    <row r="454" spans="1:38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</row>
    <row r="455" spans="1:38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</row>
    <row r="456" spans="1:38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</row>
    <row r="457" spans="1:38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</row>
    <row r="458" spans="1:3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</row>
    <row r="459" spans="1:38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</row>
    <row r="460" spans="1:38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</row>
    <row r="461" spans="1:38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</row>
    <row r="462" spans="1:38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</row>
    <row r="463" spans="1:38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</row>
    <row r="464" spans="1:38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</row>
    <row r="465" spans="1:38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</row>
    <row r="466" spans="1:38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</row>
    <row r="467" spans="1:38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</row>
    <row r="468" spans="1:3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</row>
    <row r="469" spans="1:38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</row>
    <row r="470" spans="1:38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</row>
    <row r="471" spans="1:38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</row>
    <row r="472" spans="1:38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</row>
    <row r="473" spans="1:38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</row>
    <row r="474" spans="1:38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</row>
    <row r="475" spans="1:38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</row>
    <row r="476" spans="1:38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</row>
    <row r="477" spans="1:38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</row>
    <row r="478" spans="1:3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</row>
    <row r="479" spans="1:38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</row>
    <row r="480" spans="1:38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</row>
    <row r="481" spans="1:38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</row>
    <row r="482" spans="1:38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</row>
    <row r="483" spans="1:38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</row>
    <row r="484" spans="1:38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</row>
    <row r="485" spans="1:38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</row>
    <row r="486" spans="1:38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</row>
    <row r="487" spans="1:38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</row>
    <row r="488" spans="1:3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</row>
    <row r="489" spans="1:38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</row>
    <row r="490" spans="1:38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</row>
    <row r="491" spans="1:38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</row>
    <row r="492" spans="1:38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</row>
    <row r="493" spans="1:38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</row>
    <row r="494" spans="1:38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</row>
    <row r="495" spans="1:38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</row>
    <row r="496" spans="1:38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</row>
    <row r="497" spans="1:38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</row>
    <row r="498" spans="1:3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</row>
    <row r="499" spans="1:38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</row>
    <row r="500" spans="1:38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</row>
    <row r="501" spans="1:38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</row>
    <row r="502" spans="1:38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</row>
    <row r="503" spans="1:38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</row>
    <row r="504" spans="1:38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</row>
    <row r="505" spans="1:38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</row>
    <row r="506" spans="1:38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</row>
    <row r="507" spans="1:38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</row>
    <row r="508" spans="1:3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</row>
    <row r="509" spans="1:38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</row>
    <row r="510" spans="1:38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</row>
    <row r="511" spans="1:38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</row>
    <row r="512" spans="1:38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</row>
    <row r="513" spans="1:38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</row>
    <row r="514" spans="1:38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</row>
    <row r="515" spans="1:38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</row>
    <row r="516" spans="1:38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</row>
    <row r="517" spans="1:38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</row>
    <row r="518" spans="1:3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</row>
    <row r="519" spans="1:38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</row>
    <row r="520" spans="1:38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</row>
    <row r="521" spans="1:38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</row>
    <row r="522" spans="1:38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</row>
    <row r="523" spans="1:38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</row>
    <row r="524" spans="1:38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</row>
    <row r="525" spans="1:38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</row>
    <row r="526" spans="1:38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</row>
    <row r="527" spans="1:38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</row>
    <row r="528" spans="1:3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</row>
    <row r="529" spans="1:38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</row>
    <row r="530" spans="1:38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</row>
    <row r="531" spans="1:38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</row>
    <row r="532" spans="1:38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</row>
    <row r="533" spans="1:38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</row>
    <row r="534" spans="1:38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</row>
    <row r="535" spans="1:38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</row>
    <row r="536" spans="1:38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</row>
    <row r="537" spans="1:38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</row>
    <row r="538" spans="1: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</row>
    <row r="539" spans="1:38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</row>
    <row r="540" spans="1:38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</row>
    <row r="541" spans="1:38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</row>
    <row r="542" spans="1:38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</row>
    <row r="543" spans="1:38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</row>
    <row r="544" spans="1:38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</row>
    <row r="545" spans="1:38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</row>
    <row r="546" spans="1:38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</row>
    <row r="547" spans="1:38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</row>
    <row r="548" spans="1:3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</row>
    <row r="549" spans="1:38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</row>
    <row r="550" spans="1:38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</row>
    <row r="551" spans="1:38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</row>
    <row r="552" spans="1:38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</row>
    <row r="553" spans="1:38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</row>
    <row r="554" spans="1:38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</row>
    <row r="555" spans="1:38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</row>
    <row r="556" spans="1:38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</row>
    <row r="557" spans="1:38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</row>
    <row r="558" spans="1:3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</row>
    <row r="559" spans="1:38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</row>
    <row r="560" spans="1:38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</row>
    <row r="561" spans="1:38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</row>
    <row r="562" spans="1:38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</row>
    <row r="563" spans="1:38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</row>
    <row r="564" spans="1:38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</row>
    <row r="565" spans="1:38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</row>
    <row r="566" spans="1:38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</row>
    <row r="567" spans="1:38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</row>
    <row r="568" spans="1:3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</row>
    <row r="569" spans="1:38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</row>
    <row r="570" spans="1:38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</row>
    <row r="571" spans="1:38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</row>
    <row r="572" spans="1:38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</row>
    <row r="573" spans="1:38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</row>
    <row r="574" spans="1:38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</row>
    <row r="575" spans="1:38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</row>
    <row r="576" spans="1:38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</row>
    <row r="577" spans="1:38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</row>
    <row r="578" spans="1:3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</row>
    <row r="579" spans="1:38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</row>
    <row r="580" spans="1:38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</row>
    <row r="581" spans="1:38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</row>
    <row r="582" spans="1:38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</row>
    <row r="583" spans="1:38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</row>
    <row r="584" spans="1:38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</row>
    <row r="585" spans="1:38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</row>
    <row r="586" spans="1:38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</row>
    <row r="587" spans="1:38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</row>
    <row r="588" spans="1:3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</row>
    <row r="589" spans="1:38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</row>
    <row r="590" spans="1:38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</row>
    <row r="591" spans="1:38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</row>
    <row r="592" spans="1:38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</row>
    <row r="593" spans="1:38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</row>
    <row r="594" spans="1:38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</row>
    <row r="595" spans="1:38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</row>
    <row r="596" spans="1:38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</row>
    <row r="597" spans="1:38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</row>
    <row r="598" spans="1:3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</row>
    <row r="599" spans="1:38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</row>
    <row r="600" spans="1:38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</row>
    <row r="601" spans="1:38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</row>
    <row r="602" spans="1:38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</row>
    <row r="603" spans="1:38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</row>
    <row r="604" spans="1:38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</row>
    <row r="605" spans="1:38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</row>
    <row r="606" spans="1:38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</row>
    <row r="607" spans="1:38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</row>
    <row r="608" spans="1:3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</row>
    <row r="609" spans="1:38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</row>
    <row r="610" spans="1:38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</row>
    <row r="611" spans="1:38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</row>
    <row r="612" spans="1:38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</row>
    <row r="613" spans="1:38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</row>
    <row r="614" spans="1:38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</row>
    <row r="615" spans="1:38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</row>
    <row r="616" spans="1:38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</row>
    <row r="617" spans="1:38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</row>
    <row r="618" spans="1:3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</row>
    <row r="619" spans="1:38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</row>
    <row r="620" spans="1:38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</row>
    <row r="621" spans="1:38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</row>
    <row r="622" spans="1:38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</row>
    <row r="623" spans="1:38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</row>
    <row r="624" spans="1:38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</row>
    <row r="625" spans="1:38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</row>
    <row r="626" spans="1:38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</row>
    <row r="627" spans="1:38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</row>
    <row r="628" spans="1:3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</row>
    <row r="629" spans="1:38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</row>
    <row r="630" spans="1:38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</row>
    <row r="631" spans="1:38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</row>
    <row r="632" spans="1:38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</row>
    <row r="633" spans="1:38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</row>
    <row r="634" spans="1:38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</row>
    <row r="635" spans="1:38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</row>
    <row r="636" spans="1:38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</row>
    <row r="637" spans="1:38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</row>
    <row r="638" spans="1: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</row>
    <row r="639" spans="1:38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</row>
    <row r="640" spans="1:38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</row>
    <row r="641" spans="1:38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</row>
    <row r="642" spans="1:38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</row>
    <row r="643" spans="1:38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</row>
    <row r="644" spans="1:38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</row>
    <row r="645" spans="1:38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</row>
    <row r="646" spans="1:38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</row>
    <row r="647" spans="1:38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</row>
    <row r="648" spans="1:3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</row>
    <row r="649" spans="1:38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</row>
    <row r="650" spans="1:38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</row>
    <row r="651" spans="1:38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</row>
    <row r="652" spans="1:38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</row>
    <row r="653" spans="1:38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</row>
    <row r="654" spans="1:38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</row>
    <row r="655" spans="1:38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</row>
    <row r="656" spans="1:38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</row>
    <row r="657" spans="1:38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</row>
    <row r="658" spans="1:3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</row>
    <row r="659" spans="1:38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</row>
    <row r="660" spans="1:38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</row>
    <row r="661" spans="1:38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</row>
    <row r="662" spans="1:38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</row>
    <row r="663" spans="1:38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</row>
    <row r="664" spans="1:38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</row>
    <row r="665" spans="1:38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</row>
    <row r="666" spans="1:38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</row>
    <row r="667" spans="1:38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</row>
    <row r="668" spans="1:3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</row>
    <row r="669" spans="1:38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</row>
    <row r="670" spans="1:38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</row>
    <row r="671" spans="1:38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</row>
    <row r="672" spans="1:38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</row>
    <row r="673" spans="1:38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</row>
    <row r="674" spans="1:38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</row>
    <row r="675" spans="1:38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</row>
    <row r="676" spans="1:38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</row>
    <row r="677" spans="1:38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</row>
    <row r="678" spans="1:3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</row>
    <row r="679" spans="1:38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</row>
    <row r="680" spans="1:38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</row>
    <row r="681" spans="1:38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</row>
    <row r="682" spans="1:38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</row>
    <row r="683" spans="1:38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</row>
    <row r="684" spans="1:38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</row>
    <row r="685" spans="1:38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</row>
    <row r="686" spans="1:38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</row>
    <row r="687" spans="1:38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</row>
    <row r="688" spans="1:3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</row>
    <row r="689" spans="1:38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</row>
    <row r="690" spans="1:38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</row>
    <row r="691" spans="1:38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</row>
    <row r="692" spans="1:38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</row>
    <row r="693" spans="1:38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</row>
    <row r="694" spans="1:38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</row>
    <row r="695" spans="1:38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</row>
    <row r="696" spans="1:38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</row>
    <row r="697" spans="1:38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</row>
    <row r="698" spans="1:3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</row>
    <row r="699" spans="1:38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</row>
    <row r="700" spans="1:38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</row>
    <row r="701" spans="1:38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</row>
    <row r="702" spans="1:38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</row>
    <row r="703" spans="1:38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</row>
    <row r="704" spans="1:38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</row>
    <row r="705" spans="1:38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</row>
    <row r="706" spans="1:38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</row>
    <row r="707" spans="1:38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</row>
    <row r="708" spans="1:3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</row>
    <row r="709" spans="1:38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</row>
    <row r="710" spans="1:38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</row>
    <row r="711" spans="1:38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</row>
    <row r="712" spans="1:38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</row>
    <row r="713" spans="1:38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</row>
    <row r="714" spans="1:38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</row>
    <row r="715" spans="1:38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</row>
    <row r="716" spans="1:38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</row>
    <row r="717" spans="1:38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</row>
    <row r="718" spans="1:3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</row>
    <row r="719" spans="1:38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</row>
    <row r="720" spans="1:38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</row>
    <row r="721" spans="1:38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</row>
    <row r="722" spans="1:38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</row>
    <row r="723" spans="1:38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</row>
    <row r="724" spans="1:38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</row>
    <row r="725" spans="1:38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</row>
    <row r="726" spans="1:38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</row>
    <row r="727" spans="1:38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</row>
    <row r="728" spans="1:3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</row>
    <row r="729" spans="1:38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</row>
    <row r="730" spans="1:38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</row>
    <row r="731" spans="1:38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</row>
    <row r="732" spans="1:38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</row>
    <row r="733" spans="1:38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</row>
    <row r="734" spans="1:38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</row>
    <row r="735" spans="1:38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</row>
    <row r="736" spans="1:38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</row>
    <row r="737" spans="1:38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</row>
    <row r="738" spans="1: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</row>
    <row r="739" spans="1:38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</row>
    <row r="740" spans="1:38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</row>
    <row r="741" spans="1:38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</row>
    <row r="742" spans="1:38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</row>
    <row r="743" spans="1:38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</row>
    <row r="744" spans="1:38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</row>
    <row r="745" spans="1:38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</row>
    <row r="746" spans="1:38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</row>
    <row r="747" spans="1:38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</row>
    <row r="748" spans="1:3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</row>
    <row r="749" spans="1:38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</row>
    <row r="750" spans="1:38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</row>
    <row r="751" spans="1:38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</row>
    <row r="752" spans="1:38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</row>
    <row r="753" spans="1:38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</row>
    <row r="754" spans="1:38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</row>
    <row r="755" spans="1:38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</row>
    <row r="756" spans="1:38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</row>
    <row r="757" spans="1:38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</row>
    <row r="758" spans="1:3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</row>
    <row r="759" spans="1:38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</row>
    <row r="760" spans="1:38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</row>
    <row r="761" spans="1:38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</row>
    <row r="762" spans="1:38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</row>
    <row r="763" spans="1:38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</row>
    <row r="764" spans="1:38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</row>
    <row r="765" spans="1:38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</row>
    <row r="766" spans="1:38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</row>
    <row r="767" spans="1:38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</row>
    <row r="768" spans="1:3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</row>
    <row r="769" spans="1:38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</row>
    <row r="770" spans="1:38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</row>
    <row r="771" spans="1:38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</row>
    <row r="772" spans="1:38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</row>
    <row r="773" spans="1:38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</row>
    <row r="774" spans="1:38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</row>
    <row r="775" spans="1:38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</row>
    <row r="776" spans="1:38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</row>
    <row r="777" spans="1:38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</row>
    <row r="778" spans="1:3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</row>
    <row r="779" spans="1:38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</row>
    <row r="780" spans="1:38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</row>
    <row r="781" spans="1:38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</row>
    <row r="782" spans="1:38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</row>
    <row r="783" spans="1:38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</row>
    <row r="784" spans="1:38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</row>
    <row r="785" spans="1:38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</row>
    <row r="786" spans="1:38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</row>
    <row r="787" spans="1:38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</row>
    <row r="788" spans="1:3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</row>
    <row r="789" spans="1:38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</row>
    <row r="790" spans="1:38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</row>
    <row r="791" spans="1:38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</row>
    <row r="792" spans="1:38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</row>
    <row r="793" spans="1:38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</row>
    <row r="794" spans="1:38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</row>
    <row r="795" spans="1:38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</row>
    <row r="796" spans="1:38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</row>
    <row r="797" spans="1:38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</row>
    <row r="798" spans="1:3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</row>
    <row r="799" spans="1:38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</row>
    <row r="800" spans="1:38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</row>
    <row r="801" spans="1:38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</row>
    <row r="802" spans="1:38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</row>
    <row r="803" spans="1:38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</row>
    <row r="804" spans="1:38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</row>
    <row r="805" spans="1:38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</row>
    <row r="806" spans="1:38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</row>
    <row r="807" spans="1:38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</row>
    <row r="808" spans="1:3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</row>
    <row r="809" spans="1:38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</row>
    <row r="810" spans="1:38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</row>
    <row r="811" spans="1:38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</row>
    <row r="812" spans="1:38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</row>
    <row r="813" spans="1:38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</row>
    <row r="814" spans="1:38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</row>
    <row r="815" spans="1:38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</row>
    <row r="816" spans="1:38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</row>
    <row r="817" spans="1:38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</row>
    <row r="818" spans="1:3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</row>
    <row r="819" spans="1:38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</row>
    <row r="820" spans="1:38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</row>
    <row r="821" spans="1:38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</row>
    <row r="822" spans="1:38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</row>
    <row r="823" spans="1:38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</row>
    <row r="824" spans="1:38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</row>
    <row r="825" spans="1:38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</row>
    <row r="826" spans="1:38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</row>
    <row r="827" spans="1:38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</row>
    <row r="828" spans="1:3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</row>
    <row r="829" spans="1:38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</row>
    <row r="830" spans="1:38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</row>
    <row r="831" spans="1:38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</row>
    <row r="832" spans="1:38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</row>
    <row r="833" spans="1:38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</row>
    <row r="834" spans="1:38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</row>
    <row r="835" spans="1:38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</row>
    <row r="836" spans="1:38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</row>
    <row r="837" spans="1:38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</row>
    <row r="838" spans="1: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</row>
    <row r="839" spans="1:38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</row>
    <row r="840" spans="1:38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</row>
    <row r="841" spans="1:38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</row>
    <row r="842" spans="1:38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</row>
    <row r="843" spans="1:38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</row>
    <row r="844" spans="1:38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</row>
    <row r="845" spans="1:38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</row>
    <row r="846" spans="1:38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</row>
    <row r="847" spans="1:38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</row>
    <row r="848" spans="1:3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</row>
    <row r="849" spans="1:38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</row>
    <row r="850" spans="1:38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</row>
    <row r="851" spans="1:38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</row>
    <row r="852" spans="1:38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</row>
    <row r="853" spans="1:38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</row>
    <row r="854" spans="1:38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</row>
    <row r="855" spans="1:38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</row>
    <row r="856" spans="1:38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</row>
    <row r="857" spans="1:38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</row>
    <row r="858" spans="1:3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</row>
    <row r="859" spans="1:38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</row>
    <row r="860" spans="1:38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</row>
    <row r="861" spans="1:38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</row>
    <row r="862" spans="1:38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</row>
    <row r="863" spans="1:38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</row>
    <row r="864" spans="1:38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</row>
    <row r="865" spans="1:38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</row>
    <row r="866" spans="1:38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</row>
    <row r="867" spans="1:38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</row>
    <row r="868" spans="1:3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</row>
    <row r="869" spans="1:38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</row>
    <row r="870" spans="1:38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</row>
    <row r="871" spans="1:38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</row>
    <row r="872" spans="1:38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</row>
    <row r="873" spans="1:38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</row>
    <row r="874" spans="1:38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</row>
    <row r="875" spans="1:38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</row>
    <row r="876" spans="1:38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</row>
    <row r="877" spans="1:38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</row>
    <row r="878" spans="1:3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</row>
    <row r="879" spans="1:38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</row>
    <row r="880" spans="1:38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</row>
    <row r="881" spans="1:38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</row>
    <row r="882" spans="1:38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</row>
    <row r="883" spans="1:38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</row>
    <row r="884" spans="1:38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</row>
    <row r="885" spans="1:38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</row>
    <row r="886" spans="1:38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</row>
    <row r="887" spans="1:38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</row>
    <row r="888" spans="1:3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</row>
    <row r="889" spans="1:38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</row>
    <row r="890" spans="1:38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</row>
    <row r="891" spans="1:38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</row>
    <row r="892" spans="1:38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</row>
    <row r="893" spans="1:38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</row>
    <row r="894" spans="1:38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</row>
    <row r="895" spans="1:38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</row>
    <row r="896" spans="1:38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</row>
    <row r="897" spans="1:38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</row>
    <row r="898" spans="1:3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</row>
    <row r="899" spans="1:38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</row>
    <row r="900" spans="1:38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</row>
    <row r="901" spans="1:38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</row>
    <row r="902" spans="1:38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</row>
    <row r="903" spans="1:38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</row>
    <row r="904" spans="1:38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</row>
    <row r="905" spans="1:38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</row>
    <row r="906" spans="1:38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</row>
    <row r="907" spans="1:38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</row>
    <row r="908" spans="1:3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</row>
    <row r="909" spans="1:38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</row>
    <row r="910" spans="1:38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</row>
    <row r="911" spans="1:38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</row>
    <row r="912" spans="1:38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</row>
    <row r="913" spans="1:38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</row>
    <row r="914" spans="1:38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</row>
    <row r="915" spans="1:38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</row>
    <row r="916" spans="1:38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</row>
    <row r="917" spans="1:38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</row>
    <row r="918" spans="1:3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</row>
    <row r="919" spans="1:38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</row>
    <row r="920" spans="1:38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</row>
    <row r="921" spans="1:38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</row>
    <row r="922" spans="1:38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</row>
    <row r="923" spans="1:38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</row>
    <row r="924" spans="1:38" ht="15.75" customHeight="1"/>
    <row r="925" spans="1:38" ht="15.75" customHeight="1"/>
    <row r="926" spans="1:38" ht="15.75" customHeight="1"/>
    <row r="927" spans="1:38" ht="15.75" customHeight="1"/>
    <row r="928" spans="1:3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Z991"/>
  <sheetViews>
    <sheetView topLeftCell="A153" workbookViewId="0">
      <selection activeCell="A178" sqref="A178"/>
    </sheetView>
  </sheetViews>
  <sheetFormatPr baseColWidth="10" defaultColWidth="11.28515625" defaultRowHeight="15" customHeight="1"/>
  <cols>
    <col min="1" max="1" width="51" customWidth="1"/>
    <col min="2" max="2" width="30" customWidth="1"/>
    <col min="3" max="3" width="22.7109375" customWidth="1"/>
    <col min="4" max="4" width="22" customWidth="1"/>
    <col min="5" max="5" width="36.5703125" customWidth="1"/>
    <col min="6" max="26" width="11.28515625" customWidth="1"/>
  </cols>
  <sheetData>
    <row r="1" spans="1:26" ht="15" customHeight="1">
      <c r="A1" s="75" t="s">
        <v>0</v>
      </c>
      <c r="B1" s="2" t="s">
        <v>1</v>
      </c>
      <c r="C1" s="3" t="s">
        <v>2</v>
      </c>
      <c r="D1" s="4"/>
      <c r="E1" s="5" t="s">
        <v>3</v>
      </c>
      <c r="F1" s="5" t="s">
        <v>2</v>
      </c>
      <c r="G1" s="6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" customHeight="1">
      <c r="A2" s="76" t="s">
        <v>4</v>
      </c>
      <c r="B2" s="8" t="s">
        <v>5</v>
      </c>
      <c r="C2" s="9">
        <v>28</v>
      </c>
      <c r="D2" s="4"/>
      <c r="E2" s="10" t="s">
        <v>8</v>
      </c>
      <c r="F2" s="10">
        <v>1</v>
      </c>
      <c r="G2" s="6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" customHeight="1">
      <c r="A3" s="76" t="s">
        <v>9</v>
      </c>
      <c r="B3" s="8" t="s">
        <v>10</v>
      </c>
      <c r="C3" s="9">
        <v>26</v>
      </c>
      <c r="D3" s="4"/>
      <c r="E3" s="10" t="s">
        <v>11</v>
      </c>
      <c r="F3" s="10">
        <v>2</v>
      </c>
      <c r="G3" s="6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" customHeight="1">
      <c r="A4" s="76" t="s">
        <v>12</v>
      </c>
      <c r="B4" s="8" t="s">
        <v>10</v>
      </c>
      <c r="C4" s="9">
        <v>26</v>
      </c>
      <c r="D4" s="4"/>
      <c r="E4" s="10" t="s">
        <v>13</v>
      </c>
      <c r="F4" s="10">
        <v>3</v>
      </c>
      <c r="G4" s="6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" customHeight="1">
      <c r="A5" s="76" t="s">
        <v>14</v>
      </c>
      <c r="B5" s="8" t="s">
        <v>10</v>
      </c>
      <c r="C5" s="9">
        <v>26</v>
      </c>
      <c r="D5" s="4"/>
      <c r="E5" s="10" t="s">
        <v>15</v>
      </c>
      <c r="F5" s="10">
        <v>4</v>
      </c>
      <c r="G5" s="12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" customHeight="1">
      <c r="A6" s="76" t="s">
        <v>18</v>
      </c>
      <c r="B6" s="8" t="s">
        <v>5</v>
      </c>
      <c r="C6" s="9">
        <v>28</v>
      </c>
      <c r="D6" s="9"/>
      <c r="E6" s="10" t="s">
        <v>19</v>
      </c>
      <c r="F6" s="10">
        <v>5</v>
      </c>
      <c r="G6" s="10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>
      <c r="A7" s="76" t="s">
        <v>20</v>
      </c>
      <c r="B7" s="103" t="s">
        <v>47</v>
      </c>
      <c r="C7" s="83">
        <v>17</v>
      </c>
      <c r="D7" s="9"/>
      <c r="E7" s="10" t="s">
        <v>22</v>
      </c>
      <c r="F7" s="10">
        <v>6</v>
      </c>
      <c r="G7" s="10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>
      <c r="A8" s="76" t="s">
        <v>8</v>
      </c>
      <c r="B8" s="8" t="s">
        <v>8</v>
      </c>
      <c r="C8" s="9">
        <v>1</v>
      </c>
      <c r="D8" s="9"/>
      <c r="E8" s="10" t="s">
        <v>456</v>
      </c>
      <c r="F8" s="10">
        <v>7</v>
      </c>
      <c r="G8" s="10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" customHeight="1">
      <c r="A9" s="76" t="s">
        <v>24</v>
      </c>
      <c r="B9" s="103" t="s">
        <v>47</v>
      </c>
      <c r="C9" s="83">
        <v>17</v>
      </c>
      <c r="D9" s="9"/>
      <c r="E9" s="10" t="s">
        <v>25</v>
      </c>
      <c r="F9" s="10">
        <v>8</v>
      </c>
      <c r="G9" s="6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" customHeight="1">
      <c r="A10" s="76" t="s">
        <v>26</v>
      </c>
      <c r="B10" s="8" t="s">
        <v>10</v>
      </c>
      <c r="C10" s="9">
        <v>26</v>
      </c>
      <c r="D10" s="9"/>
      <c r="E10" s="10" t="s">
        <v>27</v>
      </c>
      <c r="F10" s="10">
        <v>9</v>
      </c>
      <c r="G10" s="6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" customHeight="1">
      <c r="A11" s="76" t="s">
        <v>28</v>
      </c>
      <c r="B11" s="8" t="s">
        <v>5</v>
      </c>
      <c r="C11" s="9">
        <v>28</v>
      </c>
      <c r="D11" s="9"/>
      <c r="E11" s="10" t="s">
        <v>29</v>
      </c>
      <c r="F11" s="10">
        <v>10</v>
      </c>
      <c r="G11" s="6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" customHeight="1">
      <c r="A12" s="76" t="s">
        <v>11</v>
      </c>
      <c r="B12" s="8" t="s">
        <v>11</v>
      </c>
      <c r="C12" s="9">
        <v>2</v>
      </c>
      <c r="D12" s="9"/>
      <c r="E12" s="10" t="s">
        <v>30</v>
      </c>
      <c r="F12" s="10">
        <v>11</v>
      </c>
      <c r="G12" s="6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" customHeight="1">
      <c r="A13" s="76" t="s">
        <v>31</v>
      </c>
      <c r="B13" s="8" t="s">
        <v>32</v>
      </c>
      <c r="C13" s="9">
        <v>27</v>
      </c>
      <c r="D13" s="9"/>
      <c r="E13" s="10" t="s">
        <v>33</v>
      </c>
      <c r="F13" s="10">
        <v>12</v>
      </c>
      <c r="G13" s="6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" customHeight="1">
      <c r="A14" s="76" t="s">
        <v>34</v>
      </c>
      <c r="B14" s="8" t="s">
        <v>21</v>
      </c>
      <c r="C14" s="9">
        <v>29</v>
      </c>
      <c r="D14" s="9"/>
      <c r="E14" s="10" t="s">
        <v>35</v>
      </c>
      <c r="F14" s="10">
        <v>13</v>
      </c>
      <c r="G14" s="6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" customHeight="1">
      <c r="A15" s="76" t="s">
        <v>36</v>
      </c>
      <c r="B15" s="8" t="s">
        <v>5</v>
      </c>
      <c r="C15" s="9">
        <v>28</v>
      </c>
      <c r="D15" s="9"/>
      <c r="E15" s="10" t="s">
        <v>37</v>
      </c>
      <c r="F15" s="10">
        <v>14</v>
      </c>
      <c r="G15" s="6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" customHeight="1">
      <c r="A16" s="76" t="s">
        <v>38</v>
      </c>
      <c r="B16" s="8" t="s">
        <v>21</v>
      </c>
      <c r="C16" s="9">
        <v>29</v>
      </c>
      <c r="D16" s="9"/>
      <c r="E16" s="10" t="s">
        <v>39</v>
      </c>
      <c r="F16" s="10">
        <v>15</v>
      </c>
      <c r="G16" s="6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" customHeight="1">
      <c r="A17" s="76" t="s">
        <v>40</v>
      </c>
      <c r="B17" s="8" t="s">
        <v>5</v>
      </c>
      <c r="C17" s="9">
        <v>28</v>
      </c>
      <c r="D17" s="9"/>
      <c r="E17" s="10" t="s">
        <v>41</v>
      </c>
      <c r="F17" s="10">
        <v>16</v>
      </c>
      <c r="G17" s="6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>
      <c r="A18" s="76" t="s">
        <v>44</v>
      </c>
      <c r="B18" s="8" t="s">
        <v>21</v>
      </c>
      <c r="C18" s="9">
        <v>29</v>
      </c>
      <c r="D18" s="9"/>
      <c r="E18" s="10" t="s">
        <v>47</v>
      </c>
      <c r="F18" s="10">
        <v>17</v>
      </c>
      <c r="G18" s="6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>
      <c r="A19" s="76" t="s">
        <v>48</v>
      </c>
      <c r="B19" s="8" t="s">
        <v>10</v>
      </c>
      <c r="C19" s="9">
        <v>26</v>
      </c>
      <c r="D19" s="1"/>
      <c r="E19" s="10" t="s">
        <v>49</v>
      </c>
      <c r="F19" s="10">
        <v>18</v>
      </c>
      <c r="G19" s="6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" customHeight="1">
      <c r="A20" s="76" t="s">
        <v>50</v>
      </c>
      <c r="B20" s="8" t="s">
        <v>21</v>
      </c>
      <c r="C20" s="9">
        <v>29</v>
      </c>
      <c r="D20" s="9"/>
      <c r="E20" s="10" t="s">
        <v>51</v>
      </c>
      <c r="F20" s="10">
        <v>19</v>
      </c>
      <c r="G20" s="6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" customHeight="1">
      <c r="A21" s="76" t="s">
        <v>13</v>
      </c>
      <c r="B21" s="8" t="s">
        <v>13</v>
      </c>
      <c r="C21" s="9">
        <v>3</v>
      </c>
      <c r="D21" s="9"/>
      <c r="E21" s="10" t="s">
        <v>64</v>
      </c>
      <c r="F21" s="10">
        <v>20</v>
      </c>
      <c r="G21" s="6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" customHeight="1">
      <c r="A22" s="76" t="s">
        <v>65</v>
      </c>
      <c r="B22" s="8" t="s">
        <v>5</v>
      </c>
      <c r="C22" s="9">
        <v>28</v>
      </c>
      <c r="D22" s="9"/>
      <c r="E22" s="10" t="s">
        <v>66</v>
      </c>
      <c r="F22" s="10">
        <v>21</v>
      </c>
      <c r="G22" s="6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" customHeight="1">
      <c r="A23" s="76" t="s">
        <v>15</v>
      </c>
      <c r="B23" s="8" t="s">
        <v>15</v>
      </c>
      <c r="C23" s="9">
        <v>4</v>
      </c>
      <c r="D23" s="9"/>
      <c r="E23" s="10" t="s">
        <v>67</v>
      </c>
      <c r="F23" s="10">
        <v>22</v>
      </c>
      <c r="G23" s="6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" customHeight="1">
      <c r="A24" s="76" t="s">
        <v>68</v>
      </c>
      <c r="B24" s="8" t="s">
        <v>5</v>
      </c>
      <c r="C24" s="9">
        <v>28</v>
      </c>
      <c r="D24" s="9"/>
      <c r="E24" s="10" t="s">
        <v>268</v>
      </c>
      <c r="F24" s="10">
        <v>23</v>
      </c>
      <c r="G24" s="6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" customHeight="1">
      <c r="A25" s="76" t="s">
        <v>19</v>
      </c>
      <c r="B25" s="8" t="s">
        <v>19</v>
      </c>
      <c r="C25" s="9">
        <v>5</v>
      </c>
      <c r="D25" s="9"/>
      <c r="E25" s="10" t="s">
        <v>69</v>
      </c>
      <c r="F25" s="10">
        <v>24</v>
      </c>
      <c r="G25" s="6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" customHeight="1">
      <c r="A26" s="76" t="s">
        <v>70</v>
      </c>
      <c r="B26" s="8" t="s">
        <v>5</v>
      </c>
      <c r="C26" s="9">
        <v>28</v>
      </c>
      <c r="D26" s="9"/>
      <c r="E26" s="10" t="s">
        <v>71</v>
      </c>
      <c r="F26" s="10">
        <v>25</v>
      </c>
      <c r="G26" s="6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" customHeight="1">
      <c r="A27" s="76" t="s">
        <v>72</v>
      </c>
      <c r="B27" s="8" t="s">
        <v>5</v>
      </c>
      <c r="C27" s="9">
        <v>28</v>
      </c>
      <c r="D27" s="9"/>
      <c r="E27" s="12" t="s">
        <v>10</v>
      </c>
      <c r="F27" s="10">
        <v>26</v>
      </c>
      <c r="G27" s="6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" customHeight="1">
      <c r="A28" s="76" t="s">
        <v>73</v>
      </c>
      <c r="B28" s="8" t="s">
        <v>21</v>
      </c>
      <c r="C28" s="23">
        <v>29</v>
      </c>
      <c r="D28" s="9"/>
      <c r="E28" s="10" t="s">
        <v>32</v>
      </c>
      <c r="F28" s="10">
        <v>27</v>
      </c>
      <c r="G28" s="6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" customHeight="1">
      <c r="A29" s="76" t="s">
        <v>76</v>
      </c>
      <c r="B29" s="8" t="s">
        <v>5</v>
      </c>
      <c r="C29" s="9">
        <v>28</v>
      </c>
      <c r="D29" s="9"/>
      <c r="E29" s="10" t="s">
        <v>5</v>
      </c>
      <c r="F29" s="10">
        <v>28</v>
      </c>
      <c r="G29" s="6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" customHeight="1">
      <c r="A30" s="76" t="s">
        <v>77</v>
      </c>
      <c r="B30" s="8" t="s">
        <v>21</v>
      </c>
      <c r="C30" s="9">
        <v>29</v>
      </c>
      <c r="D30" s="9"/>
      <c r="E30" s="10" t="s">
        <v>21</v>
      </c>
      <c r="F30" s="10">
        <v>29</v>
      </c>
      <c r="G30" s="6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" customHeight="1">
      <c r="A31" s="76" t="s">
        <v>22</v>
      </c>
      <c r="B31" s="8" t="s">
        <v>22</v>
      </c>
      <c r="C31" s="9">
        <v>6</v>
      </c>
      <c r="D31" s="9"/>
      <c r="E31" s="9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" customHeight="1">
      <c r="A32" s="76" t="s">
        <v>78</v>
      </c>
      <c r="B32" s="8" t="s">
        <v>5</v>
      </c>
      <c r="C32" s="9">
        <v>28</v>
      </c>
      <c r="D32" s="9"/>
      <c r="E32" s="9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" customHeight="1">
      <c r="A33" s="76" t="s">
        <v>81</v>
      </c>
      <c r="B33" s="8" t="s">
        <v>21</v>
      </c>
      <c r="C33" s="9">
        <v>29</v>
      </c>
      <c r="D33" s="9"/>
      <c r="E33" s="3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6">
      <c r="A34" s="76" t="s">
        <v>82</v>
      </c>
      <c r="B34" s="8" t="s">
        <v>5</v>
      </c>
      <c r="C34" s="9">
        <v>28</v>
      </c>
      <c r="D34" s="9"/>
      <c r="E34" s="2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6">
      <c r="A35" s="76" t="s">
        <v>84</v>
      </c>
      <c r="B35" s="8" t="s">
        <v>5</v>
      </c>
      <c r="C35" s="9">
        <v>28</v>
      </c>
      <c r="D35" s="9"/>
      <c r="E35" s="9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6">
      <c r="A36" s="76" t="s">
        <v>85</v>
      </c>
      <c r="B36" s="8" t="s">
        <v>5</v>
      </c>
      <c r="C36" s="9">
        <v>28</v>
      </c>
      <c r="D36" s="26"/>
      <c r="E36" s="9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6">
      <c r="A37" s="76" t="s">
        <v>87</v>
      </c>
      <c r="B37" s="8" t="s">
        <v>21</v>
      </c>
      <c r="C37" s="9">
        <v>29</v>
      </c>
      <c r="D37" s="4"/>
      <c r="E37" s="9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6">
      <c r="A38" s="76" t="s">
        <v>89</v>
      </c>
      <c r="B38" s="8" t="s">
        <v>5</v>
      </c>
      <c r="C38" s="9">
        <v>28</v>
      </c>
      <c r="D38" s="4"/>
      <c r="E38" s="9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6">
      <c r="A39" s="76" t="s">
        <v>91</v>
      </c>
      <c r="B39" s="8" t="s">
        <v>5</v>
      </c>
      <c r="C39" s="9">
        <v>28</v>
      </c>
      <c r="D39" s="9"/>
      <c r="E39" s="9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6">
      <c r="A40" s="76" t="s">
        <v>23</v>
      </c>
      <c r="B40" s="8" t="s">
        <v>456</v>
      </c>
      <c r="C40" s="9">
        <v>7</v>
      </c>
      <c r="D40" s="9"/>
      <c r="E40" s="9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6">
      <c r="A41" s="76" t="s">
        <v>25</v>
      </c>
      <c r="B41" s="8" t="s">
        <v>25</v>
      </c>
      <c r="C41" s="9">
        <v>8</v>
      </c>
      <c r="D41" s="9"/>
      <c r="E41" s="9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6">
      <c r="A42" s="76" t="s">
        <v>93</v>
      </c>
      <c r="B42" s="8" t="s">
        <v>32</v>
      </c>
      <c r="C42" s="9">
        <v>27</v>
      </c>
      <c r="D42" s="3"/>
      <c r="E42" s="9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6">
      <c r="A43" s="76" t="s">
        <v>94</v>
      </c>
      <c r="B43" s="8" t="s">
        <v>10</v>
      </c>
      <c r="C43" s="9">
        <v>26</v>
      </c>
      <c r="D43" s="26"/>
      <c r="E43" s="9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6">
      <c r="A44" s="76" t="s">
        <v>97</v>
      </c>
      <c r="B44" s="8" t="s">
        <v>32</v>
      </c>
      <c r="C44" s="9">
        <v>27</v>
      </c>
      <c r="D44" s="9"/>
      <c r="E44" s="9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6">
      <c r="A45" s="76" t="s">
        <v>27</v>
      </c>
      <c r="B45" s="8" t="s">
        <v>27</v>
      </c>
      <c r="C45" s="9">
        <v>9</v>
      </c>
      <c r="D45" s="9"/>
      <c r="E45" s="9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6">
      <c r="A46" s="76" t="s">
        <v>101</v>
      </c>
      <c r="B46" s="8" t="s">
        <v>21</v>
      </c>
      <c r="C46" s="9">
        <v>29</v>
      </c>
      <c r="D46" s="9"/>
      <c r="E46" s="9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6">
      <c r="A47" s="76" t="s">
        <v>102</v>
      </c>
      <c r="B47" s="8" t="s">
        <v>5</v>
      </c>
      <c r="C47" s="9">
        <v>28</v>
      </c>
      <c r="D47" s="4"/>
      <c r="E47" s="9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6">
      <c r="A48" s="76" t="s">
        <v>103</v>
      </c>
      <c r="B48" s="8" t="s">
        <v>21</v>
      </c>
      <c r="C48" s="9">
        <v>29</v>
      </c>
      <c r="D48" s="4"/>
      <c r="E48" s="9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6">
      <c r="A49" s="76" t="s">
        <v>104</v>
      </c>
      <c r="B49" s="8" t="s">
        <v>21</v>
      </c>
      <c r="C49" s="9">
        <v>29</v>
      </c>
      <c r="D49" s="4"/>
      <c r="E49" s="9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6">
      <c r="A50" s="76" t="s">
        <v>105</v>
      </c>
      <c r="B50" s="8" t="s">
        <v>5</v>
      </c>
      <c r="C50" s="9">
        <v>28</v>
      </c>
      <c r="D50" s="4"/>
      <c r="E50" s="9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6">
      <c r="A51" s="76" t="s">
        <v>106</v>
      </c>
      <c r="B51" s="8" t="s">
        <v>5</v>
      </c>
      <c r="C51" s="9">
        <v>28</v>
      </c>
      <c r="D51" s="4"/>
      <c r="E51" s="9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6">
      <c r="A52" s="76" t="s">
        <v>107</v>
      </c>
      <c r="B52" s="8" t="s">
        <v>5</v>
      </c>
      <c r="C52" s="9">
        <v>28</v>
      </c>
      <c r="D52" s="4"/>
      <c r="E52" s="9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6">
      <c r="A53" s="76" t="s">
        <v>29</v>
      </c>
      <c r="B53" s="8" t="s">
        <v>29</v>
      </c>
      <c r="C53" s="9">
        <v>10</v>
      </c>
      <c r="D53" s="4"/>
      <c r="E53" s="9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6">
      <c r="A54" s="76" t="s">
        <v>108</v>
      </c>
      <c r="B54" s="8" t="s">
        <v>5</v>
      </c>
      <c r="C54" s="9">
        <v>28</v>
      </c>
      <c r="D54" s="4"/>
      <c r="E54" s="9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6">
      <c r="A55" s="76" t="s">
        <v>110</v>
      </c>
      <c r="B55" s="8" t="s">
        <v>21</v>
      </c>
      <c r="C55" s="9">
        <v>29</v>
      </c>
      <c r="D55" s="4"/>
      <c r="E55" s="9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6">
      <c r="A56" s="76" t="s">
        <v>112</v>
      </c>
      <c r="B56" s="8" t="s">
        <v>21</v>
      </c>
      <c r="C56" s="9">
        <v>29</v>
      </c>
      <c r="D56" s="4"/>
      <c r="E56" s="9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6">
      <c r="A57" s="76" t="s">
        <v>30</v>
      </c>
      <c r="B57" s="8" t="s">
        <v>30</v>
      </c>
      <c r="C57" s="9">
        <v>11</v>
      </c>
      <c r="D57" s="4"/>
      <c r="E57" s="9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6">
      <c r="A58" s="76" t="s">
        <v>114</v>
      </c>
      <c r="B58" s="8" t="s">
        <v>5</v>
      </c>
      <c r="C58" s="9">
        <v>28</v>
      </c>
      <c r="D58" s="4"/>
      <c r="E58" s="9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6">
      <c r="A59" s="76" t="s">
        <v>115</v>
      </c>
      <c r="B59" s="8" t="s">
        <v>21</v>
      </c>
      <c r="C59" s="9">
        <v>29</v>
      </c>
      <c r="D59" s="4"/>
      <c r="E59" s="9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6">
      <c r="A60" s="76" t="s">
        <v>116</v>
      </c>
      <c r="B60" s="8" t="s">
        <v>10</v>
      </c>
      <c r="C60" s="9">
        <v>26</v>
      </c>
      <c r="D60" s="4"/>
      <c r="E60" s="9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6">
      <c r="A61" s="76" t="s">
        <v>33</v>
      </c>
      <c r="B61" s="8" t="s">
        <v>33</v>
      </c>
      <c r="C61" s="9">
        <v>12</v>
      </c>
      <c r="D61" s="4"/>
      <c r="E61" s="9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6">
      <c r="A62" s="76" t="s">
        <v>35</v>
      </c>
      <c r="B62" s="8" t="s">
        <v>35</v>
      </c>
      <c r="C62" s="9">
        <v>13</v>
      </c>
      <c r="D62" s="4"/>
      <c r="E62" s="9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6">
      <c r="A63" s="76" t="s">
        <v>37</v>
      </c>
      <c r="B63" s="8" t="s">
        <v>37</v>
      </c>
      <c r="C63" s="9">
        <v>14</v>
      </c>
      <c r="D63" s="4"/>
      <c r="E63" s="9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6">
      <c r="A64" s="76" t="s">
        <v>118</v>
      </c>
      <c r="B64" s="8" t="s">
        <v>5</v>
      </c>
      <c r="C64" s="9">
        <v>28</v>
      </c>
      <c r="D64" s="4"/>
      <c r="E64" s="9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6">
      <c r="A65" s="76" t="s">
        <v>39</v>
      </c>
      <c r="B65" s="8" t="s">
        <v>39</v>
      </c>
      <c r="C65" s="9">
        <v>15</v>
      </c>
      <c r="D65" s="4"/>
      <c r="E65" s="9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6">
      <c r="A66" s="76" t="s">
        <v>41</v>
      </c>
      <c r="B66" s="8" t="s">
        <v>41</v>
      </c>
      <c r="C66" s="9">
        <v>16</v>
      </c>
      <c r="D66" s="4"/>
      <c r="E66" s="9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6">
      <c r="A67" s="76" t="s">
        <v>120</v>
      </c>
      <c r="B67" s="103" t="s">
        <v>5</v>
      </c>
      <c r="C67" s="9">
        <v>28</v>
      </c>
      <c r="D67" s="4"/>
      <c r="E67" s="9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6">
      <c r="A68" s="76" t="s">
        <v>47</v>
      </c>
      <c r="B68" s="8" t="s">
        <v>47</v>
      </c>
      <c r="C68" s="9">
        <v>17</v>
      </c>
      <c r="D68" s="4"/>
      <c r="E68" s="9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6">
      <c r="A69" s="76" t="s">
        <v>124</v>
      </c>
      <c r="B69" s="8" t="s">
        <v>10</v>
      </c>
      <c r="C69" s="9">
        <v>26</v>
      </c>
      <c r="D69" s="4"/>
      <c r="E69" s="9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6">
      <c r="A70" s="76" t="s">
        <v>125</v>
      </c>
      <c r="B70" s="8" t="s">
        <v>5</v>
      </c>
      <c r="C70" s="9">
        <v>28</v>
      </c>
      <c r="D70" s="4"/>
      <c r="E70" s="9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6">
      <c r="A71" s="76" t="s">
        <v>126</v>
      </c>
      <c r="B71" s="8" t="s">
        <v>10</v>
      </c>
      <c r="C71" s="9">
        <v>26</v>
      </c>
      <c r="D71" s="4"/>
      <c r="E71" s="9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6">
      <c r="A72" s="76" t="s">
        <v>127</v>
      </c>
      <c r="B72" s="8" t="s">
        <v>5</v>
      </c>
      <c r="C72" s="9">
        <v>28</v>
      </c>
      <c r="D72" s="4"/>
      <c r="E72" s="9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6">
      <c r="A73" s="76" t="s">
        <v>128</v>
      </c>
      <c r="B73" s="8" t="s">
        <v>5</v>
      </c>
      <c r="C73" s="9">
        <v>28</v>
      </c>
      <c r="D73" s="4"/>
      <c r="E73" s="9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6">
      <c r="A74" s="76" t="s">
        <v>129</v>
      </c>
      <c r="B74" s="8" t="s">
        <v>5</v>
      </c>
      <c r="C74" s="9">
        <v>28</v>
      </c>
      <c r="D74" s="4"/>
      <c r="E74" s="9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6">
      <c r="A75" s="76" t="s">
        <v>130</v>
      </c>
      <c r="B75" s="8" t="s">
        <v>5</v>
      </c>
      <c r="C75" s="9">
        <v>28</v>
      </c>
      <c r="D75" s="4"/>
      <c r="E75" s="9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6">
      <c r="A76" s="76" t="s">
        <v>132</v>
      </c>
      <c r="B76" s="8" t="s">
        <v>5</v>
      </c>
      <c r="C76" s="9">
        <v>28</v>
      </c>
      <c r="D76" s="4"/>
      <c r="E76" s="9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6">
      <c r="A77" s="76" t="s">
        <v>133</v>
      </c>
      <c r="B77" s="8" t="s">
        <v>5</v>
      </c>
      <c r="C77" s="9">
        <v>28</v>
      </c>
      <c r="D77" s="4"/>
      <c r="E77" s="9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6">
      <c r="A78" s="76" t="s">
        <v>134</v>
      </c>
      <c r="B78" s="8" t="s">
        <v>5</v>
      </c>
      <c r="C78" s="9">
        <v>28</v>
      </c>
      <c r="D78" s="4"/>
      <c r="E78" s="9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6">
      <c r="A79" s="76" t="s">
        <v>135</v>
      </c>
      <c r="B79" s="8" t="s">
        <v>5</v>
      </c>
      <c r="C79" s="9">
        <v>28</v>
      </c>
      <c r="D79" s="4"/>
      <c r="E79" s="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6">
      <c r="A80" s="76" t="s">
        <v>136</v>
      </c>
      <c r="B80" s="8" t="s">
        <v>10</v>
      </c>
      <c r="C80" s="9">
        <v>26</v>
      </c>
      <c r="D80" s="4"/>
      <c r="E80" s="9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6">
      <c r="A81" s="76" t="s">
        <v>137</v>
      </c>
      <c r="B81" s="8" t="s">
        <v>21</v>
      </c>
      <c r="C81" s="9">
        <v>29</v>
      </c>
      <c r="D81" s="4"/>
      <c r="E81" s="9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6">
      <c r="A82" s="76" t="s">
        <v>138</v>
      </c>
      <c r="B82" s="8" t="s">
        <v>5</v>
      </c>
      <c r="C82" s="9">
        <v>28</v>
      </c>
      <c r="D82" s="4"/>
      <c r="E82" s="9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6">
      <c r="A83" s="76" t="s">
        <v>139</v>
      </c>
      <c r="B83" s="8" t="s">
        <v>5</v>
      </c>
      <c r="C83" s="9">
        <v>28</v>
      </c>
      <c r="D83" s="4"/>
      <c r="E83" s="9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6">
      <c r="A84" s="76" t="s">
        <v>140</v>
      </c>
      <c r="B84" s="8" t="s">
        <v>10</v>
      </c>
      <c r="C84" s="9">
        <v>26</v>
      </c>
      <c r="D84" s="4"/>
      <c r="E84" s="9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6">
      <c r="A85" s="76" t="s">
        <v>141</v>
      </c>
      <c r="B85" s="8" t="s">
        <v>5</v>
      </c>
      <c r="C85" s="9">
        <v>28</v>
      </c>
      <c r="D85" s="4"/>
      <c r="E85" s="9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6">
      <c r="A86" s="76" t="s">
        <v>49</v>
      </c>
      <c r="B86" s="8" t="s">
        <v>49</v>
      </c>
      <c r="C86" s="9">
        <v>18</v>
      </c>
      <c r="D86" s="4"/>
      <c r="E86" s="9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6">
      <c r="A87" s="76" t="s">
        <v>142</v>
      </c>
      <c r="B87" s="8" t="s">
        <v>5</v>
      </c>
      <c r="C87" s="9">
        <v>28</v>
      </c>
      <c r="D87" s="4"/>
      <c r="E87" s="9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6">
      <c r="A88" s="76" t="s">
        <v>51</v>
      </c>
      <c r="B88" s="8" t="s">
        <v>51</v>
      </c>
      <c r="C88" s="9">
        <v>19</v>
      </c>
      <c r="D88" s="4"/>
      <c r="E88" s="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6">
      <c r="A89" s="76" t="s">
        <v>143</v>
      </c>
      <c r="B89" s="8" t="s">
        <v>5</v>
      </c>
      <c r="C89" s="9">
        <v>28</v>
      </c>
      <c r="D89" s="4"/>
      <c r="E89" s="9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6">
      <c r="A90" s="76" t="s">
        <v>64</v>
      </c>
      <c r="B90" s="8" t="s">
        <v>64</v>
      </c>
      <c r="C90" s="9">
        <v>20</v>
      </c>
      <c r="D90" s="4"/>
      <c r="E90" s="9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6">
      <c r="A91" s="76" t="s">
        <v>66</v>
      </c>
      <c r="B91" s="8" t="s">
        <v>66</v>
      </c>
      <c r="C91" s="9">
        <v>21</v>
      </c>
      <c r="D91" s="4"/>
      <c r="E91" s="9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6">
      <c r="A92" s="76" t="s">
        <v>144</v>
      </c>
      <c r="B92" s="8" t="s">
        <v>10</v>
      </c>
      <c r="C92" s="9">
        <v>26</v>
      </c>
      <c r="D92" s="4"/>
      <c r="E92" s="9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6">
      <c r="A93" s="76" t="s">
        <v>67</v>
      </c>
      <c r="B93" s="8" t="s">
        <v>67</v>
      </c>
      <c r="C93" s="9">
        <v>22</v>
      </c>
      <c r="D93" s="4"/>
      <c r="E93" s="9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6">
      <c r="A94" s="76" t="s">
        <v>146</v>
      </c>
      <c r="B94" s="8" t="s">
        <v>10</v>
      </c>
      <c r="C94" s="9">
        <v>26</v>
      </c>
      <c r="D94" s="4"/>
      <c r="E94" s="9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6">
      <c r="A95" s="76" t="s">
        <v>147</v>
      </c>
      <c r="B95" s="8" t="s">
        <v>5</v>
      </c>
      <c r="C95" s="9">
        <v>28</v>
      </c>
      <c r="D95" s="4"/>
      <c r="E95" s="9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6">
      <c r="A96" s="76" t="s">
        <v>148</v>
      </c>
      <c r="B96" s="8" t="s">
        <v>5</v>
      </c>
      <c r="C96" s="9">
        <v>28</v>
      </c>
      <c r="D96" s="4"/>
      <c r="E96" s="9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6">
      <c r="A97" s="76" t="s">
        <v>149</v>
      </c>
      <c r="B97" s="8" t="s">
        <v>10</v>
      </c>
      <c r="C97" s="9">
        <v>26</v>
      </c>
      <c r="D97" s="4"/>
      <c r="E97" s="9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6">
      <c r="A98" s="76" t="s">
        <v>150</v>
      </c>
      <c r="B98" s="8" t="s">
        <v>21</v>
      </c>
      <c r="C98" s="9">
        <v>29</v>
      </c>
      <c r="D98" s="4"/>
      <c r="E98" s="9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6">
      <c r="A99" s="76" t="s">
        <v>151</v>
      </c>
      <c r="B99" s="8" t="s">
        <v>152</v>
      </c>
      <c r="C99" s="9">
        <v>23</v>
      </c>
      <c r="D99" s="4"/>
      <c r="E99" s="9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6">
      <c r="A100" s="76" t="s">
        <v>152</v>
      </c>
      <c r="B100" s="8" t="s">
        <v>10</v>
      </c>
      <c r="C100" s="9">
        <v>26</v>
      </c>
      <c r="D100" s="4"/>
      <c r="E100" s="9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6">
      <c r="A101" s="76" t="s">
        <v>153</v>
      </c>
      <c r="B101" s="8" t="s">
        <v>5</v>
      </c>
      <c r="C101" s="9">
        <v>28</v>
      </c>
      <c r="D101" s="4"/>
      <c r="E101" s="9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6">
      <c r="A102" s="76" t="s">
        <v>69</v>
      </c>
      <c r="B102" s="8" t="s">
        <v>69</v>
      </c>
      <c r="C102" s="9">
        <v>24</v>
      </c>
      <c r="D102" s="4"/>
      <c r="E102" s="9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6">
      <c r="A103" s="76" t="s">
        <v>154</v>
      </c>
      <c r="B103" s="8" t="s">
        <v>32</v>
      </c>
      <c r="C103" s="9">
        <v>27</v>
      </c>
      <c r="D103" s="4"/>
      <c r="E103" s="9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6">
      <c r="A104" s="76" t="s">
        <v>155</v>
      </c>
      <c r="B104" s="8" t="s">
        <v>5</v>
      </c>
      <c r="C104" s="9">
        <v>28</v>
      </c>
      <c r="D104" s="4"/>
      <c r="E104" s="9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6">
      <c r="A105" s="76" t="s">
        <v>157</v>
      </c>
      <c r="B105" s="8" t="s">
        <v>158</v>
      </c>
      <c r="C105" s="9">
        <v>25</v>
      </c>
      <c r="D105" s="4"/>
      <c r="E105" s="9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6">
      <c r="A106" s="95" t="s">
        <v>159</v>
      </c>
      <c r="B106" s="8" t="s">
        <v>32</v>
      </c>
      <c r="C106" s="9">
        <v>27</v>
      </c>
      <c r="D106" s="4"/>
      <c r="E106" s="9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6">
      <c r="A107" s="96" t="s">
        <v>315</v>
      </c>
      <c r="B107" s="8" t="s">
        <v>15</v>
      </c>
      <c r="C107" s="9">
        <v>4</v>
      </c>
      <c r="D107" s="4"/>
      <c r="E107" s="9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6">
      <c r="A108" s="94" t="s">
        <v>316</v>
      </c>
      <c r="B108" s="8" t="s">
        <v>66</v>
      </c>
      <c r="C108" s="9">
        <v>21</v>
      </c>
      <c r="D108" s="4"/>
      <c r="E108" s="9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6">
      <c r="A109" s="94" t="s">
        <v>317</v>
      </c>
      <c r="B109" s="8" t="s">
        <v>5</v>
      </c>
      <c r="C109" s="9">
        <v>28</v>
      </c>
      <c r="D109" s="4"/>
      <c r="E109" s="9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6">
      <c r="A110" s="94" t="s">
        <v>318</v>
      </c>
      <c r="B110" s="8" t="s">
        <v>39</v>
      </c>
      <c r="C110" s="9">
        <v>15</v>
      </c>
      <c r="D110" s="4"/>
      <c r="E110" s="9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6">
      <c r="A111" s="94" t="s">
        <v>319</v>
      </c>
      <c r="B111" s="8" t="s">
        <v>10</v>
      </c>
      <c r="C111" s="9">
        <v>26</v>
      </c>
      <c r="D111" s="4"/>
      <c r="E111" s="9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6">
      <c r="A112" s="94" t="s">
        <v>320</v>
      </c>
      <c r="B112" s="8" t="s">
        <v>5</v>
      </c>
      <c r="C112" s="9">
        <v>28</v>
      </c>
      <c r="D112" s="4"/>
      <c r="E112" s="9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6">
      <c r="A113" s="94" t="s">
        <v>321</v>
      </c>
      <c r="B113" s="8" t="s">
        <v>47</v>
      </c>
      <c r="C113" s="9">
        <v>17</v>
      </c>
      <c r="D113" s="4"/>
      <c r="E113" s="9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6">
      <c r="A114" s="94" t="s">
        <v>312</v>
      </c>
      <c r="B114" s="8" t="s">
        <v>5</v>
      </c>
      <c r="C114" s="9">
        <v>28</v>
      </c>
      <c r="D114" s="4"/>
      <c r="E114" s="9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6">
      <c r="A115" s="94" t="s">
        <v>314</v>
      </c>
      <c r="B115" s="8" t="s">
        <v>32</v>
      </c>
      <c r="C115" s="9">
        <v>27</v>
      </c>
      <c r="D115" s="4"/>
      <c r="E115" s="9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6">
      <c r="A116" s="94" t="s">
        <v>313</v>
      </c>
      <c r="B116" s="8" t="s">
        <v>32</v>
      </c>
      <c r="C116" s="9">
        <v>27</v>
      </c>
      <c r="D116" s="4"/>
      <c r="E116" s="9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6">
      <c r="A117" s="94" t="s">
        <v>322</v>
      </c>
      <c r="B117" s="8" t="s">
        <v>10</v>
      </c>
      <c r="C117" s="9">
        <v>26</v>
      </c>
      <c r="D117" s="4"/>
      <c r="E117" s="9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6">
      <c r="A118" s="94" t="s">
        <v>323</v>
      </c>
      <c r="B118" s="8" t="s">
        <v>32</v>
      </c>
      <c r="C118" s="9">
        <v>27</v>
      </c>
      <c r="D118" s="4"/>
      <c r="E118" s="9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6">
      <c r="A119" s="94" t="s">
        <v>324</v>
      </c>
      <c r="B119" s="8" t="s">
        <v>47</v>
      </c>
      <c r="C119" s="9">
        <v>17</v>
      </c>
      <c r="D119" s="4"/>
      <c r="E119" s="9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6">
      <c r="A120" s="94" t="s">
        <v>325</v>
      </c>
      <c r="B120" s="8" t="s">
        <v>32</v>
      </c>
      <c r="C120" s="9">
        <v>27</v>
      </c>
      <c r="D120" s="4"/>
      <c r="E120" s="9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6">
      <c r="A121" s="94" t="s">
        <v>326</v>
      </c>
      <c r="B121" s="8" t="s">
        <v>456</v>
      </c>
      <c r="C121" s="9">
        <v>7</v>
      </c>
      <c r="D121" s="4"/>
      <c r="E121" s="9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6">
      <c r="A122" s="94" t="s">
        <v>327</v>
      </c>
      <c r="B122" s="8" t="s">
        <v>39</v>
      </c>
      <c r="C122" s="9">
        <v>15</v>
      </c>
      <c r="D122" s="4"/>
      <c r="E122" s="9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6">
      <c r="A123" s="94" t="s">
        <v>311</v>
      </c>
      <c r="B123" s="8" t="s">
        <v>47</v>
      </c>
      <c r="C123" s="9">
        <v>17</v>
      </c>
      <c r="D123" s="4"/>
      <c r="E123" s="9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6">
      <c r="A124" s="94" t="s">
        <v>328</v>
      </c>
      <c r="B124" s="8" t="s">
        <v>66</v>
      </c>
      <c r="C124" s="9">
        <v>21</v>
      </c>
      <c r="D124" s="4"/>
      <c r="E124" s="9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6">
      <c r="A125" s="94" t="s">
        <v>329</v>
      </c>
      <c r="B125" s="8" t="s">
        <v>5</v>
      </c>
      <c r="C125" s="9">
        <v>28</v>
      </c>
      <c r="D125" s="4"/>
      <c r="E125" s="9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6">
      <c r="A126" s="94" t="s">
        <v>330</v>
      </c>
      <c r="B126" s="8" t="s">
        <v>5</v>
      </c>
      <c r="C126" s="9">
        <v>28</v>
      </c>
      <c r="D126" s="4"/>
      <c r="E126" s="9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6">
      <c r="A127" s="94" t="s">
        <v>331</v>
      </c>
      <c r="B127" s="8" t="s">
        <v>5</v>
      </c>
      <c r="C127" s="9">
        <v>28</v>
      </c>
      <c r="D127" s="4"/>
      <c r="E127" s="9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6">
      <c r="A128" s="94" t="s">
        <v>332</v>
      </c>
      <c r="B128" s="8" t="s">
        <v>21</v>
      </c>
      <c r="C128" s="9">
        <v>29</v>
      </c>
      <c r="D128" s="4"/>
      <c r="E128" s="9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6">
      <c r="A129" s="94" t="s">
        <v>333</v>
      </c>
      <c r="B129" s="8" t="s">
        <v>21</v>
      </c>
      <c r="C129" s="9">
        <v>29</v>
      </c>
      <c r="D129" s="4"/>
      <c r="E129" s="9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6">
      <c r="A130" s="94" t="s">
        <v>334</v>
      </c>
      <c r="B130" s="8" t="s">
        <v>21</v>
      </c>
      <c r="C130" s="9">
        <v>29</v>
      </c>
      <c r="D130" s="4"/>
      <c r="E130" s="9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6">
      <c r="A131" s="94" t="s">
        <v>335</v>
      </c>
      <c r="B131" s="8" t="s">
        <v>5</v>
      </c>
      <c r="C131" s="9">
        <v>28</v>
      </c>
      <c r="D131" s="4"/>
      <c r="E131" s="9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6">
      <c r="A132" s="94" t="s">
        <v>336</v>
      </c>
      <c r="B132" s="8" t="s">
        <v>5</v>
      </c>
      <c r="C132" s="9">
        <v>28</v>
      </c>
      <c r="D132" s="4"/>
      <c r="E132" s="9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6">
      <c r="A133" s="94" t="s">
        <v>337</v>
      </c>
      <c r="B133" s="8" t="s">
        <v>21</v>
      </c>
      <c r="C133" s="9">
        <v>29</v>
      </c>
      <c r="D133" s="4"/>
      <c r="E133" s="9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6">
      <c r="A134" s="94" t="s">
        <v>338</v>
      </c>
      <c r="B134" s="8" t="s">
        <v>5</v>
      </c>
      <c r="C134" s="9">
        <v>28</v>
      </c>
      <c r="D134" s="4"/>
      <c r="E134" s="9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6">
      <c r="A135" s="94" t="s">
        <v>339</v>
      </c>
      <c r="B135" s="8" t="s">
        <v>30</v>
      </c>
      <c r="C135" s="9">
        <v>11</v>
      </c>
      <c r="D135" s="4"/>
      <c r="E135" s="9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6">
      <c r="A136" s="94" t="s">
        <v>340</v>
      </c>
      <c r="B136" s="8" t="s">
        <v>21</v>
      </c>
      <c r="C136" s="9">
        <v>29</v>
      </c>
      <c r="D136" s="4"/>
      <c r="E136" s="9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6">
      <c r="A137" s="94" t="s">
        <v>341</v>
      </c>
      <c r="B137" s="8" t="s">
        <v>35</v>
      </c>
      <c r="C137" s="9">
        <v>13</v>
      </c>
      <c r="D137" s="4"/>
      <c r="E137" s="9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6">
      <c r="A138" s="94" t="s">
        <v>342</v>
      </c>
      <c r="B138" s="8" t="s">
        <v>39</v>
      </c>
      <c r="C138" s="94">
        <v>15</v>
      </c>
      <c r="D138" s="4"/>
      <c r="E138" s="9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6">
      <c r="A139" s="94" t="s">
        <v>343</v>
      </c>
      <c r="B139" s="8" t="s">
        <v>39</v>
      </c>
      <c r="C139" s="94">
        <v>15</v>
      </c>
      <c r="D139" s="4"/>
      <c r="E139" s="9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6">
      <c r="A140" s="77" t="s">
        <v>359</v>
      </c>
      <c r="B140" s="8" t="s">
        <v>5</v>
      </c>
      <c r="C140" s="94">
        <v>28</v>
      </c>
      <c r="D140" s="4"/>
      <c r="E140" s="9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6">
      <c r="A141" s="94" t="s">
        <v>248</v>
      </c>
      <c r="B141" s="8" t="s">
        <v>32</v>
      </c>
      <c r="C141" s="9">
        <v>27</v>
      </c>
      <c r="D141" s="4"/>
      <c r="E141" s="9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6">
      <c r="A142" s="94" t="s">
        <v>344</v>
      </c>
      <c r="B142" s="8" t="s">
        <v>47</v>
      </c>
      <c r="C142" s="9">
        <v>17</v>
      </c>
      <c r="D142" s="4"/>
      <c r="E142" s="9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6">
      <c r="A143" s="94" t="s">
        <v>345</v>
      </c>
      <c r="B143" s="8" t="s">
        <v>10</v>
      </c>
      <c r="C143" s="9">
        <v>26</v>
      </c>
      <c r="D143" s="4"/>
      <c r="E143" s="9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6">
      <c r="A144" s="94" t="s">
        <v>346</v>
      </c>
      <c r="B144" s="8" t="s">
        <v>5</v>
      </c>
      <c r="C144" s="9">
        <v>28</v>
      </c>
      <c r="D144" s="4"/>
      <c r="E144" s="9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6">
      <c r="A145" s="94" t="s">
        <v>347</v>
      </c>
      <c r="B145" s="8" t="s">
        <v>39</v>
      </c>
      <c r="C145" s="9">
        <v>15</v>
      </c>
      <c r="D145" s="4"/>
      <c r="E145" s="9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6">
      <c r="A146" s="94" t="s">
        <v>348</v>
      </c>
      <c r="B146" s="8" t="s">
        <v>47</v>
      </c>
      <c r="C146" s="9">
        <v>17</v>
      </c>
      <c r="D146" s="4"/>
      <c r="E146" s="9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6">
      <c r="A147" s="94" t="s">
        <v>349</v>
      </c>
      <c r="B147" s="8" t="s">
        <v>51</v>
      </c>
      <c r="C147" s="9">
        <v>19</v>
      </c>
      <c r="D147" s="4"/>
      <c r="E147" s="9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6">
      <c r="A148" s="94" t="s">
        <v>350</v>
      </c>
      <c r="B148" s="8" t="s">
        <v>5</v>
      </c>
      <c r="C148" s="9">
        <v>28</v>
      </c>
      <c r="D148" s="4"/>
      <c r="E148" s="9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6">
      <c r="A149" s="94" t="s">
        <v>351</v>
      </c>
      <c r="B149" s="97" t="s">
        <v>5</v>
      </c>
      <c r="C149" s="98">
        <v>28</v>
      </c>
      <c r="D149" s="4"/>
      <c r="E149" s="9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6">
      <c r="A150" s="94" t="s">
        <v>352</v>
      </c>
      <c r="B150" s="97" t="s">
        <v>5</v>
      </c>
      <c r="C150" s="98">
        <v>28</v>
      </c>
      <c r="D150" s="4"/>
      <c r="E150" s="9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6">
      <c r="A151" s="94" t="s">
        <v>353</v>
      </c>
      <c r="B151" s="8" t="s">
        <v>21</v>
      </c>
      <c r="C151" s="9">
        <v>29</v>
      </c>
      <c r="D151" s="4"/>
      <c r="E151" s="9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6">
      <c r="A152" s="94" t="s">
        <v>354</v>
      </c>
      <c r="B152" s="8" t="s">
        <v>47</v>
      </c>
      <c r="C152" s="9">
        <v>17</v>
      </c>
      <c r="D152" s="4"/>
      <c r="E152" s="9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6">
      <c r="A153" s="94" t="s">
        <v>355</v>
      </c>
      <c r="B153" s="8" t="s">
        <v>51</v>
      </c>
      <c r="C153" s="9">
        <v>19</v>
      </c>
      <c r="D153" s="4"/>
      <c r="E153" s="9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6">
      <c r="A154" s="94" t="s">
        <v>231</v>
      </c>
      <c r="B154" s="8" t="s">
        <v>22</v>
      </c>
      <c r="C154" s="9">
        <v>6</v>
      </c>
      <c r="D154" s="4"/>
      <c r="E154" s="9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6">
      <c r="A155" s="94" t="s">
        <v>356</v>
      </c>
      <c r="B155" s="8" t="s">
        <v>456</v>
      </c>
      <c r="C155" s="9">
        <v>7</v>
      </c>
      <c r="D155" s="4"/>
      <c r="E155" s="9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6">
      <c r="A156" s="94" t="s">
        <v>357</v>
      </c>
      <c r="B156" s="97" t="s">
        <v>5</v>
      </c>
      <c r="C156" s="98">
        <v>28</v>
      </c>
      <c r="D156" s="4"/>
      <c r="E156" s="9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6">
      <c r="A157" s="94" t="s">
        <v>358</v>
      </c>
      <c r="B157" s="97" t="s">
        <v>5</v>
      </c>
      <c r="C157" s="98">
        <v>28</v>
      </c>
      <c r="D157" s="4"/>
      <c r="E157" s="9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6">
      <c r="A158" s="77" t="s">
        <v>427</v>
      </c>
      <c r="B158" s="97" t="s">
        <v>5</v>
      </c>
      <c r="C158" s="9">
        <v>28</v>
      </c>
      <c r="D158" s="4"/>
      <c r="E158" s="9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6">
      <c r="A159" s="102" t="s">
        <v>423</v>
      </c>
      <c r="B159" s="8" t="s">
        <v>39</v>
      </c>
      <c r="C159" s="94">
        <v>15</v>
      </c>
      <c r="D159" s="4"/>
      <c r="E159" s="9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6">
      <c r="A160" s="102" t="s">
        <v>424</v>
      </c>
      <c r="B160" s="8" t="s">
        <v>5</v>
      </c>
      <c r="C160" s="9">
        <v>28</v>
      </c>
      <c r="D160" s="4"/>
      <c r="E160" s="9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6">
      <c r="A161" s="102" t="s">
        <v>425</v>
      </c>
      <c r="B161" s="8" t="s">
        <v>5</v>
      </c>
      <c r="C161" s="9">
        <v>28</v>
      </c>
      <c r="D161" s="4"/>
      <c r="E161" s="9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6">
      <c r="A162" s="102" t="s">
        <v>426</v>
      </c>
      <c r="B162" s="8" t="s">
        <v>10</v>
      </c>
      <c r="C162" s="9">
        <v>26</v>
      </c>
      <c r="D162" s="4"/>
      <c r="E162" s="9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6">
      <c r="A163" s="102" t="s">
        <v>421</v>
      </c>
      <c r="B163" s="8" t="s">
        <v>10</v>
      </c>
      <c r="C163" s="9">
        <v>26</v>
      </c>
      <c r="D163" s="4"/>
      <c r="E163" s="9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6">
      <c r="A164" s="102" t="s">
        <v>422</v>
      </c>
      <c r="B164" s="8" t="s">
        <v>8</v>
      </c>
      <c r="C164" s="9">
        <v>1</v>
      </c>
      <c r="D164" s="4"/>
      <c r="E164" s="9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6">
      <c r="A165" s="102" t="s">
        <v>428</v>
      </c>
      <c r="B165" s="8" t="s">
        <v>19</v>
      </c>
      <c r="C165" s="9">
        <v>5</v>
      </c>
      <c r="D165" s="4"/>
      <c r="E165" s="9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6">
      <c r="A166" s="102" t="s">
        <v>429</v>
      </c>
      <c r="B166" s="8" t="s">
        <v>456</v>
      </c>
      <c r="C166" s="9">
        <v>7</v>
      </c>
      <c r="D166" s="4"/>
      <c r="E166" s="9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6">
      <c r="A167" s="102" t="s">
        <v>430</v>
      </c>
      <c r="B167" s="8" t="s">
        <v>456</v>
      </c>
      <c r="C167" s="9">
        <v>7</v>
      </c>
      <c r="D167" s="4"/>
      <c r="E167" s="9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6">
      <c r="A168" s="102" t="s">
        <v>431</v>
      </c>
      <c r="B168" s="8" t="s">
        <v>47</v>
      </c>
      <c r="C168" s="9">
        <v>17</v>
      </c>
      <c r="D168" s="4"/>
      <c r="E168" s="9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6">
      <c r="A169" s="102" t="s">
        <v>432</v>
      </c>
      <c r="B169" s="8" t="s">
        <v>49</v>
      </c>
      <c r="C169" s="9">
        <v>18</v>
      </c>
      <c r="D169" s="4"/>
      <c r="E169" s="9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6">
      <c r="A170" s="102" t="s">
        <v>433</v>
      </c>
      <c r="B170" s="97" t="s">
        <v>5</v>
      </c>
      <c r="C170" s="9">
        <v>28</v>
      </c>
      <c r="D170" s="4"/>
      <c r="E170" s="9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6">
      <c r="A171" s="102" t="s">
        <v>434</v>
      </c>
      <c r="B171" s="97" t="s">
        <v>5</v>
      </c>
      <c r="C171" s="9">
        <v>28</v>
      </c>
      <c r="D171" s="4"/>
      <c r="E171" s="9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6">
      <c r="A172" s="102" t="s">
        <v>435</v>
      </c>
      <c r="B172" s="97" t="s">
        <v>5</v>
      </c>
      <c r="C172" s="9">
        <v>28</v>
      </c>
      <c r="D172" s="4"/>
      <c r="E172" s="9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6">
      <c r="A173" s="104" t="s">
        <v>440</v>
      </c>
      <c r="B173" s="97" t="s">
        <v>5</v>
      </c>
      <c r="C173" s="9">
        <v>28</v>
      </c>
      <c r="D173" s="4"/>
      <c r="E173" s="9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6">
      <c r="A174" s="104" t="s">
        <v>441</v>
      </c>
      <c r="B174" s="97" t="s">
        <v>5</v>
      </c>
      <c r="C174" s="9">
        <v>28</v>
      </c>
      <c r="D174" s="4"/>
      <c r="E174" s="9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6">
      <c r="A175" s="104" t="s">
        <v>442</v>
      </c>
      <c r="B175" s="8" t="s">
        <v>5</v>
      </c>
      <c r="C175" s="9">
        <v>28</v>
      </c>
      <c r="D175" s="4"/>
      <c r="E175" s="9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6">
      <c r="A176" s="104" t="s">
        <v>443</v>
      </c>
      <c r="B176" s="8" t="s">
        <v>5</v>
      </c>
      <c r="C176" s="9">
        <v>28</v>
      </c>
      <c r="D176" s="4"/>
      <c r="E176" s="9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6">
      <c r="A177" s="104" t="s">
        <v>444</v>
      </c>
      <c r="B177" s="8" t="s">
        <v>5</v>
      </c>
      <c r="C177" s="9">
        <v>28</v>
      </c>
      <c r="D177" s="4"/>
      <c r="E177" s="9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6">
      <c r="A178" s="104" t="s">
        <v>445</v>
      </c>
      <c r="B178" s="8" t="s">
        <v>5</v>
      </c>
      <c r="C178" s="9">
        <v>28</v>
      </c>
      <c r="D178" s="4"/>
      <c r="E178" s="9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6">
      <c r="A179" s="104" t="s">
        <v>446</v>
      </c>
      <c r="B179" s="8" t="s">
        <v>5</v>
      </c>
      <c r="C179" s="9">
        <v>28</v>
      </c>
      <c r="D179" s="4"/>
      <c r="E179" s="9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6">
      <c r="A180" s="104" t="s">
        <v>447</v>
      </c>
      <c r="B180" s="8" t="s">
        <v>5</v>
      </c>
      <c r="C180" s="9">
        <v>28</v>
      </c>
      <c r="D180" s="4"/>
      <c r="E180" s="9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6">
      <c r="A181" s="104" t="s">
        <v>448</v>
      </c>
      <c r="B181" s="8" t="s">
        <v>21</v>
      </c>
      <c r="C181" s="9">
        <v>29</v>
      </c>
      <c r="D181" s="4"/>
      <c r="E181" s="9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6">
      <c r="A182" s="94" t="s">
        <v>227</v>
      </c>
      <c r="B182" s="8" t="s">
        <v>15</v>
      </c>
      <c r="C182" s="9">
        <v>4</v>
      </c>
      <c r="D182" s="4"/>
      <c r="E182" s="9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6">
      <c r="A183" s="101" t="s">
        <v>454</v>
      </c>
      <c r="B183" s="8" t="s">
        <v>5</v>
      </c>
      <c r="C183" s="9">
        <v>28</v>
      </c>
      <c r="D183" s="4"/>
      <c r="E183" s="9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6">
      <c r="A184" s="101" t="s">
        <v>455</v>
      </c>
      <c r="B184" s="8" t="s">
        <v>32</v>
      </c>
      <c r="C184" s="9">
        <v>27</v>
      </c>
      <c r="D184" s="4"/>
      <c r="E184" s="9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6">
      <c r="A185" s="101" t="s">
        <v>453</v>
      </c>
      <c r="B185" s="8" t="s">
        <v>5</v>
      </c>
      <c r="C185" s="9">
        <v>28</v>
      </c>
      <c r="D185" s="4"/>
      <c r="E185" s="9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6">
      <c r="A186" s="101" t="s">
        <v>237</v>
      </c>
      <c r="B186" s="8" t="s">
        <v>27</v>
      </c>
      <c r="C186" s="9">
        <v>9</v>
      </c>
      <c r="D186" s="4"/>
      <c r="E186" s="9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6">
      <c r="A187" s="101" t="s">
        <v>452</v>
      </c>
      <c r="B187" s="8" t="s">
        <v>64</v>
      </c>
      <c r="C187" s="9">
        <v>20</v>
      </c>
      <c r="D187" s="4"/>
      <c r="E187" s="9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6">
      <c r="C188" s="4"/>
      <c r="D188" s="4"/>
      <c r="E188" s="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6">
      <c r="C189" s="4"/>
      <c r="D189" s="4"/>
      <c r="E189" s="9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6">
      <c r="C190" s="4"/>
      <c r="D190" s="4"/>
      <c r="E190" s="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6">
      <c r="C191" s="4"/>
      <c r="D191" s="4"/>
      <c r="E191" s="9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6">
      <c r="C192" s="4"/>
      <c r="D192" s="4"/>
      <c r="E192" s="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3:26" ht="16">
      <c r="C193" s="4"/>
      <c r="D193" s="4"/>
      <c r="E193" s="9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3:26" ht="16">
      <c r="C194" s="4"/>
      <c r="D194" s="4"/>
      <c r="E194" s="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3:26" ht="16">
      <c r="C195" s="4"/>
      <c r="D195" s="4"/>
      <c r="E195" s="9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3:26" ht="16">
      <c r="C196" s="4"/>
      <c r="D196" s="4"/>
      <c r="E196" s="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3:26" ht="16">
      <c r="C197" s="4"/>
      <c r="D197" s="4"/>
      <c r="E197" s="9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3:26" ht="16">
      <c r="C198" s="4"/>
      <c r="D198" s="4"/>
      <c r="E198" s="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3:26" ht="16">
      <c r="C199" s="4"/>
      <c r="D199" s="4"/>
      <c r="E199" s="9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3:26" ht="16">
      <c r="C200" s="4"/>
      <c r="D200" s="4"/>
      <c r="E200" s="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3:26" ht="16">
      <c r="C201" s="4"/>
      <c r="D201" s="4"/>
      <c r="E201" s="9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3:26" ht="16">
      <c r="C202" s="4"/>
      <c r="D202" s="4"/>
      <c r="E202" s="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3:26" ht="16">
      <c r="C203" s="4"/>
      <c r="D203" s="4"/>
      <c r="E203" s="9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3:26" ht="16">
      <c r="C204" s="4"/>
      <c r="D204" s="4"/>
      <c r="E204" s="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3:26" ht="16">
      <c r="C205" s="4"/>
      <c r="D205" s="4"/>
      <c r="E205" s="9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3:26" ht="16">
      <c r="C206" s="4"/>
      <c r="D206" s="4"/>
      <c r="E206" s="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3:26" ht="16">
      <c r="C207" s="4"/>
      <c r="D207" s="4"/>
      <c r="E207" s="9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3:26" ht="16">
      <c r="C208" s="4"/>
      <c r="D208" s="4"/>
      <c r="E208" s="9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3:26" ht="16">
      <c r="C209" s="4"/>
      <c r="D209" s="4"/>
      <c r="E209" s="9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3:26" ht="16">
      <c r="C210" s="4"/>
      <c r="D210" s="4"/>
      <c r="E210" s="9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3:26" ht="16">
      <c r="C211" s="4"/>
      <c r="D211" s="4"/>
      <c r="E211" s="9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3:26" ht="16">
      <c r="C212" s="4"/>
      <c r="D212" s="4"/>
      <c r="E212" s="9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3:26" ht="16">
      <c r="C213" s="4"/>
      <c r="D213" s="4"/>
      <c r="E213" s="9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3:26" ht="16">
      <c r="C214" s="4"/>
      <c r="D214" s="4"/>
      <c r="E214" s="9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3:26" ht="16">
      <c r="C215" s="4"/>
      <c r="D215" s="4"/>
      <c r="E215" s="9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3:26" ht="16">
      <c r="C216" s="4"/>
      <c r="D216" s="4"/>
      <c r="E216" s="9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3:26" ht="16">
      <c r="C217" s="4"/>
      <c r="D217" s="4"/>
      <c r="E217" s="9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3:26" ht="16">
      <c r="C218" s="4"/>
      <c r="D218" s="4"/>
      <c r="E218" s="9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3:26" ht="16">
      <c r="C219" s="4"/>
      <c r="D219" s="4"/>
      <c r="E219" s="9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3:26" ht="16">
      <c r="C220" s="4"/>
      <c r="D220" s="4"/>
      <c r="E220" s="9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3:26" ht="16">
      <c r="C221" s="4"/>
      <c r="D221" s="4"/>
      <c r="E221" s="9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3:26" ht="16">
      <c r="C222" s="4"/>
      <c r="D222" s="4"/>
      <c r="E222" s="9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3:26" ht="16">
      <c r="C223" s="4"/>
      <c r="D223" s="4"/>
      <c r="E223" s="9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3:26" ht="16">
      <c r="C224" s="4"/>
      <c r="D224" s="4"/>
      <c r="E224" s="9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3:26" ht="16">
      <c r="C225" s="4"/>
      <c r="D225" s="4"/>
      <c r="E225" s="9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3:26" ht="16">
      <c r="C226" s="4"/>
      <c r="D226" s="4"/>
      <c r="E226" s="9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3:26" ht="16">
      <c r="C227" s="4"/>
      <c r="D227" s="4"/>
      <c r="E227" s="9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3:26" ht="16">
      <c r="C228" s="4"/>
      <c r="D228" s="4"/>
      <c r="E228" s="9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3:26" ht="16">
      <c r="C229" s="4"/>
      <c r="D229" s="4"/>
      <c r="E229" s="9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3:26" ht="16">
      <c r="C230" s="4"/>
      <c r="D230" s="4"/>
      <c r="E230" s="9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3:26" ht="16">
      <c r="C231" s="4"/>
      <c r="D231" s="4"/>
      <c r="E231" s="9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3:26" ht="16">
      <c r="C232" s="4"/>
      <c r="D232" s="4"/>
      <c r="E232" s="9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3:26" ht="16">
      <c r="C233" s="4"/>
      <c r="D233" s="4"/>
      <c r="E233" s="9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3:26" ht="16">
      <c r="C234" s="4"/>
      <c r="D234" s="4"/>
      <c r="E234" s="9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3:26" ht="16">
      <c r="C235" s="4"/>
      <c r="D235" s="4"/>
      <c r="E235" s="9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3:26" ht="16">
      <c r="C236" s="4"/>
      <c r="D236" s="4"/>
      <c r="E236" s="9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3:26" ht="16">
      <c r="C237" s="4"/>
      <c r="D237" s="4"/>
      <c r="E237" s="9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3:26" ht="16">
      <c r="C238" s="4"/>
      <c r="D238" s="4"/>
      <c r="E238" s="9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3:26" ht="16">
      <c r="C239" s="4"/>
      <c r="D239" s="4"/>
      <c r="E239" s="9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3:26" ht="16">
      <c r="C240" s="4"/>
      <c r="D240" s="4"/>
      <c r="E240" s="9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3:26" ht="16">
      <c r="C241" s="4"/>
      <c r="D241" s="4"/>
      <c r="E241" s="9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3:26" ht="16">
      <c r="C242" s="4"/>
      <c r="D242" s="4"/>
      <c r="E242" s="9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3:26" ht="16">
      <c r="C243" s="4"/>
      <c r="D243" s="4"/>
      <c r="E243" s="9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3:26" ht="16">
      <c r="C244" s="4"/>
      <c r="D244" s="4"/>
      <c r="E244" s="9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3:26" ht="16">
      <c r="C245" s="4"/>
      <c r="D245" s="4"/>
      <c r="E245" s="9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3:26" ht="16">
      <c r="C246" s="4"/>
      <c r="D246" s="4"/>
      <c r="E246" s="9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3:26" ht="16">
      <c r="C247" s="4"/>
      <c r="D247" s="4"/>
      <c r="E247" s="9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3:26" ht="16">
      <c r="C248" s="4"/>
      <c r="D248" s="4"/>
      <c r="E248" s="9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3:26" ht="16">
      <c r="C249" s="4"/>
      <c r="D249" s="4"/>
      <c r="E249" s="9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3:26" ht="16">
      <c r="C250" s="4"/>
      <c r="D250" s="4"/>
      <c r="E250" s="9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3:26" ht="16">
      <c r="C251" s="4"/>
      <c r="D251" s="4"/>
      <c r="E251" s="9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3:26" ht="16">
      <c r="C252" s="4"/>
      <c r="D252" s="4"/>
      <c r="E252" s="9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3:26" ht="16">
      <c r="C253" s="4"/>
      <c r="D253" s="4"/>
      <c r="E253" s="9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3:26" ht="16">
      <c r="C254" s="4"/>
      <c r="D254" s="4"/>
      <c r="E254" s="9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3:26" ht="16">
      <c r="C255" s="4"/>
      <c r="D255" s="4"/>
      <c r="E255" s="9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3:26" ht="16">
      <c r="C256" s="4"/>
      <c r="D256" s="4"/>
      <c r="E256" s="9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3:26" ht="16">
      <c r="C257" s="4"/>
      <c r="D257" s="4"/>
      <c r="E257" s="9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3:26" ht="16">
      <c r="C258" s="4"/>
      <c r="D258" s="4"/>
      <c r="E258" s="9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3:26" ht="16">
      <c r="C259" s="4"/>
      <c r="D259" s="4"/>
      <c r="E259" s="9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3:26" ht="16">
      <c r="C260" s="4"/>
      <c r="D260" s="4"/>
      <c r="E260" s="9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3:26" ht="16">
      <c r="C261" s="4"/>
      <c r="D261" s="4"/>
      <c r="E261" s="9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3:26" ht="16">
      <c r="C262" s="4"/>
      <c r="D262" s="4"/>
      <c r="E262" s="9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3:26" ht="16">
      <c r="C263" s="4"/>
      <c r="D263" s="4"/>
      <c r="E263" s="9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3:26" ht="16">
      <c r="C264" s="4"/>
      <c r="D264" s="4"/>
      <c r="E264" s="9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3:26" ht="16">
      <c r="C265" s="4"/>
      <c r="D265" s="4"/>
      <c r="E265" s="9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3:26" ht="16">
      <c r="C266" s="4"/>
      <c r="D266" s="4"/>
      <c r="E266" s="9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3:26" ht="16">
      <c r="C267" s="4"/>
      <c r="D267" s="4"/>
      <c r="E267" s="9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3:26" ht="16">
      <c r="C268" s="4"/>
      <c r="D268" s="4"/>
      <c r="E268" s="9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3:26" ht="16">
      <c r="C269" s="4"/>
      <c r="D269" s="4"/>
      <c r="E269" s="9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3:26" ht="16">
      <c r="C270" s="4"/>
      <c r="D270" s="4"/>
      <c r="E270" s="9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3:26" ht="16">
      <c r="C271" s="4"/>
      <c r="D271" s="4"/>
      <c r="E271" s="9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3:26" ht="16">
      <c r="C272" s="4"/>
      <c r="D272" s="4"/>
      <c r="E272" s="9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3:26" ht="16">
      <c r="C273" s="4"/>
      <c r="D273" s="4"/>
      <c r="E273" s="9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3:26" ht="16">
      <c r="C274" s="4"/>
      <c r="D274" s="4"/>
      <c r="E274" s="9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3:26" ht="16">
      <c r="C275" s="4"/>
      <c r="D275" s="4"/>
      <c r="E275" s="9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3:26" ht="16">
      <c r="C276" s="4"/>
      <c r="D276" s="4"/>
      <c r="E276" s="9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3:26" ht="16">
      <c r="C277" s="4"/>
      <c r="D277" s="4"/>
      <c r="E277" s="9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3:26" ht="16">
      <c r="C278" s="4"/>
      <c r="D278" s="4"/>
      <c r="E278" s="9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3:26" ht="16">
      <c r="C279" s="4"/>
      <c r="D279" s="4"/>
      <c r="E279" s="9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3:26" ht="16">
      <c r="C280" s="4"/>
      <c r="D280" s="4"/>
      <c r="E280" s="9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3:26" ht="16">
      <c r="C281" s="4"/>
      <c r="D281" s="4"/>
      <c r="E281" s="9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3:26" ht="16">
      <c r="C282" s="4"/>
      <c r="D282" s="4"/>
      <c r="E282" s="9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3:26" ht="16">
      <c r="C283" s="4"/>
      <c r="D283" s="4"/>
      <c r="E283" s="9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3:26" ht="16">
      <c r="C284" s="4"/>
      <c r="D284" s="4"/>
      <c r="E284" s="9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3:26" ht="16">
      <c r="C285" s="4"/>
      <c r="D285" s="4"/>
      <c r="E285" s="9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3:26" ht="16">
      <c r="C286" s="4"/>
      <c r="D286" s="4"/>
      <c r="E286" s="9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3:26" ht="16">
      <c r="C287" s="4"/>
      <c r="D287" s="4"/>
      <c r="E287" s="9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3:26" ht="16">
      <c r="C288" s="4"/>
      <c r="D288" s="4"/>
      <c r="E288" s="9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3:26" ht="16">
      <c r="C289" s="4"/>
      <c r="D289" s="4"/>
      <c r="E289" s="9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3:26" ht="16">
      <c r="C290" s="4"/>
      <c r="D290" s="4"/>
      <c r="E290" s="9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3:26" ht="16">
      <c r="C291" s="4"/>
      <c r="D291" s="4"/>
      <c r="E291" s="9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3:26" ht="16">
      <c r="C292" s="4"/>
      <c r="D292" s="4"/>
      <c r="E292" s="9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3:26" ht="16">
      <c r="C293" s="4"/>
      <c r="D293" s="4"/>
      <c r="E293" s="9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3:26" ht="16">
      <c r="C294" s="4"/>
      <c r="D294" s="4"/>
      <c r="E294" s="9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3:26" ht="16">
      <c r="C295" s="4"/>
      <c r="D295" s="4"/>
      <c r="E295" s="9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3:26" ht="16">
      <c r="C296" s="4"/>
      <c r="D296" s="4"/>
      <c r="E296" s="9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3:26" ht="16">
      <c r="C297" s="4"/>
      <c r="D297" s="4"/>
      <c r="E297" s="9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3:26" ht="16">
      <c r="C298" s="4"/>
      <c r="D298" s="4"/>
      <c r="E298" s="9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3:26" ht="16">
      <c r="C299" s="4"/>
      <c r="D299" s="4"/>
      <c r="E299" s="9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3:26" ht="16">
      <c r="C300" s="4"/>
      <c r="D300" s="4"/>
      <c r="E300" s="9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3:26" ht="16">
      <c r="C301" s="4"/>
      <c r="D301" s="4"/>
      <c r="E301" s="9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3:26" ht="16">
      <c r="C302" s="4"/>
      <c r="D302" s="4"/>
      <c r="E302" s="9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3:26" ht="16">
      <c r="C303" s="4"/>
      <c r="D303" s="4"/>
      <c r="E303" s="9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3:26" ht="16">
      <c r="C304" s="4"/>
      <c r="D304" s="4"/>
      <c r="E304" s="9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3:26" ht="16">
      <c r="C305" s="4"/>
      <c r="D305" s="4"/>
      <c r="E305" s="9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3:26" ht="16">
      <c r="C306" s="4"/>
      <c r="D306" s="4"/>
      <c r="E306" s="9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3:26" ht="16">
      <c r="C307" s="4"/>
      <c r="D307" s="4"/>
      <c r="E307" s="9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3:26" ht="16">
      <c r="C308" s="4"/>
      <c r="D308" s="4"/>
      <c r="E308" s="9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3:26" ht="16">
      <c r="C309" s="4"/>
      <c r="D309" s="4"/>
      <c r="E309" s="9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3:26" ht="16">
      <c r="C310" s="4"/>
      <c r="D310" s="4"/>
      <c r="E310" s="9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3:26" ht="16">
      <c r="C311" s="4"/>
      <c r="D311" s="4"/>
      <c r="E311" s="9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3:26" ht="16">
      <c r="C312" s="4"/>
      <c r="D312" s="4"/>
      <c r="E312" s="9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3:26" ht="16">
      <c r="C313" s="4"/>
      <c r="D313" s="4"/>
      <c r="E313" s="9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3:26" ht="16">
      <c r="C314" s="4"/>
      <c r="D314" s="4"/>
      <c r="E314" s="9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3:26" ht="16">
      <c r="C315" s="4"/>
      <c r="D315" s="4"/>
      <c r="E315" s="9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3:26" ht="16">
      <c r="C316" s="4"/>
      <c r="D316" s="4"/>
      <c r="E316" s="9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3:26" ht="16">
      <c r="C317" s="4"/>
      <c r="D317" s="4"/>
      <c r="E317" s="9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3:26" ht="16">
      <c r="C318" s="4"/>
      <c r="D318" s="4"/>
      <c r="E318" s="9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3:26" ht="16">
      <c r="C319" s="4"/>
      <c r="D319" s="4"/>
      <c r="E319" s="9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3:26" ht="16">
      <c r="C320" s="4"/>
      <c r="D320" s="4"/>
      <c r="E320" s="9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3:26" ht="16">
      <c r="C321" s="4"/>
      <c r="D321" s="4"/>
      <c r="E321" s="9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3:26" ht="16">
      <c r="C322" s="4"/>
      <c r="D322" s="4"/>
      <c r="E322" s="9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3:26" ht="16">
      <c r="C323" s="4"/>
      <c r="D323" s="4"/>
      <c r="E323" s="9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3:26" ht="16">
      <c r="C324" s="4"/>
      <c r="D324" s="4"/>
      <c r="E324" s="9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3:26" ht="16">
      <c r="C325" s="4"/>
      <c r="D325" s="4"/>
      <c r="E325" s="9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3:26" ht="16">
      <c r="C326" s="4"/>
      <c r="D326" s="4"/>
      <c r="E326" s="9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3:26" ht="16">
      <c r="C327" s="4"/>
      <c r="D327" s="4"/>
      <c r="E327" s="9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3:26" ht="16">
      <c r="C328" s="4"/>
      <c r="D328" s="4"/>
      <c r="E328" s="9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3:26" ht="16">
      <c r="C329" s="4"/>
      <c r="D329" s="4"/>
      <c r="E329" s="9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3:26" ht="16">
      <c r="C330" s="4"/>
      <c r="D330" s="4"/>
      <c r="E330" s="9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3:26" ht="16">
      <c r="C331" s="4"/>
      <c r="D331" s="4"/>
      <c r="E331" s="9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3:26" ht="16">
      <c r="C332" s="4"/>
      <c r="D332" s="4"/>
      <c r="E332" s="9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3:26" ht="16">
      <c r="C333" s="4"/>
      <c r="D333" s="4"/>
      <c r="E333" s="9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3:26" ht="16">
      <c r="C334" s="4"/>
      <c r="D334" s="4"/>
      <c r="E334" s="9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3:26" ht="16">
      <c r="C335" s="4"/>
      <c r="D335" s="4"/>
      <c r="E335" s="9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3:26" ht="16">
      <c r="C336" s="4"/>
      <c r="D336" s="4"/>
      <c r="E336" s="9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3:26" ht="16">
      <c r="C337" s="4"/>
      <c r="D337" s="4"/>
      <c r="E337" s="9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3:26" ht="16">
      <c r="C338" s="4"/>
      <c r="D338" s="4"/>
      <c r="E338" s="9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3:26" ht="16">
      <c r="C339" s="4"/>
      <c r="D339" s="4"/>
      <c r="E339" s="9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3:26" ht="16">
      <c r="C340" s="4"/>
      <c r="D340" s="4"/>
      <c r="E340" s="9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3:26" ht="16">
      <c r="C341" s="4"/>
      <c r="D341" s="4"/>
      <c r="E341" s="9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3:26" ht="16">
      <c r="C342" s="4"/>
      <c r="D342" s="4"/>
      <c r="E342" s="9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3:26" ht="16">
      <c r="C343" s="4"/>
      <c r="D343" s="4"/>
      <c r="E343" s="9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3:26" ht="16">
      <c r="C344" s="4"/>
      <c r="D344" s="4"/>
      <c r="E344" s="9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3:26" ht="16">
      <c r="C345" s="4"/>
      <c r="D345" s="4"/>
      <c r="E345" s="9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3:26" ht="16">
      <c r="C346" s="4"/>
      <c r="D346" s="4"/>
      <c r="E346" s="9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3:26" ht="16">
      <c r="C347" s="4"/>
      <c r="D347" s="4"/>
      <c r="E347" s="9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3:26" ht="16">
      <c r="C348" s="4"/>
      <c r="D348" s="4"/>
      <c r="E348" s="9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3:26" ht="16">
      <c r="C349" s="4"/>
      <c r="D349" s="4"/>
      <c r="E349" s="9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3:26" ht="16">
      <c r="C350" s="4"/>
      <c r="D350" s="4"/>
      <c r="E350" s="9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3:26" ht="16">
      <c r="C351" s="4"/>
      <c r="D351" s="4"/>
      <c r="E351" s="9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3:26" ht="16">
      <c r="C352" s="4"/>
      <c r="D352" s="4"/>
      <c r="E352" s="9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3:26" ht="16">
      <c r="C353" s="4"/>
      <c r="D353" s="4"/>
      <c r="E353" s="9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3:26" ht="16">
      <c r="C354" s="4"/>
      <c r="D354" s="4"/>
      <c r="E354" s="9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3:26" ht="16">
      <c r="C355" s="4"/>
      <c r="D355" s="4"/>
      <c r="E355" s="9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3:26" ht="16">
      <c r="C356" s="4"/>
      <c r="D356" s="4"/>
      <c r="E356" s="9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3:26" ht="16">
      <c r="C357" s="4"/>
      <c r="D357" s="4"/>
      <c r="E357" s="9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3:26" ht="16">
      <c r="C358" s="4"/>
      <c r="D358" s="4"/>
      <c r="E358" s="9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3:26" ht="16">
      <c r="C359" s="4"/>
      <c r="D359" s="4"/>
      <c r="E359" s="9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3:26" ht="16">
      <c r="C360" s="4"/>
      <c r="D360" s="4"/>
      <c r="E360" s="9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3:26" ht="16">
      <c r="C361" s="4"/>
      <c r="D361" s="4"/>
      <c r="E361" s="9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3:26" ht="16">
      <c r="C362" s="4"/>
      <c r="D362" s="4"/>
      <c r="E362" s="9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3:26" ht="16">
      <c r="C363" s="4"/>
      <c r="D363" s="4"/>
      <c r="E363" s="9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3:26" ht="16">
      <c r="C364" s="4"/>
      <c r="D364" s="4"/>
      <c r="E364" s="9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3:26" ht="16">
      <c r="C365" s="4"/>
      <c r="D365" s="4"/>
      <c r="E365" s="9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3:26" ht="16">
      <c r="C366" s="4"/>
      <c r="D366" s="4"/>
      <c r="E366" s="9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3:26" ht="16">
      <c r="C367" s="4"/>
      <c r="D367" s="4"/>
      <c r="E367" s="9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3:26" ht="16">
      <c r="C368" s="4"/>
      <c r="D368" s="4"/>
      <c r="E368" s="9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3:26" ht="16">
      <c r="C369" s="4"/>
      <c r="D369" s="4"/>
      <c r="E369" s="9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3:26" ht="16">
      <c r="C370" s="4"/>
      <c r="D370" s="4"/>
      <c r="E370" s="9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3:26" ht="16">
      <c r="C371" s="4"/>
      <c r="D371" s="4"/>
      <c r="E371" s="9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3:26" ht="16">
      <c r="C372" s="4"/>
      <c r="D372" s="4"/>
      <c r="E372" s="9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3:26" ht="16">
      <c r="C373" s="4"/>
      <c r="D373" s="4"/>
      <c r="E373" s="9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3:26" ht="16">
      <c r="C374" s="4"/>
      <c r="D374" s="4"/>
      <c r="E374" s="9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3:26" ht="16">
      <c r="C375" s="4"/>
      <c r="D375" s="4"/>
      <c r="E375" s="9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3:26" ht="16">
      <c r="C376" s="4"/>
      <c r="D376" s="4"/>
      <c r="E376" s="9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3:26" ht="16">
      <c r="C377" s="4"/>
      <c r="D377" s="4"/>
      <c r="E377" s="9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3:26" ht="16">
      <c r="C378" s="4"/>
      <c r="D378" s="4"/>
      <c r="E378" s="9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3:26" ht="16">
      <c r="C379" s="4"/>
      <c r="D379" s="4"/>
      <c r="E379" s="9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3:26" ht="16">
      <c r="C380" s="4"/>
      <c r="D380" s="4"/>
      <c r="E380" s="9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3:26" ht="16">
      <c r="C381" s="4"/>
      <c r="D381" s="4"/>
      <c r="E381" s="9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3:26" ht="16">
      <c r="C382" s="4"/>
      <c r="D382" s="4"/>
      <c r="E382" s="9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3:26" ht="16">
      <c r="C383" s="4"/>
      <c r="D383" s="4"/>
      <c r="E383" s="9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3:26" ht="16">
      <c r="C384" s="4"/>
      <c r="D384" s="4"/>
      <c r="E384" s="9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3:26" ht="16">
      <c r="C385" s="4"/>
      <c r="D385" s="4"/>
      <c r="E385" s="9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3:26" ht="16">
      <c r="C386" s="4"/>
      <c r="D386" s="4"/>
      <c r="E386" s="9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3:26" ht="16">
      <c r="C387" s="4"/>
      <c r="D387" s="4"/>
      <c r="E387" s="9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3:26" ht="16">
      <c r="C388" s="4"/>
      <c r="D388" s="4"/>
      <c r="E388" s="9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3:26" ht="16">
      <c r="C389" s="4"/>
      <c r="D389" s="4"/>
      <c r="E389" s="9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3:26" ht="16">
      <c r="C390" s="4"/>
      <c r="D390" s="4"/>
      <c r="E390" s="9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3:26" ht="16">
      <c r="C391" s="4"/>
      <c r="D391" s="4"/>
      <c r="E391" s="9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3:26" ht="16">
      <c r="C392" s="4"/>
      <c r="D392" s="4"/>
      <c r="E392" s="9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3:26" ht="16">
      <c r="C393" s="4"/>
      <c r="D393" s="4"/>
      <c r="E393" s="9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3:26" ht="16">
      <c r="C394" s="4"/>
      <c r="D394" s="4"/>
      <c r="E394" s="9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3:26" ht="16">
      <c r="C395" s="4"/>
      <c r="D395" s="4"/>
      <c r="E395" s="9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3:26" ht="16">
      <c r="C396" s="4"/>
      <c r="D396" s="4"/>
      <c r="E396" s="9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3:26" ht="16">
      <c r="C397" s="4"/>
      <c r="D397" s="4"/>
      <c r="E397" s="9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3:26" ht="16">
      <c r="C398" s="4"/>
      <c r="D398" s="4"/>
      <c r="E398" s="9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3:26" ht="16">
      <c r="C399" s="4"/>
      <c r="D399" s="4"/>
      <c r="E399" s="9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3:26" ht="16">
      <c r="C400" s="4"/>
      <c r="D400" s="4"/>
      <c r="E400" s="9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3:26" ht="16">
      <c r="C401" s="4"/>
      <c r="D401" s="4"/>
      <c r="E401" s="9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3:26" ht="16">
      <c r="C402" s="4"/>
      <c r="D402" s="4"/>
      <c r="E402" s="9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3:26" ht="16">
      <c r="C403" s="4"/>
      <c r="D403" s="4"/>
      <c r="E403" s="9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3:26" ht="16">
      <c r="C404" s="4"/>
      <c r="D404" s="4"/>
      <c r="E404" s="9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3:26" ht="16">
      <c r="C405" s="4"/>
      <c r="D405" s="4"/>
      <c r="E405" s="9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3:26" ht="16">
      <c r="C406" s="4"/>
      <c r="D406" s="4"/>
      <c r="E406" s="9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3:26" ht="16">
      <c r="C407" s="4"/>
      <c r="D407" s="4"/>
      <c r="E407" s="9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3:26" ht="16">
      <c r="C408" s="4"/>
      <c r="D408" s="4"/>
      <c r="E408" s="9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3:26" ht="16">
      <c r="C409" s="4"/>
      <c r="D409" s="4"/>
      <c r="E409" s="9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3:26" ht="16">
      <c r="C410" s="4"/>
      <c r="D410" s="4"/>
      <c r="E410" s="9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3:26" ht="16">
      <c r="C411" s="4"/>
      <c r="D411" s="4"/>
      <c r="E411" s="9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3:26" ht="16">
      <c r="C412" s="4"/>
      <c r="D412" s="4"/>
      <c r="E412" s="9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3:26" ht="16">
      <c r="C413" s="4"/>
      <c r="D413" s="4"/>
      <c r="E413" s="9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3:26" ht="16">
      <c r="C414" s="4"/>
      <c r="D414" s="4"/>
      <c r="E414" s="9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3:26" ht="16">
      <c r="C415" s="4"/>
      <c r="D415" s="4"/>
      <c r="E415" s="9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3:26" ht="16">
      <c r="C416" s="4"/>
      <c r="D416" s="4"/>
      <c r="E416" s="9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3:26" ht="16">
      <c r="C417" s="4"/>
      <c r="D417" s="4"/>
      <c r="E417" s="9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3:26" ht="16">
      <c r="C418" s="4"/>
      <c r="D418" s="4"/>
      <c r="E418" s="9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3:26" ht="16">
      <c r="C419" s="4"/>
      <c r="D419" s="4"/>
      <c r="E419" s="9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3:26" ht="16">
      <c r="C420" s="4"/>
      <c r="D420" s="4"/>
      <c r="E420" s="9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3:26" ht="16">
      <c r="C421" s="4"/>
      <c r="D421" s="4"/>
      <c r="E421" s="9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3:26" ht="16">
      <c r="C422" s="4"/>
      <c r="D422" s="4"/>
      <c r="E422" s="9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3:26" ht="16">
      <c r="C423" s="4"/>
      <c r="D423" s="4"/>
      <c r="E423" s="9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3:26" ht="16">
      <c r="C424" s="4"/>
      <c r="D424" s="4"/>
      <c r="E424" s="9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3:26" ht="16">
      <c r="C425" s="4"/>
      <c r="D425" s="4"/>
      <c r="E425" s="9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3:26" ht="16">
      <c r="C426" s="4"/>
      <c r="D426" s="4"/>
      <c r="E426" s="9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3:26" ht="16">
      <c r="C427" s="4"/>
      <c r="D427" s="4"/>
      <c r="E427" s="9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3:26" ht="16">
      <c r="C428" s="4"/>
      <c r="D428" s="4"/>
      <c r="E428" s="9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3:26" ht="16">
      <c r="C429" s="4"/>
      <c r="D429" s="4"/>
      <c r="E429" s="9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3:26" ht="16">
      <c r="C430" s="4"/>
      <c r="D430" s="4"/>
      <c r="E430" s="9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3:26" ht="16">
      <c r="C431" s="4"/>
      <c r="D431" s="4"/>
      <c r="E431" s="9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3:26" ht="16">
      <c r="C432" s="4"/>
      <c r="D432" s="4"/>
      <c r="E432" s="9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3:26" ht="16">
      <c r="C433" s="4"/>
      <c r="D433" s="4"/>
      <c r="E433" s="9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3:26" ht="16">
      <c r="C434" s="4"/>
      <c r="D434" s="4"/>
      <c r="E434" s="9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3:26" ht="16">
      <c r="C435" s="4"/>
      <c r="D435" s="4"/>
      <c r="E435" s="9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3:26" ht="16">
      <c r="C436" s="4"/>
      <c r="D436" s="4"/>
      <c r="E436" s="9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3:26" ht="16">
      <c r="C437" s="4"/>
      <c r="D437" s="4"/>
      <c r="E437" s="9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3:26" ht="16">
      <c r="C438" s="4"/>
      <c r="D438" s="4"/>
      <c r="E438" s="9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3:26" ht="16">
      <c r="C439" s="4"/>
      <c r="D439" s="4"/>
      <c r="E439" s="9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3:26" ht="16">
      <c r="C440" s="4"/>
      <c r="D440" s="4"/>
      <c r="E440" s="9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3:26" ht="16">
      <c r="C441" s="4"/>
      <c r="D441" s="4"/>
      <c r="E441" s="9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3:26" ht="16">
      <c r="C442" s="4"/>
      <c r="D442" s="4"/>
      <c r="E442" s="9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3:26" ht="16">
      <c r="C443" s="4"/>
      <c r="D443" s="4"/>
      <c r="E443" s="9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3:26" ht="16">
      <c r="C444" s="4"/>
      <c r="D444" s="4"/>
      <c r="E444" s="9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3:26" ht="16">
      <c r="C445" s="4"/>
      <c r="D445" s="4"/>
      <c r="E445" s="9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3:26" ht="16">
      <c r="C446" s="4"/>
      <c r="D446" s="4"/>
      <c r="E446" s="9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3:26" ht="16">
      <c r="C447" s="4"/>
      <c r="D447" s="4"/>
      <c r="E447" s="9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3:26" ht="16">
      <c r="C448" s="4"/>
      <c r="D448" s="4"/>
      <c r="E448" s="9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3:26" ht="16">
      <c r="C449" s="4"/>
      <c r="D449" s="4"/>
      <c r="E449" s="9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3:26" ht="16">
      <c r="C450" s="4"/>
      <c r="D450" s="4"/>
      <c r="E450" s="9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3:26" ht="16">
      <c r="C451" s="4"/>
      <c r="D451" s="4"/>
      <c r="E451" s="9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3:26" ht="16">
      <c r="C452" s="4"/>
      <c r="D452" s="4"/>
      <c r="E452" s="9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3:26" ht="16">
      <c r="C453" s="4"/>
      <c r="D453" s="4"/>
      <c r="E453" s="9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3:26" ht="16">
      <c r="C454" s="4"/>
      <c r="D454" s="4"/>
      <c r="E454" s="9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3:26" ht="16">
      <c r="C455" s="4"/>
      <c r="D455" s="4"/>
      <c r="E455" s="9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3:26" ht="16">
      <c r="C456" s="4"/>
      <c r="D456" s="4"/>
      <c r="E456" s="9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3:26" ht="16">
      <c r="C457" s="4"/>
      <c r="D457" s="4"/>
      <c r="E457" s="9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3:26" ht="16">
      <c r="C458" s="4"/>
      <c r="D458" s="4"/>
      <c r="E458" s="9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3:26" ht="16">
      <c r="C459" s="4"/>
      <c r="D459" s="4"/>
      <c r="E459" s="9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3:26" ht="16">
      <c r="C460" s="4"/>
      <c r="D460" s="4"/>
      <c r="E460" s="9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3:26" ht="16">
      <c r="C461" s="4"/>
      <c r="D461" s="4"/>
      <c r="E461" s="9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3:26" ht="16">
      <c r="C462" s="4"/>
      <c r="D462" s="4"/>
      <c r="E462" s="9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3:26" ht="16">
      <c r="C463" s="4"/>
      <c r="D463" s="4"/>
      <c r="E463" s="9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3:26" ht="16">
      <c r="C464" s="4"/>
      <c r="D464" s="4"/>
      <c r="E464" s="9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3:26" ht="16">
      <c r="C465" s="4"/>
      <c r="D465" s="4"/>
      <c r="E465" s="9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3:26" ht="16">
      <c r="C466" s="4"/>
      <c r="D466" s="4"/>
      <c r="E466" s="9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3:26" ht="16">
      <c r="C467" s="4"/>
      <c r="D467" s="4"/>
      <c r="E467" s="9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3:26" ht="16">
      <c r="C468" s="4"/>
      <c r="D468" s="4"/>
      <c r="E468" s="9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3:26" ht="16">
      <c r="C469" s="4"/>
      <c r="D469" s="4"/>
      <c r="E469" s="9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3:26" ht="16">
      <c r="C470" s="4"/>
      <c r="D470" s="4"/>
      <c r="E470" s="9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3:26" ht="16">
      <c r="C471" s="4"/>
      <c r="D471" s="4"/>
      <c r="E471" s="9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3:26" ht="16">
      <c r="C472" s="4"/>
      <c r="D472" s="4"/>
      <c r="E472" s="9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3:26" ht="16">
      <c r="C473" s="4"/>
      <c r="D473" s="4"/>
      <c r="E473" s="9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3:26" ht="16">
      <c r="C474" s="4"/>
      <c r="D474" s="4"/>
      <c r="E474" s="9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3:26" ht="16">
      <c r="C475" s="4"/>
      <c r="D475" s="4"/>
      <c r="E475" s="9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3:26" ht="16">
      <c r="C476" s="4"/>
      <c r="D476" s="4"/>
      <c r="E476" s="9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3:26" ht="16">
      <c r="C477" s="4"/>
      <c r="D477" s="4"/>
      <c r="E477" s="9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3:26" ht="16">
      <c r="C478" s="4"/>
      <c r="D478" s="4"/>
      <c r="E478" s="9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3:26" ht="16">
      <c r="C479" s="4"/>
      <c r="D479" s="4"/>
      <c r="E479" s="9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3:26" ht="16">
      <c r="C480" s="4"/>
      <c r="D480" s="4"/>
      <c r="E480" s="9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3:26" ht="16">
      <c r="C481" s="4"/>
      <c r="D481" s="4"/>
      <c r="E481" s="9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3:26" ht="16">
      <c r="C482" s="4"/>
      <c r="D482" s="4"/>
      <c r="E482" s="9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3:26" ht="16">
      <c r="C483" s="4"/>
      <c r="D483" s="4"/>
      <c r="E483" s="9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3:26" ht="16">
      <c r="C484" s="4"/>
      <c r="D484" s="4"/>
      <c r="E484" s="9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3:26" ht="16">
      <c r="C485" s="4"/>
      <c r="D485" s="4"/>
      <c r="E485" s="9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3:26" ht="16">
      <c r="C486" s="4"/>
      <c r="D486" s="4"/>
      <c r="E486" s="9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3:26" ht="16">
      <c r="C487" s="4"/>
      <c r="D487" s="4"/>
      <c r="E487" s="9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3:26" ht="16">
      <c r="C488" s="4"/>
      <c r="D488" s="4"/>
      <c r="E488" s="9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3:26" ht="16">
      <c r="C489" s="4"/>
      <c r="D489" s="4"/>
      <c r="E489" s="9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3:26" ht="16">
      <c r="C490" s="4"/>
      <c r="D490" s="4"/>
      <c r="E490" s="9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3:26" ht="16">
      <c r="C491" s="4"/>
      <c r="D491" s="4"/>
      <c r="E491" s="9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3:26" ht="16">
      <c r="C492" s="4"/>
      <c r="D492" s="4"/>
      <c r="E492" s="9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3:26" ht="16">
      <c r="C493" s="4"/>
      <c r="D493" s="4"/>
      <c r="E493" s="9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3:26" ht="16">
      <c r="C494" s="4"/>
      <c r="D494" s="4"/>
      <c r="E494" s="9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3:26" ht="16">
      <c r="C495" s="4"/>
      <c r="D495" s="4"/>
      <c r="E495" s="9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3:26" ht="16">
      <c r="C496" s="4"/>
      <c r="D496" s="4"/>
      <c r="E496" s="9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3:26" ht="16">
      <c r="C497" s="4"/>
      <c r="D497" s="4"/>
      <c r="E497" s="9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3:26" ht="16">
      <c r="C498" s="4"/>
      <c r="D498" s="4"/>
      <c r="E498" s="9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3:26" ht="16">
      <c r="C499" s="4"/>
      <c r="D499" s="4"/>
      <c r="E499" s="9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3:26" ht="16">
      <c r="C500" s="4"/>
      <c r="D500" s="4"/>
      <c r="E500" s="9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3:26" ht="16">
      <c r="C501" s="4"/>
      <c r="D501" s="4"/>
      <c r="E501" s="9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3:26" ht="16">
      <c r="C502" s="4"/>
      <c r="D502" s="4"/>
      <c r="E502" s="9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3:26" ht="16">
      <c r="C503" s="4"/>
      <c r="D503" s="4"/>
      <c r="E503" s="9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3:26" ht="16">
      <c r="C504" s="4"/>
      <c r="D504" s="4"/>
      <c r="E504" s="9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3:26" ht="16">
      <c r="C505" s="4"/>
      <c r="D505" s="4"/>
      <c r="E505" s="9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3:26" ht="16">
      <c r="C506" s="4"/>
      <c r="D506" s="4"/>
      <c r="E506" s="9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3:26" ht="16">
      <c r="C507" s="4"/>
      <c r="D507" s="4"/>
      <c r="E507" s="9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3:26" ht="16">
      <c r="C508" s="4"/>
      <c r="D508" s="4"/>
      <c r="E508" s="9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3:26" ht="16">
      <c r="C509" s="4"/>
      <c r="D509" s="4"/>
      <c r="E509" s="9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3:26" ht="16">
      <c r="C510" s="4"/>
      <c r="D510" s="4"/>
      <c r="E510" s="9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3:26" ht="16">
      <c r="C511" s="4"/>
      <c r="D511" s="4"/>
      <c r="E511" s="9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3:26" ht="16">
      <c r="C512" s="4"/>
      <c r="D512" s="4"/>
      <c r="E512" s="9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3:26" ht="16">
      <c r="C513" s="4"/>
      <c r="D513" s="4"/>
      <c r="E513" s="9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3:26" ht="16">
      <c r="C514" s="4"/>
      <c r="D514" s="4"/>
      <c r="E514" s="9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3:26" ht="16">
      <c r="C515" s="4"/>
      <c r="D515" s="4"/>
      <c r="E515" s="9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3:26" ht="16">
      <c r="C516" s="4"/>
      <c r="D516" s="4"/>
      <c r="E516" s="9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3:26" ht="16">
      <c r="C517" s="4"/>
      <c r="D517" s="4"/>
      <c r="E517" s="9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3:26" ht="16">
      <c r="C518" s="4"/>
      <c r="D518" s="4"/>
      <c r="E518" s="9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3:26" ht="16">
      <c r="C519" s="4"/>
      <c r="D519" s="4"/>
      <c r="E519" s="9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3:26" ht="16">
      <c r="C520" s="4"/>
      <c r="D520" s="4"/>
      <c r="E520" s="9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3:26" ht="16">
      <c r="C521" s="4"/>
      <c r="D521" s="4"/>
      <c r="E521" s="9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3:26" ht="16">
      <c r="C522" s="4"/>
      <c r="D522" s="4"/>
      <c r="E522" s="9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3:26" ht="16">
      <c r="C523" s="4"/>
      <c r="D523" s="4"/>
      <c r="E523" s="9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3:26" ht="16">
      <c r="C524" s="4"/>
      <c r="D524" s="4"/>
      <c r="E524" s="9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3:26" ht="16">
      <c r="C525" s="4"/>
      <c r="D525" s="4"/>
      <c r="E525" s="9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3:26" ht="16">
      <c r="C526" s="4"/>
      <c r="D526" s="4"/>
      <c r="E526" s="9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3:26" ht="16">
      <c r="C527" s="4"/>
      <c r="D527" s="4"/>
      <c r="E527" s="9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3:26" ht="16">
      <c r="C528" s="4"/>
      <c r="D528" s="4"/>
      <c r="E528" s="9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3:26" ht="16">
      <c r="C529" s="4"/>
      <c r="D529" s="4"/>
      <c r="E529" s="9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3:26" ht="16">
      <c r="C530" s="4"/>
      <c r="D530" s="4"/>
      <c r="E530" s="9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3:26" ht="16">
      <c r="C531" s="4"/>
      <c r="D531" s="4"/>
      <c r="E531" s="9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3:26" ht="16">
      <c r="C532" s="4"/>
      <c r="D532" s="4"/>
      <c r="E532" s="9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3:26" ht="16">
      <c r="C533" s="4"/>
      <c r="D533" s="4"/>
      <c r="E533" s="9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3:26" ht="16">
      <c r="C534" s="4"/>
      <c r="D534" s="4"/>
      <c r="E534" s="9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3:26" ht="16">
      <c r="C535" s="4"/>
      <c r="D535" s="4"/>
      <c r="E535" s="9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3:26" ht="16">
      <c r="C536" s="4"/>
      <c r="D536" s="4"/>
      <c r="E536" s="9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3:26" ht="16">
      <c r="C537" s="4"/>
      <c r="D537" s="4"/>
      <c r="E537" s="9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3:26" ht="16">
      <c r="C538" s="4"/>
      <c r="D538" s="4"/>
      <c r="E538" s="9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3:26" ht="16">
      <c r="C539" s="4"/>
      <c r="D539" s="4"/>
      <c r="E539" s="9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3:26" ht="16">
      <c r="C540" s="4"/>
      <c r="D540" s="4"/>
      <c r="E540" s="9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3:26" ht="16">
      <c r="C541" s="4"/>
      <c r="D541" s="4"/>
      <c r="E541" s="9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3:26" ht="16">
      <c r="C542" s="4"/>
      <c r="D542" s="4"/>
      <c r="E542" s="9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3:26" ht="16">
      <c r="C543" s="4"/>
      <c r="D543" s="4"/>
      <c r="E543" s="9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3:26" ht="16">
      <c r="C544" s="4"/>
      <c r="D544" s="4"/>
      <c r="E544" s="9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3:26" ht="16">
      <c r="C545" s="4"/>
      <c r="D545" s="4"/>
      <c r="E545" s="9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3:26" ht="16">
      <c r="C546" s="4"/>
      <c r="D546" s="4"/>
      <c r="E546" s="9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3:26" ht="16">
      <c r="C547" s="4"/>
      <c r="D547" s="4"/>
      <c r="E547" s="9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3:26" ht="16">
      <c r="C548" s="4"/>
      <c r="D548" s="4"/>
      <c r="E548" s="9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3:26" ht="16">
      <c r="C549" s="4"/>
      <c r="D549" s="4"/>
      <c r="E549" s="9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3:26" ht="16">
      <c r="C550" s="4"/>
      <c r="D550" s="4"/>
      <c r="E550" s="9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3:26" ht="16">
      <c r="C551" s="4"/>
      <c r="D551" s="4"/>
      <c r="E551" s="9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3:26" ht="16">
      <c r="C552" s="4"/>
      <c r="D552" s="4"/>
      <c r="E552" s="9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3:26" ht="16">
      <c r="C553" s="4"/>
      <c r="D553" s="4"/>
      <c r="E553" s="9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3:26" ht="16">
      <c r="C554" s="4"/>
      <c r="D554" s="4"/>
      <c r="E554" s="9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3:26" ht="16">
      <c r="C555" s="4"/>
      <c r="D555" s="4"/>
      <c r="E555" s="9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3:26" ht="16">
      <c r="C556" s="4"/>
      <c r="D556" s="4"/>
      <c r="E556" s="9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3:26" ht="16">
      <c r="C557" s="4"/>
      <c r="D557" s="4"/>
      <c r="E557" s="9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3:26" ht="16">
      <c r="C558" s="4"/>
      <c r="D558" s="4"/>
      <c r="E558" s="9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3:26" ht="16">
      <c r="C559" s="4"/>
      <c r="D559" s="4"/>
      <c r="E559" s="9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3:26" ht="16">
      <c r="C560" s="4"/>
      <c r="D560" s="4"/>
      <c r="E560" s="9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3:26" ht="16">
      <c r="C561" s="4"/>
      <c r="D561" s="4"/>
      <c r="E561" s="9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3:26" ht="16">
      <c r="C562" s="4"/>
      <c r="D562" s="4"/>
      <c r="E562" s="9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3:26" ht="16">
      <c r="C563" s="4"/>
      <c r="D563" s="4"/>
      <c r="E563" s="9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3:26" ht="16">
      <c r="C564" s="4"/>
      <c r="D564" s="4"/>
      <c r="E564" s="9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3:26" ht="16">
      <c r="C565" s="4"/>
      <c r="D565" s="4"/>
      <c r="E565" s="9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3:26" ht="16">
      <c r="C566" s="4"/>
      <c r="D566" s="4"/>
      <c r="E566" s="9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3:26" ht="16">
      <c r="C567" s="4"/>
      <c r="D567" s="4"/>
      <c r="E567" s="9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3:26" ht="16">
      <c r="C568" s="4"/>
      <c r="D568" s="4"/>
      <c r="E568" s="9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3:26" ht="16">
      <c r="C569" s="4"/>
      <c r="D569" s="4"/>
      <c r="E569" s="9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3:26" ht="16">
      <c r="C570" s="4"/>
      <c r="D570" s="4"/>
      <c r="E570" s="9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3:26" ht="16">
      <c r="C571" s="4"/>
      <c r="D571" s="4"/>
      <c r="E571" s="9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3:26" ht="16">
      <c r="C572" s="4"/>
      <c r="D572" s="4"/>
      <c r="E572" s="9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3:26" ht="16">
      <c r="C573" s="4"/>
      <c r="D573" s="4"/>
      <c r="E573" s="9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3:26" ht="16">
      <c r="C574" s="4"/>
      <c r="D574" s="4"/>
      <c r="E574" s="9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3:26" ht="16">
      <c r="C575" s="4"/>
      <c r="D575" s="4"/>
      <c r="E575" s="9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3:26" ht="16">
      <c r="C576" s="4"/>
      <c r="D576" s="4"/>
      <c r="E576" s="9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3:26" ht="16">
      <c r="C577" s="4"/>
      <c r="D577" s="4"/>
      <c r="E577" s="9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3:26" ht="16">
      <c r="C578" s="4"/>
      <c r="D578" s="4"/>
      <c r="E578" s="9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3:26" ht="16">
      <c r="C579" s="4"/>
      <c r="D579" s="4"/>
      <c r="E579" s="9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3:26" ht="16">
      <c r="C580" s="4"/>
      <c r="D580" s="4"/>
      <c r="E580" s="9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3:26" ht="16">
      <c r="C581" s="4"/>
      <c r="D581" s="4"/>
      <c r="E581" s="9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3:26" ht="16">
      <c r="C582" s="4"/>
      <c r="D582" s="4"/>
      <c r="E582" s="9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3:26" ht="16">
      <c r="C583" s="4"/>
      <c r="D583" s="4"/>
      <c r="E583" s="9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3:26" ht="16">
      <c r="C584" s="4"/>
      <c r="D584" s="4"/>
      <c r="E584" s="9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3:26" ht="16">
      <c r="C585" s="4"/>
      <c r="D585" s="4"/>
      <c r="E585" s="9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3:26" ht="16">
      <c r="C586" s="4"/>
      <c r="D586" s="4"/>
      <c r="E586" s="9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3:26" ht="16">
      <c r="C587" s="4"/>
      <c r="D587" s="4"/>
      <c r="E587" s="9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3:26" ht="16">
      <c r="C588" s="4"/>
      <c r="D588" s="4"/>
      <c r="E588" s="9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3:26" ht="16">
      <c r="C589" s="4"/>
      <c r="D589" s="4"/>
      <c r="E589" s="9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3:26" ht="16">
      <c r="C590" s="4"/>
      <c r="D590" s="4"/>
      <c r="E590" s="9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3:26" ht="16">
      <c r="C591" s="4"/>
      <c r="D591" s="4"/>
      <c r="E591" s="9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3:26" ht="16">
      <c r="C592" s="4"/>
      <c r="D592" s="4"/>
      <c r="E592" s="9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3:26" ht="16">
      <c r="C593" s="4"/>
      <c r="D593" s="4"/>
      <c r="E593" s="9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3:26" ht="16">
      <c r="C594" s="4"/>
      <c r="D594" s="4"/>
      <c r="E594" s="9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3:26" ht="16">
      <c r="C595" s="4"/>
      <c r="D595" s="4"/>
      <c r="E595" s="9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3:26" ht="16">
      <c r="C596" s="4"/>
      <c r="D596" s="4"/>
      <c r="E596" s="9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3:26" ht="16">
      <c r="C597" s="4"/>
      <c r="D597" s="4"/>
      <c r="E597" s="9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3:26" ht="16">
      <c r="C598" s="4"/>
      <c r="D598" s="4"/>
      <c r="E598" s="9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3:26" ht="16">
      <c r="C599" s="4"/>
      <c r="D599" s="4"/>
      <c r="E599" s="9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3:26" ht="16">
      <c r="C600" s="4"/>
      <c r="D600" s="4"/>
      <c r="E600" s="9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3:26" ht="16">
      <c r="C601" s="4"/>
      <c r="D601" s="4"/>
      <c r="E601" s="9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3:26" ht="16">
      <c r="C602" s="4"/>
      <c r="D602" s="4"/>
      <c r="E602" s="9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3:26" ht="16">
      <c r="C603" s="4"/>
      <c r="D603" s="4"/>
      <c r="E603" s="9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3:26" ht="16">
      <c r="C604" s="4"/>
      <c r="D604" s="4"/>
      <c r="E604" s="9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3:26" ht="16">
      <c r="C605" s="4"/>
      <c r="D605" s="4"/>
      <c r="E605" s="9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3:26" ht="16">
      <c r="C606" s="4"/>
      <c r="D606" s="4"/>
      <c r="E606" s="9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3:26" ht="16">
      <c r="C607" s="4"/>
      <c r="D607" s="4"/>
      <c r="E607" s="9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3:26" ht="16">
      <c r="C608" s="4"/>
      <c r="D608" s="4"/>
      <c r="E608" s="9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3:26" ht="16">
      <c r="C609" s="4"/>
      <c r="D609" s="4"/>
      <c r="E609" s="9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3:26" ht="16">
      <c r="C610" s="4"/>
      <c r="D610" s="4"/>
      <c r="E610" s="9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3:26" ht="16">
      <c r="C611" s="4"/>
      <c r="D611" s="4"/>
      <c r="E611" s="9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3:26" ht="16">
      <c r="C612" s="4"/>
      <c r="D612" s="4"/>
      <c r="E612" s="9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3:26" ht="16">
      <c r="C613" s="4"/>
      <c r="D613" s="4"/>
      <c r="E613" s="9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3:26" ht="16">
      <c r="C614" s="4"/>
      <c r="D614" s="4"/>
      <c r="E614" s="9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3:26" ht="16">
      <c r="C615" s="4"/>
      <c r="D615" s="4"/>
      <c r="E615" s="9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3:26" ht="16">
      <c r="C616" s="4"/>
      <c r="D616" s="4"/>
      <c r="E616" s="9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3:26" ht="16">
      <c r="C617" s="4"/>
      <c r="D617" s="4"/>
      <c r="E617" s="9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3:26" ht="16">
      <c r="C618" s="4"/>
      <c r="D618" s="4"/>
      <c r="E618" s="9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3:26" ht="16">
      <c r="C619" s="4"/>
      <c r="D619" s="4"/>
      <c r="E619" s="9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3:26" ht="16">
      <c r="C620" s="4"/>
      <c r="D620" s="4"/>
      <c r="E620" s="9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3:26" ht="16">
      <c r="C621" s="4"/>
      <c r="D621" s="4"/>
      <c r="E621" s="9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3:26" ht="16">
      <c r="C622" s="4"/>
      <c r="D622" s="4"/>
      <c r="E622" s="9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3:26" ht="16">
      <c r="C623" s="4"/>
      <c r="D623" s="4"/>
      <c r="E623" s="9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3:26" ht="16">
      <c r="C624" s="4"/>
      <c r="D624" s="4"/>
      <c r="E624" s="9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3:26" ht="16">
      <c r="C625" s="4"/>
      <c r="D625" s="4"/>
      <c r="E625" s="9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3:26" ht="16">
      <c r="C626" s="4"/>
      <c r="D626" s="4"/>
      <c r="E626" s="9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3:26" ht="16">
      <c r="C627" s="4"/>
      <c r="D627" s="4"/>
      <c r="E627" s="9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3:26" ht="16">
      <c r="C628" s="4"/>
      <c r="D628" s="4"/>
      <c r="E628" s="9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3:26" ht="16">
      <c r="C629" s="4"/>
      <c r="D629" s="4"/>
      <c r="E629" s="9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3:26" ht="16">
      <c r="C630" s="4"/>
      <c r="D630" s="4"/>
      <c r="E630" s="9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3:26" ht="16">
      <c r="C631" s="4"/>
      <c r="D631" s="4"/>
      <c r="E631" s="9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3:26" ht="16">
      <c r="C632" s="4"/>
      <c r="D632" s="4"/>
      <c r="E632" s="9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3:26" ht="16">
      <c r="C633" s="4"/>
      <c r="D633" s="4"/>
      <c r="E633" s="9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3:26" ht="16">
      <c r="C634" s="4"/>
      <c r="D634" s="4"/>
      <c r="E634" s="9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3:26" ht="16">
      <c r="C635" s="4"/>
      <c r="D635" s="4"/>
      <c r="E635" s="9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3:26" ht="16">
      <c r="C636" s="4"/>
      <c r="D636" s="4"/>
      <c r="E636" s="9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3:26" ht="16">
      <c r="C637" s="4"/>
      <c r="D637" s="4"/>
      <c r="E637" s="9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3:26" ht="16">
      <c r="C638" s="4"/>
      <c r="D638" s="4"/>
      <c r="E638" s="9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3:26" ht="16">
      <c r="C639" s="4"/>
      <c r="D639" s="4"/>
      <c r="E639" s="9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3:26" ht="16">
      <c r="C640" s="4"/>
      <c r="D640" s="4"/>
      <c r="E640" s="9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3:26" ht="16">
      <c r="C641" s="4"/>
      <c r="D641" s="4"/>
      <c r="E641" s="9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3:26" ht="16">
      <c r="C642" s="4"/>
      <c r="D642" s="4"/>
      <c r="E642" s="9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3:26" ht="16">
      <c r="C643" s="4"/>
      <c r="D643" s="4"/>
      <c r="E643" s="9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3:26" ht="16">
      <c r="C644" s="4"/>
      <c r="D644" s="4"/>
      <c r="E644" s="9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3:26" ht="16">
      <c r="C645" s="4"/>
      <c r="D645" s="4"/>
      <c r="E645" s="9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3:26" ht="16">
      <c r="C646" s="4"/>
      <c r="D646" s="4"/>
      <c r="E646" s="9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3:26" ht="16">
      <c r="C647" s="4"/>
      <c r="D647" s="4"/>
      <c r="E647" s="9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3:26" ht="16">
      <c r="C648" s="4"/>
      <c r="D648" s="4"/>
      <c r="E648" s="9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3:26" ht="16">
      <c r="C649" s="4"/>
      <c r="D649" s="4"/>
      <c r="E649" s="9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3:26" ht="16">
      <c r="C650" s="4"/>
      <c r="D650" s="4"/>
      <c r="E650" s="9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3:26" ht="16">
      <c r="C651" s="4"/>
      <c r="D651" s="4"/>
      <c r="E651" s="9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3:26" ht="16">
      <c r="C652" s="4"/>
      <c r="D652" s="4"/>
      <c r="E652" s="9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3:26" ht="16">
      <c r="C653" s="4"/>
      <c r="D653" s="4"/>
      <c r="E653" s="9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3:26" ht="16">
      <c r="C654" s="4"/>
      <c r="D654" s="4"/>
      <c r="E654" s="9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3:26" ht="16">
      <c r="C655" s="4"/>
      <c r="D655" s="4"/>
      <c r="E655" s="9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3:26" ht="16">
      <c r="C656" s="4"/>
      <c r="D656" s="4"/>
      <c r="E656" s="9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3:26" ht="16">
      <c r="C657" s="4"/>
      <c r="D657" s="4"/>
      <c r="E657" s="9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3:26" ht="16">
      <c r="C658" s="4"/>
      <c r="D658" s="4"/>
      <c r="E658" s="9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3:26" ht="16">
      <c r="C659" s="4"/>
      <c r="D659" s="4"/>
      <c r="E659" s="9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3:26" ht="16">
      <c r="C660" s="4"/>
      <c r="D660" s="4"/>
      <c r="E660" s="9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3:26" ht="16">
      <c r="C661" s="4"/>
      <c r="D661" s="4"/>
      <c r="E661" s="9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3:26" ht="16">
      <c r="C662" s="4"/>
      <c r="D662" s="4"/>
      <c r="E662" s="9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3:26" ht="16">
      <c r="C663" s="4"/>
      <c r="D663" s="4"/>
      <c r="E663" s="9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3:26" ht="16">
      <c r="C664" s="4"/>
      <c r="D664" s="4"/>
      <c r="E664" s="9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3:26" ht="16">
      <c r="C665" s="4"/>
      <c r="D665" s="4"/>
      <c r="E665" s="9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3:26" ht="16">
      <c r="C666" s="4"/>
      <c r="D666" s="4"/>
      <c r="E666" s="9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3:26" ht="16">
      <c r="C667" s="4"/>
      <c r="D667" s="4"/>
      <c r="E667" s="9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3:26" ht="16">
      <c r="C668" s="4"/>
      <c r="D668" s="4"/>
      <c r="E668" s="9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3:26" ht="16">
      <c r="C669" s="4"/>
      <c r="D669" s="4"/>
      <c r="E669" s="9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3:26" ht="16">
      <c r="C670" s="4"/>
      <c r="D670" s="4"/>
      <c r="E670" s="9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3:26" ht="16">
      <c r="C671" s="4"/>
      <c r="D671" s="4"/>
      <c r="E671" s="9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3:26" ht="16">
      <c r="C672" s="4"/>
      <c r="D672" s="4"/>
      <c r="E672" s="9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3:26" ht="16">
      <c r="C673" s="4"/>
      <c r="D673" s="4"/>
      <c r="E673" s="9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3:26" ht="16">
      <c r="C674" s="4"/>
      <c r="D674" s="4"/>
      <c r="E674" s="9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3:26" ht="16">
      <c r="C675" s="4"/>
      <c r="D675" s="4"/>
      <c r="E675" s="9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3:26" ht="16">
      <c r="C676" s="4"/>
      <c r="D676" s="4"/>
      <c r="E676" s="9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3:26" ht="16">
      <c r="C677" s="4"/>
      <c r="D677" s="4"/>
      <c r="E677" s="9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3:26" ht="16">
      <c r="C678" s="4"/>
      <c r="D678" s="4"/>
      <c r="E678" s="9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3:26" ht="16">
      <c r="C679" s="4"/>
      <c r="D679" s="4"/>
      <c r="E679" s="9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3:26" ht="16">
      <c r="C680" s="4"/>
      <c r="D680" s="4"/>
      <c r="E680" s="9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3:26" ht="16">
      <c r="C681" s="4"/>
      <c r="D681" s="4"/>
      <c r="E681" s="9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3:26" ht="16">
      <c r="C682" s="4"/>
      <c r="D682" s="4"/>
      <c r="E682" s="9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3:26" ht="16">
      <c r="C683" s="4"/>
      <c r="D683" s="4"/>
      <c r="E683" s="9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3:26" ht="16">
      <c r="C684" s="4"/>
      <c r="D684" s="4"/>
      <c r="E684" s="9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3:26" ht="16">
      <c r="C685" s="4"/>
      <c r="D685" s="4"/>
      <c r="E685" s="9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3:26" ht="16">
      <c r="C686" s="4"/>
      <c r="D686" s="4"/>
      <c r="E686" s="9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3:26" ht="16">
      <c r="C687" s="4"/>
      <c r="D687" s="4"/>
      <c r="E687" s="9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3:26" ht="16">
      <c r="C688" s="4"/>
      <c r="D688" s="4"/>
      <c r="E688" s="9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3:26" ht="16">
      <c r="C689" s="4"/>
      <c r="D689" s="4"/>
      <c r="E689" s="9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3:26" ht="16">
      <c r="C690" s="4"/>
      <c r="D690" s="4"/>
      <c r="E690" s="9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3:26" ht="16">
      <c r="C691" s="4"/>
      <c r="D691" s="4"/>
      <c r="E691" s="9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3:26" ht="16">
      <c r="C692" s="4"/>
      <c r="D692" s="4"/>
      <c r="E692" s="9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3:26" ht="16">
      <c r="C693" s="4"/>
      <c r="D693" s="4"/>
      <c r="E693" s="9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3:26" ht="16">
      <c r="C694" s="4"/>
      <c r="D694" s="4"/>
      <c r="E694" s="9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3:26" ht="16">
      <c r="C695" s="4"/>
      <c r="D695" s="4"/>
      <c r="E695" s="9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3:26" ht="16">
      <c r="C696" s="4"/>
      <c r="D696" s="4"/>
      <c r="E696" s="9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3:26" ht="16">
      <c r="C697" s="4"/>
      <c r="D697" s="4"/>
      <c r="E697" s="9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3:26" ht="16">
      <c r="C698" s="4"/>
      <c r="D698" s="4"/>
      <c r="E698" s="9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3:26" ht="16">
      <c r="C699" s="4"/>
      <c r="D699" s="4"/>
      <c r="E699" s="9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3:26" ht="16">
      <c r="C700" s="4"/>
      <c r="D700" s="4"/>
      <c r="E700" s="9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3:26" ht="16">
      <c r="C701" s="4"/>
      <c r="D701" s="4"/>
      <c r="E701" s="9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3:26" ht="16">
      <c r="C702" s="4"/>
      <c r="D702" s="4"/>
      <c r="E702" s="9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3:26" ht="16">
      <c r="C703" s="4"/>
      <c r="D703" s="4"/>
      <c r="E703" s="9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3:26" ht="16">
      <c r="C704" s="4"/>
      <c r="D704" s="4"/>
      <c r="E704" s="9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3:26" ht="16">
      <c r="C705" s="4"/>
      <c r="D705" s="4"/>
      <c r="E705" s="9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3:26" ht="16">
      <c r="C706" s="4"/>
      <c r="D706" s="4"/>
      <c r="E706" s="9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3:26" ht="16">
      <c r="C707" s="4"/>
      <c r="D707" s="4"/>
      <c r="E707" s="9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3:26" ht="16">
      <c r="C708" s="4"/>
      <c r="D708" s="4"/>
      <c r="E708" s="9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3:26" ht="16">
      <c r="C709" s="4"/>
      <c r="D709" s="4"/>
      <c r="E709" s="9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3:26" ht="16">
      <c r="C710" s="4"/>
      <c r="D710" s="4"/>
      <c r="E710" s="9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3:26" ht="16">
      <c r="C711" s="4"/>
      <c r="D711" s="4"/>
      <c r="E711" s="9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3:26" ht="16">
      <c r="C712" s="4"/>
      <c r="D712" s="4"/>
      <c r="E712" s="9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3:26" ht="16">
      <c r="C713" s="4"/>
      <c r="D713" s="4"/>
      <c r="E713" s="9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3:26" ht="16">
      <c r="C714" s="4"/>
      <c r="D714" s="4"/>
      <c r="E714" s="9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3:26" ht="16">
      <c r="C715" s="4"/>
      <c r="D715" s="4"/>
      <c r="E715" s="9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3:26" ht="16">
      <c r="C716" s="4"/>
      <c r="D716" s="4"/>
      <c r="E716" s="9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3:26" ht="16">
      <c r="C717" s="4"/>
      <c r="D717" s="4"/>
      <c r="E717" s="9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3:26" ht="16">
      <c r="C718" s="4"/>
      <c r="D718" s="4"/>
      <c r="E718" s="9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3:26" ht="16">
      <c r="C719" s="4"/>
      <c r="D719" s="4"/>
      <c r="E719" s="9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3:26" ht="16">
      <c r="C720" s="4"/>
      <c r="D720" s="4"/>
      <c r="E720" s="9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3:26" ht="16">
      <c r="C721" s="4"/>
      <c r="D721" s="4"/>
      <c r="E721" s="9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3:26" ht="16">
      <c r="C722" s="4"/>
      <c r="D722" s="4"/>
      <c r="E722" s="9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3:26" ht="16">
      <c r="C723" s="4"/>
      <c r="D723" s="4"/>
      <c r="E723" s="9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3:26" ht="16">
      <c r="C724" s="4"/>
      <c r="D724" s="4"/>
      <c r="E724" s="9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3:26" ht="16">
      <c r="C725" s="4"/>
      <c r="D725" s="4"/>
      <c r="E725" s="9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3:26" ht="16">
      <c r="C726" s="4"/>
      <c r="D726" s="4"/>
      <c r="E726" s="9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3:26" ht="16">
      <c r="C727" s="4"/>
      <c r="D727" s="4"/>
      <c r="E727" s="9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3:26" ht="16">
      <c r="C728" s="4"/>
      <c r="D728" s="4"/>
      <c r="E728" s="9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3:26" ht="16">
      <c r="C729" s="4"/>
      <c r="D729" s="4"/>
      <c r="E729" s="9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3:26" ht="16">
      <c r="C730" s="4"/>
      <c r="D730" s="4"/>
      <c r="E730" s="9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3:26" ht="16">
      <c r="C731" s="4"/>
      <c r="D731" s="4"/>
      <c r="E731" s="9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3:26" ht="16">
      <c r="C732" s="4"/>
      <c r="D732" s="4"/>
      <c r="E732" s="9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3:26" ht="16">
      <c r="C733" s="4"/>
      <c r="D733" s="4"/>
      <c r="E733" s="9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3:26" ht="16">
      <c r="C734" s="4"/>
      <c r="D734" s="4"/>
      <c r="E734" s="9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3:26" ht="16">
      <c r="C735" s="4"/>
      <c r="D735" s="4"/>
      <c r="E735" s="9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3:26" ht="16">
      <c r="C736" s="4"/>
      <c r="D736" s="4"/>
      <c r="E736" s="9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3:26" ht="16">
      <c r="C737" s="4"/>
      <c r="D737" s="4"/>
      <c r="E737" s="9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3:26" ht="16">
      <c r="C738" s="4"/>
      <c r="D738" s="4"/>
      <c r="E738" s="9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3:26" ht="16">
      <c r="C739" s="4"/>
      <c r="D739" s="4"/>
      <c r="E739" s="9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3:26" ht="16">
      <c r="C740" s="4"/>
      <c r="D740" s="4"/>
      <c r="E740" s="9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3:26" ht="16">
      <c r="C741" s="4"/>
      <c r="D741" s="4"/>
      <c r="E741" s="9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3:26" ht="16">
      <c r="C742" s="4"/>
      <c r="D742" s="4"/>
      <c r="E742" s="9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3:26" ht="16">
      <c r="C743" s="4"/>
      <c r="D743" s="4"/>
      <c r="E743" s="9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3:26" ht="16">
      <c r="C744" s="4"/>
      <c r="D744" s="4"/>
      <c r="E744" s="9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3:26" ht="16">
      <c r="C745" s="4"/>
      <c r="D745" s="4"/>
      <c r="E745" s="9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3:26" ht="16">
      <c r="C746" s="4"/>
      <c r="D746" s="4"/>
      <c r="E746" s="9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3:26" ht="16">
      <c r="C747" s="4"/>
      <c r="D747" s="4"/>
      <c r="E747" s="9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3:26" ht="16">
      <c r="C748" s="4"/>
      <c r="D748" s="4"/>
      <c r="E748" s="9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3:26" ht="16">
      <c r="C749" s="4"/>
      <c r="D749" s="4"/>
      <c r="E749" s="9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3:26" ht="16">
      <c r="C750" s="4"/>
      <c r="D750" s="4"/>
      <c r="E750" s="9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3:26" ht="16">
      <c r="C751" s="4"/>
      <c r="D751" s="4"/>
      <c r="E751" s="9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3:26" ht="16">
      <c r="C752" s="4"/>
      <c r="D752" s="4"/>
      <c r="E752" s="9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3:26" ht="16">
      <c r="C753" s="4"/>
      <c r="D753" s="4"/>
      <c r="E753" s="9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3:26" ht="16">
      <c r="C754" s="4"/>
      <c r="D754" s="4"/>
      <c r="E754" s="9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3:26" ht="16">
      <c r="C755" s="4"/>
      <c r="D755" s="4"/>
      <c r="E755" s="9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3:26" ht="16">
      <c r="C756" s="4"/>
      <c r="D756" s="4"/>
      <c r="E756" s="9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3:26" ht="16">
      <c r="C757" s="4"/>
      <c r="D757" s="4"/>
      <c r="E757" s="9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3:26" ht="16">
      <c r="C758" s="4"/>
      <c r="D758" s="4"/>
      <c r="E758" s="9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3:26" ht="16">
      <c r="C759" s="4"/>
      <c r="D759" s="4"/>
      <c r="E759" s="9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3:26" ht="16">
      <c r="C760" s="4"/>
      <c r="D760" s="4"/>
      <c r="E760" s="9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3:26" ht="16">
      <c r="C761" s="4"/>
      <c r="D761" s="4"/>
      <c r="E761" s="9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3:26" ht="16">
      <c r="C762" s="4"/>
      <c r="D762" s="4"/>
      <c r="E762" s="9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3:26" ht="16">
      <c r="C763" s="4"/>
      <c r="D763" s="4"/>
      <c r="E763" s="9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3:26" ht="16">
      <c r="C764" s="4"/>
      <c r="D764" s="4"/>
      <c r="E764" s="9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3:26" ht="16">
      <c r="C765" s="4"/>
      <c r="D765" s="4"/>
      <c r="E765" s="9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3:26" ht="16">
      <c r="C766" s="4"/>
      <c r="D766" s="4"/>
      <c r="E766" s="9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3:26" ht="16">
      <c r="C767" s="4"/>
      <c r="D767" s="4"/>
      <c r="E767" s="9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3:26" ht="16">
      <c r="C768" s="4"/>
      <c r="D768" s="4"/>
      <c r="E768" s="9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3:26" ht="16">
      <c r="C769" s="4"/>
      <c r="D769" s="4"/>
      <c r="E769" s="9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3:26" ht="16">
      <c r="C770" s="4"/>
      <c r="D770" s="4"/>
      <c r="E770" s="9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3:26" ht="16">
      <c r="C771" s="4"/>
      <c r="D771" s="4"/>
      <c r="E771" s="9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3:26" ht="16">
      <c r="C772" s="4"/>
      <c r="D772" s="4"/>
      <c r="E772" s="9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3:26" ht="16">
      <c r="C773" s="4"/>
      <c r="D773" s="4"/>
      <c r="E773" s="9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3:26" ht="16">
      <c r="C774" s="4"/>
      <c r="D774" s="4"/>
      <c r="E774" s="9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3:26" ht="16">
      <c r="C775" s="4"/>
      <c r="D775" s="4"/>
      <c r="E775" s="9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3:26" ht="16">
      <c r="C776" s="4"/>
      <c r="D776" s="4"/>
      <c r="E776" s="9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3:26" ht="16">
      <c r="C777" s="4"/>
      <c r="D777" s="4"/>
      <c r="E777" s="9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3:26" ht="16">
      <c r="C778" s="4"/>
      <c r="D778" s="4"/>
      <c r="E778" s="9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3:26" ht="16">
      <c r="C779" s="4"/>
      <c r="D779" s="4"/>
      <c r="E779" s="9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3:26" ht="16">
      <c r="C780" s="4"/>
      <c r="D780" s="4"/>
      <c r="E780" s="9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3:26" ht="16">
      <c r="C781" s="4"/>
      <c r="D781" s="4"/>
      <c r="E781" s="9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3:26" ht="16">
      <c r="C782" s="4"/>
      <c r="D782" s="4"/>
      <c r="E782" s="9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3:26" ht="16">
      <c r="C783" s="4"/>
      <c r="D783" s="4"/>
      <c r="E783" s="9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3:26" ht="16">
      <c r="C784" s="4"/>
      <c r="D784" s="4"/>
      <c r="E784" s="9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3:26" ht="16">
      <c r="C785" s="4"/>
      <c r="D785" s="4"/>
      <c r="E785" s="9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3:26" ht="16">
      <c r="C786" s="4"/>
      <c r="D786" s="4"/>
      <c r="E786" s="9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3:26" ht="16">
      <c r="C787" s="4"/>
      <c r="D787" s="4"/>
      <c r="E787" s="9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3:26" ht="16">
      <c r="C788" s="4"/>
      <c r="D788" s="4"/>
      <c r="E788" s="9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3:26" ht="16">
      <c r="C789" s="4"/>
      <c r="D789" s="4"/>
      <c r="E789" s="9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3:26" ht="16">
      <c r="C790" s="4"/>
      <c r="D790" s="4"/>
      <c r="E790" s="9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3:26" ht="16">
      <c r="C791" s="4"/>
      <c r="D791" s="4"/>
      <c r="E791" s="9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3:26" ht="16">
      <c r="C792" s="4"/>
      <c r="D792" s="4"/>
      <c r="E792" s="9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3:26" ht="16">
      <c r="C793" s="4"/>
      <c r="D793" s="4"/>
      <c r="E793" s="9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3:26" ht="16">
      <c r="C794" s="4"/>
      <c r="D794" s="4"/>
      <c r="E794" s="9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3:26" ht="16">
      <c r="C795" s="4"/>
      <c r="D795" s="4"/>
      <c r="E795" s="9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3:26" ht="16">
      <c r="C796" s="4"/>
      <c r="D796" s="4"/>
      <c r="E796" s="9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3:26" ht="16">
      <c r="C797" s="4"/>
      <c r="D797" s="4"/>
      <c r="E797" s="9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3:26" ht="16">
      <c r="C798" s="4"/>
      <c r="D798" s="4"/>
      <c r="E798" s="9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3:26" ht="16">
      <c r="C799" s="4"/>
      <c r="D799" s="4"/>
      <c r="E799" s="9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3:26" ht="16">
      <c r="C800" s="4"/>
      <c r="D800" s="4"/>
      <c r="E800" s="9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3:26" ht="16">
      <c r="C801" s="4"/>
      <c r="D801" s="4"/>
      <c r="E801" s="9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3:26" ht="16">
      <c r="C802" s="4"/>
      <c r="D802" s="4"/>
      <c r="E802" s="9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3:26" ht="16">
      <c r="C803" s="4"/>
      <c r="D803" s="4"/>
      <c r="E803" s="9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3:26" ht="16">
      <c r="C804" s="4"/>
      <c r="D804" s="4"/>
      <c r="E804" s="9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3:26" ht="16">
      <c r="C805" s="4"/>
      <c r="D805" s="4"/>
      <c r="E805" s="9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3:26" ht="16">
      <c r="C806" s="4"/>
      <c r="D806" s="4"/>
      <c r="E806" s="9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3:26" ht="16">
      <c r="C807" s="4"/>
      <c r="D807" s="4"/>
      <c r="E807" s="9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3:26" ht="16">
      <c r="C808" s="4"/>
      <c r="D808" s="4"/>
      <c r="E808" s="9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3:26" ht="16">
      <c r="C809" s="4"/>
      <c r="D809" s="4"/>
      <c r="E809" s="9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3:26" ht="16">
      <c r="C810" s="4"/>
      <c r="D810" s="4"/>
      <c r="E810" s="9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3:26" ht="16">
      <c r="C811" s="4"/>
      <c r="D811" s="4"/>
      <c r="E811" s="9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3:26" ht="16">
      <c r="C812" s="4"/>
      <c r="D812" s="4"/>
      <c r="E812" s="9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3:26" ht="16">
      <c r="C813" s="4"/>
      <c r="D813" s="4"/>
      <c r="E813" s="9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3:26" ht="16">
      <c r="C814" s="4"/>
      <c r="D814" s="4"/>
      <c r="E814" s="9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3:26" ht="16">
      <c r="C815" s="4"/>
      <c r="D815" s="4"/>
      <c r="E815" s="9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3:26" ht="16">
      <c r="C816" s="4"/>
      <c r="D816" s="4"/>
      <c r="E816" s="9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3:26" ht="16">
      <c r="C817" s="4"/>
      <c r="D817" s="4"/>
      <c r="E817" s="9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3:26" ht="16">
      <c r="C818" s="4"/>
      <c r="D818" s="4"/>
      <c r="E818" s="9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3:26" ht="16">
      <c r="C819" s="4"/>
      <c r="D819" s="4"/>
      <c r="E819" s="9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3:26" ht="16">
      <c r="C820" s="4"/>
      <c r="D820" s="4"/>
      <c r="E820" s="9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3:26" ht="16">
      <c r="C821" s="4"/>
      <c r="D821" s="4"/>
      <c r="E821" s="9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3:26" ht="16">
      <c r="C822" s="4"/>
      <c r="D822" s="4"/>
      <c r="E822" s="9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3:26" ht="16">
      <c r="C823" s="4"/>
      <c r="D823" s="4"/>
      <c r="E823" s="9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3:26" ht="16">
      <c r="C824" s="4"/>
      <c r="D824" s="4"/>
      <c r="E824" s="9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3:26" ht="16">
      <c r="C825" s="4"/>
      <c r="D825" s="4"/>
      <c r="E825" s="9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3:26" ht="16">
      <c r="C826" s="4"/>
      <c r="D826" s="4"/>
      <c r="E826" s="9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3:26" ht="16">
      <c r="C827" s="4"/>
      <c r="D827" s="4"/>
      <c r="E827" s="9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3:26" ht="16">
      <c r="C828" s="4"/>
      <c r="D828" s="4"/>
      <c r="E828" s="9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3:26" ht="16">
      <c r="C829" s="4"/>
      <c r="D829" s="4"/>
      <c r="E829" s="9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3:26" ht="16">
      <c r="C830" s="4"/>
      <c r="D830" s="4"/>
      <c r="E830" s="9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3:26" ht="16">
      <c r="C831" s="4"/>
      <c r="D831" s="4"/>
      <c r="E831" s="9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3:26" ht="16">
      <c r="C832" s="4"/>
      <c r="D832" s="4"/>
      <c r="E832" s="9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3:26" ht="16">
      <c r="C833" s="4"/>
      <c r="D833" s="4"/>
      <c r="E833" s="9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3:26" ht="16">
      <c r="C834" s="4"/>
      <c r="D834" s="4"/>
      <c r="E834" s="9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3:26" ht="16">
      <c r="C835" s="4"/>
      <c r="D835" s="4"/>
      <c r="E835" s="9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3:26" ht="16">
      <c r="C836" s="4"/>
      <c r="D836" s="4"/>
      <c r="E836" s="9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3:26" ht="16">
      <c r="C837" s="4"/>
      <c r="D837" s="4"/>
      <c r="E837" s="9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3:26" ht="16">
      <c r="C838" s="4"/>
      <c r="D838" s="4"/>
      <c r="E838" s="9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3:26" ht="16">
      <c r="C839" s="4"/>
      <c r="D839" s="4"/>
      <c r="E839" s="9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3:26" ht="16">
      <c r="C840" s="4"/>
      <c r="D840" s="4"/>
      <c r="E840" s="9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3:26" ht="16">
      <c r="C841" s="4"/>
      <c r="D841" s="4"/>
      <c r="E841" s="9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3:26" ht="16">
      <c r="C842" s="4"/>
      <c r="D842" s="4"/>
      <c r="E842" s="9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3:26" ht="16">
      <c r="C843" s="4"/>
      <c r="D843" s="4"/>
      <c r="E843" s="9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3:26" ht="16">
      <c r="C844" s="4"/>
      <c r="D844" s="4"/>
      <c r="E844" s="9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3:26" ht="16">
      <c r="C845" s="4"/>
      <c r="D845" s="4"/>
      <c r="E845" s="9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3:26" ht="16">
      <c r="C846" s="4"/>
      <c r="D846" s="4"/>
      <c r="E846" s="9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3:26" ht="16">
      <c r="C847" s="4"/>
      <c r="D847" s="4"/>
      <c r="E847" s="9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3:26" ht="16">
      <c r="C848" s="4"/>
      <c r="D848" s="4"/>
      <c r="E848" s="9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3:26" ht="16">
      <c r="C849" s="4"/>
      <c r="D849" s="4"/>
      <c r="E849" s="9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3:26" ht="16">
      <c r="C850" s="4"/>
      <c r="D850" s="4"/>
      <c r="E850" s="9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3:26" ht="16">
      <c r="C851" s="4"/>
      <c r="D851" s="4"/>
      <c r="E851" s="9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3:26" ht="16">
      <c r="C852" s="4"/>
      <c r="D852" s="4"/>
      <c r="E852" s="9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3:26" ht="16">
      <c r="C853" s="4"/>
      <c r="D853" s="4"/>
      <c r="E853" s="9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3:26" ht="16">
      <c r="C854" s="4"/>
      <c r="D854" s="4"/>
      <c r="E854" s="9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3:26" ht="16">
      <c r="C855" s="4"/>
      <c r="D855" s="4"/>
      <c r="E855" s="9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3:26" ht="16">
      <c r="C856" s="4"/>
      <c r="D856" s="4"/>
      <c r="E856" s="9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3:26" ht="16">
      <c r="C857" s="4"/>
      <c r="D857" s="4"/>
      <c r="E857" s="9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3:26" ht="16">
      <c r="C858" s="4"/>
      <c r="D858" s="4"/>
      <c r="E858" s="9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3:26" ht="16">
      <c r="C859" s="4"/>
      <c r="D859" s="4"/>
      <c r="E859" s="9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3:26" ht="16">
      <c r="C860" s="4"/>
      <c r="D860" s="4"/>
      <c r="E860" s="9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3:26" ht="16">
      <c r="C861" s="4"/>
      <c r="D861" s="4"/>
      <c r="E861" s="9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3:26" ht="16">
      <c r="C862" s="4"/>
      <c r="D862" s="4"/>
      <c r="E862" s="9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3:26" ht="16">
      <c r="C863" s="4"/>
      <c r="D863" s="4"/>
      <c r="E863" s="9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3:26" ht="16">
      <c r="C864" s="4"/>
      <c r="D864" s="4"/>
      <c r="E864" s="9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3:26" ht="16">
      <c r="C865" s="4"/>
      <c r="D865" s="4"/>
      <c r="E865" s="9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3:26" ht="16">
      <c r="C866" s="4"/>
      <c r="D866" s="4"/>
      <c r="E866" s="9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3:26" ht="16">
      <c r="C867" s="4"/>
      <c r="D867" s="4"/>
      <c r="E867" s="9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3:26" ht="16">
      <c r="C868" s="4"/>
      <c r="D868" s="4"/>
      <c r="E868" s="9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3:26" ht="16">
      <c r="C869" s="4"/>
      <c r="D869" s="4"/>
      <c r="E869" s="9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3:26" ht="16">
      <c r="C870" s="4"/>
      <c r="D870" s="4"/>
      <c r="E870" s="9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3:26" ht="16">
      <c r="C871" s="4"/>
      <c r="D871" s="4"/>
      <c r="E871" s="9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3:26" ht="16">
      <c r="C872" s="4"/>
      <c r="D872" s="4"/>
      <c r="E872" s="9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3:26" ht="16">
      <c r="C873" s="4"/>
      <c r="D873" s="4"/>
      <c r="E873" s="9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3:26" ht="16">
      <c r="C874" s="4"/>
      <c r="D874" s="4"/>
      <c r="E874" s="9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3:26" ht="16">
      <c r="C875" s="4"/>
      <c r="D875" s="4"/>
      <c r="E875" s="9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3:26" ht="16">
      <c r="C876" s="4"/>
      <c r="D876" s="4"/>
      <c r="E876" s="9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3:26" ht="16">
      <c r="C877" s="4"/>
      <c r="D877" s="4"/>
      <c r="E877" s="9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3:26" ht="16">
      <c r="C878" s="4"/>
      <c r="D878" s="4"/>
      <c r="E878" s="9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3:26" ht="16">
      <c r="C879" s="4"/>
      <c r="D879" s="4"/>
      <c r="E879" s="9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3:26" ht="16">
      <c r="C880" s="4"/>
      <c r="D880" s="4"/>
      <c r="E880" s="9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3:26" ht="16">
      <c r="C881" s="4"/>
      <c r="D881" s="4"/>
      <c r="E881" s="9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3:26" ht="16">
      <c r="C882" s="4"/>
      <c r="D882" s="4"/>
      <c r="E882" s="9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3:26" ht="16">
      <c r="C883" s="4"/>
      <c r="D883" s="4"/>
      <c r="E883" s="9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3:26" ht="16">
      <c r="C884" s="4"/>
      <c r="D884" s="4"/>
      <c r="E884" s="9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3:26" ht="16">
      <c r="C885" s="4"/>
      <c r="D885" s="4"/>
      <c r="E885" s="9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3:26" ht="16">
      <c r="C886" s="4"/>
      <c r="D886" s="4"/>
      <c r="E886" s="9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3:26" ht="16">
      <c r="C887" s="4"/>
      <c r="D887" s="4"/>
      <c r="E887" s="9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3:26" ht="16">
      <c r="C888" s="4"/>
      <c r="D888" s="4"/>
      <c r="E888" s="9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3:26" ht="16">
      <c r="C889" s="4"/>
      <c r="D889" s="4"/>
      <c r="E889" s="9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3:26" ht="16">
      <c r="C890" s="4"/>
      <c r="D890" s="4"/>
      <c r="E890" s="9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3:26" ht="16">
      <c r="C891" s="4"/>
      <c r="D891" s="4"/>
      <c r="E891" s="9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3:26" ht="16">
      <c r="C892" s="4"/>
      <c r="D892" s="4"/>
      <c r="E892" s="9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3:26" ht="16">
      <c r="C893" s="4"/>
      <c r="D893" s="4"/>
      <c r="E893" s="9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3:26" ht="16">
      <c r="C894" s="4"/>
      <c r="D894" s="4"/>
      <c r="E894" s="9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3:26" ht="16">
      <c r="C895" s="4"/>
      <c r="D895" s="4"/>
      <c r="E895" s="9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3:26" ht="16">
      <c r="C896" s="4"/>
      <c r="D896" s="4"/>
      <c r="E896" s="9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3:26" ht="16">
      <c r="C897" s="4"/>
      <c r="D897" s="4"/>
      <c r="E897" s="9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3:26" ht="16">
      <c r="C898" s="4"/>
      <c r="D898" s="4"/>
      <c r="E898" s="9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3:26" ht="16">
      <c r="C899" s="4"/>
      <c r="D899" s="4"/>
      <c r="E899" s="9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3:26" ht="16">
      <c r="C900" s="4"/>
      <c r="D900" s="4"/>
      <c r="E900" s="9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3:26" ht="16">
      <c r="C901" s="4"/>
      <c r="D901" s="4"/>
      <c r="E901" s="9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3:26" ht="16">
      <c r="C902" s="4"/>
      <c r="D902" s="4"/>
      <c r="E902" s="9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3:26" ht="16">
      <c r="C903" s="4"/>
      <c r="D903" s="4"/>
      <c r="E903" s="9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3:26" ht="16">
      <c r="C904" s="4"/>
      <c r="D904" s="4"/>
      <c r="E904" s="9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3:26" ht="16">
      <c r="C905" s="4"/>
      <c r="D905" s="4"/>
      <c r="E905" s="9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3:26" ht="16">
      <c r="C906" s="4"/>
      <c r="D906" s="4"/>
      <c r="E906" s="9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3:26" ht="16">
      <c r="C907" s="4"/>
      <c r="D907" s="4"/>
      <c r="E907" s="9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3:26" ht="16">
      <c r="C908" s="4"/>
      <c r="D908" s="4"/>
      <c r="E908" s="9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3:26" ht="16">
      <c r="C909" s="4"/>
      <c r="D909" s="4"/>
      <c r="E909" s="9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3:26" ht="16">
      <c r="C910" s="4"/>
      <c r="D910" s="4"/>
      <c r="E910" s="9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3:26" ht="16">
      <c r="C911" s="4"/>
      <c r="D911" s="4"/>
      <c r="E911" s="9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3:26" ht="16">
      <c r="C912" s="4"/>
      <c r="D912" s="4"/>
      <c r="E912" s="9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3:26" ht="16"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3:26" ht="16"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3:26" ht="16"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3:26" ht="16"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3:26" ht="16"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3:26" ht="16"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3:26" ht="16"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3:26" ht="16"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3:26" ht="16"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3:26" ht="16"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3:26" ht="16"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3:26" ht="16"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3:26" ht="16"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3:26" ht="16"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3:26" ht="16"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3:26" ht="16"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3:26" ht="16"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3:26" ht="16"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3:26" ht="16"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3:26" ht="16"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3:26" ht="16"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3:26" ht="16"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3:26" ht="16"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3:26" ht="16"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3:26" ht="16"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3:26" ht="16"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3:26" ht="16"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3:26" ht="16"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3:26" ht="16"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3:26" ht="16"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3:26" ht="16"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3:26" ht="16"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3:26" ht="16"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3:26" ht="16"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3:26" ht="16"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3:26" ht="16"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3:26" ht="16"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3:26" ht="16"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3:26" ht="16"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3:26" ht="16"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3:26" ht="16"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3:26" ht="16"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3:26" ht="16"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3:26" ht="16"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3:26" ht="16"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3:26" ht="16"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3:26" ht="16"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3:26" ht="16"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3:26" ht="16"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3:26" ht="16"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3:26" ht="16"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3:26" ht="16"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3:26" ht="16"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3:26" ht="16"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3:26" ht="16"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3:26" ht="16"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3:26" ht="16"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3:26" ht="16"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3:26" ht="16"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3:26" ht="16"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3:26" ht="16"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3:26" ht="16"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3:26" ht="16"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3:26" ht="16"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3:26" ht="16"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3:26" ht="16"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3:26" ht="16"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3:26" ht="16"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3:26" ht="16"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3:26" ht="16"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3:26" ht="16"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3:26" ht="16"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3:26" ht="16"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3:26" ht="16"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3:26" ht="16"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3:26" ht="16"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3:26" ht="16"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3:26" ht="16"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3:26" ht="16"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</sheetData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Trainee Deployment Map by Role</vt:lpstr>
      <vt:lpstr>User Guide</vt:lpstr>
      <vt:lpstr>Trainee Data (INPUT)</vt:lpstr>
      <vt:lpstr>taxonomy map</vt:lpstr>
      <vt:lpstr>Trainee Clinical Roles (OUTPUT)</vt:lpstr>
      <vt:lpstr>Reports</vt:lpstr>
      <vt:lpstr>Trainee PGY Roles (OUTPUT)</vt:lpstr>
      <vt:lpstr>Trainee PGY Role Map</vt:lpstr>
      <vt:lpstr>Condensed Specialty Crosswalk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2020-03-29T00:28:16Z</dcterms:created>
  <dcterms:modified xsi:type="dcterms:W3CDTF">2020-04-03T17:23:56Z</dcterms:modified>
</cp:coreProperties>
</file>