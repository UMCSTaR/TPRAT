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mc:AlternateContent xmlns:mc="http://schemas.openxmlformats.org/markup-compatibility/2006">
    <mc:Choice Requires="x15">
      <x15ac:absPath xmlns:x15ac="http://schemas.microsoft.com/office/spreadsheetml/2010/11/ac" url="C:\Users\Kenneth\Desktop\"/>
    </mc:Choice>
  </mc:AlternateContent>
  <xr:revisionPtr revIDLastSave="0" documentId="13_ncr:1_{D7D8C1BC-1BA3-420B-A149-E4E8EDAF7847}" xr6:coauthVersionLast="45" xr6:coauthVersionMax="45" xr10:uidLastSave="{00000000-0000-0000-0000-000000000000}"/>
  <bookViews>
    <workbookView xWindow="-98" yWindow="-98" windowWidth="22695" windowHeight="13981" tabRatio="630" xr2:uid="{00000000-000D-0000-FFFF-FFFF00000000}"/>
  </bookViews>
  <sheets>
    <sheet name="General Information" sheetId="13" r:id="rId1"/>
    <sheet name="Trainee Data" sheetId="4" r:id="rId2"/>
    <sheet name="Roles" sheetId="6" r:id="rId3"/>
    <sheet name="Roles by PGY" sheetId="10" r:id="rId4"/>
    <sheet name="Appendix - Taxonomy Map" sheetId="9" r:id="rId5"/>
    <sheet name="Appendix - Specialty Crosswalk" sheetId="3" r:id="rId6"/>
    <sheet name="Appendix - PGY Role Map" sheetId="5" r:id="rId7"/>
    <sheet name="Appendix - Response Roles" sheetId="14" r:id="rId8"/>
    <sheet name="Role Map" sheetId="2" state="hidden" r:id="rId9"/>
  </sheets>
  <definedNames>
    <definedName name="_xlnm._FilterDatabase" localSheetId="1" hidden="1">'Trainee Data'!$E$1:$E$1021</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11" roundtripDataSignature="AMtx7mjwrjty6sVwxoBNzjFZP/BO6uiULA=="/>
    </ext>
  </extLst>
</workbook>
</file>

<file path=xl/calcChain.xml><?xml version="1.0" encoding="utf-8"?>
<calcChain xmlns="http://schemas.openxmlformats.org/spreadsheetml/2006/main">
  <c r="M31" i="6" l="1"/>
  <c r="L31" i="6"/>
  <c r="K31" i="6"/>
  <c r="J31" i="6"/>
  <c r="I31" i="6"/>
  <c r="H31" i="6"/>
  <c r="G31" i="6"/>
  <c r="F31" i="6"/>
  <c r="E31" i="6"/>
  <c r="D31" i="6"/>
  <c r="E2" i="4" l="1"/>
  <c r="G2" i="4" s="1"/>
  <c r="E3" i="4"/>
  <c r="G3" i="4" s="1"/>
  <c r="E4" i="4"/>
  <c r="G4" i="4" s="1"/>
  <c r="E5" i="4"/>
  <c r="F5" i="4" s="1"/>
  <c r="E6" i="4"/>
  <c r="E7" i="4"/>
  <c r="G7" i="4" s="1"/>
  <c r="E8" i="4"/>
  <c r="G8" i="4" s="1"/>
  <c r="E9" i="4"/>
  <c r="E10" i="4"/>
  <c r="G10" i="4" s="1"/>
  <c r="E11" i="4"/>
  <c r="G11" i="4" s="1"/>
  <c r="E12" i="4"/>
  <c r="G12" i="4" s="1"/>
  <c r="E13" i="4"/>
  <c r="E14" i="4"/>
  <c r="G14" i="4" s="1"/>
  <c r="E15" i="4"/>
  <c r="G15" i="4" s="1"/>
  <c r="E16" i="4"/>
  <c r="G16" i="4" s="1"/>
  <c r="E17" i="4"/>
  <c r="E18" i="4"/>
  <c r="E19" i="4"/>
  <c r="G19" i="4" s="1"/>
  <c r="E20" i="4"/>
  <c r="G20" i="4" s="1"/>
  <c r="E21" i="4"/>
  <c r="F21" i="4" s="1"/>
  <c r="E22" i="4"/>
  <c r="E23" i="4"/>
  <c r="G23" i="4" s="1"/>
  <c r="E24" i="4"/>
  <c r="G24" i="4" s="1"/>
  <c r="E25" i="4"/>
  <c r="E26" i="4"/>
  <c r="G26" i="4" s="1"/>
  <c r="E27" i="4"/>
  <c r="G27" i="4" s="1"/>
  <c r="E28" i="4"/>
  <c r="G28" i="4" s="1"/>
  <c r="E29" i="4"/>
  <c r="E30" i="4"/>
  <c r="G30" i="4" s="1"/>
  <c r="E31" i="4"/>
  <c r="G31" i="4" s="1"/>
  <c r="E32" i="4"/>
  <c r="G32" i="4" s="1"/>
  <c r="E33" i="4"/>
  <c r="E34" i="4"/>
  <c r="E35" i="4"/>
  <c r="G35" i="4" s="1"/>
  <c r="E36" i="4"/>
  <c r="G36" i="4" s="1"/>
  <c r="E37" i="4"/>
  <c r="F37" i="4" s="1"/>
  <c r="E38" i="4"/>
  <c r="E39" i="4"/>
  <c r="G39" i="4" s="1"/>
  <c r="E40" i="4"/>
  <c r="G40" i="4" s="1"/>
  <c r="E41" i="4"/>
  <c r="E42" i="4"/>
  <c r="G42" i="4" s="1"/>
  <c r="E43" i="4"/>
  <c r="G43" i="4" s="1"/>
  <c r="E44" i="4"/>
  <c r="G44" i="4" s="1"/>
  <c r="E45" i="4"/>
  <c r="E46" i="4"/>
  <c r="G46" i="4" s="1"/>
  <c r="E47" i="4"/>
  <c r="G47" i="4" s="1"/>
  <c r="E48" i="4"/>
  <c r="G48" i="4" s="1"/>
  <c r="E49" i="4"/>
  <c r="E50" i="4"/>
  <c r="E51" i="4"/>
  <c r="G51" i="4" s="1"/>
  <c r="E52" i="4"/>
  <c r="G52" i="4" s="1"/>
  <c r="E53" i="4"/>
  <c r="F53" i="4" s="1"/>
  <c r="E54" i="4"/>
  <c r="E55" i="4"/>
  <c r="G55" i="4" s="1"/>
  <c r="E56" i="4"/>
  <c r="G56" i="4" s="1"/>
  <c r="E57" i="4"/>
  <c r="E58" i="4"/>
  <c r="G58" i="4" s="1"/>
  <c r="E59" i="4"/>
  <c r="G59" i="4" s="1"/>
  <c r="E60" i="4"/>
  <c r="G60" i="4" s="1"/>
  <c r="E61" i="4"/>
  <c r="E62" i="4"/>
  <c r="G62" i="4" s="1"/>
  <c r="E63" i="4"/>
  <c r="G63" i="4" s="1"/>
  <c r="E64" i="4"/>
  <c r="G64" i="4" s="1"/>
  <c r="E65" i="4"/>
  <c r="E66" i="4"/>
  <c r="E67" i="4"/>
  <c r="G67" i="4" s="1"/>
  <c r="E68" i="4"/>
  <c r="G68" i="4" s="1"/>
  <c r="E69" i="4"/>
  <c r="F69" i="4" s="1"/>
  <c r="E70" i="4"/>
  <c r="E71" i="4"/>
  <c r="G71" i="4" s="1"/>
  <c r="E72" i="4"/>
  <c r="G72" i="4" s="1"/>
  <c r="E73" i="4"/>
  <c r="E74" i="4"/>
  <c r="G74" i="4" s="1"/>
  <c r="E75" i="4"/>
  <c r="G75" i="4" s="1"/>
  <c r="E76" i="4"/>
  <c r="G76" i="4" s="1"/>
  <c r="E77" i="4"/>
  <c r="E78" i="4"/>
  <c r="G78" i="4" s="1"/>
  <c r="E79" i="4"/>
  <c r="G79" i="4" s="1"/>
  <c r="E80" i="4"/>
  <c r="G80" i="4" s="1"/>
  <c r="E81" i="4"/>
  <c r="E82" i="4"/>
  <c r="E83" i="4"/>
  <c r="G83" i="4" s="1"/>
  <c r="E84" i="4"/>
  <c r="G84" i="4" s="1"/>
  <c r="E85" i="4"/>
  <c r="F85" i="4" s="1"/>
  <c r="E86" i="4"/>
  <c r="E87" i="4"/>
  <c r="G87" i="4" s="1"/>
  <c r="E88" i="4"/>
  <c r="G88" i="4" s="1"/>
  <c r="E89" i="4"/>
  <c r="E90" i="4"/>
  <c r="G90" i="4" s="1"/>
  <c r="E91" i="4"/>
  <c r="G91" i="4" s="1"/>
  <c r="E92" i="4"/>
  <c r="G92" i="4" s="1"/>
  <c r="E93" i="4"/>
  <c r="E94" i="4"/>
  <c r="G94" i="4" s="1"/>
  <c r="E95" i="4"/>
  <c r="G95" i="4" s="1"/>
  <c r="E96" i="4"/>
  <c r="G96" i="4" s="1"/>
  <c r="E97" i="4"/>
  <c r="E98" i="4"/>
  <c r="E99" i="4"/>
  <c r="G99" i="4" s="1"/>
  <c r="E100" i="4"/>
  <c r="G100" i="4" s="1"/>
  <c r="E101" i="4"/>
  <c r="F101" i="4" s="1"/>
  <c r="E102" i="4"/>
  <c r="E103" i="4"/>
  <c r="G103" i="4" s="1"/>
  <c r="E104" i="4"/>
  <c r="G104" i="4" s="1"/>
  <c r="E105" i="4"/>
  <c r="E106" i="4"/>
  <c r="G106" i="4" s="1"/>
  <c r="E107" i="4"/>
  <c r="G107" i="4" s="1"/>
  <c r="E108" i="4"/>
  <c r="G108" i="4" s="1"/>
  <c r="E109" i="4"/>
  <c r="E110" i="4"/>
  <c r="G110" i="4" s="1"/>
  <c r="E111" i="4"/>
  <c r="G111" i="4" s="1"/>
  <c r="E112" i="4"/>
  <c r="G112" i="4" s="1"/>
  <c r="E113" i="4"/>
  <c r="E114" i="4"/>
  <c r="E115" i="4"/>
  <c r="G115" i="4" s="1"/>
  <c r="E116" i="4"/>
  <c r="G116" i="4" s="1"/>
  <c r="E117" i="4"/>
  <c r="F117" i="4" s="1"/>
  <c r="E118" i="4"/>
  <c r="E119" i="4"/>
  <c r="G119" i="4" s="1"/>
  <c r="E120" i="4"/>
  <c r="G120" i="4" s="1"/>
  <c r="E121" i="4"/>
  <c r="E122" i="4"/>
  <c r="G122" i="4" s="1"/>
  <c r="E123" i="4"/>
  <c r="G123" i="4" s="1"/>
  <c r="E124" i="4"/>
  <c r="G124" i="4" s="1"/>
  <c r="E125" i="4"/>
  <c r="E126" i="4"/>
  <c r="G126" i="4" s="1"/>
  <c r="E127" i="4"/>
  <c r="G127" i="4" s="1"/>
  <c r="E128" i="4"/>
  <c r="G128" i="4" s="1"/>
  <c r="E129" i="4"/>
  <c r="E130" i="4"/>
  <c r="E131" i="4"/>
  <c r="G131" i="4" s="1"/>
  <c r="E132" i="4"/>
  <c r="G132" i="4" s="1"/>
  <c r="E133" i="4"/>
  <c r="F133" i="4" s="1"/>
  <c r="E134" i="4"/>
  <c r="E135" i="4"/>
  <c r="G135" i="4" s="1"/>
  <c r="E136" i="4"/>
  <c r="G136" i="4" s="1"/>
  <c r="E137" i="4"/>
  <c r="E138" i="4"/>
  <c r="G138" i="4" s="1"/>
  <c r="E139" i="4"/>
  <c r="G139" i="4" s="1"/>
  <c r="E140" i="4"/>
  <c r="G140" i="4" s="1"/>
  <c r="E141" i="4"/>
  <c r="E142" i="4"/>
  <c r="G142" i="4" s="1"/>
  <c r="E143" i="4"/>
  <c r="G143" i="4" s="1"/>
  <c r="E144" i="4"/>
  <c r="G144" i="4" s="1"/>
  <c r="E145" i="4"/>
  <c r="E146" i="4"/>
  <c r="E147" i="4"/>
  <c r="G147" i="4" s="1"/>
  <c r="E148" i="4"/>
  <c r="G148" i="4" s="1"/>
  <c r="E149" i="4"/>
  <c r="F149" i="4" s="1"/>
  <c r="E150" i="4"/>
  <c r="E151" i="4"/>
  <c r="G151" i="4" s="1"/>
  <c r="E152" i="4"/>
  <c r="G152" i="4" s="1"/>
  <c r="E153" i="4"/>
  <c r="E154" i="4"/>
  <c r="G154" i="4" s="1"/>
  <c r="E155" i="4"/>
  <c r="G155" i="4" s="1"/>
  <c r="E156" i="4"/>
  <c r="G156" i="4" s="1"/>
  <c r="E157" i="4"/>
  <c r="E158" i="4"/>
  <c r="G158" i="4" s="1"/>
  <c r="E159" i="4"/>
  <c r="G159" i="4" s="1"/>
  <c r="E160" i="4"/>
  <c r="G160" i="4" s="1"/>
  <c r="E161" i="4"/>
  <c r="E162" i="4"/>
  <c r="E163" i="4"/>
  <c r="G163" i="4" s="1"/>
  <c r="E164" i="4"/>
  <c r="G164" i="4" s="1"/>
  <c r="E165" i="4"/>
  <c r="F165" i="4" s="1"/>
  <c r="E166" i="4"/>
  <c r="E167" i="4"/>
  <c r="G167" i="4" s="1"/>
  <c r="E168" i="4"/>
  <c r="G168" i="4" s="1"/>
  <c r="E169" i="4"/>
  <c r="E170" i="4"/>
  <c r="G170" i="4" s="1"/>
  <c r="E171" i="4"/>
  <c r="G171" i="4" s="1"/>
  <c r="E172" i="4"/>
  <c r="G172" i="4" s="1"/>
  <c r="E173" i="4"/>
  <c r="E174" i="4"/>
  <c r="G174" i="4" s="1"/>
  <c r="E175" i="4"/>
  <c r="G175" i="4" s="1"/>
  <c r="E176" i="4"/>
  <c r="G176" i="4" s="1"/>
  <c r="E177" i="4"/>
  <c r="E178" i="4"/>
  <c r="E179" i="4"/>
  <c r="G179" i="4" s="1"/>
  <c r="E180" i="4"/>
  <c r="G180" i="4" s="1"/>
  <c r="E181" i="4"/>
  <c r="F181" i="4" s="1"/>
  <c r="E182" i="4"/>
  <c r="E183" i="4"/>
  <c r="G183" i="4" s="1"/>
  <c r="E184" i="4"/>
  <c r="G184" i="4" s="1"/>
  <c r="E185" i="4"/>
  <c r="E186" i="4"/>
  <c r="G186" i="4" s="1"/>
  <c r="E187" i="4"/>
  <c r="G187" i="4" s="1"/>
  <c r="E188" i="4"/>
  <c r="G188" i="4" s="1"/>
  <c r="E189" i="4"/>
  <c r="E190" i="4"/>
  <c r="G190" i="4" s="1"/>
  <c r="E191" i="4"/>
  <c r="G191" i="4" s="1"/>
  <c r="E192" i="4"/>
  <c r="E193" i="4"/>
  <c r="E194" i="4"/>
  <c r="E195" i="4"/>
  <c r="G195" i="4" s="1"/>
  <c r="E196" i="4"/>
  <c r="E197" i="4"/>
  <c r="F197" i="4" s="1"/>
  <c r="E198" i="4"/>
  <c r="G198" i="4" s="1"/>
  <c r="E199" i="4"/>
  <c r="G199" i="4" s="1"/>
  <c r="E200" i="4"/>
  <c r="E201" i="4"/>
  <c r="E202" i="4"/>
  <c r="E203" i="4"/>
  <c r="G203" i="4" s="1"/>
  <c r="E204" i="4"/>
  <c r="E205" i="4"/>
  <c r="E206" i="4"/>
  <c r="G206" i="4" s="1"/>
  <c r="E207" i="4"/>
  <c r="G207" i="4" s="1"/>
  <c r="E208" i="4"/>
  <c r="E209" i="4"/>
  <c r="F209" i="4" s="1"/>
  <c r="E210" i="4"/>
  <c r="E211" i="4"/>
  <c r="G211" i="4" s="1"/>
  <c r="E212" i="4"/>
  <c r="E213" i="4"/>
  <c r="E214" i="4"/>
  <c r="G214" i="4" s="1"/>
  <c r="E215" i="4"/>
  <c r="G215" i="4" s="1"/>
  <c r="E216" i="4"/>
  <c r="E217" i="4"/>
  <c r="G217" i="4" s="1"/>
  <c r="E218" i="4"/>
  <c r="E219" i="4"/>
  <c r="G219" i="4" s="1"/>
  <c r="E220" i="4"/>
  <c r="E221" i="4"/>
  <c r="F221" i="4" s="1"/>
  <c r="E222" i="4"/>
  <c r="G222" i="4" s="1"/>
  <c r="E223" i="4"/>
  <c r="G223" i="4" s="1"/>
  <c r="E224" i="4"/>
  <c r="E225" i="4"/>
  <c r="E226" i="4"/>
  <c r="E227" i="4"/>
  <c r="G227" i="4" s="1"/>
  <c r="E228" i="4"/>
  <c r="E229" i="4"/>
  <c r="F229" i="4" s="1"/>
  <c r="E230" i="4"/>
  <c r="G230" i="4" s="1"/>
  <c r="E231" i="4"/>
  <c r="G231" i="4" s="1"/>
  <c r="E232" i="4"/>
  <c r="E233" i="4"/>
  <c r="E234" i="4"/>
  <c r="E235" i="4"/>
  <c r="G235" i="4" s="1"/>
  <c r="E236" i="4"/>
  <c r="E237" i="4"/>
  <c r="E238" i="4"/>
  <c r="G238" i="4" s="1"/>
  <c r="E239" i="4"/>
  <c r="G239" i="4" s="1"/>
  <c r="E240" i="4"/>
  <c r="E241" i="4"/>
  <c r="F241" i="4" s="1"/>
  <c r="E242" i="4"/>
  <c r="E243" i="4"/>
  <c r="G243" i="4" s="1"/>
  <c r="E244" i="4"/>
  <c r="E245" i="4"/>
  <c r="E246" i="4"/>
  <c r="G246" i="4" s="1"/>
  <c r="E247" i="4"/>
  <c r="G247" i="4" s="1"/>
  <c r="E248" i="4"/>
  <c r="E249" i="4"/>
  <c r="G249" i="4" s="1"/>
  <c r="E250" i="4"/>
  <c r="G250" i="4" s="1"/>
  <c r="E251" i="4"/>
  <c r="G251" i="4" s="1"/>
  <c r="E252" i="4"/>
  <c r="E253" i="4"/>
  <c r="F253" i="4" s="1"/>
  <c r="E254" i="4"/>
  <c r="E255" i="4"/>
  <c r="G255" i="4" s="1"/>
  <c r="E256" i="4"/>
  <c r="E257" i="4"/>
  <c r="E258" i="4"/>
  <c r="G258" i="4" s="1"/>
  <c r="E259" i="4"/>
  <c r="G259" i="4" s="1"/>
  <c r="E260" i="4"/>
  <c r="E261" i="4"/>
  <c r="F261" i="4" s="1"/>
  <c r="E262" i="4"/>
  <c r="E263" i="4"/>
  <c r="G263" i="4" s="1"/>
  <c r="E264" i="4"/>
  <c r="E265" i="4"/>
  <c r="E266" i="4"/>
  <c r="G266" i="4" s="1"/>
  <c r="E267" i="4"/>
  <c r="G267" i="4" s="1"/>
  <c r="E268" i="4"/>
  <c r="E269" i="4"/>
  <c r="E270" i="4"/>
  <c r="E271" i="4"/>
  <c r="G271" i="4" s="1"/>
  <c r="E272" i="4"/>
  <c r="E273" i="4"/>
  <c r="F273" i="4" s="1"/>
  <c r="E274" i="4"/>
  <c r="G274" i="4" s="1"/>
  <c r="E275" i="4"/>
  <c r="G275" i="4" s="1"/>
  <c r="E276" i="4"/>
  <c r="E277" i="4"/>
  <c r="E278" i="4"/>
  <c r="E279" i="4"/>
  <c r="G279" i="4" s="1"/>
  <c r="E280" i="4"/>
  <c r="E281" i="4"/>
  <c r="G281" i="4" s="1"/>
  <c r="E282" i="4"/>
  <c r="G282" i="4" s="1"/>
  <c r="E283" i="4"/>
  <c r="G283" i="4" s="1"/>
  <c r="E284" i="4"/>
  <c r="E285" i="4"/>
  <c r="F285" i="4" s="1"/>
  <c r="E286" i="4"/>
  <c r="E287" i="4"/>
  <c r="G287" i="4" s="1"/>
  <c r="E288" i="4"/>
  <c r="E289" i="4"/>
  <c r="E290" i="4"/>
  <c r="G290" i="4" s="1"/>
  <c r="E291" i="4"/>
  <c r="G291" i="4" s="1"/>
  <c r="E292" i="4"/>
  <c r="E293" i="4"/>
  <c r="F293" i="4" s="1"/>
  <c r="E294" i="4"/>
  <c r="E295" i="4"/>
  <c r="G295" i="4" s="1"/>
  <c r="E296" i="4"/>
  <c r="E297" i="4"/>
  <c r="E298" i="4"/>
  <c r="G298" i="4" s="1"/>
  <c r="E299" i="4"/>
  <c r="G299" i="4" s="1"/>
  <c r="E300" i="4"/>
  <c r="E301" i="4"/>
  <c r="E302" i="4"/>
  <c r="E303" i="4"/>
  <c r="G303" i="4" s="1"/>
  <c r="E304" i="4"/>
  <c r="E305" i="4"/>
  <c r="F305" i="4" s="1"/>
  <c r="E306" i="4"/>
  <c r="G306" i="4" s="1"/>
  <c r="E307" i="4"/>
  <c r="G307" i="4" s="1"/>
  <c r="E308" i="4"/>
  <c r="E309" i="4"/>
  <c r="E310" i="4"/>
  <c r="E311" i="4"/>
  <c r="G311" i="4" s="1"/>
  <c r="E312" i="4"/>
  <c r="E313" i="4"/>
  <c r="G313" i="4" s="1"/>
  <c r="E314" i="4"/>
  <c r="E315" i="4"/>
  <c r="G315" i="4" s="1"/>
  <c r="E316" i="4"/>
  <c r="E317" i="4"/>
  <c r="F317" i="4" s="1"/>
  <c r="E318" i="4"/>
  <c r="G318" i="4" s="1"/>
  <c r="E319" i="4"/>
  <c r="G319" i="4" s="1"/>
  <c r="E320" i="4"/>
  <c r="E321" i="4"/>
  <c r="E322" i="4"/>
  <c r="E323" i="4"/>
  <c r="G323" i="4" s="1"/>
  <c r="E324" i="4"/>
  <c r="E325" i="4"/>
  <c r="F325" i="4" s="1"/>
  <c r="E326" i="4"/>
  <c r="G326" i="4" s="1"/>
  <c r="E327" i="4"/>
  <c r="G327" i="4" s="1"/>
  <c r="E328" i="4"/>
  <c r="E329" i="4"/>
  <c r="E330" i="4"/>
  <c r="E331" i="4"/>
  <c r="G331" i="4" s="1"/>
  <c r="E332" i="4"/>
  <c r="E333" i="4"/>
  <c r="E334" i="4"/>
  <c r="G334" i="4" s="1"/>
  <c r="E335" i="4"/>
  <c r="G335" i="4" s="1"/>
  <c r="E336" i="4"/>
  <c r="E337" i="4"/>
  <c r="E338" i="4"/>
  <c r="E339" i="4"/>
  <c r="G339" i="4" s="1"/>
  <c r="E340" i="4"/>
  <c r="E341" i="4"/>
  <c r="E342" i="4"/>
  <c r="G342" i="4" s="1"/>
  <c r="E343" i="4"/>
  <c r="G343" i="4" s="1"/>
  <c r="E344" i="4"/>
  <c r="E345" i="4"/>
  <c r="G345" i="4" s="1"/>
  <c r="E346" i="4"/>
  <c r="E347" i="4"/>
  <c r="G347" i="4" s="1"/>
  <c r="E348" i="4"/>
  <c r="E349" i="4"/>
  <c r="E350" i="4"/>
  <c r="G350" i="4" s="1"/>
  <c r="E351" i="4"/>
  <c r="G351" i="4" s="1"/>
  <c r="E352" i="4"/>
  <c r="E353" i="4"/>
  <c r="E354" i="4"/>
  <c r="E355" i="4"/>
  <c r="G355" i="4" s="1"/>
  <c r="E356" i="4"/>
  <c r="E357" i="4"/>
  <c r="E358" i="4"/>
  <c r="G358" i="4" s="1"/>
  <c r="E359" i="4"/>
  <c r="G359" i="4" s="1"/>
  <c r="E360" i="4"/>
  <c r="E361" i="4"/>
  <c r="E362" i="4"/>
  <c r="E363" i="4"/>
  <c r="G363" i="4" s="1"/>
  <c r="E364" i="4"/>
  <c r="E365" i="4"/>
  <c r="E366" i="4"/>
  <c r="G366" i="4" s="1"/>
  <c r="E367" i="4"/>
  <c r="G367" i="4" s="1"/>
  <c r="E368" i="4"/>
  <c r="E369" i="4"/>
  <c r="E370" i="4"/>
  <c r="E371" i="4"/>
  <c r="G371" i="4" s="1"/>
  <c r="E372" i="4"/>
  <c r="E373" i="4"/>
  <c r="E374" i="4"/>
  <c r="G374" i="4" s="1"/>
  <c r="E375" i="4"/>
  <c r="G375" i="4" s="1"/>
  <c r="E376" i="4"/>
  <c r="E377" i="4"/>
  <c r="G377" i="4" s="1"/>
  <c r="E378" i="4"/>
  <c r="G378" i="4" s="1"/>
  <c r="E379" i="4"/>
  <c r="G379" i="4" s="1"/>
  <c r="E380" i="4"/>
  <c r="E381" i="4"/>
  <c r="E382" i="4"/>
  <c r="E383" i="4"/>
  <c r="G383" i="4" s="1"/>
  <c r="E384" i="4"/>
  <c r="E385" i="4"/>
  <c r="E386" i="4"/>
  <c r="G386" i="4" s="1"/>
  <c r="E387" i="4"/>
  <c r="G387" i="4" s="1"/>
  <c r="E388" i="4"/>
  <c r="E389" i="4"/>
  <c r="E390" i="4"/>
  <c r="E391" i="4"/>
  <c r="G391" i="4" s="1"/>
  <c r="E392" i="4"/>
  <c r="E393" i="4"/>
  <c r="E394" i="4"/>
  <c r="G394" i="4" s="1"/>
  <c r="E395" i="4"/>
  <c r="G395" i="4" s="1"/>
  <c r="E396" i="4"/>
  <c r="E397" i="4"/>
  <c r="E398" i="4"/>
  <c r="E399" i="4"/>
  <c r="G399" i="4" s="1"/>
  <c r="E400" i="4"/>
  <c r="E401" i="4"/>
  <c r="E402" i="4"/>
  <c r="G402" i="4" s="1"/>
  <c r="E403" i="4"/>
  <c r="G403" i="4" s="1"/>
  <c r="E404" i="4"/>
  <c r="E405" i="4"/>
  <c r="E406" i="4"/>
  <c r="E407" i="4"/>
  <c r="G407" i="4" s="1"/>
  <c r="E408" i="4"/>
  <c r="E409" i="4"/>
  <c r="G409" i="4" s="1"/>
  <c r="E410" i="4"/>
  <c r="G410" i="4" s="1"/>
  <c r="E411" i="4"/>
  <c r="G411" i="4" s="1"/>
  <c r="E412" i="4"/>
  <c r="E413" i="4"/>
  <c r="E414" i="4"/>
  <c r="E415" i="4"/>
  <c r="G415" i="4" s="1"/>
  <c r="E416" i="4"/>
  <c r="E417" i="4"/>
  <c r="E418" i="4"/>
  <c r="G418" i="4" s="1"/>
  <c r="E419" i="4"/>
  <c r="G419" i="4" s="1"/>
  <c r="E420" i="4"/>
  <c r="E421" i="4"/>
  <c r="E422" i="4"/>
  <c r="E423" i="4"/>
  <c r="G423" i="4" s="1"/>
  <c r="E424" i="4"/>
  <c r="E425" i="4"/>
  <c r="E426" i="4"/>
  <c r="G426" i="4" s="1"/>
  <c r="E427" i="4"/>
  <c r="G427" i="4" s="1"/>
  <c r="E428" i="4"/>
  <c r="E429" i="4"/>
  <c r="E430" i="4"/>
  <c r="E431" i="4"/>
  <c r="G431" i="4" s="1"/>
  <c r="E432" i="4"/>
  <c r="E433" i="4"/>
  <c r="E434" i="4"/>
  <c r="G434" i="4" s="1"/>
  <c r="E435" i="4"/>
  <c r="G435" i="4" s="1"/>
  <c r="E436" i="4"/>
  <c r="E437" i="4"/>
  <c r="E438" i="4"/>
  <c r="E439" i="4"/>
  <c r="G439" i="4" s="1"/>
  <c r="E440" i="4"/>
  <c r="E441" i="4"/>
  <c r="G441" i="4" s="1"/>
  <c r="E442" i="4"/>
  <c r="E443" i="4"/>
  <c r="G443" i="4" s="1"/>
  <c r="E444" i="4"/>
  <c r="E445" i="4"/>
  <c r="E446" i="4"/>
  <c r="G446" i="4" s="1"/>
  <c r="E447" i="4"/>
  <c r="G447" i="4" s="1"/>
  <c r="E448" i="4"/>
  <c r="E449" i="4"/>
  <c r="E450" i="4"/>
  <c r="E451" i="4"/>
  <c r="G451" i="4" s="1"/>
  <c r="E452" i="4"/>
  <c r="E453" i="4"/>
  <c r="E454" i="4"/>
  <c r="G454" i="4" s="1"/>
  <c r="E455" i="4"/>
  <c r="G455" i="4" s="1"/>
  <c r="E456" i="4"/>
  <c r="E457" i="4"/>
  <c r="E458" i="4"/>
  <c r="E459" i="4"/>
  <c r="G459" i="4" s="1"/>
  <c r="E460" i="4"/>
  <c r="E461" i="4"/>
  <c r="E462" i="4"/>
  <c r="G462" i="4" s="1"/>
  <c r="E463" i="4"/>
  <c r="G463" i="4" s="1"/>
  <c r="E464" i="4"/>
  <c r="E465" i="4"/>
  <c r="E466" i="4"/>
  <c r="E467" i="4"/>
  <c r="G467" i="4" s="1"/>
  <c r="E468" i="4"/>
  <c r="E469" i="4"/>
  <c r="E470" i="4"/>
  <c r="G470" i="4" s="1"/>
  <c r="E471" i="4"/>
  <c r="G471" i="4" s="1"/>
  <c r="E472" i="4"/>
  <c r="E473" i="4"/>
  <c r="G473" i="4" s="1"/>
  <c r="E474" i="4"/>
  <c r="E475" i="4"/>
  <c r="G475" i="4" s="1"/>
  <c r="E476" i="4"/>
  <c r="E477" i="4"/>
  <c r="E478" i="4"/>
  <c r="G478" i="4" s="1"/>
  <c r="E479" i="4"/>
  <c r="G479" i="4" s="1"/>
  <c r="E480" i="4"/>
  <c r="E481" i="4"/>
  <c r="E482" i="4"/>
  <c r="E483" i="4"/>
  <c r="G483" i="4" s="1"/>
  <c r="E484" i="4"/>
  <c r="E485" i="4"/>
  <c r="E486" i="4"/>
  <c r="G486" i="4" s="1"/>
  <c r="E487" i="4"/>
  <c r="G487" i="4" s="1"/>
  <c r="E488" i="4"/>
  <c r="E489" i="4"/>
  <c r="E490" i="4"/>
  <c r="E491" i="4"/>
  <c r="G491" i="4" s="1"/>
  <c r="E492" i="4"/>
  <c r="E493" i="4"/>
  <c r="E494" i="4"/>
  <c r="G494" i="4" s="1"/>
  <c r="E495" i="4"/>
  <c r="G495" i="4" s="1"/>
  <c r="E496" i="4"/>
  <c r="E497" i="4"/>
  <c r="E498" i="4"/>
  <c r="E499" i="4"/>
  <c r="G499" i="4" s="1"/>
  <c r="E500" i="4"/>
  <c r="E501" i="4"/>
  <c r="E502" i="4"/>
  <c r="G502" i="4" s="1"/>
  <c r="E503" i="4"/>
  <c r="G503" i="4" s="1"/>
  <c r="E504" i="4"/>
  <c r="E505" i="4"/>
  <c r="G505" i="4" s="1"/>
  <c r="E506" i="4"/>
  <c r="G506" i="4" s="1"/>
  <c r="E507" i="4"/>
  <c r="G507" i="4" s="1"/>
  <c r="E508" i="4"/>
  <c r="E509" i="4"/>
  <c r="E510" i="4"/>
  <c r="E511" i="4"/>
  <c r="G511" i="4" s="1"/>
  <c r="E512" i="4"/>
  <c r="E513" i="4"/>
  <c r="E514" i="4"/>
  <c r="G514" i="4" s="1"/>
  <c r="E515" i="4"/>
  <c r="G515" i="4" s="1"/>
  <c r="E516" i="4"/>
  <c r="E517" i="4"/>
  <c r="E518" i="4"/>
  <c r="E519" i="4"/>
  <c r="G519" i="4" s="1"/>
  <c r="E520" i="4"/>
  <c r="E521" i="4"/>
  <c r="E522" i="4"/>
  <c r="G522" i="4" s="1"/>
  <c r="E523" i="4"/>
  <c r="G523" i="4" s="1"/>
  <c r="E524" i="4"/>
  <c r="E525" i="4"/>
  <c r="E526" i="4"/>
  <c r="E527" i="4"/>
  <c r="G527" i="4" s="1"/>
  <c r="E528" i="4"/>
  <c r="E529" i="4"/>
  <c r="E530" i="4"/>
  <c r="G530" i="4" s="1"/>
  <c r="E531" i="4"/>
  <c r="G531" i="4" s="1"/>
  <c r="E532" i="4"/>
  <c r="E533" i="4"/>
  <c r="E534" i="4"/>
  <c r="E535" i="4"/>
  <c r="G535" i="4" s="1"/>
  <c r="E536" i="4"/>
  <c r="E537" i="4"/>
  <c r="E538" i="4"/>
  <c r="G538" i="4" s="1"/>
  <c r="E539" i="4"/>
  <c r="G539" i="4" s="1"/>
  <c r="E540" i="4"/>
  <c r="E541" i="4"/>
  <c r="E542" i="4"/>
  <c r="E543" i="4"/>
  <c r="G543" i="4" s="1"/>
  <c r="E544" i="4"/>
  <c r="E545" i="4"/>
  <c r="E546" i="4"/>
  <c r="G546" i="4" s="1"/>
  <c r="E547" i="4"/>
  <c r="G547" i="4" s="1"/>
  <c r="E548" i="4"/>
  <c r="E549" i="4"/>
  <c r="E550" i="4"/>
  <c r="E551" i="4"/>
  <c r="G551" i="4" s="1"/>
  <c r="E552" i="4"/>
  <c r="E553" i="4"/>
  <c r="E554" i="4"/>
  <c r="G554" i="4" s="1"/>
  <c r="E555" i="4"/>
  <c r="G555" i="4" s="1"/>
  <c r="E556" i="4"/>
  <c r="E557" i="4"/>
  <c r="E558" i="4"/>
  <c r="E559" i="4"/>
  <c r="G559" i="4" s="1"/>
  <c r="E560" i="4"/>
  <c r="E561" i="4"/>
  <c r="E562" i="4"/>
  <c r="G562" i="4" s="1"/>
  <c r="E563" i="4"/>
  <c r="G563" i="4" s="1"/>
  <c r="E564" i="4"/>
  <c r="E565" i="4"/>
  <c r="E566" i="4"/>
  <c r="E567" i="4"/>
  <c r="G567" i="4" s="1"/>
  <c r="E568" i="4"/>
  <c r="E569" i="4"/>
  <c r="E570" i="4"/>
  <c r="G570" i="4" s="1"/>
  <c r="E571" i="4"/>
  <c r="G571" i="4" s="1"/>
  <c r="E572" i="4"/>
  <c r="E573" i="4"/>
  <c r="E574" i="4"/>
  <c r="E575" i="4"/>
  <c r="G575" i="4" s="1"/>
  <c r="E576" i="4"/>
  <c r="E577" i="4"/>
  <c r="E578" i="4"/>
  <c r="G578" i="4" s="1"/>
  <c r="E579" i="4"/>
  <c r="G579" i="4" s="1"/>
  <c r="E580" i="4"/>
  <c r="E581" i="4"/>
  <c r="E582" i="4"/>
  <c r="E583" i="4"/>
  <c r="G583" i="4" s="1"/>
  <c r="E584" i="4"/>
  <c r="E585" i="4"/>
  <c r="E586" i="4"/>
  <c r="G586" i="4" s="1"/>
  <c r="E587" i="4"/>
  <c r="G587" i="4" s="1"/>
  <c r="E588" i="4"/>
  <c r="E589" i="4"/>
  <c r="E590" i="4"/>
  <c r="E591" i="4"/>
  <c r="G591" i="4" s="1"/>
  <c r="E592" i="4"/>
  <c r="E593" i="4"/>
  <c r="E594" i="4"/>
  <c r="G594" i="4" s="1"/>
  <c r="E595" i="4"/>
  <c r="G595" i="4" s="1"/>
  <c r="E596" i="4"/>
  <c r="E597" i="4"/>
  <c r="E598" i="4"/>
  <c r="E599" i="4"/>
  <c r="G599" i="4" s="1"/>
  <c r="E600" i="4"/>
  <c r="E601" i="4"/>
  <c r="E602" i="4"/>
  <c r="G602" i="4" s="1"/>
  <c r="E603" i="4"/>
  <c r="G603" i="4" s="1"/>
  <c r="E604" i="4"/>
  <c r="E605" i="4"/>
  <c r="E606" i="4"/>
  <c r="E607" i="4"/>
  <c r="G607" i="4" s="1"/>
  <c r="E608" i="4"/>
  <c r="E609" i="4"/>
  <c r="E610" i="4"/>
  <c r="G610" i="4" s="1"/>
  <c r="E611" i="4"/>
  <c r="G611" i="4" s="1"/>
  <c r="E612" i="4"/>
  <c r="E613" i="4"/>
  <c r="E614" i="4"/>
  <c r="E615" i="4"/>
  <c r="G615" i="4" s="1"/>
  <c r="E616" i="4"/>
  <c r="E617" i="4"/>
  <c r="E618" i="4"/>
  <c r="G618" i="4" s="1"/>
  <c r="E619" i="4"/>
  <c r="G619" i="4" s="1"/>
  <c r="E620" i="4"/>
  <c r="E621" i="4"/>
  <c r="E622" i="4"/>
  <c r="E623" i="4"/>
  <c r="G623" i="4" s="1"/>
  <c r="E624" i="4"/>
  <c r="E625" i="4"/>
  <c r="E626" i="4"/>
  <c r="G626" i="4" s="1"/>
  <c r="E627" i="4"/>
  <c r="G627" i="4" s="1"/>
  <c r="E628" i="4"/>
  <c r="E629" i="4"/>
  <c r="E630" i="4"/>
  <c r="E631" i="4"/>
  <c r="G631" i="4" s="1"/>
  <c r="E632" i="4"/>
  <c r="E633" i="4"/>
  <c r="E634" i="4"/>
  <c r="G634" i="4" s="1"/>
  <c r="E635" i="4"/>
  <c r="G635" i="4" s="1"/>
  <c r="E636" i="4"/>
  <c r="E637" i="4"/>
  <c r="E638" i="4"/>
  <c r="E639" i="4"/>
  <c r="G639" i="4" s="1"/>
  <c r="E640" i="4"/>
  <c r="E641" i="4"/>
  <c r="E642" i="4"/>
  <c r="G642" i="4" s="1"/>
  <c r="E643" i="4"/>
  <c r="G643" i="4" s="1"/>
  <c r="E644" i="4"/>
  <c r="E645" i="4"/>
  <c r="E646" i="4"/>
  <c r="E647" i="4"/>
  <c r="G647" i="4" s="1"/>
  <c r="E648" i="4"/>
  <c r="E649" i="4"/>
  <c r="E650" i="4"/>
  <c r="G650" i="4" s="1"/>
  <c r="E651" i="4"/>
  <c r="G651" i="4" s="1"/>
  <c r="E652" i="4"/>
  <c r="E653" i="4"/>
  <c r="E654" i="4"/>
  <c r="E655" i="4"/>
  <c r="G655" i="4" s="1"/>
  <c r="E656" i="4"/>
  <c r="E657" i="4"/>
  <c r="E658" i="4"/>
  <c r="G658" i="4" s="1"/>
  <c r="E659" i="4"/>
  <c r="G659" i="4" s="1"/>
  <c r="E660" i="4"/>
  <c r="E661" i="4"/>
  <c r="E662" i="4"/>
  <c r="E663" i="4"/>
  <c r="G663" i="4" s="1"/>
  <c r="E664" i="4"/>
  <c r="E665" i="4"/>
  <c r="E666" i="4"/>
  <c r="G666" i="4" s="1"/>
  <c r="E667" i="4"/>
  <c r="G667" i="4" s="1"/>
  <c r="E668" i="4"/>
  <c r="E669" i="4"/>
  <c r="E670" i="4"/>
  <c r="E671" i="4"/>
  <c r="G671" i="4" s="1"/>
  <c r="E672" i="4"/>
  <c r="E673" i="4"/>
  <c r="E674" i="4"/>
  <c r="G674" i="4" s="1"/>
  <c r="E675" i="4"/>
  <c r="G675" i="4" s="1"/>
  <c r="E676" i="4"/>
  <c r="E677" i="4"/>
  <c r="E678" i="4"/>
  <c r="E679" i="4"/>
  <c r="G679" i="4" s="1"/>
  <c r="E680" i="4"/>
  <c r="E681" i="4"/>
  <c r="E682" i="4"/>
  <c r="G682" i="4" s="1"/>
  <c r="E683" i="4"/>
  <c r="G683" i="4" s="1"/>
  <c r="E684" i="4"/>
  <c r="E685" i="4"/>
  <c r="E686" i="4"/>
  <c r="E687" i="4"/>
  <c r="G687" i="4" s="1"/>
  <c r="E688" i="4"/>
  <c r="E689" i="4"/>
  <c r="E690" i="4"/>
  <c r="G690" i="4" s="1"/>
  <c r="E691" i="4"/>
  <c r="G691" i="4" s="1"/>
  <c r="E692" i="4"/>
  <c r="E693" i="4"/>
  <c r="E694" i="4"/>
  <c r="E695" i="4"/>
  <c r="G695" i="4" s="1"/>
  <c r="E696" i="4"/>
  <c r="E697" i="4"/>
  <c r="E698" i="4"/>
  <c r="G698" i="4" s="1"/>
  <c r="E699" i="4"/>
  <c r="G699" i="4" s="1"/>
  <c r="E700" i="4"/>
  <c r="E701" i="4"/>
  <c r="E702" i="4"/>
  <c r="E703" i="4"/>
  <c r="G703" i="4" s="1"/>
  <c r="E704" i="4"/>
  <c r="E705" i="4"/>
  <c r="E706" i="4"/>
  <c r="G706" i="4" s="1"/>
  <c r="E707" i="4"/>
  <c r="G707" i="4" s="1"/>
  <c r="E708" i="4"/>
  <c r="E709" i="4"/>
  <c r="E710" i="4"/>
  <c r="E711" i="4"/>
  <c r="G711" i="4" s="1"/>
  <c r="E712" i="4"/>
  <c r="E713" i="4"/>
  <c r="E714" i="4"/>
  <c r="G714" i="4" s="1"/>
  <c r="E715" i="4"/>
  <c r="G715" i="4" s="1"/>
  <c r="E716" i="4"/>
  <c r="E717" i="4"/>
  <c r="E718" i="4"/>
  <c r="E719" i="4"/>
  <c r="G719" i="4" s="1"/>
  <c r="E720" i="4"/>
  <c r="E721" i="4"/>
  <c r="E722" i="4"/>
  <c r="G722" i="4" s="1"/>
  <c r="E723" i="4"/>
  <c r="G723" i="4" s="1"/>
  <c r="E724" i="4"/>
  <c r="E725" i="4"/>
  <c r="E726" i="4"/>
  <c r="E727" i="4"/>
  <c r="G727" i="4" s="1"/>
  <c r="E728" i="4"/>
  <c r="E729" i="4"/>
  <c r="E730" i="4"/>
  <c r="G730" i="4" s="1"/>
  <c r="E731" i="4"/>
  <c r="G731" i="4" s="1"/>
  <c r="E732" i="4"/>
  <c r="E733" i="4"/>
  <c r="E734" i="4"/>
  <c r="E735" i="4"/>
  <c r="G735" i="4" s="1"/>
  <c r="E736" i="4"/>
  <c r="E737" i="4"/>
  <c r="E738" i="4"/>
  <c r="G738" i="4" s="1"/>
  <c r="E739" i="4"/>
  <c r="G739" i="4" s="1"/>
  <c r="E740" i="4"/>
  <c r="E741" i="4"/>
  <c r="E742" i="4"/>
  <c r="E743" i="4"/>
  <c r="G743" i="4" s="1"/>
  <c r="E744" i="4"/>
  <c r="E745" i="4"/>
  <c r="E746" i="4"/>
  <c r="G746" i="4" s="1"/>
  <c r="E747" i="4"/>
  <c r="G747" i="4" s="1"/>
  <c r="E748" i="4"/>
  <c r="E749" i="4"/>
  <c r="E750" i="4"/>
  <c r="E751" i="4"/>
  <c r="G751" i="4" s="1"/>
  <c r="E752" i="4"/>
  <c r="E753" i="4"/>
  <c r="E754" i="4"/>
  <c r="G754" i="4" s="1"/>
  <c r="E755" i="4"/>
  <c r="G755" i="4" s="1"/>
  <c r="E756" i="4"/>
  <c r="E757" i="4"/>
  <c r="E758" i="4"/>
  <c r="E759" i="4"/>
  <c r="G759" i="4" s="1"/>
  <c r="E760" i="4"/>
  <c r="E761" i="4"/>
  <c r="E762" i="4"/>
  <c r="G762" i="4" s="1"/>
  <c r="E763" i="4"/>
  <c r="G763" i="4" s="1"/>
  <c r="E764" i="4"/>
  <c r="E765" i="4"/>
  <c r="E766" i="4"/>
  <c r="E767" i="4"/>
  <c r="G767" i="4" s="1"/>
  <c r="E768" i="4"/>
  <c r="E769" i="4"/>
  <c r="E770" i="4"/>
  <c r="G770" i="4" s="1"/>
  <c r="E771" i="4"/>
  <c r="G771" i="4" s="1"/>
  <c r="E772" i="4"/>
  <c r="E773" i="4"/>
  <c r="E774" i="4"/>
  <c r="E775" i="4"/>
  <c r="G775" i="4" s="1"/>
  <c r="E776" i="4"/>
  <c r="E777" i="4"/>
  <c r="E778" i="4"/>
  <c r="G778" i="4" s="1"/>
  <c r="E779" i="4"/>
  <c r="G779" i="4" s="1"/>
  <c r="E780" i="4"/>
  <c r="E781" i="4"/>
  <c r="E782" i="4"/>
  <c r="E783" i="4"/>
  <c r="G783" i="4" s="1"/>
  <c r="E784" i="4"/>
  <c r="E785" i="4"/>
  <c r="E786" i="4"/>
  <c r="G786" i="4" s="1"/>
  <c r="E787" i="4"/>
  <c r="G787" i="4" s="1"/>
  <c r="E788" i="4"/>
  <c r="E789" i="4"/>
  <c r="E790" i="4"/>
  <c r="E791" i="4"/>
  <c r="G791" i="4" s="1"/>
  <c r="E792" i="4"/>
  <c r="E793" i="4"/>
  <c r="E794" i="4"/>
  <c r="G794" i="4" s="1"/>
  <c r="E795" i="4"/>
  <c r="G795" i="4" s="1"/>
  <c r="E796" i="4"/>
  <c r="G796" i="4" s="1"/>
  <c r="E797" i="4"/>
  <c r="E798" i="4"/>
  <c r="G798" i="4" s="1"/>
  <c r="E799" i="4"/>
  <c r="G799" i="4" s="1"/>
  <c r="E800" i="4"/>
  <c r="G800" i="4" s="1"/>
  <c r="E801" i="4"/>
  <c r="E802" i="4"/>
  <c r="E803" i="4"/>
  <c r="G803" i="4" s="1"/>
  <c r="E804" i="4"/>
  <c r="E805" i="4"/>
  <c r="E806" i="4"/>
  <c r="G806" i="4" s="1"/>
  <c r="E807" i="4"/>
  <c r="G807" i="4" s="1"/>
  <c r="E808" i="4"/>
  <c r="E809" i="4"/>
  <c r="E810" i="4"/>
  <c r="E811" i="4"/>
  <c r="G811" i="4" s="1"/>
  <c r="E812" i="4"/>
  <c r="G812" i="4" s="1"/>
  <c r="E813" i="4"/>
  <c r="E814" i="4"/>
  <c r="G814" i="4" s="1"/>
  <c r="E815" i="4"/>
  <c r="E816" i="4"/>
  <c r="G816" i="4" s="1"/>
  <c r="E817" i="4"/>
  <c r="E818" i="4"/>
  <c r="G818" i="4" s="1"/>
  <c r="E819" i="4"/>
  <c r="G819" i="4" s="1"/>
  <c r="E820" i="4"/>
  <c r="E821" i="4"/>
  <c r="E822" i="4"/>
  <c r="E823" i="4"/>
  <c r="G823" i="4" s="1"/>
  <c r="E824" i="4"/>
  <c r="E825" i="4"/>
  <c r="E826" i="4"/>
  <c r="G826" i="4" s="1"/>
  <c r="E827" i="4"/>
  <c r="G827" i="4" s="1"/>
  <c r="E828" i="4"/>
  <c r="G828" i="4" s="1"/>
  <c r="E829" i="4"/>
  <c r="E830" i="4"/>
  <c r="G830" i="4" s="1"/>
  <c r="E831" i="4"/>
  <c r="G831" i="4" s="1"/>
  <c r="E832" i="4"/>
  <c r="G832" i="4" s="1"/>
  <c r="E833" i="4"/>
  <c r="E834" i="4"/>
  <c r="E835" i="4"/>
  <c r="G835" i="4" s="1"/>
  <c r="E836" i="4"/>
  <c r="E837" i="4"/>
  <c r="E838" i="4"/>
  <c r="G838" i="4" s="1"/>
  <c r="E839" i="4"/>
  <c r="G839" i="4" s="1"/>
  <c r="E840" i="4"/>
  <c r="E841" i="4"/>
  <c r="E842" i="4"/>
  <c r="E843" i="4"/>
  <c r="G843" i="4" s="1"/>
  <c r="E844" i="4"/>
  <c r="G844" i="4" s="1"/>
  <c r="E845" i="4"/>
  <c r="E846" i="4"/>
  <c r="G846" i="4" s="1"/>
  <c r="E847" i="4"/>
  <c r="E848" i="4"/>
  <c r="G848" i="4" s="1"/>
  <c r="E849" i="4"/>
  <c r="E850" i="4"/>
  <c r="G850" i="4" s="1"/>
  <c r="E851" i="4"/>
  <c r="G851" i="4" s="1"/>
  <c r="E852" i="4"/>
  <c r="E853" i="4"/>
  <c r="E854" i="4"/>
  <c r="E855" i="4"/>
  <c r="G855" i="4" s="1"/>
  <c r="E856" i="4"/>
  <c r="E857" i="4"/>
  <c r="E858" i="4"/>
  <c r="G858" i="4" s="1"/>
  <c r="E859" i="4"/>
  <c r="G859" i="4" s="1"/>
  <c r="E860" i="4"/>
  <c r="G860" i="4" s="1"/>
  <c r="E861" i="4"/>
  <c r="E862" i="4"/>
  <c r="G862" i="4" s="1"/>
  <c r="E863" i="4"/>
  <c r="G863" i="4" s="1"/>
  <c r="E864" i="4"/>
  <c r="G864" i="4" s="1"/>
  <c r="E865" i="4"/>
  <c r="E866" i="4"/>
  <c r="E867" i="4"/>
  <c r="G867" i="4" s="1"/>
  <c r="E868" i="4"/>
  <c r="E869" i="4"/>
  <c r="E870" i="4"/>
  <c r="G870" i="4" s="1"/>
  <c r="E871" i="4"/>
  <c r="G871" i="4" s="1"/>
  <c r="E872" i="4"/>
  <c r="E873" i="4"/>
  <c r="E874" i="4"/>
  <c r="E875" i="4"/>
  <c r="G875" i="4" s="1"/>
  <c r="E876" i="4"/>
  <c r="G876" i="4" s="1"/>
  <c r="E877" i="4"/>
  <c r="E878" i="4"/>
  <c r="G878" i="4" s="1"/>
  <c r="E879" i="4"/>
  <c r="E880" i="4"/>
  <c r="G880" i="4" s="1"/>
  <c r="E881" i="4"/>
  <c r="E882" i="4"/>
  <c r="G882" i="4" s="1"/>
  <c r="E883" i="4"/>
  <c r="G883" i="4" s="1"/>
  <c r="E884" i="4"/>
  <c r="E885" i="4"/>
  <c r="E886" i="4"/>
  <c r="E887" i="4"/>
  <c r="G887" i="4" s="1"/>
  <c r="E888" i="4"/>
  <c r="E889" i="4"/>
  <c r="E890" i="4"/>
  <c r="G890" i="4" s="1"/>
  <c r="E891" i="4"/>
  <c r="G891" i="4" s="1"/>
  <c r="E892" i="4"/>
  <c r="G892" i="4" s="1"/>
  <c r="E893" i="4"/>
  <c r="E894" i="4"/>
  <c r="G894" i="4" s="1"/>
  <c r="E895" i="4"/>
  <c r="G895" i="4" s="1"/>
  <c r="E896" i="4"/>
  <c r="G896" i="4" s="1"/>
  <c r="E897" i="4"/>
  <c r="E898" i="4"/>
  <c r="E899" i="4"/>
  <c r="G899" i="4" s="1"/>
  <c r="E900" i="4"/>
  <c r="E901" i="4"/>
  <c r="E902" i="4"/>
  <c r="G902" i="4" s="1"/>
  <c r="E903" i="4"/>
  <c r="G903" i="4" s="1"/>
  <c r="E904" i="4"/>
  <c r="E905" i="4"/>
  <c r="E906" i="4"/>
  <c r="E907" i="4"/>
  <c r="G907" i="4" s="1"/>
  <c r="E908" i="4"/>
  <c r="G908" i="4" s="1"/>
  <c r="E909" i="4"/>
  <c r="E910" i="4"/>
  <c r="G910" i="4" s="1"/>
  <c r="E911" i="4"/>
  <c r="E912" i="4"/>
  <c r="G912" i="4" s="1"/>
  <c r="E913" i="4"/>
  <c r="E914" i="4"/>
  <c r="G914" i="4" s="1"/>
  <c r="E915" i="4"/>
  <c r="G915" i="4" s="1"/>
  <c r="E916" i="4"/>
  <c r="E917" i="4"/>
  <c r="E918" i="4"/>
  <c r="E919" i="4"/>
  <c r="G919" i="4" s="1"/>
  <c r="E920" i="4"/>
  <c r="E921" i="4"/>
  <c r="E922" i="4"/>
  <c r="G922" i="4" s="1"/>
  <c r="E923" i="4"/>
  <c r="G923" i="4" s="1"/>
  <c r="E924" i="4"/>
  <c r="G924" i="4" s="1"/>
  <c r="E925" i="4"/>
  <c r="E926" i="4"/>
  <c r="G926" i="4" s="1"/>
  <c r="E927" i="4"/>
  <c r="G927" i="4" s="1"/>
  <c r="E928" i="4"/>
  <c r="G928" i="4" s="1"/>
  <c r="E929" i="4"/>
  <c r="E930" i="4"/>
  <c r="E931" i="4"/>
  <c r="G931" i="4" s="1"/>
  <c r="E932" i="4"/>
  <c r="E933" i="4"/>
  <c r="E934" i="4"/>
  <c r="G934" i="4" s="1"/>
  <c r="E935" i="4"/>
  <c r="G935" i="4" s="1"/>
  <c r="E936" i="4"/>
  <c r="E937" i="4"/>
  <c r="E938" i="4"/>
  <c r="G938" i="4" s="1"/>
  <c r="E939" i="4"/>
  <c r="G939" i="4" s="1"/>
  <c r="E940" i="4"/>
  <c r="G940" i="4" s="1"/>
  <c r="E941" i="4"/>
  <c r="E942" i="4"/>
  <c r="G942" i="4" s="1"/>
  <c r="E943" i="4"/>
  <c r="G943" i="4" s="1"/>
  <c r="E944" i="4"/>
  <c r="G944" i="4" s="1"/>
  <c r="E945" i="4"/>
  <c r="E946" i="4"/>
  <c r="G946" i="4" s="1"/>
  <c r="E947" i="4"/>
  <c r="G947" i="4" s="1"/>
  <c r="E948" i="4"/>
  <c r="E949" i="4"/>
  <c r="E950" i="4"/>
  <c r="G950" i="4" s="1"/>
  <c r="E951" i="4"/>
  <c r="G951" i="4" s="1"/>
  <c r="E952" i="4"/>
  <c r="E953" i="4"/>
  <c r="E954" i="4"/>
  <c r="G954" i="4" s="1"/>
  <c r="E955" i="4"/>
  <c r="G955" i="4" s="1"/>
  <c r="E956" i="4"/>
  <c r="G956" i="4" s="1"/>
  <c r="E957" i="4"/>
  <c r="E958" i="4"/>
  <c r="G958" i="4" s="1"/>
  <c r="E959" i="4"/>
  <c r="G959" i="4" s="1"/>
  <c r="E960" i="4"/>
  <c r="G960" i="4" s="1"/>
  <c r="E961" i="4"/>
  <c r="E962" i="4"/>
  <c r="G962" i="4" s="1"/>
  <c r="E963" i="4"/>
  <c r="G963" i="4" s="1"/>
  <c r="E964" i="4"/>
  <c r="E965" i="4"/>
  <c r="E966" i="4"/>
  <c r="G966" i="4" s="1"/>
  <c r="E967" i="4"/>
  <c r="G967" i="4" s="1"/>
  <c r="E968" i="4"/>
  <c r="E969" i="4"/>
  <c r="E970" i="4"/>
  <c r="G970" i="4" s="1"/>
  <c r="E971" i="4"/>
  <c r="G971" i="4" s="1"/>
  <c r="E972" i="4"/>
  <c r="G972" i="4" s="1"/>
  <c r="E973" i="4"/>
  <c r="E974" i="4"/>
  <c r="G974" i="4" s="1"/>
  <c r="E975" i="4"/>
  <c r="G975" i="4" s="1"/>
  <c r="E976" i="4"/>
  <c r="G976" i="4" s="1"/>
  <c r="E977" i="4"/>
  <c r="E978" i="4"/>
  <c r="G978" i="4" s="1"/>
  <c r="E979" i="4"/>
  <c r="G979" i="4" s="1"/>
  <c r="E980" i="4"/>
  <c r="E981" i="4"/>
  <c r="E982" i="4"/>
  <c r="G982" i="4" s="1"/>
  <c r="E983" i="4"/>
  <c r="G983" i="4" s="1"/>
  <c r="E984" i="4"/>
  <c r="E985" i="4"/>
  <c r="E986" i="4"/>
  <c r="G986" i="4" s="1"/>
  <c r="E987" i="4"/>
  <c r="G987" i="4" s="1"/>
  <c r="E988" i="4"/>
  <c r="E989" i="4"/>
  <c r="E990" i="4"/>
  <c r="G990" i="4" s="1"/>
  <c r="E991" i="4"/>
  <c r="G991" i="4" s="1"/>
  <c r="E992" i="4"/>
  <c r="E993" i="4"/>
  <c r="E994" i="4"/>
  <c r="G994" i="4" s="1"/>
  <c r="E995" i="4"/>
  <c r="G995" i="4" s="1"/>
  <c r="E996" i="4"/>
  <c r="E997" i="4"/>
  <c r="E998" i="4"/>
  <c r="G998" i="4" s="1"/>
  <c r="E999" i="4"/>
  <c r="G999" i="4" s="1"/>
  <c r="E1000" i="4"/>
  <c r="E1001" i="4"/>
  <c r="E1002" i="4"/>
  <c r="G1002" i="4" s="1"/>
  <c r="E1003" i="4"/>
  <c r="G1003" i="4" s="1"/>
  <c r="E1004" i="4"/>
  <c r="E1005" i="4"/>
  <c r="E1006" i="4"/>
  <c r="G1006" i="4" s="1"/>
  <c r="E1007" i="4"/>
  <c r="G1007" i="4" s="1"/>
  <c r="E1008" i="4"/>
  <c r="E1009" i="4"/>
  <c r="E1010" i="4"/>
  <c r="G1010" i="4" s="1"/>
  <c r="E1011" i="4"/>
  <c r="G1011" i="4" s="1"/>
  <c r="E1012" i="4"/>
  <c r="E1013" i="4"/>
  <c r="E1014" i="4"/>
  <c r="G1014" i="4" s="1"/>
  <c r="E1015" i="4"/>
  <c r="G1015" i="4" s="1"/>
  <c r="E1016" i="4"/>
  <c r="E1017" i="4"/>
  <c r="E1018" i="4"/>
  <c r="G1018" i="4" s="1"/>
  <c r="E1019" i="4"/>
  <c r="G1019" i="4" s="1"/>
  <c r="E1020" i="4"/>
  <c r="E1021" i="4"/>
  <c r="F3" i="4"/>
  <c r="F7" i="4"/>
  <c r="F8" i="4"/>
  <c r="F10" i="4"/>
  <c r="F11" i="4"/>
  <c r="F12" i="4"/>
  <c r="F14" i="4"/>
  <c r="F15" i="4"/>
  <c r="F19" i="4"/>
  <c r="F20" i="4"/>
  <c r="F23" i="4"/>
  <c r="F24" i="4"/>
  <c r="F27" i="4"/>
  <c r="F28" i="4"/>
  <c r="F30" i="4"/>
  <c r="F31" i="4"/>
  <c r="F32" i="4"/>
  <c r="F35" i="4"/>
  <c r="F36" i="4"/>
  <c r="F39" i="4"/>
  <c r="F40" i="4"/>
  <c r="F42" i="4"/>
  <c r="F43" i="4"/>
  <c r="F44" i="4"/>
  <c r="F46" i="4"/>
  <c r="F47" i="4"/>
  <c r="F48" i="4"/>
  <c r="F51" i="4"/>
  <c r="F52" i="4"/>
  <c r="F55" i="4"/>
  <c r="F56" i="4"/>
  <c r="F59" i="4"/>
  <c r="F60" i="4"/>
  <c r="F62" i="4"/>
  <c r="F63" i="4"/>
  <c r="F64" i="4"/>
  <c r="F67" i="4"/>
  <c r="F68" i="4"/>
  <c r="F71" i="4"/>
  <c r="F72" i="4"/>
  <c r="F74" i="4"/>
  <c r="F75" i="4"/>
  <c r="F76" i="4"/>
  <c r="F78" i="4"/>
  <c r="F79" i="4"/>
  <c r="F80" i="4"/>
  <c r="F83" i="4"/>
  <c r="F84" i="4"/>
  <c r="F87" i="4"/>
  <c r="F88" i="4"/>
  <c r="F91" i="4"/>
  <c r="F92" i="4"/>
  <c r="F94" i="4"/>
  <c r="F95" i="4"/>
  <c r="F96" i="4"/>
  <c r="F99" i="4"/>
  <c r="F100" i="4"/>
  <c r="F103" i="4"/>
  <c r="F104" i="4"/>
  <c r="F106" i="4"/>
  <c r="F107" i="4"/>
  <c r="F108" i="4"/>
  <c r="F110" i="4"/>
  <c r="F111" i="4"/>
  <c r="F112" i="4"/>
  <c r="F115" i="4"/>
  <c r="F116" i="4"/>
  <c r="F119" i="4"/>
  <c r="F120" i="4"/>
  <c r="F123" i="4"/>
  <c r="F124" i="4"/>
  <c r="F126" i="4"/>
  <c r="F127" i="4"/>
  <c r="F128" i="4"/>
  <c r="F131" i="4"/>
  <c r="F132" i="4"/>
  <c r="F135" i="4"/>
  <c r="F136" i="4"/>
  <c r="F138" i="4"/>
  <c r="F139" i="4"/>
  <c r="F142" i="4"/>
  <c r="F143" i="4"/>
  <c r="F144" i="4"/>
  <c r="F147" i="4"/>
  <c r="F148" i="4"/>
  <c r="F151" i="4"/>
  <c r="F152" i="4"/>
  <c r="F155" i="4"/>
  <c r="F156" i="4"/>
  <c r="F158" i="4"/>
  <c r="F159" i="4"/>
  <c r="F163" i="4"/>
  <c r="F164" i="4"/>
  <c r="F167" i="4"/>
  <c r="F170" i="4"/>
  <c r="F171" i="4"/>
  <c r="F172" i="4"/>
  <c r="F174" i="4"/>
  <c r="F175" i="4"/>
  <c r="F176" i="4"/>
  <c r="F179" i="4"/>
  <c r="F183" i="4"/>
  <c r="F184" i="4"/>
  <c r="F187" i="4"/>
  <c r="F190" i="4"/>
  <c r="F191" i="4"/>
  <c r="F195" i="4"/>
  <c r="F198" i="4"/>
  <c r="F199" i="4"/>
  <c r="F203" i="4"/>
  <c r="F207" i="4"/>
  <c r="F211" i="4"/>
  <c r="F215" i="4"/>
  <c r="F219" i="4"/>
  <c r="F223" i="4"/>
  <c r="F227" i="4"/>
  <c r="F230" i="4"/>
  <c r="F231" i="4"/>
  <c r="F235" i="4"/>
  <c r="F238" i="4"/>
  <c r="F239" i="4"/>
  <c r="F243" i="4"/>
  <c r="F247" i="4"/>
  <c r="F251" i="4"/>
  <c r="F255" i="4"/>
  <c r="F258" i="4"/>
  <c r="F259" i="4"/>
  <c r="F263" i="4"/>
  <c r="F266" i="4"/>
  <c r="F267" i="4"/>
  <c r="F271" i="4"/>
  <c r="F275" i="4"/>
  <c r="F279" i="4"/>
  <c r="F281" i="4"/>
  <c r="F283" i="4"/>
  <c r="F287" i="4"/>
  <c r="F291" i="4"/>
  <c r="F295" i="4"/>
  <c r="F298" i="4"/>
  <c r="F299" i="4"/>
  <c r="F303" i="4"/>
  <c r="F306" i="4"/>
  <c r="F307" i="4"/>
  <c r="F311" i="4"/>
  <c r="F315" i="4"/>
  <c r="F318" i="4"/>
  <c r="F319" i="4"/>
  <c r="F323" i="4"/>
  <c r="F326" i="4"/>
  <c r="F327" i="4"/>
  <c r="F331" i="4"/>
  <c r="F335" i="4"/>
  <c r="F339" i="4"/>
  <c r="F343" i="4"/>
  <c r="F347" i="4"/>
  <c r="F351" i="4"/>
  <c r="F355" i="4"/>
  <c r="F358" i="4"/>
  <c r="F359" i="4"/>
  <c r="F363" i="4"/>
  <c r="F366" i="4"/>
  <c r="F367" i="4"/>
  <c r="F371" i="4"/>
  <c r="F375" i="4"/>
  <c r="F379" i="4"/>
  <c r="F383" i="4"/>
  <c r="F386" i="4"/>
  <c r="F387" i="4"/>
  <c r="F391" i="4"/>
  <c r="F394" i="4"/>
  <c r="F395" i="4"/>
  <c r="F399" i="4"/>
  <c r="F403" i="4"/>
  <c r="F407" i="4"/>
  <c r="F411" i="4"/>
  <c r="F415" i="4"/>
  <c r="F419" i="4"/>
  <c r="F423" i="4"/>
  <c r="F426" i="4"/>
  <c r="F427" i="4"/>
  <c r="F431" i="4"/>
  <c r="F434" i="4"/>
  <c r="F435" i="4"/>
  <c r="F439" i="4"/>
  <c r="F441" i="4"/>
  <c r="F443" i="4"/>
  <c r="F446" i="4"/>
  <c r="F447" i="4"/>
  <c r="F451" i="4"/>
  <c r="F454" i="4"/>
  <c r="F455" i="4"/>
  <c r="F459" i="4"/>
  <c r="F463" i="4"/>
  <c r="F467" i="4"/>
  <c r="F471" i="4"/>
  <c r="F475" i="4"/>
  <c r="F479" i="4"/>
  <c r="F483" i="4"/>
  <c r="F486" i="4"/>
  <c r="F487" i="4"/>
  <c r="F491" i="4"/>
  <c r="F494" i="4"/>
  <c r="F495" i="4"/>
  <c r="F499" i="4"/>
  <c r="F503" i="4"/>
  <c r="F507" i="4"/>
  <c r="F511" i="4"/>
  <c r="F514" i="4"/>
  <c r="F515" i="4"/>
  <c r="F519" i="4"/>
  <c r="F522" i="4"/>
  <c r="F523" i="4"/>
  <c r="F527" i="4"/>
  <c r="F531" i="4"/>
  <c r="F535" i="4"/>
  <c r="F539" i="4"/>
  <c r="F543" i="4"/>
  <c r="F546" i="4"/>
  <c r="F547" i="4"/>
  <c r="F551" i="4"/>
  <c r="F554" i="4"/>
  <c r="F555" i="4"/>
  <c r="F559" i="4"/>
  <c r="F563" i="4"/>
  <c r="F567" i="4"/>
  <c r="F571" i="4"/>
  <c r="F575" i="4"/>
  <c r="F578" i="4"/>
  <c r="F579" i="4"/>
  <c r="F583" i="4"/>
  <c r="F586" i="4"/>
  <c r="F587" i="4"/>
  <c r="F591" i="4"/>
  <c r="F595" i="4"/>
  <c r="F599" i="4"/>
  <c r="F603" i="4"/>
  <c r="F607" i="4"/>
  <c r="F610" i="4"/>
  <c r="F611" i="4"/>
  <c r="F615" i="4"/>
  <c r="F618" i="4"/>
  <c r="F623" i="4"/>
  <c r="F627" i="4"/>
  <c r="F631" i="4"/>
  <c r="F639" i="4"/>
  <c r="F642" i="4"/>
  <c r="F643" i="4"/>
  <c r="F650" i="4"/>
  <c r="F651" i="4"/>
  <c r="F655" i="4"/>
  <c r="F663" i="4"/>
  <c r="F667" i="4"/>
  <c r="F671" i="4"/>
  <c r="F674" i="4"/>
  <c r="F675" i="4"/>
  <c r="F679" i="4"/>
  <c r="F682" i="4"/>
  <c r="F687" i="4"/>
  <c r="F691" i="4"/>
  <c r="F695" i="4"/>
  <c r="F703" i="4"/>
  <c r="F706" i="4"/>
  <c r="F707" i="4"/>
  <c r="F714" i="4"/>
  <c r="F715" i="4"/>
  <c r="F719" i="4"/>
  <c r="F727" i="4"/>
  <c r="F731" i="4"/>
  <c r="F735" i="4"/>
  <c r="F738" i="4"/>
  <c r="F739" i="4"/>
  <c r="F743" i="4"/>
  <c r="F746" i="4"/>
  <c r="F755" i="4"/>
  <c r="F759" i="4"/>
  <c r="F767" i="4"/>
  <c r="F770" i="4"/>
  <c r="F771" i="4"/>
  <c r="F778" i="4"/>
  <c r="F779" i="4"/>
  <c r="F795" i="4"/>
  <c r="F798" i="4"/>
  <c r="F800" i="4"/>
  <c r="F806" i="4"/>
  <c r="F807" i="4"/>
  <c r="F814" i="4"/>
  <c r="F816" i="4"/>
  <c r="F830" i="4"/>
  <c r="F832" i="4"/>
  <c r="F838" i="4"/>
  <c r="F846" i="4"/>
  <c r="F848" i="4"/>
  <c r="F855" i="4"/>
  <c r="F862" i="4"/>
  <c r="F864" i="4"/>
  <c r="F870" i="4"/>
  <c r="F878" i="4"/>
  <c r="F880" i="4"/>
  <c r="F894" i="4"/>
  <c r="F896" i="4"/>
  <c r="F899" i="4"/>
  <c r="F902" i="4"/>
  <c r="F910" i="4"/>
  <c r="F912" i="4"/>
  <c r="F926" i="4"/>
  <c r="F928" i="4"/>
  <c r="F934" i="4"/>
  <c r="F940" i="4"/>
  <c r="F943" i="4"/>
  <c r="F946" i="4"/>
  <c r="F954" i="4"/>
  <c r="F956" i="4"/>
  <c r="F958" i="4"/>
  <c r="F966" i="4"/>
  <c r="F972" i="4"/>
  <c r="F983" i="4"/>
  <c r="F986" i="4"/>
  <c r="F994" i="4"/>
  <c r="F1010" i="4"/>
  <c r="F1018" i="4"/>
  <c r="F2" i="4"/>
  <c r="F876" i="4" l="1"/>
  <c r="F313" i="4"/>
  <c r="F960" i="4"/>
  <c r="F924" i="4"/>
  <c r="F908" i="4"/>
  <c r="F812" i="4"/>
  <c r="F976" i="4"/>
  <c r="F944" i="4"/>
  <c r="F931" i="4"/>
  <c r="F923" i="4"/>
  <c r="F892" i="4"/>
  <c r="F871" i="4"/>
  <c r="F860" i="4"/>
  <c r="F844" i="4"/>
  <c r="F828" i="4"/>
  <c r="F796" i="4"/>
  <c r="F249" i="4"/>
  <c r="F188" i="4"/>
  <c r="F180" i="4"/>
  <c r="F168" i="4"/>
  <c r="F160" i="4"/>
  <c r="F140" i="4"/>
  <c r="F1002" i="4"/>
  <c r="F978" i="4"/>
  <c r="F863" i="4"/>
  <c r="F835" i="4"/>
  <c r="F819" i="4"/>
  <c r="F811" i="4"/>
  <c r="F799" i="4"/>
  <c r="F791" i="4"/>
  <c r="F751" i="4"/>
  <c r="F473" i="4"/>
  <c r="F345" i="4"/>
  <c r="F217" i="4"/>
  <c r="F505" i="4"/>
  <c r="F377" i="4"/>
  <c r="F409" i="4"/>
  <c r="F4" i="4"/>
  <c r="F16" i="4"/>
  <c r="F939" i="4"/>
  <c r="F915" i="4"/>
  <c r="F907" i="4"/>
  <c r="F895" i="4"/>
  <c r="F887" i="4"/>
  <c r="F867" i="4"/>
  <c r="F839" i="4"/>
  <c r="F831" i="4"/>
  <c r="F823" i="4"/>
  <c r="F803" i="4"/>
  <c r="F783" i="4"/>
  <c r="F975" i="4"/>
  <c r="F963" i="4"/>
  <c r="F883" i="4"/>
  <c r="F875" i="4"/>
  <c r="F859" i="4"/>
  <c r="F971" i="4"/>
  <c r="F959" i="4"/>
  <c r="F951" i="4"/>
  <c r="F919" i="4"/>
  <c r="F891" i="4"/>
  <c r="F851" i="4"/>
  <c r="F843" i="4"/>
  <c r="F827" i="4"/>
  <c r="F787" i="4"/>
  <c r="F775" i="4"/>
  <c r="F763" i="4"/>
  <c r="F747" i="4"/>
  <c r="F723" i="4"/>
  <c r="F711" i="4"/>
  <c r="F699" i="4"/>
  <c r="F683" i="4"/>
  <c r="F659" i="4"/>
  <c r="F647" i="4"/>
  <c r="F635" i="4"/>
  <c r="F619" i="4"/>
  <c r="F1007" i="4"/>
  <c r="F999" i="4"/>
  <c r="F991" i="4"/>
  <c r="G930" i="4"/>
  <c r="F930" i="4"/>
  <c r="G918" i="4"/>
  <c r="F918" i="4"/>
  <c r="G906" i="4"/>
  <c r="F906" i="4"/>
  <c r="G898" i="4"/>
  <c r="F898" i="4"/>
  <c r="G854" i="4"/>
  <c r="F854" i="4"/>
  <c r="G842" i="4"/>
  <c r="F842" i="4"/>
  <c r="G834" i="4"/>
  <c r="F834" i="4"/>
  <c r="G782" i="4"/>
  <c r="F782" i="4"/>
  <c r="G718" i="4"/>
  <c r="F718" i="4"/>
  <c r="G702" i="4"/>
  <c r="F702" i="4"/>
  <c r="G686" i="4"/>
  <c r="F686" i="4"/>
  <c r="G662" i="4"/>
  <c r="F662" i="4"/>
  <c r="G654" i="4"/>
  <c r="F654" i="4"/>
  <c r="G638" i="4"/>
  <c r="F638" i="4"/>
  <c r="G622" i="4"/>
  <c r="F622" i="4"/>
  <c r="G606" i="4"/>
  <c r="F606" i="4"/>
  <c r="G590" i="4"/>
  <c r="F590" i="4"/>
  <c r="G566" i="4"/>
  <c r="F566" i="4"/>
  <c r="G550" i="4"/>
  <c r="F550" i="4"/>
  <c r="G534" i="4"/>
  <c r="F534" i="4"/>
  <c r="G518" i="4"/>
  <c r="F518" i="4"/>
  <c r="G510" i="4"/>
  <c r="F510" i="4"/>
  <c r="G430" i="4"/>
  <c r="F430" i="4"/>
  <c r="G414" i="4"/>
  <c r="F414" i="4"/>
  <c r="G398" i="4"/>
  <c r="F398" i="4"/>
  <c r="G362" i="4"/>
  <c r="F362" i="4"/>
  <c r="G346" i="4"/>
  <c r="F346" i="4"/>
  <c r="G322" i="4"/>
  <c r="F322" i="4"/>
  <c r="F1014" i="4"/>
  <c r="F1006" i="4"/>
  <c r="F998" i="4"/>
  <c r="F990" i="4"/>
  <c r="F982" i="4"/>
  <c r="F970" i="4"/>
  <c r="F962" i="4"/>
  <c r="F950" i="4"/>
  <c r="F938" i="4"/>
  <c r="F914" i="4"/>
  <c r="F882" i="4"/>
  <c r="F850" i="4"/>
  <c r="F818" i="4"/>
  <c r="F786" i="4"/>
  <c r="F754" i="4"/>
  <c r="F722" i="4"/>
  <c r="F690" i="4"/>
  <c r="F658" i="4"/>
  <c r="F626" i="4"/>
  <c r="F594" i="4"/>
  <c r="F562" i="4"/>
  <c r="F530" i="4"/>
  <c r="F502" i="4"/>
  <c r="F462" i="4"/>
  <c r="F410" i="4"/>
  <c r="F402" i="4"/>
  <c r="F374" i="4"/>
  <c r="F334" i="4"/>
  <c r="F282" i="4"/>
  <c r="F274" i="4"/>
  <c r="F246" i="4"/>
  <c r="F206" i="4"/>
  <c r="F1019" i="4"/>
  <c r="F1011" i="4"/>
  <c r="F1003" i="4"/>
  <c r="F995" i="4"/>
  <c r="F987" i="4"/>
  <c r="F979" i="4"/>
  <c r="F974" i="4"/>
  <c r="F967" i="4"/>
  <c r="F955" i="4"/>
  <c r="F947" i="4"/>
  <c r="F942" i="4"/>
  <c r="F935" i="4"/>
  <c r="F927" i="4"/>
  <c r="F922" i="4"/>
  <c r="F903" i="4"/>
  <c r="F890" i="4"/>
  <c r="F858" i="4"/>
  <c r="F826" i="4"/>
  <c r="F794" i="4"/>
  <c r="F762" i="4"/>
  <c r="F730" i="4"/>
  <c r="F698" i="4"/>
  <c r="F666" i="4"/>
  <c r="F634" i="4"/>
  <c r="F602" i="4"/>
  <c r="F570" i="4"/>
  <c r="F538" i="4"/>
  <c r="F506" i="4"/>
  <c r="F478" i="4"/>
  <c r="F470" i="4"/>
  <c r="F418" i="4"/>
  <c r="F378" i="4"/>
  <c r="F350" i="4"/>
  <c r="F342" i="4"/>
  <c r="F290" i="4"/>
  <c r="F250" i="4"/>
  <c r="F222" i="4"/>
  <c r="F214" i="4"/>
  <c r="F186" i="4"/>
  <c r="F154" i="4"/>
  <c r="F122" i="4"/>
  <c r="F90" i="4"/>
  <c r="F58" i="4"/>
  <c r="F26" i="4"/>
  <c r="G911" i="4"/>
  <c r="F911" i="4"/>
  <c r="G879" i="4"/>
  <c r="F879" i="4"/>
  <c r="G847" i="4"/>
  <c r="F847" i="4"/>
  <c r="G815" i="4"/>
  <c r="F815" i="4"/>
  <c r="F1015" i="4"/>
  <c r="G886" i="4"/>
  <c r="F886" i="4"/>
  <c r="G874" i="4"/>
  <c r="F874" i="4"/>
  <c r="G866" i="4"/>
  <c r="F866" i="4"/>
  <c r="G822" i="4"/>
  <c r="F822" i="4"/>
  <c r="G810" i="4"/>
  <c r="F810" i="4"/>
  <c r="G802" i="4"/>
  <c r="F802" i="4"/>
  <c r="G790" i="4"/>
  <c r="F790" i="4"/>
  <c r="G774" i="4"/>
  <c r="F774" i="4"/>
  <c r="G766" i="4"/>
  <c r="F766" i="4"/>
  <c r="G758" i="4"/>
  <c r="F758" i="4"/>
  <c r="G750" i="4"/>
  <c r="F750" i="4"/>
  <c r="G742" i="4"/>
  <c r="F742" i="4"/>
  <c r="G734" i="4"/>
  <c r="F734" i="4"/>
  <c r="G726" i="4"/>
  <c r="F726" i="4"/>
  <c r="G710" i="4"/>
  <c r="F710" i="4"/>
  <c r="G694" i="4"/>
  <c r="F694" i="4"/>
  <c r="G678" i="4"/>
  <c r="F678" i="4"/>
  <c r="G670" i="4"/>
  <c r="F670" i="4"/>
  <c r="G646" i="4"/>
  <c r="F646" i="4"/>
  <c r="G630" i="4"/>
  <c r="F630" i="4"/>
  <c r="G614" i="4"/>
  <c r="F614" i="4"/>
  <c r="G598" i="4"/>
  <c r="F598" i="4"/>
  <c r="G582" i="4"/>
  <c r="F582" i="4"/>
  <c r="G574" i="4"/>
  <c r="F574" i="4"/>
  <c r="G558" i="4"/>
  <c r="F558" i="4"/>
  <c r="G542" i="4"/>
  <c r="F542" i="4"/>
  <c r="G526" i="4"/>
  <c r="F526" i="4"/>
  <c r="G498" i="4"/>
  <c r="F498" i="4"/>
  <c r="G490" i="4"/>
  <c r="F490" i="4"/>
  <c r="G482" i="4"/>
  <c r="F482" i="4"/>
  <c r="G474" i="4"/>
  <c r="F474" i="4"/>
  <c r="G466" i="4"/>
  <c r="F466" i="4"/>
  <c r="G458" i="4"/>
  <c r="F458" i="4"/>
  <c r="G450" i="4"/>
  <c r="F450" i="4"/>
  <c r="G442" i="4"/>
  <c r="F442" i="4"/>
  <c r="G438" i="4"/>
  <c r="F438" i="4"/>
  <c r="G422" i="4"/>
  <c r="F422" i="4"/>
  <c r="G406" i="4"/>
  <c r="F406" i="4"/>
  <c r="G390" i="4"/>
  <c r="F390" i="4"/>
  <c r="G382" i="4"/>
  <c r="F382" i="4"/>
  <c r="G370" i="4"/>
  <c r="F370" i="4"/>
  <c r="G354" i="4"/>
  <c r="F354" i="4"/>
  <c r="G338" i="4"/>
  <c r="F338" i="4"/>
  <c r="G330" i="4"/>
  <c r="F330" i="4"/>
  <c r="G314" i="4"/>
  <c r="F314" i="4"/>
  <c r="G310" i="4"/>
  <c r="F310" i="4"/>
  <c r="G302" i="4"/>
  <c r="F302" i="4"/>
  <c r="G294" i="4"/>
  <c r="F294" i="4"/>
  <c r="G286" i="4"/>
  <c r="F286" i="4"/>
  <c r="G278" i="4"/>
  <c r="F278" i="4"/>
  <c r="G270" i="4"/>
  <c r="F270" i="4"/>
  <c r="G262" i="4"/>
  <c r="F262" i="4"/>
  <c r="G254" i="4"/>
  <c r="F254" i="4"/>
  <c r="G242" i="4"/>
  <c r="F242" i="4"/>
  <c r="G234" i="4"/>
  <c r="F234" i="4"/>
  <c r="G226" i="4"/>
  <c r="F226" i="4"/>
  <c r="G218" i="4"/>
  <c r="F218" i="4"/>
  <c r="G210" i="4"/>
  <c r="F210" i="4"/>
  <c r="G202" i="4"/>
  <c r="F202" i="4"/>
  <c r="G194" i="4"/>
  <c r="F194" i="4"/>
  <c r="G182" i="4"/>
  <c r="F182" i="4"/>
  <c r="G178" i="4"/>
  <c r="F178" i="4"/>
  <c r="G166" i="4"/>
  <c r="F166" i="4"/>
  <c r="G162" i="4"/>
  <c r="F162" i="4"/>
  <c r="G150" i="4"/>
  <c r="F150" i="4"/>
  <c r="G146" i="4"/>
  <c r="F146" i="4"/>
  <c r="G134" i="4"/>
  <c r="F134" i="4"/>
  <c r="G130" i="4"/>
  <c r="F130" i="4"/>
  <c r="G118" i="4"/>
  <c r="F118" i="4"/>
  <c r="G114" i="4"/>
  <c r="F114" i="4"/>
  <c r="G102" i="4"/>
  <c r="F102" i="4"/>
  <c r="G98" i="4"/>
  <c r="F98" i="4"/>
  <c r="G86" i="4"/>
  <c r="F86" i="4"/>
  <c r="G82" i="4"/>
  <c r="F82" i="4"/>
  <c r="G70" i="4"/>
  <c r="F70" i="4"/>
  <c r="G66" i="4"/>
  <c r="F66" i="4"/>
  <c r="G54" i="4"/>
  <c r="F54" i="4"/>
  <c r="G50" i="4"/>
  <c r="F50" i="4"/>
  <c r="G38" i="4"/>
  <c r="F38" i="4"/>
  <c r="G34" i="4"/>
  <c r="F34" i="4"/>
  <c r="G22" i="4"/>
  <c r="F22" i="4"/>
  <c r="G18" i="4"/>
  <c r="F18" i="4"/>
  <c r="G6" i="4"/>
  <c r="F6" i="4"/>
  <c r="G305" i="4"/>
  <c r="G285" i="4"/>
  <c r="G241" i="4"/>
  <c r="G221" i="4"/>
  <c r="F1020" i="4"/>
  <c r="G1020" i="4"/>
  <c r="F1016" i="4"/>
  <c r="G1016" i="4"/>
  <c r="F1012" i="4"/>
  <c r="G1012" i="4"/>
  <c r="F1008" i="4"/>
  <c r="G1008" i="4"/>
  <c r="F1004" i="4"/>
  <c r="G1004" i="4"/>
  <c r="F1000" i="4"/>
  <c r="G1000" i="4"/>
  <c r="F996" i="4"/>
  <c r="G996" i="4"/>
  <c r="F992" i="4"/>
  <c r="G992" i="4"/>
  <c r="F988" i="4"/>
  <c r="G988" i="4"/>
  <c r="F984" i="4"/>
  <c r="G984" i="4"/>
  <c r="F980" i="4"/>
  <c r="G980" i="4"/>
  <c r="F968" i="4"/>
  <c r="G968" i="4"/>
  <c r="F964" i="4"/>
  <c r="G964" i="4"/>
  <c r="F952" i="4"/>
  <c r="G952" i="4"/>
  <c r="F948" i="4"/>
  <c r="G948" i="4"/>
  <c r="F936" i="4"/>
  <c r="G936" i="4"/>
  <c r="F932" i="4"/>
  <c r="G932" i="4"/>
  <c r="F920" i="4"/>
  <c r="G920" i="4"/>
  <c r="F916" i="4"/>
  <c r="G916" i="4"/>
  <c r="F904" i="4"/>
  <c r="G904" i="4"/>
  <c r="F900" i="4"/>
  <c r="G900" i="4"/>
  <c r="F888" i="4"/>
  <c r="G888" i="4"/>
  <c r="F884" i="4"/>
  <c r="G884" i="4"/>
  <c r="F872" i="4"/>
  <c r="G872" i="4"/>
  <c r="F868" i="4"/>
  <c r="G868" i="4"/>
  <c r="F856" i="4"/>
  <c r="G856" i="4"/>
  <c r="F852" i="4"/>
  <c r="G852" i="4"/>
  <c r="F840" i="4"/>
  <c r="G840" i="4"/>
  <c r="F836" i="4"/>
  <c r="G836" i="4"/>
  <c r="F824" i="4"/>
  <c r="G824" i="4"/>
  <c r="F820" i="4"/>
  <c r="G820" i="4"/>
  <c r="F808" i="4"/>
  <c r="G808" i="4"/>
  <c r="F804" i="4"/>
  <c r="G804" i="4"/>
  <c r="F792" i="4"/>
  <c r="G792" i="4"/>
  <c r="F788" i="4"/>
  <c r="G788" i="4"/>
  <c r="F784" i="4"/>
  <c r="G784" i="4"/>
  <c r="F780" i="4"/>
  <c r="G780" i="4"/>
  <c r="F776" i="4"/>
  <c r="G776" i="4"/>
  <c r="F772" i="4"/>
  <c r="G772" i="4"/>
  <c r="F768" i="4"/>
  <c r="G768" i="4"/>
  <c r="F764" i="4"/>
  <c r="G764" i="4"/>
  <c r="F760" i="4"/>
  <c r="G760" i="4"/>
  <c r="F756" i="4"/>
  <c r="G756" i="4"/>
  <c r="F752" i="4"/>
  <c r="G752" i="4"/>
  <c r="F748" i="4"/>
  <c r="G748" i="4"/>
  <c r="F744" i="4"/>
  <c r="G744" i="4"/>
  <c r="F740" i="4"/>
  <c r="G740" i="4"/>
  <c r="F736" i="4"/>
  <c r="G736" i="4"/>
  <c r="F732" i="4"/>
  <c r="G732" i="4"/>
  <c r="F728" i="4"/>
  <c r="G728" i="4"/>
  <c r="F724" i="4"/>
  <c r="G724" i="4"/>
  <c r="F720" i="4"/>
  <c r="G720" i="4"/>
  <c r="F716" i="4"/>
  <c r="G716" i="4"/>
  <c r="F712" i="4"/>
  <c r="G712" i="4"/>
  <c r="F708" i="4"/>
  <c r="G708" i="4"/>
  <c r="F704" i="4"/>
  <c r="G704" i="4"/>
  <c r="F700" i="4"/>
  <c r="G700" i="4"/>
  <c r="F696" i="4"/>
  <c r="G696" i="4"/>
  <c r="F692" i="4"/>
  <c r="G692" i="4"/>
  <c r="F688" i="4"/>
  <c r="G688" i="4"/>
  <c r="F684" i="4"/>
  <c r="G684" i="4"/>
  <c r="F680" i="4"/>
  <c r="G680" i="4"/>
  <c r="F676" i="4"/>
  <c r="G676" i="4"/>
  <c r="F672" i="4"/>
  <c r="G672" i="4"/>
  <c r="F668" i="4"/>
  <c r="G668" i="4"/>
  <c r="F664" i="4"/>
  <c r="G664" i="4"/>
  <c r="F660" i="4"/>
  <c r="G660" i="4"/>
  <c r="F656" i="4"/>
  <c r="G656" i="4"/>
  <c r="F652" i="4"/>
  <c r="G652" i="4"/>
  <c r="F648" i="4"/>
  <c r="G648" i="4"/>
  <c r="F644" i="4"/>
  <c r="G644" i="4"/>
  <c r="F640" i="4"/>
  <c r="G640" i="4"/>
  <c r="F636" i="4"/>
  <c r="G636" i="4"/>
  <c r="F632" i="4"/>
  <c r="G632" i="4"/>
  <c r="F628" i="4"/>
  <c r="G628" i="4"/>
  <c r="F624" i="4"/>
  <c r="G624" i="4"/>
  <c r="F620" i="4"/>
  <c r="G620" i="4"/>
  <c r="F616" i="4"/>
  <c r="G616" i="4"/>
  <c r="F612" i="4"/>
  <c r="G612" i="4"/>
  <c r="F608" i="4"/>
  <c r="G608" i="4"/>
  <c r="F604" i="4"/>
  <c r="G604" i="4"/>
  <c r="F600" i="4"/>
  <c r="G600" i="4"/>
  <c r="F596" i="4"/>
  <c r="G596" i="4"/>
  <c r="F592" i="4"/>
  <c r="G592" i="4"/>
  <c r="F588" i="4"/>
  <c r="G588" i="4"/>
  <c r="F584" i="4"/>
  <c r="G584" i="4"/>
  <c r="F580" i="4"/>
  <c r="G580" i="4"/>
  <c r="F576" i="4"/>
  <c r="G576" i="4"/>
  <c r="F572" i="4"/>
  <c r="G572" i="4"/>
  <c r="F568" i="4"/>
  <c r="G568" i="4"/>
  <c r="F564" i="4"/>
  <c r="G564" i="4"/>
  <c r="F560" i="4"/>
  <c r="G560" i="4"/>
  <c r="F556" i="4"/>
  <c r="G556" i="4"/>
  <c r="F552" i="4"/>
  <c r="G552" i="4"/>
  <c r="F548" i="4"/>
  <c r="G548" i="4"/>
  <c r="F544" i="4"/>
  <c r="G544" i="4"/>
  <c r="F540" i="4"/>
  <c r="G540" i="4"/>
  <c r="F536" i="4"/>
  <c r="G536" i="4"/>
  <c r="F532" i="4"/>
  <c r="G532" i="4"/>
  <c r="F528" i="4"/>
  <c r="G528" i="4"/>
  <c r="F524" i="4"/>
  <c r="G524" i="4"/>
  <c r="F520" i="4"/>
  <c r="G520" i="4"/>
  <c r="F516" i="4"/>
  <c r="G516" i="4"/>
  <c r="F512" i="4"/>
  <c r="G512" i="4"/>
  <c r="F508" i="4"/>
  <c r="G508" i="4"/>
  <c r="F504" i="4"/>
  <c r="G504" i="4"/>
  <c r="F500" i="4"/>
  <c r="G500" i="4"/>
  <c r="F496" i="4"/>
  <c r="G496" i="4"/>
  <c r="F492" i="4"/>
  <c r="G492" i="4"/>
  <c r="F488" i="4"/>
  <c r="G488" i="4"/>
  <c r="F484" i="4"/>
  <c r="G484" i="4"/>
  <c r="F480" i="4"/>
  <c r="G480" i="4"/>
  <c r="F476" i="4"/>
  <c r="G476" i="4"/>
  <c r="F472" i="4"/>
  <c r="G472" i="4"/>
  <c r="F468" i="4"/>
  <c r="G468" i="4"/>
  <c r="F464" i="4"/>
  <c r="G464" i="4"/>
  <c r="F460" i="4"/>
  <c r="G460" i="4"/>
  <c r="F456" i="4"/>
  <c r="G456" i="4"/>
  <c r="F452" i="4"/>
  <c r="G452" i="4"/>
  <c r="F448" i="4"/>
  <c r="G448" i="4"/>
  <c r="F444" i="4"/>
  <c r="G444" i="4"/>
  <c r="F440" i="4"/>
  <c r="G440" i="4"/>
  <c r="F436" i="4"/>
  <c r="G436" i="4"/>
  <c r="F432" i="4"/>
  <c r="G432" i="4"/>
  <c r="F428" i="4"/>
  <c r="G428" i="4"/>
  <c r="F424" i="4"/>
  <c r="G424" i="4"/>
  <c r="F420" i="4"/>
  <c r="G420" i="4"/>
  <c r="F416" i="4"/>
  <c r="G416" i="4"/>
  <c r="F412" i="4"/>
  <c r="G412" i="4"/>
  <c r="F408" i="4"/>
  <c r="G408" i="4"/>
  <c r="F404" i="4"/>
  <c r="G404" i="4"/>
  <c r="F400" i="4"/>
  <c r="G400" i="4"/>
  <c r="F396" i="4"/>
  <c r="G396" i="4"/>
  <c r="F392" i="4"/>
  <c r="G392" i="4"/>
  <c r="F388" i="4"/>
  <c r="G388" i="4"/>
  <c r="F384" i="4"/>
  <c r="G384" i="4"/>
  <c r="F380" i="4"/>
  <c r="G380" i="4"/>
  <c r="F376" i="4"/>
  <c r="G376" i="4"/>
  <c r="F372" i="4"/>
  <c r="G372" i="4"/>
  <c r="F368" i="4"/>
  <c r="G368" i="4"/>
  <c r="F364" i="4"/>
  <c r="G364" i="4"/>
  <c r="F360" i="4"/>
  <c r="G360" i="4"/>
  <c r="F356" i="4"/>
  <c r="G356" i="4"/>
  <c r="F352" i="4"/>
  <c r="G352" i="4"/>
  <c r="F348" i="4"/>
  <c r="G348" i="4"/>
  <c r="F344" i="4"/>
  <c r="G344" i="4"/>
  <c r="F340" i="4"/>
  <c r="G340" i="4"/>
  <c r="F336" i="4"/>
  <c r="G336" i="4"/>
  <c r="F332" i="4"/>
  <c r="G332" i="4"/>
  <c r="F328" i="4"/>
  <c r="G328" i="4"/>
  <c r="F324" i="4"/>
  <c r="G324" i="4"/>
  <c r="F320" i="4"/>
  <c r="G320" i="4"/>
  <c r="F316" i="4"/>
  <c r="G316" i="4"/>
  <c r="F312" i="4"/>
  <c r="G312" i="4"/>
  <c r="F308" i="4"/>
  <c r="G308" i="4"/>
  <c r="F304" i="4"/>
  <c r="G304" i="4"/>
  <c r="F300" i="4"/>
  <c r="G300" i="4"/>
  <c r="F296" i="4"/>
  <c r="G296" i="4"/>
  <c r="F292" i="4"/>
  <c r="G292" i="4"/>
  <c r="F288" i="4"/>
  <c r="G288" i="4"/>
  <c r="F284" i="4"/>
  <c r="G284" i="4"/>
  <c r="F280" i="4"/>
  <c r="G280" i="4"/>
  <c r="F276" i="4"/>
  <c r="G276" i="4"/>
  <c r="F272" i="4"/>
  <c r="G272" i="4"/>
  <c r="F268" i="4"/>
  <c r="G268" i="4"/>
  <c r="F264" i="4"/>
  <c r="G264" i="4"/>
  <c r="F260" i="4"/>
  <c r="G260" i="4"/>
  <c r="F256" i="4"/>
  <c r="G256" i="4"/>
  <c r="F252" i="4"/>
  <c r="G252" i="4"/>
  <c r="F248" i="4"/>
  <c r="G248" i="4"/>
  <c r="F244" i="4"/>
  <c r="G244" i="4"/>
  <c r="F240" i="4"/>
  <c r="G240" i="4"/>
  <c r="F236" i="4"/>
  <c r="G236" i="4"/>
  <c r="F232" i="4"/>
  <c r="G232" i="4"/>
  <c r="F228" i="4"/>
  <c r="G228" i="4"/>
  <c r="F224" i="4"/>
  <c r="G224" i="4"/>
  <c r="F220" i="4"/>
  <c r="G220" i="4"/>
  <c r="F216" i="4"/>
  <c r="G216" i="4"/>
  <c r="F212" i="4"/>
  <c r="G212" i="4"/>
  <c r="F208" i="4"/>
  <c r="G208" i="4"/>
  <c r="F204" i="4"/>
  <c r="G204" i="4"/>
  <c r="F200" i="4"/>
  <c r="G200" i="4"/>
  <c r="F196" i="4"/>
  <c r="G196" i="4"/>
  <c r="F192" i="4"/>
  <c r="G192" i="4"/>
  <c r="F1021" i="4"/>
  <c r="G1021" i="4"/>
  <c r="F1017" i="4"/>
  <c r="G1017" i="4"/>
  <c r="F1013" i="4"/>
  <c r="G1013" i="4"/>
  <c r="F1009" i="4"/>
  <c r="G1009" i="4"/>
  <c r="F1005" i="4"/>
  <c r="G1005" i="4"/>
  <c r="F1001" i="4"/>
  <c r="G1001" i="4"/>
  <c r="F997" i="4"/>
  <c r="G997" i="4"/>
  <c r="F993" i="4"/>
  <c r="G993" i="4"/>
  <c r="F989" i="4"/>
  <c r="G989" i="4"/>
  <c r="F985" i="4"/>
  <c r="G985" i="4"/>
  <c r="F981" i="4"/>
  <c r="G981" i="4"/>
  <c r="F977" i="4"/>
  <c r="G977" i="4"/>
  <c r="F973" i="4"/>
  <c r="G973" i="4"/>
  <c r="F969" i="4"/>
  <c r="G969" i="4"/>
  <c r="F965" i="4"/>
  <c r="G965" i="4"/>
  <c r="F961" i="4"/>
  <c r="G961" i="4"/>
  <c r="F957" i="4"/>
  <c r="G957" i="4"/>
  <c r="F953" i="4"/>
  <c r="G953" i="4"/>
  <c r="F949" i="4"/>
  <c r="G949" i="4"/>
  <c r="F945" i="4"/>
  <c r="G945" i="4"/>
  <c r="F941" i="4"/>
  <c r="G941" i="4"/>
  <c r="F937" i="4"/>
  <c r="G937" i="4"/>
  <c r="F933" i="4"/>
  <c r="G933" i="4"/>
  <c r="F929" i="4"/>
  <c r="G929" i="4"/>
  <c r="F925" i="4"/>
  <c r="G925" i="4"/>
  <c r="F921" i="4"/>
  <c r="G921" i="4"/>
  <c r="F917" i="4"/>
  <c r="G917" i="4"/>
  <c r="F913" i="4"/>
  <c r="G913" i="4"/>
  <c r="F909" i="4"/>
  <c r="G909" i="4"/>
  <c r="F905" i="4"/>
  <c r="G905" i="4"/>
  <c r="F901" i="4"/>
  <c r="G901" i="4"/>
  <c r="F897" i="4"/>
  <c r="G897" i="4"/>
  <c r="F893" i="4"/>
  <c r="G893" i="4"/>
  <c r="F889" i="4"/>
  <c r="G889" i="4"/>
  <c r="F885" i="4"/>
  <c r="G885" i="4"/>
  <c r="F881" i="4"/>
  <c r="G881" i="4"/>
  <c r="F877" i="4"/>
  <c r="G877" i="4"/>
  <c r="F873" i="4"/>
  <c r="G873" i="4"/>
  <c r="F869" i="4"/>
  <c r="G869" i="4"/>
  <c r="F865" i="4"/>
  <c r="G865" i="4"/>
  <c r="F861" i="4"/>
  <c r="G861" i="4"/>
  <c r="F857" i="4"/>
  <c r="G857" i="4"/>
  <c r="F853" i="4"/>
  <c r="G853" i="4"/>
  <c r="F849" i="4"/>
  <c r="G849" i="4"/>
  <c r="F845" i="4"/>
  <c r="G845" i="4"/>
  <c r="F841" i="4"/>
  <c r="G841" i="4"/>
  <c r="F837" i="4"/>
  <c r="G837" i="4"/>
  <c r="F833" i="4"/>
  <c r="G833" i="4"/>
  <c r="F829" i="4"/>
  <c r="G829" i="4"/>
  <c r="F825" i="4"/>
  <c r="G825" i="4"/>
  <c r="F821" i="4"/>
  <c r="G821" i="4"/>
  <c r="F817" i="4"/>
  <c r="G817" i="4"/>
  <c r="F813" i="4"/>
  <c r="G813" i="4"/>
  <c r="F809" i="4"/>
  <c r="G809" i="4"/>
  <c r="F805" i="4"/>
  <c r="G805" i="4"/>
  <c r="F801" i="4"/>
  <c r="G801" i="4"/>
  <c r="F797" i="4"/>
  <c r="G797" i="4"/>
  <c r="F793" i="4"/>
  <c r="G793" i="4"/>
  <c r="F789" i="4"/>
  <c r="G789" i="4"/>
  <c r="F785" i="4"/>
  <c r="G785" i="4"/>
  <c r="F781" i="4"/>
  <c r="G781" i="4"/>
  <c r="F777" i="4"/>
  <c r="G777" i="4"/>
  <c r="F773" i="4"/>
  <c r="G773" i="4"/>
  <c r="F769" i="4"/>
  <c r="G769" i="4"/>
  <c r="F765" i="4"/>
  <c r="G765" i="4"/>
  <c r="F761" i="4"/>
  <c r="G761" i="4"/>
  <c r="F757" i="4"/>
  <c r="G757" i="4"/>
  <c r="F753" i="4"/>
  <c r="G753" i="4"/>
  <c r="F749" i="4"/>
  <c r="G749" i="4"/>
  <c r="F745" i="4"/>
  <c r="G745" i="4"/>
  <c r="F741" i="4"/>
  <c r="G741" i="4"/>
  <c r="F737" i="4"/>
  <c r="G737" i="4"/>
  <c r="F733" i="4"/>
  <c r="G733" i="4"/>
  <c r="F729" i="4"/>
  <c r="G729" i="4"/>
  <c r="F725" i="4"/>
  <c r="G725" i="4"/>
  <c r="F721" i="4"/>
  <c r="G721" i="4"/>
  <c r="F717" i="4"/>
  <c r="G717" i="4"/>
  <c r="F713" i="4"/>
  <c r="G713" i="4"/>
  <c r="F709" i="4"/>
  <c r="G709" i="4"/>
  <c r="F705" i="4"/>
  <c r="G705" i="4"/>
  <c r="F701" i="4"/>
  <c r="G701" i="4"/>
  <c r="F697" i="4"/>
  <c r="G697" i="4"/>
  <c r="F693" i="4"/>
  <c r="G693" i="4"/>
  <c r="F689" i="4"/>
  <c r="G689" i="4"/>
  <c r="F685" i="4"/>
  <c r="G685" i="4"/>
  <c r="F681" i="4"/>
  <c r="G681" i="4"/>
  <c r="F677" i="4"/>
  <c r="G677" i="4"/>
  <c r="F673" i="4"/>
  <c r="G673" i="4"/>
  <c r="F669" i="4"/>
  <c r="G669" i="4"/>
  <c r="F665" i="4"/>
  <c r="G665" i="4"/>
  <c r="F661" i="4"/>
  <c r="G661" i="4"/>
  <c r="F657" i="4"/>
  <c r="G657" i="4"/>
  <c r="F653" i="4"/>
  <c r="G653" i="4"/>
  <c r="F649" i="4"/>
  <c r="G649" i="4"/>
  <c r="F645" i="4"/>
  <c r="G645" i="4"/>
  <c r="F641" i="4"/>
  <c r="G641" i="4"/>
  <c r="F637" i="4"/>
  <c r="G637" i="4"/>
  <c r="F633" i="4"/>
  <c r="G633" i="4"/>
  <c r="F629" i="4"/>
  <c r="G629" i="4"/>
  <c r="F625" i="4"/>
  <c r="G625" i="4"/>
  <c r="F621" i="4"/>
  <c r="G621" i="4"/>
  <c r="F617" i="4"/>
  <c r="G617" i="4"/>
  <c r="F613" i="4"/>
  <c r="G613" i="4"/>
  <c r="F609" i="4"/>
  <c r="G609" i="4"/>
  <c r="F605" i="4"/>
  <c r="G605" i="4"/>
  <c r="F601" i="4"/>
  <c r="G601" i="4"/>
  <c r="F597" i="4"/>
  <c r="G597" i="4"/>
  <c r="F593" i="4"/>
  <c r="G593" i="4"/>
  <c r="F589" i="4"/>
  <c r="G589" i="4"/>
  <c r="F585" i="4"/>
  <c r="G585" i="4"/>
  <c r="F581" i="4"/>
  <c r="G581" i="4"/>
  <c r="F577" i="4"/>
  <c r="G577" i="4"/>
  <c r="F573" i="4"/>
  <c r="G573" i="4"/>
  <c r="F569" i="4"/>
  <c r="G569" i="4"/>
  <c r="F565" i="4"/>
  <c r="G565" i="4"/>
  <c r="F561" i="4"/>
  <c r="G561" i="4"/>
  <c r="F557" i="4"/>
  <c r="G557" i="4"/>
  <c r="F553" i="4"/>
  <c r="G553" i="4"/>
  <c r="F549" i="4"/>
  <c r="G549" i="4"/>
  <c r="F545" i="4"/>
  <c r="G545" i="4"/>
  <c r="F541" i="4"/>
  <c r="G541" i="4"/>
  <c r="F537" i="4"/>
  <c r="G537" i="4"/>
  <c r="F533" i="4"/>
  <c r="G533" i="4"/>
  <c r="F529" i="4"/>
  <c r="G529" i="4"/>
  <c r="F525" i="4"/>
  <c r="G525" i="4"/>
  <c r="F521" i="4"/>
  <c r="G521" i="4"/>
  <c r="F517" i="4"/>
  <c r="G517" i="4"/>
  <c r="F513" i="4"/>
  <c r="G513" i="4"/>
  <c r="F509" i="4"/>
  <c r="G509" i="4"/>
  <c r="F501" i="4"/>
  <c r="G501" i="4"/>
  <c r="F497" i="4"/>
  <c r="G497" i="4"/>
  <c r="F493" i="4"/>
  <c r="G493" i="4"/>
  <c r="F489" i="4"/>
  <c r="G489" i="4"/>
  <c r="F485" i="4"/>
  <c r="G485" i="4"/>
  <c r="F481" i="4"/>
  <c r="G481" i="4"/>
  <c r="F477" i="4"/>
  <c r="G477" i="4"/>
  <c r="F469" i="4"/>
  <c r="G469" i="4"/>
  <c r="F465" i="4"/>
  <c r="G465" i="4"/>
  <c r="F461" i="4"/>
  <c r="G461" i="4"/>
  <c r="F457" i="4"/>
  <c r="G457" i="4"/>
  <c r="F453" i="4"/>
  <c r="G453" i="4"/>
  <c r="F449" i="4"/>
  <c r="G449" i="4"/>
  <c r="F445" i="4"/>
  <c r="G445" i="4"/>
  <c r="F437" i="4"/>
  <c r="G437" i="4"/>
  <c r="F433" i="4"/>
  <c r="G433" i="4"/>
  <c r="F429" i="4"/>
  <c r="G429" i="4"/>
  <c r="F425" i="4"/>
  <c r="G425" i="4"/>
  <c r="F421" i="4"/>
  <c r="G421" i="4"/>
  <c r="F417" i="4"/>
  <c r="G417" i="4"/>
  <c r="F413" i="4"/>
  <c r="G413" i="4"/>
  <c r="F405" i="4"/>
  <c r="G405" i="4"/>
  <c r="F401" i="4"/>
  <c r="G401" i="4"/>
  <c r="F397" i="4"/>
  <c r="G397" i="4"/>
  <c r="F393" i="4"/>
  <c r="G393" i="4"/>
  <c r="F389" i="4"/>
  <c r="G389" i="4"/>
  <c r="F385" i="4"/>
  <c r="G385" i="4"/>
  <c r="F381" i="4"/>
  <c r="G381" i="4"/>
  <c r="F373" i="4"/>
  <c r="G373" i="4"/>
  <c r="F369" i="4"/>
  <c r="G369" i="4"/>
  <c r="F365" i="4"/>
  <c r="G365" i="4"/>
  <c r="F361" i="4"/>
  <c r="G361" i="4"/>
  <c r="F357" i="4"/>
  <c r="G357" i="4"/>
  <c r="F353" i="4"/>
  <c r="G353" i="4"/>
  <c r="F349" i="4"/>
  <c r="G349" i="4"/>
  <c r="F341" i="4"/>
  <c r="G341" i="4"/>
  <c r="F337" i="4"/>
  <c r="G337" i="4"/>
  <c r="F333" i="4"/>
  <c r="G333" i="4"/>
  <c r="F329" i="4"/>
  <c r="G329" i="4"/>
  <c r="G325" i="4"/>
  <c r="G261" i="4"/>
  <c r="G197" i="4"/>
  <c r="G165" i="4"/>
  <c r="G133" i="4"/>
  <c r="G101" i="4"/>
  <c r="G69" i="4"/>
  <c r="G37" i="4"/>
  <c r="G5" i="4"/>
  <c r="F321" i="4"/>
  <c r="G321" i="4"/>
  <c r="F309" i="4"/>
  <c r="G309" i="4"/>
  <c r="F301" i="4"/>
  <c r="G301" i="4"/>
  <c r="F297" i="4"/>
  <c r="G297" i="4"/>
  <c r="F289" i="4"/>
  <c r="G289" i="4"/>
  <c r="F277" i="4"/>
  <c r="G277" i="4"/>
  <c r="F269" i="4"/>
  <c r="G269" i="4"/>
  <c r="F265" i="4"/>
  <c r="G265" i="4"/>
  <c r="F257" i="4"/>
  <c r="G257" i="4"/>
  <c r="F245" i="4"/>
  <c r="G245" i="4"/>
  <c r="F237" i="4"/>
  <c r="G237" i="4"/>
  <c r="F233" i="4"/>
  <c r="G233" i="4"/>
  <c r="F225" i="4"/>
  <c r="G225" i="4"/>
  <c r="F213" i="4"/>
  <c r="G213" i="4"/>
  <c r="F205" i="4"/>
  <c r="G205" i="4"/>
  <c r="F201" i="4"/>
  <c r="G201" i="4"/>
  <c r="F193" i="4"/>
  <c r="G193" i="4"/>
  <c r="F189" i="4"/>
  <c r="G189" i="4"/>
  <c r="F185" i="4"/>
  <c r="G185" i="4"/>
  <c r="F177" i="4"/>
  <c r="G177" i="4"/>
  <c r="F173" i="4"/>
  <c r="G173" i="4"/>
  <c r="F169" i="4"/>
  <c r="G169" i="4"/>
  <c r="F161" i="4"/>
  <c r="G161" i="4"/>
  <c r="F157" i="4"/>
  <c r="G157" i="4"/>
  <c r="F153" i="4"/>
  <c r="G153" i="4"/>
  <c r="F145" i="4"/>
  <c r="G145" i="4"/>
  <c r="F141" i="4"/>
  <c r="G141" i="4"/>
  <c r="F137" i="4"/>
  <c r="G137" i="4"/>
  <c r="F129" i="4"/>
  <c r="G129" i="4"/>
  <c r="F125" i="4"/>
  <c r="G125" i="4"/>
  <c r="F121" i="4"/>
  <c r="G121" i="4"/>
  <c r="F113" i="4"/>
  <c r="G113" i="4"/>
  <c r="F109" i="4"/>
  <c r="G109" i="4"/>
  <c r="F105" i="4"/>
  <c r="G105" i="4"/>
  <c r="F97" i="4"/>
  <c r="G97" i="4"/>
  <c r="F93" i="4"/>
  <c r="G93" i="4"/>
  <c r="F89" i="4"/>
  <c r="G89" i="4"/>
  <c r="F81" i="4"/>
  <c r="G81" i="4"/>
  <c r="F77" i="4"/>
  <c r="G77" i="4"/>
  <c r="F73" i="4"/>
  <c r="G73" i="4"/>
  <c r="F65" i="4"/>
  <c r="G65" i="4"/>
  <c r="F61" i="4"/>
  <c r="G61" i="4"/>
  <c r="F57" i="4"/>
  <c r="G57" i="4"/>
  <c r="F49" i="4"/>
  <c r="G49" i="4"/>
  <c r="F45" i="4"/>
  <c r="G45" i="4"/>
  <c r="F41" i="4"/>
  <c r="G41" i="4"/>
  <c r="F33" i="4"/>
  <c r="G33" i="4"/>
  <c r="F29" i="4"/>
  <c r="G29" i="4"/>
  <c r="F25" i="4"/>
  <c r="G25" i="4"/>
  <c r="F17" i="4"/>
  <c r="G17" i="4"/>
  <c r="F13" i="4"/>
  <c r="G13" i="4"/>
  <c r="F9" i="4"/>
  <c r="G9" i="4"/>
  <c r="G317" i="4"/>
  <c r="G273" i="4"/>
  <c r="G253" i="4"/>
  <c r="G209" i="4"/>
  <c r="G293" i="4"/>
  <c r="G229" i="4"/>
  <c r="G181" i="4"/>
  <c r="G149" i="4"/>
  <c r="G117" i="4"/>
  <c r="G85" i="4"/>
  <c r="G53" i="4"/>
  <c r="G21" i="4"/>
  <c r="N31" i="6" l="1"/>
  <c r="L263" i="10"/>
  <c r="K263" i="10"/>
  <c r="J263" i="10"/>
  <c r="I263" i="10"/>
  <c r="H263" i="10"/>
  <c r="G263" i="10"/>
  <c r="F263" i="10"/>
  <c r="E263" i="10"/>
  <c r="D263" i="10"/>
  <c r="C263" i="10"/>
  <c r="B263" i="10"/>
</calcChain>
</file>

<file path=xl/sharedStrings.xml><?xml version="1.0" encoding="utf-8"?>
<sst xmlns="http://schemas.openxmlformats.org/spreadsheetml/2006/main" count="1420" uniqueCount="469">
  <si>
    <t>Specialty</t>
  </si>
  <si>
    <t>Condensed Specialty</t>
  </si>
  <si>
    <t>Condensed Specialty Code</t>
  </si>
  <si>
    <t>List of Condensed Specialties</t>
  </si>
  <si>
    <t>Addiction Medicine</t>
  </si>
  <si>
    <t>Non Crit Med/Surg Fellow</t>
  </si>
  <si>
    <t>MinPGY</t>
  </si>
  <si>
    <t>ROLE DESCRIPTION</t>
  </si>
  <si>
    <t>Anesthesiology</t>
  </si>
  <si>
    <t>Adult Cardiothoracic Anesthesiology</t>
  </si>
  <si>
    <t>Critical Care Fellow</t>
  </si>
  <si>
    <t>Child Neurology</t>
  </si>
  <si>
    <t>Adult Congenital Heart Disease</t>
  </si>
  <si>
    <t>Dermatology</t>
  </si>
  <si>
    <t>Advanced Heart Failure</t>
  </si>
  <si>
    <t>Diagnostic Radiology</t>
  </si>
  <si>
    <t>MaxPGY</t>
  </si>
  <si>
    <t>Ind Med</t>
  </si>
  <si>
    <t>Allergy and Immunology</t>
  </si>
  <si>
    <t>Emergency Medicine</t>
  </si>
  <si>
    <t>Anatomic Pathology</t>
  </si>
  <si>
    <t>Non Med/Surg Fellow</t>
  </si>
  <si>
    <t>General Surgery</t>
  </si>
  <si>
    <t>Internal Medicine</t>
  </si>
  <si>
    <t>Blood Banking/Transfusion Medicine</t>
  </si>
  <si>
    <t>Internal Medicine/Pediatrics</t>
  </si>
  <si>
    <t>Cardiovascular Disease</t>
  </si>
  <si>
    <t>Interventional Radiology-Integrated</t>
  </si>
  <si>
    <t>Child and Adolescent Psychiatry</t>
  </si>
  <si>
    <t>Neurology</t>
  </si>
  <si>
    <t>Neurosurgery</t>
  </si>
  <si>
    <t>Clinical Cardiac Electrophysiology</t>
  </si>
  <si>
    <t>Procedural Fellow</t>
  </si>
  <si>
    <t>Obstetrics and Gynecology</t>
  </si>
  <si>
    <t>Clinical Chemistry</t>
  </si>
  <si>
    <t>Ophthalmology</t>
  </si>
  <si>
    <t>Clinical Informatics</t>
  </si>
  <si>
    <t>Oral and Maxillofacial Surgery</t>
  </si>
  <si>
    <t>Clinical Microbiology</t>
  </si>
  <si>
    <t>Orthopaedic Surgery</t>
  </si>
  <si>
    <t>Clinical Neurophysiology</t>
  </si>
  <si>
    <t>Otolaryngology</t>
  </si>
  <si>
    <t>Ind Proc</t>
  </si>
  <si>
    <t>Ind Ped</t>
  </si>
  <si>
    <t>Consultation - Liaison Psychiatry</t>
  </si>
  <si>
    <t>Ind ED</t>
  </si>
  <si>
    <t>Ind ICU</t>
  </si>
  <si>
    <t>Pathology</t>
  </si>
  <si>
    <t>Critical Care Medicine</t>
  </si>
  <si>
    <t>Pediatrics</t>
  </si>
  <si>
    <t>Cytopathology</t>
  </si>
  <si>
    <t>Physical Medicine and Rehabilitation</t>
  </si>
  <si>
    <t>Ind Airway</t>
  </si>
  <si>
    <t>Dir Med</t>
  </si>
  <si>
    <t>Dir Proc</t>
  </si>
  <si>
    <t>Dir Ped</t>
  </si>
  <si>
    <t>Dir Airway</t>
  </si>
  <si>
    <t>Support</t>
  </si>
  <si>
    <t>Plastic Surgery-Integrated</t>
  </si>
  <si>
    <t>Developmental-Behavioral Pediatrics</t>
  </si>
  <si>
    <t>Psychiatry</t>
  </si>
  <si>
    <t>Radiation Oncology</t>
  </si>
  <si>
    <t>Emergency Medical Services</t>
  </si>
  <si>
    <t>Urology</t>
  </si>
  <si>
    <t>Endocrinology, Diabetes, and Metabolism</t>
  </si>
  <si>
    <t xml:space="preserve">Vascular Surgery- Integrated </t>
  </si>
  <si>
    <t>Epilepsy</t>
  </si>
  <si>
    <t>Female Pelvic Medicine and Reconstructive Surgery</t>
  </si>
  <si>
    <t>5,6</t>
  </si>
  <si>
    <t>Indrect Supervision</t>
  </si>
  <si>
    <t>Gastroenterology</t>
  </si>
  <si>
    <t>Gastrointestinal Pathology</t>
  </si>
  <si>
    <t>Geriatric Medicine</t>
  </si>
  <si>
    <t>Inpatient Medicine-Adult</t>
  </si>
  <si>
    <t>Close Supervision</t>
  </si>
  <si>
    <t>Geriatric Psychiatry</t>
  </si>
  <si>
    <t>Gynecology Oncology</t>
  </si>
  <si>
    <t>Hand Surgery</t>
  </si>
  <si>
    <t>Hematology and Oncology</t>
  </si>
  <si>
    <t>Inpatient Medicine-Peds</t>
  </si>
  <si>
    <t>Hematopathology</t>
  </si>
  <si>
    <t>Foundation</t>
  </si>
  <si>
    <t>Hospice and Palliative Care Medicine</t>
  </si>
  <si>
    <t>4,5</t>
  </si>
  <si>
    <t>Infectious Disease</t>
  </si>
  <si>
    <t>ED-Adult</t>
  </si>
  <si>
    <t>Interventional Cardiology</t>
  </si>
  <si>
    <t>Interventional Pulmonology</t>
  </si>
  <si>
    <t>ED-Peds</t>
  </si>
  <si>
    <t>Interventional Radiology</t>
  </si>
  <si>
    <t>3,4</t>
  </si>
  <si>
    <t>Obstetrics</t>
  </si>
  <si>
    <t>Laboratory Genetics and Genomics</t>
  </si>
  <si>
    <t>Maternal-Fetal Medicine</t>
  </si>
  <si>
    <t>Micrographic Surgery and Dermatologic Oncology</t>
  </si>
  <si>
    <t>Molecular Genetic Pathology</t>
  </si>
  <si>
    <t>Musculoskeletal Oncology</t>
  </si>
  <si>
    <t>Neonatal-Perinatal Medicine</t>
  </si>
  <si>
    <t>Nephrology</t>
  </si>
  <si>
    <t>Neuromuscular Medicine</t>
  </si>
  <si>
    <t>Bedside Procedures</t>
  </si>
  <si>
    <t>Neuropathology</t>
  </si>
  <si>
    <t>4,5,6,7,8</t>
  </si>
  <si>
    <t>Neuroradiology</t>
  </si>
  <si>
    <t>Airway</t>
  </si>
  <si>
    <t>Neurotology</t>
  </si>
  <si>
    <t>Nuclear Medicine</t>
  </si>
  <si>
    <t>Obstetric Anesthesiology</t>
  </si>
  <si>
    <t>Orthopaedic Sports Medicine</t>
  </si>
  <si>
    <t>ICU/Vent Mngmnt</t>
  </si>
  <si>
    <t>Pain Medicine</t>
  </si>
  <si>
    <t>2,3</t>
  </si>
  <si>
    <t>Triage/Screening</t>
  </si>
  <si>
    <t>7,8</t>
  </si>
  <si>
    <t>Pediatric Anesthesiology</t>
  </si>
  <si>
    <t>Pediatric Cardiology</t>
  </si>
  <si>
    <t>Pediatric Critical Care</t>
  </si>
  <si>
    <t>Pediatric Electrophysiology</t>
  </si>
  <si>
    <t>Pediatric Emergency Medicine</t>
  </si>
  <si>
    <t>Pediatric Endocrinology</t>
  </si>
  <si>
    <t>Pediatric Gastroenterology</t>
  </si>
  <si>
    <t>Pediatric Hematology/Oncology</t>
  </si>
  <si>
    <t>Pediatric Hospital Medicine</t>
  </si>
  <si>
    <t>Pediatric Infectious Diseases</t>
  </si>
  <si>
    <t>Pediatric Otolaryngology</t>
  </si>
  <si>
    <t>Pediatric Pulmonology</t>
  </si>
  <si>
    <t>Pediatric Radiology</t>
  </si>
  <si>
    <t>Pediatric Rheumatology</t>
  </si>
  <si>
    <t>Pediatric Sports Medicine</t>
  </si>
  <si>
    <t>Pediatric Surgery</t>
  </si>
  <si>
    <t>Pediatric Urology</t>
  </si>
  <si>
    <t>Pediatrics/Medical Genetics and Genomics (Combined)</t>
  </si>
  <si>
    <t>Plastic Surgery</t>
  </si>
  <si>
    <t>Pulmonary Disease and Critical Care Medicine</t>
  </si>
  <si>
    <t>Regional Anesthesiology and Acute Pain Medicine</t>
  </si>
  <si>
    <t>Rheumatology</t>
  </si>
  <si>
    <t>Sleep Medicine</t>
  </si>
  <si>
    <t>Surgical Critical Care</t>
  </si>
  <si>
    <t>Therapeutic Radiological Medical Physics</t>
  </si>
  <si>
    <t>Thoracic Surgery-Integrated</t>
  </si>
  <si>
    <t>Thoracic Surgery</t>
  </si>
  <si>
    <t>Transplant Nephrology</t>
  </si>
  <si>
    <t>Vascular and Interventional Radiology</t>
  </si>
  <si>
    <t>Vascular Neurology</t>
  </si>
  <si>
    <t>Vascular Surgery-Integrated</t>
  </si>
  <si>
    <t>Vascular Surgery</t>
  </si>
  <si>
    <t xml:space="preserve">Vascular Surgery </t>
  </si>
  <si>
    <t>2,3,4</t>
  </si>
  <si>
    <t>4,5,6</t>
  </si>
  <si>
    <t>1,2</t>
  </si>
  <si>
    <t>5,6,7</t>
  </si>
  <si>
    <t>4,5,6,7</t>
  </si>
  <si>
    <t>3,4,5</t>
  </si>
  <si>
    <t>1,2,3</t>
  </si>
  <si>
    <t>Cannot perform independent services as noted above, but could help transport patients, serve meals, deliver supplies, etc.</t>
  </si>
  <si>
    <t>3,4,5,6</t>
  </si>
  <si>
    <t>2,3,4,5</t>
  </si>
  <si>
    <t>6,7,8</t>
  </si>
  <si>
    <t>1,2,3,4,5,6,7</t>
  </si>
  <si>
    <t>6,7</t>
  </si>
  <si>
    <t>6,6</t>
  </si>
  <si>
    <t>1,2,3,4</t>
  </si>
  <si>
    <t>5,6,7,8</t>
  </si>
  <si>
    <t>Trainee Name</t>
  </si>
  <si>
    <t>Specialty/Subspecialty</t>
  </si>
  <si>
    <t>Condensed Specialty Type</t>
  </si>
  <si>
    <t>Non-Critical Care Procedure fellow</t>
  </si>
  <si>
    <t>Non-Critical Care Med/Surg Fellowship</t>
  </si>
  <si>
    <t>Adult cardiothoracic anesthesiology</t>
  </si>
  <si>
    <t>Adult congenital heart disease</t>
  </si>
  <si>
    <t>Advanced heart failure and transplant cardiology</t>
  </si>
  <si>
    <t>Allergy and immunology</t>
  </si>
  <si>
    <t>Blood banking/transfusion medicine</t>
  </si>
  <si>
    <t>Cardiovascular disease</t>
  </si>
  <si>
    <t>Child and adolescent psychiatry</t>
  </si>
  <si>
    <t>Child neurology</t>
  </si>
  <si>
    <t>Clinical cardiac electrophysiology</t>
  </si>
  <si>
    <t>Clinical neurophysiology</t>
  </si>
  <si>
    <t>Consultation-liaison psychiatry</t>
  </si>
  <si>
    <t>Developmental-behavioral pediatrics</t>
  </si>
  <si>
    <t>Radiology-diagnostic</t>
  </si>
  <si>
    <t>Emergency medical services</t>
  </si>
  <si>
    <t>Emergency medicine</t>
  </si>
  <si>
    <t>Endocrinology, diabetes, and metabolism</t>
  </si>
  <si>
    <t>Surgery</t>
  </si>
  <si>
    <t>Geriatric psychiatry</t>
  </si>
  <si>
    <t>Hematology and medical oncology</t>
  </si>
  <si>
    <t>Infectious disease</t>
  </si>
  <si>
    <t>Internal medicine</t>
  </si>
  <si>
    <t>Interventional cardiology</t>
  </si>
  <si>
    <t>Interventional radiology - integrated</t>
  </si>
  <si>
    <t>Maternal-fetal medicine</t>
  </si>
  <si>
    <t>Micrographic surgery and dermatologic oncology</t>
  </si>
  <si>
    <t>Musculoskeletal oncology</t>
  </si>
  <si>
    <t>Neonatal-perinatal medicine</t>
  </si>
  <si>
    <t>Neurological surgery</t>
  </si>
  <si>
    <t>Nuclear medicine</t>
  </si>
  <si>
    <t>Obstetric anesthesiology</t>
  </si>
  <si>
    <t>Obstetrics and gynecology</t>
  </si>
  <si>
    <t>Orthopaedic sports medicine</t>
  </si>
  <si>
    <t>Orthopaedic surgery</t>
  </si>
  <si>
    <t>Otolaryngology - Head and Neck Surgery</t>
  </si>
  <si>
    <t>Pathology-anatomic and clinical</t>
  </si>
  <si>
    <t>Pediatric anesthesiology</t>
  </si>
  <si>
    <t>Pediatric cardiology</t>
  </si>
  <si>
    <t>Pediatric critical care medicine</t>
  </si>
  <si>
    <t>Pediatric endocrinology</t>
  </si>
  <si>
    <t>Pediatric gastroenterology</t>
  </si>
  <si>
    <t>Pediatric otolaryngology</t>
  </si>
  <si>
    <t>Pediatric pulmonology</t>
  </si>
  <si>
    <t>Pediatric radiology</t>
  </si>
  <si>
    <t>Pediatric surgery</t>
  </si>
  <si>
    <t>Pediatric urology</t>
  </si>
  <si>
    <t>Physical medicine and rehabilitation</t>
  </si>
  <si>
    <t>Plastic surgery</t>
  </si>
  <si>
    <t>Radiation oncology</t>
  </si>
  <si>
    <t>Regional anesthesiology and acute pain medicine</t>
  </si>
  <si>
    <t>Surgical critical care</t>
  </si>
  <si>
    <t>Thoracic surgery</t>
  </si>
  <si>
    <t>Vascular neurology</t>
  </si>
  <si>
    <t>Vascular surgery</t>
  </si>
  <si>
    <t>Thoracic Surgery- Integrated</t>
  </si>
  <si>
    <t>ICU Attending Extender</t>
  </si>
  <si>
    <t xml:space="preserve">     PGY 1</t>
  </si>
  <si>
    <t xml:space="preserve">     PGY 2</t>
  </si>
  <si>
    <t xml:space="preserve">     PGY 3</t>
  </si>
  <si>
    <t xml:space="preserve">     PGY 4</t>
  </si>
  <si>
    <t xml:space="preserve">     PGY 5</t>
  </si>
  <si>
    <t xml:space="preserve">     PGY 6</t>
  </si>
  <si>
    <t xml:space="preserve">     PGY 7</t>
  </si>
  <si>
    <t xml:space="preserve">     PGY 8</t>
  </si>
  <si>
    <t>National Provider ID</t>
  </si>
  <si>
    <t>Forensic Pathology</t>
  </si>
  <si>
    <t>Child Abuse Pediatrics</t>
  </si>
  <si>
    <t>Complex General Surgical Oncology</t>
  </si>
  <si>
    <t>Colon and Rectal Surgery</t>
  </si>
  <si>
    <t>Abdominal Radiology</t>
  </si>
  <si>
    <t>Addiction Psychiatry</t>
  </si>
  <si>
    <t>Adolescent Medicine</t>
  </si>
  <si>
    <t>Adult Reconstructive Orthopaedics</t>
  </si>
  <si>
    <t>Advanced Heart Failure and Transplant Cardiology</t>
  </si>
  <si>
    <t>Brain Injury Medicine</t>
  </si>
  <si>
    <t>Chemical Pathology</t>
  </si>
  <si>
    <t>Congenital Cardiac Surgery</t>
  </si>
  <si>
    <t>Craniofacial Surgery</t>
  </si>
  <si>
    <t>Dermatopathology</t>
  </si>
  <si>
    <t>Endovascular Surgical Neuroradiology</t>
  </si>
  <si>
    <t>Family Medicine</t>
  </si>
  <si>
    <t>Foot and Ankle Orthopaedics</t>
  </si>
  <si>
    <t>Forensic Psychiatry</t>
  </si>
  <si>
    <t>Hematology</t>
  </si>
  <si>
    <t>Hematology and Medical Oncology</t>
  </si>
  <si>
    <t>Hospice and Palliative Medicine (Multidisciplinary)</t>
  </si>
  <si>
    <t>Medical Biochemical Genetics</t>
  </si>
  <si>
    <t>Medical Genetics and Genomics</t>
  </si>
  <si>
    <t>Medical Microbiology</t>
  </si>
  <si>
    <t>Medical Oncology</t>
  </si>
  <si>
    <t>Medical Toxicology</t>
  </si>
  <si>
    <t>Musculoskeletal Radiology</t>
  </si>
  <si>
    <t>Neurodevelopmental Disabilities</t>
  </si>
  <si>
    <t>Neurological Surgery</t>
  </si>
  <si>
    <t>Nuclear Radiology</t>
  </si>
  <si>
    <t>Ophthalmic Plastic and Reconstructive Surgery</t>
  </si>
  <si>
    <t>Orthopaedic Surgery of the Spine</t>
  </si>
  <si>
    <t>Orthopaedic Trauma</t>
  </si>
  <si>
    <t>Pathology-Anatomic and Clinical</t>
  </si>
  <si>
    <t>Pediatric Critical Care Medicine</t>
  </si>
  <si>
    <t>Pediatric Nephrology</t>
  </si>
  <si>
    <t>Pediatric Orthopaedics</t>
  </si>
  <si>
    <t>Pediatric Pathology</t>
  </si>
  <si>
    <t>Pediatric Rehabilitation</t>
  </si>
  <si>
    <t>Pediatric Transplant Hepatology</t>
  </si>
  <si>
    <t>Preventive Medicine</t>
  </si>
  <si>
    <t>Pulmonary Disease</t>
  </si>
  <si>
    <t>Reproductive Endocrinology and Infertility</t>
  </si>
  <si>
    <t>Selective Pathology</t>
  </si>
  <si>
    <t>Spinal Cord Injury Medicine</t>
  </si>
  <si>
    <t>Transitional Year</t>
  </si>
  <si>
    <t>Transplant Hepatology</t>
  </si>
  <si>
    <t>Undersea and Hyperbaric Medicine</t>
  </si>
  <si>
    <t xml:space="preserve">Osteopathic Neuromusculoskeletal Medicine </t>
  </si>
  <si>
    <t xml:space="preserve">Pain medicine </t>
  </si>
  <si>
    <t>Colon and rectal surgery</t>
  </si>
  <si>
    <t>Medical toxicology</t>
  </si>
  <si>
    <t>Pediatric emergency medicine</t>
  </si>
  <si>
    <t>Pediatric Sports medicine</t>
  </si>
  <si>
    <t>Family medicine</t>
  </si>
  <si>
    <t>Geriatric medicine</t>
  </si>
  <si>
    <t xml:space="preserve">Hospice and palliative medicine (multidisciplinary) </t>
  </si>
  <si>
    <t>Sports medicine</t>
  </si>
  <si>
    <t>Medical oncology</t>
  </si>
  <si>
    <t>Pulmonary disease</t>
  </si>
  <si>
    <t xml:space="preserve">Pulmonary disease and critical care medicine </t>
  </si>
  <si>
    <t xml:space="preserve">Sleep medicine </t>
  </si>
  <si>
    <t>Transplant hepatology</t>
  </si>
  <si>
    <t>Medical genetics and genomics</t>
  </si>
  <si>
    <t>Medical biochemical genetics</t>
  </si>
  <si>
    <t xml:space="preserve">Molecular genetic pathology </t>
  </si>
  <si>
    <t>Endovascular surgical neuroradiology</t>
  </si>
  <si>
    <t>Brain injury medicine</t>
  </si>
  <si>
    <t>Neurodevelopmental disabilities</t>
  </si>
  <si>
    <t>Neuromuscular medicine</t>
  </si>
  <si>
    <t>Gynecologic oncology</t>
  </si>
  <si>
    <t xml:space="preserve">Reproductive endocrinology and infertility </t>
  </si>
  <si>
    <t xml:space="preserve">Ophthalmic plastic and reconstructive surgery </t>
  </si>
  <si>
    <t>Adult reconstructive orthopaedics</t>
  </si>
  <si>
    <t>Foot and ankle orthopaedics</t>
  </si>
  <si>
    <t>Orthopaedic surgery of the spine</t>
  </si>
  <si>
    <t>Orthopaedic trauma</t>
  </si>
  <si>
    <t>Pediatric orthopaedics</t>
  </si>
  <si>
    <t>Otolaryngology - head and neck surgery</t>
  </si>
  <si>
    <t>Chemical pathology</t>
  </si>
  <si>
    <t>Forensic pathology</t>
  </si>
  <si>
    <t>Medical microbiology</t>
  </si>
  <si>
    <t>Pediatric pathology</t>
  </si>
  <si>
    <t>Selective pathology</t>
  </si>
  <si>
    <t>Adolescent medicine</t>
  </si>
  <si>
    <t>Child abuse pediatrics</t>
  </si>
  <si>
    <t xml:space="preserve">Pediatric hematology/oncology </t>
  </si>
  <si>
    <t xml:space="preserve">Pediatric rheumatology </t>
  </si>
  <si>
    <t>Pediatric sports medicine</t>
  </si>
  <si>
    <t>Pediatric transplant hepatology</t>
  </si>
  <si>
    <t>Spinal cord injury medicine</t>
  </si>
  <si>
    <t>Pediatric rehabilitation</t>
  </si>
  <si>
    <t>Plastic surgery - integrated</t>
  </si>
  <si>
    <t>Craniofacial surgery</t>
  </si>
  <si>
    <t>Preventive medicine</t>
  </si>
  <si>
    <t xml:space="preserve">Undersea and hyperbaric medicine </t>
  </si>
  <si>
    <t xml:space="preserve">Addiction medicine </t>
  </si>
  <si>
    <t>Addiction psychiatry</t>
  </si>
  <si>
    <t>Forensic psychiatry</t>
  </si>
  <si>
    <t>Abdominal radiology</t>
  </si>
  <si>
    <t>Musculoskeletal radiology</t>
  </si>
  <si>
    <t>Nuclear radiology</t>
  </si>
  <si>
    <t xml:space="preserve">Vascular and interventional radiology </t>
  </si>
  <si>
    <t>Complex general surgical oncology</t>
  </si>
  <si>
    <t>Vascular surgery - integrated</t>
  </si>
  <si>
    <t>Congenital cardiac surgery</t>
  </si>
  <si>
    <t>Thoracic surgery - integrated</t>
  </si>
  <si>
    <t>Transitional year</t>
  </si>
  <si>
    <t xml:space="preserve">Internal medicine/Pediatrics </t>
  </si>
  <si>
    <t>Critical care medicine (Anesthesiology)</t>
  </si>
  <si>
    <t>Clinical informatics (Anesthesiology)</t>
  </si>
  <si>
    <t>Hand surgery (Orthopaedic surgery)</t>
  </si>
  <si>
    <t>Hand surgery (Plastic surgery)</t>
  </si>
  <si>
    <t>Hand surgery (Surgery)</t>
  </si>
  <si>
    <t>Critical care medicine (Internal medicine)</t>
  </si>
  <si>
    <t>Sports Medicine (Family Medicine)</t>
  </si>
  <si>
    <t>Clinical informatics (Emergency medicine)</t>
  </si>
  <si>
    <t>Clinical informatics (Family medicine)</t>
  </si>
  <si>
    <t>Clinical informatics (Internal medicine)</t>
  </si>
  <si>
    <t>Clinical informatics (Pathology-anatomic and clinical)</t>
  </si>
  <si>
    <t>Clinical informatics (Pediatrics)</t>
  </si>
  <si>
    <t>Medical toxicology (Emergency medicine)</t>
  </si>
  <si>
    <t>Undersea and hyperbaric medicine (Emergency medicine)</t>
  </si>
  <si>
    <t>Female pelvic medicine and reconstructive surgery (Obstetrics and gynecology)</t>
  </si>
  <si>
    <t>Female pelvic medicine and reconstructive surgery (Urology)</t>
  </si>
  <si>
    <t>Geriatric medicine (Family medicine)</t>
  </si>
  <si>
    <t xml:space="preserve">Osteopathic neuromusculoskeletal medicine </t>
  </si>
  <si>
    <t>Sports medicine (Family medicine)</t>
  </si>
  <si>
    <t>Pediatric emergency medicine (Pediatrics)</t>
  </si>
  <si>
    <t>Hospice and palliative medicine (multidisciplinary)</t>
  </si>
  <si>
    <t>Addiction medicine (multidisciplinary)</t>
  </si>
  <si>
    <t>Pain medicine (multidisciplinary)</t>
  </si>
  <si>
    <t>Sports medicine (Pediatrics)</t>
  </si>
  <si>
    <t>Geriatric medicine (Internal medicine)</t>
  </si>
  <si>
    <t>Sleep medicine (multidisciplinary)</t>
  </si>
  <si>
    <t>Neuromuscular medicine (Neurology)</t>
  </si>
  <si>
    <t>Molecular genetic pathology (multidisciplinary)</t>
  </si>
  <si>
    <t>Pediatric infectious diseases</t>
  </si>
  <si>
    <t>Internal medicine/Pediatrics</t>
  </si>
  <si>
    <t>Pulmonary disease and critical care medicine</t>
  </si>
  <si>
    <t>Plastic Surgery - Integrated</t>
  </si>
  <si>
    <t>Pediatric hematology/oncology</t>
  </si>
  <si>
    <t>Pediatric rheumatology</t>
  </si>
  <si>
    <t>Vascular and interventional radiology</t>
  </si>
  <si>
    <t>Internal Medicine/Family Medicine</t>
  </si>
  <si>
    <t>Year in Program</t>
  </si>
  <si>
    <t>Minimum PGY</t>
  </si>
  <si>
    <t>Maximum PGY</t>
  </si>
  <si>
    <t>Floor Resident / APP Minimum</t>
  </si>
  <si>
    <t>Floor Resident / APP Maximum</t>
  </si>
  <si>
    <t>Floor Intern Minimum</t>
  </si>
  <si>
    <t>Floor Intern Maximum</t>
  </si>
  <si>
    <t>RT Minimum</t>
  </si>
  <si>
    <t>RT Maximum</t>
  </si>
  <si>
    <t>Attending Extender Minimum</t>
  </si>
  <si>
    <t>Attending Extender Maximum</t>
  </si>
  <si>
    <t>ICU Resident / APP Minimum</t>
  </si>
  <si>
    <t>ICU Resident / APP Maximum</t>
  </si>
  <si>
    <t>ICU Intern Minimum</t>
  </si>
  <si>
    <t>ICU Intern Maximum</t>
  </si>
  <si>
    <t>ER Triage / Screen Minimum</t>
  </si>
  <si>
    <t>ER Triage / Screen Maximum</t>
  </si>
  <si>
    <t>Procedure Resident Minimum</t>
  </si>
  <si>
    <t>Procedure Resident Maximum</t>
  </si>
  <si>
    <t>NA / LPN Minimum</t>
  </si>
  <si>
    <t>NA / LPN Maximum</t>
  </si>
  <si>
    <t>CP Minimum</t>
  </si>
  <si>
    <t>CP Maximum</t>
  </si>
  <si>
    <t>Airway Team Resident Minimum</t>
  </si>
  <si>
    <t>Airway Team Resident Maximum</t>
  </si>
  <si>
    <t>Program Specialty</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</si>
  <si>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</si>
  <si>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</si>
  <si>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</si>
  <si>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</si>
  <si>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</si>
  <si>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</si>
  <si>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</si>
  <si>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</si>
  <si>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Other Taxonomy</t>
  </si>
  <si>
    <t>Our Taxonomy</t>
  </si>
  <si>
    <r>
      <t xml:space="preserve">Can Perform </t>
    </r>
    <r>
      <rPr>
        <b/>
        <sz val="11"/>
        <color theme="1"/>
        <rFont val="Calibri"/>
        <family val="2"/>
        <scheme val="major"/>
      </rPr>
      <t>Directly Supervised Intubation</t>
    </r>
    <r>
      <rPr>
        <sz val="11"/>
        <color theme="1"/>
        <rFont val="Calibri"/>
        <family val="2"/>
        <scheme val="major"/>
      </rPr>
      <t xml:space="preserve"> - Has had some airway experience in training</t>
    </r>
  </si>
  <si>
    <r>
      <rPr>
        <sz val="11"/>
        <color rgb="FF000000"/>
        <rFont val="Calibri"/>
        <family val="2"/>
        <scheme val="major"/>
      </rPr>
      <t xml:space="preserve">Can Provide </t>
    </r>
    <r>
      <rPr>
        <b/>
        <sz val="11"/>
        <color rgb="FF000000"/>
        <rFont val="Calibri"/>
        <family val="2"/>
        <scheme val="major"/>
      </rPr>
      <t>Indirectly Supervised Medical Care</t>
    </r>
    <r>
      <rPr>
        <sz val="11"/>
        <color rgb="FF000000"/>
        <rFont val="Calibri"/>
        <family val="2"/>
        <scheme val="major"/>
      </rPr>
      <t xml:space="preserve">—Has completed all/most of an internal medicine/surgery residency, can </t>
    </r>
    <r>
      <rPr>
        <b/>
        <sz val="11"/>
        <color rgb="FF000000"/>
        <rFont val="Calibri"/>
        <family val="2"/>
        <scheme val="major"/>
      </rPr>
      <t>supervise triage/screening</t>
    </r>
  </si>
  <si>
    <r>
      <rPr>
        <sz val="11"/>
        <color rgb="FF000000"/>
        <rFont val="Calibri"/>
        <family val="2"/>
        <scheme val="major"/>
      </rPr>
      <t xml:space="preserve">Can Perfrom </t>
    </r>
    <r>
      <rPr>
        <b/>
        <sz val="11"/>
        <color rgb="FF000000"/>
        <rFont val="Calibri"/>
        <family val="2"/>
        <scheme val="major"/>
      </rPr>
      <t>Indirectly Supervised Bedside Procedures</t>
    </r>
    <r>
      <rPr>
        <sz val="11"/>
        <color rgb="FF000000"/>
        <rFont val="Calibri"/>
        <family val="2"/>
        <scheme val="major"/>
      </rPr>
      <t xml:space="preserve">—Has significant expereience with central line, arterail line placement </t>
    </r>
  </si>
  <si>
    <r>
      <t xml:space="preserve">Can Provide </t>
    </r>
    <r>
      <rPr>
        <b/>
        <sz val="11"/>
        <color theme="1"/>
        <rFont val="Calibri"/>
        <family val="2"/>
        <scheme val="major"/>
      </rPr>
      <t>Indirectly Supervised Pediatric Care</t>
    </r>
    <r>
      <rPr>
        <sz val="11"/>
        <color theme="1"/>
        <rFont val="Calibri"/>
        <family val="2"/>
        <scheme val="major"/>
      </rPr>
      <t xml:space="preserve">—Has completed all/most of an pediatric residency, </t>
    </r>
    <r>
      <rPr>
        <b/>
        <sz val="11"/>
        <color theme="1"/>
        <rFont val="Calibri"/>
        <family val="2"/>
        <scheme val="major"/>
      </rPr>
      <t>can supervise triage screening</t>
    </r>
  </si>
  <si>
    <r>
      <t xml:space="preserve">Can Provide </t>
    </r>
    <r>
      <rPr>
        <b/>
        <sz val="11"/>
        <color theme="1"/>
        <rFont val="Calibri"/>
        <family val="2"/>
        <scheme val="major"/>
      </rPr>
      <t>Indirectly Supervised Emergency Dept. Care</t>
    </r>
    <r>
      <rPr>
        <sz val="11"/>
        <color theme="1"/>
        <rFont val="Calibri"/>
        <family val="2"/>
        <scheme val="major"/>
      </rPr>
      <t>—Has completed all/most of an ED or internal medicine residency, can supervise triage screening</t>
    </r>
  </si>
  <si>
    <r>
      <rPr>
        <sz val="11"/>
        <color rgb="FF000000"/>
        <rFont val="Calibri"/>
        <family val="2"/>
        <scheme val="major"/>
      </rPr>
      <t>Can Provide I</t>
    </r>
    <r>
      <rPr>
        <b/>
        <sz val="11"/>
        <color rgb="FF000000"/>
        <rFont val="Calibri"/>
        <family val="2"/>
        <scheme val="major"/>
      </rPr>
      <t>ndrectly Supervised</t>
    </r>
    <r>
      <rPr>
        <sz val="11"/>
        <color rgb="FF000000"/>
        <rFont val="Calibri"/>
        <family val="2"/>
        <scheme val="major"/>
      </rPr>
      <t xml:space="preserve"> </t>
    </r>
    <r>
      <rPr>
        <b/>
        <sz val="11"/>
        <color rgb="FF000000"/>
        <rFont val="Calibri"/>
        <family val="2"/>
        <scheme val="major"/>
      </rPr>
      <t>Medical or Surgical Intensive Care</t>
    </r>
    <r>
      <rPr>
        <sz val="11"/>
        <color rgb="FF000000"/>
        <rFont val="Calibri"/>
        <family val="2"/>
        <scheme val="major"/>
      </rPr>
      <t>— Has had significant medical or pediatric intensive care experience in training, can manage ventilators and critically ill patients with indirect supervision.</t>
    </r>
  </si>
  <si>
    <r>
      <rPr>
        <sz val="11"/>
        <color rgb="FF000000"/>
        <rFont val="Calibri"/>
        <family val="2"/>
        <scheme val="major"/>
      </rPr>
      <t>Can Perform</t>
    </r>
    <r>
      <rPr>
        <b/>
        <sz val="11"/>
        <color rgb="FF000000"/>
        <rFont val="Calibri"/>
        <family val="2"/>
        <scheme val="major"/>
      </rPr>
      <t xml:space="preserve"> Indirectly Supervised Intubation - </t>
    </r>
    <r>
      <rPr>
        <sz val="11"/>
        <color rgb="FF000000"/>
        <rFont val="Calibri"/>
        <family val="2"/>
        <scheme val="major"/>
      </rPr>
      <t>Has had significant airway experience in training</t>
    </r>
  </si>
  <si>
    <r>
      <rPr>
        <sz val="11"/>
        <color rgb="FF000000"/>
        <rFont val="Calibri"/>
        <family val="2"/>
        <scheme val="major"/>
      </rPr>
      <t xml:space="preserve">Can Provide </t>
    </r>
    <r>
      <rPr>
        <b/>
        <sz val="11"/>
        <color rgb="FF000000"/>
        <rFont val="Calibri"/>
        <family val="2"/>
        <scheme val="major"/>
      </rPr>
      <t>Directly Supervised Medical Care</t>
    </r>
    <r>
      <rPr>
        <sz val="11"/>
        <color rgb="FF000000"/>
        <rFont val="Calibri"/>
        <family val="2"/>
        <scheme val="major"/>
      </rPr>
      <t xml:space="preserve">—Has completed part of an internal medicine/surgery residency, can particpate in </t>
    </r>
    <r>
      <rPr>
        <b/>
        <sz val="11"/>
        <color rgb="FF000000"/>
        <rFont val="Calibri"/>
        <family val="2"/>
        <scheme val="major"/>
      </rPr>
      <t>triage/screening</t>
    </r>
  </si>
  <si>
    <r>
      <t>Can Perfrom</t>
    </r>
    <r>
      <rPr>
        <b/>
        <sz val="11"/>
        <color theme="1"/>
        <rFont val="Calibri"/>
        <family val="2"/>
        <scheme val="major"/>
      </rPr>
      <t xml:space="preserve"> Directly Supervised Bedside Porcedure</t>
    </r>
    <r>
      <rPr>
        <sz val="11"/>
        <color theme="1"/>
        <rFont val="Calibri"/>
        <family val="2"/>
        <scheme val="major"/>
      </rPr>
      <t>s—Has some expereience with central line, arterail line placement</t>
    </r>
  </si>
  <si>
    <r>
      <t xml:space="preserve">Can Provide </t>
    </r>
    <r>
      <rPr>
        <b/>
        <sz val="11"/>
        <color theme="1"/>
        <rFont val="Calibri"/>
        <family val="2"/>
        <scheme val="major"/>
      </rPr>
      <t>Directly Supervised Pediatric Care</t>
    </r>
    <r>
      <rPr>
        <sz val="11"/>
        <color theme="1"/>
        <rFont val="Calibri"/>
        <family val="2"/>
        <scheme val="major"/>
      </rPr>
      <t xml:space="preserve">—Has completed part of a pediatric residency, can particpate in </t>
    </r>
    <r>
      <rPr>
        <b/>
        <sz val="11"/>
        <color theme="1"/>
        <rFont val="Calibri"/>
        <family val="2"/>
        <scheme val="major"/>
      </rPr>
      <t>triage/screening</t>
    </r>
  </si>
  <si>
    <t>PGY Maximum</t>
  </si>
  <si>
    <t>PGY Minimum</t>
  </si>
  <si>
    <t>Respiratory Therapist Maximum</t>
  </si>
  <si>
    <t>ICU Attending Extender Maximum</t>
  </si>
  <si>
    <t>Total</t>
  </si>
  <si>
    <t>Floor Resident / APP</t>
  </si>
  <si>
    <t>Floor Intern</t>
  </si>
  <si>
    <t>Respiratory Therapist</t>
  </si>
  <si>
    <t>ICU Resident APP</t>
  </si>
  <si>
    <t>ICU Intern</t>
  </si>
  <si>
    <t>ER Triage / Screen</t>
  </si>
  <si>
    <t>Procedure Resident</t>
  </si>
  <si>
    <t>NA / LPN</t>
  </si>
  <si>
    <t>Airway Team Resident</t>
  </si>
  <si>
    <t>Click here for our user guide.</t>
  </si>
  <si>
    <t>ICU attending</t>
  </si>
  <si>
    <t>ICU attending extender</t>
  </si>
  <si>
    <t>ICU resident/APP</t>
  </si>
  <si>
    <t>ICU intern</t>
  </si>
  <si>
    <t>Floor attending</t>
  </si>
  <si>
    <t>Floor resident/APP</t>
  </si>
  <si>
    <t>Floor intern</t>
  </si>
  <si>
    <t>Procedure attending</t>
  </si>
  <si>
    <t>Procedure resident</t>
  </si>
  <si>
    <t>Airway attending</t>
  </si>
  <si>
    <t>Airway resident</t>
  </si>
  <si>
    <t>ER triage/screen</t>
  </si>
  <si>
    <t>Nursing Assistant/LPN</t>
  </si>
  <si>
    <t>Care Partner</t>
  </si>
  <si>
    <t>Clinical Role</t>
  </si>
  <si>
    <t>Definition</t>
  </si>
  <si>
    <t xml:space="preserve">Board Certified in Critical Care: Able to provide supervision and coordination for Medical or Surgical Intensive Care delivery, can manage multiple critical care teams lead by non-critical care trained ICU attending extenders </t>
  </si>
  <si>
    <t>Non-Board Certified in Critical Care: Faculty/Fellow able to provide supervision and Coordination of a single Medical or Surgical Intensive Care team. Has significant medical, surgical, or pediatric intensive care experience in training, can manage ventilators and critically ill patients with indirect supervision.</t>
  </si>
  <si>
    <t>Can provide Indirectly Supervised Medical or Surgical Intensive Care: Has had significant medical or pediatric intensive care experience in training, can manage ventilators and critically ill patients with indirect supervision.</t>
  </si>
  <si>
    <t>Can provide Directly Supervised Medical or Surgical Intensive Care or Team Support: Some exposure to intensive care patients as a trainee, familiarity with the ICU environment, but will not be expected to independently manage ventilators or perform bedside procedures</t>
  </si>
  <si>
    <t>Board Certified in Med/Surg Specialty: Able to provide Supervision and Coordination for inpatient Medical care delivery— Has had significant hospital medical in training, can manage ventilators and critically ill patients with indirect supervision.</t>
  </si>
  <si>
    <t>Can provide Indirectly Supervised Medical Care: Has completed all/most of an internal medicine/surgery residency, can supervise triage/screening</t>
  </si>
  <si>
    <t>Can provide Directly Supervised Medical Care: Has completed part of an internal medicine/surgery residency, can participate in triage/screening</t>
  </si>
  <si>
    <t>Board Certified in a Procedural Subspecialty: Can supervise a team specialized in performance of bedside procedures such as central line, arterial line placement.</t>
  </si>
  <si>
    <t>Can Perform Indirectly Supervised Bedside Procedures: Has significant experience with central line, arterial line placement</t>
  </si>
  <si>
    <t>Board Certified in a an airway-related sub-specialty  (Anesthesia/Otolaryngology/Critical Care): Can supervise a team specialized to perform intubations and complex airway management</t>
  </si>
  <si>
    <t>Can perform Indirectly Supervised Intubation: Has had significant training in airway management.</t>
  </si>
  <si>
    <t>Can perform basic triage/disease screening in ED/ambulatory setting</t>
  </si>
  <si>
    <t>Can assist nursing with limited clinical duties such as patient vitals, intake screening, ambulation, hygiene, etc.</t>
  </si>
  <si>
    <t>Can function in the role of respiratory therapist in assisting with ventilator management and application of noninvasive ventilation/oxygenation therapies</t>
  </si>
  <si>
    <t>Care Partner Maximum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</si>
</sst>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font>
    <font>
      <b/>
      <sz val="12"/>
      <name val="Arial"/>
      <family val="2"/>
    </font>
    <font>
      <sz val="11"/>
      <color rgb="FF000000"/>
      <name val="Calibri"/>
      <family val="2"/>
    </font>
    <font>
      <sz val="11"/>
      <color theme="1"/>
      <name val="Calibri"/>
      <family val="2"/>
    </font>
    <font>
      <b/>
      <sz val="11"/>
      <color theme="1"/>
      <name val="Calibri"/>
      <family val="2"/>
    </font>
    <font>
      <sz val="12"/>
      <color theme="1"/>
      <name val="Arial"/>
      <family val="2"/>
    </font>
    <font>
      <u/>
      <sz val="12"/>
      <color theme="10"/>
      <name val="Arial"/>
      <family val="2"/>
    </font>
    <font>
      <sz val="11"/>
      <color theme="1"/>
      <name val="Calibri"/>
      <family val="2"/>
      <scheme val="major"/>
    </font>
    <font>
      <b/>
      <sz val="11"/>
      <color theme="1"/>
      <name val="Calibri"/>
      <family val="2"/>
      <scheme val="major"/>
    </font>
    <font>
      <sz val="12"/>
      <color theme="1"/>
      <name val="Calibri"/>
      <family val="2"/>
      <scheme val="minor"/>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b/>
      <sz val="11"/>
      <color rgb="FF000000"/>
      <name val="Calibri"/>
      <family val="2"/>
      <scheme val="major"/>
    </font>
    <font>
      <sz val="11"/>
      <color rgb="FF000000"/>
      <name val="Calibri"/>
      <family val="2"/>
      <scheme val="major"/>
    </font>
    <font>
      <sz val="11"/>
      <name val="Calibri"/>
      <family val="2"/>
      <scheme val="major"/>
    </font>
    <font>
      <u/>
      <sz val="11"/>
      <color theme="10"/>
      <name val="Calibri"/>
      <family val="2"/>
    </font>
  </fonts>
  <fills count="14">
    <fill>
      <patternFill patternType="none"/>
    </fill>
    <fill>
      <patternFill patternType="gray125"/>
    </fill>
    <fill>
      <patternFill patternType="solid">
        <fgColor rgb="FFE2EFDA"/>
        <bgColor rgb="FFE2EFDA"/>
      </patternFill>
    </fill>
    <fill>
      <patternFill patternType="solid">
        <fgColor rgb="FFE2EFD9"/>
        <bgColor rgb="FFE2EFD9"/>
      </patternFill>
    </fill>
    <fill>
      <patternFill patternType="solid">
        <fgColor rgb="FFE5EEDC"/>
        <bgColor rgb="FFE5EEDC"/>
      </patternFill>
    </fill>
    <fill>
      <patternFill patternType="solid">
        <fgColor rgb="FFFEF2D0"/>
        <bgColor rgb="FFFEF2D0"/>
      </patternFill>
    </fill>
    <fill>
      <patternFill patternType="solid">
        <fgColor rgb="FFD6DCE4"/>
        <bgColor rgb="FFD6DCE4"/>
      </patternFill>
    </fill>
    <fill>
      <patternFill patternType="solid">
        <fgColor theme="0"/>
        <bgColor theme="0"/>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medium">
        <color rgb="FF000000"/>
      </left>
      <right/>
      <top style="medium">
        <color rgb="FF000000"/>
      </top>
      <bottom style="medium">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ck">
        <color indexed="64"/>
      </left>
      <right/>
      <top/>
      <bottom/>
      <diagonal/>
    </border>
  </borders>
  <cellStyleXfs count="6">
    <xf numFmtId="0" fontId="0" fillId="0" borderId="0"/>
    <xf numFmtId="0" fontId="5" fillId="0" borderId="2"/>
    <xf numFmtId="0" fontId="6" fillId="0" borderId="2" applyNumberFormat="0" applyFill="0" applyBorder="0" applyAlignment="0" applyProtection="0"/>
    <xf numFmtId="0" fontId="9" fillId="0" borderId="2"/>
    <xf numFmtId="0" fontId="13" fillId="0" borderId="2" applyNumberFormat="0" applyFill="0" applyBorder="0" applyAlignment="0" applyProtection="0"/>
    <xf numFmtId="0" fontId="17" fillId="0" borderId="0" applyNumberFormat="0" applyFill="0" applyBorder="0" applyAlignment="0" applyProtection="0"/>
  </cellStyleXfs>
  <cellXfs count="82">
    <xf numFmtId="0" fontId="0" fillId="0" borderId="0" xfId="0" applyFont="1" applyAlignment="1"/>
    <xf numFmtId="0" fontId="0" fillId="0" borderId="0" xfId="0" applyFont="1"/>
    <xf numFmtId="0" fontId="3" fillId="0" borderId="0" xfId="0" applyFont="1"/>
    <xf numFmtId="0" fontId="4" fillId="0" borderId="0" xfId="0" applyFont="1"/>
    <xf numFmtId="0" fontId="3" fillId="0" borderId="0" xfId="0" applyFont="1" applyAlignment="1">
      <alignment vertical="top"/>
    </xf>
    <xf numFmtId="0" fontId="0" fillId="0" borderId="0" xfId="0" applyFont="1" applyAlignment="1">
      <alignment wrapText="1"/>
    </xf>
    <xf numFmtId="0" fontId="1" fillId="0" borderId="2" xfId="0" applyFont="1" applyFill="1" applyBorder="1" applyAlignment="1">
      <alignment wrapText="1"/>
    </xf>
    <xf numFmtId="0" fontId="0" fillId="0" borderId="0" xfId="0" applyFont="1" applyFill="1" applyAlignment="1"/>
    <xf numFmtId="0" fontId="7" fillId="0" borderId="2" xfId="0" applyFont="1" applyBorder="1"/>
    <xf numFmtId="0" fontId="7" fillId="0" borderId="2" xfId="0" applyFont="1" applyBorder="1" applyAlignment="1">
      <alignment vertical="top"/>
    </xf>
    <xf numFmtId="0" fontId="7" fillId="0" borderId="2" xfId="0" applyFont="1" applyBorder="1" applyAlignment="1">
      <alignment vertical="top" wrapText="1"/>
    </xf>
    <xf numFmtId="0" fontId="8" fillId="0" borderId="0" xfId="0" applyFont="1"/>
    <xf numFmtId="0" fontId="7" fillId="0" borderId="0" xfId="0" applyFont="1" applyAlignment="1"/>
    <xf numFmtId="0" fontId="7" fillId="0" borderId="2" xfId="0" applyFont="1" applyBorder="1" applyAlignment="1">
      <alignment wrapText="1"/>
    </xf>
    <xf numFmtId="0" fontId="7" fillId="0" borderId="0" xfId="0" applyFont="1" applyAlignment="1">
      <alignment wrapText="1"/>
    </xf>
    <xf numFmtId="0" fontId="8" fillId="0" borderId="0" xfId="0" applyFont="1" applyAlignment="1">
      <alignment vertical="top" wrapText="1"/>
    </xf>
    <xf numFmtId="0" fontId="7" fillId="0" borderId="0" xfId="0" applyFont="1" applyAlignment="1">
      <alignment vertical="top" wrapText="1"/>
    </xf>
    <xf numFmtId="0" fontId="9" fillId="11" borderId="7" xfId="3" applyFill="1" applyBorder="1"/>
    <xf numFmtId="0" fontId="9" fillId="11" borderId="8" xfId="3" applyFill="1" applyBorder="1"/>
    <xf numFmtId="0" fontId="9" fillId="11" borderId="9" xfId="3" applyFill="1" applyBorder="1"/>
    <xf numFmtId="0" fontId="9" fillId="0" borderId="2" xfId="3"/>
    <xf numFmtId="0" fontId="9" fillId="11" borderId="10" xfId="3" applyFill="1" applyBorder="1"/>
    <xf numFmtId="0" fontId="9" fillId="11" borderId="2" xfId="3" applyFill="1"/>
    <xf numFmtId="0" fontId="9" fillId="11" borderId="11" xfId="3" applyFill="1" applyBorder="1"/>
    <xf numFmtId="0" fontId="11" fillId="11" borderId="2" xfId="3" quotePrefix="1" applyFont="1" applyFill="1"/>
    <xf numFmtId="0" fontId="9" fillId="11" borderId="2" xfId="3" applyFill="1" applyAlignment="1">
      <alignment horizontal="center"/>
    </xf>
    <xf numFmtId="0" fontId="9" fillId="0" borderId="12" xfId="3" applyBorder="1"/>
    <xf numFmtId="0" fontId="9" fillId="0" borderId="14" xfId="3" applyBorder="1"/>
    <xf numFmtId="0" fontId="7" fillId="0" borderId="0" xfId="0" applyFont="1" applyAlignment="1">
      <alignment vertical="top"/>
    </xf>
    <xf numFmtId="0" fontId="3" fillId="0" borderId="1" xfId="0" applyFont="1" applyBorder="1" applyAlignment="1">
      <alignment horizontal="center"/>
    </xf>
    <xf numFmtId="0" fontId="3" fillId="3" borderId="1" xfId="0" applyFont="1" applyFill="1" applyBorder="1" applyAlignment="1">
      <alignment horizontal="center"/>
    </xf>
    <xf numFmtId="0" fontId="3" fillId="4" borderId="1" xfId="0" applyFont="1" applyFill="1" applyBorder="1" applyAlignment="1">
      <alignment horizontal="center"/>
    </xf>
    <xf numFmtId="0" fontId="3" fillId="5" borderId="1" xfId="0" applyFont="1" applyFill="1" applyBorder="1" applyAlignment="1">
      <alignment horizontal="center"/>
    </xf>
    <xf numFmtId="0" fontId="3" fillId="6" borderId="15" xfId="0" applyFont="1" applyFill="1" applyBorder="1" applyAlignment="1">
      <alignment horizontal="center"/>
    </xf>
    <xf numFmtId="0" fontId="3" fillId="0" borderId="1" xfId="0" applyFont="1" applyBorder="1" applyAlignment="1">
      <alignment horizontal="center" vertical="top"/>
    </xf>
    <xf numFmtId="0" fontId="3" fillId="3" borderId="1" xfId="0" applyFont="1" applyFill="1" applyBorder="1" applyAlignment="1">
      <alignment horizontal="center" vertical="top"/>
    </xf>
    <xf numFmtId="0" fontId="3" fillId="4" borderId="1" xfId="0" applyFont="1" applyFill="1" applyBorder="1" applyAlignment="1">
      <alignment horizontal="center" vertical="top"/>
    </xf>
    <xf numFmtId="0" fontId="3" fillId="5" borderId="1" xfId="0" applyFont="1" applyFill="1" applyBorder="1" applyAlignment="1">
      <alignment horizontal="center" vertical="top"/>
    </xf>
    <xf numFmtId="0" fontId="3" fillId="6" borderId="15" xfId="0" applyFont="1" applyFill="1" applyBorder="1" applyAlignment="1">
      <alignment horizontal="center" vertical="top"/>
    </xf>
    <xf numFmtId="0" fontId="2" fillId="2" borderId="1" xfId="0" applyFont="1" applyFill="1" applyBorder="1" applyAlignment="1">
      <alignment horizontal="center"/>
    </xf>
    <xf numFmtId="0" fontId="3" fillId="7" borderId="1" xfId="0" applyFont="1" applyFill="1" applyBorder="1" applyAlignment="1">
      <alignment horizontal="center"/>
    </xf>
    <xf numFmtId="0" fontId="3" fillId="0" borderId="4" xfId="0" applyFont="1" applyBorder="1" applyAlignment="1">
      <alignment horizontal="center"/>
    </xf>
    <xf numFmtId="0" fontId="3" fillId="3" borderId="4" xfId="0" applyFont="1" applyFill="1" applyBorder="1" applyAlignment="1">
      <alignment horizontal="center"/>
    </xf>
    <xf numFmtId="0" fontId="3" fillId="4" borderId="4" xfId="0" applyFont="1" applyFill="1" applyBorder="1" applyAlignment="1">
      <alignment horizontal="center"/>
    </xf>
    <xf numFmtId="0" fontId="3" fillId="5" borderId="4" xfId="0" applyFont="1" applyFill="1" applyBorder="1" applyAlignment="1">
      <alignment horizontal="center"/>
    </xf>
    <xf numFmtId="0" fontId="3" fillId="6" borderId="16" xfId="0" applyFont="1" applyFill="1" applyBorder="1" applyAlignment="1">
      <alignment horizontal="center"/>
    </xf>
    <xf numFmtId="0" fontId="7" fillId="0" borderId="0" xfId="0" applyFont="1"/>
    <xf numFmtId="0" fontId="14" fillId="0" borderId="0" xfId="0" applyFont="1" applyAlignment="1">
      <alignment vertical="top" wrapText="1"/>
    </xf>
    <xf numFmtId="0" fontId="8" fillId="3" borderId="3" xfId="0" applyFont="1" applyFill="1" applyBorder="1"/>
    <xf numFmtId="0" fontId="8" fillId="4" borderId="3" xfId="0" applyFont="1" applyFill="1" applyBorder="1"/>
    <xf numFmtId="0" fontId="8" fillId="5" borderId="3" xfId="0" applyFont="1" applyFill="1" applyBorder="1"/>
    <xf numFmtId="0" fontId="8" fillId="6" borderId="3" xfId="0" applyFont="1" applyFill="1" applyBorder="1" applyAlignment="1">
      <alignment vertical="top"/>
    </xf>
    <xf numFmtId="0" fontId="7" fillId="0" borderId="2" xfId="0" applyFont="1" applyFill="1" applyBorder="1"/>
    <xf numFmtId="0" fontId="7" fillId="0" borderId="2" xfId="0" applyFont="1" applyFill="1" applyBorder="1" applyAlignment="1">
      <alignment wrapText="1"/>
    </xf>
    <xf numFmtId="0" fontId="7" fillId="12" borderId="2" xfId="0" applyFont="1" applyFill="1" applyBorder="1" applyAlignment="1">
      <alignment vertical="top" wrapText="1"/>
    </xf>
    <xf numFmtId="0" fontId="7" fillId="13" borderId="2" xfId="0" applyFont="1" applyFill="1" applyBorder="1"/>
    <xf numFmtId="0" fontId="7" fillId="13" borderId="2" xfId="0" applyFont="1" applyFill="1" applyBorder="1" applyAlignment="1">
      <alignment wrapText="1"/>
    </xf>
    <xf numFmtId="0" fontId="0" fillId="0" borderId="0" xfId="0" applyFont="1" applyFill="1" applyAlignment="1">
      <alignment wrapText="1"/>
    </xf>
    <xf numFmtId="0" fontId="7" fillId="0" borderId="2" xfId="0" applyNumberFormat="1" applyFont="1" applyFill="1" applyBorder="1" applyAlignment="1" applyProtection="1"/>
    <xf numFmtId="0" fontId="0" fillId="10" borderId="0" xfId="0" applyFont="1" applyFill="1" applyAlignment="1"/>
    <xf numFmtId="0" fontId="13" fillId="11" borderId="2" xfId="4" applyFill="1" applyBorder="1" applyAlignment="1">
      <alignment horizontal="center"/>
    </xf>
    <xf numFmtId="0" fontId="7" fillId="10" borderId="0" xfId="0" applyFont="1" applyFill="1"/>
    <xf numFmtId="0" fontId="7" fillId="10" borderId="0" xfId="0" applyFont="1" applyFill="1" applyAlignment="1">
      <alignment wrapText="1"/>
    </xf>
    <xf numFmtId="0" fontId="16" fillId="0" borderId="0" xfId="0" applyFont="1" applyAlignment="1">
      <alignment horizontal="right" wrapText="1"/>
    </xf>
    <xf numFmtId="0" fontId="16" fillId="0" borderId="0" xfId="0" applyFont="1" applyAlignment="1">
      <alignment wrapText="1"/>
    </xf>
    <xf numFmtId="0" fontId="7" fillId="0" borderId="0" xfId="0" applyFont="1" applyAlignment="1">
      <alignment horizontal="right" wrapText="1"/>
    </xf>
    <xf numFmtId="0" fontId="7" fillId="8" borderId="2" xfId="0" applyFont="1" applyFill="1" applyBorder="1" applyAlignment="1"/>
    <xf numFmtId="0" fontId="16" fillId="9" borderId="0" xfId="0" applyFont="1" applyFill="1" applyAlignment="1"/>
    <xf numFmtId="0" fontId="16" fillId="9" borderId="0" xfId="0" applyFont="1" applyFill="1" applyAlignment="1">
      <alignment wrapText="1"/>
    </xf>
    <xf numFmtId="0" fontId="7" fillId="13" borderId="17" xfId="0" applyFont="1" applyFill="1" applyBorder="1"/>
    <xf numFmtId="0" fontId="7" fillId="0" borderId="17" xfId="0" applyFont="1" applyFill="1" applyBorder="1"/>
    <xf numFmtId="0" fontId="0" fillId="0" borderId="0" xfId="0" applyFont="1" applyAlignment="1">
      <alignment horizontal="left" vertical="top"/>
    </xf>
    <xf numFmtId="0" fontId="9" fillId="0" borderId="13" xfId="3" applyBorder="1" applyAlignment="1">
      <alignment horizontal="center"/>
    </xf>
    <xf numFmtId="0" fontId="10" fillId="11" borderId="2" xfId="3" applyFont="1" applyFill="1" applyAlignment="1">
      <alignment horizontal="left" wrapText="1"/>
    </xf>
    <xf numFmtId="0" fontId="13" fillId="11" borderId="2" xfId="4" applyFill="1" applyBorder="1" applyAlignment="1">
      <alignment horizontal="center"/>
    </xf>
    <xf numFmtId="0" fontId="17" fillId="11" borderId="2" xfId="5" applyFill="1" applyBorder="1" applyAlignment="1">
      <alignment horizontal="center"/>
    </xf>
    <xf numFmtId="0" fontId="7" fillId="4" borderId="4" xfId="0" applyFont="1" applyFill="1" applyBorder="1" applyAlignment="1">
      <alignment horizontal="left" vertical="top" wrapText="1"/>
    </xf>
    <xf numFmtId="0" fontId="16" fillId="0" borderId="6" xfId="0" applyFont="1" applyBorder="1" applyAlignment="1">
      <alignment vertical="top"/>
    </xf>
    <xf numFmtId="0" fontId="16" fillId="0" borderId="5" xfId="0" applyFont="1" applyBorder="1" applyAlignment="1">
      <alignment vertical="top"/>
    </xf>
    <xf numFmtId="0" fontId="7" fillId="3" borderId="4" xfId="0" applyFont="1" applyFill="1" applyBorder="1" applyAlignment="1">
      <alignment horizontal="left" vertical="top" wrapText="1"/>
    </xf>
    <xf numFmtId="0" fontId="15" fillId="6" borderId="4" xfId="0" applyFont="1" applyFill="1" applyBorder="1" applyAlignment="1">
      <alignment horizontal="left" vertical="top" wrapText="1"/>
    </xf>
    <xf numFmtId="0" fontId="7" fillId="5" borderId="4" xfId="0" applyFont="1" applyFill="1" applyBorder="1" applyAlignment="1">
      <alignment horizontal="left" vertical="top" wrapText="1"/>
    </xf>
  </cellXfs>
  <cellStyles count="6">
    <cellStyle name="Hyperlink" xfId="5" builtinId="8"/>
    <cellStyle name="Hyperlink 2" xfId="2" xr:uid="{D9F04AA0-8779-8346-A692-52A8D5B4F572}"/>
    <cellStyle name="Hyperlink 2 2" xfId="4" xr:uid="{D5A354E4-B9CC-4560-A7DE-8E5ED2AE86D6}"/>
    <cellStyle name="Normal" xfId="0" builtinId="0" customBuiltin="1"/>
    <cellStyle name="Normal 2" xfId="1" xr:uid="{19EFA502-F5F5-8F4D-89C0-A1D8F4EF42A3}"/>
    <cellStyle name="Normal 2 2" xfId="3" xr:uid="{21EB701F-2CE1-4567-8231-6816250C1744}"/>
  </cellStyles>
  <dxfs count="126">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ajor"/>
      </font>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ajor"/>
      </font>
      <fill>
        <patternFill patternType="solid">
          <fgColor rgb="FFD9D9D9"/>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color theme="1"/>
        <name val="Calibri"/>
        <family val="2"/>
        <scheme val="major"/>
      </font>
      <numFmt numFmtId="0" formatCode="General"/>
      <fill>
        <patternFill patternType="none">
          <fgColor indexed="64"/>
          <bgColor indexed="65"/>
        </patternFill>
      </fill>
      <border diagonalUp="0" diagonalDown="0">
        <left style="thick">
          <color indexed="64"/>
        </left>
        <right/>
        <top/>
        <bottom/>
        <vertical/>
        <horizontal/>
      </border>
    </dxf>
    <dxf>
      <font>
        <strike val="0"/>
        <outline val="0"/>
        <shadow val="0"/>
        <u val="none"/>
        <vertAlign val="baseline"/>
        <sz val="11"/>
        <color theme="1"/>
        <name val="Calibri"/>
        <family val="2"/>
        <scheme val="major"/>
      </font>
      <numFmt numFmtId="0" formatCode="General"/>
      <fill>
        <patternFill patternType="none">
          <fgColor indexed="64"/>
          <bgColor indexed="65"/>
        </patternFill>
      </fill>
      <alignment horizontal="general" textRotation="0" wrapText="1" indent="0" justifyLastLine="0" shrinkToFit="0" readingOrder="0"/>
    </dxf>
    <dxf>
      <font>
        <strike val="0"/>
        <outline val="0"/>
        <shadow val="0"/>
        <u val="none"/>
        <vertAlign val="baseline"/>
        <sz val="11"/>
        <color theme="1"/>
        <name val="Calibri"/>
        <family val="2"/>
        <scheme val="major"/>
      </font>
      <fill>
        <patternFill patternType="none">
          <fgColor indexed="64"/>
          <bgColor indexed="65"/>
        </patternFill>
      </fill>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none"/>
      </font>
      <fill>
        <patternFill patternType="solid">
          <fgColor rgb="FFD6DCE4"/>
          <bgColor rgb="FFD6DCE4"/>
        </patternFill>
      </fill>
      <alignment horizont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5EEDC"/>
          <bgColor rgb="FFE5EEDC"/>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5EEDC"/>
          <bgColor rgb="FFE5EEDC"/>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E2EFD9"/>
          <bgColor rgb="FFE2EFD9"/>
        </patternFill>
      </fill>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alignment horizont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alignment horizontal="center" textRotation="0" wrapText="0" indent="0" justifyLastLine="0" shrinkToFit="0" readingOrder="0"/>
      <border diagonalUp="0" diagonalDown="0" outline="0">
        <left/>
        <right style="thin">
          <color rgb="FF000000"/>
        </right>
        <top style="thin">
          <color rgb="FF000000"/>
        </top>
        <bottom style="thin">
          <color rgb="FF000000"/>
        </bottom>
      </border>
    </dxf>
    <dxf>
      <font>
        <strike val="0"/>
        <outline val="0"/>
        <shadow val="0"/>
        <u val="none"/>
        <vertAlign val="baseline"/>
        <sz val="11"/>
        <color theme="1"/>
        <name val="Calibri"/>
        <family val="2"/>
        <scheme val="major"/>
      </font>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fill>
        <patternFill patternType="solid">
          <fgColor rgb="FFFEF2D0"/>
          <bgColor rgb="FFFEF2D0"/>
        </patternFill>
      </fill>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top" textRotation="0" wrapText="0"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top" textRotation="0" wrapText="1"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alignment textRotation="0" wrapText="1" indent="0" justifyLastLine="0" shrinkToFit="0" readingOrder="0"/>
    </dxf>
    <dxf>
      <font>
        <b val="0"/>
        <i val="0"/>
        <strike val="0"/>
        <condense val="0"/>
        <extend val="0"/>
        <outline val="0"/>
        <shadow val="0"/>
        <u val="none"/>
        <vertAlign val="baseline"/>
        <sz val="11"/>
        <color theme="1"/>
        <name val="Calibri"/>
        <family val="2"/>
        <scheme val="major"/>
      </font>
    </dxf>
    <dxf>
      <font>
        <strike val="0"/>
        <outline val="0"/>
        <shadow val="0"/>
        <u val="none"/>
        <vertAlign val="baseline"/>
        <sz val="11"/>
      </font>
    </dxf>
    <dxf>
      <font>
        <b val="0"/>
        <i val="0"/>
        <strike val="0"/>
        <condense val="0"/>
        <extend val="0"/>
        <outline val="0"/>
        <shadow val="0"/>
        <u val="none"/>
        <vertAlign val="baseline"/>
        <sz val="11"/>
        <color theme="1"/>
        <name val="Arial"/>
        <scheme val="none"/>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bottom" textRotation="0" wrapText="1" indent="0" justifyLastLine="0" shrinkToFit="0" readingOrder="0"/>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dxf>
    <dxf>
      <font>
        <strike val="0"/>
        <outline val="0"/>
        <shadow val="0"/>
        <u val="none"/>
        <vertAlign val="baseline"/>
        <sz val="11"/>
        <color theme="1"/>
        <name val="Calibri"/>
        <family val="2"/>
        <scheme val="major"/>
      </font>
      <alignment horizontal="general" vertical="top" textRotation="0" wrapText="1" indent="0" justifyLastLine="0" shrinkToFit="0" readingOrder="0"/>
    </dxf>
  </dxfs>
  <tableStyles count="0" defaultTableStyle="TableStyleMedium2" defaultPivotStyle="PivotStyleLight16"/>
  <colors>
    <mruColors>
      <color rgb="FFCBDAF5"/>
      <color rgb="FFD2E1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55B9991C-F95B-4730-9F57-FAD6E26A2FF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5080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247650</xdr:colOff>
      <xdr:row>0</xdr:row>
      <xdr:rowOff>76200</xdr:rowOff>
    </xdr:from>
    <xdr:to>
      <xdr:col>0</xdr:col>
      <xdr:colOff>2824163</xdr:colOff>
      <xdr:row>0</xdr:row>
      <xdr:rowOff>552450</xdr:rowOff>
    </xdr:to>
    <xdr:sp macro="[0]!ThisWorkbook.processOutput" textlink="">
      <xdr:nvSpPr>
        <xdr:cNvPr id="2" name="Rectangle: Rounded Corners 1">
          <a:extLst>
            <a:ext uri="{FF2B5EF4-FFF2-40B4-BE49-F238E27FC236}">
              <a16:creationId xmlns:a16="http://schemas.microsoft.com/office/drawing/2014/main" id="{E68BDDBF-12B9-4A05-9F08-B1FDD595CE5E}"/>
            </a:ext>
          </a:extLst>
        </xdr:cNvPr>
        <xdr:cNvSpPr/>
      </xdr:nvSpPr>
      <xdr:spPr>
        <a:xfrm>
          <a:off x="247650" y="76200"/>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247650</xdr:colOff>
      <xdr:row>0</xdr:row>
      <xdr:rowOff>76200</xdr:rowOff>
    </xdr:from>
    <xdr:to>
      <xdr:col>0</xdr:col>
      <xdr:colOff>2824163</xdr:colOff>
      <xdr:row>0</xdr:row>
      <xdr:rowOff>552450</xdr:rowOff>
    </xdr:to>
    <xdr:sp macro="[0]!ThisWorkbook.processOutput" textlink="">
      <xdr:nvSpPr>
        <xdr:cNvPr id="2" name="Rectangle: Rounded Corners 1">
          <a:extLst>
            <a:ext uri="{FF2B5EF4-FFF2-40B4-BE49-F238E27FC236}">
              <a16:creationId xmlns:a16="http://schemas.microsoft.com/office/drawing/2014/main" id="{A51E35D0-DFC7-2645-B673-FFE2E8FEE38C}"/>
            </a:ext>
          </a:extLst>
        </xdr:cNvPr>
        <xdr:cNvSpPr/>
      </xdr:nvSpPr>
      <xdr:spPr>
        <a:xfrm>
          <a:off x="247650" y="76200"/>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CF193-4391-4DDA-B0EF-8A2BD6026D1F}" name="trainee_data" displayName="trainee_data" ref="A1:G1021" totalsRowShown="0" headerRowDxfId="125" dataDxfId="124" headerRowCellStyle="Normal" dataCellStyle="Normal">
  <autoFilter ref="A1:G1021" xr:uid="{275374F9-5C6A-4425-859D-ABC28BE53F8E}"/>
  <tableColumns count="7">
    <tableColumn id="1" xr3:uid="{A10DFE80-07E8-4FDA-ADBD-AA6F65974049}" name="National Provider ID" dataDxfId="123" dataCellStyle="Normal"/>
    <tableColumn id="2" xr3:uid="{C51F9FE3-FE63-47A7-AA39-0A5FD8B0C096}" name="Trainee Name" dataDxfId="122" dataCellStyle="Normal"/>
    <tableColumn id="3" xr3:uid="{5D7D7B01-A90F-4620-BA08-195C2D59BC31}" name="Year in Program" dataDxfId="30" dataCellStyle="Normal"/>
    <tableColumn id="4" xr3:uid="{FCE767A0-318F-4033-815F-037699149EA6}" name="Program Specialty" dataDxfId="29" dataCellStyle="Normal"/>
    <tableColumn id="5" xr3:uid="{32A184F4-9B6E-479D-8CFA-ECFE96D1B11B}" name="Specialty/Subspecialty" dataDxfId="26" dataCellStyle="Normal">
      <calculatedColumnFormula>IFERROR(VLOOKUP(trainee_data[[#This Row],[Program Specialty]],taxonomy_map[[Other Taxonomy]:[Our Taxonomy]],2,FALSE),"")</calculatedColumnFormula>
    </tableColumn>
    <tableColumn id="6" xr3:uid="{76A28DF3-023F-48D2-8874-B14A0BED3FE1}" name="Condensed Specialty Type" dataDxfId="28" dataCellStyle="Normal">
      <calculatedColumnFormula>IFERROR(VLOOKUP(trainee_data[[#This Row],[Specialty/Subspecialty]],condensed_specialty_crosswalk[#All],2,FALSE),"")</calculatedColumnFormula>
    </tableColumn>
    <tableColumn id="7" xr3:uid="{6C38B4E6-DED8-4E5F-A9D9-3D474D6F5FDE}" name="Condensed Specialty Code" dataDxfId="27" dataCellStyle="Normal">
      <calculatedColumnFormula>IFERROR(VLOOKUP(trainee_data[[#This Row],[Specialty/Subspecialty]],condensed_specialty_crosswalk[#All],3,FALSE),"")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A5051A-C948-7144-B47E-C67E30AB4941}" name="roles" displayName="roles" ref="A1:N31" totalsRowCount="1" headerRowDxfId="121" dataDxfId="120" headerRowCellStyle="Normal" dataCellStyle="Normal">
  <autoFilter ref="A1:N30" xr:uid="{A3699AD1-4284-9D4C-948E-ACC61E9B56B7}"/>
  <tableColumns count="14">
    <tableColumn id="1" xr3:uid="{79ED19A4-CC3D-F64A-BBCE-7CF3E8FFFC22}" name="Condensed Specialty" totalsRowLabel="Total" dataDxfId="119" totalsRowDxfId="25" dataCellStyle="Normal"/>
    <tableColumn id="2" xr3:uid="{81C58E34-D32D-294B-A8DB-386BE8238A12}" name="PGY Minimum" dataDxfId="118" totalsRowDxfId="24" dataCellStyle="Normal"/>
    <tableColumn id="3" xr3:uid="{BBDF5D52-6139-2441-9657-CCF6A1859AE6}" name="PGY Maximum" dataDxfId="117" totalsRowDxfId="23" dataCellStyle="Normal"/>
    <tableColumn id="4" xr3:uid="{9A38B378-C27E-CC41-ACA1-DB1065D5D463}" name="Floor Resident / APP Maximum" totalsRowFunction="sum" dataDxfId="116" totalsRowDxfId="22" dataCellStyle="Normal"/>
    <tableColumn id="5" xr3:uid="{6978C701-2657-C049-8D5D-0CEAD0ED6A8D}" name="Floor Intern Maximum" totalsRowFunction="sum" dataDxfId="115" totalsRowDxfId="21" dataCellStyle="Normal"/>
    <tableColumn id="6" xr3:uid="{1AE764E1-2985-9442-8B9E-D15DB1F6790E}" name="Respiratory Therapist Maximum" totalsRowFunction="sum" dataDxfId="114" totalsRowDxfId="20" dataCellStyle="Normal"/>
    <tableColumn id="7" xr3:uid="{37F0535C-703C-D040-BD2B-F442C5C73BA1}" name="ICU Attending Extender Maximum" totalsRowFunction="sum" dataDxfId="113" totalsRowDxfId="19" dataCellStyle="Normal"/>
    <tableColumn id="8" xr3:uid="{60CE0EB2-06EB-3542-8256-A9F3E48A524F}" name="ICU Resident / APP Maximum" totalsRowFunction="sum" dataDxfId="112" totalsRowDxfId="18" dataCellStyle="Normal"/>
    <tableColumn id="9" xr3:uid="{9D92E0AA-93AA-6B4A-BF0B-FCA9DAAB696B}" name="ICU Intern Maximum" totalsRowFunction="sum" dataDxfId="111" totalsRowDxfId="17" dataCellStyle="Normal"/>
    <tableColumn id="10" xr3:uid="{741A128C-B4B9-F84C-94C9-0E12B787C7EF}" name="ER Triage / Screen Maximum" totalsRowFunction="sum" dataDxfId="110" totalsRowDxfId="16" dataCellStyle="Normal"/>
    <tableColumn id="11" xr3:uid="{9163649C-00E7-0E4D-BE1A-41BDDFF88A3A}" name="Procedure Resident Maximum" totalsRowFunction="sum" dataDxfId="109" totalsRowDxfId="15" dataCellStyle="Normal"/>
    <tableColumn id="12" xr3:uid="{A314F28D-3259-8D4E-A60E-5EB2E97EE1AA}" name="NA / LPN Maximum" totalsRowFunction="sum" dataDxfId="108" totalsRowDxfId="14" dataCellStyle="Normal"/>
    <tableColumn id="13" xr3:uid="{AA9F3DA9-59A1-D14E-8497-16B256D07C76}" name="Care Partner Maximum" totalsRowFunction="sum" dataDxfId="107" totalsRowDxfId="13" dataCellStyle="Normal"/>
    <tableColumn id="14" xr3:uid="{D5AB7CEF-1EB2-974C-A83A-F2807E117EA9}" name="Airway Team Resident Maximum" totalsRowFunction="sum" dataDxfId="106" totalsRowDxfId="12" dataCellStyle="Normal"/>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7EA438-C830-3F49-92A1-5CFDF675E126}" name="roles_by_pgy" displayName="roles_by_pgy" ref="A1:L263" totalsRowCount="1" headerRowDxfId="105" dataDxfId="104" totalsRowDxfId="103" headerRowCellStyle="Normal">
  <autoFilter ref="A1:L262" xr:uid="{EBF2DD0A-33DA-6C47-88A1-FAA2359BB4E8}"/>
  <tableColumns count="12">
    <tableColumn id="1" xr3:uid="{28A57424-1800-3442-B7B9-FAD64B13E588}" name="Condensed Specialty" totalsRowLabel="Total" dataDxfId="102" totalsRowDxfId="11"/>
    <tableColumn id="4" xr3:uid="{26B07067-1EB8-B944-A3CC-87D6EC405265}" name="Floor Resident / APP" totalsRowFunction="custom" dataDxfId="101" totalsRowDxfId="10">
      <totalsRowFormula>SUM(B2, B11,B20,B29,B38,B47,B56,B65,B75,B83,B92,B101,B110,B119,B128,B137,B146,B155,B164,B173,B182,B191,B200,B209,B218,B227,B236,B245,B254)</totalsRowFormula>
    </tableColumn>
    <tableColumn id="5" xr3:uid="{5AD95EEA-0B69-714A-9D34-CF2B057B75A3}" name="Floor Intern" totalsRowFunction="custom" dataDxfId="100" totalsRowDxfId="9">
      <totalsRowFormula>SUM(C2,C11,C20,C29,C38,C47,C56,C65,C75,C83,C92,C101,C110,C119,C128,C137,C146,C155,C164,C173,C182,C191,C200,C209,C218,C227,C236,C245,C254)</totalsRowFormula>
    </tableColumn>
    <tableColumn id="6" xr3:uid="{C3414240-A833-AF4C-9C0B-1575BB019CFB}" name="Respiratory Therapist" totalsRowFunction="custom" dataDxfId="99" totalsRowDxfId="8">
      <totalsRowFormula>SUM(D2,D11,D20,D29,D38,D47,D56,D65,D75,D83,D92,D101,D110,D119,D128,D137,D146,D155,D164,D173,D182,D191,D200,D209,D218,D227,D236,D245,D254)</totalsRowFormula>
    </tableColumn>
    <tableColumn id="7" xr3:uid="{DD203EEF-21FB-D540-8A40-D5D4D85486DA}" name="ICU Attending Extender" totalsRowFunction="custom" dataDxfId="98" totalsRowDxfId="7">
      <totalsRowFormula>SUM(E2,E11,E20,E29,E38,E47,E56,E65,E75,E83,E92,E101,E110,E119,E128,E137,E146,E155,E164,E173,E182,E191,E200,E209,E218,E227,E236,E245,E254)</totalsRowFormula>
    </tableColumn>
    <tableColumn id="8" xr3:uid="{611AFB10-E624-D443-95BB-476AFE74703F}" name="ICU Resident APP" totalsRowFunction="custom" dataDxfId="97" totalsRowDxfId="6">
      <totalsRowFormula>SUM(F2,F11,F20,F29,F38,F47,F56,F65,F75,F83,F92,F101,F110,F119,F128,F137,F146,F155,F164,F173,F182,F191,F200,F209,F218,F227,F236,F245,F254)</totalsRowFormula>
    </tableColumn>
    <tableColumn id="9" xr3:uid="{97EEF4A9-5025-2A48-BF93-682461DDBE96}" name="ICU Intern" totalsRowFunction="custom" dataDxfId="96" totalsRowDxfId="5">
      <totalsRowFormula>SUM(G2,G11,G20,G29,G38,G47,G56,G65,G75,G83,G92,G101,G110,G119,G128,G137,G146,G155,G164,G173,G182,G191,G200,G209,G218,G227,G236,G245,G254)</totalsRowFormula>
    </tableColumn>
    <tableColumn id="10" xr3:uid="{C078875F-2DAC-BB4C-BBAF-8F944AAA4158}" name="ER Triage / Screen" totalsRowFunction="custom" dataDxfId="95" totalsRowDxfId="4">
      <totalsRowFormula>SUM(H2,H11,H20,H29,H38,H47,H56,H65,H75,H83,H92,H101,H110,H119,H128,H137,H146,H155,H164,H173,H182,H191,H200,H209,H218,H227,H236,H245,H254)</totalsRowFormula>
    </tableColumn>
    <tableColumn id="11" xr3:uid="{A05E14FF-F852-464A-A7E2-874E67448F33}" name="Procedure Resident" totalsRowFunction="custom" dataDxfId="94" totalsRowDxfId="3">
      <totalsRowFormula>SUM(I2,I11,I20,I29,I38,I47,I56,I65,I75,I83,I92,I101,I110,I119,I128,I137,I146,I155,I164,I173,I182,I191,I200,I209,I218,I227,I236,I245,I254)</totalsRowFormula>
    </tableColumn>
    <tableColumn id="12" xr3:uid="{0914B3D2-26C3-514F-8585-CA7C0C49C6ED}" name="NA / LPN" totalsRowFunction="custom" dataDxfId="93" totalsRowDxfId="2">
      <totalsRowFormula>SUM(J2,J11,J20,J29,J38,J47,J56,J65,J75,J83,J92,J101,J110,J119,J128,J137,J146,J155,J164,J173,J182,J191,J200,J209,J218,J227,J236,J245,J254)</totalsRowFormula>
    </tableColumn>
    <tableColumn id="13" xr3:uid="{11BB11D5-406F-394F-ABE0-7CC838E57FF5}" name="Care Partner" totalsRowFunction="custom" dataDxfId="92" totalsRowDxfId="1">
      <totalsRowFormula>SUM(K2,K11,K20,K29,K38,K47,K56,K65,K75,K83,K92,K101,K110,K119,K128,K137,K146,K155,K164,K173,K182,K191,K200,K209,K218,K227,K236,K245,K254)</totalsRowFormula>
    </tableColumn>
    <tableColumn id="14" xr3:uid="{5DFB1224-0DF0-4540-BF17-E625E1F30185}" name="Airway Team Resident" totalsRowFunction="custom" dataDxfId="91" totalsRowDxfId="0">
      <totalsRowFormula>SUM(L2,L11,L20,L29,L38,L47,L56,L65,L75,L83,L92,L101,L110,L119,L128,L137,L146,L155,L164,L173,L182,L191,L200,L209,L218,L227,L236,L245,L254)</totalsRowFormula>
    </tableColumn>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8C7FCA-69C4-41CD-9CBE-D9E7366873DB}" name="taxonomy_map" displayName="taxonomy_map" ref="A1:B171" totalsRowShown="0" headerRowDxfId="90" dataDxfId="89">
  <autoFilter ref="A1:B171" xr:uid="{5A05E17C-754D-4E2E-AA56-D0A1A31230EE}"/>
  <tableColumns count="2">
    <tableColumn id="1" xr3:uid="{234D4209-184B-4268-99E6-051ED70AB37C}" name="Other Taxonomy" dataDxfId="88"/>
    <tableColumn id="2" xr3:uid="{65256A41-71A4-4CF3-824B-FABEF9A26DCF}" name="Our Taxonomy" dataDxfId="87"/>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38B39F-8E6E-447C-A64E-E0C82C5E3146}" name="condensed_specialty_crosswalk" displayName="condensed_specialty_crosswalk" ref="A1:C187" totalsRowShown="0" headerRowDxfId="86" dataDxfId="85" headerRowCellStyle="Normal" dataCellStyle="Normal">
  <autoFilter ref="A1:C187" xr:uid="{FA841F6F-B760-4719-9A6E-0BF0A9DBCDA7}"/>
  <tableColumns count="3">
    <tableColumn id="1" xr3:uid="{A66B5083-B5B5-4931-A142-93F4C8AEA786}" name="Specialty" dataDxfId="84" dataCellStyle="Normal"/>
    <tableColumn id="2" xr3:uid="{D27BA70F-9F8F-4C6C-B1E2-337520D08AAC}" name="Condensed Specialty" dataDxfId="83" dataCellStyle="Normal"/>
    <tableColumn id="3" xr3:uid="{59FF58D4-28C0-4601-946F-935C96E21581}" name="Condensed Specialty Code" dataDxfId="82" dataCellStyle="Normal"/>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EF95F6F-0AE4-4A71-8A39-F50A20C1C7DC}" name="condensed_specialties" displayName="condensed_specialties" ref="E1:F30" totalsRowShown="0" headerRowDxfId="81" dataDxfId="80" headerRowCellStyle="Normal" dataCellStyle="Normal">
  <autoFilter ref="E1:F30" xr:uid="{03A10E96-EFCF-4759-B58F-0274ECFE1FC2}"/>
  <tableColumns count="2">
    <tableColumn id="1" xr3:uid="{0B4C26EB-BD38-4C0F-B3A2-C91EF84755C8}" name="List of Condensed Specialties" dataDxfId="79" dataCellStyle="Normal"/>
    <tableColumn id="2" xr3:uid="{5A92B29D-E0CA-4938-BE97-F021D55DF1AF}" name="Condensed Specialty Code" dataDxfId="78" dataCellStyle="Normal"/>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A47C5A-4146-482C-8496-CF0F24125089}" name="pgy_role_map" displayName="pgy_role_map" ref="A1:Y30" totalsRowShown="0" headerRowDxfId="77" dataDxfId="76" headerRowCellStyle="Normal" dataCellStyle="Normal">
  <autoFilter ref="A1:Y30" xr:uid="{017FE335-DBD3-4AC1-9A77-B2F220079A41}"/>
  <tableColumns count="25">
    <tableColumn id="1" xr3:uid="{27B9DB3D-8A47-4EBE-8CCC-EB9F02F642BA}" name="Condensed Specialty" dataDxfId="75" dataCellStyle="Normal"/>
    <tableColumn id="2" xr3:uid="{330762A2-5376-4C69-9191-D99A5FE41EE0}" name="Minimum PGY" dataDxfId="74" dataCellStyle="Normal"/>
    <tableColumn id="3" xr3:uid="{31E9E010-B4A9-4452-91BB-3E71AAA7A370}" name="Maximum PGY" dataDxfId="73" dataCellStyle="Normal"/>
    <tableColumn id="4" xr3:uid="{852A5380-7B78-4E40-AC74-A64B649F4BE9}" name="Floor Resident / APP Minimum" dataDxfId="72" dataCellStyle="Normal"/>
    <tableColumn id="5" xr3:uid="{408FAE43-CCEE-4BB8-AFAD-F50DB18A05C6}" name="Floor Resident / APP Maximum" dataDxfId="71" dataCellStyle="Normal"/>
    <tableColumn id="6" xr3:uid="{7F65A3AE-9FA4-4DE7-935B-5A35D2225A1C}" name="Floor Intern Minimum" dataDxfId="70" dataCellStyle="Normal"/>
    <tableColumn id="7" xr3:uid="{E2C7006C-5C11-44D4-A003-4B3CECCDCBD4}" name="Floor Intern Maximum" dataDxfId="69" dataCellStyle="Normal"/>
    <tableColumn id="8" xr3:uid="{423694DE-064C-44C8-BB5B-766ABC1BADA3}" name="RT Minimum" dataDxfId="68" dataCellStyle="Normal"/>
    <tableColumn id="9" xr3:uid="{ED474236-3E07-418D-98F1-9A224144B50B}" name="RT Maximum" dataDxfId="67" dataCellStyle="Normal"/>
    <tableColumn id="10" xr3:uid="{8FE6FB6F-891D-4497-A9D3-EAF8028F53DD}" name="Attending Extender Minimum" dataDxfId="66" dataCellStyle="Normal"/>
    <tableColumn id="11" xr3:uid="{2C11B5C9-C791-434E-8E7A-7E197C3DAB36}" name="Attending Extender Maximum" dataDxfId="65" dataCellStyle="Normal"/>
    <tableColumn id="12" xr3:uid="{99E4B821-719F-457B-894F-7007C8ED6C79}" name="ICU Resident / APP Minimum" dataDxfId="64" dataCellStyle="Normal"/>
    <tableColumn id="13" xr3:uid="{AA7997D7-7769-43AA-9FCD-40A1577A8515}" name="ICU Resident / APP Maximum" dataDxfId="63" dataCellStyle="Normal"/>
    <tableColumn id="14" xr3:uid="{CBC6802F-4841-476F-9790-EC378F8310BD}" name="ICU Intern Minimum" dataDxfId="62" dataCellStyle="Normal"/>
    <tableColumn id="15" xr3:uid="{426FDDBD-4C15-4FBD-B5E4-DFC9ABAB531E}" name="ICU Intern Maximum" dataDxfId="61" dataCellStyle="Normal"/>
    <tableColumn id="16" xr3:uid="{EAEC8F41-7B94-4583-963D-9080A0129E8F}" name="ER Triage / Screen Minimum" dataDxfId="60" dataCellStyle="Normal"/>
    <tableColumn id="17" xr3:uid="{700D91DD-BBDB-44F1-AAB0-1961E01C59BE}" name="ER Triage / Screen Maximum" dataDxfId="59" dataCellStyle="Normal"/>
    <tableColumn id="18" xr3:uid="{D84BF1EE-5DF0-4656-81AF-378D1C2CABDF}" name="Procedure Resident Minimum" dataDxfId="58" dataCellStyle="Normal"/>
    <tableColumn id="19" xr3:uid="{AA4B5F67-8754-4B4D-B2DB-1CDABCD22B7E}" name="Procedure Resident Maximum" dataDxfId="57" dataCellStyle="Normal"/>
    <tableColumn id="20" xr3:uid="{2A8EE6D8-CB35-4B65-8DAF-2F38C3CBCC0E}" name="NA / LPN Minimum" dataDxfId="56" dataCellStyle="Normal"/>
    <tableColumn id="21" xr3:uid="{BA9069FD-BFFD-4966-AFFB-53B7EDA1BB5F}" name="NA / LPN Maximum" dataDxfId="55" dataCellStyle="Normal"/>
    <tableColumn id="22" xr3:uid="{C46C30FD-6E2E-4974-BA96-4D3E0C6DA257}" name="CP Minimum" dataDxfId="54" dataCellStyle="Normal"/>
    <tableColumn id="23" xr3:uid="{D6EE26B4-E63C-4A8F-B81A-A731B32EA640}" name="CP Maximum" dataDxfId="53" dataCellStyle="Normal"/>
    <tableColumn id="24" xr3:uid="{32D137E4-5BE2-45C1-8DAE-51907FC4324D}" name="Airway Team Resident Minimum" dataDxfId="52" dataCellStyle="Normal"/>
    <tableColumn id="25" xr3:uid="{D5E719F9-2004-489D-8924-6BC5BAE33E4E}" name="Airway Team Resident Maximum" dataDxfId="51" dataCellStyle="Normal"/>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922228-DF70-4B4C-96ED-73F261101789}" name="Table3" displayName="Table3" ref="A1:B16" totalsRowShown="0">
  <autoFilter ref="A1:B16" xr:uid="{326E170D-B4E3-48E0-AACC-941F422B07E8}"/>
  <tableColumns count="2">
    <tableColumn id="1" xr3:uid="{6AA99440-5536-4EED-8D8A-16375752C720}" name="Clinical Role" dataDxfId="50"/>
    <tableColumn id="2" xr3:uid="{0CF9915A-8BE0-42F1-8CD1-5FECD6DFB4A7}" name="Definition" dataDxfId="49"/>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F267C21-78B9-441C-834B-010DAA082F24}" name="role_map" displayName="role_map" ref="A1:N103" totalsRowShown="0" headerRowDxfId="48" dataDxfId="47" tableBorderDxfId="46" totalsRowBorderDxfId="45" headerRowCellStyle="Normal">
  <autoFilter ref="A1:N103" xr:uid="{18D58D0D-2D79-47EE-BC09-04DB8DF66E22}"/>
  <tableColumns count="14">
    <tableColumn id="1" xr3:uid="{5AD089D8-21C3-4368-A165-0152C8C1DB55}" name="Specialty" dataDxfId="44" dataCellStyle="Normal"/>
    <tableColumn id="2" xr3:uid="{354ED2FA-4F2E-4802-8E4E-F5C811A65297}" name="MinPGY" dataDxfId="43"/>
    <tableColumn id="3" xr3:uid="{9BC7066E-FA70-4F33-848C-DD328194DE63}" name="MaxPGY" dataDxfId="42"/>
    <tableColumn id="4" xr3:uid="{12F89E28-2348-4067-BE37-0A61737AA3D9}" name="Ind Med" dataDxfId="41"/>
    <tableColumn id="5" xr3:uid="{FCAA975F-64FD-4D2A-8095-BA7CF0F4726E}" name="Ind Proc" dataDxfId="40"/>
    <tableColumn id="6" xr3:uid="{E373C288-BE8A-485E-B9D1-011478273390}" name="Ind Ped" dataDxfId="39"/>
    <tableColumn id="7" xr3:uid="{766DDDFE-024C-48C8-9C05-0B5E9C1275D3}" name="Ind ED" dataDxfId="38"/>
    <tableColumn id="8" xr3:uid="{B58F587D-B932-4D53-83BA-43E64FF98725}" name="Ind ICU" dataDxfId="37"/>
    <tableColumn id="9" xr3:uid="{A10D971F-861E-4A92-B0B7-9024D1FF71E7}" name="Ind Airway" dataDxfId="36"/>
    <tableColumn id="10" xr3:uid="{3C26FF18-6D26-4E6C-94FE-534603EC0F0F}" name="Dir Med" dataDxfId="35"/>
    <tableColumn id="11" xr3:uid="{FDB1DC7B-C7B9-4004-AEA4-993399D3E5F1}" name="Dir Proc" dataDxfId="34"/>
    <tableColumn id="12" xr3:uid="{81EB0F3D-7058-4F02-957F-AE06B9DB7A92}" name="Dir Ped" dataDxfId="33"/>
    <tableColumn id="13" xr3:uid="{31DB2277-FBDC-4CCC-A376-A1F627999921}" name="Dir Airway" dataDxfId="32"/>
    <tableColumn id="14" xr3:uid="{D959A39D-7BE5-4771-8505-C7883D75FF04}" name="Support" dataDxfId="31"/>
  </tableColumns>
  <tableStyleInfo name="TableStyleMedium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vidstaffing.org/home/supply/tprat-guide/" TargetMode="External"/><Relationship Id="rId1" Type="http://schemas.openxmlformats.org/officeDocument/2006/relationships/hyperlink" Target="mailto:info@covidstaffing.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874A7-A256-4D97-BB9D-46B06EBE333A}">
  <sheetPr codeName="Sheet1"/>
  <dimension ref="A1:K26"/>
  <sheetViews>
    <sheetView showGridLines="0" tabSelected="1" workbookViewId="0"/>
  </sheetViews>
  <sheetFormatPr defaultColWidth="11.86328125" defaultRowHeight="15.75" x14ac:dyDescent="0.5"/>
  <cols>
    <col min="1" max="16384" width="11.86328125" style="20"/>
  </cols>
  <sheetData>
    <row r="1" spans="1:11" x14ac:dyDescent="0.5">
      <c r="A1" s="17"/>
      <c r="B1" s="18"/>
      <c r="C1" s="18"/>
      <c r="D1" s="18"/>
      <c r="E1" s="18"/>
      <c r="F1" s="18"/>
      <c r="G1" s="18"/>
      <c r="H1" s="18"/>
      <c r="I1" s="18"/>
      <c r="J1" s="18"/>
      <c r="K1" s="19"/>
    </row>
    <row r="2" spans="1:11" x14ac:dyDescent="0.5">
      <c r="A2" s="21"/>
      <c r="B2" s="22"/>
      <c r="C2" s="22"/>
      <c r="D2" s="22"/>
      <c r="E2" s="22"/>
      <c r="F2" s="22"/>
      <c r="G2" s="22"/>
      <c r="H2" s="22"/>
      <c r="I2" s="22"/>
      <c r="J2" s="22"/>
      <c r="K2" s="23"/>
    </row>
    <row r="3" spans="1:11" x14ac:dyDescent="0.5">
      <c r="A3" s="21"/>
      <c r="B3" s="22"/>
      <c r="C3" s="22"/>
      <c r="D3" s="22"/>
      <c r="E3" s="22"/>
      <c r="F3" s="22"/>
      <c r="G3" s="22"/>
      <c r="H3" s="22"/>
      <c r="I3" s="22"/>
      <c r="J3" s="22"/>
      <c r="K3" s="23"/>
    </row>
    <row r="4" spans="1:11" x14ac:dyDescent="0.5">
      <c r="A4" s="21"/>
      <c r="B4" s="22"/>
      <c r="C4" s="22"/>
      <c r="D4" s="22"/>
      <c r="E4" s="22"/>
      <c r="F4" s="22"/>
      <c r="G4" s="22"/>
      <c r="H4" s="22"/>
      <c r="I4" s="22"/>
      <c r="J4" s="22"/>
      <c r="K4" s="23"/>
    </row>
    <row r="5" spans="1:11" x14ac:dyDescent="0.5">
      <c r="A5" s="21"/>
      <c r="B5" s="22"/>
      <c r="C5" s="22"/>
      <c r="D5" s="22"/>
      <c r="E5" s="22"/>
      <c r="F5" s="22"/>
      <c r="G5" s="22"/>
      <c r="H5" s="22"/>
      <c r="I5" s="22"/>
      <c r="J5" s="22"/>
      <c r="K5" s="23"/>
    </row>
    <row r="6" spans="1:11" x14ac:dyDescent="0.5">
      <c r="A6" s="21"/>
      <c r="B6" s="22"/>
      <c r="C6" s="22"/>
      <c r="D6" s="22"/>
      <c r="E6" s="22"/>
      <c r="F6" s="22"/>
      <c r="G6" s="22"/>
      <c r="H6" s="22"/>
      <c r="I6" s="22"/>
      <c r="J6" s="22"/>
      <c r="K6" s="23"/>
    </row>
    <row r="7" spans="1:11" x14ac:dyDescent="0.5">
      <c r="A7" s="21"/>
      <c r="B7" s="22"/>
      <c r="C7" s="22"/>
      <c r="D7" s="22"/>
      <c r="E7" s="22"/>
      <c r="F7" s="22"/>
      <c r="G7" s="22"/>
      <c r="H7" s="22"/>
      <c r="I7" s="22"/>
      <c r="J7" s="22"/>
      <c r="K7" s="23"/>
    </row>
    <row r="8" spans="1:11" x14ac:dyDescent="0.5">
      <c r="A8" s="21"/>
      <c r="B8" s="22"/>
      <c r="C8" s="22"/>
      <c r="D8" s="22"/>
      <c r="E8" s="22"/>
      <c r="F8" s="22"/>
      <c r="G8" s="22"/>
      <c r="H8" s="22"/>
      <c r="I8" s="22"/>
      <c r="J8" s="22"/>
      <c r="K8" s="23"/>
    </row>
    <row r="9" spans="1:11" x14ac:dyDescent="0.5">
      <c r="A9" s="21"/>
      <c r="B9" s="22"/>
      <c r="C9" s="22"/>
      <c r="D9" s="22"/>
      <c r="E9" s="22"/>
      <c r="F9" s="22"/>
      <c r="G9" s="22"/>
      <c r="H9" s="22"/>
      <c r="I9" s="22"/>
      <c r="J9" s="22"/>
      <c r="K9" s="23"/>
    </row>
    <row r="10" spans="1:11" x14ac:dyDescent="0.5">
      <c r="A10" s="21"/>
      <c r="B10" s="22"/>
      <c r="C10" s="22"/>
      <c r="D10" s="22"/>
      <c r="E10" s="22"/>
      <c r="F10" s="22"/>
      <c r="G10" s="22"/>
      <c r="H10" s="22"/>
      <c r="I10" s="22"/>
      <c r="J10" s="22"/>
      <c r="K10" s="23"/>
    </row>
    <row r="11" spans="1:11" ht="70.900000000000006" customHeight="1" x14ac:dyDescent="0.55000000000000004">
      <c r="A11" s="21"/>
      <c r="B11" s="73" t="s">
        <v>403</v>
      </c>
      <c r="C11" s="73"/>
      <c r="D11" s="73"/>
      <c r="E11" s="73"/>
      <c r="F11" s="73"/>
      <c r="G11" s="73"/>
      <c r="H11" s="73"/>
      <c r="I11" s="73"/>
      <c r="J11" s="73"/>
      <c r="K11" s="23"/>
    </row>
    <row r="12" spans="1:11" x14ac:dyDescent="0.5">
      <c r="A12" s="21"/>
      <c r="B12" s="22"/>
      <c r="C12" s="22"/>
      <c r="D12" s="22"/>
      <c r="E12" s="22"/>
      <c r="F12" s="22"/>
      <c r="G12" s="22"/>
      <c r="H12" s="22"/>
      <c r="I12" s="22"/>
      <c r="J12" s="22"/>
      <c r="K12" s="23"/>
    </row>
    <row r="13" spans="1:11" ht="20" customHeight="1" x14ac:dyDescent="0.6">
      <c r="A13" s="21"/>
      <c r="B13" s="22"/>
      <c r="C13" s="24" t="s">
        <v>404</v>
      </c>
      <c r="D13" s="25"/>
      <c r="E13" s="25"/>
      <c r="F13" s="25"/>
      <c r="G13" s="25"/>
      <c r="H13" s="25"/>
      <c r="I13" s="25"/>
      <c r="J13" s="22"/>
      <c r="K13" s="23"/>
    </row>
    <row r="14" spans="1:11" ht="20" customHeight="1" x14ac:dyDescent="0.6">
      <c r="A14" s="21"/>
      <c r="B14" s="22"/>
      <c r="C14" s="24" t="s">
        <v>405</v>
      </c>
      <c r="D14" s="25"/>
      <c r="E14" s="25"/>
      <c r="F14" s="25"/>
      <c r="G14" s="25"/>
      <c r="H14" s="25"/>
      <c r="I14" s="25"/>
      <c r="J14" s="22"/>
      <c r="K14" s="23"/>
    </row>
    <row r="15" spans="1:11" ht="20" customHeight="1" x14ac:dyDescent="0.6">
      <c r="A15" s="21"/>
      <c r="B15" s="22"/>
      <c r="C15" s="24" t="s">
        <v>406</v>
      </c>
      <c r="D15" s="25"/>
      <c r="E15" s="25"/>
      <c r="F15" s="25"/>
      <c r="G15" s="25"/>
      <c r="H15" s="25"/>
      <c r="I15" s="25"/>
      <c r="J15" s="22"/>
      <c r="K15" s="23"/>
    </row>
    <row r="16" spans="1:11" x14ac:dyDescent="0.5">
      <c r="A16" s="21"/>
      <c r="B16" s="22"/>
      <c r="C16" s="22"/>
      <c r="D16" s="22"/>
      <c r="E16" s="22"/>
      <c r="F16" s="22"/>
      <c r="G16" s="22"/>
      <c r="H16" s="22"/>
      <c r="I16" s="22"/>
      <c r="J16" s="22"/>
      <c r="K16" s="23"/>
    </row>
    <row r="17" spans="1:11" ht="81" customHeight="1" x14ac:dyDescent="0.55000000000000004">
      <c r="A17" s="21"/>
      <c r="B17" s="73" t="s">
        <v>407</v>
      </c>
      <c r="C17" s="73"/>
      <c r="D17" s="73"/>
      <c r="E17" s="73"/>
      <c r="F17" s="73"/>
      <c r="G17" s="73"/>
      <c r="H17" s="73"/>
      <c r="I17" s="73"/>
      <c r="J17" s="73"/>
      <c r="K17" s="23"/>
    </row>
    <row r="18" spans="1:11" x14ac:dyDescent="0.5">
      <c r="A18" s="21"/>
      <c r="B18" s="22"/>
      <c r="C18" s="22"/>
      <c r="D18" s="22"/>
      <c r="E18" s="22"/>
      <c r="F18" s="22"/>
      <c r="G18" s="22"/>
      <c r="H18" s="22"/>
      <c r="I18" s="22"/>
      <c r="J18" s="22"/>
      <c r="K18" s="23"/>
    </row>
    <row r="19" spans="1:11" ht="64.05" customHeight="1" x14ac:dyDescent="0.55000000000000004">
      <c r="A19" s="21"/>
      <c r="B19" s="73" t="s">
        <v>408</v>
      </c>
      <c r="C19" s="73"/>
      <c r="D19" s="73"/>
      <c r="E19" s="73"/>
      <c r="F19" s="73"/>
      <c r="G19" s="73"/>
      <c r="H19" s="73"/>
      <c r="I19" s="73"/>
      <c r="J19" s="73"/>
      <c r="K19" s="23"/>
    </row>
    <row r="20" spans="1:11" x14ac:dyDescent="0.5">
      <c r="A20" s="21"/>
      <c r="B20" s="22"/>
      <c r="C20" s="22"/>
      <c r="D20" s="22"/>
      <c r="E20" s="22"/>
      <c r="F20" s="22"/>
      <c r="G20" s="22"/>
      <c r="H20" s="22"/>
      <c r="I20" s="22"/>
      <c r="J20" s="22"/>
      <c r="K20" s="23"/>
    </row>
    <row r="21" spans="1:11" ht="63" customHeight="1" x14ac:dyDescent="0.55000000000000004">
      <c r="A21" s="21"/>
      <c r="B21" s="73" t="s">
        <v>409</v>
      </c>
      <c r="C21" s="73"/>
      <c r="D21" s="73"/>
      <c r="E21" s="73"/>
      <c r="F21" s="73"/>
      <c r="G21" s="73"/>
      <c r="H21" s="73"/>
      <c r="I21" s="73"/>
      <c r="J21" s="73"/>
      <c r="K21" s="23"/>
    </row>
    <row r="22" spans="1:11" x14ac:dyDescent="0.5">
      <c r="A22" s="21"/>
      <c r="B22" s="22"/>
      <c r="C22" s="22"/>
      <c r="D22" s="22"/>
      <c r="E22" s="22"/>
      <c r="F22" s="22"/>
      <c r="G22" s="22"/>
      <c r="H22" s="22"/>
      <c r="I22" s="22"/>
      <c r="J22" s="22"/>
      <c r="K22" s="23"/>
    </row>
    <row r="23" spans="1:11" x14ac:dyDescent="0.5">
      <c r="A23" s="21"/>
      <c r="B23" s="74" t="s">
        <v>410</v>
      </c>
      <c r="C23" s="74"/>
      <c r="D23" s="74"/>
      <c r="E23" s="74"/>
      <c r="F23" s="74"/>
      <c r="G23" s="74"/>
      <c r="H23" s="74"/>
      <c r="I23" s="74"/>
      <c r="J23" s="74"/>
      <c r="K23" s="23"/>
    </row>
    <row r="24" spans="1:11" x14ac:dyDescent="0.5">
      <c r="A24" s="21"/>
      <c r="B24" s="60"/>
      <c r="C24" s="60"/>
      <c r="D24" s="60"/>
      <c r="E24" s="60"/>
      <c r="F24" s="60"/>
      <c r="G24" s="60"/>
      <c r="H24" s="60"/>
      <c r="I24" s="60"/>
      <c r="J24" s="60"/>
      <c r="K24" s="23"/>
    </row>
    <row r="25" spans="1:11" x14ac:dyDescent="0.5">
      <c r="A25" s="21"/>
      <c r="B25" s="75" t="s">
        <v>437</v>
      </c>
      <c r="C25" s="75"/>
      <c r="D25" s="75"/>
      <c r="E25" s="75"/>
      <c r="F25" s="75"/>
      <c r="G25" s="75"/>
      <c r="H25" s="75"/>
      <c r="I25" s="75"/>
      <c r="J25" s="75"/>
      <c r="K25" s="23"/>
    </row>
    <row r="26" spans="1:11" x14ac:dyDescent="0.5">
      <c r="A26" s="26"/>
      <c r="B26" s="72"/>
      <c r="C26" s="72"/>
      <c r="D26" s="72"/>
      <c r="E26" s="72"/>
      <c r="F26" s="72"/>
      <c r="G26" s="72"/>
      <c r="H26" s="72"/>
      <c r="I26" s="72"/>
      <c r="J26" s="72"/>
      <c r="K26" s="27"/>
    </row>
  </sheetData>
  <mergeCells count="7">
    <mergeCell ref="B26:J26"/>
    <mergeCell ref="B11:J11"/>
    <mergeCell ref="B17:J17"/>
    <mergeCell ref="B19:J19"/>
    <mergeCell ref="B21:J21"/>
    <mergeCell ref="B23:J23"/>
    <mergeCell ref="B25:J25"/>
  </mergeCells>
  <hyperlinks>
    <hyperlink ref="B23" r:id="rId1" display="mailto:info@covidstaffing.org" xr:uid="{642CF461-EDF4-4734-B31C-00A357AA3084}"/>
    <hyperlink ref="B25" r:id="rId2" xr:uid="{C889E41D-E6E5-4B82-AAE5-7FCFBACC9A75}"/>
  </hyperlinks>
  <pageMargins left="0.7" right="0.7" top="0.75" bottom="0.75" header="0.3" footer="0.3"/>
  <pageSetup orientation="portrait" horizontalDpi="4294967293"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rainee_data">
    <outlinePr summaryBelow="0" summaryRight="0"/>
  </sheetPr>
  <dimension ref="A1:AD1021"/>
  <sheetViews>
    <sheetView workbookViewId="0">
      <selection activeCell="C2" sqref="C2"/>
    </sheetView>
  </sheetViews>
  <sheetFormatPr defaultColWidth="11.265625" defaultRowHeight="15" customHeight="1" x14ac:dyDescent="0.45"/>
  <cols>
    <col min="1" max="1" width="16" style="8" customWidth="1"/>
    <col min="2" max="2" width="15.1328125" style="8" customWidth="1"/>
    <col min="3" max="3" width="15" style="8" customWidth="1"/>
    <col min="4" max="4" width="41.53125" style="8" customWidth="1"/>
    <col min="5" max="5" width="40.53125" style="52" customWidth="1"/>
    <col min="6" max="6" width="28.1328125" style="52" customWidth="1"/>
    <col min="7" max="7" width="9.86328125" style="53" customWidth="1"/>
    <col min="8" max="30" width="11.265625" style="12" customWidth="1"/>
    <col min="31" max="16384" width="11.265625" style="12"/>
  </cols>
  <sheetData>
    <row r="1" spans="1:30" s="28" customFormat="1" ht="48" customHeight="1" x14ac:dyDescent="0.45">
      <c r="A1" s="10" t="s">
        <v>231</v>
      </c>
      <c r="B1" s="10" t="s">
        <v>163</v>
      </c>
      <c r="C1" s="10" t="s">
        <v>377</v>
      </c>
      <c r="D1" s="10" t="s">
        <v>402</v>
      </c>
      <c r="E1" s="54" t="s">
        <v>164</v>
      </c>
      <c r="F1" s="54" t="s">
        <v>165</v>
      </c>
      <c r="G1" s="54" t="s">
        <v>2</v>
      </c>
      <c r="H1" s="15"/>
      <c r="I1" s="15"/>
      <c r="J1" s="15"/>
      <c r="K1" s="15"/>
      <c r="L1" s="15"/>
      <c r="M1" s="15"/>
      <c r="N1" s="15"/>
      <c r="O1" s="15"/>
      <c r="P1" s="15"/>
      <c r="Q1" s="15"/>
      <c r="R1" s="15"/>
      <c r="S1" s="15"/>
      <c r="T1" s="15"/>
      <c r="U1" s="15"/>
      <c r="V1" s="15"/>
      <c r="W1" s="15"/>
      <c r="X1" s="15"/>
      <c r="Y1" s="15"/>
      <c r="Z1" s="15"/>
      <c r="AA1" s="15"/>
      <c r="AB1" s="15"/>
      <c r="AC1" s="15"/>
      <c r="AD1" s="15"/>
    </row>
    <row r="2" spans="1:30" ht="14.25" x14ac:dyDescent="0.45">
      <c r="E2" s="69" t="str">
        <f>IFERROR(VLOOKUP(trainee_data[[#This Row],[Program Specialty]],taxonomy_map[[Other Taxonomy]:[Our Taxonomy]],2,FALSE),"")</f>
        <v/>
      </c>
      <c r="F2" s="55" t="str">
        <f>IFERROR(VLOOKUP(trainee_data[[#This Row],[Specialty/Subspecialty]],condensed_specialty_crosswalk[#All],2,FALSE),"")</f>
        <v/>
      </c>
      <c r="G2" s="56" t="str">
        <f>IFERROR(VLOOKUP(trainee_data[[#This Row],[Specialty/Subspecialty]],condensed_specialty_crosswalk[#All],3,FALSE),"")</f>
        <v/>
      </c>
      <c r="H2" s="14"/>
      <c r="I2" s="14"/>
      <c r="J2" s="14"/>
      <c r="K2" s="14"/>
      <c r="L2" s="14"/>
      <c r="M2" s="14"/>
      <c r="N2" s="14"/>
      <c r="O2" s="14"/>
      <c r="P2" s="14"/>
      <c r="Q2" s="14"/>
      <c r="R2" s="14"/>
      <c r="S2" s="14"/>
      <c r="T2" s="14"/>
      <c r="U2" s="14"/>
      <c r="V2" s="14"/>
      <c r="W2" s="14"/>
      <c r="X2" s="14"/>
      <c r="Y2" s="14"/>
      <c r="Z2" s="14"/>
      <c r="AA2" s="14"/>
      <c r="AB2" s="14"/>
      <c r="AC2" s="14"/>
      <c r="AD2" s="14"/>
    </row>
    <row r="3" spans="1:30" ht="14.25" x14ac:dyDescent="0.45">
      <c r="E3" s="70" t="str">
        <f>IFERROR(VLOOKUP(trainee_data[[#This Row],[Program Specialty]],taxonomy_map[[Other Taxonomy]:[Our Taxonomy]],2,FALSE),"")</f>
        <v/>
      </c>
      <c r="F3" s="52" t="str">
        <f>IFERROR(VLOOKUP(trainee_data[[#This Row],[Specialty/Subspecialty]],condensed_specialty_crosswalk[#All],2,FALSE),"")</f>
        <v/>
      </c>
      <c r="G3" s="53" t="str">
        <f>IFERROR(VLOOKUP(trainee_data[[#This Row],[Specialty/Subspecialty]],condensed_specialty_crosswalk[#All],3,FALSE),"")</f>
        <v/>
      </c>
      <c r="H3" s="14"/>
      <c r="I3" s="14"/>
      <c r="J3" s="14"/>
      <c r="K3" s="14"/>
      <c r="L3" s="14"/>
      <c r="M3" s="14"/>
      <c r="N3" s="14"/>
      <c r="O3" s="14"/>
      <c r="P3" s="14"/>
      <c r="Q3" s="14"/>
      <c r="R3" s="14"/>
      <c r="S3" s="14"/>
      <c r="T3" s="14"/>
      <c r="U3" s="14"/>
      <c r="V3" s="14"/>
      <c r="W3" s="14"/>
      <c r="X3" s="14"/>
      <c r="Y3" s="14"/>
      <c r="Z3" s="14"/>
      <c r="AA3" s="14"/>
      <c r="AB3" s="14"/>
      <c r="AC3" s="14"/>
      <c r="AD3" s="14"/>
    </row>
    <row r="4" spans="1:30" ht="14.25" x14ac:dyDescent="0.45">
      <c r="E4" s="69" t="str">
        <f>IFERROR(VLOOKUP(trainee_data[[#This Row],[Program Specialty]],taxonomy_map[[Other Taxonomy]:[Our Taxonomy]],2,FALSE),"")</f>
        <v/>
      </c>
      <c r="F4" s="55" t="str">
        <f>IFERROR(VLOOKUP(trainee_data[[#This Row],[Specialty/Subspecialty]],condensed_specialty_crosswalk[#All],2,FALSE),"")</f>
        <v/>
      </c>
      <c r="G4" s="56" t="str">
        <f>IFERROR(VLOOKUP(trainee_data[[#This Row],[Specialty/Subspecialty]],condensed_specialty_crosswalk[#All],3,FALSE),"")</f>
        <v/>
      </c>
      <c r="H4" s="14"/>
      <c r="I4" s="14"/>
      <c r="J4" s="14"/>
      <c r="K4" s="14"/>
      <c r="L4" s="14"/>
      <c r="M4" s="14"/>
      <c r="N4" s="14"/>
      <c r="O4" s="14"/>
      <c r="P4" s="14"/>
      <c r="Q4" s="14"/>
      <c r="R4" s="14"/>
      <c r="S4" s="14"/>
      <c r="T4" s="14"/>
      <c r="U4" s="14"/>
      <c r="V4" s="14"/>
      <c r="W4" s="14"/>
      <c r="X4" s="14"/>
      <c r="Y4" s="14"/>
      <c r="Z4" s="14"/>
      <c r="AA4" s="14"/>
      <c r="AB4" s="14"/>
      <c r="AC4" s="14"/>
      <c r="AD4" s="14"/>
    </row>
    <row r="5" spans="1:30" ht="14.25" x14ac:dyDescent="0.45">
      <c r="E5" s="70" t="str">
        <f>IFERROR(VLOOKUP(trainee_data[[#This Row],[Program Specialty]],taxonomy_map[[Other Taxonomy]:[Our Taxonomy]],2,FALSE),"")</f>
        <v/>
      </c>
      <c r="F5" s="52" t="str">
        <f>IFERROR(VLOOKUP(trainee_data[[#This Row],[Specialty/Subspecialty]],condensed_specialty_crosswalk[#All],2,FALSE),"")</f>
        <v/>
      </c>
      <c r="G5" s="53" t="str">
        <f>IFERROR(VLOOKUP(trainee_data[[#This Row],[Specialty/Subspecialty]],condensed_specialty_crosswalk[#All],3,FALSE),"")</f>
        <v/>
      </c>
      <c r="H5" s="14"/>
      <c r="I5" s="14"/>
      <c r="J5" s="14"/>
      <c r="K5" s="14"/>
      <c r="L5" s="14"/>
      <c r="M5" s="14"/>
      <c r="N5" s="14"/>
      <c r="O5" s="14"/>
      <c r="P5" s="14"/>
      <c r="Q5" s="14"/>
      <c r="R5" s="14"/>
      <c r="S5" s="14"/>
      <c r="T5" s="14"/>
      <c r="U5" s="14"/>
      <c r="V5" s="14"/>
      <c r="W5" s="14"/>
      <c r="X5" s="14"/>
      <c r="Y5" s="14"/>
      <c r="Z5" s="14"/>
      <c r="AA5" s="14"/>
      <c r="AB5" s="14"/>
      <c r="AC5" s="14"/>
      <c r="AD5" s="14"/>
    </row>
    <row r="6" spans="1:30" ht="14.25" x14ac:dyDescent="0.45">
      <c r="E6" s="69" t="str">
        <f>IFERROR(VLOOKUP(trainee_data[[#This Row],[Program Specialty]],taxonomy_map[[Other Taxonomy]:[Our Taxonomy]],2,FALSE),"")</f>
        <v/>
      </c>
      <c r="F6" s="55" t="str">
        <f>IFERROR(VLOOKUP(trainee_data[[#This Row],[Specialty/Subspecialty]],condensed_specialty_crosswalk[#All],2,FALSE),"")</f>
        <v/>
      </c>
      <c r="G6" s="56" t="str">
        <f>IFERROR(VLOOKUP(trainee_data[[#This Row],[Specialty/Subspecialty]],condensed_specialty_crosswalk[#All],3,FALSE),"")</f>
        <v/>
      </c>
      <c r="H6" s="14"/>
      <c r="I6" s="14"/>
      <c r="J6" s="14"/>
      <c r="K6" s="14"/>
      <c r="L6" s="14"/>
      <c r="M6" s="14"/>
      <c r="N6" s="14"/>
      <c r="O6" s="14"/>
      <c r="P6" s="14"/>
      <c r="Q6" s="14"/>
      <c r="R6" s="14"/>
      <c r="S6" s="14"/>
      <c r="T6" s="14"/>
      <c r="U6" s="14"/>
      <c r="V6" s="14"/>
      <c r="W6" s="14"/>
      <c r="X6" s="14"/>
      <c r="Y6" s="14"/>
      <c r="Z6" s="14"/>
      <c r="AA6" s="14"/>
      <c r="AB6" s="14"/>
      <c r="AC6" s="14"/>
      <c r="AD6" s="14"/>
    </row>
    <row r="7" spans="1:30" ht="14.25" x14ac:dyDescent="0.45">
      <c r="E7" s="70" t="str">
        <f>IFERROR(VLOOKUP(trainee_data[[#This Row],[Program Specialty]],taxonomy_map[[Other Taxonomy]:[Our Taxonomy]],2,FALSE),"")</f>
        <v/>
      </c>
      <c r="F7" s="52" t="str">
        <f>IFERROR(VLOOKUP(trainee_data[[#This Row],[Specialty/Subspecialty]],condensed_specialty_crosswalk[#All],2,FALSE),"")</f>
        <v/>
      </c>
      <c r="G7" s="53" t="str">
        <f>IFERROR(VLOOKUP(trainee_data[[#This Row],[Specialty/Subspecialty]],condensed_specialty_crosswalk[#All],3,FALSE),"")</f>
        <v/>
      </c>
      <c r="H7" s="14"/>
      <c r="I7" s="14"/>
      <c r="J7" s="14"/>
      <c r="K7" s="14"/>
      <c r="L7" s="14"/>
      <c r="M7" s="14"/>
      <c r="N7" s="14"/>
      <c r="O7" s="14"/>
      <c r="P7" s="14"/>
      <c r="Q7" s="14"/>
      <c r="R7" s="14"/>
      <c r="S7" s="14"/>
      <c r="T7" s="14"/>
      <c r="U7" s="14"/>
      <c r="V7" s="14"/>
      <c r="W7" s="14"/>
      <c r="X7" s="14"/>
      <c r="Y7" s="14"/>
      <c r="Z7" s="14"/>
      <c r="AA7" s="14"/>
      <c r="AB7" s="14"/>
      <c r="AC7" s="14"/>
      <c r="AD7" s="14"/>
    </row>
    <row r="8" spans="1:30" ht="14.25" x14ac:dyDescent="0.45">
      <c r="E8" s="69" t="str">
        <f>IFERROR(VLOOKUP(trainee_data[[#This Row],[Program Specialty]],taxonomy_map[[Other Taxonomy]:[Our Taxonomy]],2,FALSE),"")</f>
        <v/>
      </c>
      <c r="F8" s="55" t="str">
        <f>IFERROR(VLOOKUP(trainee_data[[#This Row],[Specialty/Subspecialty]],condensed_specialty_crosswalk[#All],2,FALSE),"")</f>
        <v/>
      </c>
      <c r="G8" s="56" t="str">
        <f>IFERROR(VLOOKUP(trainee_data[[#This Row],[Specialty/Subspecialty]],condensed_specialty_crosswalk[#All],3,FALSE),"")</f>
        <v/>
      </c>
      <c r="H8" s="14"/>
      <c r="I8" s="14"/>
      <c r="J8" s="14"/>
      <c r="K8" s="14"/>
      <c r="L8" s="14"/>
      <c r="M8" s="14"/>
      <c r="N8" s="14"/>
      <c r="O8" s="14"/>
      <c r="P8" s="14"/>
      <c r="Q8" s="14"/>
      <c r="R8" s="14"/>
      <c r="S8" s="14"/>
      <c r="T8" s="14"/>
      <c r="U8" s="14"/>
      <c r="V8" s="14"/>
      <c r="W8" s="14"/>
      <c r="X8" s="14"/>
      <c r="Y8" s="14"/>
      <c r="Z8" s="14"/>
      <c r="AA8" s="14"/>
      <c r="AB8" s="14"/>
      <c r="AC8" s="14"/>
      <c r="AD8" s="14"/>
    </row>
    <row r="9" spans="1:30" ht="14.25" x14ac:dyDescent="0.45">
      <c r="E9" s="70" t="str">
        <f>IFERROR(VLOOKUP(trainee_data[[#This Row],[Program Specialty]],taxonomy_map[[Other Taxonomy]:[Our Taxonomy]],2,FALSE),"")</f>
        <v/>
      </c>
      <c r="F9" s="52" t="str">
        <f>IFERROR(VLOOKUP(trainee_data[[#This Row],[Specialty/Subspecialty]],condensed_specialty_crosswalk[#All],2,FALSE),"")</f>
        <v/>
      </c>
      <c r="G9" s="53" t="str">
        <f>IFERROR(VLOOKUP(trainee_data[[#This Row],[Specialty/Subspecialty]],condensed_specialty_crosswalk[#All],3,FALSE),"")</f>
        <v/>
      </c>
      <c r="H9" s="14"/>
      <c r="I9" s="14"/>
      <c r="J9" s="14"/>
      <c r="K9" s="14"/>
      <c r="L9" s="14"/>
      <c r="M9" s="14"/>
      <c r="N9" s="14"/>
      <c r="O9" s="14"/>
      <c r="P9" s="14"/>
      <c r="Q9" s="14"/>
      <c r="R9" s="14"/>
      <c r="S9" s="14"/>
      <c r="T9" s="14"/>
      <c r="U9" s="14"/>
      <c r="V9" s="14"/>
      <c r="W9" s="14"/>
      <c r="X9" s="14"/>
      <c r="Y9" s="14"/>
      <c r="Z9" s="14"/>
      <c r="AA9" s="14"/>
      <c r="AB9" s="14"/>
      <c r="AC9" s="14"/>
      <c r="AD9" s="14"/>
    </row>
    <row r="10" spans="1:30" ht="14.25" x14ac:dyDescent="0.45">
      <c r="E10" s="69" t="str">
        <f>IFERROR(VLOOKUP(trainee_data[[#This Row],[Program Specialty]],taxonomy_map[[Other Taxonomy]:[Our Taxonomy]],2,FALSE),"")</f>
        <v/>
      </c>
      <c r="F10" s="55" t="str">
        <f>IFERROR(VLOOKUP(trainee_data[[#This Row],[Specialty/Subspecialty]],condensed_specialty_crosswalk[#All],2,FALSE),"")</f>
        <v/>
      </c>
      <c r="G10" s="56" t="str">
        <f>IFERROR(VLOOKUP(trainee_data[[#This Row],[Specialty/Subspecialty]],condensed_specialty_crosswalk[#All],3,FALSE),"")</f>
        <v/>
      </c>
      <c r="H10" s="14"/>
      <c r="I10" s="14"/>
      <c r="J10" s="14"/>
      <c r="K10" s="14"/>
      <c r="L10" s="14"/>
      <c r="M10" s="14"/>
      <c r="N10" s="14"/>
      <c r="O10" s="14"/>
      <c r="P10" s="14"/>
      <c r="Q10" s="14"/>
      <c r="R10" s="14"/>
      <c r="S10" s="14"/>
      <c r="T10" s="14"/>
      <c r="U10" s="14"/>
      <c r="V10" s="14"/>
      <c r="W10" s="14"/>
      <c r="X10" s="14"/>
      <c r="Y10" s="14"/>
      <c r="Z10" s="14"/>
      <c r="AA10" s="14"/>
      <c r="AB10" s="14"/>
      <c r="AC10" s="14"/>
      <c r="AD10" s="14"/>
    </row>
    <row r="11" spans="1:30" ht="14.25" x14ac:dyDescent="0.45">
      <c r="E11" s="70" t="str">
        <f>IFERROR(VLOOKUP(trainee_data[[#This Row],[Program Specialty]],taxonomy_map[[Other Taxonomy]:[Our Taxonomy]],2,FALSE),"")</f>
        <v/>
      </c>
      <c r="F11" s="52" t="str">
        <f>IFERROR(VLOOKUP(trainee_data[[#This Row],[Specialty/Subspecialty]],condensed_specialty_crosswalk[#All],2,FALSE),"")</f>
        <v/>
      </c>
      <c r="G11" s="53" t="str">
        <f>IFERROR(VLOOKUP(trainee_data[[#This Row],[Specialty/Subspecialty]],condensed_specialty_crosswalk[#All],3,FALSE),"")</f>
        <v/>
      </c>
      <c r="H11" s="14"/>
      <c r="I11" s="14"/>
      <c r="J11" s="14"/>
      <c r="K11" s="14"/>
      <c r="L11" s="14"/>
      <c r="M11" s="14"/>
      <c r="N11" s="14"/>
      <c r="O11" s="14"/>
      <c r="P11" s="14"/>
      <c r="Q11" s="14"/>
      <c r="R11" s="14"/>
      <c r="S11" s="14"/>
      <c r="T11" s="14"/>
      <c r="U11" s="14"/>
      <c r="V11" s="14"/>
      <c r="W11" s="14"/>
      <c r="X11" s="14"/>
      <c r="Y11" s="14"/>
      <c r="Z11" s="14"/>
      <c r="AA11" s="14"/>
      <c r="AB11" s="14"/>
      <c r="AC11" s="14"/>
      <c r="AD11" s="14"/>
    </row>
    <row r="12" spans="1:30" ht="14.25" x14ac:dyDescent="0.45">
      <c r="E12" s="69" t="str">
        <f>IFERROR(VLOOKUP(trainee_data[[#This Row],[Program Specialty]],taxonomy_map[[Other Taxonomy]:[Our Taxonomy]],2,FALSE),"")</f>
        <v/>
      </c>
      <c r="F12" s="55" t="str">
        <f>IFERROR(VLOOKUP(trainee_data[[#This Row],[Specialty/Subspecialty]],condensed_specialty_crosswalk[#All],2,FALSE),"")</f>
        <v/>
      </c>
      <c r="G12" s="56" t="str">
        <f>IFERROR(VLOOKUP(trainee_data[[#This Row],[Specialty/Subspecialty]],condensed_specialty_crosswalk[#All],3,FALSE),"")</f>
        <v/>
      </c>
      <c r="H12" s="14"/>
      <c r="I12" s="14"/>
      <c r="J12" s="14"/>
      <c r="K12" s="14"/>
      <c r="L12" s="14"/>
      <c r="M12" s="14"/>
      <c r="N12" s="14"/>
      <c r="O12" s="14"/>
      <c r="P12" s="14"/>
      <c r="Q12" s="14"/>
      <c r="R12" s="14"/>
      <c r="S12" s="14"/>
      <c r="T12" s="14"/>
      <c r="U12" s="14"/>
      <c r="V12" s="14"/>
      <c r="W12" s="14"/>
      <c r="X12" s="14"/>
      <c r="Y12" s="14"/>
      <c r="Z12" s="14"/>
      <c r="AA12" s="14"/>
      <c r="AB12" s="14"/>
      <c r="AC12" s="14"/>
      <c r="AD12" s="14"/>
    </row>
    <row r="13" spans="1:30" ht="14.25" x14ac:dyDescent="0.45">
      <c r="E13" s="70" t="str">
        <f>IFERROR(VLOOKUP(trainee_data[[#This Row],[Program Specialty]],taxonomy_map[[Other Taxonomy]:[Our Taxonomy]],2,FALSE),"")</f>
        <v/>
      </c>
      <c r="F13" s="52" t="str">
        <f>IFERROR(VLOOKUP(trainee_data[[#This Row],[Specialty/Subspecialty]],condensed_specialty_crosswalk[#All],2,FALSE),"")</f>
        <v/>
      </c>
      <c r="G13" s="53" t="str">
        <f>IFERROR(VLOOKUP(trainee_data[[#This Row],[Specialty/Subspecialty]],condensed_specialty_crosswalk[#All],3,FALSE),"")</f>
        <v/>
      </c>
      <c r="H13" s="14"/>
      <c r="I13" s="14"/>
      <c r="J13" s="14"/>
      <c r="K13" s="14"/>
      <c r="L13" s="14"/>
      <c r="M13" s="14"/>
      <c r="N13" s="14"/>
      <c r="O13" s="14"/>
      <c r="P13" s="14"/>
      <c r="Q13" s="14"/>
      <c r="R13" s="14"/>
      <c r="S13" s="14"/>
      <c r="T13" s="14"/>
      <c r="U13" s="14"/>
      <c r="V13" s="14"/>
      <c r="W13" s="14"/>
      <c r="X13" s="14"/>
      <c r="Y13" s="14"/>
      <c r="Z13" s="14"/>
      <c r="AA13" s="14"/>
      <c r="AB13" s="14"/>
      <c r="AC13" s="14"/>
      <c r="AD13" s="14"/>
    </row>
    <row r="14" spans="1:30" ht="14.25" x14ac:dyDescent="0.45">
      <c r="E14" s="69" t="str">
        <f>IFERROR(VLOOKUP(trainee_data[[#This Row],[Program Specialty]],taxonomy_map[[Other Taxonomy]:[Our Taxonomy]],2,FALSE),"")</f>
        <v/>
      </c>
      <c r="F14" s="55" t="str">
        <f>IFERROR(VLOOKUP(trainee_data[[#This Row],[Specialty/Subspecialty]],condensed_specialty_crosswalk[#All],2,FALSE),"")</f>
        <v/>
      </c>
      <c r="G14" s="56" t="str">
        <f>IFERROR(VLOOKUP(trainee_data[[#This Row],[Specialty/Subspecialty]],condensed_specialty_crosswalk[#All],3,FALSE),"")</f>
        <v/>
      </c>
      <c r="H14" s="14"/>
      <c r="I14" s="14"/>
      <c r="J14" s="14"/>
      <c r="K14" s="14"/>
      <c r="L14" s="14"/>
      <c r="M14" s="14"/>
      <c r="N14" s="14"/>
      <c r="O14" s="14"/>
      <c r="P14" s="14"/>
      <c r="Q14" s="14"/>
      <c r="R14" s="14"/>
      <c r="S14" s="14"/>
      <c r="T14" s="14"/>
      <c r="U14" s="14"/>
      <c r="V14" s="14"/>
      <c r="W14" s="14"/>
      <c r="X14" s="14"/>
      <c r="Y14" s="14"/>
      <c r="Z14" s="14"/>
      <c r="AA14" s="14"/>
      <c r="AB14" s="14"/>
      <c r="AC14" s="14"/>
      <c r="AD14" s="14"/>
    </row>
    <row r="15" spans="1:30" ht="14.25" x14ac:dyDescent="0.45">
      <c r="E15" s="70" t="str">
        <f>IFERROR(VLOOKUP(trainee_data[[#This Row],[Program Specialty]],taxonomy_map[[Other Taxonomy]:[Our Taxonomy]],2,FALSE),"")</f>
        <v/>
      </c>
      <c r="F15" s="52" t="str">
        <f>IFERROR(VLOOKUP(trainee_data[[#This Row],[Specialty/Subspecialty]],condensed_specialty_crosswalk[#All],2,FALSE),"")</f>
        <v/>
      </c>
      <c r="G15" s="53" t="str">
        <f>IFERROR(VLOOKUP(trainee_data[[#This Row],[Specialty/Subspecialty]],condensed_specialty_crosswalk[#All],3,FALSE),"")</f>
        <v/>
      </c>
      <c r="H15" s="14"/>
      <c r="I15" s="14"/>
      <c r="J15" s="14"/>
      <c r="K15" s="14"/>
      <c r="L15" s="14"/>
      <c r="M15" s="14"/>
      <c r="N15" s="14"/>
      <c r="O15" s="14"/>
      <c r="P15" s="14"/>
      <c r="Q15" s="14"/>
      <c r="R15" s="14"/>
      <c r="S15" s="14"/>
      <c r="T15" s="14"/>
      <c r="U15" s="14"/>
      <c r="V15" s="14"/>
      <c r="W15" s="14"/>
      <c r="X15" s="14"/>
      <c r="Y15" s="14"/>
      <c r="Z15" s="14"/>
      <c r="AA15" s="14"/>
      <c r="AB15" s="14"/>
      <c r="AC15" s="14"/>
      <c r="AD15" s="14"/>
    </row>
    <row r="16" spans="1:30" ht="14.25" x14ac:dyDescent="0.45">
      <c r="E16" s="69" t="str">
        <f>IFERROR(VLOOKUP(trainee_data[[#This Row],[Program Specialty]],taxonomy_map[[Other Taxonomy]:[Our Taxonomy]],2,FALSE),"")</f>
        <v/>
      </c>
      <c r="F16" s="55" t="str">
        <f>IFERROR(VLOOKUP(trainee_data[[#This Row],[Specialty/Subspecialty]],condensed_specialty_crosswalk[#All],2,FALSE),"")</f>
        <v/>
      </c>
      <c r="G16" s="56" t="str">
        <f>IFERROR(VLOOKUP(trainee_data[[#This Row],[Specialty/Subspecialty]],condensed_specialty_crosswalk[#All],3,FALSE),"")</f>
        <v/>
      </c>
      <c r="H16" s="14"/>
      <c r="I16" s="14"/>
      <c r="J16" s="14"/>
      <c r="K16" s="14"/>
      <c r="L16" s="14"/>
      <c r="M16" s="14"/>
      <c r="N16" s="14"/>
      <c r="O16" s="14"/>
      <c r="P16" s="14"/>
      <c r="Q16" s="14"/>
      <c r="R16" s="14"/>
      <c r="S16" s="14"/>
      <c r="T16" s="14"/>
      <c r="U16" s="14"/>
      <c r="V16" s="14"/>
      <c r="W16" s="14"/>
      <c r="X16" s="14"/>
      <c r="Y16" s="14"/>
      <c r="Z16" s="14"/>
      <c r="AA16" s="14"/>
      <c r="AB16" s="14"/>
      <c r="AC16" s="14"/>
      <c r="AD16" s="14"/>
    </row>
    <row r="17" spans="5:30" ht="14.25" x14ac:dyDescent="0.45">
      <c r="E17" s="70" t="str">
        <f>IFERROR(VLOOKUP(trainee_data[[#This Row],[Program Specialty]],taxonomy_map[[Other Taxonomy]:[Our Taxonomy]],2,FALSE),"")</f>
        <v/>
      </c>
      <c r="F17" s="52" t="str">
        <f>IFERROR(VLOOKUP(trainee_data[[#This Row],[Specialty/Subspecialty]],condensed_specialty_crosswalk[#All],2,FALSE),"")</f>
        <v/>
      </c>
      <c r="G17" s="53" t="str">
        <f>IFERROR(VLOOKUP(trainee_data[[#This Row],[Specialty/Subspecialty]],condensed_specialty_crosswalk[#All],3,FALSE),"")</f>
        <v/>
      </c>
      <c r="H17" s="14"/>
      <c r="I17" s="14"/>
      <c r="J17" s="14"/>
      <c r="K17" s="14"/>
      <c r="L17" s="14"/>
      <c r="M17" s="14"/>
      <c r="N17" s="14"/>
      <c r="O17" s="14"/>
      <c r="P17" s="14"/>
      <c r="Q17" s="14"/>
      <c r="R17" s="14"/>
      <c r="S17" s="14"/>
      <c r="T17" s="14"/>
      <c r="U17" s="14"/>
      <c r="V17" s="14"/>
      <c r="W17" s="14"/>
      <c r="X17" s="14"/>
      <c r="Y17" s="14"/>
      <c r="Z17" s="14"/>
      <c r="AA17" s="14"/>
      <c r="AB17" s="14"/>
      <c r="AC17" s="14"/>
      <c r="AD17" s="14"/>
    </row>
    <row r="18" spans="5:30" ht="14.25" x14ac:dyDescent="0.45">
      <c r="E18" s="69" t="str">
        <f>IFERROR(VLOOKUP(trainee_data[[#This Row],[Program Specialty]],taxonomy_map[[Other Taxonomy]:[Our Taxonomy]],2,FALSE),"")</f>
        <v/>
      </c>
      <c r="F18" s="55" t="str">
        <f>IFERROR(VLOOKUP(trainee_data[[#This Row],[Specialty/Subspecialty]],condensed_specialty_crosswalk[#All],2,FALSE),"")</f>
        <v/>
      </c>
      <c r="G18" s="56" t="str">
        <f>IFERROR(VLOOKUP(trainee_data[[#This Row],[Specialty/Subspecialty]],condensed_specialty_crosswalk[#All],3,FALSE),"")</f>
        <v/>
      </c>
      <c r="H18" s="14"/>
      <c r="I18" s="14"/>
      <c r="J18" s="14"/>
      <c r="K18" s="14"/>
      <c r="L18" s="14"/>
      <c r="M18" s="14"/>
      <c r="N18" s="14"/>
      <c r="O18" s="14"/>
      <c r="P18" s="14"/>
      <c r="Q18" s="14"/>
      <c r="R18" s="14"/>
      <c r="S18" s="14"/>
      <c r="T18" s="14"/>
      <c r="U18" s="14"/>
      <c r="V18" s="14"/>
      <c r="W18" s="14"/>
      <c r="X18" s="14"/>
      <c r="Y18" s="14"/>
      <c r="Z18" s="14"/>
      <c r="AA18" s="14"/>
      <c r="AB18" s="14"/>
      <c r="AC18" s="14"/>
      <c r="AD18" s="14"/>
    </row>
    <row r="19" spans="5:30" ht="14.25" x14ac:dyDescent="0.45">
      <c r="E19" s="70" t="str">
        <f>IFERROR(VLOOKUP(trainee_data[[#This Row],[Program Specialty]],taxonomy_map[[Other Taxonomy]:[Our Taxonomy]],2,FALSE),"")</f>
        <v/>
      </c>
      <c r="F19" s="52" t="str">
        <f>IFERROR(VLOOKUP(trainee_data[[#This Row],[Specialty/Subspecialty]],condensed_specialty_crosswalk[#All],2,FALSE),"")</f>
        <v/>
      </c>
      <c r="G19" s="53" t="str">
        <f>IFERROR(VLOOKUP(trainee_data[[#This Row],[Specialty/Subspecialty]],condensed_specialty_crosswalk[#All],3,FALSE),"")</f>
        <v/>
      </c>
      <c r="H19" s="14"/>
      <c r="I19" s="14"/>
      <c r="J19" s="14"/>
      <c r="K19" s="14"/>
      <c r="L19" s="14"/>
      <c r="M19" s="14"/>
      <c r="N19" s="14"/>
      <c r="O19" s="14"/>
      <c r="P19" s="14"/>
      <c r="Q19" s="14"/>
      <c r="R19" s="14"/>
      <c r="S19" s="14"/>
      <c r="T19" s="14"/>
      <c r="U19" s="14"/>
      <c r="V19" s="14"/>
      <c r="W19" s="14"/>
      <c r="X19" s="14"/>
      <c r="Y19" s="14"/>
      <c r="Z19" s="14"/>
      <c r="AA19" s="14"/>
      <c r="AB19" s="14"/>
      <c r="AC19" s="14"/>
      <c r="AD19" s="14"/>
    </row>
    <row r="20" spans="5:30" ht="14.25" x14ac:dyDescent="0.45">
      <c r="E20" s="69" t="str">
        <f>IFERROR(VLOOKUP(trainee_data[[#This Row],[Program Specialty]],taxonomy_map[[Other Taxonomy]:[Our Taxonomy]],2,FALSE),"")</f>
        <v/>
      </c>
      <c r="F20" s="55" t="str">
        <f>IFERROR(VLOOKUP(trainee_data[[#This Row],[Specialty/Subspecialty]],condensed_specialty_crosswalk[#All],2,FALSE),"")</f>
        <v/>
      </c>
      <c r="G20" s="56" t="str">
        <f>IFERROR(VLOOKUP(trainee_data[[#This Row],[Specialty/Subspecialty]],condensed_specialty_crosswalk[#All],3,FALSE),"")</f>
        <v/>
      </c>
      <c r="H20" s="14"/>
      <c r="I20" s="14"/>
      <c r="J20" s="14"/>
      <c r="K20" s="14"/>
      <c r="L20" s="14"/>
      <c r="M20" s="14"/>
      <c r="N20" s="14"/>
      <c r="O20" s="14"/>
      <c r="P20" s="14"/>
      <c r="Q20" s="14"/>
      <c r="R20" s="14"/>
      <c r="S20" s="14"/>
      <c r="T20" s="14"/>
      <c r="U20" s="14"/>
      <c r="V20" s="14"/>
      <c r="W20" s="14"/>
      <c r="X20" s="14"/>
      <c r="Y20" s="14"/>
      <c r="Z20" s="14"/>
      <c r="AA20" s="14"/>
      <c r="AB20" s="14"/>
      <c r="AC20" s="14"/>
      <c r="AD20" s="14"/>
    </row>
    <row r="21" spans="5:30" ht="14.25" x14ac:dyDescent="0.45">
      <c r="E21" s="70" t="str">
        <f>IFERROR(VLOOKUP(trainee_data[[#This Row],[Program Specialty]],taxonomy_map[[Other Taxonomy]:[Our Taxonomy]],2,FALSE),"")</f>
        <v/>
      </c>
      <c r="F21" s="52" t="str">
        <f>IFERROR(VLOOKUP(trainee_data[[#This Row],[Specialty/Subspecialty]],condensed_specialty_crosswalk[#All],2,FALSE),"")</f>
        <v/>
      </c>
      <c r="G21" s="53" t="str">
        <f>IFERROR(VLOOKUP(trainee_data[[#This Row],[Specialty/Subspecialty]],condensed_specialty_crosswalk[#All],3,FALSE),"")</f>
        <v/>
      </c>
      <c r="H21" s="14"/>
      <c r="I21" s="14"/>
      <c r="J21" s="14"/>
      <c r="K21" s="14"/>
      <c r="L21" s="14"/>
      <c r="M21" s="14"/>
      <c r="N21" s="14"/>
      <c r="O21" s="14"/>
      <c r="P21" s="14"/>
      <c r="Q21" s="14"/>
      <c r="R21" s="14"/>
      <c r="S21" s="14"/>
      <c r="T21" s="14"/>
      <c r="U21" s="14"/>
      <c r="V21" s="14"/>
      <c r="W21" s="14"/>
      <c r="X21" s="14"/>
      <c r="Y21" s="14"/>
      <c r="Z21" s="14"/>
      <c r="AA21" s="14"/>
      <c r="AB21" s="14"/>
      <c r="AC21" s="14"/>
      <c r="AD21" s="14"/>
    </row>
    <row r="22" spans="5:30" ht="14.25" x14ac:dyDescent="0.45">
      <c r="E22" s="69" t="str">
        <f>IFERROR(VLOOKUP(trainee_data[[#This Row],[Program Specialty]],taxonomy_map[[Other Taxonomy]:[Our Taxonomy]],2,FALSE),"")</f>
        <v/>
      </c>
      <c r="F22" s="55" t="str">
        <f>IFERROR(VLOOKUP(trainee_data[[#This Row],[Specialty/Subspecialty]],condensed_specialty_crosswalk[#All],2,FALSE),"")</f>
        <v/>
      </c>
      <c r="G22" s="56" t="str">
        <f>IFERROR(VLOOKUP(trainee_data[[#This Row],[Specialty/Subspecialty]],condensed_specialty_crosswalk[#All],3,FALSE),"")</f>
        <v/>
      </c>
      <c r="H22" s="14"/>
      <c r="I22" s="14"/>
      <c r="J22" s="14"/>
      <c r="K22" s="14"/>
      <c r="L22" s="14"/>
      <c r="M22" s="14"/>
      <c r="N22" s="14"/>
      <c r="O22" s="14"/>
      <c r="P22" s="14"/>
      <c r="Q22" s="14"/>
      <c r="R22" s="14"/>
      <c r="S22" s="14"/>
      <c r="T22" s="14"/>
      <c r="U22" s="14"/>
      <c r="V22" s="14"/>
      <c r="W22" s="14"/>
      <c r="X22" s="14"/>
      <c r="Y22" s="14"/>
      <c r="Z22" s="14"/>
      <c r="AA22" s="14"/>
      <c r="AB22" s="14"/>
      <c r="AC22" s="14"/>
      <c r="AD22" s="14"/>
    </row>
    <row r="23" spans="5:30" ht="14.25" x14ac:dyDescent="0.45">
      <c r="E23" s="70" t="str">
        <f>IFERROR(VLOOKUP(trainee_data[[#This Row],[Program Specialty]],taxonomy_map[[Other Taxonomy]:[Our Taxonomy]],2,FALSE),"")</f>
        <v/>
      </c>
      <c r="F23" s="52" t="str">
        <f>IFERROR(VLOOKUP(trainee_data[[#This Row],[Specialty/Subspecialty]],condensed_specialty_crosswalk[#All],2,FALSE),"")</f>
        <v/>
      </c>
      <c r="G23" s="53" t="str">
        <f>IFERROR(VLOOKUP(trainee_data[[#This Row],[Specialty/Subspecialty]],condensed_specialty_crosswalk[#All],3,FALSE),"")</f>
        <v/>
      </c>
      <c r="H23" s="14"/>
      <c r="I23" s="14"/>
      <c r="J23" s="14"/>
      <c r="K23" s="14"/>
      <c r="L23" s="14"/>
      <c r="M23" s="14"/>
      <c r="N23" s="14"/>
      <c r="O23" s="14"/>
      <c r="P23" s="14"/>
      <c r="Q23" s="14"/>
      <c r="R23" s="14"/>
      <c r="S23" s="14"/>
      <c r="T23" s="14"/>
      <c r="U23" s="14"/>
      <c r="V23" s="14"/>
      <c r="W23" s="14"/>
      <c r="X23" s="14"/>
      <c r="Y23" s="14"/>
      <c r="Z23" s="14"/>
      <c r="AA23" s="14"/>
      <c r="AB23" s="14"/>
      <c r="AC23" s="14"/>
      <c r="AD23" s="14"/>
    </row>
    <row r="24" spans="5:30" ht="14.25" x14ac:dyDescent="0.45">
      <c r="E24" s="69" t="str">
        <f>IFERROR(VLOOKUP(trainee_data[[#This Row],[Program Specialty]],taxonomy_map[[Other Taxonomy]:[Our Taxonomy]],2,FALSE),"")</f>
        <v/>
      </c>
      <c r="F24" s="55" t="str">
        <f>IFERROR(VLOOKUP(trainee_data[[#This Row],[Specialty/Subspecialty]],condensed_specialty_crosswalk[#All],2,FALSE),"")</f>
        <v/>
      </c>
      <c r="G24" s="56" t="str">
        <f>IFERROR(VLOOKUP(trainee_data[[#This Row],[Specialty/Subspecialty]],condensed_specialty_crosswalk[#All],3,FALSE),"")</f>
        <v/>
      </c>
      <c r="H24" s="14"/>
      <c r="I24" s="14"/>
      <c r="J24" s="14"/>
      <c r="K24" s="14"/>
      <c r="L24" s="14"/>
      <c r="M24" s="14"/>
      <c r="N24" s="14"/>
      <c r="O24" s="14"/>
      <c r="P24" s="14"/>
      <c r="Q24" s="14"/>
      <c r="R24" s="14"/>
      <c r="S24" s="14"/>
      <c r="T24" s="14"/>
      <c r="U24" s="14"/>
      <c r="V24" s="14"/>
      <c r="W24" s="14"/>
      <c r="X24" s="14"/>
      <c r="Y24" s="14"/>
      <c r="Z24" s="14"/>
      <c r="AA24" s="14"/>
      <c r="AB24" s="14"/>
      <c r="AC24" s="14"/>
      <c r="AD24" s="14"/>
    </row>
    <row r="25" spans="5:30" ht="14.25" x14ac:dyDescent="0.45">
      <c r="E25" s="70" t="str">
        <f>IFERROR(VLOOKUP(trainee_data[[#This Row],[Program Specialty]],taxonomy_map[[Other Taxonomy]:[Our Taxonomy]],2,FALSE),"")</f>
        <v/>
      </c>
      <c r="F25" s="52" t="str">
        <f>IFERROR(VLOOKUP(trainee_data[[#This Row],[Specialty/Subspecialty]],condensed_specialty_crosswalk[#All],2,FALSE),"")</f>
        <v/>
      </c>
      <c r="G25" s="53" t="str">
        <f>IFERROR(VLOOKUP(trainee_data[[#This Row],[Specialty/Subspecialty]],condensed_specialty_crosswalk[#All],3,FALSE),"")</f>
        <v/>
      </c>
      <c r="H25" s="14"/>
      <c r="I25" s="14"/>
      <c r="J25" s="14"/>
      <c r="K25" s="14"/>
      <c r="L25" s="14"/>
      <c r="M25" s="14"/>
      <c r="N25" s="14"/>
      <c r="O25" s="14"/>
      <c r="P25" s="14"/>
      <c r="Q25" s="14"/>
      <c r="R25" s="14"/>
      <c r="S25" s="14"/>
      <c r="T25" s="14"/>
      <c r="U25" s="14"/>
      <c r="V25" s="14"/>
      <c r="W25" s="14"/>
      <c r="X25" s="14"/>
      <c r="Y25" s="14"/>
      <c r="Z25" s="14"/>
      <c r="AA25" s="14"/>
      <c r="AB25" s="14"/>
      <c r="AC25" s="14"/>
      <c r="AD25" s="14"/>
    </row>
    <row r="26" spans="5:30" ht="14.25" x14ac:dyDescent="0.45">
      <c r="E26" s="69" t="str">
        <f>IFERROR(VLOOKUP(trainee_data[[#This Row],[Program Specialty]],taxonomy_map[[Other Taxonomy]:[Our Taxonomy]],2,FALSE),"")</f>
        <v/>
      </c>
      <c r="F26" s="55" t="str">
        <f>IFERROR(VLOOKUP(trainee_data[[#This Row],[Specialty/Subspecialty]],condensed_specialty_crosswalk[#All],2,FALSE),"")</f>
        <v/>
      </c>
      <c r="G26" s="56" t="str">
        <f>IFERROR(VLOOKUP(trainee_data[[#This Row],[Specialty/Subspecialty]],condensed_specialty_crosswalk[#All],3,FALSE),"")</f>
        <v/>
      </c>
      <c r="H26" s="14"/>
      <c r="I26" s="14"/>
      <c r="J26" s="14"/>
      <c r="K26" s="14"/>
      <c r="L26" s="14"/>
      <c r="M26" s="14"/>
      <c r="N26" s="14"/>
      <c r="O26" s="14"/>
      <c r="P26" s="14"/>
      <c r="Q26" s="14"/>
      <c r="R26" s="14"/>
      <c r="S26" s="14"/>
      <c r="T26" s="14"/>
      <c r="U26" s="14"/>
      <c r="V26" s="14"/>
      <c r="W26" s="14"/>
      <c r="X26" s="14"/>
      <c r="Y26" s="14"/>
      <c r="Z26" s="14"/>
      <c r="AA26" s="14"/>
      <c r="AB26" s="14"/>
      <c r="AC26" s="14"/>
      <c r="AD26" s="14"/>
    </row>
    <row r="27" spans="5:30" ht="14.25" x14ac:dyDescent="0.45">
      <c r="E27" s="70" t="str">
        <f>IFERROR(VLOOKUP(trainee_data[[#This Row],[Program Specialty]],taxonomy_map[[Other Taxonomy]:[Our Taxonomy]],2,FALSE),"")</f>
        <v/>
      </c>
      <c r="F27" s="52" t="str">
        <f>IFERROR(VLOOKUP(trainee_data[[#This Row],[Specialty/Subspecialty]],condensed_specialty_crosswalk[#All],2,FALSE),"")</f>
        <v/>
      </c>
      <c r="G27" s="53" t="str">
        <f>IFERROR(VLOOKUP(trainee_data[[#This Row],[Specialty/Subspecialty]],condensed_specialty_crosswalk[#All],3,FALSE),"")</f>
        <v/>
      </c>
      <c r="H27" s="14"/>
      <c r="I27" s="14"/>
      <c r="J27" s="14"/>
      <c r="K27" s="14"/>
      <c r="L27" s="14"/>
      <c r="M27" s="14"/>
      <c r="N27" s="14"/>
      <c r="O27" s="14"/>
      <c r="P27" s="14"/>
      <c r="Q27" s="14"/>
      <c r="R27" s="14"/>
      <c r="S27" s="14"/>
      <c r="T27" s="14"/>
      <c r="U27" s="14"/>
      <c r="V27" s="14"/>
      <c r="W27" s="14"/>
      <c r="X27" s="14"/>
      <c r="Y27" s="14"/>
      <c r="Z27" s="14"/>
      <c r="AA27" s="14"/>
      <c r="AB27" s="14"/>
      <c r="AC27" s="14"/>
      <c r="AD27" s="14"/>
    </row>
    <row r="28" spans="5:30" ht="14.25" x14ac:dyDescent="0.45">
      <c r="E28" s="69" t="str">
        <f>IFERROR(VLOOKUP(trainee_data[[#This Row],[Program Specialty]],taxonomy_map[[Other Taxonomy]:[Our Taxonomy]],2,FALSE),"")</f>
        <v/>
      </c>
      <c r="F28" s="55" t="str">
        <f>IFERROR(VLOOKUP(trainee_data[[#This Row],[Specialty/Subspecialty]],condensed_specialty_crosswalk[#All],2,FALSE),"")</f>
        <v/>
      </c>
      <c r="G28" s="56" t="str">
        <f>IFERROR(VLOOKUP(trainee_data[[#This Row],[Specialty/Subspecialty]],condensed_specialty_crosswalk[#All],3,FALSE),"")</f>
        <v/>
      </c>
      <c r="H28" s="14"/>
      <c r="I28" s="14"/>
      <c r="J28" s="14"/>
      <c r="K28" s="14"/>
      <c r="L28" s="14"/>
      <c r="M28" s="14"/>
      <c r="N28" s="14"/>
      <c r="O28" s="14"/>
      <c r="P28" s="14"/>
      <c r="Q28" s="14"/>
      <c r="R28" s="14"/>
      <c r="S28" s="14"/>
      <c r="T28" s="14"/>
      <c r="U28" s="14"/>
      <c r="V28" s="14"/>
      <c r="W28" s="14"/>
      <c r="X28" s="14"/>
      <c r="Y28" s="14"/>
      <c r="Z28" s="14"/>
      <c r="AA28" s="14"/>
      <c r="AB28" s="14"/>
      <c r="AC28" s="14"/>
      <c r="AD28" s="14"/>
    </row>
    <row r="29" spans="5:30" ht="14.25" x14ac:dyDescent="0.45">
      <c r="E29" s="70" t="str">
        <f>IFERROR(VLOOKUP(trainee_data[[#This Row],[Program Specialty]],taxonomy_map[[Other Taxonomy]:[Our Taxonomy]],2,FALSE),"")</f>
        <v/>
      </c>
      <c r="F29" s="52" t="str">
        <f>IFERROR(VLOOKUP(trainee_data[[#This Row],[Specialty/Subspecialty]],condensed_specialty_crosswalk[#All],2,FALSE),"")</f>
        <v/>
      </c>
      <c r="G29" s="53" t="str">
        <f>IFERROR(VLOOKUP(trainee_data[[#This Row],[Specialty/Subspecialty]],condensed_specialty_crosswalk[#All],3,FALSE),"")</f>
        <v/>
      </c>
      <c r="H29" s="14"/>
      <c r="I29" s="14"/>
      <c r="J29" s="14"/>
      <c r="K29" s="14"/>
      <c r="L29" s="14"/>
      <c r="M29" s="14"/>
      <c r="N29" s="14"/>
      <c r="O29" s="14"/>
      <c r="P29" s="14"/>
      <c r="Q29" s="14"/>
      <c r="R29" s="14"/>
      <c r="S29" s="14"/>
      <c r="T29" s="14"/>
      <c r="U29" s="14"/>
      <c r="V29" s="14"/>
      <c r="W29" s="14"/>
      <c r="X29" s="14"/>
      <c r="Y29" s="14"/>
      <c r="Z29" s="14"/>
      <c r="AA29" s="14"/>
      <c r="AB29" s="14"/>
      <c r="AC29" s="14"/>
      <c r="AD29" s="14"/>
    </row>
    <row r="30" spans="5:30" ht="14.25" x14ac:dyDescent="0.45">
      <c r="E30" s="69" t="str">
        <f>IFERROR(VLOOKUP(trainee_data[[#This Row],[Program Specialty]],taxonomy_map[[Other Taxonomy]:[Our Taxonomy]],2,FALSE),"")</f>
        <v/>
      </c>
      <c r="F30" s="55" t="str">
        <f>IFERROR(VLOOKUP(trainee_data[[#This Row],[Specialty/Subspecialty]],condensed_specialty_crosswalk[#All],2,FALSE),"")</f>
        <v/>
      </c>
      <c r="G30" s="56" t="str">
        <f>IFERROR(VLOOKUP(trainee_data[[#This Row],[Specialty/Subspecialty]],condensed_specialty_crosswalk[#All],3,FALSE),"")</f>
        <v/>
      </c>
      <c r="H30" s="14"/>
      <c r="I30" s="14"/>
      <c r="J30" s="14"/>
      <c r="K30" s="14"/>
      <c r="L30" s="14"/>
      <c r="M30" s="14"/>
      <c r="N30" s="14"/>
      <c r="O30" s="14"/>
      <c r="P30" s="14"/>
      <c r="Q30" s="14"/>
      <c r="R30" s="14"/>
      <c r="S30" s="14"/>
      <c r="T30" s="14"/>
      <c r="U30" s="14"/>
      <c r="V30" s="14"/>
      <c r="W30" s="14"/>
      <c r="X30" s="14"/>
      <c r="Y30" s="14"/>
      <c r="Z30" s="14"/>
      <c r="AA30" s="14"/>
      <c r="AB30" s="14"/>
      <c r="AC30" s="14"/>
      <c r="AD30" s="14"/>
    </row>
    <row r="31" spans="5:30" ht="14.25" x14ac:dyDescent="0.45">
      <c r="E31" s="70" t="str">
        <f>IFERROR(VLOOKUP(trainee_data[[#This Row],[Program Specialty]],taxonomy_map[[Other Taxonomy]:[Our Taxonomy]],2,FALSE),"")</f>
        <v/>
      </c>
      <c r="F31" s="52" t="str">
        <f>IFERROR(VLOOKUP(trainee_data[[#This Row],[Specialty/Subspecialty]],condensed_specialty_crosswalk[#All],2,FALSE),"")</f>
        <v/>
      </c>
      <c r="G31" s="53" t="str">
        <f>IFERROR(VLOOKUP(trainee_data[[#This Row],[Specialty/Subspecialty]],condensed_specialty_crosswalk[#All],3,FALSE),"")</f>
        <v/>
      </c>
      <c r="H31" s="14"/>
      <c r="I31" s="14"/>
      <c r="J31" s="14"/>
      <c r="K31" s="14"/>
      <c r="L31" s="14"/>
      <c r="M31" s="14"/>
      <c r="N31" s="14"/>
      <c r="O31" s="14"/>
      <c r="P31" s="14"/>
      <c r="Q31" s="14"/>
      <c r="R31" s="14"/>
      <c r="S31" s="14"/>
      <c r="T31" s="14"/>
      <c r="U31" s="14"/>
      <c r="V31" s="14"/>
      <c r="W31" s="14"/>
      <c r="X31" s="14"/>
      <c r="Y31" s="14"/>
      <c r="Z31" s="14"/>
      <c r="AA31" s="14"/>
      <c r="AB31" s="14"/>
      <c r="AC31" s="14"/>
      <c r="AD31" s="14"/>
    </row>
    <row r="32" spans="5:30" ht="14.25" x14ac:dyDescent="0.45">
      <c r="E32" s="69" t="str">
        <f>IFERROR(VLOOKUP(trainee_data[[#This Row],[Program Specialty]],taxonomy_map[[Other Taxonomy]:[Our Taxonomy]],2,FALSE),"")</f>
        <v/>
      </c>
      <c r="F32" s="55" t="str">
        <f>IFERROR(VLOOKUP(trainee_data[[#This Row],[Specialty/Subspecialty]],condensed_specialty_crosswalk[#All],2,FALSE),"")</f>
        <v/>
      </c>
      <c r="G32" s="56" t="str">
        <f>IFERROR(VLOOKUP(trainee_data[[#This Row],[Specialty/Subspecialty]],condensed_specialty_crosswalk[#All],3,FALSE),"")</f>
        <v/>
      </c>
      <c r="H32" s="14"/>
      <c r="I32" s="14"/>
      <c r="J32" s="14"/>
      <c r="K32" s="14"/>
      <c r="L32" s="14"/>
      <c r="M32" s="14"/>
      <c r="N32" s="14"/>
      <c r="O32" s="14"/>
      <c r="P32" s="14"/>
      <c r="Q32" s="14"/>
      <c r="R32" s="14"/>
      <c r="S32" s="14"/>
      <c r="T32" s="14"/>
      <c r="U32" s="14"/>
      <c r="V32" s="14"/>
      <c r="W32" s="14"/>
      <c r="X32" s="14"/>
      <c r="Y32" s="14"/>
      <c r="Z32" s="14"/>
      <c r="AA32" s="14"/>
      <c r="AB32" s="14"/>
      <c r="AC32" s="14"/>
      <c r="AD32" s="14"/>
    </row>
    <row r="33" spans="5:30" ht="14.25" x14ac:dyDescent="0.45">
      <c r="E33" s="70" t="str">
        <f>IFERROR(VLOOKUP(trainee_data[[#This Row],[Program Specialty]],taxonomy_map[[Other Taxonomy]:[Our Taxonomy]],2,FALSE),"")</f>
        <v/>
      </c>
      <c r="F33" s="52" t="str">
        <f>IFERROR(VLOOKUP(trainee_data[[#This Row],[Specialty/Subspecialty]],condensed_specialty_crosswalk[#All],2,FALSE),"")</f>
        <v/>
      </c>
      <c r="G33" s="53" t="str">
        <f>IFERROR(VLOOKUP(trainee_data[[#This Row],[Specialty/Subspecialty]],condensed_specialty_crosswalk[#All],3,FALSE),"")</f>
        <v/>
      </c>
      <c r="H33" s="14"/>
      <c r="I33" s="14"/>
      <c r="J33" s="14"/>
      <c r="K33" s="14"/>
      <c r="L33" s="14"/>
      <c r="M33" s="14"/>
      <c r="N33" s="14"/>
      <c r="O33" s="14"/>
      <c r="P33" s="14"/>
      <c r="Q33" s="14"/>
      <c r="R33" s="14"/>
      <c r="S33" s="14"/>
      <c r="T33" s="14"/>
      <c r="U33" s="14"/>
      <c r="V33" s="14"/>
      <c r="W33" s="14"/>
      <c r="X33" s="14"/>
      <c r="Y33" s="14"/>
      <c r="Z33" s="14"/>
      <c r="AA33" s="14"/>
      <c r="AB33" s="14"/>
      <c r="AC33" s="14"/>
      <c r="AD33" s="14"/>
    </row>
    <row r="34" spans="5:30" ht="14.25" x14ac:dyDescent="0.45">
      <c r="E34" s="69" t="str">
        <f>IFERROR(VLOOKUP(trainee_data[[#This Row],[Program Specialty]],taxonomy_map[[Other Taxonomy]:[Our Taxonomy]],2,FALSE),"")</f>
        <v/>
      </c>
      <c r="F34" s="55" t="str">
        <f>IFERROR(VLOOKUP(trainee_data[[#This Row],[Specialty/Subspecialty]],condensed_specialty_crosswalk[#All],2,FALSE),"")</f>
        <v/>
      </c>
      <c r="G34" s="56" t="str">
        <f>IFERROR(VLOOKUP(trainee_data[[#This Row],[Specialty/Subspecialty]],condensed_specialty_crosswalk[#All],3,FALSE),"")</f>
        <v/>
      </c>
      <c r="H34" s="14"/>
      <c r="I34" s="14"/>
      <c r="J34" s="14"/>
      <c r="K34" s="14"/>
      <c r="L34" s="14"/>
      <c r="M34" s="14"/>
      <c r="N34" s="14"/>
      <c r="O34" s="14"/>
      <c r="P34" s="14"/>
      <c r="Q34" s="14"/>
      <c r="R34" s="14"/>
      <c r="S34" s="14"/>
      <c r="T34" s="14"/>
      <c r="U34" s="14"/>
      <c r="V34" s="14"/>
      <c r="W34" s="14"/>
      <c r="X34" s="14"/>
      <c r="Y34" s="14"/>
      <c r="Z34" s="14"/>
      <c r="AA34" s="14"/>
      <c r="AB34" s="14"/>
      <c r="AC34" s="14"/>
      <c r="AD34" s="14"/>
    </row>
    <row r="35" spans="5:30" ht="14.25" x14ac:dyDescent="0.45">
      <c r="E35" s="70" t="str">
        <f>IFERROR(VLOOKUP(trainee_data[[#This Row],[Program Specialty]],taxonomy_map[[Other Taxonomy]:[Our Taxonomy]],2,FALSE),"")</f>
        <v/>
      </c>
      <c r="F35" s="52" t="str">
        <f>IFERROR(VLOOKUP(trainee_data[[#This Row],[Specialty/Subspecialty]],condensed_specialty_crosswalk[#All],2,FALSE),"")</f>
        <v/>
      </c>
      <c r="G35" s="53" t="str">
        <f>IFERROR(VLOOKUP(trainee_data[[#This Row],[Specialty/Subspecialty]],condensed_specialty_crosswalk[#All],3,FALSE),"")</f>
        <v/>
      </c>
      <c r="H35" s="14"/>
      <c r="I35" s="14"/>
      <c r="J35" s="14"/>
      <c r="K35" s="14"/>
      <c r="L35" s="14"/>
      <c r="M35" s="14"/>
      <c r="N35" s="14"/>
      <c r="O35" s="14"/>
      <c r="P35" s="14"/>
      <c r="Q35" s="14"/>
      <c r="R35" s="14"/>
      <c r="S35" s="14"/>
      <c r="T35" s="14"/>
      <c r="U35" s="14"/>
      <c r="V35" s="14"/>
      <c r="W35" s="14"/>
      <c r="X35" s="14"/>
      <c r="Y35" s="14"/>
      <c r="Z35" s="14"/>
      <c r="AA35" s="14"/>
      <c r="AB35" s="14"/>
      <c r="AC35" s="14"/>
      <c r="AD35" s="14"/>
    </row>
    <row r="36" spans="5:30" ht="14.25" x14ac:dyDescent="0.45">
      <c r="E36" s="69" t="str">
        <f>IFERROR(VLOOKUP(trainee_data[[#This Row],[Program Specialty]],taxonomy_map[[Other Taxonomy]:[Our Taxonomy]],2,FALSE),"")</f>
        <v/>
      </c>
      <c r="F36" s="55" t="str">
        <f>IFERROR(VLOOKUP(trainee_data[[#This Row],[Specialty/Subspecialty]],condensed_specialty_crosswalk[#All],2,FALSE),"")</f>
        <v/>
      </c>
      <c r="G36" s="56" t="str">
        <f>IFERROR(VLOOKUP(trainee_data[[#This Row],[Specialty/Subspecialty]],condensed_specialty_crosswalk[#All],3,FALSE),"")</f>
        <v/>
      </c>
      <c r="H36" s="14"/>
      <c r="I36" s="14"/>
      <c r="J36" s="14"/>
      <c r="K36" s="14"/>
      <c r="L36" s="14"/>
      <c r="M36" s="14"/>
      <c r="N36" s="14"/>
      <c r="O36" s="14"/>
      <c r="P36" s="14"/>
      <c r="Q36" s="14"/>
      <c r="R36" s="14"/>
      <c r="S36" s="14"/>
      <c r="T36" s="14"/>
      <c r="U36" s="14"/>
      <c r="V36" s="14"/>
      <c r="W36" s="14"/>
      <c r="X36" s="14"/>
      <c r="Y36" s="14"/>
      <c r="Z36" s="14"/>
      <c r="AA36" s="14"/>
      <c r="AB36" s="14"/>
      <c r="AC36" s="14"/>
      <c r="AD36" s="14"/>
    </row>
    <row r="37" spans="5:30" ht="14.25" x14ac:dyDescent="0.45">
      <c r="E37" s="70" t="str">
        <f>IFERROR(VLOOKUP(trainee_data[[#This Row],[Program Specialty]],taxonomy_map[[Other Taxonomy]:[Our Taxonomy]],2,FALSE),"")</f>
        <v/>
      </c>
      <c r="F37" s="52" t="str">
        <f>IFERROR(VLOOKUP(trainee_data[[#This Row],[Specialty/Subspecialty]],condensed_specialty_crosswalk[#All],2,FALSE),"")</f>
        <v/>
      </c>
      <c r="G37" s="53" t="str">
        <f>IFERROR(VLOOKUP(trainee_data[[#This Row],[Specialty/Subspecialty]],condensed_specialty_crosswalk[#All],3,FALSE),"")</f>
        <v/>
      </c>
      <c r="H37" s="14"/>
      <c r="I37" s="14"/>
      <c r="J37" s="14"/>
      <c r="K37" s="14"/>
      <c r="L37" s="14"/>
      <c r="M37" s="14"/>
      <c r="N37" s="14"/>
      <c r="O37" s="14"/>
      <c r="P37" s="14"/>
      <c r="Q37" s="14"/>
      <c r="R37" s="14"/>
      <c r="S37" s="14"/>
      <c r="T37" s="14"/>
      <c r="U37" s="14"/>
      <c r="V37" s="14"/>
      <c r="W37" s="14"/>
      <c r="X37" s="14"/>
      <c r="Y37" s="14"/>
      <c r="Z37" s="14"/>
      <c r="AA37" s="14"/>
      <c r="AB37" s="14"/>
      <c r="AC37" s="14"/>
      <c r="AD37" s="14"/>
    </row>
    <row r="38" spans="5:30" ht="14.25" x14ac:dyDescent="0.45">
      <c r="E38" s="69" t="str">
        <f>IFERROR(VLOOKUP(trainee_data[[#This Row],[Program Specialty]],taxonomy_map[[Other Taxonomy]:[Our Taxonomy]],2,FALSE),"")</f>
        <v/>
      </c>
      <c r="F38" s="55" t="str">
        <f>IFERROR(VLOOKUP(trainee_data[[#This Row],[Specialty/Subspecialty]],condensed_specialty_crosswalk[#All],2,FALSE),"")</f>
        <v/>
      </c>
      <c r="G38" s="56" t="str">
        <f>IFERROR(VLOOKUP(trainee_data[[#This Row],[Specialty/Subspecialty]],condensed_specialty_crosswalk[#All],3,FALSE),"")</f>
        <v/>
      </c>
      <c r="H38" s="14"/>
      <c r="I38" s="14"/>
      <c r="J38" s="14"/>
      <c r="K38" s="14"/>
      <c r="L38" s="14"/>
      <c r="M38" s="14"/>
      <c r="N38" s="14"/>
      <c r="O38" s="14"/>
      <c r="P38" s="14"/>
      <c r="Q38" s="14"/>
      <c r="R38" s="14"/>
      <c r="S38" s="14"/>
      <c r="T38" s="14"/>
      <c r="U38" s="14"/>
      <c r="V38" s="14"/>
      <c r="W38" s="14"/>
      <c r="X38" s="14"/>
      <c r="Y38" s="14"/>
      <c r="Z38" s="14"/>
      <c r="AA38" s="14"/>
      <c r="AB38" s="14"/>
      <c r="AC38" s="14"/>
      <c r="AD38" s="14"/>
    </row>
    <row r="39" spans="5:30" ht="14.25" x14ac:dyDescent="0.45">
      <c r="E39" s="70" t="str">
        <f>IFERROR(VLOOKUP(trainee_data[[#This Row],[Program Specialty]],taxonomy_map[[Other Taxonomy]:[Our Taxonomy]],2,FALSE),"")</f>
        <v/>
      </c>
      <c r="F39" s="52" t="str">
        <f>IFERROR(VLOOKUP(trainee_data[[#This Row],[Specialty/Subspecialty]],condensed_specialty_crosswalk[#All],2,FALSE),"")</f>
        <v/>
      </c>
      <c r="G39" s="53" t="str">
        <f>IFERROR(VLOOKUP(trainee_data[[#This Row],[Specialty/Subspecialty]],condensed_specialty_crosswalk[#All],3,FALSE),"")</f>
        <v/>
      </c>
      <c r="H39" s="14"/>
      <c r="I39" s="14"/>
      <c r="J39" s="14"/>
      <c r="K39" s="14"/>
      <c r="L39" s="14"/>
      <c r="M39" s="14"/>
      <c r="N39" s="14"/>
      <c r="O39" s="14"/>
      <c r="P39" s="14"/>
      <c r="Q39" s="14"/>
      <c r="R39" s="14"/>
      <c r="S39" s="14"/>
      <c r="T39" s="14"/>
      <c r="U39" s="14"/>
      <c r="V39" s="14"/>
      <c r="W39" s="14"/>
      <c r="X39" s="14"/>
      <c r="Y39" s="14"/>
      <c r="Z39" s="14"/>
      <c r="AA39" s="14"/>
      <c r="AB39" s="14"/>
      <c r="AC39" s="14"/>
      <c r="AD39" s="14"/>
    </row>
    <row r="40" spans="5:30" ht="14.25" x14ac:dyDescent="0.45">
      <c r="E40" s="69" t="str">
        <f>IFERROR(VLOOKUP(trainee_data[[#This Row],[Program Specialty]],taxonomy_map[[Other Taxonomy]:[Our Taxonomy]],2,FALSE),"")</f>
        <v/>
      </c>
      <c r="F40" s="55" t="str">
        <f>IFERROR(VLOOKUP(trainee_data[[#This Row],[Specialty/Subspecialty]],condensed_specialty_crosswalk[#All],2,FALSE),"")</f>
        <v/>
      </c>
      <c r="G40" s="56" t="str">
        <f>IFERROR(VLOOKUP(trainee_data[[#This Row],[Specialty/Subspecialty]],condensed_specialty_crosswalk[#All],3,FALSE),"")</f>
        <v/>
      </c>
      <c r="H40" s="14"/>
      <c r="I40" s="14"/>
      <c r="J40" s="14"/>
      <c r="K40" s="14"/>
      <c r="L40" s="14"/>
      <c r="M40" s="14"/>
      <c r="N40" s="14"/>
      <c r="O40" s="14"/>
      <c r="P40" s="14"/>
      <c r="Q40" s="14"/>
      <c r="R40" s="14"/>
      <c r="S40" s="14"/>
      <c r="T40" s="14"/>
      <c r="U40" s="14"/>
      <c r="V40" s="14"/>
      <c r="W40" s="14"/>
      <c r="X40" s="14"/>
      <c r="Y40" s="14"/>
      <c r="Z40" s="14"/>
      <c r="AA40" s="14"/>
      <c r="AB40" s="14"/>
      <c r="AC40" s="14"/>
      <c r="AD40" s="14"/>
    </row>
    <row r="41" spans="5:30" ht="14.25" x14ac:dyDescent="0.45">
      <c r="E41" s="70" t="str">
        <f>IFERROR(VLOOKUP(trainee_data[[#This Row],[Program Specialty]],taxonomy_map[[Other Taxonomy]:[Our Taxonomy]],2,FALSE),"")</f>
        <v/>
      </c>
      <c r="F41" s="52" t="str">
        <f>IFERROR(VLOOKUP(trainee_data[[#This Row],[Specialty/Subspecialty]],condensed_specialty_crosswalk[#All],2,FALSE),"")</f>
        <v/>
      </c>
      <c r="G41" s="53" t="str">
        <f>IFERROR(VLOOKUP(trainee_data[[#This Row],[Specialty/Subspecialty]],condensed_specialty_crosswalk[#All],3,FALSE),"")</f>
        <v/>
      </c>
      <c r="H41" s="14"/>
      <c r="I41" s="14"/>
      <c r="J41" s="14"/>
      <c r="K41" s="14"/>
      <c r="L41" s="14"/>
      <c r="M41" s="14"/>
      <c r="N41" s="14"/>
      <c r="O41" s="14"/>
      <c r="P41" s="14"/>
      <c r="Q41" s="14"/>
      <c r="R41" s="14"/>
      <c r="S41" s="14"/>
      <c r="T41" s="14"/>
      <c r="U41" s="14"/>
      <c r="V41" s="14"/>
      <c r="W41" s="14"/>
      <c r="X41" s="14"/>
      <c r="Y41" s="14"/>
      <c r="Z41" s="14"/>
      <c r="AA41" s="14"/>
      <c r="AB41" s="14"/>
      <c r="AC41" s="14"/>
      <c r="AD41" s="14"/>
    </row>
    <row r="42" spans="5:30" ht="14.25" x14ac:dyDescent="0.45">
      <c r="E42" s="69" t="str">
        <f>IFERROR(VLOOKUP(trainee_data[[#This Row],[Program Specialty]],taxonomy_map[[Other Taxonomy]:[Our Taxonomy]],2,FALSE),"")</f>
        <v/>
      </c>
      <c r="F42" s="55" t="str">
        <f>IFERROR(VLOOKUP(trainee_data[[#This Row],[Specialty/Subspecialty]],condensed_specialty_crosswalk[#All],2,FALSE),"")</f>
        <v/>
      </c>
      <c r="G42" s="56" t="str">
        <f>IFERROR(VLOOKUP(trainee_data[[#This Row],[Specialty/Subspecialty]],condensed_specialty_crosswalk[#All],3,FALSE),"")</f>
        <v/>
      </c>
      <c r="H42" s="14"/>
      <c r="I42" s="14"/>
      <c r="J42" s="14"/>
      <c r="K42" s="14"/>
      <c r="L42" s="14"/>
      <c r="M42" s="14"/>
      <c r="N42" s="14"/>
      <c r="O42" s="14"/>
      <c r="P42" s="14"/>
      <c r="Q42" s="14"/>
      <c r="R42" s="14"/>
      <c r="S42" s="14"/>
      <c r="T42" s="14"/>
      <c r="U42" s="14"/>
      <c r="V42" s="14"/>
      <c r="W42" s="14"/>
      <c r="X42" s="14"/>
      <c r="Y42" s="14"/>
      <c r="Z42" s="14"/>
      <c r="AA42" s="14"/>
      <c r="AB42" s="14"/>
      <c r="AC42" s="14"/>
      <c r="AD42" s="14"/>
    </row>
    <row r="43" spans="5:30" ht="14.25" x14ac:dyDescent="0.45">
      <c r="E43" s="70" t="str">
        <f>IFERROR(VLOOKUP(trainee_data[[#This Row],[Program Specialty]],taxonomy_map[[Other Taxonomy]:[Our Taxonomy]],2,FALSE),"")</f>
        <v/>
      </c>
      <c r="F43" s="52" t="str">
        <f>IFERROR(VLOOKUP(trainee_data[[#This Row],[Specialty/Subspecialty]],condensed_specialty_crosswalk[#All],2,FALSE),"")</f>
        <v/>
      </c>
      <c r="G43" s="53" t="str">
        <f>IFERROR(VLOOKUP(trainee_data[[#This Row],[Specialty/Subspecialty]],condensed_specialty_crosswalk[#All],3,FALSE),"")</f>
        <v/>
      </c>
      <c r="H43" s="14"/>
      <c r="I43" s="14"/>
      <c r="J43" s="14"/>
      <c r="K43" s="14"/>
      <c r="L43" s="14"/>
      <c r="M43" s="14"/>
      <c r="N43" s="14"/>
      <c r="O43" s="14"/>
      <c r="P43" s="14"/>
      <c r="Q43" s="14"/>
      <c r="R43" s="14"/>
      <c r="S43" s="14"/>
      <c r="T43" s="14"/>
      <c r="U43" s="14"/>
      <c r="V43" s="14"/>
      <c r="W43" s="14"/>
      <c r="X43" s="14"/>
      <c r="Y43" s="14"/>
      <c r="Z43" s="14"/>
      <c r="AA43" s="14"/>
      <c r="AB43" s="14"/>
      <c r="AC43" s="14"/>
      <c r="AD43" s="14"/>
    </row>
    <row r="44" spans="5:30" ht="14.25" x14ac:dyDescent="0.45">
      <c r="E44" s="69" t="str">
        <f>IFERROR(VLOOKUP(trainee_data[[#This Row],[Program Specialty]],taxonomy_map[[Other Taxonomy]:[Our Taxonomy]],2,FALSE),"")</f>
        <v/>
      </c>
      <c r="F44" s="55" t="str">
        <f>IFERROR(VLOOKUP(trainee_data[[#This Row],[Specialty/Subspecialty]],condensed_specialty_crosswalk[#All],2,FALSE),"")</f>
        <v/>
      </c>
      <c r="G44" s="56" t="str">
        <f>IFERROR(VLOOKUP(trainee_data[[#This Row],[Specialty/Subspecialty]],condensed_specialty_crosswalk[#All],3,FALSE),"")</f>
        <v/>
      </c>
      <c r="H44" s="14"/>
      <c r="I44" s="14"/>
      <c r="J44" s="14"/>
      <c r="K44" s="14"/>
      <c r="L44" s="14"/>
      <c r="M44" s="14"/>
      <c r="N44" s="14"/>
      <c r="O44" s="14"/>
      <c r="P44" s="14"/>
      <c r="Q44" s="14"/>
      <c r="R44" s="14"/>
      <c r="S44" s="14"/>
      <c r="T44" s="14"/>
      <c r="U44" s="14"/>
      <c r="V44" s="14"/>
      <c r="W44" s="14"/>
      <c r="X44" s="14"/>
      <c r="Y44" s="14"/>
      <c r="Z44" s="14"/>
      <c r="AA44" s="14"/>
      <c r="AB44" s="14"/>
      <c r="AC44" s="14"/>
      <c r="AD44" s="14"/>
    </row>
    <row r="45" spans="5:30" ht="14.25" x14ac:dyDescent="0.45">
      <c r="E45" s="70" t="str">
        <f>IFERROR(VLOOKUP(trainee_data[[#This Row],[Program Specialty]],taxonomy_map[[Other Taxonomy]:[Our Taxonomy]],2,FALSE),"")</f>
        <v/>
      </c>
      <c r="F45" s="52" t="str">
        <f>IFERROR(VLOOKUP(trainee_data[[#This Row],[Specialty/Subspecialty]],condensed_specialty_crosswalk[#All],2,FALSE),"")</f>
        <v/>
      </c>
      <c r="G45" s="53" t="str">
        <f>IFERROR(VLOOKUP(trainee_data[[#This Row],[Specialty/Subspecialty]],condensed_specialty_crosswalk[#All],3,FALSE),"")</f>
        <v/>
      </c>
      <c r="H45" s="14"/>
      <c r="I45" s="14"/>
      <c r="J45" s="14"/>
      <c r="K45" s="14"/>
      <c r="L45" s="14"/>
      <c r="M45" s="14"/>
      <c r="N45" s="14"/>
      <c r="O45" s="14"/>
      <c r="P45" s="14"/>
      <c r="Q45" s="14"/>
      <c r="R45" s="14"/>
      <c r="S45" s="14"/>
      <c r="T45" s="14"/>
      <c r="U45" s="14"/>
      <c r="V45" s="14"/>
      <c r="W45" s="14"/>
      <c r="X45" s="14"/>
      <c r="Y45" s="14"/>
      <c r="Z45" s="14"/>
      <c r="AA45" s="14"/>
      <c r="AB45" s="14"/>
      <c r="AC45" s="14"/>
      <c r="AD45" s="14"/>
    </row>
    <row r="46" spans="5:30" ht="14.25" x14ac:dyDescent="0.45">
      <c r="E46" s="69" t="str">
        <f>IFERROR(VLOOKUP(trainee_data[[#This Row],[Program Specialty]],taxonomy_map[[Other Taxonomy]:[Our Taxonomy]],2,FALSE),"")</f>
        <v/>
      </c>
      <c r="F46" s="55" t="str">
        <f>IFERROR(VLOOKUP(trainee_data[[#This Row],[Specialty/Subspecialty]],condensed_specialty_crosswalk[#All],2,FALSE),"")</f>
        <v/>
      </c>
      <c r="G46" s="56" t="str">
        <f>IFERROR(VLOOKUP(trainee_data[[#This Row],[Specialty/Subspecialty]],condensed_specialty_crosswalk[#All],3,FALSE),"")</f>
        <v/>
      </c>
      <c r="H46" s="14"/>
      <c r="I46" s="14"/>
      <c r="J46" s="14"/>
      <c r="K46" s="14"/>
      <c r="L46" s="14"/>
      <c r="M46" s="14"/>
      <c r="N46" s="14"/>
      <c r="O46" s="14"/>
      <c r="P46" s="14"/>
      <c r="Q46" s="14"/>
      <c r="R46" s="14"/>
      <c r="S46" s="14"/>
      <c r="T46" s="14"/>
      <c r="U46" s="14"/>
      <c r="V46" s="14"/>
      <c r="W46" s="14"/>
      <c r="X46" s="14"/>
      <c r="Y46" s="14"/>
      <c r="Z46" s="14"/>
      <c r="AA46" s="14"/>
      <c r="AB46" s="14"/>
      <c r="AC46" s="14"/>
      <c r="AD46" s="14"/>
    </row>
    <row r="47" spans="5:30" ht="14.25" x14ac:dyDescent="0.45">
      <c r="E47" s="70" t="str">
        <f>IFERROR(VLOOKUP(trainee_data[[#This Row],[Program Specialty]],taxonomy_map[[Other Taxonomy]:[Our Taxonomy]],2,FALSE),"")</f>
        <v/>
      </c>
      <c r="F47" s="52" t="str">
        <f>IFERROR(VLOOKUP(trainee_data[[#This Row],[Specialty/Subspecialty]],condensed_specialty_crosswalk[#All],2,FALSE),"")</f>
        <v/>
      </c>
      <c r="G47" s="53" t="str">
        <f>IFERROR(VLOOKUP(trainee_data[[#This Row],[Specialty/Subspecialty]],condensed_specialty_crosswalk[#All],3,FALSE),"")</f>
        <v/>
      </c>
      <c r="H47" s="14"/>
      <c r="I47" s="14"/>
      <c r="J47" s="14"/>
      <c r="K47" s="14"/>
      <c r="L47" s="14"/>
      <c r="M47" s="14"/>
      <c r="N47" s="14"/>
      <c r="O47" s="14"/>
      <c r="P47" s="14"/>
      <c r="Q47" s="14"/>
      <c r="R47" s="14"/>
      <c r="S47" s="14"/>
      <c r="T47" s="14"/>
      <c r="U47" s="14"/>
      <c r="V47" s="14"/>
      <c r="W47" s="14"/>
      <c r="X47" s="14"/>
      <c r="Y47" s="14"/>
      <c r="Z47" s="14"/>
      <c r="AA47" s="14"/>
      <c r="AB47" s="14"/>
      <c r="AC47" s="14"/>
      <c r="AD47" s="14"/>
    </row>
    <row r="48" spans="5:30" ht="14.25" x14ac:dyDescent="0.45">
      <c r="E48" s="69" t="str">
        <f>IFERROR(VLOOKUP(trainee_data[[#This Row],[Program Specialty]],taxonomy_map[[Other Taxonomy]:[Our Taxonomy]],2,FALSE),"")</f>
        <v/>
      </c>
      <c r="F48" s="55" t="str">
        <f>IFERROR(VLOOKUP(trainee_data[[#This Row],[Specialty/Subspecialty]],condensed_specialty_crosswalk[#All],2,FALSE),"")</f>
        <v/>
      </c>
      <c r="G48" s="56" t="str">
        <f>IFERROR(VLOOKUP(trainee_data[[#This Row],[Specialty/Subspecialty]],condensed_specialty_crosswalk[#All],3,FALSE),"")</f>
        <v/>
      </c>
      <c r="H48" s="14"/>
      <c r="I48" s="14"/>
      <c r="J48" s="14"/>
      <c r="K48" s="14"/>
      <c r="L48" s="14"/>
      <c r="M48" s="14"/>
      <c r="N48" s="14"/>
      <c r="O48" s="14"/>
      <c r="P48" s="14"/>
      <c r="Q48" s="14"/>
      <c r="R48" s="14"/>
      <c r="S48" s="14"/>
      <c r="T48" s="14"/>
      <c r="U48" s="14"/>
      <c r="V48" s="14"/>
      <c r="W48" s="14"/>
      <c r="X48" s="14"/>
      <c r="Y48" s="14"/>
      <c r="Z48" s="14"/>
      <c r="AA48" s="14"/>
      <c r="AB48" s="14"/>
      <c r="AC48" s="14"/>
      <c r="AD48" s="14"/>
    </row>
    <row r="49" spans="5:30" ht="14.25" x14ac:dyDescent="0.45">
      <c r="E49" s="70" t="str">
        <f>IFERROR(VLOOKUP(trainee_data[[#This Row],[Program Specialty]],taxonomy_map[[Other Taxonomy]:[Our Taxonomy]],2,FALSE),"")</f>
        <v/>
      </c>
      <c r="F49" s="52" t="str">
        <f>IFERROR(VLOOKUP(trainee_data[[#This Row],[Specialty/Subspecialty]],condensed_specialty_crosswalk[#All],2,FALSE),"")</f>
        <v/>
      </c>
      <c r="G49" s="53" t="str">
        <f>IFERROR(VLOOKUP(trainee_data[[#This Row],[Specialty/Subspecialty]],condensed_specialty_crosswalk[#All],3,FALSE),"")</f>
        <v/>
      </c>
      <c r="H49" s="14"/>
      <c r="I49" s="14"/>
      <c r="J49" s="14"/>
      <c r="K49" s="14"/>
      <c r="L49" s="14"/>
      <c r="M49" s="14"/>
      <c r="N49" s="14"/>
      <c r="O49" s="14"/>
      <c r="P49" s="14"/>
      <c r="Q49" s="14"/>
      <c r="R49" s="14"/>
      <c r="S49" s="14"/>
      <c r="T49" s="14"/>
      <c r="U49" s="14"/>
      <c r="V49" s="14"/>
      <c r="W49" s="14"/>
      <c r="X49" s="14"/>
      <c r="Y49" s="14"/>
      <c r="Z49" s="14"/>
      <c r="AA49" s="14"/>
      <c r="AB49" s="14"/>
      <c r="AC49" s="14"/>
      <c r="AD49" s="14"/>
    </row>
    <row r="50" spans="5:30" ht="14.25" x14ac:dyDescent="0.45">
      <c r="E50" s="69" t="str">
        <f>IFERROR(VLOOKUP(trainee_data[[#This Row],[Program Specialty]],taxonomy_map[[Other Taxonomy]:[Our Taxonomy]],2,FALSE),"")</f>
        <v/>
      </c>
      <c r="F50" s="55" t="str">
        <f>IFERROR(VLOOKUP(trainee_data[[#This Row],[Specialty/Subspecialty]],condensed_specialty_crosswalk[#All],2,FALSE),"")</f>
        <v/>
      </c>
      <c r="G50" s="56" t="str">
        <f>IFERROR(VLOOKUP(trainee_data[[#This Row],[Specialty/Subspecialty]],condensed_specialty_crosswalk[#All],3,FALSE),"")</f>
        <v/>
      </c>
      <c r="H50" s="14"/>
      <c r="I50" s="14"/>
      <c r="J50" s="14"/>
      <c r="K50" s="14"/>
      <c r="L50" s="14"/>
      <c r="M50" s="14"/>
      <c r="N50" s="14"/>
      <c r="O50" s="14"/>
      <c r="P50" s="14"/>
      <c r="Q50" s="14"/>
      <c r="R50" s="14"/>
      <c r="S50" s="14"/>
      <c r="T50" s="14"/>
      <c r="U50" s="14"/>
      <c r="V50" s="14"/>
      <c r="W50" s="14"/>
      <c r="X50" s="14"/>
      <c r="Y50" s="14"/>
      <c r="Z50" s="14"/>
      <c r="AA50" s="14"/>
      <c r="AB50" s="14"/>
      <c r="AC50" s="14"/>
      <c r="AD50" s="14"/>
    </row>
    <row r="51" spans="5:30" ht="14.25" x14ac:dyDescent="0.45">
      <c r="E51" s="70" t="str">
        <f>IFERROR(VLOOKUP(trainee_data[[#This Row],[Program Specialty]],taxonomy_map[[Other Taxonomy]:[Our Taxonomy]],2,FALSE),"")</f>
        <v/>
      </c>
      <c r="F51" s="52" t="str">
        <f>IFERROR(VLOOKUP(trainee_data[[#This Row],[Specialty/Subspecialty]],condensed_specialty_crosswalk[#All],2,FALSE),"")</f>
        <v/>
      </c>
      <c r="G51" s="53" t="str">
        <f>IFERROR(VLOOKUP(trainee_data[[#This Row],[Specialty/Subspecialty]],condensed_specialty_crosswalk[#All],3,FALSE),"")</f>
        <v/>
      </c>
      <c r="H51" s="14"/>
      <c r="I51" s="14"/>
      <c r="J51" s="14"/>
      <c r="K51" s="14"/>
      <c r="L51" s="14"/>
      <c r="M51" s="14"/>
      <c r="N51" s="14"/>
      <c r="O51" s="14"/>
      <c r="P51" s="14"/>
      <c r="Q51" s="14"/>
      <c r="R51" s="14"/>
      <c r="S51" s="14"/>
      <c r="T51" s="14"/>
      <c r="U51" s="14"/>
      <c r="V51" s="14"/>
      <c r="W51" s="14"/>
      <c r="X51" s="14"/>
      <c r="Y51" s="14"/>
      <c r="Z51" s="14"/>
      <c r="AA51" s="14"/>
      <c r="AB51" s="14"/>
      <c r="AC51" s="14"/>
      <c r="AD51" s="14"/>
    </row>
    <row r="52" spans="5:30" ht="14.25" x14ac:dyDescent="0.45">
      <c r="E52" s="69" t="str">
        <f>IFERROR(VLOOKUP(trainee_data[[#This Row],[Program Specialty]],taxonomy_map[[Other Taxonomy]:[Our Taxonomy]],2,FALSE),"")</f>
        <v/>
      </c>
      <c r="F52" s="55" t="str">
        <f>IFERROR(VLOOKUP(trainee_data[[#This Row],[Specialty/Subspecialty]],condensed_specialty_crosswalk[#All],2,FALSE),"")</f>
        <v/>
      </c>
      <c r="G52" s="56" t="str">
        <f>IFERROR(VLOOKUP(trainee_data[[#This Row],[Specialty/Subspecialty]],condensed_specialty_crosswalk[#All],3,FALSE),"")</f>
        <v/>
      </c>
      <c r="H52" s="14"/>
      <c r="I52" s="14"/>
      <c r="J52" s="14"/>
      <c r="K52" s="14"/>
      <c r="L52" s="14"/>
      <c r="M52" s="14"/>
      <c r="N52" s="14"/>
      <c r="O52" s="14"/>
      <c r="P52" s="14"/>
      <c r="Q52" s="14"/>
      <c r="R52" s="14"/>
      <c r="S52" s="14"/>
      <c r="T52" s="14"/>
      <c r="U52" s="14"/>
      <c r="V52" s="14"/>
      <c r="W52" s="14"/>
      <c r="X52" s="14"/>
      <c r="Y52" s="14"/>
      <c r="Z52" s="14"/>
      <c r="AA52" s="14"/>
      <c r="AB52" s="14"/>
      <c r="AC52" s="14"/>
      <c r="AD52" s="14"/>
    </row>
    <row r="53" spans="5:30" ht="14.25" x14ac:dyDescent="0.45">
      <c r="E53" s="70" t="str">
        <f>IFERROR(VLOOKUP(trainee_data[[#This Row],[Program Specialty]],taxonomy_map[[Other Taxonomy]:[Our Taxonomy]],2,FALSE),"")</f>
        <v/>
      </c>
      <c r="F53" s="52" t="str">
        <f>IFERROR(VLOOKUP(trainee_data[[#This Row],[Specialty/Subspecialty]],condensed_specialty_crosswalk[#All],2,FALSE),"")</f>
        <v/>
      </c>
      <c r="G53" s="53" t="str">
        <f>IFERROR(VLOOKUP(trainee_data[[#This Row],[Specialty/Subspecialty]],condensed_specialty_crosswalk[#All],3,FALSE),"")</f>
        <v/>
      </c>
      <c r="H53" s="14"/>
      <c r="I53" s="14"/>
      <c r="J53" s="14"/>
      <c r="K53" s="14"/>
      <c r="L53" s="14"/>
      <c r="M53" s="14"/>
      <c r="N53" s="14"/>
      <c r="O53" s="14"/>
      <c r="P53" s="14"/>
      <c r="Q53" s="14"/>
      <c r="R53" s="14"/>
      <c r="S53" s="14"/>
      <c r="T53" s="14"/>
      <c r="U53" s="14"/>
      <c r="V53" s="14"/>
      <c r="W53" s="14"/>
      <c r="X53" s="14"/>
      <c r="Y53" s="14"/>
      <c r="Z53" s="14"/>
      <c r="AA53" s="14"/>
      <c r="AB53" s="14"/>
      <c r="AC53" s="14"/>
      <c r="AD53" s="14"/>
    </row>
    <row r="54" spans="5:30" ht="14.25" x14ac:dyDescent="0.45">
      <c r="E54" s="69" t="str">
        <f>IFERROR(VLOOKUP(trainee_data[[#This Row],[Program Specialty]],taxonomy_map[[Other Taxonomy]:[Our Taxonomy]],2,FALSE),"")</f>
        <v/>
      </c>
      <c r="F54" s="55" t="str">
        <f>IFERROR(VLOOKUP(trainee_data[[#This Row],[Specialty/Subspecialty]],condensed_specialty_crosswalk[#All],2,FALSE),"")</f>
        <v/>
      </c>
      <c r="G54" s="56" t="str">
        <f>IFERROR(VLOOKUP(trainee_data[[#This Row],[Specialty/Subspecialty]],condensed_specialty_crosswalk[#All],3,FALSE),"")</f>
        <v/>
      </c>
      <c r="H54" s="14"/>
      <c r="I54" s="14"/>
      <c r="J54" s="14"/>
      <c r="K54" s="14"/>
      <c r="L54" s="14"/>
      <c r="M54" s="14"/>
      <c r="N54" s="14"/>
      <c r="O54" s="14"/>
      <c r="P54" s="14"/>
      <c r="Q54" s="14"/>
      <c r="R54" s="14"/>
      <c r="S54" s="14"/>
      <c r="T54" s="14"/>
      <c r="U54" s="14"/>
      <c r="V54" s="14"/>
      <c r="W54" s="14"/>
      <c r="X54" s="14"/>
      <c r="Y54" s="14"/>
      <c r="Z54" s="14"/>
      <c r="AA54" s="14"/>
      <c r="AB54" s="14"/>
      <c r="AC54" s="14"/>
      <c r="AD54" s="14"/>
    </row>
    <row r="55" spans="5:30" ht="14.25" x14ac:dyDescent="0.45">
      <c r="E55" s="70" t="str">
        <f>IFERROR(VLOOKUP(trainee_data[[#This Row],[Program Specialty]],taxonomy_map[[Other Taxonomy]:[Our Taxonomy]],2,FALSE),"")</f>
        <v/>
      </c>
      <c r="F55" s="52" t="str">
        <f>IFERROR(VLOOKUP(trainee_data[[#This Row],[Specialty/Subspecialty]],condensed_specialty_crosswalk[#All],2,FALSE),"")</f>
        <v/>
      </c>
      <c r="G55" s="53" t="str">
        <f>IFERROR(VLOOKUP(trainee_data[[#This Row],[Specialty/Subspecialty]],condensed_specialty_crosswalk[#All],3,FALSE),"")</f>
        <v/>
      </c>
      <c r="H55" s="14"/>
      <c r="I55" s="14"/>
      <c r="J55" s="14"/>
      <c r="K55" s="14"/>
      <c r="L55" s="14"/>
      <c r="M55" s="14"/>
      <c r="N55" s="14"/>
      <c r="O55" s="14"/>
      <c r="P55" s="14"/>
      <c r="Q55" s="14"/>
      <c r="R55" s="14"/>
      <c r="S55" s="14"/>
      <c r="T55" s="14"/>
      <c r="U55" s="14"/>
      <c r="V55" s="14"/>
      <c r="W55" s="14"/>
      <c r="X55" s="14"/>
      <c r="Y55" s="14"/>
      <c r="Z55" s="14"/>
      <c r="AA55" s="14"/>
      <c r="AB55" s="14"/>
      <c r="AC55" s="14"/>
      <c r="AD55" s="14"/>
    </row>
    <row r="56" spans="5:30" ht="14.25" x14ac:dyDescent="0.45">
      <c r="E56" s="69" t="str">
        <f>IFERROR(VLOOKUP(trainee_data[[#This Row],[Program Specialty]],taxonomy_map[[Other Taxonomy]:[Our Taxonomy]],2,FALSE),"")</f>
        <v/>
      </c>
      <c r="F56" s="55" t="str">
        <f>IFERROR(VLOOKUP(trainee_data[[#This Row],[Specialty/Subspecialty]],condensed_specialty_crosswalk[#All],2,FALSE),"")</f>
        <v/>
      </c>
      <c r="G56" s="56" t="str">
        <f>IFERROR(VLOOKUP(trainee_data[[#This Row],[Specialty/Subspecialty]],condensed_specialty_crosswalk[#All],3,FALSE),"")</f>
        <v/>
      </c>
      <c r="H56" s="14"/>
      <c r="I56" s="14"/>
      <c r="J56" s="14"/>
      <c r="K56" s="14"/>
      <c r="L56" s="14"/>
      <c r="M56" s="14"/>
      <c r="N56" s="14"/>
      <c r="O56" s="14"/>
      <c r="P56" s="14"/>
      <c r="Q56" s="14"/>
      <c r="R56" s="14"/>
      <c r="S56" s="14"/>
      <c r="T56" s="14"/>
      <c r="U56" s="14"/>
      <c r="V56" s="14"/>
      <c r="W56" s="14"/>
      <c r="X56" s="14"/>
      <c r="Y56" s="14"/>
      <c r="Z56" s="14"/>
      <c r="AA56" s="14"/>
      <c r="AB56" s="14"/>
      <c r="AC56" s="14"/>
      <c r="AD56" s="14"/>
    </row>
    <row r="57" spans="5:30" ht="14.25" x14ac:dyDescent="0.45">
      <c r="E57" s="70" t="str">
        <f>IFERROR(VLOOKUP(trainee_data[[#This Row],[Program Specialty]],taxonomy_map[[Other Taxonomy]:[Our Taxonomy]],2,FALSE),"")</f>
        <v/>
      </c>
      <c r="F57" s="52" t="str">
        <f>IFERROR(VLOOKUP(trainee_data[[#This Row],[Specialty/Subspecialty]],condensed_specialty_crosswalk[#All],2,FALSE),"")</f>
        <v/>
      </c>
      <c r="G57" s="53" t="str">
        <f>IFERROR(VLOOKUP(trainee_data[[#This Row],[Specialty/Subspecialty]],condensed_specialty_crosswalk[#All],3,FALSE),"")</f>
        <v/>
      </c>
      <c r="H57" s="14"/>
      <c r="I57" s="14"/>
      <c r="J57" s="14"/>
      <c r="K57" s="14"/>
      <c r="L57" s="14"/>
      <c r="M57" s="14"/>
      <c r="N57" s="14"/>
      <c r="O57" s="14"/>
      <c r="P57" s="14"/>
      <c r="Q57" s="14"/>
      <c r="R57" s="14"/>
      <c r="S57" s="14"/>
      <c r="T57" s="14"/>
      <c r="U57" s="14"/>
      <c r="V57" s="14"/>
      <c r="W57" s="14"/>
      <c r="X57" s="14"/>
      <c r="Y57" s="14"/>
      <c r="Z57" s="14"/>
      <c r="AA57" s="14"/>
      <c r="AB57" s="14"/>
      <c r="AC57" s="14"/>
      <c r="AD57" s="14"/>
    </row>
    <row r="58" spans="5:30" ht="14.25" x14ac:dyDescent="0.45">
      <c r="E58" s="69" t="str">
        <f>IFERROR(VLOOKUP(trainee_data[[#This Row],[Program Specialty]],taxonomy_map[[Other Taxonomy]:[Our Taxonomy]],2,FALSE),"")</f>
        <v/>
      </c>
      <c r="F58" s="55" t="str">
        <f>IFERROR(VLOOKUP(trainee_data[[#This Row],[Specialty/Subspecialty]],condensed_specialty_crosswalk[#All],2,FALSE),"")</f>
        <v/>
      </c>
      <c r="G58" s="56" t="str">
        <f>IFERROR(VLOOKUP(trainee_data[[#This Row],[Specialty/Subspecialty]],condensed_specialty_crosswalk[#All],3,FALSE),"")</f>
        <v/>
      </c>
      <c r="H58" s="14"/>
      <c r="I58" s="14"/>
      <c r="J58" s="14"/>
      <c r="K58" s="14"/>
      <c r="L58" s="14"/>
      <c r="M58" s="14"/>
      <c r="N58" s="14"/>
      <c r="O58" s="14"/>
      <c r="P58" s="14"/>
      <c r="Q58" s="14"/>
      <c r="R58" s="14"/>
      <c r="S58" s="14"/>
      <c r="T58" s="14"/>
      <c r="U58" s="14"/>
      <c r="V58" s="14"/>
      <c r="W58" s="14"/>
      <c r="X58" s="14"/>
      <c r="Y58" s="14"/>
      <c r="Z58" s="14"/>
      <c r="AA58" s="14"/>
      <c r="AB58" s="14"/>
      <c r="AC58" s="14"/>
      <c r="AD58" s="14"/>
    </row>
    <row r="59" spans="5:30" ht="14.25" x14ac:dyDescent="0.45">
      <c r="E59" s="70" t="str">
        <f>IFERROR(VLOOKUP(trainee_data[[#This Row],[Program Specialty]],taxonomy_map[[Other Taxonomy]:[Our Taxonomy]],2,FALSE),"")</f>
        <v/>
      </c>
      <c r="F59" s="52" t="str">
        <f>IFERROR(VLOOKUP(trainee_data[[#This Row],[Specialty/Subspecialty]],condensed_specialty_crosswalk[#All],2,FALSE),"")</f>
        <v/>
      </c>
      <c r="G59" s="53" t="str">
        <f>IFERROR(VLOOKUP(trainee_data[[#This Row],[Specialty/Subspecialty]],condensed_specialty_crosswalk[#All],3,FALSE),"")</f>
        <v/>
      </c>
      <c r="H59" s="14"/>
      <c r="I59" s="14"/>
      <c r="J59" s="14"/>
      <c r="K59" s="14"/>
      <c r="L59" s="14"/>
      <c r="M59" s="14"/>
      <c r="N59" s="14"/>
      <c r="O59" s="14"/>
      <c r="P59" s="14"/>
      <c r="Q59" s="14"/>
      <c r="R59" s="14"/>
      <c r="S59" s="14"/>
      <c r="T59" s="14"/>
      <c r="U59" s="14"/>
      <c r="V59" s="14"/>
      <c r="W59" s="14"/>
      <c r="X59" s="14"/>
      <c r="Y59" s="14"/>
      <c r="Z59" s="14"/>
      <c r="AA59" s="14"/>
      <c r="AB59" s="14"/>
      <c r="AC59" s="14"/>
      <c r="AD59" s="14"/>
    </row>
    <row r="60" spans="5:30" ht="14.25" x14ac:dyDescent="0.45">
      <c r="E60" s="69" t="str">
        <f>IFERROR(VLOOKUP(trainee_data[[#This Row],[Program Specialty]],taxonomy_map[[Other Taxonomy]:[Our Taxonomy]],2,FALSE),"")</f>
        <v/>
      </c>
      <c r="F60" s="55" t="str">
        <f>IFERROR(VLOOKUP(trainee_data[[#This Row],[Specialty/Subspecialty]],condensed_specialty_crosswalk[#All],2,FALSE),"")</f>
        <v/>
      </c>
      <c r="G60" s="56" t="str">
        <f>IFERROR(VLOOKUP(trainee_data[[#This Row],[Specialty/Subspecialty]],condensed_specialty_crosswalk[#All],3,FALSE),"")</f>
        <v/>
      </c>
      <c r="H60" s="14"/>
      <c r="I60" s="14"/>
      <c r="J60" s="14"/>
      <c r="K60" s="14"/>
      <c r="L60" s="14"/>
      <c r="M60" s="14"/>
      <c r="N60" s="14"/>
      <c r="O60" s="14"/>
      <c r="P60" s="14"/>
      <c r="Q60" s="14"/>
      <c r="R60" s="14"/>
      <c r="S60" s="14"/>
      <c r="T60" s="14"/>
      <c r="U60" s="14"/>
      <c r="V60" s="14"/>
      <c r="W60" s="14"/>
      <c r="X60" s="14"/>
      <c r="Y60" s="14"/>
      <c r="Z60" s="14"/>
      <c r="AA60" s="14"/>
      <c r="AB60" s="14"/>
      <c r="AC60" s="14"/>
      <c r="AD60" s="14"/>
    </row>
    <row r="61" spans="5:30" ht="14.25" x14ac:dyDescent="0.45">
      <c r="E61" s="70" t="str">
        <f>IFERROR(VLOOKUP(trainee_data[[#This Row],[Program Specialty]],taxonomy_map[[Other Taxonomy]:[Our Taxonomy]],2,FALSE),"")</f>
        <v/>
      </c>
      <c r="F61" s="52" t="str">
        <f>IFERROR(VLOOKUP(trainee_data[[#This Row],[Specialty/Subspecialty]],condensed_specialty_crosswalk[#All],2,FALSE),"")</f>
        <v/>
      </c>
      <c r="G61" s="53" t="str">
        <f>IFERROR(VLOOKUP(trainee_data[[#This Row],[Specialty/Subspecialty]],condensed_specialty_crosswalk[#All],3,FALSE),"")</f>
        <v/>
      </c>
      <c r="H61" s="14"/>
      <c r="I61" s="14"/>
      <c r="J61" s="14"/>
      <c r="K61" s="14"/>
      <c r="L61" s="14"/>
      <c r="M61" s="14"/>
      <c r="N61" s="14"/>
      <c r="O61" s="14"/>
      <c r="P61" s="14"/>
      <c r="Q61" s="14"/>
      <c r="R61" s="14"/>
      <c r="S61" s="14"/>
      <c r="T61" s="14"/>
      <c r="U61" s="14"/>
      <c r="V61" s="14"/>
      <c r="W61" s="14"/>
      <c r="X61" s="14"/>
      <c r="Y61" s="14"/>
      <c r="Z61" s="14"/>
      <c r="AA61" s="14"/>
      <c r="AB61" s="14"/>
      <c r="AC61" s="14"/>
      <c r="AD61" s="14"/>
    </row>
    <row r="62" spans="5:30" ht="14.25" x14ac:dyDescent="0.45">
      <c r="E62" s="69" t="str">
        <f>IFERROR(VLOOKUP(trainee_data[[#This Row],[Program Specialty]],taxonomy_map[[Other Taxonomy]:[Our Taxonomy]],2,FALSE),"")</f>
        <v/>
      </c>
      <c r="F62" s="55" t="str">
        <f>IFERROR(VLOOKUP(trainee_data[[#This Row],[Specialty/Subspecialty]],condensed_specialty_crosswalk[#All],2,FALSE),"")</f>
        <v/>
      </c>
      <c r="G62" s="56" t="str">
        <f>IFERROR(VLOOKUP(trainee_data[[#This Row],[Specialty/Subspecialty]],condensed_specialty_crosswalk[#All],3,FALSE),"")</f>
        <v/>
      </c>
      <c r="H62" s="14"/>
      <c r="I62" s="14"/>
      <c r="J62" s="14"/>
      <c r="K62" s="14"/>
      <c r="L62" s="14"/>
      <c r="M62" s="14"/>
      <c r="N62" s="14"/>
      <c r="O62" s="14"/>
      <c r="P62" s="14"/>
      <c r="Q62" s="14"/>
      <c r="R62" s="14"/>
      <c r="S62" s="14"/>
      <c r="T62" s="14"/>
      <c r="U62" s="14"/>
      <c r="V62" s="14"/>
      <c r="W62" s="14"/>
      <c r="X62" s="14"/>
      <c r="Y62" s="14"/>
      <c r="Z62" s="14"/>
      <c r="AA62" s="14"/>
      <c r="AB62" s="14"/>
      <c r="AC62" s="14"/>
      <c r="AD62" s="14"/>
    </row>
    <row r="63" spans="5:30" ht="14.25" x14ac:dyDescent="0.45">
      <c r="E63" s="70" t="str">
        <f>IFERROR(VLOOKUP(trainee_data[[#This Row],[Program Specialty]],taxonomy_map[[Other Taxonomy]:[Our Taxonomy]],2,FALSE),"")</f>
        <v/>
      </c>
      <c r="F63" s="52" t="str">
        <f>IFERROR(VLOOKUP(trainee_data[[#This Row],[Specialty/Subspecialty]],condensed_specialty_crosswalk[#All],2,FALSE),"")</f>
        <v/>
      </c>
      <c r="G63" s="53" t="str">
        <f>IFERROR(VLOOKUP(trainee_data[[#This Row],[Specialty/Subspecialty]],condensed_specialty_crosswalk[#All],3,FALSE),"")</f>
        <v/>
      </c>
      <c r="H63" s="14"/>
      <c r="I63" s="14"/>
      <c r="J63" s="14"/>
      <c r="K63" s="14"/>
      <c r="L63" s="14"/>
      <c r="M63" s="14"/>
      <c r="N63" s="14"/>
      <c r="O63" s="14"/>
      <c r="P63" s="14"/>
      <c r="Q63" s="14"/>
      <c r="R63" s="14"/>
      <c r="S63" s="14"/>
      <c r="T63" s="14"/>
      <c r="U63" s="14"/>
      <c r="V63" s="14"/>
      <c r="W63" s="14"/>
      <c r="X63" s="14"/>
      <c r="Y63" s="14"/>
      <c r="Z63" s="14"/>
      <c r="AA63" s="14"/>
      <c r="AB63" s="14"/>
      <c r="AC63" s="14"/>
      <c r="AD63" s="14"/>
    </row>
    <row r="64" spans="5:30" ht="14.25" x14ac:dyDescent="0.45">
      <c r="E64" s="69" t="str">
        <f>IFERROR(VLOOKUP(trainee_data[[#This Row],[Program Specialty]],taxonomy_map[[Other Taxonomy]:[Our Taxonomy]],2,FALSE),"")</f>
        <v/>
      </c>
      <c r="F64" s="55" t="str">
        <f>IFERROR(VLOOKUP(trainee_data[[#This Row],[Specialty/Subspecialty]],condensed_specialty_crosswalk[#All],2,FALSE),"")</f>
        <v/>
      </c>
      <c r="G64" s="56" t="str">
        <f>IFERROR(VLOOKUP(trainee_data[[#This Row],[Specialty/Subspecialty]],condensed_specialty_crosswalk[#All],3,FALSE),"")</f>
        <v/>
      </c>
      <c r="H64" s="14"/>
      <c r="I64" s="14"/>
      <c r="J64" s="14"/>
      <c r="K64" s="14"/>
      <c r="L64" s="14"/>
      <c r="M64" s="14"/>
      <c r="N64" s="14"/>
      <c r="O64" s="14"/>
      <c r="P64" s="14"/>
      <c r="Q64" s="14"/>
      <c r="R64" s="14"/>
      <c r="S64" s="14"/>
      <c r="T64" s="14"/>
      <c r="U64" s="14"/>
      <c r="V64" s="14"/>
      <c r="W64" s="14"/>
      <c r="X64" s="14"/>
      <c r="Y64" s="14"/>
      <c r="Z64" s="14"/>
      <c r="AA64" s="14"/>
      <c r="AB64" s="14"/>
      <c r="AC64" s="14"/>
      <c r="AD64" s="14"/>
    </row>
    <row r="65" spans="5:30" ht="14.25" x14ac:dyDescent="0.45">
      <c r="E65" s="70" t="str">
        <f>IFERROR(VLOOKUP(trainee_data[[#This Row],[Program Specialty]],taxonomy_map[[Other Taxonomy]:[Our Taxonomy]],2,FALSE),"")</f>
        <v/>
      </c>
      <c r="F65" s="52" t="str">
        <f>IFERROR(VLOOKUP(trainee_data[[#This Row],[Specialty/Subspecialty]],condensed_specialty_crosswalk[#All],2,FALSE),"")</f>
        <v/>
      </c>
      <c r="G65" s="53" t="str">
        <f>IFERROR(VLOOKUP(trainee_data[[#This Row],[Specialty/Subspecialty]],condensed_specialty_crosswalk[#All],3,FALSE),"")</f>
        <v/>
      </c>
      <c r="H65" s="14"/>
      <c r="I65" s="14"/>
      <c r="J65" s="14"/>
      <c r="K65" s="14"/>
      <c r="L65" s="14"/>
      <c r="M65" s="14"/>
      <c r="N65" s="14"/>
      <c r="O65" s="14"/>
      <c r="P65" s="14"/>
      <c r="Q65" s="14"/>
      <c r="R65" s="14"/>
      <c r="S65" s="14"/>
      <c r="T65" s="14"/>
      <c r="U65" s="14"/>
      <c r="V65" s="14"/>
      <c r="W65" s="14"/>
      <c r="X65" s="14"/>
      <c r="Y65" s="14"/>
      <c r="Z65" s="14"/>
      <c r="AA65" s="14"/>
      <c r="AB65" s="14"/>
      <c r="AC65" s="14"/>
      <c r="AD65" s="14"/>
    </row>
    <row r="66" spans="5:30" ht="14.25" x14ac:dyDescent="0.45">
      <c r="E66" s="69" t="str">
        <f>IFERROR(VLOOKUP(trainee_data[[#This Row],[Program Specialty]],taxonomy_map[[Other Taxonomy]:[Our Taxonomy]],2,FALSE),"")</f>
        <v/>
      </c>
      <c r="F66" s="55" t="str">
        <f>IFERROR(VLOOKUP(trainee_data[[#This Row],[Specialty/Subspecialty]],condensed_specialty_crosswalk[#All],2,FALSE),"")</f>
        <v/>
      </c>
      <c r="G66" s="56" t="str">
        <f>IFERROR(VLOOKUP(trainee_data[[#This Row],[Specialty/Subspecialty]],condensed_specialty_crosswalk[#All],3,FALSE),"")</f>
        <v/>
      </c>
      <c r="H66" s="14"/>
      <c r="I66" s="14"/>
      <c r="J66" s="14"/>
      <c r="K66" s="14"/>
      <c r="L66" s="14"/>
      <c r="M66" s="14"/>
      <c r="N66" s="14"/>
      <c r="O66" s="14"/>
      <c r="P66" s="14"/>
      <c r="Q66" s="14"/>
      <c r="R66" s="14"/>
      <c r="S66" s="14"/>
      <c r="T66" s="14"/>
      <c r="U66" s="14"/>
      <c r="V66" s="14"/>
      <c r="W66" s="14"/>
      <c r="X66" s="14"/>
      <c r="Y66" s="14"/>
      <c r="Z66" s="14"/>
      <c r="AA66" s="14"/>
      <c r="AB66" s="14"/>
      <c r="AC66" s="14"/>
      <c r="AD66" s="14"/>
    </row>
    <row r="67" spans="5:30" ht="14.25" x14ac:dyDescent="0.45">
      <c r="E67" s="70" t="str">
        <f>IFERROR(VLOOKUP(trainee_data[[#This Row],[Program Specialty]],taxonomy_map[[Other Taxonomy]:[Our Taxonomy]],2,FALSE),"")</f>
        <v/>
      </c>
      <c r="F67" s="52" t="str">
        <f>IFERROR(VLOOKUP(trainee_data[[#This Row],[Specialty/Subspecialty]],condensed_specialty_crosswalk[#All],2,FALSE),"")</f>
        <v/>
      </c>
      <c r="G67" s="53" t="str">
        <f>IFERROR(VLOOKUP(trainee_data[[#This Row],[Specialty/Subspecialty]],condensed_specialty_crosswalk[#All],3,FALSE),"")</f>
        <v/>
      </c>
      <c r="H67" s="14"/>
      <c r="I67" s="14"/>
      <c r="J67" s="14"/>
      <c r="K67" s="14"/>
      <c r="L67" s="14"/>
      <c r="M67" s="14"/>
      <c r="N67" s="14"/>
      <c r="O67" s="14"/>
      <c r="P67" s="14"/>
      <c r="Q67" s="14"/>
      <c r="R67" s="14"/>
      <c r="S67" s="14"/>
      <c r="T67" s="14"/>
      <c r="U67" s="14"/>
      <c r="V67" s="14"/>
      <c r="W67" s="14"/>
      <c r="X67" s="14"/>
      <c r="Y67" s="14"/>
      <c r="Z67" s="14"/>
      <c r="AA67" s="14"/>
      <c r="AB67" s="14"/>
      <c r="AC67" s="14"/>
      <c r="AD67" s="14"/>
    </row>
    <row r="68" spans="5:30" ht="14.25" x14ac:dyDescent="0.45">
      <c r="E68" s="69" t="str">
        <f>IFERROR(VLOOKUP(trainee_data[[#This Row],[Program Specialty]],taxonomy_map[[Other Taxonomy]:[Our Taxonomy]],2,FALSE),"")</f>
        <v/>
      </c>
      <c r="F68" s="55" t="str">
        <f>IFERROR(VLOOKUP(trainee_data[[#This Row],[Specialty/Subspecialty]],condensed_specialty_crosswalk[#All],2,FALSE),"")</f>
        <v/>
      </c>
      <c r="G68" s="56" t="str">
        <f>IFERROR(VLOOKUP(trainee_data[[#This Row],[Specialty/Subspecialty]],condensed_specialty_crosswalk[#All],3,FALSE),"")</f>
        <v/>
      </c>
      <c r="H68" s="14"/>
      <c r="I68" s="14"/>
      <c r="J68" s="14"/>
      <c r="K68" s="14"/>
      <c r="L68" s="14"/>
      <c r="M68" s="14"/>
      <c r="N68" s="14"/>
      <c r="O68" s="14"/>
      <c r="P68" s="14"/>
      <c r="Q68" s="14"/>
      <c r="R68" s="14"/>
      <c r="S68" s="14"/>
      <c r="T68" s="14"/>
      <c r="U68" s="14"/>
      <c r="V68" s="14"/>
      <c r="W68" s="14"/>
      <c r="X68" s="14"/>
      <c r="Y68" s="14"/>
      <c r="Z68" s="14"/>
      <c r="AA68" s="14"/>
      <c r="AB68" s="14"/>
      <c r="AC68" s="14"/>
      <c r="AD68" s="14"/>
    </row>
    <row r="69" spans="5:30" ht="14.25" x14ac:dyDescent="0.45">
      <c r="E69" s="70" t="str">
        <f>IFERROR(VLOOKUP(trainee_data[[#This Row],[Program Specialty]],taxonomy_map[[Other Taxonomy]:[Our Taxonomy]],2,FALSE),"")</f>
        <v/>
      </c>
      <c r="F69" s="52" t="str">
        <f>IFERROR(VLOOKUP(trainee_data[[#This Row],[Specialty/Subspecialty]],condensed_specialty_crosswalk[#All],2,FALSE),"")</f>
        <v/>
      </c>
      <c r="G69" s="53" t="str">
        <f>IFERROR(VLOOKUP(trainee_data[[#This Row],[Specialty/Subspecialty]],condensed_specialty_crosswalk[#All],3,FALSE),"")</f>
        <v/>
      </c>
      <c r="H69" s="14"/>
      <c r="I69" s="14"/>
      <c r="J69" s="14"/>
      <c r="K69" s="14"/>
      <c r="L69" s="14"/>
      <c r="M69" s="14"/>
      <c r="N69" s="14"/>
      <c r="O69" s="14"/>
      <c r="P69" s="14"/>
      <c r="Q69" s="14"/>
      <c r="R69" s="14"/>
      <c r="S69" s="14"/>
      <c r="T69" s="14"/>
      <c r="U69" s="14"/>
      <c r="V69" s="14"/>
      <c r="W69" s="14"/>
      <c r="X69" s="14"/>
      <c r="Y69" s="14"/>
      <c r="Z69" s="14"/>
      <c r="AA69" s="14"/>
      <c r="AB69" s="14"/>
      <c r="AC69" s="14"/>
      <c r="AD69" s="14"/>
    </row>
    <row r="70" spans="5:30" ht="14.25" x14ac:dyDescent="0.45">
      <c r="E70" s="69" t="str">
        <f>IFERROR(VLOOKUP(trainee_data[[#This Row],[Program Specialty]],taxonomy_map[[Other Taxonomy]:[Our Taxonomy]],2,FALSE),"")</f>
        <v/>
      </c>
      <c r="F70" s="55" t="str">
        <f>IFERROR(VLOOKUP(trainee_data[[#This Row],[Specialty/Subspecialty]],condensed_specialty_crosswalk[#All],2,FALSE),"")</f>
        <v/>
      </c>
      <c r="G70" s="56" t="str">
        <f>IFERROR(VLOOKUP(trainee_data[[#This Row],[Specialty/Subspecialty]],condensed_specialty_crosswalk[#All],3,FALSE),"")</f>
        <v/>
      </c>
      <c r="H70" s="14"/>
      <c r="I70" s="14"/>
      <c r="J70" s="14"/>
      <c r="K70" s="14"/>
      <c r="L70" s="14"/>
      <c r="M70" s="14"/>
      <c r="N70" s="14"/>
      <c r="O70" s="14"/>
      <c r="P70" s="14"/>
      <c r="Q70" s="14"/>
      <c r="R70" s="14"/>
      <c r="S70" s="14"/>
      <c r="T70" s="14"/>
      <c r="U70" s="14"/>
      <c r="V70" s="14"/>
      <c r="W70" s="14"/>
      <c r="X70" s="14"/>
      <c r="Y70" s="14"/>
      <c r="Z70" s="14"/>
      <c r="AA70" s="14"/>
      <c r="AB70" s="14"/>
      <c r="AC70" s="14"/>
      <c r="AD70" s="14"/>
    </row>
    <row r="71" spans="5:30" ht="14.25" x14ac:dyDescent="0.45">
      <c r="E71" s="70" t="str">
        <f>IFERROR(VLOOKUP(trainee_data[[#This Row],[Program Specialty]],taxonomy_map[[Other Taxonomy]:[Our Taxonomy]],2,FALSE),"")</f>
        <v/>
      </c>
      <c r="F71" s="52" t="str">
        <f>IFERROR(VLOOKUP(trainee_data[[#This Row],[Specialty/Subspecialty]],condensed_specialty_crosswalk[#All],2,FALSE),"")</f>
        <v/>
      </c>
      <c r="G71" s="53" t="str">
        <f>IFERROR(VLOOKUP(trainee_data[[#This Row],[Specialty/Subspecialty]],condensed_specialty_crosswalk[#All],3,FALSE),"")</f>
        <v/>
      </c>
      <c r="H71" s="14"/>
      <c r="I71" s="14"/>
      <c r="J71" s="14"/>
      <c r="K71" s="14"/>
      <c r="L71" s="14"/>
      <c r="M71" s="14"/>
      <c r="N71" s="14"/>
      <c r="O71" s="14"/>
      <c r="P71" s="14"/>
      <c r="Q71" s="14"/>
      <c r="R71" s="14"/>
      <c r="S71" s="14"/>
      <c r="T71" s="14"/>
      <c r="U71" s="14"/>
      <c r="V71" s="14"/>
      <c r="W71" s="14"/>
      <c r="X71" s="14"/>
      <c r="Y71" s="14"/>
      <c r="Z71" s="14"/>
      <c r="AA71" s="14"/>
      <c r="AB71" s="14"/>
      <c r="AC71" s="14"/>
      <c r="AD71" s="14"/>
    </row>
    <row r="72" spans="5:30" ht="14.25" x14ac:dyDescent="0.45">
      <c r="E72" s="69" t="str">
        <f>IFERROR(VLOOKUP(trainee_data[[#This Row],[Program Specialty]],taxonomy_map[[Other Taxonomy]:[Our Taxonomy]],2,FALSE),"")</f>
        <v/>
      </c>
      <c r="F72" s="55" t="str">
        <f>IFERROR(VLOOKUP(trainee_data[[#This Row],[Specialty/Subspecialty]],condensed_specialty_crosswalk[#All],2,FALSE),"")</f>
        <v/>
      </c>
      <c r="G72" s="56" t="str">
        <f>IFERROR(VLOOKUP(trainee_data[[#This Row],[Specialty/Subspecialty]],condensed_specialty_crosswalk[#All],3,FALSE),"")</f>
        <v/>
      </c>
      <c r="H72" s="14"/>
      <c r="I72" s="14"/>
      <c r="J72" s="14"/>
      <c r="K72" s="14"/>
      <c r="L72" s="14"/>
      <c r="M72" s="14"/>
      <c r="N72" s="14"/>
      <c r="O72" s="14"/>
      <c r="P72" s="14"/>
      <c r="Q72" s="14"/>
      <c r="R72" s="14"/>
      <c r="S72" s="14"/>
      <c r="T72" s="14"/>
      <c r="U72" s="14"/>
      <c r="V72" s="14"/>
      <c r="W72" s="14"/>
      <c r="X72" s="14"/>
      <c r="Y72" s="14"/>
      <c r="Z72" s="14"/>
      <c r="AA72" s="14"/>
      <c r="AB72" s="14"/>
      <c r="AC72" s="14"/>
      <c r="AD72" s="14"/>
    </row>
    <row r="73" spans="5:30" ht="14.25" x14ac:dyDescent="0.45">
      <c r="E73" s="70" t="str">
        <f>IFERROR(VLOOKUP(trainee_data[[#This Row],[Program Specialty]],taxonomy_map[[Other Taxonomy]:[Our Taxonomy]],2,FALSE),"")</f>
        <v/>
      </c>
      <c r="F73" s="52" t="str">
        <f>IFERROR(VLOOKUP(trainee_data[[#This Row],[Specialty/Subspecialty]],condensed_specialty_crosswalk[#All],2,FALSE),"")</f>
        <v/>
      </c>
      <c r="G73" s="53" t="str">
        <f>IFERROR(VLOOKUP(trainee_data[[#This Row],[Specialty/Subspecialty]],condensed_specialty_crosswalk[#All],3,FALSE),"")</f>
        <v/>
      </c>
      <c r="H73" s="14"/>
      <c r="I73" s="14"/>
      <c r="J73" s="14"/>
      <c r="K73" s="14"/>
      <c r="L73" s="14"/>
      <c r="M73" s="14"/>
      <c r="N73" s="14"/>
      <c r="O73" s="14"/>
      <c r="P73" s="14"/>
      <c r="Q73" s="14"/>
      <c r="R73" s="14"/>
      <c r="S73" s="14"/>
      <c r="T73" s="14"/>
      <c r="U73" s="14"/>
      <c r="V73" s="14"/>
      <c r="W73" s="14"/>
      <c r="X73" s="14"/>
      <c r="Y73" s="14"/>
      <c r="Z73" s="14"/>
      <c r="AA73" s="14"/>
      <c r="AB73" s="14"/>
      <c r="AC73" s="14"/>
      <c r="AD73" s="14"/>
    </row>
    <row r="74" spans="5:30" ht="14.25" x14ac:dyDescent="0.45">
      <c r="E74" s="69" t="str">
        <f>IFERROR(VLOOKUP(trainee_data[[#This Row],[Program Specialty]],taxonomy_map[[Other Taxonomy]:[Our Taxonomy]],2,FALSE),"")</f>
        <v/>
      </c>
      <c r="F74" s="55" t="str">
        <f>IFERROR(VLOOKUP(trainee_data[[#This Row],[Specialty/Subspecialty]],condensed_specialty_crosswalk[#All],2,FALSE),"")</f>
        <v/>
      </c>
      <c r="G74" s="56" t="str">
        <f>IFERROR(VLOOKUP(trainee_data[[#This Row],[Specialty/Subspecialty]],condensed_specialty_crosswalk[#All],3,FALSE),"")</f>
        <v/>
      </c>
      <c r="H74" s="14"/>
      <c r="I74" s="14"/>
      <c r="J74" s="14"/>
      <c r="K74" s="14"/>
      <c r="L74" s="14"/>
      <c r="M74" s="14"/>
      <c r="N74" s="14"/>
      <c r="O74" s="14"/>
      <c r="P74" s="14"/>
      <c r="Q74" s="14"/>
      <c r="R74" s="14"/>
      <c r="S74" s="14"/>
      <c r="T74" s="14"/>
      <c r="U74" s="14"/>
      <c r="V74" s="14"/>
      <c r="W74" s="14"/>
      <c r="X74" s="14"/>
      <c r="Y74" s="14"/>
      <c r="Z74" s="14"/>
      <c r="AA74" s="14"/>
      <c r="AB74" s="14"/>
      <c r="AC74" s="14"/>
      <c r="AD74" s="14"/>
    </row>
    <row r="75" spans="5:30" ht="14.25" x14ac:dyDescent="0.45">
      <c r="E75" s="70" t="str">
        <f>IFERROR(VLOOKUP(trainee_data[[#This Row],[Program Specialty]],taxonomy_map[[Other Taxonomy]:[Our Taxonomy]],2,FALSE),"")</f>
        <v/>
      </c>
      <c r="F75" s="52" t="str">
        <f>IFERROR(VLOOKUP(trainee_data[[#This Row],[Specialty/Subspecialty]],condensed_specialty_crosswalk[#All],2,FALSE),"")</f>
        <v/>
      </c>
      <c r="G75" s="53" t="str">
        <f>IFERROR(VLOOKUP(trainee_data[[#This Row],[Specialty/Subspecialty]],condensed_specialty_crosswalk[#All],3,FALSE),"")</f>
        <v/>
      </c>
      <c r="H75" s="14"/>
      <c r="I75" s="14"/>
      <c r="J75" s="14"/>
      <c r="K75" s="14"/>
      <c r="L75" s="14"/>
      <c r="M75" s="14"/>
      <c r="N75" s="14"/>
      <c r="O75" s="14"/>
      <c r="P75" s="14"/>
      <c r="Q75" s="14"/>
      <c r="R75" s="14"/>
      <c r="S75" s="14"/>
      <c r="T75" s="14"/>
      <c r="U75" s="14"/>
      <c r="V75" s="14"/>
      <c r="W75" s="14"/>
      <c r="X75" s="14"/>
      <c r="Y75" s="14"/>
      <c r="Z75" s="14"/>
      <c r="AA75" s="14"/>
      <c r="AB75" s="14"/>
      <c r="AC75" s="14"/>
      <c r="AD75" s="14"/>
    </row>
    <row r="76" spans="5:30" ht="14.25" x14ac:dyDescent="0.45">
      <c r="E76" s="69" t="str">
        <f>IFERROR(VLOOKUP(trainee_data[[#This Row],[Program Specialty]],taxonomy_map[[Other Taxonomy]:[Our Taxonomy]],2,FALSE),"")</f>
        <v/>
      </c>
      <c r="F76" s="55" t="str">
        <f>IFERROR(VLOOKUP(trainee_data[[#This Row],[Specialty/Subspecialty]],condensed_specialty_crosswalk[#All],2,FALSE),"")</f>
        <v/>
      </c>
      <c r="G76" s="56" t="str">
        <f>IFERROR(VLOOKUP(trainee_data[[#This Row],[Specialty/Subspecialty]],condensed_specialty_crosswalk[#All],3,FALSE),"")</f>
        <v/>
      </c>
      <c r="H76" s="14"/>
      <c r="I76" s="14"/>
      <c r="J76" s="14"/>
      <c r="K76" s="14"/>
      <c r="L76" s="14"/>
      <c r="M76" s="14"/>
      <c r="N76" s="14"/>
      <c r="O76" s="14"/>
      <c r="P76" s="14"/>
      <c r="Q76" s="14"/>
      <c r="R76" s="14"/>
      <c r="S76" s="14"/>
      <c r="T76" s="14"/>
      <c r="U76" s="14"/>
      <c r="V76" s="14"/>
      <c r="W76" s="14"/>
      <c r="X76" s="14"/>
      <c r="Y76" s="14"/>
      <c r="Z76" s="14"/>
      <c r="AA76" s="14"/>
      <c r="AB76" s="14"/>
      <c r="AC76" s="14"/>
      <c r="AD76" s="14"/>
    </row>
    <row r="77" spans="5:30" ht="14.25" x14ac:dyDescent="0.45">
      <c r="E77" s="70" t="str">
        <f>IFERROR(VLOOKUP(trainee_data[[#This Row],[Program Specialty]],taxonomy_map[[Other Taxonomy]:[Our Taxonomy]],2,FALSE),"")</f>
        <v/>
      </c>
      <c r="F77" s="52" t="str">
        <f>IFERROR(VLOOKUP(trainee_data[[#This Row],[Specialty/Subspecialty]],condensed_specialty_crosswalk[#All],2,FALSE),"")</f>
        <v/>
      </c>
      <c r="G77" s="53" t="str">
        <f>IFERROR(VLOOKUP(trainee_data[[#This Row],[Specialty/Subspecialty]],condensed_specialty_crosswalk[#All],3,FALSE),"")</f>
        <v/>
      </c>
      <c r="H77" s="14"/>
      <c r="I77" s="14"/>
      <c r="J77" s="14"/>
      <c r="K77" s="14"/>
      <c r="L77" s="14"/>
      <c r="M77" s="14"/>
      <c r="N77" s="14"/>
      <c r="O77" s="14"/>
      <c r="P77" s="14"/>
      <c r="Q77" s="14"/>
      <c r="R77" s="14"/>
      <c r="S77" s="14"/>
      <c r="T77" s="14"/>
      <c r="U77" s="14"/>
      <c r="V77" s="14"/>
      <c r="W77" s="14"/>
      <c r="X77" s="14"/>
      <c r="Y77" s="14"/>
      <c r="Z77" s="14"/>
      <c r="AA77" s="14"/>
      <c r="AB77" s="14"/>
      <c r="AC77" s="14"/>
      <c r="AD77" s="14"/>
    </row>
    <row r="78" spans="5:30" ht="14.25" x14ac:dyDescent="0.45">
      <c r="E78" s="69" t="str">
        <f>IFERROR(VLOOKUP(trainee_data[[#This Row],[Program Specialty]],taxonomy_map[[Other Taxonomy]:[Our Taxonomy]],2,FALSE),"")</f>
        <v/>
      </c>
      <c r="F78" s="55" t="str">
        <f>IFERROR(VLOOKUP(trainee_data[[#This Row],[Specialty/Subspecialty]],condensed_specialty_crosswalk[#All],2,FALSE),"")</f>
        <v/>
      </c>
      <c r="G78" s="56" t="str">
        <f>IFERROR(VLOOKUP(trainee_data[[#This Row],[Specialty/Subspecialty]],condensed_specialty_crosswalk[#All],3,FALSE),"")</f>
        <v/>
      </c>
      <c r="H78" s="14"/>
      <c r="I78" s="14"/>
      <c r="J78" s="14"/>
      <c r="K78" s="14"/>
      <c r="L78" s="14"/>
      <c r="M78" s="14"/>
      <c r="N78" s="14"/>
      <c r="O78" s="14"/>
      <c r="P78" s="14"/>
      <c r="Q78" s="14"/>
      <c r="R78" s="14"/>
      <c r="S78" s="14"/>
      <c r="T78" s="14"/>
      <c r="U78" s="14"/>
      <c r="V78" s="14"/>
      <c r="W78" s="14"/>
      <c r="X78" s="14"/>
      <c r="Y78" s="14"/>
      <c r="Z78" s="14"/>
      <c r="AA78" s="14"/>
      <c r="AB78" s="14"/>
      <c r="AC78" s="14"/>
      <c r="AD78" s="14"/>
    </row>
    <row r="79" spans="5:30" ht="14.25" x14ac:dyDescent="0.45">
      <c r="E79" s="70" t="str">
        <f>IFERROR(VLOOKUP(trainee_data[[#This Row],[Program Specialty]],taxonomy_map[[Other Taxonomy]:[Our Taxonomy]],2,FALSE),"")</f>
        <v/>
      </c>
      <c r="F79" s="52" t="str">
        <f>IFERROR(VLOOKUP(trainee_data[[#This Row],[Specialty/Subspecialty]],condensed_specialty_crosswalk[#All],2,FALSE),"")</f>
        <v/>
      </c>
      <c r="G79" s="53" t="str">
        <f>IFERROR(VLOOKUP(trainee_data[[#This Row],[Specialty/Subspecialty]],condensed_specialty_crosswalk[#All],3,FALSE),"")</f>
        <v/>
      </c>
      <c r="H79" s="14"/>
      <c r="I79" s="14"/>
      <c r="J79" s="14"/>
      <c r="K79" s="14"/>
      <c r="L79" s="14"/>
      <c r="M79" s="14"/>
      <c r="N79" s="14"/>
      <c r="O79" s="14"/>
      <c r="P79" s="14"/>
      <c r="Q79" s="14"/>
      <c r="R79" s="14"/>
      <c r="S79" s="14"/>
      <c r="T79" s="14"/>
      <c r="U79" s="14"/>
      <c r="V79" s="14"/>
      <c r="W79" s="14"/>
      <c r="X79" s="14"/>
      <c r="Y79" s="14"/>
      <c r="Z79" s="14"/>
      <c r="AA79" s="14"/>
      <c r="AB79" s="14"/>
      <c r="AC79" s="14"/>
      <c r="AD79" s="14"/>
    </row>
    <row r="80" spans="5:30" ht="14.25" x14ac:dyDescent="0.45">
      <c r="E80" s="69" t="str">
        <f>IFERROR(VLOOKUP(trainee_data[[#This Row],[Program Specialty]],taxonomy_map[[Other Taxonomy]:[Our Taxonomy]],2,FALSE),"")</f>
        <v/>
      </c>
      <c r="F80" s="55" t="str">
        <f>IFERROR(VLOOKUP(trainee_data[[#This Row],[Specialty/Subspecialty]],condensed_specialty_crosswalk[#All],2,FALSE),"")</f>
        <v/>
      </c>
      <c r="G80" s="56" t="str">
        <f>IFERROR(VLOOKUP(trainee_data[[#This Row],[Specialty/Subspecialty]],condensed_specialty_crosswalk[#All],3,FALSE),"")</f>
        <v/>
      </c>
      <c r="H80" s="14"/>
      <c r="I80" s="14"/>
      <c r="J80" s="14"/>
      <c r="K80" s="14"/>
      <c r="L80" s="14"/>
      <c r="M80" s="14"/>
      <c r="N80" s="14"/>
      <c r="O80" s="14"/>
      <c r="P80" s="14"/>
      <c r="Q80" s="14"/>
      <c r="R80" s="14"/>
      <c r="S80" s="14"/>
      <c r="T80" s="14"/>
      <c r="U80" s="14"/>
      <c r="V80" s="14"/>
      <c r="W80" s="14"/>
      <c r="X80" s="14"/>
      <c r="Y80" s="14"/>
      <c r="Z80" s="14"/>
      <c r="AA80" s="14"/>
      <c r="AB80" s="14"/>
      <c r="AC80" s="14"/>
      <c r="AD80" s="14"/>
    </row>
    <row r="81" spans="5:30" ht="14.25" x14ac:dyDescent="0.45">
      <c r="E81" s="70" t="str">
        <f>IFERROR(VLOOKUP(trainee_data[[#This Row],[Program Specialty]],taxonomy_map[[Other Taxonomy]:[Our Taxonomy]],2,FALSE),"")</f>
        <v/>
      </c>
      <c r="F81" s="52" t="str">
        <f>IFERROR(VLOOKUP(trainee_data[[#This Row],[Specialty/Subspecialty]],condensed_specialty_crosswalk[#All],2,FALSE),"")</f>
        <v/>
      </c>
      <c r="G81" s="53" t="str">
        <f>IFERROR(VLOOKUP(trainee_data[[#This Row],[Specialty/Subspecialty]],condensed_specialty_crosswalk[#All],3,FALSE),"")</f>
        <v/>
      </c>
      <c r="H81" s="14"/>
      <c r="I81" s="14"/>
      <c r="J81" s="14"/>
      <c r="K81" s="14"/>
      <c r="L81" s="14"/>
      <c r="M81" s="14"/>
      <c r="N81" s="14"/>
      <c r="O81" s="14"/>
      <c r="P81" s="14"/>
      <c r="Q81" s="14"/>
      <c r="R81" s="14"/>
      <c r="S81" s="14"/>
      <c r="T81" s="14"/>
      <c r="U81" s="14"/>
      <c r="V81" s="14"/>
      <c r="W81" s="14"/>
      <c r="X81" s="14"/>
      <c r="Y81" s="14"/>
      <c r="Z81" s="14"/>
      <c r="AA81" s="14"/>
      <c r="AB81" s="14"/>
      <c r="AC81" s="14"/>
      <c r="AD81" s="14"/>
    </row>
    <row r="82" spans="5:30" ht="14.25" x14ac:dyDescent="0.45">
      <c r="E82" s="69" t="str">
        <f>IFERROR(VLOOKUP(trainee_data[[#This Row],[Program Specialty]],taxonomy_map[[Other Taxonomy]:[Our Taxonomy]],2,FALSE),"")</f>
        <v/>
      </c>
      <c r="F82" s="55" t="str">
        <f>IFERROR(VLOOKUP(trainee_data[[#This Row],[Specialty/Subspecialty]],condensed_specialty_crosswalk[#All],2,FALSE),"")</f>
        <v/>
      </c>
      <c r="G82" s="56" t="str">
        <f>IFERROR(VLOOKUP(trainee_data[[#This Row],[Specialty/Subspecialty]],condensed_specialty_crosswalk[#All],3,FALSE),"")</f>
        <v/>
      </c>
      <c r="H82" s="14"/>
      <c r="I82" s="14"/>
      <c r="J82" s="14"/>
      <c r="K82" s="14"/>
      <c r="L82" s="14"/>
      <c r="M82" s="14"/>
      <c r="N82" s="14"/>
      <c r="O82" s="14"/>
      <c r="P82" s="14"/>
      <c r="Q82" s="14"/>
      <c r="R82" s="14"/>
      <c r="S82" s="14"/>
      <c r="T82" s="14"/>
      <c r="U82" s="14"/>
      <c r="V82" s="14"/>
      <c r="W82" s="14"/>
      <c r="X82" s="14"/>
      <c r="Y82" s="14"/>
      <c r="Z82" s="14"/>
      <c r="AA82" s="14"/>
      <c r="AB82" s="14"/>
      <c r="AC82" s="14"/>
      <c r="AD82" s="14"/>
    </row>
    <row r="83" spans="5:30" ht="14.25" x14ac:dyDescent="0.45">
      <c r="E83" s="70" t="str">
        <f>IFERROR(VLOOKUP(trainee_data[[#This Row],[Program Specialty]],taxonomy_map[[Other Taxonomy]:[Our Taxonomy]],2,FALSE),"")</f>
        <v/>
      </c>
      <c r="F83" s="52" t="str">
        <f>IFERROR(VLOOKUP(trainee_data[[#This Row],[Specialty/Subspecialty]],condensed_specialty_crosswalk[#All],2,FALSE),"")</f>
        <v/>
      </c>
      <c r="G83" s="53" t="str">
        <f>IFERROR(VLOOKUP(trainee_data[[#This Row],[Specialty/Subspecialty]],condensed_specialty_crosswalk[#All],3,FALSE),"")</f>
        <v/>
      </c>
      <c r="H83" s="14"/>
      <c r="I83" s="14"/>
      <c r="J83" s="14"/>
      <c r="K83" s="14"/>
      <c r="L83" s="14"/>
      <c r="M83" s="14"/>
      <c r="N83" s="14"/>
      <c r="O83" s="14"/>
      <c r="P83" s="14"/>
      <c r="Q83" s="14"/>
      <c r="R83" s="14"/>
      <c r="S83" s="14"/>
      <c r="T83" s="14"/>
      <c r="U83" s="14"/>
      <c r="V83" s="14"/>
      <c r="W83" s="14"/>
      <c r="X83" s="14"/>
      <c r="Y83" s="14"/>
      <c r="Z83" s="14"/>
      <c r="AA83" s="14"/>
      <c r="AB83" s="14"/>
      <c r="AC83" s="14"/>
      <c r="AD83" s="14"/>
    </row>
    <row r="84" spans="5:30" ht="14.25" x14ac:dyDescent="0.45">
      <c r="E84" s="69" t="str">
        <f>IFERROR(VLOOKUP(trainee_data[[#This Row],[Program Specialty]],taxonomy_map[[Other Taxonomy]:[Our Taxonomy]],2,FALSE),"")</f>
        <v/>
      </c>
      <c r="F84" s="55" t="str">
        <f>IFERROR(VLOOKUP(trainee_data[[#This Row],[Specialty/Subspecialty]],condensed_specialty_crosswalk[#All],2,FALSE),"")</f>
        <v/>
      </c>
      <c r="G84" s="56" t="str">
        <f>IFERROR(VLOOKUP(trainee_data[[#This Row],[Specialty/Subspecialty]],condensed_specialty_crosswalk[#All],3,FALSE),"")</f>
        <v/>
      </c>
      <c r="H84" s="14"/>
      <c r="I84" s="14"/>
      <c r="J84" s="14"/>
      <c r="K84" s="14"/>
      <c r="L84" s="14"/>
      <c r="M84" s="14"/>
      <c r="N84" s="14"/>
      <c r="O84" s="14"/>
      <c r="P84" s="14"/>
      <c r="Q84" s="14"/>
      <c r="R84" s="14"/>
      <c r="S84" s="14"/>
      <c r="T84" s="14"/>
      <c r="U84" s="14"/>
      <c r="V84" s="14"/>
      <c r="W84" s="14"/>
      <c r="X84" s="14"/>
      <c r="Y84" s="14"/>
      <c r="Z84" s="14"/>
      <c r="AA84" s="14"/>
      <c r="AB84" s="14"/>
      <c r="AC84" s="14"/>
      <c r="AD84" s="14"/>
    </row>
    <row r="85" spans="5:30" ht="14.25" x14ac:dyDescent="0.45">
      <c r="E85" s="70" t="str">
        <f>IFERROR(VLOOKUP(trainee_data[[#This Row],[Program Specialty]],taxonomy_map[[Other Taxonomy]:[Our Taxonomy]],2,FALSE),"")</f>
        <v/>
      </c>
      <c r="F85" s="52" t="str">
        <f>IFERROR(VLOOKUP(trainee_data[[#This Row],[Specialty/Subspecialty]],condensed_specialty_crosswalk[#All],2,FALSE),"")</f>
        <v/>
      </c>
      <c r="G85" s="53" t="str">
        <f>IFERROR(VLOOKUP(trainee_data[[#This Row],[Specialty/Subspecialty]],condensed_specialty_crosswalk[#All],3,FALSE),"")</f>
        <v/>
      </c>
      <c r="H85" s="14"/>
      <c r="I85" s="14"/>
      <c r="J85" s="14"/>
      <c r="K85" s="14"/>
      <c r="L85" s="14"/>
      <c r="M85" s="14"/>
      <c r="N85" s="14"/>
      <c r="O85" s="14"/>
      <c r="P85" s="14"/>
      <c r="Q85" s="14"/>
      <c r="R85" s="14"/>
      <c r="S85" s="14"/>
      <c r="T85" s="14"/>
      <c r="U85" s="14"/>
      <c r="V85" s="14"/>
      <c r="W85" s="14"/>
      <c r="X85" s="14"/>
      <c r="Y85" s="14"/>
      <c r="Z85" s="14"/>
      <c r="AA85" s="14"/>
      <c r="AB85" s="14"/>
      <c r="AC85" s="14"/>
      <c r="AD85" s="14"/>
    </row>
    <row r="86" spans="5:30" ht="14.25" x14ac:dyDescent="0.45">
      <c r="E86" s="69" t="str">
        <f>IFERROR(VLOOKUP(trainee_data[[#This Row],[Program Specialty]],taxonomy_map[[Other Taxonomy]:[Our Taxonomy]],2,FALSE),"")</f>
        <v/>
      </c>
      <c r="F86" s="55" t="str">
        <f>IFERROR(VLOOKUP(trainee_data[[#This Row],[Specialty/Subspecialty]],condensed_specialty_crosswalk[#All],2,FALSE),"")</f>
        <v/>
      </c>
      <c r="G86" s="56" t="str">
        <f>IFERROR(VLOOKUP(trainee_data[[#This Row],[Specialty/Subspecialty]],condensed_specialty_crosswalk[#All],3,FALSE),"")</f>
        <v/>
      </c>
      <c r="H86" s="14"/>
      <c r="I86" s="14"/>
      <c r="J86" s="14"/>
      <c r="K86" s="14"/>
      <c r="L86" s="14"/>
      <c r="M86" s="14"/>
      <c r="N86" s="14"/>
      <c r="O86" s="14"/>
      <c r="P86" s="14"/>
      <c r="Q86" s="14"/>
      <c r="R86" s="14"/>
      <c r="S86" s="14"/>
      <c r="T86" s="14"/>
      <c r="U86" s="14"/>
      <c r="V86" s="14"/>
      <c r="W86" s="14"/>
      <c r="X86" s="14"/>
      <c r="Y86" s="14"/>
      <c r="Z86" s="14"/>
      <c r="AA86" s="14"/>
      <c r="AB86" s="14"/>
      <c r="AC86" s="14"/>
      <c r="AD86" s="14"/>
    </row>
    <row r="87" spans="5:30" ht="14.25" x14ac:dyDescent="0.45">
      <c r="E87" s="70" t="str">
        <f>IFERROR(VLOOKUP(trainee_data[[#This Row],[Program Specialty]],taxonomy_map[[Other Taxonomy]:[Our Taxonomy]],2,FALSE),"")</f>
        <v/>
      </c>
      <c r="F87" s="52" t="str">
        <f>IFERROR(VLOOKUP(trainee_data[[#This Row],[Specialty/Subspecialty]],condensed_specialty_crosswalk[#All],2,FALSE),"")</f>
        <v/>
      </c>
      <c r="G87" s="53" t="str">
        <f>IFERROR(VLOOKUP(trainee_data[[#This Row],[Specialty/Subspecialty]],condensed_specialty_crosswalk[#All],3,FALSE),"")</f>
        <v/>
      </c>
      <c r="H87" s="14"/>
      <c r="I87" s="14"/>
      <c r="J87" s="14"/>
      <c r="K87" s="14"/>
      <c r="L87" s="14"/>
      <c r="M87" s="14"/>
      <c r="N87" s="14"/>
      <c r="O87" s="14"/>
      <c r="P87" s="14"/>
      <c r="Q87" s="14"/>
      <c r="R87" s="14"/>
      <c r="S87" s="14"/>
      <c r="T87" s="14"/>
      <c r="U87" s="14"/>
      <c r="V87" s="14"/>
      <c r="W87" s="14"/>
      <c r="X87" s="14"/>
      <c r="Y87" s="14"/>
      <c r="Z87" s="14"/>
      <c r="AA87" s="14"/>
      <c r="AB87" s="14"/>
      <c r="AC87" s="14"/>
      <c r="AD87" s="14"/>
    </row>
    <row r="88" spans="5:30" ht="14.25" x14ac:dyDescent="0.45">
      <c r="E88" s="69" t="str">
        <f>IFERROR(VLOOKUP(trainee_data[[#This Row],[Program Specialty]],taxonomy_map[[Other Taxonomy]:[Our Taxonomy]],2,FALSE),"")</f>
        <v/>
      </c>
      <c r="F88" s="55" t="str">
        <f>IFERROR(VLOOKUP(trainee_data[[#This Row],[Specialty/Subspecialty]],condensed_specialty_crosswalk[#All],2,FALSE),"")</f>
        <v/>
      </c>
      <c r="G88" s="56" t="str">
        <f>IFERROR(VLOOKUP(trainee_data[[#This Row],[Specialty/Subspecialty]],condensed_specialty_crosswalk[#All],3,FALSE),"")</f>
        <v/>
      </c>
      <c r="H88" s="14"/>
      <c r="I88" s="14"/>
      <c r="J88" s="14"/>
      <c r="K88" s="14"/>
      <c r="L88" s="14"/>
      <c r="M88" s="14"/>
      <c r="N88" s="14"/>
      <c r="O88" s="14"/>
      <c r="P88" s="14"/>
      <c r="Q88" s="14"/>
      <c r="R88" s="14"/>
      <c r="S88" s="14"/>
      <c r="T88" s="14"/>
      <c r="U88" s="14"/>
      <c r="V88" s="14"/>
      <c r="W88" s="14"/>
      <c r="X88" s="14"/>
      <c r="Y88" s="14"/>
      <c r="Z88" s="14"/>
      <c r="AA88" s="14"/>
      <c r="AB88" s="14"/>
      <c r="AC88" s="14"/>
      <c r="AD88" s="14"/>
    </row>
    <row r="89" spans="5:30" ht="14.25" x14ac:dyDescent="0.45">
      <c r="E89" s="70" t="str">
        <f>IFERROR(VLOOKUP(trainee_data[[#This Row],[Program Specialty]],taxonomy_map[[Other Taxonomy]:[Our Taxonomy]],2,FALSE),"")</f>
        <v/>
      </c>
      <c r="F89" s="52" t="str">
        <f>IFERROR(VLOOKUP(trainee_data[[#This Row],[Specialty/Subspecialty]],condensed_specialty_crosswalk[#All],2,FALSE),"")</f>
        <v/>
      </c>
      <c r="G89" s="53" t="str">
        <f>IFERROR(VLOOKUP(trainee_data[[#This Row],[Specialty/Subspecialty]],condensed_specialty_crosswalk[#All],3,FALSE),"")</f>
        <v/>
      </c>
      <c r="H89" s="14"/>
      <c r="I89" s="14"/>
      <c r="J89" s="14"/>
      <c r="K89" s="14"/>
      <c r="L89" s="14"/>
      <c r="M89" s="14"/>
      <c r="N89" s="14"/>
      <c r="O89" s="14"/>
      <c r="P89" s="14"/>
      <c r="Q89" s="14"/>
      <c r="R89" s="14"/>
      <c r="S89" s="14"/>
      <c r="T89" s="14"/>
      <c r="U89" s="14"/>
      <c r="V89" s="14"/>
      <c r="W89" s="14"/>
      <c r="X89" s="14"/>
      <c r="Y89" s="14"/>
      <c r="Z89" s="14"/>
      <c r="AA89" s="14"/>
      <c r="AB89" s="14"/>
      <c r="AC89" s="14"/>
      <c r="AD89" s="14"/>
    </row>
    <row r="90" spans="5:30" ht="14.25" x14ac:dyDescent="0.45">
      <c r="E90" s="69" t="str">
        <f>IFERROR(VLOOKUP(trainee_data[[#This Row],[Program Specialty]],taxonomy_map[[Other Taxonomy]:[Our Taxonomy]],2,FALSE),"")</f>
        <v/>
      </c>
      <c r="F90" s="55" t="str">
        <f>IFERROR(VLOOKUP(trainee_data[[#This Row],[Specialty/Subspecialty]],condensed_specialty_crosswalk[#All],2,FALSE),"")</f>
        <v/>
      </c>
      <c r="G90" s="56" t="str">
        <f>IFERROR(VLOOKUP(trainee_data[[#This Row],[Specialty/Subspecialty]],condensed_specialty_crosswalk[#All],3,FALSE),"")</f>
        <v/>
      </c>
      <c r="H90" s="14"/>
      <c r="I90" s="14"/>
      <c r="J90" s="14"/>
      <c r="K90" s="14"/>
      <c r="L90" s="14"/>
      <c r="M90" s="14"/>
      <c r="N90" s="14"/>
      <c r="O90" s="14"/>
      <c r="P90" s="14"/>
      <c r="Q90" s="14"/>
      <c r="R90" s="14"/>
      <c r="S90" s="14"/>
      <c r="T90" s="14"/>
      <c r="U90" s="14"/>
      <c r="V90" s="14"/>
      <c r="W90" s="14"/>
      <c r="X90" s="14"/>
      <c r="Y90" s="14"/>
      <c r="Z90" s="14"/>
      <c r="AA90" s="14"/>
      <c r="AB90" s="14"/>
      <c r="AC90" s="14"/>
      <c r="AD90" s="14"/>
    </row>
    <row r="91" spans="5:30" ht="14.25" x14ac:dyDescent="0.45">
      <c r="E91" s="70" t="str">
        <f>IFERROR(VLOOKUP(trainee_data[[#This Row],[Program Specialty]],taxonomy_map[[Other Taxonomy]:[Our Taxonomy]],2,FALSE),"")</f>
        <v/>
      </c>
      <c r="F91" s="52" t="str">
        <f>IFERROR(VLOOKUP(trainee_data[[#This Row],[Specialty/Subspecialty]],condensed_specialty_crosswalk[#All],2,FALSE),"")</f>
        <v/>
      </c>
      <c r="G91" s="53" t="str">
        <f>IFERROR(VLOOKUP(trainee_data[[#This Row],[Specialty/Subspecialty]],condensed_specialty_crosswalk[#All],3,FALSE),"")</f>
        <v/>
      </c>
      <c r="H91" s="14"/>
      <c r="I91" s="14"/>
      <c r="J91" s="14"/>
      <c r="K91" s="14"/>
      <c r="L91" s="14"/>
      <c r="M91" s="14"/>
      <c r="N91" s="14"/>
      <c r="O91" s="14"/>
      <c r="P91" s="14"/>
      <c r="Q91" s="14"/>
      <c r="R91" s="14"/>
      <c r="S91" s="14"/>
      <c r="T91" s="14"/>
      <c r="U91" s="14"/>
      <c r="V91" s="14"/>
      <c r="W91" s="14"/>
      <c r="X91" s="14"/>
      <c r="Y91" s="14"/>
      <c r="Z91" s="14"/>
      <c r="AA91" s="14"/>
      <c r="AB91" s="14"/>
      <c r="AC91" s="14"/>
      <c r="AD91" s="14"/>
    </row>
    <row r="92" spans="5:30" ht="14.25" x14ac:dyDescent="0.45">
      <c r="E92" s="69" t="str">
        <f>IFERROR(VLOOKUP(trainee_data[[#This Row],[Program Specialty]],taxonomy_map[[Other Taxonomy]:[Our Taxonomy]],2,FALSE),"")</f>
        <v/>
      </c>
      <c r="F92" s="55" t="str">
        <f>IFERROR(VLOOKUP(trainee_data[[#This Row],[Specialty/Subspecialty]],condensed_specialty_crosswalk[#All],2,FALSE),"")</f>
        <v/>
      </c>
      <c r="G92" s="56" t="str">
        <f>IFERROR(VLOOKUP(trainee_data[[#This Row],[Specialty/Subspecialty]],condensed_specialty_crosswalk[#All],3,FALSE),"")</f>
        <v/>
      </c>
      <c r="H92" s="14"/>
      <c r="I92" s="14"/>
      <c r="J92" s="14"/>
      <c r="K92" s="14"/>
      <c r="L92" s="14"/>
      <c r="M92" s="14"/>
      <c r="N92" s="14"/>
      <c r="O92" s="14"/>
      <c r="P92" s="14"/>
      <c r="Q92" s="14"/>
      <c r="R92" s="14"/>
      <c r="S92" s="14"/>
      <c r="T92" s="14"/>
      <c r="U92" s="14"/>
      <c r="V92" s="14"/>
      <c r="W92" s="14"/>
      <c r="X92" s="14"/>
      <c r="Y92" s="14"/>
      <c r="Z92" s="14"/>
      <c r="AA92" s="14"/>
      <c r="AB92" s="14"/>
      <c r="AC92" s="14"/>
      <c r="AD92" s="14"/>
    </row>
    <row r="93" spans="5:30" ht="14.25" x14ac:dyDescent="0.45">
      <c r="E93" s="70" t="str">
        <f>IFERROR(VLOOKUP(trainee_data[[#This Row],[Program Specialty]],taxonomy_map[[Other Taxonomy]:[Our Taxonomy]],2,FALSE),"")</f>
        <v/>
      </c>
      <c r="F93" s="52" t="str">
        <f>IFERROR(VLOOKUP(trainee_data[[#This Row],[Specialty/Subspecialty]],condensed_specialty_crosswalk[#All],2,FALSE),"")</f>
        <v/>
      </c>
      <c r="G93" s="53" t="str">
        <f>IFERROR(VLOOKUP(trainee_data[[#This Row],[Specialty/Subspecialty]],condensed_specialty_crosswalk[#All],3,FALSE),"")</f>
        <v/>
      </c>
      <c r="H93" s="14"/>
      <c r="I93" s="14"/>
      <c r="J93" s="14"/>
      <c r="K93" s="14"/>
      <c r="L93" s="14"/>
      <c r="M93" s="14"/>
      <c r="N93" s="14"/>
      <c r="O93" s="14"/>
      <c r="P93" s="14"/>
      <c r="Q93" s="14"/>
      <c r="R93" s="14"/>
      <c r="S93" s="14"/>
      <c r="T93" s="14"/>
      <c r="U93" s="14"/>
      <c r="V93" s="14"/>
      <c r="W93" s="14"/>
      <c r="X93" s="14"/>
      <c r="Y93" s="14"/>
      <c r="Z93" s="14"/>
      <c r="AA93" s="14"/>
      <c r="AB93" s="14"/>
      <c r="AC93" s="14"/>
      <c r="AD93" s="14"/>
    </row>
    <row r="94" spans="5:30" ht="14.25" x14ac:dyDescent="0.45">
      <c r="E94" s="69" t="str">
        <f>IFERROR(VLOOKUP(trainee_data[[#This Row],[Program Specialty]],taxonomy_map[[Other Taxonomy]:[Our Taxonomy]],2,FALSE),"")</f>
        <v/>
      </c>
      <c r="F94" s="55" t="str">
        <f>IFERROR(VLOOKUP(trainee_data[[#This Row],[Specialty/Subspecialty]],condensed_specialty_crosswalk[#All],2,FALSE),"")</f>
        <v/>
      </c>
      <c r="G94" s="56" t="str">
        <f>IFERROR(VLOOKUP(trainee_data[[#This Row],[Specialty/Subspecialty]],condensed_specialty_crosswalk[#All],3,FALSE),"")</f>
        <v/>
      </c>
      <c r="H94" s="14"/>
      <c r="I94" s="14"/>
      <c r="J94" s="14"/>
      <c r="K94" s="14"/>
      <c r="L94" s="14"/>
      <c r="M94" s="14"/>
      <c r="N94" s="14"/>
      <c r="O94" s="14"/>
      <c r="P94" s="14"/>
      <c r="Q94" s="14"/>
      <c r="R94" s="14"/>
      <c r="S94" s="14"/>
      <c r="T94" s="14"/>
      <c r="U94" s="14"/>
      <c r="V94" s="14"/>
      <c r="W94" s="14"/>
      <c r="X94" s="14"/>
      <c r="Y94" s="14"/>
      <c r="Z94" s="14"/>
      <c r="AA94" s="14"/>
      <c r="AB94" s="14"/>
      <c r="AC94" s="14"/>
      <c r="AD94" s="14"/>
    </row>
    <row r="95" spans="5:30" ht="14.25" x14ac:dyDescent="0.45">
      <c r="E95" s="70" t="str">
        <f>IFERROR(VLOOKUP(trainee_data[[#This Row],[Program Specialty]],taxonomy_map[[Other Taxonomy]:[Our Taxonomy]],2,FALSE),"")</f>
        <v/>
      </c>
      <c r="F95" s="52" t="str">
        <f>IFERROR(VLOOKUP(trainee_data[[#This Row],[Specialty/Subspecialty]],condensed_specialty_crosswalk[#All],2,FALSE),"")</f>
        <v/>
      </c>
      <c r="G95" s="53" t="str">
        <f>IFERROR(VLOOKUP(trainee_data[[#This Row],[Specialty/Subspecialty]],condensed_specialty_crosswalk[#All],3,FALSE),"")</f>
        <v/>
      </c>
      <c r="H95" s="14"/>
      <c r="I95" s="14"/>
      <c r="J95" s="14"/>
      <c r="K95" s="14"/>
      <c r="L95" s="14"/>
      <c r="M95" s="14"/>
      <c r="N95" s="14"/>
      <c r="O95" s="14"/>
      <c r="P95" s="14"/>
      <c r="Q95" s="14"/>
      <c r="R95" s="14"/>
      <c r="S95" s="14"/>
      <c r="T95" s="14"/>
      <c r="U95" s="14"/>
      <c r="V95" s="14"/>
      <c r="W95" s="14"/>
      <c r="X95" s="14"/>
      <c r="Y95" s="14"/>
      <c r="Z95" s="14"/>
      <c r="AA95" s="14"/>
      <c r="AB95" s="14"/>
      <c r="AC95" s="14"/>
      <c r="AD95" s="14"/>
    </row>
    <row r="96" spans="5:30" ht="14.25" x14ac:dyDescent="0.45">
      <c r="E96" s="69" t="str">
        <f>IFERROR(VLOOKUP(trainee_data[[#This Row],[Program Specialty]],taxonomy_map[[Other Taxonomy]:[Our Taxonomy]],2,FALSE),"")</f>
        <v/>
      </c>
      <c r="F96" s="55" t="str">
        <f>IFERROR(VLOOKUP(trainee_data[[#This Row],[Specialty/Subspecialty]],condensed_specialty_crosswalk[#All],2,FALSE),"")</f>
        <v/>
      </c>
      <c r="G96" s="56" t="str">
        <f>IFERROR(VLOOKUP(trainee_data[[#This Row],[Specialty/Subspecialty]],condensed_specialty_crosswalk[#All],3,FALSE),"")</f>
        <v/>
      </c>
      <c r="H96" s="14"/>
      <c r="I96" s="14"/>
      <c r="J96" s="14"/>
      <c r="K96" s="14"/>
      <c r="L96" s="14"/>
      <c r="M96" s="14"/>
      <c r="N96" s="14"/>
      <c r="O96" s="14"/>
      <c r="P96" s="14"/>
      <c r="Q96" s="14"/>
      <c r="R96" s="14"/>
      <c r="S96" s="14"/>
      <c r="T96" s="14"/>
      <c r="U96" s="14"/>
      <c r="V96" s="14"/>
      <c r="W96" s="14"/>
      <c r="X96" s="14"/>
      <c r="Y96" s="14"/>
      <c r="Z96" s="14"/>
      <c r="AA96" s="14"/>
      <c r="AB96" s="14"/>
      <c r="AC96" s="14"/>
      <c r="AD96" s="14"/>
    </row>
    <row r="97" spans="5:30" ht="14.25" x14ac:dyDescent="0.45">
      <c r="E97" s="70" t="str">
        <f>IFERROR(VLOOKUP(trainee_data[[#This Row],[Program Specialty]],taxonomy_map[[Other Taxonomy]:[Our Taxonomy]],2,FALSE),"")</f>
        <v/>
      </c>
      <c r="F97" s="52" t="str">
        <f>IFERROR(VLOOKUP(trainee_data[[#This Row],[Specialty/Subspecialty]],condensed_specialty_crosswalk[#All],2,FALSE),"")</f>
        <v/>
      </c>
      <c r="G97" s="53" t="str">
        <f>IFERROR(VLOOKUP(trainee_data[[#This Row],[Specialty/Subspecialty]],condensed_specialty_crosswalk[#All],3,FALSE),"")</f>
        <v/>
      </c>
      <c r="H97" s="14"/>
      <c r="I97" s="14"/>
      <c r="J97" s="14"/>
      <c r="K97" s="14"/>
      <c r="L97" s="14"/>
      <c r="M97" s="14"/>
      <c r="N97" s="14"/>
      <c r="O97" s="14"/>
      <c r="P97" s="14"/>
      <c r="Q97" s="14"/>
      <c r="R97" s="14"/>
      <c r="S97" s="14"/>
      <c r="T97" s="14"/>
      <c r="U97" s="14"/>
      <c r="V97" s="14"/>
      <c r="W97" s="14"/>
      <c r="X97" s="14"/>
      <c r="Y97" s="14"/>
      <c r="Z97" s="14"/>
      <c r="AA97" s="14"/>
      <c r="AB97" s="14"/>
      <c r="AC97" s="14"/>
      <c r="AD97" s="14"/>
    </row>
    <row r="98" spans="5:30" ht="14.25" x14ac:dyDescent="0.45">
      <c r="E98" s="69" t="str">
        <f>IFERROR(VLOOKUP(trainee_data[[#This Row],[Program Specialty]],taxonomy_map[[Other Taxonomy]:[Our Taxonomy]],2,FALSE),"")</f>
        <v/>
      </c>
      <c r="F98" s="55" t="str">
        <f>IFERROR(VLOOKUP(trainee_data[[#This Row],[Specialty/Subspecialty]],condensed_specialty_crosswalk[#All],2,FALSE),"")</f>
        <v/>
      </c>
      <c r="G98" s="56" t="str">
        <f>IFERROR(VLOOKUP(trainee_data[[#This Row],[Specialty/Subspecialty]],condensed_specialty_crosswalk[#All],3,FALSE),"")</f>
        <v/>
      </c>
      <c r="H98" s="14"/>
      <c r="I98" s="14"/>
      <c r="J98" s="14"/>
      <c r="K98" s="14"/>
      <c r="L98" s="14"/>
      <c r="M98" s="14"/>
      <c r="N98" s="14"/>
      <c r="O98" s="14"/>
      <c r="P98" s="14"/>
      <c r="Q98" s="14"/>
      <c r="R98" s="14"/>
      <c r="S98" s="14"/>
      <c r="T98" s="14"/>
      <c r="U98" s="14"/>
      <c r="V98" s="14"/>
      <c r="W98" s="14"/>
      <c r="X98" s="14"/>
      <c r="Y98" s="14"/>
      <c r="Z98" s="14"/>
      <c r="AA98" s="14"/>
      <c r="AB98" s="14"/>
      <c r="AC98" s="14"/>
      <c r="AD98" s="14"/>
    </row>
    <row r="99" spans="5:30" ht="14.25" x14ac:dyDescent="0.45">
      <c r="E99" s="70" t="str">
        <f>IFERROR(VLOOKUP(trainee_data[[#This Row],[Program Specialty]],taxonomy_map[[Other Taxonomy]:[Our Taxonomy]],2,FALSE),"")</f>
        <v/>
      </c>
      <c r="F99" s="52" t="str">
        <f>IFERROR(VLOOKUP(trainee_data[[#This Row],[Specialty/Subspecialty]],condensed_specialty_crosswalk[#All],2,FALSE),"")</f>
        <v/>
      </c>
      <c r="G99" s="53" t="str">
        <f>IFERROR(VLOOKUP(trainee_data[[#This Row],[Specialty/Subspecialty]],condensed_specialty_crosswalk[#All],3,FALSE),"")</f>
        <v/>
      </c>
      <c r="H99" s="14"/>
      <c r="I99" s="14"/>
      <c r="J99" s="14"/>
      <c r="K99" s="14"/>
      <c r="L99" s="14"/>
      <c r="M99" s="14"/>
      <c r="N99" s="14"/>
      <c r="O99" s="14"/>
      <c r="P99" s="14"/>
      <c r="Q99" s="14"/>
      <c r="R99" s="14"/>
      <c r="S99" s="14"/>
      <c r="T99" s="14"/>
      <c r="U99" s="14"/>
      <c r="V99" s="14"/>
      <c r="W99" s="14"/>
      <c r="X99" s="14"/>
      <c r="Y99" s="14"/>
      <c r="Z99" s="14"/>
      <c r="AA99" s="14"/>
      <c r="AB99" s="14"/>
      <c r="AC99" s="14"/>
      <c r="AD99" s="14"/>
    </row>
    <row r="100" spans="5:30" ht="14.25" x14ac:dyDescent="0.45">
      <c r="E100" s="69" t="str">
        <f>IFERROR(VLOOKUP(trainee_data[[#This Row],[Program Specialty]],taxonomy_map[[Other Taxonomy]:[Our Taxonomy]],2,FALSE),"")</f>
        <v/>
      </c>
      <c r="F100" s="55" t="str">
        <f>IFERROR(VLOOKUP(trainee_data[[#This Row],[Specialty/Subspecialty]],condensed_specialty_crosswalk[#All],2,FALSE),"")</f>
        <v/>
      </c>
      <c r="G100" s="56" t="str">
        <f>IFERROR(VLOOKUP(trainee_data[[#This Row],[Specialty/Subspecialty]],condensed_specialty_crosswalk[#All],3,FALSE),"")</f>
        <v/>
      </c>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row>
    <row r="101" spans="5:30" ht="14.25" x14ac:dyDescent="0.45">
      <c r="E101" s="70" t="str">
        <f>IFERROR(VLOOKUP(trainee_data[[#This Row],[Program Specialty]],taxonomy_map[[Other Taxonomy]:[Our Taxonomy]],2,FALSE),"")</f>
        <v/>
      </c>
      <c r="F101" s="52" t="str">
        <f>IFERROR(VLOOKUP(trainee_data[[#This Row],[Specialty/Subspecialty]],condensed_specialty_crosswalk[#All],2,FALSE),"")</f>
        <v/>
      </c>
      <c r="G101" s="53" t="str">
        <f>IFERROR(VLOOKUP(trainee_data[[#This Row],[Specialty/Subspecialty]],condensed_specialty_crosswalk[#All],3,FALSE),"")</f>
        <v/>
      </c>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row>
    <row r="102" spans="5:30" ht="14.25" x14ac:dyDescent="0.45">
      <c r="E102" s="69" t="str">
        <f>IFERROR(VLOOKUP(trainee_data[[#This Row],[Program Specialty]],taxonomy_map[[Other Taxonomy]:[Our Taxonomy]],2,FALSE),"")</f>
        <v/>
      </c>
      <c r="F102" s="55" t="str">
        <f>IFERROR(VLOOKUP(trainee_data[[#This Row],[Specialty/Subspecialty]],condensed_specialty_crosswalk[#All],2,FALSE),"")</f>
        <v/>
      </c>
      <c r="G102" s="56" t="str">
        <f>IFERROR(VLOOKUP(trainee_data[[#This Row],[Specialty/Subspecialty]],condensed_specialty_crosswalk[#All],3,FALSE),"")</f>
        <v/>
      </c>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row>
    <row r="103" spans="5:30" ht="14.25" x14ac:dyDescent="0.45">
      <c r="E103" s="70" t="str">
        <f>IFERROR(VLOOKUP(trainee_data[[#This Row],[Program Specialty]],taxonomy_map[[Other Taxonomy]:[Our Taxonomy]],2,FALSE),"")</f>
        <v/>
      </c>
      <c r="F103" s="52" t="str">
        <f>IFERROR(VLOOKUP(trainee_data[[#This Row],[Specialty/Subspecialty]],condensed_specialty_crosswalk[#All],2,FALSE),"")</f>
        <v/>
      </c>
      <c r="G103" s="53" t="str">
        <f>IFERROR(VLOOKUP(trainee_data[[#This Row],[Specialty/Subspecialty]],condensed_specialty_crosswalk[#All],3,FALSE),"")</f>
        <v/>
      </c>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row>
    <row r="104" spans="5:30" ht="14.25" x14ac:dyDescent="0.45">
      <c r="E104" s="69" t="str">
        <f>IFERROR(VLOOKUP(trainee_data[[#This Row],[Program Specialty]],taxonomy_map[[Other Taxonomy]:[Our Taxonomy]],2,FALSE),"")</f>
        <v/>
      </c>
      <c r="F104" s="55" t="str">
        <f>IFERROR(VLOOKUP(trainee_data[[#This Row],[Specialty/Subspecialty]],condensed_specialty_crosswalk[#All],2,FALSE),"")</f>
        <v/>
      </c>
      <c r="G104" s="56" t="str">
        <f>IFERROR(VLOOKUP(trainee_data[[#This Row],[Specialty/Subspecialty]],condensed_specialty_crosswalk[#All],3,FALSE),"")</f>
        <v/>
      </c>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row>
    <row r="105" spans="5:30" ht="14.25" x14ac:dyDescent="0.45">
      <c r="E105" s="70" t="str">
        <f>IFERROR(VLOOKUP(trainee_data[[#This Row],[Program Specialty]],taxonomy_map[[Other Taxonomy]:[Our Taxonomy]],2,FALSE),"")</f>
        <v/>
      </c>
      <c r="F105" s="52" t="str">
        <f>IFERROR(VLOOKUP(trainee_data[[#This Row],[Specialty/Subspecialty]],condensed_specialty_crosswalk[#All],2,FALSE),"")</f>
        <v/>
      </c>
      <c r="G105" s="53" t="str">
        <f>IFERROR(VLOOKUP(trainee_data[[#This Row],[Specialty/Subspecialty]],condensed_specialty_crosswalk[#All],3,FALSE),"")</f>
        <v/>
      </c>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row>
    <row r="106" spans="5:30" ht="14.25" x14ac:dyDescent="0.45">
      <c r="E106" s="69" t="str">
        <f>IFERROR(VLOOKUP(trainee_data[[#This Row],[Program Specialty]],taxonomy_map[[Other Taxonomy]:[Our Taxonomy]],2,FALSE),"")</f>
        <v/>
      </c>
      <c r="F106" s="55" t="str">
        <f>IFERROR(VLOOKUP(trainee_data[[#This Row],[Specialty/Subspecialty]],condensed_specialty_crosswalk[#All],2,FALSE),"")</f>
        <v/>
      </c>
      <c r="G106" s="56" t="str">
        <f>IFERROR(VLOOKUP(trainee_data[[#This Row],[Specialty/Subspecialty]],condensed_specialty_crosswalk[#All],3,FALSE),"")</f>
        <v/>
      </c>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row>
    <row r="107" spans="5:30" ht="14.25" x14ac:dyDescent="0.45">
      <c r="E107" s="70" t="str">
        <f>IFERROR(VLOOKUP(trainee_data[[#This Row],[Program Specialty]],taxonomy_map[[Other Taxonomy]:[Our Taxonomy]],2,FALSE),"")</f>
        <v/>
      </c>
      <c r="F107" s="52" t="str">
        <f>IFERROR(VLOOKUP(trainee_data[[#This Row],[Specialty/Subspecialty]],condensed_specialty_crosswalk[#All],2,FALSE),"")</f>
        <v/>
      </c>
      <c r="G107" s="53" t="str">
        <f>IFERROR(VLOOKUP(trainee_data[[#This Row],[Specialty/Subspecialty]],condensed_specialty_crosswalk[#All],3,FALSE),"")</f>
        <v/>
      </c>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row>
    <row r="108" spans="5:30" ht="14.25" x14ac:dyDescent="0.45">
      <c r="E108" s="69" t="str">
        <f>IFERROR(VLOOKUP(trainee_data[[#This Row],[Program Specialty]],taxonomy_map[[Other Taxonomy]:[Our Taxonomy]],2,FALSE),"")</f>
        <v/>
      </c>
      <c r="F108" s="55" t="str">
        <f>IFERROR(VLOOKUP(trainee_data[[#This Row],[Specialty/Subspecialty]],condensed_specialty_crosswalk[#All],2,FALSE),"")</f>
        <v/>
      </c>
      <c r="G108" s="56" t="str">
        <f>IFERROR(VLOOKUP(trainee_data[[#This Row],[Specialty/Subspecialty]],condensed_specialty_crosswalk[#All],3,FALSE),"")</f>
        <v/>
      </c>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row>
    <row r="109" spans="5:30" ht="14.25" x14ac:dyDescent="0.45">
      <c r="E109" s="70" t="str">
        <f>IFERROR(VLOOKUP(trainee_data[[#This Row],[Program Specialty]],taxonomy_map[[Other Taxonomy]:[Our Taxonomy]],2,FALSE),"")</f>
        <v/>
      </c>
      <c r="F109" s="52" t="str">
        <f>IFERROR(VLOOKUP(trainee_data[[#This Row],[Specialty/Subspecialty]],condensed_specialty_crosswalk[#All],2,FALSE),"")</f>
        <v/>
      </c>
      <c r="G109" s="53" t="str">
        <f>IFERROR(VLOOKUP(trainee_data[[#This Row],[Specialty/Subspecialty]],condensed_specialty_crosswalk[#All],3,FALSE),"")</f>
        <v/>
      </c>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row>
    <row r="110" spans="5:30" ht="14.25" x14ac:dyDescent="0.45">
      <c r="E110" s="69" t="str">
        <f>IFERROR(VLOOKUP(trainee_data[[#This Row],[Program Specialty]],taxonomy_map[[Other Taxonomy]:[Our Taxonomy]],2,FALSE),"")</f>
        <v/>
      </c>
      <c r="F110" s="55" t="str">
        <f>IFERROR(VLOOKUP(trainee_data[[#This Row],[Specialty/Subspecialty]],condensed_specialty_crosswalk[#All],2,FALSE),"")</f>
        <v/>
      </c>
      <c r="G110" s="56" t="str">
        <f>IFERROR(VLOOKUP(trainee_data[[#This Row],[Specialty/Subspecialty]],condensed_specialty_crosswalk[#All],3,FALSE),"")</f>
        <v/>
      </c>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row>
    <row r="111" spans="5:30" ht="14.25" x14ac:dyDescent="0.45">
      <c r="E111" s="70" t="str">
        <f>IFERROR(VLOOKUP(trainee_data[[#This Row],[Program Specialty]],taxonomy_map[[Other Taxonomy]:[Our Taxonomy]],2,FALSE),"")</f>
        <v/>
      </c>
      <c r="F111" s="52" t="str">
        <f>IFERROR(VLOOKUP(trainee_data[[#This Row],[Specialty/Subspecialty]],condensed_specialty_crosswalk[#All],2,FALSE),"")</f>
        <v/>
      </c>
      <c r="G111" s="53" t="str">
        <f>IFERROR(VLOOKUP(trainee_data[[#This Row],[Specialty/Subspecialty]],condensed_specialty_crosswalk[#All],3,FALSE),"")</f>
        <v/>
      </c>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row>
    <row r="112" spans="5:30" ht="14.25" x14ac:dyDescent="0.45">
      <c r="E112" s="69" t="str">
        <f>IFERROR(VLOOKUP(trainee_data[[#This Row],[Program Specialty]],taxonomy_map[[Other Taxonomy]:[Our Taxonomy]],2,FALSE),"")</f>
        <v/>
      </c>
      <c r="F112" s="55" t="str">
        <f>IFERROR(VLOOKUP(trainee_data[[#This Row],[Specialty/Subspecialty]],condensed_specialty_crosswalk[#All],2,FALSE),"")</f>
        <v/>
      </c>
      <c r="G112" s="56" t="str">
        <f>IFERROR(VLOOKUP(trainee_data[[#This Row],[Specialty/Subspecialty]],condensed_specialty_crosswalk[#All],3,FALSE),"")</f>
        <v/>
      </c>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row>
    <row r="113" spans="5:30" ht="14.25" x14ac:dyDescent="0.45">
      <c r="E113" s="70" t="str">
        <f>IFERROR(VLOOKUP(trainee_data[[#This Row],[Program Specialty]],taxonomy_map[[Other Taxonomy]:[Our Taxonomy]],2,FALSE),"")</f>
        <v/>
      </c>
      <c r="F113" s="52" t="str">
        <f>IFERROR(VLOOKUP(trainee_data[[#This Row],[Specialty/Subspecialty]],condensed_specialty_crosswalk[#All],2,FALSE),"")</f>
        <v/>
      </c>
      <c r="G113" s="53" t="str">
        <f>IFERROR(VLOOKUP(trainee_data[[#This Row],[Specialty/Subspecialty]],condensed_specialty_crosswalk[#All],3,FALSE),"")</f>
        <v/>
      </c>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row>
    <row r="114" spans="5:30" ht="14.25" x14ac:dyDescent="0.45">
      <c r="E114" s="69" t="str">
        <f>IFERROR(VLOOKUP(trainee_data[[#This Row],[Program Specialty]],taxonomy_map[[Other Taxonomy]:[Our Taxonomy]],2,FALSE),"")</f>
        <v/>
      </c>
      <c r="F114" s="55" t="str">
        <f>IFERROR(VLOOKUP(trainee_data[[#This Row],[Specialty/Subspecialty]],condensed_specialty_crosswalk[#All],2,FALSE),"")</f>
        <v/>
      </c>
      <c r="G114" s="56" t="str">
        <f>IFERROR(VLOOKUP(trainee_data[[#This Row],[Specialty/Subspecialty]],condensed_specialty_crosswalk[#All],3,FALSE),"")</f>
        <v/>
      </c>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row>
    <row r="115" spans="5:30" ht="14.25" x14ac:dyDescent="0.45">
      <c r="E115" s="70" t="str">
        <f>IFERROR(VLOOKUP(trainee_data[[#This Row],[Program Specialty]],taxonomy_map[[Other Taxonomy]:[Our Taxonomy]],2,FALSE),"")</f>
        <v/>
      </c>
      <c r="F115" s="52" t="str">
        <f>IFERROR(VLOOKUP(trainee_data[[#This Row],[Specialty/Subspecialty]],condensed_specialty_crosswalk[#All],2,FALSE),"")</f>
        <v/>
      </c>
      <c r="G115" s="53" t="str">
        <f>IFERROR(VLOOKUP(trainee_data[[#This Row],[Specialty/Subspecialty]],condensed_specialty_crosswalk[#All],3,FALSE),"")</f>
        <v/>
      </c>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row>
    <row r="116" spans="5:30" ht="14.25" x14ac:dyDescent="0.45">
      <c r="E116" s="69" t="str">
        <f>IFERROR(VLOOKUP(trainee_data[[#This Row],[Program Specialty]],taxonomy_map[[Other Taxonomy]:[Our Taxonomy]],2,FALSE),"")</f>
        <v/>
      </c>
      <c r="F116" s="55" t="str">
        <f>IFERROR(VLOOKUP(trainee_data[[#This Row],[Specialty/Subspecialty]],condensed_specialty_crosswalk[#All],2,FALSE),"")</f>
        <v/>
      </c>
      <c r="G116" s="56" t="str">
        <f>IFERROR(VLOOKUP(trainee_data[[#This Row],[Specialty/Subspecialty]],condensed_specialty_crosswalk[#All],3,FALSE),"")</f>
        <v/>
      </c>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row>
    <row r="117" spans="5:30" ht="14.25" x14ac:dyDescent="0.45">
      <c r="E117" s="70" t="str">
        <f>IFERROR(VLOOKUP(trainee_data[[#This Row],[Program Specialty]],taxonomy_map[[Other Taxonomy]:[Our Taxonomy]],2,FALSE),"")</f>
        <v/>
      </c>
      <c r="F117" s="52" t="str">
        <f>IFERROR(VLOOKUP(trainee_data[[#This Row],[Specialty/Subspecialty]],condensed_specialty_crosswalk[#All],2,FALSE),"")</f>
        <v/>
      </c>
      <c r="G117" s="53" t="str">
        <f>IFERROR(VLOOKUP(trainee_data[[#This Row],[Specialty/Subspecialty]],condensed_specialty_crosswalk[#All],3,FALSE),"")</f>
        <v/>
      </c>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row>
    <row r="118" spans="5:30" ht="14.25" x14ac:dyDescent="0.45">
      <c r="E118" s="69" t="str">
        <f>IFERROR(VLOOKUP(trainee_data[[#This Row],[Program Specialty]],taxonomy_map[[Other Taxonomy]:[Our Taxonomy]],2,FALSE),"")</f>
        <v/>
      </c>
      <c r="F118" s="55" t="str">
        <f>IFERROR(VLOOKUP(trainee_data[[#This Row],[Specialty/Subspecialty]],condensed_specialty_crosswalk[#All],2,FALSE),"")</f>
        <v/>
      </c>
      <c r="G118" s="56" t="str">
        <f>IFERROR(VLOOKUP(trainee_data[[#This Row],[Specialty/Subspecialty]],condensed_specialty_crosswalk[#All],3,FALSE),"")</f>
        <v/>
      </c>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row>
    <row r="119" spans="5:30" ht="14.25" x14ac:dyDescent="0.45">
      <c r="E119" s="70" t="str">
        <f>IFERROR(VLOOKUP(trainee_data[[#This Row],[Program Specialty]],taxonomy_map[[Other Taxonomy]:[Our Taxonomy]],2,FALSE),"")</f>
        <v/>
      </c>
      <c r="F119" s="52" t="str">
        <f>IFERROR(VLOOKUP(trainee_data[[#This Row],[Specialty/Subspecialty]],condensed_specialty_crosswalk[#All],2,FALSE),"")</f>
        <v/>
      </c>
      <c r="G119" s="53" t="str">
        <f>IFERROR(VLOOKUP(trainee_data[[#This Row],[Specialty/Subspecialty]],condensed_specialty_crosswalk[#All],3,FALSE),"")</f>
        <v/>
      </c>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row>
    <row r="120" spans="5:30" ht="14.25" x14ac:dyDescent="0.45">
      <c r="E120" s="69" t="str">
        <f>IFERROR(VLOOKUP(trainee_data[[#This Row],[Program Specialty]],taxonomy_map[[Other Taxonomy]:[Our Taxonomy]],2,FALSE),"")</f>
        <v/>
      </c>
      <c r="F120" s="55" t="str">
        <f>IFERROR(VLOOKUP(trainee_data[[#This Row],[Specialty/Subspecialty]],condensed_specialty_crosswalk[#All],2,FALSE),"")</f>
        <v/>
      </c>
      <c r="G120" s="56" t="str">
        <f>IFERROR(VLOOKUP(trainee_data[[#This Row],[Specialty/Subspecialty]],condensed_specialty_crosswalk[#All],3,FALSE),"")</f>
        <v/>
      </c>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row>
    <row r="121" spans="5:30" ht="14.25" x14ac:dyDescent="0.45">
      <c r="E121" s="70" t="str">
        <f>IFERROR(VLOOKUP(trainee_data[[#This Row],[Program Specialty]],taxonomy_map[[Other Taxonomy]:[Our Taxonomy]],2,FALSE),"")</f>
        <v/>
      </c>
      <c r="F121" s="52" t="str">
        <f>IFERROR(VLOOKUP(trainee_data[[#This Row],[Specialty/Subspecialty]],condensed_specialty_crosswalk[#All],2,FALSE),"")</f>
        <v/>
      </c>
      <c r="G121" s="53" t="str">
        <f>IFERROR(VLOOKUP(trainee_data[[#This Row],[Specialty/Subspecialty]],condensed_specialty_crosswalk[#All],3,FALSE),"")</f>
        <v/>
      </c>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row>
    <row r="122" spans="5:30" ht="14.25" x14ac:dyDescent="0.45">
      <c r="E122" s="69" t="str">
        <f>IFERROR(VLOOKUP(trainee_data[[#This Row],[Program Specialty]],taxonomy_map[[Other Taxonomy]:[Our Taxonomy]],2,FALSE),"")</f>
        <v/>
      </c>
      <c r="F122" s="55" t="str">
        <f>IFERROR(VLOOKUP(trainee_data[[#This Row],[Specialty/Subspecialty]],condensed_specialty_crosswalk[#All],2,FALSE),"")</f>
        <v/>
      </c>
      <c r="G122" s="56" t="str">
        <f>IFERROR(VLOOKUP(trainee_data[[#This Row],[Specialty/Subspecialty]],condensed_specialty_crosswalk[#All],3,FALSE),"")</f>
        <v/>
      </c>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row>
    <row r="123" spans="5:30" ht="14.25" x14ac:dyDescent="0.45">
      <c r="E123" s="70" t="str">
        <f>IFERROR(VLOOKUP(trainee_data[[#This Row],[Program Specialty]],taxonomy_map[[Other Taxonomy]:[Our Taxonomy]],2,FALSE),"")</f>
        <v/>
      </c>
      <c r="F123" s="52" t="str">
        <f>IFERROR(VLOOKUP(trainee_data[[#This Row],[Specialty/Subspecialty]],condensed_specialty_crosswalk[#All],2,FALSE),"")</f>
        <v/>
      </c>
      <c r="G123" s="53" t="str">
        <f>IFERROR(VLOOKUP(trainee_data[[#This Row],[Specialty/Subspecialty]],condensed_specialty_crosswalk[#All],3,FALSE),"")</f>
        <v/>
      </c>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row>
    <row r="124" spans="5:30" ht="14.25" x14ac:dyDescent="0.45">
      <c r="E124" s="69" t="str">
        <f>IFERROR(VLOOKUP(trainee_data[[#This Row],[Program Specialty]],taxonomy_map[[Other Taxonomy]:[Our Taxonomy]],2,FALSE),"")</f>
        <v/>
      </c>
      <c r="F124" s="55" t="str">
        <f>IFERROR(VLOOKUP(trainee_data[[#This Row],[Specialty/Subspecialty]],condensed_specialty_crosswalk[#All],2,FALSE),"")</f>
        <v/>
      </c>
      <c r="G124" s="56" t="str">
        <f>IFERROR(VLOOKUP(trainee_data[[#This Row],[Specialty/Subspecialty]],condensed_specialty_crosswalk[#All],3,FALSE),"")</f>
        <v/>
      </c>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row>
    <row r="125" spans="5:30" ht="14.25" x14ac:dyDescent="0.45">
      <c r="E125" s="70" t="str">
        <f>IFERROR(VLOOKUP(trainee_data[[#This Row],[Program Specialty]],taxonomy_map[[Other Taxonomy]:[Our Taxonomy]],2,FALSE),"")</f>
        <v/>
      </c>
      <c r="F125" s="52" t="str">
        <f>IFERROR(VLOOKUP(trainee_data[[#This Row],[Specialty/Subspecialty]],condensed_specialty_crosswalk[#All],2,FALSE),"")</f>
        <v/>
      </c>
      <c r="G125" s="53" t="str">
        <f>IFERROR(VLOOKUP(trainee_data[[#This Row],[Specialty/Subspecialty]],condensed_specialty_crosswalk[#All],3,FALSE),"")</f>
        <v/>
      </c>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row>
    <row r="126" spans="5:30" ht="14.25" x14ac:dyDescent="0.45">
      <c r="E126" s="69" t="str">
        <f>IFERROR(VLOOKUP(trainee_data[[#This Row],[Program Specialty]],taxonomy_map[[Other Taxonomy]:[Our Taxonomy]],2,FALSE),"")</f>
        <v/>
      </c>
      <c r="F126" s="55" t="str">
        <f>IFERROR(VLOOKUP(trainee_data[[#This Row],[Specialty/Subspecialty]],condensed_specialty_crosswalk[#All],2,FALSE),"")</f>
        <v/>
      </c>
      <c r="G126" s="56" t="str">
        <f>IFERROR(VLOOKUP(trainee_data[[#This Row],[Specialty/Subspecialty]],condensed_specialty_crosswalk[#All],3,FALSE),"")</f>
        <v/>
      </c>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row>
    <row r="127" spans="5:30" ht="14.25" x14ac:dyDescent="0.45">
      <c r="E127" s="70" t="str">
        <f>IFERROR(VLOOKUP(trainee_data[[#This Row],[Program Specialty]],taxonomy_map[[Other Taxonomy]:[Our Taxonomy]],2,FALSE),"")</f>
        <v/>
      </c>
      <c r="F127" s="52" t="str">
        <f>IFERROR(VLOOKUP(trainee_data[[#This Row],[Specialty/Subspecialty]],condensed_specialty_crosswalk[#All],2,FALSE),"")</f>
        <v/>
      </c>
      <c r="G127" s="53" t="str">
        <f>IFERROR(VLOOKUP(trainee_data[[#This Row],[Specialty/Subspecialty]],condensed_specialty_crosswalk[#All],3,FALSE),"")</f>
        <v/>
      </c>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row>
    <row r="128" spans="5:30" ht="14.25" x14ac:dyDescent="0.45">
      <c r="E128" s="69" t="str">
        <f>IFERROR(VLOOKUP(trainee_data[[#This Row],[Program Specialty]],taxonomy_map[[Other Taxonomy]:[Our Taxonomy]],2,FALSE),"")</f>
        <v/>
      </c>
      <c r="F128" s="55" t="str">
        <f>IFERROR(VLOOKUP(trainee_data[[#This Row],[Specialty/Subspecialty]],condensed_specialty_crosswalk[#All],2,FALSE),"")</f>
        <v/>
      </c>
      <c r="G128" s="56" t="str">
        <f>IFERROR(VLOOKUP(trainee_data[[#This Row],[Specialty/Subspecialty]],condensed_specialty_crosswalk[#All],3,FALSE),"")</f>
        <v/>
      </c>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row>
    <row r="129" spans="5:30" ht="14.25" x14ac:dyDescent="0.45">
      <c r="E129" s="70" t="str">
        <f>IFERROR(VLOOKUP(trainee_data[[#This Row],[Program Specialty]],taxonomy_map[[Other Taxonomy]:[Our Taxonomy]],2,FALSE),"")</f>
        <v/>
      </c>
      <c r="F129" s="52" t="str">
        <f>IFERROR(VLOOKUP(trainee_data[[#This Row],[Specialty/Subspecialty]],condensed_specialty_crosswalk[#All],2,FALSE),"")</f>
        <v/>
      </c>
      <c r="G129" s="53" t="str">
        <f>IFERROR(VLOOKUP(trainee_data[[#This Row],[Specialty/Subspecialty]],condensed_specialty_crosswalk[#All],3,FALSE),"")</f>
        <v/>
      </c>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row>
    <row r="130" spans="5:30" ht="14.25" x14ac:dyDescent="0.45">
      <c r="E130" s="69" t="str">
        <f>IFERROR(VLOOKUP(trainee_data[[#This Row],[Program Specialty]],taxonomy_map[[Other Taxonomy]:[Our Taxonomy]],2,FALSE),"")</f>
        <v/>
      </c>
      <c r="F130" s="55" t="str">
        <f>IFERROR(VLOOKUP(trainee_data[[#This Row],[Specialty/Subspecialty]],condensed_specialty_crosswalk[#All],2,FALSE),"")</f>
        <v/>
      </c>
      <c r="G130" s="56" t="str">
        <f>IFERROR(VLOOKUP(trainee_data[[#This Row],[Specialty/Subspecialty]],condensed_specialty_crosswalk[#All],3,FALSE),"")</f>
        <v/>
      </c>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row>
    <row r="131" spans="5:30" ht="14.25" x14ac:dyDescent="0.45">
      <c r="E131" s="70" t="str">
        <f>IFERROR(VLOOKUP(trainee_data[[#This Row],[Program Specialty]],taxonomy_map[[Other Taxonomy]:[Our Taxonomy]],2,FALSE),"")</f>
        <v/>
      </c>
      <c r="F131" s="52" t="str">
        <f>IFERROR(VLOOKUP(trainee_data[[#This Row],[Specialty/Subspecialty]],condensed_specialty_crosswalk[#All],2,FALSE),"")</f>
        <v/>
      </c>
      <c r="G131" s="53" t="str">
        <f>IFERROR(VLOOKUP(trainee_data[[#This Row],[Specialty/Subspecialty]],condensed_specialty_crosswalk[#All],3,FALSE),"")</f>
        <v/>
      </c>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row>
    <row r="132" spans="5:30" ht="14.25" x14ac:dyDescent="0.45">
      <c r="E132" s="69" t="str">
        <f>IFERROR(VLOOKUP(trainee_data[[#This Row],[Program Specialty]],taxonomy_map[[Other Taxonomy]:[Our Taxonomy]],2,FALSE),"")</f>
        <v/>
      </c>
      <c r="F132" s="55" t="str">
        <f>IFERROR(VLOOKUP(trainee_data[[#This Row],[Specialty/Subspecialty]],condensed_specialty_crosswalk[#All],2,FALSE),"")</f>
        <v/>
      </c>
      <c r="G132" s="56" t="str">
        <f>IFERROR(VLOOKUP(trainee_data[[#This Row],[Specialty/Subspecialty]],condensed_specialty_crosswalk[#All],3,FALSE),"")</f>
        <v/>
      </c>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row>
    <row r="133" spans="5:30" ht="14.25" x14ac:dyDescent="0.45">
      <c r="E133" s="70" t="str">
        <f>IFERROR(VLOOKUP(trainee_data[[#This Row],[Program Specialty]],taxonomy_map[[Other Taxonomy]:[Our Taxonomy]],2,FALSE),"")</f>
        <v/>
      </c>
      <c r="F133" s="52" t="str">
        <f>IFERROR(VLOOKUP(trainee_data[[#This Row],[Specialty/Subspecialty]],condensed_specialty_crosswalk[#All],2,FALSE),"")</f>
        <v/>
      </c>
      <c r="G133" s="53" t="str">
        <f>IFERROR(VLOOKUP(trainee_data[[#This Row],[Specialty/Subspecialty]],condensed_specialty_crosswalk[#All],3,FALSE),"")</f>
        <v/>
      </c>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row>
    <row r="134" spans="5:30" ht="14.25" x14ac:dyDescent="0.45">
      <c r="E134" s="69" t="str">
        <f>IFERROR(VLOOKUP(trainee_data[[#This Row],[Program Specialty]],taxonomy_map[[Other Taxonomy]:[Our Taxonomy]],2,FALSE),"")</f>
        <v/>
      </c>
      <c r="F134" s="55" t="str">
        <f>IFERROR(VLOOKUP(trainee_data[[#This Row],[Specialty/Subspecialty]],condensed_specialty_crosswalk[#All],2,FALSE),"")</f>
        <v/>
      </c>
      <c r="G134" s="56" t="str">
        <f>IFERROR(VLOOKUP(trainee_data[[#This Row],[Specialty/Subspecialty]],condensed_specialty_crosswalk[#All],3,FALSE),"")</f>
        <v/>
      </c>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row>
    <row r="135" spans="5:30" ht="14.25" x14ac:dyDescent="0.45">
      <c r="E135" s="70" t="str">
        <f>IFERROR(VLOOKUP(trainee_data[[#This Row],[Program Specialty]],taxonomy_map[[Other Taxonomy]:[Our Taxonomy]],2,FALSE),"")</f>
        <v/>
      </c>
      <c r="F135" s="52" t="str">
        <f>IFERROR(VLOOKUP(trainee_data[[#This Row],[Specialty/Subspecialty]],condensed_specialty_crosswalk[#All],2,FALSE),"")</f>
        <v/>
      </c>
      <c r="G135" s="53" t="str">
        <f>IFERROR(VLOOKUP(trainee_data[[#This Row],[Specialty/Subspecialty]],condensed_specialty_crosswalk[#All],3,FALSE),"")</f>
        <v/>
      </c>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row>
    <row r="136" spans="5:30" ht="14.25" x14ac:dyDescent="0.45">
      <c r="E136" s="69" t="str">
        <f>IFERROR(VLOOKUP(trainee_data[[#This Row],[Program Specialty]],taxonomy_map[[Other Taxonomy]:[Our Taxonomy]],2,FALSE),"")</f>
        <v/>
      </c>
      <c r="F136" s="55" t="str">
        <f>IFERROR(VLOOKUP(trainee_data[[#This Row],[Specialty/Subspecialty]],condensed_specialty_crosswalk[#All],2,FALSE),"")</f>
        <v/>
      </c>
      <c r="G136" s="56" t="str">
        <f>IFERROR(VLOOKUP(trainee_data[[#This Row],[Specialty/Subspecialty]],condensed_specialty_crosswalk[#All],3,FALSE),"")</f>
        <v/>
      </c>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row>
    <row r="137" spans="5:30" ht="14.25" x14ac:dyDescent="0.45">
      <c r="E137" s="70" t="str">
        <f>IFERROR(VLOOKUP(trainee_data[[#This Row],[Program Specialty]],taxonomy_map[[Other Taxonomy]:[Our Taxonomy]],2,FALSE),"")</f>
        <v/>
      </c>
      <c r="F137" s="52" t="str">
        <f>IFERROR(VLOOKUP(trainee_data[[#This Row],[Specialty/Subspecialty]],condensed_specialty_crosswalk[#All],2,FALSE),"")</f>
        <v/>
      </c>
      <c r="G137" s="53" t="str">
        <f>IFERROR(VLOOKUP(trainee_data[[#This Row],[Specialty/Subspecialty]],condensed_specialty_crosswalk[#All],3,FALSE),"")</f>
        <v/>
      </c>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row>
    <row r="138" spans="5:30" ht="14.25" x14ac:dyDescent="0.45">
      <c r="E138" s="69" t="str">
        <f>IFERROR(VLOOKUP(trainee_data[[#This Row],[Program Specialty]],taxonomy_map[[Other Taxonomy]:[Our Taxonomy]],2,FALSE),"")</f>
        <v/>
      </c>
      <c r="F138" s="55" t="str">
        <f>IFERROR(VLOOKUP(trainee_data[[#This Row],[Specialty/Subspecialty]],condensed_specialty_crosswalk[#All],2,FALSE),"")</f>
        <v/>
      </c>
      <c r="G138" s="56" t="str">
        <f>IFERROR(VLOOKUP(trainee_data[[#This Row],[Specialty/Subspecialty]],condensed_specialty_crosswalk[#All],3,FALSE),"")</f>
        <v/>
      </c>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row>
    <row r="139" spans="5:30" ht="14.25" x14ac:dyDescent="0.45">
      <c r="E139" s="70" t="str">
        <f>IFERROR(VLOOKUP(trainee_data[[#This Row],[Program Specialty]],taxonomy_map[[Other Taxonomy]:[Our Taxonomy]],2,FALSE),"")</f>
        <v/>
      </c>
      <c r="F139" s="52" t="str">
        <f>IFERROR(VLOOKUP(trainee_data[[#This Row],[Specialty/Subspecialty]],condensed_specialty_crosswalk[#All],2,FALSE),"")</f>
        <v/>
      </c>
      <c r="G139" s="53" t="str">
        <f>IFERROR(VLOOKUP(trainee_data[[#This Row],[Specialty/Subspecialty]],condensed_specialty_crosswalk[#All],3,FALSE),"")</f>
        <v/>
      </c>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row>
    <row r="140" spans="5:30" ht="14.25" x14ac:dyDescent="0.45">
      <c r="E140" s="69" t="str">
        <f>IFERROR(VLOOKUP(trainee_data[[#This Row],[Program Specialty]],taxonomy_map[[Other Taxonomy]:[Our Taxonomy]],2,FALSE),"")</f>
        <v/>
      </c>
      <c r="F140" s="55" t="str">
        <f>IFERROR(VLOOKUP(trainee_data[[#This Row],[Specialty/Subspecialty]],condensed_specialty_crosswalk[#All],2,FALSE),"")</f>
        <v/>
      </c>
      <c r="G140" s="56" t="str">
        <f>IFERROR(VLOOKUP(trainee_data[[#This Row],[Specialty/Subspecialty]],condensed_specialty_crosswalk[#All],3,FALSE),"")</f>
        <v/>
      </c>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row>
    <row r="141" spans="5:30" ht="14.25" x14ac:dyDescent="0.45">
      <c r="E141" s="70" t="str">
        <f>IFERROR(VLOOKUP(trainee_data[[#This Row],[Program Specialty]],taxonomy_map[[Other Taxonomy]:[Our Taxonomy]],2,FALSE),"")</f>
        <v/>
      </c>
      <c r="F141" s="52" t="str">
        <f>IFERROR(VLOOKUP(trainee_data[[#This Row],[Specialty/Subspecialty]],condensed_specialty_crosswalk[#All],2,FALSE),"")</f>
        <v/>
      </c>
      <c r="G141" s="53" t="str">
        <f>IFERROR(VLOOKUP(trainee_data[[#This Row],[Specialty/Subspecialty]],condensed_specialty_crosswalk[#All],3,FALSE),"")</f>
        <v/>
      </c>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row>
    <row r="142" spans="5:30" ht="14.25" x14ac:dyDescent="0.45">
      <c r="E142" s="69" t="str">
        <f>IFERROR(VLOOKUP(trainee_data[[#This Row],[Program Specialty]],taxonomy_map[[Other Taxonomy]:[Our Taxonomy]],2,FALSE),"")</f>
        <v/>
      </c>
      <c r="F142" s="55" t="str">
        <f>IFERROR(VLOOKUP(trainee_data[[#This Row],[Specialty/Subspecialty]],condensed_specialty_crosswalk[#All],2,FALSE),"")</f>
        <v/>
      </c>
      <c r="G142" s="56" t="str">
        <f>IFERROR(VLOOKUP(trainee_data[[#This Row],[Specialty/Subspecialty]],condensed_specialty_crosswalk[#All],3,FALSE),"")</f>
        <v/>
      </c>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row>
    <row r="143" spans="5:30" ht="14.25" x14ac:dyDescent="0.45">
      <c r="E143" s="70" t="str">
        <f>IFERROR(VLOOKUP(trainee_data[[#This Row],[Program Specialty]],taxonomy_map[[Other Taxonomy]:[Our Taxonomy]],2,FALSE),"")</f>
        <v/>
      </c>
      <c r="F143" s="52" t="str">
        <f>IFERROR(VLOOKUP(trainee_data[[#This Row],[Specialty/Subspecialty]],condensed_specialty_crosswalk[#All],2,FALSE),"")</f>
        <v/>
      </c>
      <c r="G143" s="53" t="str">
        <f>IFERROR(VLOOKUP(trainee_data[[#This Row],[Specialty/Subspecialty]],condensed_specialty_crosswalk[#All],3,FALSE),"")</f>
        <v/>
      </c>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row>
    <row r="144" spans="5:30" ht="14.25" x14ac:dyDescent="0.45">
      <c r="E144" s="69" t="str">
        <f>IFERROR(VLOOKUP(trainee_data[[#This Row],[Program Specialty]],taxonomy_map[[Other Taxonomy]:[Our Taxonomy]],2,FALSE),"")</f>
        <v/>
      </c>
      <c r="F144" s="55" t="str">
        <f>IFERROR(VLOOKUP(trainee_data[[#This Row],[Specialty/Subspecialty]],condensed_specialty_crosswalk[#All],2,FALSE),"")</f>
        <v/>
      </c>
      <c r="G144" s="56" t="str">
        <f>IFERROR(VLOOKUP(trainee_data[[#This Row],[Specialty/Subspecialty]],condensed_specialty_crosswalk[#All],3,FALSE),"")</f>
        <v/>
      </c>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row>
    <row r="145" spans="5:30" ht="14.25" x14ac:dyDescent="0.45">
      <c r="E145" s="70" t="str">
        <f>IFERROR(VLOOKUP(trainee_data[[#This Row],[Program Specialty]],taxonomy_map[[Other Taxonomy]:[Our Taxonomy]],2,FALSE),"")</f>
        <v/>
      </c>
      <c r="F145" s="52" t="str">
        <f>IFERROR(VLOOKUP(trainee_data[[#This Row],[Specialty/Subspecialty]],condensed_specialty_crosswalk[#All],2,FALSE),"")</f>
        <v/>
      </c>
      <c r="G145" s="53" t="str">
        <f>IFERROR(VLOOKUP(trainee_data[[#This Row],[Specialty/Subspecialty]],condensed_specialty_crosswalk[#All],3,FALSE),"")</f>
        <v/>
      </c>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row>
    <row r="146" spans="5:30" ht="14.25" x14ac:dyDescent="0.45">
      <c r="E146" s="69" t="str">
        <f>IFERROR(VLOOKUP(trainee_data[[#This Row],[Program Specialty]],taxonomy_map[[Other Taxonomy]:[Our Taxonomy]],2,FALSE),"")</f>
        <v/>
      </c>
      <c r="F146" s="55" t="str">
        <f>IFERROR(VLOOKUP(trainee_data[[#This Row],[Specialty/Subspecialty]],condensed_specialty_crosswalk[#All],2,FALSE),"")</f>
        <v/>
      </c>
      <c r="G146" s="56" t="str">
        <f>IFERROR(VLOOKUP(trainee_data[[#This Row],[Specialty/Subspecialty]],condensed_specialty_crosswalk[#All],3,FALSE),"")</f>
        <v/>
      </c>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row>
    <row r="147" spans="5:30" ht="14.25" x14ac:dyDescent="0.45">
      <c r="E147" s="70" t="str">
        <f>IFERROR(VLOOKUP(trainee_data[[#This Row],[Program Specialty]],taxonomy_map[[Other Taxonomy]:[Our Taxonomy]],2,FALSE),"")</f>
        <v/>
      </c>
      <c r="F147" s="52" t="str">
        <f>IFERROR(VLOOKUP(trainee_data[[#This Row],[Specialty/Subspecialty]],condensed_specialty_crosswalk[#All],2,FALSE),"")</f>
        <v/>
      </c>
      <c r="G147" s="53" t="str">
        <f>IFERROR(VLOOKUP(trainee_data[[#This Row],[Specialty/Subspecialty]],condensed_specialty_crosswalk[#All],3,FALSE),"")</f>
        <v/>
      </c>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row>
    <row r="148" spans="5:30" ht="14.25" x14ac:dyDescent="0.45">
      <c r="E148" s="69" t="str">
        <f>IFERROR(VLOOKUP(trainee_data[[#This Row],[Program Specialty]],taxonomy_map[[Other Taxonomy]:[Our Taxonomy]],2,FALSE),"")</f>
        <v/>
      </c>
      <c r="F148" s="55" t="str">
        <f>IFERROR(VLOOKUP(trainee_data[[#This Row],[Specialty/Subspecialty]],condensed_specialty_crosswalk[#All],2,FALSE),"")</f>
        <v/>
      </c>
      <c r="G148" s="56" t="str">
        <f>IFERROR(VLOOKUP(trainee_data[[#This Row],[Specialty/Subspecialty]],condensed_specialty_crosswalk[#All],3,FALSE),"")</f>
        <v/>
      </c>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row>
    <row r="149" spans="5:30" ht="14.25" x14ac:dyDescent="0.45">
      <c r="E149" s="70" t="str">
        <f>IFERROR(VLOOKUP(trainee_data[[#This Row],[Program Specialty]],taxonomy_map[[Other Taxonomy]:[Our Taxonomy]],2,FALSE),"")</f>
        <v/>
      </c>
      <c r="F149" s="52" t="str">
        <f>IFERROR(VLOOKUP(trainee_data[[#This Row],[Specialty/Subspecialty]],condensed_specialty_crosswalk[#All],2,FALSE),"")</f>
        <v/>
      </c>
      <c r="G149" s="53" t="str">
        <f>IFERROR(VLOOKUP(trainee_data[[#This Row],[Specialty/Subspecialty]],condensed_specialty_crosswalk[#All],3,FALSE),"")</f>
        <v/>
      </c>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row>
    <row r="150" spans="5:30" ht="14.25" x14ac:dyDescent="0.45">
      <c r="E150" s="69" t="str">
        <f>IFERROR(VLOOKUP(trainee_data[[#This Row],[Program Specialty]],taxonomy_map[[Other Taxonomy]:[Our Taxonomy]],2,FALSE),"")</f>
        <v/>
      </c>
      <c r="F150" s="55" t="str">
        <f>IFERROR(VLOOKUP(trainee_data[[#This Row],[Specialty/Subspecialty]],condensed_specialty_crosswalk[#All],2,FALSE),"")</f>
        <v/>
      </c>
      <c r="G150" s="56" t="str">
        <f>IFERROR(VLOOKUP(trainee_data[[#This Row],[Specialty/Subspecialty]],condensed_specialty_crosswalk[#All],3,FALSE),"")</f>
        <v/>
      </c>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row>
    <row r="151" spans="5:30" ht="14.25" x14ac:dyDescent="0.45">
      <c r="E151" s="70" t="str">
        <f>IFERROR(VLOOKUP(trainee_data[[#This Row],[Program Specialty]],taxonomy_map[[Other Taxonomy]:[Our Taxonomy]],2,FALSE),"")</f>
        <v/>
      </c>
      <c r="F151" s="52" t="str">
        <f>IFERROR(VLOOKUP(trainee_data[[#This Row],[Specialty/Subspecialty]],condensed_specialty_crosswalk[#All],2,FALSE),"")</f>
        <v/>
      </c>
      <c r="G151" s="53" t="str">
        <f>IFERROR(VLOOKUP(trainee_data[[#This Row],[Specialty/Subspecialty]],condensed_specialty_crosswalk[#All],3,FALSE),"")</f>
        <v/>
      </c>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row>
    <row r="152" spans="5:30" ht="14.25" x14ac:dyDescent="0.45">
      <c r="E152" s="69" t="str">
        <f>IFERROR(VLOOKUP(trainee_data[[#This Row],[Program Specialty]],taxonomy_map[[Other Taxonomy]:[Our Taxonomy]],2,FALSE),"")</f>
        <v/>
      </c>
      <c r="F152" s="55" t="str">
        <f>IFERROR(VLOOKUP(trainee_data[[#This Row],[Specialty/Subspecialty]],condensed_specialty_crosswalk[#All],2,FALSE),"")</f>
        <v/>
      </c>
      <c r="G152" s="56" t="str">
        <f>IFERROR(VLOOKUP(trainee_data[[#This Row],[Specialty/Subspecialty]],condensed_specialty_crosswalk[#All],3,FALSE),"")</f>
        <v/>
      </c>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row>
    <row r="153" spans="5:30" ht="14.25" x14ac:dyDescent="0.45">
      <c r="E153" s="70" t="str">
        <f>IFERROR(VLOOKUP(trainee_data[[#This Row],[Program Specialty]],taxonomy_map[[Other Taxonomy]:[Our Taxonomy]],2,FALSE),"")</f>
        <v/>
      </c>
      <c r="F153" s="52" t="str">
        <f>IFERROR(VLOOKUP(trainee_data[[#This Row],[Specialty/Subspecialty]],condensed_specialty_crosswalk[#All],2,FALSE),"")</f>
        <v/>
      </c>
      <c r="G153" s="53" t="str">
        <f>IFERROR(VLOOKUP(trainee_data[[#This Row],[Specialty/Subspecialty]],condensed_specialty_crosswalk[#All],3,FALSE),"")</f>
        <v/>
      </c>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row>
    <row r="154" spans="5:30" ht="14.25" x14ac:dyDescent="0.45">
      <c r="E154" s="69" t="str">
        <f>IFERROR(VLOOKUP(trainee_data[[#This Row],[Program Specialty]],taxonomy_map[[Other Taxonomy]:[Our Taxonomy]],2,FALSE),"")</f>
        <v/>
      </c>
      <c r="F154" s="55" t="str">
        <f>IFERROR(VLOOKUP(trainee_data[[#This Row],[Specialty/Subspecialty]],condensed_specialty_crosswalk[#All],2,FALSE),"")</f>
        <v/>
      </c>
      <c r="G154" s="56" t="str">
        <f>IFERROR(VLOOKUP(trainee_data[[#This Row],[Specialty/Subspecialty]],condensed_specialty_crosswalk[#All],3,FALSE),"")</f>
        <v/>
      </c>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row>
    <row r="155" spans="5:30" ht="14.25" x14ac:dyDescent="0.45">
      <c r="E155" s="70" t="str">
        <f>IFERROR(VLOOKUP(trainee_data[[#This Row],[Program Specialty]],taxonomy_map[[Other Taxonomy]:[Our Taxonomy]],2,FALSE),"")</f>
        <v/>
      </c>
      <c r="F155" s="52" t="str">
        <f>IFERROR(VLOOKUP(trainee_data[[#This Row],[Specialty/Subspecialty]],condensed_specialty_crosswalk[#All],2,FALSE),"")</f>
        <v/>
      </c>
      <c r="G155" s="53" t="str">
        <f>IFERROR(VLOOKUP(trainee_data[[#This Row],[Specialty/Subspecialty]],condensed_specialty_crosswalk[#All],3,FALSE),"")</f>
        <v/>
      </c>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row>
    <row r="156" spans="5:30" ht="14.25" x14ac:dyDescent="0.45">
      <c r="E156" s="69" t="str">
        <f>IFERROR(VLOOKUP(trainee_data[[#This Row],[Program Specialty]],taxonomy_map[[Other Taxonomy]:[Our Taxonomy]],2,FALSE),"")</f>
        <v/>
      </c>
      <c r="F156" s="55" t="str">
        <f>IFERROR(VLOOKUP(trainee_data[[#This Row],[Specialty/Subspecialty]],condensed_specialty_crosswalk[#All],2,FALSE),"")</f>
        <v/>
      </c>
      <c r="G156" s="56" t="str">
        <f>IFERROR(VLOOKUP(trainee_data[[#This Row],[Specialty/Subspecialty]],condensed_specialty_crosswalk[#All],3,FALSE),"")</f>
        <v/>
      </c>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row>
    <row r="157" spans="5:30" ht="14.25" x14ac:dyDescent="0.45">
      <c r="E157" s="70" t="str">
        <f>IFERROR(VLOOKUP(trainee_data[[#This Row],[Program Specialty]],taxonomy_map[[Other Taxonomy]:[Our Taxonomy]],2,FALSE),"")</f>
        <v/>
      </c>
      <c r="F157" s="52" t="str">
        <f>IFERROR(VLOOKUP(trainee_data[[#This Row],[Specialty/Subspecialty]],condensed_specialty_crosswalk[#All],2,FALSE),"")</f>
        <v/>
      </c>
      <c r="G157" s="53" t="str">
        <f>IFERROR(VLOOKUP(trainee_data[[#This Row],[Specialty/Subspecialty]],condensed_specialty_crosswalk[#All],3,FALSE),"")</f>
        <v/>
      </c>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row>
    <row r="158" spans="5:30" ht="14.25" x14ac:dyDescent="0.45">
      <c r="E158" s="69" t="str">
        <f>IFERROR(VLOOKUP(trainee_data[[#This Row],[Program Specialty]],taxonomy_map[[Other Taxonomy]:[Our Taxonomy]],2,FALSE),"")</f>
        <v/>
      </c>
      <c r="F158" s="55" t="str">
        <f>IFERROR(VLOOKUP(trainee_data[[#This Row],[Specialty/Subspecialty]],condensed_specialty_crosswalk[#All],2,FALSE),"")</f>
        <v/>
      </c>
      <c r="G158" s="56" t="str">
        <f>IFERROR(VLOOKUP(trainee_data[[#This Row],[Specialty/Subspecialty]],condensed_specialty_crosswalk[#All],3,FALSE),"")</f>
        <v/>
      </c>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row>
    <row r="159" spans="5:30" ht="14.25" x14ac:dyDescent="0.45">
      <c r="E159" s="70" t="str">
        <f>IFERROR(VLOOKUP(trainee_data[[#This Row],[Program Specialty]],taxonomy_map[[Other Taxonomy]:[Our Taxonomy]],2,FALSE),"")</f>
        <v/>
      </c>
      <c r="F159" s="52" t="str">
        <f>IFERROR(VLOOKUP(trainee_data[[#This Row],[Specialty/Subspecialty]],condensed_specialty_crosswalk[#All],2,FALSE),"")</f>
        <v/>
      </c>
      <c r="G159" s="53" t="str">
        <f>IFERROR(VLOOKUP(trainee_data[[#This Row],[Specialty/Subspecialty]],condensed_specialty_crosswalk[#All],3,FALSE),"")</f>
        <v/>
      </c>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row>
    <row r="160" spans="5:30" ht="14.25" x14ac:dyDescent="0.45">
      <c r="E160" s="69" t="str">
        <f>IFERROR(VLOOKUP(trainee_data[[#This Row],[Program Specialty]],taxonomy_map[[Other Taxonomy]:[Our Taxonomy]],2,FALSE),"")</f>
        <v/>
      </c>
      <c r="F160" s="55" t="str">
        <f>IFERROR(VLOOKUP(trainee_data[[#This Row],[Specialty/Subspecialty]],condensed_specialty_crosswalk[#All],2,FALSE),"")</f>
        <v/>
      </c>
      <c r="G160" s="56" t="str">
        <f>IFERROR(VLOOKUP(trainee_data[[#This Row],[Specialty/Subspecialty]],condensed_specialty_crosswalk[#All],3,FALSE),"")</f>
        <v/>
      </c>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row>
    <row r="161" spans="5:30" ht="14.25" x14ac:dyDescent="0.45">
      <c r="E161" s="70" t="str">
        <f>IFERROR(VLOOKUP(trainee_data[[#This Row],[Program Specialty]],taxonomy_map[[Other Taxonomy]:[Our Taxonomy]],2,FALSE),"")</f>
        <v/>
      </c>
      <c r="F161" s="52" t="str">
        <f>IFERROR(VLOOKUP(trainee_data[[#This Row],[Specialty/Subspecialty]],condensed_specialty_crosswalk[#All],2,FALSE),"")</f>
        <v/>
      </c>
      <c r="G161" s="53" t="str">
        <f>IFERROR(VLOOKUP(trainee_data[[#This Row],[Specialty/Subspecialty]],condensed_specialty_crosswalk[#All],3,FALSE),"")</f>
        <v/>
      </c>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row>
    <row r="162" spans="5:30" ht="14.25" x14ac:dyDescent="0.45">
      <c r="E162" s="69" t="str">
        <f>IFERROR(VLOOKUP(trainee_data[[#This Row],[Program Specialty]],taxonomy_map[[Other Taxonomy]:[Our Taxonomy]],2,FALSE),"")</f>
        <v/>
      </c>
      <c r="F162" s="55" t="str">
        <f>IFERROR(VLOOKUP(trainee_data[[#This Row],[Specialty/Subspecialty]],condensed_specialty_crosswalk[#All],2,FALSE),"")</f>
        <v/>
      </c>
      <c r="G162" s="56" t="str">
        <f>IFERROR(VLOOKUP(trainee_data[[#This Row],[Specialty/Subspecialty]],condensed_specialty_crosswalk[#All],3,FALSE),"")</f>
        <v/>
      </c>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row>
    <row r="163" spans="5:30" ht="14.25" x14ac:dyDescent="0.45">
      <c r="E163" s="70" t="str">
        <f>IFERROR(VLOOKUP(trainee_data[[#This Row],[Program Specialty]],taxonomy_map[[Other Taxonomy]:[Our Taxonomy]],2,FALSE),"")</f>
        <v/>
      </c>
      <c r="F163" s="52" t="str">
        <f>IFERROR(VLOOKUP(trainee_data[[#This Row],[Specialty/Subspecialty]],condensed_specialty_crosswalk[#All],2,FALSE),"")</f>
        <v/>
      </c>
      <c r="G163" s="53" t="str">
        <f>IFERROR(VLOOKUP(trainee_data[[#This Row],[Specialty/Subspecialty]],condensed_specialty_crosswalk[#All],3,FALSE),"")</f>
        <v/>
      </c>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row>
    <row r="164" spans="5:30" ht="14.25" x14ac:dyDescent="0.45">
      <c r="E164" s="69" t="str">
        <f>IFERROR(VLOOKUP(trainee_data[[#This Row],[Program Specialty]],taxonomy_map[[Other Taxonomy]:[Our Taxonomy]],2,FALSE),"")</f>
        <v/>
      </c>
      <c r="F164" s="55" t="str">
        <f>IFERROR(VLOOKUP(trainee_data[[#This Row],[Specialty/Subspecialty]],condensed_specialty_crosswalk[#All],2,FALSE),"")</f>
        <v/>
      </c>
      <c r="G164" s="56" t="str">
        <f>IFERROR(VLOOKUP(trainee_data[[#This Row],[Specialty/Subspecialty]],condensed_specialty_crosswalk[#All],3,FALSE),"")</f>
        <v/>
      </c>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row>
    <row r="165" spans="5:30" ht="14.25" x14ac:dyDescent="0.45">
      <c r="E165" s="70" t="str">
        <f>IFERROR(VLOOKUP(trainee_data[[#This Row],[Program Specialty]],taxonomy_map[[Other Taxonomy]:[Our Taxonomy]],2,FALSE),"")</f>
        <v/>
      </c>
      <c r="F165" s="52" t="str">
        <f>IFERROR(VLOOKUP(trainee_data[[#This Row],[Specialty/Subspecialty]],condensed_specialty_crosswalk[#All],2,FALSE),"")</f>
        <v/>
      </c>
      <c r="G165" s="53" t="str">
        <f>IFERROR(VLOOKUP(trainee_data[[#This Row],[Specialty/Subspecialty]],condensed_specialty_crosswalk[#All],3,FALSE),"")</f>
        <v/>
      </c>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row>
    <row r="166" spans="5:30" ht="14.25" x14ac:dyDescent="0.45">
      <c r="E166" s="69" t="str">
        <f>IFERROR(VLOOKUP(trainee_data[[#This Row],[Program Specialty]],taxonomy_map[[Other Taxonomy]:[Our Taxonomy]],2,FALSE),"")</f>
        <v/>
      </c>
      <c r="F166" s="55" t="str">
        <f>IFERROR(VLOOKUP(trainee_data[[#This Row],[Specialty/Subspecialty]],condensed_specialty_crosswalk[#All],2,FALSE),"")</f>
        <v/>
      </c>
      <c r="G166" s="56" t="str">
        <f>IFERROR(VLOOKUP(trainee_data[[#This Row],[Specialty/Subspecialty]],condensed_specialty_crosswalk[#All],3,FALSE),"")</f>
        <v/>
      </c>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row>
    <row r="167" spans="5:30" ht="14.25" x14ac:dyDescent="0.45">
      <c r="E167" s="70" t="str">
        <f>IFERROR(VLOOKUP(trainee_data[[#This Row],[Program Specialty]],taxonomy_map[[Other Taxonomy]:[Our Taxonomy]],2,FALSE),"")</f>
        <v/>
      </c>
      <c r="F167" s="52" t="str">
        <f>IFERROR(VLOOKUP(trainee_data[[#This Row],[Specialty/Subspecialty]],condensed_specialty_crosswalk[#All],2,FALSE),"")</f>
        <v/>
      </c>
      <c r="G167" s="53" t="str">
        <f>IFERROR(VLOOKUP(trainee_data[[#This Row],[Specialty/Subspecialty]],condensed_specialty_crosswalk[#All],3,FALSE),"")</f>
        <v/>
      </c>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row>
    <row r="168" spans="5:30" ht="14.25" x14ac:dyDescent="0.45">
      <c r="E168" s="69" t="str">
        <f>IFERROR(VLOOKUP(trainee_data[[#This Row],[Program Specialty]],taxonomy_map[[Other Taxonomy]:[Our Taxonomy]],2,FALSE),"")</f>
        <v/>
      </c>
      <c r="F168" s="55" t="str">
        <f>IFERROR(VLOOKUP(trainee_data[[#This Row],[Specialty/Subspecialty]],condensed_specialty_crosswalk[#All],2,FALSE),"")</f>
        <v/>
      </c>
      <c r="G168" s="56" t="str">
        <f>IFERROR(VLOOKUP(trainee_data[[#This Row],[Specialty/Subspecialty]],condensed_specialty_crosswalk[#All],3,FALSE),"")</f>
        <v/>
      </c>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row>
    <row r="169" spans="5:30" ht="14.25" x14ac:dyDescent="0.45">
      <c r="E169" s="70" t="str">
        <f>IFERROR(VLOOKUP(trainee_data[[#This Row],[Program Specialty]],taxonomy_map[[Other Taxonomy]:[Our Taxonomy]],2,FALSE),"")</f>
        <v/>
      </c>
      <c r="F169" s="52" t="str">
        <f>IFERROR(VLOOKUP(trainee_data[[#This Row],[Specialty/Subspecialty]],condensed_specialty_crosswalk[#All],2,FALSE),"")</f>
        <v/>
      </c>
      <c r="G169" s="53" t="str">
        <f>IFERROR(VLOOKUP(trainee_data[[#This Row],[Specialty/Subspecialty]],condensed_specialty_crosswalk[#All],3,FALSE),"")</f>
        <v/>
      </c>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row>
    <row r="170" spans="5:30" ht="14.25" x14ac:dyDescent="0.45">
      <c r="E170" s="69" t="str">
        <f>IFERROR(VLOOKUP(trainee_data[[#This Row],[Program Specialty]],taxonomy_map[[Other Taxonomy]:[Our Taxonomy]],2,FALSE),"")</f>
        <v/>
      </c>
      <c r="F170" s="55" t="str">
        <f>IFERROR(VLOOKUP(trainee_data[[#This Row],[Specialty/Subspecialty]],condensed_specialty_crosswalk[#All],2,FALSE),"")</f>
        <v/>
      </c>
      <c r="G170" s="56" t="str">
        <f>IFERROR(VLOOKUP(trainee_data[[#This Row],[Specialty/Subspecialty]],condensed_specialty_crosswalk[#All],3,FALSE),"")</f>
        <v/>
      </c>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row>
    <row r="171" spans="5:30" ht="14.25" x14ac:dyDescent="0.45">
      <c r="E171" s="70" t="str">
        <f>IFERROR(VLOOKUP(trainee_data[[#This Row],[Program Specialty]],taxonomy_map[[Other Taxonomy]:[Our Taxonomy]],2,FALSE),"")</f>
        <v/>
      </c>
      <c r="F171" s="52" t="str">
        <f>IFERROR(VLOOKUP(trainee_data[[#This Row],[Specialty/Subspecialty]],condensed_specialty_crosswalk[#All],2,FALSE),"")</f>
        <v/>
      </c>
      <c r="G171" s="53" t="str">
        <f>IFERROR(VLOOKUP(trainee_data[[#This Row],[Specialty/Subspecialty]],condensed_specialty_crosswalk[#All],3,FALSE),"")</f>
        <v/>
      </c>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row>
    <row r="172" spans="5:30" ht="14.25" x14ac:dyDescent="0.45">
      <c r="E172" s="69" t="str">
        <f>IFERROR(VLOOKUP(trainee_data[[#This Row],[Program Specialty]],taxonomy_map[[Other Taxonomy]:[Our Taxonomy]],2,FALSE),"")</f>
        <v/>
      </c>
      <c r="F172" s="55" t="str">
        <f>IFERROR(VLOOKUP(trainee_data[[#This Row],[Specialty/Subspecialty]],condensed_specialty_crosswalk[#All],2,FALSE),"")</f>
        <v/>
      </c>
      <c r="G172" s="56" t="str">
        <f>IFERROR(VLOOKUP(trainee_data[[#This Row],[Specialty/Subspecialty]],condensed_specialty_crosswalk[#All],3,FALSE),"")</f>
        <v/>
      </c>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row>
    <row r="173" spans="5:30" ht="14.25" x14ac:dyDescent="0.45">
      <c r="E173" s="70" t="str">
        <f>IFERROR(VLOOKUP(trainee_data[[#This Row],[Program Specialty]],taxonomy_map[[Other Taxonomy]:[Our Taxonomy]],2,FALSE),"")</f>
        <v/>
      </c>
      <c r="F173" s="52" t="str">
        <f>IFERROR(VLOOKUP(trainee_data[[#This Row],[Specialty/Subspecialty]],condensed_specialty_crosswalk[#All],2,FALSE),"")</f>
        <v/>
      </c>
      <c r="G173" s="53" t="str">
        <f>IFERROR(VLOOKUP(trainee_data[[#This Row],[Specialty/Subspecialty]],condensed_specialty_crosswalk[#All],3,FALSE),"")</f>
        <v/>
      </c>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row>
    <row r="174" spans="5:30" ht="14.25" x14ac:dyDescent="0.45">
      <c r="E174" s="69" t="str">
        <f>IFERROR(VLOOKUP(trainee_data[[#This Row],[Program Specialty]],taxonomy_map[[Other Taxonomy]:[Our Taxonomy]],2,FALSE),"")</f>
        <v/>
      </c>
      <c r="F174" s="55" t="str">
        <f>IFERROR(VLOOKUP(trainee_data[[#This Row],[Specialty/Subspecialty]],condensed_specialty_crosswalk[#All],2,FALSE),"")</f>
        <v/>
      </c>
      <c r="G174" s="56" t="str">
        <f>IFERROR(VLOOKUP(trainee_data[[#This Row],[Specialty/Subspecialty]],condensed_specialty_crosswalk[#All],3,FALSE),"")</f>
        <v/>
      </c>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row>
    <row r="175" spans="5:30" ht="14.25" x14ac:dyDescent="0.45">
      <c r="E175" s="70" t="str">
        <f>IFERROR(VLOOKUP(trainee_data[[#This Row],[Program Specialty]],taxonomy_map[[Other Taxonomy]:[Our Taxonomy]],2,FALSE),"")</f>
        <v/>
      </c>
      <c r="F175" s="52" t="str">
        <f>IFERROR(VLOOKUP(trainee_data[[#This Row],[Specialty/Subspecialty]],condensed_specialty_crosswalk[#All],2,FALSE),"")</f>
        <v/>
      </c>
      <c r="G175" s="53" t="str">
        <f>IFERROR(VLOOKUP(trainee_data[[#This Row],[Specialty/Subspecialty]],condensed_specialty_crosswalk[#All],3,FALSE),"")</f>
        <v/>
      </c>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row>
    <row r="176" spans="5:30" ht="14.25" x14ac:dyDescent="0.45">
      <c r="E176" s="69" t="str">
        <f>IFERROR(VLOOKUP(trainee_data[[#This Row],[Program Specialty]],taxonomy_map[[Other Taxonomy]:[Our Taxonomy]],2,FALSE),"")</f>
        <v/>
      </c>
      <c r="F176" s="55" t="str">
        <f>IFERROR(VLOOKUP(trainee_data[[#This Row],[Specialty/Subspecialty]],condensed_specialty_crosswalk[#All],2,FALSE),"")</f>
        <v/>
      </c>
      <c r="G176" s="56" t="str">
        <f>IFERROR(VLOOKUP(trainee_data[[#This Row],[Specialty/Subspecialty]],condensed_specialty_crosswalk[#All],3,FALSE),"")</f>
        <v/>
      </c>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row>
    <row r="177" spans="5:30" ht="14.25" x14ac:dyDescent="0.45">
      <c r="E177" s="70" t="str">
        <f>IFERROR(VLOOKUP(trainee_data[[#This Row],[Program Specialty]],taxonomy_map[[Other Taxonomy]:[Our Taxonomy]],2,FALSE),"")</f>
        <v/>
      </c>
      <c r="F177" s="52" t="str">
        <f>IFERROR(VLOOKUP(trainee_data[[#This Row],[Specialty/Subspecialty]],condensed_specialty_crosswalk[#All],2,FALSE),"")</f>
        <v/>
      </c>
      <c r="G177" s="53" t="str">
        <f>IFERROR(VLOOKUP(trainee_data[[#This Row],[Specialty/Subspecialty]],condensed_specialty_crosswalk[#All],3,FALSE),"")</f>
        <v/>
      </c>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row>
    <row r="178" spans="5:30" ht="14.25" x14ac:dyDescent="0.45">
      <c r="E178" s="69" t="str">
        <f>IFERROR(VLOOKUP(trainee_data[[#This Row],[Program Specialty]],taxonomy_map[[Other Taxonomy]:[Our Taxonomy]],2,FALSE),"")</f>
        <v/>
      </c>
      <c r="F178" s="55" t="str">
        <f>IFERROR(VLOOKUP(trainee_data[[#This Row],[Specialty/Subspecialty]],condensed_specialty_crosswalk[#All],2,FALSE),"")</f>
        <v/>
      </c>
      <c r="G178" s="56" t="str">
        <f>IFERROR(VLOOKUP(trainee_data[[#This Row],[Specialty/Subspecialty]],condensed_specialty_crosswalk[#All],3,FALSE),"")</f>
        <v/>
      </c>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row>
    <row r="179" spans="5:30" ht="14.25" x14ac:dyDescent="0.45">
      <c r="E179" s="70" t="str">
        <f>IFERROR(VLOOKUP(trainee_data[[#This Row],[Program Specialty]],taxonomy_map[[Other Taxonomy]:[Our Taxonomy]],2,FALSE),"")</f>
        <v/>
      </c>
      <c r="F179" s="52" t="str">
        <f>IFERROR(VLOOKUP(trainee_data[[#This Row],[Specialty/Subspecialty]],condensed_specialty_crosswalk[#All],2,FALSE),"")</f>
        <v/>
      </c>
      <c r="G179" s="53" t="str">
        <f>IFERROR(VLOOKUP(trainee_data[[#This Row],[Specialty/Subspecialty]],condensed_specialty_crosswalk[#All],3,FALSE),"")</f>
        <v/>
      </c>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row>
    <row r="180" spans="5:30" ht="14.25" x14ac:dyDescent="0.45">
      <c r="E180" s="69" t="str">
        <f>IFERROR(VLOOKUP(trainee_data[[#This Row],[Program Specialty]],taxonomy_map[[Other Taxonomy]:[Our Taxonomy]],2,FALSE),"")</f>
        <v/>
      </c>
      <c r="F180" s="55" t="str">
        <f>IFERROR(VLOOKUP(trainee_data[[#This Row],[Specialty/Subspecialty]],condensed_specialty_crosswalk[#All],2,FALSE),"")</f>
        <v/>
      </c>
      <c r="G180" s="56" t="str">
        <f>IFERROR(VLOOKUP(trainee_data[[#This Row],[Specialty/Subspecialty]],condensed_specialty_crosswalk[#All],3,FALSE),"")</f>
        <v/>
      </c>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row>
    <row r="181" spans="5:30" ht="14.25" x14ac:dyDescent="0.45">
      <c r="E181" s="70" t="str">
        <f>IFERROR(VLOOKUP(trainee_data[[#This Row],[Program Specialty]],taxonomy_map[[Other Taxonomy]:[Our Taxonomy]],2,FALSE),"")</f>
        <v/>
      </c>
      <c r="F181" s="52" t="str">
        <f>IFERROR(VLOOKUP(trainee_data[[#This Row],[Specialty/Subspecialty]],condensed_specialty_crosswalk[#All],2,FALSE),"")</f>
        <v/>
      </c>
      <c r="G181" s="53" t="str">
        <f>IFERROR(VLOOKUP(trainee_data[[#This Row],[Specialty/Subspecialty]],condensed_specialty_crosswalk[#All],3,FALSE),"")</f>
        <v/>
      </c>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row>
    <row r="182" spans="5:30" ht="14.25" x14ac:dyDescent="0.45">
      <c r="E182" s="69" t="str">
        <f>IFERROR(VLOOKUP(trainee_data[[#This Row],[Program Specialty]],taxonomy_map[[Other Taxonomy]:[Our Taxonomy]],2,FALSE),"")</f>
        <v/>
      </c>
      <c r="F182" s="55" t="str">
        <f>IFERROR(VLOOKUP(trainee_data[[#This Row],[Specialty/Subspecialty]],condensed_specialty_crosswalk[#All],2,FALSE),"")</f>
        <v/>
      </c>
      <c r="G182" s="56" t="str">
        <f>IFERROR(VLOOKUP(trainee_data[[#This Row],[Specialty/Subspecialty]],condensed_specialty_crosswalk[#All],3,FALSE),"")</f>
        <v/>
      </c>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row>
    <row r="183" spans="5:30" ht="14.25" x14ac:dyDescent="0.45">
      <c r="E183" s="70" t="str">
        <f>IFERROR(VLOOKUP(trainee_data[[#This Row],[Program Specialty]],taxonomy_map[[Other Taxonomy]:[Our Taxonomy]],2,FALSE),"")</f>
        <v/>
      </c>
      <c r="F183" s="52" t="str">
        <f>IFERROR(VLOOKUP(trainee_data[[#This Row],[Specialty/Subspecialty]],condensed_specialty_crosswalk[#All],2,FALSE),"")</f>
        <v/>
      </c>
      <c r="G183" s="53" t="str">
        <f>IFERROR(VLOOKUP(trainee_data[[#This Row],[Specialty/Subspecialty]],condensed_specialty_crosswalk[#All],3,FALSE),"")</f>
        <v/>
      </c>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row>
    <row r="184" spans="5:30" ht="14.25" x14ac:dyDescent="0.45">
      <c r="E184" s="69" t="str">
        <f>IFERROR(VLOOKUP(trainee_data[[#This Row],[Program Specialty]],taxonomy_map[[Other Taxonomy]:[Our Taxonomy]],2,FALSE),"")</f>
        <v/>
      </c>
      <c r="F184" s="55" t="str">
        <f>IFERROR(VLOOKUP(trainee_data[[#This Row],[Specialty/Subspecialty]],condensed_specialty_crosswalk[#All],2,FALSE),"")</f>
        <v/>
      </c>
      <c r="G184" s="56" t="str">
        <f>IFERROR(VLOOKUP(trainee_data[[#This Row],[Specialty/Subspecialty]],condensed_specialty_crosswalk[#All],3,FALSE),"")</f>
        <v/>
      </c>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row>
    <row r="185" spans="5:30" ht="14.25" x14ac:dyDescent="0.45">
      <c r="E185" s="70" t="str">
        <f>IFERROR(VLOOKUP(trainee_data[[#This Row],[Program Specialty]],taxonomy_map[[Other Taxonomy]:[Our Taxonomy]],2,FALSE),"")</f>
        <v/>
      </c>
      <c r="F185" s="52" t="str">
        <f>IFERROR(VLOOKUP(trainee_data[[#This Row],[Specialty/Subspecialty]],condensed_specialty_crosswalk[#All],2,FALSE),"")</f>
        <v/>
      </c>
      <c r="G185" s="53" t="str">
        <f>IFERROR(VLOOKUP(trainee_data[[#This Row],[Specialty/Subspecialty]],condensed_specialty_crosswalk[#All],3,FALSE),"")</f>
        <v/>
      </c>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row>
    <row r="186" spans="5:30" ht="14.25" x14ac:dyDescent="0.45">
      <c r="E186" s="69" t="str">
        <f>IFERROR(VLOOKUP(trainee_data[[#This Row],[Program Specialty]],taxonomy_map[[Other Taxonomy]:[Our Taxonomy]],2,FALSE),"")</f>
        <v/>
      </c>
      <c r="F186" s="55" t="str">
        <f>IFERROR(VLOOKUP(trainee_data[[#This Row],[Specialty/Subspecialty]],condensed_specialty_crosswalk[#All],2,FALSE),"")</f>
        <v/>
      </c>
      <c r="G186" s="56" t="str">
        <f>IFERROR(VLOOKUP(trainee_data[[#This Row],[Specialty/Subspecialty]],condensed_specialty_crosswalk[#All],3,FALSE),"")</f>
        <v/>
      </c>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row>
    <row r="187" spans="5:30" ht="14.25" x14ac:dyDescent="0.45">
      <c r="E187" s="70" t="str">
        <f>IFERROR(VLOOKUP(trainee_data[[#This Row],[Program Specialty]],taxonomy_map[[Other Taxonomy]:[Our Taxonomy]],2,FALSE),"")</f>
        <v/>
      </c>
      <c r="F187" s="52" t="str">
        <f>IFERROR(VLOOKUP(trainee_data[[#This Row],[Specialty/Subspecialty]],condensed_specialty_crosswalk[#All],2,FALSE),"")</f>
        <v/>
      </c>
      <c r="G187" s="53" t="str">
        <f>IFERROR(VLOOKUP(trainee_data[[#This Row],[Specialty/Subspecialty]],condensed_specialty_crosswalk[#All],3,FALSE),"")</f>
        <v/>
      </c>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row>
    <row r="188" spans="5:30" ht="14.25" x14ac:dyDescent="0.45">
      <c r="E188" s="69" t="str">
        <f>IFERROR(VLOOKUP(trainee_data[[#This Row],[Program Specialty]],taxonomy_map[[Other Taxonomy]:[Our Taxonomy]],2,FALSE),"")</f>
        <v/>
      </c>
      <c r="F188" s="55" t="str">
        <f>IFERROR(VLOOKUP(trainee_data[[#This Row],[Specialty/Subspecialty]],condensed_specialty_crosswalk[#All],2,FALSE),"")</f>
        <v/>
      </c>
      <c r="G188" s="56" t="str">
        <f>IFERROR(VLOOKUP(trainee_data[[#This Row],[Specialty/Subspecialty]],condensed_specialty_crosswalk[#All],3,FALSE),"")</f>
        <v/>
      </c>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row>
    <row r="189" spans="5:30" ht="14.25" x14ac:dyDescent="0.45">
      <c r="E189" s="70" t="str">
        <f>IFERROR(VLOOKUP(trainee_data[[#This Row],[Program Specialty]],taxonomy_map[[Other Taxonomy]:[Our Taxonomy]],2,FALSE),"")</f>
        <v/>
      </c>
      <c r="F189" s="52" t="str">
        <f>IFERROR(VLOOKUP(trainee_data[[#This Row],[Specialty/Subspecialty]],condensed_specialty_crosswalk[#All],2,FALSE),"")</f>
        <v/>
      </c>
      <c r="G189" s="53" t="str">
        <f>IFERROR(VLOOKUP(trainee_data[[#This Row],[Specialty/Subspecialty]],condensed_specialty_crosswalk[#All],3,FALSE),"")</f>
        <v/>
      </c>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row>
    <row r="190" spans="5:30" ht="14.25" x14ac:dyDescent="0.45">
      <c r="E190" s="69" t="str">
        <f>IFERROR(VLOOKUP(trainee_data[[#This Row],[Program Specialty]],taxonomy_map[[Other Taxonomy]:[Our Taxonomy]],2,FALSE),"")</f>
        <v/>
      </c>
      <c r="F190" s="55" t="str">
        <f>IFERROR(VLOOKUP(trainee_data[[#This Row],[Specialty/Subspecialty]],condensed_specialty_crosswalk[#All],2,FALSE),"")</f>
        <v/>
      </c>
      <c r="G190" s="56" t="str">
        <f>IFERROR(VLOOKUP(trainee_data[[#This Row],[Specialty/Subspecialty]],condensed_specialty_crosswalk[#All],3,FALSE),"")</f>
        <v/>
      </c>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row>
    <row r="191" spans="5:30" ht="14.25" x14ac:dyDescent="0.45">
      <c r="E191" s="70" t="str">
        <f>IFERROR(VLOOKUP(trainee_data[[#This Row],[Program Specialty]],taxonomy_map[[Other Taxonomy]:[Our Taxonomy]],2,FALSE),"")</f>
        <v/>
      </c>
      <c r="F191" s="52" t="str">
        <f>IFERROR(VLOOKUP(trainee_data[[#This Row],[Specialty/Subspecialty]],condensed_specialty_crosswalk[#All],2,FALSE),"")</f>
        <v/>
      </c>
      <c r="G191" s="53" t="str">
        <f>IFERROR(VLOOKUP(trainee_data[[#This Row],[Specialty/Subspecialty]],condensed_specialty_crosswalk[#All],3,FALSE),"")</f>
        <v/>
      </c>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row>
    <row r="192" spans="5:30" ht="14.25" x14ac:dyDescent="0.45">
      <c r="E192" s="69" t="str">
        <f>IFERROR(VLOOKUP(trainee_data[[#This Row],[Program Specialty]],taxonomy_map[[Other Taxonomy]:[Our Taxonomy]],2,FALSE),"")</f>
        <v/>
      </c>
      <c r="F192" s="55" t="str">
        <f>IFERROR(VLOOKUP(trainee_data[[#This Row],[Specialty/Subspecialty]],condensed_specialty_crosswalk[#All],2,FALSE),"")</f>
        <v/>
      </c>
      <c r="G192" s="56" t="str">
        <f>IFERROR(VLOOKUP(trainee_data[[#This Row],[Specialty/Subspecialty]],condensed_specialty_crosswalk[#All],3,FALSE),"")</f>
        <v/>
      </c>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row>
    <row r="193" spans="5:30" ht="14.25" x14ac:dyDescent="0.45">
      <c r="E193" s="70" t="str">
        <f>IFERROR(VLOOKUP(trainee_data[[#This Row],[Program Specialty]],taxonomy_map[[Other Taxonomy]:[Our Taxonomy]],2,FALSE),"")</f>
        <v/>
      </c>
      <c r="F193" s="52" t="str">
        <f>IFERROR(VLOOKUP(trainee_data[[#This Row],[Specialty/Subspecialty]],condensed_specialty_crosswalk[#All],2,FALSE),"")</f>
        <v/>
      </c>
      <c r="G193" s="53" t="str">
        <f>IFERROR(VLOOKUP(trainee_data[[#This Row],[Specialty/Subspecialty]],condensed_specialty_crosswalk[#All],3,FALSE),"")</f>
        <v/>
      </c>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row>
    <row r="194" spans="5:30" ht="14.25" x14ac:dyDescent="0.45">
      <c r="E194" s="69" t="str">
        <f>IFERROR(VLOOKUP(trainee_data[[#This Row],[Program Specialty]],taxonomy_map[[Other Taxonomy]:[Our Taxonomy]],2,FALSE),"")</f>
        <v/>
      </c>
      <c r="F194" s="55" t="str">
        <f>IFERROR(VLOOKUP(trainee_data[[#This Row],[Specialty/Subspecialty]],condensed_specialty_crosswalk[#All],2,FALSE),"")</f>
        <v/>
      </c>
      <c r="G194" s="56" t="str">
        <f>IFERROR(VLOOKUP(trainee_data[[#This Row],[Specialty/Subspecialty]],condensed_specialty_crosswalk[#All],3,FALSE),"")</f>
        <v/>
      </c>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row>
    <row r="195" spans="5:30" ht="14.25" x14ac:dyDescent="0.45">
      <c r="E195" s="70" t="str">
        <f>IFERROR(VLOOKUP(trainee_data[[#This Row],[Program Specialty]],taxonomy_map[[Other Taxonomy]:[Our Taxonomy]],2,FALSE),"")</f>
        <v/>
      </c>
      <c r="F195" s="52" t="str">
        <f>IFERROR(VLOOKUP(trainee_data[[#This Row],[Specialty/Subspecialty]],condensed_specialty_crosswalk[#All],2,FALSE),"")</f>
        <v/>
      </c>
      <c r="G195" s="53" t="str">
        <f>IFERROR(VLOOKUP(trainee_data[[#This Row],[Specialty/Subspecialty]],condensed_specialty_crosswalk[#All],3,FALSE),"")</f>
        <v/>
      </c>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row>
    <row r="196" spans="5:30" ht="14.25" x14ac:dyDescent="0.45">
      <c r="E196" s="69" t="str">
        <f>IFERROR(VLOOKUP(trainee_data[[#This Row],[Program Specialty]],taxonomy_map[[Other Taxonomy]:[Our Taxonomy]],2,FALSE),"")</f>
        <v/>
      </c>
      <c r="F196" s="55" t="str">
        <f>IFERROR(VLOOKUP(trainee_data[[#This Row],[Specialty/Subspecialty]],condensed_specialty_crosswalk[#All],2,FALSE),"")</f>
        <v/>
      </c>
      <c r="G196" s="56" t="str">
        <f>IFERROR(VLOOKUP(trainee_data[[#This Row],[Specialty/Subspecialty]],condensed_specialty_crosswalk[#All],3,FALSE),"")</f>
        <v/>
      </c>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row>
    <row r="197" spans="5:30" ht="14.25" x14ac:dyDescent="0.45">
      <c r="E197" s="70" t="str">
        <f>IFERROR(VLOOKUP(trainee_data[[#This Row],[Program Specialty]],taxonomy_map[[Other Taxonomy]:[Our Taxonomy]],2,FALSE),"")</f>
        <v/>
      </c>
      <c r="F197" s="52" t="str">
        <f>IFERROR(VLOOKUP(trainee_data[[#This Row],[Specialty/Subspecialty]],condensed_specialty_crosswalk[#All],2,FALSE),"")</f>
        <v/>
      </c>
      <c r="G197" s="53" t="str">
        <f>IFERROR(VLOOKUP(trainee_data[[#This Row],[Specialty/Subspecialty]],condensed_specialty_crosswalk[#All],3,FALSE),"")</f>
        <v/>
      </c>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row>
    <row r="198" spans="5:30" ht="14.25" x14ac:dyDescent="0.45">
      <c r="E198" s="69" t="str">
        <f>IFERROR(VLOOKUP(trainee_data[[#This Row],[Program Specialty]],taxonomy_map[[Other Taxonomy]:[Our Taxonomy]],2,FALSE),"")</f>
        <v/>
      </c>
      <c r="F198" s="55" t="str">
        <f>IFERROR(VLOOKUP(trainee_data[[#This Row],[Specialty/Subspecialty]],condensed_specialty_crosswalk[#All],2,FALSE),"")</f>
        <v/>
      </c>
      <c r="G198" s="56" t="str">
        <f>IFERROR(VLOOKUP(trainee_data[[#This Row],[Specialty/Subspecialty]],condensed_specialty_crosswalk[#All],3,FALSE),"")</f>
        <v/>
      </c>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row>
    <row r="199" spans="5:30" ht="14.25" x14ac:dyDescent="0.45">
      <c r="E199" s="70" t="str">
        <f>IFERROR(VLOOKUP(trainee_data[[#This Row],[Program Specialty]],taxonomy_map[[Other Taxonomy]:[Our Taxonomy]],2,FALSE),"")</f>
        <v/>
      </c>
      <c r="F199" s="52" t="str">
        <f>IFERROR(VLOOKUP(trainee_data[[#This Row],[Specialty/Subspecialty]],condensed_specialty_crosswalk[#All],2,FALSE),"")</f>
        <v/>
      </c>
      <c r="G199" s="53" t="str">
        <f>IFERROR(VLOOKUP(trainee_data[[#This Row],[Specialty/Subspecialty]],condensed_specialty_crosswalk[#All],3,FALSE),"")</f>
        <v/>
      </c>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row>
    <row r="200" spans="5:30" ht="14.25" x14ac:dyDescent="0.45">
      <c r="E200" s="69" t="str">
        <f>IFERROR(VLOOKUP(trainee_data[[#This Row],[Program Specialty]],taxonomy_map[[Other Taxonomy]:[Our Taxonomy]],2,FALSE),"")</f>
        <v/>
      </c>
      <c r="F200" s="55" t="str">
        <f>IFERROR(VLOOKUP(trainee_data[[#This Row],[Specialty/Subspecialty]],condensed_specialty_crosswalk[#All],2,FALSE),"")</f>
        <v/>
      </c>
      <c r="G200" s="56" t="str">
        <f>IFERROR(VLOOKUP(trainee_data[[#This Row],[Specialty/Subspecialty]],condensed_specialty_crosswalk[#All],3,FALSE),"")</f>
        <v/>
      </c>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row>
    <row r="201" spans="5:30" ht="14.25" x14ac:dyDescent="0.45">
      <c r="E201" s="70" t="str">
        <f>IFERROR(VLOOKUP(trainee_data[[#This Row],[Program Specialty]],taxonomy_map[[Other Taxonomy]:[Our Taxonomy]],2,FALSE),"")</f>
        <v/>
      </c>
      <c r="F201" s="52" t="str">
        <f>IFERROR(VLOOKUP(trainee_data[[#This Row],[Specialty/Subspecialty]],condensed_specialty_crosswalk[#All],2,FALSE),"")</f>
        <v/>
      </c>
      <c r="G201" s="53" t="str">
        <f>IFERROR(VLOOKUP(trainee_data[[#This Row],[Specialty/Subspecialty]],condensed_specialty_crosswalk[#All],3,FALSE),"")</f>
        <v/>
      </c>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row>
    <row r="202" spans="5:30" ht="14.25" x14ac:dyDescent="0.45">
      <c r="E202" s="69" t="str">
        <f>IFERROR(VLOOKUP(trainee_data[[#This Row],[Program Specialty]],taxonomy_map[[Other Taxonomy]:[Our Taxonomy]],2,FALSE),"")</f>
        <v/>
      </c>
      <c r="F202" s="55" t="str">
        <f>IFERROR(VLOOKUP(trainee_data[[#This Row],[Specialty/Subspecialty]],condensed_specialty_crosswalk[#All],2,FALSE),"")</f>
        <v/>
      </c>
      <c r="G202" s="56" t="str">
        <f>IFERROR(VLOOKUP(trainee_data[[#This Row],[Specialty/Subspecialty]],condensed_specialty_crosswalk[#All],3,FALSE),"")</f>
        <v/>
      </c>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row>
    <row r="203" spans="5:30" ht="14.25" x14ac:dyDescent="0.45">
      <c r="E203" s="70" t="str">
        <f>IFERROR(VLOOKUP(trainee_data[[#This Row],[Program Specialty]],taxonomy_map[[Other Taxonomy]:[Our Taxonomy]],2,FALSE),"")</f>
        <v/>
      </c>
      <c r="F203" s="52" t="str">
        <f>IFERROR(VLOOKUP(trainee_data[[#This Row],[Specialty/Subspecialty]],condensed_specialty_crosswalk[#All],2,FALSE),"")</f>
        <v/>
      </c>
      <c r="G203" s="53" t="str">
        <f>IFERROR(VLOOKUP(trainee_data[[#This Row],[Specialty/Subspecialty]],condensed_specialty_crosswalk[#All],3,FALSE),"")</f>
        <v/>
      </c>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row>
    <row r="204" spans="5:30" ht="14.25" x14ac:dyDescent="0.45">
      <c r="E204" s="69" t="str">
        <f>IFERROR(VLOOKUP(trainee_data[[#This Row],[Program Specialty]],taxonomy_map[[Other Taxonomy]:[Our Taxonomy]],2,FALSE),"")</f>
        <v/>
      </c>
      <c r="F204" s="55" t="str">
        <f>IFERROR(VLOOKUP(trainee_data[[#This Row],[Specialty/Subspecialty]],condensed_specialty_crosswalk[#All],2,FALSE),"")</f>
        <v/>
      </c>
      <c r="G204" s="56" t="str">
        <f>IFERROR(VLOOKUP(trainee_data[[#This Row],[Specialty/Subspecialty]],condensed_specialty_crosswalk[#All],3,FALSE),"")</f>
        <v/>
      </c>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row>
    <row r="205" spans="5:30" ht="14.25" x14ac:dyDescent="0.45">
      <c r="E205" s="70" t="str">
        <f>IFERROR(VLOOKUP(trainee_data[[#This Row],[Program Specialty]],taxonomy_map[[Other Taxonomy]:[Our Taxonomy]],2,FALSE),"")</f>
        <v/>
      </c>
      <c r="F205" s="52" t="str">
        <f>IFERROR(VLOOKUP(trainee_data[[#This Row],[Specialty/Subspecialty]],condensed_specialty_crosswalk[#All],2,FALSE),"")</f>
        <v/>
      </c>
      <c r="G205" s="53" t="str">
        <f>IFERROR(VLOOKUP(trainee_data[[#This Row],[Specialty/Subspecialty]],condensed_specialty_crosswalk[#All],3,FALSE),"")</f>
        <v/>
      </c>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row>
    <row r="206" spans="5:30" ht="14.25" x14ac:dyDescent="0.45">
      <c r="E206" s="69" t="str">
        <f>IFERROR(VLOOKUP(trainee_data[[#This Row],[Program Specialty]],taxonomy_map[[Other Taxonomy]:[Our Taxonomy]],2,FALSE),"")</f>
        <v/>
      </c>
      <c r="F206" s="55" t="str">
        <f>IFERROR(VLOOKUP(trainee_data[[#This Row],[Specialty/Subspecialty]],condensed_specialty_crosswalk[#All],2,FALSE),"")</f>
        <v/>
      </c>
      <c r="G206" s="56" t="str">
        <f>IFERROR(VLOOKUP(trainee_data[[#This Row],[Specialty/Subspecialty]],condensed_specialty_crosswalk[#All],3,FALSE),"")</f>
        <v/>
      </c>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row>
    <row r="207" spans="5:30" ht="14.25" x14ac:dyDescent="0.45">
      <c r="E207" s="70" t="str">
        <f>IFERROR(VLOOKUP(trainee_data[[#This Row],[Program Specialty]],taxonomy_map[[Other Taxonomy]:[Our Taxonomy]],2,FALSE),"")</f>
        <v/>
      </c>
      <c r="F207" s="52" t="str">
        <f>IFERROR(VLOOKUP(trainee_data[[#This Row],[Specialty/Subspecialty]],condensed_specialty_crosswalk[#All],2,FALSE),"")</f>
        <v/>
      </c>
      <c r="G207" s="53" t="str">
        <f>IFERROR(VLOOKUP(trainee_data[[#This Row],[Specialty/Subspecialty]],condensed_specialty_crosswalk[#All],3,FALSE),"")</f>
        <v/>
      </c>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row>
    <row r="208" spans="5:30" ht="14.25" x14ac:dyDescent="0.45">
      <c r="E208" s="69" t="str">
        <f>IFERROR(VLOOKUP(trainee_data[[#This Row],[Program Specialty]],taxonomy_map[[Other Taxonomy]:[Our Taxonomy]],2,FALSE),"")</f>
        <v/>
      </c>
      <c r="F208" s="55" t="str">
        <f>IFERROR(VLOOKUP(trainee_data[[#This Row],[Specialty/Subspecialty]],condensed_specialty_crosswalk[#All],2,FALSE),"")</f>
        <v/>
      </c>
      <c r="G208" s="56" t="str">
        <f>IFERROR(VLOOKUP(trainee_data[[#This Row],[Specialty/Subspecialty]],condensed_specialty_crosswalk[#All],3,FALSE),"")</f>
        <v/>
      </c>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row>
    <row r="209" spans="5:30" ht="14.25" x14ac:dyDescent="0.45">
      <c r="E209" s="70" t="str">
        <f>IFERROR(VLOOKUP(trainee_data[[#This Row],[Program Specialty]],taxonomy_map[[Other Taxonomy]:[Our Taxonomy]],2,FALSE),"")</f>
        <v/>
      </c>
      <c r="F209" s="52" t="str">
        <f>IFERROR(VLOOKUP(trainee_data[[#This Row],[Specialty/Subspecialty]],condensed_specialty_crosswalk[#All],2,FALSE),"")</f>
        <v/>
      </c>
      <c r="G209" s="53" t="str">
        <f>IFERROR(VLOOKUP(trainee_data[[#This Row],[Specialty/Subspecialty]],condensed_specialty_crosswalk[#All],3,FALSE),"")</f>
        <v/>
      </c>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row>
    <row r="210" spans="5:30" ht="14.25" x14ac:dyDescent="0.45">
      <c r="E210" s="69" t="str">
        <f>IFERROR(VLOOKUP(trainee_data[[#This Row],[Program Specialty]],taxonomy_map[[Other Taxonomy]:[Our Taxonomy]],2,FALSE),"")</f>
        <v/>
      </c>
      <c r="F210" s="55" t="str">
        <f>IFERROR(VLOOKUP(trainee_data[[#This Row],[Specialty/Subspecialty]],condensed_specialty_crosswalk[#All],2,FALSE),"")</f>
        <v/>
      </c>
      <c r="G210" s="56" t="str">
        <f>IFERROR(VLOOKUP(trainee_data[[#This Row],[Specialty/Subspecialty]],condensed_specialty_crosswalk[#All],3,FALSE),"")</f>
        <v/>
      </c>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row>
    <row r="211" spans="5:30" ht="14.25" x14ac:dyDescent="0.45">
      <c r="E211" s="70" t="str">
        <f>IFERROR(VLOOKUP(trainee_data[[#This Row],[Program Specialty]],taxonomy_map[[Other Taxonomy]:[Our Taxonomy]],2,FALSE),"")</f>
        <v/>
      </c>
      <c r="F211" s="52" t="str">
        <f>IFERROR(VLOOKUP(trainee_data[[#This Row],[Specialty/Subspecialty]],condensed_specialty_crosswalk[#All],2,FALSE),"")</f>
        <v/>
      </c>
      <c r="G211" s="53" t="str">
        <f>IFERROR(VLOOKUP(trainee_data[[#This Row],[Specialty/Subspecialty]],condensed_specialty_crosswalk[#All],3,FALSE),"")</f>
        <v/>
      </c>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row>
    <row r="212" spans="5:30" ht="14.25" x14ac:dyDescent="0.45">
      <c r="E212" s="69" t="str">
        <f>IFERROR(VLOOKUP(trainee_data[[#This Row],[Program Specialty]],taxonomy_map[[Other Taxonomy]:[Our Taxonomy]],2,FALSE),"")</f>
        <v/>
      </c>
      <c r="F212" s="55" t="str">
        <f>IFERROR(VLOOKUP(trainee_data[[#This Row],[Specialty/Subspecialty]],condensed_specialty_crosswalk[#All],2,FALSE),"")</f>
        <v/>
      </c>
      <c r="G212" s="56" t="str">
        <f>IFERROR(VLOOKUP(trainee_data[[#This Row],[Specialty/Subspecialty]],condensed_specialty_crosswalk[#All],3,FALSE),"")</f>
        <v/>
      </c>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row>
    <row r="213" spans="5:30" ht="14.25" x14ac:dyDescent="0.45">
      <c r="E213" s="70" t="str">
        <f>IFERROR(VLOOKUP(trainee_data[[#This Row],[Program Specialty]],taxonomy_map[[Other Taxonomy]:[Our Taxonomy]],2,FALSE),"")</f>
        <v/>
      </c>
      <c r="F213" s="52" t="str">
        <f>IFERROR(VLOOKUP(trainee_data[[#This Row],[Specialty/Subspecialty]],condensed_specialty_crosswalk[#All],2,FALSE),"")</f>
        <v/>
      </c>
      <c r="G213" s="53" t="str">
        <f>IFERROR(VLOOKUP(trainee_data[[#This Row],[Specialty/Subspecialty]],condensed_specialty_crosswalk[#All],3,FALSE),"")</f>
        <v/>
      </c>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row>
    <row r="214" spans="5:30" ht="14.25" x14ac:dyDescent="0.45">
      <c r="E214" s="69" t="str">
        <f>IFERROR(VLOOKUP(trainee_data[[#This Row],[Program Specialty]],taxonomy_map[[Other Taxonomy]:[Our Taxonomy]],2,FALSE),"")</f>
        <v/>
      </c>
      <c r="F214" s="55" t="str">
        <f>IFERROR(VLOOKUP(trainee_data[[#This Row],[Specialty/Subspecialty]],condensed_specialty_crosswalk[#All],2,FALSE),"")</f>
        <v/>
      </c>
      <c r="G214" s="56" t="str">
        <f>IFERROR(VLOOKUP(trainee_data[[#This Row],[Specialty/Subspecialty]],condensed_specialty_crosswalk[#All],3,FALSE),"")</f>
        <v/>
      </c>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row>
    <row r="215" spans="5:30" ht="14.25" x14ac:dyDescent="0.45">
      <c r="E215" s="70" t="str">
        <f>IFERROR(VLOOKUP(trainee_data[[#This Row],[Program Specialty]],taxonomy_map[[Other Taxonomy]:[Our Taxonomy]],2,FALSE),"")</f>
        <v/>
      </c>
      <c r="F215" s="52" t="str">
        <f>IFERROR(VLOOKUP(trainee_data[[#This Row],[Specialty/Subspecialty]],condensed_specialty_crosswalk[#All],2,FALSE),"")</f>
        <v/>
      </c>
      <c r="G215" s="53" t="str">
        <f>IFERROR(VLOOKUP(trainee_data[[#This Row],[Specialty/Subspecialty]],condensed_specialty_crosswalk[#All],3,FALSE),"")</f>
        <v/>
      </c>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row>
    <row r="216" spans="5:30" ht="14.25" x14ac:dyDescent="0.45">
      <c r="E216" s="69" t="str">
        <f>IFERROR(VLOOKUP(trainee_data[[#This Row],[Program Specialty]],taxonomy_map[[Other Taxonomy]:[Our Taxonomy]],2,FALSE),"")</f>
        <v/>
      </c>
      <c r="F216" s="55" t="str">
        <f>IFERROR(VLOOKUP(trainee_data[[#This Row],[Specialty/Subspecialty]],condensed_specialty_crosswalk[#All],2,FALSE),"")</f>
        <v/>
      </c>
      <c r="G216" s="56" t="str">
        <f>IFERROR(VLOOKUP(trainee_data[[#This Row],[Specialty/Subspecialty]],condensed_specialty_crosswalk[#All],3,FALSE),"")</f>
        <v/>
      </c>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row>
    <row r="217" spans="5:30" ht="14.25" x14ac:dyDescent="0.45">
      <c r="E217" s="70" t="str">
        <f>IFERROR(VLOOKUP(trainee_data[[#This Row],[Program Specialty]],taxonomy_map[[Other Taxonomy]:[Our Taxonomy]],2,FALSE),"")</f>
        <v/>
      </c>
      <c r="F217" s="52" t="str">
        <f>IFERROR(VLOOKUP(trainee_data[[#This Row],[Specialty/Subspecialty]],condensed_specialty_crosswalk[#All],2,FALSE),"")</f>
        <v/>
      </c>
      <c r="G217" s="53" t="str">
        <f>IFERROR(VLOOKUP(trainee_data[[#This Row],[Specialty/Subspecialty]],condensed_specialty_crosswalk[#All],3,FALSE),"")</f>
        <v/>
      </c>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row>
    <row r="218" spans="5:30" ht="14.25" x14ac:dyDescent="0.45">
      <c r="E218" s="69" t="str">
        <f>IFERROR(VLOOKUP(trainee_data[[#This Row],[Program Specialty]],taxonomy_map[[Other Taxonomy]:[Our Taxonomy]],2,FALSE),"")</f>
        <v/>
      </c>
      <c r="F218" s="55" t="str">
        <f>IFERROR(VLOOKUP(trainee_data[[#This Row],[Specialty/Subspecialty]],condensed_specialty_crosswalk[#All],2,FALSE),"")</f>
        <v/>
      </c>
      <c r="G218" s="56" t="str">
        <f>IFERROR(VLOOKUP(trainee_data[[#This Row],[Specialty/Subspecialty]],condensed_specialty_crosswalk[#All],3,FALSE),"")</f>
        <v/>
      </c>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row>
    <row r="219" spans="5:30" ht="14.25" x14ac:dyDescent="0.45">
      <c r="E219" s="70" t="str">
        <f>IFERROR(VLOOKUP(trainee_data[[#This Row],[Program Specialty]],taxonomy_map[[Other Taxonomy]:[Our Taxonomy]],2,FALSE),"")</f>
        <v/>
      </c>
      <c r="F219" s="52" t="str">
        <f>IFERROR(VLOOKUP(trainee_data[[#This Row],[Specialty/Subspecialty]],condensed_specialty_crosswalk[#All],2,FALSE),"")</f>
        <v/>
      </c>
      <c r="G219" s="53" t="str">
        <f>IFERROR(VLOOKUP(trainee_data[[#This Row],[Specialty/Subspecialty]],condensed_specialty_crosswalk[#All],3,FALSE),"")</f>
        <v/>
      </c>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row>
    <row r="220" spans="5:30" ht="14.25" x14ac:dyDescent="0.45">
      <c r="E220" s="69" t="str">
        <f>IFERROR(VLOOKUP(trainee_data[[#This Row],[Program Specialty]],taxonomy_map[[Other Taxonomy]:[Our Taxonomy]],2,FALSE),"")</f>
        <v/>
      </c>
      <c r="F220" s="55" t="str">
        <f>IFERROR(VLOOKUP(trainee_data[[#This Row],[Specialty/Subspecialty]],condensed_specialty_crosswalk[#All],2,FALSE),"")</f>
        <v/>
      </c>
      <c r="G220" s="56" t="str">
        <f>IFERROR(VLOOKUP(trainee_data[[#This Row],[Specialty/Subspecialty]],condensed_specialty_crosswalk[#All],3,FALSE),"")</f>
        <v/>
      </c>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row>
    <row r="221" spans="5:30" ht="14.25" x14ac:dyDescent="0.45">
      <c r="E221" s="70" t="str">
        <f>IFERROR(VLOOKUP(trainee_data[[#This Row],[Program Specialty]],taxonomy_map[[Other Taxonomy]:[Our Taxonomy]],2,FALSE),"")</f>
        <v/>
      </c>
      <c r="F221" s="52" t="str">
        <f>IFERROR(VLOOKUP(trainee_data[[#This Row],[Specialty/Subspecialty]],condensed_specialty_crosswalk[#All],2,FALSE),"")</f>
        <v/>
      </c>
      <c r="G221" s="53" t="str">
        <f>IFERROR(VLOOKUP(trainee_data[[#This Row],[Specialty/Subspecialty]],condensed_specialty_crosswalk[#All],3,FALSE),"")</f>
        <v/>
      </c>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row>
    <row r="222" spans="5:30" ht="14.25" x14ac:dyDescent="0.45">
      <c r="E222" s="69" t="str">
        <f>IFERROR(VLOOKUP(trainee_data[[#This Row],[Program Specialty]],taxonomy_map[[Other Taxonomy]:[Our Taxonomy]],2,FALSE),"")</f>
        <v/>
      </c>
      <c r="F222" s="55" t="str">
        <f>IFERROR(VLOOKUP(trainee_data[[#This Row],[Specialty/Subspecialty]],condensed_specialty_crosswalk[#All],2,FALSE),"")</f>
        <v/>
      </c>
      <c r="G222" s="56" t="str">
        <f>IFERROR(VLOOKUP(trainee_data[[#This Row],[Specialty/Subspecialty]],condensed_specialty_crosswalk[#All],3,FALSE),"")</f>
        <v/>
      </c>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row>
    <row r="223" spans="5:30" ht="14.25" x14ac:dyDescent="0.45">
      <c r="E223" s="70" t="str">
        <f>IFERROR(VLOOKUP(trainee_data[[#This Row],[Program Specialty]],taxonomy_map[[Other Taxonomy]:[Our Taxonomy]],2,FALSE),"")</f>
        <v/>
      </c>
      <c r="F223" s="52" t="str">
        <f>IFERROR(VLOOKUP(trainee_data[[#This Row],[Specialty/Subspecialty]],condensed_specialty_crosswalk[#All],2,FALSE),"")</f>
        <v/>
      </c>
      <c r="G223" s="53" t="str">
        <f>IFERROR(VLOOKUP(trainee_data[[#This Row],[Specialty/Subspecialty]],condensed_specialty_crosswalk[#All],3,FALSE),"")</f>
        <v/>
      </c>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row>
    <row r="224" spans="5:30" ht="14.25" x14ac:dyDescent="0.45">
      <c r="E224" s="69" t="str">
        <f>IFERROR(VLOOKUP(trainee_data[[#This Row],[Program Specialty]],taxonomy_map[[Other Taxonomy]:[Our Taxonomy]],2,FALSE),"")</f>
        <v/>
      </c>
      <c r="F224" s="55" t="str">
        <f>IFERROR(VLOOKUP(trainee_data[[#This Row],[Specialty/Subspecialty]],condensed_specialty_crosswalk[#All],2,FALSE),"")</f>
        <v/>
      </c>
      <c r="G224" s="56" t="str">
        <f>IFERROR(VLOOKUP(trainee_data[[#This Row],[Specialty/Subspecialty]],condensed_specialty_crosswalk[#All],3,FALSE),"")</f>
        <v/>
      </c>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row>
    <row r="225" spans="5:30" ht="14.25" x14ac:dyDescent="0.45">
      <c r="E225" s="70" t="str">
        <f>IFERROR(VLOOKUP(trainee_data[[#This Row],[Program Specialty]],taxonomy_map[[Other Taxonomy]:[Our Taxonomy]],2,FALSE),"")</f>
        <v/>
      </c>
      <c r="F225" s="52" t="str">
        <f>IFERROR(VLOOKUP(trainee_data[[#This Row],[Specialty/Subspecialty]],condensed_specialty_crosswalk[#All],2,FALSE),"")</f>
        <v/>
      </c>
      <c r="G225" s="53" t="str">
        <f>IFERROR(VLOOKUP(trainee_data[[#This Row],[Specialty/Subspecialty]],condensed_specialty_crosswalk[#All],3,FALSE),"")</f>
        <v/>
      </c>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row>
    <row r="226" spans="5:30" ht="14.25" x14ac:dyDescent="0.45">
      <c r="E226" s="69" t="str">
        <f>IFERROR(VLOOKUP(trainee_data[[#This Row],[Program Specialty]],taxonomy_map[[Other Taxonomy]:[Our Taxonomy]],2,FALSE),"")</f>
        <v/>
      </c>
      <c r="F226" s="55" t="str">
        <f>IFERROR(VLOOKUP(trainee_data[[#This Row],[Specialty/Subspecialty]],condensed_specialty_crosswalk[#All],2,FALSE),"")</f>
        <v/>
      </c>
      <c r="G226" s="56" t="str">
        <f>IFERROR(VLOOKUP(trainee_data[[#This Row],[Specialty/Subspecialty]],condensed_specialty_crosswalk[#All],3,FALSE),"")</f>
        <v/>
      </c>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row>
    <row r="227" spans="5:30" ht="14.25" x14ac:dyDescent="0.45">
      <c r="E227" s="70" t="str">
        <f>IFERROR(VLOOKUP(trainee_data[[#This Row],[Program Specialty]],taxonomy_map[[Other Taxonomy]:[Our Taxonomy]],2,FALSE),"")</f>
        <v/>
      </c>
      <c r="F227" s="52" t="str">
        <f>IFERROR(VLOOKUP(trainee_data[[#This Row],[Specialty/Subspecialty]],condensed_specialty_crosswalk[#All],2,FALSE),"")</f>
        <v/>
      </c>
      <c r="G227" s="53" t="str">
        <f>IFERROR(VLOOKUP(trainee_data[[#This Row],[Specialty/Subspecialty]],condensed_specialty_crosswalk[#All],3,FALSE),"")</f>
        <v/>
      </c>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row>
    <row r="228" spans="5:30" ht="14.25" x14ac:dyDescent="0.45">
      <c r="E228" s="69" t="str">
        <f>IFERROR(VLOOKUP(trainee_data[[#This Row],[Program Specialty]],taxonomy_map[[Other Taxonomy]:[Our Taxonomy]],2,FALSE),"")</f>
        <v/>
      </c>
      <c r="F228" s="55" t="str">
        <f>IFERROR(VLOOKUP(trainee_data[[#This Row],[Specialty/Subspecialty]],condensed_specialty_crosswalk[#All],2,FALSE),"")</f>
        <v/>
      </c>
      <c r="G228" s="56" t="str">
        <f>IFERROR(VLOOKUP(trainee_data[[#This Row],[Specialty/Subspecialty]],condensed_specialty_crosswalk[#All],3,FALSE),"")</f>
        <v/>
      </c>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row>
    <row r="229" spans="5:30" ht="14.25" x14ac:dyDescent="0.45">
      <c r="E229" s="70" t="str">
        <f>IFERROR(VLOOKUP(trainee_data[[#This Row],[Program Specialty]],taxonomy_map[[Other Taxonomy]:[Our Taxonomy]],2,FALSE),"")</f>
        <v/>
      </c>
      <c r="F229" s="52" t="str">
        <f>IFERROR(VLOOKUP(trainee_data[[#This Row],[Specialty/Subspecialty]],condensed_specialty_crosswalk[#All],2,FALSE),"")</f>
        <v/>
      </c>
      <c r="G229" s="53" t="str">
        <f>IFERROR(VLOOKUP(trainee_data[[#This Row],[Specialty/Subspecialty]],condensed_specialty_crosswalk[#All],3,FALSE),"")</f>
        <v/>
      </c>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row>
    <row r="230" spans="5:30" ht="14.25" x14ac:dyDescent="0.45">
      <c r="E230" s="69" t="str">
        <f>IFERROR(VLOOKUP(trainee_data[[#This Row],[Program Specialty]],taxonomy_map[[Other Taxonomy]:[Our Taxonomy]],2,FALSE),"")</f>
        <v/>
      </c>
      <c r="F230" s="55" t="str">
        <f>IFERROR(VLOOKUP(trainee_data[[#This Row],[Specialty/Subspecialty]],condensed_specialty_crosswalk[#All],2,FALSE),"")</f>
        <v/>
      </c>
      <c r="G230" s="56" t="str">
        <f>IFERROR(VLOOKUP(trainee_data[[#This Row],[Specialty/Subspecialty]],condensed_specialty_crosswalk[#All],3,FALSE),"")</f>
        <v/>
      </c>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row>
    <row r="231" spans="5:30" ht="14.25" x14ac:dyDescent="0.45">
      <c r="E231" s="70" t="str">
        <f>IFERROR(VLOOKUP(trainee_data[[#This Row],[Program Specialty]],taxonomy_map[[Other Taxonomy]:[Our Taxonomy]],2,FALSE),"")</f>
        <v/>
      </c>
      <c r="F231" s="52" t="str">
        <f>IFERROR(VLOOKUP(trainee_data[[#This Row],[Specialty/Subspecialty]],condensed_specialty_crosswalk[#All],2,FALSE),"")</f>
        <v/>
      </c>
      <c r="G231" s="53" t="str">
        <f>IFERROR(VLOOKUP(trainee_data[[#This Row],[Specialty/Subspecialty]],condensed_specialty_crosswalk[#All],3,FALSE),"")</f>
        <v/>
      </c>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row>
    <row r="232" spans="5:30" ht="14.25" x14ac:dyDescent="0.45">
      <c r="E232" s="69" t="str">
        <f>IFERROR(VLOOKUP(trainee_data[[#This Row],[Program Specialty]],taxonomy_map[[Other Taxonomy]:[Our Taxonomy]],2,FALSE),"")</f>
        <v/>
      </c>
      <c r="F232" s="55" t="str">
        <f>IFERROR(VLOOKUP(trainee_data[[#This Row],[Specialty/Subspecialty]],condensed_specialty_crosswalk[#All],2,FALSE),"")</f>
        <v/>
      </c>
      <c r="G232" s="56" t="str">
        <f>IFERROR(VLOOKUP(trainee_data[[#This Row],[Specialty/Subspecialty]],condensed_specialty_crosswalk[#All],3,FALSE),"")</f>
        <v/>
      </c>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row>
    <row r="233" spans="5:30" ht="14.25" x14ac:dyDescent="0.45">
      <c r="E233" s="70" t="str">
        <f>IFERROR(VLOOKUP(trainee_data[[#This Row],[Program Specialty]],taxonomy_map[[Other Taxonomy]:[Our Taxonomy]],2,FALSE),"")</f>
        <v/>
      </c>
      <c r="F233" s="52" t="str">
        <f>IFERROR(VLOOKUP(trainee_data[[#This Row],[Specialty/Subspecialty]],condensed_specialty_crosswalk[#All],2,FALSE),"")</f>
        <v/>
      </c>
      <c r="G233" s="53" t="str">
        <f>IFERROR(VLOOKUP(trainee_data[[#This Row],[Specialty/Subspecialty]],condensed_specialty_crosswalk[#All],3,FALSE),"")</f>
        <v/>
      </c>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row>
    <row r="234" spans="5:30" ht="14.25" x14ac:dyDescent="0.45">
      <c r="E234" s="69" t="str">
        <f>IFERROR(VLOOKUP(trainee_data[[#This Row],[Program Specialty]],taxonomy_map[[Other Taxonomy]:[Our Taxonomy]],2,FALSE),"")</f>
        <v/>
      </c>
      <c r="F234" s="55" t="str">
        <f>IFERROR(VLOOKUP(trainee_data[[#This Row],[Specialty/Subspecialty]],condensed_specialty_crosswalk[#All],2,FALSE),"")</f>
        <v/>
      </c>
      <c r="G234" s="56" t="str">
        <f>IFERROR(VLOOKUP(trainee_data[[#This Row],[Specialty/Subspecialty]],condensed_specialty_crosswalk[#All],3,FALSE),"")</f>
        <v/>
      </c>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row>
    <row r="235" spans="5:30" ht="14.25" x14ac:dyDescent="0.45">
      <c r="E235" s="70" t="str">
        <f>IFERROR(VLOOKUP(trainee_data[[#This Row],[Program Specialty]],taxonomy_map[[Other Taxonomy]:[Our Taxonomy]],2,FALSE),"")</f>
        <v/>
      </c>
      <c r="F235" s="52" t="str">
        <f>IFERROR(VLOOKUP(trainee_data[[#This Row],[Specialty/Subspecialty]],condensed_specialty_crosswalk[#All],2,FALSE),"")</f>
        <v/>
      </c>
      <c r="G235" s="53" t="str">
        <f>IFERROR(VLOOKUP(trainee_data[[#This Row],[Specialty/Subspecialty]],condensed_specialty_crosswalk[#All],3,FALSE),"")</f>
        <v/>
      </c>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row>
    <row r="236" spans="5:30" ht="14.25" x14ac:dyDescent="0.45">
      <c r="E236" s="69" t="str">
        <f>IFERROR(VLOOKUP(trainee_data[[#This Row],[Program Specialty]],taxonomy_map[[Other Taxonomy]:[Our Taxonomy]],2,FALSE),"")</f>
        <v/>
      </c>
      <c r="F236" s="55" t="str">
        <f>IFERROR(VLOOKUP(trainee_data[[#This Row],[Specialty/Subspecialty]],condensed_specialty_crosswalk[#All],2,FALSE),"")</f>
        <v/>
      </c>
      <c r="G236" s="56" t="str">
        <f>IFERROR(VLOOKUP(trainee_data[[#This Row],[Specialty/Subspecialty]],condensed_specialty_crosswalk[#All],3,FALSE),"")</f>
        <v/>
      </c>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row>
    <row r="237" spans="5:30" ht="14.25" x14ac:dyDescent="0.45">
      <c r="E237" s="70" t="str">
        <f>IFERROR(VLOOKUP(trainee_data[[#This Row],[Program Specialty]],taxonomy_map[[Other Taxonomy]:[Our Taxonomy]],2,FALSE),"")</f>
        <v/>
      </c>
      <c r="F237" s="52" t="str">
        <f>IFERROR(VLOOKUP(trainee_data[[#This Row],[Specialty/Subspecialty]],condensed_specialty_crosswalk[#All],2,FALSE),"")</f>
        <v/>
      </c>
      <c r="G237" s="53" t="str">
        <f>IFERROR(VLOOKUP(trainee_data[[#This Row],[Specialty/Subspecialty]],condensed_specialty_crosswalk[#All],3,FALSE),"")</f>
        <v/>
      </c>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row>
    <row r="238" spans="5:30" ht="14.25" x14ac:dyDescent="0.45">
      <c r="E238" s="69" t="str">
        <f>IFERROR(VLOOKUP(trainee_data[[#This Row],[Program Specialty]],taxonomy_map[[Other Taxonomy]:[Our Taxonomy]],2,FALSE),"")</f>
        <v/>
      </c>
      <c r="F238" s="55" t="str">
        <f>IFERROR(VLOOKUP(trainee_data[[#This Row],[Specialty/Subspecialty]],condensed_specialty_crosswalk[#All],2,FALSE),"")</f>
        <v/>
      </c>
      <c r="G238" s="56" t="str">
        <f>IFERROR(VLOOKUP(trainee_data[[#This Row],[Specialty/Subspecialty]],condensed_specialty_crosswalk[#All],3,FALSE),"")</f>
        <v/>
      </c>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row>
    <row r="239" spans="5:30" ht="14.25" x14ac:dyDescent="0.45">
      <c r="E239" s="70" t="str">
        <f>IFERROR(VLOOKUP(trainee_data[[#This Row],[Program Specialty]],taxonomy_map[[Other Taxonomy]:[Our Taxonomy]],2,FALSE),"")</f>
        <v/>
      </c>
      <c r="F239" s="52" t="str">
        <f>IFERROR(VLOOKUP(trainee_data[[#This Row],[Specialty/Subspecialty]],condensed_specialty_crosswalk[#All],2,FALSE),"")</f>
        <v/>
      </c>
      <c r="G239" s="53" t="str">
        <f>IFERROR(VLOOKUP(trainee_data[[#This Row],[Specialty/Subspecialty]],condensed_specialty_crosswalk[#All],3,FALSE),"")</f>
        <v/>
      </c>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row>
    <row r="240" spans="5:30" ht="14.25" x14ac:dyDescent="0.45">
      <c r="E240" s="69" t="str">
        <f>IFERROR(VLOOKUP(trainee_data[[#This Row],[Program Specialty]],taxonomy_map[[Other Taxonomy]:[Our Taxonomy]],2,FALSE),"")</f>
        <v/>
      </c>
      <c r="F240" s="55" t="str">
        <f>IFERROR(VLOOKUP(trainee_data[[#This Row],[Specialty/Subspecialty]],condensed_specialty_crosswalk[#All],2,FALSE),"")</f>
        <v/>
      </c>
      <c r="G240" s="56" t="str">
        <f>IFERROR(VLOOKUP(trainee_data[[#This Row],[Specialty/Subspecialty]],condensed_specialty_crosswalk[#All],3,FALSE),"")</f>
        <v/>
      </c>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row>
    <row r="241" spans="5:30" ht="14.25" x14ac:dyDescent="0.45">
      <c r="E241" s="70" t="str">
        <f>IFERROR(VLOOKUP(trainee_data[[#This Row],[Program Specialty]],taxonomy_map[[Other Taxonomy]:[Our Taxonomy]],2,FALSE),"")</f>
        <v/>
      </c>
      <c r="F241" s="52" t="str">
        <f>IFERROR(VLOOKUP(trainee_data[[#This Row],[Specialty/Subspecialty]],condensed_specialty_crosswalk[#All],2,FALSE),"")</f>
        <v/>
      </c>
      <c r="G241" s="53" t="str">
        <f>IFERROR(VLOOKUP(trainee_data[[#This Row],[Specialty/Subspecialty]],condensed_specialty_crosswalk[#All],3,FALSE),"")</f>
        <v/>
      </c>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row>
    <row r="242" spans="5:30" ht="14.25" x14ac:dyDescent="0.45">
      <c r="E242" s="69" t="str">
        <f>IFERROR(VLOOKUP(trainee_data[[#This Row],[Program Specialty]],taxonomy_map[[Other Taxonomy]:[Our Taxonomy]],2,FALSE),"")</f>
        <v/>
      </c>
      <c r="F242" s="55" t="str">
        <f>IFERROR(VLOOKUP(trainee_data[[#This Row],[Specialty/Subspecialty]],condensed_specialty_crosswalk[#All],2,FALSE),"")</f>
        <v/>
      </c>
      <c r="G242" s="56" t="str">
        <f>IFERROR(VLOOKUP(trainee_data[[#This Row],[Specialty/Subspecialty]],condensed_specialty_crosswalk[#All],3,FALSE),"")</f>
        <v/>
      </c>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row>
    <row r="243" spans="5:30" ht="14.25" x14ac:dyDescent="0.45">
      <c r="E243" s="70" t="str">
        <f>IFERROR(VLOOKUP(trainee_data[[#This Row],[Program Specialty]],taxonomy_map[[Other Taxonomy]:[Our Taxonomy]],2,FALSE),"")</f>
        <v/>
      </c>
      <c r="F243" s="52" t="str">
        <f>IFERROR(VLOOKUP(trainee_data[[#This Row],[Specialty/Subspecialty]],condensed_specialty_crosswalk[#All],2,FALSE),"")</f>
        <v/>
      </c>
      <c r="G243" s="53" t="str">
        <f>IFERROR(VLOOKUP(trainee_data[[#This Row],[Specialty/Subspecialty]],condensed_specialty_crosswalk[#All],3,FALSE),"")</f>
        <v/>
      </c>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row>
    <row r="244" spans="5:30" ht="14.25" x14ac:dyDescent="0.45">
      <c r="E244" s="69" t="str">
        <f>IFERROR(VLOOKUP(trainee_data[[#This Row],[Program Specialty]],taxonomy_map[[Other Taxonomy]:[Our Taxonomy]],2,FALSE),"")</f>
        <v/>
      </c>
      <c r="F244" s="55" t="str">
        <f>IFERROR(VLOOKUP(trainee_data[[#This Row],[Specialty/Subspecialty]],condensed_specialty_crosswalk[#All],2,FALSE),"")</f>
        <v/>
      </c>
      <c r="G244" s="56" t="str">
        <f>IFERROR(VLOOKUP(trainee_data[[#This Row],[Specialty/Subspecialty]],condensed_specialty_crosswalk[#All],3,FALSE),"")</f>
        <v/>
      </c>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row>
    <row r="245" spans="5:30" ht="14.25" x14ac:dyDescent="0.45">
      <c r="E245" s="70" t="str">
        <f>IFERROR(VLOOKUP(trainee_data[[#This Row],[Program Specialty]],taxonomy_map[[Other Taxonomy]:[Our Taxonomy]],2,FALSE),"")</f>
        <v/>
      </c>
      <c r="F245" s="52" t="str">
        <f>IFERROR(VLOOKUP(trainee_data[[#This Row],[Specialty/Subspecialty]],condensed_specialty_crosswalk[#All],2,FALSE),"")</f>
        <v/>
      </c>
      <c r="G245" s="53" t="str">
        <f>IFERROR(VLOOKUP(trainee_data[[#This Row],[Specialty/Subspecialty]],condensed_specialty_crosswalk[#All],3,FALSE),"")</f>
        <v/>
      </c>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row>
    <row r="246" spans="5:30" ht="14.25" x14ac:dyDescent="0.45">
      <c r="E246" s="69" t="str">
        <f>IFERROR(VLOOKUP(trainee_data[[#This Row],[Program Specialty]],taxonomy_map[[Other Taxonomy]:[Our Taxonomy]],2,FALSE),"")</f>
        <v/>
      </c>
      <c r="F246" s="55" t="str">
        <f>IFERROR(VLOOKUP(trainee_data[[#This Row],[Specialty/Subspecialty]],condensed_specialty_crosswalk[#All],2,FALSE),"")</f>
        <v/>
      </c>
      <c r="G246" s="56" t="str">
        <f>IFERROR(VLOOKUP(trainee_data[[#This Row],[Specialty/Subspecialty]],condensed_specialty_crosswalk[#All],3,FALSE),"")</f>
        <v/>
      </c>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row>
    <row r="247" spans="5:30" ht="14.25" x14ac:dyDescent="0.45">
      <c r="E247" s="70" t="str">
        <f>IFERROR(VLOOKUP(trainee_data[[#This Row],[Program Specialty]],taxonomy_map[[Other Taxonomy]:[Our Taxonomy]],2,FALSE),"")</f>
        <v/>
      </c>
      <c r="F247" s="52" t="str">
        <f>IFERROR(VLOOKUP(trainee_data[[#This Row],[Specialty/Subspecialty]],condensed_specialty_crosswalk[#All],2,FALSE),"")</f>
        <v/>
      </c>
      <c r="G247" s="53" t="str">
        <f>IFERROR(VLOOKUP(trainee_data[[#This Row],[Specialty/Subspecialty]],condensed_specialty_crosswalk[#All],3,FALSE),"")</f>
        <v/>
      </c>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row>
    <row r="248" spans="5:30" ht="14.25" x14ac:dyDescent="0.45">
      <c r="E248" s="69" t="str">
        <f>IFERROR(VLOOKUP(trainee_data[[#This Row],[Program Specialty]],taxonomy_map[[Other Taxonomy]:[Our Taxonomy]],2,FALSE),"")</f>
        <v/>
      </c>
      <c r="F248" s="55" t="str">
        <f>IFERROR(VLOOKUP(trainee_data[[#This Row],[Specialty/Subspecialty]],condensed_specialty_crosswalk[#All],2,FALSE),"")</f>
        <v/>
      </c>
      <c r="G248" s="56" t="str">
        <f>IFERROR(VLOOKUP(trainee_data[[#This Row],[Specialty/Subspecialty]],condensed_specialty_crosswalk[#All],3,FALSE),"")</f>
        <v/>
      </c>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row>
    <row r="249" spans="5:30" ht="14.25" x14ac:dyDescent="0.45">
      <c r="E249" s="70" t="str">
        <f>IFERROR(VLOOKUP(trainee_data[[#This Row],[Program Specialty]],taxonomy_map[[Other Taxonomy]:[Our Taxonomy]],2,FALSE),"")</f>
        <v/>
      </c>
      <c r="F249" s="52" t="str">
        <f>IFERROR(VLOOKUP(trainee_data[[#This Row],[Specialty/Subspecialty]],condensed_specialty_crosswalk[#All],2,FALSE),"")</f>
        <v/>
      </c>
      <c r="G249" s="53" t="str">
        <f>IFERROR(VLOOKUP(trainee_data[[#This Row],[Specialty/Subspecialty]],condensed_specialty_crosswalk[#All],3,FALSE),"")</f>
        <v/>
      </c>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row>
    <row r="250" spans="5:30" ht="14.25" x14ac:dyDescent="0.45">
      <c r="E250" s="69" t="str">
        <f>IFERROR(VLOOKUP(trainee_data[[#This Row],[Program Specialty]],taxonomy_map[[Other Taxonomy]:[Our Taxonomy]],2,FALSE),"")</f>
        <v/>
      </c>
      <c r="F250" s="55" t="str">
        <f>IFERROR(VLOOKUP(trainee_data[[#This Row],[Specialty/Subspecialty]],condensed_specialty_crosswalk[#All],2,FALSE),"")</f>
        <v/>
      </c>
      <c r="G250" s="56" t="str">
        <f>IFERROR(VLOOKUP(trainee_data[[#This Row],[Specialty/Subspecialty]],condensed_specialty_crosswalk[#All],3,FALSE),"")</f>
        <v/>
      </c>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row>
    <row r="251" spans="5:30" ht="14.25" x14ac:dyDescent="0.45">
      <c r="E251" s="70" t="str">
        <f>IFERROR(VLOOKUP(trainee_data[[#This Row],[Program Specialty]],taxonomy_map[[Other Taxonomy]:[Our Taxonomy]],2,FALSE),"")</f>
        <v/>
      </c>
      <c r="F251" s="52" t="str">
        <f>IFERROR(VLOOKUP(trainee_data[[#This Row],[Specialty/Subspecialty]],condensed_specialty_crosswalk[#All],2,FALSE),"")</f>
        <v/>
      </c>
      <c r="G251" s="53" t="str">
        <f>IFERROR(VLOOKUP(trainee_data[[#This Row],[Specialty/Subspecialty]],condensed_specialty_crosswalk[#All],3,FALSE),"")</f>
        <v/>
      </c>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row>
    <row r="252" spans="5:30" ht="14.25" x14ac:dyDescent="0.45">
      <c r="E252" s="69" t="str">
        <f>IFERROR(VLOOKUP(trainee_data[[#This Row],[Program Specialty]],taxonomy_map[[Other Taxonomy]:[Our Taxonomy]],2,FALSE),"")</f>
        <v/>
      </c>
      <c r="F252" s="55" t="str">
        <f>IFERROR(VLOOKUP(trainee_data[[#This Row],[Specialty/Subspecialty]],condensed_specialty_crosswalk[#All],2,FALSE),"")</f>
        <v/>
      </c>
      <c r="G252" s="56" t="str">
        <f>IFERROR(VLOOKUP(trainee_data[[#This Row],[Specialty/Subspecialty]],condensed_specialty_crosswalk[#All],3,FALSE),"")</f>
        <v/>
      </c>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row>
    <row r="253" spans="5:30" ht="14.25" x14ac:dyDescent="0.45">
      <c r="E253" s="70" t="str">
        <f>IFERROR(VLOOKUP(trainee_data[[#This Row],[Program Specialty]],taxonomy_map[[Other Taxonomy]:[Our Taxonomy]],2,FALSE),"")</f>
        <v/>
      </c>
      <c r="F253" s="52" t="str">
        <f>IFERROR(VLOOKUP(trainee_data[[#This Row],[Specialty/Subspecialty]],condensed_specialty_crosswalk[#All],2,FALSE),"")</f>
        <v/>
      </c>
      <c r="G253" s="53" t="str">
        <f>IFERROR(VLOOKUP(trainee_data[[#This Row],[Specialty/Subspecialty]],condensed_specialty_crosswalk[#All],3,FALSE),"")</f>
        <v/>
      </c>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row>
    <row r="254" spans="5:30" ht="14.25" x14ac:dyDescent="0.45">
      <c r="E254" s="69" t="str">
        <f>IFERROR(VLOOKUP(trainee_data[[#This Row],[Program Specialty]],taxonomy_map[[Other Taxonomy]:[Our Taxonomy]],2,FALSE),"")</f>
        <v/>
      </c>
      <c r="F254" s="55" t="str">
        <f>IFERROR(VLOOKUP(trainee_data[[#This Row],[Specialty/Subspecialty]],condensed_specialty_crosswalk[#All],2,FALSE),"")</f>
        <v/>
      </c>
      <c r="G254" s="56" t="str">
        <f>IFERROR(VLOOKUP(trainee_data[[#This Row],[Specialty/Subspecialty]],condensed_specialty_crosswalk[#All],3,FALSE),"")</f>
        <v/>
      </c>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row>
    <row r="255" spans="5:30" ht="14.25" x14ac:dyDescent="0.45">
      <c r="E255" s="70" t="str">
        <f>IFERROR(VLOOKUP(trainee_data[[#This Row],[Program Specialty]],taxonomy_map[[Other Taxonomy]:[Our Taxonomy]],2,FALSE),"")</f>
        <v/>
      </c>
      <c r="F255" s="52" t="str">
        <f>IFERROR(VLOOKUP(trainee_data[[#This Row],[Specialty/Subspecialty]],condensed_specialty_crosswalk[#All],2,FALSE),"")</f>
        <v/>
      </c>
      <c r="G255" s="53" t="str">
        <f>IFERROR(VLOOKUP(trainee_data[[#This Row],[Specialty/Subspecialty]],condensed_specialty_crosswalk[#All],3,FALSE),"")</f>
        <v/>
      </c>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row>
    <row r="256" spans="5:30" ht="14.25" x14ac:dyDescent="0.45">
      <c r="E256" s="69" t="str">
        <f>IFERROR(VLOOKUP(trainee_data[[#This Row],[Program Specialty]],taxonomy_map[[Other Taxonomy]:[Our Taxonomy]],2,FALSE),"")</f>
        <v/>
      </c>
      <c r="F256" s="55" t="str">
        <f>IFERROR(VLOOKUP(trainee_data[[#This Row],[Specialty/Subspecialty]],condensed_specialty_crosswalk[#All],2,FALSE),"")</f>
        <v/>
      </c>
      <c r="G256" s="56" t="str">
        <f>IFERROR(VLOOKUP(trainee_data[[#This Row],[Specialty/Subspecialty]],condensed_specialty_crosswalk[#All],3,FALSE),"")</f>
        <v/>
      </c>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row>
    <row r="257" spans="5:30" ht="14.25" x14ac:dyDescent="0.45">
      <c r="E257" s="70" t="str">
        <f>IFERROR(VLOOKUP(trainee_data[[#This Row],[Program Specialty]],taxonomy_map[[Other Taxonomy]:[Our Taxonomy]],2,FALSE),"")</f>
        <v/>
      </c>
      <c r="F257" s="52" t="str">
        <f>IFERROR(VLOOKUP(trainee_data[[#This Row],[Specialty/Subspecialty]],condensed_specialty_crosswalk[#All],2,FALSE),"")</f>
        <v/>
      </c>
      <c r="G257" s="53" t="str">
        <f>IFERROR(VLOOKUP(trainee_data[[#This Row],[Specialty/Subspecialty]],condensed_specialty_crosswalk[#All],3,FALSE),"")</f>
        <v/>
      </c>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row>
    <row r="258" spans="5:30" ht="14.25" x14ac:dyDescent="0.45">
      <c r="E258" s="69" t="str">
        <f>IFERROR(VLOOKUP(trainee_data[[#This Row],[Program Specialty]],taxonomy_map[[Other Taxonomy]:[Our Taxonomy]],2,FALSE),"")</f>
        <v/>
      </c>
      <c r="F258" s="55" t="str">
        <f>IFERROR(VLOOKUP(trainee_data[[#This Row],[Specialty/Subspecialty]],condensed_specialty_crosswalk[#All],2,FALSE),"")</f>
        <v/>
      </c>
      <c r="G258" s="56" t="str">
        <f>IFERROR(VLOOKUP(trainee_data[[#This Row],[Specialty/Subspecialty]],condensed_specialty_crosswalk[#All],3,FALSE),"")</f>
        <v/>
      </c>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row>
    <row r="259" spans="5:30" ht="14.25" x14ac:dyDescent="0.45">
      <c r="E259" s="70" t="str">
        <f>IFERROR(VLOOKUP(trainee_data[[#This Row],[Program Specialty]],taxonomy_map[[Other Taxonomy]:[Our Taxonomy]],2,FALSE),"")</f>
        <v/>
      </c>
      <c r="F259" s="52" t="str">
        <f>IFERROR(VLOOKUP(trainee_data[[#This Row],[Specialty/Subspecialty]],condensed_specialty_crosswalk[#All],2,FALSE),"")</f>
        <v/>
      </c>
      <c r="G259" s="53" t="str">
        <f>IFERROR(VLOOKUP(trainee_data[[#This Row],[Specialty/Subspecialty]],condensed_specialty_crosswalk[#All],3,FALSE),"")</f>
        <v/>
      </c>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row>
    <row r="260" spans="5:30" ht="14.25" x14ac:dyDescent="0.45">
      <c r="E260" s="69" t="str">
        <f>IFERROR(VLOOKUP(trainee_data[[#This Row],[Program Specialty]],taxonomy_map[[Other Taxonomy]:[Our Taxonomy]],2,FALSE),"")</f>
        <v/>
      </c>
      <c r="F260" s="55" t="str">
        <f>IFERROR(VLOOKUP(trainee_data[[#This Row],[Specialty/Subspecialty]],condensed_specialty_crosswalk[#All],2,FALSE),"")</f>
        <v/>
      </c>
      <c r="G260" s="56" t="str">
        <f>IFERROR(VLOOKUP(trainee_data[[#This Row],[Specialty/Subspecialty]],condensed_specialty_crosswalk[#All],3,FALSE),"")</f>
        <v/>
      </c>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row>
    <row r="261" spans="5:30" ht="14.25" x14ac:dyDescent="0.45">
      <c r="E261" s="70" t="str">
        <f>IFERROR(VLOOKUP(trainee_data[[#This Row],[Program Specialty]],taxonomy_map[[Other Taxonomy]:[Our Taxonomy]],2,FALSE),"")</f>
        <v/>
      </c>
      <c r="F261" s="52" t="str">
        <f>IFERROR(VLOOKUP(trainee_data[[#This Row],[Specialty/Subspecialty]],condensed_specialty_crosswalk[#All],2,FALSE),"")</f>
        <v/>
      </c>
      <c r="G261" s="53" t="str">
        <f>IFERROR(VLOOKUP(trainee_data[[#This Row],[Specialty/Subspecialty]],condensed_specialty_crosswalk[#All],3,FALSE),"")</f>
        <v/>
      </c>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row>
    <row r="262" spans="5:30" ht="14.25" x14ac:dyDescent="0.45">
      <c r="E262" s="69" t="str">
        <f>IFERROR(VLOOKUP(trainee_data[[#This Row],[Program Specialty]],taxonomy_map[[Other Taxonomy]:[Our Taxonomy]],2,FALSE),"")</f>
        <v/>
      </c>
      <c r="F262" s="55" t="str">
        <f>IFERROR(VLOOKUP(trainee_data[[#This Row],[Specialty/Subspecialty]],condensed_specialty_crosswalk[#All],2,FALSE),"")</f>
        <v/>
      </c>
      <c r="G262" s="56" t="str">
        <f>IFERROR(VLOOKUP(trainee_data[[#This Row],[Specialty/Subspecialty]],condensed_specialty_crosswalk[#All],3,FALSE),"")</f>
        <v/>
      </c>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row>
    <row r="263" spans="5:30" ht="14.25" x14ac:dyDescent="0.45">
      <c r="E263" s="70" t="str">
        <f>IFERROR(VLOOKUP(trainee_data[[#This Row],[Program Specialty]],taxonomy_map[[Other Taxonomy]:[Our Taxonomy]],2,FALSE),"")</f>
        <v/>
      </c>
      <c r="F263" s="52" t="str">
        <f>IFERROR(VLOOKUP(trainee_data[[#This Row],[Specialty/Subspecialty]],condensed_specialty_crosswalk[#All],2,FALSE),"")</f>
        <v/>
      </c>
      <c r="G263" s="53" t="str">
        <f>IFERROR(VLOOKUP(trainee_data[[#This Row],[Specialty/Subspecialty]],condensed_specialty_crosswalk[#All],3,FALSE),"")</f>
        <v/>
      </c>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row>
    <row r="264" spans="5:30" ht="14.25" x14ac:dyDescent="0.45">
      <c r="E264" s="69" t="str">
        <f>IFERROR(VLOOKUP(trainee_data[[#This Row],[Program Specialty]],taxonomy_map[[Other Taxonomy]:[Our Taxonomy]],2,FALSE),"")</f>
        <v/>
      </c>
      <c r="F264" s="55" t="str">
        <f>IFERROR(VLOOKUP(trainee_data[[#This Row],[Specialty/Subspecialty]],condensed_specialty_crosswalk[#All],2,FALSE),"")</f>
        <v/>
      </c>
      <c r="G264" s="56" t="str">
        <f>IFERROR(VLOOKUP(trainee_data[[#This Row],[Specialty/Subspecialty]],condensed_specialty_crosswalk[#All],3,FALSE),"")</f>
        <v/>
      </c>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row>
    <row r="265" spans="5:30" ht="14.25" x14ac:dyDescent="0.45">
      <c r="E265" s="70" t="str">
        <f>IFERROR(VLOOKUP(trainee_data[[#This Row],[Program Specialty]],taxonomy_map[[Other Taxonomy]:[Our Taxonomy]],2,FALSE),"")</f>
        <v/>
      </c>
      <c r="F265" s="52" t="str">
        <f>IFERROR(VLOOKUP(trainee_data[[#This Row],[Specialty/Subspecialty]],condensed_specialty_crosswalk[#All],2,FALSE),"")</f>
        <v/>
      </c>
      <c r="G265" s="53" t="str">
        <f>IFERROR(VLOOKUP(trainee_data[[#This Row],[Specialty/Subspecialty]],condensed_specialty_crosswalk[#All],3,FALSE),"")</f>
        <v/>
      </c>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row>
    <row r="266" spans="5:30" ht="14.25" x14ac:dyDescent="0.45">
      <c r="E266" s="69" t="str">
        <f>IFERROR(VLOOKUP(trainee_data[[#This Row],[Program Specialty]],taxonomy_map[[Other Taxonomy]:[Our Taxonomy]],2,FALSE),"")</f>
        <v/>
      </c>
      <c r="F266" s="55" t="str">
        <f>IFERROR(VLOOKUP(trainee_data[[#This Row],[Specialty/Subspecialty]],condensed_specialty_crosswalk[#All],2,FALSE),"")</f>
        <v/>
      </c>
      <c r="G266" s="56" t="str">
        <f>IFERROR(VLOOKUP(trainee_data[[#This Row],[Specialty/Subspecialty]],condensed_specialty_crosswalk[#All],3,FALSE),"")</f>
        <v/>
      </c>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row>
    <row r="267" spans="5:30" ht="14.25" x14ac:dyDescent="0.45">
      <c r="E267" s="70" t="str">
        <f>IFERROR(VLOOKUP(trainee_data[[#This Row],[Program Specialty]],taxonomy_map[[Other Taxonomy]:[Our Taxonomy]],2,FALSE),"")</f>
        <v/>
      </c>
      <c r="F267" s="52" t="str">
        <f>IFERROR(VLOOKUP(trainee_data[[#This Row],[Specialty/Subspecialty]],condensed_specialty_crosswalk[#All],2,FALSE),"")</f>
        <v/>
      </c>
      <c r="G267" s="53" t="str">
        <f>IFERROR(VLOOKUP(trainee_data[[#This Row],[Specialty/Subspecialty]],condensed_specialty_crosswalk[#All],3,FALSE),"")</f>
        <v/>
      </c>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row>
    <row r="268" spans="5:30" ht="14.25" x14ac:dyDescent="0.45">
      <c r="E268" s="69" t="str">
        <f>IFERROR(VLOOKUP(trainee_data[[#This Row],[Program Specialty]],taxonomy_map[[Other Taxonomy]:[Our Taxonomy]],2,FALSE),"")</f>
        <v/>
      </c>
      <c r="F268" s="55" t="str">
        <f>IFERROR(VLOOKUP(trainee_data[[#This Row],[Specialty/Subspecialty]],condensed_specialty_crosswalk[#All],2,FALSE),"")</f>
        <v/>
      </c>
      <c r="G268" s="56" t="str">
        <f>IFERROR(VLOOKUP(trainee_data[[#This Row],[Specialty/Subspecialty]],condensed_specialty_crosswalk[#All],3,FALSE),"")</f>
        <v/>
      </c>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row>
    <row r="269" spans="5:30" ht="14.25" x14ac:dyDescent="0.45">
      <c r="E269" s="70" t="str">
        <f>IFERROR(VLOOKUP(trainee_data[[#This Row],[Program Specialty]],taxonomy_map[[Other Taxonomy]:[Our Taxonomy]],2,FALSE),"")</f>
        <v/>
      </c>
      <c r="F269" s="52" t="str">
        <f>IFERROR(VLOOKUP(trainee_data[[#This Row],[Specialty/Subspecialty]],condensed_specialty_crosswalk[#All],2,FALSE),"")</f>
        <v/>
      </c>
      <c r="G269" s="53" t="str">
        <f>IFERROR(VLOOKUP(trainee_data[[#This Row],[Specialty/Subspecialty]],condensed_specialty_crosswalk[#All],3,FALSE),"")</f>
        <v/>
      </c>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row>
    <row r="270" spans="5:30" ht="14.25" x14ac:dyDescent="0.45">
      <c r="E270" s="69" t="str">
        <f>IFERROR(VLOOKUP(trainee_data[[#This Row],[Program Specialty]],taxonomy_map[[Other Taxonomy]:[Our Taxonomy]],2,FALSE),"")</f>
        <v/>
      </c>
      <c r="F270" s="55" t="str">
        <f>IFERROR(VLOOKUP(trainee_data[[#This Row],[Specialty/Subspecialty]],condensed_specialty_crosswalk[#All],2,FALSE),"")</f>
        <v/>
      </c>
      <c r="G270" s="56" t="str">
        <f>IFERROR(VLOOKUP(trainee_data[[#This Row],[Specialty/Subspecialty]],condensed_specialty_crosswalk[#All],3,FALSE),"")</f>
        <v/>
      </c>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row>
    <row r="271" spans="5:30" ht="14.25" x14ac:dyDescent="0.45">
      <c r="E271" s="70" t="str">
        <f>IFERROR(VLOOKUP(trainee_data[[#This Row],[Program Specialty]],taxonomy_map[[Other Taxonomy]:[Our Taxonomy]],2,FALSE),"")</f>
        <v/>
      </c>
      <c r="F271" s="52" t="str">
        <f>IFERROR(VLOOKUP(trainee_data[[#This Row],[Specialty/Subspecialty]],condensed_specialty_crosswalk[#All],2,FALSE),"")</f>
        <v/>
      </c>
      <c r="G271" s="53" t="str">
        <f>IFERROR(VLOOKUP(trainee_data[[#This Row],[Specialty/Subspecialty]],condensed_specialty_crosswalk[#All],3,FALSE),"")</f>
        <v/>
      </c>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row>
    <row r="272" spans="5:30" ht="14.25" x14ac:dyDescent="0.45">
      <c r="E272" s="69" t="str">
        <f>IFERROR(VLOOKUP(trainee_data[[#This Row],[Program Specialty]],taxonomy_map[[Other Taxonomy]:[Our Taxonomy]],2,FALSE),"")</f>
        <v/>
      </c>
      <c r="F272" s="55" t="str">
        <f>IFERROR(VLOOKUP(trainee_data[[#This Row],[Specialty/Subspecialty]],condensed_specialty_crosswalk[#All],2,FALSE),"")</f>
        <v/>
      </c>
      <c r="G272" s="56" t="str">
        <f>IFERROR(VLOOKUP(trainee_data[[#This Row],[Specialty/Subspecialty]],condensed_specialty_crosswalk[#All],3,FALSE),"")</f>
        <v/>
      </c>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row>
    <row r="273" spans="5:30" ht="14.25" x14ac:dyDescent="0.45">
      <c r="E273" s="70" t="str">
        <f>IFERROR(VLOOKUP(trainee_data[[#This Row],[Program Specialty]],taxonomy_map[[Other Taxonomy]:[Our Taxonomy]],2,FALSE),"")</f>
        <v/>
      </c>
      <c r="F273" s="52" t="str">
        <f>IFERROR(VLOOKUP(trainee_data[[#This Row],[Specialty/Subspecialty]],condensed_specialty_crosswalk[#All],2,FALSE),"")</f>
        <v/>
      </c>
      <c r="G273" s="53" t="str">
        <f>IFERROR(VLOOKUP(trainee_data[[#This Row],[Specialty/Subspecialty]],condensed_specialty_crosswalk[#All],3,FALSE),"")</f>
        <v/>
      </c>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row>
    <row r="274" spans="5:30" ht="14.25" x14ac:dyDescent="0.45">
      <c r="E274" s="69" t="str">
        <f>IFERROR(VLOOKUP(trainee_data[[#This Row],[Program Specialty]],taxonomy_map[[Other Taxonomy]:[Our Taxonomy]],2,FALSE),"")</f>
        <v/>
      </c>
      <c r="F274" s="55" t="str">
        <f>IFERROR(VLOOKUP(trainee_data[[#This Row],[Specialty/Subspecialty]],condensed_specialty_crosswalk[#All],2,FALSE),"")</f>
        <v/>
      </c>
      <c r="G274" s="56" t="str">
        <f>IFERROR(VLOOKUP(trainee_data[[#This Row],[Specialty/Subspecialty]],condensed_specialty_crosswalk[#All],3,FALSE),"")</f>
        <v/>
      </c>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row>
    <row r="275" spans="5:30" ht="14.25" x14ac:dyDescent="0.45">
      <c r="E275" s="70" t="str">
        <f>IFERROR(VLOOKUP(trainee_data[[#This Row],[Program Specialty]],taxonomy_map[[Other Taxonomy]:[Our Taxonomy]],2,FALSE),"")</f>
        <v/>
      </c>
      <c r="F275" s="52" t="str">
        <f>IFERROR(VLOOKUP(trainee_data[[#This Row],[Specialty/Subspecialty]],condensed_specialty_crosswalk[#All],2,FALSE),"")</f>
        <v/>
      </c>
      <c r="G275" s="53" t="str">
        <f>IFERROR(VLOOKUP(trainee_data[[#This Row],[Specialty/Subspecialty]],condensed_specialty_crosswalk[#All],3,FALSE),"")</f>
        <v/>
      </c>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row>
    <row r="276" spans="5:30" ht="14.25" x14ac:dyDescent="0.45">
      <c r="E276" s="69" t="str">
        <f>IFERROR(VLOOKUP(trainee_data[[#This Row],[Program Specialty]],taxonomy_map[[Other Taxonomy]:[Our Taxonomy]],2,FALSE),"")</f>
        <v/>
      </c>
      <c r="F276" s="55" t="str">
        <f>IFERROR(VLOOKUP(trainee_data[[#This Row],[Specialty/Subspecialty]],condensed_specialty_crosswalk[#All],2,FALSE),"")</f>
        <v/>
      </c>
      <c r="G276" s="56" t="str">
        <f>IFERROR(VLOOKUP(trainee_data[[#This Row],[Specialty/Subspecialty]],condensed_specialty_crosswalk[#All],3,FALSE),"")</f>
        <v/>
      </c>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row>
    <row r="277" spans="5:30" ht="14.25" x14ac:dyDescent="0.45">
      <c r="E277" s="70" t="str">
        <f>IFERROR(VLOOKUP(trainee_data[[#This Row],[Program Specialty]],taxonomy_map[[Other Taxonomy]:[Our Taxonomy]],2,FALSE),"")</f>
        <v/>
      </c>
      <c r="F277" s="52" t="str">
        <f>IFERROR(VLOOKUP(trainee_data[[#This Row],[Specialty/Subspecialty]],condensed_specialty_crosswalk[#All],2,FALSE),"")</f>
        <v/>
      </c>
      <c r="G277" s="53" t="str">
        <f>IFERROR(VLOOKUP(trainee_data[[#This Row],[Specialty/Subspecialty]],condensed_specialty_crosswalk[#All],3,FALSE),"")</f>
        <v/>
      </c>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row>
    <row r="278" spans="5:30" ht="14.25" x14ac:dyDescent="0.45">
      <c r="E278" s="69" t="str">
        <f>IFERROR(VLOOKUP(trainee_data[[#This Row],[Program Specialty]],taxonomy_map[[Other Taxonomy]:[Our Taxonomy]],2,FALSE),"")</f>
        <v/>
      </c>
      <c r="F278" s="55" t="str">
        <f>IFERROR(VLOOKUP(trainee_data[[#This Row],[Specialty/Subspecialty]],condensed_specialty_crosswalk[#All],2,FALSE),"")</f>
        <v/>
      </c>
      <c r="G278" s="56" t="str">
        <f>IFERROR(VLOOKUP(trainee_data[[#This Row],[Specialty/Subspecialty]],condensed_specialty_crosswalk[#All],3,FALSE),"")</f>
        <v/>
      </c>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row>
    <row r="279" spans="5:30" ht="14.25" x14ac:dyDescent="0.45">
      <c r="E279" s="70" t="str">
        <f>IFERROR(VLOOKUP(trainee_data[[#This Row],[Program Specialty]],taxonomy_map[[Other Taxonomy]:[Our Taxonomy]],2,FALSE),"")</f>
        <v/>
      </c>
      <c r="F279" s="52" t="str">
        <f>IFERROR(VLOOKUP(trainee_data[[#This Row],[Specialty/Subspecialty]],condensed_specialty_crosswalk[#All],2,FALSE),"")</f>
        <v/>
      </c>
      <c r="G279" s="53" t="str">
        <f>IFERROR(VLOOKUP(trainee_data[[#This Row],[Specialty/Subspecialty]],condensed_specialty_crosswalk[#All],3,FALSE),"")</f>
        <v/>
      </c>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row>
    <row r="280" spans="5:30" ht="14.25" x14ac:dyDescent="0.45">
      <c r="E280" s="69" t="str">
        <f>IFERROR(VLOOKUP(trainee_data[[#This Row],[Program Specialty]],taxonomy_map[[Other Taxonomy]:[Our Taxonomy]],2,FALSE),"")</f>
        <v/>
      </c>
      <c r="F280" s="55" t="str">
        <f>IFERROR(VLOOKUP(trainee_data[[#This Row],[Specialty/Subspecialty]],condensed_specialty_crosswalk[#All],2,FALSE),"")</f>
        <v/>
      </c>
      <c r="G280" s="56" t="str">
        <f>IFERROR(VLOOKUP(trainee_data[[#This Row],[Specialty/Subspecialty]],condensed_specialty_crosswalk[#All],3,FALSE),"")</f>
        <v/>
      </c>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row>
    <row r="281" spans="5:30" ht="14.25" x14ac:dyDescent="0.45">
      <c r="E281" s="70" t="str">
        <f>IFERROR(VLOOKUP(trainee_data[[#This Row],[Program Specialty]],taxonomy_map[[Other Taxonomy]:[Our Taxonomy]],2,FALSE),"")</f>
        <v/>
      </c>
      <c r="F281" s="52" t="str">
        <f>IFERROR(VLOOKUP(trainee_data[[#This Row],[Specialty/Subspecialty]],condensed_specialty_crosswalk[#All],2,FALSE),"")</f>
        <v/>
      </c>
      <c r="G281" s="53" t="str">
        <f>IFERROR(VLOOKUP(trainee_data[[#This Row],[Specialty/Subspecialty]],condensed_specialty_crosswalk[#All],3,FALSE),"")</f>
        <v/>
      </c>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row>
    <row r="282" spans="5:30" ht="14.25" x14ac:dyDescent="0.45">
      <c r="E282" s="69" t="str">
        <f>IFERROR(VLOOKUP(trainee_data[[#This Row],[Program Specialty]],taxonomy_map[[Other Taxonomy]:[Our Taxonomy]],2,FALSE),"")</f>
        <v/>
      </c>
      <c r="F282" s="55" t="str">
        <f>IFERROR(VLOOKUP(trainee_data[[#This Row],[Specialty/Subspecialty]],condensed_specialty_crosswalk[#All],2,FALSE),"")</f>
        <v/>
      </c>
      <c r="G282" s="56" t="str">
        <f>IFERROR(VLOOKUP(trainee_data[[#This Row],[Specialty/Subspecialty]],condensed_specialty_crosswalk[#All],3,FALSE),"")</f>
        <v/>
      </c>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row>
    <row r="283" spans="5:30" ht="14.25" x14ac:dyDescent="0.45">
      <c r="E283" s="70" t="str">
        <f>IFERROR(VLOOKUP(trainee_data[[#This Row],[Program Specialty]],taxonomy_map[[Other Taxonomy]:[Our Taxonomy]],2,FALSE),"")</f>
        <v/>
      </c>
      <c r="F283" s="52" t="str">
        <f>IFERROR(VLOOKUP(trainee_data[[#This Row],[Specialty/Subspecialty]],condensed_specialty_crosswalk[#All],2,FALSE),"")</f>
        <v/>
      </c>
      <c r="G283" s="53" t="str">
        <f>IFERROR(VLOOKUP(trainee_data[[#This Row],[Specialty/Subspecialty]],condensed_specialty_crosswalk[#All],3,FALSE),"")</f>
        <v/>
      </c>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row>
    <row r="284" spans="5:30" ht="14.25" x14ac:dyDescent="0.45">
      <c r="E284" s="69" t="str">
        <f>IFERROR(VLOOKUP(trainee_data[[#This Row],[Program Specialty]],taxonomy_map[[Other Taxonomy]:[Our Taxonomy]],2,FALSE),"")</f>
        <v/>
      </c>
      <c r="F284" s="55" t="str">
        <f>IFERROR(VLOOKUP(trainee_data[[#This Row],[Specialty/Subspecialty]],condensed_specialty_crosswalk[#All],2,FALSE),"")</f>
        <v/>
      </c>
      <c r="G284" s="56" t="str">
        <f>IFERROR(VLOOKUP(trainee_data[[#This Row],[Specialty/Subspecialty]],condensed_specialty_crosswalk[#All],3,FALSE),"")</f>
        <v/>
      </c>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row>
    <row r="285" spans="5:30" ht="14.25" x14ac:dyDescent="0.45">
      <c r="E285" s="70" t="str">
        <f>IFERROR(VLOOKUP(trainee_data[[#This Row],[Program Specialty]],taxonomy_map[[Other Taxonomy]:[Our Taxonomy]],2,FALSE),"")</f>
        <v/>
      </c>
      <c r="F285" s="52" t="str">
        <f>IFERROR(VLOOKUP(trainee_data[[#This Row],[Specialty/Subspecialty]],condensed_specialty_crosswalk[#All],2,FALSE),"")</f>
        <v/>
      </c>
      <c r="G285" s="53" t="str">
        <f>IFERROR(VLOOKUP(trainee_data[[#This Row],[Specialty/Subspecialty]],condensed_specialty_crosswalk[#All],3,FALSE),"")</f>
        <v/>
      </c>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row>
    <row r="286" spans="5:30" ht="14.25" x14ac:dyDescent="0.45">
      <c r="E286" s="69" t="str">
        <f>IFERROR(VLOOKUP(trainee_data[[#This Row],[Program Specialty]],taxonomy_map[[Other Taxonomy]:[Our Taxonomy]],2,FALSE),"")</f>
        <v/>
      </c>
      <c r="F286" s="55" t="str">
        <f>IFERROR(VLOOKUP(trainee_data[[#This Row],[Specialty/Subspecialty]],condensed_specialty_crosswalk[#All],2,FALSE),"")</f>
        <v/>
      </c>
      <c r="G286" s="56" t="str">
        <f>IFERROR(VLOOKUP(trainee_data[[#This Row],[Specialty/Subspecialty]],condensed_specialty_crosswalk[#All],3,FALSE),"")</f>
        <v/>
      </c>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row>
    <row r="287" spans="5:30" ht="14.25" x14ac:dyDescent="0.45">
      <c r="E287" s="70" t="str">
        <f>IFERROR(VLOOKUP(trainee_data[[#This Row],[Program Specialty]],taxonomy_map[[Other Taxonomy]:[Our Taxonomy]],2,FALSE),"")</f>
        <v/>
      </c>
      <c r="F287" s="52" t="str">
        <f>IFERROR(VLOOKUP(trainee_data[[#This Row],[Specialty/Subspecialty]],condensed_specialty_crosswalk[#All],2,FALSE),"")</f>
        <v/>
      </c>
      <c r="G287" s="53" t="str">
        <f>IFERROR(VLOOKUP(trainee_data[[#This Row],[Specialty/Subspecialty]],condensed_specialty_crosswalk[#All],3,FALSE),"")</f>
        <v/>
      </c>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row>
    <row r="288" spans="5:30" ht="14.25" x14ac:dyDescent="0.45">
      <c r="E288" s="69" t="str">
        <f>IFERROR(VLOOKUP(trainee_data[[#This Row],[Program Specialty]],taxonomy_map[[Other Taxonomy]:[Our Taxonomy]],2,FALSE),"")</f>
        <v/>
      </c>
      <c r="F288" s="55" t="str">
        <f>IFERROR(VLOOKUP(trainee_data[[#This Row],[Specialty/Subspecialty]],condensed_specialty_crosswalk[#All],2,FALSE),"")</f>
        <v/>
      </c>
      <c r="G288" s="56" t="str">
        <f>IFERROR(VLOOKUP(trainee_data[[#This Row],[Specialty/Subspecialty]],condensed_specialty_crosswalk[#All],3,FALSE),"")</f>
        <v/>
      </c>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row>
    <row r="289" spans="5:30" ht="14.25" x14ac:dyDescent="0.45">
      <c r="E289" s="70" t="str">
        <f>IFERROR(VLOOKUP(trainee_data[[#This Row],[Program Specialty]],taxonomy_map[[Other Taxonomy]:[Our Taxonomy]],2,FALSE),"")</f>
        <v/>
      </c>
      <c r="F289" s="52" t="str">
        <f>IFERROR(VLOOKUP(trainee_data[[#This Row],[Specialty/Subspecialty]],condensed_specialty_crosswalk[#All],2,FALSE),"")</f>
        <v/>
      </c>
      <c r="G289" s="53" t="str">
        <f>IFERROR(VLOOKUP(trainee_data[[#This Row],[Specialty/Subspecialty]],condensed_specialty_crosswalk[#All],3,FALSE),"")</f>
        <v/>
      </c>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row>
    <row r="290" spans="5:30" ht="14.25" x14ac:dyDescent="0.45">
      <c r="E290" s="69" t="str">
        <f>IFERROR(VLOOKUP(trainee_data[[#This Row],[Program Specialty]],taxonomy_map[[Other Taxonomy]:[Our Taxonomy]],2,FALSE),"")</f>
        <v/>
      </c>
      <c r="F290" s="55" t="str">
        <f>IFERROR(VLOOKUP(trainee_data[[#This Row],[Specialty/Subspecialty]],condensed_specialty_crosswalk[#All],2,FALSE),"")</f>
        <v/>
      </c>
      <c r="G290" s="56" t="str">
        <f>IFERROR(VLOOKUP(trainee_data[[#This Row],[Specialty/Subspecialty]],condensed_specialty_crosswalk[#All],3,FALSE),"")</f>
        <v/>
      </c>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row>
    <row r="291" spans="5:30" ht="14.25" x14ac:dyDescent="0.45">
      <c r="E291" s="70" t="str">
        <f>IFERROR(VLOOKUP(trainee_data[[#This Row],[Program Specialty]],taxonomy_map[[Other Taxonomy]:[Our Taxonomy]],2,FALSE),"")</f>
        <v/>
      </c>
      <c r="F291" s="52" t="str">
        <f>IFERROR(VLOOKUP(trainee_data[[#This Row],[Specialty/Subspecialty]],condensed_specialty_crosswalk[#All],2,FALSE),"")</f>
        <v/>
      </c>
      <c r="G291" s="53" t="str">
        <f>IFERROR(VLOOKUP(trainee_data[[#This Row],[Specialty/Subspecialty]],condensed_specialty_crosswalk[#All],3,FALSE),"")</f>
        <v/>
      </c>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row>
    <row r="292" spans="5:30" ht="14.25" x14ac:dyDescent="0.45">
      <c r="E292" s="69" t="str">
        <f>IFERROR(VLOOKUP(trainee_data[[#This Row],[Program Specialty]],taxonomy_map[[Other Taxonomy]:[Our Taxonomy]],2,FALSE),"")</f>
        <v/>
      </c>
      <c r="F292" s="55" t="str">
        <f>IFERROR(VLOOKUP(trainee_data[[#This Row],[Specialty/Subspecialty]],condensed_specialty_crosswalk[#All],2,FALSE),"")</f>
        <v/>
      </c>
      <c r="G292" s="56" t="str">
        <f>IFERROR(VLOOKUP(trainee_data[[#This Row],[Specialty/Subspecialty]],condensed_specialty_crosswalk[#All],3,FALSE),"")</f>
        <v/>
      </c>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row>
    <row r="293" spans="5:30" ht="14.25" x14ac:dyDescent="0.45">
      <c r="E293" s="70" t="str">
        <f>IFERROR(VLOOKUP(trainee_data[[#This Row],[Program Specialty]],taxonomy_map[[Other Taxonomy]:[Our Taxonomy]],2,FALSE),"")</f>
        <v/>
      </c>
      <c r="F293" s="52" t="str">
        <f>IFERROR(VLOOKUP(trainee_data[[#This Row],[Specialty/Subspecialty]],condensed_specialty_crosswalk[#All],2,FALSE),"")</f>
        <v/>
      </c>
      <c r="G293" s="53" t="str">
        <f>IFERROR(VLOOKUP(trainee_data[[#This Row],[Specialty/Subspecialty]],condensed_specialty_crosswalk[#All],3,FALSE),"")</f>
        <v/>
      </c>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row>
    <row r="294" spans="5:30" ht="14.25" x14ac:dyDescent="0.45">
      <c r="E294" s="69" t="str">
        <f>IFERROR(VLOOKUP(trainee_data[[#This Row],[Program Specialty]],taxonomy_map[[Other Taxonomy]:[Our Taxonomy]],2,FALSE),"")</f>
        <v/>
      </c>
      <c r="F294" s="55" t="str">
        <f>IFERROR(VLOOKUP(trainee_data[[#This Row],[Specialty/Subspecialty]],condensed_specialty_crosswalk[#All],2,FALSE),"")</f>
        <v/>
      </c>
      <c r="G294" s="56" t="str">
        <f>IFERROR(VLOOKUP(trainee_data[[#This Row],[Specialty/Subspecialty]],condensed_specialty_crosswalk[#All],3,FALSE),"")</f>
        <v/>
      </c>
      <c r="H294" s="14"/>
      <c r="I294" s="14"/>
      <c r="J294" s="14"/>
      <c r="K294" s="14"/>
      <c r="L294" s="14"/>
      <c r="M294" s="14"/>
      <c r="N294" s="14"/>
      <c r="O294" s="14"/>
      <c r="P294" s="14"/>
      <c r="Q294" s="14"/>
      <c r="R294" s="14"/>
      <c r="S294" s="14"/>
      <c r="T294" s="14"/>
      <c r="U294" s="14"/>
      <c r="V294" s="14"/>
      <c r="W294" s="14"/>
      <c r="X294" s="14"/>
      <c r="Y294" s="14"/>
      <c r="Z294" s="14"/>
      <c r="AA294" s="14"/>
      <c r="AB294" s="14"/>
      <c r="AC294" s="14"/>
      <c r="AD294" s="14"/>
    </row>
    <row r="295" spans="5:30" ht="14.25" x14ac:dyDescent="0.45">
      <c r="E295" s="70" t="str">
        <f>IFERROR(VLOOKUP(trainee_data[[#This Row],[Program Specialty]],taxonomy_map[[Other Taxonomy]:[Our Taxonomy]],2,FALSE),"")</f>
        <v/>
      </c>
      <c r="F295" s="52" t="str">
        <f>IFERROR(VLOOKUP(trainee_data[[#This Row],[Specialty/Subspecialty]],condensed_specialty_crosswalk[#All],2,FALSE),"")</f>
        <v/>
      </c>
      <c r="G295" s="53" t="str">
        <f>IFERROR(VLOOKUP(trainee_data[[#This Row],[Specialty/Subspecialty]],condensed_specialty_crosswalk[#All],3,FALSE),"")</f>
        <v/>
      </c>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row>
    <row r="296" spans="5:30" ht="14.25" x14ac:dyDescent="0.45">
      <c r="E296" s="69" t="str">
        <f>IFERROR(VLOOKUP(trainee_data[[#This Row],[Program Specialty]],taxonomy_map[[Other Taxonomy]:[Our Taxonomy]],2,FALSE),"")</f>
        <v/>
      </c>
      <c r="F296" s="55" t="str">
        <f>IFERROR(VLOOKUP(trainee_data[[#This Row],[Specialty/Subspecialty]],condensed_specialty_crosswalk[#All],2,FALSE),"")</f>
        <v/>
      </c>
      <c r="G296" s="56" t="str">
        <f>IFERROR(VLOOKUP(trainee_data[[#This Row],[Specialty/Subspecialty]],condensed_specialty_crosswalk[#All],3,FALSE),"")</f>
        <v/>
      </c>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row>
    <row r="297" spans="5:30" ht="14.25" x14ac:dyDescent="0.45">
      <c r="E297" s="70" t="str">
        <f>IFERROR(VLOOKUP(trainee_data[[#This Row],[Program Specialty]],taxonomy_map[[Other Taxonomy]:[Our Taxonomy]],2,FALSE),"")</f>
        <v/>
      </c>
      <c r="F297" s="52" t="str">
        <f>IFERROR(VLOOKUP(trainee_data[[#This Row],[Specialty/Subspecialty]],condensed_specialty_crosswalk[#All],2,FALSE),"")</f>
        <v/>
      </c>
      <c r="G297" s="53" t="str">
        <f>IFERROR(VLOOKUP(trainee_data[[#This Row],[Specialty/Subspecialty]],condensed_specialty_crosswalk[#All],3,FALSE),"")</f>
        <v/>
      </c>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row>
    <row r="298" spans="5:30" ht="14.25" x14ac:dyDescent="0.45">
      <c r="E298" s="69" t="str">
        <f>IFERROR(VLOOKUP(trainee_data[[#This Row],[Program Specialty]],taxonomy_map[[Other Taxonomy]:[Our Taxonomy]],2,FALSE),"")</f>
        <v/>
      </c>
      <c r="F298" s="55" t="str">
        <f>IFERROR(VLOOKUP(trainee_data[[#This Row],[Specialty/Subspecialty]],condensed_specialty_crosswalk[#All],2,FALSE),"")</f>
        <v/>
      </c>
      <c r="G298" s="56" t="str">
        <f>IFERROR(VLOOKUP(trainee_data[[#This Row],[Specialty/Subspecialty]],condensed_specialty_crosswalk[#All],3,FALSE),"")</f>
        <v/>
      </c>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row>
    <row r="299" spans="5:30" ht="14.25" x14ac:dyDescent="0.45">
      <c r="E299" s="70" t="str">
        <f>IFERROR(VLOOKUP(trainee_data[[#This Row],[Program Specialty]],taxonomy_map[[Other Taxonomy]:[Our Taxonomy]],2,FALSE),"")</f>
        <v/>
      </c>
      <c r="F299" s="52" t="str">
        <f>IFERROR(VLOOKUP(trainee_data[[#This Row],[Specialty/Subspecialty]],condensed_specialty_crosswalk[#All],2,FALSE),"")</f>
        <v/>
      </c>
      <c r="G299" s="53" t="str">
        <f>IFERROR(VLOOKUP(trainee_data[[#This Row],[Specialty/Subspecialty]],condensed_specialty_crosswalk[#All],3,FALSE),"")</f>
        <v/>
      </c>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row>
    <row r="300" spans="5:30" ht="14.25" x14ac:dyDescent="0.45">
      <c r="E300" s="69" t="str">
        <f>IFERROR(VLOOKUP(trainee_data[[#This Row],[Program Specialty]],taxonomy_map[[Other Taxonomy]:[Our Taxonomy]],2,FALSE),"")</f>
        <v/>
      </c>
      <c r="F300" s="55" t="str">
        <f>IFERROR(VLOOKUP(trainee_data[[#This Row],[Specialty/Subspecialty]],condensed_specialty_crosswalk[#All],2,FALSE),"")</f>
        <v/>
      </c>
      <c r="G300" s="56" t="str">
        <f>IFERROR(VLOOKUP(trainee_data[[#This Row],[Specialty/Subspecialty]],condensed_specialty_crosswalk[#All],3,FALSE),"")</f>
        <v/>
      </c>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row>
    <row r="301" spans="5:30" ht="14.25" x14ac:dyDescent="0.45">
      <c r="E301" s="70" t="str">
        <f>IFERROR(VLOOKUP(trainee_data[[#This Row],[Program Specialty]],taxonomy_map[[Other Taxonomy]:[Our Taxonomy]],2,FALSE),"")</f>
        <v/>
      </c>
      <c r="F301" s="52" t="str">
        <f>IFERROR(VLOOKUP(trainee_data[[#This Row],[Specialty/Subspecialty]],condensed_specialty_crosswalk[#All],2,FALSE),"")</f>
        <v/>
      </c>
      <c r="G301" s="53" t="str">
        <f>IFERROR(VLOOKUP(trainee_data[[#This Row],[Specialty/Subspecialty]],condensed_specialty_crosswalk[#All],3,FALSE),"")</f>
        <v/>
      </c>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row>
    <row r="302" spans="5:30" ht="14.25" x14ac:dyDescent="0.45">
      <c r="E302" s="69" t="str">
        <f>IFERROR(VLOOKUP(trainee_data[[#This Row],[Program Specialty]],taxonomy_map[[Other Taxonomy]:[Our Taxonomy]],2,FALSE),"")</f>
        <v/>
      </c>
      <c r="F302" s="55" t="str">
        <f>IFERROR(VLOOKUP(trainee_data[[#This Row],[Specialty/Subspecialty]],condensed_specialty_crosswalk[#All],2,FALSE),"")</f>
        <v/>
      </c>
      <c r="G302" s="56" t="str">
        <f>IFERROR(VLOOKUP(trainee_data[[#This Row],[Specialty/Subspecialty]],condensed_specialty_crosswalk[#All],3,FALSE),"")</f>
        <v/>
      </c>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row>
    <row r="303" spans="5:30" ht="14.25" x14ac:dyDescent="0.45">
      <c r="E303" s="70" t="str">
        <f>IFERROR(VLOOKUP(trainee_data[[#This Row],[Program Specialty]],taxonomy_map[[Other Taxonomy]:[Our Taxonomy]],2,FALSE),"")</f>
        <v/>
      </c>
      <c r="F303" s="52" t="str">
        <f>IFERROR(VLOOKUP(trainee_data[[#This Row],[Specialty/Subspecialty]],condensed_specialty_crosswalk[#All],2,FALSE),"")</f>
        <v/>
      </c>
      <c r="G303" s="53" t="str">
        <f>IFERROR(VLOOKUP(trainee_data[[#This Row],[Specialty/Subspecialty]],condensed_specialty_crosswalk[#All],3,FALSE),"")</f>
        <v/>
      </c>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row>
    <row r="304" spans="5:30" ht="14.25" x14ac:dyDescent="0.45">
      <c r="E304" s="69" t="str">
        <f>IFERROR(VLOOKUP(trainee_data[[#This Row],[Program Specialty]],taxonomy_map[[Other Taxonomy]:[Our Taxonomy]],2,FALSE),"")</f>
        <v/>
      </c>
      <c r="F304" s="55" t="str">
        <f>IFERROR(VLOOKUP(trainee_data[[#This Row],[Specialty/Subspecialty]],condensed_specialty_crosswalk[#All],2,FALSE),"")</f>
        <v/>
      </c>
      <c r="G304" s="56" t="str">
        <f>IFERROR(VLOOKUP(trainee_data[[#This Row],[Specialty/Subspecialty]],condensed_specialty_crosswalk[#All],3,FALSE),"")</f>
        <v/>
      </c>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row>
    <row r="305" spans="5:30" ht="14.25" x14ac:dyDescent="0.45">
      <c r="E305" s="70" t="str">
        <f>IFERROR(VLOOKUP(trainee_data[[#This Row],[Program Specialty]],taxonomy_map[[Other Taxonomy]:[Our Taxonomy]],2,FALSE),"")</f>
        <v/>
      </c>
      <c r="F305" s="52" t="str">
        <f>IFERROR(VLOOKUP(trainee_data[[#This Row],[Specialty/Subspecialty]],condensed_specialty_crosswalk[#All],2,FALSE),"")</f>
        <v/>
      </c>
      <c r="G305" s="53" t="str">
        <f>IFERROR(VLOOKUP(trainee_data[[#This Row],[Specialty/Subspecialty]],condensed_specialty_crosswalk[#All],3,FALSE),"")</f>
        <v/>
      </c>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row>
    <row r="306" spans="5:30" ht="14.25" x14ac:dyDescent="0.45">
      <c r="E306" s="69" t="str">
        <f>IFERROR(VLOOKUP(trainee_data[[#This Row],[Program Specialty]],taxonomy_map[[Other Taxonomy]:[Our Taxonomy]],2,FALSE),"")</f>
        <v/>
      </c>
      <c r="F306" s="55" t="str">
        <f>IFERROR(VLOOKUP(trainee_data[[#This Row],[Specialty/Subspecialty]],condensed_specialty_crosswalk[#All],2,FALSE),"")</f>
        <v/>
      </c>
      <c r="G306" s="56" t="str">
        <f>IFERROR(VLOOKUP(trainee_data[[#This Row],[Specialty/Subspecialty]],condensed_specialty_crosswalk[#All],3,FALSE),"")</f>
        <v/>
      </c>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row>
    <row r="307" spans="5:30" ht="14.25" x14ac:dyDescent="0.45">
      <c r="E307" s="70" t="str">
        <f>IFERROR(VLOOKUP(trainee_data[[#This Row],[Program Specialty]],taxonomy_map[[Other Taxonomy]:[Our Taxonomy]],2,FALSE),"")</f>
        <v/>
      </c>
      <c r="F307" s="52" t="str">
        <f>IFERROR(VLOOKUP(trainee_data[[#This Row],[Specialty/Subspecialty]],condensed_specialty_crosswalk[#All],2,FALSE),"")</f>
        <v/>
      </c>
      <c r="G307" s="53" t="str">
        <f>IFERROR(VLOOKUP(trainee_data[[#This Row],[Specialty/Subspecialty]],condensed_specialty_crosswalk[#All],3,FALSE),"")</f>
        <v/>
      </c>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row>
    <row r="308" spans="5:30" ht="14.25" x14ac:dyDescent="0.45">
      <c r="E308" s="69" t="str">
        <f>IFERROR(VLOOKUP(trainee_data[[#This Row],[Program Specialty]],taxonomy_map[[Other Taxonomy]:[Our Taxonomy]],2,FALSE),"")</f>
        <v/>
      </c>
      <c r="F308" s="55" t="str">
        <f>IFERROR(VLOOKUP(trainee_data[[#This Row],[Specialty/Subspecialty]],condensed_specialty_crosswalk[#All],2,FALSE),"")</f>
        <v/>
      </c>
      <c r="G308" s="56" t="str">
        <f>IFERROR(VLOOKUP(trainee_data[[#This Row],[Specialty/Subspecialty]],condensed_specialty_crosswalk[#All],3,FALSE),"")</f>
        <v/>
      </c>
      <c r="H308" s="14"/>
      <c r="I308" s="14"/>
      <c r="J308" s="14"/>
      <c r="K308" s="14"/>
      <c r="L308" s="14"/>
      <c r="M308" s="14"/>
      <c r="N308" s="14"/>
      <c r="O308" s="14"/>
      <c r="P308" s="14"/>
      <c r="Q308" s="14"/>
      <c r="R308" s="14"/>
      <c r="S308" s="14"/>
      <c r="T308" s="14"/>
      <c r="U308" s="14"/>
      <c r="V308" s="14"/>
      <c r="W308" s="14"/>
      <c r="X308" s="14"/>
      <c r="Y308" s="14"/>
      <c r="Z308" s="14"/>
      <c r="AA308" s="14"/>
      <c r="AB308" s="14"/>
      <c r="AC308" s="14"/>
      <c r="AD308" s="14"/>
    </row>
    <row r="309" spans="5:30" ht="14.25" x14ac:dyDescent="0.45">
      <c r="E309" s="70" t="str">
        <f>IFERROR(VLOOKUP(trainee_data[[#This Row],[Program Specialty]],taxonomy_map[[Other Taxonomy]:[Our Taxonomy]],2,FALSE),"")</f>
        <v/>
      </c>
      <c r="F309" s="52" t="str">
        <f>IFERROR(VLOOKUP(trainee_data[[#This Row],[Specialty/Subspecialty]],condensed_specialty_crosswalk[#All],2,FALSE),"")</f>
        <v/>
      </c>
      <c r="G309" s="53" t="str">
        <f>IFERROR(VLOOKUP(trainee_data[[#This Row],[Specialty/Subspecialty]],condensed_specialty_crosswalk[#All],3,FALSE),"")</f>
        <v/>
      </c>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row>
    <row r="310" spans="5:30" ht="14.25" x14ac:dyDescent="0.45">
      <c r="E310" s="69" t="str">
        <f>IFERROR(VLOOKUP(trainee_data[[#This Row],[Program Specialty]],taxonomy_map[[Other Taxonomy]:[Our Taxonomy]],2,FALSE),"")</f>
        <v/>
      </c>
      <c r="F310" s="55" t="str">
        <f>IFERROR(VLOOKUP(trainee_data[[#This Row],[Specialty/Subspecialty]],condensed_specialty_crosswalk[#All],2,FALSE),"")</f>
        <v/>
      </c>
      <c r="G310" s="56" t="str">
        <f>IFERROR(VLOOKUP(trainee_data[[#This Row],[Specialty/Subspecialty]],condensed_specialty_crosswalk[#All],3,FALSE),"")</f>
        <v/>
      </c>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row>
    <row r="311" spans="5:30" ht="14.25" x14ac:dyDescent="0.45">
      <c r="E311" s="70" t="str">
        <f>IFERROR(VLOOKUP(trainee_data[[#This Row],[Program Specialty]],taxonomy_map[[Other Taxonomy]:[Our Taxonomy]],2,FALSE),"")</f>
        <v/>
      </c>
      <c r="F311" s="52" t="str">
        <f>IFERROR(VLOOKUP(trainee_data[[#This Row],[Specialty/Subspecialty]],condensed_specialty_crosswalk[#All],2,FALSE),"")</f>
        <v/>
      </c>
      <c r="G311" s="53" t="str">
        <f>IFERROR(VLOOKUP(trainee_data[[#This Row],[Specialty/Subspecialty]],condensed_specialty_crosswalk[#All],3,FALSE),"")</f>
        <v/>
      </c>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row>
    <row r="312" spans="5:30" ht="14.25" x14ac:dyDescent="0.45">
      <c r="E312" s="69" t="str">
        <f>IFERROR(VLOOKUP(trainee_data[[#This Row],[Program Specialty]],taxonomy_map[[Other Taxonomy]:[Our Taxonomy]],2,FALSE),"")</f>
        <v/>
      </c>
      <c r="F312" s="55" t="str">
        <f>IFERROR(VLOOKUP(trainee_data[[#This Row],[Specialty/Subspecialty]],condensed_specialty_crosswalk[#All],2,FALSE),"")</f>
        <v/>
      </c>
      <c r="G312" s="56" t="str">
        <f>IFERROR(VLOOKUP(trainee_data[[#This Row],[Specialty/Subspecialty]],condensed_specialty_crosswalk[#All],3,FALSE),"")</f>
        <v/>
      </c>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row>
    <row r="313" spans="5:30" ht="14.25" x14ac:dyDescent="0.45">
      <c r="E313" s="70" t="str">
        <f>IFERROR(VLOOKUP(trainee_data[[#This Row],[Program Specialty]],taxonomy_map[[Other Taxonomy]:[Our Taxonomy]],2,FALSE),"")</f>
        <v/>
      </c>
      <c r="F313" s="52" t="str">
        <f>IFERROR(VLOOKUP(trainee_data[[#This Row],[Specialty/Subspecialty]],condensed_specialty_crosswalk[#All],2,FALSE),"")</f>
        <v/>
      </c>
      <c r="G313" s="53" t="str">
        <f>IFERROR(VLOOKUP(trainee_data[[#This Row],[Specialty/Subspecialty]],condensed_specialty_crosswalk[#All],3,FALSE),"")</f>
        <v/>
      </c>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row>
    <row r="314" spans="5:30" ht="14.25" x14ac:dyDescent="0.45">
      <c r="E314" s="69" t="str">
        <f>IFERROR(VLOOKUP(trainee_data[[#This Row],[Program Specialty]],taxonomy_map[[Other Taxonomy]:[Our Taxonomy]],2,FALSE),"")</f>
        <v/>
      </c>
      <c r="F314" s="55" t="str">
        <f>IFERROR(VLOOKUP(trainee_data[[#This Row],[Specialty/Subspecialty]],condensed_specialty_crosswalk[#All],2,FALSE),"")</f>
        <v/>
      </c>
      <c r="G314" s="56" t="str">
        <f>IFERROR(VLOOKUP(trainee_data[[#This Row],[Specialty/Subspecialty]],condensed_specialty_crosswalk[#All],3,FALSE),"")</f>
        <v/>
      </c>
      <c r="H314" s="14"/>
      <c r="I314" s="14"/>
      <c r="J314" s="14"/>
      <c r="K314" s="14"/>
      <c r="L314" s="14"/>
      <c r="M314" s="14"/>
      <c r="N314" s="14"/>
      <c r="O314" s="14"/>
      <c r="P314" s="14"/>
      <c r="Q314" s="14"/>
      <c r="R314" s="14"/>
      <c r="S314" s="14"/>
      <c r="T314" s="14"/>
      <c r="U314" s="14"/>
      <c r="V314" s="14"/>
      <c r="W314" s="14"/>
      <c r="X314" s="14"/>
      <c r="Y314" s="14"/>
      <c r="Z314" s="14"/>
      <c r="AA314" s="14"/>
      <c r="AB314" s="14"/>
      <c r="AC314" s="14"/>
      <c r="AD314" s="14"/>
    </row>
    <row r="315" spans="5:30" ht="14.25" x14ac:dyDescent="0.45">
      <c r="E315" s="70" t="str">
        <f>IFERROR(VLOOKUP(trainee_data[[#This Row],[Program Specialty]],taxonomy_map[[Other Taxonomy]:[Our Taxonomy]],2,FALSE),"")</f>
        <v/>
      </c>
      <c r="F315" s="52" t="str">
        <f>IFERROR(VLOOKUP(trainee_data[[#This Row],[Specialty/Subspecialty]],condensed_specialty_crosswalk[#All],2,FALSE),"")</f>
        <v/>
      </c>
      <c r="G315" s="53" t="str">
        <f>IFERROR(VLOOKUP(trainee_data[[#This Row],[Specialty/Subspecialty]],condensed_specialty_crosswalk[#All],3,FALSE),"")</f>
        <v/>
      </c>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row>
    <row r="316" spans="5:30" ht="14.25" x14ac:dyDescent="0.45">
      <c r="E316" s="69" t="str">
        <f>IFERROR(VLOOKUP(trainee_data[[#This Row],[Program Specialty]],taxonomy_map[[Other Taxonomy]:[Our Taxonomy]],2,FALSE),"")</f>
        <v/>
      </c>
      <c r="F316" s="55" t="str">
        <f>IFERROR(VLOOKUP(trainee_data[[#This Row],[Specialty/Subspecialty]],condensed_specialty_crosswalk[#All],2,FALSE),"")</f>
        <v/>
      </c>
      <c r="G316" s="56" t="str">
        <f>IFERROR(VLOOKUP(trainee_data[[#This Row],[Specialty/Subspecialty]],condensed_specialty_crosswalk[#All],3,FALSE),"")</f>
        <v/>
      </c>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row>
    <row r="317" spans="5:30" ht="14.25" x14ac:dyDescent="0.45">
      <c r="E317" s="70" t="str">
        <f>IFERROR(VLOOKUP(trainee_data[[#This Row],[Program Specialty]],taxonomy_map[[Other Taxonomy]:[Our Taxonomy]],2,FALSE),"")</f>
        <v/>
      </c>
      <c r="F317" s="52" t="str">
        <f>IFERROR(VLOOKUP(trainee_data[[#This Row],[Specialty/Subspecialty]],condensed_specialty_crosswalk[#All],2,FALSE),"")</f>
        <v/>
      </c>
      <c r="G317" s="53" t="str">
        <f>IFERROR(VLOOKUP(trainee_data[[#This Row],[Specialty/Subspecialty]],condensed_specialty_crosswalk[#All],3,FALSE),"")</f>
        <v/>
      </c>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row>
    <row r="318" spans="5:30" ht="14.25" x14ac:dyDescent="0.45">
      <c r="E318" s="69" t="str">
        <f>IFERROR(VLOOKUP(trainee_data[[#This Row],[Program Specialty]],taxonomy_map[[Other Taxonomy]:[Our Taxonomy]],2,FALSE),"")</f>
        <v/>
      </c>
      <c r="F318" s="55" t="str">
        <f>IFERROR(VLOOKUP(trainee_data[[#This Row],[Specialty/Subspecialty]],condensed_specialty_crosswalk[#All],2,FALSE),"")</f>
        <v/>
      </c>
      <c r="G318" s="56" t="str">
        <f>IFERROR(VLOOKUP(trainee_data[[#This Row],[Specialty/Subspecialty]],condensed_specialty_crosswalk[#All],3,FALSE),"")</f>
        <v/>
      </c>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row>
    <row r="319" spans="5:30" ht="14.25" x14ac:dyDescent="0.45">
      <c r="E319" s="70" t="str">
        <f>IFERROR(VLOOKUP(trainee_data[[#This Row],[Program Specialty]],taxonomy_map[[Other Taxonomy]:[Our Taxonomy]],2,FALSE),"")</f>
        <v/>
      </c>
      <c r="F319" s="52" t="str">
        <f>IFERROR(VLOOKUP(trainee_data[[#This Row],[Specialty/Subspecialty]],condensed_specialty_crosswalk[#All],2,FALSE),"")</f>
        <v/>
      </c>
      <c r="G319" s="53" t="str">
        <f>IFERROR(VLOOKUP(trainee_data[[#This Row],[Specialty/Subspecialty]],condensed_specialty_crosswalk[#All],3,FALSE),"")</f>
        <v/>
      </c>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row>
    <row r="320" spans="5:30" ht="14.25" x14ac:dyDescent="0.45">
      <c r="E320" s="69" t="str">
        <f>IFERROR(VLOOKUP(trainee_data[[#This Row],[Program Specialty]],taxonomy_map[[Other Taxonomy]:[Our Taxonomy]],2,FALSE),"")</f>
        <v/>
      </c>
      <c r="F320" s="55" t="str">
        <f>IFERROR(VLOOKUP(trainee_data[[#This Row],[Specialty/Subspecialty]],condensed_specialty_crosswalk[#All],2,FALSE),"")</f>
        <v/>
      </c>
      <c r="G320" s="56" t="str">
        <f>IFERROR(VLOOKUP(trainee_data[[#This Row],[Specialty/Subspecialty]],condensed_specialty_crosswalk[#All],3,FALSE),"")</f>
        <v/>
      </c>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row>
    <row r="321" spans="5:30" ht="14.25" x14ac:dyDescent="0.45">
      <c r="E321" s="70" t="str">
        <f>IFERROR(VLOOKUP(trainee_data[[#This Row],[Program Specialty]],taxonomy_map[[Other Taxonomy]:[Our Taxonomy]],2,FALSE),"")</f>
        <v/>
      </c>
      <c r="F321" s="52" t="str">
        <f>IFERROR(VLOOKUP(trainee_data[[#This Row],[Specialty/Subspecialty]],condensed_specialty_crosswalk[#All],2,FALSE),"")</f>
        <v/>
      </c>
      <c r="G321" s="53" t="str">
        <f>IFERROR(VLOOKUP(trainee_data[[#This Row],[Specialty/Subspecialty]],condensed_specialty_crosswalk[#All],3,FALSE),"")</f>
        <v/>
      </c>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row>
    <row r="322" spans="5:30" ht="14.25" x14ac:dyDescent="0.45">
      <c r="E322" s="69" t="str">
        <f>IFERROR(VLOOKUP(trainee_data[[#This Row],[Program Specialty]],taxonomy_map[[Other Taxonomy]:[Our Taxonomy]],2,FALSE),"")</f>
        <v/>
      </c>
      <c r="F322" s="55" t="str">
        <f>IFERROR(VLOOKUP(trainee_data[[#This Row],[Specialty/Subspecialty]],condensed_specialty_crosswalk[#All],2,FALSE),"")</f>
        <v/>
      </c>
      <c r="G322" s="56" t="str">
        <f>IFERROR(VLOOKUP(trainee_data[[#This Row],[Specialty/Subspecialty]],condensed_specialty_crosswalk[#All],3,FALSE),"")</f>
        <v/>
      </c>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row>
    <row r="323" spans="5:30" ht="14.25" x14ac:dyDescent="0.45">
      <c r="E323" s="70" t="str">
        <f>IFERROR(VLOOKUP(trainee_data[[#This Row],[Program Specialty]],taxonomy_map[[Other Taxonomy]:[Our Taxonomy]],2,FALSE),"")</f>
        <v/>
      </c>
      <c r="F323" s="52" t="str">
        <f>IFERROR(VLOOKUP(trainee_data[[#This Row],[Specialty/Subspecialty]],condensed_specialty_crosswalk[#All],2,FALSE),"")</f>
        <v/>
      </c>
      <c r="G323" s="53" t="str">
        <f>IFERROR(VLOOKUP(trainee_data[[#This Row],[Specialty/Subspecialty]],condensed_specialty_crosswalk[#All],3,FALSE),"")</f>
        <v/>
      </c>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row>
    <row r="324" spans="5:30" ht="14.25" x14ac:dyDescent="0.45">
      <c r="E324" s="69" t="str">
        <f>IFERROR(VLOOKUP(trainee_data[[#This Row],[Program Specialty]],taxonomy_map[[Other Taxonomy]:[Our Taxonomy]],2,FALSE),"")</f>
        <v/>
      </c>
      <c r="F324" s="55" t="str">
        <f>IFERROR(VLOOKUP(trainee_data[[#This Row],[Specialty/Subspecialty]],condensed_specialty_crosswalk[#All],2,FALSE),"")</f>
        <v/>
      </c>
      <c r="G324" s="56" t="str">
        <f>IFERROR(VLOOKUP(trainee_data[[#This Row],[Specialty/Subspecialty]],condensed_specialty_crosswalk[#All],3,FALSE),"")</f>
        <v/>
      </c>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row>
    <row r="325" spans="5:30" ht="14.25" x14ac:dyDescent="0.45">
      <c r="E325" s="70" t="str">
        <f>IFERROR(VLOOKUP(trainee_data[[#This Row],[Program Specialty]],taxonomy_map[[Other Taxonomy]:[Our Taxonomy]],2,FALSE),"")</f>
        <v/>
      </c>
      <c r="F325" s="52" t="str">
        <f>IFERROR(VLOOKUP(trainee_data[[#This Row],[Specialty/Subspecialty]],condensed_specialty_crosswalk[#All],2,FALSE),"")</f>
        <v/>
      </c>
      <c r="G325" s="53" t="str">
        <f>IFERROR(VLOOKUP(trainee_data[[#This Row],[Specialty/Subspecialty]],condensed_specialty_crosswalk[#All],3,FALSE),"")</f>
        <v/>
      </c>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row>
    <row r="326" spans="5:30" ht="14.25" x14ac:dyDescent="0.45">
      <c r="E326" s="69" t="str">
        <f>IFERROR(VLOOKUP(trainee_data[[#This Row],[Program Specialty]],taxonomy_map[[Other Taxonomy]:[Our Taxonomy]],2,FALSE),"")</f>
        <v/>
      </c>
      <c r="F326" s="55" t="str">
        <f>IFERROR(VLOOKUP(trainee_data[[#This Row],[Specialty/Subspecialty]],condensed_specialty_crosswalk[#All],2,FALSE),"")</f>
        <v/>
      </c>
      <c r="G326" s="56" t="str">
        <f>IFERROR(VLOOKUP(trainee_data[[#This Row],[Specialty/Subspecialty]],condensed_specialty_crosswalk[#All],3,FALSE),"")</f>
        <v/>
      </c>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row>
    <row r="327" spans="5:30" ht="14.25" x14ac:dyDescent="0.45">
      <c r="E327" s="70" t="str">
        <f>IFERROR(VLOOKUP(trainee_data[[#This Row],[Program Specialty]],taxonomy_map[[Other Taxonomy]:[Our Taxonomy]],2,FALSE),"")</f>
        <v/>
      </c>
      <c r="F327" s="52" t="str">
        <f>IFERROR(VLOOKUP(trainee_data[[#This Row],[Specialty/Subspecialty]],condensed_specialty_crosswalk[#All],2,FALSE),"")</f>
        <v/>
      </c>
      <c r="G327" s="53" t="str">
        <f>IFERROR(VLOOKUP(trainee_data[[#This Row],[Specialty/Subspecialty]],condensed_specialty_crosswalk[#All],3,FALSE),"")</f>
        <v/>
      </c>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row>
    <row r="328" spans="5:30" ht="14.25" x14ac:dyDescent="0.45">
      <c r="E328" s="69" t="str">
        <f>IFERROR(VLOOKUP(trainee_data[[#This Row],[Program Specialty]],taxonomy_map[[Other Taxonomy]:[Our Taxonomy]],2,FALSE),"")</f>
        <v/>
      </c>
      <c r="F328" s="55" t="str">
        <f>IFERROR(VLOOKUP(trainee_data[[#This Row],[Specialty/Subspecialty]],condensed_specialty_crosswalk[#All],2,FALSE),"")</f>
        <v/>
      </c>
      <c r="G328" s="56" t="str">
        <f>IFERROR(VLOOKUP(trainee_data[[#This Row],[Specialty/Subspecialty]],condensed_specialty_crosswalk[#All],3,FALSE),"")</f>
        <v/>
      </c>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row>
    <row r="329" spans="5:30" ht="14.25" x14ac:dyDescent="0.45">
      <c r="E329" s="70" t="str">
        <f>IFERROR(VLOOKUP(trainee_data[[#This Row],[Program Specialty]],taxonomy_map[[Other Taxonomy]:[Our Taxonomy]],2,FALSE),"")</f>
        <v/>
      </c>
      <c r="F329" s="52" t="str">
        <f>IFERROR(VLOOKUP(trainee_data[[#This Row],[Specialty/Subspecialty]],condensed_specialty_crosswalk[#All],2,FALSE),"")</f>
        <v/>
      </c>
      <c r="G329" s="53" t="str">
        <f>IFERROR(VLOOKUP(trainee_data[[#This Row],[Specialty/Subspecialty]],condensed_specialty_crosswalk[#All],3,FALSE),"")</f>
        <v/>
      </c>
      <c r="H329" s="14"/>
      <c r="I329" s="14"/>
      <c r="J329" s="14"/>
      <c r="K329" s="14"/>
      <c r="L329" s="14"/>
      <c r="M329" s="14"/>
      <c r="N329" s="14"/>
      <c r="O329" s="14"/>
      <c r="P329" s="14"/>
      <c r="Q329" s="14"/>
      <c r="R329" s="14"/>
      <c r="S329" s="14"/>
      <c r="T329" s="14"/>
      <c r="U329" s="14"/>
      <c r="V329" s="14"/>
      <c r="W329" s="14"/>
      <c r="X329" s="14"/>
      <c r="Y329" s="14"/>
      <c r="Z329" s="14"/>
      <c r="AA329" s="14"/>
      <c r="AB329" s="14"/>
      <c r="AC329" s="14"/>
      <c r="AD329" s="14"/>
    </row>
    <row r="330" spans="5:30" ht="14.25" x14ac:dyDescent="0.45">
      <c r="E330" s="69" t="str">
        <f>IFERROR(VLOOKUP(trainee_data[[#This Row],[Program Specialty]],taxonomy_map[[Other Taxonomy]:[Our Taxonomy]],2,FALSE),"")</f>
        <v/>
      </c>
      <c r="F330" s="55" t="str">
        <f>IFERROR(VLOOKUP(trainee_data[[#This Row],[Specialty/Subspecialty]],condensed_specialty_crosswalk[#All],2,FALSE),"")</f>
        <v/>
      </c>
      <c r="G330" s="56" t="str">
        <f>IFERROR(VLOOKUP(trainee_data[[#This Row],[Specialty/Subspecialty]],condensed_specialty_crosswalk[#All],3,FALSE),"")</f>
        <v/>
      </c>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row>
    <row r="331" spans="5:30" ht="14.25" x14ac:dyDescent="0.45">
      <c r="E331" s="70" t="str">
        <f>IFERROR(VLOOKUP(trainee_data[[#This Row],[Program Specialty]],taxonomy_map[[Other Taxonomy]:[Our Taxonomy]],2,FALSE),"")</f>
        <v/>
      </c>
      <c r="F331" s="52" t="str">
        <f>IFERROR(VLOOKUP(trainee_data[[#This Row],[Specialty/Subspecialty]],condensed_specialty_crosswalk[#All],2,FALSE),"")</f>
        <v/>
      </c>
      <c r="G331" s="53" t="str">
        <f>IFERROR(VLOOKUP(trainee_data[[#This Row],[Specialty/Subspecialty]],condensed_specialty_crosswalk[#All],3,FALSE),"")</f>
        <v/>
      </c>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row>
    <row r="332" spans="5:30" ht="14.25" x14ac:dyDescent="0.45">
      <c r="E332" s="69" t="str">
        <f>IFERROR(VLOOKUP(trainee_data[[#This Row],[Program Specialty]],taxonomy_map[[Other Taxonomy]:[Our Taxonomy]],2,FALSE),"")</f>
        <v/>
      </c>
      <c r="F332" s="55" t="str">
        <f>IFERROR(VLOOKUP(trainee_data[[#This Row],[Specialty/Subspecialty]],condensed_specialty_crosswalk[#All],2,FALSE),"")</f>
        <v/>
      </c>
      <c r="G332" s="56" t="str">
        <f>IFERROR(VLOOKUP(trainee_data[[#This Row],[Specialty/Subspecialty]],condensed_specialty_crosswalk[#All],3,FALSE),"")</f>
        <v/>
      </c>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row>
    <row r="333" spans="5:30" ht="14.25" x14ac:dyDescent="0.45">
      <c r="E333" s="70" t="str">
        <f>IFERROR(VLOOKUP(trainee_data[[#This Row],[Program Specialty]],taxonomy_map[[Other Taxonomy]:[Our Taxonomy]],2,FALSE),"")</f>
        <v/>
      </c>
      <c r="F333" s="52" t="str">
        <f>IFERROR(VLOOKUP(trainee_data[[#This Row],[Specialty/Subspecialty]],condensed_specialty_crosswalk[#All],2,FALSE),"")</f>
        <v/>
      </c>
      <c r="G333" s="53" t="str">
        <f>IFERROR(VLOOKUP(trainee_data[[#This Row],[Specialty/Subspecialty]],condensed_specialty_crosswalk[#All],3,FALSE),"")</f>
        <v/>
      </c>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row>
    <row r="334" spans="5:30" ht="14.25" x14ac:dyDescent="0.45">
      <c r="E334" s="69" t="str">
        <f>IFERROR(VLOOKUP(trainee_data[[#This Row],[Program Specialty]],taxonomy_map[[Other Taxonomy]:[Our Taxonomy]],2,FALSE),"")</f>
        <v/>
      </c>
      <c r="F334" s="55" t="str">
        <f>IFERROR(VLOOKUP(trainee_data[[#This Row],[Specialty/Subspecialty]],condensed_specialty_crosswalk[#All],2,FALSE),"")</f>
        <v/>
      </c>
      <c r="G334" s="56" t="str">
        <f>IFERROR(VLOOKUP(trainee_data[[#This Row],[Specialty/Subspecialty]],condensed_specialty_crosswalk[#All],3,FALSE),"")</f>
        <v/>
      </c>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row>
    <row r="335" spans="5:30" ht="14.25" x14ac:dyDescent="0.45">
      <c r="E335" s="70" t="str">
        <f>IFERROR(VLOOKUP(trainee_data[[#This Row],[Program Specialty]],taxonomy_map[[Other Taxonomy]:[Our Taxonomy]],2,FALSE),"")</f>
        <v/>
      </c>
      <c r="F335" s="52" t="str">
        <f>IFERROR(VLOOKUP(trainee_data[[#This Row],[Specialty/Subspecialty]],condensed_specialty_crosswalk[#All],2,FALSE),"")</f>
        <v/>
      </c>
      <c r="G335" s="53" t="str">
        <f>IFERROR(VLOOKUP(trainee_data[[#This Row],[Specialty/Subspecialty]],condensed_specialty_crosswalk[#All],3,FALSE),"")</f>
        <v/>
      </c>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row>
    <row r="336" spans="5:30" ht="14.25" x14ac:dyDescent="0.45">
      <c r="E336" s="69" t="str">
        <f>IFERROR(VLOOKUP(trainee_data[[#This Row],[Program Specialty]],taxonomy_map[[Other Taxonomy]:[Our Taxonomy]],2,FALSE),"")</f>
        <v/>
      </c>
      <c r="F336" s="55" t="str">
        <f>IFERROR(VLOOKUP(trainee_data[[#This Row],[Specialty/Subspecialty]],condensed_specialty_crosswalk[#All],2,FALSE),"")</f>
        <v/>
      </c>
      <c r="G336" s="56" t="str">
        <f>IFERROR(VLOOKUP(trainee_data[[#This Row],[Specialty/Subspecialty]],condensed_specialty_crosswalk[#All],3,FALSE),"")</f>
        <v/>
      </c>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row>
    <row r="337" spans="5:30" ht="14.25" x14ac:dyDescent="0.45">
      <c r="E337" s="70" t="str">
        <f>IFERROR(VLOOKUP(trainee_data[[#This Row],[Program Specialty]],taxonomy_map[[Other Taxonomy]:[Our Taxonomy]],2,FALSE),"")</f>
        <v/>
      </c>
      <c r="F337" s="52" t="str">
        <f>IFERROR(VLOOKUP(trainee_data[[#This Row],[Specialty/Subspecialty]],condensed_specialty_crosswalk[#All],2,FALSE),"")</f>
        <v/>
      </c>
      <c r="G337" s="53" t="str">
        <f>IFERROR(VLOOKUP(trainee_data[[#This Row],[Specialty/Subspecialty]],condensed_specialty_crosswalk[#All],3,FALSE),"")</f>
        <v/>
      </c>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row>
    <row r="338" spans="5:30" ht="14.25" x14ac:dyDescent="0.45">
      <c r="E338" s="69" t="str">
        <f>IFERROR(VLOOKUP(trainee_data[[#This Row],[Program Specialty]],taxonomy_map[[Other Taxonomy]:[Our Taxonomy]],2,FALSE),"")</f>
        <v/>
      </c>
      <c r="F338" s="55" t="str">
        <f>IFERROR(VLOOKUP(trainee_data[[#This Row],[Specialty/Subspecialty]],condensed_specialty_crosswalk[#All],2,FALSE),"")</f>
        <v/>
      </c>
      <c r="G338" s="56" t="str">
        <f>IFERROR(VLOOKUP(trainee_data[[#This Row],[Specialty/Subspecialty]],condensed_specialty_crosswalk[#All],3,FALSE),"")</f>
        <v/>
      </c>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row>
    <row r="339" spans="5:30" ht="14.25" x14ac:dyDescent="0.45">
      <c r="E339" s="70" t="str">
        <f>IFERROR(VLOOKUP(trainee_data[[#This Row],[Program Specialty]],taxonomy_map[[Other Taxonomy]:[Our Taxonomy]],2,FALSE),"")</f>
        <v/>
      </c>
      <c r="F339" s="52" t="str">
        <f>IFERROR(VLOOKUP(trainee_data[[#This Row],[Specialty/Subspecialty]],condensed_specialty_crosswalk[#All],2,FALSE),"")</f>
        <v/>
      </c>
      <c r="G339" s="53" t="str">
        <f>IFERROR(VLOOKUP(trainee_data[[#This Row],[Specialty/Subspecialty]],condensed_specialty_crosswalk[#All],3,FALSE),"")</f>
        <v/>
      </c>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row>
    <row r="340" spans="5:30" ht="14.25" x14ac:dyDescent="0.45">
      <c r="E340" s="69" t="str">
        <f>IFERROR(VLOOKUP(trainee_data[[#This Row],[Program Specialty]],taxonomy_map[[Other Taxonomy]:[Our Taxonomy]],2,FALSE),"")</f>
        <v/>
      </c>
      <c r="F340" s="55" t="str">
        <f>IFERROR(VLOOKUP(trainee_data[[#This Row],[Specialty/Subspecialty]],condensed_specialty_crosswalk[#All],2,FALSE),"")</f>
        <v/>
      </c>
      <c r="G340" s="56" t="str">
        <f>IFERROR(VLOOKUP(trainee_data[[#This Row],[Specialty/Subspecialty]],condensed_specialty_crosswalk[#All],3,FALSE),"")</f>
        <v/>
      </c>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row>
    <row r="341" spans="5:30" ht="14.25" x14ac:dyDescent="0.45">
      <c r="E341" s="70" t="str">
        <f>IFERROR(VLOOKUP(trainee_data[[#This Row],[Program Specialty]],taxonomy_map[[Other Taxonomy]:[Our Taxonomy]],2,FALSE),"")</f>
        <v/>
      </c>
      <c r="F341" s="52" t="str">
        <f>IFERROR(VLOOKUP(trainee_data[[#This Row],[Specialty/Subspecialty]],condensed_specialty_crosswalk[#All],2,FALSE),"")</f>
        <v/>
      </c>
      <c r="G341" s="53" t="str">
        <f>IFERROR(VLOOKUP(trainee_data[[#This Row],[Specialty/Subspecialty]],condensed_specialty_crosswalk[#All],3,FALSE),"")</f>
        <v/>
      </c>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row>
    <row r="342" spans="5:30" ht="14.25" x14ac:dyDescent="0.45">
      <c r="E342" s="69" t="str">
        <f>IFERROR(VLOOKUP(trainee_data[[#This Row],[Program Specialty]],taxonomy_map[[Other Taxonomy]:[Our Taxonomy]],2,FALSE),"")</f>
        <v/>
      </c>
      <c r="F342" s="55" t="str">
        <f>IFERROR(VLOOKUP(trainee_data[[#This Row],[Specialty/Subspecialty]],condensed_specialty_crosswalk[#All],2,FALSE),"")</f>
        <v/>
      </c>
      <c r="G342" s="56" t="str">
        <f>IFERROR(VLOOKUP(trainee_data[[#This Row],[Specialty/Subspecialty]],condensed_specialty_crosswalk[#All],3,FALSE),"")</f>
        <v/>
      </c>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row>
    <row r="343" spans="5:30" ht="14.25" x14ac:dyDescent="0.45">
      <c r="E343" s="70" t="str">
        <f>IFERROR(VLOOKUP(trainee_data[[#This Row],[Program Specialty]],taxonomy_map[[Other Taxonomy]:[Our Taxonomy]],2,FALSE),"")</f>
        <v/>
      </c>
      <c r="F343" s="52" t="str">
        <f>IFERROR(VLOOKUP(trainee_data[[#This Row],[Specialty/Subspecialty]],condensed_specialty_crosswalk[#All],2,FALSE),"")</f>
        <v/>
      </c>
      <c r="G343" s="53" t="str">
        <f>IFERROR(VLOOKUP(trainee_data[[#This Row],[Specialty/Subspecialty]],condensed_specialty_crosswalk[#All],3,FALSE),"")</f>
        <v/>
      </c>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row>
    <row r="344" spans="5:30" ht="14.25" x14ac:dyDescent="0.45">
      <c r="E344" s="69" t="str">
        <f>IFERROR(VLOOKUP(trainee_data[[#This Row],[Program Specialty]],taxonomy_map[[Other Taxonomy]:[Our Taxonomy]],2,FALSE),"")</f>
        <v/>
      </c>
      <c r="F344" s="55" t="str">
        <f>IFERROR(VLOOKUP(trainee_data[[#This Row],[Specialty/Subspecialty]],condensed_specialty_crosswalk[#All],2,FALSE),"")</f>
        <v/>
      </c>
      <c r="G344" s="56" t="str">
        <f>IFERROR(VLOOKUP(trainee_data[[#This Row],[Specialty/Subspecialty]],condensed_specialty_crosswalk[#All],3,FALSE),"")</f>
        <v/>
      </c>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row>
    <row r="345" spans="5:30" ht="14.25" x14ac:dyDescent="0.45">
      <c r="E345" s="70" t="str">
        <f>IFERROR(VLOOKUP(trainee_data[[#This Row],[Program Specialty]],taxonomy_map[[Other Taxonomy]:[Our Taxonomy]],2,FALSE),"")</f>
        <v/>
      </c>
      <c r="F345" s="52" t="str">
        <f>IFERROR(VLOOKUP(trainee_data[[#This Row],[Specialty/Subspecialty]],condensed_specialty_crosswalk[#All],2,FALSE),"")</f>
        <v/>
      </c>
      <c r="G345" s="53" t="str">
        <f>IFERROR(VLOOKUP(trainee_data[[#This Row],[Specialty/Subspecialty]],condensed_specialty_crosswalk[#All],3,FALSE),"")</f>
        <v/>
      </c>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row>
    <row r="346" spans="5:30" ht="14.25" x14ac:dyDescent="0.45">
      <c r="E346" s="69" t="str">
        <f>IFERROR(VLOOKUP(trainee_data[[#This Row],[Program Specialty]],taxonomy_map[[Other Taxonomy]:[Our Taxonomy]],2,FALSE),"")</f>
        <v/>
      </c>
      <c r="F346" s="55" t="str">
        <f>IFERROR(VLOOKUP(trainee_data[[#This Row],[Specialty/Subspecialty]],condensed_specialty_crosswalk[#All],2,FALSE),"")</f>
        <v/>
      </c>
      <c r="G346" s="56" t="str">
        <f>IFERROR(VLOOKUP(trainee_data[[#This Row],[Specialty/Subspecialty]],condensed_specialty_crosswalk[#All],3,FALSE),"")</f>
        <v/>
      </c>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row>
    <row r="347" spans="5:30" ht="14.25" x14ac:dyDescent="0.45">
      <c r="E347" s="70" t="str">
        <f>IFERROR(VLOOKUP(trainee_data[[#This Row],[Program Specialty]],taxonomy_map[[Other Taxonomy]:[Our Taxonomy]],2,FALSE),"")</f>
        <v/>
      </c>
      <c r="F347" s="52" t="str">
        <f>IFERROR(VLOOKUP(trainee_data[[#This Row],[Specialty/Subspecialty]],condensed_specialty_crosswalk[#All],2,FALSE),"")</f>
        <v/>
      </c>
      <c r="G347" s="53" t="str">
        <f>IFERROR(VLOOKUP(trainee_data[[#This Row],[Specialty/Subspecialty]],condensed_specialty_crosswalk[#All],3,FALSE),"")</f>
        <v/>
      </c>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row>
    <row r="348" spans="5:30" ht="14.25" x14ac:dyDescent="0.45">
      <c r="E348" s="69" t="str">
        <f>IFERROR(VLOOKUP(trainee_data[[#This Row],[Program Specialty]],taxonomy_map[[Other Taxonomy]:[Our Taxonomy]],2,FALSE),"")</f>
        <v/>
      </c>
      <c r="F348" s="55" t="str">
        <f>IFERROR(VLOOKUP(trainee_data[[#This Row],[Specialty/Subspecialty]],condensed_specialty_crosswalk[#All],2,FALSE),"")</f>
        <v/>
      </c>
      <c r="G348" s="56" t="str">
        <f>IFERROR(VLOOKUP(trainee_data[[#This Row],[Specialty/Subspecialty]],condensed_specialty_crosswalk[#All],3,FALSE),"")</f>
        <v/>
      </c>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row>
    <row r="349" spans="5:30" ht="14.25" x14ac:dyDescent="0.45">
      <c r="E349" s="70" t="str">
        <f>IFERROR(VLOOKUP(trainee_data[[#This Row],[Program Specialty]],taxonomy_map[[Other Taxonomy]:[Our Taxonomy]],2,FALSE),"")</f>
        <v/>
      </c>
      <c r="F349" s="52" t="str">
        <f>IFERROR(VLOOKUP(trainee_data[[#This Row],[Specialty/Subspecialty]],condensed_specialty_crosswalk[#All],2,FALSE),"")</f>
        <v/>
      </c>
      <c r="G349" s="53" t="str">
        <f>IFERROR(VLOOKUP(trainee_data[[#This Row],[Specialty/Subspecialty]],condensed_specialty_crosswalk[#All],3,FALSE),"")</f>
        <v/>
      </c>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row>
    <row r="350" spans="5:30" ht="14.25" x14ac:dyDescent="0.45">
      <c r="E350" s="69" t="str">
        <f>IFERROR(VLOOKUP(trainee_data[[#This Row],[Program Specialty]],taxonomy_map[[Other Taxonomy]:[Our Taxonomy]],2,FALSE),"")</f>
        <v/>
      </c>
      <c r="F350" s="55" t="str">
        <f>IFERROR(VLOOKUP(trainee_data[[#This Row],[Specialty/Subspecialty]],condensed_specialty_crosswalk[#All],2,FALSE),"")</f>
        <v/>
      </c>
      <c r="G350" s="56" t="str">
        <f>IFERROR(VLOOKUP(trainee_data[[#This Row],[Specialty/Subspecialty]],condensed_specialty_crosswalk[#All],3,FALSE),"")</f>
        <v/>
      </c>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row>
    <row r="351" spans="5:30" ht="14.25" x14ac:dyDescent="0.45">
      <c r="E351" s="70" t="str">
        <f>IFERROR(VLOOKUP(trainee_data[[#This Row],[Program Specialty]],taxonomy_map[[Other Taxonomy]:[Our Taxonomy]],2,FALSE),"")</f>
        <v/>
      </c>
      <c r="F351" s="52" t="str">
        <f>IFERROR(VLOOKUP(trainee_data[[#This Row],[Specialty/Subspecialty]],condensed_specialty_crosswalk[#All],2,FALSE),"")</f>
        <v/>
      </c>
      <c r="G351" s="53" t="str">
        <f>IFERROR(VLOOKUP(trainee_data[[#This Row],[Specialty/Subspecialty]],condensed_specialty_crosswalk[#All],3,FALSE),"")</f>
        <v/>
      </c>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row>
    <row r="352" spans="5:30" ht="14.25" x14ac:dyDescent="0.45">
      <c r="E352" s="69" t="str">
        <f>IFERROR(VLOOKUP(trainee_data[[#This Row],[Program Specialty]],taxonomy_map[[Other Taxonomy]:[Our Taxonomy]],2,FALSE),"")</f>
        <v/>
      </c>
      <c r="F352" s="55" t="str">
        <f>IFERROR(VLOOKUP(trainee_data[[#This Row],[Specialty/Subspecialty]],condensed_specialty_crosswalk[#All],2,FALSE),"")</f>
        <v/>
      </c>
      <c r="G352" s="56" t="str">
        <f>IFERROR(VLOOKUP(trainee_data[[#This Row],[Specialty/Subspecialty]],condensed_specialty_crosswalk[#All],3,FALSE),"")</f>
        <v/>
      </c>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row>
    <row r="353" spans="5:30" ht="14.25" x14ac:dyDescent="0.45">
      <c r="E353" s="70" t="str">
        <f>IFERROR(VLOOKUP(trainee_data[[#This Row],[Program Specialty]],taxonomy_map[[Other Taxonomy]:[Our Taxonomy]],2,FALSE),"")</f>
        <v/>
      </c>
      <c r="F353" s="52" t="str">
        <f>IFERROR(VLOOKUP(trainee_data[[#This Row],[Specialty/Subspecialty]],condensed_specialty_crosswalk[#All],2,FALSE),"")</f>
        <v/>
      </c>
      <c r="G353" s="53" t="str">
        <f>IFERROR(VLOOKUP(trainee_data[[#This Row],[Specialty/Subspecialty]],condensed_specialty_crosswalk[#All],3,FALSE),"")</f>
        <v/>
      </c>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row>
    <row r="354" spans="5:30" ht="14.25" x14ac:dyDescent="0.45">
      <c r="E354" s="69" t="str">
        <f>IFERROR(VLOOKUP(trainee_data[[#This Row],[Program Specialty]],taxonomy_map[[Other Taxonomy]:[Our Taxonomy]],2,FALSE),"")</f>
        <v/>
      </c>
      <c r="F354" s="55" t="str">
        <f>IFERROR(VLOOKUP(trainee_data[[#This Row],[Specialty/Subspecialty]],condensed_specialty_crosswalk[#All],2,FALSE),"")</f>
        <v/>
      </c>
      <c r="G354" s="56" t="str">
        <f>IFERROR(VLOOKUP(trainee_data[[#This Row],[Specialty/Subspecialty]],condensed_specialty_crosswalk[#All],3,FALSE),"")</f>
        <v/>
      </c>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row>
    <row r="355" spans="5:30" ht="14.25" x14ac:dyDescent="0.45">
      <c r="E355" s="70" t="str">
        <f>IFERROR(VLOOKUP(trainee_data[[#This Row],[Program Specialty]],taxonomy_map[[Other Taxonomy]:[Our Taxonomy]],2,FALSE),"")</f>
        <v/>
      </c>
      <c r="F355" s="52" t="str">
        <f>IFERROR(VLOOKUP(trainee_data[[#This Row],[Specialty/Subspecialty]],condensed_specialty_crosswalk[#All],2,FALSE),"")</f>
        <v/>
      </c>
      <c r="G355" s="53" t="str">
        <f>IFERROR(VLOOKUP(trainee_data[[#This Row],[Specialty/Subspecialty]],condensed_specialty_crosswalk[#All],3,FALSE),"")</f>
        <v/>
      </c>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row>
    <row r="356" spans="5:30" ht="14.25" x14ac:dyDescent="0.45">
      <c r="E356" s="69" t="str">
        <f>IFERROR(VLOOKUP(trainee_data[[#This Row],[Program Specialty]],taxonomy_map[[Other Taxonomy]:[Our Taxonomy]],2,FALSE),"")</f>
        <v/>
      </c>
      <c r="F356" s="55" t="str">
        <f>IFERROR(VLOOKUP(trainee_data[[#This Row],[Specialty/Subspecialty]],condensed_specialty_crosswalk[#All],2,FALSE),"")</f>
        <v/>
      </c>
      <c r="G356" s="56" t="str">
        <f>IFERROR(VLOOKUP(trainee_data[[#This Row],[Specialty/Subspecialty]],condensed_specialty_crosswalk[#All],3,FALSE),"")</f>
        <v/>
      </c>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row>
    <row r="357" spans="5:30" ht="14.25" x14ac:dyDescent="0.45">
      <c r="E357" s="70" t="str">
        <f>IFERROR(VLOOKUP(trainee_data[[#This Row],[Program Specialty]],taxonomy_map[[Other Taxonomy]:[Our Taxonomy]],2,FALSE),"")</f>
        <v/>
      </c>
      <c r="F357" s="52" t="str">
        <f>IFERROR(VLOOKUP(trainee_data[[#This Row],[Specialty/Subspecialty]],condensed_specialty_crosswalk[#All],2,FALSE),"")</f>
        <v/>
      </c>
      <c r="G357" s="53" t="str">
        <f>IFERROR(VLOOKUP(trainee_data[[#This Row],[Specialty/Subspecialty]],condensed_specialty_crosswalk[#All],3,FALSE),"")</f>
        <v/>
      </c>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row>
    <row r="358" spans="5:30" ht="14.25" x14ac:dyDescent="0.45">
      <c r="E358" s="69" t="str">
        <f>IFERROR(VLOOKUP(trainee_data[[#This Row],[Program Specialty]],taxonomy_map[[Other Taxonomy]:[Our Taxonomy]],2,FALSE),"")</f>
        <v/>
      </c>
      <c r="F358" s="55" t="str">
        <f>IFERROR(VLOOKUP(trainee_data[[#This Row],[Specialty/Subspecialty]],condensed_specialty_crosswalk[#All],2,FALSE),"")</f>
        <v/>
      </c>
      <c r="G358" s="56" t="str">
        <f>IFERROR(VLOOKUP(trainee_data[[#This Row],[Specialty/Subspecialty]],condensed_specialty_crosswalk[#All],3,FALSE),"")</f>
        <v/>
      </c>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row>
    <row r="359" spans="5:30" ht="14.25" x14ac:dyDescent="0.45">
      <c r="E359" s="70" t="str">
        <f>IFERROR(VLOOKUP(trainee_data[[#This Row],[Program Specialty]],taxonomy_map[[Other Taxonomy]:[Our Taxonomy]],2,FALSE),"")</f>
        <v/>
      </c>
      <c r="F359" s="52" t="str">
        <f>IFERROR(VLOOKUP(trainee_data[[#This Row],[Specialty/Subspecialty]],condensed_specialty_crosswalk[#All],2,FALSE),"")</f>
        <v/>
      </c>
      <c r="G359" s="53" t="str">
        <f>IFERROR(VLOOKUP(trainee_data[[#This Row],[Specialty/Subspecialty]],condensed_specialty_crosswalk[#All],3,FALSE),"")</f>
        <v/>
      </c>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row>
    <row r="360" spans="5:30" ht="14.25" x14ac:dyDescent="0.45">
      <c r="E360" s="69" t="str">
        <f>IFERROR(VLOOKUP(trainee_data[[#This Row],[Program Specialty]],taxonomy_map[[Other Taxonomy]:[Our Taxonomy]],2,FALSE),"")</f>
        <v/>
      </c>
      <c r="F360" s="55" t="str">
        <f>IFERROR(VLOOKUP(trainee_data[[#This Row],[Specialty/Subspecialty]],condensed_specialty_crosswalk[#All],2,FALSE),"")</f>
        <v/>
      </c>
      <c r="G360" s="56" t="str">
        <f>IFERROR(VLOOKUP(trainee_data[[#This Row],[Specialty/Subspecialty]],condensed_specialty_crosswalk[#All],3,FALSE),"")</f>
        <v/>
      </c>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row>
    <row r="361" spans="5:30" ht="14.25" x14ac:dyDescent="0.45">
      <c r="E361" s="70" t="str">
        <f>IFERROR(VLOOKUP(trainee_data[[#This Row],[Program Specialty]],taxonomy_map[[Other Taxonomy]:[Our Taxonomy]],2,FALSE),"")</f>
        <v/>
      </c>
      <c r="F361" s="52" t="str">
        <f>IFERROR(VLOOKUP(trainee_data[[#This Row],[Specialty/Subspecialty]],condensed_specialty_crosswalk[#All],2,FALSE),"")</f>
        <v/>
      </c>
      <c r="G361" s="53" t="str">
        <f>IFERROR(VLOOKUP(trainee_data[[#This Row],[Specialty/Subspecialty]],condensed_specialty_crosswalk[#All],3,FALSE),"")</f>
        <v/>
      </c>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row>
    <row r="362" spans="5:30" ht="14.25" x14ac:dyDescent="0.45">
      <c r="E362" s="69" t="str">
        <f>IFERROR(VLOOKUP(trainee_data[[#This Row],[Program Specialty]],taxonomy_map[[Other Taxonomy]:[Our Taxonomy]],2,FALSE),"")</f>
        <v/>
      </c>
      <c r="F362" s="55" t="str">
        <f>IFERROR(VLOOKUP(trainee_data[[#This Row],[Specialty/Subspecialty]],condensed_specialty_crosswalk[#All],2,FALSE),"")</f>
        <v/>
      </c>
      <c r="G362" s="56" t="str">
        <f>IFERROR(VLOOKUP(trainee_data[[#This Row],[Specialty/Subspecialty]],condensed_specialty_crosswalk[#All],3,FALSE),"")</f>
        <v/>
      </c>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row>
    <row r="363" spans="5:30" ht="14.25" x14ac:dyDescent="0.45">
      <c r="E363" s="70" t="str">
        <f>IFERROR(VLOOKUP(trainee_data[[#This Row],[Program Specialty]],taxonomy_map[[Other Taxonomy]:[Our Taxonomy]],2,FALSE),"")</f>
        <v/>
      </c>
      <c r="F363" s="52" t="str">
        <f>IFERROR(VLOOKUP(trainee_data[[#This Row],[Specialty/Subspecialty]],condensed_specialty_crosswalk[#All],2,FALSE),"")</f>
        <v/>
      </c>
      <c r="G363" s="53" t="str">
        <f>IFERROR(VLOOKUP(trainee_data[[#This Row],[Specialty/Subspecialty]],condensed_specialty_crosswalk[#All],3,FALSE),"")</f>
        <v/>
      </c>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row>
    <row r="364" spans="5:30" ht="14.25" x14ac:dyDescent="0.45">
      <c r="E364" s="69" t="str">
        <f>IFERROR(VLOOKUP(trainee_data[[#This Row],[Program Specialty]],taxonomy_map[[Other Taxonomy]:[Our Taxonomy]],2,FALSE),"")</f>
        <v/>
      </c>
      <c r="F364" s="55" t="str">
        <f>IFERROR(VLOOKUP(trainee_data[[#This Row],[Specialty/Subspecialty]],condensed_specialty_crosswalk[#All],2,FALSE),"")</f>
        <v/>
      </c>
      <c r="G364" s="56" t="str">
        <f>IFERROR(VLOOKUP(trainee_data[[#This Row],[Specialty/Subspecialty]],condensed_specialty_crosswalk[#All],3,FALSE),"")</f>
        <v/>
      </c>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row>
    <row r="365" spans="5:30" ht="14.25" x14ac:dyDescent="0.45">
      <c r="E365" s="70" t="str">
        <f>IFERROR(VLOOKUP(trainee_data[[#This Row],[Program Specialty]],taxonomy_map[[Other Taxonomy]:[Our Taxonomy]],2,FALSE),"")</f>
        <v/>
      </c>
      <c r="F365" s="52" t="str">
        <f>IFERROR(VLOOKUP(trainee_data[[#This Row],[Specialty/Subspecialty]],condensed_specialty_crosswalk[#All],2,FALSE),"")</f>
        <v/>
      </c>
      <c r="G365" s="53" t="str">
        <f>IFERROR(VLOOKUP(trainee_data[[#This Row],[Specialty/Subspecialty]],condensed_specialty_crosswalk[#All],3,FALSE),"")</f>
        <v/>
      </c>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row>
    <row r="366" spans="5:30" ht="14.25" x14ac:dyDescent="0.45">
      <c r="E366" s="69" t="str">
        <f>IFERROR(VLOOKUP(trainee_data[[#This Row],[Program Specialty]],taxonomy_map[[Other Taxonomy]:[Our Taxonomy]],2,FALSE),"")</f>
        <v/>
      </c>
      <c r="F366" s="55" t="str">
        <f>IFERROR(VLOOKUP(trainee_data[[#This Row],[Specialty/Subspecialty]],condensed_specialty_crosswalk[#All],2,FALSE),"")</f>
        <v/>
      </c>
      <c r="G366" s="56" t="str">
        <f>IFERROR(VLOOKUP(trainee_data[[#This Row],[Specialty/Subspecialty]],condensed_specialty_crosswalk[#All],3,FALSE),"")</f>
        <v/>
      </c>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row>
    <row r="367" spans="5:30" ht="14.25" x14ac:dyDescent="0.45">
      <c r="E367" s="70" t="str">
        <f>IFERROR(VLOOKUP(trainee_data[[#This Row],[Program Specialty]],taxonomy_map[[Other Taxonomy]:[Our Taxonomy]],2,FALSE),"")</f>
        <v/>
      </c>
      <c r="F367" s="52" t="str">
        <f>IFERROR(VLOOKUP(trainee_data[[#This Row],[Specialty/Subspecialty]],condensed_specialty_crosswalk[#All],2,FALSE),"")</f>
        <v/>
      </c>
      <c r="G367" s="53" t="str">
        <f>IFERROR(VLOOKUP(trainee_data[[#This Row],[Specialty/Subspecialty]],condensed_specialty_crosswalk[#All],3,FALSE),"")</f>
        <v/>
      </c>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row>
    <row r="368" spans="5:30" ht="14.25" x14ac:dyDescent="0.45">
      <c r="E368" s="69" t="str">
        <f>IFERROR(VLOOKUP(trainee_data[[#This Row],[Program Specialty]],taxonomy_map[[Other Taxonomy]:[Our Taxonomy]],2,FALSE),"")</f>
        <v/>
      </c>
      <c r="F368" s="55" t="str">
        <f>IFERROR(VLOOKUP(trainee_data[[#This Row],[Specialty/Subspecialty]],condensed_specialty_crosswalk[#All],2,FALSE),"")</f>
        <v/>
      </c>
      <c r="G368" s="56" t="str">
        <f>IFERROR(VLOOKUP(trainee_data[[#This Row],[Specialty/Subspecialty]],condensed_specialty_crosswalk[#All],3,FALSE),"")</f>
        <v/>
      </c>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row>
    <row r="369" spans="5:30" ht="14.25" x14ac:dyDescent="0.45">
      <c r="E369" s="70" t="str">
        <f>IFERROR(VLOOKUP(trainee_data[[#This Row],[Program Specialty]],taxonomy_map[[Other Taxonomy]:[Our Taxonomy]],2,FALSE),"")</f>
        <v/>
      </c>
      <c r="F369" s="52" t="str">
        <f>IFERROR(VLOOKUP(trainee_data[[#This Row],[Specialty/Subspecialty]],condensed_specialty_crosswalk[#All],2,FALSE),"")</f>
        <v/>
      </c>
      <c r="G369" s="53" t="str">
        <f>IFERROR(VLOOKUP(trainee_data[[#This Row],[Specialty/Subspecialty]],condensed_specialty_crosswalk[#All],3,FALSE),"")</f>
        <v/>
      </c>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row>
    <row r="370" spans="5:30" ht="14.25" x14ac:dyDescent="0.45">
      <c r="E370" s="69" t="str">
        <f>IFERROR(VLOOKUP(trainee_data[[#This Row],[Program Specialty]],taxonomy_map[[Other Taxonomy]:[Our Taxonomy]],2,FALSE),"")</f>
        <v/>
      </c>
      <c r="F370" s="55" t="str">
        <f>IFERROR(VLOOKUP(trainee_data[[#This Row],[Specialty/Subspecialty]],condensed_specialty_crosswalk[#All],2,FALSE),"")</f>
        <v/>
      </c>
      <c r="G370" s="56" t="str">
        <f>IFERROR(VLOOKUP(trainee_data[[#This Row],[Specialty/Subspecialty]],condensed_specialty_crosswalk[#All],3,FALSE),"")</f>
        <v/>
      </c>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row>
    <row r="371" spans="5:30" ht="14.25" x14ac:dyDescent="0.45">
      <c r="E371" s="70" t="str">
        <f>IFERROR(VLOOKUP(trainee_data[[#This Row],[Program Specialty]],taxonomy_map[[Other Taxonomy]:[Our Taxonomy]],2,FALSE),"")</f>
        <v/>
      </c>
      <c r="F371" s="52" t="str">
        <f>IFERROR(VLOOKUP(trainee_data[[#This Row],[Specialty/Subspecialty]],condensed_specialty_crosswalk[#All],2,FALSE),"")</f>
        <v/>
      </c>
      <c r="G371" s="53" t="str">
        <f>IFERROR(VLOOKUP(trainee_data[[#This Row],[Specialty/Subspecialty]],condensed_specialty_crosswalk[#All],3,FALSE),"")</f>
        <v/>
      </c>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row>
    <row r="372" spans="5:30" ht="14.25" x14ac:dyDescent="0.45">
      <c r="E372" s="69" t="str">
        <f>IFERROR(VLOOKUP(trainee_data[[#This Row],[Program Specialty]],taxonomy_map[[Other Taxonomy]:[Our Taxonomy]],2,FALSE),"")</f>
        <v/>
      </c>
      <c r="F372" s="55" t="str">
        <f>IFERROR(VLOOKUP(trainee_data[[#This Row],[Specialty/Subspecialty]],condensed_specialty_crosswalk[#All],2,FALSE),"")</f>
        <v/>
      </c>
      <c r="G372" s="56" t="str">
        <f>IFERROR(VLOOKUP(trainee_data[[#This Row],[Specialty/Subspecialty]],condensed_specialty_crosswalk[#All],3,FALSE),"")</f>
        <v/>
      </c>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row>
    <row r="373" spans="5:30" ht="14.25" x14ac:dyDescent="0.45">
      <c r="E373" s="70" t="str">
        <f>IFERROR(VLOOKUP(trainee_data[[#This Row],[Program Specialty]],taxonomy_map[[Other Taxonomy]:[Our Taxonomy]],2,FALSE),"")</f>
        <v/>
      </c>
      <c r="F373" s="52" t="str">
        <f>IFERROR(VLOOKUP(trainee_data[[#This Row],[Specialty/Subspecialty]],condensed_specialty_crosswalk[#All],2,FALSE),"")</f>
        <v/>
      </c>
      <c r="G373" s="53" t="str">
        <f>IFERROR(VLOOKUP(trainee_data[[#This Row],[Specialty/Subspecialty]],condensed_specialty_crosswalk[#All],3,FALSE),"")</f>
        <v/>
      </c>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row>
    <row r="374" spans="5:30" ht="14.25" x14ac:dyDescent="0.45">
      <c r="E374" s="69" t="str">
        <f>IFERROR(VLOOKUP(trainee_data[[#This Row],[Program Specialty]],taxonomy_map[[Other Taxonomy]:[Our Taxonomy]],2,FALSE),"")</f>
        <v/>
      </c>
      <c r="F374" s="55" t="str">
        <f>IFERROR(VLOOKUP(trainee_data[[#This Row],[Specialty/Subspecialty]],condensed_specialty_crosswalk[#All],2,FALSE),"")</f>
        <v/>
      </c>
      <c r="G374" s="56" t="str">
        <f>IFERROR(VLOOKUP(trainee_data[[#This Row],[Specialty/Subspecialty]],condensed_specialty_crosswalk[#All],3,FALSE),"")</f>
        <v/>
      </c>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row>
    <row r="375" spans="5:30" ht="14.25" x14ac:dyDescent="0.45">
      <c r="E375" s="70" t="str">
        <f>IFERROR(VLOOKUP(trainee_data[[#This Row],[Program Specialty]],taxonomy_map[[Other Taxonomy]:[Our Taxonomy]],2,FALSE),"")</f>
        <v/>
      </c>
      <c r="F375" s="52" t="str">
        <f>IFERROR(VLOOKUP(trainee_data[[#This Row],[Specialty/Subspecialty]],condensed_specialty_crosswalk[#All],2,FALSE),"")</f>
        <v/>
      </c>
      <c r="G375" s="53" t="str">
        <f>IFERROR(VLOOKUP(trainee_data[[#This Row],[Specialty/Subspecialty]],condensed_specialty_crosswalk[#All],3,FALSE),"")</f>
        <v/>
      </c>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row>
    <row r="376" spans="5:30" ht="14.25" x14ac:dyDescent="0.45">
      <c r="E376" s="69" t="str">
        <f>IFERROR(VLOOKUP(trainee_data[[#This Row],[Program Specialty]],taxonomy_map[[Other Taxonomy]:[Our Taxonomy]],2,FALSE),"")</f>
        <v/>
      </c>
      <c r="F376" s="55" t="str">
        <f>IFERROR(VLOOKUP(trainee_data[[#This Row],[Specialty/Subspecialty]],condensed_specialty_crosswalk[#All],2,FALSE),"")</f>
        <v/>
      </c>
      <c r="G376" s="56" t="str">
        <f>IFERROR(VLOOKUP(trainee_data[[#This Row],[Specialty/Subspecialty]],condensed_specialty_crosswalk[#All],3,FALSE),"")</f>
        <v/>
      </c>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row>
    <row r="377" spans="5:30" ht="14.25" x14ac:dyDescent="0.45">
      <c r="E377" s="70" t="str">
        <f>IFERROR(VLOOKUP(trainee_data[[#This Row],[Program Specialty]],taxonomy_map[[Other Taxonomy]:[Our Taxonomy]],2,FALSE),"")</f>
        <v/>
      </c>
      <c r="F377" s="52" t="str">
        <f>IFERROR(VLOOKUP(trainee_data[[#This Row],[Specialty/Subspecialty]],condensed_specialty_crosswalk[#All],2,FALSE),"")</f>
        <v/>
      </c>
      <c r="G377" s="53" t="str">
        <f>IFERROR(VLOOKUP(trainee_data[[#This Row],[Specialty/Subspecialty]],condensed_specialty_crosswalk[#All],3,FALSE),"")</f>
        <v/>
      </c>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row>
    <row r="378" spans="5:30" ht="14.25" x14ac:dyDescent="0.45">
      <c r="E378" s="69" t="str">
        <f>IFERROR(VLOOKUP(trainee_data[[#This Row],[Program Specialty]],taxonomy_map[[Other Taxonomy]:[Our Taxonomy]],2,FALSE),"")</f>
        <v/>
      </c>
      <c r="F378" s="55" t="str">
        <f>IFERROR(VLOOKUP(trainee_data[[#This Row],[Specialty/Subspecialty]],condensed_specialty_crosswalk[#All],2,FALSE),"")</f>
        <v/>
      </c>
      <c r="G378" s="56" t="str">
        <f>IFERROR(VLOOKUP(trainee_data[[#This Row],[Specialty/Subspecialty]],condensed_specialty_crosswalk[#All],3,FALSE),"")</f>
        <v/>
      </c>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row>
    <row r="379" spans="5:30" ht="14.25" x14ac:dyDescent="0.45">
      <c r="E379" s="70" t="str">
        <f>IFERROR(VLOOKUP(trainee_data[[#This Row],[Program Specialty]],taxonomy_map[[Other Taxonomy]:[Our Taxonomy]],2,FALSE),"")</f>
        <v/>
      </c>
      <c r="F379" s="52" t="str">
        <f>IFERROR(VLOOKUP(trainee_data[[#This Row],[Specialty/Subspecialty]],condensed_specialty_crosswalk[#All],2,FALSE),"")</f>
        <v/>
      </c>
      <c r="G379" s="53" t="str">
        <f>IFERROR(VLOOKUP(trainee_data[[#This Row],[Specialty/Subspecialty]],condensed_specialty_crosswalk[#All],3,FALSE),"")</f>
        <v/>
      </c>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row>
    <row r="380" spans="5:30" ht="14.25" x14ac:dyDescent="0.45">
      <c r="E380" s="69" t="str">
        <f>IFERROR(VLOOKUP(trainee_data[[#This Row],[Program Specialty]],taxonomy_map[[Other Taxonomy]:[Our Taxonomy]],2,FALSE),"")</f>
        <v/>
      </c>
      <c r="F380" s="55" t="str">
        <f>IFERROR(VLOOKUP(trainee_data[[#This Row],[Specialty/Subspecialty]],condensed_specialty_crosswalk[#All],2,FALSE),"")</f>
        <v/>
      </c>
      <c r="G380" s="56" t="str">
        <f>IFERROR(VLOOKUP(trainee_data[[#This Row],[Specialty/Subspecialty]],condensed_specialty_crosswalk[#All],3,FALSE),"")</f>
        <v/>
      </c>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row>
    <row r="381" spans="5:30" ht="14.25" x14ac:dyDescent="0.45">
      <c r="E381" s="70" t="str">
        <f>IFERROR(VLOOKUP(trainee_data[[#This Row],[Program Specialty]],taxonomy_map[[Other Taxonomy]:[Our Taxonomy]],2,FALSE),"")</f>
        <v/>
      </c>
      <c r="F381" s="52" t="str">
        <f>IFERROR(VLOOKUP(trainee_data[[#This Row],[Specialty/Subspecialty]],condensed_specialty_crosswalk[#All],2,FALSE),"")</f>
        <v/>
      </c>
      <c r="G381" s="53" t="str">
        <f>IFERROR(VLOOKUP(trainee_data[[#This Row],[Specialty/Subspecialty]],condensed_specialty_crosswalk[#All],3,FALSE),"")</f>
        <v/>
      </c>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row>
    <row r="382" spans="5:30" ht="14.25" x14ac:dyDescent="0.45">
      <c r="E382" s="69" t="str">
        <f>IFERROR(VLOOKUP(trainee_data[[#This Row],[Program Specialty]],taxonomy_map[[Other Taxonomy]:[Our Taxonomy]],2,FALSE),"")</f>
        <v/>
      </c>
      <c r="F382" s="55" t="str">
        <f>IFERROR(VLOOKUP(trainee_data[[#This Row],[Specialty/Subspecialty]],condensed_specialty_crosswalk[#All],2,FALSE),"")</f>
        <v/>
      </c>
      <c r="G382" s="56" t="str">
        <f>IFERROR(VLOOKUP(trainee_data[[#This Row],[Specialty/Subspecialty]],condensed_specialty_crosswalk[#All],3,FALSE),"")</f>
        <v/>
      </c>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row>
    <row r="383" spans="5:30" ht="14.25" x14ac:dyDescent="0.45">
      <c r="E383" s="70" t="str">
        <f>IFERROR(VLOOKUP(trainee_data[[#This Row],[Program Specialty]],taxonomy_map[[Other Taxonomy]:[Our Taxonomy]],2,FALSE),"")</f>
        <v/>
      </c>
      <c r="F383" s="52" t="str">
        <f>IFERROR(VLOOKUP(trainee_data[[#This Row],[Specialty/Subspecialty]],condensed_specialty_crosswalk[#All],2,FALSE),"")</f>
        <v/>
      </c>
      <c r="G383" s="53" t="str">
        <f>IFERROR(VLOOKUP(trainee_data[[#This Row],[Specialty/Subspecialty]],condensed_specialty_crosswalk[#All],3,FALSE),"")</f>
        <v/>
      </c>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row>
    <row r="384" spans="5:30" ht="14.25" x14ac:dyDescent="0.45">
      <c r="E384" s="69" t="str">
        <f>IFERROR(VLOOKUP(trainee_data[[#This Row],[Program Specialty]],taxonomy_map[[Other Taxonomy]:[Our Taxonomy]],2,FALSE),"")</f>
        <v/>
      </c>
      <c r="F384" s="55" t="str">
        <f>IFERROR(VLOOKUP(trainee_data[[#This Row],[Specialty/Subspecialty]],condensed_specialty_crosswalk[#All],2,FALSE),"")</f>
        <v/>
      </c>
      <c r="G384" s="56" t="str">
        <f>IFERROR(VLOOKUP(trainee_data[[#This Row],[Specialty/Subspecialty]],condensed_specialty_crosswalk[#All],3,FALSE),"")</f>
        <v/>
      </c>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row>
    <row r="385" spans="5:30" ht="14.25" x14ac:dyDescent="0.45">
      <c r="E385" s="70" t="str">
        <f>IFERROR(VLOOKUP(trainee_data[[#This Row],[Program Specialty]],taxonomy_map[[Other Taxonomy]:[Our Taxonomy]],2,FALSE),"")</f>
        <v/>
      </c>
      <c r="F385" s="52" t="str">
        <f>IFERROR(VLOOKUP(trainee_data[[#This Row],[Specialty/Subspecialty]],condensed_specialty_crosswalk[#All],2,FALSE),"")</f>
        <v/>
      </c>
      <c r="G385" s="53" t="str">
        <f>IFERROR(VLOOKUP(trainee_data[[#This Row],[Specialty/Subspecialty]],condensed_specialty_crosswalk[#All],3,FALSE),"")</f>
        <v/>
      </c>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row>
    <row r="386" spans="5:30" ht="14.25" x14ac:dyDescent="0.45">
      <c r="E386" s="69" t="str">
        <f>IFERROR(VLOOKUP(trainee_data[[#This Row],[Program Specialty]],taxonomy_map[[Other Taxonomy]:[Our Taxonomy]],2,FALSE),"")</f>
        <v/>
      </c>
      <c r="F386" s="55" t="str">
        <f>IFERROR(VLOOKUP(trainee_data[[#This Row],[Specialty/Subspecialty]],condensed_specialty_crosswalk[#All],2,FALSE),"")</f>
        <v/>
      </c>
      <c r="G386" s="56" t="str">
        <f>IFERROR(VLOOKUP(trainee_data[[#This Row],[Specialty/Subspecialty]],condensed_specialty_crosswalk[#All],3,FALSE),"")</f>
        <v/>
      </c>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row>
    <row r="387" spans="5:30" ht="14.25" x14ac:dyDescent="0.45">
      <c r="E387" s="70" t="str">
        <f>IFERROR(VLOOKUP(trainee_data[[#This Row],[Program Specialty]],taxonomy_map[[Other Taxonomy]:[Our Taxonomy]],2,FALSE),"")</f>
        <v/>
      </c>
      <c r="F387" s="52" t="str">
        <f>IFERROR(VLOOKUP(trainee_data[[#This Row],[Specialty/Subspecialty]],condensed_specialty_crosswalk[#All],2,FALSE),"")</f>
        <v/>
      </c>
      <c r="G387" s="53" t="str">
        <f>IFERROR(VLOOKUP(trainee_data[[#This Row],[Specialty/Subspecialty]],condensed_specialty_crosswalk[#All],3,FALSE),"")</f>
        <v/>
      </c>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row>
    <row r="388" spans="5:30" ht="14.25" x14ac:dyDescent="0.45">
      <c r="E388" s="69" t="str">
        <f>IFERROR(VLOOKUP(trainee_data[[#This Row],[Program Specialty]],taxonomy_map[[Other Taxonomy]:[Our Taxonomy]],2,FALSE),"")</f>
        <v/>
      </c>
      <c r="F388" s="55" t="str">
        <f>IFERROR(VLOOKUP(trainee_data[[#This Row],[Specialty/Subspecialty]],condensed_specialty_crosswalk[#All],2,FALSE),"")</f>
        <v/>
      </c>
      <c r="G388" s="56" t="str">
        <f>IFERROR(VLOOKUP(trainee_data[[#This Row],[Specialty/Subspecialty]],condensed_specialty_crosswalk[#All],3,FALSE),"")</f>
        <v/>
      </c>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row>
    <row r="389" spans="5:30" ht="14.25" x14ac:dyDescent="0.45">
      <c r="E389" s="70" t="str">
        <f>IFERROR(VLOOKUP(trainee_data[[#This Row],[Program Specialty]],taxonomy_map[[Other Taxonomy]:[Our Taxonomy]],2,FALSE),"")</f>
        <v/>
      </c>
      <c r="F389" s="52" t="str">
        <f>IFERROR(VLOOKUP(trainee_data[[#This Row],[Specialty/Subspecialty]],condensed_specialty_crosswalk[#All],2,FALSE),"")</f>
        <v/>
      </c>
      <c r="G389" s="53" t="str">
        <f>IFERROR(VLOOKUP(trainee_data[[#This Row],[Specialty/Subspecialty]],condensed_specialty_crosswalk[#All],3,FALSE),"")</f>
        <v/>
      </c>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row>
    <row r="390" spans="5:30" ht="14.25" x14ac:dyDescent="0.45">
      <c r="E390" s="69" t="str">
        <f>IFERROR(VLOOKUP(trainee_data[[#This Row],[Program Specialty]],taxonomy_map[[Other Taxonomy]:[Our Taxonomy]],2,FALSE),"")</f>
        <v/>
      </c>
      <c r="F390" s="55" t="str">
        <f>IFERROR(VLOOKUP(trainee_data[[#This Row],[Specialty/Subspecialty]],condensed_specialty_crosswalk[#All],2,FALSE),"")</f>
        <v/>
      </c>
      <c r="G390" s="56" t="str">
        <f>IFERROR(VLOOKUP(trainee_data[[#This Row],[Specialty/Subspecialty]],condensed_specialty_crosswalk[#All],3,FALSE),"")</f>
        <v/>
      </c>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row>
    <row r="391" spans="5:30" ht="14.25" x14ac:dyDescent="0.45">
      <c r="E391" s="70" t="str">
        <f>IFERROR(VLOOKUP(trainee_data[[#This Row],[Program Specialty]],taxonomy_map[[Other Taxonomy]:[Our Taxonomy]],2,FALSE),"")</f>
        <v/>
      </c>
      <c r="F391" s="52" t="str">
        <f>IFERROR(VLOOKUP(trainee_data[[#This Row],[Specialty/Subspecialty]],condensed_specialty_crosswalk[#All],2,FALSE),"")</f>
        <v/>
      </c>
      <c r="G391" s="53" t="str">
        <f>IFERROR(VLOOKUP(trainee_data[[#This Row],[Specialty/Subspecialty]],condensed_specialty_crosswalk[#All],3,FALSE),"")</f>
        <v/>
      </c>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row>
    <row r="392" spans="5:30" ht="14.25" x14ac:dyDescent="0.45">
      <c r="E392" s="69" t="str">
        <f>IFERROR(VLOOKUP(trainee_data[[#This Row],[Program Specialty]],taxonomy_map[[Other Taxonomy]:[Our Taxonomy]],2,FALSE),"")</f>
        <v/>
      </c>
      <c r="F392" s="55" t="str">
        <f>IFERROR(VLOOKUP(trainee_data[[#This Row],[Specialty/Subspecialty]],condensed_specialty_crosswalk[#All],2,FALSE),"")</f>
        <v/>
      </c>
      <c r="G392" s="56" t="str">
        <f>IFERROR(VLOOKUP(trainee_data[[#This Row],[Specialty/Subspecialty]],condensed_specialty_crosswalk[#All],3,FALSE),"")</f>
        <v/>
      </c>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row>
    <row r="393" spans="5:30" ht="14.25" x14ac:dyDescent="0.45">
      <c r="E393" s="70" t="str">
        <f>IFERROR(VLOOKUP(trainee_data[[#This Row],[Program Specialty]],taxonomy_map[[Other Taxonomy]:[Our Taxonomy]],2,FALSE),"")</f>
        <v/>
      </c>
      <c r="F393" s="52" t="str">
        <f>IFERROR(VLOOKUP(trainee_data[[#This Row],[Specialty/Subspecialty]],condensed_specialty_crosswalk[#All],2,FALSE),"")</f>
        <v/>
      </c>
      <c r="G393" s="53" t="str">
        <f>IFERROR(VLOOKUP(trainee_data[[#This Row],[Specialty/Subspecialty]],condensed_specialty_crosswalk[#All],3,FALSE),"")</f>
        <v/>
      </c>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row>
    <row r="394" spans="5:30" ht="14.25" x14ac:dyDescent="0.45">
      <c r="E394" s="69" t="str">
        <f>IFERROR(VLOOKUP(trainee_data[[#This Row],[Program Specialty]],taxonomy_map[[Other Taxonomy]:[Our Taxonomy]],2,FALSE),"")</f>
        <v/>
      </c>
      <c r="F394" s="55" t="str">
        <f>IFERROR(VLOOKUP(trainee_data[[#This Row],[Specialty/Subspecialty]],condensed_specialty_crosswalk[#All],2,FALSE),"")</f>
        <v/>
      </c>
      <c r="G394" s="56" t="str">
        <f>IFERROR(VLOOKUP(trainee_data[[#This Row],[Specialty/Subspecialty]],condensed_specialty_crosswalk[#All],3,FALSE),"")</f>
        <v/>
      </c>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row>
    <row r="395" spans="5:30" ht="14.25" x14ac:dyDescent="0.45">
      <c r="E395" s="70" t="str">
        <f>IFERROR(VLOOKUP(trainee_data[[#This Row],[Program Specialty]],taxonomy_map[[Other Taxonomy]:[Our Taxonomy]],2,FALSE),"")</f>
        <v/>
      </c>
      <c r="F395" s="52" t="str">
        <f>IFERROR(VLOOKUP(trainee_data[[#This Row],[Specialty/Subspecialty]],condensed_specialty_crosswalk[#All],2,FALSE),"")</f>
        <v/>
      </c>
      <c r="G395" s="53" t="str">
        <f>IFERROR(VLOOKUP(trainee_data[[#This Row],[Specialty/Subspecialty]],condensed_specialty_crosswalk[#All],3,FALSE),"")</f>
        <v/>
      </c>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row>
    <row r="396" spans="5:30" ht="14.25" x14ac:dyDescent="0.45">
      <c r="E396" s="69" t="str">
        <f>IFERROR(VLOOKUP(trainee_data[[#This Row],[Program Specialty]],taxonomy_map[[Other Taxonomy]:[Our Taxonomy]],2,FALSE),"")</f>
        <v/>
      </c>
      <c r="F396" s="55" t="str">
        <f>IFERROR(VLOOKUP(trainee_data[[#This Row],[Specialty/Subspecialty]],condensed_specialty_crosswalk[#All],2,FALSE),"")</f>
        <v/>
      </c>
      <c r="G396" s="56" t="str">
        <f>IFERROR(VLOOKUP(trainee_data[[#This Row],[Specialty/Subspecialty]],condensed_specialty_crosswalk[#All],3,FALSE),"")</f>
        <v/>
      </c>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row>
    <row r="397" spans="5:30" ht="14.25" x14ac:dyDescent="0.45">
      <c r="E397" s="70" t="str">
        <f>IFERROR(VLOOKUP(trainee_data[[#This Row],[Program Specialty]],taxonomy_map[[Other Taxonomy]:[Our Taxonomy]],2,FALSE),"")</f>
        <v/>
      </c>
      <c r="F397" s="52" t="str">
        <f>IFERROR(VLOOKUP(trainee_data[[#This Row],[Specialty/Subspecialty]],condensed_specialty_crosswalk[#All],2,FALSE),"")</f>
        <v/>
      </c>
      <c r="G397" s="53" t="str">
        <f>IFERROR(VLOOKUP(trainee_data[[#This Row],[Specialty/Subspecialty]],condensed_specialty_crosswalk[#All],3,FALSE),"")</f>
        <v/>
      </c>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row>
    <row r="398" spans="5:30" ht="14.25" x14ac:dyDescent="0.45">
      <c r="E398" s="69" t="str">
        <f>IFERROR(VLOOKUP(trainee_data[[#This Row],[Program Specialty]],taxonomy_map[[Other Taxonomy]:[Our Taxonomy]],2,FALSE),"")</f>
        <v/>
      </c>
      <c r="F398" s="55" t="str">
        <f>IFERROR(VLOOKUP(trainee_data[[#This Row],[Specialty/Subspecialty]],condensed_specialty_crosswalk[#All],2,FALSE),"")</f>
        <v/>
      </c>
      <c r="G398" s="56" t="str">
        <f>IFERROR(VLOOKUP(trainee_data[[#This Row],[Specialty/Subspecialty]],condensed_specialty_crosswalk[#All],3,FALSE),"")</f>
        <v/>
      </c>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row>
    <row r="399" spans="5:30" ht="14.25" x14ac:dyDescent="0.45">
      <c r="E399" s="70" t="str">
        <f>IFERROR(VLOOKUP(trainee_data[[#This Row],[Program Specialty]],taxonomy_map[[Other Taxonomy]:[Our Taxonomy]],2,FALSE),"")</f>
        <v/>
      </c>
      <c r="F399" s="52" t="str">
        <f>IFERROR(VLOOKUP(trainee_data[[#This Row],[Specialty/Subspecialty]],condensed_specialty_crosswalk[#All],2,FALSE),"")</f>
        <v/>
      </c>
      <c r="G399" s="53" t="str">
        <f>IFERROR(VLOOKUP(trainee_data[[#This Row],[Specialty/Subspecialty]],condensed_specialty_crosswalk[#All],3,FALSE),"")</f>
        <v/>
      </c>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row>
    <row r="400" spans="5:30" ht="14.25" x14ac:dyDescent="0.45">
      <c r="E400" s="69" t="str">
        <f>IFERROR(VLOOKUP(trainee_data[[#This Row],[Program Specialty]],taxonomy_map[[Other Taxonomy]:[Our Taxonomy]],2,FALSE),"")</f>
        <v/>
      </c>
      <c r="F400" s="55" t="str">
        <f>IFERROR(VLOOKUP(trainee_data[[#This Row],[Specialty/Subspecialty]],condensed_specialty_crosswalk[#All],2,FALSE),"")</f>
        <v/>
      </c>
      <c r="G400" s="56" t="str">
        <f>IFERROR(VLOOKUP(trainee_data[[#This Row],[Specialty/Subspecialty]],condensed_specialty_crosswalk[#All],3,FALSE),"")</f>
        <v/>
      </c>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row>
    <row r="401" spans="5:30" ht="14.25" x14ac:dyDescent="0.45">
      <c r="E401" s="70" t="str">
        <f>IFERROR(VLOOKUP(trainee_data[[#This Row],[Program Specialty]],taxonomy_map[[Other Taxonomy]:[Our Taxonomy]],2,FALSE),"")</f>
        <v/>
      </c>
      <c r="F401" s="52" t="str">
        <f>IFERROR(VLOOKUP(trainee_data[[#This Row],[Specialty/Subspecialty]],condensed_specialty_crosswalk[#All],2,FALSE),"")</f>
        <v/>
      </c>
      <c r="G401" s="53" t="str">
        <f>IFERROR(VLOOKUP(trainee_data[[#This Row],[Specialty/Subspecialty]],condensed_specialty_crosswalk[#All],3,FALSE),"")</f>
        <v/>
      </c>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row>
    <row r="402" spans="5:30" ht="14.25" x14ac:dyDescent="0.45">
      <c r="E402" s="69" t="str">
        <f>IFERROR(VLOOKUP(trainee_data[[#This Row],[Program Specialty]],taxonomy_map[[Other Taxonomy]:[Our Taxonomy]],2,FALSE),"")</f>
        <v/>
      </c>
      <c r="F402" s="55" t="str">
        <f>IFERROR(VLOOKUP(trainee_data[[#This Row],[Specialty/Subspecialty]],condensed_specialty_crosswalk[#All],2,FALSE),"")</f>
        <v/>
      </c>
      <c r="G402" s="56" t="str">
        <f>IFERROR(VLOOKUP(trainee_data[[#This Row],[Specialty/Subspecialty]],condensed_specialty_crosswalk[#All],3,FALSE),"")</f>
        <v/>
      </c>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row>
    <row r="403" spans="5:30" ht="14.25" x14ac:dyDescent="0.45">
      <c r="E403" s="70" t="str">
        <f>IFERROR(VLOOKUP(trainee_data[[#This Row],[Program Specialty]],taxonomy_map[[Other Taxonomy]:[Our Taxonomy]],2,FALSE),"")</f>
        <v/>
      </c>
      <c r="F403" s="52" t="str">
        <f>IFERROR(VLOOKUP(trainee_data[[#This Row],[Specialty/Subspecialty]],condensed_specialty_crosswalk[#All],2,FALSE),"")</f>
        <v/>
      </c>
      <c r="G403" s="53" t="str">
        <f>IFERROR(VLOOKUP(trainee_data[[#This Row],[Specialty/Subspecialty]],condensed_specialty_crosswalk[#All],3,FALSE),"")</f>
        <v/>
      </c>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row>
    <row r="404" spans="5:30" ht="14.25" x14ac:dyDescent="0.45">
      <c r="E404" s="69" t="str">
        <f>IFERROR(VLOOKUP(trainee_data[[#This Row],[Program Specialty]],taxonomy_map[[Other Taxonomy]:[Our Taxonomy]],2,FALSE),"")</f>
        <v/>
      </c>
      <c r="F404" s="55" t="str">
        <f>IFERROR(VLOOKUP(trainee_data[[#This Row],[Specialty/Subspecialty]],condensed_specialty_crosswalk[#All],2,FALSE),"")</f>
        <v/>
      </c>
      <c r="G404" s="56" t="str">
        <f>IFERROR(VLOOKUP(trainee_data[[#This Row],[Specialty/Subspecialty]],condensed_specialty_crosswalk[#All],3,FALSE),"")</f>
        <v/>
      </c>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row>
    <row r="405" spans="5:30" ht="14.25" x14ac:dyDescent="0.45">
      <c r="E405" s="70" t="str">
        <f>IFERROR(VLOOKUP(trainee_data[[#This Row],[Program Specialty]],taxonomy_map[[Other Taxonomy]:[Our Taxonomy]],2,FALSE),"")</f>
        <v/>
      </c>
      <c r="F405" s="52" t="str">
        <f>IFERROR(VLOOKUP(trainee_data[[#This Row],[Specialty/Subspecialty]],condensed_specialty_crosswalk[#All],2,FALSE),"")</f>
        <v/>
      </c>
      <c r="G405" s="53" t="str">
        <f>IFERROR(VLOOKUP(trainee_data[[#This Row],[Specialty/Subspecialty]],condensed_specialty_crosswalk[#All],3,FALSE),"")</f>
        <v/>
      </c>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row>
    <row r="406" spans="5:30" ht="14.25" x14ac:dyDescent="0.45">
      <c r="E406" s="69" t="str">
        <f>IFERROR(VLOOKUP(trainee_data[[#This Row],[Program Specialty]],taxonomy_map[[Other Taxonomy]:[Our Taxonomy]],2,FALSE),"")</f>
        <v/>
      </c>
      <c r="F406" s="55" t="str">
        <f>IFERROR(VLOOKUP(trainee_data[[#This Row],[Specialty/Subspecialty]],condensed_specialty_crosswalk[#All],2,FALSE),"")</f>
        <v/>
      </c>
      <c r="G406" s="56" t="str">
        <f>IFERROR(VLOOKUP(trainee_data[[#This Row],[Specialty/Subspecialty]],condensed_specialty_crosswalk[#All],3,FALSE),"")</f>
        <v/>
      </c>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row>
    <row r="407" spans="5:30" ht="14.25" x14ac:dyDescent="0.45">
      <c r="E407" s="70" t="str">
        <f>IFERROR(VLOOKUP(trainee_data[[#This Row],[Program Specialty]],taxonomy_map[[Other Taxonomy]:[Our Taxonomy]],2,FALSE),"")</f>
        <v/>
      </c>
      <c r="F407" s="52" t="str">
        <f>IFERROR(VLOOKUP(trainee_data[[#This Row],[Specialty/Subspecialty]],condensed_specialty_crosswalk[#All],2,FALSE),"")</f>
        <v/>
      </c>
      <c r="G407" s="53" t="str">
        <f>IFERROR(VLOOKUP(trainee_data[[#This Row],[Specialty/Subspecialty]],condensed_specialty_crosswalk[#All],3,FALSE),"")</f>
        <v/>
      </c>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row>
    <row r="408" spans="5:30" ht="14.25" x14ac:dyDescent="0.45">
      <c r="E408" s="69" t="str">
        <f>IFERROR(VLOOKUP(trainee_data[[#This Row],[Program Specialty]],taxonomy_map[[Other Taxonomy]:[Our Taxonomy]],2,FALSE),"")</f>
        <v/>
      </c>
      <c r="F408" s="55" t="str">
        <f>IFERROR(VLOOKUP(trainee_data[[#This Row],[Specialty/Subspecialty]],condensed_specialty_crosswalk[#All],2,FALSE),"")</f>
        <v/>
      </c>
      <c r="G408" s="56" t="str">
        <f>IFERROR(VLOOKUP(trainee_data[[#This Row],[Specialty/Subspecialty]],condensed_specialty_crosswalk[#All],3,FALSE),"")</f>
        <v/>
      </c>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row>
    <row r="409" spans="5:30" ht="14.25" x14ac:dyDescent="0.45">
      <c r="E409" s="70" t="str">
        <f>IFERROR(VLOOKUP(trainee_data[[#This Row],[Program Specialty]],taxonomy_map[[Other Taxonomy]:[Our Taxonomy]],2,FALSE),"")</f>
        <v/>
      </c>
      <c r="F409" s="52" t="str">
        <f>IFERROR(VLOOKUP(trainee_data[[#This Row],[Specialty/Subspecialty]],condensed_specialty_crosswalk[#All],2,FALSE),"")</f>
        <v/>
      </c>
      <c r="G409" s="53" t="str">
        <f>IFERROR(VLOOKUP(trainee_data[[#This Row],[Specialty/Subspecialty]],condensed_specialty_crosswalk[#All],3,FALSE),"")</f>
        <v/>
      </c>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row>
    <row r="410" spans="5:30" ht="14.25" x14ac:dyDescent="0.45">
      <c r="E410" s="69" t="str">
        <f>IFERROR(VLOOKUP(trainee_data[[#This Row],[Program Specialty]],taxonomy_map[[Other Taxonomy]:[Our Taxonomy]],2,FALSE),"")</f>
        <v/>
      </c>
      <c r="F410" s="55" t="str">
        <f>IFERROR(VLOOKUP(trainee_data[[#This Row],[Specialty/Subspecialty]],condensed_specialty_crosswalk[#All],2,FALSE),"")</f>
        <v/>
      </c>
      <c r="G410" s="56" t="str">
        <f>IFERROR(VLOOKUP(trainee_data[[#This Row],[Specialty/Subspecialty]],condensed_specialty_crosswalk[#All],3,FALSE),"")</f>
        <v/>
      </c>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row>
    <row r="411" spans="5:30" ht="14.25" x14ac:dyDescent="0.45">
      <c r="E411" s="70" t="str">
        <f>IFERROR(VLOOKUP(trainee_data[[#This Row],[Program Specialty]],taxonomy_map[[Other Taxonomy]:[Our Taxonomy]],2,FALSE),"")</f>
        <v/>
      </c>
      <c r="F411" s="52" t="str">
        <f>IFERROR(VLOOKUP(trainee_data[[#This Row],[Specialty/Subspecialty]],condensed_specialty_crosswalk[#All],2,FALSE),"")</f>
        <v/>
      </c>
      <c r="G411" s="53" t="str">
        <f>IFERROR(VLOOKUP(trainee_data[[#This Row],[Specialty/Subspecialty]],condensed_specialty_crosswalk[#All],3,FALSE),"")</f>
        <v/>
      </c>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row>
    <row r="412" spans="5:30" ht="14.25" x14ac:dyDescent="0.45">
      <c r="E412" s="69" t="str">
        <f>IFERROR(VLOOKUP(trainee_data[[#This Row],[Program Specialty]],taxonomy_map[[Other Taxonomy]:[Our Taxonomy]],2,FALSE),"")</f>
        <v/>
      </c>
      <c r="F412" s="55" t="str">
        <f>IFERROR(VLOOKUP(trainee_data[[#This Row],[Specialty/Subspecialty]],condensed_specialty_crosswalk[#All],2,FALSE),"")</f>
        <v/>
      </c>
      <c r="G412" s="56" t="str">
        <f>IFERROR(VLOOKUP(trainee_data[[#This Row],[Specialty/Subspecialty]],condensed_specialty_crosswalk[#All],3,FALSE),"")</f>
        <v/>
      </c>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row>
    <row r="413" spans="5:30" ht="14.25" x14ac:dyDescent="0.45">
      <c r="E413" s="70" t="str">
        <f>IFERROR(VLOOKUP(trainee_data[[#This Row],[Program Specialty]],taxonomy_map[[Other Taxonomy]:[Our Taxonomy]],2,FALSE),"")</f>
        <v/>
      </c>
      <c r="F413" s="52" t="str">
        <f>IFERROR(VLOOKUP(trainee_data[[#This Row],[Specialty/Subspecialty]],condensed_specialty_crosswalk[#All],2,FALSE),"")</f>
        <v/>
      </c>
      <c r="G413" s="53" t="str">
        <f>IFERROR(VLOOKUP(trainee_data[[#This Row],[Specialty/Subspecialty]],condensed_specialty_crosswalk[#All],3,FALSE),"")</f>
        <v/>
      </c>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row>
    <row r="414" spans="5:30" ht="14.25" x14ac:dyDescent="0.45">
      <c r="E414" s="69" t="str">
        <f>IFERROR(VLOOKUP(trainee_data[[#This Row],[Program Specialty]],taxonomy_map[[Other Taxonomy]:[Our Taxonomy]],2,FALSE),"")</f>
        <v/>
      </c>
      <c r="F414" s="55" t="str">
        <f>IFERROR(VLOOKUP(trainee_data[[#This Row],[Specialty/Subspecialty]],condensed_specialty_crosswalk[#All],2,FALSE),"")</f>
        <v/>
      </c>
      <c r="G414" s="56" t="str">
        <f>IFERROR(VLOOKUP(trainee_data[[#This Row],[Specialty/Subspecialty]],condensed_specialty_crosswalk[#All],3,FALSE),"")</f>
        <v/>
      </c>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row>
    <row r="415" spans="5:30" ht="14.25" x14ac:dyDescent="0.45">
      <c r="E415" s="70" t="str">
        <f>IFERROR(VLOOKUP(trainee_data[[#This Row],[Program Specialty]],taxonomy_map[[Other Taxonomy]:[Our Taxonomy]],2,FALSE),"")</f>
        <v/>
      </c>
      <c r="F415" s="52" t="str">
        <f>IFERROR(VLOOKUP(trainee_data[[#This Row],[Specialty/Subspecialty]],condensed_specialty_crosswalk[#All],2,FALSE),"")</f>
        <v/>
      </c>
      <c r="G415" s="53" t="str">
        <f>IFERROR(VLOOKUP(trainee_data[[#This Row],[Specialty/Subspecialty]],condensed_specialty_crosswalk[#All],3,FALSE),"")</f>
        <v/>
      </c>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row>
    <row r="416" spans="5:30" ht="14.25" x14ac:dyDescent="0.45">
      <c r="E416" s="69" t="str">
        <f>IFERROR(VLOOKUP(trainee_data[[#This Row],[Program Specialty]],taxonomy_map[[Other Taxonomy]:[Our Taxonomy]],2,FALSE),"")</f>
        <v/>
      </c>
      <c r="F416" s="55" t="str">
        <f>IFERROR(VLOOKUP(trainee_data[[#This Row],[Specialty/Subspecialty]],condensed_specialty_crosswalk[#All],2,FALSE),"")</f>
        <v/>
      </c>
      <c r="G416" s="56" t="str">
        <f>IFERROR(VLOOKUP(trainee_data[[#This Row],[Specialty/Subspecialty]],condensed_specialty_crosswalk[#All],3,FALSE),"")</f>
        <v/>
      </c>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row>
    <row r="417" spans="5:30" ht="14.25" x14ac:dyDescent="0.45">
      <c r="E417" s="70" t="str">
        <f>IFERROR(VLOOKUP(trainee_data[[#This Row],[Program Specialty]],taxonomy_map[[Other Taxonomy]:[Our Taxonomy]],2,FALSE),"")</f>
        <v/>
      </c>
      <c r="F417" s="52" t="str">
        <f>IFERROR(VLOOKUP(trainee_data[[#This Row],[Specialty/Subspecialty]],condensed_specialty_crosswalk[#All],2,FALSE),"")</f>
        <v/>
      </c>
      <c r="G417" s="53" t="str">
        <f>IFERROR(VLOOKUP(trainee_data[[#This Row],[Specialty/Subspecialty]],condensed_specialty_crosswalk[#All],3,FALSE),"")</f>
        <v/>
      </c>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row>
    <row r="418" spans="5:30" ht="14.25" x14ac:dyDescent="0.45">
      <c r="E418" s="69" t="str">
        <f>IFERROR(VLOOKUP(trainee_data[[#This Row],[Program Specialty]],taxonomy_map[[Other Taxonomy]:[Our Taxonomy]],2,FALSE),"")</f>
        <v/>
      </c>
      <c r="F418" s="55" t="str">
        <f>IFERROR(VLOOKUP(trainee_data[[#This Row],[Specialty/Subspecialty]],condensed_specialty_crosswalk[#All],2,FALSE),"")</f>
        <v/>
      </c>
      <c r="G418" s="56" t="str">
        <f>IFERROR(VLOOKUP(trainee_data[[#This Row],[Specialty/Subspecialty]],condensed_specialty_crosswalk[#All],3,FALSE),"")</f>
        <v/>
      </c>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row>
    <row r="419" spans="5:30" ht="14.25" x14ac:dyDescent="0.45">
      <c r="E419" s="70" t="str">
        <f>IFERROR(VLOOKUP(trainee_data[[#This Row],[Program Specialty]],taxonomy_map[[Other Taxonomy]:[Our Taxonomy]],2,FALSE),"")</f>
        <v/>
      </c>
      <c r="F419" s="52" t="str">
        <f>IFERROR(VLOOKUP(trainee_data[[#This Row],[Specialty/Subspecialty]],condensed_specialty_crosswalk[#All],2,FALSE),"")</f>
        <v/>
      </c>
      <c r="G419" s="53" t="str">
        <f>IFERROR(VLOOKUP(trainee_data[[#This Row],[Specialty/Subspecialty]],condensed_specialty_crosswalk[#All],3,FALSE),"")</f>
        <v/>
      </c>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row>
    <row r="420" spans="5:30" ht="14.25" x14ac:dyDescent="0.45">
      <c r="E420" s="69" t="str">
        <f>IFERROR(VLOOKUP(trainee_data[[#This Row],[Program Specialty]],taxonomy_map[[Other Taxonomy]:[Our Taxonomy]],2,FALSE),"")</f>
        <v/>
      </c>
      <c r="F420" s="55" t="str">
        <f>IFERROR(VLOOKUP(trainee_data[[#This Row],[Specialty/Subspecialty]],condensed_specialty_crosswalk[#All],2,FALSE),"")</f>
        <v/>
      </c>
      <c r="G420" s="56" t="str">
        <f>IFERROR(VLOOKUP(trainee_data[[#This Row],[Specialty/Subspecialty]],condensed_specialty_crosswalk[#All],3,FALSE),"")</f>
        <v/>
      </c>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row>
    <row r="421" spans="5:30" ht="14.25" x14ac:dyDescent="0.45">
      <c r="E421" s="70" t="str">
        <f>IFERROR(VLOOKUP(trainee_data[[#This Row],[Program Specialty]],taxonomy_map[[Other Taxonomy]:[Our Taxonomy]],2,FALSE),"")</f>
        <v/>
      </c>
      <c r="F421" s="52" t="str">
        <f>IFERROR(VLOOKUP(trainee_data[[#This Row],[Specialty/Subspecialty]],condensed_specialty_crosswalk[#All],2,FALSE),"")</f>
        <v/>
      </c>
      <c r="G421" s="53" t="str">
        <f>IFERROR(VLOOKUP(trainee_data[[#This Row],[Specialty/Subspecialty]],condensed_specialty_crosswalk[#All],3,FALSE),"")</f>
        <v/>
      </c>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row>
    <row r="422" spans="5:30" ht="14.25" x14ac:dyDescent="0.45">
      <c r="E422" s="69" t="str">
        <f>IFERROR(VLOOKUP(trainee_data[[#This Row],[Program Specialty]],taxonomy_map[[Other Taxonomy]:[Our Taxonomy]],2,FALSE),"")</f>
        <v/>
      </c>
      <c r="F422" s="55" t="str">
        <f>IFERROR(VLOOKUP(trainee_data[[#This Row],[Specialty/Subspecialty]],condensed_specialty_crosswalk[#All],2,FALSE),"")</f>
        <v/>
      </c>
      <c r="G422" s="56" t="str">
        <f>IFERROR(VLOOKUP(trainee_data[[#This Row],[Specialty/Subspecialty]],condensed_specialty_crosswalk[#All],3,FALSE),"")</f>
        <v/>
      </c>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row>
    <row r="423" spans="5:30" ht="14.25" x14ac:dyDescent="0.45">
      <c r="E423" s="70" t="str">
        <f>IFERROR(VLOOKUP(trainee_data[[#This Row],[Program Specialty]],taxonomy_map[[Other Taxonomy]:[Our Taxonomy]],2,FALSE),"")</f>
        <v/>
      </c>
      <c r="F423" s="52" t="str">
        <f>IFERROR(VLOOKUP(trainee_data[[#This Row],[Specialty/Subspecialty]],condensed_specialty_crosswalk[#All],2,FALSE),"")</f>
        <v/>
      </c>
      <c r="G423" s="53" t="str">
        <f>IFERROR(VLOOKUP(trainee_data[[#This Row],[Specialty/Subspecialty]],condensed_specialty_crosswalk[#All],3,FALSE),"")</f>
        <v/>
      </c>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row>
    <row r="424" spans="5:30" ht="14.25" x14ac:dyDescent="0.45">
      <c r="E424" s="69" t="str">
        <f>IFERROR(VLOOKUP(trainee_data[[#This Row],[Program Specialty]],taxonomy_map[[Other Taxonomy]:[Our Taxonomy]],2,FALSE),"")</f>
        <v/>
      </c>
      <c r="F424" s="55" t="str">
        <f>IFERROR(VLOOKUP(trainee_data[[#This Row],[Specialty/Subspecialty]],condensed_specialty_crosswalk[#All],2,FALSE),"")</f>
        <v/>
      </c>
      <c r="G424" s="56" t="str">
        <f>IFERROR(VLOOKUP(trainee_data[[#This Row],[Specialty/Subspecialty]],condensed_specialty_crosswalk[#All],3,FALSE),"")</f>
        <v/>
      </c>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row>
    <row r="425" spans="5:30" ht="14.25" x14ac:dyDescent="0.45">
      <c r="E425" s="70" t="str">
        <f>IFERROR(VLOOKUP(trainee_data[[#This Row],[Program Specialty]],taxonomy_map[[Other Taxonomy]:[Our Taxonomy]],2,FALSE),"")</f>
        <v/>
      </c>
      <c r="F425" s="52" t="str">
        <f>IFERROR(VLOOKUP(trainee_data[[#This Row],[Specialty/Subspecialty]],condensed_specialty_crosswalk[#All],2,FALSE),"")</f>
        <v/>
      </c>
      <c r="G425" s="53" t="str">
        <f>IFERROR(VLOOKUP(trainee_data[[#This Row],[Specialty/Subspecialty]],condensed_specialty_crosswalk[#All],3,FALSE),"")</f>
        <v/>
      </c>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row>
    <row r="426" spans="5:30" ht="14.25" x14ac:dyDescent="0.45">
      <c r="E426" s="69" t="str">
        <f>IFERROR(VLOOKUP(trainee_data[[#This Row],[Program Specialty]],taxonomy_map[[Other Taxonomy]:[Our Taxonomy]],2,FALSE),"")</f>
        <v/>
      </c>
      <c r="F426" s="55" t="str">
        <f>IFERROR(VLOOKUP(trainee_data[[#This Row],[Specialty/Subspecialty]],condensed_specialty_crosswalk[#All],2,FALSE),"")</f>
        <v/>
      </c>
      <c r="G426" s="56" t="str">
        <f>IFERROR(VLOOKUP(trainee_data[[#This Row],[Specialty/Subspecialty]],condensed_specialty_crosswalk[#All],3,FALSE),"")</f>
        <v/>
      </c>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row>
    <row r="427" spans="5:30" ht="14.25" x14ac:dyDescent="0.45">
      <c r="E427" s="70" t="str">
        <f>IFERROR(VLOOKUP(trainee_data[[#This Row],[Program Specialty]],taxonomy_map[[Other Taxonomy]:[Our Taxonomy]],2,FALSE),"")</f>
        <v/>
      </c>
      <c r="F427" s="52" t="str">
        <f>IFERROR(VLOOKUP(trainee_data[[#This Row],[Specialty/Subspecialty]],condensed_specialty_crosswalk[#All],2,FALSE),"")</f>
        <v/>
      </c>
      <c r="G427" s="53" t="str">
        <f>IFERROR(VLOOKUP(trainee_data[[#This Row],[Specialty/Subspecialty]],condensed_specialty_crosswalk[#All],3,FALSE),"")</f>
        <v/>
      </c>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row>
    <row r="428" spans="5:30" ht="14.25" x14ac:dyDescent="0.45">
      <c r="E428" s="69" t="str">
        <f>IFERROR(VLOOKUP(trainee_data[[#This Row],[Program Specialty]],taxonomy_map[[Other Taxonomy]:[Our Taxonomy]],2,FALSE),"")</f>
        <v/>
      </c>
      <c r="F428" s="55" t="str">
        <f>IFERROR(VLOOKUP(trainee_data[[#This Row],[Specialty/Subspecialty]],condensed_specialty_crosswalk[#All],2,FALSE),"")</f>
        <v/>
      </c>
      <c r="G428" s="56" t="str">
        <f>IFERROR(VLOOKUP(trainee_data[[#This Row],[Specialty/Subspecialty]],condensed_specialty_crosswalk[#All],3,FALSE),"")</f>
        <v/>
      </c>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row>
    <row r="429" spans="5:30" ht="14.25" x14ac:dyDescent="0.45">
      <c r="E429" s="70" t="str">
        <f>IFERROR(VLOOKUP(trainee_data[[#This Row],[Program Specialty]],taxonomy_map[[Other Taxonomy]:[Our Taxonomy]],2,FALSE),"")</f>
        <v/>
      </c>
      <c r="F429" s="52" t="str">
        <f>IFERROR(VLOOKUP(trainee_data[[#This Row],[Specialty/Subspecialty]],condensed_specialty_crosswalk[#All],2,FALSE),"")</f>
        <v/>
      </c>
      <c r="G429" s="53" t="str">
        <f>IFERROR(VLOOKUP(trainee_data[[#This Row],[Specialty/Subspecialty]],condensed_specialty_crosswalk[#All],3,FALSE),"")</f>
        <v/>
      </c>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row>
    <row r="430" spans="5:30" ht="14.25" x14ac:dyDescent="0.45">
      <c r="E430" s="69" t="str">
        <f>IFERROR(VLOOKUP(trainee_data[[#This Row],[Program Specialty]],taxonomy_map[[Other Taxonomy]:[Our Taxonomy]],2,FALSE),"")</f>
        <v/>
      </c>
      <c r="F430" s="55" t="str">
        <f>IFERROR(VLOOKUP(trainee_data[[#This Row],[Specialty/Subspecialty]],condensed_specialty_crosswalk[#All],2,FALSE),"")</f>
        <v/>
      </c>
      <c r="G430" s="56" t="str">
        <f>IFERROR(VLOOKUP(trainee_data[[#This Row],[Specialty/Subspecialty]],condensed_specialty_crosswalk[#All],3,FALSE),"")</f>
        <v/>
      </c>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row>
    <row r="431" spans="5:30" ht="14.25" x14ac:dyDescent="0.45">
      <c r="E431" s="70" t="str">
        <f>IFERROR(VLOOKUP(trainee_data[[#This Row],[Program Specialty]],taxonomy_map[[Other Taxonomy]:[Our Taxonomy]],2,FALSE),"")</f>
        <v/>
      </c>
      <c r="F431" s="52" t="str">
        <f>IFERROR(VLOOKUP(trainee_data[[#This Row],[Specialty/Subspecialty]],condensed_specialty_crosswalk[#All],2,FALSE),"")</f>
        <v/>
      </c>
      <c r="G431" s="53" t="str">
        <f>IFERROR(VLOOKUP(trainee_data[[#This Row],[Specialty/Subspecialty]],condensed_specialty_crosswalk[#All],3,FALSE),"")</f>
        <v/>
      </c>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row>
    <row r="432" spans="5:30" ht="14.25" x14ac:dyDescent="0.45">
      <c r="E432" s="69" t="str">
        <f>IFERROR(VLOOKUP(trainee_data[[#This Row],[Program Specialty]],taxonomy_map[[Other Taxonomy]:[Our Taxonomy]],2,FALSE),"")</f>
        <v/>
      </c>
      <c r="F432" s="55" t="str">
        <f>IFERROR(VLOOKUP(trainee_data[[#This Row],[Specialty/Subspecialty]],condensed_specialty_crosswalk[#All],2,FALSE),"")</f>
        <v/>
      </c>
      <c r="G432" s="56" t="str">
        <f>IFERROR(VLOOKUP(trainee_data[[#This Row],[Specialty/Subspecialty]],condensed_specialty_crosswalk[#All],3,FALSE),"")</f>
        <v/>
      </c>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row>
    <row r="433" spans="5:30" ht="14.25" x14ac:dyDescent="0.45">
      <c r="E433" s="70" t="str">
        <f>IFERROR(VLOOKUP(trainee_data[[#This Row],[Program Specialty]],taxonomy_map[[Other Taxonomy]:[Our Taxonomy]],2,FALSE),"")</f>
        <v/>
      </c>
      <c r="F433" s="52" t="str">
        <f>IFERROR(VLOOKUP(trainee_data[[#This Row],[Specialty/Subspecialty]],condensed_specialty_crosswalk[#All],2,FALSE),"")</f>
        <v/>
      </c>
      <c r="G433" s="53" t="str">
        <f>IFERROR(VLOOKUP(trainee_data[[#This Row],[Specialty/Subspecialty]],condensed_specialty_crosswalk[#All],3,FALSE),"")</f>
        <v/>
      </c>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row>
    <row r="434" spans="5:30" ht="14.25" x14ac:dyDescent="0.45">
      <c r="E434" s="69" t="str">
        <f>IFERROR(VLOOKUP(trainee_data[[#This Row],[Program Specialty]],taxonomy_map[[Other Taxonomy]:[Our Taxonomy]],2,FALSE),"")</f>
        <v/>
      </c>
      <c r="F434" s="55" t="str">
        <f>IFERROR(VLOOKUP(trainee_data[[#This Row],[Specialty/Subspecialty]],condensed_specialty_crosswalk[#All],2,FALSE),"")</f>
        <v/>
      </c>
      <c r="G434" s="56" t="str">
        <f>IFERROR(VLOOKUP(trainee_data[[#This Row],[Specialty/Subspecialty]],condensed_specialty_crosswalk[#All],3,FALSE),"")</f>
        <v/>
      </c>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row>
    <row r="435" spans="5:30" ht="14.25" x14ac:dyDescent="0.45">
      <c r="E435" s="70" t="str">
        <f>IFERROR(VLOOKUP(trainee_data[[#This Row],[Program Specialty]],taxonomy_map[[Other Taxonomy]:[Our Taxonomy]],2,FALSE),"")</f>
        <v/>
      </c>
      <c r="F435" s="52" t="str">
        <f>IFERROR(VLOOKUP(trainee_data[[#This Row],[Specialty/Subspecialty]],condensed_specialty_crosswalk[#All],2,FALSE),"")</f>
        <v/>
      </c>
      <c r="G435" s="53" t="str">
        <f>IFERROR(VLOOKUP(trainee_data[[#This Row],[Specialty/Subspecialty]],condensed_specialty_crosswalk[#All],3,FALSE),"")</f>
        <v/>
      </c>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row>
    <row r="436" spans="5:30" ht="14.25" x14ac:dyDescent="0.45">
      <c r="E436" s="69" t="str">
        <f>IFERROR(VLOOKUP(trainee_data[[#This Row],[Program Specialty]],taxonomy_map[[Other Taxonomy]:[Our Taxonomy]],2,FALSE),"")</f>
        <v/>
      </c>
      <c r="F436" s="55" t="str">
        <f>IFERROR(VLOOKUP(trainee_data[[#This Row],[Specialty/Subspecialty]],condensed_specialty_crosswalk[#All],2,FALSE),"")</f>
        <v/>
      </c>
      <c r="G436" s="56" t="str">
        <f>IFERROR(VLOOKUP(trainee_data[[#This Row],[Specialty/Subspecialty]],condensed_specialty_crosswalk[#All],3,FALSE),"")</f>
        <v/>
      </c>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row>
    <row r="437" spans="5:30" ht="14.25" x14ac:dyDescent="0.45">
      <c r="E437" s="70" t="str">
        <f>IFERROR(VLOOKUP(trainee_data[[#This Row],[Program Specialty]],taxonomy_map[[Other Taxonomy]:[Our Taxonomy]],2,FALSE),"")</f>
        <v/>
      </c>
      <c r="F437" s="52" t="str">
        <f>IFERROR(VLOOKUP(trainee_data[[#This Row],[Specialty/Subspecialty]],condensed_specialty_crosswalk[#All],2,FALSE),"")</f>
        <v/>
      </c>
      <c r="G437" s="53" t="str">
        <f>IFERROR(VLOOKUP(trainee_data[[#This Row],[Specialty/Subspecialty]],condensed_specialty_crosswalk[#All],3,FALSE),"")</f>
        <v/>
      </c>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row>
    <row r="438" spans="5:30" ht="14.25" x14ac:dyDescent="0.45">
      <c r="E438" s="69" t="str">
        <f>IFERROR(VLOOKUP(trainee_data[[#This Row],[Program Specialty]],taxonomy_map[[Other Taxonomy]:[Our Taxonomy]],2,FALSE),"")</f>
        <v/>
      </c>
      <c r="F438" s="55" t="str">
        <f>IFERROR(VLOOKUP(trainee_data[[#This Row],[Specialty/Subspecialty]],condensed_specialty_crosswalk[#All],2,FALSE),"")</f>
        <v/>
      </c>
      <c r="G438" s="56" t="str">
        <f>IFERROR(VLOOKUP(trainee_data[[#This Row],[Specialty/Subspecialty]],condensed_specialty_crosswalk[#All],3,FALSE),"")</f>
        <v/>
      </c>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row>
    <row r="439" spans="5:30" ht="14.25" x14ac:dyDescent="0.45">
      <c r="E439" s="70" t="str">
        <f>IFERROR(VLOOKUP(trainee_data[[#This Row],[Program Specialty]],taxonomy_map[[Other Taxonomy]:[Our Taxonomy]],2,FALSE),"")</f>
        <v/>
      </c>
      <c r="F439" s="52" t="str">
        <f>IFERROR(VLOOKUP(trainee_data[[#This Row],[Specialty/Subspecialty]],condensed_specialty_crosswalk[#All],2,FALSE),"")</f>
        <v/>
      </c>
      <c r="G439" s="53" t="str">
        <f>IFERROR(VLOOKUP(trainee_data[[#This Row],[Specialty/Subspecialty]],condensed_specialty_crosswalk[#All],3,FALSE),"")</f>
        <v/>
      </c>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row>
    <row r="440" spans="5:30" ht="14.25" x14ac:dyDescent="0.45">
      <c r="E440" s="69" t="str">
        <f>IFERROR(VLOOKUP(trainee_data[[#This Row],[Program Specialty]],taxonomy_map[[Other Taxonomy]:[Our Taxonomy]],2,FALSE),"")</f>
        <v/>
      </c>
      <c r="F440" s="55" t="str">
        <f>IFERROR(VLOOKUP(trainee_data[[#This Row],[Specialty/Subspecialty]],condensed_specialty_crosswalk[#All],2,FALSE),"")</f>
        <v/>
      </c>
      <c r="G440" s="56" t="str">
        <f>IFERROR(VLOOKUP(trainee_data[[#This Row],[Specialty/Subspecialty]],condensed_specialty_crosswalk[#All],3,FALSE),"")</f>
        <v/>
      </c>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row>
    <row r="441" spans="5:30" ht="14.25" x14ac:dyDescent="0.45">
      <c r="E441" s="70" t="str">
        <f>IFERROR(VLOOKUP(trainee_data[[#This Row],[Program Specialty]],taxonomy_map[[Other Taxonomy]:[Our Taxonomy]],2,FALSE),"")</f>
        <v/>
      </c>
      <c r="F441" s="52" t="str">
        <f>IFERROR(VLOOKUP(trainee_data[[#This Row],[Specialty/Subspecialty]],condensed_specialty_crosswalk[#All],2,FALSE),"")</f>
        <v/>
      </c>
      <c r="G441" s="53" t="str">
        <f>IFERROR(VLOOKUP(trainee_data[[#This Row],[Specialty/Subspecialty]],condensed_specialty_crosswalk[#All],3,FALSE),"")</f>
        <v/>
      </c>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row>
    <row r="442" spans="5:30" ht="14.25" x14ac:dyDescent="0.45">
      <c r="E442" s="69" t="str">
        <f>IFERROR(VLOOKUP(trainee_data[[#This Row],[Program Specialty]],taxonomy_map[[Other Taxonomy]:[Our Taxonomy]],2,FALSE),"")</f>
        <v/>
      </c>
      <c r="F442" s="55" t="str">
        <f>IFERROR(VLOOKUP(trainee_data[[#This Row],[Specialty/Subspecialty]],condensed_specialty_crosswalk[#All],2,FALSE),"")</f>
        <v/>
      </c>
      <c r="G442" s="56" t="str">
        <f>IFERROR(VLOOKUP(trainee_data[[#This Row],[Specialty/Subspecialty]],condensed_specialty_crosswalk[#All],3,FALSE),"")</f>
        <v/>
      </c>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row>
    <row r="443" spans="5:30" ht="14.25" x14ac:dyDescent="0.45">
      <c r="E443" s="70" t="str">
        <f>IFERROR(VLOOKUP(trainee_data[[#This Row],[Program Specialty]],taxonomy_map[[Other Taxonomy]:[Our Taxonomy]],2,FALSE),"")</f>
        <v/>
      </c>
      <c r="F443" s="52" t="str">
        <f>IFERROR(VLOOKUP(trainee_data[[#This Row],[Specialty/Subspecialty]],condensed_specialty_crosswalk[#All],2,FALSE),"")</f>
        <v/>
      </c>
      <c r="G443" s="53" t="str">
        <f>IFERROR(VLOOKUP(trainee_data[[#This Row],[Specialty/Subspecialty]],condensed_specialty_crosswalk[#All],3,FALSE),"")</f>
        <v/>
      </c>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row>
    <row r="444" spans="5:30" ht="14.25" x14ac:dyDescent="0.45">
      <c r="E444" s="69" t="str">
        <f>IFERROR(VLOOKUP(trainee_data[[#This Row],[Program Specialty]],taxonomy_map[[Other Taxonomy]:[Our Taxonomy]],2,FALSE),"")</f>
        <v/>
      </c>
      <c r="F444" s="55" t="str">
        <f>IFERROR(VLOOKUP(trainee_data[[#This Row],[Specialty/Subspecialty]],condensed_specialty_crosswalk[#All],2,FALSE),"")</f>
        <v/>
      </c>
      <c r="G444" s="56" t="str">
        <f>IFERROR(VLOOKUP(trainee_data[[#This Row],[Specialty/Subspecialty]],condensed_specialty_crosswalk[#All],3,FALSE),"")</f>
        <v/>
      </c>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row>
    <row r="445" spans="5:30" ht="14.25" x14ac:dyDescent="0.45">
      <c r="E445" s="70" t="str">
        <f>IFERROR(VLOOKUP(trainee_data[[#This Row],[Program Specialty]],taxonomy_map[[Other Taxonomy]:[Our Taxonomy]],2,FALSE),"")</f>
        <v/>
      </c>
      <c r="F445" s="52" t="str">
        <f>IFERROR(VLOOKUP(trainee_data[[#This Row],[Specialty/Subspecialty]],condensed_specialty_crosswalk[#All],2,FALSE),"")</f>
        <v/>
      </c>
      <c r="G445" s="53" t="str">
        <f>IFERROR(VLOOKUP(trainee_data[[#This Row],[Specialty/Subspecialty]],condensed_specialty_crosswalk[#All],3,FALSE),"")</f>
        <v/>
      </c>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row>
    <row r="446" spans="5:30" ht="14.25" x14ac:dyDescent="0.45">
      <c r="E446" s="69" t="str">
        <f>IFERROR(VLOOKUP(trainee_data[[#This Row],[Program Specialty]],taxonomy_map[[Other Taxonomy]:[Our Taxonomy]],2,FALSE),"")</f>
        <v/>
      </c>
      <c r="F446" s="55" t="str">
        <f>IFERROR(VLOOKUP(trainee_data[[#This Row],[Specialty/Subspecialty]],condensed_specialty_crosswalk[#All],2,FALSE),"")</f>
        <v/>
      </c>
      <c r="G446" s="56" t="str">
        <f>IFERROR(VLOOKUP(trainee_data[[#This Row],[Specialty/Subspecialty]],condensed_specialty_crosswalk[#All],3,FALSE),"")</f>
        <v/>
      </c>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row>
    <row r="447" spans="5:30" ht="14.25" x14ac:dyDescent="0.45">
      <c r="E447" s="70" t="str">
        <f>IFERROR(VLOOKUP(trainee_data[[#This Row],[Program Specialty]],taxonomy_map[[Other Taxonomy]:[Our Taxonomy]],2,FALSE),"")</f>
        <v/>
      </c>
      <c r="F447" s="52" t="str">
        <f>IFERROR(VLOOKUP(trainee_data[[#This Row],[Specialty/Subspecialty]],condensed_specialty_crosswalk[#All],2,FALSE),"")</f>
        <v/>
      </c>
      <c r="G447" s="53" t="str">
        <f>IFERROR(VLOOKUP(trainee_data[[#This Row],[Specialty/Subspecialty]],condensed_specialty_crosswalk[#All],3,FALSE),"")</f>
        <v/>
      </c>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row>
    <row r="448" spans="5:30" ht="14.25" x14ac:dyDescent="0.45">
      <c r="E448" s="69" t="str">
        <f>IFERROR(VLOOKUP(trainee_data[[#This Row],[Program Specialty]],taxonomy_map[[Other Taxonomy]:[Our Taxonomy]],2,FALSE),"")</f>
        <v/>
      </c>
      <c r="F448" s="55" t="str">
        <f>IFERROR(VLOOKUP(trainee_data[[#This Row],[Specialty/Subspecialty]],condensed_specialty_crosswalk[#All],2,FALSE),"")</f>
        <v/>
      </c>
      <c r="G448" s="56" t="str">
        <f>IFERROR(VLOOKUP(trainee_data[[#This Row],[Specialty/Subspecialty]],condensed_specialty_crosswalk[#All],3,FALSE),"")</f>
        <v/>
      </c>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row>
    <row r="449" spans="5:30" ht="14.25" x14ac:dyDescent="0.45">
      <c r="E449" s="70" t="str">
        <f>IFERROR(VLOOKUP(trainee_data[[#This Row],[Program Specialty]],taxonomy_map[[Other Taxonomy]:[Our Taxonomy]],2,FALSE),"")</f>
        <v/>
      </c>
      <c r="F449" s="52" t="str">
        <f>IFERROR(VLOOKUP(trainee_data[[#This Row],[Specialty/Subspecialty]],condensed_specialty_crosswalk[#All],2,FALSE),"")</f>
        <v/>
      </c>
      <c r="G449" s="53" t="str">
        <f>IFERROR(VLOOKUP(trainee_data[[#This Row],[Specialty/Subspecialty]],condensed_specialty_crosswalk[#All],3,FALSE),"")</f>
        <v/>
      </c>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row>
    <row r="450" spans="5:30" ht="14.25" x14ac:dyDescent="0.45">
      <c r="E450" s="69" t="str">
        <f>IFERROR(VLOOKUP(trainee_data[[#This Row],[Program Specialty]],taxonomy_map[[Other Taxonomy]:[Our Taxonomy]],2,FALSE),"")</f>
        <v/>
      </c>
      <c r="F450" s="55" t="str">
        <f>IFERROR(VLOOKUP(trainee_data[[#This Row],[Specialty/Subspecialty]],condensed_specialty_crosswalk[#All],2,FALSE),"")</f>
        <v/>
      </c>
      <c r="G450" s="56" t="str">
        <f>IFERROR(VLOOKUP(trainee_data[[#This Row],[Specialty/Subspecialty]],condensed_specialty_crosswalk[#All],3,FALSE),"")</f>
        <v/>
      </c>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row>
    <row r="451" spans="5:30" ht="14.25" x14ac:dyDescent="0.45">
      <c r="E451" s="70" t="str">
        <f>IFERROR(VLOOKUP(trainee_data[[#This Row],[Program Specialty]],taxonomy_map[[Other Taxonomy]:[Our Taxonomy]],2,FALSE),"")</f>
        <v/>
      </c>
      <c r="F451" s="52" t="str">
        <f>IFERROR(VLOOKUP(trainee_data[[#This Row],[Specialty/Subspecialty]],condensed_specialty_crosswalk[#All],2,FALSE),"")</f>
        <v/>
      </c>
      <c r="G451" s="53" t="str">
        <f>IFERROR(VLOOKUP(trainee_data[[#This Row],[Specialty/Subspecialty]],condensed_specialty_crosswalk[#All],3,FALSE),"")</f>
        <v/>
      </c>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row>
    <row r="452" spans="5:30" ht="14.25" x14ac:dyDescent="0.45">
      <c r="E452" s="69" t="str">
        <f>IFERROR(VLOOKUP(trainee_data[[#This Row],[Program Specialty]],taxonomy_map[[Other Taxonomy]:[Our Taxonomy]],2,FALSE),"")</f>
        <v/>
      </c>
      <c r="F452" s="55" t="str">
        <f>IFERROR(VLOOKUP(trainee_data[[#This Row],[Specialty/Subspecialty]],condensed_specialty_crosswalk[#All],2,FALSE),"")</f>
        <v/>
      </c>
      <c r="G452" s="56" t="str">
        <f>IFERROR(VLOOKUP(trainee_data[[#This Row],[Specialty/Subspecialty]],condensed_specialty_crosswalk[#All],3,FALSE),"")</f>
        <v/>
      </c>
      <c r="H452" s="14"/>
      <c r="I452" s="14"/>
      <c r="J452" s="14"/>
      <c r="K452" s="14"/>
      <c r="L452" s="14"/>
      <c r="M452" s="14"/>
      <c r="N452" s="14"/>
      <c r="O452" s="14"/>
      <c r="P452" s="14"/>
      <c r="Q452" s="14"/>
      <c r="R452" s="14"/>
      <c r="S452" s="14"/>
      <c r="T452" s="14"/>
      <c r="U452" s="14"/>
      <c r="V452" s="14"/>
      <c r="W452" s="14"/>
      <c r="X452" s="14"/>
      <c r="Y452" s="14"/>
      <c r="Z452" s="14"/>
      <c r="AA452" s="14"/>
      <c r="AB452" s="14"/>
      <c r="AC452" s="14"/>
      <c r="AD452" s="14"/>
    </row>
    <row r="453" spans="5:30" ht="14.25" x14ac:dyDescent="0.45">
      <c r="E453" s="70" t="str">
        <f>IFERROR(VLOOKUP(trainee_data[[#This Row],[Program Specialty]],taxonomy_map[[Other Taxonomy]:[Our Taxonomy]],2,FALSE),"")</f>
        <v/>
      </c>
      <c r="F453" s="52" t="str">
        <f>IFERROR(VLOOKUP(trainee_data[[#This Row],[Specialty/Subspecialty]],condensed_specialty_crosswalk[#All],2,FALSE),"")</f>
        <v/>
      </c>
      <c r="G453" s="53" t="str">
        <f>IFERROR(VLOOKUP(trainee_data[[#This Row],[Specialty/Subspecialty]],condensed_specialty_crosswalk[#All],3,FALSE),"")</f>
        <v/>
      </c>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row>
    <row r="454" spans="5:30" ht="14.25" x14ac:dyDescent="0.45">
      <c r="E454" s="69" t="str">
        <f>IFERROR(VLOOKUP(trainee_data[[#This Row],[Program Specialty]],taxonomy_map[[Other Taxonomy]:[Our Taxonomy]],2,FALSE),"")</f>
        <v/>
      </c>
      <c r="F454" s="55" t="str">
        <f>IFERROR(VLOOKUP(trainee_data[[#This Row],[Specialty/Subspecialty]],condensed_specialty_crosswalk[#All],2,FALSE),"")</f>
        <v/>
      </c>
      <c r="G454" s="56" t="str">
        <f>IFERROR(VLOOKUP(trainee_data[[#This Row],[Specialty/Subspecialty]],condensed_specialty_crosswalk[#All],3,FALSE),"")</f>
        <v/>
      </c>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row>
    <row r="455" spans="5:30" ht="14.25" x14ac:dyDescent="0.45">
      <c r="E455" s="70" t="str">
        <f>IFERROR(VLOOKUP(trainee_data[[#This Row],[Program Specialty]],taxonomy_map[[Other Taxonomy]:[Our Taxonomy]],2,FALSE),"")</f>
        <v/>
      </c>
      <c r="F455" s="52" t="str">
        <f>IFERROR(VLOOKUP(trainee_data[[#This Row],[Specialty/Subspecialty]],condensed_specialty_crosswalk[#All],2,FALSE),"")</f>
        <v/>
      </c>
      <c r="G455" s="53" t="str">
        <f>IFERROR(VLOOKUP(trainee_data[[#This Row],[Specialty/Subspecialty]],condensed_specialty_crosswalk[#All],3,FALSE),"")</f>
        <v/>
      </c>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row>
    <row r="456" spans="5:30" ht="14.25" x14ac:dyDescent="0.45">
      <c r="E456" s="69" t="str">
        <f>IFERROR(VLOOKUP(trainee_data[[#This Row],[Program Specialty]],taxonomy_map[[Other Taxonomy]:[Our Taxonomy]],2,FALSE),"")</f>
        <v/>
      </c>
      <c r="F456" s="55" t="str">
        <f>IFERROR(VLOOKUP(trainee_data[[#This Row],[Specialty/Subspecialty]],condensed_specialty_crosswalk[#All],2,FALSE),"")</f>
        <v/>
      </c>
      <c r="G456" s="56" t="str">
        <f>IFERROR(VLOOKUP(trainee_data[[#This Row],[Specialty/Subspecialty]],condensed_specialty_crosswalk[#All],3,FALSE),"")</f>
        <v/>
      </c>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row>
    <row r="457" spans="5:30" ht="14.25" x14ac:dyDescent="0.45">
      <c r="E457" s="70" t="str">
        <f>IFERROR(VLOOKUP(trainee_data[[#This Row],[Program Specialty]],taxonomy_map[[Other Taxonomy]:[Our Taxonomy]],2,FALSE),"")</f>
        <v/>
      </c>
      <c r="F457" s="52" t="str">
        <f>IFERROR(VLOOKUP(trainee_data[[#This Row],[Specialty/Subspecialty]],condensed_specialty_crosswalk[#All],2,FALSE),"")</f>
        <v/>
      </c>
      <c r="G457" s="53" t="str">
        <f>IFERROR(VLOOKUP(trainee_data[[#This Row],[Specialty/Subspecialty]],condensed_specialty_crosswalk[#All],3,FALSE),"")</f>
        <v/>
      </c>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row>
    <row r="458" spans="5:30" ht="14.25" x14ac:dyDescent="0.45">
      <c r="E458" s="69" t="str">
        <f>IFERROR(VLOOKUP(trainee_data[[#This Row],[Program Specialty]],taxonomy_map[[Other Taxonomy]:[Our Taxonomy]],2,FALSE),"")</f>
        <v/>
      </c>
      <c r="F458" s="55" t="str">
        <f>IFERROR(VLOOKUP(trainee_data[[#This Row],[Specialty/Subspecialty]],condensed_specialty_crosswalk[#All],2,FALSE),"")</f>
        <v/>
      </c>
      <c r="G458" s="56" t="str">
        <f>IFERROR(VLOOKUP(trainee_data[[#This Row],[Specialty/Subspecialty]],condensed_specialty_crosswalk[#All],3,FALSE),"")</f>
        <v/>
      </c>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row>
    <row r="459" spans="5:30" ht="14.25" x14ac:dyDescent="0.45">
      <c r="E459" s="70" t="str">
        <f>IFERROR(VLOOKUP(trainee_data[[#This Row],[Program Specialty]],taxonomy_map[[Other Taxonomy]:[Our Taxonomy]],2,FALSE),"")</f>
        <v/>
      </c>
      <c r="F459" s="52" t="str">
        <f>IFERROR(VLOOKUP(trainee_data[[#This Row],[Specialty/Subspecialty]],condensed_specialty_crosswalk[#All],2,FALSE),"")</f>
        <v/>
      </c>
      <c r="G459" s="53" t="str">
        <f>IFERROR(VLOOKUP(trainee_data[[#This Row],[Specialty/Subspecialty]],condensed_specialty_crosswalk[#All],3,FALSE),"")</f>
        <v/>
      </c>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row>
    <row r="460" spans="5:30" ht="14.25" x14ac:dyDescent="0.45">
      <c r="E460" s="69" t="str">
        <f>IFERROR(VLOOKUP(trainee_data[[#This Row],[Program Specialty]],taxonomy_map[[Other Taxonomy]:[Our Taxonomy]],2,FALSE),"")</f>
        <v/>
      </c>
      <c r="F460" s="55" t="str">
        <f>IFERROR(VLOOKUP(trainee_data[[#This Row],[Specialty/Subspecialty]],condensed_specialty_crosswalk[#All],2,FALSE),"")</f>
        <v/>
      </c>
      <c r="G460" s="56" t="str">
        <f>IFERROR(VLOOKUP(trainee_data[[#This Row],[Specialty/Subspecialty]],condensed_specialty_crosswalk[#All],3,FALSE),"")</f>
        <v/>
      </c>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row>
    <row r="461" spans="5:30" ht="14.25" x14ac:dyDescent="0.45">
      <c r="E461" s="70" t="str">
        <f>IFERROR(VLOOKUP(trainee_data[[#This Row],[Program Specialty]],taxonomy_map[[Other Taxonomy]:[Our Taxonomy]],2,FALSE),"")</f>
        <v/>
      </c>
      <c r="F461" s="52" t="str">
        <f>IFERROR(VLOOKUP(trainee_data[[#This Row],[Specialty/Subspecialty]],condensed_specialty_crosswalk[#All],2,FALSE),"")</f>
        <v/>
      </c>
      <c r="G461" s="53" t="str">
        <f>IFERROR(VLOOKUP(trainee_data[[#This Row],[Specialty/Subspecialty]],condensed_specialty_crosswalk[#All],3,FALSE),"")</f>
        <v/>
      </c>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row>
    <row r="462" spans="5:30" ht="14.25" x14ac:dyDescent="0.45">
      <c r="E462" s="69" t="str">
        <f>IFERROR(VLOOKUP(trainee_data[[#This Row],[Program Specialty]],taxonomy_map[[Other Taxonomy]:[Our Taxonomy]],2,FALSE),"")</f>
        <v/>
      </c>
      <c r="F462" s="55" t="str">
        <f>IFERROR(VLOOKUP(trainee_data[[#This Row],[Specialty/Subspecialty]],condensed_specialty_crosswalk[#All],2,FALSE),"")</f>
        <v/>
      </c>
      <c r="G462" s="56" t="str">
        <f>IFERROR(VLOOKUP(trainee_data[[#This Row],[Specialty/Subspecialty]],condensed_specialty_crosswalk[#All],3,FALSE),"")</f>
        <v/>
      </c>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row>
    <row r="463" spans="5:30" ht="14.25" x14ac:dyDescent="0.45">
      <c r="E463" s="70" t="str">
        <f>IFERROR(VLOOKUP(trainee_data[[#This Row],[Program Specialty]],taxonomy_map[[Other Taxonomy]:[Our Taxonomy]],2,FALSE),"")</f>
        <v/>
      </c>
      <c r="F463" s="52" t="str">
        <f>IFERROR(VLOOKUP(trainee_data[[#This Row],[Specialty/Subspecialty]],condensed_specialty_crosswalk[#All],2,FALSE),"")</f>
        <v/>
      </c>
      <c r="G463" s="53" t="str">
        <f>IFERROR(VLOOKUP(trainee_data[[#This Row],[Specialty/Subspecialty]],condensed_specialty_crosswalk[#All],3,FALSE),"")</f>
        <v/>
      </c>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row>
    <row r="464" spans="5:30" ht="14.25" x14ac:dyDescent="0.45">
      <c r="E464" s="69" t="str">
        <f>IFERROR(VLOOKUP(trainee_data[[#This Row],[Program Specialty]],taxonomy_map[[Other Taxonomy]:[Our Taxonomy]],2,FALSE),"")</f>
        <v/>
      </c>
      <c r="F464" s="55" t="str">
        <f>IFERROR(VLOOKUP(trainee_data[[#This Row],[Specialty/Subspecialty]],condensed_specialty_crosswalk[#All],2,FALSE),"")</f>
        <v/>
      </c>
      <c r="G464" s="56" t="str">
        <f>IFERROR(VLOOKUP(trainee_data[[#This Row],[Specialty/Subspecialty]],condensed_specialty_crosswalk[#All],3,FALSE),"")</f>
        <v/>
      </c>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row>
    <row r="465" spans="5:30" ht="14.25" x14ac:dyDescent="0.45">
      <c r="E465" s="70" t="str">
        <f>IFERROR(VLOOKUP(trainee_data[[#This Row],[Program Specialty]],taxonomy_map[[Other Taxonomy]:[Our Taxonomy]],2,FALSE),"")</f>
        <v/>
      </c>
      <c r="F465" s="52" t="str">
        <f>IFERROR(VLOOKUP(trainee_data[[#This Row],[Specialty/Subspecialty]],condensed_specialty_crosswalk[#All],2,FALSE),"")</f>
        <v/>
      </c>
      <c r="G465" s="53" t="str">
        <f>IFERROR(VLOOKUP(trainee_data[[#This Row],[Specialty/Subspecialty]],condensed_specialty_crosswalk[#All],3,FALSE),"")</f>
        <v/>
      </c>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row>
    <row r="466" spans="5:30" ht="14.25" x14ac:dyDescent="0.45">
      <c r="E466" s="69" t="str">
        <f>IFERROR(VLOOKUP(trainee_data[[#This Row],[Program Specialty]],taxonomy_map[[Other Taxonomy]:[Our Taxonomy]],2,FALSE),"")</f>
        <v/>
      </c>
      <c r="F466" s="55" t="str">
        <f>IFERROR(VLOOKUP(trainee_data[[#This Row],[Specialty/Subspecialty]],condensed_specialty_crosswalk[#All],2,FALSE),"")</f>
        <v/>
      </c>
      <c r="G466" s="56" t="str">
        <f>IFERROR(VLOOKUP(trainee_data[[#This Row],[Specialty/Subspecialty]],condensed_specialty_crosswalk[#All],3,FALSE),"")</f>
        <v/>
      </c>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row>
    <row r="467" spans="5:30" ht="14.25" x14ac:dyDescent="0.45">
      <c r="E467" s="70" t="str">
        <f>IFERROR(VLOOKUP(trainee_data[[#This Row],[Program Specialty]],taxonomy_map[[Other Taxonomy]:[Our Taxonomy]],2,FALSE),"")</f>
        <v/>
      </c>
      <c r="F467" s="52" t="str">
        <f>IFERROR(VLOOKUP(trainee_data[[#This Row],[Specialty/Subspecialty]],condensed_specialty_crosswalk[#All],2,FALSE),"")</f>
        <v/>
      </c>
      <c r="G467" s="53" t="str">
        <f>IFERROR(VLOOKUP(trainee_data[[#This Row],[Specialty/Subspecialty]],condensed_specialty_crosswalk[#All],3,FALSE),"")</f>
        <v/>
      </c>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row>
    <row r="468" spans="5:30" ht="14.25" x14ac:dyDescent="0.45">
      <c r="E468" s="69" t="str">
        <f>IFERROR(VLOOKUP(trainee_data[[#This Row],[Program Specialty]],taxonomy_map[[Other Taxonomy]:[Our Taxonomy]],2,FALSE),"")</f>
        <v/>
      </c>
      <c r="F468" s="55" t="str">
        <f>IFERROR(VLOOKUP(trainee_data[[#This Row],[Specialty/Subspecialty]],condensed_specialty_crosswalk[#All],2,FALSE),"")</f>
        <v/>
      </c>
      <c r="G468" s="56" t="str">
        <f>IFERROR(VLOOKUP(trainee_data[[#This Row],[Specialty/Subspecialty]],condensed_specialty_crosswalk[#All],3,FALSE),"")</f>
        <v/>
      </c>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row>
    <row r="469" spans="5:30" ht="14.25" x14ac:dyDescent="0.45">
      <c r="E469" s="70" t="str">
        <f>IFERROR(VLOOKUP(trainee_data[[#This Row],[Program Specialty]],taxonomy_map[[Other Taxonomy]:[Our Taxonomy]],2,FALSE),"")</f>
        <v/>
      </c>
      <c r="F469" s="52" t="str">
        <f>IFERROR(VLOOKUP(trainee_data[[#This Row],[Specialty/Subspecialty]],condensed_specialty_crosswalk[#All],2,FALSE),"")</f>
        <v/>
      </c>
      <c r="G469" s="53" t="str">
        <f>IFERROR(VLOOKUP(trainee_data[[#This Row],[Specialty/Subspecialty]],condensed_specialty_crosswalk[#All],3,FALSE),"")</f>
        <v/>
      </c>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row>
    <row r="470" spans="5:30" ht="14.25" x14ac:dyDescent="0.45">
      <c r="E470" s="69" t="str">
        <f>IFERROR(VLOOKUP(trainee_data[[#This Row],[Program Specialty]],taxonomy_map[[Other Taxonomy]:[Our Taxonomy]],2,FALSE),"")</f>
        <v/>
      </c>
      <c r="F470" s="55" t="str">
        <f>IFERROR(VLOOKUP(trainee_data[[#This Row],[Specialty/Subspecialty]],condensed_specialty_crosswalk[#All],2,FALSE),"")</f>
        <v/>
      </c>
      <c r="G470" s="56" t="str">
        <f>IFERROR(VLOOKUP(trainee_data[[#This Row],[Specialty/Subspecialty]],condensed_specialty_crosswalk[#All],3,FALSE),"")</f>
        <v/>
      </c>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row>
    <row r="471" spans="5:30" ht="14.25" x14ac:dyDescent="0.45">
      <c r="E471" s="70" t="str">
        <f>IFERROR(VLOOKUP(trainee_data[[#This Row],[Program Specialty]],taxonomy_map[[Other Taxonomy]:[Our Taxonomy]],2,FALSE),"")</f>
        <v/>
      </c>
      <c r="F471" s="52" t="str">
        <f>IFERROR(VLOOKUP(trainee_data[[#This Row],[Specialty/Subspecialty]],condensed_specialty_crosswalk[#All],2,FALSE),"")</f>
        <v/>
      </c>
      <c r="G471" s="53" t="str">
        <f>IFERROR(VLOOKUP(trainee_data[[#This Row],[Specialty/Subspecialty]],condensed_specialty_crosswalk[#All],3,FALSE),"")</f>
        <v/>
      </c>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row>
    <row r="472" spans="5:30" ht="14.25" x14ac:dyDescent="0.45">
      <c r="E472" s="69" t="str">
        <f>IFERROR(VLOOKUP(trainee_data[[#This Row],[Program Specialty]],taxonomy_map[[Other Taxonomy]:[Our Taxonomy]],2,FALSE),"")</f>
        <v/>
      </c>
      <c r="F472" s="55" t="str">
        <f>IFERROR(VLOOKUP(trainee_data[[#This Row],[Specialty/Subspecialty]],condensed_specialty_crosswalk[#All],2,FALSE),"")</f>
        <v/>
      </c>
      <c r="G472" s="56" t="str">
        <f>IFERROR(VLOOKUP(trainee_data[[#This Row],[Specialty/Subspecialty]],condensed_specialty_crosswalk[#All],3,FALSE),"")</f>
        <v/>
      </c>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row>
    <row r="473" spans="5:30" ht="14.25" x14ac:dyDescent="0.45">
      <c r="E473" s="70" t="str">
        <f>IFERROR(VLOOKUP(trainee_data[[#This Row],[Program Specialty]],taxonomy_map[[Other Taxonomy]:[Our Taxonomy]],2,FALSE),"")</f>
        <v/>
      </c>
      <c r="F473" s="52" t="str">
        <f>IFERROR(VLOOKUP(trainee_data[[#This Row],[Specialty/Subspecialty]],condensed_specialty_crosswalk[#All],2,FALSE),"")</f>
        <v/>
      </c>
      <c r="G473" s="53" t="str">
        <f>IFERROR(VLOOKUP(trainee_data[[#This Row],[Specialty/Subspecialty]],condensed_specialty_crosswalk[#All],3,FALSE),"")</f>
        <v/>
      </c>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row>
    <row r="474" spans="5:30" ht="14.25" x14ac:dyDescent="0.45">
      <c r="E474" s="69" t="str">
        <f>IFERROR(VLOOKUP(trainee_data[[#This Row],[Program Specialty]],taxonomy_map[[Other Taxonomy]:[Our Taxonomy]],2,FALSE),"")</f>
        <v/>
      </c>
      <c r="F474" s="55" t="str">
        <f>IFERROR(VLOOKUP(trainee_data[[#This Row],[Specialty/Subspecialty]],condensed_specialty_crosswalk[#All],2,FALSE),"")</f>
        <v/>
      </c>
      <c r="G474" s="56" t="str">
        <f>IFERROR(VLOOKUP(trainee_data[[#This Row],[Specialty/Subspecialty]],condensed_specialty_crosswalk[#All],3,FALSE),"")</f>
        <v/>
      </c>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row>
    <row r="475" spans="5:30" ht="14.25" x14ac:dyDescent="0.45">
      <c r="E475" s="70" t="str">
        <f>IFERROR(VLOOKUP(trainee_data[[#This Row],[Program Specialty]],taxonomy_map[[Other Taxonomy]:[Our Taxonomy]],2,FALSE),"")</f>
        <v/>
      </c>
      <c r="F475" s="52" t="str">
        <f>IFERROR(VLOOKUP(trainee_data[[#This Row],[Specialty/Subspecialty]],condensed_specialty_crosswalk[#All],2,FALSE),"")</f>
        <v/>
      </c>
      <c r="G475" s="53" t="str">
        <f>IFERROR(VLOOKUP(trainee_data[[#This Row],[Specialty/Subspecialty]],condensed_specialty_crosswalk[#All],3,FALSE),"")</f>
        <v/>
      </c>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row>
    <row r="476" spans="5:30" ht="14.25" x14ac:dyDescent="0.45">
      <c r="E476" s="69" t="str">
        <f>IFERROR(VLOOKUP(trainee_data[[#This Row],[Program Specialty]],taxonomy_map[[Other Taxonomy]:[Our Taxonomy]],2,FALSE),"")</f>
        <v/>
      </c>
      <c r="F476" s="55" t="str">
        <f>IFERROR(VLOOKUP(trainee_data[[#This Row],[Specialty/Subspecialty]],condensed_specialty_crosswalk[#All],2,FALSE),"")</f>
        <v/>
      </c>
      <c r="G476" s="56" t="str">
        <f>IFERROR(VLOOKUP(trainee_data[[#This Row],[Specialty/Subspecialty]],condensed_specialty_crosswalk[#All],3,FALSE),"")</f>
        <v/>
      </c>
      <c r="H476" s="14"/>
      <c r="I476" s="14"/>
      <c r="J476" s="14"/>
      <c r="K476" s="14"/>
      <c r="L476" s="14"/>
      <c r="M476" s="14"/>
      <c r="N476" s="14"/>
      <c r="O476" s="14"/>
      <c r="P476" s="14"/>
      <c r="Q476" s="14"/>
      <c r="R476" s="14"/>
      <c r="S476" s="14"/>
      <c r="T476" s="14"/>
      <c r="U476" s="14"/>
      <c r="V476" s="14"/>
      <c r="W476" s="14"/>
      <c r="X476" s="14"/>
      <c r="Y476" s="14"/>
      <c r="Z476" s="14"/>
      <c r="AA476" s="14"/>
      <c r="AB476" s="14"/>
      <c r="AC476" s="14"/>
      <c r="AD476" s="14"/>
    </row>
    <row r="477" spans="5:30" ht="14.25" x14ac:dyDescent="0.45">
      <c r="E477" s="70" t="str">
        <f>IFERROR(VLOOKUP(trainee_data[[#This Row],[Program Specialty]],taxonomy_map[[Other Taxonomy]:[Our Taxonomy]],2,FALSE),"")</f>
        <v/>
      </c>
      <c r="F477" s="52" t="str">
        <f>IFERROR(VLOOKUP(trainee_data[[#This Row],[Specialty/Subspecialty]],condensed_specialty_crosswalk[#All],2,FALSE),"")</f>
        <v/>
      </c>
      <c r="G477" s="53" t="str">
        <f>IFERROR(VLOOKUP(trainee_data[[#This Row],[Specialty/Subspecialty]],condensed_specialty_crosswalk[#All],3,FALSE),"")</f>
        <v/>
      </c>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row>
    <row r="478" spans="5:30" ht="14.25" x14ac:dyDescent="0.45">
      <c r="E478" s="69" t="str">
        <f>IFERROR(VLOOKUP(trainee_data[[#This Row],[Program Specialty]],taxonomy_map[[Other Taxonomy]:[Our Taxonomy]],2,FALSE),"")</f>
        <v/>
      </c>
      <c r="F478" s="55" t="str">
        <f>IFERROR(VLOOKUP(trainee_data[[#This Row],[Specialty/Subspecialty]],condensed_specialty_crosswalk[#All],2,FALSE),"")</f>
        <v/>
      </c>
      <c r="G478" s="56" t="str">
        <f>IFERROR(VLOOKUP(trainee_data[[#This Row],[Specialty/Subspecialty]],condensed_specialty_crosswalk[#All],3,FALSE),"")</f>
        <v/>
      </c>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row>
    <row r="479" spans="5:30" ht="14.25" x14ac:dyDescent="0.45">
      <c r="E479" s="70" t="str">
        <f>IFERROR(VLOOKUP(trainee_data[[#This Row],[Program Specialty]],taxonomy_map[[Other Taxonomy]:[Our Taxonomy]],2,FALSE),"")</f>
        <v/>
      </c>
      <c r="F479" s="52" t="str">
        <f>IFERROR(VLOOKUP(trainee_data[[#This Row],[Specialty/Subspecialty]],condensed_specialty_crosswalk[#All],2,FALSE),"")</f>
        <v/>
      </c>
      <c r="G479" s="53" t="str">
        <f>IFERROR(VLOOKUP(trainee_data[[#This Row],[Specialty/Subspecialty]],condensed_specialty_crosswalk[#All],3,FALSE),"")</f>
        <v/>
      </c>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row>
    <row r="480" spans="5:30" ht="14.25" x14ac:dyDescent="0.45">
      <c r="E480" s="69" t="str">
        <f>IFERROR(VLOOKUP(trainee_data[[#This Row],[Program Specialty]],taxonomy_map[[Other Taxonomy]:[Our Taxonomy]],2,FALSE),"")</f>
        <v/>
      </c>
      <c r="F480" s="55" t="str">
        <f>IFERROR(VLOOKUP(trainee_data[[#This Row],[Specialty/Subspecialty]],condensed_specialty_crosswalk[#All],2,FALSE),"")</f>
        <v/>
      </c>
      <c r="G480" s="56" t="str">
        <f>IFERROR(VLOOKUP(trainee_data[[#This Row],[Specialty/Subspecialty]],condensed_specialty_crosswalk[#All],3,FALSE),"")</f>
        <v/>
      </c>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row>
    <row r="481" spans="5:30" ht="14.25" x14ac:dyDescent="0.45">
      <c r="E481" s="70" t="str">
        <f>IFERROR(VLOOKUP(trainee_data[[#This Row],[Program Specialty]],taxonomy_map[[Other Taxonomy]:[Our Taxonomy]],2,FALSE),"")</f>
        <v/>
      </c>
      <c r="F481" s="52" t="str">
        <f>IFERROR(VLOOKUP(trainee_data[[#This Row],[Specialty/Subspecialty]],condensed_specialty_crosswalk[#All],2,FALSE),"")</f>
        <v/>
      </c>
      <c r="G481" s="53" t="str">
        <f>IFERROR(VLOOKUP(trainee_data[[#This Row],[Specialty/Subspecialty]],condensed_specialty_crosswalk[#All],3,FALSE),"")</f>
        <v/>
      </c>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row>
    <row r="482" spans="5:30" ht="14.25" x14ac:dyDescent="0.45">
      <c r="E482" s="69" t="str">
        <f>IFERROR(VLOOKUP(trainee_data[[#This Row],[Program Specialty]],taxonomy_map[[Other Taxonomy]:[Our Taxonomy]],2,FALSE),"")</f>
        <v/>
      </c>
      <c r="F482" s="55" t="str">
        <f>IFERROR(VLOOKUP(trainee_data[[#This Row],[Specialty/Subspecialty]],condensed_specialty_crosswalk[#All],2,FALSE),"")</f>
        <v/>
      </c>
      <c r="G482" s="56" t="str">
        <f>IFERROR(VLOOKUP(trainee_data[[#This Row],[Specialty/Subspecialty]],condensed_specialty_crosswalk[#All],3,FALSE),"")</f>
        <v/>
      </c>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row>
    <row r="483" spans="5:30" ht="14.25" x14ac:dyDescent="0.45">
      <c r="E483" s="70" t="str">
        <f>IFERROR(VLOOKUP(trainee_data[[#This Row],[Program Specialty]],taxonomy_map[[Other Taxonomy]:[Our Taxonomy]],2,FALSE),"")</f>
        <v/>
      </c>
      <c r="F483" s="52" t="str">
        <f>IFERROR(VLOOKUP(trainee_data[[#This Row],[Specialty/Subspecialty]],condensed_specialty_crosswalk[#All],2,FALSE),"")</f>
        <v/>
      </c>
      <c r="G483" s="53" t="str">
        <f>IFERROR(VLOOKUP(trainee_data[[#This Row],[Specialty/Subspecialty]],condensed_specialty_crosswalk[#All],3,FALSE),"")</f>
        <v/>
      </c>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row>
    <row r="484" spans="5:30" ht="14.25" x14ac:dyDescent="0.45">
      <c r="E484" s="69" t="str">
        <f>IFERROR(VLOOKUP(trainee_data[[#This Row],[Program Specialty]],taxonomy_map[[Other Taxonomy]:[Our Taxonomy]],2,FALSE),"")</f>
        <v/>
      </c>
      <c r="F484" s="55" t="str">
        <f>IFERROR(VLOOKUP(trainee_data[[#This Row],[Specialty/Subspecialty]],condensed_specialty_crosswalk[#All],2,FALSE),"")</f>
        <v/>
      </c>
      <c r="G484" s="56" t="str">
        <f>IFERROR(VLOOKUP(trainee_data[[#This Row],[Specialty/Subspecialty]],condensed_specialty_crosswalk[#All],3,FALSE),"")</f>
        <v/>
      </c>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row>
    <row r="485" spans="5:30" ht="14.25" x14ac:dyDescent="0.45">
      <c r="E485" s="70" t="str">
        <f>IFERROR(VLOOKUP(trainee_data[[#This Row],[Program Specialty]],taxonomy_map[[Other Taxonomy]:[Our Taxonomy]],2,FALSE),"")</f>
        <v/>
      </c>
      <c r="F485" s="52" t="str">
        <f>IFERROR(VLOOKUP(trainee_data[[#This Row],[Specialty/Subspecialty]],condensed_specialty_crosswalk[#All],2,FALSE),"")</f>
        <v/>
      </c>
      <c r="G485" s="53" t="str">
        <f>IFERROR(VLOOKUP(trainee_data[[#This Row],[Specialty/Subspecialty]],condensed_specialty_crosswalk[#All],3,FALSE),"")</f>
        <v/>
      </c>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row>
    <row r="486" spans="5:30" ht="14.25" x14ac:dyDescent="0.45">
      <c r="E486" s="69" t="str">
        <f>IFERROR(VLOOKUP(trainee_data[[#This Row],[Program Specialty]],taxonomy_map[[Other Taxonomy]:[Our Taxonomy]],2,FALSE),"")</f>
        <v/>
      </c>
      <c r="F486" s="55" t="str">
        <f>IFERROR(VLOOKUP(trainee_data[[#This Row],[Specialty/Subspecialty]],condensed_specialty_crosswalk[#All],2,FALSE),"")</f>
        <v/>
      </c>
      <c r="G486" s="56" t="str">
        <f>IFERROR(VLOOKUP(trainee_data[[#This Row],[Specialty/Subspecialty]],condensed_specialty_crosswalk[#All],3,FALSE),"")</f>
        <v/>
      </c>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row>
    <row r="487" spans="5:30" ht="14.25" x14ac:dyDescent="0.45">
      <c r="E487" s="70" t="str">
        <f>IFERROR(VLOOKUP(trainee_data[[#This Row],[Program Specialty]],taxonomy_map[[Other Taxonomy]:[Our Taxonomy]],2,FALSE),"")</f>
        <v/>
      </c>
      <c r="F487" s="52" t="str">
        <f>IFERROR(VLOOKUP(trainee_data[[#This Row],[Specialty/Subspecialty]],condensed_specialty_crosswalk[#All],2,FALSE),"")</f>
        <v/>
      </c>
      <c r="G487" s="53" t="str">
        <f>IFERROR(VLOOKUP(trainee_data[[#This Row],[Specialty/Subspecialty]],condensed_specialty_crosswalk[#All],3,FALSE),"")</f>
        <v/>
      </c>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row>
    <row r="488" spans="5:30" ht="14.25" x14ac:dyDescent="0.45">
      <c r="E488" s="69" t="str">
        <f>IFERROR(VLOOKUP(trainee_data[[#This Row],[Program Specialty]],taxonomy_map[[Other Taxonomy]:[Our Taxonomy]],2,FALSE),"")</f>
        <v/>
      </c>
      <c r="F488" s="55" t="str">
        <f>IFERROR(VLOOKUP(trainee_data[[#This Row],[Specialty/Subspecialty]],condensed_specialty_crosswalk[#All],2,FALSE),"")</f>
        <v/>
      </c>
      <c r="G488" s="56" t="str">
        <f>IFERROR(VLOOKUP(trainee_data[[#This Row],[Specialty/Subspecialty]],condensed_specialty_crosswalk[#All],3,FALSE),"")</f>
        <v/>
      </c>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row>
    <row r="489" spans="5:30" ht="14.25" x14ac:dyDescent="0.45">
      <c r="E489" s="70" t="str">
        <f>IFERROR(VLOOKUP(trainee_data[[#This Row],[Program Specialty]],taxonomy_map[[Other Taxonomy]:[Our Taxonomy]],2,FALSE),"")</f>
        <v/>
      </c>
      <c r="F489" s="52" t="str">
        <f>IFERROR(VLOOKUP(trainee_data[[#This Row],[Specialty/Subspecialty]],condensed_specialty_crosswalk[#All],2,FALSE),"")</f>
        <v/>
      </c>
      <c r="G489" s="53" t="str">
        <f>IFERROR(VLOOKUP(trainee_data[[#This Row],[Specialty/Subspecialty]],condensed_specialty_crosswalk[#All],3,FALSE),"")</f>
        <v/>
      </c>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row>
    <row r="490" spans="5:30" ht="14.25" x14ac:dyDescent="0.45">
      <c r="E490" s="69" t="str">
        <f>IFERROR(VLOOKUP(trainee_data[[#This Row],[Program Specialty]],taxonomy_map[[Other Taxonomy]:[Our Taxonomy]],2,FALSE),"")</f>
        <v/>
      </c>
      <c r="F490" s="55" t="str">
        <f>IFERROR(VLOOKUP(trainee_data[[#This Row],[Specialty/Subspecialty]],condensed_specialty_crosswalk[#All],2,FALSE),"")</f>
        <v/>
      </c>
      <c r="G490" s="56" t="str">
        <f>IFERROR(VLOOKUP(trainee_data[[#This Row],[Specialty/Subspecialty]],condensed_specialty_crosswalk[#All],3,FALSE),"")</f>
        <v/>
      </c>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row>
    <row r="491" spans="5:30" ht="14.25" x14ac:dyDescent="0.45">
      <c r="E491" s="70" t="str">
        <f>IFERROR(VLOOKUP(trainee_data[[#This Row],[Program Specialty]],taxonomy_map[[Other Taxonomy]:[Our Taxonomy]],2,FALSE),"")</f>
        <v/>
      </c>
      <c r="F491" s="52" t="str">
        <f>IFERROR(VLOOKUP(trainee_data[[#This Row],[Specialty/Subspecialty]],condensed_specialty_crosswalk[#All],2,FALSE),"")</f>
        <v/>
      </c>
      <c r="G491" s="53" t="str">
        <f>IFERROR(VLOOKUP(trainee_data[[#This Row],[Specialty/Subspecialty]],condensed_specialty_crosswalk[#All],3,FALSE),"")</f>
        <v/>
      </c>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row>
    <row r="492" spans="5:30" ht="14.25" x14ac:dyDescent="0.45">
      <c r="E492" s="69" t="str">
        <f>IFERROR(VLOOKUP(trainee_data[[#This Row],[Program Specialty]],taxonomy_map[[Other Taxonomy]:[Our Taxonomy]],2,FALSE),"")</f>
        <v/>
      </c>
      <c r="F492" s="55" t="str">
        <f>IFERROR(VLOOKUP(trainee_data[[#This Row],[Specialty/Subspecialty]],condensed_specialty_crosswalk[#All],2,FALSE),"")</f>
        <v/>
      </c>
      <c r="G492" s="56" t="str">
        <f>IFERROR(VLOOKUP(trainee_data[[#This Row],[Specialty/Subspecialty]],condensed_specialty_crosswalk[#All],3,FALSE),"")</f>
        <v/>
      </c>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row>
    <row r="493" spans="5:30" ht="14.25" x14ac:dyDescent="0.45">
      <c r="E493" s="70" t="str">
        <f>IFERROR(VLOOKUP(trainee_data[[#This Row],[Program Specialty]],taxonomy_map[[Other Taxonomy]:[Our Taxonomy]],2,FALSE),"")</f>
        <v/>
      </c>
      <c r="F493" s="52" t="str">
        <f>IFERROR(VLOOKUP(trainee_data[[#This Row],[Specialty/Subspecialty]],condensed_specialty_crosswalk[#All],2,FALSE),"")</f>
        <v/>
      </c>
      <c r="G493" s="53" t="str">
        <f>IFERROR(VLOOKUP(trainee_data[[#This Row],[Specialty/Subspecialty]],condensed_specialty_crosswalk[#All],3,FALSE),"")</f>
        <v/>
      </c>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row>
    <row r="494" spans="5:30" ht="14.25" x14ac:dyDescent="0.45">
      <c r="E494" s="69" t="str">
        <f>IFERROR(VLOOKUP(trainee_data[[#This Row],[Program Specialty]],taxonomy_map[[Other Taxonomy]:[Our Taxonomy]],2,FALSE),"")</f>
        <v/>
      </c>
      <c r="F494" s="55" t="str">
        <f>IFERROR(VLOOKUP(trainee_data[[#This Row],[Specialty/Subspecialty]],condensed_specialty_crosswalk[#All],2,FALSE),"")</f>
        <v/>
      </c>
      <c r="G494" s="56" t="str">
        <f>IFERROR(VLOOKUP(trainee_data[[#This Row],[Specialty/Subspecialty]],condensed_specialty_crosswalk[#All],3,FALSE),"")</f>
        <v/>
      </c>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row>
    <row r="495" spans="5:30" ht="14.25" x14ac:dyDescent="0.45">
      <c r="E495" s="70" t="str">
        <f>IFERROR(VLOOKUP(trainee_data[[#This Row],[Program Specialty]],taxonomy_map[[Other Taxonomy]:[Our Taxonomy]],2,FALSE),"")</f>
        <v/>
      </c>
      <c r="F495" s="52" t="str">
        <f>IFERROR(VLOOKUP(trainee_data[[#This Row],[Specialty/Subspecialty]],condensed_specialty_crosswalk[#All],2,FALSE),"")</f>
        <v/>
      </c>
      <c r="G495" s="53" t="str">
        <f>IFERROR(VLOOKUP(trainee_data[[#This Row],[Specialty/Subspecialty]],condensed_specialty_crosswalk[#All],3,FALSE),"")</f>
        <v/>
      </c>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row>
    <row r="496" spans="5:30" ht="14.25" x14ac:dyDescent="0.45">
      <c r="E496" s="69" t="str">
        <f>IFERROR(VLOOKUP(trainee_data[[#This Row],[Program Specialty]],taxonomy_map[[Other Taxonomy]:[Our Taxonomy]],2,FALSE),"")</f>
        <v/>
      </c>
      <c r="F496" s="55" t="str">
        <f>IFERROR(VLOOKUP(trainee_data[[#This Row],[Specialty/Subspecialty]],condensed_specialty_crosswalk[#All],2,FALSE),"")</f>
        <v/>
      </c>
      <c r="G496" s="56" t="str">
        <f>IFERROR(VLOOKUP(trainee_data[[#This Row],[Specialty/Subspecialty]],condensed_specialty_crosswalk[#All],3,FALSE),"")</f>
        <v/>
      </c>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row>
    <row r="497" spans="5:30" ht="14.25" x14ac:dyDescent="0.45">
      <c r="E497" s="70" t="str">
        <f>IFERROR(VLOOKUP(trainee_data[[#This Row],[Program Specialty]],taxonomy_map[[Other Taxonomy]:[Our Taxonomy]],2,FALSE),"")</f>
        <v/>
      </c>
      <c r="F497" s="52" t="str">
        <f>IFERROR(VLOOKUP(trainee_data[[#This Row],[Specialty/Subspecialty]],condensed_specialty_crosswalk[#All],2,FALSE),"")</f>
        <v/>
      </c>
      <c r="G497" s="53" t="str">
        <f>IFERROR(VLOOKUP(trainee_data[[#This Row],[Specialty/Subspecialty]],condensed_specialty_crosswalk[#All],3,FALSE),"")</f>
        <v/>
      </c>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row>
    <row r="498" spans="5:30" ht="14.25" x14ac:dyDescent="0.45">
      <c r="E498" s="69" t="str">
        <f>IFERROR(VLOOKUP(trainee_data[[#This Row],[Program Specialty]],taxonomy_map[[Other Taxonomy]:[Our Taxonomy]],2,FALSE),"")</f>
        <v/>
      </c>
      <c r="F498" s="55" t="str">
        <f>IFERROR(VLOOKUP(trainee_data[[#This Row],[Specialty/Subspecialty]],condensed_specialty_crosswalk[#All],2,FALSE),"")</f>
        <v/>
      </c>
      <c r="G498" s="56" t="str">
        <f>IFERROR(VLOOKUP(trainee_data[[#This Row],[Specialty/Subspecialty]],condensed_specialty_crosswalk[#All],3,FALSE),"")</f>
        <v/>
      </c>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row>
    <row r="499" spans="5:30" ht="14.25" x14ac:dyDescent="0.45">
      <c r="E499" s="70" t="str">
        <f>IFERROR(VLOOKUP(trainee_data[[#This Row],[Program Specialty]],taxonomy_map[[Other Taxonomy]:[Our Taxonomy]],2,FALSE),"")</f>
        <v/>
      </c>
      <c r="F499" s="52" t="str">
        <f>IFERROR(VLOOKUP(trainee_data[[#This Row],[Specialty/Subspecialty]],condensed_specialty_crosswalk[#All],2,FALSE),"")</f>
        <v/>
      </c>
      <c r="G499" s="53" t="str">
        <f>IFERROR(VLOOKUP(trainee_data[[#This Row],[Specialty/Subspecialty]],condensed_specialty_crosswalk[#All],3,FALSE),"")</f>
        <v/>
      </c>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row>
    <row r="500" spans="5:30" ht="14.25" x14ac:dyDescent="0.45">
      <c r="E500" s="69" t="str">
        <f>IFERROR(VLOOKUP(trainee_data[[#This Row],[Program Specialty]],taxonomy_map[[Other Taxonomy]:[Our Taxonomy]],2,FALSE),"")</f>
        <v/>
      </c>
      <c r="F500" s="55" t="str">
        <f>IFERROR(VLOOKUP(trainee_data[[#This Row],[Specialty/Subspecialty]],condensed_specialty_crosswalk[#All],2,FALSE),"")</f>
        <v/>
      </c>
      <c r="G500" s="56" t="str">
        <f>IFERROR(VLOOKUP(trainee_data[[#This Row],[Specialty/Subspecialty]],condensed_specialty_crosswalk[#All],3,FALSE),"")</f>
        <v/>
      </c>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row>
    <row r="501" spans="5:30" ht="14.25" x14ac:dyDescent="0.45">
      <c r="E501" s="70" t="str">
        <f>IFERROR(VLOOKUP(trainee_data[[#This Row],[Program Specialty]],taxonomy_map[[Other Taxonomy]:[Our Taxonomy]],2,FALSE),"")</f>
        <v/>
      </c>
      <c r="F501" s="52" t="str">
        <f>IFERROR(VLOOKUP(trainee_data[[#This Row],[Specialty/Subspecialty]],condensed_specialty_crosswalk[#All],2,FALSE),"")</f>
        <v/>
      </c>
      <c r="G501" s="53" t="str">
        <f>IFERROR(VLOOKUP(trainee_data[[#This Row],[Specialty/Subspecialty]],condensed_specialty_crosswalk[#All],3,FALSE),"")</f>
        <v/>
      </c>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row>
    <row r="502" spans="5:30" ht="14.25" x14ac:dyDescent="0.45">
      <c r="E502" s="69" t="str">
        <f>IFERROR(VLOOKUP(trainee_data[[#This Row],[Program Specialty]],taxonomy_map[[Other Taxonomy]:[Our Taxonomy]],2,FALSE),"")</f>
        <v/>
      </c>
      <c r="F502" s="55" t="str">
        <f>IFERROR(VLOOKUP(trainee_data[[#This Row],[Specialty/Subspecialty]],condensed_specialty_crosswalk[#All],2,FALSE),"")</f>
        <v/>
      </c>
      <c r="G502" s="56" t="str">
        <f>IFERROR(VLOOKUP(trainee_data[[#This Row],[Specialty/Subspecialty]],condensed_specialty_crosswalk[#All],3,FALSE),"")</f>
        <v/>
      </c>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row>
    <row r="503" spans="5:30" ht="14.25" x14ac:dyDescent="0.45">
      <c r="E503" s="70" t="str">
        <f>IFERROR(VLOOKUP(trainee_data[[#This Row],[Program Specialty]],taxonomy_map[[Other Taxonomy]:[Our Taxonomy]],2,FALSE),"")</f>
        <v/>
      </c>
      <c r="F503" s="52" t="str">
        <f>IFERROR(VLOOKUP(trainee_data[[#This Row],[Specialty/Subspecialty]],condensed_specialty_crosswalk[#All],2,FALSE),"")</f>
        <v/>
      </c>
      <c r="G503" s="53" t="str">
        <f>IFERROR(VLOOKUP(trainee_data[[#This Row],[Specialty/Subspecialty]],condensed_specialty_crosswalk[#All],3,FALSE),"")</f>
        <v/>
      </c>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row>
    <row r="504" spans="5:30" ht="14.25" x14ac:dyDescent="0.45">
      <c r="E504" s="69" t="str">
        <f>IFERROR(VLOOKUP(trainee_data[[#This Row],[Program Specialty]],taxonomy_map[[Other Taxonomy]:[Our Taxonomy]],2,FALSE),"")</f>
        <v/>
      </c>
      <c r="F504" s="55" t="str">
        <f>IFERROR(VLOOKUP(trainee_data[[#This Row],[Specialty/Subspecialty]],condensed_specialty_crosswalk[#All],2,FALSE),"")</f>
        <v/>
      </c>
      <c r="G504" s="56" t="str">
        <f>IFERROR(VLOOKUP(trainee_data[[#This Row],[Specialty/Subspecialty]],condensed_specialty_crosswalk[#All],3,FALSE),"")</f>
        <v/>
      </c>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row>
    <row r="505" spans="5:30" ht="14.25" x14ac:dyDescent="0.45">
      <c r="E505" s="70" t="str">
        <f>IFERROR(VLOOKUP(trainee_data[[#This Row],[Program Specialty]],taxonomy_map[[Other Taxonomy]:[Our Taxonomy]],2,FALSE),"")</f>
        <v/>
      </c>
      <c r="F505" s="52" t="str">
        <f>IFERROR(VLOOKUP(trainee_data[[#This Row],[Specialty/Subspecialty]],condensed_specialty_crosswalk[#All],2,FALSE),"")</f>
        <v/>
      </c>
      <c r="G505" s="53" t="str">
        <f>IFERROR(VLOOKUP(trainee_data[[#This Row],[Specialty/Subspecialty]],condensed_specialty_crosswalk[#All],3,FALSE),"")</f>
        <v/>
      </c>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row>
    <row r="506" spans="5:30" ht="14.25" x14ac:dyDescent="0.45">
      <c r="E506" s="69" t="str">
        <f>IFERROR(VLOOKUP(trainee_data[[#This Row],[Program Specialty]],taxonomy_map[[Other Taxonomy]:[Our Taxonomy]],2,FALSE),"")</f>
        <v/>
      </c>
      <c r="F506" s="55" t="str">
        <f>IFERROR(VLOOKUP(trainee_data[[#This Row],[Specialty/Subspecialty]],condensed_specialty_crosswalk[#All],2,FALSE),"")</f>
        <v/>
      </c>
      <c r="G506" s="56" t="str">
        <f>IFERROR(VLOOKUP(trainee_data[[#This Row],[Specialty/Subspecialty]],condensed_specialty_crosswalk[#All],3,FALSE),"")</f>
        <v/>
      </c>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row>
    <row r="507" spans="5:30" ht="14.25" x14ac:dyDescent="0.45">
      <c r="E507" s="70" t="str">
        <f>IFERROR(VLOOKUP(trainee_data[[#This Row],[Program Specialty]],taxonomy_map[[Other Taxonomy]:[Our Taxonomy]],2,FALSE),"")</f>
        <v/>
      </c>
      <c r="F507" s="52" t="str">
        <f>IFERROR(VLOOKUP(trainee_data[[#This Row],[Specialty/Subspecialty]],condensed_specialty_crosswalk[#All],2,FALSE),"")</f>
        <v/>
      </c>
      <c r="G507" s="53" t="str">
        <f>IFERROR(VLOOKUP(trainee_data[[#This Row],[Specialty/Subspecialty]],condensed_specialty_crosswalk[#All],3,FALSE),"")</f>
        <v/>
      </c>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row>
    <row r="508" spans="5:30" ht="14.25" x14ac:dyDescent="0.45">
      <c r="E508" s="69" t="str">
        <f>IFERROR(VLOOKUP(trainee_data[[#This Row],[Program Specialty]],taxonomy_map[[Other Taxonomy]:[Our Taxonomy]],2,FALSE),"")</f>
        <v/>
      </c>
      <c r="F508" s="55" t="str">
        <f>IFERROR(VLOOKUP(trainee_data[[#This Row],[Specialty/Subspecialty]],condensed_specialty_crosswalk[#All],2,FALSE),"")</f>
        <v/>
      </c>
      <c r="G508" s="56" t="str">
        <f>IFERROR(VLOOKUP(trainee_data[[#This Row],[Specialty/Subspecialty]],condensed_specialty_crosswalk[#All],3,FALSE),"")</f>
        <v/>
      </c>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row>
    <row r="509" spans="5:30" ht="14.25" x14ac:dyDescent="0.45">
      <c r="E509" s="70" t="str">
        <f>IFERROR(VLOOKUP(trainee_data[[#This Row],[Program Specialty]],taxonomy_map[[Other Taxonomy]:[Our Taxonomy]],2,FALSE),"")</f>
        <v/>
      </c>
      <c r="F509" s="52" t="str">
        <f>IFERROR(VLOOKUP(trainee_data[[#This Row],[Specialty/Subspecialty]],condensed_specialty_crosswalk[#All],2,FALSE),"")</f>
        <v/>
      </c>
      <c r="G509" s="53" t="str">
        <f>IFERROR(VLOOKUP(trainee_data[[#This Row],[Specialty/Subspecialty]],condensed_specialty_crosswalk[#All],3,FALSE),"")</f>
        <v/>
      </c>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row>
    <row r="510" spans="5:30" ht="14.25" x14ac:dyDescent="0.45">
      <c r="E510" s="69" t="str">
        <f>IFERROR(VLOOKUP(trainee_data[[#This Row],[Program Specialty]],taxonomy_map[[Other Taxonomy]:[Our Taxonomy]],2,FALSE),"")</f>
        <v/>
      </c>
      <c r="F510" s="55" t="str">
        <f>IFERROR(VLOOKUP(trainee_data[[#This Row],[Specialty/Subspecialty]],condensed_specialty_crosswalk[#All],2,FALSE),"")</f>
        <v/>
      </c>
      <c r="G510" s="56" t="str">
        <f>IFERROR(VLOOKUP(trainee_data[[#This Row],[Specialty/Subspecialty]],condensed_specialty_crosswalk[#All],3,FALSE),"")</f>
        <v/>
      </c>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row>
    <row r="511" spans="5:30" ht="14.25" x14ac:dyDescent="0.45">
      <c r="E511" s="70" t="str">
        <f>IFERROR(VLOOKUP(trainee_data[[#This Row],[Program Specialty]],taxonomy_map[[Other Taxonomy]:[Our Taxonomy]],2,FALSE),"")</f>
        <v/>
      </c>
      <c r="F511" s="52" t="str">
        <f>IFERROR(VLOOKUP(trainee_data[[#This Row],[Specialty/Subspecialty]],condensed_specialty_crosswalk[#All],2,FALSE),"")</f>
        <v/>
      </c>
      <c r="G511" s="53" t="str">
        <f>IFERROR(VLOOKUP(trainee_data[[#This Row],[Specialty/Subspecialty]],condensed_specialty_crosswalk[#All],3,FALSE),"")</f>
        <v/>
      </c>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row>
    <row r="512" spans="5:30" ht="14.25" x14ac:dyDescent="0.45">
      <c r="E512" s="69" t="str">
        <f>IFERROR(VLOOKUP(trainee_data[[#This Row],[Program Specialty]],taxonomy_map[[Other Taxonomy]:[Our Taxonomy]],2,FALSE),"")</f>
        <v/>
      </c>
      <c r="F512" s="55" t="str">
        <f>IFERROR(VLOOKUP(trainee_data[[#This Row],[Specialty/Subspecialty]],condensed_specialty_crosswalk[#All],2,FALSE),"")</f>
        <v/>
      </c>
      <c r="G512" s="56" t="str">
        <f>IFERROR(VLOOKUP(trainee_data[[#This Row],[Specialty/Subspecialty]],condensed_specialty_crosswalk[#All],3,FALSE),"")</f>
        <v/>
      </c>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row>
    <row r="513" spans="5:30" ht="14.25" x14ac:dyDescent="0.45">
      <c r="E513" s="70" t="str">
        <f>IFERROR(VLOOKUP(trainee_data[[#This Row],[Program Specialty]],taxonomy_map[[Other Taxonomy]:[Our Taxonomy]],2,FALSE),"")</f>
        <v/>
      </c>
      <c r="F513" s="52" t="str">
        <f>IFERROR(VLOOKUP(trainee_data[[#This Row],[Specialty/Subspecialty]],condensed_specialty_crosswalk[#All],2,FALSE),"")</f>
        <v/>
      </c>
      <c r="G513" s="53" t="str">
        <f>IFERROR(VLOOKUP(trainee_data[[#This Row],[Specialty/Subspecialty]],condensed_specialty_crosswalk[#All],3,FALSE),"")</f>
        <v/>
      </c>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row>
    <row r="514" spans="5:30" ht="14.25" x14ac:dyDescent="0.45">
      <c r="E514" s="69" t="str">
        <f>IFERROR(VLOOKUP(trainee_data[[#This Row],[Program Specialty]],taxonomy_map[[Other Taxonomy]:[Our Taxonomy]],2,FALSE),"")</f>
        <v/>
      </c>
      <c r="F514" s="55" t="str">
        <f>IFERROR(VLOOKUP(trainee_data[[#This Row],[Specialty/Subspecialty]],condensed_specialty_crosswalk[#All],2,FALSE),"")</f>
        <v/>
      </c>
      <c r="G514" s="56" t="str">
        <f>IFERROR(VLOOKUP(trainee_data[[#This Row],[Specialty/Subspecialty]],condensed_specialty_crosswalk[#All],3,FALSE),"")</f>
        <v/>
      </c>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row>
    <row r="515" spans="5:30" ht="14.25" x14ac:dyDescent="0.45">
      <c r="E515" s="70" t="str">
        <f>IFERROR(VLOOKUP(trainee_data[[#This Row],[Program Specialty]],taxonomy_map[[Other Taxonomy]:[Our Taxonomy]],2,FALSE),"")</f>
        <v/>
      </c>
      <c r="F515" s="52" t="str">
        <f>IFERROR(VLOOKUP(trainee_data[[#This Row],[Specialty/Subspecialty]],condensed_specialty_crosswalk[#All],2,FALSE),"")</f>
        <v/>
      </c>
      <c r="G515" s="53" t="str">
        <f>IFERROR(VLOOKUP(trainee_data[[#This Row],[Specialty/Subspecialty]],condensed_specialty_crosswalk[#All],3,FALSE),"")</f>
        <v/>
      </c>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row>
    <row r="516" spans="5:30" ht="14.25" x14ac:dyDescent="0.45">
      <c r="E516" s="69" t="str">
        <f>IFERROR(VLOOKUP(trainee_data[[#This Row],[Program Specialty]],taxonomy_map[[Other Taxonomy]:[Our Taxonomy]],2,FALSE),"")</f>
        <v/>
      </c>
      <c r="F516" s="55" t="str">
        <f>IFERROR(VLOOKUP(trainee_data[[#This Row],[Specialty/Subspecialty]],condensed_specialty_crosswalk[#All],2,FALSE),"")</f>
        <v/>
      </c>
      <c r="G516" s="56" t="str">
        <f>IFERROR(VLOOKUP(trainee_data[[#This Row],[Specialty/Subspecialty]],condensed_specialty_crosswalk[#All],3,FALSE),"")</f>
        <v/>
      </c>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row>
    <row r="517" spans="5:30" ht="14.25" x14ac:dyDescent="0.45">
      <c r="E517" s="70" t="str">
        <f>IFERROR(VLOOKUP(trainee_data[[#This Row],[Program Specialty]],taxonomy_map[[Other Taxonomy]:[Our Taxonomy]],2,FALSE),"")</f>
        <v/>
      </c>
      <c r="F517" s="52" t="str">
        <f>IFERROR(VLOOKUP(trainee_data[[#This Row],[Specialty/Subspecialty]],condensed_specialty_crosswalk[#All],2,FALSE),"")</f>
        <v/>
      </c>
      <c r="G517" s="53" t="str">
        <f>IFERROR(VLOOKUP(trainee_data[[#This Row],[Specialty/Subspecialty]],condensed_specialty_crosswalk[#All],3,FALSE),"")</f>
        <v/>
      </c>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row>
    <row r="518" spans="5:30" ht="14.25" x14ac:dyDescent="0.45">
      <c r="E518" s="69" t="str">
        <f>IFERROR(VLOOKUP(trainee_data[[#This Row],[Program Specialty]],taxonomy_map[[Other Taxonomy]:[Our Taxonomy]],2,FALSE),"")</f>
        <v/>
      </c>
      <c r="F518" s="55" t="str">
        <f>IFERROR(VLOOKUP(trainee_data[[#This Row],[Specialty/Subspecialty]],condensed_specialty_crosswalk[#All],2,FALSE),"")</f>
        <v/>
      </c>
      <c r="G518" s="56" t="str">
        <f>IFERROR(VLOOKUP(trainee_data[[#This Row],[Specialty/Subspecialty]],condensed_specialty_crosswalk[#All],3,FALSE),"")</f>
        <v/>
      </c>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row>
    <row r="519" spans="5:30" ht="14.25" x14ac:dyDescent="0.45">
      <c r="E519" s="70" t="str">
        <f>IFERROR(VLOOKUP(trainee_data[[#This Row],[Program Specialty]],taxonomy_map[[Other Taxonomy]:[Our Taxonomy]],2,FALSE),"")</f>
        <v/>
      </c>
      <c r="F519" s="52" t="str">
        <f>IFERROR(VLOOKUP(trainee_data[[#This Row],[Specialty/Subspecialty]],condensed_specialty_crosswalk[#All],2,FALSE),"")</f>
        <v/>
      </c>
      <c r="G519" s="53" t="str">
        <f>IFERROR(VLOOKUP(trainee_data[[#This Row],[Specialty/Subspecialty]],condensed_specialty_crosswalk[#All],3,FALSE),"")</f>
        <v/>
      </c>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row>
    <row r="520" spans="5:30" ht="14.25" x14ac:dyDescent="0.45">
      <c r="E520" s="69" t="str">
        <f>IFERROR(VLOOKUP(trainee_data[[#This Row],[Program Specialty]],taxonomy_map[[Other Taxonomy]:[Our Taxonomy]],2,FALSE),"")</f>
        <v/>
      </c>
      <c r="F520" s="55" t="str">
        <f>IFERROR(VLOOKUP(trainee_data[[#This Row],[Specialty/Subspecialty]],condensed_specialty_crosswalk[#All],2,FALSE),"")</f>
        <v/>
      </c>
      <c r="G520" s="56" t="str">
        <f>IFERROR(VLOOKUP(trainee_data[[#This Row],[Specialty/Subspecialty]],condensed_specialty_crosswalk[#All],3,FALSE),"")</f>
        <v/>
      </c>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row>
    <row r="521" spans="5:30" ht="14.25" x14ac:dyDescent="0.45">
      <c r="E521" s="70" t="str">
        <f>IFERROR(VLOOKUP(trainee_data[[#This Row],[Program Specialty]],taxonomy_map[[Other Taxonomy]:[Our Taxonomy]],2,FALSE),"")</f>
        <v/>
      </c>
      <c r="F521" s="52" t="str">
        <f>IFERROR(VLOOKUP(trainee_data[[#This Row],[Specialty/Subspecialty]],condensed_specialty_crosswalk[#All],2,FALSE),"")</f>
        <v/>
      </c>
      <c r="G521" s="53" t="str">
        <f>IFERROR(VLOOKUP(trainee_data[[#This Row],[Specialty/Subspecialty]],condensed_specialty_crosswalk[#All],3,FALSE),"")</f>
        <v/>
      </c>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row>
    <row r="522" spans="5:30" ht="14.25" x14ac:dyDescent="0.45">
      <c r="E522" s="69" t="str">
        <f>IFERROR(VLOOKUP(trainee_data[[#This Row],[Program Specialty]],taxonomy_map[[Other Taxonomy]:[Our Taxonomy]],2,FALSE),"")</f>
        <v/>
      </c>
      <c r="F522" s="55" t="str">
        <f>IFERROR(VLOOKUP(trainee_data[[#This Row],[Specialty/Subspecialty]],condensed_specialty_crosswalk[#All],2,FALSE),"")</f>
        <v/>
      </c>
      <c r="G522" s="56" t="str">
        <f>IFERROR(VLOOKUP(trainee_data[[#This Row],[Specialty/Subspecialty]],condensed_specialty_crosswalk[#All],3,FALSE),"")</f>
        <v/>
      </c>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row>
    <row r="523" spans="5:30" ht="14.25" x14ac:dyDescent="0.45">
      <c r="E523" s="70" t="str">
        <f>IFERROR(VLOOKUP(trainee_data[[#This Row],[Program Specialty]],taxonomy_map[[Other Taxonomy]:[Our Taxonomy]],2,FALSE),"")</f>
        <v/>
      </c>
      <c r="F523" s="52" t="str">
        <f>IFERROR(VLOOKUP(trainee_data[[#This Row],[Specialty/Subspecialty]],condensed_specialty_crosswalk[#All],2,FALSE),"")</f>
        <v/>
      </c>
      <c r="G523" s="53" t="str">
        <f>IFERROR(VLOOKUP(trainee_data[[#This Row],[Specialty/Subspecialty]],condensed_specialty_crosswalk[#All],3,FALSE),"")</f>
        <v/>
      </c>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row>
    <row r="524" spans="5:30" ht="14.25" x14ac:dyDescent="0.45">
      <c r="E524" s="69" t="str">
        <f>IFERROR(VLOOKUP(trainee_data[[#This Row],[Program Specialty]],taxonomy_map[[Other Taxonomy]:[Our Taxonomy]],2,FALSE),"")</f>
        <v/>
      </c>
      <c r="F524" s="55" t="str">
        <f>IFERROR(VLOOKUP(trainee_data[[#This Row],[Specialty/Subspecialty]],condensed_specialty_crosswalk[#All],2,FALSE),"")</f>
        <v/>
      </c>
      <c r="G524" s="56" t="str">
        <f>IFERROR(VLOOKUP(trainee_data[[#This Row],[Specialty/Subspecialty]],condensed_specialty_crosswalk[#All],3,FALSE),"")</f>
        <v/>
      </c>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row>
    <row r="525" spans="5:30" ht="14.25" x14ac:dyDescent="0.45">
      <c r="E525" s="70" t="str">
        <f>IFERROR(VLOOKUP(trainee_data[[#This Row],[Program Specialty]],taxonomy_map[[Other Taxonomy]:[Our Taxonomy]],2,FALSE),"")</f>
        <v/>
      </c>
      <c r="F525" s="52" t="str">
        <f>IFERROR(VLOOKUP(trainee_data[[#This Row],[Specialty/Subspecialty]],condensed_specialty_crosswalk[#All],2,FALSE),"")</f>
        <v/>
      </c>
      <c r="G525" s="53" t="str">
        <f>IFERROR(VLOOKUP(trainee_data[[#This Row],[Specialty/Subspecialty]],condensed_specialty_crosswalk[#All],3,FALSE),"")</f>
        <v/>
      </c>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row>
    <row r="526" spans="5:30" ht="14.25" x14ac:dyDescent="0.45">
      <c r="E526" s="69" t="str">
        <f>IFERROR(VLOOKUP(trainee_data[[#This Row],[Program Specialty]],taxonomy_map[[Other Taxonomy]:[Our Taxonomy]],2,FALSE),"")</f>
        <v/>
      </c>
      <c r="F526" s="55" t="str">
        <f>IFERROR(VLOOKUP(trainee_data[[#This Row],[Specialty/Subspecialty]],condensed_specialty_crosswalk[#All],2,FALSE),"")</f>
        <v/>
      </c>
      <c r="G526" s="56" t="str">
        <f>IFERROR(VLOOKUP(trainee_data[[#This Row],[Specialty/Subspecialty]],condensed_specialty_crosswalk[#All],3,FALSE),"")</f>
        <v/>
      </c>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row>
    <row r="527" spans="5:30" ht="14.25" x14ac:dyDescent="0.45">
      <c r="E527" s="70" t="str">
        <f>IFERROR(VLOOKUP(trainee_data[[#This Row],[Program Specialty]],taxonomy_map[[Other Taxonomy]:[Our Taxonomy]],2,FALSE),"")</f>
        <v/>
      </c>
      <c r="F527" s="52" t="str">
        <f>IFERROR(VLOOKUP(trainee_data[[#This Row],[Specialty/Subspecialty]],condensed_specialty_crosswalk[#All],2,FALSE),"")</f>
        <v/>
      </c>
      <c r="G527" s="53" t="str">
        <f>IFERROR(VLOOKUP(trainee_data[[#This Row],[Specialty/Subspecialty]],condensed_specialty_crosswalk[#All],3,FALSE),"")</f>
        <v/>
      </c>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row>
    <row r="528" spans="5:30" ht="14.25" x14ac:dyDescent="0.45">
      <c r="E528" s="69" t="str">
        <f>IFERROR(VLOOKUP(trainee_data[[#This Row],[Program Specialty]],taxonomy_map[[Other Taxonomy]:[Our Taxonomy]],2,FALSE),"")</f>
        <v/>
      </c>
      <c r="F528" s="55" t="str">
        <f>IFERROR(VLOOKUP(trainee_data[[#This Row],[Specialty/Subspecialty]],condensed_specialty_crosswalk[#All],2,FALSE),"")</f>
        <v/>
      </c>
      <c r="G528" s="56" t="str">
        <f>IFERROR(VLOOKUP(trainee_data[[#This Row],[Specialty/Subspecialty]],condensed_specialty_crosswalk[#All],3,FALSE),"")</f>
        <v/>
      </c>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row>
    <row r="529" spans="5:30" ht="14.25" x14ac:dyDescent="0.45">
      <c r="E529" s="70" t="str">
        <f>IFERROR(VLOOKUP(trainee_data[[#This Row],[Program Specialty]],taxonomy_map[[Other Taxonomy]:[Our Taxonomy]],2,FALSE),"")</f>
        <v/>
      </c>
      <c r="F529" s="52" t="str">
        <f>IFERROR(VLOOKUP(trainee_data[[#This Row],[Specialty/Subspecialty]],condensed_specialty_crosswalk[#All],2,FALSE),"")</f>
        <v/>
      </c>
      <c r="G529" s="53" t="str">
        <f>IFERROR(VLOOKUP(trainee_data[[#This Row],[Specialty/Subspecialty]],condensed_specialty_crosswalk[#All],3,FALSE),"")</f>
        <v/>
      </c>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row>
    <row r="530" spans="5:30" ht="14.25" x14ac:dyDescent="0.45">
      <c r="E530" s="69" t="str">
        <f>IFERROR(VLOOKUP(trainee_data[[#This Row],[Program Specialty]],taxonomy_map[[Other Taxonomy]:[Our Taxonomy]],2,FALSE),"")</f>
        <v/>
      </c>
      <c r="F530" s="55" t="str">
        <f>IFERROR(VLOOKUP(trainee_data[[#This Row],[Specialty/Subspecialty]],condensed_specialty_crosswalk[#All],2,FALSE),"")</f>
        <v/>
      </c>
      <c r="G530" s="56" t="str">
        <f>IFERROR(VLOOKUP(trainee_data[[#This Row],[Specialty/Subspecialty]],condensed_specialty_crosswalk[#All],3,FALSE),"")</f>
        <v/>
      </c>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row>
    <row r="531" spans="5:30" ht="14.25" x14ac:dyDescent="0.45">
      <c r="E531" s="70" t="str">
        <f>IFERROR(VLOOKUP(trainee_data[[#This Row],[Program Specialty]],taxonomy_map[[Other Taxonomy]:[Our Taxonomy]],2,FALSE),"")</f>
        <v/>
      </c>
      <c r="F531" s="52" t="str">
        <f>IFERROR(VLOOKUP(trainee_data[[#This Row],[Specialty/Subspecialty]],condensed_specialty_crosswalk[#All],2,FALSE),"")</f>
        <v/>
      </c>
      <c r="G531" s="53" t="str">
        <f>IFERROR(VLOOKUP(trainee_data[[#This Row],[Specialty/Subspecialty]],condensed_specialty_crosswalk[#All],3,FALSE),"")</f>
        <v/>
      </c>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row>
    <row r="532" spans="5:30" ht="14.25" x14ac:dyDescent="0.45">
      <c r="E532" s="69" t="str">
        <f>IFERROR(VLOOKUP(trainee_data[[#This Row],[Program Specialty]],taxonomy_map[[Other Taxonomy]:[Our Taxonomy]],2,FALSE),"")</f>
        <v/>
      </c>
      <c r="F532" s="55" t="str">
        <f>IFERROR(VLOOKUP(trainee_data[[#This Row],[Specialty/Subspecialty]],condensed_specialty_crosswalk[#All],2,FALSE),"")</f>
        <v/>
      </c>
      <c r="G532" s="56" t="str">
        <f>IFERROR(VLOOKUP(trainee_data[[#This Row],[Specialty/Subspecialty]],condensed_specialty_crosswalk[#All],3,FALSE),"")</f>
        <v/>
      </c>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row>
    <row r="533" spans="5:30" ht="14.25" x14ac:dyDescent="0.45">
      <c r="E533" s="70" t="str">
        <f>IFERROR(VLOOKUP(trainee_data[[#This Row],[Program Specialty]],taxonomy_map[[Other Taxonomy]:[Our Taxonomy]],2,FALSE),"")</f>
        <v/>
      </c>
      <c r="F533" s="52" t="str">
        <f>IFERROR(VLOOKUP(trainee_data[[#This Row],[Specialty/Subspecialty]],condensed_specialty_crosswalk[#All],2,FALSE),"")</f>
        <v/>
      </c>
      <c r="G533" s="53" t="str">
        <f>IFERROR(VLOOKUP(trainee_data[[#This Row],[Specialty/Subspecialty]],condensed_specialty_crosswalk[#All],3,FALSE),"")</f>
        <v/>
      </c>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row>
    <row r="534" spans="5:30" ht="14.25" x14ac:dyDescent="0.45">
      <c r="E534" s="69" t="str">
        <f>IFERROR(VLOOKUP(trainee_data[[#This Row],[Program Specialty]],taxonomy_map[[Other Taxonomy]:[Our Taxonomy]],2,FALSE),"")</f>
        <v/>
      </c>
      <c r="F534" s="55" t="str">
        <f>IFERROR(VLOOKUP(trainee_data[[#This Row],[Specialty/Subspecialty]],condensed_specialty_crosswalk[#All],2,FALSE),"")</f>
        <v/>
      </c>
      <c r="G534" s="56" t="str">
        <f>IFERROR(VLOOKUP(trainee_data[[#This Row],[Specialty/Subspecialty]],condensed_specialty_crosswalk[#All],3,FALSE),"")</f>
        <v/>
      </c>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row>
    <row r="535" spans="5:30" ht="14.25" x14ac:dyDescent="0.45">
      <c r="E535" s="70" t="str">
        <f>IFERROR(VLOOKUP(trainee_data[[#This Row],[Program Specialty]],taxonomy_map[[Other Taxonomy]:[Our Taxonomy]],2,FALSE),"")</f>
        <v/>
      </c>
      <c r="F535" s="52" t="str">
        <f>IFERROR(VLOOKUP(trainee_data[[#This Row],[Specialty/Subspecialty]],condensed_specialty_crosswalk[#All],2,FALSE),"")</f>
        <v/>
      </c>
      <c r="G535" s="53" t="str">
        <f>IFERROR(VLOOKUP(trainee_data[[#This Row],[Specialty/Subspecialty]],condensed_specialty_crosswalk[#All],3,FALSE),"")</f>
        <v/>
      </c>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row>
    <row r="536" spans="5:30" ht="14.25" x14ac:dyDescent="0.45">
      <c r="E536" s="69" t="str">
        <f>IFERROR(VLOOKUP(trainee_data[[#This Row],[Program Specialty]],taxonomy_map[[Other Taxonomy]:[Our Taxonomy]],2,FALSE),"")</f>
        <v/>
      </c>
      <c r="F536" s="55" t="str">
        <f>IFERROR(VLOOKUP(trainee_data[[#This Row],[Specialty/Subspecialty]],condensed_specialty_crosswalk[#All],2,FALSE),"")</f>
        <v/>
      </c>
      <c r="G536" s="56" t="str">
        <f>IFERROR(VLOOKUP(trainee_data[[#This Row],[Specialty/Subspecialty]],condensed_specialty_crosswalk[#All],3,FALSE),"")</f>
        <v/>
      </c>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row>
    <row r="537" spans="5:30" ht="14.25" x14ac:dyDescent="0.45">
      <c r="E537" s="70" t="str">
        <f>IFERROR(VLOOKUP(trainee_data[[#This Row],[Program Specialty]],taxonomy_map[[Other Taxonomy]:[Our Taxonomy]],2,FALSE),"")</f>
        <v/>
      </c>
      <c r="F537" s="52" t="str">
        <f>IFERROR(VLOOKUP(trainee_data[[#This Row],[Specialty/Subspecialty]],condensed_specialty_crosswalk[#All],2,FALSE),"")</f>
        <v/>
      </c>
      <c r="G537" s="53" t="str">
        <f>IFERROR(VLOOKUP(trainee_data[[#This Row],[Specialty/Subspecialty]],condensed_specialty_crosswalk[#All],3,FALSE),"")</f>
        <v/>
      </c>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row>
    <row r="538" spans="5:30" ht="14.25" x14ac:dyDescent="0.45">
      <c r="E538" s="69" t="str">
        <f>IFERROR(VLOOKUP(trainee_data[[#This Row],[Program Specialty]],taxonomy_map[[Other Taxonomy]:[Our Taxonomy]],2,FALSE),"")</f>
        <v/>
      </c>
      <c r="F538" s="55" t="str">
        <f>IFERROR(VLOOKUP(trainee_data[[#This Row],[Specialty/Subspecialty]],condensed_specialty_crosswalk[#All],2,FALSE),"")</f>
        <v/>
      </c>
      <c r="G538" s="56" t="str">
        <f>IFERROR(VLOOKUP(trainee_data[[#This Row],[Specialty/Subspecialty]],condensed_specialty_crosswalk[#All],3,FALSE),"")</f>
        <v/>
      </c>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row>
    <row r="539" spans="5:30" ht="14.25" x14ac:dyDescent="0.45">
      <c r="E539" s="70" t="str">
        <f>IFERROR(VLOOKUP(trainee_data[[#This Row],[Program Specialty]],taxonomy_map[[Other Taxonomy]:[Our Taxonomy]],2,FALSE),"")</f>
        <v/>
      </c>
      <c r="F539" s="52" t="str">
        <f>IFERROR(VLOOKUP(trainee_data[[#This Row],[Specialty/Subspecialty]],condensed_specialty_crosswalk[#All],2,FALSE),"")</f>
        <v/>
      </c>
      <c r="G539" s="53" t="str">
        <f>IFERROR(VLOOKUP(trainee_data[[#This Row],[Specialty/Subspecialty]],condensed_specialty_crosswalk[#All],3,FALSE),"")</f>
        <v/>
      </c>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row>
    <row r="540" spans="5:30" ht="14.25" x14ac:dyDescent="0.45">
      <c r="E540" s="69" t="str">
        <f>IFERROR(VLOOKUP(trainee_data[[#This Row],[Program Specialty]],taxonomy_map[[Other Taxonomy]:[Our Taxonomy]],2,FALSE),"")</f>
        <v/>
      </c>
      <c r="F540" s="55" t="str">
        <f>IFERROR(VLOOKUP(trainee_data[[#This Row],[Specialty/Subspecialty]],condensed_specialty_crosswalk[#All],2,FALSE),"")</f>
        <v/>
      </c>
      <c r="G540" s="56" t="str">
        <f>IFERROR(VLOOKUP(trainee_data[[#This Row],[Specialty/Subspecialty]],condensed_specialty_crosswalk[#All],3,FALSE),"")</f>
        <v/>
      </c>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row>
    <row r="541" spans="5:30" ht="14.25" x14ac:dyDescent="0.45">
      <c r="E541" s="70" t="str">
        <f>IFERROR(VLOOKUP(trainee_data[[#This Row],[Program Specialty]],taxonomy_map[[Other Taxonomy]:[Our Taxonomy]],2,FALSE),"")</f>
        <v/>
      </c>
      <c r="F541" s="52" t="str">
        <f>IFERROR(VLOOKUP(trainee_data[[#This Row],[Specialty/Subspecialty]],condensed_specialty_crosswalk[#All],2,FALSE),"")</f>
        <v/>
      </c>
      <c r="G541" s="53" t="str">
        <f>IFERROR(VLOOKUP(trainee_data[[#This Row],[Specialty/Subspecialty]],condensed_specialty_crosswalk[#All],3,FALSE),"")</f>
        <v/>
      </c>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row>
    <row r="542" spans="5:30" ht="14.25" x14ac:dyDescent="0.45">
      <c r="E542" s="69" t="str">
        <f>IFERROR(VLOOKUP(trainee_data[[#This Row],[Program Specialty]],taxonomy_map[[Other Taxonomy]:[Our Taxonomy]],2,FALSE),"")</f>
        <v/>
      </c>
      <c r="F542" s="55" t="str">
        <f>IFERROR(VLOOKUP(trainee_data[[#This Row],[Specialty/Subspecialty]],condensed_specialty_crosswalk[#All],2,FALSE),"")</f>
        <v/>
      </c>
      <c r="G542" s="56" t="str">
        <f>IFERROR(VLOOKUP(trainee_data[[#This Row],[Specialty/Subspecialty]],condensed_specialty_crosswalk[#All],3,FALSE),"")</f>
        <v/>
      </c>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row>
    <row r="543" spans="5:30" ht="14.25" x14ac:dyDescent="0.45">
      <c r="E543" s="70" t="str">
        <f>IFERROR(VLOOKUP(trainee_data[[#This Row],[Program Specialty]],taxonomy_map[[Other Taxonomy]:[Our Taxonomy]],2,FALSE),"")</f>
        <v/>
      </c>
      <c r="F543" s="52" t="str">
        <f>IFERROR(VLOOKUP(trainee_data[[#This Row],[Specialty/Subspecialty]],condensed_specialty_crosswalk[#All],2,FALSE),"")</f>
        <v/>
      </c>
      <c r="G543" s="53" t="str">
        <f>IFERROR(VLOOKUP(trainee_data[[#This Row],[Specialty/Subspecialty]],condensed_specialty_crosswalk[#All],3,FALSE),"")</f>
        <v/>
      </c>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row>
    <row r="544" spans="5:30" ht="14.25" x14ac:dyDescent="0.45">
      <c r="E544" s="69" t="str">
        <f>IFERROR(VLOOKUP(trainee_data[[#This Row],[Program Specialty]],taxonomy_map[[Other Taxonomy]:[Our Taxonomy]],2,FALSE),"")</f>
        <v/>
      </c>
      <c r="F544" s="55" t="str">
        <f>IFERROR(VLOOKUP(trainee_data[[#This Row],[Specialty/Subspecialty]],condensed_specialty_crosswalk[#All],2,FALSE),"")</f>
        <v/>
      </c>
      <c r="G544" s="56" t="str">
        <f>IFERROR(VLOOKUP(trainee_data[[#This Row],[Specialty/Subspecialty]],condensed_specialty_crosswalk[#All],3,FALSE),"")</f>
        <v/>
      </c>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row>
    <row r="545" spans="5:30" ht="14.25" x14ac:dyDescent="0.45">
      <c r="E545" s="70" t="str">
        <f>IFERROR(VLOOKUP(trainee_data[[#This Row],[Program Specialty]],taxonomy_map[[Other Taxonomy]:[Our Taxonomy]],2,FALSE),"")</f>
        <v/>
      </c>
      <c r="F545" s="52" t="str">
        <f>IFERROR(VLOOKUP(trainee_data[[#This Row],[Specialty/Subspecialty]],condensed_specialty_crosswalk[#All],2,FALSE),"")</f>
        <v/>
      </c>
      <c r="G545" s="53" t="str">
        <f>IFERROR(VLOOKUP(trainee_data[[#This Row],[Specialty/Subspecialty]],condensed_specialty_crosswalk[#All],3,FALSE),"")</f>
        <v/>
      </c>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row>
    <row r="546" spans="5:30" ht="14.25" x14ac:dyDescent="0.45">
      <c r="E546" s="69" t="str">
        <f>IFERROR(VLOOKUP(trainee_data[[#This Row],[Program Specialty]],taxonomy_map[[Other Taxonomy]:[Our Taxonomy]],2,FALSE),"")</f>
        <v/>
      </c>
      <c r="F546" s="55" t="str">
        <f>IFERROR(VLOOKUP(trainee_data[[#This Row],[Specialty/Subspecialty]],condensed_specialty_crosswalk[#All],2,FALSE),"")</f>
        <v/>
      </c>
      <c r="G546" s="56" t="str">
        <f>IFERROR(VLOOKUP(trainee_data[[#This Row],[Specialty/Subspecialty]],condensed_specialty_crosswalk[#All],3,FALSE),"")</f>
        <v/>
      </c>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row>
    <row r="547" spans="5:30" ht="14.25" x14ac:dyDescent="0.45">
      <c r="E547" s="70" t="str">
        <f>IFERROR(VLOOKUP(trainee_data[[#This Row],[Program Specialty]],taxonomy_map[[Other Taxonomy]:[Our Taxonomy]],2,FALSE),"")</f>
        <v/>
      </c>
      <c r="F547" s="52" t="str">
        <f>IFERROR(VLOOKUP(trainee_data[[#This Row],[Specialty/Subspecialty]],condensed_specialty_crosswalk[#All],2,FALSE),"")</f>
        <v/>
      </c>
      <c r="G547" s="53" t="str">
        <f>IFERROR(VLOOKUP(trainee_data[[#This Row],[Specialty/Subspecialty]],condensed_specialty_crosswalk[#All],3,FALSE),"")</f>
        <v/>
      </c>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row>
    <row r="548" spans="5:30" ht="14.25" x14ac:dyDescent="0.45">
      <c r="E548" s="69" t="str">
        <f>IFERROR(VLOOKUP(trainee_data[[#This Row],[Program Specialty]],taxonomy_map[[Other Taxonomy]:[Our Taxonomy]],2,FALSE),"")</f>
        <v/>
      </c>
      <c r="F548" s="55" t="str">
        <f>IFERROR(VLOOKUP(trainee_data[[#This Row],[Specialty/Subspecialty]],condensed_specialty_crosswalk[#All],2,FALSE),"")</f>
        <v/>
      </c>
      <c r="G548" s="56" t="str">
        <f>IFERROR(VLOOKUP(trainee_data[[#This Row],[Specialty/Subspecialty]],condensed_specialty_crosswalk[#All],3,FALSE),"")</f>
        <v/>
      </c>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row>
    <row r="549" spans="5:30" ht="14.25" x14ac:dyDescent="0.45">
      <c r="E549" s="70" t="str">
        <f>IFERROR(VLOOKUP(trainee_data[[#This Row],[Program Specialty]],taxonomy_map[[Other Taxonomy]:[Our Taxonomy]],2,FALSE),"")</f>
        <v/>
      </c>
      <c r="F549" s="52" t="str">
        <f>IFERROR(VLOOKUP(trainee_data[[#This Row],[Specialty/Subspecialty]],condensed_specialty_crosswalk[#All],2,FALSE),"")</f>
        <v/>
      </c>
      <c r="G549" s="53" t="str">
        <f>IFERROR(VLOOKUP(trainee_data[[#This Row],[Specialty/Subspecialty]],condensed_specialty_crosswalk[#All],3,FALSE),"")</f>
        <v/>
      </c>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row>
    <row r="550" spans="5:30" ht="14.25" x14ac:dyDescent="0.45">
      <c r="E550" s="69" t="str">
        <f>IFERROR(VLOOKUP(trainee_data[[#This Row],[Program Specialty]],taxonomy_map[[Other Taxonomy]:[Our Taxonomy]],2,FALSE),"")</f>
        <v/>
      </c>
      <c r="F550" s="55" t="str">
        <f>IFERROR(VLOOKUP(trainee_data[[#This Row],[Specialty/Subspecialty]],condensed_specialty_crosswalk[#All],2,FALSE),"")</f>
        <v/>
      </c>
      <c r="G550" s="56" t="str">
        <f>IFERROR(VLOOKUP(trainee_data[[#This Row],[Specialty/Subspecialty]],condensed_specialty_crosswalk[#All],3,FALSE),"")</f>
        <v/>
      </c>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row>
    <row r="551" spans="5:30" ht="14.25" x14ac:dyDescent="0.45">
      <c r="E551" s="70" t="str">
        <f>IFERROR(VLOOKUP(trainee_data[[#This Row],[Program Specialty]],taxonomy_map[[Other Taxonomy]:[Our Taxonomy]],2,FALSE),"")</f>
        <v/>
      </c>
      <c r="F551" s="52" t="str">
        <f>IFERROR(VLOOKUP(trainee_data[[#This Row],[Specialty/Subspecialty]],condensed_specialty_crosswalk[#All],2,FALSE),"")</f>
        <v/>
      </c>
      <c r="G551" s="53" t="str">
        <f>IFERROR(VLOOKUP(trainee_data[[#This Row],[Specialty/Subspecialty]],condensed_specialty_crosswalk[#All],3,FALSE),"")</f>
        <v/>
      </c>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row>
    <row r="552" spans="5:30" ht="14.25" x14ac:dyDescent="0.45">
      <c r="E552" s="69" t="str">
        <f>IFERROR(VLOOKUP(trainee_data[[#This Row],[Program Specialty]],taxonomy_map[[Other Taxonomy]:[Our Taxonomy]],2,FALSE),"")</f>
        <v/>
      </c>
      <c r="F552" s="55" t="str">
        <f>IFERROR(VLOOKUP(trainee_data[[#This Row],[Specialty/Subspecialty]],condensed_specialty_crosswalk[#All],2,FALSE),"")</f>
        <v/>
      </c>
      <c r="G552" s="56" t="str">
        <f>IFERROR(VLOOKUP(trainee_data[[#This Row],[Specialty/Subspecialty]],condensed_specialty_crosswalk[#All],3,FALSE),"")</f>
        <v/>
      </c>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row>
    <row r="553" spans="5:30" ht="14.25" x14ac:dyDescent="0.45">
      <c r="E553" s="70" t="str">
        <f>IFERROR(VLOOKUP(trainee_data[[#This Row],[Program Specialty]],taxonomy_map[[Other Taxonomy]:[Our Taxonomy]],2,FALSE),"")</f>
        <v/>
      </c>
      <c r="F553" s="52" t="str">
        <f>IFERROR(VLOOKUP(trainee_data[[#This Row],[Specialty/Subspecialty]],condensed_specialty_crosswalk[#All],2,FALSE),"")</f>
        <v/>
      </c>
      <c r="G553" s="53" t="str">
        <f>IFERROR(VLOOKUP(trainee_data[[#This Row],[Specialty/Subspecialty]],condensed_specialty_crosswalk[#All],3,FALSE),"")</f>
        <v/>
      </c>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row>
    <row r="554" spans="5:30" ht="14.25" x14ac:dyDescent="0.45">
      <c r="E554" s="69" t="str">
        <f>IFERROR(VLOOKUP(trainee_data[[#This Row],[Program Specialty]],taxonomy_map[[Other Taxonomy]:[Our Taxonomy]],2,FALSE),"")</f>
        <v/>
      </c>
      <c r="F554" s="55" t="str">
        <f>IFERROR(VLOOKUP(trainee_data[[#This Row],[Specialty/Subspecialty]],condensed_specialty_crosswalk[#All],2,FALSE),"")</f>
        <v/>
      </c>
      <c r="G554" s="56" t="str">
        <f>IFERROR(VLOOKUP(trainee_data[[#This Row],[Specialty/Subspecialty]],condensed_specialty_crosswalk[#All],3,FALSE),"")</f>
        <v/>
      </c>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row>
    <row r="555" spans="5:30" ht="14.25" x14ac:dyDescent="0.45">
      <c r="E555" s="70" t="str">
        <f>IFERROR(VLOOKUP(trainee_data[[#This Row],[Program Specialty]],taxonomy_map[[Other Taxonomy]:[Our Taxonomy]],2,FALSE),"")</f>
        <v/>
      </c>
      <c r="F555" s="52" t="str">
        <f>IFERROR(VLOOKUP(trainee_data[[#This Row],[Specialty/Subspecialty]],condensed_specialty_crosswalk[#All],2,FALSE),"")</f>
        <v/>
      </c>
      <c r="G555" s="53" t="str">
        <f>IFERROR(VLOOKUP(trainee_data[[#This Row],[Specialty/Subspecialty]],condensed_specialty_crosswalk[#All],3,FALSE),"")</f>
        <v/>
      </c>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row>
    <row r="556" spans="5:30" ht="14.25" x14ac:dyDescent="0.45">
      <c r="E556" s="69" t="str">
        <f>IFERROR(VLOOKUP(trainee_data[[#This Row],[Program Specialty]],taxonomy_map[[Other Taxonomy]:[Our Taxonomy]],2,FALSE),"")</f>
        <v/>
      </c>
      <c r="F556" s="55" t="str">
        <f>IFERROR(VLOOKUP(trainee_data[[#This Row],[Specialty/Subspecialty]],condensed_specialty_crosswalk[#All],2,FALSE),"")</f>
        <v/>
      </c>
      <c r="G556" s="56" t="str">
        <f>IFERROR(VLOOKUP(trainee_data[[#This Row],[Specialty/Subspecialty]],condensed_specialty_crosswalk[#All],3,FALSE),"")</f>
        <v/>
      </c>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row>
    <row r="557" spans="5:30" ht="14.25" x14ac:dyDescent="0.45">
      <c r="E557" s="70" t="str">
        <f>IFERROR(VLOOKUP(trainee_data[[#This Row],[Program Specialty]],taxonomy_map[[Other Taxonomy]:[Our Taxonomy]],2,FALSE),"")</f>
        <v/>
      </c>
      <c r="F557" s="52" t="str">
        <f>IFERROR(VLOOKUP(trainee_data[[#This Row],[Specialty/Subspecialty]],condensed_specialty_crosswalk[#All],2,FALSE),"")</f>
        <v/>
      </c>
      <c r="G557" s="53" t="str">
        <f>IFERROR(VLOOKUP(trainee_data[[#This Row],[Specialty/Subspecialty]],condensed_specialty_crosswalk[#All],3,FALSE),"")</f>
        <v/>
      </c>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row>
    <row r="558" spans="5:30" ht="14.25" x14ac:dyDescent="0.45">
      <c r="E558" s="69" t="str">
        <f>IFERROR(VLOOKUP(trainee_data[[#This Row],[Program Specialty]],taxonomy_map[[Other Taxonomy]:[Our Taxonomy]],2,FALSE),"")</f>
        <v/>
      </c>
      <c r="F558" s="55" t="str">
        <f>IFERROR(VLOOKUP(trainee_data[[#This Row],[Specialty/Subspecialty]],condensed_specialty_crosswalk[#All],2,FALSE),"")</f>
        <v/>
      </c>
      <c r="G558" s="56" t="str">
        <f>IFERROR(VLOOKUP(trainee_data[[#This Row],[Specialty/Subspecialty]],condensed_specialty_crosswalk[#All],3,FALSE),"")</f>
        <v/>
      </c>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row>
    <row r="559" spans="5:30" ht="14.25" x14ac:dyDescent="0.45">
      <c r="E559" s="70" t="str">
        <f>IFERROR(VLOOKUP(trainee_data[[#This Row],[Program Specialty]],taxonomy_map[[Other Taxonomy]:[Our Taxonomy]],2,FALSE),"")</f>
        <v/>
      </c>
      <c r="F559" s="52" t="str">
        <f>IFERROR(VLOOKUP(trainee_data[[#This Row],[Specialty/Subspecialty]],condensed_specialty_crosswalk[#All],2,FALSE),"")</f>
        <v/>
      </c>
      <c r="G559" s="53" t="str">
        <f>IFERROR(VLOOKUP(trainee_data[[#This Row],[Specialty/Subspecialty]],condensed_specialty_crosswalk[#All],3,FALSE),"")</f>
        <v/>
      </c>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row>
    <row r="560" spans="5:30" ht="14.25" x14ac:dyDescent="0.45">
      <c r="E560" s="69" t="str">
        <f>IFERROR(VLOOKUP(trainee_data[[#This Row],[Program Specialty]],taxonomy_map[[Other Taxonomy]:[Our Taxonomy]],2,FALSE),"")</f>
        <v/>
      </c>
      <c r="F560" s="55" t="str">
        <f>IFERROR(VLOOKUP(trainee_data[[#This Row],[Specialty/Subspecialty]],condensed_specialty_crosswalk[#All],2,FALSE),"")</f>
        <v/>
      </c>
      <c r="G560" s="56" t="str">
        <f>IFERROR(VLOOKUP(trainee_data[[#This Row],[Specialty/Subspecialty]],condensed_specialty_crosswalk[#All],3,FALSE),"")</f>
        <v/>
      </c>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row>
    <row r="561" spans="5:30" ht="14.25" x14ac:dyDescent="0.45">
      <c r="E561" s="70" t="str">
        <f>IFERROR(VLOOKUP(trainee_data[[#This Row],[Program Specialty]],taxonomy_map[[Other Taxonomy]:[Our Taxonomy]],2,FALSE),"")</f>
        <v/>
      </c>
      <c r="F561" s="52" t="str">
        <f>IFERROR(VLOOKUP(trainee_data[[#This Row],[Specialty/Subspecialty]],condensed_specialty_crosswalk[#All],2,FALSE),"")</f>
        <v/>
      </c>
      <c r="G561" s="53" t="str">
        <f>IFERROR(VLOOKUP(trainee_data[[#This Row],[Specialty/Subspecialty]],condensed_specialty_crosswalk[#All],3,FALSE),"")</f>
        <v/>
      </c>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row>
    <row r="562" spans="5:30" ht="14.25" x14ac:dyDescent="0.45">
      <c r="E562" s="69" t="str">
        <f>IFERROR(VLOOKUP(trainee_data[[#This Row],[Program Specialty]],taxonomy_map[[Other Taxonomy]:[Our Taxonomy]],2,FALSE),"")</f>
        <v/>
      </c>
      <c r="F562" s="55" t="str">
        <f>IFERROR(VLOOKUP(trainee_data[[#This Row],[Specialty/Subspecialty]],condensed_specialty_crosswalk[#All],2,FALSE),"")</f>
        <v/>
      </c>
      <c r="G562" s="56" t="str">
        <f>IFERROR(VLOOKUP(trainee_data[[#This Row],[Specialty/Subspecialty]],condensed_specialty_crosswalk[#All],3,FALSE),"")</f>
        <v/>
      </c>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row>
    <row r="563" spans="5:30" ht="14.25" x14ac:dyDescent="0.45">
      <c r="E563" s="70" t="str">
        <f>IFERROR(VLOOKUP(trainee_data[[#This Row],[Program Specialty]],taxonomy_map[[Other Taxonomy]:[Our Taxonomy]],2,FALSE),"")</f>
        <v/>
      </c>
      <c r="F563" s="52" t="str">
        <f>IFERROR(VLOOKUP(trainee_data[[#This Row],[Specialty/Subspecialty]],condensed_specialty_crosswalk[#All],2,FALSE),"")</f>
        <v/>
      </c>
      <c r="G563" s="53" t="str">
        <f>IFERROR(VLOOKUP(trainee_data[[#This Row],[Specialty/Subspecialty]],condensed_specialty_crosswalk[#All],3,FALSE),"")</f>
        <v/>
      </c>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row>
    <row r="564" spans="5:30" ht="14.25" x14ac:dyDescent="0.45">
      <c r="E564" s="69" t="str">
        <f>IFERROR(VLOOKUP(trainee_data[[#This Row],[Program Specialty]],taxonomy_map[[Other Taxonomy]:[Our Taxonomy]],2,FALSE),"")</f>
        <v/>
      </c>
      <c r="F564" s="55" t="str">
        <f>IFERROR(VLOOKUP(trainee_data[[#This Row],[Specialty/Subspecialty]],condensed_specialty_crosswalk[#All],2,FALSE),"")</f>
        <v/>
      </c>
      <c r="G564" s="56" t="str">
        <f>IFERROR(VLOOKUP(trainee_data[[#This Row],[Specialty/Subspecialty]],condensed_specialty_crosswalk[#All],3,FALSE),"")</f>
        <v/>
      </c>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row>
    <row r="565" spans="5:30" ht="14.25" x14ac:dyDescent="0.45">
      <c r="E565" s="70" t="str">
        <f>IFERROR(VLOOKUP(trainee_data[[#This Row],[Program Specialty]],taxonomy_map[[Other Taxonomy]:[Our Taxonomy]],2,FALSE),"")</f>
        <v/>
      </c>
      <c r="F565" s="52" t="str">
        <f>IFERROR(VLOOKUP(trainee_data[[#This Row],[Specialty/Subspecialty]],condensed_specialty_crosswalk[#All],2,FALSE),"")</f>
        <v/>
      </c>
      <c r="G565" s="53" t="str">
        <f>IFERROR(VLOOKUP(trainee_data[[#This Row],[Specialty/Subspecialty]],condensed_specialty_crosswalk[#All],3,FALSE),"")</f>
        <v/>
      </c>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row>
    <row r="566" spans="5:30" ht="14.25" x14ac:dyDescent="0.45">
      <c r="E566" s="69" t="str">
        <f>IFERROR(VLOOKUP(trainee_data[[#This Row],[Program Specialty]],taxonomy_map[[Other Taxonomy]:[Our Taxonomy]],2,FALSE),"")</f>
        <v/>
      </c>
      <c r="F566" s="55" t="str">
        <f>IFERROR(VLOOKUP(trainee_data[[#This Row],[Specialty/Subspecialty]],condensed_specialty_crosswalk[#All],2,FALSE),"")</f>
        <v/>
      </c>
      <c r="G566" s="56" t="str">
        <f>IFERROR(VLOOKUP(trainee_data[[#This Row],[Specialty/Subspecialty]],condensed_specialty_crosswalk[#All],3,FALSE),"")</f>
        <v/>
      </c>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row>
    <row r="567" spans="5:30" ht="14.25" x14ac:dyDescent="0.45">
      <c r="E567" s="70" t="str">
        <f>IFERROR(VLOOKUP(trainee_data[[#This Row],[Program Specialty]],taxonomy_map[[Other Taxonomy]:[Our Taxonomy]],2,FALSE),"")</f>
        <v/>
      </c>
      <c r="F567" s="52" t="str">
        <f>IFERROR(VLOOKUP(trainee_data[[#This Row],[Specialty/Subspecialty]],condensed_specialty_crosswalk[#All],2,FALSE),"")</f>
        <v/>
      </c>
      <c r="G567" s="53" t="str">
        <f>IFERROR(VLOOKUP(trainee_data[[#This Row],[Specialty/Subspecialty]],condensed_specialty_crosswalk[#All],3,FALSE),"")</f>
        <v/>
      </c>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row>
    <row r="568" spans="5:30" ht="14.25" x14ac:dyDescent="0.45">
      <c r="E568" s="69" t="str">
        <f>IFERROR(VLOOKUP(trainee_data[[#This Row],[Program Specialty]],taxonomy_map[[Other Taxonomy]:[Our Taxonomy]],2,FALSE),"")</f>
        <v/>
      </c>
      <c r="F568" s="55" t="str">
        <f>IFERROR(VLOOKUP(trainee_data[[#This Row],[Specialty/Subspecialty]],condensed_specialty_crosswalk[#All],2,FALSE),"")</f>
        <v/>
      </c>
      <c r="G568" s="56" t="str">
        <f>IFERROR(VLOOKUP(trainee_data[[#This Row],[Specialty/Subspecialty]],condensed_specialty_crosswalk[#All],3,FALSE),"")</f>
        <v/>
      </c>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row>
    <row r="569" spans="5:30" ht="14.25" x14ac:dyDescent="0.45">
      <c r="E569" s="70" t="str">
        <f>IFERROR(VLOOKUP(trainee_data[[#This Row],[Program Specialty]],taxonomy_map[[Other Taxonomy]:[Our Taxonomy]],2,FALSE),"")</f>
        <v/>
      </c>
      <c r="F569" s="52" t="str">
        <f>IFERROR(VLOOKUP(trainee_data[[#This Row],[Specialty/Subspecialty]],condensed_specialty_crosswalk[#All],2,FALSE),"")</f>
        <v/>
      </c>
      <c r="G569" s="53" t="str">
        <f>IFERROR(VLOOKUP(trainee_data[[#This Row],[Specialty/Subspecialty]],condensed_specialty_crosswalk[#All],3,FALSE),"")</f>
        <v/>
      </c>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row>
    <row r="570" spans="5:30" ht="14.25" x14ac:dyDescent="0.45">
      <c r="E570" s="69" t="str">
        <f>IFERROR(VLOOKUP(trainee_data[[#This Row],[Program Specialty]],taxonomy_map[[Other Taxonomy]:[Our Taxonomy]],2,FALSE),"")</f>
        <v/>
      </c>
      <c r="F570" s="55" t="str">
        <f>IFERROR(VLOOKUP(trainee_data[[#This Row],[Specialty/Subspecialty]],condensed_specialty_crosswalk[#All],2,FALSE),"")</f>
        <v/>
      </c>
      <c r="G570" s="56" t="str">
        <f>IFERROR(VLOOKUP(trainee_data[[#This Row],[Specialty/Subspecialty]],condensed_specialty_crosswalk[#All],3,FALSE),"")</f>
        <v/>
      </c>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row>
    <row r="571" spans="5:30" ht="14.25" x14ac:dyDescent="0.45">
      <c r="E571" s="70" t="str">
        <f>IFERROR(VLOOKUP(trainee_data[[#This Row],[Program Specialty]],taxonomy_map[[Other Taxonomy]:[Our Taxonomy]],2,FALSE),"")</f>
        <v/>
      </c>
      <c r="F571" s="52" t="str">
        <f>IFERROR(VLOOKUP(trainee_data[[#This Row],[Specialty/Subspecialty]],condensed_specialty_crosswalk[#All],2,FALSE),"")</f>
        <v/>
      </c>
      <c r="G571" s="53" t="str">
        <f>IFERROR(VLOOKUP(trainee_data[[#This Row],[Specialty/Subspecialty]],condensed_specialty_crosswalk[#All],3,FALSE),"")</f>
        <v/>
      </c>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row>
    <row r="572" spans="5:30" ht="14.25" x14ac:dyDescent="0.45">
      <c r="E572" s="69" t="str">
        <f>IFERROR(VLOOKUP(trainee_data[[#This Row],[Program Specialty]],taxonomy_map[[Other Taxonomy]:[Our Taxonomy]],2,FALSE),"")</f>
        <v/>
      </c>
      <c r="F572" s="55" t="str">
        <f>IFERROR(VLOOKUP(trainee_data[[#This Row],[Specialty/Subspecialty]],condensed_specialty_crosswalk[#All],2,FALSE),"")</f>
        <v/>
      </c>
      <c r="G572" s="56" t="str">
        <f>IFERROR(VLOOKUP(trainee_data[[#This Row],[Specialty/Subspecialty]],condensed_specialty_crosswalk[#All],3,FALSE),"")</f>
        <v/>
      </c>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row>
    <row r="573" spans="5:30" ht="14.25" x14ac:dyDescent="0.45">
      <c r="E573" s="70" t="str">
        <f>IFERROR(VLOOKUP(trainee_data[[#This Row],[Program Specialty]],taxonomy_map[[Other Taxonomy]:[Our Taxonomy]],2,FALSE),"")</f>
        <v/>
      </c>
      <c r="F573" s="52" t="str">
        <f>IFERROR(VLOOKUP(trainee_data[[#This Row],[Specialty/Subspecialty]],condensed_specialty_crosswalk[#All],2,FALSE),"")</f>
        <v/>
      </c>
      <c r="G573" s="53" t="str">
        <f>IFERROR(VLOOKUP(trainee_data[[#This Row],[Specialty/Subspecialty]],condensed_specialty_crosswalk[#All],3,FALSE),"")</f>
        <v/>
      </c>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row>
    <row r="574" spans="5:30" ht="14.25" x14ac:dyDescent="0.45">
      <c r="E574" s="69" t="str">
        <f>IFERROR(VLOOKUP(trainee_data[[#This Row],[Program Specialty]],taxonomy_map[[Other Taxonomy]:[Our Taxonomy]],2,FALSE),"")</f>
        <v/>
      </c>
      <c r="F574" s="55" t="str">
        <f>IFERROR(VLOOKUP(trainee_data[[#This Row],[Specialty/Subspecialty]],condensed_specialty_crosswalk[#All],2,FALSE),"")</f>
        <v/>
      </c>
      <c r="G574" s="56" t="str">
        <f>IFERROR(VLOOKUP(trainee_data[[#This Row],[Specialty/Subspecialty]],condensed_specialty_crosswalk[#All],3,FALSE),"")</f>
        <v/>
      </c>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row>
    <row r="575" spans="5:30" ht="14.25" x14ac:dyDescent="0.45">
      <c r="E575" s="70" t="str">
        <f>IFERROR(VLOOKUP(trainee_data[[#This Row],[Program Specialty]],taxonomy_map[[Other Taxonomy]:[Our Taxonomy]],2,FALSE),"")</f>
        <v/>
      </c>
      <c r="F575" s="52" t="str">
        <f>IFERROR(VLOOKUP(trainee_data[[#This Row],[Specialty/Subspecialty]],condensed_specialty_crosswalk[#All],2,FALSE),"")</f>
        <v/>
      </c>
      <c r="G575" s="53" t="str">
        <f>IFERROR(VLOOKUP(trainee_data[[#This Row],[Specialty/Subspecialty]],condensed_specialty_crosswalk[#All],3,FALSE),"")</f>
        <v/>
      </c>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row>
    <row r="576" spans="5:30" ht="14.25" x14ac:dyDescent="0.45">
      <c r="E576" s="69" t="str">
        <f>IFERROR(VLOOKUP(trainee_data[[#This Row],[Program Specialty]],taxonomy_map[[Other Taxonomy]:[Our Taxonomy]],2,FALSE),"")</f>
        <v/>
      </c>
      <c r="F576" s="55" t="str">
        <f>IFERROR(VLOOKUP(trainee_data[[#This Row],[Specialty/Subspecialty]],condensed_specialty_crosswalk[#All],2,FALSE),"")</f>
        <v/>
      </c>
      <c r="G576" s="56" t="str">
        <f>IFERROR(VLOOKUP(trainee_data[[#This Row],[Specialty/Subspecialty]],condensed_specialty_crosswalk[#All],3,FALSE),"")</f>
        <v/>
      </c>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row>
    <row r="577" spans="5:30" ht="14.25" x14ac:dyDescent="0.45">
      <c r="E577" s="70" t="str">
        <f>IFERROR(VLOOKUP(trainee_data[[#This Row],[Program Specialty]],taxonomy_map[[Other Taxonomy]:[Our Taxonomy]],2,FALSE),"")</f>
        <v/>
      </c>
      <c r="F577" s="52" t="str">
        <f>IFERROR(VLOOKUP(trainee_data[[#This Row],[Specialty/Subspecialty]],condensed_specialty_crosswalk[#All],2,FALSE),"")</f>
        <v/>
      </c>
      <c r="G577" s="53" t="str">
        <f>IFERROR(VLOOKUP(trainee_data[[#This Row],[Specialty/Subspecialty]],condensed_specialty_crosswalk[#All],3,FALSE),"")</f>
        <v/>
      </c>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row>
    <row r="578" spans="5:30" ht="14.25" x14ac:dyDescent="0.45">
      <c r="E578" s="69" t="str">
        <f>IFERROR(VLOOKUP(trainee_data[[#This Row],[Program Specialty]],taxonomy_map[[Other Taxonomy]:[Our Taxonomy]],2,FALSE),"")</f>
        <v/>
      </c>
      <c r="F578" s="55" t="str">
        <f>IFERROR(VLOOKUP(trainee_data[[#This Row],[Specialty/Subspecialty]],condensed_specialty_crosswalk[#All],2,FALSE),"")</f>
        <v/>
      </c>
      <c r="G578" s="56" t="str">
        <f>IFERROR(VLOOKUP(trainee_data[[#This Row],[Specialty/Subspecialty]],condensed_specialty_crosswalk[#All],3,FALSE),"")</f>
        <v/>
      </c>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row>
    <row r="579" spans="5:30" ht="14.25" x14ac:dyDescent="0.45">
      <c r="E579" s="70" t="str">
        <f>IFERROR(VLOOKUP(trainee_data[[#This Row],[Program Specialty]],taxonomy_map[[Other Taxonomy]:[Our Taxonomy]],2,FALSE),"")</f>
        <v/>
      </c>
      <c r="F579" s="52" t="str">
        <f>IFERROR(VLOOKUP(trainee_data[[#This Row],[Specialty/Subspecialty]],condensed_specialty_crosswalk[#All],2,FALSE),"")</f>
        <v/>
      </c>
      <c r="G579" s="53" t="str">
        <f>IFERROR(VLOOKUP(trainee_data[[#This Row],[Specialty/Subspecialty]],condensed_specialty_crosswalk[#All],3,FALSE),"")</f>
        <v/>
      </c>
      <c r="H579" s="14"/>
      <c r="I579" s="14"/>
      <c r="J579" s="14"/>
      <c r="K579" s="14"/>
      <c r="L579" s="14"/>
      <c r="M579" s="14"/>
      <c r="N579" s="14"/>
      <c r="O579" s="14"/>
      <c r="P579" s="14"/>
      <c r="Q579" s="14"/>
      <c r="R579" s="14"/>
      <c r="S579" s="14"/>
      <c r="T579" s="14"/>
      <c r="U579" s="14"/>
      <c r="V579" s="14"/>
      <c r="W579" s="14"/>
      <c r="X579" s="14"/>
      <c r="Y579" s="14"/>
      <c r="Z579" s="14"/>
      <c r="AA579" s="14"/>
      <c r="AB579" s="14"/>
      <c r="AC579" s="14"/>
      <c r="AD579" s="14"/>
    </row>
    <row r="580" spans="5:30" ht="14.25" x14ac:dyDescent="0.45">
      <c r="E580" s="69" t="str">
        <f>IFERROR(VLOOKUP(trainee_data[[#This Row],[Program Specialty]],taxonomy_map[[Other Taxonomy]:[Our Taxonomy]],2,FALSE),"")</f>
        <v/>
      </c>
      <c r="F580" s="55" t="str">
        <f>IFERROR(VLOOKUP(trainee_data[[#This Row],[Specialty/Subspecialty]],condensed_specialty_crosswalk[#All],2,FALSE),"")</f>
        <v/>
      </c>
      <c r="G580" s="56" t="str">
        <f>IFERROR(VLOOKUP(trainee_data[[#This Row],[Specialty/Subspecialty]],condensed_specialty_crosswalk[#All],3,FALSE),"")</f>
        <v/>
      </c>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row>
    <row r="581" spans="5:30" ht="14.25" x14ac:dyDescent="0.45">
      <c r="E581" s="70" t="str">
        <f>IFERROR(VLOOKUP(trainee_data[[#This Row],[Program Specialty]],taxonomy_map[[Other Taxonomy]:[Our Taxonomy]],2,FALSE),"")</f>
        <v/>
      </c>
      <c r="F581" s="52" t="str">
        <f>IFERROR(VLOOKUP(trainee_data[[#This Row],[Specialty/Subspecialty]],condensed_specialty_crosswalk[#All],2,FALSE),"")</f>
        <v/>
      </c>
      <c r="G581" s="53" t="str">
        <f>IFERROR(VLOOKUP(trainee_data[[#This Row],[Specialty/Subspecialty]],condensed_specialty_crosswalk[#All],3,FALSE),"")</f>
        <v/>
      </c>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row>
    <row r="582" spans="5:30" ht="14.25" x14ac:dyDescent="0.45">
      <c r="E582" s="69" t="str">
        <f>IFERROR(VLOOKUP(trainee_data[[#This Row],[Program Specialty]],taxonomy_map[[Other Taxonomy]:[Our Taxonomy]],2,FALSE),"")</f>
        <v/>
      </c>
      <c r="F582" s="55" t="str">
        <f>IFERROR(VLOOKUP(trainee_data[[#This Row],[Specialty/Subspecialty]],condensed_specialty_crosswalk[#All],2,FALSE),"")</f>
        <v/>
      </c>
      <c r="G582" s="56" t="str">
        <f>IFERROR(VLOOKUP(trainee_data[[#This Row],[Specialty/Subspecialty]],condensed_specialty_crosswalk[#All],3,FALSE),"")</f>
        <v/>
      </c>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row>
    <row r="583" spans="5:30" ht="14.25" x14ac:dyDescent="0.45">
      <c r="E583" s="70" t="str">
        <f>IFERROR(VLOOKUP(trainee_data[[#This Row],[Program Specialty]],taxonomy_map[[Other Taxonomy]:[Our Taxonomy]],2,FALSE),"")</f>
        <v/>
      </c>
      <c r="F583" s="52" t="str">
        <f>IFERROR(VLOOKUP(trainee_data[[#This Row],[Specialty/Subspecialty]],condensed_specialty_crosswalk[#All],2,FALSE),"")</f>
        <v/>
      </c>
      <c r="G583" s="53" t="str">
        <f>IFERROR(VLOOKUP(trainee_data[[#This Row],[Specialty/Subspecialty]],condensed_specialty_crosswalk[#All],3,FALSE),"")</f>
        <v/>
      </c>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row>
    <row r="584" spans="5:30" ht="14.25" x14ac:dyDescent="0.45">
      <c r="E584" s="69" t="str">
        <f>IFERROR(VLOOKUP(trainee_data[[#This Row],[Program Specialty]],taxonomy_map[[Other Taxonomy]:[Our Taxonomy]],2,FALSE),"")</f>
        <v/>
      </c>
      <c r="F584" s="55" t="str">
        <f>IFERROR(VLOOKUP(trainee_data[[#This Row],[Specialty/Subspecialty]],condensed_specialty_crosswalk[#All],2,FALSE),"")</f>
        <v/>
      </c>
      <c r="G584" s="56" t="str">
        <f>IFERROR(VLOOKUP(trainee_data[[#This Row],[Specialty/Subspecialty]],condensed_specialty_crosswalk[#All],3,FALSE),"")</f>
        <v/>
      </c>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row>
    <row r="585" spans="5:30" ht="14.25" x14ac:dyDescent="0.45">
      <c r="E585" s="70" t="str">
        <f>IFERROR(VLOOKUP(trainee_data[[#This Row],[Program Specialty]],taxonomy_map[[Other Taxonomy]:[Our Taxonomy]],2,FALSE),"")</f>
        <v/>
      </c>
      <c r="F585" s="52" t="str">
        <f>IFERROR(VLOOKUP(trainee_data[[#This Row],[Specialty/Subspecialty]],condensed_specialty_crosswalk[#All],2,FALSE),"")</f>
        <v/>
      </c>
      <c r="G585" s="53" t="str">
        <f>IFERROR(VLOOKUP(trainee_data[[#This Row],[Specialty/Subspecialty]],condensed_specialty_crosswalk[#All],3,FALSE),"")</f>
        <v/>
      </c>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row>
    <row r="586" spans="5:30" ht="14.25" x14ac:dyDescent="0.45">
      <c r="E586" s="69" t="str">
        <f>IFERROR(VLOOKUP(trainee_data[[#This Row],[Program Specialty]],taxonomy_map[[Other Taxonomy]:[Our Taxonomy]],2,FALSE),"")</f>
        <v/>
      </c>
      <c r="F586" s="55" t="str">
        <f>IFERROR(VLOOKUP(trainee_data[[#This Row],[Specialty/Subspecialty]],condensed_specialty_crosswalk[#All],2,FALSE),"")</f>
        <v/>
      </c>
      <c r="G586" s="56" t="str">
        <f>IFERROR(VLOOKUP(trainee_data[[#This Row],[Specialty/Subspecialty]],condensed_specialty_crosswalk[#All],3,FALSE),"")</f>
        <v/>
      </c>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row>
    <row r="587" spans="5:30" ht="14.25" x14ac:dyDescent="0.45">
      <c r="E587" s="70" t="str">
        <f>IFERROR(VLOOKUP(trainee_data[[#This Row],[Program Specialty]],taxonomy_map[[Other Taxonomy]:[Our Taxonomy]],2,FALSE),"")</f>
        <v/>
      </c>
      <c r="F587" s="52" t="str">
        <f>IFERROR(VLOOKUP(trainee_data[[#This Row],[Specialty/Subspecialty]],condensed_specialty_crosswalk[#All],2,FALSE),"")</f>
        <v/>
      </c>
      <c r="G587" s="53" t="str">
        <f>IFERROR(VLOOKUP(trainee_data[[#This Row],[Specialty/Subspecialty]],condensed_specialty_crosswalk[#All],3,FALSE),"")</f>
        <v/>
      </c>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row>
    <row r="588" spans="5:30" ht="14.25" x14ac:dyDescent="0.45">
      <c r="E588" s="69" t="str">
        <f>IFERROR(VLOOKUP(trainee_data[[#This Row],[Program Specialty]],taxonomy_map[[Other Taxonomy]:[Our Taxonomy]],2,FALSE),"")</f>
        <v/>
      </c>
      <c r="F588" s="55" t="str">
        <f>IFERROR(VLOOKUP(trainee_data[[#This Row],[Specialty/Subspecialty]],condensed_specialty_crosswalk[#All],2,FALSE),"")</f>
        <v/>
      </c>
      <c r="G588" s="56" t="str">
        <f>IFERROR(VLOOKUP(trainee_data[[#This Row],[Specialty/Subspecialty]],condensed_specialty_crosswalk[#All],3,FALSE),"")</f>
        <v/>
      </c>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row>
    <row r="589" spans="5:30" ht="14.25" x14ac:dyDescent="0.45">
      <c r="E589" s="70" t="str">
        <f>IFERROR(VLOOKUP(trainee_data[[#This Row],[Program Specialty]],taxonomy_map[[Other Taxonomy]:[Our Taxonomy]],2,FALSE),"")</f>
        <v/>
      </c>
      <c r="F589" s="52" t="str">
        <f>IFERROR(VLOOKUP(trainee_data[[#This Row],[Specialty/Subspecialty]],condensed_specialty_crosswalk[#All],2,FALSE),"")</f>
        <v/>
      </c>
      <c r="G589" s="53" t="str">
        <f>IFERROR(VLOOKUP(trainee_data[[#This Row],[Specialty/Subspecialty]],condensed_specialty_crosswalk[#All],3,FALSE),"")</f>
        <v/>
      </c>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row>
    <row r="590" spans="5:30" ht="14.25" x14ac:dyDescent="0.45">
      <c r="E590" s="69" t="str">
        <f>IFERROR(VLOOKUP(trainee_data[[#This Row],[Program Specialty]],taxonomy_map[[Other Taxonomy]:[Our Taxonomy]],2,FALSE),"")</f>
        <v/>
      </c>
      <c r="F590" s="55" t="str">
        <f>IFERROR(VLOOKUP(trainee_data[[#This Row],[Specialty/Subspecialty]],condensed_specialty_crosswalk[#All],2,FALSE),"")</f>
        <v/>
      </c>
      <c r="G590" s="56" t="str">
        <f>IFERROR(VLOOKUP(trainee_data[[#This Row],[Specialty/Subspecialty]],condensed_specialty_crosswalk[#All],3,FALSE),"")</f>
        <v/>
      </c>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row>
    <row r="591" spans="5:30" ht="14.25" x14ac:dyDescent="0.45">
      <c r="E591" s="70" t="str">
        <f>IFERROR(VLOOKUP(trainee_data[[#This Row],[Program Specialty]],taxonomy_map[[Other Taxonomy]:[Our Taxonomy]],2,FALSE),"")</f>
        <v/>
      </c>
      <c r="F591" s="52" t="str">
        <f>IFERROR(VLOOKUP(trainee_data[[#This Row],[Specialty/Subspecialty]],condensed_specialty_crosswalk[#All],2,FALSE),"")</f>
        <v/>
      </c>
      <c r="G591" s="53" t="str">
        <f>IFERROR(VLOOKUP(trainee_data[[#This Row],[Specialty/Subspecialty]],condensed_specialty_crosswalk[#All],3,FALSE),"")</f>
        <v/>
      </c>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row>
    <row r="592" spans="5:30" ht="14.25" x14ac:dyDescent="0.45">
      <c r="E592" s="69" t="str">
        <f>IFERROR(VLOOKUP(trainee_data[[#This Row],[Program Specialty]],taxonomy_map[[Other Taxonomy]:[Our Taxonomy]],2,FALSE),"")</f>
        <v/>
      </c>
      <c r="F592" s="55" t="str">
        <f>IFERROR(VLOOKUP(trainee_data[[#This Row],[Specialty/Subspecialty]],condensed_specialty_crosswalk[#All],2,FALSE),"")</f>
        <v/>
      </c>
      <c r="G592" s="56" t="str">
        <f>IFERROR(VLOOKUP(trainee_data[[#This Row],[Specialty/Subspecialty]],condensed_specialty_crosswalk[#All],3,FALSE),"")</f>
        <v/>
      </c>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row>
    <row r="593" spans="5:30" ht="14.25" x14ac:dyDescent="0.45">
      <c r="E593" s="70" t="str">
        <f>IFERROR(VLOOKUP(trainee_data[[#This Row],[Program Specialty]],taxonomy_map[[Other Taxonomy]:[Our Taxonomy]],2,FALSE),"")</f>
        <v/>
      </c>
      <c r="F593" s="52" t="str">
        <f>IFERROR(VLOOKUP(trainee_data[[#This Row],[Specialty/Subspecialty]],condensed_specialty_crosswalk[#All],2,FALSE),"")</f>
        <v/>
      </c>
      <c r="G593" s="53" t="str">
        <f>IFERROR(VLOOKUP(trainee_data[[#This Row],[Specialty/Subspecialty]],condensed_specialty_crosswalk[#All],3,FALSE),"")</f>
        <v/>
      </c>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row>
    <row r="594" spans="5:30" ht="14.25" x14ac:dyDescent="0.45">
      <c r="E594" s="69" t="str">
        <f>IFERROR(VLOOKUP(trainee_data[[#This Row],[Program Specialty]],taxonomy_map[[Other Taxonomy]:[Our Taxonomy]],2,FALSE),"")</f>
        <v/>
      </c>
      <c r="F594" s="55" t="str">
        <f>IFERROR(VLOOKUP(trainee_data[[#This Row],[Specialty/Subspecialty]],condensed_specialty_crosswalk[#All],2,FALSE),"")</f>
        <v/>
      </c>
      <c r="G594" s="56" t="str">
        <f>IFERROR(VLOOKUP(trainee_data[[#This Row],[Specialty/Subspecialty]],condensed_specialty_crosswalk[#All],3,FALSE),"")</f>
        <v/>
      </c>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row>
    <row r="595" spans="5:30" ht="14.25" x14ac:dyDescent="0.45">
      <c r="E595" s="70" t="str">
        <f>IFERROR(VLOOKUP(trainee_data[[#This Row],[Program Specialty]],taxonomy_map[[Other Taxonomy]:[Our Taxonomy]],2,FALSE),"")</f>
        <v/>
      </c>
      <c r="F595" s="52" t="str">
        <f>IFERROR(VLOOKUP(trainee_data[[#This Row],[Specialty/Subspecialty]],condensed_specialty_crosswalk[#All],2,FALSE),"")</f>
        <v/>
      </c>
      <c r="G595" s="53" t="str">
        <f>IFERROR(VLOOKUP(trainee_data[[#This Row],[Specialty/Subspecialty]],condensed_specialty_crosswalk[#All],3,FALSE),"")</f>
        <v/>
      </c>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row>
    <row r="596" spans="5:30" ht="14.25" x14ac:dyDescent="0.45">
      <c r="E596" s="69" t="str">
        <f>IFERROR(VLOOKUP(trainee_data[[#This Row],[Program Specialty]],taxonomy_map[[Other Taxonomy]:[Our Taxonomy]],2,FALSE),"")</f>
        <v/>
      </c>
      <c r="F596" s="55" t="str">
        <f>IFERROR(VLOOKUP(trainee_data[[#This Row],[Specialty/Subspecialty]],condensed_specialty_crosswalk[#All],2,FALSE),"")</f>
        <v/>
      </c>
      <c r="G596" s="56" t="str">
        <f>IFERROR(VLOOKUP(trainee_data[[#This Row],[Specialty/Subspecialty]],condensed_specialty_crosswalk[#All],3,FALSE),"")</f>
        <v/>
      </c>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row>
    <row r="597" spans="5:30" ht="14.25" x14ac:dyDescent="0.45">
      <c r="E597" s="70" t="str">
        <f>IFERROR(VLOOKUP(trainee_data[[#This Row],[Program Specialty]],taxonomy_map[[Other Taxonomy]:[Our Taxonomy]],2,FALSE),"")</f>
        <v/>
      </c>
      <c r="F597" s="52" t="str">
        <f>IFERROR(VLOOKUP(trainee_data[[#This Row],[Specialty/Subspecialty]],condensed_specialty_crosswalk[#All],2,FALSE),"")</f>
        <v/>
      </c>
      <c r="G597" s="53" t="str">
        <f>IFERROR(VLOOKUP(trainee_data[[#This Row],[Specialty/Subspecialty]],condensed_specialty_crosswalk[#All],3,FALSE),"")</f>
        <v/>
      </c>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row>
    <row r="598" spans="5:30" ht="14.25" x14ac:dyDescent="0.45">
      <c r="E598" s="69" t="str">
        <f>IFERROR(VLOOKUP(trainee_data[[#This Row],[Program Specialty]],taxonomy_map[[Other Taxonomy]:[Our Taxonomy]],2,FALSE),"")</f>
        <v/>
      </c>
      <c r="F598" s="55" t="str">
        <f>IFERROR(VLOOKUP(trainee_data[[#This Row],[Specialty/Subspecialty]],condensed_specialty_crosswalk[#All],2,FALSE),"")</f>
        <v/>
      </c>
      <c r="G598" s="56" t="str">
        <f>IFERROR(VLOOKUP(trainee_data[[#This Row],[Specialty/Subspecialty]],condensed_specialty_crosswalk[#All],3,FALSE),"")</f>
        <v/>
      </c>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row>
    <row r="599" spans="5:30" ht="14.25" x14ac:dyDescent="0.45">
      <c r="E599" s="70" t="str">
        <f>IFERROR(VLOOKUP(trainee_data[[#This Row],[Program Specialty]],taxonomy_map[[Other Taxonomy]:[Our Taxonomy]],2,FALSE),"")</f>
        <v/>
      </c>
      <c r="F599" s="52" t="str">
        <f>IFERROR(VLOOKUP(trainee_data[[#This Row],[Specialty/Subspecialty]],condensed_specialty_crosswalk[#All],2,FALSE),"")</f>
        <v/>
      </c>
      <c r="G599" s="53" t="str">
        <f>IFERROR(VLOOKUP(trainee_data[[#This Row],[Specialty/Subspecialty]],condensed_specialty_crosswalk[#All],3,FALSE),"")</f>
        <v/>
      </c>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row>
    <row r="600" spans="5:30" ht="14.25" x14ac:dyDescent="0.45">
      <c r="E600" s="69" t="str">
        <f>IFERROR(VLOOKUP(trainee_data[[#This Row],[Program Specialty]],taxonomy_map[[Other Taxonomy]:[Our Taxonomy]],2,FALSE),"")</f>
        <v/>
      </c>
      <c r="F600" s="55" t="str">
        <f>IFERROR(VLOOKUP(trainee_data[[#This Row],[Specialty/Subspecialty]],condensed_specialty_crosswalk[#All],2,FALSE),"")</f>
        <v/>
      </c>
      <c r="G600" s="56" t="str">
        <f>IFERROR(VLOOKUP(trainee_data[[#This Row],[Specialty/Subspecialty]],condensed_specialty_crosswalk[#All],3,FALSE),"")</f>
        <v/>
      </c>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row>
    <row r="601" spans="5:30" ht="14.25" x14ac:dyDescent="0.45">
      <c r="E601" s="70" t="str">
        <f>IFERROR(VLOOKUP(trainee_data[[#This Row],[Program Specialty]],taxonomy_map[[Other Taxonomy]:[Our Taxonomy]],2,FALSE),"")</f>
        <v/>
      </c>
      <c r="F601" s="52" t="str">
        <f>IFERROR(VLOOKUP(trainee_data[[#This Row],[Specialty/Subspecialty]],condensed_specialty_crosswalk[#All],2,FALSE),"")</f>
        <v/>
      </c>
      <c r="G601" s="53" t="str">
        <f>IFERROR(VLOOKUP(trainee_data[[#This Row],[Specialty/Subspecialty]],condensed_specialty_crosswalk[#All],3,FALSE),"")</f>
        <v/>
      </c>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row>
    <row r="602" spans="5:30" ht="14.25" x14ac:dyDescent="0.45">
      <c r="E602" s="69" t="str">
        <f>IFERROR(VLOOKUP(trainee_data[[#This Row],[Program Specialty]],taxonomy_map[[Other Taxonomy]:[Our Taxonomy]],2,FALSE),"")</f>
        <v/>
      </c>
      <c r="F602" s="55" t="str">
        <f>IFERROR(VLOOKUP(trainee_data[[#This Row],[Specialty/Subspecialty]],condensed_specialty_crosswalk[#All],2,FALSE),"")</f>
        <v/>
      </c>
      <c r="G602" s="56" t="str">
        <f>IFERROR(VLOOKUP(trainee_data[[#This Row],[Specialty/Subspecialty]],condensed_specialty_crosswalk[#All],3,FALSE),"")</f>
        <v/>
      </c>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row>
    <row r="603" spans="5:30" ht="14.25" x14ac:dyDescent="0.45">
      <c r="E603" s="70" t="str">
        <f>IFERROR(VLOOKUP(trainee_data[[#This Row],[Program Specialty]],taxonomy_map[[Other Taxonomy]:[Our Taxonomy]],2,FALSE),"")</f>
        <v/>
      </c>
      <c r="F603" s="52" t="str">
        <f>IFERROR(VLOOKUP(trainee_data[[#This Row],[Specialty/Subspecialty]],condensed_specialty_crosswalk[#All],2,FALSE),"")</f>
        <v/>
      </c>
      <c r="G603" s="53" t="str">
        <f>IFERROR(VLOOKUP(trainee_data[[#This Row],[Specialty/Subspecialty]],condensed_specialty_crosswalk[#All],3,FALSE),"")</f>
        <v/>
      </c>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row>
    <row r="604" spans="5:30" ht="14.25" x14ac:dyDescent="0.45">
      <c r="E604" s="69" t="str">
        <f>IFERROR(VLOOKUP(trainee_data[[#This Row],[Program Specialty]],taxonomy_map[[Other Taxonomy]:[Our Taxonomy]],2,FALSE),"")</f>
        <v/>
      </c>
      <c r="F604" s="55" t="str">
        <f>IFERROR(VLOOKUP(trainee_data[[#This Row],[Specialty/Subspecialty]],condensed_specialty_crosswalk[#All],2,FALSE),"")</f>
        <v/>
      </c>
      <c r="G604" s="56" t="str">
        <f>IFERROR(VLOOKUP(trainee_data[[#This Row],[Specialty/Subspecialty]],condensed_specialty_crosswalk[#All],3,FALSE),"")</f>
        <v/>
      </c>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row>
    <row r="605" spans="5:30" ht="14.25" x14ac:dyDescent="0.45">
      <c r="E605" s="70" t="str">
        <f>IFERROR(VLOOKUP(trainee_data[[#This Row],[Program Specialty]],taxonomy_map[[Other Taxonomy]:[Our Taxonomy]],2,FALSE),"")</f>
        <v/>
      </c>
      <c r="F605" s="52" t="str">
        <f>IFERROR(VLOOKUP(trainee_data[[#This Row],[Specialty/Subspecialty]],condensed_specialty_crosswalk[#All],2,FALSE),"")</f>
        <v/>
      </c>
      <c r="G605" s="53" t="str">
        <f>IFERROR(VLOOKUP(trainee_data[[#This Row],[Specialty/Subspecialty]],condensed_specialty_crosswalk[#All],3,FALSE),"")</f>
        <v/>
      </c>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row>
    <row r="606" spans="5:30" ht="14.25" x14ac:dyDescent="0.45">
      <c r="E606" s="69" t="str">
        <f>IFERROR(VLOOKUP(trainee_data[[#This Row],[Program Specialty]],taxonomy_map[[Other Taxonomy]:[Our Taxonomy]],2,FALSE),"")</f>
        <v/>
      </c>
      <c r="F606" s="55" t="str">
        <f>IFERROR(VLOOKUP(trainee_data[[#This Row],[Specialty/Subspecialty]],condensed_specialty_crosswalk[#All],2,FALSE),"")</f>
        <v/>
      </c>
      <c r="G606" s="56" t="str">
        <f>IFERROR(VLOOKUP(trainee_data[[#This Row],[Specialty/Subspecialty]],condensed_specialty_crosswalk[#All],3,FALSE),"")</f>
        <v/>
      </c>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row>
    <row r="607" spans="5:30" ht="14.25" x14ac:dyDescent="0.45">
      <c r="E607" s="70" t="str">
        <f>IFERROR(VLOOKUP(trainee_data[[#This Row],[Program Specialty]],taxonomy_map[[Other Taxonomy]:[Our Taxonomy]],2,FALSE),"")</f>
        <v/>
      </c>
      <c r="F607" s="52" t="str">
        <f>IFERROR(VLOOKUP(trainee_data[[#This Row],[Specialty/Subspecialty]],condensed_specialty_crosswalk[#All],2,FALSE),"")</f>
        <v/>
      </c>
      <c r="G607" s="53" t="str">
        <f>IFERROR(VLOOKUP(trainee_data[[#This Row],[Specialty/Subspecialty]],condensed_specialty_crosswalk[#All],3,FALSE),"")</f>
        <v/>
      </c>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row>
    <row r="608" spans="5:30" ht="14.25" x14ac:dyDescent="0.45">
      <c r="E608" s="69" t="str">
        <f>IFERROR(VLOOKUP(trainee_data[[#This Row],[Program Specialty]],taxonomy_map[[Other Taxonomy]:[Our Taxonomy]],2,FALSE),"")</f>
        <v/>
      </c>
      <c r="F608" s="55" t="str">
        <f>IFERROR(VLOOKUP(trainee_data[[#This Row],[Specialty/Subspecialty]],condensed_specialty_crosswalk[#All],2,FALSE),"")</f>
        <v/>
      </c>
      <c r="G608" s="56" t="str">
        <f>IFERROR(VLOOKUP(trainee_data[[#This Row],[Specialty/Subspecialty]],condensed_specialty_crosswalk[#All],3,FALSE),"")</f>
        <v/>
      </c>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row>
    <row r="609" spans="5:30" ht="14.25" x14ac:dyDescent="0.45">
      <c r="E609" s="70" t="str">
        <f>IFERROR(VLOOKUP(trainee_data[[#This Row],[Program Specialty]],taxonomy_map[[Other Taxonomy]:[Our Taxonomy]],2,FALSE),"")</f>
        <v/>
      </c>
      <c r="F609" s="52" t="str">
        <f>IFERROR(VLOOKUP(trainee_data[[#This Row],[Specialty/Subspecialty]],condensed_specialty_crosswalk[#All],2,FALSE),"")</f>
        <v/>
      </c>
      <c r="G609" s="53" t="str">
        <f>IFERROR(VLOOKUP(trainee_data[[#This Row],[Specialty/Subspecialty]],condensed_specialty_crosswalk[#All],3,FALSE),"")</f>
        <v/>
      </c>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row>
    <row r="610" spans="5:30" ht="14.25" x14ac:dyDescent="0.45">
      <c r="E610" s="69" t="str">
        <f>IFERROR(VLOOKUP(trainee_data[[#This Row],[Program Specialty]],taxonomy_map[[Other Taxonomy]:[Our Taxonomy]],2,FALSE),"")</f>
        <v/>
      </c>
      <c r="F610" s="55" t="str">
        <f>IFERROR(VLOOKUP(trainee_data[[#This Row],[Specialty/Subspecialty]],condensed_specialty_crosswalk[#All],2,FALSE),"")</f>
        <v/>
      </c>
      <c r="G610" s="56" t="str">
        <f>IFERROR(VLOOKUP(trainee_data[[#This Row],[Specialty/Subspecialty]],condensed_specialty_crosswalk[#All],3,FALSE),"")</f>
        <v/>
      </c>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row>
    <row r="611" spans="5:30" ht="14.25" x14ac:dyDescent="0.45">
      <c r="E611" s="70" t="str">
        <f>IFERROR(VLOOKUP(trainee_data[[#This Row],[Program Specialty]],taxonomy_map[[Other Taxonomy]:[Our Taxonomy]],2,FALSE),"")</f>
        <v/>
      </c>
      <c r="F611" s="52" t="str">
        <f>IFERROR(VLOOKUP(trainee_data[[#This Row],[Specialty/Subspecialty]],condensed_specialty_crosswalk[#All],2,FALSE),"")</f>
        <v/>
      </c>
      <c r="G611" s="53" t="str">
        <f>IFERROR(VLOOKUP(trainee_data[[#This Row],[Specialty/Subspecialty]],condensed_specialty_crosswalk[#All],3,FALSE),"")</f>
        <v/>
      </c>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row>
    <row r="612" spans="5:30" ht="14.25" x14ac:dyDescent="0.45">
      <c r="E612" s="69" t="str">
        <f>IFERROR(VLOOKUP(trainee_data[[#This Row],[Program Specialty]],taxonomy_map[[Other Taxonomy]:[Our Taxonomy]],2,FALSE),"")</f>
        <v/>
      </c>
      <c r="F612" s="55" t="str">
        <f>IFERROR(VLOOKUP(trainee_data[[#This Row],[Specialty/Subspecialty]],condensed_specialty_crosswalk[#All],2,FALSE),"")</f>
        <v/>
      </c>
      <c r="G612" s="56" t="str">
        <f>IFERROR(VLOOKUP(trainee_data[[#This Row],[Specialty/Subspecialty]],condensed_specialty_crosswalk[#All],3,FALSE),"")</f>
        <v/>
      </c>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row>
    <row r="613" spans="5:30" ht="14.25" x14ac:dyDescent="0.45">
      <c r="E613" s="70" t="str">
        <f>IFERROR(VLOOKUP(trainee_data[[#This Row],[Program Specialty]],taxonomy_map[[Other Taxonomy]:[Our Taxonomy]],2,FALSE),"")</f>
        <v/>
      </c>
      <c r="F613" s="52" t="str">
        <f>IFERROR(VLOOKUP(trainee_data[[#This Row],[Specialty/Subspecialty]],condensed_specialty_crosswalk[#All],2,FALSE),"")</f>
        <v/>
      </c>
      <c r="G613" s="53" t="str">
        <f>IFERROR(VLOOKUP(trainee_data[[#This Row],[Specialty/Subspecialty]],condensed_specialty_crosswalk[#All],3,FALSE),"")</f>
        <v/>
      </c>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row>
    <row r="614" spans="5:30" ht="14.25" x14ac:dyDescent="0.45">
      <c r="E614" s="69" t="str">
        <f>IFERROR(VLOOKUP(trainee_data[[#This Row],[Program Specialty]],taxonomy_map[[Other Taxonomy]:[Our Taxonomy]],2,FALSE),"")</f>
        <v/>
      </c>
      <c r="F614" s="55" t="str">
        <f>IFERROR(VLOOKUP(trainee_data[[#This Row],[Specialty/Subspecialty]],condensed_specialty_crosswalk[#All],2,FALSE),"")</f>
        <v/>
      </c>
      <c r="G614" s="56" t="str">
        <f>IFERROR(VLOOKUP(trainee_data[[#This Row],[Specialty/Subspecialty]],condensed_specialty_crosswalk[#All],3,FALSE),"")</f>
        <v/>
      </c>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row>
    <row r="615" spans="5:30" ht="14.25" x14ac:dyDescent="0.45">
      <c r="E615" s="70" t="str">
        <f>IFERROR(VLOOKUP(trainee_data[[#This Row],[Program Specialty]],taxonomy_map[[Other Taxonomy]:[Our Taxonomy]],2,FALSE),"")</f>
        <v/>
      </c>
      <c r="F615" s="52" t="str">
        <f>IFERROR(VLOOKUP(trainee_data[[#This Row],[Specialty/Subspecialty]],condensed_specialty_crosswalk[#All],2,FALSE),"")</f>
        <v/>
      </c>
      <c r="G615" s="53" t="str">
        <f>IFERROR(VLOOKUP(trainee_data[[#This Row],[Specialty/Subspecialty]],condensed_specialty_crosswalk[#All],3,FALSE),"")</f>
        <v/>
      </c>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row>
    <row r="616" spans="5:30" ht="14.25" x14ac:dyDescent="0.45">
      <c r="E616" s="69" t="str">
        <f>IFERROR(VLOOKUP(trainee_data[[#This Row],[Program Specialty]],taxonomy_map[[Other Taxonomy]:[Our Taxonomy]],2,FALSE),"")</f>
        <v/>
      </c>
      <c r="F616" s="55" t="str">
        <f>IFERROR(VLOOKUP(trainee_data[[#This Row],[Specialty/Subspecialty]],condensed_specialty_crosswalk[#All],2,FALSE),"")</f>
        <v/>
      </c>
      <c r="G616" s="56" t="str">
        <f>IFERROR(VLOOKUP(trainee_data[[#This Row],[Specialty/Subspecialty]],condensed_specialty_crosswalk[#All],3,FALSE),"")</f>
        <v/>
      </c>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row>
    <row r="617" spans="5:30" ht="14.25" x14ac:dyDescent="0.45">
      <c r="E617" s="70" t="str">
        <f>IFERROR(VLOOKUP(trainee_data[[#This Row],[Program Specialty]],taxonomy_map[[Other Taxonomy]:[Our Taxonomy]],2,FALSE),"")</f>
        <v/>
      </c>
      <c r="F617" s="52" t="str">
        <f>IFERROR(VLOOKUP(trainee_data[[#This Row],[Specialty/Subspecialty]],condensed_specialty_crosswalk[#All],2,FALSE),"")</f>
        <v/>
      </c>
      <c r="G617" s="53" t="str">
        <f>IFERROR(VLOOKUP(trainee_data[[#This Row],[Specialty/Subspecialty]],condensed_specialty_crosswalk[#All],3,FALSE),"")</f>
        <v/>
      </c>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row>
    <row r="618" spans="5:30" ht="14.25" x14ac:dyDescent="0.45">
      <c r="E618" s="69" t="str">
        <f>IFERROR(VLOOKUP(trainee_data[[#This Row],[Program Specialty]],taxonomy_map[[Other Taxonomy]:[Our Taxonomy]],2,FALSE),"")</f>
        <v/>
      </c>
      <c r="F618" s="55" t="str">
        <f>IFERROR(VLOOKUP(trainee_data[[#This Row],[Specialty/Subspecialty]],condensed_specialty_crosswalk[#All],2,FALSE),"")</f>
        <v/>
      </c>
      <c r="G618" s="56" t="str">
        <f>IFERROR(VLOOKUP(trainee_data[[#This Row],[Specialty/Subspecialty]],condensed_specialty_crosswalk[#All],3,FALSE),"")</f>
        <v/>
      </c>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row>
    <row r="619" spans="5:30" ht="14.25" x14ac:dyDescent="0.45">
      <c r="E619" s="70" t="str">
        <f>IFERROR(VLOOKUP(trainee_data[[#This Row],[Program Specialty]],taxonomy_map[[Other Taxonomy]:[Our Taxonomy]],2,FALSE),"")</f>
        <v/>
      </c>
      <c r="F619" s="52" t="str">
        <f>IFERROR(VLOOKUP(trainee_data[[#This Row],[Specialty/Subspecialty]],condensed_specialty_crosswalk[#All],2,FALSE),"")</f>
        <v/>
      </c>
      <c r="G619" s="53" t="str">
        <f>IFERROR(VLOOKUP(trainee_data[[#This Row],[Specialty/Subspecialty]],condensed_specialty_crosswalk[#All],3,FALSE),"")</f>
        <v/>
      </c>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row>
    <row r="620" spans="5:30" ht="14.25" x14ac:dyDescent="0.45">
      <c r="E620" s="69" t="str">
        <f>IFERROR(VLOOKUP(trainee_data[[#This Row],[Program Specialty]],taxonomy_map[[Other Taxonomy]:[Our Taxonomy]],2,FALSE),"")</f>
        <v/>
      </c>
      <c r="F620" s="55" t="str">
        <f>IFERROR(VLOOKUP(trainee_data[[#This Row],[Specialty/Subspecialty]],condensed_specialty_crosswalk[#All],2,FALSE),"")</f>
        <v/>
      </c>
      <c r="G620" s="56" t="str">
        <f>IFERROR(VLOOKUP(trainee_data[[#This Row],[Specialty/Subspecialty]],condensed_specialty_crosswalk[#All],3,FALSE),"")</f>
        <v/>
      </c>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row>
    <row r="621" spans="5:30" ht="14.25" x14ac:dyDescent="0.45">
      <c r="E621" s="70" t="str">
        <f>IFERROR(VLOOKUP(trainee_data[[#This Row],[Program Specialty]],taxonomy_map[[Other Taxonomy]:[Our Taxonomy]],2,FALSE),"")</f>
        <v/>
      </c>
      <c r="F621" s="52" t="str">
        <f>IFERROR(VLOOKUP(trainee_data[[#This Row],[Specialty/Subspecialty]],condensed_specialty_crosswalk[#All],2,FALSE),"")</f>
        <v/>
      </c>
      <c r="G621" s="53" t="str">
        <f>IFERROR(VLOOKUP(trainee_data[[#This Row],[Specialty/Subspecialty]],condensed_specialty_crosswalk[#All],3,FALSE),"")</f>
        <v/>
      </c>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row>
    <row r="622" spans="5:30" ht="14.25" x14ac:dyDescent="0.45">
      <c r="E622" s="69" t="str">
        <f>IFERROR(VLOOKUP(trainee_data[[#This Row],[Program Specialty]],taxonomy_map[[Other Taxonomy]:[Our Taxonomy]],2,FALSE),"")</f>
        <v/>
      </c>
      <c r="F622" s="55" t="str">
        <f>IFERROR(VLOOKUP(trainee_data[[#This Row],[Specialty/Subspecialty]],condensed_specialty_crosswalk[#All],2,FALSE),"")</f>
        <v/>
      </c>
      <c r="G622" s="56" t="str">
        <f>IFERROR(VLOOKUP(trainee_data[[#This Row],[Specialty/Subspecialty]],condensed_specialty_crosswalk[#All],3,FALSE),"")</f>
        <v/>
      </c>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row>
    <row r="623" spans="5:30" ht="14.25" x14ac:dyDescent="0.45">
      <c r="E623" s="70" t="str">
        <f>IFERROR(VLOOKUP(trainee_data[[#This Row],[Program Specialty]],taxonomy_map[[Other Taxonomy]:[Our Taxonomy]],2,FALSE),"")</f>
        <v/>
      </c>
      <c r="F623" s="52" t="str">
        <f>IFERROR(VLOOKUP(trainee_data[[#This Row],[Specialty/Subspecialty]],condensed_specialty_crosswalk[#All],2,FALSE),"")</f>
        <v/>
      </c>
      <c r="G623" s="53" t="str">
        <f>IFERROR(VLOOKUP(trainee_data[[#This Row],[Specialty/Subspecialty]],condensed_specialty_crosswalk[#All],3,FALSE),"")</f>
        <v/>
      </c>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row>
    <row r="624" spans="5:30" ht="14.25" x14ac:dyDescent="0.45">
      <c r="E624" s="69" t="str">
        <f>IFERROR(VLOOKUP(trainee_data[[#This Row],[Program Specialty]],taxonomy_map[[Other Taxonomy]:[Our Taxonomy]],2,FALSE),"")</f>
        <v/>
      </c>
      <c r="F624" s="55" t="str">
        <f>IFERROR(VLOOKUP(trainee_data[[#This Row],[Specialty/Subspecialty]],condensed_specialty_crosswalk[#All],2,FALSE),"")</f>
        <v/>
      </c>
      <c r="G624" s="56" t="str">
        <f>IFERROR(VLOOKUP(trainee_data[[#This Row],[Specialty/Subspecialty]],condensed_specialty_crosswalk[#All],3,FALSE),"")</f>
        <v/>
      </c>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row>
    <row r="625" spans="5:30" ht="14.25" x14ac:dyDescent="0.45">
      <c r="E625" s="70" t="str">
        <f>IFERROR(VLOOKUP(trainee_data[[#This Row],[Program Specialty]],taxonomy_map[[Other Taxonomy]:[Our Taxonomy]],2,FALSE),"")</f>
        <v/>
      </c>
      <c r="F625" s="52" t="str">
        <f>IFERROR(VLOOKUP(trainee_data[[#This Row],[Specialty/Subspecialty]],condensed_specialty_crosswalk[#All],2,FALSE),"")</f>
        <v/>
      </c>
      <c r="G625" s="53" t="str">
        <f>IFERROR(VLOOKUP(trainee_data[[#This Row],[Specialty/Subspecialty]],condensed_specialty_crosswalk[#All],3,FALSE),"")</f>
        <v/>
      </c>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row>
    <row r="626" spans="5:30" ht="14.25" x14ac:dyDescent="0.45">
      <c r="E626" s="69" t="str">
        <f>IFERROR(VLOOKUP(trainee_data[[#This Row],[Program Specialty]],taxonomy_map[[Other Taxonomy]:[Our Taxonomy]],2,FALSE),"")</f>
        <v/>
      </c>
      <c r="F626" s="55" t="str">
        <f>IFERROR(VLOOKUP(trainee_data[[#This Row],[Specialty/Subspecialty]],condensed_specialty_crosswalk[#All],2,FALSE),"")</f>
        <v/>
      </c>
      <c r="G626" s="56" t="str">
        <f>IFERROR(VLOOKUP(trainee_data[[#This Row],[Specialty/Subspecialty]],condensed_specialty_crosswalk[#All],3,FALSE),"")</f>
        <v/>
      </c>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row>
    <row r="627" spans="5:30" ht="14.25" x14ac:dyDescent="0.45">
      <c r="E627" s="70" t="str">
        <f>IFERROR(VLOOKUP(trainee_data[[#This Row],[Program Specialty]],taxonomy_map[[Other Taxonomy]:[Our Taxonomy]],2,FALSE),"")</f>
        <v/>
      </c>
      <c r="F627" s="52" t="str">
        <f>IFERROR(VLOOKUP(trainee_data[[#This Row],[Specialty/Subspecialty]],condensed_specialty_crosswalk[#All],2,FALSE),"")</f>
        <v/>
      </c>
      <c r="G627" s="53" t="str">
        <f>IFERROR(VLOOKUP(trainee_data[[#This Row],[Specialty/Subspecialty]],condensed_specialty_crosswalk[#All],3,FALSE),"")</f>
        <v/>
      </c>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row>
    <row r="628" spans="5:30" ht="14.25" x14ac:dyDescent="0.45">
      <c r="E628" s="69" t="str">
        <f>IFERROR(VLOOKUP(trainee_data[[#This Row],[Program Specialty]],taxonomy_map[[Other Taxonomy]:[Our Taxonomy]],2,FALSE),"")</f>
        <v/>
      </c>
      <c r="F628" s="55" t="str">
        <f>IFERROR(VLOOKUP(trainee_data[[#This Row],[Specialty/Subspecialty]],condensed_specialty_crosswalk[#All],2,FALSE),"")</f>
        <v/>
      </c>
      <c r="G628" s="56" t="str">
        <f>IFERROR(VLOOKUP(trainee_data[[#This Row],[Specialty/Subspecialty]],condensed_specialty_crosswalk[#All],3,FALSE),"")</f>
        <v/>
      </c>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row>
    <row r="629" spans="5:30" ht="14.25" x14ac:dyDescent="0.45">
      <c r="E629" s="70" t="str">
        <f>IFERROR(VLOOKUP(trainee_data[[#This Row],[Program Specialty]],taxonomy_map[[Other Taxonomy]:[Our Taxonomy]],2,FALSE),"")</f>
        <v/>
      </c>
      <c r="F629" s="52" t="str">
        <f>IFERROR(VLOOKUP(trainee_data[[#This Row],[Specialty/Subspecialty]],condensed_specialty_crosswalk[#All],2,FALSE),"")</f>
        <v/>
      </c>
      <c r="G629" s="53" t="str">
        <f>IFERROR(VLOOKUP(trainee_data[[#This Row],[Specialty/Subspecialty]],condensed_specialty_crosswalk[#All],3,FALSE),"")</f>
        <v/>
      </c>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row>
    <row r="630" spans="5:30" ht="14.25" x14ac:dyDescent="0.45">
      <c r="E630" s="69" t="str">
        <f>IFERROR(VLOOKUP(trainee_data[[#This Row],[Program Specialty]],taxonomy_map[[Other Taxonomy]:[Our Taxonomy]],2,FALSE),"")</f>
        <v/>
      </c>
      <c r="F630" s="55" t="str">
        <f>IFERROR(VLOOKUP(trainee_data[[#This Row],[Specialty/Subspecialty]],condensed_specialty_crosswalk[#All],2,FALSE),"")</f>
        <v/>
      </c>
      <c r="G630" s="56" t="str">
        <f>IFERROR(VLOOKUP(trainee_data[[#This Row],[Specialty/Subspecialty]],condensed_specialty_crosswalk[#All],3,FALSE),"")</f>
        <v/>
      </c>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row>
    <row r="631" spans="5:30" ht="14.25" x14ac:dyDescent="0.45">
      <c r="E631" s="70" t="str">
        <f>IFERROR(VLOOKUP(trainee_data[[#This Row],[Program Specialty]],taxonomy_map[[Other Taxonomy]:[Our Taxonomy]],2,FALSE),"")</f>
        <v/>
      </c>
      <c r="F631" s="52" t="str">
        <f>IFERROR(VLOOKUP(trainee_data[[#This Row],[Specialty/Subspecialty]],condensed_specialty_crosswalk[#All],2,FALSE),"")</f>
        <v/>
      </c>
      <c r="G631" s="53" t="str">
        <f>IFERROR(VLOOKUP(trainee_data[[#This Row],[Specialty/Subspecialty]],condensed_specialty_crosswalk[#All],3,FALSE),"")</f>
        <v/>
      </c>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row>
    <row r="632" spans="5:30" ht="14.25" x14ac:dyDescent="0.45">
      <c r="E632" s="69" t="str">
        <f>IFERROR(VLOOKUP(trainee_data[[#This Row],[Program Specialty]],taxonomy_map[[Other Taxonomy]:[Our Taxonomy]],2,FALSE),"")</f>
        <v/>
      </c>
      <c r="F632" s="55" t="str">
        <f>IFERROR(VLOOKUP(trainee_data[[#This Row],[Specialty/Subspecialty]],condensed_specialty_crosswalk[#All],2,FALSE),"")</f>
        <v/>
      </c>
      <c r="G632" s="56" t="str">
        <f>IFERROR(VLOOKUP(trainee_data[[#This Row],[Specialty/Subspecialty]],condensed_specialty_crosswalk[#All],3,FALSE),"")</f>
        <v/>
      </c>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row>
    <row r="633" spans="5:30" ht="14.25" x14ac:dyDescent="0.45">
      <c r="E633" s="70" t="str">
        <f>IFERROR(VLOOKUP(trainee_data[[#This Row],[Program Specialty]],taxonomy_map[[Other Taxonomy]:[Our Taxonomy]],2,FALSE),"")</f>
        <v/>
      </c>
      <c r="F633" s="52" t="str">
        <f>IFERROR(VLOOKUP(trainee_data[[#This Row],[Specialty/Subspecialty]],condensed_specialty_crosswalk[#All],2,FALSE),"")</f>
        <v/>
      </c>
      <c r="G633" s="53" t="str">
        <f>IFERROR(VLOOKUP(trainee_data[[#This Row],[Specialty/Subspecialty]],condensed_specialty_crosswalk[#All],3,FALSE),"")</f>
        <v/>
      </c>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row>
    <row r="634" spans="5:30" ht="14.25" x14ac:dyDescent="0.45">
      <c r="E634" s="69" t="str">
        <f>IFERROR(VLOOKUP(trainee_data[[#This Row],[Program Specialty]],taxonomy_map[[Other Taxonomy]:[Our Taxonomy]],2,FALSE),"")</f>
        <v/>
      </c>
      <c r="F634" s="55" t="str">
        <f>IFERROR(VLOOKUP(trainee_data[[#This Row],[Specialty/Subspecialty]],condensed_specialty_crosswalk[#All],2,FALSE),"")</f>
        <v/>
      </c>
      <c r="G634" s="56" t="str">
        <f>IFERROR(VLOOKUP(trainee_data[[#This Row],[Specialty/Subspecialty]],condensed_specialty_crosswalk[#All],3,FALSE),"")</f>
        <v/>
      </c>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row>
    <row r="635" spans="5:30" ht="14.25" x14ac:dyDescent="0.45">
      <c r="E635" s="70" t="str">
        <f>IFERROR(VLOOKUP(trainee_data[[#This Row],[Program Specialty]],taxonomy_map[[Other Taxonomy]:[Our Taxonomy]],2,FALSE),"")</f>
        <v/>
      </c>
      <c r="F635" s="52" t="str">
        <f>IFERROR(VLOOKUP(trainee_data[[#This Row],[Specialty/Subspecialty]],condensed_specialty_crosswalk[#All],2,FALSE),"")</f>
        <v/>
      </c>
      <c r="G635" s="53" t="str">
        <f>IFERROR(VLOOKUP(trainee_data[[#This Row],[Specialty/Subspecialty]],condensed_specialty_crosswalk[#All],3,FALSE),"")</f>
        <v/>
      </c>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row>
    <row r="636" spans="5:30" ht="14.25" x14ac:dyDescent="0.45">
      <c r="E636" s="69" t="str">
        <f>IFERROR(VLOOKUP(trainee_data[[#This Row],[Program Specialty]],taxonomy_map[[Other Taxonomy]:[Our Taxonomy]],2,FALSE),"")</f>
        <v/>
      </c>
      <c r="F636" s="55" t="str">
        <f>IFERROR(VLOOKUP(trainee_data[[#This Row],[Specialty/Subspecialty]],condensed_specialty_crosswalk[#All],2,FALSE),"")</f>
        <v/>
      </c>
      <c r="G636" s="56" t="str">
        <f>IFERROR(VLOOKUP(trainee_data[[#This Row],[Specialty/Subspecialty]],condensed_specialty_crosswalk[#All],3,FALSE),"")</f>
        <v/>
      </c>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row>
    <row r="637" spans="5:30" ht="14.25" x14ac:dyDescent="0.45">
      <c r="E637" s="70" t="str">
        <f>IFERROR(VLOOKUP(trainee_data[[#This Row],[Program Specialty]],taxonomy_map[[Other Taxonomy]:[Our Taxonomy]],2,FALSE),"")</f>
        <v/>
      </c>
      <c r="F637" s="52" t="str">
        <f>IFERROR(VLOOKUP(trainee_data[[#This Row],[Specialty/Subspecialty]],condensed_specialty_crosswalk[#All],2,FALSE),"")</f>
        <v/>
      </c>
      <c r="G637" s="53" t="str">
        <f>IFERROR(VLOOKUP(trainee_data[[#This Row],[Specialty/Subspecialty]],condensed_specialty_crosswalk[#All],3,FALSE),"")</f>
        <v/>
      </c>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row>
    <row r="638" spans="5:30" ht="14.25" x14ac:dyDescent="0.45">
      <c r="E638" s="69" t="str">
        <f>IFERROR(VLOOKUP(trainee_data[[#This Row],[Program Specialty]],taxonomy_map[[Other Taxonomy]:[Our Taxonomy]],2,FALSE),"")</f>
        <v/>
      </c>
      <c r="F638" s="55" t="str">
        <f>IFERROR(VLOOKUP(trainee_data[[#This Row],[Specialty/Subspecialty]],condensed_specialty_crosswalk[#All],2,FALSE),"")</f>
        <v/>
      </c>
      <c r="G638" s="56" t="str">
        <f>IFERROR(VLOOKUP(trainee_data[[#This Row],[Specialty/Subspecialty]],condensed_specialty_crosswalk[#All],3,FALSE),"")</f>
        <v/>
      </c>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row>
    <row r="639" spans="5:30" ht="14.25" x14ac:dyDescent="0.45">
      <c r="E639" s="70" t="str">
        <f>IFERROR(VLOOKUP(trainee_data[[#This Row],[Program Specialty]],taxonomy_map[[Other Taxonomy]:[Our Taxonomy]],2,FALSE),"")</f>
        <v/>
      </c>
      <c r="F639" s="52" t="str">
        <f>IFERROR(VLOOKUP(trainee_data[[#This Row],[Specialty/Subspecialty]],condensed_specialty_crosswalk[#All],2,FALSE),"")</f>
        <v/>
      </c>
      <c r="G639" s="53" t="str">
        <f>IFERROR(VLOOKUP(trainee_data[[#This Row],[Specialty/Subspecialty]],condensed_specialty_crosswalk[#All],3,FALSE),"")</f>
        <v/>
      </c>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row>
    <row r="640" spans="5:30" ht="14.25" x14ac:dyDescent="0.45">
      <c r="E640" s="69" t="str">
        <f>IFERROR(VLOOKUP(trainee_data[[#This Row],[Program Specialty]],taxonomy_map[[Other Taxonomy]:[Our Taxonomy]],2,FALSE),"")</f>
        <v/>
      </c>
      <c r="F640" s="55" t="str">
        <f>IFERROR(VLOOKUP(trainee_data[[#This Row],[Specialty/Subspecialty]],condensed_specialty_crosswalk[#All],2,FALSE),"")</f>
        <v/>
      </c>
      <c r="G640" s="56" t="str">
        <f>IFERROR(VLOOKUP(trainee_data[[#This Row],[Specialty/Subspecialty]],condensed_specialty_crosswalk[#All],3,FALSE),"")</f>
        <v/>
      </c>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row>
    <row r="641" spans="5:30" ht="14.25" x14ac:dyDescent="0.45">
      <c r="E641" s="70" t="str">
        <f>IFERROR(VLOOKUP(trainee_data[[#This Row],[Program Specialty]],taxonomy_map[[Other Taxonomy]:[Our Taxonomy]],2,FALSE),"")</f>
        <v/>
      </c>
      <c r="F641" s="52" t="str">
        <f>IFERROR(VLOOKUP(trainee_data[[#This Row],[Specialty/Subspecialty]],condensed_specialty_crosswalk[#All],2,FALSE),"")</f>
        <v/>
      </c>
      <c r="G641" s="53" t="str">
        <f>IFERROR(VLOOKUP(trainee_data[[#This Row],[Specialty/Subspecialty]],condensed_specialty_crosswalk[#All],3,FALSE),"")</f>
        <v/>
      </c>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row>
    <row r="642" spans="5:30" ht="14.25" x14ac:dyDescent="0.45">
      <c r="E642" s="69" t="str">
        <f>IFERROR(VLOOKUP(trainee_data[[#This Row],[Program Specialty]],taxonomy_map[[Other Taxonomy]:[Our Taxonomy]],2,FALSE),"")</f>
        <v/>
      </c>
      <c r="F642" s="55" t="str">
        <f>IFERROR(VLOOKUP(trainee_data[[#This Row],[Specialty/Subspecialty]],condensed_specialty_crosswalk[#All],2,FALSE),"")</f>
        <v/>
      </c>
      <c r="G642" s="56" t="str">
        <f>IFERROR(VLOOKUP(trainee_data[[#This Row],[Specialty/Subspecialty]],condensed_specialty_crosswalk[#All],3,FALSE),"")</f>
        <v/>
      </c>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row>
    <row r="643" spans="5:30" ht="14.25" x14ac:dyDescent="0.45">
      <c r="E643" s="70" t="str">
        <f>IFERROR(VLOOKUP(trainee_data[[#This Row],[Program Specialty]],taxonomy_map[[Other Taxonomy]:[Our Taxonomy]],2,FALSE),"")</f>
        <v/>
      </c>
      <c r="F643" s="52" t="str">
        <f>IFERROR(VLOOKUP(trainee_data[[#This Row],[Specialty/Subspecialty]],condensed_specialty_crosswalk[#All],2,FALSE),"")</f>
        <v/>
      </c>
      <c r="G643" s="53" t="str">
        <f>IFERROR(VLOOKUP(trainee_data[[#This Row],[Specialty/Subspecialty]],condensed_specialty_crosswalk[#All],3,FALSE),"")</f>
        <v/>
      </c>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row>
    <row r="644" spans="5:30" ht="14.25" x14ac:dyDescent="0.45">
      <c r="E644" s="69" t="str">
        <f>IFERROR(VLOOKUP(trainee_data[[#This Row],[Program Specialty]],taxonomy_map[[Other Taxonomy]:[Our Taxonomy]],2,FALSE),"")</f>
        <v/>
      </c>
      <c r="F644" s="55" t="str">
        <f>IFERROR(VLOOKUP(trainee_data[[#This Row],[Specialty/Subspecialty]],condensed_specialty_crosswalk[#All],2,FALSE),"")</f>
        <v/>
      </c>
      <c r="G644" s="56" t="str">
        <f>IFERROR(VLOOKUP(trainee_data[[#This Row],[Specialty/Subspecialty]],condensed_specialty_crosswalk[#All],3,FALSE),"")</f>
        <v/>
      </c>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row>
    <row r="645" spans="5:30" ht="14.25" x14ac:dyDescent="0.45">
      <c r="E645" s="70" t="str">
        <f>IFERROR(VLOOKUP(trainee_data[[#This Row],[Program Specialty]],taxonomy_map[[Other Taxonomy]:[Our Taxonomy]],2,FALSE),"")</f>
        <v/>
      </c>
      <c r="F645" s="52" t="str">
        <f>IFERROR(VLOOKUP(trainee_data[[#This Row],[Specialty/Subspecialty]],condensed_specialty_crosswalk[#All],2,FALSE),"")</f>
        <v/>
      </c>
      <c r="G645" s="53" t="str">
        <f>IFERROR(VLOOKUP(trainee_data[[#This Row],[Specialty/Subspecialty]],condensed_specialty_crosswalk[#All],3,FALSE),"")</f>
        <v/>
      </c>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row>
    <row r="646" spans="5:30" ht="14.25" x14ac:dyDescent="0.45">
      <c r="E646" s="69" t="str">
        <f>IFERROR(VLOOKUP(trainee_data[[#This Row],[Program Specialty]],taxonomy_map[[Other Taxonomy]:[Our Taxonomy]],2,FALSE),"")</f>
        <v/>
      </c>
      <c r="F646" s="55" t="str">
        <f>IFERROR(VLOOKUP(trainee_data[[#This Row],[Specialty/Subspecialty]],condensed_specialty_crosswalk[#All],2,FALSE),"")</f>
        <v/>
      </c>
      <c r="G646" s="56" t="str">
        <f>IFERROR(VLOOKUP(trainee_data[[#This Row],[Specialty/Subspecialty]],condensed_specialty_crosswalk[#All],3,FALSE),"")</f>
        <v/>
      </c>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row>
    <row r="647" spans="5:30" ht="14.25" x14ac:dyDescent="0.45">
      <c r="E647" s="70" t="str">
        <f>IFERROR(VLOOKUP(trainee_data[[#This Row],[Program Specialty]],taxonomy_map[[Other Taxonomy]:[Our Taxonomy]],2,FALSE),"")</f>
        <v/>
      </c>
      <c r="F647" s="52" t="str">
        <f>IFERROR(VLOOKUP(trainee_data[[#This Row],[Specialty/Subspecialty]],condensed_specialty_crosswalk[#All],2,FALSE),"")</f>
        <v/>
      </c>
      <c r="G647" s="53" t="str">
        <f>IFERROR(VLOOKUP(trainee_data[[#This Row],[Specialty/Subspecialty]],condensed_specialty_crosswalk[#All],3,FALSE),"")</f>
        <v/>
      </c>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row>
    <row r="648" spans="5:30" ht="14.25" x14ac:dyDescent="0.45">
      <c r="E648" s="69" t="str">
        <f>IFERROR(VLOOKUP(trainee_data[[#This Row],[Program Specialty]],taxonomy_map[[Other Taxonomy]:[Our Taxonomy]],2,FALSE),"")</f>
        <v/>
      </c>
      <c r="F648" s="55" t="str">
        <f>IFERROR(VLOOKUP(trainee_data[[#This Row],[Specialty/Subspecialty]],condensed_specialty_crosswalk[#All],2,FALSE),"")</f>
        <v/>
      </c>
      <c r="G648" s="56" t="str">
        <f>IFERROR(VLOOKUP(trainee_data[[#This Row],[Specialty/Subspecialty]],condensed_specialty_crosswalk[#All],3,FALSE),"")</f>
        <v/>
      </c>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row>
    <row r="649" spans="5:30" ht="14.25" x14ac:dyDescent="0.45">
      <c r="E649" s="70" t="str">
        <f>IFERROR(VLOOKUP(trainee_data[[#This Row],[Program Specialty]],taxonomy_map[[Other Taxonomy]:[Our Taxonomy]],2,FALSE),"")</f>
        <v/>
      </c>
      <c r="F649" s="52" t="str">
        <f>IFERROR(VLOOKUP(trainee_data[[#This Row],[Specialty/Subspecialty]],condensed_specialty_crosswalk[#All],2,FALSE),"")</f>
        <v/>
      </c>
      <c r="G649" s="53" t="str">
        <f>IFERROR(VLOOKUP(trainee_data[[#This Row],[Specialty/Subspecialty]],condensed_specialty_crosswalk[#All],3,FALSE),"")</f>
        <v/>
      </c>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row>
    <row r="650" spans="5:30" ht="14.25" x14ac:dyDescent="0.45">
      <c r="E650" s="69" t="str">
        <f>IFERROR(VLOOKUP(trainee_data[[#This Row],[Program Specialty]],taxonomy_map[[Other Taxonomy]:[Our Taxonomy]],2,FALSE),"")</f>
        <v/>
      </c>
      <c r="F650" s="55" t="str">
        <f>IFERROR(VLOOKUP(trainee_data[[#This Row],[Specialty/Subspecialty]],condensed_specialty_crosswalk[#All],2,FALSE),"")</f>
        <v/>
      </c>
      <c r="G650" s="56" t="str">
        <f>IFERROR(VLOOKUP(trainee_data[[#This Row],[Specialty/Subspecialty]],condensed_specialty_crosswalk[#All],3,FALSE),"")</f>
        <v/>
      </c>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row>
    <row r="651" spans="5:30" ht="14.25" x14ac:dyDescent="0.45">
      <c r="E651" s="70" t="str">
        <f>IFERROR(VLOOKUP(trainee_data[[#This Row],[Program Specialty]],taxonomy_map[[Other Taxonomy]:[Our Taxonomy]],2,FALSE),"")</f>
        <v/>
      </c>
      <c r="F651" s="52" t="str">
        <f>IFERROR(VLOOKUP(trainee_data[[#This Row],[Specialty/Subspecialty]],condensed_specialty_crosswalk[#All],2,FALSE),"")</f>
        <v/>
      </c>
      <c r="G651" s="53" t="str">
        <f>IFERROR(VLOOKUP(trainee_data[[#This Row],[Specialty/Subspecialty]],condensed_specialty_crosswalk[#All],3,FALSE),"")</f>
        <v/>
      </c>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row>
    <row r="652" spans="5:30" ht="14.25" x14ac:dyDescent="0.45">
      <c r="E652" s="69" t="str">
        <f>IFERROR(VLOOKUP(trainee_data[[#This Row],[Program Specialty]],taxonomy_map[[Other Taxonomy]:[Our Taxonomy]],2,FALSE),"")</f>
        <v/>
      </c>
      <c r="F652" s="55" t="str">
        <f>IFERROR(VLOOKUP(trainee_data[[#This Row],[Specialty/Subspecialty]],condensed_specialty_crosswalk[#All],2,FALSE),"")</f>
        <v/>
      </c>
      <c r="G652" s="56" t="str">
        <f>IFERROR(VLOOKUP(trainee_data[[#This Row],[Specialty/Subspecialty]],condensed_specialty_crosswalk[#All],3,FALSE),"")</f>
        <v/>
      </c>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row>
    <row r="653" spans="5:30" ht="14.25" x14ac:dyDescent="0.45">
      <c r="E653" s="70" t="str">
        <f>IFERROR(VLOOKUP(trainee_data[[#This Row],[Program Specialty]],taxonomy_map[[Other Taxonomy]:[Our Taxonomy]],2,FALSE),"")</f>
        <v/>
      </c>
      <c r="F653" s="52" t="str">
        <f>IFERROR(VLOOKUP(trainee_data[[#This Row],[Specialty/Subspecialty]],condensed_specialty_crosswalk[#All],2,FALSE),"")</f>
        <v/>
      </c>
      <c r="G653" s="53" t="str">
        <f>IFERROR(VLOOKUP(trainee_data[[#This Row],[Specialty/Subspecialty]],condensed_specialty_crosswalk[#All],3,FALSE),"")</f>
        <v/>
      </c>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row>
    <row r="654" spans="5:30" ht="14.25" x14ac:dyDescent="0.45">
      <c r="E654" s="69" t="str">
        <f>IFERROR(VLOOKUP(trainee_data[[#This Row],[Program Specialty]],taxonomy_map[[Other Taxonomy]:[Our Taxonomy]],2,FALSE),"")</f>
        <v/>
      </c>
      <c r="F654" s="55" t="str">
        <f>IFERROR(VLOOKUP(trainee_data[[#This Row],[Specialty/Subspecialty]],condensed_specialty_crosswalk[#All],2,FALSE),"")</f>
        <v/>
      </c>
      <c r="G654" s="56" t="str">
        <f>IFERROR(VLOOKUP(trainee_data[[#This Row],[Specialty/Subspecialty]],condensed_specialty_crosswalk[#All],3,FALSE),"")</f>
        <v/>
      </c>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row>
    <row r="655" spans="5:30" ht="14.25" x14ac:dyDescent="0.45">
      <c r="E655" s="70" t="str">
        <f>IFERROR(VLOOKUP(trainee_data[[#This Row],[Program Specialty]],taxonomy_map[[Other Taxonomy]:[Our Taxonomy]],2,FALSE),"")</f>
        <v/>
      </c>
      <c r="F655" s="52" t="str">
        <f>IFERROR(VLOOKUP(trainee_data[[#This Row],[Specialty/Subspecialty]],condensed_specialty_crosswalk[#All],2,FALSE),"")</f>
        <v/>
      </c>
      <c r="G655" s="53" t="str">
        <f>IFERROR(VLOOKUP(trainee_data[[#This Row],[Specialty/Subspecialty]],condensed_specialty_crosswalk[#All],3,FALSE),"")</f>
        <v/>
      </c>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row>
    <row r="656" spans="5:30" ht="14.25" x14ac:dyDescent="0.45">
      <c r="E656" s="69" t="str">
        <f>IFERROR(VLOOKUP(trainee_data[[#This Row],[Program Specialty]],taxonomy_map[[Other Taxonomy]:[Our Taxonomy]],2,FALSE),"")</f>
        <v/>
      </c>
      <c r="F656" s="55" t="str">
        <f>IFERROR(VLOOKUP(trainee_data[[#This Row],[Specialty/Subspecialty]],condensed_specialty_crosswalk[#All],2,FALSE),"")</f>
        <v/>
      </c>
      <c r="G656" s="56" t="str">
        <f>IFERROR(VLOOKUP(trainee_data[[#This Row],[Specialty/Subspecialty]],condensed_specialty_crosswalk[#All],3,FALSE),"")</f>
        <v/>
      </c>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row>
    <row r="657" spans="5:30" ht="14.25" x14ac:dyDescent="0.45">
      <c r="E657" s="70" t="str">
        <f>IFERROR(VLOOKUP(trainee_data[[#This Row],[Program Specialty]],taxonomy_map[[Other Taxonomy]:[Our Taxonomy]],2,FALSE),"")</f>
        <v/>
      </c>
      <c r="F657" s="52" t="str">
        <f>IFERROR(VLOOKUP(trainee_data[[#This Row],[Specialty/Subspecialty]],condensed_specialty_crosswalk[#All],2,FALSE),"")</f>
        <v/>
      </c>
      <c r="G657" s="53" t="str">
        <f>IFERROR(VLOOKUP(trainee_data[[#This Row],[Specialty/Subspecialty]],condensed_specialty_crosswalk[#All],3,FALSE),"")</f>
        <v/>
      </c>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row>
    <row r="658" spans="5:30" ht="14.25" x14ac:dyDescent="0.45">
      <c r="E658" s="69" t="str">
        <f>IFERROR(VLOOKUP(trainee_data[[#This Row],[Program Specialty]],taxonomy_map[[Other Taxonomy]:[Our Taxonomy]],2,FALSE),"")</f>
        <v/>
      </c>
      <c r="F658" s="55" t="str">
        <f>IFERROR(VLOOKUP(trainee_data[[#This Row],[Specialty/Subspecialty]],condensed_specialty_crosswalk[#All],2,FALSE),"")</f>
        <v/>
      </c>
      <c r="G658" s="56" t="str">
        <f>IFERROR(VLOOKUP(trainee_data[[#This Row],[Specialty/Subspecialty]],condensed_specialty_crosswalk[#All],3,FALSE),"")</f>
        <v/>
      </c>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row>
    <row r="659" spans="5:30" ht="14.25" x14ac:dyDescent="0.45">
      <c r="E659" s="70" t="str">
        <f>IFERROR(VLOOKUP(trainee_data[[#This Row],[Program Specialty]],taxonomy_map[[Other Taxonomy]:[Our Taxonomy]],2,FALSE),"")</f>
        <v/>
      </c>
      <c r="F659" s="52" t="str">
        <f>IFERROR(VLOOKUP(trainee_data[[#This Row],[Specialty/Subspecialty]],condensed_specialty_crosswalk[#All],2,FALSE),"")</f>
        <v/>
      </c>
      <c r="G659" s="53" t="str">
        <f>IFERROR(VLOOKUP(trainee_data[[#This Row],[Specialty/Subspecialty]],condensed_specialty_crosswalk[#All],3,FALSE),"")</f>
        <v/>
      </c>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row>
    <row r="660" spans="5:30" ht="14.25" x14ac:dyDescent="0.45">
      <c r="E660" s="69" t="str">
        <f>IFERROR(VLOOKUP(trainee_data[[#This Row],[Program Specialty]],taxonomy_map[[Other Taxonomy]:[Our Taxonomy]],2,FALSE),"")</f>
        <v/>
      </c>
      <c r="F660" s="55" t="str">
        <f>IFERROR(VLOOKUP(trainee_data[[#This Row],[Specialty/Subspecialty]],condensed_specialty_crosswalk[#All],2,FALSE),"")</f>
        <v/>
      </c>
      <c r="G660" s="56" t="str">
        <f>IFERROR(VLOOKUP(trainee_data[[#This Row],[Specialty/Subspecialty]],condensed_specialty_crosswalk[#All],3,FALSE),"")</f>
        <v/>
      </c>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row>
    <row r="661" spans="5:30" ht="14.25" x14ac:dyDescent="0.45">
      <c r="E661" s="70" t="str">
        <f>IFERROR(VLOOKUP(trainee_data[[#This Row],[Program Specialty]],taxonomy_map[[Other Taxonomy]:[Our Taxonomy]],2,FALSE),"")</f>
        <v/>
      </c>
      <c r="F661" s="52" t="str">
        <f>IFERROR(VLOOKUP(trainee_data[[#This Row],[Specialty/Subspecialty]],condensed_specialty_crosswalk[#All],2,FALSE),"")</f>
        <v/>
      </c>
      <c r="G661" s="53" t="str">
        <f>IFERROR(VLOOKUP(trainee_data[[#This Row],[Specialty/Subspecialty]],condensed_specialty_crosswalk[#All],3,FALSE),"")</f>
        <v/>
      </c>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row>
    <row r="662" spans="5:30" ht="14.25" x14ac:dyDescent="0.45">
      <c r="E662" s="69" t="str">
        <f>IFERROR(VLOOKUP(trainee_data[[#This Row],[Program Specialty]],taxonomy_map[[Other Taxonomy]:[Our Taxonomy]],2,FALSE),"")</f>
        <v/>
      </c>
      <c r="F662" s="55" t="str">
        <f>IFERROR(VLOOKUP(trainee_data[[#This Row],[Specialty/Subspecialty]],condensed_specialty_crosswalk[#All],2,FALSE),"")</f>
        <v/>
      </c>
      <c r="G662" s="56" t="str">
        <f>IFERROR(VLOOKUP(trainee_data[[#This Row],[Specialty/Subspecialty]],condensed_specialty_crosswalk[#All],3,FALSE),"")</f>
        <v/>
      </c>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row>
    <row r="663" spans="5:30" ht="14.25" x14ac:dyDescent="0.45">
      <c r="E663" s="70" t="str">
        <f>IFERROR(VLOOKUP(trainee_data[[#This Row],[Program Specialty]],taxonomy_map[[Other Taxonomy]:[Our Taxonomy]],2,FALSE),"")</f>
        <v/>
      </c>
      <c r="F663" s="52" t="str">
        <f>IFERROR(VLOOKUP(trainee_data[[#This Row],[Specialty/Subspecialty]],condensed_specialty_crosswalk[#All],2,FALSE),"")</f>
        <v/>
      </c>
      <c r="G663" s="53" t="str">
        <f>IFERROR(VLOOKUP(trainee_data[[#This Row],[Specialty/Subspecialty]],condensed_specialty_crosswalk[#All],3,FALSE),"")</f>
        <v/>
      </c>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row>
    <row r="664" spans="5:30" ht="14.25" x14ac:dyDescent="0.45">
      <c r="E664" s="69" t="str">
        <f>IFERROR(VLOOKUP(trainee_data[[#This Row],[Program Specialty]],taxonomy_map[[Other Taxonomy]:[Our Taxonomy]],2,FALSE),"")</f>
        <v/>
      </c>
      <c r="F664" s="55" t="str">
        <f>IFERROR(VLOOKUP(trainee_data[[#This Row],[Specialty/Subspecialty]],condensed_specialty_crosswalk[#All],2,FALSE),"")</f>
        <v/>
      </c>
      <c r="G664" s="56" t="str">
        <f>IFERROR(VLOOKUP(trainee_data[[#This Row],[Specialty/Subspecialty]],condensed_specialty_crosswalk[#All],3,FALSE),"")</f>
        <v/>
      </c>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row>
    <row r="665" spans="5:30" ht="14.25" x14ac:dyDescent="0.45">
      <c r="E665" s="70" t="str">
        <f>IFERROR(VLOOKUP(trainee_data[[#This Row],[Program Specialty]],taxonomy_map[[Other Taxonomy]:[Our Taxonomy]],2,FALSE),"")</f>
        <v/>
      </c>
      <c r="F665" s="52" t="str">
        <f>IFERROR(VLOOKUP(trainee_data[[#This Row],[Specialty/Subspecialty]],condensed_specialty_crosswalk[#All],2,FALSE),"")</f>
        <v/>
      </c>
      <c r="G665" s="53" t="str">
        <f>IFERROR(VLOOKUP(trainee_data[[#This Row],[Specialty/Subspecialty]],condensed_specialty_crosswalk[#All],3,FALSE),"")</f>
        <v/>
      </c>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row>
    <row r="666" spans="5:30" ht="14.25" x14ac:dyDescent="0.45">
      <c r="E666" s="69" t="str">
        <f>IFERROR(VLOOKUP(trainee_data[[#This Row],[Program Specialty]],taxonomy_map[[Other Taxonomy]:[Our Taxonomy]],2,FALSE),"")</f>
        <v/>
      </c>
      <c r="F666" s="55" t="str">
        <f>IFERROR(VLOOKUP(trainee_data[[#This Row],[Specialty/Subspecialty]],condensed_specialty_crosswalk[#All],2,FALSE),"")</f>
        <v/>
      </c>
      <c r="G666" s="56" t="str">
        <f>IFERROR(VLOOKUP(trainee_data[[#This Row],[Specialty/Subspecialty]],condensed_specialty_crosswalk[#All],3,FALSE),"")</f>
        <v/>
      </c>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row>
    <row r="667" spans="5:30" ht="14.25" x14ac:dyDescent="0.45">
      <c r="E667" s="70" t="str">
        <f>IFERROR(VLOOKUP(trainee_data[[#This Row],[Program Specialty]],taxonomy_map[[Other Taxonomy]:[Our Taxonomy]],2,FALSE),"")</f>
        <v/>
      </c>
      <c r="F667" s="52" t="str">
        <f>IFERROR(VLOOKUP(trainee_data[[#This Row],[Specialty/Subspecialty]],condensed_specialty_crosswalk[#All],2,FALSE),"")</f>
        <v/>
      </c>
      <c r="G667" s="53" t="str">
        <f>IFERROR(VLOOKUP(trainee_data[[#This Row],[Specialty/Subspecialty]],condensed_specialty_crosswalk[#All],3,FALSE),"")</f>
        <v/>
      </c>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row>
    <row r="668" spans="5:30" ht="14.25" x14ac:dyDescent="0.45">
      <c r="E668" s="69" t="str">
        <f>IFERROR(VLOOKUP(trainee_data[[#This Row],[Program Specialty]],taxonomy_map[[Other Taxonomy]:[Our Taxonomy]],2,FALSE),"")</f>
        <v/>
      </c>
      <c r="F668" s="55" t="str">
        <f>IFERROR(VLOOKUP(trainee_data[[#This Row],[Specialty/Subspecialty]],condensed_specialty_crosswalk[#All],2,FALSE),"")</f>
        <v/>
      </c>
      <c r="G668" s="56" t="str">
        <f>IFERROR(VLOOKUP(trainee_data[[#This Row],[Specialty/Subspecialty]],condensed_specialty_crosswalk[#All],3,FALSE),"")</f>
        <v/>
      </c>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row>
    <row r="669" spans="5:30" ht="14.25" x14ac:dyDescent="0.45">
      <c r="E669" s="70" t="str">
        <f>IFERROR(VLOOKUP(trainee_data[[#This Row],[Program Specialty]],taxonomy_map[[Other Taxonomy]:[Our Taxonomy]],2,FALSE),"")</f>
        <v/>
      </c>
      <c r="F669" s="52" t="str">
        <f>IFERROR(VLOOKUP(trainee_data[[#This Row],[Specialty/Subspecialty]],condensed_specialty_crosswalk[#All],2,FALSE),"")</f>
        <v/>
      </c>
      <c r="G669" s="53" t="str">
        <f>IFERROR(VLOOKUP(trainee_data[[#This Row],[Specialty/Subspecialty]],condensed_specialty_crosswalk[#All],3,FALSE),"")</f>
        <v/>
      </c>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row>
    <row r="670" spans="5:30" ht="14.25" x14ac:dyDescent="0.45">
      <c r="E670" s="69" t="str">
        <f>IFERROR(VLOOKUP(trainee_data[[#This Row],[Program Specialty]],taxonomy_map[[Other Taxonomy]:[Our Taxonomy]],2,FALSE),"")</f>
        <v/>
      </c>
      <c r="F670" s="55" t="str">
        <f>IFERROR(VLOOKUP(trainee_data[[#This Row],[Specialty/Subspecialty]],condensed_specialty_crosswalk[#All],2,FALSE),"")</f>
        <v/>
      </c>
      <c r="G670" s="56" t="str">
        <f>IFERROR(VLOOKUP(trainee_data[[#This Row],[Specialty/Subspecialty]],condensed_specialty_crosswalk[#All],3,FALSE),"")</f>
        <v/>
      </c>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row>
    <row r="671" spans="5:30" ht="14.25" x14ac:dyDescent="0.45">
      <c r="E671" s="70" t="str">
        <f>IFERROR(VLOOKUP(trainee_data[[#This Row],[Program Specialty]],taxonomy_map[[Other Taxonomy]:[Our Taxonomy]],2,FALSE),"")</f>
        <v/>
      </c>
      <c r="F671" s="52" t="str">
        <f>IFERROR(VLOOKUP(trainee_data[[#This Row],[Specialty/Subspecialty]],condensed_specialty_crosswalk[#All],2,FALSE),"")</f>
        <v/>
      </c>
      <c r="G671" s="53" t="str">
        <f>IFERROR(VLOOKUP(trainee_data[[#This Row],[Specialty/Subspecialty]],condensed_specialty_crosswalk[#All],3,FALSE),"")</f>
        <v/>
      </c>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row>
    <row r="672" spans="5:30" ht="14.25" x14ac:dyDescent="0.45">
      <c r="E672" s="69" t="str">
        <f>IFERROR(VLOOKUP(trainee_data[[#This Row],[Program Specialty]],taxonomy_map[[Other Taxonomy]:[Our Taxonomy]],2,FALSE),"")</f>
        <v/>
      </c>
      <c r="F672" s="55" t="str">
        <f>IFERROR(VLOOKUP(trainee_data[[#This Row],[Specialty/Subspecialty]],condensed_specialty_crosswalk[#All],2,FALSE),"")</f>
        <v/>
      </c>
      <c r="G672" s="56" t="str">
        <f>IFERROR(VLOOKUP(trainee_data[[#This Row],[Specialty/Subspecialty]],condensed_specialty_crosswalk[#All],3,FALSE),"")</f>
        <v/>
      </c>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row>
    <row r="673" spans="5:30" ht="14.25" x14ac:dyDescent="0.45">
      <c r="E673" s="70" t="str">
        <f>IFERROR(VLOOKUP(trainee_data[[#This Row],[Program Specialty]],taxonomy_map[[Other Taxonomy]:[Our Taxonomy]],2,FALSE),"")</f>
        <v/>
      </c>
      <c r="F673" s="52" t="str">
        <f>IFERROR(VLOOKUP(trainee_data[[#This Row],[Specialty/Subspecialty]],condensed_specialty_crosswalk[#All],2,FALSE),"")</f>
        <v/>
      </c>
      <c r="G673" s="53" t="str">
        <f>IFERROR(VLOOKUP(trainee_data[[#This Row],[Specialty/Subspecialty]],condensed_specialty_crosswalk[#All],3,FALSE),"")</f>
        <v/>
      </c>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row>
    <row r="674" spans="5:30" ht="14.25" x14ac:dyDescent="0.45">
      <c r="E674" s="69" t="str">
        <f>IFERROR(VLOOKUP(trainee_data[[#This Row],[Program Specialty]],taxonomy_map[[Other Taxonomy]:[Our Taxonomy]],2,FALSE),"")</f>
        <v/>
      </c>
      <c r="F674" s="55" t="str">
        <f>IFERROR(VLOOKUP(trainee_data[[#This Row],[Specialty/Subspecialty]],condensed_specialty_crosswalk[#All],2,FALSE),"")</f>
        <v/>
      </c>
      <c r="G674" s="56" t="str">
        <f>IFERROR(VLOOKUP(trainee_data[[#This Row],[Specialty/Subspecialty]],condensed_specialty_crosswalk[#All],3,FALSE),"")</f>
        <v/>
      </c>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row>
    <row r="675" spans="5:30" ht="14.25" x14ac:dyDescent="0.45">
      <c r="E675" s="70" t="str">
        <f>IFERROR(VLOOKUP(trainee_data[[#This Row],[Program Specialty]],taxonomy_map[[Other Taxonomy]:[Our Taxonomy]],2,FALSE),"")</f>
        <v/>
      </c>
      <c r="F675" s="52" t="str">
        <f>IFERROR(VLOOKUP(trainee_data[[#This Row],[Specialty/Subspecialty]],condensed_specialty_crosswalk[#All],2,FALSE),"")</f>
        <v/>
      </c>
      <c r="G675" s="53" t="str">
        <f>IFERROR(VLOOKUP(trainee_data[[#This Row],[Specialty/Subspecialty]],condensed_specialty_crosswalk[#All],3,FALSE),"")</f>
        <v/>
      </c>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row>
    <row r="676" spans="5:30" ht="14.25" x14ac:dyDescent="0.45">
      <c r="E676" s="69" t="str">
        <f>IFERROR(VLOOKUP(trainee_data[[#This Row],[Program Specialty]],taxonomy_map[[Other Taxonomy]:[Our Taxonomy]],2,FALSE),"")</f>
        <v/>
      </c>
      <c r="F676" s="55" t="str">
        <f>IFERROR(VLOOKUP(trainee_data[[#This Row],[Specialty/Subspecialty]],condensed_specialty_crosswalk[#All],2,FALSE),"")</f>
        <v/>
      </c>
      <c r="G676" s="56" t="str">
        <f>IFERROR(VLOOKUP(trainee_data[[#This Row],[Specialty/Subspecialty]],condensed_specialty_crosswalk[#All],3,FALSE),"")</f>
        <v/>
      </c>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row>
    <row r="677" spans="5:30" ht="14.25" x14ac:dyDescent="0.45">
      <c r="E677" s="70" t="str">
        <f>IFERROR(VLOOKUP(trainee_data[[#This Row],[Program Specialty]],taxonomy_map[[Other Taxonomy]:[Our Taxonomy]],2,FALSE),"")</f>
        <v/>
      </c>
      <c r="F677" s="52" t="str">
        <f>IFERROR(VLOOKUP(trainee_data[[#This Row],[Specialty/Subspecialty]],condensed_specialty_crosswalk[#All],2,FALSE),"")</f>
        <v/>
      </c>
      <c r="G677" s="53" t="str">
        <f>IFERROR(VLOOKUP(trainee_data[[#This Row],[Specialty/Subspecialty]],condensed_specialty_crosswalk[#All],3,FALSE),"")</f>
        <v/>
      </c>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row>
    <row r="678" spans="5:30" ht="14.25" x14ac:dyDescent="0.45">
      <c r="E678" s="69" t="str">
        <f>IFERROR(VLOOKUP(trainee_data[[#This Row],[Program Specialty]],taxonomy_map[[Other Taxonomy]:[Our Taxonomy]],2,FALSE),"")</f>
        <v/>
      </c>
      <c r="F678" s="55" t="str">
        <f>IFERROR(VLOOKUP(trainee_data[[#This Row],[Specialty/Subspecialty]],condensed_specialty_crosswalk[#All],2,FALSE),"")</f>
        <v/>
      </c>
      <c r="G678" s="56" t="str">
        <f>IFERROR(VLOOKUP(trainee_data[[#This Row],[Specialty/Subspecialty]],condensed_specialty_crosswalk[#All],3,FALSE),"")</f>
        <v/>
      </c>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row>
    <row r="679" spans="5:30" ht="14.25" x14ac:dyDescent="0.45">
      <c r="E679" s="70" t="str">
        <f>IFERROR(VLOOKUP(trainee_data[[#This Row],[Program Specialty]],taxonomy_map[[Other Taxonomy]:[Our Taxonomy]],2,FALSE),"")</f>
        <v/>
      </c>
      <c r="F679" s="52" t="str">
        <f>IFERROR(VLOOKUP(trainee_data[[#This Row],[Specialty/Subspecialty]],condensed_specialty_crosswalk[#All],2,FALSE),"")</f>
        <v/>
      </c>
      <c r="G679" s="53" t="str">
        <f>IFERROR(VLOOKUP(trainee_data[[#This Row],[Specialty/Subspecialty]],condensed_specialty_crosswalk[#All],3,FALSE),"")</f>
        <v/>
      </c>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row>
    <row r="680" spans="5:30" ht="14.25" x14ac:dyDescent="0.45">
      <c r="E680" s="69" t="str">
        <f>IFERROR(VLOOKUP(trainee_data[[#This Row],[Program Specialty]],taxonomy_map[[Other Taxonomy]:[Our Taxonomy]],2,FALSE),"")</f>
        <v/>
      </c>
      <c r="F680" s="55" t="str">
        <f>IFERROR(VLOOKUP(trainee_data[[#This Row],[Specialty/Subspecialty]],condensed_specialty_crosswalk[#All],2,FALSE),"")</f>
        <v/>
      </c>
      <c r="G680" s="56" t="str">
        <f>IFERROR(VLOOKUP(trainee_data[[#This Row],[Specialty/Subspecialty]],condensed_specialty_crosswalk[#All],3,FALSE),"")</f>
        <v/>
      </c>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row>
    <row r="681" spans="5:30" ht="14.25" x14ac:dyDescent="0.45">
      <c r="E681" s="70" t="str">
        <f>IFERROR(VLOOKUP(trainee_data[[#This Row],[Program Specialty]],taxonomy_map[[Other Taxonomy]:[Our Taxonomy]],2,FALSE),"")</f>
        <v/>
      </c>
      <c r="F681" s="52" t="str">
        <f>IFERROR(VLOOKUP(trainee_data[[#This Row],[Specialty/Subspecialty]],condensed_specialty_crosswalk[#All],2,FALSE),"")</f>
        <v/>
      </c>
      <c r="G681" s="53" t="str">
        <f>IFERROR(VLOOKUP(trainee_data[[#This Row],[Specialty/Subspecialty]],condensed_specialty_crosswalk[#All],3,FALSE),"")</f>
        <v/>
      </c>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row>
    <row r="682" spans="5:30" ht="14.25" x14ac:dyDescent="0.45">
      <c r="E682" s="69" t="str">
        <f>IFERROR(VLOOKUP(trainee_data[[#This Row],[Program Specialty]],taxonomy_map[[Other Taxonomy]:[Our Taxonomy]],2,FALSE),"")</f>
        <v/>
      </c>
      <c r="F682" s="55" t="str">
        <f>IFERROR(VLOOKUP(trainee_data[[#This Row],[Specialty/Subspecialty]],condensed_specialty_crosswalk[#All],2,FALSE),"")</f>
        <v/>
      </c>
      <c r="G682" s="56" t="str">
        <f>IFERROR(VLOOKUP(trainee_data[[#This Row],[Specialty/Subspecialty]],condensed_specialty_crosswalk[#All],3,FALSE),"")</f>
        <v/>
      </c>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row>
    <row r="683" spans="5:30" ht="14.25" x14ac:dyDescent="0.45">
      <c r="E683" s="70" t="str">
        <f>IFERROR(VLOOKUP(trainee_data[[#This Row],[Program Specialty]],taxonomy_map[[Other Taxonomy]:[Our Taxonomy]],2,FALSE),"")</f>
        <v/>
      </c>
      <c r="F683" s="52" t="str">
        <f>IFERROR(VLOOKUP(trainee_data[[#This Row],[Specialty/Subspecialty]],condensed_specialty_crosswalk[#All],2,FALSE),"")</f>
        <v/>
      </c>
      <c r="G683" s="53" t="str">
        <f>IFERROR(VLOOKUP(trainee_data[[#This Row],[Specialty/Subspecialty]],condensed_specialty_crosswalk[#All],3,FALSE),"")</f>
        <v/>
      </c>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row>
    <row r="684" spans="5:30" ht="14.25" x14ac:dyDescent="0.45">
      <c r="E684" s="69" t="str">
        <f>IFERROR(VLOOKUP(trainee_data[[#This Row],[Program Specialty]],taxonomy_map[[Other Taxonomy]:[Our Taxonomy]],2,FALSE),"")</f>
        <v/>
      </c>
      <c r="F684" s="55" t="str">
        <f>IFERROR(VLOOKUP(trainee_data[[#This Row],[Specialty/Subspecialty]],condensed_specialty_crosswalk[#All],2,FALSE),"")</f>
        <v/>
      </c>
      <c r="G684" s="56" t="str">
        <f>IFERROR(VLOOKUP(trainee_data[[#This Row],[Specialty/Subspecialty]],condensed_specialty_crosswalk[#All],3,FALSE),"")</f>
        <v/>
      </c>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row>
    <row r="685" spans="5:30" ht="14.25" x14ac:dyDescent="0.45">
      <c r="E685" s="70" t="str">
        <f>IFERROR(VLOOKUP(trainee_data[[#This Row],[Program Specialty]],taxonomy_map[[Other Taxonomy]:[Our Taxonomy]],2,FALSE),"")</f>
        <v/>
      </c>
      <c r="F685" s="52" t="str">
        <f>IFERROR(VLOOKUP(trainee_data[[#This Row],[Specialty/Subspecialty]],condensed_specialty_crosswalk[#All],2,FALSE),"")</f>
        <v/>
      </c>
      <c r="G685" s="53" t="str">
        <f>IFERROR(VLOOKUP(trainee_data[[#This Row],[Specialty/Subspecialty]],condensed_specialty_crosswalk[#All],3,FALSE),"")</f>
        <v/>
      </c>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row>
    <row r="686" spans="5:30" ht="14.25" x14ac:dyDescent="0.45">
      <c r="E686" s="69" t="str">
        <f>IFERROR(VLOOKUP(trainee_data[[#This Row],[Program Specialty]],taxonomy_map[[Other Taxonomy]:[Our Taxonomy]],2,FALSE),"")</f>
        <v/>
      </c>
      <c r="F686" s="55" t="str">
        <f>IFERROR(VLOOKUP(trainee_data[[#This Row],[Specialty/Subspecialty]],condensed_specialty_crosswalk[#All],2,FALSE),"")</f>
        <v/>
      </c>
      <c r="G686" s="56" t="str">
        <f>IFERROR(VLOOKUP(trainee_data[[#This Row],[Specialty/Subspecialty]],condensed_specialty_crosswalk[#All],3,FALSE),"")</f>
        <v/>
      </c>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row>
    <row r="687" spans="5:30" ht="14.25" x14ac:dyDescent="0.45">
      <c r="E687" s="70" t="str">
        <f>IFERROR(VLOOKUP(trainee_data[[#This Row],[Program Specialty]],taxonomy_map[[Other Taxonomy]:[Our Taxonomy]],2,FALSE),"")</f>
        <v/>
      </c>
      <c r="F687" s="52" t="str">
        <f>IFERROR(VLOOKUP(trainee_data[[#This Row],[Specialty/Subspecialty]],condensed_specialty_crosswalk[#All],2,FALSE),"")</f>
        <v/>
      </c>
      <c r="G687" s="53" t="str">
        <f>IFERROR(VLOOKUP(trainee_data[[#This Row],[Specialty/Subspecialty]],condensed_specialty_crosswalk[#All],3,FALSE),"")</f>
        <v/>
      </c>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row>
    <row r="688" spans="5:30" ht="14.25" x14ac:dyDescent="0.45">
      <c r="E688" s="69" t="str">
        <f>IFERROR(VLOOKUP(trainee_data[[#This Row],[Program Specialty]],taxonomy_map[[Other Taxonomy]:[Our Taxonomy]],2,FALSE),"")</f>
        <v/>
      </c>
      <c r="F688" s="55" t="str">
        <f>IFERROR(VLOOKUP(trainee_data[[#This Row],[Specialty/Subspecialty]],condensed_specialty_crosswalk[#All],2,FALSE),"")</f>
        <v/>
      </c>
      <c r="G688" s="56" t="str">
        <f>IFERROR(VLOOKUP(trainee_data[[#This Row],[Specialty/Subspecialty]],condensed_specialty_crosswalk[#All],3,FALSE),"")</f>
        <v/>
      </c>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row>
    <row r="689" spans="5:30" ht="14.25" x14ac:dyDescent="0.45">
      <c r="E689" s="70" t="str">
        <f>IFERROR(VLOOKUP(trainee_data[[#This Row],[Program Specialty]],taxonomy_map[[Other Taxonomy]:[Our Taxonomy]],2,FALSE),"")</f>
        <v/>
      </c>
      <c r="F689" s="52" t="str">
        <f>IFERROR(VLOOKUP(trainee_data[[#This Row],[Specialty/Subspecialty]],condensed_specialty_crosswalk[#All],2,FALSE),"")</f>
        <v/>
      </c>
      <c r="G689" s="53" t="str">
        <f>IFERROR(VLOOKUP(trainee_data[[#This Row],[Specialty/Subspecialty]],condensed_specialty_crosswalk[#All],3,FALSE),"")</f>
        <v/>
      </c>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row>
    <row r="690" spans="5:30" ht="14.25" x14ac:dyDescent="0.45">
      <c r="E690" s="69" t="str">
        <f>IFERROR(VLOOKUP(trainee_data[[#This Row],[Program Specialty]],taxonomy_map[[Other Taxonomy]:[Our Taxonomy]],2,FALSE),"")</f>
        <v/>
      </c>
      <c r="F690" s="55" t="str">
        <f>IFERROR(VLOOKUP(trainee_data[[#This Row],[Specialty/Subspecialty]],condensed_specialty_crosswalk[#All],2,FALSE),"")</f>
        <v/>
      </c>
      <c r="G690" s="56" t="str">
        <f>IFERROR(VLOOKUP(trainee_data[[#This Row],[Specialty/Subspecialty]],condensed_specialty_crosswalk[#All],3,FALSE),"")</f>
        <v/>
      </c>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row>
    <row r="691" spans="5:30" ht="14.25" x14ac:dyDescent="0.45">
      <c r="E691" s="70" t="str">
        <f>IFERROR(VLOOKUP(trainee_data[[#This Row],[Program Specialty]],taxonomy_map[[Other Taxonomy]:[Our Taxonomy]],2,FALSE),"")</f>
        <v/>
      </c>
      <c r="F691" s="52" t="str">
        <f>IFERROR(VLOOKUP(trainee_data[[#This Row],[Specialty/Subspecialty]],condensed_specialty_crosswalk[#All],2,FALSE),"")</f>
        <v/>
      </c>
      <c r="G691" s="53" t="str">
        <f>IFERROR(VLOOKUP(trainee_data[[#This Row],[Specialty/Subspecialty]],condensed_specialty_crosswalk[#All],3,FALSE),"")</f>
        <v/>
      </c>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row>
    <row r="692" spans="5:30" ht="14.25" x14ac:dyDescent="0.45">
      <c r="E692" s="69" t="str">
        <f>IFERROR(VLOOKUP(trainee_data[[#This Row],[Program Specialty]],taxonomy_map[[Other Taxonomy]:[Our Taxonomy]],2,FALSE),"")</f>
        <v/>
      </c>
      <c r="F692" s="55" t="str">
        <f>IFERROR(VLOOKUP(trainee_data[[#This Row],[Specialty/Subspecialty]],condensed_specialty_crosswalk[#All],2,FALSE),"")</f>
        <v/>
      </c>
      <c r="G692" s="56" t="str">
        <f>IFERROR(VLOOKUP(trainee_data[[#This Row],[Specialty/Subspecialty]],condensed_specialty_crosswalk[#All],3,FALSE),"")</f>
        <v/>
      </c>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row>
    <row r="693" spans="5:30" ht="14.25" x14ac:dyDescent="0.45">
      <c r="E693" s="70" t="str">
        <f>IFERROR(VLOOKUP(trainee_data[[#This Row],[Program Specialty]],taxonomy_map[[Other Taxonomy]:[Our Taxonomy]],2,FALSE),"")</f>
        <v/>
      </c>
      <c r="F693" s="52" t="str">
        <f>IFERROR(VLOOKUP(trainee_data[[#This Row],[Specialty/Subspecialty]],condensed_specialty_crosswalk[#All],2,FALSE),"")</f>
        <v/>
      </c>
      <c r="G693" s="53" t="str">
        <f>IFERROR(VLOOKUP(trainee_data[[#This Row],[Specialty/Subspecialty]],condensed_specialty_crosswalk[#All],3,FALSE),"")</f>
        <v/>
      </c>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row>
    <row r="694" spans="5:30" ht="14.25" x14ac:dyDescent="0.45">
      <c r="E694" s="69" t="str">
        <f>IFERROR(VLOOKUP(trainee_data[[#This Row],[Program Specialty]],taxonomy_map[[Other Taxonomy]:[Our Taxonomy]],2,FALSE),"")</f>
        <v/>
      </c>
      <c r="F694" s="55" t="str">
        <f>IFERROR(VLOOKUP(trainee_data[[#This Row],[Specialty/Subspecialty]],condensed_specialty_crosswalk[#All],2,FALSE),"")</f>
        <v/>
      </c>
      <c r="G694" s="56" t="str">
        <f>IFERROR(VLOOKUP(trainee_data[[#This Row],[Specialty/Subspecialty]],condensed_specialty_crosswalk[#All],3,FALSE),"")</f>
        <v/>
      </c>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row>
    <row r="695" spans="5:30" ht="14.25" x14ac:dyDescent="0.45">
      <c r="E695" s="70" t="str">
        <f>IFERROR(VLOOKUP(trainee_data[[#This Row],[Program Specialty]],taxonomy_map[[Other Taxonomy]:[Our Taxonomy]],2,FALSE),"")</f>
        <v/>
      </c>
      <c r="F695" s="52" t="str">
        <f>IFERROR(VLOOKUP(trainee_data[[#This Row],[Specialty/Subspecialty]],condensed_specialty_crosswalk[#All],2,FALSE),"")</f>
        <v/>
      </c>
      <c r="G695" s="53" t="str">
        <f>IFERROR(VLOOKUP(trainee_data[[#This Row],[Specialty/Subspecialty]],condensed_specialty_crosswalk[#All],3,FALSE),"")</f>
        <v/>
      </c>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row>
    <row r="696" spans="5:30" ht="14.25" x14ac:dyDescent="0.45">
      <c r="E696" s="69" t="str">
        <f>IFERROR(VLOOKUP(trainee_data[[#This Row],[Program Specialty]],taxonomy_map[[Other Taxonomy]:[Our Taxonomy]],2,FALSE),"")</f>
        <v/>
      </c>
      <c r="F696" s="55" t="str">
        <f>IFERROR(VLOOKUP(trainee_data[[#This Row],[Specialty/Subspecialty]],condensed_specialty_crosswalk[#All],2,FALSE),"")</f>
        <v/>
      </c>
      <c r="G696" s="56" t="str">
        <f>IFERROR(VLOOKUP(trainee_data[[#This Row],[Specialty/Subspecialty]],condensed_specialty_crosswalk[#All],3,FALSE),"")</f>
        <v/>
      </c>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row>
    <row r="697" spans="5:30" ht="14.25" x14ac:dyDescent="0.45">
      <c r="E697" s="70" t="str">
        <f>IFERROR(VLOOKUP(trainee_data[[#This Row],[Program Specialty]],taxonomy_map[[Other Taxonomy]:[Our Taxonomy]],2,FALSE),"")</f>
        <v/>
      </c>
      <c r="F697" s="52" t="str">
        <f>IFERROR(VLOOKUP(trainee_data[[#This Row],[Specialty/Subspecialty]],condensed_specialty_crosswalk[#All],2,FALSE),"")</f>
        <v/>
      </c>
      <c r="G697" s="53" t="str">
        <f>IFERROR(VLOOKUP(trainee_data[[#This Row],[Specialty/Subspecialty]],condensed_specialty_crosswalk[#All],3,FALSE),"")</f>
        <v/>
      </c>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row>
    <row r="698" spans="5:30" ht="14.25" x14ac:dyDescent="0.45">
      <c r="E698" s="69" t="str">
        <f>IFERROR(VLOOKUP(trainee_data[[#This Row],[Program Specialty]],taxonomy_map[[Other Taxonomy]:[Our Taxonomy]],2,FALSE),"")</f>
        <v/>
      </c>
      <c r="F698" s="55" t="str">
        <f>IFERROR(VLOOKUP(trainee_data[[#This Row],[Specialty/Subspecialty]],condensed_specialty_crosswalk[#All],2,FALSE),"")</f>
        <v/>
      </c>
      <c r="G698" s="56" t="str">
        <f>IFERROR(VLOOKUP(trainee_data[[#This Row],[Specialty/Subspecialty]],condensed_specialty_crosswalk[#All],3,FALSE),"")</f>
        <v/>
      </c>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row>
    <row r="699" spans="5:30" ht="14.25" x14ac:dyDescent="0.45">
      <c r="E699" s="70" t="str">
        <f>IFERROR(VLOOKUP(trainee_data[[#This Row],[Program Specialty]],taxonomy_map[[Other Taxonomy]:[Our Taxonomy]],2,FALSE),"")</f>
        <v/>
      </c>
      <c r="F699" s="52" t="str">
        <f>IFERROR(VLOOKUP(trainee_data[[#This Row],[Specialty/Subspecialty]],condensed_specialty_crosswalk[#All],2,FALSE),"")</f>
        <v/>
      </c>
      <c r="G699" s="53" t="str">
        <f>IFERROR(VLOOKUP(trainee_data[[#This Row],[Specialty/Subspecialty]],condensed_specialty_crosswalk[#All],3,FALSE),"")</f>
        <v/>
      </c>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row>
    <row r="700" spans="5:30" ht="14.25" x14ac:dyDescent="0.45">
      <c r="E700" s="69" t="str">
        <f>IFERROR(VLOOKUP(trainee_data[[#This Row],[Program Specialty]],taxonomy_map[[Other Taxonomy]:[Our Taxonomy]],2,FALSE),"")</f>
        <v/>
      </c>
      <c r="F700" s="55" t="str">
        <f>IFERROR(VLOOKUP(trainee_data[[#This Row],[Specialty/Subspecialty]],condensed_specialty_crosswalk[#All],2,FALSE),"")</f>
        <v/>
      </c>
      <c r="G700" s="56" t="str">
        <f>IFERROR(VLOOKUP(trainee_data[[#This Row],[Specialty/Subspecialty]],condensed_specialty_crosswalk[#All],3,FALSE),"")</f>
        <v/>
      </c>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row>
    <row r="701" spans="5:30" ht="14.25" x14ac:dyDescent="0.45">
      <c r="E701" s="70" t="str">
        <f>IFERROR(VLOOKUP(trainee_data[[#This Row],[Program Specialty]],taxonomy_map[[Other Taxonomy]:[Our Taxonomy]],2,FALSE),"")</f>
        <v/>
      </c>
      <c r="F701" s="52" t="str">
        <f>IFERROR(VLOOKUP(trainee_data[[#This Row],[Specialty/Subspecialty]],condensed_specialty_crosswalk[#All],2,FALSE),"")</f>
        <v/>
      </c>
      <c r="G701" s="53" t="str">
        <f>IFERROR(VLOOKUP(trainee_data[[#This Row],[Specialty/Subspecialty]],condensed_specialty_crosswalk[#All],3,FALSE),"")</f>
        <v/>
      </c>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row>
    <row r="702" spans="5:30" ht="14.25" x14ac:dyDescent="0.45">
      <c r="E702" s="69" t="str">
        <f>IFERROR(VLOOKUP(trainee_data[[#This Row],[Program Specialty]],taxonomy_map[[Other Taxonomy]:[Our Taxonomy]],2,FALSE),"")</f>
        <v/>
      </c>
      <c r="F702" s="55" t="str">
        <f>IFERROR(VLOOKUP(trainee_data[[#This Row],[Specialty/Subspecialty]],condensed_specialty_crosswalk[#All],2,FALSE),"")</f>
        <v/>
      </c>
      <c r="G702" s="56" t="str">
        <f>IFERROR(VLOOKUP(trainee_data[[#This Row],[Specialty/Subspecialty]],condensed_specialty_crosswalk[#All],3,FALSE),"")</f>
        <v/>
      </c>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row>
    <row r="703" spans="5:30" ht="14.25" x14ac:dyDescent="0.45">
      <c r="E703" s="70" t="str">
        <f>IFERROR(VLOOKUP(trainee_data[[#This Row],[Program Specialty]],taxonomy_map[[Other Taxonomy]:[Our Taxonomy]],2,FALSE),"")</f>
        <v/>
      </c>
      <c r="F703" s="52" t="str">
        <f>IFERROR(VLOOKUP(trainee_data[[#This Row],[Specialty/Subspecialty]],condensed_specialty_crosswalk[#All],2,FALSE),"")</f>
        <v/>
      </c>
      <c r="G703" s="53" t="str">
        <f>IFERROR(VLOOKUP(trainee_data[[#This Row],[Specialty/Subspecialty]],condensed_specialty_crosswalk[#All],3,FALSE),"")</f>
        <v/>
      </c>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row>
    <row r="704" spans="5:30" ht="14.25" x14ac:dyDescent="0.45">
      <c r="E704" s="69" t="str">
        <f>IFERROR(VLOOKUP(trainee_data[[#This Row],[Program Specialty]],taxonomy_map[[Other Taxonomy]:[Our Taxonomy]],2,FALSE),"")</f>
        <v/>
      </c>
      <c r="F704" s="55" t="str">
        <f>IFERROR(VLOOKUP(trainee_data[[#This Row],[Specialty/Subspecialty]],condensed_specialty_crosswalk[#All],2,FALSE),"")</f>
        <v/>
      </c>
      <c r="G704" s="56" t="str">
        <f>IFERROR(VLOOKUP(trainee_data[[#This Row],[Specialty/Subspecialty]],condensed_specialty_crosswalk[#All],3,FALSE),"")</f>
        <v/>
      </c>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row>
    <row r="705" spans="5:30" ht="14.25" x14ac:dyDescent="0.45">
      <c r="E705" s="70" t="str">
        <f>IFERROR(VLOOKUP(trainee_data[[#This Row],[Program Specialty]],taxonomy_map[[Other Taxonomy]:[Our Taxonomy]],2,FALSE),"")</f>
        <v/>
      </c>
      <c r="F705" s="52" t="str">
        <f>IFERROR(VLOOKUP(trainee_data[[#This Row],[Specialty/Subspecialty]],condensed_specialty_crosswalk[#All],2,FALSE),"")</f>
        <v/>
      </c>
      <c r="G705" s="53" t="str">
        <f>IFERROR(VLOOKUP(trainee_data[[#This Row],[Specialty/Subspecialty]],condensed_specialty_crosswalk[#All],3,FALSE),"")</f>
        <v/>
      </c>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row>
    <row r="706" spans="5:30" ht="14.25" x14ac:dyDescent="0.45">
      <c r="E706" s="69" t="str">
        <f>IFERROR(VLOOKUP(trainee_data[[#This Row],[Program Specialty]],taxonomy_map[[Other Taxonomy]:[Our Taxonomy]],2,FALSE),"")</f>
        <v/>
      </c>
      <c r="F706" s="55" t="str">
        <f>IFERROR(VLOOKUP(trainee_data[[#This Row],[Specialty/Subspecialty]],condensed_specialty_crosswalk[#All],2,FALSE),"")</f>
        <v/>
      </c>
      <c r="G706" s="56" t="str">
        <f>IFERROR(VLOOKUP(trainee_data[[#This Row],[Specialty/Subspecialty]],condensed_specialty_crosswalk[#All],3,FALSE),"")</f>
        <v/>
      </c>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row>
    <row r="707" spans="5:30" ht="14.25" x14ac:dyDescent="0.45">
      <c r="E707" s="70" t="str">
        <f>IFERROR(VLOOKUP(trainee_data[[#This Row],[Program Specialty]],taxonomy_map[[Other Taxonomy]:[Our Taxonomy]],2,FALSE),"")</f>
        <v/>
      </c>
      <c r="F707" s="52" t="str">
        <f>IFERROR(VLOOKUP(trainee_data[[#This Row],[Specialty/Subspecialty]],condensed_specialty_crosswalk[#All],2,FALSE),"")</f>
        <v/>
      </c>
      <c r="G707" s="53" t="str">
        <f>IFERROR(VLOOKUP(trainee_data[[#This Row],[Specialty/Subspecialty]],condensed_specialty_crosswalk[#All],3,FALSE),"")</f>
        <v/>
      </c>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row>
    <row r="708" spans="5:30" ht="14.25" x14ac:dyDescent="0.45">
      <c r="E708" s="69" t="str">
        <f>IFERROR(VLOOKUP(trainee_data[[#This Row],[Program Specialty]],taxonomy_map[[Other Taxonomy]:[Our Taxonomy]],2,FALSE),"")</f>
        <v/>
      </c>
      <c r="F708" s="55" t="str">
        <f>IFERROR(VLOOKUP(trainee_data[[#This Row],[Specialty/Subspecialty]],condensed_specialty_crosswalk[#All],2,FALSE),"")</f>
        <v/>
      </c>
      <c r="G708" s="56" t="str">
        <f>IFERROR(VLOOKUP(trainee_data[[#This Row],[Specialty/Subspecialty]],condensed_specialty_crosswalk[#All],3,FALSE),"")</f>
        <v/>
      </c>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row>
    <row r="709" spans="5:30" ht="14.25" x14ac:dyDescent="0.45">
      <c r="E709" s="70" t="str">
        <f>IFERROR(VLOOKUP(trainee_data[[#This Row],[Program Specialty]],taxonomy_map[[Other Taxonomy]:[Our Taxonomy]],2,FALSE),"")</f>
        <v/>
      </c>
      <c r="F709" s="52" t="str">
        <f>IFERROR(VLOOKUP(trainee_data[[#This Row],[Specialty/Subspecialty]],condensed_specialty_crosswalk[#All],2,FALSE),"")</f>
        <v/>
      </c>
      <c r="G709" s="53" t="str">
        <f>IFERROR(VLOOKUP(trainee_data[[#This Row],[Specialty/Subspecialty]],condensed_specialty_crosswalk[#All],3,FALSE),"")</f>
        <v/>
      </c>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row>
    <row r="710" spans="5:30" ht="14.25" x14ac:dyDescent="0.45">
      <c r="E710" s="69" t="str">
        <f>IFERROR(VLOOKUP(trainee_data[[#This Row],[Program Specialty]],taxonomy_map[[Other Taxonomy]:[Our Taxonomy]],2,FALSE),"")</f>
        <v/>
      </c>
      <c r="F710" s="55" t="str">
        <f>IFERROR(VLOOKUP(trainee_data[[#This Row],[Specialty/Subspecialty]],condensed_specialty_crosswalk[#All],2,FALSE),"")</f>
        <v/>
      </c>
      <c r="G710" s="56" t="str">
        <f>IFERROR(VLOOKUP(trainee_data[[#This Row],[Specialty/Subspecialty]],condensed_specialty_crosswalk[#All],3,FALSE),"")</f>
        <v/>
      </c>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row>
    <row r="711" spans="5:30" ht="14.25" x14ac:dyDescent="0.45">
      <c r="E711" s="70" t="str">
        <f>IFERROR(VLOOKUP(trainee_data[[#This Row],[Program Specialty]],taxonomy_map[[Other Taxonomy]:[Our Taxonomy]],2,FALSE),"")</f>
        <v/>
      </c>
      <c r="F711" s="52" t="str">
        <f>IFERROR(VLOOKUP(trainee_data[[#This Row],[Specialty/Subspecialty]],condensed_specialty_crosswalk[#All],2,FALSE),"")</f>
        <v/>
      </c>
      <c r="G711" s="53" t="str">
        <f>IFERROR(VLOOKUP(trainee_data[[#This Row],[Specialty/Subspecialty]],condensed_specialty_crosswalk[#All],3,FALSE),"")</f>
        <v/>
      </c>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row>
    <row r="712" spans="5:30" ht="14.25" x14ac:dyDescent="0.45">
      <c r="E712" s="69" t="str">
        <f>IFERROR(VLOOKUP(trainee_data[[#This Row],[Program Specialty]],taxonomy_map[[Other Taxonomy]:[Our Taxonomy]],2,FALSE),"")</f>
        <v/>
      </c>
      <c r="F712" s="55" t="str">
        <f>IFERROR(VLOOKUP(trainee_data[[#This Row],[Specialty/Subspecialty]],condensed_specialty_crosswalk[#All],2,FALSE),"")</f>
        <v/>
      </c>
      <c r="G712" s="56" t="str">
        <f>IFERROR(VLOOKUP(trainee_data[[#This Row],[Specialty/Subspecialty]],condensed_specialty_crosswalk[#All],3,FALSE),"")</f>
        <v/>
      </c>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row>
    <row r="713" spans="5:30" ht="14.25" x14ac:dyDescent="0.45">
      <c r="E713" s="70" t="str">
        <f>IFERROR(VLOOKUP(trainee_data[[#This Row],[Program Specialty]],taxonomy_map[[Other Taxonomy]:[Our Taxonomy]],2,FALSE),"")</f>
        <v/>
      </c>
      <c r="F713" s="52" t="str">
        <f>IFERROR(VLOOKUP(trainee_data[[#This Row],[Specialty/Subspecialty]],condensed_specialty_crosswalk[#All],2,FALSE),"")</f>
        <v/>
      </c>
      <c r="G713" s="53" t="str">
        <f>IFERROR(VLOOKUP(trainee_data[[#This Row],[Specialty/Subspecialty]],condensed_specialty_crosswalk[#All],3,FALSE),"")</f>
        <v/>
      </c>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row>
    <row r="714" spans="5:30" ht="14.25" x14ac:dyDescent="0.45">
      <c r="E714" s="69" t="str">
        <f>IFERROR(VLOOKUP(trainee_data[[#This Row],[Program Specialty]],taxonomy_map[[Other Taxonomy]:[Our Taxonomy]],2,FALSE),"")</f>
        <v/>
      </c>
      <c r="F714" s="55" t="str">
        <f>IFERROR(VLOOKUP(trainee_data[[#This Row],[Specialty/Subspecialty]],condensed_specialty_crosswalk[#All],2,FALSE),"")</f>
        <v/>
      </c>
      <c r="G714" s="56" t="str">
        <f>IFERROR(VLOOKUP(trainee_data[[#This Row],[Specialty/Subspecialty]],condensed_specialty_crosswalk[#All],3,FALSE),"")</f>
        <v/>
      </c>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row>
    <row r="715" spans="5:30" ht="14.25" x14ac:dyDescent="0.45">
      <c r="E715" s="70" t="str">
        <f>IFERROR(VLOOKUP(trainee_data[[#This Row],[Program Specialty]],taxonomy_map[[Other Taxonomy]:[Our Taxonomy]],2,FALSE),"")</f>
        <v/>
      </c>
      <c r="F715" s="52" t="str">
        <f>IFERROR(VLOOKUP(trainee_data[[#This Row],[Specialty/Subspecialty]],condensed_specialty_crosswalk[#All],2,FALSE),"")</f>
        <v/>
      </c>
      <c r="G715" s="53" t="str">
        <f>IFERROR(VLOOKUP(trainee_data[[#This Row],[Specialty/Subspecialty]],condensed_specialty_crosswalk[#All],3,FALSE),"")</f>
        <v/>
      </c>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row>
    <row r="716" spans="5:30" ht="14.25" x14ac:dyDescent="0.45">
      <c r="E716" s="69" t="str">
        <f>IFERROR(VLOOKUP(trainee_data[[#This Row],[Program Specialty]],taxonomy_map[[Other Taxonomy]:[Our Taxonomy]],2,FALSE),"")</f>
        <v/>
      </c>
      <c r="F716" s="55" t="str">
        <f>IFERROR(VLOOKUP(trainee_data[[#This Row],[Specialty/Subspecialty]],condensed_specialty_crosswalk[#All],2,FALSE),"")</f>
        <v/>
      </c>
      <c r="G716" s="56" t="str">
        <f>IFERROR(VLOOKUP(trainee_data[[#This Row],[Specialty/Subspecialty]],condensed_specialty_crosswalk[#All],3,FALSE),"")</f>
        <v/>
      </c>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row>
    <row r="717" spans="5:30" ht="14.25" x14ac:dyDescent="0.45">
      <c r="E717" s="70" t="str">
        <f>IFERROR(VLOOKUP(trainee_data[[#This Row],[Program Specialty]],taxonomy_map[[Other Taxonomy]:[Our Taxonomy]],2,FALSE),"")</f>
        <v/>
      </c>
      <c r="F717" s="52" t="str">
        <f>IFERROR(VLOOKUP(trainee_data[[#This Row],[Specialty/Subspecialty]],condensed_specialty_crosswalk[#All],2,FALSE),"")</f>
        <v/>
      </c>
      <c r="G717" s="53" t="str">
        <f>IFERROR(VLOOKUP(trainee_data[[#This Row],[Specialty/Subspecialty]],condensed_specialty_crosswalk[#All],3,FALSE),"")</f>
        <v/>
      </c>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row>
    <row r="718" spans="5:30" ht="14.25" x14ac:dyDescent="0.45">
      <c r="E718" s="69" t="str">
        <f>IFERROR(VLOOKUP(trainee_data[[#This Row],[Program Specialty]],taxonomy_map[[Other Taxonomy]:[Our Taxonomy]],2,FALSE),"")</f>
        <v/>
      </c>
      <c r="F718" s="55" t="str">
        <f>IFERROR(VLOOKUP(trainee_data[[#This Row],[Specialty/Subspecialty]],condensed_specialty_crosswalk[#All],2,FALSE),"")</f>
        <v/>
      </c>
      <c r="G718" s="56" t="str">
        <f>IFERROR(VLOOKUP(trainee_data[[#This Row],[Specialty/Subspecialty]],condensed_specialty_crosswalk[#All],3,FALSE),"")</f>
        <v/>
      </c>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row>
    <row r="719" spans="5:30" ht="14.25" x14ac:dyDescent="0.45">
      <c r="E719" s="70" t="str">
        <f>IFERROR(VLOOKUP(trainee_data[[#This Row],[Program Specialty]],taxonomy_map[[Other Taxonomy]:[Our Taxonomy]],2,FALSE),"")</f>
        <v/>
      </c>
      <c r="F719" s="52" t="str">
        <f>IFERROR(VLOOKUP(trainee_data[[#This Row],[Specialty/Subspecialty]],condensed_specialty_crosswalk[#All],2,FALSE),"")</f>
        <v/>
      </c>
      <c r="G719" s="53" t="str">
        <f>IFERROR(VLOOKUP(trainee_data[[#This Row],[Specialty/Subspecialty]],condensed_specialty_crosswalk[#All],3,FALSE),"")</f>
        <v/>
      </c>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row>
    <row r="720" spans="5:30" ht="14.25" x14ac:dyDescent="0.45">
      <c r="E720" s="69" t="str">
        <f>IFERROR(VLOOKUP(trainee_data[[#This Row],[Program Specialty]],taxonomy_map[[Other Taxonomy]:[Our Taxonomy]],2,FALSE),"")</f>
        <v/>
      </c>
      <c r="F720" s="55" t="str">
        <f>IFERROR(VLOOKUP(trainee_data[[#This Row],[Specialty/Subspecialty]],condensed_specialty_crosswalk[#All],2,FALSE),"")</f>
        <v/>
      </c>
      <c r="G720" s="56" t="str">
        <f>IFERROR(VLOOKUP(trainee_data[[#This Row],[Specialty/Subspecialty]],condensed_specialty_crosswalk[#All],3,FALSE),"")</f>
        <v/>
      </c>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row>
    <row r="721" spans="5:30" ht="14.25" x14ac:dyDescent="0.45">
      <c r="E721" s="70" t="str">
        <f>IFERROR(VLOOKUP(trainee_data[[#This Row],[Program Specialty]],taxonomy_map[[Other Taxonomy]:[Our Taxonomy]],2,FALSE),"")</f>
        <v/>
      </c>
      <c r="F721" s="52" t="str">
        <f>IFERROR(VLOOKUP(trainee_data[[#This Row],[Specialty/Subspecialty]],condensed_specialty_crosswalk[#All],2,FALSE),"")</f>
        <v/>
      </c>
      <c r="G721" s="53" t="str">
        <f>IFERROR(VLOOKUP(trainee_data[[#This Row],[Specialty/Subspecialty]],condensed_specialty_crosswalk[#All],3,FALSE),"")</f>
        <v/>
      </c>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row>
    <row r="722" spans="5:30" ht="14.25" x14ac:dyDescent="0.45">
      <c r="E722" s="69" t="str">
        <f>IFERROR(VLOOKUP(trainee_data[[#This Row],[Program Specialty]],taxonomy_map[[Other Taxonomy]:[Our Taxonomy]],2,FALSE),"")</f>
        <v/>
      </c>
      <c r="F722" s="55" t="str">
        <f>IFERROR(VLOOKUP(trainee_data[[#This Row],[Specialty/Subspecialty]],condensed_specialty_crosswalk[#All],2,FALSE),"")</f>
        <v/>
      </c>
      <c r="G722" s="56" t="str">
        <f>IFERROR(VLOOKUP(trainee_data[[#This Row],[Specialty/Subspecialty]],condensed_specialty_crosswalk[#All],3,FALSE),"")</f>
        <v/>
      </c>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row>
    <row r="723" spans="5:30" ht="14.25" x14ac:dyDescent="0.45">
      <c r="E723" s="70" t="str">
        <f>IFERROR(VLOOKUP(trainee_data[[#This Row],[Program Specialty]],taxonomy_map[[Other Taxonomy]:[Our Taxonomy]],2,FALSE),"")</f>
        <v/>
      </c>
      <c r="F723" s="52" t="str">
        <f>IFERROR(VLOOKUP(trainee_data[[#This Row],[Specialty/Subspecialty]],condensed_specialty_crosswalk[#All],2,FALSE),"")</f>
        <v/>
      </c>
      <c r="G723" s="53" t="str">
        <f>IFERROR(VLOOKUP(trainee_data[[#This Row],[Specialty/Subspecialty]],condensed_specialty_crosswalk[#All],3,FALSE),"")</f>
        <v/>
      </c>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row>
    <row r="724" spans="5:30" ht="14.25" x14ac:dyDescent="0.45">
      <c r="E724" s="69" t="str">
        <f>IFERROR(VLOOKUP(trainee_data[[#This Row],[Program Specialty]],taxonomy_map[[Other Taxonomy]:[Our Taxonomy]],2,FALSE),"")</f>
        <v/>
      </c>
      <c r="F724" s="55" t="str">
        <f>IFERROR(VLOOKUP(trainee_data[[#This Row],[Specialty/Subspecialty]],condensed_specialty_crosswalk[#All],2,FALSE),"")</f>
        <v/>
      </c>
      <c r="G724" s="56" t="str">
        <f>IFERROR(VLOOKUP(trainee_data[[#This Row],[Specialty/Subspecialty]],condensed_specialty_crosswalk[#All],3,FALSE),"")</f>
        <v/>
      </c>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row>
    <row r="725" spans="5:30" ht="14.25" x14ac:dyDescent="0.45">
      <c r="E725" s="70" t="str">
        <f>IFERROR(VLOOKUP(trainee_data[[#This Row],[Program Specialty]],taxonomy_map[[Other Taxonomy]:[Our Taxonomy]],2,FALSE),"")</f>
        <v/>
      </c>
      <c r="F725" s="52" t="str">
        <f>IFERROR(VLOOKUP(trainee_data[[#This Row],[Specialty/Subspecialty]],condensed_specialty_crosswalk[#All],2,FALSE),"")</f>
        <v/>
      </c>
      <c r="G725" s="53" t="str">
        <f>IFERROR(VLOOKUP(trainee_data[[#This Row],[Specialty/Subspecialty]],condensed_specialty_crosswalk[#All],3,FALSE),"")</f>
        <v/>
      </c>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row>
    <row r="726" spans="5:30" ht="14.25" x14ac:dyDescent="0.45">
      <c r="E726" s="69" t="str">
        <f>IFERROR(VLOOKUP(trainee_data[[#This Row],[Program Specialty]],taxonomy_map[[Other Taxonomy]:[Our Taxonomy]],2,FALSE),"")</f>
        <v/>
      </c>
      <c r="F726" s="55" t="str">
        <f>IFERROR(VLOOKUP(trainee_data[[#This Row],[Specialty/Subspecialty]],condensed_specialty_crosswalk[#All],2,FALSE),"")</f>
        <v/>
      </c>
      <c r="G726" s="56" t="str">
        <f>IFERROR(VLOOKUP(trainee_data[[#This Row],[Specialty/Subspecialty]],condensed_specialty_crosswalk[#All],3,FALSE),"")</f>
        <v/>
      </c>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row>
    <row r="727" spans="5:30" ht="14.25" x14ac:dyDescent="0.45">
      <c r="E727" s="70" t="str">
        <f>IFERROR(VLOOKUP(trainee_data[[#This Row],[Program Specialty]],taxonomy_map[[Other Taxonomy]:[Our Taxonomy]],2,FALSE),"")</f>
        <v/>
      </c>
      <c r="F727" s="52" t="str">
        <f>IFERROR(VLOOKUP(trainee_data[[#This Row],[Specialty/Subspecialty]],condensed_specialty_crosswalk[#All],2,FALSE),"")</f>
        <v/>
      </c>
      <c r="G727" s="53" t="str">
        <f>IFERROR(VLOOKUP(trainee_data[[#This Row],[Specialty/Subspecialty]],condensed_specialty_crosswalk[#All],3,FALSE),"")</f>
        <v/>
      </c>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row>
    <row r="728" spans="5:30" ht="14.25" x14ac:dyDescent="0.45">
      <c r="E728" s="69" t="str">
        <f>IFERROR(VLOOKUP(trainee_data[[#This Row],[Program Specialty]],taxonomy_map[[Other Taxonomy]:[Our Taxonomy]],2,FALSE),"")</f>
        <v/>
      </c>
      <c r="F728" s="55" t="str">
        <f>IFERROR(VLOOKUP(trainee_data[[#This Row],[Specialty/Subspecialty]],condensed_specialty_crosswalk[#All],2,FALSE),"")</f>
        <v/>
      </c>
      <c r="G728" s="56" t="str">
        <f>IFERROR(VLOOKUP(trainee_data[[#This Row],[Specialty/Subspecialty]],condensed_specialty_crosswalk[#All],3,FALSE),"")</f>
        <v/>
      </c>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row>
    <row r="729" spans="5:30" ht="14.25" x14ac:dyDescent="0.45">
      <c r="E729" s="70" t="str">
        <f>IFERROR(VLOOKUP(trainee_data[[#This Row],[Program Specialty]],taxonomy_map[[Other Taxonomy]:[Our Taxonomy]],2,FALSE),"")</f>
        <v/>
      </c>
      <c r="F729" s="52" t="str">
        <f>IFERROR(VLOOKUP(trainee_data[[#This Row],[Specialty/Subspecialty]],condensed_specialty_crosswalk[#All],2,FALSE),"")</f>
        <v/>
      </c>
      <c r="G729" s="53" t="str">
        <f>IFERROR(VLOOKUP(trainee_data[[#This Row],[Specialty/Subspecialty]],condensed_specialty_crosswalk[#All],3,FALSE),"")</f>
        <v/>
      </c>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row>
    <row r="730" spans="5:30" ht="14.25" x14ac:dyDescent="0.45">
      <c r="E730" s="69" t="str">
        <f>IFERROR(VLOOKUP(trainee_data[[#This Row],[Program Specialty]],taxonomy_map[[Other Taxonomy]:[Our Taxonomy]],2,FALSE),"")</f>
        <v/>
      </c>
      <c r="F730" s="55" t="str">
        <f>IFERROR(VLOOKUP(trainee_data[[#This Row],[Specialty/Subspecialty]],condensed_specialty_crosswalk[#All],2,FALSE),"")</f>
        <v/>
      </c>
      <c r="G730" s="56" t="str">
        <f>IFERROR(VLOOKUP(trainee_data[[#This Row],[Specialty/Subspecialty]],condensed_specialty_crosswalk[#All],3,FALSE),"")</f>
        <v/>
      </c>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row>
    <row r="731" spans="5:30" ht="14.25" x14ac:dyDescent="0.45">
      <c r="E731" s="70" t="str">
        <f>IFERROR(VLOOKUP(trainee_data[[#This Row],[Program Specialty]],taxonomy_map[[Other Taxonomy]:[Our Taxonomy]],2,FALSE),"")</f>
        <v/>
      </c>
      <c r="F731" s="52" t="str">
        <f>IFERROR(VLOOKUP(trainee_data[[#This Row],[Specialty/Subspecialty]],condensed_specialty_crosswalk[#All],2,FALSE),"")</f>
        <v/>
      </c>
      <c r="G731" s="53" t="str">
        <f>IFERROR(VLOOKUP(trainee_data[[#This Row],[Specialty/Subspecialty]],condensed_specialty_crosswalk[#All],3,FALSE),"")</f>
        <v/>
      </c>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row>
    <row r="732" spans="5:30" ht="14.25" x14ac:dyDescent="0.45">
      <c r="E732" s="69" t="str">
        <f>IFERROR(VLOOKUP(trainee_data[[#This Row],[Program Specialty]],taxonomy_map[[Other Taxonomy]:[Our Taxonomy]],2,FALSE),"")</f>
        <v/>
      </c>
      <c r="F732" s="55" t="str">
        <f>IFERROR(VLOOKUP(trainee_data[[#This Row],[Specialty/Subspecialty]],condensed_specialty_crosswalk[#All],2,FALSE),"")</f>
        <v/>
      </c>
      <c r="G732" s="56" t="str">
        <f>IFERROR(VLOOKUP(trainee_data[[#This Row],[Specialty/Subspecialty]],condensed_specialty_crosswalk[#All],3,FALSE),"")</f>
        <v/>
      </c>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row>
    <row r="733" spans="5:30" ht="14.25" x14ac:dyDescent="0.45">
      <c r="E733" s="70" t="str">
        <f>IFERROR(VLOOKUP(trainee_data[[#This Row],[Program Specialty]],taxonomy_map[[Other Taxonomy]:[Our Taxonomy]],2,FALSE),"")</f>
        <v/>
      </c>
      <c r="F733" s="52" t="str">
        <f>IFERROR(VLOOKUP(trainee_data[[#This Row],[Specialty/Subspecialty]],condensed_specialty_crosswalk[#All],2,FALSE),"")</f>
        <v/>
      </c>
      <c r="G733" s="53" t="str">
        <f>IFERROR(VLOOKUP(trainee_data[[#This Row],[Specialty/Subspecialty]],condensed_specialty_crosswalk[#All],3,FALSE),"")</f>
        <v/>
      </c>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row>
    <row r="734" spans="5:30" ht="14.25" x14ac:dyDescent="0.45">
      <c r="E734" s="69" t="str">
        <f>IFERROR(VLOOKUP(trainee_data[[#This Row],[Program Specialty]],taxonomy_map[[Other Taxonomy]:[Our Taxonomy]],2,FALSE),"")</f>
        <v/>
      </c>
      <c r="F734" s="55" t="str">
        <f>IFERROR(VLOOKUP(trainee_data[[#This Row],[Specialty/Subspecialty]],condensed_specialty_crosswalk[#All],2,FALSE),"")</f>
        <v/>
      </c>
      <c r="G734" s="56" t="str">
        <f>IFERROR(VLOOKUP(trainee_data[[#This Row],[Specialty/Subspecialty]],condensed_specialty_crosswalk[#All],3,FALSE),"")</f>
        <v/>
      </c>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row>
    <row r="735" spans="5:30" ht="14.25" x14ac:dyDescent="0.45">
      <c r="E735" s="70" t="str">
        <f>IFERROR(VLOOKUP(trainee_data[[#This Row],[Program Specialty]],taxonomy_map[[Other Taxonomy]:[Our Taxonomy]],2,FALSE),"")</f>
        <v/>
      </c>
      <c r="F735" s="52" t="str">
        <f>IFERROR(VLOOKUP(trainee_data[[#This Row],[Specialty/Subspecialty]],condensed_specialty_crosswalk[#All],2,FALSE),"")</f>
        <v/>
      </c>
      <c r="G735" s="53" t="str">
        <f>IFERROR(VLOOKUP(trainee_data[[#This Row],[Specialty/Subspecialty]],condensed_specialty_crosswalk[#All],3,FALSE),"")</f>
        <v/>
      </c>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row>
    <row r="736" spans="5:30" ht="14.25" x14ac:dyDescent="0.45">
      <c r="E736" s="69" t="str">
        <f>IFERROR(VLOOKUP(trainee_data[[#This Row],[Program Specialty]],taxonomy_map[[Other Taxonomy]:[Our Taxonomy]],2,FALSE),"")</f>
        <v/>
      </c>
      <c r="F736" s="55" t="str">
        <f>IFERROR(VLOOKUP(trainee_data[[#This Row],[Specialty/Subspecialty]],condensed_specialty_crosswalk[#All],2,FALSE),"")</f>
        <v/>
      </c>
      <c r="G736" s="56" t="str">
        <f>IFERROR(VLOOKUP(trainee_data[[#This Row],[Specialty/Subspecialty]],condensed_specialty_crosswalk[#All],3,FALSE),"")</f>
        <v/>
      </c>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row>
    <row r="737" spans="5:30" ht="14.25" x14ac:dyDescent="0.45">
      <c r="E737" s="70" t="str">
        <f>IFERROR(VLOOKUP(trainee_data[[#This Row],[Program Specialty]],taxonomy_map[[Other Taxonomy]:[Our Taxonomy]],2,FALSE),"")</f>
        <v/>
      </c>
      <c r="F737" s="52" t="str">
        <f>IFERROR(VLOOKUP(trainee_data[[#This Row],[Specialty/Subspecialty]],condensed_specialty_crosswalk[#All],2,FALSE),"")</f>
        <v/>
      </c>
      <c r="G737" s="53" t="str">
        <f>IFERROR(VLOOKUP(trainee_data[[#This Row],[Specialty/Subspecialty]],condensed_specialty_crosswalk[#All],3,FALSE),"")</f>
        <v/>
      </c>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row>
    <row r="738" spans="5:30" ht="14.25" x14ac:dyDescent="0.45">
      <c r="E738" s="69" t="str">
        <f>IFERROR(VLOOKUP(trainee_data[[#This Row],[Program Specialty]],taxonomy_map[[Other Taxonomy]:[Our Taxonomy]],2,FALSE),"")</f>
        <v/>
      </c>
      <c r="F738" s="55" t="str">
        <f>IFERROR(VLOOKUP(trainee_data[[#This Row],[Specialty/Subspecialty]],condensed_specialty_crosswalk[#All],2,FALSE),"")</f>
        <v/>
      </c>
      <c r="G738" s="56" t="str">
        <f>IFERROR(VLOOKUP(trainee_data[[#This Row],[Specialty/Subspecialty]],condensed_specialty_crosswalk[#All],3,FALSE),"")</f>
        <v/>
      </c>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row>
    <row r="739" spans="5:30" ht="14.25" x14ac:dyDescent="0.45">
      <c r="E739" s="70" t="str">
        <f>IFERROR(VLOOKUP(trainee_data[[#This Row],[Program Specialty]],taxonomy_map[[Other Taxonomy]:[Our Taxonomy]],2,FALSE),"")</f>
        <v/>
      </c>
      <c r="F739" s="52" t="str">
        <f>IFERROR(VLOOKUP(trainee_data[[#This Row],[Specialty/Subspecialty]],condensed_specialty_crosswalk[#All],2,FALSE),"")</f>
        <v/>
      </c>
      <c r="G739" s="53" t="str">
        <f>IFERROR(VLOOKUP(trainee_data[[#This Row],[Specialty/Subspecialty]],condensed_specialty_crosswalk[#All],3,FALSE),"")</f>
        <v/>
      </c>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row>
    <row r="740" spans="5:30" ht="14.25" x14ac:dyDescent="0.45">
      <c r="E740" s="69" t="str">
        <f>IFERROR(VLOOKUP(trainee_data[[#This Row],[Program Specialty]],taxonomy_map[[Other Taxonomy]:[Our Taxonomy]],2,FALSE),"")</f>
        <v/>
      </c>
      <c r="F740" s="55" t="str">
        <f>IFERROR(VLOOKUP(trainee_data[[#This Row],[Specialty/Subspecialty]],condensed_specialty_crosswalk[#All],2,FALSE),"")</f>
        <v/>
      </c>
      <c r="G740" s="56" t="str">
        <f>IFERROR(VLOOKUP(trainee_data[[#This Row],[Specialty/Subspecialty]],condensed_specialty_crosswalk[#All],3,FALSE),"")</f>
        <v/>
      </c>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row>
    <row r="741" spans="5:30" ht="14.25" x14ac:dyDescent="0.45">
      <c r="E741" s="70" t="str">
        <f>IFERROR(VLOOKUP(trainee_data[[#This Row],[Program Specialty]],taxonomy_map[[Other Taxonomy]:[Our Taxonomy]],2,FALSE),"")</f>
        <v/>
      </c>
      <c r="F741" s="52" t="str">
        <f>IFERROR(VLOOKUP(trainee_data[[#This Row],[Specialty/Subspecialty]],condensed_specialty_crosswalk[#All],2,FALSE),"")</f>
        <v/>
      </c>
      <c r="G741" s="53" t="str">
        <f>IFERROR(VLOOKUP(trainee_data[[#This Row],[Specialty/Subspecialty]],condensed_specialty_crosswalk[#All],3,FALSE),"")</f>
        <v/>
      </c>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row>
    <row r="742" spans="5:30" ht="14.25" x14ac:dyDescent="0.45">
      <c r="E742" s="69" t="str">
        <f>IFERROR(VLOOKUP(trainee_data[[#This Row],[Program Specialty]],taxonomy_map[[Other Taxonomy]:[Our Taxonomy]],2,FALSE),"")</f>
        <v/>
      </c>
      <c r="F742" s="55" t="str">
        <f>IFERROR(VLOOKUP(trainee_data[[#This Row],[Specialty/Subspecialty]],condensed_specialty_crosswalk[#All],2,FALSE),"")</f>
        <v/>
      </c>
      <c r="G742" s="56" t="str">
        <f>IFERROR(VLOOKUP(trainee_data[[#This Row],[Specialty/Subspecialty]],condensed_specialty_crosswalk[#All],3,FALSE),"")</f>
        <v/>
      </c>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row>
    <row r="743" spans="5:30" ht="14.25" x14ac:dyDescent="0.45">
      <c r="E743" s="70" t="str">
        <f>IFERROR(VLOOKUP(trainee_data[[#This Row],[Program Specialty]],taxonomy_map[[Other Taxonomy]:[Our Taxonomy]],2,FALSE),"")</f>
        <v/>
      </c>
      <c r="F743" s="52" t="str">
        <f>IFERROR(VLOOKUP(trainee_data[[#This Row],[Specialty/Subspecialty]],condensed_specialty_crosswalk[#All],2,FALSE),"")</f>
        <v/>
      </c>
      <c r="G743" s="53" t="str">
        <f>IFERROR(VLOOKUP(trainee_data[[#This Row],[Specialty/Subspecialty]],condensed_specialty_crosswalk[#All],3,FALSE),"")</f>
        <v/>
      </c>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row>
    <row r="744" spans="5:30" ht="14.25" x14ac:dyDescent="0.45">
      <c r="E744" s="69" t="str">
        <f>IFERROR(VLOOKUP(trainee_data[[#This Row],[Program Specialty]],taxonomy_map[[Other Taxonomy]:[Our Taxonomy]],2,FALSE),"")</f>
        <v/>
      </c>
      <c r="F744" s="55" t="str">
        <f>IFERROR(VLOOKUP(trainee_data[[#This Row],[Specialty/Subspecialty]],condensed_specialty_crosswalk[#All],2,FALSE),"")</f>
        <v/>
      </c>
      <c r="G744" s="56" t="str">
        <f>IFERROR(VLOOKUP(trainee_data[[#This Row],[Specialty/Subspecialty]],condensed_specialty_crosswalk[#All],3,FALSE),"")</f>
        <v/>
      </c>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row>
    <row r="745" spans="5:30" ht="14.25" x14ac:dyDescent="0.45">
      <c r="E745" s="70" t="str">
        <f>IFERROR(VLOOKUP(trainee_data[[#This Row],[Program Specialty]],taxonomy_map[[Other Taxonomy]:[Our Taxonomy]],2,FALSE),"")</f>
        <v/>
      </c>
      <c r="F745" s="52" t="str">
        <f>IFERROR(VLOOKUP(trainee_data[[#This Row],[Specialty/Subspecialty]],condensed_specialty_crosswalk[#All],2,FALSE),"")</f>
        <v/>
      </c>
      <c r="G745" s="53" t="str">
        <f>IFERROR(VLOOKUP(trainee_data[[#This Row],[Specialty/Subspecialty]],condensed_specialty_crosswalk[#All],3,FALSE),"")</f>
        <v/>
      </c>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row>
    <row r="746" spans="5:30" ht="14.25" x14ac:dyDescent="0.45">
      <c r="E746" s="69" t="str">
        <f>IFERROR(VLOOKUP(trainee_data[[#This Row],[Program Specialty]],taxonomy_map[[Other Taxonomy]:[Our Taxonomy]],2,FALSE),"")</f>
        <v/>
      </c>
      <c r="F746" s="55" t="str">
        <f>IFERROR(VLOOKUP(trainee_data[[#This Row],[Specialty/Subspecialty]],condensed_specialty_crosswalk[#All],2,FALSE),"")</f>
        <v/>
      </c>
      <c r="G746" s="56" t="str">
        <f>IFERROR(VLOOKUP(trainee_data[[#This Row],[Specialty/Subspecialty]],condensed_specialty_crosswalk[#All],3,FALSE),"")</f>
        <v/>
      </c>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row>
    <row r="747" spans="5:30" ht="14.25" x14ac:dyDescent="0.45">
      <c r="E747" s="70" t="str">
        <f>IFERROR(VLOOKUP(trainee_data[[#This Row],[Program Specialty]],taxonomy_map[[Other Taxonomy]:[Our Taxonomy]],2,FALSE),"")</f>
        <v/>
      </c>
      <c r="F747" s="52" t="str">
        <f>IFERROR(VLOOKUP(trainee_data[[#This Row],[Specialty/Subspecialty]],condensed_specialty_crosswalk[#All],2,FALSE),"")</f>
        <v/>
      </c>
      <c r="G747" s="53" t="str">
        <f>IFERROR(VLOOKUP(trainee_data[[#This Row],[Specialty/Subspecialty]],condensed_specialty_crosswalk[#All],3,FALSE),"")</f>
        <v/>
      </c>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row>
    <row r="748" spans="5:30" ht="14.25" x14ac:dyDescent="0.45">
      <c r="E748" s="69" t="str">
        <f>IFERROR(VLOOKUP(trainee_data[[#This Row],[Program Specialty]],taxonomy_map[[Other Taxonomy]:[Our Taxonomy]],2,FALSE),"")</f>
        <v/>
      </c>
      <c r="F748" s="55" t="str">
        <f>IFERROR(VLOOKUP(trainee_data[[#This Row],[Specialty/Subspecialty]],condensed_specialty_crosswalk[#All],2,FALSE),"")</f>
        <v/>
      </c>
      <c r="G748" s="56" t="str">
        <f>IFERROR(VLOOKUP(trainee_data[[#This Row],[Specialty/Subspecialty]],condensed_specialty_crosswalk[#All],3,FALSE),"")</f>
        <v/>
      </c>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row>
    <row r="749" spans="5:30" ht="14.25" x14ac:dyDescent="0.45">
      <c r="E749" s="70" t="str">
        <f>IFERROR(VLOOKUP(trainee_data[[#This Row],[Program Specialty]],taxonomy_map[[Other Taxonomy]:[Our Taxonomy]],2,FALSE),"")</f>
        <v/>
      </c>
      <c r="F749" s="52" t="str">
        <f>IFERROR(VLOOKUP(trainee_data[[#This Row],[Specialty/Subspecialty]],condensed_specialty_crosswalk[#All],2,FALSE),"")</f>
        <v/>
      </c>
      <c r="G749" s="53" t="str">
        <f>IFERROR(VLOOKUP(trainee_data[[#This Row],[Specialty/Subspecialty]],condensed_specialty_crosswalk[#All],3,FALSE),"")</f>
        <v/>
      </c>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row>
    <row r="750" spans="5:30" ht="14.25" x14ac:dyDescent="0.45">
      <c r="E750" s="69" t="str">
        <f>IFERROR(VLOOKUP(trainee_data[[#This Row],[Program Specialty]],taxonomy_map[[Other Taxonomy]:[Our Taxonomy]],2,FALSE),"")</f>
        <v/>
      </c>
      <c r="F750" s="55" t="str">
        <f>IFERROR(VLOOKUP(trainee_data[[#This Row],[Specialty/Subspecialty]],condensed_specialty_crosswalk[#All],2,FALSE),"")</f>
        <v/>
      </c>
      <c r="G750" s="56" t="str">
        <f>IFERROR(VLOOKUP(trainee_data[[#This Row],[Specialty/Subspecialty]],condensed_specialty_crosswalk[#All],3,FALSE),"")</f>
        <v/>
      </c>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row>
    <row r="751" spans="5:30" ht="14.25" x14ac:dyDescent="0.45">
      <c r="E751" s="70" t="str">
        <f>IFERROR(VLOOKUP(trainee_data[[#This Row],[Program Specialty]],taxonomy_map[[Other Taxonomy]:[Our Taxonomy]],2,FALSE),"")</f>
        <v/>
      </c>
      <c r="F751" s="52" t="str">
        <f>IFERROR(VLOOKUP(trainee_data[[#This Row],[Specialty/Subspecialty]],condensed_specialty_crosswalk[#All],2,FALSE),"")</f>
        <v/>
      </c>
      <c r="G751" s="53" t="str">
        <f>IFERROR(VLOOKUP(trainee_data[[#This Row],[Specialty/Subspecialty]],condensed_specialty_crosswalk[#All],3,FALSE),"")</f>
        <v/>
      </c>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row>
    <row r="752" spans="5:30" ht="14.25" x14ac:dyDescent="0.45">
      <c r="E752" s="69" t="str">
        <f>IFERROR(VLOOKUP(trainee_data[[#This Row],[Program Specialty]],taxonomy_map[[Other Taxonomy]:[Our Taxonomy]],2,FALSE),"")</f>
        <v/>
      </c>
      <c r="F752" s="55" t="str">
        <f>IFERROR(VLOOKUP(trainee_data[[#This Row],[Specialty/Subspecialty]],condensed_specialty_crosswalk[#All],2,FALSE),"")</f>
        <v/>
      </c>
      <c r="G752" s="56" t="str">
        <f>IFERROR(VLOOKUP(trainee_data[[#This Row],[Specialty/Subspecialty]],condensed_specialty_crosswalk[#All],3,FALSE),"")</f>
        <v/>
      </c>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row>
    <row r="753" spans="5:30" ht="14.25" x14ac:dyDescent="0.45">
      <c r="E753" s="70" t="str">
        <f>IFERROR(VLOOKUP(trainee_data[[#This Row],[Program Specialty]],taxonomy_map[[Other Taxonomy]:[Our Taxonomy]],2,FALSE),"")</f>
        <v/>
      </c>
      <c r="F753" s="52" t="str">
        <f>IFERROR(VLOOKUP(trainee_data[[#This Row],[Specialty/Subspecialty]],condensed_specialty_crosswalk[#All],2,FALSE),"")</f>
        <v/>
      </c>
      <c r="G753" s="53" t="str">
        <f>IFERROR(VLOOKUP(trainee_data[[#This Row],[Specialty/Subspecialty]],condensed_specialty_crosswalk[#All],3,FALSE),"")</f>
        <v/>
      </c>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row>
    <row r="754" spans="5:30" ht="14.25" x14ac:dyDescent="0.45">
      <c r="E754" s="69" t="str">
        <f>IFERROR(VLOOKUP(trainee_data[[#This Row],[Program Specialty]],taxonomy_map[[Other Taxonomy]:[Our Taxonomy]],2,FALSE),"")</f>
        <v/>
      </c>
      <c r="F754" s="55" t="str">
        <f>IFERROR(VLOOKUP(trainee_data[[#This Row],[Specialty/Subspecialty]],condensed_specialty_crosswalk[#All],2,FALSE),"")</f>
        <v/>
      </c>
      <c r="G754" s="56" t="str">
        <f>IFERROR(VLOOKUP(trainee_data[[#This Row],[Specialty/Subspecialty]],condensed_specialty_crosswalk[#All],3,FALSE),"")</f>
        <v/>
      </c>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row>
    <row r="755" spans="5:30" ht="14.25" x14ac:dyDescent="0.45">
      <c r="E755" s="70" t="str">
        <f>IFERROR(VLOOKUP(trainee_data[[#This Row],[Program Specialty]],taxonomy_map[[Other Taxonomy]:[Our Taxonomy]],2,FALSE),"")</f>
        <v/>
      </c>
      <c r="F755" s="52" t="str">
        <f>IFERROR(VLOOKUP(trainee_data[[#This Row],[Specialty/Subspecialty]],condensed_specialty_crosswalk[#All],2,FALSE),"")</f>
        <v/>
      </c>
      <c r="G755" s="53" t="str">
        <f>IFERROR(VLOOKUP(trainee_data[[#This Row],[Specialty/Subspecialty]],condensed_specialty_crosswalk[#All],3,FALSE),"")</f>
        <v/>
      </c>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row>
    <row r="756" spans="5:30" ht="14.25" x14ac:dyDescent="0.45">
      <c r="E756" s="69" t="str">
        <f>IFERROR(VLOOKUP(trainee_data[[#This Row],[Program Specialty]],taxonomy_map[[Other Taxonomy]:[Our Taxonomy]],2,FALSE),"")</f>
        <v/>
      </c>
      <c r="F756" s="55" t="str">
        <f>IFERROR(VLOOKUP(trainee_data[[#This Row],[Specialty/Subspecialty]],condensed_specialty_crosswalk[#All],2,FALSE),"")</f>
        <v/>
      </c>
      <c r="G756" s="56" t="str">
        <f>IFERROR(VLOOKUP(trainee_data[[#This Row],[Specialty/Subspecialty]],condensed_specialty_crosswalk[#All],3,FALSE),"")</f>
        <v/>
      </c>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row>
    <row r="757" spans="5:30" ht="14.25" x14ac:dyDescent="0.45">
      <c r="E757" s="70" t="str">
        <f>IFERROR(VLOOKUP(trainee_data[[#This Row],[Program Specialty]],taxonomy_map[[Other Taxonomy]:[Our Taxonomy]],2,FALSE),"")</f>
        <v/>
      </c>
      <c r="F757" s="52" t="str">
        <f>IFERROR(VLOOKUP(trainee_data[[#This Row],[Specialty/Subspecialty]],condensed_specialty_crosswalk[#All],2,FALSE),"")</f>
        <v/>
      </c>
      <c r="G757" s="53" t="str">
        <f>IFERROR(VLOOKUP(trainee_data[[#This Row],[Specialty/Subspecialty]],condensed_specialty_crosswalk[#All],3,FALSE),"")</f>
        <v/>
      </c>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row>
    <row r="758" spans="5:30" ht="14.25" x14ac:dyDescent="0.45">
      <c r="E758" s="69" t="str">
        <f>IFERROR(VLOOKUP(trainee_data[[#This Row],[Program Specialty]],taxonomy_map[[Other Taxonomy]:[Our Taxonomy]],2,FALSE),"")</f>
        <v/>
      </c>
      <c r="F758" s="55" t="str">
        <f>IFERROR(VLOOKUP(trainee_data[[#This Row],[Specialty/Subspecialty]],condensed_specialty_crosswalk[#All],2,FALSE),"")</f>
        <v/>
      </c>
      <c r="G758" s="56" t="str">
        <f>IFERROR(VLOOKUP(trainee_data[[#This Row],[Specialty/Subspecialty]],condensed_specialty_crosswalk[#All],3,FALSE),"")</f>
        <v/>
      </c>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row>
    <row r="759" spans="5:30" ht="14.25" x14ac:dyDescent="0.45">
      <c r="E759" s="70" t="str">
        <f>IFERROR(VLOOKUP(trainee_data[[#This Row],[Program Specialty]],taxonomy_map[[Other Taxonomy]:[Our Taxonomy]],2,FALSE),"")</f>
        <v/>
      </c>
      <c r="F759" s="52" t="str">
        <f>IFERROR(VLOOKUP(trainee_data[[#This Row],[Specialty/Subspecialty]],condensed_specialty_crosswalk[#All],2,FALSE),"")</f>
        <v/>
      </c>
      <c r="G759" s="53" t="str">
        <f>IFERROR(VLOOKUP(trainee_data[[#This Row],[Specialty/Subspecialty]],condensed_specialty_crosswalk[#All],3,FALSE),"")</f>
        <v/>
      </c>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row>
    <row r="760" spans="5:30" ht="14.25" x14ac:dyDescent="0.45">
      <c r="E760" s="69" t="str">
        <f>IFERROR(VLOOKUP(trainee_data[[#This Row],[Program Specialty]],taxonomy_map[[Other Taxonomy]:[Our Taxonomy]],2,FALSE),"")</f>
        <v/>
      </c>
      <c r="F760" s="55" t="str">
        <f>IFERROR(VLOOKUP(trainee_data[[#This Row],[Specialty/Subspecialty]],condensed_specialty_crosswalk[#All],2,FALSE),"")</f>
        <v/>
      </c>
      <c r="G760" s="56" t="str">
        <f>IFERROR(VLOOKUP(trainee_data[[#This Row],[Specialty/Subspecialty]],condensed_specialty_crosswalk[#All],3,FALSE),"")</f>
        <v/>
      </c>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row>
    <row r="761" spans="5:30" ht="14.25" x14ac:dyDescent="0.45">
      <c r="E761" s="70" t="str">
        <f>IFERROR(VLOOKUP(trainee_data[[#This Row],[Program Specialty]],taxonomy_map[[Other Taxonomy]:[Our Taxonomy]],2,FALSE),"")</f>
        <v/>
      </c>
      <c r="F761" s="52" t="str">
        <f>IFERROR(VLOOKUP(trainee_data[[#This Row],[Specialty/Subspecialty]],condensed_specialty_crosswalk[#All],2,FALSE),"")</f>
        <v/>
      </c>
      <c r="G761" s="53" t="str">
        <f>IFERROR(VLOOKUP(trainee_data[[#This Row],[Specialty/Subspecialty]],condensed_specialty_crosswalk[#All],3,FALSE),"")</f>
        <v/>
      </c>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row>
    <row r="762" spans="5:30" ht="14.25" x14ac:dyDescent="0.45">
      <c r="E762" s="69" t="str">
        <f>IFERROR(VLOOKUP(trainee_data[[#This Row],[Program Specialty]],taxonomy_map[[Other Taxonomy]:[Our Taxonomy]],2,FALSE),"")</f>
        <v/>
      </c>
      <c r="F762" s="55" t="str">
        <f>IFERROR(VLOOKUP(trainee_data[[#This Row],[Specialty/Subspecialty]],condensed_specialty_crosswalk[#All],2,FALSE),"")</f>
        <v/>
      </c>
      <c r="G762" s="56" t="str">
        <f>IFERROR(VLOOKUP(trainee_data[[#This Row],[Specialty/Subspecialty]],condensed_specialty_crosswalk[#All],3,FALSE),"")</f>
        <v/>
      </c>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row>
    <row r="763" spans="5:30" ht="14.25" x14ac:dyDescent="0.45">
      <c r="E763" s="70" t="str">
        <f>IFERROR(VLOOKUP(trainee_data[[#This Row],[Program Specialty]],taxonomy_map[[Other Taxonomy]:[Our Taxonomy]],2,FALSE),"")</f>
        <v/>
      </c>
      <c r="F763" s="52" t="str">
        <f>IFERROR(VLOOKUP(trainee_data[[#This Row],[Specialty/Subspecialty]],condensed_specialty_crosswalk[#All],2,FALSE),"")</f>
        <v/>
      </c>
      <c r="G763" s="53" t="str">
        <f>IFERROR(VLOOKUP(trainee_data[[#This Row],[Specialty/Subspecialty]],condensed_specialty_crosswalk[#All],3,FALSE),"")</f>
        <v/>
      </c>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row>
    <row r="764" spans="5:30" ht="14.25" x14ac:dyDescent="0.45">
      <c r="E764" s="69" t="str">
        <f>IFERROR(VLOOKUP(trainee_data[[#This Row],[Program Specialty]],taxonomy_map[[Other Taxonomy]:[Our Taxonomy]],2,FALSE),"")</f>
        <v/>
      </c>
      <c r="F764" s="55" t="str">
        <f>IFERROR(VLOOKUP(trainee_data[[#This Row],[Specialty/Subspecialty]],condensed_specialty_crosswalk[#All],2,FALSE),"")</f>
        <v/>
      </c>
      <c r="G764" s="56" t="str">
        <f>IFERROR(VLOOKUP(trainee_data[[#This Row],[Specialty/Subspecialty]],condensed_specialty_crosswalk[#All],3,FALSE),"")</f>
        <v/>
      </c>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row>
    <row r="765" spans="5:30" ht="14.25" x14ac:dyDescent="0.45">
      <c r="E765" s="70" t="str">
        <f>IFERROR(VLOOKUP(trainee_data[[#This Row],[Program Specialty]],taxonomy_map[[Other Taxonomy]:[Our Taxonomy]],2,FALSE),"")</f>
        <v/>
      </c>
      <c r="F765" s="52" t="str">
        <f>IFERROR(VLOOKUP(trainee_data[[#This Row],[Specialty/Subspecialty]],condensed_specialty_crosswalk[#All],2,FALSE),"")</f>
        <v/>
      </c>
      <c r="G765" s="53" t="str">
        <f>IFERROR(VLOOKUP(trainee_data[[#This Row],[Specialty/Subspecialty]],condensed_specialty_crosswalk[#All],3,FALSE),"")</f>
        <v/>
      </c>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row>
    <row r="766" spans="5:30" ht="14.25" x14ac:dyDescent="0.45">
      <c r="E766" s="69" t="str">
        <f>IFERROR(VLOOKUP(trainee_data[[#This Row],[Program Specialty]],taxonomy_map[[Other Taxonomy]:[Our Taxonomy]],2,FALSE),"")</f>
        <v/>
      </c>
      <c r="F766" s="55" t="str">
        <f>IFERROR(VLOOKUP(trainee_data[[#This Row],[Specialty/Subspecialty]],condensed_specialty_crosswalk[#All],2,FALSE),"")</f>
        <v/>
      </c>
      <c r="G766" s="56" t="str">
        <f>IFERROR(VLOOKUP(trainee_data[[#This Row],[Specialty/Subspecialty]],condensed_specialty_crosswalk[#All],3,FALSE),"")</f>
        <v/>
      </c>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row>
    <row r="767" spans="5:30" ht="14.25" x14ac:dyDescent="0.45">
      <c r="E767" s="70" t="str">
        <f>IFERROR(VLOOKUP(trainee_data[[#This Row],[Program Specialty]],taxonomy_map[[Other Taxonomy]:[Our Taxonomy]],2,FALSE),"")</f>
        <v/>
      </c>
      <c r="F767" s="52" t="str">
        <f>IFERROR(VLOOKUP(trainee_data[[#This Row],[Specialty/Subspecialty]],condensed_specialty_crosswalk[#All],2,FALSE),"")</f>
        <v/>
      </c>
      <c r="G767" s="53" t="str">
        <f>IFERROR(VLOOKUP(trainee_data[[#This Row],[Specialty/Subspecialty]],condensed_specialty_crosswalk[#All],3,FALSE),"")</f>
        <v/>
      </c>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row>
    <row r="768" spans="5:30" ht="14.25" x14ac:dyDescent="0.45">
      <c r="E768" s="69" t="str">
        <f>IFERROR(VLOOKUP(trainee_data[[#This Row],[Program Specialty]],taxonomy_map[[Other Taxonomy]:[Our Taxonomy]],2,FALSE),"")</f>
        <v/>
      </c>
      <c r="F768" s="55" t="str">
        <f>IFERROR(VLOOKUP(trainee_data[[#This Row],[Specialty/Subspecialty]],condensed_specialty_crosswalk[#All],2,FALSE),"")</f>
        <v/>
      </c>
      <c r="G768" s="56" t="str">
        <f>IFERROR(VLOOKUP(trainee_data[[#This Row],[Specialty/Subspecialty]],condensed_specialty_crosswalk[#All],3,FALSE),"")</f>
        <v/>
      </c>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row>
    <row r="769" spans="5:30" ht="14.25" x14ac:dyDescent="0.45">
      <c r="E769" s="70" t="str">
        <f>IFERROR(VLOOKUP(trainee_data[[#This Row],[Program Specialty]],taxonomy_map[[Other Taxonomy]:[Our Taxonomy]],2,FALSE),"")</f>
        <v/>
      </c>
      <c r="F769" s="52" t="str">
        <f>IFERROR(VLOOKUP(trainee_data[[#This Row],[Specialty/Subspecialty]],condensed_specialty_crosswalk[#All],2,FALSE),"")</f>
        <v/>
      </c>
      <c r="G769" s="53" t="str">
        <f>IFERROR(VLOOKUP(trainee_data[[#This Row],[Specialty/Subspecialty]],condensed_specialty_crosswalk[#All],3,FALSE),"")</f>
        <v/>
      </c>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row>
    <row r="770" spans="5:30" ht="14.25" x14ac:dyDescent="0.45">
      <c r="E770" s="69" t="str">
        <f>IFERROR(VLOOKUP(trainee_data[[#This Row],[Program Specialty]],taxonomy_map[[Other Taxonomy]:[Our Taxonomy]],2,FALSE),"")</f>
        <v/>
      </c>
      <c r="F770" s="55" t="str">
        <f>IFERROR(VLOOKUP(trainee_data[[#This Row],[Specialty/Subspecialty]],condensed_specialty_crosswalk[#All],2,FALSE),"")</f>
        <v/>
      </c>
      <c r="G770" s="56" t="str">
        <f>IFERROR(VLOOKUP(trainee_data[[#This Row],[Specialty/Subspecialty]],condensed_specialty_crosswalk[#All],3,FALSE),"")</f>
        <v/>
      </c>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row>
    <row r="771" spans="5:30" ht="14.25" x14ac:dyDescent="0.45">
      <c r="E771" s="70" t="str">
        <f>IFERROR(VLOOKUP(trainee_data[[#This Row],[Program Specialty]],taxonomy_map[[Other Taxonomy]:[Our Taxonomy]],2,FALSE),"")</f>
        <v/>
      </c>
      <c r="F771" s="52" t="str">
        <f>IFERROR(VLOOKUP(trainee_data[[#This Row],[Specialty/Subspecialty]],condensed_specialty_crosswalk[#All],2,FALSE),"")</f>
        <v/>
      </c>
      <c r="G771" s="53" t="str">
        <f>IFERROR(VLOOKUP(trainee_data[[#This Row],[Specialty/Subspecialty]],condensed_specialty_crosswalk[#All],3,FALSE),"")</f>
        <v/>
      </c>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row>
    <row r="772" spans="5:30" ht="14.25" x14ac:dyDescent="0.45">
      <c r="E772" s="69" t="str">
        <f>IFERROR(VLOOKUP(trainee_data[[#This Row],[Program Specialty]],taxonomy_map[[Other Taxonomy]:[Our Taxonomy]],2,FALSE),"")</f>
        <v/>
      </c>
      <c r="F772" s="55" t="str">
        <f>IFERROR(VLOOKUP(trainee_data[[#This Row],[Specialty/Subspecialty]],condensed_specialty_crosswalk[#All],2,FALSE),"")</f>
        <v/>
      </c>
      <c r="G772" s="56" t="str">
        <f>IFERROR(VLOOKUP(trainee_data[[#This Row],[Specialty/Subspecialty]],condensed_specialty_crosswalk[#All],3,FALSE),"")</f>
        <v/>
      </c>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row>
    <row r="773" spans="5:30" ht="14.25" x14ac:dyDescent="0.45">
      <c r="E773" s="70" t="str">
        <f>IFERROR(VLOOKUP(trainee_data[[#This Row],[Program Specialty]],taxonomy_map[[Other Taxonomy]:[Our Taxonomy]],2,FALSE),"")</f>
        <v/>
      </c>
      <c r="F773" s="52" t="str">
        <f>IFERROR(VLOOKUP(trainee_data[[#This Row],[Specialty/Subspecialty]],condensed_specialty_crosswalk[#All],2,FALSE),"")</f>
        <v/>
      </c>
      <c r="G773" s="53" t="str">
        <f>IFERROR(VLOOKUP(trainee_data[[#This Row],[Specialty/Subspecialty]],condensed_specialty_crosswalk[#All],3,FALSE),"")</f>
        <v/>
      </c>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row>
    <row r="774" spans="5:30" ht="14.25" x14ac:dyDescent="0.45">
      <c r="E774" s="69" t="str">
        <f>IFERROR(VLOOKUP(trainee_data[[#This Row],[Program Specialty]],taxonomy_map[[Other Taxonomy]:[Our Taxonomy]],2,FALSE),"")</f>
        <v/>
      </c>
      <c r="F774" s="55" t="str">
        <f>IFERROR(VLOOKUP(trainee_data[[#This Row],[Specialty/Subspecialty]],condensed_specialty_crosswalk[#All],2,FALSE),"")</f>
        <v/>
      </c>
      <c r="G774" s="56" t="str">
        <f>IFERROR(VLOOKUP(trainee_data[[#This Row],[Specialty/Subspecialty]],condensed_specialty_crosswalk[#All],3,FALSE),"")</f>
        <v/>
      </c>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row>
    <row r="775" spans="5:30" ht="14.25" x14ac:dyDescent="0.45">
      <c r="E775" s="70" t="str">
        <f>IFERROR(VLOOKUP(trainee_data[[#This Row],[Program Specialty]],taxonomy_map[[Other Taxonomy]:[Our Taxonomy]],2,FALSE),"")</f>
        <v/>
      </c>
      <c r="F775" s="52" t="str">
        <f>IFERROR(VLOOKUP(trainee_data[[#This Row],[Specialty/Subspecialty]],condensed_specialty_crosswalk[#All],2,FALSE),"")</f>
        <v/>
      </c>
      <c r="G775" s="53" t="str">
        <f>IFERROR(VLOOKUP(trainee_data[[#This Row],[Specialty/Subspecialty]],condensed_specialty_crosswalk[#All],3,FALSE),"")</f>
        <v/>
      </c>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row>
    <row r="776" spans="5:30" ht="14.25" x14ac:dyDescent="0.45">
      <c r="E776" s="69" t="str">
        <f>IFERROR(VLOOKUP(trainee_data[[#This Row],[Program Specialty]],taxonomy_map[[Other Taxonomy]:[Our Taxonomy]],2,FALSE),"")</f>
        <v/>
      </c>
      <c r="F776" s="55" t="str">
        <f>IFERROR(VLOOKUP(trainee_data[[#This Row],[Specialty/Subspecialty]],condensed_specialty_crosswalk[#All],2,FALSE),"")</f>
        <v/>
      </c>
      <c r="G776" s="56" t="str">
        <f>IFERROR(VLOOKUP(trainee_data[[#This Row],[Specialty/Subspecialty]],condensed_specialty_crosswalk[#All],3,FALSE),"")</f>
        <v/>
      </c>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row>
    <row r="777" spans="5:30" ht="14.25" x14ac:dyDescent="0.45">
      <c r="E777" s="70" t="str">
        <f>IFERROR(VLOOKUP(trainee_data[[#This Row],[Program Specialty]],taxonomy_map[[Other Taxonomy]:[Our Taxonomy]],2,FALSE),"")</f>
        <v/>
      </c>
      <c r="F777" s="52" t="str">
        <f>IFERROR(VLOOKUP(trainee_data[[#This Row],[Specialty/Subspecialty]],condensed_specialty_crosswalk[#All],2,FALSE),"")</f>
        <v/>
      </c>
      <c r="G777" s="53" t="str">
        <f>IFERROR(VLOOKUP(trainee_data[[#This Row],[Specialty/Subspecialty]],condensed_specialty_crosswalk[#All],3,FALSE),"")</f>
        <v/>
      </c>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row>
    <row r="778" spans="5:30" ht="14.25" x14ac:dyDescent="0.45">
      <c r="E778" s="69" t="str">
        <f>IFERROR(VLOOKUP(trainee_data[[#This Row],[Program Specialty]],taxonomy_map[[Other Taxonomy]:[Our Taxonomy]],2,FALSE),"")</f>
        <v/>
      </c>
      <c r="F778" s="55" t="str">
        <f>IFERROR(VLOOKUP(trainee_data[[#This Row],[Specialty/Subspecialty]],condensed_specialty_crosswalk[#All],2,FALSE),"")</f>
        <v/>
      </c>
      <c r="G778" s="56" t="str">
        <f>IFERROR(VLOOKUP(trainee_data[[#This Row],[Specialty/Subspecialty]],condensed_specialty_crosswalk[#All],3,FALSE),"")</f>
        <v/>
      </c>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row>
    <row r="779" spans="5:30" ht="14.25" x14ac:dyDescent="0.45">
      <c r="E779" s="70" t="str">
        <f>IFERROR(VLOOKUP(trainee_data[[#This Row],[Program Specialty]],taxonomy_map[[Other Taxonomy]:[Our Taxonomy]],2,FALSE),"")</f>
        <v/>
      </c>
      <c r="F779" s="52" t="str">
        <f>IFERROR(VLOOKUP(trainee_data[[#This Row],[Specialty/Subspecialty]],condensed_specialty_crosswalk[#All],2,FALSE),"")</f>
        <v/>
      </c>
      <c r="G779" s="53" t="str">
        <f>IFERROR(VLOOKUP(trainee_data[[#This Row],[Specialty/Subspecialty]],condensed_specialty_crosswalk[#All],3,FALSE),"")</f>
        <v/>
      </c>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row>
    <row r="780" spans="5:30" ht="14.25" x14ac:dyDescent="0.45">
      <c r="E780" s="69" t="str">
        <f>IFERROR(VLOOKUP(trainee_data[[#This Row],[Program Specialty]],taxonomy_map[[Other Taxonomy]:[Our Taxonomy]],2,FALSE),"")</f>
        <v/>
      </c>
      <c r="F780" s="55" t="str">
        <f>IFERROR(VLOOKUP(trainee_data[[#This Row],[Specialty/Subspecialty]],condensed_specialty_crosswalk[#All],2,FALSE),"")</f>
        <v/>
      </c>
      <c r="G780" s="56" t="str">
        <f>IFERROR(VLOOKUP(trainee_data[[#This Row],[Specialty/Subspecialty]],condensed_specialty_crosswalk[#All],3,FALSE),"")</f>
        <v/>
      </c>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row>
    <row r="781" spans="5:30" ht="14.25" x14ac:dyDescent="0.45">
      <c r="E781" s="70" t="str">
        <f>IFERROR(VLOOKUP(trainee_data[[#This Row],[Program Specialty]],taxonomy_map[[Other Taxonomy]:[Our Taxonomy]],2,FALSE),"")</f>
        <v/>
      </c>
      <c r="F781" s="52" t="str">
        <f>IFERROR(VLOOKUP(trainee_data[[#This Row],[Specialty/Subspecialty]],condensed_specialty_crosswalk[#All],2,FALSE),"")</f>
        <v/>
      </c>
      <c r="G781" s="53" t="str">
        <f>IFERROR(VLOOKUP(trainee_data[[#This Row],[Specialty/Subspecialty]],condensed_specialty_crosswalk[#All],3,FALSE),"")</f>
        <v/>
      </c>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row>
    <row r="782" spans="5:30" ht="14.25" x14ac:dyDescent="0.45">
      <c r="E782" s="69" t="str">
        <f>IFERROR(VLOOKUP(trainee_data[[#This Row],[Program Specialty]],taxonomy_map[[Other Taxonomy]:[Our Taxonomy]],2,FALSE),"")</f>
        <v/>
      </c>
      <c r="F782" s="55" t="str">
        <f>IFERROR(VLOOKUP(trainee_data[[#This Row],[Specialty/Subspecialty]],condensed_specialty_crosswalk[#All],2,FALSE),"")</f>
        <v/>
      </c>
      <c r="G782" s="56" t="str">
        <f>IFERROR(VLOOKUP(trainee_data[[#This Row],[Specialty/Subspecialty]],condensed_specialty_crosswalk[#All],3,FALSE),"")</f>
        <v/>
      </c>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row>
    <row r="783" spans="5:30" ht="14.25" x14ac:dyDescent="0.45">
      <c r="E783" s="70" t="str">
        <f>IFERROR(VLOOKUP(trainee_data[[#This Row],[Program Specialty]],taxonomy_map[[Other Taxonomy]:[Our Taxonomy]],2,FALSE),"")</f>
        <v/>
      </c>
      <c r="F783" s="52" t="str">
        <f>IFERROR(VLOOKUP(trainee_data[[#This Row],[Specialty/Subspecialty]],condensed_specialty_crosswalk[#All],2,FALSE),"")</f>
        <v/>
      </c>
      <c r="G783" s="53" t="str">
        <f>IFERROR(VLOOKUP(trainee_data[[#This Row],[Specialty/Subspecialty]],condensed_specialty_crosswalk[#All],3,FALSE),"")</f>
        <v/>
      </c>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row>
    <row r="784" spans="5:30" ht="14.25" x14ac:dyDescent="0.45">
      <c r="E784" s="69" t="str">
        <f>IFERROR(VLOOKUP(trainee_data[[#This Row],[Program Specialty]],taxonomy_map[[Other Taxonomy]:[Our Taxonomy]],2,FALSE),"")</f>
        <v/>
      </c>
      <c r="F784" s="55" t="str">
        <f>IFERROR(VLOOKUP(trainee_data[[#This Row],[Specialty/Subspecialty]],condensed_specialty_crosswalk[#All],2,FALSE),"")</f>
        <v/>
      </c>
      <c r="G784" s="56" t="str">
        <f>IFERROR(VLOOKUP(trainee_data[[#This Row],[Specialty/Subspecialty]],condensed_specialty_crosswalk[#All],3,FALSE),"")</f>
        <v/>
      </c>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row>
    <row r="785" spans="5:30" ht="14.25" x14ac:dyDescent="0.45">
      <c r="E785" s="70" t="str">
        <f>IFERROR(VLOOKUP(trainee_data[[#This Row],[Program Specialty]],taxonomy_map[[Other Taxonomy]:[Our Taxonomy]],2,FALSE),"")</f>
        <v/>
      </c>
      <c r="F785" s="52" t="str">
        <f>IFERROR(VLOOKUP(trainee_data[[#This Row],[Specialty/Subspecialty]],condensed_specialty_crosswalk[#All],2,FALSE),"")</f>
        <v/>
      </c>
      <c r="G785" s="53" t="str">
        <f>IFERROR(VLOOKUP(trainee_data[[#This Row],[Specialty/Subspecialty]],condensed_specialty_crosswalk[#All],3,FALSE),"")</f>
        <v/>
      </c>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row>
    <row r="786" spans="5:30" ht="14.25" x14ac:dyDescent="0.45">
      <c r="E786" s="69" t="str">
        <f>IFERROR(VLOOKUP(trainee_data[[#This Row],[Program Specialty]],taxonomy_map[[Other Taxonomy]:[Our Taxonomy]],2,FALSE),"")</f>
        <v/>
      </c>
      <c r="F786" s="55" t="str">
        <f>IFERROR(VLOOKUP(trainee_data[[#This Row],[Specialty/Subspecialty]],condensed_specialty_crosswalk[#All],2,FALSE),"")</f>
        <v/>
      </c>
      <c r="G786" s="56" t="str">
        <f>IFERROR(VLOOKUP(trainee_data[[#This Row],[Specialty/Subspecialty]],condensed_specialty_crosswalk[#All],3,FALSE),"")</f>
        <v/>
      </c>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row>
    <row r="787" spans="5:30" ht="14.25" x14ac:dyDescent="0.45">
      <c r="E787" s="70" t="str">
        <f>IFERROR(VLOOKUP(trainee_data[[#This Row],[Program Specialty]],taxonomy_map[[Other Taxonomy]:[Our Taxonomy]],2,FALSE),"")</f>
        <v/>
      </c>
      <c r="F787" s="52" t="str">
        <f>IFERROR(VLOOKUP(trainee_data[[#This Row],[Specialty/Subspecialty]],condensed_specialty_crosswalk[#All],2,FALSE),"")</f>
        <v/>
      </c>
      <c r="G787" s="53" t="str">
        <f>IFERROR(VLOOKUP(trainee_data[[#This Row],[Specialty/Subspecialty]],condensed_specialty_crosswalk[#All],3,FALSE),"")</f>
        <v/>
      </c>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row>
    <row r="788" spans="5:30" ht="14.25" x14ac:dyDescent="0.45">
      <c r="E788" s="69" t="str">
        <f>IFERROR(VLOOKUP(trainee_data[[#This Row],[Program Specialty]],taxonomy_map[[Other Taxonomy]:[Our Taxonomy]],2,FALSE),"")</f>
        <v/>
      </c>
      <c r="F788" s="55" t="str">
        <f>IFERROR(VLOOKUP(trainee_data[[#This Row],[Specialty/Subspecialty]],condensed_specialty_crosswalk[#All],2,FALSE),"")</f>
        <v/>
      </c>
      <c r="G788" s="56" t="str">
        <f>IFERROR(VLOOKUP(trainee_data[[#This Row],[Specialty/Subspecialty]],condensed_specialty_crosswalk[#All],3,FALSE),"")</f>
        <v/>
      </c>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row>
    <row r="789" spans="5:30" ht="14.25" x14ac:dyDescent="0.45">
      <c r="E789" s="70" t="str">
        <f>IFERROR(VLOOKUP(trainee_data[[#This Row],[Program Specialty]],taxonomy_map[[Other Taxonomy]:[Our Taxonomy]],2,FALSE),"")</f>
        <v/>
      </c>
      <c r="F789" s="52" t="str">
        <f>IFERROR(VLOOKUP(trainee_data[[#This Row],[Specialty/Subspecialty]],condensed_specialty_crosswalk[#All],2,FALSE),"")</f>
        <v/>
      </c>
      <c r="G789" s="53" t="str">
        <f>IFERROR(VLOOKUP(trainee_data[[#This Row],[Specialty/Subspecialty]],condensed_specialty_crosswalk[#All],3,FALSE),"")</f>
        <v/>
      </c>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row>
    <row r="790" spans="5:30" ht="14.25" x14ac:dyDescent="0.45">
      <c r="E790" s="69" t="str">
        <f>IFERROR(VLOOKUP(trainee_data[[#This Row],[Program Specialty]],taxonomy_map[[Other Taxonomy]:[Our Taxonomy]],2,FALSE),"")</f>
        <v/>
      </c>
      <c r="F790" s="55" t="str">
        <f>IFERROR(VLOOKUP(trainee_data[[#This Row],[Specialty/Subspecialty]],condensed_specialty_crosswalk[#All],2,FALSE),"")</f>
        <v/>
      </c>
      <c r="G790" s="56" t="str">
        <f>IFERROR(VLOOKUP(trainee_data[[#This Row],[Specialty/Subspecialty]],condensed_specialty_crosswalk[#All],3,FALSE),"")</f>
        <v/>
      </c>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row>
    <row r="791" spans="5:30" ht="14.25" x14ac:dyDescent="0.45">
      <c r="E791" s="70" t="str">
        <f>IFERROR(VLOOKUP(trainee_data[[#This Row],[Program Specialty]],taxonomy_map[[Other Taxonomy]:[Our Taxonomy]],2,FALSE),"")</f>
        <v/>
      </c>
      <c r="F791" s="52" t="str">
        <f>IFERROR(VLOOKUP(trainee_data[[#This Row],[Specialty/Subspecialty]],condensed_specialty_crosswalk[#All],2,FALSE),"")</f>
        <v/>
      </c>
      <c r="G791" s="53" t="str">
        <f>IFERROR(VLOOKUP(trainee_data[[#This Row],[Specialty/Subspecialty]],condensed_specialty_crosswalk[#All],3,FALSE),"")</f>
        <v/>
      </c>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row>
    <row r="792" spans="5:30" ht="14.25" x14ac:dyDescent="0.45">
      <c r="E792" s="69" t="str">
        <f>IFERROR(VLOOKUP(trainee_data[[#This Row],[Program Specialty]],taxonomy_map[[Other Taxonomy]:[Our Taxonomy]],2,FALSE),"")</f>
        <v/>
      </c>
      <c r="F792" s="55" t="str">
        <f>IFERROR(VLOOKUP(trainee_data[[#This Row],[Specialty/Subspecialty]],condensed_specialty_crosswalk[#All],2,FALSE),"")</f>
        <v/>
      </c>
      <c r="G792" s="56" t="str">
        <f>IFERROR(VLOOKUP(trainee_data[[#This Row],[Specialty/Subspecialty]],condensed_specialty_crosswalk[#All],3,FALSE),"")</f>
        <v/>
      </c>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row>
    <row r="793" spans="5:30" ht="14.25" x14ac:dyDescent="0.45">
      <c r="E793" s="70" t="str">
        <f>IFERROR(VLOOKUP(trainee_data[[#This Row],[Program Specialty]],taxonomy_map[[Other Taxonomy]:[Our Taxonomy]],2,FALSE),"")</f>
        <v/>
      </c>
      <c r="F793" s="52" t="str">
        <f>IFERROR(VLOOKUP(trainee_data[[#This Row],[Specialty/Subspecialty]],condensed_specialty_crosswalk[#All],2,FALSE),"")</f>
        <v/>
      </c>
      <c r="G793" s="53" t="str">
        <f>IFERROR(VLOOKUP(trainee_data[[#This Row],[Specialty/Subspecialty]],condensed_specialty_crosswalk[#All],3,FALSE),"")</f>
        <v/>
      </c>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row>
    <row r="794" spans="5:30" ht="14.25" x14ac:dyDescent="0.45">
      <c r="E794" s="69" t="str">
        <f>IFERROR(VLOOKUP(trainee_data[[#This Row],[Program Specialty]],taxonomy_map[[Other Taxonomy]:[Our Taxonomy]],2,FALSE),"")</f>
        <v/>
      </c>
      <c r="F794" s="55" t="str">
        <f>IFERROR(VLOOKUP(trainee_data[[#This Row],[Specialty/Subspecialty]],condensed_specialty_crosswalk[#All],2,FALSE),"")</f>
        <v/>
      </c>
      <c r="G794" s="56" t="str">
        <f>IFERROR(VLOOKUP(trainee_data[[#This Row],[Specialty/Subspecialty]],condensed_specialty_crosswalk[#All],3,FALSE),"")</f>
        <v/>
      </c>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row>
    <row r="795" spans="5:30" ht="14.25" x14ac:dyDescent="0.45">
      <c r="E795" s="70" t="str">
        <f>IFERROR(VLOOKUP(trainee_data[[#This Row],[Program Specialty]],taxonomy_map[[Other Taxonomy]:[Our Taxonomy]],2,FALSE),"")</f>
        <v/>
      </c>
      <c r="F795" s="52" t="str">
        <f>IFERROR(VLOOKUP(trainee_data[[#This Row],[Specialty/Subspecialty]],condensed_specialty_crosswalk[#All],2,FALSE),"")</f>
        <v/>
      </c>
      <c r="G795" s="53" t="str">
        <f>IFERROR(VLOOKUP(trainee_data[[#This Row],[Specialty/Subspecialty]],condensed_specialty_crosswalk[#All],3,FALSE),"")</f>
        <v/>
      </c>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row>
    <row r="796" spans="5:30" ht="14.25" x14ac:dyDescent="0.45">
      <c r="E796" s="69" t="str">
        <f>IFERROR(VLOOKUP(trainee_data[[#This Row],[Program Specialty]],taxonomy_map[[Other Taxonomy]:[Our Taxonomy]],2,FALSE),"")</f>
        <v/>
      </c>
      <c r="F796" s="55" t="str">
        <f>IFERROR(VLOOKUP(trainee_data[[#This Row],[Specialty/Subspecialty]],condensed_specialty_crosswalk[#All],2,FALSE),"")</f>
        <v/>
      </c>
      <c r="G796" s="56" t="str">
        <f>IFERROR(VLOOKUP(trainee_data[[#This Row],[Specialty/Subspecialty]],condensed_specialty_crosswalk[#All],3,FALSE),"")</f>
        <v/>
      </c>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row>
    <row r="797" spans="5:30" ht="14.25" x14ac:dyDescent="0.45">
      <c r="E797" s="70" t="str">
        <f>IFERROR(VLOOKUP(trainee_data[[#This Row],[Program Specialty]],taxonomy_map[[Other Taxonomy]:[Our Taxonomy]],2,FALSE),"")</f>
        <v/>
      </c>
      <c r="F797" s="52" t="str">
        <f>IFERROR(VLOOKUP(trainee_data[[#This Row],[Specialty/Subspecialty]],condensed_specialty_crosswalk[#All],2,FALSE),"")</f>
        <v/>
      </c>
      <c r="G797" s="53" t="str">
        <f>IFERROR(VLOOKUP(trainee_data[[#This Row],[Specialty/Subspecialty]],condensed_specialty_crosswalk[#All],3,FALSE),"")</f>
        <v/>
      </c>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row>
    <row r="798" spans="5:30" ht="14.25" x14ac:dyDescent="0.45">
      <c r="E798" s="69" t="str">
        <f>IFERROR(VLOOKUP(trainee_data[[#This Row],[Program Specialty]],taxonomy_map[[Other Taxonomy]:[Our Taxonomy]],2,FALSE),"")</f>
        <v/>
      </c>
      <c r="F798" s="55" t="str">
        <f>IFERROR(VLOOKUP(trainee_data[[#This Row],[Specialty/Subspecialty]],condensed_specialty_crosswalk[#All],2,FALSE),"")</f>
        <v/>
      </c>
      <c r="G798" s="56" t="str">
        <f>IFERROR(VLOOKUP(trainee_data[[#This Row],[Specialty/Subspecialty]],condensed_specialty_crosswalk[#All],3,FALSE),"")</f>
        <v/>
      </c>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row>
    <row r="799" spans="5:30" ht="14.25" x14ac:dyDescent="0.45">
      <c r="E799" s="70" t="str">
        <f>IFERROR(VLOOKUP(trainee_data[[#This Row],[Program Specialty]],taxonomy_map[[Other Taxonomy]:[Our Taxonomy]],2,FALSE),"")</f>
        <v/>
      </c>
      <c r="F799" s="52" t="str">
        <f>IFERROR(VLOOKUP(trainee_data[[#This Row],[Specialty/Subspecialty]],condensed_specialty_crosswalk[#All],2,FALSE),"")</f>
        <v/>
      </c>
      <c r="G799" s="53" t="str">
        <f>IFERROR(VLOOKUP(trainee_data[[#This Row],[Specialty/Subspecialty]],condensed_specialty_crosswalk[#All],3,FALSE),"")</f>
        <v/>
      </c>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row>
    <row r="800" spans="5:30" ht="14.25" x14ac:dyDescent="0.45">
      <c r="E800" s="69" t="str">
        <f>IFERROR(VLOOKUP(trainee_data[[#This Row],[Program Specialty]],taxonomy_map[[Other Taxonomy]:[Our Taxonomy]],2,FALSE),"")</f>
        <v/>
      </c>
      <c r="F800" s="55" t="str">
        <f>IFERROR(VLOOKUP(trainee_data[[#This Row],[Specialty/Subspecialty]],condensed_specialty_crosswalk[#All],2,FALSE),"")</f>
        <v/>
      </c>
      <c r="G800" s="56" t="str">
        <f>IFERROR(VLOOKUP(trainee_data[[#This Row],[Specialty/Subspecialty]],condensed_specialty_crosswalk[#All],3,FALSE),"")</f>
        <v/>
      </c>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row>
    <row r="801" spans="5:30" ht="14.25" x14ac:dyDescent="0.45">
      <c r="E801" s="70" t="str">
        <f>IFERROR(VLOOKUP(trainee_data[[#This Row],[Program Specialty]],taxonomy_map[[Other Taxonomy]:[Our Taxonomy]],2,FALSE),"")</f>
        <v/>
      </c>
      <c r="F801" s="52" t="str">
        <f>IFERROR(VLOOKUP(trainee_data[[#This Row],[Specialty/Subspecialty]],condensed_specialty_crosswalk[#All],2,FALSE),"")</f>
        <v/>
      </c>
      <c r="G801" s="53" t="str">
        <f>IFERROR(VLOOKUP(trainee_data[[#This Row],[Specialty/Subspecialty]],condensed_specialty_crosswalk[#All],3,FALSE),"")</f>
        <v/>
      </c>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row>
    <row r="802" spans="5:30" ht="14.25" x14ac:dyDescent="0.45">
      <c r="E802" s="69" t="str">
        <f>IFERROR(VLOOKUP(trainee_data[[#This Row],[Program Specialty]],taxonomy_map[[Other Taxonomy]:[Our Taxonomy]],2,FALSE),"")</f>
        <v/>
      </c>
      <c r="F802" s="55" t="str">
        <f>IFERROR(VLOOKUP(trainee_data[[#This Row],[Specialty/Subspecialty]],condensed_specialty_crosswalk[#All],2,FALSE),"")</f>
        <v/>
      </c>
      <c r="G802" s="56" t="str">
        <f>IFERROR(VLOOKUP(trainee_data[[#This Row],[Specialty/Subspecialty]],condensed_specialty_crosswalk[#All],3,FALSE),"")</f>
        <v/>
      </c>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row>
    <row r="803" spans="5:30" ht="14.25" x14ac:dyDescent="0.45">
      <c r="E803" s="70" t="str">
        <f>IFERROR(VLOOKUP(trainee_data[[#This Row],[Program Specialty]],taxonomy_map[[Other Taxonomy]:[Our Taxonomy]],2,FALSE),"")</f>
        <v/>
      </c>
      <c r="F803" s="52" t="str">
        <f>IFERROR(VLOOKUP(trainee_data[[#This Row],[Specialty/Subspecialty]],condensed_specialty_crosswalk[#All],2,FALSE),"")</f>
        <v/>
      </c>
      <c r="G803" s="53" t="str">
        <f>IFERROR(VLOOKUP(trainee_data[[#This Row],[Specialty/Subspecialty]],condensed_specialty_crosswalk[#All],3,FALSE),"")</f>
        <v/>
      </c>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row>
    <row r="804" spans="5:30" ht="14.25" x14ac:dyDescent="0.45">
      <c r="E804" s="69" t="str">
        <f>IFERROR(VLOOKUP(trainee_data[[#This Row],[Program Specialty]],taxonomy_map[[Other Taxonomy]:[Our Taxonomy]],2,FALSE),"")</f>
        <v/>
      </c>
      <c r="F804" s="55" t="str">
        <f>IFERROR(VLOOKUP(trainee_data[[#This Row],[Specialty/Subspecialty]],condensed_specialty_crosswalk[#All],2,FALSE),"")</f>
        <v/>
      </c>
      <c r="G804" s="56" t="str">
        <f>IFERROR(VLOOKUP(trainee_data[[#This Row],[Specialty/Subspecialty]],condensed_specialty_crosswalk[#All],3,FALSE),"")</f>
        <v/>
      </c>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row>
    <row r="805" spans="5:30" ht="14.25" x14ac:dyDescent="0.45">
      <c r="E805" s="70" t="str">
        <f>IFERROR(VLOOKUP(trainee_data[[#This Row],[Program Specialty]],taxonomy_map[[Other Taxonomy]:[Our Taxonomy]],2,FALSE),"")</f>
        <v/>
      </c>
      <c r="F805" s="52" t="str">
        <f>IFERROR(VLOOKUP(trainee_data[[#This Row],[Specialty/Subspecialty]],condensed_specialty_crosswalk[#All],2,FALSE),"")</f>
        <v/>
      </c>
      <c r="G805" s="53" t="str">
        <f>IFERROR(VLOOKUP(trainee_data[[#This Row],[Specialty/Subspecialty]],condensed_specialty_crosswalk[#All],3,FALSE),"")</f>
        <v/>
      </c>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row>
    <row r="806" spans="5:30" ht="14.25" x14ac:dyDescent="0.45">
      <c r="E806" s="69" t="str">
        <f>IFERROR(VLOOKUP(trainee_data[[#This Row],[Program Specialty]],taxonomy_map[[Other Taxonomy]:[Our Taxonomy]],2,FALSE),"")</f>
        <v/>
      </c>
      <c r="F806" s="55" t="str">
        <f>IFERROR(VLOOKUP(trainee_data[[#This Row],[Specialty/Subspecialty]],condensed_specialty_crosswalk[#All],2,FALSE),"")</f>
        <v/>
      </c>
      <c r="G806" s="56" t="str">
        <f>IFERROR(VLOOKUP(trainee_data[[#This Row],[Specialty/Subspecialty]],condensed_specialty_crosswalk[#All],3,FALSE),"")</f>
        <v/>
      </c>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row>
    <row r="807" spans="5:30" ht="14.25" x14ac:dyDescent="0.45">
      <c r="E807" s="70" t="str">
        <f>IFERROR(VLOOKUP(trainee_data[[#This Row],[Program Specialty]],taxonomy_map[[Other Taxonomy]:[Our Taxonomy]],2,FALSE),"")</f>
        <v/>
      </c>
      <c r="F807" s="52" t="str">
        <f>IFERROR(VLOOKUP(trainee_data[[#This Row],[Specialty/Subspecialty]],condensed_specialty_crosswalk[#All],2,FALSE),"")</f>
        <v/>
      </c>
      <c r="G807" s="53" t="str">
        <f>IFERROR(VLOOKUP(trainee_data[[#This Row],[Specialty/Subspecialty]],condensed_specialty_crosswalk[#All],3,FALSE),"")</f>
        <v/>
      </c>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row>
    <row r="808" spans="5:30" ht="14.25" x14ac:dyDescent="0.45">
      <c r="E808" s="69" t="str">
        <f>IFERROR(VLOOKUP(trainee_data[[#This Row],[Program Specialty]],taxonomy_map[[Other Taxonomy]:[Our Taxonomy]],2,FALSE),"")</f>
        <v/>
      </c>
      <c r="F808" s="55" t="str">
        <f>IFERROR(VLOOKUP(trainee_data[[#This Row],[Specialty/Subspecialty]],condensed_specialty_crosswalk[#All],2,FALSE),"")</f>
        <v/>
      </c>
      <c r="G808" s="56" t="str">
        <f>IFERROR(VLOOKUP(trainee_data[[#This Row],[Specialty/Subspecialty]],condensed_specialty_crosswalk[#All],3,FALSE),"")</f>
        <v/>
      </c>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row>
    <row r="809" spans="5:30" ht="14.25" x14ac:dyDescent="0.45">
      <c r="E809" s="70" t="str">
        <f>IFERROR(VLOOKUP(trainee_data[[#This Row],[Program Specialty]],taxonomy_map[[Other Taxonomy]:[Our Taxonomy]],2,FALSE),"")</f>
        <v/>
      </c>
      <c r="F809" s="52" t="str">
        <f>IFERROR(VLOOKUP(trainee_data[[#This Row],[Specialty/Subspecialty]],condensed_specialty_crosswalk[#All],2,FALSE),"")</f>
        <v/>
      </c>
      <c r="G809" s="53" t="str">
        <f>IFERROR(VLOOKUP(trainee_data[[#This Row],[Specialty/Subspecialty]],condensed_specialty_crosswalk[#All],3,FALSE),"")</f>
        <v/>
      </c>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row>
    <row r="810" spans="5:30" ht="14.25" x14ac:dyDescent="0.45">
      <c r="E810" s="69" t="str">
        <f>IFERROR(VLOOKUP(trainee_data[[#This Row],[Program Specialty]],taxonomy_map[[Other Taxonomy]:[Our Taxonomy]],2,FALSE),"")</f>
        <v/>
      </c>
      <c r="F810" s="55" t="str">
        <f>IFERROR(VLOOKUP(trainee_data[[#This Row],[Specialty/Subspecialty]],condensed_specialty_crosswalk[#All],2,FALSE),"")</f>
        <v/>
      </c>
      <c r="G810" s="56" t="str">
        <f>IFERROR(VLOOKUP(trainee_data[[#This Row],[Specialty/Subspecialty]],condensed_specialty_crosswalk[#All],3,FALSE),"")</f>
        <v/>
      </c>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row>
    <row r="811" spans="5:30" ht="14.25" x14ac:dyDescent="0.45">
      <c r="E811" s="70" t="str">
        <f>IFERROR(VLOOKUP(trainee_data[[#This Row],[Program Specialty]],taxonomy_map[[Other Taxonomy]:[Our Taxonomy]],2,FALSE),"")</f>
        <v/>
      </c>
      <c r="F811" s="52" t="str">
        <f>IFERROR(VLOOKUP(trainee_data[[#This Row],[Specialty/Subspecialty]],condensed_specialty_crosswalk[#All],2,FALSE),"")</f>
        <v/>
      </c>
      <c r="G811" s="53" t="str">
        <f>IFERROR(VLOOKUP(trainee_data[[#This Row],[Specialty/Subspecialty]],condensed_specialty_crosswalk[#All],3,FALSE),"")</f>
        <v/>
      </c>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row>
    <row r="812" spans="5:30" ht="14.25" x14ac:dyDescent="0.45">
      <c r="E812" s="69" t="str">
        <f>IFERROR(VLOOKUP(trainee_data[[#This Row],[Program Specialty]],taxonomy_map[[Other Taxonomy]:[Our Taxonomy]],2,FALSE),"")</f>
        <v/>
      </c>
      <c r="F812" s="55" t="str">
        <f>IFERROR(VLOOKUP(trainee_data[[#This Row],[Specialty/Subspecialty]],condensed_specialty_crosswalk[#All],2,FALSE),"")</f>
        <v/>
      </c>
      <c r="G812" s="56" t="str">
        <f>IFERROR(VLOOKUP(trainee_data[[#This Row],[Specialty/Subspecialty]],condensed_specialty_crosswalk[#All],3,FALSE),"")</f>
        <v/>
      </c>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row>
    <row r="813" spans="5:30" ht="14.25" x14ac:dyDescent="0.45">
      <c r="E813" s="70" t="str">
        <f>IFERROR(VLOOKUP(trainee_data[[#This Row],[Program Specialty]],taxonomy_map[[Other Taxonomy]:[Our Taxonomy]],2,FALSE),"")</f>
        <v/>
      </c>
      <c r="F813" s="52" t="str">
        <f>IFERROR(VLOOKUP(trainee_data[[#This Row],[Specialty/Subspecialty]],condensed_specialty_crosswalk[#All],2,FALSE),"")</f>
        <v/>
      </c>
      <c r="G813" s="53" t="str">
        <f>IFERROR(VLOOKUP(trainee_data[[#This Row],[Specialty/Subspecialty]],condensed_specialty_crosswalk[#All],3,FALSE),"")</f>
        <v/>
      </c>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row>
    <row r="814" spans="5:30" ht="14.25" x14ac:dyDescent="0.45">
      <c r="E814" s="69" t="str">
        <f>IFERROR(VLOOKUP(trainee_data[[#This Row],[Program Specialty]],taxonomy_map[[Other Taxonomy]:[Our Taxonomy]],2,FALSE),"")</f>
        <v/>
      </c>
      <c r="F814" s="55" t="str">
        <f>IFERROR(VLOOKUP(trainee_data[[#This Row],[Specialty/Subspecialty]],condensed_specialty_crosswalk[#All],2,FALSE),"")</f>
        <v/>
      </c>
      <c r="G814" s="56" t="str">
        <f>IFERROR(VLOOKUP(trainee_data[[#This Row],[Specialty/Subspecialty]],condensed_specialty_crosswalk[#All],3,FALSE),"")</f>
        <v/>
      </c>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row>
    <row r="815" spans="5:30" ht="14.25" x14ac:dyDescent="0.45">
      <c r="E815" s="70" t="str">
        <f>IFERROR(VLOOKUP(trainee_data[[#This Row],[Program Specialty]],taxonomy_map[[Other Taxonomy]:[Our Taxonomy]],2,FALSE),"")</f>
        <v/>
      </c>
      <c r="F815" s="52" t="str">
        <f>IFERROR(VLOOKUP(trainee_data[[#This Row],[Specialty/Subspecialty]],condensed_specialty_crosswalk[#All],2,FALSE),"")</f>
        <v/>
      </c>
      <c r="G815" s="53" t="str">
        <f>IFERROR(VLOOKUP(trainee_data[[#This Row],[Specialty/Subspecialty]],condensed_specialty_crosswalk[#All],3,FALSE),"")</f>
        <v/>
      </c>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row>
    <row r="816" spans="5:30" ht="14.25" x14ac:dyDescent="0.45">
      <c r="E816" s="69" t="str">
        <f>IFERROR(VLOOKUP(trainee_data[[#This Row],[Program Specialty]],taxonomy_map[[Other Taxonomy]:[Our Taxonomy]],2,FALSE),"")</f>
        <v/>
      </c>
      <c r="F816" s="55" t="str">
        <f>IFERROR(VLOOKUP(trainee_data[[#This Row],[Specialty/Subspecialty]],condensed_specialty_crosswalk[#All],2,FALSE),"")</f>
        <v/>
      </c>
      <c r="G816" s="56" t="str">
        <f>IFERROR(VLOOKUP(trainee_data[[#This Row],[Specialty/Subspecialty]],condensed_specialty_crosswalk[#All],3,FALSE),"")</f>
        <v/>
      </c>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row>
    <row r="817" spans="5:30" ht="14.25" x14ac:dyDescent="0.45">
      <c r="E817" s="70" t="str">
        <f>IFERROR(VLOOKUP(trainee_data[[#This Row],[Program Specialty]],taxonomy_map[[Other Taxonomy]:[Our Taxonomy]],2,FALSE),"")</f>
        <v/>
      </c>
      <c r="F817" s="52" t="str">
        <f>IFERROR(VLOOKUP(trainee_data[[#This Row],[Specialty/Subspecialty]],condensed_specialty_crosswalk[#All],2,FALSE),"")</f>
        <v/>
      </c>
      <c r="G817" s="53" t="str">
        <f>IFERROR(VLOOKUP(trainee_data[[#This Row],[Specialty/Subspecialty]],condensed_specialty_crosswalk[#All],3,FALSE),"")</f>
        <v/>
      </c>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row>
    <row r="818" spans="5:30" ht="14.25" x14ac:dyDescent="0.45">
      <c r="E818" s="69" t="str">
        <f>IFERROR(VLOOKUP(trainee_data[[#This Row],[Program Specialty]],taxonomy_map[[Other Taxonomy]:[Our Taxonomy]],2,FALSE),"")</f>
        <v/>
      </c>
      <c r="F818" s="55" t="str">
        <f>IFERROR(VLOOKUP(trainee_data[[#This Row],[Specialty/Subspecialty]],condensed_specialty_crosswalk[#All],2,FALSE),"")</f>
        <v/>
      </c>
      <c r="G818" s="56" t="str">
        <f>IFERROR(VLOOKUP(trainee_data[[#This Row],[Specialty/Subspecialty]],condensed_specialty_crosswalk[#All],3,FALSE),"")</f>
        <v/>
      </c>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row>
    <row r="819" spans="5:30" ht="14.25" x14ac:dyDescent="0.45">
      <c r="E819" s="70" t="str">
        <f>IFERROR(VLOOKUP(trainee_data[[#This Row],[Program Specialty]],taxonomy_map[[Other Taxonomy]:[Our Taxonomy]],2,FALSE),"")</f>
        <v/>
      </c>
      <c r="F819" s="52" t="str">
        <f>IFERROR(VLOOKUP(trainee_data[[#This Row],[Specialty/Subspecialty]],condensed_specialty_crosswalk[#All],2,FALSE),"")</f>
        <v/>
      </c>
      <c r="G819" s="53" t="str">
        <f>IFERROR(VLOOKUP(trainee_data[[#This Row],[Specialty/Subspecialty]],condensed_specialty_crosswalk[#All],3,FALSE),"")</f>
        <v/>
      </c>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row>
    <row r="820" spans="5:30" ht="14.25" x14ac:dyDescent="0.45">
      <c r="E820" s="69" t="str">
        <f>IFERROR(VLOOKUP(trainee_data[[#This Row],[Program Specialty]],taxonomy_map[[Other Taxonomy]:[Our Taxonomy]],2,FALSE),"")</f>
        <v/>
      </c>
      <c r="F820" s="55" t="str">
        <f>IFERROR(VLOOKUP(trainee_data[[#This Row],[Specialty/Subspecialty]],condensed_specialty_crosswalk[#All],2,FALSE),"")</f>
        <v/>
      </c>
      <c r="G820" s="56" t="str">
        <f>IFERROR(VLOOKUP(trainee_data[[#This Row],[Specialty/Subspecialty]],condensed_specialty_crosswalk[#All],3,FALSE),"")</f>
        <v/>
      </c>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row>
    <row r="821" spans="5:30" ht="14.25" x14ac:dyDescent="0.45">
      <c r="E821" s="70" t="str">
        <f>IFERROR(VLOOKUP(trainee_data[[#This Row],[Program Specialty]],taxonomy_map[[Other Taxonomy]:[Our Taxonomy]],2,FALSE),"")</f>
        <v/>
      </c>
      <c r="F821" s="52" t="str">
        <f>IFERROR(VLOOKUP(trainee_data[[#This Row],[Specialty/Subspecialty]],condensed_specialty_crosswalk[#All],2,FALSE),"")</f>
        <v/>
      </c>
      <c r="G821" s="53" t="str">
        <f>IFERROR(VLOOKUP(trainee_data[[#This Row],[Specialty/Subspecialty]],condensed_specialty_crosswalk[#All],3,FALSE),"")</f>
        <v/>
      </c>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row>
    <row r="822" spans="5:30" ht="14.25" x14ac:dyDescent="0.45">
      <c r="E822" s="69" t="str">
        <f>IFERROR(VLOOKUP(trainee_data[[#This Row],[Program Specialty]],taxonomy_map[[Other Taxonomy]:[Our Taxonomy]],2,FALSE),"")</f>
        <v/>
      </c>
      <c r="F822" s="55" t="str">
        <f>IFERROR(VLOOKUP(trainee_data[[#This Row],[Specialty/Subspecialty]],condensed_specialty_crosswalk[#All],2,FALSE),"")</f>
        <v/>
      </c>
      <c r="G822" s="56" t="str">
        <f>IFERROR(VLOOKUP(trainee_data[[#This Row],[Specialty/Subspecialty]],condensed_specialty_crosswalk[#All],3,FALSE),"")</f>
        <v/>
      </c>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row>
    <row r="823" spans="5:30" ht="14.25" x14ac:dyDescent="0.45">
      <c r="E823" s="70" t="str">
        <f>IFERROR(VLOOKUP(trainee_data[[#This Row],[Program Specialty]],taxonomy_map[[Other Taxonomy]:[Our Taxonomy]],2,FALSE),"")</f>
        <v/>
      </c>
      <c r="F823" s="52" t="str">
        <f>IFERROR(VLOOKUP(trainee_data[[#This Row],[Specialty/Subspecialty]],condensed_specialty_crosswalk[#All],2,FALSE),"")</f>
        <v/>
      </c>
      <c r="G823" s="53" t="str">
        <f>IFERROR(VLOOKUP(trainee_data[[#This Row],[Specialty/Subspecialty]],condensed_specialty_crosswalk[#All],3,FALSE),"")</f>
        <v/>
      </c>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row>
    <row r="824" spans="5:30" ht="14.25" x14ac:dyDescent="0.45">
      <c r="E824" s="69" t="str">
        <f>IFERROR(VLOOKUP(trainee_data[[#This Row],[Program Specialty]],taxonomy_map[[Other Taxonomy]:[Our Taxonomy]],2,FALSE),"")</f>
        <v/>
      </c>
      <c r="F824" s="55" t="str">
        <f>IFERROR(VLOOKUP(trainee_data[[#This Row],[Specialty/Subspecialty]],condensed_specialty_crosswalk[#All],2,FALSE),"")</f>
        <v/>
      </c>
      <c r="G824" s="56" t="str">
        <f>IFERROR(VLOOKUP(trainee_data[[#This Row],[Specialty/Subspecialty]],condensed_specialty_crosswalk[#All],3,FALSE),"")</f>
        <v/>
      </c>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row>
    <row r="825" spans="5:30" ht="14.25" x14ac:dyDescent="0.45">
      <c r="E825" s="70" t="str">
        <f>IFERROR(VLOOKUP(trainee_data[[#This Row],[Program Specialty]],taxonomy_map[[Other Taxonomy]:[Our Taxonomy]],2,FALSE),"")</f>
        <v/>
      </c>
      <c r="F825" s="52" t="str">
        <f>IFERROR(VLOOKUP(trainee_data[[#This Row],[Specialty/Subspecialty]],condensed_specialty_crosswalk[#All],2,FALSE),"")</f>
        <v/>
      </c>
      <c r="G825" s="53" t="str">
        <f>IFERROR(VLOOKUP(trainee_data[[#This Row],[Specialty/Subspecialty]],condensed_specialty_crosswalk[#All],3,FALSE),"")</f>
        <v/>
      </c>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row>
    <row r="826" spans="5:30" ht="14.25" x14ac:dyDescent="0.45">
      <c r="E826" s="69" t="str">
        <f>IFERROR(VLOOKUP(trainee_data[[#This Row],[Program Specialty]],taxonomy_map[[Other Taxonomy]:[Our Taxonomy]],2,FALSE),"")</f>
        <v/>
      </c>
      <c r="F826" s="55" t="str">
        <f>IFERROR(VLOOKUP(trainee_data[[#This Row],[Specialty/Subspecialty]],condensed_specialty_crosswalk[#All],2,FALSE),"")</f>
        <v/>
      </c>
      <c r="G826" s="56" t="str">
        <f>IFERROR(VLOOKUP(trainee_data[[#This Row],[Specialty/Subspecialty]],condensed_specialty_crosswalk[#All],3,FALSE),"")</f>
        <v/>
      </c>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row>
    <row r="827" spans="5:30" ht="14.25" x14ac:dyDescent="0.45">
      <c r="E827" s="70" t="str">
        <f>IFERROR(VLOOKUP(trainee_data[[#This Row],[Program Specialty]],taxonomy_map[[Other Taxonomy]:[Our Taxonomy]],2,FALSE),"")</f>
        <v/>
      </c>
      <c r="F827" s="52" t="str">
        <f>IFERROR(VLOOKUP(trainee_data[[#This Row],[Specialty/Subspecialty]],condensed_specialty_crosswalk[#All],2,FALSE),"")</f>
        <v/>
      </c>
      <c r="G827" s="53" t="str">
        <f>IFERROR(VLOOKUP(trainee_data[[#This Row],[Specialty/Subspecialty]],condensed_specialty_crosswalk[#All],3,FALSE),"")</f>
        <v/>
      </c>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row>
    <row r="828" spans="5:30" ht="14.25" x14ac:dyDescent="0.45">
      <c r="E828" s="69" t="str">
        <f>IFERROR(VLOOKUP(trainee_data[[#This Row],[Program Specialty]],taxonomy_map[[Other Taxonomy]:[Our Taxonomy]],2,FALSE),"")</f>
        <v/>
      </c>
      <c r="F828" s="55" t="str">
        <f>IFERROR(VLOOKUP(trainee_data[[#This Row],[Specialty/Subspecialty]],condensed_specialty_crosswalk[#All],2,FALSE),"")</f>
        <v/>
      </c>
      <c r="G828" s="56" t="str">
        <f>IFERROR(VLOOKUP(trainee_data[[#This Row],[Specialty/Subspecialty]],condensed_specialty_crosswalk[#All],3,FALSE),"")</f>
        <v/>
      </c>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row>
    <row r="829" spans="5:30" ht="14.25" x14ac:dyDescent="0.45">
      <c r="E829" s="70" t="str">
        <f>IFERROR(VLOOKUP(trainee_data[[#This Row],[Program Specialty]],taxonomy_map[[Other Taxonomy]:[Our Taxonomy]],2,FALSE),"")</f>
        <v/>
      </c>
      <c r="F829" s="52" t="str">
        <f>IFERROR(VLOOKUP(trainee_data[[#This Row],[Specialty/Subspecialty]],condensed_specialty_crosswalk[#All],2,FALSE),"")</f>
        <v/>
      </c>
      <c r="G829" s="53" t="str">
        <f>IFERROR(VLOOKUP(trainee_data[[#This Row],[Specialty/Subspecialty]],condensed_specialty_crosswalk[#All],3,FALSE),"")</f>
        <v/>
      </c>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row>
    <row r="830" spans="5:30" ht="14.25" x14ac:dyDescent="0.45">
      <c r="E830" s="69" t="str">
        <f>IFERROR(VLOOKUP(trainee_data[[#This Row],[Program Specialty]],taxonomy_map[[Other Taxonomy]:[Our Taxonomy]],2,FALSE),"")</f>
        <v/>
      </c>
      <c r="F830" s="55" t="str">
        <f>IFERROR(VLOOKUP(trainee_data[[#This Row],[Specialty/Subspecialty]],condensed_specialty_crosswalk[#All],2,FALSE),"")</f>
        <v/>
      </c>
      <c r="G830" s="56" t="str">
        <f>IFERROR(VLOOKUP(trainee_data[[#This Row],[Specialty/Subspecialty]],condensed_specialty_crosswalk[#All],3,FALSE),"")</f>
        <v/>
      </c>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row>
    <row r="831" spans="5:30" ht="14.25" x14ac:dyDescent="0.45">
      <c r="E831" s="70" t="str">
        <f>IFERROR(VLOOKUP(trainee_data[[#This Row],[Program Specialty]],taxonomy_map[[Other Taxonomy]:[Our Taxonomy]],2,FALSE),"")</f>
        <v/>
      </c>
      <c r="F831" s="52" t="str">
        <f>IFERROR(VLOOKUP(trainee_data[[#This Row],[Specialty/Subspecialty]],condensed_specialty_crosswalk[#All],2,FALSE),"")</f>
        <v/>
      </c>
      <c r="G831" s="53" t="str">
        <f>IFERROR(VLOOKUP(trainee_data[[#This Row],[Specialty/Subspecialty]],condensed_specialty_crosswalk[#All],3,FALSE),"")</f>
        <v/>
      </c>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row>
    <row r="832" spans="5:30" ht="14.25" x14ac:dyDescent="0.45">
      <c r="E832" s="69" t="str">
        <f>IFERROR(VLOOKUP(trainee_data[[#This Row],[Program Specialty]],taxonomy_map[[Other Taxonomy]:[Our Taxonomy]],2,FALSE),"")</f>
        <v/>
      </c>
      <c r="F832" s="55" t="str">
        <f>IFERROR(VLOOKUP(trainee_data[[#This Row],[Specialty/Subspecialty]],condensed_specialty_crosswalk[#All],2,FALSE),"")</f>
        <v/>
      </c>
      <c r="G832" s="56" t="str">
        <f>IFERROR(VLOOKUP(trainee_data[[#This Row],[Specialty/Subspecialty]],condensed_specialty_crosswalk[#All],3,FALSE),"")</f>
        <v/>
      </c>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row>
    <row r="833" spans="5:30" ht="14.25" x14ac:dyDescent="0.45">
      <c r="E833" s="70" t="str">
        <f>IFERROR(VLOOKUP(trainee_data[[#This Row],[Program Specialty]],taxonomy_map[[Other Taxonomy]:[Our Taxonomy]],2,FALSE),"")</f>
        <v/>
      </c>
      <c r="F833" s="52" t="str">
        <f>IFERROR(VLOOKUP(trainee_data[[#This Row],[Specialty/Subspecialty]],condensed_specialty_crosswalk[#All],2,FALSE),"")</f>
        <v/>
      </c>
      <c r="G833" s="53" t="str">
        <f>IFERROR(VLOOKUP(trainee_data[[#This Row],[Specialty/Subspecialty]],condensed_specialty_crosswalk[#All],3,FALSE),"")</f>
        <v/>
      </c>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row>
    <row r="834" spans="5:30" ht="14.25" x14ac:dyDescent="0.45">
      <c r="E834" s="69" t="str">
        <f>IFERROR(VLOOKUP(trainee_data[[#This Row],[Program Specialty]],taxonomy_map[[Other Taxonomy]:[Our Taxonomy]],2,FALSE),"")</f>
        <v/>
      </c>
      <c r="F834" s="55" t="str">
        <f>IFERROR(VLOOKUP(trainee_data[[#This Row],[Specialty/Subspecialty]],condensed_specialty_crosswalk[#All],2,FALSE),"")</f>
        <v/>
      </c>
      <c r="G834" s="56" t="str">
        <f>IFERROR(VLOOKUP(trainee_data[[#This Row],[Specialty/Subspecialty]],condensed_specialty_crosswalk[#All],3,FALSE),"")</f>
        <v/>
      </c>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row>
    <row r="835" spans="5:30" ht="14.25" x14ac:dyDescent="0.45">
      <c r="E835" s="70" t="str">
        <f>IFERROR(VLOOKUP(trainee_data[[#This Row],[Program Specialty]],taxonomy_map[[Other Taxonomy]:[Our Taxonomy]],2,FALSE),"")</f>
        <v/>
      </c>
      <c r="F835" s="52" t="str">
        <f>IFERROR(VLOOKUP(trainee_data[[#This Row],[Specialty/Subspecialty]],condensed_specialty_crosswalk[#All],2,FALSE),"")</f>
        <v/>
      </c>
      <c r="G835" s="53" t="str">
        <f>IFERROR(VLOOKUP(trainee_data[[#This Row],[Specialty/Subspecialty]],condensed_specialty_crosswalk[#All],3,FALSE),"")</f>
        <v/>
      </c>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row>
    <row r="836" spans="5:30" ht="14.25" x14ac:dyDescent="0.45">
      <c r="E836" s="69" t="str">
        <f>IFERROR(VLOOKUP(trainee_data[[#This Row],[Program Specialty]],taxonomy_map[[Other Taxonomy]:[Our Taxonomy]],2,FALSE),"")</f>
        <v/>
      </c>
      <c r="F836" s="55" t="str">
        <f>IFERROR(VLOOKUP(trainee_data[[#This Row],[Specialty/Subspecialty]],condensed_specialty_crosswalk[#All],2,FALSE),"")</f>
        <v/>
      </c>
      <c r="G836" s="56" t="str">
        <f>IFERROR(VLOOKUP(trainee_data[[#This Row],[Specialty/Subspecialty]],condensed_specialty_crosswalk[#All],3,FALSE),"")</f>
        <v/>
      </c>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row>
    <row r="837" spans="5:30" ht="14.25" x14ac:dyDescent="0.45">
      <c r="E837" s="70" t="str">
        <f>IFERROR(VLOOKUP(trainee_data[[#This Row],[Program Specialty]],taxonomy_map[[Other Taxonomy]:[Our Taxonomy]],2,FALSE),"")</f>
        <v/>
      </c>
      <c r="F837" s="52" t="str">
        <f>IFERROR(VLOOKUP(trainee_data[[#This Row],[Specialty/Subspecialty]],condensed_specialty_crosswalk[#All],2,FALSE),"")</f>
        <v/>
      </c>
      <c r="G837" s="53" t="str">
        <f>IFERROR(VLOOKUP(trainee_data[[#This Row],[Specialty/Subspecialty]],condensed_specialty_crosswalk[#All],3,FALSE),"")</f>
        <v/>
      </c>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row>
    <row r="838" spans="5:30" ht="14.25" x14ac:dyDescent="0.45">
      <c r="E838" s="69" t="str">
        <f>IFERROR(VLOOKUP(trainee_data[[#This Row],[Program Specialty]],taxonomy_map[[Other Taxonomy]:[Our Taxonomy]],2,FALSE),"")</f>
        <v/>
      </c>
      <c r="F838" s="55" t="str">
        <f>IFERROR(VLOOKUP(trainee_data[[#This Row],[Specialty/Subspecialty]],condensed_specialty_crosswalk[#All],2,FALSE),"")</f>
        <v/>
      </c>
      <c r="G838" s="56" t="str">
        <f>IFERROR(VLOOKUP(trainee_data[[#This Row],[Specialty/Subspecialty]],condensed_specialty_crosswalk[#All],3,FALSE),"")</f>
        <v/>
      </c>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row>
    <row r="839" spans="5:30" ht="14.25" x14ac:dyDescent="0.45">
      <c r="E839" s="70" t="str">
        <f>IFERROR(VLOOKUP(trainee_data[[#This Row],[Program Specialty]],taxonomy_map[[Other Taxonomy]:[Our Taxonomy]],2,FALSE),"")</f>
        <v/>
      </c>
      <c r="F839" s="52" t="str">
        <f>IFERROR(VLOOKUP(trainee_data[[#This Row],[Specialty/Subspecialty]],condensed_specialty_crosswalk[#All],2,FALSE),"")</f>
        <v/>
      </c>
      <c r="G839" s="53" t="str">
        <f>IFERROR(VLOOKUP(trainee_data[[#This Row],[Specialty/Subspecialty]],condensed_specialty_crosswalk[#All],3,FALSE),"")</f>
        <v/>
      </c>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row>
    <row r="840" spans="5:30" ht="14.25" x14ac:dyDescent="0.45">
      <c r="E840" s="69" t="str">
        <f>IFERROR(VLOOKUP(trainee_data[[#This Row],[Program Specialty]],taxonomy_map[[Other Taxonomy]:[Our Taxonomy]],2,FALSE),"")</f>
        <v/>
      </c>
      <c r="F840" s="55" t="str">
        <f>IFERROR(VLOOKUP(trainee_data[[#This Row],[Specialty/Subspecialty]],condensed_specialty_crosswalk[#All],2,FALSE),"")</f>
        <v/>
      </c>
      <c r="G840" s="56" t="str">
        <f>IFERROR(VLOOKUP(trainee_data[[#This Row],[Specialty/Subspecialty]],condensed_specialty_crosswalk[#All],3,FALSE),"")</f>
        <v/>
      </c>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row>
    <row r="841" spans="5:30" ht="14.25" x14ac:dyDescent="0.45">
      <c r="E841" s="70" t="str">
        <f>IFERROR(VLOOKUP(trainee_data[[#This Row],[Program Specialty]],taxonomy_map[[Other Taxonomy]:[Our Taxonomy]],2,FALSE),"")</f>
        <v/>
      </c>
      <c r="F841" s="52" t="str">
        <f>IFERROR(VLOOKUP(trainee_data[[#This Row],[Specialty/Subspecialty]],condensed_specialty_crosswalk[#All],2,FALSE),"")</f>
        <v/>
      </c>
      <c r="G841" s="53" t="str">
        <f>IFERROR(VLOOKUP(trainee_data[[#This Row],[Specialty/Subspecialty]],condensed_specialty_crosswalk[#All],3,FALSE),"")</f>
        <v/>
      </c>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row>
    <row r="842" spans="5:30" ht="14.25" x14ac:dyDescent="0.45">
      <c r="E842" s="69" t="str">
        <f>IFERROR(VLOOKUP(trainee_data[[#This Row],[Program Specialty]],taxonomy_map[[Other Taxonomy]:[Our Taxonomy]],2,FALSE),"")</f>
        <v/>
      </c>
      <c r="F842" s="55" t="str">
        <f>IFERROR(VLOOKUP(trainee_data[[#This Row],[Specialty/Subspecialty]],condensed_specialty_crosswalk[#All],2,FALSE),"")</f>
        <v/>
      </c>
      <c r="G842" s="56" t="str">
        <f>IFERROR(VLOOKUP(trainee_data[[#This Row],[Specialty/Subspecialty]],condensed_specialty_crosswalk[#All],3,FALSE),"")</f>
        <v/>
      </c>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row>
    <row r="843" spans="5:30" ht="14.25" x14ac:dyDescent="0.45">
      <c r="E843" s="70" t="str">
        <f>IFERROR(VLOOKUP(trainee_data[[#This Row],[Program Specialty]],taxonomy_map[[Other Taxonomy]:[Our Taxonomy]],2,FALSE),"")</f>
        <v/>
      </c>
      <c r="F843" s="52" t="str">
        <f>IFERROR(VLOOKUP(trainee_data[[#This Row],[Specialty/Subspecialty]],condensed_specialty_crosswalk[#All],2,FALSE),"")</f>
        <v/>
      </c>
      <c r="G843" s="53" t="str">
        <f>IFERROR(VLOOKUP(trainee_data[[#This Row],[Specialty/Subspecialty]],condensed_specialty_crosswalk[#All],3,FALSE),"")</f>
        <v/>
      </c>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row>
    <row r="844" spans="5:30" ht="14.25" x14ac:dyDescent="0.45">
      <c r="E844" s="69" t="str">
        <f>IFERROR(VLOOKUP(trainee_data[[#This Row],[Program Specialty]],taxonomy_map[[Other Taxonomy]:[Our Taxonomy]],2,FALSE),"")</f>
        <v/>
      </c>
      <c r="F844" s="55" t="str">
        <f>IFERROR(VLOOKUP(trainee_data[[#This Row],[Specialty/Subspecialty]],condensed_specialty_crosswalk[#All],2,FALSE),"")</f>
        <v/>
      </c>
      <c r="G844" s="56" t="str">
        <f>IFERROR(VLOOKUP(trainee_data[[#This Row],[Specialty/Subspecialty]],condensed_specialty_crosswalk[#All],3,FALSE),"")</f>
        <v/>
      </c>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row>
    <row r="845" spans="5:30" ht="14.25" x14ac:dyDescent="0.45">
      <c r="E845" s="70" t="str">
        <f>IFERROR(VLOOKUP(trainee_data[[#This Row],[Program Specialty]],taxonomy_map[[Other Taxonomy]:[Our Taxonomy]],2,FALSE),"")</f>
        <v/>
      </c>
      <c r="F845" s="52" t="str">
        <f>IFERROR(VLOOKUP(trainee_data[[#This Row],[Specialty/Subspecialty]],condensed_specialty_crosswalk[#All],2,FALSE),"")</f>
        <v/>
      </c>
      <c r="G845" s="53" t="str">
        <f>IFERROR(VLOOKUP(trainee_data[[#This Row],[Specialty/Subspecialty]],condensed_specialty_crosswalk[#All],3,FALSE),"")</f>
        <v/>
      </c>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row>
    <row r="846" spans="5:30" ht="14.25" x14ac:dyDescent="0.45">
      <c r="E846" s="69" t="str">
        <f>IFERROR(VLOOKUP(trainee_data[[#This Row],[Program Specialty]],taxonomy_map[[Other Taxonomy]:[Our Taxonomy]],2,FALSE),"")</f>
        <v/>
      </c>
      <c r="F846" s="55" t="str">
        <f>IFERROR(VLOOKUP(trainee_data[[#This Row],[Specialty/Subspecialty]],condensed_specialty_crosswalk[#All],2,FALSE),"")</f>
        <v/>
      </c>
      <c r="G846" s="56" t="str">
        <f>IFERROR(VLOOKUP(trainee_data[[#This Row],[Specialty/Subspecialty]],condensed_specialty_crosswalk[#All],3,FALSE),"")</f>
        <v/>
      </c>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row>
    <row r="847" spans="5:30" ht="14.25" x14ac:dyDescent="0.45">
      <c r="E847" s="70" t="str">
        <f>IFERROR(VLOOKUP(trainee_data[[#This Row],[Program Specialty]],taxonomy_map[[Other Taxonomy]:[Our Taxonomy]],2,FALSE),"")</f>
        <v/>
      </c>
      <c r="F847" s="52" t="str">
        <f>IFERROR(VLOOKUP(trainee_data[[#This Row],[Specialty/Subspecialty]],condensed_specialty_crosswalk[#All],2,FALSE),"")</f>
        <v/>
      </c>
      <c r="G847" s="53" t="str">
        <f>IFERROR(VLOOKUP(trainee_data[[#This Row],[Specialty/Subspecialty]],condensed_specialty_crosswalk[#All],3,FALSE),"")</f>
        <v/>
      </c>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row>
    <row r="848" spans="5:30" ht="14.25" x14ac:dyDescent="0.45">
      <c r="E848" s="69" t="str">
        <f>IFERROR(VLOOKUP(trainee_data[[#This Row],[Program Specialty]],taxonomy_map[[Other Taxonomy]:[Our Taxonomy]],2,FALSE),"")</f>
        <v/>
      </c>
      <c r="F848" s="55" t="str">
        <f>IFERROR(VLOOKUP(trainee_data[[#This Row],[Specialty/Subspecialty]],condensed_specialty_crosswalk[#All],2,FALSE),"")</f>
        <v/>
      </c>
      <c r="G848" s="56" t="str">
        <f>IFERROR(VLOOKUP(trainee_data[[#This Row],[Specialty/Subspecialty]],condensed_specialty_crosswalk[#All],3,FALSE),"")</f>
        <v/>
      </c>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row>
    <row r="849" spans="5:30" ht="14.25" x14ac:dyDescent="0.45">
      <c r="E849" s="70" t="str">
        <f>IFERROR(VLOOKUP(trainee_data[[#This Row],[Program Specialty]],taxonomy_map[[Other Taxonomy]:[Our Taxonomy]],2,FALSE),"")</f>
        <v/>
      </c>
      <c r="F849" s="52" t="str">
        <f>IFERROR(VLOOKUP(trainee_data[[#This Row],[Specialty/Subspecialty]],condensed_specialty_crosswalk[#All],2,FALSE),"")</f>
        <v/>
      </c>
      <c r="G849" s="53" t="str">
        <f>IFERROR(VLOOKUP(trainee_data[[#This Row],[Specialty/Subspecialty]],condensed_specialty_crosswalk[#All],3,FALSE),"")</f>
        <v/>
      </c>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row>
    <row r="850" spans="5:30" ht="14.25" x14ac:dyDescent="0.45">
      <c r="E850" s="69" t="str">
        <f>IFERROR(VLOOKUP(trainee_data[[#This Row],[Program Specialty]],taxonomy_map[[Other Taxonomy]:[Our Taxonomy]],2,FALSE),"")</f>
        <v/>
      </c>
      <c r="F850" s="55" t="str">
        <f>IFERROR(VLOOKUP(trainee_data[[#This Row],[Specialty/Subspecialty]],condensed_specialty_crosswalk[#All],2,FALSE),"")</f>
        <v/>
      </c>
      <c r="G850" s="56" t="str">
        <f>IFERROR(VLOOKUP(trainee_data[[#This Row],[Specialty/Subspecialty]],condensed_specialty_crosswalk[#All],3,FALSE),"")</f>
        <v/>
      </c>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row>
    <row r="851" spans="5:30" ht="14.25" x14ac:dyDescent="0.45">
      <c r="E851" s="70" t="str">
        <f>IFERROR(VLOOKUP(trainee_data[[#This Row],[Program Specialty]],taxonomy_map[[Other Taxonomy]:[Our Taxonomy]],2,FALSE),"")</f>
        <v/>
      </c>
      <c r="F851" s="52" t="str">
        <f>IFERROR(VLOOKUP(trainee_data[[#This Row],[Specialty/Subspecialty]],condensed_specialty_crosswalk[#All],2,FALSE),"")</f>
        <v/>
      </c>
      <c r="G851" s="53" t="str">
        <f>IFERROR(VLOOKUP(trainee_data[[#This Row],[Specialty/Subspecialty]],condensed_specialty_crosswalk[#All],3,FALSE),"")</f>
        <v/>
      </c>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row>
    <row r="852" spans="5:30" ht="14.25" x14ac:dyDescent="0.45">
      <c r="E852" s="69" t="str">
        <f>IFERROR(VLOOKUP(trainee_data[[#This Row],[Program Specialty]],taxonomy_map[[Other Taxonomy]:[Our Taxonomy]],2,FALSE),"")</f>
        <v/>
      </c>
      <c r="F852" s="55" t="str">
        <f>IFERROR(VLOOKUP(trainee_data[[#This Row],[Specialty/Subspecialty]],condensed_specialty_crosswalk[#All],2,FALSE),"")</f>
        <v/>
      </c>
      <c r="G852" s="56" t="str">
        <f>IFERROR(VLOOKUP(trainee_data[[#This Row],[Specialty/Subspecialty]],condensed_specialty_crosswalk[#All],3,FALSE),"")</f>
        <v/>
      </c>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row>
    <row r="853" spans="5:30" ht="14.25" x14ac:dyDescent="0.45">
      <c r="E853" s="70" t="str">
        <f>IFERROR(VLOOKUP(trainee_data[[#This Row],[Program Specialty]],taxonomy_map[[Other Taxonomy]:[Our Taxonomy]],2,FALSE),"")</f>
        <v/>
      </c>
      <c r="F853" s="52" t="str">
        <f>IFERROR(VLOOKUP(trainee_data[[#This Row],[Specialty/Subspecialty]],condensed_specialty_crosswalk[#All],2,FALSE),"")</f>
        <v/>
      </c>
      <c r="G853" s="53" t="str">
        <f>IFERROR(VLOOKUP(trainee_data[[#This Row],[Specialty/Subspecialty]],condensed_specialty_crosswalk[#All],3,FALSE),"")</f>
        <v/>
      </c>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row>
    <row r="854" spans="5:30" ht="14.25" x14ac:dyDescent="0.45">
      <c r="E854" s="69" t="str">
        <f>IFERROR(VLOOKUP(trainee_data[[#This Row],[Program Specialty]],taxonomy_map[[Other Taxonomy]:[Our Taxonomy]],2,FALSE),"")</f>
        <v/>
      </c>
      <c r="F854" s="55" t="str">
        <f>IFERROR(VLOOKUP(trainee_data[[#This Row],[Specialty/Subspecialty]],condensed_specialty_crosswalk[#All],2,FALSE),"")</f>
        <v/>
      </c>
      <c r="G854" s="56" t="str">
        <f>IFERROR(VLOOKUP(trainee_data[[#This Row],[Specialty/Subspecialty]],condensed_specialty_crosswalk[#All],3,FALSE),"")</f>
        <v/>
      </c>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row>
    <row r="855" spans="5:30" ht="14.25" x14ac:dyDescent="0.45">
      <c r="E855" s="70" t="str">
        <f>IFERROR(VLOOKUP(trainee_data[[#This Row],[Program Specialty]],taxonomy_map[[Other Taxonomy]:[Our Taxonomy]],2,FALSE),"")</f>
        <v/>
      </c>
      <c r="F855" s="52" t="str">
        <f>IFERROR(VLOOKUP(trainee_data[[#This Row],[Specialty/Subspecialty]],condensed_specialty_crosswalk[#All],2,FALSE),"")</f>
        <v/>
      </c>
      <c r="G855" s="53" t="str">
        <f>IFERROR(VLOOKUP(trainee_data[[#This Row],[Specialty/Subspecialty]],condensed_specialty_crosswalk[#All],3,FALSE),"")</f>
        <v/>
      </c>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row>
    <row r="856" spans="5:30" ht="14.25" x14ac:dyDescent="0.45">
      <c r="E856" s="69" t="str">
        <f>IFERROR(VLOOKUP(trainee_data[[#This Row],[Program Specialty]],taxonomy_map[[Other Taxonomy]:[Our Taxonomy]],2,FALSE),"")</f>
        <v/>
      </c>
      <c r="F856" s="55" t="str">
        <f>IFERROR(VLOOKUP(trainee_data[[#This Row],[Specialty/Subspecialty]],condensed_specialty_crosswalk[#All],2,FALSE),"")</f>
        <v/>
      </c>
      <c r="G856" s="56" t="str">
        <f>IFERROR(VLOOKUP(trainee_data[[#This Row],[Specialty/Subspecialty]],condensed_specialty_crosswalk[#All],3,FALSE),"")</f>
        <v/>
      </c>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row>
    <row r="857" spans="5:30" ht="14.25" x14ac:dyDescent="0.45">
      <c r="E857" s="70" t="str">
        <f>IFERROR(VLOOKUP(trainee_data[[#This Row],[Program Specialty]],taxonomy_map[[Other Taxonomy]:[Our Taxonomy]],2,FALSE),"")</f>
        <v/>
      </c>
      <c r="F857" s="52" t="str">
        <f>IFERROR(VLOOKUP(trainee_data[[#This Row],[Specialty/Subspecialty]],condensed_specialty_crosswalk[#All],2,FALSE),"")</f>
        <v/>
      </c>
      <c r="G857" s="53" t="str">
        <f>IFERROR(VLOOKUP(trainee_data[[#This Row],[Specialty/Subspecialty]],condensed_specialty_crosswalk[#All],3,FALSE),"")</f>
        <v/>
      </c>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row>
    <row r="858" spans="5:30" ht="14.25" x14ac:dyDescent="0.45">
      <c r="E858" s="69" t="str">
        <f>IFERROR(VLOOKUP(trainee_data[[#This Row],[Program Specialty]],taxonomy_map[[Other Taxonomy]:[Our Taxonomy]],2,FALSE),"")</f>
        <v/>
      </c>
      <c r="F858" s="55" t="str">
        <f>IFERROR(VLOOKUP(trainee_data[[#This Row],[Specialty/Subspecialty]],condensed_specialty_crosswalk[#All],2,FALSE),"")</f>
        <v/>
      </c>
      <c r="G858" s="56" t="str">
        <f>IFERROR(VLOOKUP(trainee_data[[#This Row],[Specialty/Subspecialty]],condensed_specialty_crosswalk[#All],3,FALSE),"")</f>
        <v/>
      </c>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row>
    <row r="859" spans="5:30" ht="14.25" x14ac:dyDescent="0.45">
      <c r="E859" s="70" t="str">
        <f>IFERROR(VLOOKUP(trainee_data[[#This Row],[Program Specialty]],taxonomy_map[[Other Taxonomy]:[Our Taxonomy]],2,FALSE),"")</f>
        <v/>
      </c>
      <c r="F859" s="52" t="str">
        <f>IFERROR(VLOOKUP(trainee_data[[#This Row],[Specialty/Subspecialty]],condensed_specialty_crosswalk[#All],2,FALSE),"")</f>
        <v/>
      </c>
      <c r="G859" s="53" t="str">
        <f>IFERROR(VLOOKUP(trainee_data[[#This Row],[Specialty/Subspecialty]],condensed_specialty_crosswalk[#All],3,FALSE),"")</f>
        <v/>
      </c>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row>
    <row r="860" spans="5:30" ht="14.25" x14ac:dyDescent="0.45">
      <c r="E860" s="69" t="str">
        <f>IFERROR(VLOOKUP(trainee_data[[#This Row],[Program Specialty]],taxonomy_map[[Other Taxonomy]:[Our Taxonomy]],2,FALSE),"")</f>
        <v/>
      </c>
      <c r="F860" s="55" t="str">
        <f>IFERROR(VLOOKUP(trainee_data[[#This Row],[Specialty/Subspecialty]],condensed_specialty_crosswalk[#All],2,FALSE),"")</f>
        <v/>
      </c>
      <c r="G860" s="56" t="str">
        <f>IFERROR(VLOOKUP(trainee_data[[#This Row],[Specialty/Subspecialty]],condensed_specialty_crosswalk[#All],3,FALSE),"")</f>
        <v/>
      </c>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row>
    <row r="861" spans="5:30" ht="14.25" x14ac:dyDescent="0.45">
      <c r="E861" s="70" t="str">
        <f>IFERROR(VLOOKUP(trainee_data[[#This Row],[Program Specialty]],taxonomy_map[[Other Taxonomy]:[Our Taxonomy]],2,FALSE),"")</f>
        <v/>
      </c>
      <c r="F861" s="52" t="str">
        <f>IFERROR(VLOOKUP(trainee_data[[#This Row],[Specialty/Subspecialty]],condensed_specialty_crosswalk[#All],2,FALSE),"")</f>
        <v/>
      </c>
      <c r="G861" s="53" t="str">
        <f>IFERROR(VLOOKUP(trainee_data[[#This Row],[Specialty/Subspecialty]],condensed_specialty_crosswalk[#All],3,FALSE),"")</f>
        <v/>
      </c>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row>
    <row r="862" spans="5:30" ht="14.25" x14ac:dyDescent="0.45">
      <c r="E862" s="69" t="str">
        <f>IFERROR(VLOOKUP(trainee_data[[#This Row],[Program Specialty]],taxonomy_map[[Other Taxonomy]:[Our Taxonomy]],2,FALSE),"")</f>
        <v/>
      </c>
      <c r="F862" s="55" t="str">
        <f>IFERROR(VLOOKUP(trainee_data[[#This Row],[Specialty/Subspecialty]],condensed_specialty_crosswalk[#All],2,FALSE),"")</f>
        <v/>
      </c>
      <c r="G862" s="56" t="str">
        <f>IFERROR(VLOOKUP(trainee_data[[#This Row],[Specialty/Subspecialty]],condensed_specialty_crosswalk[#All],3,FALSE),"")</f>
        <v/>
      </c>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row>
    <row r="863" spans="5:30" ht="14.25" x14ac:dyDescent="0.45">
      <c r="E863" s="70" t="str">
        <f>IFERROR(VLOOKUP(trainee_data[[#This Row],[Program Specialty]],taxonomy_map[[Other Taxonomy]:[Our Taxonomy]],2,FALSE),"")</f>
        <v/>
      </c>
      <c r="F863" s="52" t="str">
        <f>IFERROR(VLOOKUP(trainee_data[[#This Row],[Specialty/Subspecialty]],condensed_specialty_crosswalk[#All],2,FALSE),"")</f>
        <v/>
      </c>
      <c r="G863" s="53" t="str">
        <f>IFERROR(VLOOKUP(trainee_data[[#This Row],[Specialty/Subspecialty]],condensed_specialty_crosswalk[#All],3,FALSE),"")</f>
        <v/>
      </c>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row>
    <row r="864" spans="5:30" ht="14.25" x14ac:dyDescent="0.45">
      <c r="E864" s="69" t="str">
        <f>IFERROR(VLOOKUP(trainee_data[[#This Row],[Program Specialty]],taxonomy_map[[Other Taxonomy]:[Our Taxonomy]],2,FALSE),"")</f>
        <v/>
      </c>
      <c r="F864" s="55" t="str">
        <f>IFERROR(VLOOKUP(trainee_data[[#This Row],[Specialty/Subspecialty]],condensed_specialty_crosswalk[#All],2,FALSE),"")</f>
        <v/>
      </c>
      <c r="G864" s="56" t="str">
        <f>IFERROR(VLOOKUP(trainee_data[[#This Row],[Specialty/Subspecialty]],condensed_specialty_crosswalk[#All],3,FALSE),"")</f>
        <v/>
      </c>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row>
    <row r="865" spans="5:30" ht="14.25" x14ac:dyDescent="0.45">
      <c r="E865" s="70" t="str">
        <f>IFERROR(VLOOKUP(trainee_data[[#This Row],[Program Specialty]],taxonomy_map[[Other Taxonomy]:[Our Taxonomy]],2,FALSE),"")</f>
        <v/>
      </c>
      <c r="F865" s="52" t="str">
        <f>IFERROR(VLOOKUP(trainee_data[[#This Row],[Specialty/Subspecialty]],condensed_specialty_crosswalk[#All],2,FALSE),"")</f>
        <v/>
      </c>
      <c r="G865" s="53" t="str">
        <f>IFERROR(VLOOKUP(trainee_data[[#This Row],[Specialty/Subspecialty]],condensed_specialty_crosswalk[#All],3,FALSE),"")</f>
        <v/>
      </c>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row>
    <row r="866" spans="5:30" ht="14.25" x14ac:dyDescent="0.45">
      <c r="E866" s="69" t="str">
        <f>IFERROR(VLOOKUP(trainee_data[[#This Row],[Program Specialty]],taxonomy_map[[Other Taxonomy]:[Our Taxonomy]],2,FALSE),"")</f>
        <v/>
      </c>
      <c r="F866" s="55" t="str">
        <f>IFERROR(VLOOKUP(trainee_data[[#This Row],[Specialty/Subspecialty]],condensed_specialty_crosswalk[#All],2,FALSE),"")</f>
        <v/>
      </c>
      <c r="G866" s="56" t="str">
        <f>IFERROR(VLOOKUP(trainee_data[[#This Row],[Specialty/Subspecialty]],condensed_specialty_crosswalk[#All],3,FALSE),"")</f>
        <v/>
      </c>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row>
    <row r="867" spans="5:30" ht="14.25" x14ac:dyDescent="0.45">
      <c r="E867" s="70" t="str">
        <f>IFERROR(VLOOKUP(trainee_data[[#This Row],[Program Specialty]],taxonomy_map[[Other Taxonomy]:[Our Taxonomy]],2,FALSE),"")</f>
        <v/>
      </c>
      <c r="F867" s="52" t="str">
        <f>IFERROR(VLOOKUP(trainee_data[[#This Row],[Specialty/Subspecialty]],condensed_specialty_crosswalk[#All],2,FALSE),"")</f>
        <v/>
      </c>
      <c r="G867" s="53" t="str">
        <f>IFERROR(VLOOKUP(trainee_data[[#This Row],[Specialty/Subspecialty]],condensed_specialty_crosswalk[#All],3,FALSE),"")</f>
        <v/>
      </c>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row>
    <row r="868" spans="5:30" ht="14.25" x14ac:dyDescent="0.45">
      <c r="E868" s="69" t="str">
        <f>IFERROR(VLOOKUP(trainee_data[[#This Row],[Program Specialty]],taxonomy_map[[Other Taxonomy]:[Our Taxonomy]],2,FALSE),"")</f>
        <v/>
      </c>
      <c r="F868" s="55" t="str">
        <f>IFERROR(VLOOKUP(trainee_data[[#This Row],[Specialty/Subspecialty]],condensed_specialty_crosswalk[#All],2,FALSE),"")</f>
        <v/>
      </c>
      <c r="G868" s="56" t="str">
        <f>IFERROR(VLOOKUP(trainee_data[[#This Row],[Specialty/Subspecialty]],condensed_specialty_crosswalk[#All],3,FALSE),"")</f>
        <v/>
      </c>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row>
    <row r="869" spans="5:30" ht="14.25" x14ac:dyDescent="0.45">
      <c r="E869" s="70" t="str">
        <f>IFERROR(VLOOKUP(trainee_data[[#This Row],[Program Specialty]],taxonomy_map[[Other Taxonomy]:[Our Taxonomy]],2,FALSE),"")</f>
        <v/>
      </c>
      <c r="F869" s="52" t="str">
        <f>IFERROR(VLOOKUP(trainee_data[[#This Row],[Specialty/Subspecialty]],condensed_specialty_crosswalk[#All],2,FALSE),"")</f>
        <v/>
      </c>
      <c r="G869" s="53" t="str">
        <f>IFERROR(VLOOKUP(trainee_data[[#This Row],[Specialty/Subspecialty]],condensed_specialty_crosswalk[#All],3,FALSE),"")</f>
        <v/>
      </c>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row>
    <row r="870" spans="5:30" ht="14.25" x14ac:dyDescent="0.45">
      <c r="E870" s="69" t="str">
        <f>IFERROR(VLOOKUP(trainee_data[[#This Row],[Program Specialty]],taxonomy_map[[Other Taxonomy]:[Our Taxonomy]],2,FALSE),"")</f>
        <v/>
      </c>
      <c r="F870" s="55" t="str">
        <f>IFERROR(VLOOKUP(trainee_data[[#This Row],[Specialty/Subspecialty]],condensed_specialty_crosswalk[#All],2,FALSE),"")</f>
        <v/>
      </c>
      <c r="G870" s="56" t="str">
        <f>IFERROR(VLOOKUP(trainee_data[[#This Row],[Specialty/Subspecialty]],condensed_specialty_crosswalk[#All],3,FALSE),"")</f>
        <v/>
      </c>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row>
    <row r="871" spans="5:30" ht="14.25" x14ac:dyDescent="0.45">
      <c r="E871" s="70" t="str">
        <f>IFERROR(VLOOKUP(trainee_data[[#This Row],[Program Specialty]],taxonomy_map[[Other Taxonomy]:[Our Taxonomy]],2,FALSE),"")</f>
        <v/>
      </c>
      <c r="F871" s="52" t="str">
        <f>IFERROR(VLOOKUP(trainee_data[[#This Row],[Specialty/Subspecialty]],condensed_specialty_crosswalk[#All],2,FALSE),"")</f>
        <v/>
      </c>
      <c r="G871" s="53" t="str">
        <f>IFERROR(VLOOKUP(trainee_data[[#This Row],[Specialty/Subspecialty]],condensed_specialty_crosswalk[#All],3,FALSE),"")</f>
        <v/>
      </c>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row>
    <row r="872" spans="5:30" ht="14.25" x14ac:dyDescent="0.45">
      <c r="E872" s="69" t="str">
        <f>IFERROR(VLOOKUP(trainee_data[[#This Row],[Program Specialty]],taxonomy_map[[Other Taxonomy]:[Our Taxonomy]],2,FALSE),"")</f>
        <v/>
      </c>
      <c r="F872" s="55" t="str">
        <f>IFERROR(VLOOKUP(trainee_data[[#This Row],[Specialty/Subspecialty]],condensed_specialty_crosswalk[#All],2,FALSE),"")</f>
        <v/>
      </c>
      <c r="G872" s="56" t="str">
        <f>IFERROR(VLOOKUP(trainee_data[[#This Row],[Specialty/Subspecialty]],condensed_specialty_crosswalk[#All],3,FALSE),"")</f>
        <v/>
      </c>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row>
    <row r="873" spans="5:30" ht="14.25" x14ac:dyDescent="0.45">
      <c r="E873" s="70" t="str">
        <f>IFERROR(VLOOKUP(trainee_data[[#This Row],[Program Specialty]],taxonomy_map[[Other Taxonomy]:[Our Taxonomy]],2,FALSE),"")</f>
        <v/>
      </c>
      <c r="F873" s="52" t="str">
        <f>IFERROR(VLOOKUP(trainee_data[[#This Row],[Specialty/Subspecialty]],condensed_specialty_crosswalk[#All],2,FALSE),"")</f>
        <v/>
      </c>
      <c r="G873" s="53" t="str">
        <f>IFERROR(VLOOKUP(trainee_data[[#This Row],[Specialty/Subspecialty]],condensed_specialty_crosswalk[#All],3,FALSE),"")</f>
        <v/>
      </c>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row>
    <row r="874" spans="5:30" ht="14.25" x14ac:dyDescent="0.45">
      <c r="E874" s="69" t="str">
        <f>IFERROR(VLOOKUP(trainee_data[[#This Row],[Program Specialty]],taxonomy_map[[Other Taxonomy]:[Our Taxonomy]],2,FALSE),"")</f>
        <v/>
      </c>
      <c r="F874" s="55" t="str">
        <f>IFERROR(VLOOKUP(trainee_data[[#This Row],[Specialty/Subspecialty]],condensed_specialty_crosswalk[#All],2,FALSE),"")</f>
        <v/>
      </c>
      <c r="G874" s="56" t="str">
        <f>IFERROR(VLOOKUP(trainee_data[[#This Row],[Specialty/Subspecialty]],condensed_specialty_crosswalk[#All],3,FALSE),"")</f>
        <v/>
      </c>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row>
    <row r="875" spans="5:30" ht="14.25" x14ac:dyDescent="0.45">
      <c r="E875" s="70" t="str">
        <f>IFERROR(VLOOKUP(trainee_data[[#This Row],[Program Specialty]],taxonomy_map[[Other Taxonomy]:[Our Taxonomy]],2,FALSE),"")</f>
        <v/>
      </c>
      <c r="F875" s="52" t="str">
        <f>IFERROR(VLOOKUP(trainee_data[[#This Row],[Specialty/Subspecialty]],condensed_specialty_crosswalk[#All],2,FALSE),"")</f>
        <v/>
      </c>
      <c r="G875" s="53" t="str">
        <f>IFERROR(VLOOKUP(trainee_data[[#This Row],[Specialty/Subspecialty]],condensed_specialty_crosswalk[#All],3,FALSE),"")</f>
        <v/>
      </c>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row>
    <row r="876" spans="5:30" ht="14.25" x14ac:dyDescent="0.45">
      <c r="E876" s="69" t="str">
        <f>IFERROR(VLOOKUP(trainee_data[[#This Row],[Program Specialty]],taxonomy_map[[Other Taxonomy]:[Our Taxonomy]],2,FALSE),"")</f>
        <v/>
      </c>
      <c r="F876" s="55" t="str">
        <f>IFERROR(VLOOKUP(trainee_data[[#This Row],[Specialty/Subspecialty]],condensed_specialty_crosswalk[#All],2,FALSE),"")</f>
        <v/>
      </c>
      <c r="G876" s="56" t="str">
        <f>IFERROR(VLOOKUP(trainee_data[[#This Row],[Specialty/Subspecialty]],condensed_specialty_crosswalk[#All],3,FALSE),"")</f>
        <v/>
      </c>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row>
    <row r="877" spans="5:30" ht="14.25" x14ac:dyDescent="0.45">
      <c r="E877" s="70" t="str">
        <f>IFERROR(VLOOKUP(trainee_data[[#This Row],[Program Specialty]],taxonomy_map[[Other Taxonomy]:[Our Taxonomy]],2,FALSE),"")</f>
        <v/>
      </c>
      <c r="F877" s="52" t="str">
        <f>IFERROR(VLOOKUP(trainee_data[[#This Row],[Specialty/Subspecialty]],condensed_specialty_crosswalk[#All],2,FALSE),"")</f>
        <v/>
      </c>
      <c r="G877" s="53" t="str">
        <f>IFERROR(VLOOKUP(trainee_data[[#This Row],[Specialty/Subspecialty]],condensed_specialty_crosswalk[#All],3,FALSE),"")</f>
        <v/>
      </c>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row>
    <row r="878" spans="5:30" ht="14.25" x14ac:dyDescent="0.45">
      <c r="E878" s="69" t="str">
        <f>IFERROR(VLOOKUP(trainee_data[[#This Row],[Program Specialty]],taxonomy_map[[Other Taxonomy]:[Our Taxonomy]],2,FALSE),"")</f>
        <v/>
      </c>
      <c r="F878" s="55" t="str">
        <f>IFERROR(VLOOKUP(trainee_data[[#This Row],[Specialty/Subspecialty]],condensed_specialty_crosswalk[#All],2,FALSE),"")</f>
        <v/>
      </c>
      <c r="G878" s="56" t="str">
        <f>IFERROR(VLOOKUP(trainee_data[[#This Row],[Specialty/Subspecialty]],condensed_specialty_crosswalk[#All],3,FALSE),"")</f>
        <v/>
      </c>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row>
    <row r="879" spans="5:30" ht="14.25" x14ac:dyDescent="0.45">
      <c r="E879" s="70" t="str">
        <f>IFERROR(VLOOKUP(trainee_data[[#This Row],[Program Specialty]],taxonomy_map[[Other Taxonomy]:[Our Taxonomy]],2,FALSE),"")</f>
        <v/>
      </c>
      <c r="F879" s="52" t="str">
        <f>IFERROR(VLOOKUP(trainee_data[[#This Row],[Specialty/Subspecialty]],condensed_specialty_crosswalk[#All],2,FALSE),"")</f>
        <v/>
      </c>
      <c r="G879" s="53" t="str">
        <f>IFERROR(VLOOKUP(trainee_data[[#This Row],[Specialty/Subspecialty]],condensed_specialty_crosswalk[#All],3,FALSE),"")</f>
        <v/>
      </c>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row>
    <row r="880" spans="5:30" ht="14.25" x14ac:dyDescent="0.45">
      <c r="E880" s="69" t="str">
        <f>IFERROR(VLOOKUP(trainee_data[[#This Row],[Program Specialty]],taxonomy_map[[Other Taxonomy]:[Our Taxonomy]],2,FALSE),"")</f>
        <v/>
      </c>
      <c r="F880" s="55" t="str">
        <f>IFERROR(VLOOKUP(trainee_data[[#This Row],[Specialty/Subspecialty]],condensed_specialty_crosswalk[#All],2,FALSE),"")</f>
        <v/>
      </c>
      <c r="G880" s="56" t="str">
        <f>IFERROR(VLOOKUP(trainee_data[[#This Row],[Specialty/Subspecialty]],condensed_specialty_crosswalk[#All],3,FALSE),"")</f>
        <v/>
      </c>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row>
    <row r="881" spans="5:30" ht="14.25" x14ac:dyDescent="0.45">
      <c r="E881" s="70" t="str">
        <f>IFERROR(VLOOKUP(trainee_data[[#This Row],[Program Specialty]],taxonomy_map[[Other Taxonomy]:[Our Taxonomy]],2,FALSE),"")</f>
        <v/>
      </c>
      <c r="F881" s="52" t="str">
        <f>IFERROR(VLOOKUP(trainee_data[[#This Row],[Specialty/Subspecialty]],condensed_specialty_crosswalk[#All],2,FALSE),"")</f>
        <v/>
      </c>
      <c r="G881" s="53" t="str">
        <f>IFERROR(VLOOKUP(trainee_data[[#This Row],[Specialty/Subspecialty]],condensed_specialty_crosswalk[#All],3,FALSE),"")</f>
        <v/>
      </c>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row>
    <row r="882" spans="5:30" ht="14.25" x14ac:dyDescent="0.45">
      <c r="E882" s="69" t="str">
        <f>IFERROR(VLOOKUP(trainee_data[[#This Row],[Program Specialty]],taxonomy_map[[Other Taxonomy]:[Our Taxonomy]],2,FALSE),"")</f>
        <v/>
      </c>
      <c r="F882" s="55" t="str">
        <f>IFERROR(VLOOKUP(trainee_data[[#This Row],[Specialty/Subspecialty]],condensed_specialty_crosswalk[#All],2,FALSE),"")</f>
        <v/>
      </c>
      <c r="G882" s="56" t="str">
        <f>IFERROR(VLOOKUP(trainee_data[[#This Row],[Specialty/Subspecialty]],condensed_specialty_crosswalk[#All],3,FALSE),"")</f>
        <v/>
      </c>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row>
    <row r="883" spans="5:30" ht="14.25" x14ac:dyDescent="0.45">
      <c r="E883" s="70" t="str">
        <f>IFERROR(VLOOKUP(trainee_data[[#This Row],[Program Specialty]],taxonomy_map[[Other Taxonomy]:[Our Taxonomy]],2,FALSE),"")</f>
        <v/>
      </c>
      <c r="F883" s="52" t="str">
        <f>IFERROR(VLOOKUP(trainee_data[[#This Row],[Specialty/Subspecialty]],condensed_specialty_crosswalk[#All],2,FALSE),"")</f>
        <v/>
      </c>
      <c r="G883" s="53" t="str">
        <f>IFERROR(VLOOKUP(trainee_data[[#This Row],[Specialty/Subspecialty]],condensed_specialty_crosswalk[#All],3,FALSE),"")</f>
        <v/>
      </c>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row>
    <row r="884" spans="5:30" ht="14.25" x14ac:dyDescent="0.45">
      <c r="E884" s="69" t="str">
        <f>IFERROR(VLOOKUP(trainee_data[[#This Row],[Program Specialty]],taxonomy_map[[Other Taxonomy]:[Our Taxonomy]],2,FALSE),"")</f>
        <v/>
      </c>
      <c r="F884" s="55" t="str">
        <f>IFERROR(VLOOKUP(trainee_data[[#This Row],[Specialty/Subspecialty]],condensed_specialty_crosswalk[#All],2,FALSE),"")</f>
        <v/>
      </c>
      <c r="G884" s="56" t="str">
        <f>IFERROR(VLOOKUP(trainee_data[[#This Row],[Specialty/Subspecialty]],condensed_specialty_crosswalk[#All],3,FALSE),"")</f>
        <v/>
      </c>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row>
    <row r="885" spans="5:30" ht="14.25" x14ac:dyDescent="0.45">
      <c r="E885" s="70" t="str">
        <f>IFERROR(VLOOKUP(trainee_data[[#This Row],[Program Specialty]],taxonomy_map[[Other Taxonomy]:[Our Taxonomy]],2,FALSE),"")</f>
        <v/>
      </c>
      <c r="F885" s="52" t="str">
        <f>IFERROR(VLOOKUP(trainee_data[[#This Row],[Specialty/Subspecialty]],condensed_specialty_crosswalk[#All],2,FALSE),"")</f>
        <v/>
      </c>
      <c r="G885" s="53" t="str">
        <f>IFERROR(VLOOKUP(trainee_data[[#This Row],[Specialty/Subspecialty]],condensed_specialty_crosswalk[#All],3,FALSE),"")</f>
        <v/>
      </c>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row>
    <row r="886" spans="5:30" ht="14.25" x14ac:dyDescent="0.45">
      <c r="E886" s="69" t="str">
        <f>IFERROR(VLOOKUP(trainee_data[[#This Row],[Program Specialty]],taxonomy_map[[Other Taxonomy]:[Our Taxonomy]],2,FALSE),"")</f>
        <v/>
      </c>
      <c r="F886" s="55" t="str">
        <f>IFERROR(VLOOKUP(trainee_data[[#This Row],[Specialty/Subspecialty]],condensed_specialty_crosswalk[#All],2,FALSE),"")</f>
        <v/>
      </c>
      <c r="G886" s="56" t="str">
        <f>IFERROR(VLOOKUP(trainee_data[[#This Row],[Specialty/Subspecialty]],condensed_specialty_crosswalk[#All],3,FALSE),"")</f>
        <v/>
      </c>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row>
    <row r="887" spans="5:30" ht="14.25" x14ac:dyDescent="0.45">
      <c r="E887" s="70" t="str">
        <f>IFERROR(VLOOKUP(trainee_data[[#This Row],[Program Specialty]],taxonomy_map[[Other Taxonomy]:[Our Taxonomy]],2,FALSE),"")</f>
        <v/>
      </c>
      <c r="F887" s="52" t="str">
        <f>IFERROR(VLOOKUP(trainee_data[[#This Row],[Specialty/Subspecialty]],condensed_specialty_crosswalk[#All],2,FALSE),"")</f>
        <v/>
      </c>
      <c r="G887" s="53" t="str">
        <f>IFERROR(VLOOKUP(trainee_data[[#This Row],[Specialty/Subspecialty]],condensed_specialty_crosswalk[#All],3,FALSE),"")</f>
        <v/>
      </c>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row>
    <row r="888" spans="5:30" ht="14.25" x14ac:dyDescent="0.45">
      <c r="E888" s="69" t="str">
        <f>IFERROR(VLOOKUP(trainee_data[[#This Row],[Program Specialty]],taxonomy_map[[Other Taxonomy]:[Our Taxonomy]],2,FALSE),"")</f>
        <v/>
      </c>
      <c r="F888" s="55" t="str">
        <f>IFERROR(VLOOKUP(trainee_data[[#This Row],[Specialty/Subspecialty]],condensed_specialty_crosswalk[#All],2,FALSE),"")</f>
        <v/>
      </c>
      <c r="G888" s="56" t="str">
        <f>IFERROR(VLOOKUP(trainee_data[[#This Row],[Specialty/Subspecialty]],condensed_specialty_crosswalk[#All],3,FALSE),"")</f>
        <v/>
      </c>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row>
    <row r="889" spans="5:30" ht="14.25" x14ac:dyDescent="0.45">
      <c r="E889" s="70" t="str">
        <f>IFERROR(VLOOKUP(trainee_data[[#This Row],[Program Specialty]],taxonomy_map[[Other Taxonomy]:[Our Taxonomy]],2,FALSE),"")</f>
        <v/>
      </c>
      <c r="F889" s="52" t="str">
        <f>IFERROR(VLOOKUP(trainee_data[[#This Row],[Specialty/Subspecialty]],condensed_specialty_crosswalk[#All],2,FALSE),"")</f>
        <v/>
      </c>
      <c r="G889" s="53" t="str">
        <f>IFERROR(VLOOKUP(trainee_data[[#This Row],[Specialty/Subspecialty]],condensed_specialty_crosswalk[#All],3,FALSE),"")</f>
        <v/>
      </c>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row>
    <row r="890" spans="5:30" ht="14.25" x14ac:dyDescent="0.45">
      <c r="E890" s="69" t="str">
        <f>IFERROR(VLOOKUP(trainee_data[[#This Row],[Program Specialty]],taxonomy_map[[Other Taxonomy]:[Our Taxonomy]],2,FALSE),"")</f>
        <v/>
      </c>
      <c r="F890" s="55" t="str">
        <f>IFERROR(VLOOKUP(trainee_data[[#This Row],[Specialty/Subspecialty]],condensed_specialty_crosswalk[#All],2,FALSE),"")</f>
        <v/>
      </c>
      <c r="G890" s="56" t="str">
        <f>IFERROR(VLOOKUP(trainee_data[[#This Row],[Specialty/Subspecialty]],condensed_specialty_crosswalk[#All],3,FALSE),"")</f>
        <v/>
      </c>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row>
    <row r="891" spans="5:30" ht="14.25" x14ac:dyDescent="0.45">
      <c r="E891" s="70" t="str">
        <f>IFERROR(VLOOKUP(trainee_data[[#This Row],[Program Specialty]],taxonomy_map[[Other Taxonomy]:[Our Taxonomy]],2,FALSE),"")</f>
        <v/>
      </c>
      <c r="F891" s="52" t="str">
        <f>IFERROR(VLOOKUP(trainee_data[[#This Row],[Specialty/Subspecialty]],condensed_specialty_crosswalk[#All],2,FALSE),"")</f>
        <v/>
      </c>
      <c r="G891" s="53" t="str">
        <f>IFERROR(VLOOKUP(trainee_data[[#This Row],[Specialty/Subspecialty]],condensed_specialty_crosswalk[#All],3,FALSE),"")</f>
        <v/>
      </c>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row>
    <row r="892" spans="5:30" ht="14.25" x14ac:dyDescent="0.45">
      <c r="E892" s="69" t="str">
        <f>IFERROR(VLOOKUP(trainee_data[[#This Row],[Program Specialty]],taxonomy_map[[Other Taxonomy]:[Our Taxonomy]],2,FALSE),"")</f>
        <v/>
      </c>
      <c r="F892" s="55" t="str">
        <f>IFERROR(VLOOKUP(trainee_data[[#This Row],[Specialty/Subspecialty]],condensed_specialty_crosswalk[#All],2,FALSE),"")</f>
        <v/>
      </c>
      <c r="G892" s="56" t="str">
        <f>IFERROR(VLOOKUP(trainee_data[[#This Row],[Specialty/Subspecialty]],condensed_specialty_crosswalk[#All],3,FALSE),"")</f>
        <v/>
      </c>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row>
    <row r="893" spans="5:30" ht="14.25" x14ac:dyDescent="0.45">
      <c r="E893" s="70" t="str">
        <f>IFERROR(VLOOKUP(trainee_data[[#This Row],[Program Specialty]],taxonomy_map[[Other Taxonomy]:[Our Taxonomy]],2,FALSE),"")</f>
        <v/>
      </c>
      <c r="F893" s="52" t="str">
        <f>IFERROR(VLOOKUP(trainee_data[[#This Row],[Specialty/Subspecialty]],condensed_specialty_crosswalk[#All],2,FALSE),"")</f>
        <v/>
      </c>
      <c r="G893" s="53" t="str">
        <f>IFERROR(VLOOKUP(trainee_data[[#This Row],[Specialty/Subspecialty]],condensed_specialty_crosswalk[#All],3,FALSE),"")</f>
        <v/>
      </c>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row>
    <row r="894" spans="5:30" ht="14.25" x14ac:dyDescent="0.45">
      <c r="E894" s="69" t="str">
        <f>IFERROR(VLOOKUP(trainee_data[[#This Row],[Program Specialty]],taxonomy_map[[Other Taxonomy]:[Our Taxonomy]],2,FALSE),"")</f>
        <v/>
      </c>
      <c r="F894" s="55" t="str">
        <f>IFERROR(VLOOKUP(trainee_data[[#This Row],[Specialty/Subspecialty]],condensed_specialty_crosswalk[#All],2,FALSE),"")</f>
        <v/>
      </c>
      <c r="G894" s="56" t="str">
        <f>IFERROR(VLOOKUP(trainee_data[[#This Row],[Specialty/Subspecialty]],condensed_specialty_crosswalk[#All],3,FALSE),"")</f>
        <v/>
      </c>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row>
    <row r="895" spans="5:30" ht="14.25" x14ac:dyDescent="0.45">
      <c r="E895" s="70" t="str">
        <f>IFERROR(VLOOKUP(trainee_data[[#This Row],[Program Specialty]],taxonomy_map[[Other Taxonomy]:[Our Taxonomy]],2,FALSE),"")</f>
        <v/>
      </c>
      <c r="F895" s="52" t="str">
        <f>IFERROR(VLOOKUP(trainee_data[[#This Row],[Specialty/Subspecialty]],condensed_specialty_crosswalk[#All],2,FALSE),"")</f>
        <v/>
      </c>
      <c r="G895" s="53" t="str">
        <f>IFERROR(VLOOKUP(trainee_data[[#This Row],[Specialty/Subspecialty]],condensed_specialty_crosswalk[#All],3,FALSE),"")</f>
        <v/>
      </c>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row>
    <row r="896" spans="5:30" ht="14.25" x14ac:dyDescent="0.45">
      <c r="E896" s="69" t="str">
        <f>IFERROR(VLOOKUP(trainee_data[[#This Row],[Program Specialty]],taxonomy_map[[Other Taxonomy]:[Our Taxonomy]],2,FALSE),"")</f>
        <v/>
      </c>
      <c r="F896" s="55" t="str">
        <f>IFERROR(VLOOKUP(trainee_data[[#This Row],[Specialty/Subspecialty]],condensed_specialty_crosswalk[#All],2,FALSE),"")</f>
        <v/>
      </c>
      <c r="G896" s="56" t="str">
        <f>IFERROR(VLOOKUP(trainee_data[[#This Row],[Specialty/Subspecialty]],condensed_specialty_crosswalk[#All],3,FALSE),"")</f>
        <v/>
      </c>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row>
    <row r="897" spans="5:30" ht="14.25" x14ac:dyDescent="0.45">
      <c r="E897" s="70" t="str">
        <f>IFERROR(VLOOKUP(trainee_data[[#This Row],[Program Specialty]],taxonomy_map[[Other Taxonomy]:[Our Taxonomy]],2,FALSE),"")</f>
        <v/>
      </c>
      <c r="F897" s="52" t="str">
        <f>IFERROR(VLOOKUP(trainee_data[[#This Row],[Specialty/Subspecialty]],condensed_specialty_crosswalk[#All],2,FALSE),"")</f>
        <v/>
      </c>
      <c r="G897" s="53" t="str">
        <f>IFERROR(VLOOKUP(trainee_data[[#This Row],[Specialty/Subspecialty]],condensed_specialty_crosswalk[#All],3,FALSE),"")</f>
        <v/>
      </c>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row>
    <row r="898" spans="5:30" ht="14.25" x14ac:dyDescent="0.45">
      <c r="E898" s="69" t="str">
        <f>IFERROR(VLOOKUP(trainee_data[[#This Row],[Program Specialty]],taxonomy_map[[Other Taxonomy]:[Our Taxonomy]],2,FALSE),"")</f>
        <v/>
      </c>
      <c r="F898" s="55" t="str">
        <f>IFERROR(VLOOKUP(trainee_data[[#This Row],[Specialty/Subspecialty]],condensed_specialty_crosswalk[#All],2,FALSE),"")</f>
        <v/>
      </c>
      <c r="G898" s="56" t="str">
        <f>IFERROR(VLOOKUP(trainee_data[[#This Row],[Specialty/Subspecialty]],condensed_specialty_crosswalk[#All],3,FALSE),"")</f>
        <v/>
      </c>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row>
    <row r="899" spans="5:30" ht="14.25" x14ac:dyDescent="0.45">
      <c r="E899" s="70" t="str">
        <f>IFERROR(VLOOKUP(trainee_data[[#This Row],[Program Specialty]],taxonomy_map[[Other Taxonomy]:[Our Taxonomy]],2,FALSE),"")</f>
        <v/>
      </c>
      <c r="F899" s="52" t="str">
        <f>IFERROR(VLOOKUP(trainee_data[[#This Row],[Specialty/Subspecialty]],condensed_specialty_crosswalk[#All],2,FALSE),"")</f>
        <v/>
      </c>
      <c r="G899" s="53" t="str">
        <f>IFERROR(VLOOKUP(trainee_data[[#This Row],[Specialty/Subspecialty]],condensed_specialty_crosswalk[#All],3,FALSE),"")</f>
        <v/>
      </c>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row>
    <row r="900" spans="5:30" ht="14.25" x14ac:dyDescent="0.45">
      <c r="E900" s="69" t="str">
        <f>IFERROR(VLOOKUP(trainee_data[[#This Row],[Program Specialty]],taxonomy_map[[Other Taxonomy]:[Our Taxonomy]],2,FALSE),"")</f>
        <v/>
      </c>
      <c r="F900" s="55" t="str">
        <f>IFERROR(VLOOKUP(trainee_data[[#This Row],[Specialty/Subspecialty]],condensed_specialty_crosswalk[#All],2,FALSE),"")</f>
        <v/>
      </c>
      <c r="G900" s="56" t="str">
        <f>IFERROR(VLOOKUP(trainee_data[[#This Row],[Specialty/Subspecialty]],condensed_specialty_crosswalk[#All],3,FALSE),"")</f>
        <v/>
      </c>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row>
    <row r="901" spans="5:30" ht="14.25" x14ac:dyDescent="0.45">
      <c r="E901" s="70" t="str">
        <f>IFERROR(VLOOKUP(trainee_data[[#This Row],[Program Specialty]],taxonomy_map[[Other Taxonomy]:[Our Taxonomy]],2,FALSE),"")</f>
        <v/>
      </c>
      <c r="F901" s="52" t="str">
        <f>IFERROR(VLOOKUP(trainee_data[[#This Row],[Specialty/Subspecialty]],condensed_specialty_crosswalk[#All],2,FALSE),"")</f>
        <v/>
      </c>
      <c r="G901" s="53" t="str">
        <f>IFERROR(VLOOKUP(trainee_data[[#This Row],[Specialty/Subspecialty]],condensed_specialty_crosswalk[#All],3,FALSE),"")</f>
        <v/>
      </c>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row>
    <row r="902" spans="5:30" ht="14.25" x14ac:dyDescent="0.45">
      <c r="E902" s="69" t="str">
        <f>IFERROR(VLOOKUP(trainee_data[[#This Row],[Program Specialty]],taxonomy_map[[Other Taxonomy]:[Our Taxonomy]],2,FALSE),"")</f>
        <v/>
      </c>
      <c r="F902" s="55" t="str">
        <f>IFERROR(VLOOKUP(trainee_data[[#This Row],[Specialty/Subspecialty]],condensed_specialty_crosswalk[#All],2,FALSE),"")</f>
        <v/>
      </c>
      <c r="G902" s="56" t="str">
        <f>IFERROR(VLOOKUP(trainee_data[[#This Row],[Specialty/Subspecialty]],condensed_specialty_crosswalk[#All],3,FALSE),"")</f>
        <v/>
      </c>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row>
    <row r="903" spans="5:30" ht="14.25" x14ac:dyDescent="0.45">
      <c r="E903" s="70" t="str">
        <f>IFERROR(VLOOKUP(trainee_data[[#This Row],[Program Specialty]],taxonomy_map[[Other Taxonomy]:[Our Taxonomy]],2,FALSE),"")</f>
        <v/>
      </c>
      <c r="F903" s="52" t="str">
        <f>IFERROR(VLOOKUP(trainee_data[[#This Row],[Specialty/Subspecialty]],condensed_specialty_crosswalk[#All],2,FALSE),"")</f>
        <v/>
      </c>
      <c r="G903" s="53" t="str">
        <f>IFERROR(VLOOKUP(trainee_data[[#This Row],[Specialty/Subspecialty]],condensed_specialty_crosswalk[#All],3,FALSE),"")</f>
        <v/>
      </c>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row>
    <row r="904" spans="5:30" ht="14.25" x14ac:dyDescent="0.45">
      <c r="E904" s="69" t="str">
        <f>IFERROR(VLOOKUP(trainee_data[[#This Row],[Program Specialty]],taxonomy_map[[Other Taxonomy]:[Our Taxonomy]],2,FALSE),"")</f>
        <v/>
      </c>
      <c r="F904" s="55" t="str">
        <f>IFERROR(VLOOKUP(trainee_data[[#This Row],[Specialty/Subspecialty]],condensed_specialty_crosswalk[#All],2,FALSE),"")</f>
        <v/>
      </c>
      <c r="G904" s="56" t="str">
        <f>IFERROR(VLOOKUP(trainee_data[[#This Row],[Specialty/Subspecialty]],condensed_specialty_crosswalk[#All],3,FALSE),"")</f>
        <v/>
      </c>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row>
    <row r="905" spans="5:30" ht="14.25" x14ac:dyDescent="0.45">
      <c r="E905" s="70" t="str">
        <f>IFERROR(VLOOKUP(trainee_data[[#This Row],[Program Specialty]],taxonomy_map[[Other Taxonomy]:[Our Taxonomy]],2,FALSE),"")</f>
        <v/>
      </c>
      <c r="F905" s="52" t="str">
        <f>IFERROR(VLOOKUP(trainee_data[[#This Row],[Specialty/Subspecialty]],condensed_specialty_crosswalk[#All],2,FALSE),"")</f>
        <v/>
      </c>
      <c r="G905" s="53" t="str">
        <f>IFERROR(VLOOKUP(trainee_data[[#This Row],[Specialty/Subspecialty]],condensed_specialty_crosswalk[#All],3,FALSE),"")</f>
        <v/>
      </c>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row>
    <row r="906" spans="5:30" ht="14.25" x14ac:dyDescent="0.45">
      <c r="E906" s="69" t="str">
        <f>IFERROR(VLOOKUP(trainee_data[[#This Row],[Program Specialty]],taxonomy_map[[Other Taxonomy]:[Our Taxonomy]],2,FALSE),"")</f>
        <v/>
      </c>
      <c r="F906" s="55" t="str">
        <f>IFERROR(VLOOKUP(trainee_data[[#This Row],[Specialty/Subspecialty]],condensed_specialty_crosswalk[#All],2,FALSE),"")</f>
        <v/>
      </c>
      <c r="G906" s="56" t="str">
        <f>IFERROR(VLOOKUP(trainee_data[[#This Row],[Specialty/Subspecialty]],condensed_specialty_crosswalk[#All],3,FALSE),"")</f>
        <v/>
      </c>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row>
    <row r="907" spans="5:30" ht="14.25" x14ac:dyDescent="0.45">
      <c r="E907" s="70" t="str">
        <f>IFERROR(VLOOKUP(trainee_data[[#This Row],[Program Specialty]],taxonomy_map[[Other Taxonomy]:[Our Taxonomy]],2,FALSE),"")</f>
        <v/>
      </c>
      <c r="F907" s="52" t="str">
        <f>IFERROR(VLOOKUP(trainee_data[[#This Row],[Specialty/Subspecialty]],condensed_specialty_crosswalk[#All],2,FALSE),"")</f>
        <v/>
      </c>
      <c r="G907" s="53" t="str">
        <f>IFERROR(VLOOKUP(trainee_data[[#This Row],[Specialty/Subspecialty]],condensed_specialty_crosswalk[#All],3,FALSE),"")</f>
        <v/>
      </c>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row>
    <row r="908" spans="5:30" ht="14.25" x14ac:dyDescent="0.45">
      <c r="E908" s="69" t="str">
        <f>IFERROR(VLOOKUP(trainee_data[[#This Row],[Program Specialty]],taxonomy_map[[Other Taxonomy]:[Our Taxonomy]],2,FALSE),"")</f>
        <v/>
      </c>
      <c r="F908" s="55" t="str">
        <f>IFERROR(VLOOKUP(trainee_data[[#This Row],[Specialty/Subspecialty]],condensed_specialty_crosswalk[#All],2,FALSE),"")</f>
        <v/>
      </c>
      <c r="G908" s="56" t="str">
        <f>IFERROR(VLOOKUP(trainee_data[[#This Row],[Specialty/Subspecialty]],condensed_specialty_crosswalk[#All],3,FALSE),"")</f>
        <v/>
      </c>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row>
    <row r="909" spans="5:30" ht="14.25" x14ac:dyDescent="0.45">
      <c r="E909" s="70" t="str">
        <f>IFERROR(VLOOKUP(trainee_data[[#This Row],[Program Specialty]],taxonomy_map[[Other Taxonomy]:[Our Taxonomy]],2,FALSE),"")</f>
        <v/>
      </c>
      <c r="F909" s="52" t="str">
        <f>IFERROR(VLOOKUP(trainee_data[[#This Row],[Specialty/Subspecialty]],condensed_specialty_crosswalk[#All],2,FALSE),"")</f>
        <v/>
      </c>
      <c r="G909" s="53" t="str">
        <f>IFERROR(VLOOKUP(trainee_data[[#This Row],[Specialty/Subspecialty]],condensed_specialty_crosswalk[#All],3,FALSE),"")</f>
        <v/>
      </c>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row>
    <row r="910" spans="5:30" ht="14.25" x14ac:dyDescent="0.45">
      <c r="E910" s="69" t="str">
        <f>IFERROR(VLOOKUP(trainee_data[[#This Row],[Program Specialty]],taxonomy_map[[Other Taxonomy]:[Our Taxonomy]],2,FALSE),"")</f>
        <v/>
      </c>
      <c r="F910" s="55" t="str">
        <f>IFERROR(VLOOKUP(trainee_data[[#This Row],[Specialty/Subspecialty]],condensed_specialty_crosswalk[#All],2,FALSE),"")</f>
        <v/>
      </c>
      <c r="G910" s="56" t="str">
        <f>IFERROR(VLOOKUP(trainee_data[[#This Row],[Specialty/Subspecialty]],condensed_specialty_crosswalk[#All],3,FALSE),"")</f>
        <v/>
      </c>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row>
    <row r="911" spans="5:30" ht="14.25" x14ac:dyDescent="0.45">
      <c r="E911" s="70" t="str">
        <f>IFERROR(VLOOKUP(trainee_data[[#This Row],[Program Specialty]],taxonomy_map[[Other Taxonomy]:[Our Taxonomy]],2,FALSE),"")</f>
        <v/>
      </c>
      <c r="F911" s="52" t="str">
        <f>IFERROR(VLOOKUP(trainee_data[[#This Row],[Specialty/Subspecialty]],condensed_specialty_crosswalk[#All],2,FALSE),"")</f>
        <v/>
      </c>
      <c r="G911" s="53" t="str">
        <f>IFERROR(VLOOKUP(trainee_data[[#This Row],[Specialty/Subspecialty]],condensed_specialty_crosswalk[#All],3,FALSE),"")</f>
        <v/>
      </c>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row>
    <row r="912" spans="5:30" ht="14.25" x14ac:dyDescent="0.45">
      <c r="E912" s="69" t="str">
        <f>IFERROR(VLOOKUP(trainee_data[[#This Row],[Program Specialty]],taxonomy_map[[Other Taxonomy]:[Our Taxonomy]],2,FALSE),"")</f>
        <v/>
      </c>
      <c r="F912" s="55" t="str">
        <f>IFERROR(VLOOKUP(trainee_data[[#This Row],[Specialty/Subspecialty]],condensed_specialty_crosswalk[#All],2,FALSE),"")</f>
        <v/>
      </c>
      <c r="G912" s="56" t="str">
        <f>IFERROR(VLOOKUP(trainee_data[[#This Row],[Specialty/Subspecialty]],condensed_specialty_crosswalk[#All],3,FALSE),"")</f>
        <v/>
      </c>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row>
    <row r="913" spans="5:30" ht="14.25" x14ac:dyDescent="0.45">
      <c r="E913" s="70" t="str">
        <f>IFERROR(VLOOKUP(trainee_data[[#This Row],[Program Specialty]],taxonomy_map[[Other Taxonomy]:[Our Taxonomy]],2,FALSE),"")</f>
        <v/>
      </c>
      <c r="F913" s="52" t="str">
        <f>IFERROR(VLOOKUP(trainee_data[[#This Row],[Specialty/Subspecialty]],condensed_specialty_crosswalk[#All],2,FALSE),"")</f>
        <v/>
      </c>
      <c r="G913" s="53" t="str">
        <f>IFERROR(VLOOKUP(trainee_data[[#This Row],[Specialty/Subspecialty]],condensed_specialty_crosswalk[#All],3,FALSE),"")</f>
        <v/>
      </c>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row>
    <row r="914" spans="5:30" ht="14.25" x14ac:dyDescent="0.45">
      <c r="E914" s="69" t="str">
        <f>IFERROR(VLOOKUP(trainee_data[[#This Row],[Program Specialty]],taxonomy_map[[Other Taxonomy]:[Our Taxonomy]],2,FALSE),"")</f>
        <v/>
      </c>
      <c r="F914" s="55" t="str">
        <f>IFERROR(VLOOKUP(trainee_data[[#This Row],[Specialty/Subspecialty]],condensed_specialty_crosswalk[#All],2,FALSE),"")</f>
        <v/>
      </c>
      <c r="G914" s="56" t="str">
        <f>IFERROR(VLOOKUP(trainee_data[[#This Row],[Specialty/Subspecialty]],condensed_specialty_crosswalk[#All],3,FALSE),"")</f>
        <v/>
      </c>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row>
    <row r="915" spans="5:30" ht="14.25" x14ac:dyDescent="0.45">
      <c r="E915" s="70" t="str">
        <f>IFERROR(VLOOKUP(trainee_data[[#This Row],[Program Specialty]],taxonomy_map[[Other Taxonomy]:[Our Taxonomy]],2,FALSE),"")</f>
        <v/>
      </c>
      <c r="F915" s="52" t="str">
        <f>IFERROR(VLOOKUP(trainee_data[[#This Row],[Specialty/Subspecialty]],condensed_specialty_crosswalk[#All],2,FALSE),"")</f>
        <v/>
      </c>
      <c r="G915" s="53" t="str">
        <f>IFERROR(VLOOKUP(trainee_data[[#This Row],[Specialty/Subspecialty]],condensed_specialty_crosswalk[#All],3,FALSE),"")</f>
        <v/>
      </c>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row>
    <row r="916" spans="5:30" ht="14.25" x14ac:dyDescent="0.45">
      <c r="E916" s="69" t="str">
        <f>IFERROR(VLOOKUP(trainee_data[[#This Row],[Program Specialty]],taxonomy_map[[Other Taxonomy]:[Our Taxonomy]],2,FALSE),"")</f>
        <v/>
      </c>
      <c r="F916" s="55" t="str">
        <f>IFERROR(VLOOKUP(trainee_data[[#This Row],[Specialty/Subspecialty]],condensed_specialty_crosswalk[#All],2,FALSE),"")</f>
        <v/>
      </c>
      <c r="G916" s="56" t="str">
        <f>IFERROR(VLOOKUP(trainee_data[[#This Row],[Specialty/Subspecialty]],condensed_specialty_crosswalk[#All],3,FALSE),"")</f>
        <v/>
      </c>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row>
    <row r="917" spans="5:30" ht="14.25" x14ac:dyDescent="0.45">
      <c r="E917" s="70" t="str">
        <f>IFERROR(VLOOKUP(trainee_data[[#This Row],[Program Specialty]],taxonomy_map[[Other Taxonomy]:[Our Taxonomy]],2,FALSE),"")</f>
        <v/>
      </c>
      <c r="F917" s="52" t="str">
        <f>IFERROR(VLOOKUP(trainee_data[[#This Row],[Specialty/Subspecialty]],condensed_specialty_crosswalk[#All],2,FALSE),"")</f>
        <v/>
      </c>
      <c r="G917" s="53" t="str">
        <f>IFERROR(VLOOKUP(trainee_data[[#This Row],[Specialty/Subspecialty]],condensed_specialty_crosswalk[#All],3,FALSE),"")</f>
        <v/>
      </c>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row>
    <row r="918" spans="5:30" ht="14.25" x14ac:dyDescent="0.45">
      <c r="E918" s="69" t="str">
        <f>IFERROR(VLOOKUP(trainee_data[[#This Row],[Program Specialty]],taxonomy_map[[Other Taxonomy]:[Our Taxonomy]],2,FALSE),"")</f>
        <v/>
      </c>
      <c r="F918" s="55" t="str">
        <f>IFERROR(VLOOKUP(trainee_data[[#This Row],[Specialty/Subspecialty]],condensed_specialty_crosswalk[#All],2,FALSE),"")</f>
        <v/>
      </c>
      <c r="G918" s="56" t="str">
        <f>IFERROR(VLOOKUP(trainee_data[[#This Row],[Specialty/Subspecialty]],condensed_specialty_crosswalk[#All],3,FALSE),"")</f>
        <v/>
      </c>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row>
    <row r="919" spans="5:30" ht="14.25" x14ac:dyDescent="0.45">
      <c r="E919" s="70" t="str">
        <f>IFERROR(VLOOKUP(trainee_data[[#This Row],[Program Specialty]],taxonomy_map[[Other Taxonomy]:[Our Taxonomy]],2,FALSE),"")</f>
        <v/>
      </c>
      <c r="F919" s="52" t="str">
        <f>IFERROR(VLOOKUP(trainee_data[[#This Row],[Specialty/Subspecialty]],condensed_specialty_crosswalk[#All],2,FALSE),"")</f>
        <v/>
      </c>
      <c r="G919" s="53" t="str">
        <f>IFERROR(VLOOKUP(trainee_data[[#This Row],[Specialty/Subspecialty]],condensed_specialty_crosswalk[#All],3,FALSE),"")</f>
        <v/>
      </c>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row>
    <row r="920" spans="5:30" ht="14.25" x14ac:dyDescent="0.45">
      <c r="E920" s="69" t="str">
        <f>IFERROR(VLOOKUP(trainee_data[[#This Row],[Program Specialty]],taxonomy_map[[Other Taxonomy]:[Our Taxonomy]],2,FALSE),"")</f>
        <v/>
      </c>
      <c r="F920" s="55" t="str">
        <f>IFERROR(VLOOKUP(trainee_data[[#This Row],[Specialty/Subspecialty]],condensed_specialty_crosswalk[#All],2,FALSE),"")</f>
        <v/>
      </c>
      <c r="G920" s="56" t="str">
        <f>IFERROR(VLOOKUP(trainee_data[[#This Row],[Specialty/Subspecialty]],condensed_specialty_crosswalk[#All],3,FALSE),"")</f>
        <v/>
      </c>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row>
    <row r="921" spans="5:30" ht="14.25" x14ac:dyDescent="0.45">
      <c r="E921" s="70" t="str">
        <f>IFERROR(VLOOKUP(trainee_data[[#This Row],[Program Specialty]],taxonomy_map[[Other Taxonomy]:[Our Taxonomy]],2,FALSE),"")</f>
        <v/>
      </c>
      <c r="F921" s="52" t="str">
        <f>IFERROR(VLOOKUP(trainee_data[[#This Row],[Specialty/Subspecialty]],condensed_specialty_crosswalk[#All],2,FALSE),"")</f>
        <v/>
      </c>
      <c r="G921" s="53" t="str">
        <f>IFERROR(VLOOKUP(trainee_data[[#This Row],[Specialty/Subspecialty]],condensed_specialty_crosswalk[#All],3,FALSE),"")</f>
        <v/>
      </c>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row>
    <row r="922" spans="5:30" ht="14.25" x14ac:dyDescent="0.45">
      <c r="E922" s="69" t="str">
        <f>IFERROR(VLOOKUP(trainee_data[[#This Row],[Program Specialty]],taxonomy_map[[Other Taxonomy]:[Our Taxonomy]],2,FALSE),"")</f>
        <v/>
      </c>
      <c r="F922" s="55" t="str">
        <f>IFERROR(VLOOKUP(trainee_data[[#This Row],[Specialty/Subspecialty]],condensed_specialty_crosswalk[#All],2,FALSE),"")</f>
        <v/>
      </c>
      <c r="G922" s="56" t="str">
        <f>IFERROR(VLOOKUP(trainee_data[[#This Row],[Specialty/Subspecialty]],condensed_specialty_crosswalk[#All],3,FALSE),"")</f>
        <v/>
      </c>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row>
    <row r="923" spans="5:30" ht="14.25" x14ac:dyDescent="0.45">
      <c r="E923" s="70" t="str">
        <f>IFERROR(VLOOKUP(trainee_data[[#This Row],[Program Specialty]],taxonomy_map[[Other Taxonomy]:[Our Taxonomy]],2,FALSE),"")</f>
        <v/>
      </c>
      <c r="F923" s="52" t="str">
        <f>IFERROR(VLOOKUP(trainee_data[[#This Row],[Specialty/Subspecialty]],condensed_specialty_crosswalk[#All],2,FALSE),"")</f>
        <v/>
      </c>
      <c r="G923" s="53" t="str">
        <f>IFERROR(VLOOKUP(trainee_data[[#This Row],[Specialty/Subspecialty]],condensed_specialty_crosswalk[#All],3,FALSE),"")</f>
        <v/>
      </c>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row>
    <row r="924" spans="5:30" ht="14.25" x14ac:dyDescent="0.45">
      <c r="E924" s="69" t="str">
        <f>IFERROR(VLOOKUP(trainee_data[[#This Row],[Program Specialty]],taxonomy_map[[Other Taxonomy]:[Our Taxonomy]],2,FALSE),"")</f>
        <v/>
      </c>
      <c r="F924" s="55" t="str">
        <f>IFERROR(VLOOKUP(trainee_data[[#This Row],[Specialty/Subspecialty]],condensed_specialty_crosswalk[#All],2,FALSE),"")</f>
        <v/>
      </c>
      <c r="G924" s="56" t="str">
        <f>IFERROR(VLOOKUP(trainee_data[[#This Row],[Specialty/Subspecialty]],condensed_specialty_crosswalk[#All],3,FALSE),"")</f>
        <v/>
      </c>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row>
    <row r="925" spans="5:30" ht="14.25" x14ac:dyDescent="0.45">
      <c r="E925" s="70" t="str">
        <f>IFERROR(VLOOKUP(trainee_data[[#This Row],[Program Specialty]],taxonomy_map[[Other Taxonomy]:[Our Taxonomy]],2,FALSE),"")</f>
        <v/>
      </c>
      <c r="F925" s="52" t="str">
        <f>IFERROR(VLOOKUP(trainee_data[[#This Row],[Specialty/Subspecialty]],condensed_specialty_crosswalk[#All],2,FALSE),"")</f>
        <v/>
      </c>
      <c r="G925" s="53" t="str">
        <f>IFERROR(VLOOKUP(trainee_data[[#This Row],[Specialty/Subspecialty]],condensed_specialty_crosswalk[#All],3,FALSE),"")</f>
        <v/>
      </c>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row>
    <row r="926" spans="5:30" ht="14.25" x14ac:dyDescent="0.45">
      <c r="E926" s="69" t="str">
        <f>IFERROR(VLOOKUP(trainee_data[[#This Row],[Program Specialty]],taxonomy_map[[Other Taxonomy]:[Our Taxonomy]],2,FALSE),"")</f>
        <v/>
      </c>
      <c r="F926" s="55" t="str">
        <f>IFERROR(VLOOKUP(trainee_data[[#This Row],[Specialty/Subspecialty]],condensed_specialty_crosswalk[#All],2,FALSE),"")</f>
        <v/>
      </c>
      <c r="G926" s="56" t="str">
        <f>IFERROR(VLOOKUP(trainee_data[[#This Row],[Specialty/Subspecialty]],condensed_specialty_crosswalk[#All],3,FALSE),"")</f>
        <v/>
      </c>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row>
    <row r="927" spans="5:30" ht="14.25" x14ac:dyDescent="0.45">
      <c r="E927" s="70" t="str">
        <f>IFERROR(VLOOKUP(trainee_data[[#This Row],[Program Specialty]],taxonomy_map[[Other Taxonomy]:[Our Taxonomy]],2,FALSE),"")</f>
        <v/>
      </c>
      <c r="F927" s="52" t="str">
        <f>IFERROR(VLOOKUP(trainee_data[[#This Row],[Specialty/Subspecialty]],condensed_specialty_crosswalk[#All],2,FALSE),"")</f>
        <v/>
      </c>
      <c r="G927" s="53" t="str">
        <f>IFERROR(VLOOKUP(trainee_data[[#This Row],[Specialty/Subspecialty]],condensed_specialty_crosswalk[#All],3,FALSE),"")</f>
        <v/>
      </c>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row>
    <row r="928" spans="5:30" ht="14.25" x14ac:dyDescent="0.45">
      <c r="E928" s="69" t="str">
        <f>IFERROR(VLOOKUP(trainee_data[[#This Row],[Program Specialty]],taxonomy_map[[Other Taxonomy]:[Our Taxonomy]],2,FALSE),"")</f>
        <v/>
      </c>
      <c r="F928" s="55" t="str">
        <f>IFERROR(VLOOKUP(trainee_data[[#This Row],[Specialty/Subspecialty]],condensed_specialty_crosswalk[#All],2,FALSE),"")</f>
        <v/>
      </c>
      <c r="G928" s="56" t="str">
        <f>IFERROR(VLOOKUP(trainee_data[[#This Row],[Specialty/Subspecialty]],condensed_specialty_crosswalk[#All],3,FALSE),"")</f>
        <v/>
      </c>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row>
    <row r="929" spans="5:30" ht="14.25" x14ac:dyDescent="0.45">
      <c r="E929" s="70" t="str">
        <f>IFERROR(VLOOKUP(trainee_data[[#This Row],[Program Specialty]],taxonomy_map[[Other Taxonomy]:[Our Taxonomy]],2,FALSE),"")</f>
        <v/>
      </c>
      <c r="F929" s="52" t="str">
        <f>IFERROR(VLOOKUP(trainee_data[[#This Row],[Specialty/Subspecialty]],condensed_specialty_crosswalk[#All],2,FALSE),"")</f>
        <v/>
      </c>
      <c r="G929" s="53" t="str">
        <f>IFERROR(VLOOKUP(trainee_data[[#This Row],[Specialty/Subspecialty]],condensed_specialty_crosswalk[#All],3,FALSE),"")</f>
        <v/>
      </c>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row>
    <row r="930" spans="5:30" ht="14.25" x14ac:dyDescent="0.45">
      <c r="E930" s="69" t="str">
        <f>IFERROR(VLOOKUP(trainee_data[[#This Row],[Program Specialty]],taxonomy_map[[Other Taxonomy]:[Our Taxonomy]],2,FALSE),"")</f>
        <v/>
      </c>
      <c r="F930" s="55" t="str">
        <f>IFERROR(VLOOKUP(trainee_data[[#This Row],[Specialty/Subspecialty]],condensed_specialty_crosswalk[#All],2,FALSE),"")</f>
        <v/>
      </c>
      <c r="G930" s="56" t="str">
        <f>IFERROR(VLOOKUP(trainee_data[[#This Row],[Specialty/Subspecialty]],condensed_specialty_crosswalk[#All],3,FALSE),"")</f>
        <v/>
      </c>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row>
    <row r="931" spans="5:30" ht="14.25" x14ac:dyDescent="0.45">
      <c r="E931" s="70" t="str">
        <f>IFERROR(VLOOKUP(trainee_data[[#This Row],[Program Specialty]],taxonomy_map[[Other Taxonomy]:[Our Taxonomy]],2,FALSE),"")</f>
        <v/>
      </c>
      <c r="F931" s="52" t="str">
        <f>IFERROR(VLOOKUP(trainee_data[[#This Row],[Specialty/Subspecialty]],condensed_specialty_crosswalk[#All],2,FALSE),"")</f>
        <v/>
      </c>
      <c r="G931" s="53" t="str">
        <f>IFERROR(VLOOKUP(trainee_data[[#This Row],[Specialty/Subspecialty]],condensed_specialty_crosswalk[#All],3,FALSE),"")</f>
        <v/>
      </c>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row>
    <row r="932" spans="5:30" ht="14.25" x14ac:dyDescent="0.45">
      <c r="E932" s="69" t="str">
        <f>IFERROR(VLOOKUP(trainee_data[[#This Row],[Program Specialty]],taxonomy_map[[Other Taxonomy]:[Our Taxonomy]],2,FALSE),"")</f>
        <v/>
      </c>
      <c r="F932" s="55" t="str">
        <f>IFERROR(VLOOKUP(trainee_data[[#This Row],[Specialty/Subspecialty]],condensed_specialty_crosswalk[#All],2,FALSE),"")</f>
        <v/>
      </c>
      <c r="G932" s="56" t="str">
        <f>IFERROR(VLOOKUP(trainee_data[[#This Row],[Specialty/Subspecialty]],condensed_specialty_crosswalk[#All],3,FALSE),"")</f>
        <v/>
      </c>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row>
    <row r="933" spans="5:30" ht="14.25" x14ac:dyDescent="0.45">
      <c r="E933" s="70" t="str">
        <f>IFERROR(VLOOKUP(trainee_data[[#This Row],[Program Specialty]],taxonomy_map[[Other Taxonomy]:[Our Taxonomy]],2,FALSE),"")</f>
        <v/>
      </c>
      <c r="F933" s="52" t="str">
        <f>IFERROR(VLOOKUP(trainee_data[[#This Row],[Specialty/Subspecialty]],condensed_specialty_crosswalk[#All],2,FALSE),"")</f>
        <v/>
      </c>
      <c r="G933" s="53" t="str">
        <f>IFERROR(VLOOKUP(trainee_data[[#This Row],[Specialty/Subspecialty]],condensed_specialty_crosswalk[#All],3,FALSE),"")</f>
        <v/>
      </c>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row>
    <row r="934" spans="5:30" ht="14.25" x14ac:dyDescent="0.45">
      <c r="E934" s="69" t="str">
        <f>IFERROR(VLOOKUP(trainee_data[[#This Row],[Program Specialty]],taxonomy_map[[Other Taxonomy]:[Our Taxonomy]],2,FALSE),"")</f>
        <v/>
      </c>
      <c r="F934" s="55" t="str">
        <f>IFERROR(VLOOKUP(trainee_data[[#This Row],[Specialty/Subspecialty]],condensed_specialty_crosswalk[#All],2,FALSE),"")</f>
        <v/>
      </c>
      <c r="G934" s="56" t="str">
        <f>IFERROR(VLOOKUP(trainee_data[[#This Row],[Specialty/Subspecialty]],condensed_specialty_crosswalk[#All],3,FALSE),"")</f>
        <v/>
      </c>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row>
    <row r="935" spans="5:30" ht="14.25" x14ac:dyDescent="0.45">
      <c r="E935" s="70" t="str">
        <f>IFERROR(VLOOKUP(trainee_data[[#This Row],[Program Specialty]],taxonomy_map[[Other Taxonomy]:[Our Taxonomy]],2,FALSE),"")</f>
        <v/>
      </c>
      <c r="F935" s="52" t="str">
        <f>IFERROR(VLOOKUP(trainee_data[[#This Row],[Specialty/Subspecialty]],condensed_specialty_crosswalk[#All],2,FALSE),"")</f>
        <v/>
      </c>
      <c r="G935" s="53" t="str">
        <f>IFERROR(VLOOKUP(trainee_data[[#This Row],[Specialty/Subspecialty]],condensed_specialty_crosswalk[#All],3,FALSE),"")</f>
        <v/>
      </c>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row>
    <row r="936" spans="5:30" ht="14.25" x14ac:dyDescent="0.45">
      <c r="E936" s="69" t="str">
        <f>IFERROR(VLOOKUP(trainee_data[[#This Row],[Program Specialty]],taxonomy_map[[Other Taxonomy]:[Our Taxonomy]],2,FALSE),"")</f>
        <v/>
      </c>
      <c r="F936" s="55" t="str">
        <f>IFERROR(VLOOKUP(trainee_data[[#This Row],[Specialty/Subspecialty]],condensed_specialty_crosswalk[#All],2,FALSE),"")</f>
        <v/>
      </c>
      <c r="G936" s="56" t="str">
        <f>IFERROR(VLOOKUP(trainee_data[[#This Row],[Specialty/Subspecialty]],condensed_specialty_crosswalk[#All],3,FALSE),"")</f>
        <v/>
      </c>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row>
    <row r="937" spans="5:30" ht="14.25" x14ac:dyDescent="0.45">
      <c r="E937" s="70" t="str">
        <f>IFERROR(VLOOKUP(trainee_data[[#This Row],[Program Specialty]],taxonomy_map[[Other Taxonomy]:[Our Taxonomy]],2,FALSE),"")</f>
        <v/>
      </c>
      <c r="F937" s="52" t="str">
        <f>IFERROR(VLOOKUP(trainee_data[[#This Row],[Specialty/Subspecialty]],condensed_specialty_crosswalk[#All],2,FALSE),"")</f>
        <v/>
      </c>
      <c r="G937" s="53" t="str">
        <f>IFERROR(VLOOKUP(trainee_data[[#This Row],[Specialty/Subspecialty]],condensed_specialty_crosswalk[#All],3,FALSE),"")</f>
        <v/>
      </c>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row>
    <row r="938" spans="5:30" ht="14.25" x14ac:dyDescent="0.45">
      <c r="E938" s="69" t="str">
        <f>IFERROR(VLOOKUP(trainee_data[[#This Row],[Program Specialty]],taxonomy_map[[Other Taxonomy]:[Our Taxonomy]],2,FALSE),"")</f>
        <v/>
      </c>
      <c r="F938" s="55" t="str">
        <f>IFERROR(VLOOKUP(trainee_data[[#This Row],[Specialty/Subspecialty]],condensed_specialty_crosswalk[#All],2,FALSE),"")</f>
        <v/>
      </c>
      <c r="G938" s="56" t="str">
        <f>IFERROR(VLOOKUP(trainee_data[[#This Row],[Specialty/Subspecialty]],condensed_specialty_crosswalk[#All],3,FALSE),"")</f>
        <v/>
      </c>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row>
    <row r="939" spans="5:30" ht="14.25" x14ac:dyDescent="0.45">
      <c r="E939" s="70" t="str">
        <f>IFERROR(VLOOKUP(trainee_data[[#This Row],[Program Specialty]],taxonomy_map[[Other Taxonomy]:[Our Taxonomy]],2,FALSE),"")</f>
        <v/>
      </c>
      <c r="F939" s="52" t="str">
        <f>IFERROR(VLOOKUP(trainee_data[[#This Row],[Specialty/Subspecialty]],condensed_specialty_crosswalk[#All],2,FALSE),"")</f>
        <v/>
      </c>
      <c r="G939" s="53" t="str">
        <f>IFERROR(VLOOKUP(trainee_data[[#This Row],[Specialty/Subspecialty]],condensed_specialty_crosswalk[#All],3,FALSE),"")</f>
        <v/>
      </c>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row>
    <row r="940" spans="5:30" ht="14.25" x14ac:dyDescent="0.45">
      <c r="E940" s="69" t="str">
        <f>IFERROR(VLOOKUP(trainee_data[[#This Row],[Program Specialty]],taxonomy_map[[Other Taxonomy]:[Our Taxonomy]],2,FALSE),"")</f>
        <v/>
      </c>
      <c r="F940" s="55" t="str">
        <f>IFERROR(VLOOKUP(trainee_data[[#This Row],[Specialty/Subspecialty]],condensed_specialty_crosswalk[#All],2,FALSE),"")</f>
        <v/>
      </c>
      <c r="G940" s="56" t="str">
        <f>IFERROR(VLOOKUP(trainee_data[[#This Row],[Specialty/Subspecialty]],condensed_specialty_crosswalk[#All],3,FALSE),"")</f>
        <v/>
      </c>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row>
    <row r="941" spans="5:30" ht="14.25" x14ac:dyDescent="0.45">
      <c r="E941" s="70" t="str">
        <f>IFERROR(VLOOKUP(trainee_data[[#This Row],[Program Specialty]],taxonomy_map[[Other Taxonomy]:[Our Taxonomy]],2,FALSE),"")</f>
        <v/>
      </c>
      <c r="F941" s="52" t="str">
        <f>IFERROR(VLOOKUP(trainee_data[[#This Row],[Specialty/Subspecialty]],condensed_specialty_crosswalk[#All],2,FALSE),"")</f>
        <v/>
      </c>
      <c r="G941" s="53" t="str">
        <f>IFERROR(VLOOKUP(trainee_data[[#This Row],[Specialty/Subspecialty]],condensed_specialty_crosswalk[#All],3,FALSE),"")</f>
        <v/>
      </c>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row>
    <row r="942" spans="5:30" ht="14.25" x14ac:dyDescent="0.45">
      <c r="E942" s="69" t="str">
        <f>IFERROR(VLOOKUP(trainee_data[[#This Row],[Program Specialty]],taxonomy_map[[Other Taxonomy]:[Our Taxonomy]],2,FALSE),"")</f>
        <v/>
      </c>
      <c r="F942" s="55" t="str">
        <f>IFERROR(VLOOKUP(trainee_data[[#This Row],[Specialty/Subspecialty]],condensed_specialty_crosswalk[#All],2,FALSE),"")</f>
        <v/>
      </c>
      <c r="G942" s="56" t="str">
        <f>IFERROR(VLOOKUP(trainee_data[[#This Row],[Specialty/Subspecialty]],condensed_specialty_crosswalk[#All],3,FALSE),"")</f>
        <v/>
      </c>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row>
    <row r="943" spans="5:30" ht="14.25" x14ac:dyDescent="0.45">
      <c r="E943" s="70" t="str">
        <f>IFERROR(VLOOKUP(trainee_data[[#This Row],[Program Specialty]],taxonomy_map[[Other Taxonomy]:[Our Taxonomy]],2,FALSE),"")</f>
        <v/>
      </c>
      <c r="F943" s="52" t="str">
        <f>IFERROR(VLOOKUP(trainee_data[[#This Row],[Specialty/Subspecialty]],condensed_specialty_crosswalk[#All],2,FALSE),"")</f>
        <v/>
      </c>
      <c r="G943" s="53" t="str">
        <f>IFERROR(VLOOKUP(trainee_data[[#This Row],[Specialty/Subspecialty]],condensed_specialty_crosswalk[#All],3,FALSE),"")</f>
        <v/>
      </c>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row>
    <row r="944" spans="5:30" ht="14.25" x14ac:dyDescent="0.45">
      <c r="E944" s="69" t="str">
        <f>IFERROR(VLOOKUP(trainee_data[[#This Row],[Program Specialty]],taxonomy_map[[Other Taxonomy]:[Our Taxonomy]],2,FALSE),"")</f>
        <v/>
      </c>
      <c r="F944" s="55" t="str">
        <f>IFERROR(VLOOKUP(trainee_data[[#This Row],[Specialty/Subspecialty]],condensed_specialty_crosswalk[#All],2,FALSE),"")</f>
        <v/>
      </c>
      <c r="G944" s="56" t="str">
        <f>IFERROR(VLOOKUP(trainee_data[[#This Row],[Specialty/Subspecialty]],condensed_specialty_crosswalk[#All],3,FALSE),"")</f>
        <v/>
      </c>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row>
    <row r="945" spans="5:30" ht="14.25" x14ac:dyDescent="0.45">
      <c r="E945" s="70" t="str">
        <f>IFERROR(VLOOKUP(trainee_data[[#This Row],[Program Specialty]],taxonomy_map[[Other Taxonomy]:[Our Taxonomy]],2,FALSE),"")</f>
        <v/>
      </c>
      <c r="F945" s="52" t="str">
        <f>IFERROR(VLOOKUP(trainee_data[[#This Row],[Specialty/Subspecialty]],condensed_specialty_crosswalk[#All],2,FALSE),"")</f>
        <v/>
      </c>
      <c r="G945" s="53" t="str">
        <f>IFERROR(VLOOKUP(trainee_data[[#This Row],[Specialty/Subspecialty]],condensed_specialty_crosswalk[#All],3,FALSE),"")</f>
        <v/>
      </c>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row>
    <row r="946" spans="5:30" ht="14.25" x14ac:dyDescent="0.45">
      <c r="E946" s="69" t="str">
        <f>IFERROR(VLOOKUP(trainee_data[[#This Row],[Program Specialty]],taxonomy_map[[Other Taxonomy]:[Our Taxonomy]],2,FALSE),"")</f>
        <v/>
      </c>
      <c r="F946" s="55" t="str">
        <f>IFERROR(VLOOKUP(trainee_data[[#This Row],[Specialty/Subspecialty]],condensed_specialty_crosswalk[#All],2,FALSE),"")</f>
        <v/>
      </c>
      <c r="G946" s="56" t="str">
        <f>IFERROR(VLOOKUP(trainee_data[[#This Row],[Specialty/Subspecialty]],condensed_specialty_crosswalk[#All],3,FALSE),"")</f>
        <v/>
      </c>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row>
    <row r="947" spans="5:30" ht="14.25" x14ac:dyDescent="0.45">
      <c r="E947" s="70" t="str">
        <f>IFERROR(VLOOKUP(trainee_data[[#This Row],[Program Specialty]],taxonomy_map[[Other Taxonomy]:[Our Taxonomy]],2,FALSE),"")</f>
        <v/>
      </c>
      <c r="F947" s="52" t="str">
        <f>IFERROR(VLOOKUP(trainee_data[[#This Row],[Specialty/Subspecialty]],condensed_specialty_crosswalk[#All],2,FALSE),"")</f>
        <v/>
      </c>
      <c r="G947" s="53" t="str">
        <f>IFERROR(VLOOKUP(trainee_data[[#This Row],[Specialty/Subspecialty]],condensed_specialty_crosswalk[#All],3,FALSE),"")</f>
        <v/>
      </c>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row>
    <row r="948" spans="5:30" ht="14.25" x14ac:dyDescent="0.45">
      <c r="E948" s="69" t="str">
        <f>IFERROR(VLOOKUP(trainee_data[[#This Row],[Program Specialty]],taxonomy_map[[Other Taxonomy]:[Our Taxonomy]],2,FALSE),"")</f>
        <v/>
      </c>
      <c r="F948" s="55" t="str">
        <f>IFERROR(VLOOKUP(trainee_data[[#This Row],[Specialty/Subspecialty]],condensed_specialty_crosswalk[#All],2,FALSE),"")</f>
        <v/>
      </c>
      <c r="G948" s="56" t="str">
        <f>IFERROR(VLOOKUP(trainee_data[[#This Row],[Specialty/Subspecialty]],condensed_specialty_crosswalk[#All],3,FALSE),"")</f>
        <v/>
      </c>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row>
    <row r="949" spans="5:30" ht="14.25" x14ac:dyDescent="0.45">
      <c r="E949" s="70" t="str">
        <f>IFERROR(VLOOKUP(trainee_data[[#This Row],[Program Specialty]],taxonomy_map[[Other Taxonomy]:[Our Taxonomy]],2,FALSE),"")</f>
        <v/>
      </c>
      <c r="F949" s="52" t="str">
        <f>IFERROR(VLOOKUP(trainee_data[[#This Row],[Specialty/Subspecialty]],condensed_specialty_crosswalk[#All],2,FALSE),"")</f>
        <v/>
      </c>
      <c r="G949" s="53" t="str">
        <f>IFERROR(VLOOKUP(trainee_data[[#This Row],[Specialty/Subspecialty]],condensed_specialty_crosswalk[#All],3,FALSE),"")</f>
        <v/>
      </c>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row>
    <row r="950" spans="5:30" ht="14.25" x14ac:dyDescent="0.45">
      <c r="E950" s="69" t="str">
        <f>IFERROR(VLOOKUP(trainee_data[[#This Row],[Program Specialty]],taxonomy_map[[Other Taxonomy]:[Our Taxonomy]],2,FALSE),"")</f>
        <v/>
      </c>
      <c r="F950" s="55" t="str">
        <f>IFERROR(VLOOKUP(trainee_data[[#This Row],[Specialty/Subspecialty]],condensed_specialty_crosswalk[#All],2,FALSE),"")</f>
        <v/>
      </c>
      <c r="G950" s="56" t="str">
        <f>IFERROR(VLOOKUP(trainee_data[[#This Row],[Specialty/Subspecialty]],condensed_specialty_crosswalk[#All],3,FALSE),"")</f>
        <v/>
      </c>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row>
    <row r="951" spans="5:30" ht="14.25" x14ac:dyDescent="0.45">
      <c r="E951" s="70" t="str">
        <f>IFERROR(VLOOKUP(trainee_data[[#This Row],[Program Specialty]],taxonomy_map[[Other Taxonomy]:[Our Taxonomy]],2,FALSE),"")</f>
        <v/>
      </c>
      <c r="F951" s="52" t="str">
        <f>IFERROR(VLOOKUP(trainee_data[[#This Row],[Specialty/Subspecialty]],condensed_specialty_crosswalk[#All],2,FALSE),"")</f>
        <v/>
      </c>
      <c r="G951" s="53" t="str">
        <f>IFERROR(VLOOKUP(trainee_data[[#This Row],[Specialty/Subspecialty]],condensed_specialty_crosswalk[#All],3,FALSE),"")</f>
        <v/>
      </c>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row>
    <row r="952" spans="5:30" ht="14.25" x14ac:dyDescent="0.45">
      <c r="E952" s="69" t="str">
        <f>IFERROR(VLOOKUP(trainee_data[[#This Row],[Program Specialty]],taxonomy_map[[Other Taxonomy]:[Our Taxonomy]],2,FALSE),"")</f>
        <v/>
      </c>
      <c r="F952" s="55" t="str">
        <f>IFERROR(VLOOKUP(trainee_data[[#This Row],[Specialty/Subspecialty]],condensed_specialty_crosswalk[#All],2,FALSE),"")</f>
        <v/>
      </c>
      <c r="G952" s="56" t="str">
        <f>IFERROR(VLOOKUP(trainee_data[[#This Row],[Specialty/Subspecialty]],condensed_specialty_crosswalk[#All],3,FALSE),"")</f>
        <v/>
      </c>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row>
    <row r="953" spans="5:30" ht="14.25" x14ac:dyDescent="0.45">
      <c r="E953" s="70" t="str">
        <f>IFERROR(VLOOKUP(trainee_data[[#This Row],[Program Specialty]],taxonomy_map[[Other Taxonomy]:[Our Taxonomy]],2,FALSE),"")</f>
        <v/>
      </c>
      <c r="F953" s="52" t="str">
        <f>IFERROR(VLOOKUP(trainee_data[[#This Row],[Specialty/Subspecialty]],condensed_specialty_crosswalk[#All],2,FALSE),"")</f>
        <v/>
      </c>
      <c r="G953" s="53" t="str">
        <f>IFERROR(VLOOKUP(trainee_data[[#This Row],[Specialty/Subspecialty]],condensed_specialty_crosswalk[#All],3,FALSE),"")</f>
        <v/>
      </c>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row>
    <row r="954" spans="5:30" ht="14.25" x14ac:dyDescent="0.45">
      <c r="E954" s="69" t="str">
        <f>IFERROR(VLOOKUP(trainee_data[[#This Row],[Program Specialty]],taxonomy_map[[Other Taxonomy]:[Our Taxonomy]],2,FALSE),"")</f>
        <v/>
      </c>
      <c r="F954" s="55" t="str">
        <f>IFERROR(VLOOKUP(trainee_data[[#This Row],[Specialty/Subspecialty]],condensed_specialty_crosswalk[#All],2,FALSE),"")</f>
        <v/>
      </c>
      <c r="G954" s="56" t="str">
        <f>IFERROR(VLOOKUP(trainee_data[[#This Row],[Specialty/Subspecialty]],condensed_specialty_crosswalk[#All],3,FALSE),"")</f>
        <v/>
      </c>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row>
    <row r="955" spans="5:30" ht="14.25" x14ac:dyDescent="0.45">
      <c r="E955" s="70" t="str">
        <f>IFERROR(VLOOKUP(trainee_data[[#This Row],[Program Specialty]],taxonomy_map[[Other Taxonomy]:[Our Taxonomy]],2,FALSE),"")</f>
        <v/>
      </c>
      <c r="F955" s="52" t="str">
        <f>IFERROR(VLOOKUP(trainee_data[[#This Row],[Specialty/Subspecialty]],condensed_specialty_crosswalk[#All],2,FALSE),"")</f>
        <v/>
      </c>
      <c r="G955" s="53" t="str">
        <f>IFERROR(VLOOKUP(trainee_data[[#This Row],[Specialty/Subspecialty]],condensed_specialty_crosswalk[#All],3,FALSE),"")</f>
        <v/>
      </c>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row>
    <row r="956" spans="5:30" ht="14.25" x14ac:dyDescent="0.45">
      <c r="E956" s="69" t="str">
        <f>IFERROR(VLOOKUP(trainee_data[[#This Row],[Program Specialty]],taxonomy_map[[Other Taxonomy]:[Our Taxonomy]],2,FALSE),"")</f>
        <v/>
      </c>
      <c r="F956" s="55" t="str">
        <f>IFERROR(VLOOKUP(trainee_data[[#This Row],[Specialty/Subspecialty]],condensed_specialty_crosswalk[#All],2,FALSE),"")</f>
        <v/>
      </c>
      <c r="G956" s="56" t="str">
        <f>IFERROR(VLOOKUP(trainee_data[[#This Row],[Specialty/Subspecialty]],condensed_specialty_crosswalk[#All],3,FALSE),"")</f>
        <v/>
      </c>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row>
    <row r="957" spans="5:30" ht="14.25" x14ac:dyDescent="0.45">
      <c r="E957" s="70" t="str">
        <f>IFERROR(VLOOKUP(trainee_data[[#This Row],[Program Specialty]],taxonomy_map[[Other Taxonomy]:[Our Taxonomy]],2,FALSE),"")</f>
        <v/>
      </c>
      <c r="F957" s="52" t="str">
        <f>IFERROR(VLOOKUP(trainee_data[[#This Row],[Specialty/Subspecialty]],condensed_specialty_crosswalk[#All],2,FALSE),"")</f>
        <v/>
      </c>
      <c r="G957" s="53" t="str">
        <f>IFERROR(VLOOKUP(trainee_data[[#This Row],[Specialty/Subspecialty]],condensed_specialty_crosswalk[#All],3,FALSE),"")</f>
        <v/>
      </c>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row>
    <row r="958" spans="5:30" ht="14.25" x14ac:dyDescent="0.45">
      <c r="E958" s="69" t="str">
        <f>IFERROR(VLOOKUP(trainee_data[[#This Row],[Program Specialty]],taxonomy_map[[Other Taxonomy]:[Our Taxonomy]],2,FALSE),"")</f>
        <v/>
      </c>
      <c r="F958" s="55" t="str">
        <f>IFERROR(VLOOKUP(trainee_data[[#This Row],[Specialty/Subspecialty]],condensed_specialty_crosswalk[#All],2,FALSE),"")</f>
        <v/>
      </c>
      <c r="G958" s="56" t="str">
        <f>IFERROR(VLOOKUP(trainee_data[[#This Row],[Specialty/Subspecialty]],condensed_specialty_crosswalk[#All],3,FALSE),"")</f>
        <v/>
      </c>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row>
    <row r="959" spans="5:30" ht="14.25" x14ac:dyDescent="0.45">
      <c r="E959" s="70" t="str">
        <f>IFERROR(VLOOKUP(trainee_data[[#This Row],[Program Specialty]],taxonomy_map[[Other Taxonomy]:[Our Taxonomy]],2,FALSE),"")</f>
        <v/>
      </c>
      <c r="F959" s="52" t="str">
        <f>IFERROR(VLOOKUP(trainee_data[[#This Row],[Specialty/Subspecialty]],condensed_specialty_crosswalk[#All],2,FALSE),"")</f>
        <v/>
      </c>
      <c r="G959" s="53" t="str">
        <f>IFERROR(VLOOKUP(trainee_data[[#This Row],[Specialty/Subspecialty]],condensed_specialty_crosswalk[#All],3,FALSE),"")</f>
        <v/>
      </c>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row>
    <row r="960" spans="5:30" ht="14.25" x14ac:dyDescent="0.45">
      <c r="E960" s="69" t="str">
        <f>IFERROR(VLOOKUP(trainee_data[[#This Row],[Program Specialty]],taxonomy_map[[Other Taxonomy]:[Our Taxonomy]],2,FALSE),"")</f>
        <v/>
      </c>
      <c r="F960" s="55" t="str">
        <f>IFERROR(VLOOKUP(trainee_data[[#This Row],[Specialty/Subspecialty]],condensed_specialty_crosswalk[#All],2,FALSE),"")</f>
        <v/>
      </c>
      <c r="G960" s="56" t="str">
        <f>IFERROR(VLOOKUP(trainee_data[[#This Row],[Specialty/Subspecialty]],condensed_specialty_crosswalk[#All],3,FALSE),"")</f>
        <v/>
      </c>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row>
    <row r="961" spans="5:30" ht="14.25" x14ac:dyDescent="0.45">
      <c r="E961" s="70" t="str">
        <f>IFERROR(VLOOKUP(trainee_data[[#This Row],[Program Specialty]],taxonomy_map[[Other Taxonomy]:[Our Taxonomy]],2,FALSE),"")</f>
        <v/>
      </c>
      <c r="F961" s="52" t="str">
        <f>IFERROR(VLOOKUP(trainee_data[[#This Row],[Specialty/Subspecialty]],condensed_specialty_crosswalk[#All],2,FALSE),"")</f>
        <v/>
      </c>
      <c r="G961" s="53" t="str">
        <f>IFERROR(VLOOKUP(trainee_data[[#This Row],[Specialty/Subspecialty]],condensed_specialty_crosswalk[#All],3,FALSE),"")</f>
        <v/>
      </c>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row>
    <row r="962" spans="5:30" ht="14.25" x14ac:dyDescent="0.45">
      <c r="E962" s="69" t="str">
        <f>IFERROR(VLOOKUP(trainee_data[[#This Row],[Program Specialty]],taxonomy_map[[Other Taxonomy]:[Our Taxonomy]],2,FALSE),"")</f>
        <v/>
      </c>
      <c r="F962" s="55" t="str">
        <f>IFERROR(VLOOKUP(trainee_data[[#This Row],[Specialty/Subspecialty]],condensed_specialty_crosswalk[#All],2,FALSE),"")</f>
        <v/>
      </c>
      <c r="G962" s="56" t="str">
        <f>IFERROR(VLOOKUP(trainee_data[[#This Row],[Specialty/Subspecialty]],condensed_specialty_crosswalk[#All],3,FALSE),"")</f>
        <v/>
      </c>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row>
    <row r="963" spans="5:30" ht="14.25" x14ac:dyDescent="0.45">
      <c r="E963" s="70" t="str">
        <f>IFERROR(VLOOKUP(trainee_data[[#This Row],[Program Specialty]],taxonomy_map[[Other Taxonomy]:[Our Taxonomy]],2,FALSE),"")</f>
        <v/>
      </c>
      <c r="F963" s="52" t="str">
        <f>IFERROR(VLOOKUP(trainee_data[[#This Row],[Specialty/Subspecialty]],condensed_specialty_crosswalk[#All],2,FALSE),"")</f>
        <v/>
      </c>
      <c r="G963" s="53" t="str">
        <f>IFERROR(VLOOKUP(trainee_data[[#This Row],[Specialty/Subspecialty]],condensed_specialty_crosswalk[#All],3,FALSE),"")</f>
        <v/>
      </c>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row>
    <row r="964" spans="5:30" ht="14.25" x14ac:dyDescent="0.45">
      <c r="E964" s="69" t="str">
        <f>IFERROR(VLOOKUP(trainee_data[[#This Row],[Program Specialty]],taxonomy_map[[Other Taxonomy]:[Our Taxonomy]],2,FALSE),"")</f>
        <v/>
      </c>
      <c r="F964" s="55" t="str">
        <f>IFERROR(VLOOKUP(trainee_data[[#This Row],[Specialty/Subspecialty]],condensed_specialty_crosswalk[#All],2,FALSE),"")</f>
        <v/>
      </c>
      <c r="G964" s="56" t="str">
        <f>IFERROR(VLOOKUP(trainee_data[[#This Row],[Specialty/Subspecialty]],condensed_specialty_crosswalk[#All],3,FALSE),"")</f>
        <v/>
      </c>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row>
    <row r="965" spans="5:30" ht="14.25" x14ac:dyDescent="0.45">
      <c r="E965" s="70" t="str">
        <f>IFERROR(VLOOKUP(trainee_data[[#This Row],[Program Specialty]],taxonomy_map[[Other Taxonomy]:[Our Taxonomy]],2,FALSE),"")</f>
        <v/>
      </c>
      <c r="F965" s="52" t="str">
        <f>IFERROR(VLOOKUP(trainee_data[[#This Row],[Specialty/Subspecialty]],condensed_specialty_crosswalk[#All],2,FALSE),"")</f>
        <v/>
      </c>
      <c r="G965" s="53" t="str">
        <f>IFERROR(VLOOKUP(trainee_data[[#This Row],[Specialty/Subspecialty]],condensed_specialty_crosswalk[#All],3,FALSE),"")</f>
        <v/>
      </c>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row>
    <row r="966" spans="5:30" ht="14.25" x14ac:dyDescent="0.45">
      <c r="E966" s="69" t="str">
        <f>IFERROR(VLOOKUP(trainee_data[[#This Row],[Program Specialty]],taxonomy_map[[Other Taxonomy]:[Our Taxonomy]],2,FALSE),"")</f>
        <v/>
      </c>
      <c r="F966" s="55" t="str">
        <f>IFERROR(VLOOKUP(trainee_data[[#This Row],[Specialty/Subspecialty]],condensed_specialty_crosswalk[#All],2,FALSE),"")</f>
        <v/>
      </c>
      <c r="G966" s="56" t="str">
        <f>IFERROR(VLOOKUP(trainee_data[[#This Row],[Specialty/Subspecialty]],condensed_specialty_crosswalk[#All],3,FALSE),"")</f>
        <v/>
      </c>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row>
    <row r="967" spans="5:30" ht="14.25" x14ac:dyDescent="0.45">
      <c r="E967" s="70" t="str">
        <f>IFERROR(VLOOKUP(trainee_data[[#This Row],[Program Specialty]],taxonomy_map[[Other Taxonomy]:[Our Taxonomy]],2,FALSE),"")</f>
        <v/>
      </c>
      <c r="F967" s="52" t="str">
        <f>IFERROR(VLOOKUP(trainee_data[[#This Row],[Specialty/Subspecialty]],condensed_specialty_crosswalk[#All],2,FALSE),"")</f>
        <v/>
      </c>
      <c r="G967" s="53" t="str">
        <f>IFERROR(VLOOKUP(trainee_data[[#This Row],[Specialty/Subspecialty]],condensed_specialty_crosswalk[#All],3,FALSE),"")</f>
        <v/>
      </c>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row>
    <row r="968" spans="5:30" ht="14.25" x14ac:dyDescent="0.45">
      <c r="E968" s="69" t="str">
        <f>IFERROR(VLOOKUP(trainee_data[[#This Row],[Program Specialty]],taxonomy_map[[Other Taxonomy]:[Our Taxonomy]],2,FALSE),"")</f>
        <v/>
      </c>
      <c r="F968" s="55" t="str">
        <f>IFERROR(VLOOKUP(trainee_data[[#This Row],[Specialty/Subspecialty]],condensed_specialty_crosswalk[#All],2,FALSE),"")</f>
        <v/>
      </c>
      <c r="G968" s="56" t="str">
        <f>IFERROR(VLOOKUP(trainee_data[[#This Row],[Specialty/Subspecialty]],condensed_specialty_crosswalk[#All],3,FALSE),"")</f>
        <v/>
      </c>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row>
    <row r="969" spans="5:30" ht="14.25" x14ac:dyDescent="0.45">
      <c r="E969" s="70" t="str">
        <f>IFERROR(VLOOKUP(trainee_data[[#This Row],[Program Specialty]],taxonomy_map[[Other Taxonomy]:[Our Taxonomy]],2,FALSE),"")</f>
        <v/>
      </c>
      <c r="F969" s="52" t="str">
        <f>IFERROR(VLOOKUP(trainee_data[[#This Row],[Specialty/Subspecialty]],condensed_specialty_crosswalk[#All],2,FALSE),"")</f>
        <v/>
      </c>
      <c r="G969" s="53" t="str">
        <f>IFERROR(VLOOKUP(trainee_data[[#This Row],[Specialty/Subspecialty]],condensed_specialty_crosswalk[#All],3,FALSE),"")</f>
        <v/>
      </c>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row>
    <row r="970" spans="5:30" ht="14.25" x14ac:dyDescent="0.45">
      <c r="E970" s="69" t="str">
        <f>IFERROR(VLOOKUP(trainee_data[[#This Row],[Program Specialty]],taxonomy_map[[Other Taxonomy]:[Our Taxonomy]],2,FALSE),"")</f>
        <v/>
      </c>
      <c r="F970" s="55" t="str">
        <f>IFERROR(VLOOKUP(trainee_data[[#This Row],[Specialty/Subspecialty]],condensed_specialty_crosswalk[#All],2,FALSE),"")</f>
        <v/>
      </c>
      <c r="G970" s="56" t="str">
        <f>IFERROR(VLOOKUP(trainee_data[[#This Row],[Specialty/Subspecialty]],condensed_specialty_crosswalk[#All],3,FALSE),"")</f>
        <v/>
      </c>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row>
    <row r="971" spans="5:30" ht="14.25" x14ac:dyDescent="0.45">
      <c r="E971" s="70" t="str">
        <f>IFERROR(VLOOKUP(trainee_data[[#This Row],[Program Specialty]],taxonomy_map[[Other Taxonomy]:[Our Taxonomy]],2,FALSE),"")</f>
        <v/>
      </c>
      <c r="F971" s="52" t="str">
        <f>IFERROR(VLOOKUP(trainee_data[[#This Row],[Specialty/Subspecialty]],condensed_specialty_crosswalk[#All],2,FALSE),"")</f>
        <v/>
      </c>
      <c r="G971" s="53" t="str">
        <f>IFERROR(VLOOKUP(trainee_data[[#This Row],[Specialty/Subspecialty]],condensed_specialty_crosswalk[#All],3,FALSE),"")</f>
        <v/>
      </c>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row>
    <row r="972" spans="5:30" ht="14.25" x14ac:dyDescent="0.45">
      <c r="E972" s="69" t="str">
        <f>IFERROR(VLOOKUP(trainee_data[[#This Row],[Program Specialty]],taxonomy_map[[Other Taxonomy]:[Our Taxonomy]],2,FALSE),"")</f>
        <v/>
      </c>
      <c r="F972" s="55" t="str">
        <f>IFERROR(VLOOKUP(trainee_data[[#This Row],[Specialty/Subspecialty]],condensed_specialty_crosswalk[#All],2,FALSE),"")</f>
        <v/>
      </c>
      <c r="G972" s="56" t="str">
        <f>IFERROR(VLOOKUP(trainee_data[[#This Row],[Specialty/Subspecialty]],condensed_specialty_crosswalk[#All],3,FALSE),"")</f>
        <v/>
      </c>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row>
    <row r="973" spans="5:30" ht="14.25" x14ac:dyDescent="0.45">
      <c r="E973" s="70" t="str">
        <f>IFERROR(VLOOKUP(trainee_data[[#This Row],[Program Specialty]],taxonomy_map[[Other Taxonomy]:[Our Taxonomy]],2,FALSE),"")</f>
        <v/>
      </c>
      <c r="F973" s="52" t="str">
        <f>IFERROR(VLOOKUP(trainee_data[[#This Row],[Specialty/Subspecialty]],condensed_specialty_crosswalk[#All],2,FALSE),"")</f>
        <v/>
      </c>
      <c r="G973" s="53" t="str">
        <f>IFERROR(VLOOKUP(trainee_data[[#This Row],[Specialty/Subspecialty]],condensed_specialty_crosswalk[#All],3,FALSE),"")</f>
        <v/>
      </c>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row>
    <row r="974" spans="5:30" ht="14.25" x14ac:dyDescent="0.45">
      <c r="E974" s="69" t="str">
        <f>IFERROR(VLOOKUP(trainee_data[[#This Row],[Program Specialty]],taxonomy_map[[Other Taxonomy]:[Our Taxonomy]],2,FALSE),"")</f>
        <v/>
      </c>
      <c r="F974" s="55" t="str">
        <f>IFERROR(VLOOKUP(trainee_data[[#This Row],[Specialty/Subspecialty]],condensed_specialty_crosswalk[#All],2,FALSE),"")</f>
        <v/>
      </c>
      <c r="G974" s="56" t="str">
        <f>IFERROR(VLOOKUP(trainee_data[[#This Row],[Specialty/Subspecialty]],condensed_specialty_crosswalk[#All],3,FALSE),"")</f>
        <v/>
      </c>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row>
    <row r="975" spans="5:30" ht="14.25" x14ac:dyDescent="0.45">
      <c r="E975" s="70" t="str">
        <f>IFERROR(VLOOKUP(trainee_data[[#This Row],[Program Specialty]],taxonomy_map[[Other Taxonomy]:[Our Taxonomy]],2,FALSE),"")</f>
        <v/>
      </c>
      <c r="F975" s="52" t="str">
        <f>IFERROR(VLOOKUP(trainee_data[[#This Row],[Specialty/Subspecialty]],condensed_specialty_crosswalk[#All],2,FALSE),"")</f>
        <v/>
      </c>
      <c r="G975" s="53" t="str">
        <f>IFERROR(VLOOKUP(trainee_data[[#This Row],[Specialty/Subspecialty]],condensed_specialty_crosswalk[#All],3,FALSE),"")</f>
        <v/>
      </c>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row>
    <row r="976" spans="5:30" ht="14.25" x14ac:dyDescent="0.45">
      <c r="E976" s="69" t="str">
        <f>IFERROR(VLOOKUP(trainee_data[[#This Row],[Program Specialty]],taxonomy_map[[Other Taxonomy]:[Our Taxonomy]],2,FALSE),"")</f>
        <v/>
      </c>
      <c r="F976" s="55" t="str">
        <f>IFERROR(VLOOKUP(trainee_data[[#This Row],[Specialty/Subspecialty]],condensed_specialty_crosswalk[#All],2,FALSE),"")</f>
        <v/>
      </c>
      <c r="G976" s="56" t="str">
        <f>IFERROR(VLOOKUP(trainee_data[[#This Row],[Specialty/Subspecialty]],condensed_specialty_crosswalk[#All],3,FALSE),"")</f>
        <v/>
      </c>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row>
    <row r="977" spans="5:30" ht="14.25" x14ac:dyDescent="0.45">
      <c r="E977" s="70" t="str">
        <f>IFERROR(VLOOKUP(trainee_data[[#This Row],[Program Specialty]],taxonomy_map[[Other Taxonomy]:[Our Taxonomy]],2,FALSE),"")</f>
        <v/>
      </c>
      <c r="F977" s="52" t="str">
        <f>IFERROR(VLOOKUP(trainee_data[[#This Row],[Specialty/Subspecialty]],condensed_specialty_crosswalk[#All],2,FALSE),"")</f>
        <v/>
      </c>
      <c r="G977" s="53" t="str">
        <f>IFERROR(VLOOKUP(trainee_data[[#This Row],[Specialty/Subspecialty]],condensed_specialty_crosswalk[#All],3,FALSE),"")</f>
        <v/>
      </c>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row>
    <row r="978" spans="5:30" ht="14.25" x14ac:dyDescent="0.45">
      <c r="E978" s="69" t="str">
        <f>IFERROR(VLOOKUP(trainee_data[[#This Row],[Program Specialty]],taxonomy_map[[Other Taxonomy]:[Our Taxonomy]],2,FALSE),"")</f>
        <v/>
      </c>
      <c r="F978" s="55" t="str">
        <f>IFERROR(VLOOKUP(trainee_data[[#This Row],[Specialty/Subspecialty]],condensed_specialty_crosswalk[#All],2,FALSE),"")</f>
        <v/>
      </c>
      <c r="G978" s="56" t="str">
        <f>IFERROR(VLOOKUP(trainee_data[[#This Row],[Specialty/Subspecialty]],condensed_specialty_crosswalk[#All],3,FALSE),"")</f>
        <v/>
      </c>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row>
    <row r="979" spans="5:30" ht="14.25" x14ac:dyDescent="0.45">
      <c r="E979" s="70" t="str">
        <f>IFERROR(VLOOKUP(trainee_data[[#This Row],[Program Specialty]],taxonomy_map[[Other Taxonomy]:[Our Taxonomy]],2,FALSE),"")</f>
        <v/>
      </c>
      <c r="F979" s="52" t="str">
        <f>IFERROR(VLOOKUP(trainee_data[[#This Row],[Specialty/Subspecialty]],condensed_specialty_crosswalk[#All],2,FALSE),"")</f>
        <v/>
      </c>
      <c r="G979" s="53" t="str">
        <f>IFERROR(VLOOKUP(trainee_data[[#This Row],[Specialty/Subspecialty]],condensed_specialty_crosswalk[#All],3,FALSE),"")</f>
        <v/>
      </c>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row>
    <row r="980" spans="5:30" ht="14.25" x14ac:dyDescent="0.45">
      <c r="E980" s="69" t="str">
        <f>IFERROR(VLOOKUP(trainee_data[[#This Row],[Program Specialty]],taxonomy_map[[Other Taxonomy]:[Our Taxonomy]],2,FALSE),"")</f>
        <v/>
      </c>
      <c r="F980" s="55" t="str">
        <f>IFERROR(VLOOKUP(trainee_data[[#This Row],[Specialty/Subspecialty]],condensed_specialty_crosswalk[#All],2,FALSE),"")</f>
        <v/>
      </c>
      <c r="G980" s="56" t="str">
        <f>IFERROR(VLOOKUP(trainee_data[[#This Row],[Specialty/Subspecialty]],condensed_specialty_crosswalk[#All],3,FALSE),"")</f>
        <v/>
      </c>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row>
    <row r="981" spans="5:30" ht="14.25" x14ac:dyDescent="0.45">
      <c r="E981" s="70" t="str">
        <f>IFERROR(VLOOKUP(trainee_data[[#This Row],[Program Specialty]],taxonomy_map[[Other Taxonomy]:[Our Taxonomy]],2,FALSE),"")</f>
        <v/>
      </c>
      <c r="F981" s="52" t="str">
        <f>IFERROR(VLOOKUP(trainee_data[[#This Row],[Specialty/Subspecialty]],condensed_specialty_crosswalk[#All],2,FALSE),"")</f>
        <v/>
      </c>
      <c r="G981" s="53" t="str">
        <f>IFERROR(VLOOKUP(trainee_data[[#This Row],[Specialty/Subspecialty]],condensed_specialty_crosswalk[#All],3,FALSE),"")</f>
        <v/>
      </c>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row>
    <row r="982" spans="5:30" ht="14.25" x14ac:dyDescent="0.45">
      <c r="E982" s="69" t="str">
        <f>IFERROR(VLOOKUP(trainee_data[[#This Row],[Program Specialty]],taxonomy_map[[Other Taxonomy]:[Our Taxonomy]],2,FALSE),"")</f>
        <v/>
      </c>
      <c r="F982" s="55" t="str">
        <f>IFERROR(VLOOKUP(trainee_data[[#This Row],[Specialty/Subspecialty]],condensed_specialty_crosswalk[#All],2,FALSE),"")</f>
        <v/>
      </c>
      <c r="G982" s="56" t="str">
        <f>IFERROR(VLOOKUP(trainee_data[[#This Row],[Specialty/Subspecialty]],condensed_specialty_crosswalk[#All],3,FALSE),"")</f>
        <v/>
      </c>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row>
    <row r="983" spans="5:30" ht="14.25" x14ac:dyDescent="0.45">
      <c r="E983" s="70" t="str">
        <f>IFERROR(VLOOKUP(trainee_data[[#This Row],[Program Specialty]],taxonomy_map[[Other Taxonomy]:[Our Taxonomy]],2,FALSE),"")</f>
        <v/>
      </c>
      <c r="F983" s="52" t="str">
        <f>IFERROR(VLOOKUP(trainee_data[[#This Row],[Specialty/Subspecialty]],condensed_specialty_crosswalk[#All],2,FALSE),"")</f>
        <v/>
      </c>
      <c r="G983" s="53" t="str">
        <f>IFERROR(VLOOKUP(trainee_data[[#This Row],[Specialty/Subspecialty]],condensed_specialty_crosswalk[#All],3,FALSE),"")</f>
        <v/>
      </c>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row>
    <row r="984" spans="5:30" ht="14.25" x14ac:dyDescent="0.45">
      <c r="E984" s="69" t="str">
        <f>IFERROR(VLOOKUP(trainee_data[[#This Row],[Program Specialty]],taxonomy_map[[Other Taxonomy]:[Our Taxonomy]],2,FALSE),"")</f>
        <v/>
      </c>
      <c r="F984" s="55" t="str">
        <f>IFERROR(VLOOKUP(trainee_data[[#This Row],[Specialty/Subspecialty]],condensed_specialty_crosswalk[#All],2,FALSE),"")</f>
        <v/>
      </c>
      <c r="G984" s="56" t="str">
        <f>IFERROR(VLOOKUP(trainee_data[[#This Row],[Specialty/Subspecialty]],condensed_specialty_crosswalk[#All],3,FALSE),"")</f>
        <v/>
      </c>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row>
    <row r="985" spans="5:30" ht="14.25" x14ac:dyDescent="0.45">
      <c r="E985" s="70" t="str">
        <f>IFERROR(VLOOKUP(trainee_data[[#This Row],[Program Specialty]],taxonomy_map[[Other Taxonomy]:[Our Taxonomy]],2,FALSE),"")</f>
        <v/>
      </c>
      <c r="F985" s="52" t="str">
        <f>IFERROR(VLOOKUP(trainee_data[[#This Row],[Specialty/Subspecialty]],condensed_specialty_crosswalk[#All],2,FALSE),"")</f>
        <v/>
      </c>
      <c r="G985" s="53" t="str">
        <f>IFERROR(VLOOKUP(trainee_data[[#This Row],[Specialty/Subspecialty]],condensed_specialty_crosswalk[#All],3,FALSE),"")</f>
        <v/>
      </c>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row>
    <row r="986" spans="5:30" ht="14.25" x14ac:dyDescent="0.45">
      <c r="E986" s="69" t="str">
        <f>IFERROR(VLOOKUP(trainee_data[[#This Row],[Program Specialty]],taxonomy_map[[Other Taxonomy]:[Our Taxonomy]],2,FALSE),"")</f>
        <v/>
      </c>
      <c r="F986" s="55" t="str">
        <f>IFERROR(VLOOKUP(trainee_data[[#This Row],[Specialty/Subspecialty]],condensed_specialty_crosswalk[#All],2,FALSE),"")</f>
        <v/>
      </c>
      <c r="G986" s="56" t="str">
        <f>IFERROR(VLOOKUP(trainee_data[[#This Row],[Specialty/Subspecialty]],condensed_specialty_crosswalk[#All],3,FALSE),"")</f>
        <v/>
      </c>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row>
    <row r="987" spans="5:30" ht="14.25" x14ac:dyDescent="0.45">
      <c r="E987" s="70" t="str">
        <f>IFERROR(VLOOKUP(trainee_data[[#This Row],[Program Specialty]],taxonomy_map[[Other Taxonomy]:[Our Taxonomy]],2,FALSE),"")</f>
        <v/>
      </c>
      <c r="F987" s="52" t="str">
        <f>IFERROR(VLOOKUP(trainee_data[[#This Row],[Specialty/Subspecialty]],condensed_specialty_crosswalk[#All],2,FALSE),"")</f>
        <v/>
      </c>
      <c r="G987" s="53" t="str">
        <f>IFERROR(VLOOKUP(trainee_data[[#This Row],[Specialty/Subspecialty]],condensed_specialty_crosswalk[#All],3,FALSE),"")</f>
        <v/>
      </c>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row>
    <row r="988" spans="5:30" ht="14.25" x14ac:dyDescent="0.45">
      <c r="E988" s="69" t="str">
        <f>IFERROR(VLOOKUP(trainee_data[[#This Row],[Program Specialty]],taxonomy_map[[Other Taxonomy]:[Our Taxonomy]],2,FALSE),"")</f>
        <v/>
      </c>
      <c r="F988" s="55" t="str">
        <f>IFERROR(VLOOKUP(trainee_data[[#This Row],[Specialty/Subspecialty]],condensed_specialty_crosswalk[#All],2,FALSE),"")</f>
        <v/>
      </c>
      <c r="G988" s="56" t="str">
        <f>IFERROR(VLOOKUP(trainee_data[[#This Row],[Specialty/Subspecialty]],condensed_specialty_crosswalk[#All],3,FALSE),"")</f>
        <v/>
      </c>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row>
    <row r="989" spans="5:30" ht="14.25" x14ac:dyDescent="0.45">
      <c r="E989" s="70" t="str">
        <f>IFERROR(VLOOKUP(trainee_data[[#This Row],[Program Specialty]],taxonomy_map[[Other Taxonomy]:[Our Taxonomy]],2,FALSE),"")</f>
        <v/>
      </c>
      <c r="F989" s="52" t="str">
        <f>IFERROR(VLOOKUP(trainee_data[[#This Row],[Specialty/Subspecialty]],condensed_specialty_crosswalk[#All],2,FALSE),"")</f>
        <v/>
      </c>
      <c r="G989" s="53" t="str">
        <f>IFERROR(VLOOKUP(trainee_data[[#This Row],[Specialty/Subspecialty]],condensed_specialty_crosswalk[#All],3,FALSE),"")</f>
        <v/>
      </c>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row>
    <row r="990" spans="5:30" ht="14.25" x14ac:dyDescent="0.45">
      <c r="E990" s="69" t="str">
        <f>IFERROR(VLOOKUP(trainee_data[[#This Row],[Program Specialty]],taxonomy_map[[Other Taxonomy]:[Our Taxonomy]],2,FALSE),"")</f>
        <v/>
      </c>
      <c r="F990" s="55" t="str">
        <f>IFERROR(VLOOKUP(trainee_data[[#This Row],[Specialty/Subspecialty]],condensed_specialty_crosswalk[#All],2,FALSE),"")</f>
        <v/>
      </c>
      <c r="G990" s="56" t="str">
        <f>IFERROR(VLOOKUP(trainee_data[[#This Row],[Specialty/Subspecialty]],condensed_specialty_crosswalk[#All],3,FALSE),"")</f>
        <v/>
      </c>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row>
    <row r="991" spans="5:30" ht="14.25" x14ac:dyDescent="0.45">
      <c r="E991" s="70" t="str">
        <f>IFERROR(VLOOKUP(trainee_data[[#This Row],[Program Specialty]],taxonomy_map[[Other Taxonomy]:[Our Taxonomy]],2,FALSE),"")</f>
        <v/>
      </c>
      <c r="F991" s="52" t="str">
        <f>IFERROR(VLOOKUP(trainee_data[[#This Row],[Specialty/Subspecialty]],condensed_specialty_crosswalk[#All],2,FALSE),"")</f>
        <v/>
      </c>
      <c r="G991" s="53" t="str">
        <f>IFERROR(VLOOKUP(trainee_data[[#This Row],[Specialty/Subspecialty]],condensed_specialty_crosswalk[#All],3,FALSE),"")</f>
        <v/>
      </c>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row>
    <row r="992" spans="5:30" ht="14.25" x14ac:dyDescent="0.45">
      <c r="E992" s="69" t="str">
        <f>IFERROR(VLOOKUP(trainee_data[[#This Row],[Program Specialty]],taxonomy_map[[Other Taxonomy]:[Our Taxonomy]],2,FALSE),"")</f>
        <v/>
      </c>
      <c r="F992" s="55" t="str">
        <f>IFERROR(VLOOKUP(trainee_data[[#This Row],[Specialty/Subspecialty]],condensed_specialty_crosswalk[#All],2,FALSE),"")</f>
        <v/>
      </c>
      <c r="G992" s="56" t="str">
        <f>IFERROR(VLOOKUP(trainee_data[[#This Row],[Specialty/Subspecialty]],condensed_specialty_crosswalk[#All],3,FALSE),"")</f>
        <v/>
      </c>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row>
    <row r="993" spans="5:30" ht="14.25" x14ac:dyDescent="0.45">
      <c r="E993" s="70" t="str">
        <f>IFERROR(VLOOKUP(trainee_data[[#This Row],[Program Specialty]],taxonomy_map[[Other Taxonomy]:[Our Taxonomy]],2,FALSE),"")</f>
        <v/>
      </c>
      <c r="F993" s="52" t="str">
        <f>IFERROR(VLOOKUP(trainee_data[[#This Row],[Specialty/Subspecialty]],condensed_specialty_crosswalk[#All],2,FALSE),"")</f>
        <v/>
      </c>
      <c r="G993" s="53" t="str">
        <f>IFERROR(VLOOKUP(trainee_data[[#This Row],[Specialty/Subspecialty]],condensed_specialty_crosswalk[#All],3,FALSE),"")</f>
        <v/>
      </c>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row>
    <row r="994" spans="5:30" ht="14.25" x14ac:dyDescent="0.45">
      <c r="E994" s="69" t="str">
        <f>IFERROR(VLOOKUP(trainee_data[[#This Row],[Program Specialty]],taxonomy_map[[Other Taxonomy]:[Our Taxonomy]],2,FALSE),"")</f>
        <v/>
      </c>
      <c r="F994" s="55" t="str">
        <f>IFERROR(VLOOKUP(trainee_data[[#This Row],[Specialty/Subspecialty]],condensed_specialty_crosswalk[#All],2,FALSE),"")</f>
        <v/>
      </c>
      <c r="G994" s="56" t="str">
        <f>IFERROR(VLOOKUP(trainee_data[[#This Row],[Specialty/Subspecialty]],condensed_specialty_crosswalk[#All],3,FALSE),"")</f>
        <v/>
      </c>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row>
    <row r="995" spans="5:30" ht="14.25" x14ac:dyDescent="0.45">
      <c r="E995" s="70" t="str">
        <f>IFERROR(VLOOKUP(trainee_data[[#This Row],[Program Specialty]],taxonomy_map[[Other Taxonomy]:[Our Taxonomy]],2,FALSE),"")</f>
        <v/>
      </c>
      <c r="F995" s="52" t="str">
        <f>IFERROR(VLOOKUP(trainee_data[[#This Row],[Specialty/Subspecialty]],condensed_specialty_crosswalk[#All],2,FALSE),"")</f>
        <v/>
      </c>
      <c r="G995" s="53" t="str">
        <f>IFERROR(VLOOKUP(trainee_data[[#This Row],[Specialty/Subspecialty]],condensed_specialty_crosswalk[#All],3,FALSE),"")</f>
        <v/>
      </c>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row>
    <row r="996" spans="5:30" ht="14.25" x14ac:dyDescent="0.45">
      <c r="E996" s="69" t="str">
        <f>IFERROR(VLOOKUP(trainee_data[[#This Row],[Program Specialty]],taxonomy_map[[Other Taxonomy]:[Our Taxonomy]],2,FALSE),"")</f>
        <v/>
      </c>
      <c r="F996" s="55" t="str">
        <f>IFERROR(VLOOKUP(trainee_data[[#This Row],[Specialty/Subspecialty]],condensed_specialty_crosswalk[#All],2,FALSE),"")</f>
        <v/>
      </c>
      <c r="G996" s="56" t="str">
        <f>IFERROR(VLOOKUP(trainee_data[[#This Row],[Specialty/Subspecialty]],condensed_specialty_crosswalk[#All],3,FALSE),"")</f>
        <v/>
      </c>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row>
    <row r="997" spans="5:30" ht="14.25" x14ac:dyDescent="0.45">
      <c r="E997" s="70" t="str">
        <f>IFERROR(VLOOKUP(trainee_data[[#This Row],[Program Specialty]],taxonomy_map[[Other Taxonomy]:[Our Taxonomy]],2,FALSE),"")</f>
        <v/>
      </c>
      <c r="F997" s="52" t="str">
        <f>IFERROR(VLOOKUP(trainee_data[[#This Row],[Specialty/Subspecialty]],condensed_specialty_crosswalk[#All],2,FALSE),"")</f>
        <v/>
      </c>
      <c r="G997" s="53" t="str">
        <f>IFERROR(VLOOKUP(trainee_data[[#This Row],[Specialty/Subspecialty]],condensed_specialty_crosswalk[#All],3,FALSE),"")</f>
        <v/>
      </c>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row>
    <row r="998" spans="5:30" ht="14.25" x14ac:dyDescent="0.45">
      <c r="E998" s="69" t="str">
        <f>IFERROR(VLOOKUP(trainee_data[[#This Row],[Program Specialty]],taxonomy_map[[Other Taxonomy]:[Our Taxonomy]],2,FALSE),"")</f>
        <v/>
      </c>
      <c r="F998" s="55" t="str">
        <f>IFERROR(VLOOKUP(trainee_data[[#This Row],[Specialty/Subspecialty]],condensed_specialty_crosswalk[#All],2,FALSE),"")</f>
        <v/>
      </c>
      <c r="G998" s="56" t="str">
        <f>IFERROR(VLOOKUP(trainee_data[[#This Row],[Specialty/Subspecialty]],condensed_specialty_crosswalk[#All],3,FALSE),"")</f>
        <v/>
      </c>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row>
    <row r="999" spans="5:30" ht="14.25" x14ac:dyDescent="0.45">
      <c r="E999" s="70" t="str">
        <f>IFERROR(VLOOKUP(trainee_data[[#This Row],[Program Specialty]],taxonomy_map[[Other Taxonomy]:[Our Taxonomy]],2,FALSE),"")</f>
        <v/>
      </c>
      <c r="F999" s="52" t="str">
        <f>IFERROR(VLOOKUP(trainee_data[[#This Row],[Specialty/Subspecialty]],condensed_specialty_crosswalk[#All],2,FALSE),"")</f>
        <v/>
      </c>
      <c r="G999" s="53" t="str">
        <f>IFERROR(VLOOKUP(trainee_data[[#This Row],[Specialty/Subspecialty]],condensed_specialty_crosswalk[#All],3,FALSE),"")</f>
        <v/>
      </c>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row>
    <row r="1000" spans="5:30" ht="14.25" x14ac:dyDescent="0.45">
      <c r="E1000" s="69" t="str">
        <f>IFERROR(VLOOKUP(trainee_data[[#This Row],[Program Specialty]],taxonomy_map[[Other Taxonomy]:[Our Taxonomy]],2,FALSE),"")</f>
        <v/>
      </c>
      <c r="F1000" s="55" t="str">
        <f>IFERROR(VLOOKUP(trainee_data[[#This Row],[Specialty/Subspecialty]],condensed_specialty_crosswalk[#All],2,FALSE),"")</f>
        <v/>
      </c>
      <c r="G1000" s="56" t="str">
        <f>IFERROR(VLOOKUP(trainee_data[[#This Row],[Specialty/Subspecialty]],condensed_specialty_crosswalk[#All],3,FALSE),"")</f>
        <v/>
      </c>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row>
    <row r="1001" spans="5:30" ht="14.25" x14ac:dyDescent="0.45">
      <c r="E1001" s="70" t="str">
        <f>IFERROR(VLOOKUP(trainee_data[[#This Row],[Program Specialty]],taxonomy_map[[Other Taxonomy]:[Our Taxonomy]],2,FALSE),"")</f>
        <v/>
      </c>
      <c r="F1001" s="52" t="str">
        <f>IFERROR(VLOOKUP(trainee_data[[#This Row],[Specialty/Subspecialty]],condensed_specialty_crosswalk[#All],2,FALSE),"")</f>
        <v/>
      </c>
      <c r="G1001" s="53" t="str">
        <f>IFERROR(VLOOKUP(trainee_data[[#This Row],[Specialty/Subspecialty]],condensed_specialty_crosswalk[#All],3,FALSE),"")</f>
        <v/>
      </c>
      <c r="H1001" s="14"/>
      <c r="I1001" s="14"/>
      <c r="J1001" s="14"/>
      <c r="K1001" s="14"/>
      <c r="L1001" s="14"/>
      <c r="M1001" s="14"/>
      <c r="N1001" s="14"/>
      <c r="O1001" s="14"/>
      <c r="P1001" s="14"/>
      <c r="Q1001" s="14"/>
      <c r="R1001" s="14"/>
      <c r="S1001" s="14"/>
      <c r="T1001" s="14"/>
      <c r="U1001" s="14"/>
      <c r="V1001" s="14"/>
      <c r="W1001" s="14"/>
      <c r="X1001" s="14"/>
      <c r="Y1001" s="14"/>
      <c r="Z1001" s="14"/>
      <c r="AA1001" s="14"/>
      <c r="AB1001" s="14"/>
      <c r="AC1001" s="14"/>
      <c r="AD1001" s="14"/>
    </row>
    <row r="1002" spans="5:30" ht="14.25" x14ac:dyDescent="0.45">
      <c r="E1002" s="69" t="str">
        <f>IFERROR(VLOOKUP(trainee_data[[#This Row],[Program Specialty]],taxonomy_map[[Other Taxonomy]:[Our Taxonomy]],2,FALSE),"")</f>
        <v/>
      </c>
      <c r="F1002" s="55" t="str">
        <f>IFERROR(VLOOKUP(trainee_data[[#This Row],[Specialty/Subspecialty]],condensed_specialty_crosswalk[#All],2,FALSE),"")</f>
        <v/>
      </c>
      <c r="G1002" s="56" t="str">
        <f>IFERROR(VLOOKUP(trainee_data[[#This Row],[Specialty/Subspecialty]],condensed_specialty_crosswalk[#All],3,FALSE),"")</f>
        <v/>
      </c>
      <c r="H1002" s="14"/>
      <c r="I1002" s="14"/>
      <c r="J1002" s="14"/>
      <c r="K1002" s="14"/>
      <c r="L1002" s="14"/>
      <c r="M1002" s="14"/>
      <c r="N1002" s="14"/>
      <c r="O1002" s="14"/>
      <c r="P1002" s="14"/>
      <c r="Q1002" s="14"/>
      <c r="R1002" s="14"/>
      <c r="S1002" s="14"/>
      <c r="T1002" s="14"/>
      <c r="U1002" s="14"/>
      <c r="V1002" s="14"/>
      <c r="W1002" s="14"/>
      <c r="X1002" s="14"/>
      <c r="Y1002" s="14"/>
      <c r="Z1002" s="14"/>
      <c r="AA1002" s="14"/>
      <c r="AB1002" s="14"/>
      <c r="AC1002" s="14"/>
      <c r="AD1002" s="14"/>
    </row>
    <row r="1003" spans="5:30" ht="14.25" x14ac:dyDescent="0.45">
      <c r="E1003" s="70" t="str">
        <f>IFERROR(VLOOKUP(trainee_data[[#This Row],[Program Specialty]],taxonomy_map[[Other Taxonomy]:[Our Taxonomy]],2,FALSE),"")</f>
        <v/>
      </c>
      <c r="F1003" s="52" t="str">
        <f>IFERROR(VLOOKUP(trainee_data[[#This Row],[Specialty/Subspecialty]],condensed_specialty_crosswalk[#All],2,FALSE),"")</f>
        <v/>
      </c>
      <c r="G1003" s="53" t="str">
        <f>IFERROR(VLOOKUP(trainee_data[[#This Row],[Specialty/Subspecialty]],condensed_specialty_crosswalk[#All],3,FALSE),"")</f>
        <v/>
      </c>
      <c r="H1003" s="14"/>
      <c r="I1003" s="14"/>
      <c r="J1003" s="14"/>
      <c r="K1003" s="14"/>
      <c r="L1003" s="14"/>
      <c r="M1003" s="14"/>
      <c r="N1003" s="14"/>
      <c r="O1003" s="14"/>
      <c r="P1003" s="14"/>
      <c r="Q1003" s="14"/>
      <c r="R1003" s="14"/>
      <c r="S1003" s="14"/>
      <c r="T1003" s="14"/>
      <c r="U1003" s="14"/>
      <c r="V1003" s="14"/>
      <c r="W1003" s="14"/>
      <c r="X1003" s="14"/>
      <c r="Y1003" s="14"/>
      <c r="Z1003" s="14"/>
      <c r="AA1003" s="14"/>
      <c r="AB1003" s="14"/>
      <c r="AC1003" s="14"/>
      <c r="AD1003" s="14"/>
    </row>
    <row r="1004" spans="5:30" ht="14.25" x14ac:dyDescent="0.45">
      <c r="E1004" s="69" t="str">
        <f>IFERROR(VLOOKUP(trainee_data[[#This Row],[Program Specialty]],taxonomy_map[[Other Taxonomy]:[Our Taxonomy]],2,FALSE),"")</f>
        <v/>
      </c>
      <c r="F1004" s="55" t="str">
        <f>IFERROR(VLOOKUP(trainee_data[[#This Row],[Specialty/Subspecialty]],condensed_specialty_crosswalk[#All],2,FALSE),"")</f>
        <v/>
      </c>
      <c r="G1004" s="56" t="str">
        <f>IFERROR(VLOOKUP(trainee_data[[#This Row],[Specialty/Subspecialty]],condensed_specialty_crosswalk[#All],3,FALSE),"")</f>
        <v/>
      </c>
      <c r="H1004" s="14"/>
      <c r="I1004" s="14"/>
      <c r="J1004" s="14"/>
      <c r="K1004" s="14"/>
      <c r="L1004" s="14"/>
      <c r="M1004" s="14"/>
      <c r="N1004" s="14"/>
      <c r="O1004" s="14"/>
      <c r="P1004" s="14"/>
      <c r="Q1004" s="14"/>
      <c r="R1004" s="14"/>
      <c r="S1004" s="14"/>
      <c r="T1004" s="14"/>
      <c r="U1004" s="14"/>
      <c r="V1004" s="14"/>
      <c r="W1004" s="14"/>
      <c r="X1004" s="14"/>
      <c r="Y1004" s="14"/>
      <c r="Z1004" s="14"/>
      <c r="AA1004" s="14"/>
      <c r="AB1004" s="14"/>
      <c r="AC1004" s="14"/>
      <c r="AD1004" s="14"/>
    </row>
    <row r="1005" spans="5:30" ht="14.25" x14ac:dyDescent="0.45">
      <c r="E1005" s="70" t="str">
        <f>IFERROR(VLOOKUP(trainee_data[[#This Row],[Program Specialty]],taxonomy_map[[Other Taxonomy]:[Our Taxonomy]],2,FALSE),"")</f>
        <v/>
      </c>
      <c r="F1005" s="52" t="str">
        <f>IFERROR(VLOOKUP(trainee_data[[#This Row],[Specialty/Subspecialty]],condensed_specialty_crosswalk[#All],2,FALSE),"")</f>
        <v/>
      </c>
      <c r="G1005" s="53" t="str">
        <f>IFERROR(VLOOKUP(trainee_data[[#This Row],[Specialty/Subspecialty]],condensed_specialty_crosswalk[#All],3,FALSE),"")</f>
        <v/>
      </c>
      <c r="H1005" s="14"/>
      <c r="I1005" s="14"/>
      <c r="J1005" s="14"/>
      <c r="K1005" s="14"/>
      <c r="L1005" s="14"/>
      <c r="M1005" s="14"/>
      <c r="N1005" s="14"/>
      <c r="O1005" s="14"/>
      <c r="P1005" s="14"/>
      <c r="Q1005" s="14"/>
      <c r="R1005" s="14"/>
      <c r="S1005" s="14"/>
      <c r="T1005" s="14"/>
      <c r="U1005" s="14"/>
      <c r="V1005" s="14"/>
      <c r="W1005" s="14"/>
      <c r="X1005" s="14"/>
      <c r="Y1005" s="14"/>
      <c r="Z1005" s="14"/>
      <c r="AA1005" s="14"/>
      <c r="AB1005" s="14"/>
      <c r="AC1005" s="14"/>
      <c r="AD1005" s="14"/>
    </row>
    <row r="1006" spans="5:30" ht="14.25" x14ac:dyDescent="0.45">
      <c r="E1006" s="69" t="str">
        <f>IFERROR(VLOOKUP(trainee_data[[#This Row],[Program Specialty]],taxonomy_map[[Other Taxonomy]:[Our Taxonomy]],2,FALSE),"")</f>
        <v/>
      </c>
      <c r="F1006" s="55" t="str">
        <f>IFERROR(VLOOKUP(trainee_data[[#This Row],[Specialty/Subspecialty]],condensed_specialty_crosswalk[#All],2,FALSE),"")</f>
        <v/>
      </c>
      <c r="G1006" s="56" t="str">
        <f>IFERROR(VLOOKUP(trainee_data[[#This Row],[Specialty/Subspecialty]],condensed_specialty_crosswalk[#All],3,FALSE),"")</f>
        <v/>
      </c>
      <c r="H1006" s="14"/>
      <c r="I1006" s="14"/>
      <c r="J1006" s="14"/>
      <c r="K1006" s="14"/>
      <c r="L1006" s="14"/>
      <c r="M1006" s="14"/>
      <c r="N1006" s="14"/>
      <c r="O1006" s="14"/>
      <c r="P1006" s="14"/>
      <c r="Q1006" s="14"/>
      <c r="R1006" s="14"/>
      <c r="S1006" s="14"/>
      <c r="T1006" s="14"/>
      <c r="U1006" s="14"/>
      <c r="V1006" s="14"/>
      <c r="W1006" s="14"/>
      <c r="X1006" s="14"/>
      <c r="Y1006" s="14"/>
      <c r="Z1006" s="14"/>
      <c r="AA1006" s="14"/>
      <c r="AB1006" s="14"/>
      <c r="AC1006" s="14"/>
      <c r="AD1006" s="14"/>
    </row>
    <row r="1007" spans="5:30" ht="14.25" x14ac:dyDescent="0.45">
      <c r="E1007" s="70" t="str">
        <f>IFERROR(VLOOKUP(trainee_data[[#This Row],[Program Specialty]],taxonomy_map[[Other Taxonomy]:[Our Taxonomy]],2,FALSE),"")</f>
        <v/>
      </c>
      <c r="F1007" s="52" t="str">
        <f>IFERROR(VLOOKUP(trainee_data[[#This Row],[Specialty/Subspecialty]],condensed_specialty_crosswalk[#All],2,FALSE),"")</f>
        <v/>
      </c>
      <c r="G1007" s="53" t="str">
        <f>IFERROR(VLOOKUP(trainee_data[[#This Row],[Specialty/Subspecialty]],condensed_specialty_crosswalk[#All],3,FALSE),"")</f>
        <v/>
      </c>
      <c r="H1007" s="14"/>
      <c r="I1007" s="14"/>
      <c r="J1007" s="14"/>
      <c r="K1007" s="14"/>
      <c r="L1007" s="14"/>
      <c r="M1007" s="14"/>
      <c r="N1007" s="14"/>
      <c r="O1007" s="14"/>
      <c r="P1007" s="14"/>
      <c r="Q1007" s="14"/>
      <c r="R1007" s="14"/>
      <c r="S1007" s="14"/>
      <c r="T1007" s="14"/>
      <c r="U1007" s="14"/>
      <c r="V1007" s="14"/>
      <c r="W1007" s="14"/>
      <c r="X1007" s="14"/>
      <c r="Y1007" s="14"/>
      <c r="Z1007" s="14"/>
      <c r="AA1007" s="14"/>
      <c r="AB1007" s="14"/>
      <c r="AC1007" s="14"/>
      <c r="AD1007" s="14"/>
    </row>
    <row r="1008" spans="5:30" ht="14.25" x14ac:dyDescent="0.45">
      <c r="E1008" s="69" t="str">
        <f>IFERROR(VLOOKUP(trainee_data[[#This Row],[Program Specialty]],taxonomy_map[[Other Taxonomy]:[Our Taxonomy]],2,FALSE),"")</f>
        <v/>
      </c>
      <c r="F1008" s="55" t="str">
        <f>IFERROR(VLOOKUP(trainee_data[[#This Row],[Specialty/Subspecialty]],condensed_specialty_crosswalk[#All],2,FALSE),"")</f>
        <v/>
      </c>
      <c r="G1008" s="56" t="str">
        <f>IFERROR(VLOOKUP(trainee_data[[#This Row],[Specialty/Subspecialty]],condensed_specialty_crosswalk[#All],3,FALSE),"")</f>
        <v/>
      </c>
      <c r="H1008" s="14"/>
      <c r="I1008" s="14"/>
      <c r="J1008" s="14"/>
      <c r="K1008" s="14"/>
      <c r="L1008" s="14"/>
      <c r="M1008" s="14"/>
      <c r="N1008" s="14"/>
      <c r="O1008" s="14"/>
      <c r="P1008" s="14"/>
      <c r="Q1008" s="14"/>
      <c r="R1008" s="14"/>
      <c r="S1008" s="14"/>
      <c r="T1008" s="14"/>
      <c r="U1008" s="14"/>
      <c r="V1008" s="14"/>
      <c r="W1008" s="14"/>
      <c r="X1008" s="14"/>
      <c r="Y1008" s="14"/>
      <c r="Z1008" s="14"/>
      <c r="AA1008" s="14"/>
      <c r="AB1008" s="14"/>
      <c r="AC1008" s="14"/>
      <c r="AD1008" s="14"/>
    </row>
    <row r="1009" spans="5:30" ht="14.25" x14ac:dyDescent="0.45">
      <c r="E1009" s="70" t="str">
        <f>IFERROR(VLOOKUP(trainee_data[[#This Row],[Program Specialty]],taxonomy_map[[Other Taxonomy]:[Our Taxonomy]],2,FALSE),"")</f>
        <v/>
      </c>
      <c r="F1009" s="52" t="str">
        <f>IFERROR(VLOOKUP(trainee_data[[#This Row],[Specialty/Subspecialty]],condensed_specialty_crosswalk[#All],2,FALSE),"")</f>
        <v/>
      </c>
      <c r="G1009" s="53" t="str">
        <f>IFERROR(VLOOKUP(trainee_data[[#This Row],[Specialty/Subspecialty]],condensed_specialty_crosswalk[#All],3,FALSE),"")</f>
        <v/>
      </c>
      <c r="H1009" s="14"/>
      <c r="I1009" s="14"/>
      <c r="J1009" s="14"/>
      <c r="K1009" s="14"/>
      <c r="L1009" s="14"/>
      <c r="M1009" s="14"/>
      <c r="N1009" s="14"/>
      <c r="O1009" s="14"/>
      <c r="P1009" s="14"/>
      <c r="Q1009" s="14"/>
      <c r="R1009" s="14"/>
      <c r="S1009" s="14"/>
      <c r="T1009" s="14"/>
      <c r="U1009" s="14"/>
      <c r="V1009" s="14"/>
      <c r="W1009" s="14"/>
      <c r="X1009" s="14"/>
      <c r="Y1009" s="14"/>
      <c r="Z1009" s="14"/>
      <c r="AA1009" s="14"/>
      <c r="AB1009" s="14"/>
      <c r="AC1009" s="14"/>
      <c r="AD1009" s="14"/>
    </row>
    <row r="1010" spans="5:30" ht="14.25" x14ac:dyDescent="0.45">
      <c r="E1010" s="69" t="str">
        <f>IFERROR(VLOOKUP(trainee_data[[#This Row],[Program Specialty]],taxonomy_map[[Other Taxonomy]:[Our Taxonomy]],2,FALSE),"")</f>
        <v/>
      </c>
      <c r="F1010" s="55" t="str">
        <f>IFERROR(VLOOKUP(trainee_data[[#This Row],[Specialty/Subspecialty]],condensed_specialty_crosswalk[#All],2,FALSE),"")</f>
        <v/>
      </c>
      <c r="G1010" s="56" t="str">
        <f>IFERROR(VLOOKUP(trainee_data[[#This Row],[Specialty/Subspecialty]],condensed_specialty_crosswalk[#All],3,FALSE),"")</f>
        <v/>
      </c>
      <c r="H1010" s="14"/>
      <c r="I1010" s="14"/>
      <c r="J1010" s="14"/>
      <c r="K1010" s="14"/>
      <c r="L1010" s="14"/>
      <c r="M1010" s="14"/>
      <c r="N1010" s="14"/>
      <c r="O1010" s="14"/>
      <c r="P1010" s="14"/>
      <c r="Q1010" s="14"/>
      <c r="R1010" s="14"/>
      <c r="S1010" s="14"/>
      <c r="T1010" s="14"/>
      <c r="U1010" s="14"/>
      <c r="V1010" s="14"/>
      <c r="W1010" s="14"/>
      <c r="X1010" s="14"/>
      <c r="Y1010" s="14"/>
      <c r="Z1010" s="14"/>
      <c r="AA1010" s="14"/>
      <c r="AB1010" s="14"/>
      <c r="AC1010" s="14"/>
      <c r="AD1010" s="14"/>
    </row>
    <row r="1011" spans="5:30" ht="14.25" x14ac:dyDescent="0.45">
      <c r="E1011" s="70" t="str">
        <f>IFERROR(VLOOKUP(trainee_data[[#This Row],[Program Specialty]],taxonomy_map[[Other Taxonomy]:[Our Taxonomy]],2,FALSE),"")</f>
        <v/>
      </c>
      <c r="F1011" s="52" t="str">
        <f>IFERROR(VLOOKUP(trainee_data[[#This Row],[Specialty/Subspecialty]],condensed_specialty_crosswalk[#All],2,FALSE),"")</f>
        <v/>
      </c>
      <c r="G1011" s="53" t="str">
        <f>IFERROR(VLOOKUP(trainee_data[[#This Row],[Specialty/Subspecialty]],condensed_specialty_crosswalk[#All],3,FALSE),"")</f>
        <v/>
      </c>
      <c r="H1011" s="14"/>
      <c r="I1011" s="14"/>
      <c r="J1011" s="14"/>
      <c r="K1011" s="14"/>
      <c r="L1011" s="14"/>
      <c r="M1011" s="14"/>
      <c r="N1011" s="14"/>
      <c r="O1011" s="14"/>
      <c r="P1011" s="14"/>
      <c r="Q1011" s="14"/>
      <c r="R1011" s="14"/>
      <c r="S1011" s="14"/>
      <c r="T1011" s="14"/>
      <c r="U1011" s="14"/>
      <c r="V1011" s="14"/>
      <c r="W1011" s="14"/>
      <c r="X1011" s="14"/>
      <c r="Y1011" s="14"/>
      <c r="Z1011" s="14"/>
      <c r="AA1011" s="14"/>
      <c r="AB1011" s="14"/>
      <c r="AC1011" s="14"/>
      <c r="AD1011" s="14"/>
    </row>
    <row r="1012" spans="5:30" ht="14.25" x14ac:dyDescent="0.45">
      <c r="E1012" s="69" t="str">
        <f>IFERROR(VLOOKUP(trainee_data[[#This Row],[Program Specialty]],taxonomy_map[[Other Taxonomy]:[Our Taxonomy]],2,FALSE),"")</f>
        <v/>
      </c>
      <c r="F1012" s="55" t="str">
        <f>IFERROR(VLOOKUP(trainee_data[[#This Row],[Specialty/Subspecialty]],condensed_specialty_crosswalk[#All],2,FALSE),"")</f>
        <v/>
      </c>
      <c r="G1012" s="56" t="str">
        <f>IFERROR(VLOOKUP(trainee_data[[#This Row],[Specialty/Subspecialty]],condensed_specialty_crosswalk[#All],3,FALSE),"")</f>
        <v/>
      </c>
      <c r="H1012" s="14"/>
      <c r="I1012" s="14"/>
      <c r="J1012" s="14"/>
      <c r="K1012" s="14"/>
      <c r="L1012" s="14"/>
      <c r="M1012" s="14"/>
      <c r="N1012" s="14"/>
      <c r="O1012" s="14"/>
      <c r="P1012" s="14"/>
      <c r="Q1012" s="14"/>
      <c r="R1012" s="14"/>
      <c r="S1012" s="14"/>
      <c r="T1012" s="14"/>
      <c r="U1012" s="14"/>
      <c r="V1012" s="14"/>
      <c r="W1012" s="14"/>
      <c r="X1012" s="14"/>
      <c r="Y1012" s="14"/>
      <c r="Z1012" s="14"/>
      <c r="AA1012" s="14"/>
      <c r="AB1012" s="14"/>
      <c r="AC1012" s="14"/>
      <c r="AD1012" s="14"/>
    </row>
    <row r="1013" spans="5:30" ht="14.25" x14ac:dyDescent="0.45">
      <c r="E1013" s="70" t="str">
        <f>IFERROR(VLOOKUP(trainee_data[[#This Row],[Program Specialty]],taxonomy_map[[Other Taxonomy]:[Our Taxonomy]],2,FALSE),"")</f>
        <v/>
      </c>
      <c r="F1013" s="52" t="str">
        <f>IFERROR(VLOOKUP(trainee_data[[#This Row],[Specialty/Subspecialty]],condensed_specialty_crosswalk[#All],2,FALSE),"")</f>
        <v/>
      </c>
      <c r="G1013" s="53" t="str">
        <f>IFERROR(VLOOKUP(trainee_data[[#This Row],[Specialty/Subspecialty]],condensed_specialty_crosswalk[#All],3,FALSE),"")</f>
        <v/>
      </c>
      <c r="H1013" s="14"/>
      <c r="I1013" s="14"/>
      <c r="J1013" s="14"/>
      <c r="K1013" s="14"/>
      <c r="L1013" s="14"/>
      <c r="M1013" s="14"/>
      <c r="N1013" s="14"/>
      <c r="O1013" s="14"/>
      <c r="P1013" s="14"/>
      <c r="Q1013" s="14"/>
      <c r="R1013" s="14"/>
      <c r="S1013" s="14"/>
      <c r="T1013" s="14"/>
      <c r="U1013" s="14"/>
      <c r="V1013" s="14"/>
      <c r="W1013" s="14"/>
      <c r="X1013" s="14"/>
      <c r="Y1013" s="14"/>
      <c r="Z1013" s="14"/>
      <c r="AA1013" s="14"/>
      <c r="AB1013" s="14"/>
      <c r="AC1013" s="14"/>
      <c r="AD1013" s="14"/>
    </row>
    <row r="1014" spans="5:30" ht="14.25" x14ac:dyDescent="0.45">
      <c r="E1014" s="69" t="str">
        <f>IFERROR(VLOOKUP(trainee_data[[#This Row],[Program Specialty]],taxonomy_map[[Other Taxonomy]:[Our Taxonomy]],2,FALSE),"")</f>
        <v/>
      </c>
      <c r="F1014" s="55" t="str">
        <f>IFERROR(VLOOKUP(trainee_data[[#This Row],[Specialty/Subspecialty]],condensed_specialty_crosswalk[#All],2,FALSE),"")</f>
        <v/>
      </c>
      <c r="G1014" s="56" t="str">
        <f>IFERROR(VLOOKUP(trainee_data[[#This Row],[Specialty/Subspecialty]],condensed_specialty_crosswalk[#All],3,FALSE),"")</f>
        <v/>
      </c>
      <c r="H1014" s="14"/>
      <c r="I1014" s="14"/>
      <c r="J1014" s="14"/>
      <c r="K1014" s="14"/>
      <c r="L1014" s="14"/>
      <c r="M1014" s="14"/>
      <c r="N1014" s="14"/>
      <c r="O1014" s="14"/>
      <c r="P1014" s="14"/>
      <c r="Q1014" s="14"/>
      <c r="R1014" s="14"/>
      <c r="S1014" s="14"/>
      <c r="T1014" s="14"/>
      <c r="U1014" s="14"/>
      <c r="V1014" s="14"/>
      <c r="W1014" s="14"/>
      <c r="X1014" s="14"/>
      <c r="Y1014" s="14"/>
      <c r="Z1014" s="14"/>
      <c r="AA1014" s="14"/>
      <c r="AB1014" s="14"/>
      <c r="AC1014" s="14"/>
      <c r="AD1014" s="14"/>
    </row>
    <row r="1015" spans="5:30" ht="14.25" x14ac:dyDescent="0.45">
      <c r="E1015" s="70" t="str">
        <f>IFERROR(VLOOKUP(trainee_data[[#This Row],[Program Specialty]],taxonomy_map[[Other Taxonomy]:[Our Taxonomy]],2,FALSE),"")</f>
        <v/>
      </c>
      <c r="F1015" s="52" t="str">
        <f>IFERROR(VLOOKUP(trainee_data[[#This Row],[Specialty/Subspecialty]],condensed_specialty_crosswalk[#All],2,FALSE),"")</f>
        <v/>
      </c>
      <c r="G1015" s="53" t="str">
        <f>IFERROR(VLOOKUP(trainee_data[[#This Row],[Specialty/Subspecialty]],condensed_specialty_crosswalk[#All],3,FALSE),"")</f>
        <v/>
      </c>
      <c r="H1015" s="14"/>
      <c r="I1015" s="14"/>
      <c r="J1015" s="14"/>
      <c r="K1015" s="14"/>
      <c r="L1015" s="14"/>
      <c r="M1015" s="14"/>
      <c r="N1015" s="14"/>
      <c r="O1015" s="14"/>
      <c r="P1015" s="14"/>
      <c r="Q1015" s="14"/>
      <c r="R1015" s="14"/>
      <c r="S1015" s="14"/>
      <c r="T1015" s="14"/>
      <c r="U1015" s="14"/>
      <c r="V1015" s="14"/>
      <c r="W1015" s="14"/>
      <c r="X1015" s="14"/>
      <c r="Y1015" s="14"/>
      <c r="Z1015" s="14"/>
      <c r="AA1015" s="14"/>
      <c r="AB1015" s="14"/>
      <c r="AC1015" s="14"/>
      <c r="AD1015" s="14"/>
    </row>
    <row r="1016" spans="5:30" ht="14.25" x14ac:dyDescent="0.45">
      <c r="E1016" s="69" t="str">
        <f>IFERROR(VLOOKUP(trainee_data[[#This Row],[Program Specialty]],taxonomy_map[[Other Taxonomy]:[Our Taxonomy]],2,FALSE),"")</f>
        <v/>
      </c>
      <c r="F1016" s="55" t="str">
        <f>IFERROR(VLOOKUP(trainee_data[[#This Row],[Specialty/Subspecialty]],condensed_specialty_crosswalk[#All],2,FALSE),"")</f>
        <v/>
      </c>
      <c r="G1016" s="56" t="str">
        <f>IFERROR(VLOOKUP(trainee_data[[#This Row],[Specialty/Subspecialty]],condensed_specialty_crosswalk[#All],3,FALSE),"")</f>
        <v/>
      </c>
      <c r="H1016" s="14"/>
      <c r="I1016" s="14"/>
      <c r="J1016" s="14"/>
      <c r="K1016" s="14"/>
      <c r="L1016" s="14"/>
      <c r="M1016" s="14"/>
      <c r="N1016" s="14"/>
      <c r="O1016" s="14"/>
      <c r="P1016" s="14"/>
      <c r="Q1016" s="14"/>
      <c r="R1016" s="14"/>
      <c r="S1016" s="14"/>
      <c r="T1016" s="14"/>
      <c r="U1016" s="14"/>
      <c r="V1016" s="14"/>
      <c r="W1016" s="14"/>
      <c r="X1016" s="14"/>
      <c r="Y1016" s="14"/>
      <c r="Z1016" s="14"/>
      <c r="AA1016" s="14"/>
      <c r="AB1016" s="14"/>
      <c r="AC1016" s="14"/>
      <c r="AD1016" s="14"/>
    </row>
    <row r="1017" spans="5:30" ht="14.25" x14ac:dyDescent="0.45">
      <c r="E1017" s="70" t="str">
        <f>IFERROR(VLOOKUP(trainee_data[[#This Row],[Program Specialty]],taxonomy_map[[Other Taxonomy]:[Our Taxonomy]],2,FALSE),"")</f>
        <v/>
      </c>
      <c r="F1017" s="52" t="str">
        <f>IFERROR(VLOOKUP(trainee_data[[#This Row],[Specialty/Subspecialty]],condensed_specialty_crosswalk[#All],2,FALSE),"")</f>
        <v/>
      </c>
      <c r="G1017" s="53" t="str">
        <f>IFERROR(VLOOKUP(trainee_data[[#This Row],[Specialty/Subspecialty]],condensed_specialty_crosswalk[#All],3,FALSE),"")</f>
        <v/>
      </c>
      <c r="H1017" s="14"/>
      <c r="I1017" s="14"/>
      <c r="J1017" s="14"/>
      <c r="K1017" s="14"/>
      <c r="L1017" s="14"/>
      <c r="M1017" s="14"/>
      <c r="N1017" s="14"/>
      <c r="O1017" s="14"/>
      <c r="P1017" s="14"/>
      <c r="Q1017" s="14"/>
      <c r="R1017" s="14"/>
      <c r="S1017" s="14"/>
      <c r="T1017" s="14"/>
      <c r="U1017" s="14"/>
      <c r="V1017" s="14"/>
      <c r="W1017" s="14"/>
      <c r="X1017" s="14"/>
      <c r="Y1017" s="14"/>
      <c r="Z1017" s="14"/>
      <c r="AA1017" s="14"/>
      <c r="AB1017" s="14"/>
      <c r="AC1017" s="14"/>
      <c r="AD1017" s="14"/>
    </row>
    <row r="1018" spans="5:30" ht="14.25" x14ac:dyDescent="0.45">
      <c r="E1018" s="69" t="str">
        <f>IFERROR(VLOOKUP(trainee_data[[#This Row],[Program Specialty]],taxonomy_map[[Other Taxonomy]:[Our Taxonomy]],2,FALSE),"")</f>
        <v/>
      </c>
      <c r="F1018" s="55" t="str">
        <f>IFERROR(VLOOKUP(trainee_data[[#This Row],[Specialty/Subspecialty]],condensed_specialty_crosswalk[#All],2,FALSE),"")</f>
        <v/>
      </c>
      <c r="G1018" s="56" t="str">
        <f>IFERROR(VLOOKUP(trainee_data[[#This Row],[Specialty/Subspecialty]],condensed_specialty_crosswalk[#All],3,FALSE),"")</f>
        <v/>
      </c>
      <c r="H1018" s="14"/>
      <c r="I1018" s="14"/>
      <c r="J1018" s="14"/>
      <c r="K1018" s="14"/>
      <c r="L1018" s="14"/>
      <c r="M1018" s="14"/>
      <c r="N1018" s="14"/>
      <c r="O1018" s="14"/>
      <c r="P1018" s="14"/>
      <c r="Q1018" s="14"/>
      <c r="R1018" s="14"/>
      <c r="S1018" s="14"/>
      <c r="T1018" s="14"/>
      <c r="U1018" s="14"/>
      <c r="V1018" s="14"/>
      <c r="W1018" s="14"/>
      <c r="X1018" s="14"/>
      <c r="Y1018" s="14"/>
      <c r="Z1018" s="14"/>
      <c r="AA1018" s="14"/>
      <c r="AB1018" s="14"/>
      <c r="AC1018" s="14"/>
      <c r="AD1018" s="14"/>
    </row>
    <row r="1019" spans="5:30" ht="14.25" x14ac:dyDescent="0.45">
      <c r="E1019" s="70" t="str">
        <f>IFERROR(VLOOKUP(trainee_data[[#This Row],[Program Specialty]],taxonomy_map[[Other Taxonomy]:[Our Taxonomy]],2,FALSE),"")</f>
        <v/>
      </c>
      <c r="F1019" s="52" t="str">
        <f>IFERROR(VLOOKUP(trainee_data[[#This Row],[Specialty/Subspecialty]],condensed_specialty_crosswalk[#All],2,FALSE),"")</f>
        <v/>
      </c>
      <c r="G1019" s="53" t="str">
        <f>IFERROR(VLOOKUP(trainee_data[[#This Row],[Specialty/Subspecialty]],condensed_specialty_crosswalk[#All],3,FALSE),"")</f>
        <v/>
      </c>
      <c r="H1019" s="14"/>
      <c r="I1019" s="14"/>
      <c r="J1019" s="14"/>
      <c r="K1019" s="14"/>
      <c r="L1019" s="14"/>
      <c r="M1019" s="14"/>
      <c r="N1019" s="14"/>
      <c r="O1019" s="14"/>
      <c r="P1019" s="14"/>
      <c r="Q1019" s="14"/>
      <c r="R1019" s="14"/>
      <c r="S1019" s="14"/>
      <c r="T1019" s="14"/>
      <c r="U1019" s="14"/>
      <c r="V1019" s="14"/>
      <c r="W1019" s="14"/>
      <c r="X1019" s="14"/>
      <c r="Y1019" s="14"/>
      <c r="Z1019" s="14"/>
      <c r="AA1019" s="14"/>
      <c r="AB1019" s="14"/>
      <c r="AC1019" s="14"/>
      <c r="AD1019" s="14"/>
    </row>
    <row r="1020" spans="5:30" ht="14.25" x14ac:dyDescent="0.45">
      <c r="E1020" s="69" t="str">
        <f>IFERROR(VLOOKUP(trainee_data[[#This Row],[Program Specialty]],taxonomy_map[[Other Taxonomy]:[Our Taxonomy]],2,FALSE),"")</f>
        <v/>
      </c>
      <c r="F1020" s="55" t="str">
        <f>IFERROR(VLOOKUP(trainee_data[[#This Row],[Specialty/Subspecialty]],condensed_specialty_crosswalk[#All],2,FALSE),"")</f>
        <v/>
      </c>
      <c r="G1020" s="56" t="str">
        <f>IFERROR(VLOOKUP(trainee_data[[#This Row],[Specialty/Subspecialty]],condensed_specialty_crosswalk[#All],3,FALSE),"")</f>
        <v/>
      </c>
      <c r="H1020" s="14"/>
      <c r="I1020" s="14"/>
      <c r="J1020" s="14"/>
      <c r="K1020" s="14"/>
      <c r="L1020" s="14"/>
      <c r="M1020" s="14"/>
      <c r="N1020" s="14"/>
      <c r="O1020" s="14"/>
      <c r="P1020" s="14"/>
      <c r="Q1020" s="14"/>
      <c r="R1020" s="14"/>
      <c r="S1020" s="14"/>
      <c r="T1020" s="14"/>
      <c r="U1020" s="14"/>
      <c r="V1020" s="14"/>
      <c r="W1020" s="14"/>
      <c r="X1020" s="14"/>
      <c r="Y1020" s="14"/>
      <c r="Z1020" s="14"/>
      <c r="AA1020" s="14"/>
      <c r="AB1020" s="14"/>
      <c r="AC1020" s="14"/>
      <c r="AD1020" s="14"/>
    </row>
    <row r="1021" spans="5:30" ht="14.25" x14ac:dyDescent="0.45">
      <c r="E1021" s="70" t="str">
        <f>IFERROR(VLOOKUP(trainee_data[[#This Row],[Program Specialty]],taxonomy_map[[Other Taxonomy]:[Our Taxonomy]],2,FALSE),"")</f>
        <v/>
      </c>
      <c r="F1021" s="52" t="str">
        <f>IFERROR(VLOOKUP(trainee_data[[#This Row],[Specialty/Subspecialty]],condensed_specialty_crosswalk[#All],2,FALSE),"")</f>
        <v/>
      </c>
      <c r="G1021" s="53" t="str">
        <f>IFERROR(VLOOKUP(trainee_data[[#This Row],[Specialty/Subspecialty]],condensed_specialty_crosswalk[#All],3,FALSE),"")</f>
        <v/>
      </c>
      <c r="H1021" s="14"/>
      <c r="I1021" s="14"/>
      <c r="J1021" s="14"/>
      <c r="K1021" s="14"/>
      <c r="L1021" s="14"/>
      <c r="M1021" s="14"/>
      <c r="N1021" s="14"/>
      <c r="O1021" s="14"/>
      <c r="P1021" s="14"/>
      <c r="Q1021" s="14"/>
      <c r="R1021" s="14"/>
      <c r="S1021" s="14"/>
      <c r="T1021" s="14"/>
      <c r="U1021" s="14"/>
      <c r="V1021" s="14"/>
      <c r="W1021" s="14"/>
      <c r="X1021" s="14"/>
      <c r="Y1021" s="14"/>
      <c r="Z1021" s="14"/>
      <c r="AA1021" s="14"/>
      <c r="AB1021" s="14"/>
      <c r="AC1021" s="14"/>
      <c r="AD1021" s="14"/>
    </row>
  </sheetData>
  <dataValidations count="2">
    <dataValidation type="list" allowBlank="1" showInputMessage="1" sqref="E2:E1021" xr:uid="{E0DE28EB-A0DA-1949-AAA5-870317182B80}">
      <formula1>INDIRECT("taxonomy_map[Other Taxonomy]")</formula1>
    </dataValidation>
    <dataValidation allowBlank="1" showErrorMessage="1" sqref="E1:G1" xr:uid="{AD5080C3-F18D-462B-850B-0C17BAD1C1A0}"/>
  </dataValidations>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oles"/>
  <dimension ref="A1:AA99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1.265625" defaultRowHeight="15" customHeight="1" x14ac:dyDescent="0.45"/>
  <cols>
    <col min="1" max="1" width="36.53125" customWidth="1"/>
    <col min="2" max="14" width="10.1328125" customWidth="1"/>
    <col min="15" max="27" width="10.53125" customWidth="1"/>
  </cols>
  <sheetData>
    <row r="1" spans="1:27" s="57" customFormat="1" ht="57" x14ac:dyDescent="0.45">
      <c r="A1" s="13" t="s">
        <v>1</v>
      </c>
      <c r="B1" s="10" t="s">
        <v>424</v>
      </c>
      <c r="C1" s="10" t="s">
        <v>423</v>
      </c>
      <c r="D1" s="10" t="s">
        <v>381</v>
      </c>
      <c r="E1" s="10" t="s">
        <v>383</v>
      </c>
      <c r="F1" s="10" t="s">
        <v>425</v>
      </c>
      <c r="G1" s="10" t="s">
        <v>426</v>
      </c>
      <c r="H1" s="10" t="s">
        <v>389</v>
      </c>
      <c r="I1" s="10" t="s">
        <v>391</v>
      </c>
      <c r="J1" s="10" t="s">
        <v>393</v>
      </c>
      <c r="K1" s="10" t="s">
        <v>395</v>
      </c>
      <c r="L1" s="10" t="s">
        <v>397</v>
      </c>
      <c r="M1" s="10" t="s">
        <v>468</v>
      </c>
      <c r="N1" s="10" t="s">
        <v>401</v>
      </c>
      <c r="O1" s="6"/>
      <c r="P1" s="6"/>
      <c r="Q1" s="6"/>
      <c r="R1" s="6"/>
      <c r="S1" s="6"/>
      <c r="T1" s="6"/>
      <c r="U1" s="6"/>
      <c r="V1" s="6"/>
      <c r="W1" s="6"/>
      <c r="X1" s="6"/>
      <c r="Y1" s="6"/>
      <c r="Z1" s="6"/>
      <c r="AA1" s="6"/>
    </row>
    <row r="2" spans="1:27" ht="15.75" customHeight="1" x14ac:dyDescent="0.45">
      <c r="A2" s="8" t="s">
        <v>8</v>
      </c>
      <c r="B2" s="8">
        <v>1</v>
      </c>
      <c r="C2" s="8">
        <v>4</v>
      </c>
      <c r="D2" s="8">
        <v>0</v>
      </c>
      <c r="E2" s="8">
        <v>0</v>
      </c>
      <c r="F2" s="8">
        <v>0</v>
      </c>
      <c r="G2" s="8">
        <v>0</v>
      </c>
      <c r="H2" s="8">
        <v>0</v>
      </c>
      <c r="I2" s="8">
        <v>0</v>
      </c>
      <c r="J2" s="8">
        <v>0</v>
      </c>
      <c r="K2" s="8">
        <v>0</v>
      </c>
      <c r="L2" s="8">
        <v>0</v>
      </c>
      <c r="M2" s="8">
        <v>0</v>
      </c>
      <c r="N2" s="8">
        <v>0</v>
      </c>
      <c r="O2" s="1"/>
      <c r="P2" s="1"/>
      <c r="Q2" s="1"/>
      <c r="R2" s="1"/>
      <c r="S2" s="1"/>
      <c r="T2" s="1"/>
      <c r="U2" s="1"/>
      <c r="V2" s="1"/>
      <c r="W2" s="1"/>
      <c r="X2" s="1"/>
      <c r="Y2" s="1"/>
      <c r="Z2" s="1"/>
      <c r="AA2" s="1"/>
    </row>
    <row r="3" spans="1:27" ht="15.75" customHeight="1" x14ac:dyDescent="0.45">
      <c r="A3" s="8" t="s">
        <v>11</v>
      </c>
      <c r="B3" s="8">
        <v>1</v>
      </c>
      <c r="C3" s="8">
        <v>5</v>
      </c>
      <c r="D3" s="8">
        <v>0</v>
      </c>
      <c r="E3" s="8">
        <v>0</v>
      </c>
      <c r="F3" s="8">
        <v>0</v>
      </c>
      <c r="G3" s="8">
        <v>0</v>
      </c>
      <c r="H3" s="8">
        <v>0</v>
      </c>
      <c r="I3" s="8">
        <v>0</v>
      </c>
      <c r="J3" s="8">
        <v>0</v>
      </c>
      <c r="K3" s="8">
        <v>0</v>
      </c>
      <c r="L3" s="8">
        <v>0</v>
      </c>
      <c r="M3" s="8">
        <v>0</v>
      </c>
      <c r="N3" s="8">
        <v>0</v>
      </c>
      <c r="O3" s="1"/>
      <c r="P3" s="1"/>
      <c r="Q3" s="1"/>
      <c r="R3" s="1"/>
      <c r="S3" s="1"/>
      <c r="T3" s="1"/>
      <c r="U3" s="1"/>
      <c r="V3" s="1"/>
      <c r="W3" s="1"/>
      <c r="X3" s="1"/>
      <c r="Y3" s="1"/>
      <c r="Z3" s="1"/>
      <c r="AA3" s="1"/>
    </row>
    <row r="4" spans="1:27" ht="15.75" customHeight="1" x14ac:dyDescent="0.45">
      <c r="A4" s="8" t="s">
        <v>13</v>
      </c>
      <c r="B4" s="8">
        <v>1</v>
      </c>
      <c r="C4" s="8">
        <v>4</v>
      </c>
      <c r="D4" s="8">
        <v>0</v>
      </c>
      <c r="E4" s="8">
        <v>0</v>
      </c>
      <c r="F4" s="8">
        <v>0</v>
      </c>
      <c r="G4" s="8">
        <v>0</v>
      </c>
      <c r="H4" s="8">
        <v>0</v>
      </c>
      <c r="I4" s="8">
        <v>0</v>
      </c>
      <c r="J4" s="8">
        <v>0</v>
      </c>
      <c r="K4" s="8">
        <v>0</v>
      </c>
      <c r="L4" s="8">
        <v>0</v>
      </c>
      <c r="M4" s="8">
        <v>0</v>
      </c>
      <c r="N4" s="8">
        <v>0</v>
      </c>
      <c r="O4" s="1"/>
      <c r="P4" s="1"/>
      <c r="Q4" s="1"/>
      <c r="R4" s="1"/>
      <c r="S4" s="1"/>
      <c r="T4" s="1"/>
      <c r="U4" s="1"/>
      <c r="V4" s="1"/>
      <c r="W4" s="1"/>
      <c r="X4" s="1"/>
      <c r="Y4" s="1"/>
      <c r="Z4" s="1"/>
      <c r="AA4" s="1"/>
    </row>
    <row r="5" spans="1:27" ht="15.75" customHeight="1" x14ac:dyDescent="0.45">
      <c r="A5" s="8" t="s">
        <v>15</v>
      </c>
      <c r="B5" s="8">
        <v>2</v>
      </c>
      <c r="C5" s="8">
        <v>5</v>
      </c>
      <c r="D5" s="8">
        <v>0</v>
      </c>
      <c r="E5" s="8">
        <v>0</v>
      </c>
      <c r="F5" s="8">
        <v>0</v>
      </c>
      <c r="G5" s="8">
        <v>0</v>
      </c>
      <c r="H5" s="8">
        <v>0</v>
      </c>
      <c r="I5" s="8">
        <v>0</v>
      </c>
      <c r="J5" s="8">
        <v>0</v>
      </c>
      <c r="K5" s="8">
        <v>0</v>
      </c>
      <c r="L5" s="8">
        <v>0</v>
      </c>
      <c r="M5" s="8">
        <v>0</v>
      </c>
      <c r="N5" s="8">
        <v>0</v>
      </c>
      <c r="O5" s="1"/>
      <c r="P5" s="1"/>
      <c r="Q5" s="1"/>
      <c r="R5" s="1"/>
      <c r="S5" s="1"/>
      <c r="T5" s="1"/>
      <c r="U5" s="1"/>
      <c r="V5" s="1"/>
      <c r="W5" s="1"/>
      <c r="X5" s="1"/>
      <c r="Y5" s="1"/>
      <c r="Z5" s="1"/>
      <c r="AA5" s="1"/>
    </row>
    <row r="6" spans="1:27" ht="15.75" customHeight="1" x14ac:dyDescent="0.45">
      <c r="A6" s="8" t="s">
        <v>19</v>
      </c>
      <c r="B6" s="8">
        <v>1</v>
      </c>
      <c r="C6" s="8">
        <v>3</v>
      </c>
      <c r="D6" s="8">
        <v>0</v>
      </c>
      <c r="E6" s="8">
        <v>0</v>
      </c>
      <c r="F6" s="8">
        <v>0</v>
      </c>
      <c r="G6" s="8">
        <v>0</v>
      </c>
      <c r="H6" s="8">
        <v>0</v>
      </c>
      <c r="I6" s="8">
        <v>0</v>
      </c>
      <c r="J6" s="8">
        <v>0</v>
      </c>
      <c r="K6" s="8">
        <v>0</v>
      </c>
      <c r="L6" s="8">
        <v>0</v>
      </c>
      <c r="M6" s="8">
        <v>0</v>
      </c>
      <c r="N6" s="8">
        <v>0</v>
      </c>
      <c r="O6" s="1"/>
      <c r="P6" s="1"/>
      <c r="Q6" s="1"/>
      <c r="R6" s="1"/>
      <c r="S6" s="1"/>
      <c r="T6" s="1"/>
      <c r="U6" s="1"/>
      <c r="V6" s="1"/>
      <c r="W6" s="1"/>
      <c r="X6" s="1"/>
      <c r="Y6" s="1"/>
      <c r="Z6" s="1"/>
      <c r="AA6" s="1"/>
    </row>
    <row r="7" spans="1:27" ht="15.75" customHeight="1" x14ac:dyDescent="0.45">
      <c r="A7" s="8" t="s">
        <v>22</v>
      </c>
      <c r="B7" s="8">
        <v>1</v>
      </c>
      <c r="C7" s="8">
        <v>5</v>
      </c>
      <c r="D7" s="8">
        <v>0</v>
      </c>
      <c r="E7" s="8">
        <v>0</v>
      </c>
      <c r="F7" s="8">
        <v>0</v>
      </c>
      <c r="G7" s="8">
        <v>0</v>
      </c>
      <c r="H7" s="8">
        <v>0</v>
      </c>
      <c r="I7" s="8">
        <v>0</v>
      </c>
      <c r="J7" s="8">
        <v>0</v>
      </c>
      <c r="K7" s="8">
        <v>0</v>
      </c>
      <c r="L7" s="8">
        <v>0</v>
      </c>
      <c r="M7" s="8">
        <v>0</v>
      </c>
      <c r="N7" s="8">
        <v>0</v>
      </c>
      <c r="O7" s="1"/>
      <c r="P7" s="1"/>
      <c r="Q7" s="1"/>
      <c r="R7" s="1"/>
      <c r="S7" s="1"/>
      <c r="T7" s="1"/>
      <c r="U7" s="1"/>
      <c r="V7" s="1"/>
      <c r="W7" s="1"/>
      <c r="X7" s="1"/>
      <c r="Y7" s="1"/>
      <c r="Z7" s="1"/>
      <c r="AA7" s="1"/>
    </row>
    <row r="8" spans="1:27" ht="15.75" customHeight="1" x14ac:dyDescent="0.45">
      <c r="A8" s="8" t="s">
        <v>376</v>
      </c>
      <c r="B8" s="8">
        <v>1</v>
      </c>
      <c r="C8" s="8">
        <v>4</v>
      </c>
      <c r="D8" s="8">
        <v>0</v>
      </c>
      <c r="E8" s="8">
        <v>0</v>
      </c>
      <c r="F8" s="8">
        <v>0</v>
      </c>
      <c r="G8" s="8">
        <v>0</v>
      </c>
      <c r="H8" s="8">
        <v>0</v>
      </c>
      <c r="I8" s="8">
        <v>0</v>
      </c>
      <c r="J8" s="8">
        <v>0</v>
      </c>
      <c r="K8" s="8">
        <v>0</v>
      </c>
      <c r="L8" s="8">
        <v>0</v>
      </c>
      <c r="M8" s="8">
        <v>0</v>
      </c>
      <c r="N8" s="8">
        <v>0</v>
      </c>
      <c r="O8" s="1"/>
      <c r="P8" s="1"/>
      <c r="Q8" s="1"/>
      <c r="R8" s="1"/>
      <c r="S8" s="1"/>
      <c r="T8" s="1"/>
      <c r="U8" s="1"/>
      <c r="V8" s="1"/>
      <c r="W8" s="1"/>
      <c r="X8" s="1"/>
      <c r="Y8" s="1"/>
      <c r="Z8" s="1"/>
      <c r="AA8" s="1"/>
    </row>
    <row r="9" spans="1:27" ht="15.75" customHeight="1" x14ac:dyDescent="0.45">
      <c r="A9" s="8" t="s">
        <v>25</v>
      </c>
      <c r="B9" s="8">
        <v>1</v>
      </c>
      <c r="C9" s="8">
        <v>4</v>
      </c>
      <c r="D9" s="8">
        <v>0</v>
      </c>
      <c r="E9" s="8">
        <v>0</v>
      </c>
      <c r="F9" s="8">
        <v>0</v>
      </c>
      <c r="G9" s="8">
        <v>0</v>
      </c>
      <c r="H9" s="8">
        <v>0</v>
      </c>
      <c r="I9" s="8">
        <v>0</v>
      </c>
      <c r="J9" s="8">
        <v>0</v>
      </c>
      <c r="K9" s="8">
        <v>0</v>
      </c>
      <c r="L9" s="8">
        <v>0</v>
      </c>
      <c r="M9" s="8">
        <v>0</v>
      </c>
      <c r="N9" s="8">
        <v>0</v>
      </c>
      <c r="O9" s="1"/>
      <c r="P9" s="1"/>
      <c r="Q9" s="1"/>
      <c r="R9" s="1"/>
      <c r="S9" s="1"/>
      <c r="T9" s="1"/>
      <c r="U9" s="1"/>
      <c r="V9" s="1"/>
      <c r="W9" s="1"/>
      <c r="X9" s="1"/>
      <c r="Y9" s="1"/>
      <c r="Z9" s="1"/>
      <c r="AA9" s="1"/>
    </row>
    <row r="10" spans="1:27" ht="15.75" customHeight="1" x14ac:dyDescent="0.45">
      <c r="A10" s="8" t="s">
        <v>27</v>
      </c>
      <c r="B10" s="8">
        <v>1</v>
      </c>
      <c r="C10" s="8">
        <v>5</v>
      </c>
      <c r="D10" s="8">
        <v>0</v>
      </c>
      <c r="E10" s="8">
        <v>0</v>
      </c>
      <c r="F10" s="8">
        <v>0</v>
      </c>
      <c r="G10" s="8">
        <v>0</v>
      </c>
      <c r="H10" s="8">
        <v>0</v>
      </c>
      <c r="I10" s="8">
        <v>0</v>
      </c>
      <c r="J10" s="8">
        <v>0</v>
      </c>
      <c r="K10" s="8">
        <v>0</v>
      </c>
      <c r="L10" s="8">
        <v>0</v>
      </c>
      <c r="M10" s="8">
        <v>0</v>
      </c>
      <c r="N10" s="8">
        <v>0</v>
      </c>
      <c r="O10" s="1"/>
      <c r="P10" s="1"/>
      <c r="Q10" s="1"/>
      <c r="R10" s="1"/>
      <c r="S10" s="1"/>
      <c r="T10" s="1"/>
      <c r="U10" s="1"/>
      <c r="V10" s="1"/>
      <c r="W10" s="1"/>
      <c r="X10" s="1"/>
      <c r="Y10" s="1"/>
      <c r="Z10" s="1"/>
      <c r="AA10" s="1"/>
    </row>
    <row r="11" spans="1:27" ht="15.75" customHeight="1" x14ac:dyDescent="0.45">
      <c r="A11" s="8" t="s">
        <v>29</v>
      </c>
      <c r="B11" s="8">
        <v>1</v>
      </c>
      <c r="C11" s="8">
        <v>4</v>
      </c>
      <c r="D11" s="8">
        <v>0</v>
      </c>
      <c r="E11" s="8">
        <v>0</v>
      </c>
      <c r="F11" s="8">
        <v>0</v>
      </c>
      <c r="G11" s="8">
        <v>0</v>
      </c>
      <c r="H11" s="8">
        <v>0</v>
      </c>
      <c r="I11" s="8">
        <v>0</v>
      </c>
      <c r="J11" s="8">
        <v>0</v>
      </c>
      <c r="K11" s="8">
        <v>0</v>
      </c>
      <c r="L11" s="8">
        <v>0</v>
      </c>
      <c r="M11" s="8">
        <v>0</v>
      </c>
      <c r="N11" s="8">
        <v>0</v>
      </c>
      <c r="O11" s="1"/>
      <c r="P11" s="1"/>
      <c r="Q11" s="1"/>
      <c r="R11" s="1"/>
      <c r="S11" s="1"/>
      <c r="T11" s="1"/>
      <c r="U11" s="1"/>
      <c r="V11" s="1"/>
      <c r="W11" s="1"/>
      <c r="X11" s="1"/>
      <c r="Y11" s="1"/>
      <c r="Z11" s="1"/>
      <c r="AA11" s="1"/>
    </row>
    <row r="12" spans="1:27" ht="15.75" customHeight="1" x14ac:dyDescent="0.45">
      <c r="A12" s="8" t="s">
        <v>30</v>
      </c>
      <c r="B12" s="8">
        <v>1</v>
      </c>
      <c r="C12" s="8">
        <v>7</v>
      </c>
      <c r="D12" s="8">
        <v>0</v>
      </c>
      <c r="E12" s="8">
        <v>0</v>
      </c>
      <c r="F12" s="8">
        <v>0</v>
      </c>
      <c r="G12" s="8">
        <v>0</v>
      </c>
      <c r="H12" s="8">
        <v>0</v>
      </c>
      <c r="I12" s="8">
        <v>0</v>
      </c>
      <c r="J12" s="8">
        <v>0</v>
      </c>
      <c r="K12" s="8">
        <v>0</v>
      </c>
      <c r="L12" s="8">
        <v>0</v>
      </c>
      <c r="M12" s="8">
        <v>0</v>
      </c>
      <c r="N12" s="8">
        <v>0</v>
      </c>
      <c r="O12" s="1"/>
      <c r="P12" s="1"/>
      <c r="Q12" s="1"/>
      <c r="R12" s="1"/>
      <c r="S12" s="1"/>
      <c r="T12" s="1"/>
      <c r="U12" s="1"/>
      <c r="V12" s="1"/>
      <c r="W12" s="1"/>
      <c r="X12" s="1"/>
      <c r="Y12" s="1"/>
      <c r="Z12" s="1"/>
      <c r="AA12" s="1"/>
    </row>
    <row r="13" spans="1:27" ht="15.75" customHeight="1" x14ac:dyDescent="0.45">
      <c r="A13" s="8" t="s">
        <v>33</v>
      </c>
      <c r="B13" s="8">
        <v>1</v>
      </c>
      <c r="C13" s="8">
        <v>4</v>
      </c>
      <c r="D13" s="8">
        <v>0</v>
      </c>
      <c r="E13" s="8">
        <v>0</v>
      </c>
      <c r="F13" s="8">
        <v>0</v>
      </c>
      <c r="G13" s="8">
        <v>0</v>
      </c>
      <c r="H13" s="8">
        <v>0</v>
      </c>
      <c r="I13" s="8">
        <v>0</v>
      </c>
      <c r="J13" s="8">
        <v>0</v>
      </c>
      <c r="K13" s="8">
        <v>0</v>
      </c>
      <c r="L13" s="8">
        <v>0</v>
      </c>
      <c r="M13" s="8">
        <v>0</v>
      </c>
      <c r="N13" s="8">
        <v>0</v>
      </c>
      <c r="O13" s="1"/>
      <c r="P13" s="1"/>
      <c r="Q13" s="1"/>
      <c r="R13" s="1"/>
      <c r="S13" s="1"/>
      <c r="T13" s="1"/>
      <c r="U13" s="1"/>
      <c r="V13" s="1"/>
      <c r="W13" s="1"/>
      <c r="X13" s="1"/>
      <c r="Y13" s="1"/>
      <c r="Z13" s="1"/>
      <c r="AA13" s="1"/>
    </row>
    <row r="14" spans="1:27" ht="15.75" customHeight="1" x14ac:dyDescent="0.45">
      <c r="A14" s="8" t="s">
        <v>35</v>
      </c>
      <c r="B14" s="8">
        <v>2</v>
      </c>
      <c r="C14" s="8">
        <v>4</v>
      </c>
      <c r="D14" s="8">
        <v>0</v>
      </c>
      <c r="E14" s="8">
        <v>0</v>
      </c>
      <c r="F14" s="8">
        <v>0</v>
      </c>
      <c r="G14" s="8">
        <v>0</v>
      </c>
      <c r="H14" s="8">
        <v>0</v>
      </c>
      <c r="I14" s="8">
        <v>0</v>
      </c>
      <c r="J14" s="8">
        <v>0</v>
      </c>
      <c r="K14" s="8">
        <v>0</v>
      </c>
      <c r="L14" s="8">
        <v>0</v>
      </c>
      <c r="M14" s="8">
        <v>0</v>
      </c>
      <c r="N14" s="8">
        <v>0</v>
      </c>
      <c r="O14" s="1"/>
      <c r="P14" s="1"/>
      <c r="Q14" s="1"/>
      <c r="R14" s="1"/>
      <c r="S14" s="1"/>
      <c r="T14" s="1"/>
      <c r="U14" s="1"/>
      <c r="V14" s="1"/>
      <c r="W14" s="1"/>
      <c r="X14" s="1"/>
      <c r="Y14" s="1"/>
      <c r="Z14" s="1"/>
      <c r="AA14" s="1"/>
    </row>
    <row r="15" spans="1:27" ht="15.75" customHeight="1" x14ac:dyDescent="0.45">
      <c r="A15" s="8" t="s">
        <v>37</v>
      </c>
      <c r="B15" s="8">
        <v>1</v>
      </c>
      <c r="C15" s="8">
        <v>6</v>
      </c>
      <c r="D15" s="8">
        <v>0</v>
      </c>
      <c r="E15" s="8">
        <v>0</v>
      </c>
      <c r="F15" s="8">
        <v>0</v>
      </c>
      <c r="G15" s="8">
        <v>0</v>
      </c>
      <c r="H15" s="8">
        <v>0</v>
      </c>
      <c r="I15" s="8">
        <v>0</v>
      </c>
      <c r="J15" s="8">
        <v>0</v>
      </c>
      <c r="K15" s="8">
        <v>0</v>
      </c>
      <c r="L15" s="8">
        <v>0</v>
      </c>
      <c r="M15" s="8">
        <v>0</v>
      </c>
      <c r="N15" s="8">
        <v>0</v>
      </c>
      <c r="O15" s="1"/>
      <c r="P15" s="1"/>
      <c r="Q15" s="1"/>
      <c r="R15" s="1"/>
      <c r="S15" s="1"/>
      <c r="T15" s="1"/>
      <c r="U15" s="1"/>
      <c r="V15" s="1"/>
      <c r="W15" s="1"/>
      <c r="X15" s="1"/>
      <c r="Y15" s="1"/>
      <c r="Z15" s="1"/>
      <c r="AA15" s="1"/>
    </row>
    <row r="16" spans="1:27" ht="15.75" customHeight="1" x14ac:dyDescent="0.45">
      <c r="A16" s="8" t="s">
        <v>39</v>
      </c>
      <c r="B16" s="8">
        <v>1</v>
      </c>
      <c r="C16" s="8">
        <v>5</v>
      </c>
      <c r="D16" s="8">
        <v>0</v>
      </c>
      <c r="E16" s="8">
        <v>0</v>
      </c>
      <c r="F16" s="8">
        <v>0</v>
      </c>
      <c r="G16" s="8">
        <v>0</v>
      </c>
      <c r="H16" s="8">
        <v>0</v>
      </c>
      <c r="I16" s="8">
        <v>0</v>
      </c>
      <c r="J16" s="8">
        <v>0</v>
      </c>
      <c r="K16" s="8">
        <v>0</v>
      </c>
      <c r="L16" s="8">
        <v>0</v>
      </c>
      <c r="M16" s="8">
        <v>0</v>
      </c>
      <c r="N16" s="8">
        <v>0</v>
      </c>
      <c r="O16" s="1"/>
      <c r="P16" s="1"/>
      <c r="Q16" s="1"/>
      <c r="R16" s="1"/>
      <c r="S16" s="1"/>
      <c r="T16" s="1"/>
      <c r="U16" s="1"/>
      <c r="V16" s="1"/>
      <c r="W16" s="1"/>
      <c r="X16" s="1"/>
      <c r="Y16" s="1"/>
      <c r="Z16" s="1"/>
      <c r="AA16" s="1"/>
    </row>
    <row r="17" spans="1:27" ht="15.75" customHeight="1" x14ac:dyDescent="0.45">
      <c r="A17" s="8" t="s">
        <v>41</v>
      </c>
      <c r="B17" s="8">
        <v>1</v>
      </c>
      <c r="C17" s="8">
        <v>5</v>
      </c>
      <c r="D17" s="8">
        <v>0</v>
      </c>
      <c r="E17" s="8">
        <v>0</v>
      </c>
      <c r="F17" s="8">
        <v>0</v>
      </c>
      <c r="G17" s="8">
        <v>0</v>
      </c>
      <c r="H17" s="8">
        <v>0</v>
      </c>
      <c r="I17" s="8">
        <v>0</v>
      </c>
      <c r="J17" s="8">
        <v>0</v>
      </c>
      <c r="K17" s="8">
        <v>0</v>
      </c>
      <c r="L17" s="8">
        <v>0</v>
      </c>
      <c r="M17" s="8">
        <v>0</v>
      </c>
      <c r="N17" s="8">
        <v>0</v>
      </c>
      <c r="O17" s="1"/>
      <c r="P17" s="1"/>
      <c r="Q17" s="1"/>
      <c r="R17" s="1"/>
      <c r="S17" s="1"/>
      <c r="T17" s="1"/>
      <c r="U17" s="1"/>
      <c r="V17" s="1"/>
      <c r="W17" s="1"/>
      <c r="X17" s="1"/>
      <c r="Y17" s="1"/>
      <c r="Z17" s="1"/>
      <c r="AA17" s="1"/>
    </row>
    <row r="18" spans="1:27" ht="15.75" customHeight="1" x14ac:dyDescent="0.45">
      <c r="A18" s="8" t="s">
        <v>47</v>
      </c>
      <c r="B18" s="8">
        <v>1</v>
      </c>
      <c r="C18" s="8">
        <v>4</v>
      </c>
      <c r="D18" s="8">
        <v>0</v>
      </c>
      <c r="E18" s="8">
        <v>0</v>
      </c>
      <c r="F18" s="8">
        <v>0</v>
      </c>
      <c r="G18" s="8">
        <v>0</v>
      </c>
      <c r="H18" s="8">
        <v>0</v>
      </c>
      <c r="I18" s="8">
        <v>0</v>
      </c>
      <c r="J18" s="8">
        <v>0</v>
      </c>
      <c r="K18" s="8">
        <v>0</v>
      </c>
      <c r="L18" s="8">
        <v>0</v>
      </c>
      <c r="M18" s="8">
        <v>0</v>
      </c>
      <c r="N18" s="8">
        <v>0</v>
      </c>
      <c r="O18" s="1"/>
      <c r="P18" s="1"/>
      <c r="Q18" s="1"/>
      <c r="R18" s="1"/>
      <c r="S18" s="1"/>
      <c r="T18" s="1"/>
      <c r="U18" s="1"/>
      <c r="V18" s="1"/>
      <c r="W18" s="1"/>
      <c r="X18" s="1"/>
      <c r="Y18" s="1"/>
      <c r="Z18" s="1"/>
      <c r="AA18" s="1"/>
    </row>
    <row r="19" spans="1:27" ht="15.75" customHeight="1" x14ac:dyDescent="0.45">
      <c r="A19" s="8" t="s">
        <v>49</v>
      </c>
      <c r="B19" s="8">
        <v>1</v>
      </c>
      <c r="C19" s="8">
        <v>4</v>
      </c>
      <c r="D19" s="8">
        <v>0</v>
      </c>
      <c r="E19" s="8">
        <v>0</v>
      </c>
      <c r="F19" s="8">
        <v>0</v>
      </c>
      <c r="G19" s="8">
        <v>0</v>
      </c>
      <c r="H19" s="8">
        <v>0</v>
      </c>
      <c r="I19" s="8">
        <v>0</v>
      </c>
      <c r="J19" s="8">
        <v>0</v>
      </c>
      <c r="K19" s="8">
        <v>0</v>
      </c>
      <c r="L19" s="8">
        <v>0</v>
      </c>
      <c r="M19" s="8">
        <v>0</v>
      </c>
      <c r="N19" s="8">
        <v>0</v>
      </c>
      <c r="O19" s="1"/>
      <c r="P19" s="1"/>
      <c r="Q19" s="1"/>
      <c r="R19" s="1"/>
      <c r="S19" s="1"/>
      <c r="T19" s="1"/>
      <c r="U19" s="1"/>
      <c r="V19" s="1"/>
      <c r="W19" s="1"/>
      <c r="X19" s="1"/>
      <c r="Y19" s="1"/>
      <c r="Z19" s="1"/>
      <c r="AA19" s="1"/>
    </row>
    <row r="20" spans="1:27" ht="15.75" customHeight="1" x14ac:dyDescent="0.45">
      <c r="A20" s="8" t="s">
        <v>51</v>
      </c>
      <c r="B20" s="8">
        <v>1</v>
      </c>
      <c r="C20" s="8">
        <v>4</v>
      </c>
      <c r="D20" s="8">
        <v>0</v>
      </c>
      <c r="E20" s="8">
        <v>0</v>
      </c>
      <c r="F20" s="8">
        <v>0</v>
      </c>
      <c r="G20" s="8">
        <v>0</v>
      </c>
      <c r="H20" s="8">
        <v>0</v>
      </c>
      <c r="I20" s="8">
        <v>0</v>
      </c>
      <c r="J20" s="8">
        <v>0</v>
      </c>
      <c r="K20" s="8">
        <v>0</v>
      </c>
      <c r="L20" s="8">
        <v>0</v>
      </c>
      <c r="M20" s="8">
        <v>0</v>
      </c>
      <c r="N20" s="8">
        <v>0</v>
      </c>
      <c r="O20" s="1"/>
      <c r="P20" s="1"/>
      <c r="Q20" s="1"/>
      <c r="R20" s="1"/>
      <c r="S20" s="1"/>
      <c r="T20" s="1"/>
      <c r="U20" s="1"/>
      <c r="V20" s="1"/>
      <c r="W20" s="1"/>
      <c r="X20" s="1"/>
      <c r="Y20" s="1"/>
      <c r="Z20" s="1"/>
      <c r="AA20" s="1"/>
    </row>
    <row r="21" spans="1:27" ht="15.75" customHeight="1" x14ac:dyDescent="0.45">
      <c r="A21" s="8" t="s">
        <v>58</v>
      </c>
      <c r="B21" s="8">
        <v>1</v>
      </c>
      <c r="C21" s="8">
        <v>6</v>
      </c>
      <c r="D21" s="8">
        <v>0</v>
      </c>
      <c r="E21" s="8">
        <v>0</v>
      </c>
      <c r="F21" s="8">
        <v>0</v>
      </c>
      <c r="G21" s="8">
        <v>0</v>
      </c>
      <c r="H21" s="8">
        <v>0</v>
      </c>
      <c r="I21" s="8">
        <v>0</v>
      </c>
      <c r="J21" s="8">
        <v>0</v>
      </c>
      <c r="K21" s="8">
        <v>0</v>
      </c>
      <c r="L21" s="8">
        <v>0</v>
      </c>
      <c r="M21" s="8">
        <v>0</v>
      </c>
      <c r="N21" s="8">
        <v>0</v>
      </c>
      <c r="O21" s="1"/>
      <c r="P21" s="1"/>
      <c r="Q21" s="1"/>
      <c r="R21" s="1"/>
      <c r="S21" s="1"/>
      <c r="T21" s="1"/>
      <c r="U21" s="1"/>
      <c r="V21" s="1"/>
      <c r="W21" s="1"/>
      <c r="X21" s="1"/>
      <c r="Y21" s="1"/>
      <c r="Z21" s="1"/>
      <c r="AA21" s="1"/>
    </row>
    <row r="22" spans="1:27" ht="15.75" customHeight="1" x14ac:dyDescent="0.45">
      <c r="A22" s="8" t="s">
        <v>60</v>
      </c>
      <c r="B22" s="8">
        <v>1</v>
      </c>
      <c r="C22" s="8">
        <v>4</v>
      </c>
      <c r="D22" s="8">
        <v>0</v>
      </c>
      <c r="E22" s="8">
        <v>0</v>
      </c>
      <c r="F22" s="8">
        <v>0</v>
      </c>
      <c r="G22" s="8">
        <v>0</v>
      </c>
      <c r="H22" s="8">
        <v>0</v>
      </c>
      <c r="I22" s="8">
        <v>0</v>
      </c>
      <c r="J22" s="8">
        <v>0</v>
      </c>
      <c r="K22" s="8">
        <v>0</v>
      </c>
      <c r="L22" s="8">
        <v>0</v>
      </c>
      <c r="M22" s="8">
        <v>0</v>
      </c>
      <c r="N22" s="8">
        <v>0</v>
      </c>
      <c r="O22" s="1"/>
      <c r="P22" s="1"/>
      <c r="Q22" s="1"/>
      <c r="R22" s="1"/>
      <c r="S22" s="1"/>
      <c r="T22" s="1"/>
      <c r="U22" s="1"/>
      <c r="V22" s="1"/>
      <c r="W22" s="1"/>
      <c r="X22" s="1"/>
      <c r="Y22" s="1"/>
      <c r="Z22" s="1"/>
      <c r="AA22" s="1"/>
    </row>
    <row r="23" spans="1:27" ht="15.75" customHeight="1" x14ac:dyDescent="0.45">
      <c r="A23" s="8" t="s">
        <v>61</v>
      </c>
      <c r="B23" s="8">
        <v>2</v>
      </c>
      <c r="C23" s="8">
        <v>5</v>
      </c>
      <c r="D23" s="8">
        <v>0</v>
      </c>
      <c r="E23" s="8">
        <v>0</v>
      </c>
      <c r="F23" s="8">
        <v>0</v>
      </c>
      <c r="G23" s="8">
        <v>0</v>
      </c>
      <c r="H23" s="8">
        <v>0</v>
      </c>
      <c r="I23" s="8">
        <v>0</v>
      </c>
      <c r="J23" s="8">
        <v>0</v>
      </c>
      <c r="K23" s="8">
        <v>0</v>
      </c>
      <c r="L23" s="8">
        <v>0</v>
      </c>
      <c r="M23" s="8">
        <v>0</v>
      </c>
      <c r="N23" s="8">
        <v>0</v>
      </c>
      <c r="O23" s="1"/>
      <c r="P23" s="1"/>
      <c r="Q23" s="1"/>
      <c r="R23" s="1"/>
      <c r="S23" s="1"/>
      <c r="T23" s="1"/>
      <c r="U23" s="1"/>
      <c r="V23" s="1"/>
      <c r="W23" s="1"/>
      <c r="X23" s="1"/>
      <c r="Y23" s="1"/>
      <c r="Z23" s="1"/>
      <c r="AA23" s="1"/>
    </row>
    <row r="24" spans="1:27" ht="15.75" customHeight="1" x14ac:dyDescent="0.45">
      <c r="A24" s="8" t="s">
        <v>221</v>
      </c>
      <c r="B24" s="8">
        <v>1</v>
      </c>
      <c r="C24" s="8">
        <v>6</v>
      </c>
      <c r="D24" s="8">
        <v>0</v>
      </c>
      <c r="E24" s="8">
        <v>0</v>
      </c>
      <c r="F24" s="8">
        <v>0</v>
      </c>
      <c r="G24" s="8">
        <v>0</v>
      </c>
      <c r="H24" s="8">
        <v>0</v>
      </c>
      <c r="I24" s="8">
        <v>0</v>
      </c>
      <c r="J24" s="8">
        <v>0</v>
      </c>
      <c r="K24" s="8">
        <v>0</v>
      </c>
      <c r="L24" s="8">
        <v>0</v>
      </c>
      <c r="M24" s="8">
        <v>0</v>
      </c>
      <c r="N24" s="8">
        <v>0</v>
      </c>
      <c r="O24" s="1"/>
      <c r="P24" s="1"/>
      <c r="Q24" s="1"/>
      <c r="R24" s="1"/>
      <c r="S24" s="1"/>
      <c r="T24" s="1"/>
      <c r="U24" s="1"/>
      <c r="V24" s="1"/>
      <c r="W24" s="1"/>
      <c r="X24" s="1"/>
      <c r="Y24" s="1"/>
      <c r="Z24" s="1"/>
      <c r="AA24" s="1"/>
    </row>
    <row r="25" spans="1:27" ht="15.75" customHeight="1" x14ac:dyDescent="0.45">
      <c r="A25" s="8" t="s">
        <v>63</v>
      </c>
      <c r="B25" s="8">
        <v>1</v>
      </c>
      <c r="C25" s="8">
        <v>5</v>
      </c>
      <c r="D25" s="8">
        <v>0</v>
      </c>
      <c r="E25" s="8">
        <v>0</v>
      </c>
      <c r="F25" s="8">
        <v>0</v>
      </c>
      <c r="G25" s="8">
        <v>0</v>
      </c>
      <c r="H25" s="8">
        <v>0</v>
      </c>
      <c r="I25" s="8">
        <v>0</v>
      </c>
      <c r="J25" s="8">
        <v>0</v>
      </c>
      <c r="K25" s="8">
        <v>0</v>
      </c>
      <c r="L25" s="8">
        <v>0</v>
      </c>
      <c r="M25" s="8">
        <v>0</v>
      </c>
      <c r="N25" s="8">
        <v>0</v>
      </c>
      <c r="O25" s="1"/>
      <c r="P25" s="1"/>
      <c r="Q25" s="1"/>
      <c r="R25" s="1"/>
      <c r="S25" s="1"/>
      <c r="T25" s="1"/>
      <c r="U25" s="1"/>
      <c r="V25" s="1"/>
      <c r="W25" s="1"/>
      <c r="X25" s="1"/>
      <c r="Y25" s="1"/>
      <c r="Z25" s="1"/>
      <c r="AA25" s="1"/>
    </row>
    <row r="26" spans="1:27" ht="15.75" customHeight="1" x14ac:dyDescent="0.45">
      <c r="A26" s="8" t="s">
        <v>65</v>
      </c>
      <c r="B26" s="8">
        <v>1</v>
      </c>
      <c r="C26" s="8">
        <v>6</v>
      </c>
      <c r="D26" s="8">
        <v>0</v>
      </c>
      <c r="E26" s="8">
        <v>0</v>
      </c>
      <c r="F26" s="8">
        <v>0</v>
      </c>
      <c r="G26" s="8">
        <v>0</v>
      </c>
      <c r="H26" s="8">
        <v>0</v>
      </c>
      <c r="I26" s="8">
        <v>0</v>
      </c>
      <c r="J26" s="8">
        <v>0</v>
      </c>
      <c r="K26" s="8">
        <v>0</v>
      </c>
      <c r="L26" s="8">
        <v>0</v>
      </c>
      <c r="M26" s="8">
        <v>0</v>
      </c>
      <c r="N26" s="8">
        <v>0</v>
      </c>
      <c r="O26" s="1"/>
      <c r="P26" s="1"/>
      <c r="Q26" s="1"/>
      <c r="R26" s="1"/>
      <c r="S26" s="1"/>
      <c r="T26" s="1"/>
      <c r="U26" s="1"/>
      <c r="V26" s="1"/>
      <c r="W26" s="1"/>
      <c r="X26" s="1"/>
      <c r="Y26" s="1"/>
      <c r="Z26" s="1"/>
      <c r="AA26" s="1"/>
    </row>
    <row r="27" spans="1:27" ht="15.75" customHeight="1" x14ac:dyDescent="0.45">
      <c r="A27" s="8" t="s">
        <v>10</v>
      </c>
      <c r="B27" s="8">
        <v>3</v>
      </c>
      <c r="C27" s="8">
        <v>8</v>
      </c>
      <c r="D27" s="8">
        <v>0</v>
      </c>
      <c r="E27" s="8">
        <v>0</v>
      </c>
      <c r="F27" s="8">
        <v>0</v>
      </c>
      <c r="G27" s="8">
        <v>0</v>
      </c>
      <c r="H27" s="8">
        <v>0</v>
      </c>
      <c r="I27" s="8">
        <v>0</v>
      </c>
      <c r="J27" s="8">
        <v>0</v>
      </c>
      <c r="K27" s="8">
        <v>0</v>
      </c>
      <c r="L27" s="8">
        <v>0</v>
      </c>
      <c r="M27" s="8">
        <v>0</v>
      </c>
      <c r="N27" s="8">
        <v>0</v>
      </c>
      <c r="O27" s="1"/>
      <c r="P27" s="1"/>
      <c r="Q27" s="1"/>
      <c r="R27" s="1"/>
      <c r="S27" s="1"/>
      <c r="T27" s="1"/>
      <c r="U27" s="1"/>
      <c r="V27" s="1"/>
      <c r="W27" s="1"/>
      <c r="X27" s="1"/>
      <c r="Y27" s="1"/>
      <c r="Z27" s="1"/>
      <c r="AA27" s="1"/>
    </row>
    <row r="28" spans="1:27" ht="15.75" customHeight="1" x14ac:dyDescent="0.45">
      <c r="A28" s="8" t="s">
        <v>166</v>
      </c>
      <c r="B28" s="8">
        <v>3</v>
      </c>
      <c r="C28" s="8">
        <v>8</v>
      </c>
      <c r="D28" s="8">
        <v>0</v>
      </c>
      <c r="E28" s="8">
        <v>0</v>
      </c>
      <c r="F28" s="8">
        <v>0</v>
      </c>
      <c r="G28" s="8">
        <v>0</v>
      </c>
      <c r="H28" s="8">
        <v>0</v>
      </c>
      <c r="I28" s="8">
        <v>0</v>
      </c>
      <c r="J28" s="8">
        <v>0</v>
      </c>
      <c r="K28" s="8">
        <v>0</v>
      </c>
      <c r="L28" s="8">
        <v>0</v>
      </c>
      <c r="M28" s="8">
        <v>0</v>
      </c>
      <c r="N28" s="8">
        <v>0</v>
      </c>
      <c r="O28" s="1"/>
      <c r="P28" s="1"/>
      <c r="Q28" s="1"/>
      <c r="R28" s="1"/>
      <c r="S28" s="1"/>
      <c r="T28" s="1"/>
      <c r="U28" s="1"/>
      <c r="V28" s="1"/>
      <c r="W28" s="1"/>
      <c r="X28" s="1"/>
      <c r="Y28" s="1"/>
      <c r="Z28" s="1"/>
      <c r="AA28" s="1"/>
    </row>
    <row r="29" spans="1:27" ht="15.75" customHeight="1" x14ac:dyDescent="0.45">
      <c r="A29" s="8" t="s">
        <v>167</v>
      </c>
      <c r="B29" s="8">
        <v>3</v>
      </c>
      <c r="C29" s="8">
        <v>8</v>
      </c>
      <c r="D29" s="8">
        <v>0</v>
      </c>
      <c r="E29" s="8">
        <v>0</v>
      </c>
      <c r="F29" s="8">
        <v>0</v>
      </c>
      <c r="G29" s="8">
        <v>0</v>
      </c>
      <c r="H29" s="8">
        <v>0</v>
      </c>
      <c r="I29" s="8">
        <v>0</v>
      </c>
      <c r="J29" s="8">
        <v>0</v>
      </c>
      <c r="K29" s="8">
        <v>0</v>
      </c>
      <c r="L29" s="8">
        <v>0</v>
      </c>
      <c r="M29" s="8">
        <v>0</v>
      </c>
      <c r="N29" s="8">
        <v>0</v>
      </c>
      <c r="O29" s="1"/>
      <c r="P29" s="1"/>
      <c r="Q29" s="1"/>
      <c r="R29" s="1"/>
      <c r="S29" s="1"/>
      <c r="T29" s="1"/>
      <c r="U29" s="1"/>
      <c r="V29" s="1"/>
      <c r="W29" s="1"/>
      <c r="X29" s="1"/>
      <c r="Y29" s="1"/>
      <c r="Z29" s="1"/>
      <c r="AA29" s="1"/>
    </row>
    <row r="30" spans="1:27" ht="15.75" customHeight="1" x14ac:dyDescent="0.45">
      <c r="A30" s="8" t="s">
        <v>21</v>
      </c>
      <c r="B30" s="8">
        <v>3</v>
      </c>
      <c r="C30" s="8">
        <v>8</v>
      </c>
      <c r="D30" s="8">
        <v>0</v>
      </c>
      <c r="E30" s="8">
        <v>0</v>
      </c>
      <c r="F30" s="8">
        <v>0</v>
      </c>
      <c r="G30" s="8">
        <v>0</v>
      </c>
      <c r="H30" s="8">
        <v>0</v>
      </c>
      <c r="I30" s="8">
        <v>0</v>
      </c>
      <c r="J30" s="8">
        <v>0</v>
      </c>
      <c r="K30" s="8">
        <v>0</v>
      </c>
      <c r="L30" s="8">
        <v>0</v>
      </c>
      <c r="M30" s="8">
        <v>0</v>
      </c>
      <c r="N30" s="8">
        <v>0</v>
      </c>
      <c r="O30" s="1"/>
      <c r="P30" s="1"/>
      <c r="Q30" s="1"/>
      <c r="R30" s="1"/>
      <c r="S30" s="1"/>
      <c r="T30" s="1"/>
      <c r="U30" s="1"/>
      <c r="V30" s="1"/>
      <c r="W30" s="1"/>
      <c r="X30" s="1"/>
      <c r="Y30" s="1"/>
      <c r="Z30" s="1"/>
      <c r="AA30" s="1"/>
    </row>
    <row r="31" spans="1:27" ht="15.75" customHeight="1" x14ac:dyDescent="0.45">
      <c r="A31" s="58" t="s">
        <v>427</v>
      </c>
      <c r="B31" s="58"/>
      <c r="C31" s="58"/>
      <c r="D31" s="58">
        <f>SUBTOTAL(109,roles[Floor Resident / APP Maximum])</f>
        <v>0</v>
      </c>
      <c r="E31" s="58">
        <f>SUBTOTAL(109,roles[Floor Intern Maximum])</f>
        <v>0</v>
      </c>
      <c r="F31" s="58">
        <f>SUBTOTAL(109,roles[Respiratory Therapist Maximum])</f>
        <v>0</v>
      </c>
      <c r="G31" s="58">
        <f>SUBTOTAL(109,roles[ICU Attending Extender Maximum])</f>
        <v>0</v>
      </c>
      <c r="H31" s="58">
        <f>SUBTOTAL(109,roles[ICU Resident / APP Maximum])</f>
        <v>0</v>
      </c>
      <c r="I31" s="58">
        <f>SUBTOTAL(109,roles[ICU Intern Maximum])</f>
        <v>0</v>
      </c>
      <c r="J31" s="58">
        <f>SUBTOTAL(109,roles[ER Triage / Screen Maximum])</f>
        <v>0</v>
      </c>
      <c r="K31" s="58">
        <f>SUBTOTAL(109,roles[Procedure Resident Maximum])</f>
        <v>0</v>
      </c>
      <c r="L31" s="58">
        <f>SUBTOTAL(109,roles[NA / LPN Maximum])</f>
        <v>0</v>
      </c>
      <c r="M31" s="58">
        <f>SUBTOTAL(109,roles[Care Partner Maximum])</f>
        <v>0</v>
      </c>
      <c r="N31" s="58">
        <f>SUBTOTAL(109,roles[Airway Team Resident Maximum])</f>
        <v>0</v>
      </c>
      <c r="O31" s="1"/>
      <c r="P31" s="1"/>
      <c r="Q31" s="1"/>
      <c r="R31" s="1"/>
      <c r="S31" s="1"/>
      <c r="T31" s="1"/>
      <c r="U31" s="1"/>
      <c r="V31" s="1"/>
      <c r="W31" s="1"/>
      <c r="X31" s="1"/>
      <c r="Y31" s="1"/>
      <c r="Z31" s="1"/>
      <c r="AA31" s="1"/>
    </row>
    <row r="32" spans="1:27"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ht="15.75" customHeight="1" x14ac:dyDescent="0.4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row r="201" spans="1:27"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row>
    <row r="202" spans="1:27"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ht="15.75" customHeight="1" x14ac:dyDescent="0.45">
      <c r="O693" s="1"/>
      <c r="P693" s="1"/>
      <c r="Q693" s="1"/>
      <c r="R693" s="1"/>
      <c r="S693" s="1"/>
      <c r="T693" s="1"/>
      <c r="U693" s="1"/>
      <c r="V693" s="1"/>
      <c r="W693" s="1"/>
      <c r="X693" s="1"/>
      <c r="Y693" s="1"/>
      <c r="Z693" s="1"/>
      <c r="AA693" s="1"/>
    </row>
    <row r="694" spans="1:27" ht="15.75" customHeight="1" x14ac:dyDescent="0.45">
      <c r="O694" s="1"/>
      <c r="P694" s="1"/>
      <c r="Q694" s="1"/>
      <c r="R694" s="1"/>
      <c r="S694" s="1"/>
      <c r="T694" s="1"/>
      <c r="U694" s="1"/>
      <c r="V694" s="1"/>
      <c r="W694" s="1"/>
      <c r="X694" s="1"/>
      <c r="Y694" s="1"/>
      <c r="Z694" s="1"/>
      <c r="AA694" s="1"/>
    </row>
    <row r="695" spans="1:27" ht="15.75" customHeight="1" x14ac:dyDescent="0.45">
      <c r="O695" s="1"/>
      <c r="P695" s="1"/>
      <c r="Q695" s="1"/>
      <c r="R695" s="1"/>
      <c r="S695" s="1"/>
      <c r="T695" s="1"/>
      <c r="U695" s="1"/>
      <c r="V695" s="1"/>
      <c r="W695" s="1"/>
      <c r="X695" s="1"/>
      <c r="Y695" s="1"/>
      <c r="Z695" s="1"/>
      <c r="AA695" s="1"/>
    </row>
    <row r="696" spans="1:27" ht="15.75" customHeight="1" x14ac:dyDescent="0.45">
      <c r="O696" s="1"/>
      <c r="P696" s="1"/>
      <c r="Q696" s="1"/>
      <c r="R696" s="1"/>
      <c r="S696" s="1"/>
      <c r="T696" s="1"/>
      <c r="U696" s="1"/>
      <c r="V696" s="1"/>
      <c r="W696" s="1"/>
      <c r="X696" s="1"/>
      <c r="Y696" s="1"/>
      <c r="Z696" s="1"/>
      <c r="AA696" s="1"/>
    </row>
    <row r="697" spans="1:27" ht="15.75" customHeight="1" x14ac:dyDescent="0.45">
      <c r="O697" s="1"/>
      <c r="P697" s="1"/>
      <c r="Q697" s="1"/>
      <c r="R697" s="1"/>
      <c r="S697" s="1"/>
      <c r="T697" s="1"/>
      <c r="U697" s="1"/>
      <c r="V697" s="1"/>
      <c r="W697" s="1"/>
      <c r="X697" s="1"/>
      <c r="Y697" s="1"/>
      <c r="Z697" s="1"/>
      <c r="AA697" s="1"/>
    </row>
    <row r="698" spans="1:27" ht="15.75" customHeight="1" x14ac:dyDescent="0.45">
      <c r="O698" s="1"/>
      <c r="P698" s="1"/>
      <c r="Q698" s="1"/>
      <c r="R698" s="1"/>
      <c r="S698" s="1"/>
      <c r="T698" s="1"/>
      <c r="U698" s="1"/>
      <c r="V698" s="1"/>
      <c r="W698" s="1"/>
      <c r="X698" s="1"/>
      <c r="Y698" s="1"/>
      <c r="Z698" s="1"/>
      <c r="AA698" s="1"/>
    </row>
    <row r="699" spans="1:27" ht="15.75" customHeight="1" x14ac:dyDescent="0.45">
      <c r="O699" s="1"/>
      <c r="P699" s="1"/>
      <c r="Q699" s="1"/>
      <c r="R699" s="1"/>
      <c r="S699" s="1"/>
      <c r="T699" s="1"/>
      <c r="U699" s="1"/>
      <c r="V699" s="1"/>
      <c r="W699" s="1"/>
      <c r="X699" s="1"/>
      <c r="Y699" s="1"/>
      <c r="Z699" s="1"/>
      <c r="AA699" s="1"/>
    </row>
    <row r="700" spans="1:27" ht="15.75" customHeight="1" x14ac:dyDescent="0.45">
      <c r="O700" s="1"/>
      <c r="P700" s="1"/>
      <c r="Q700" s="1"/>
      <c r="R700" s="1"/>
      <c r="S700" s="1"/>
      <c r="T700" s="1"/>
      <c r="U700" s="1"/>
      <c r="V700" s="1"/>
      <c r="W700" s="1"/>
      <c r="X700" s="1"/>
      <c r="Y700" s="1"/>
      <c r="Z700" s="1"/>
      <c r="AA700" s="1"/>
    </row>
    <row r="701" spans="1:27" ht="15.75" customHeight="1" x14ac:dyDescent="0.45">
      <c r="O701" s="1"/>
      <c r="P701" s="1"/>
      <c r="Q701" s="1"/>
      <c r="R701" s="1"/>
      <c r="S701" s="1"/>
      <c r="T701" s="1"/>
      <c r="U701" s="1"/>
      <c r="V701" s="1"/>
      <c r="W701" s="1"/>
      <c r="X701" s="1"/>
      <c r="Y701" s="1"/>
      <c r="Z701" s="1"/>
      <c r="AA701" s="1"/>
    </row>
    <row r="702" spans="1:27" ht="15.75" customHeight="1" x14ac:dyDescent="0.45">
      <c r="O702" s="1"/>
      <c r="P702" s="1"/>
      <c r="Q702" s="1"/>
      <c r="R702" s="1"/>
      <c r="S702" s="1"/>
      <c r="T702" s="1"/>
      <c r="U702" s="1"/>
      <c r="V702" s="1"/>
      <c r="W702" s="1"/>
      <c r="X702" s="1"/>
      <c r="Y702" s="1"/>
      <c r="Z702" s="1"/>
      <c r="AA702" s="1"/>
    </row>
    <row r="703" spans="1:27" ht="15.75" customHeight="1" x14ac:dyDescent="0.45">
      <c r="O703" s="1"/>
      <c r="P703" s="1"/>
      <c r="Q703" s="1"/>
      <c r="R703" s="1"/>
      <c r="S703" s="1"/>
      <c r="T703" s="1"/>
      <c r="U703" s="1"/>
      <c r="V703" s="1"/>
      <c r="W703" s="1"/>
      <c r="X703" s="1"/>
      <c r="Y703" s="1"/>
      <c r="Z703" s="1"/>
      <c r="AA703" s="1"/>
    </row>
    <row r="704" spans="1:27" ht="15.75" customHeight="1" x14ac:dyDescent="0.45">
      <c r="O704" s="1"/>
      <c r="P704" s="1"/>
      <c r="Q704" s="1"/>
      <c r="R704" s="1"/>
      <c r="S704" s="1"/>
      <c r="T704" s="1"/>
      <c r="U704" s="1"/>
      <c r="V704" s="1"/>
      <c r="W704" s="1"/>
      <c r="X704" s="1"/>
      <c r="Y704" s="1"/>
      <c r="Z704" s="1"/>
      <c r="AA704" s="1"/>
    </row>
    <row r="705" spans="15:27" ht="15.75" customHeight="1" x14ac:dyDescent="0.45">
      <c r="O705" s="1"/>
      <c r="P705" s="1"/>
      <c r="Q705" s="1"/>
      <c r="R705" s="1"/>
      <c r="S705" s="1"/>
      <c r="T705" s="1"/>
      <c r="U705" s="1"/>
      <c r="V705" s="1"/>
      <c r="W705" s="1"/>
      <c r="X705" s="1"/>
      <c r="Y705" s="1"/>
      <c r="Z705" s="1"/>
      <c r="AA705" s="1"/>
    </row>
    <row r="706" spans="15:27" ht="15.75" customHeight="1" x14ac:dyDescent="0.45">
      <c r="O706" s="1"/>
      <c r="P706" s="1"/>
      <c r="Q706" s="1"/>
      <c r="R706" s="1"/>
      <c r="S706" s="1"/>
      <c r="T706" s="1"/>
      <c r="U706" s="1"/>
      <c r="V706" s="1"/>
      <c r="W706" s="1"/>
      <c r="X706" s="1"/>
      <c r="Y706" s="1"/>
      <c r="Z706" s="1"/>
      <c r="AA706" s="1"/>
    </row>
    <row r="707" spans="15:27" ht="15.75" customHeight="1" x14ac:dyDescent="0.45">
      <c r="O707" s="1"/>
      <c r="P707" s="1"/>
      <c r="Q707" s="1"/>
      <c r="R707" s="1"/>
      <c r="S707" s="1"/>
      <c r="T707" s="1"/>
      <c r="U707" s="1"/>
      <c r="V707" s="1"/>
      <c r="W707" s="1"/>
      <c r="X707" s="1"/>
      <c r="Y707" s="1"/>
      <c r="Z707" s="1"/>
      <c r="AA707" s="1"/>
    </row>
    <row r="708" spans="15:27" ht="15.75" customHeight="1" x14ac:dyDescent="0.45">
      <c r="O708" s="1"/>
      <c r="P708" s="1"/>
      <c r="Q708" s="1"/>
      <c r="R708" s="1"/>
      <c r="S708" s="1"/>
      <c r="T708" s="1"/>
      <c r="U708" s="1"/>
      <c r="V708" s="1"/>
      <c r="W708" s="1"/>
      <c r="X708" s="1"/>
      <c r="Y708" s="1"/>
      <c r="Z708" s="1"/>
      <c r="AA708" s="1"/>
    </row>
    <row r="709" spans="15:27" ht="15.75" customHeight="1" x14ac:dyDescent="0.45">
      <c r="O709" s="1"/>
      <c r="P709" s="1"/>
      <c r="Q709" s="1"/>
      <c r="R709" s="1"/>
      <c r="S709" s="1"/>
      <c r="T709" s="1"/>
      <c r="U709" s="1"/>
      <c r="V709" s="1"/>
      <c r="W709" s="1"/>
      <c r="X709" s="1"/>
      <c r="Y709" s="1"/>
      <c r="Z709" s="1"/>
      <c r="AA709" s="1"/>
    </row>
    <row r="710" spans="15:27" ht="15.75" customHeight="1" x14ac:dyDescent="0.45">
      <c r="O710" s="1"/>
      <c r="P710" s="1"/>
      <c r="Q710" s="1"/>
      <c r="R710" s="1"/>
      <c r="S710" s="1"/>
      <c r="T710" s="1"/>
      <c r="U710" s="1"/>
      <c r="V710" s="1"/>
      <c r="W710" s="1"/>
      <c r="X710" s="1"/>
      <c r="Y710" s="1"/>
      <c r="Z710" s="1"/>
      <c r="AA710" s="1"/>
    </row>
    <row r="711" spans="15:27" ht="15.75" customHeight="1" x14ac:dyDescent="0.45">
      <c r="O711" s="1"/>
      <c r="P711" s="1"/>
      <c r="Q711" s="1"/>
      <c r="R711" s="1"/>
      <c r="S711" s="1"/>
      <c r="T711" s="1"/>
      <c r="U711" s="1"/>
      <c r="V711" s="1"/>
      <c r="W711" s="1"/>
      <c r="X711" s="1"/>
      <c r="Y711" s="1"/>
      <c r="Z711" s="1"/>
      <c r="AA711" s="1"/>
    </row>
    <row r="712" spans="15:27" ht="15.75" customHeight="1" x14ac:dyDescent="0.45">
      <c r="O712" s="1"/>
      <c r="P712" s="1"/>
      <c r="Q712" s="1"/>
      <c r="R712" s="1"/>
      <c r="S712" s="1"/>
      <c r="T712" s="1"/>
      <c r="U712" s="1"/>
      <c r="V712" s="1"/>
      <c r="W712" s="1"/>
      <c r="X712" s="1"/>
      <c r="Y712" s="1"/>
      <c r="Z712" s="1"/>
      <c r="AA712" s="1"/>
    </row>
    <row r="713" spans="15:27" ht="15.75" customHeight="1" x14ac:dyDescent="0.45">
      <c r="O713" s="1"/>
      <c r="P713" s="1"/>
      <c r="Q713" s="1"/>
      <c r="R713" s="1"/>
      <c r="S713" s="1"/>
      <c r="T713" s="1"/>
      <c r="U713" s="1"/>
      <c r="V713" s="1"/>
      <c r="W713" s="1"/>
      <c r="X713" s="1"/>
      <c r="Y713" s="1"/>
      <c r="Z713" s="1"/>
      <c r="AA713" s="1"/>
    </row>
    <row r="714" spans="15:27" ht="15.75" customHeight="1" x14ac:dyDescent="0.45">
      <c r="O714" s="1"/>
      <c r="P714" s="1"/>
      <c r="Q714" s="1"/>
      <c r="R714" s="1"/>
      <c r="S714" s="1"/>
      <c r="T714" s="1"/>
      <c r="U714" s="1"/>
      <c r="V714" s="1"/>
      <c r="W714" s="1"/>
      <c r="X714" s="1"/>
      <c r="Y714" s="1"/>
      <c r="Z714" s="1"/>
      <c r="AA714" s="1"/>
    </row>
    <row r="715" spans="15:27" ht="15.75" customHeight="1" x14ac:dyDescent="0.45">
      <c r="O715" s="1"/>
      <c r="P715" s="1"/>
      <c r="Q715" s="1"/>
      <c r="R715" s="1"/>
      <c r="S715" s="1"/>
      <c r="T715" s="1"/>
      <c r="U715" s="1"/>
      <c r="V715" s="1"/>
      <c r="W715" s="1"/>
      <c r="X715" s="1"/>
      <c r="Y715" s="1"/>
      <c r="Z715" s="1"/>
      <c r="AA715" s="1"/>
    </row>
    <row r="716" spans="15:27" ht="15.75" customHeight="1" x14ac:dyDescent="0.45">
      <c r="O716" s="1"/>
      <c r="P716" s="1"/>
      <c r="Q716" s="1"/>
      <c r="R716" s="1"/>
      <c r="S716" s="1"/>
      <c r="T716" s="1"/>
      <c r="U716" s="1"/>
      <c r="V716" s="1"/>
      <c r="W716" s="1"/>
      <c r="X716" s="1"/>
      <c r="Y716" s="1"/>
      <c r="Z716" s="1"/>
      <c r="AA716" s="1"/>
    </row>
    <row r="717" spans="15:27" ht="15.75" customHeight="1" x14ac:dyDescent="0.45">
      <c r="O717" s="1"/>
      <c r="P717" s="1"/>
      <c r="Q717" s="1"/>
      <c r="R717" s="1"/>
      <c r="S717" s="1"/>
      <c r="T717" s="1"/>
      <c r="U717" s="1"/>
      <c r="V717" s="1"/>
      <c r="W717" s="1"/>
      <c r="X717" s="1"/>
      <c r="Y717" s="1"/>
      <c r="Z717" s="1"/>
      <c r="AA717" s="1"/>
    </row>
    <row r="718" spans="15:27" ht="15.75" customHeight="1" x14ac:dyDescent="0.45">
      <c r="O718" s="1"/>
      <c r="P718" s="1"/>
      <c r="Q718" s="1"/>
      <c r="R718" s="1"/>
      <c r="S718" s="1"/>
      <c r="T718" s="1"/>
      <c r="U718" s="1"/>
      <c r="V718" s="1"/>
      <c r="W718" s="1"/>
      <c r="X718" s="1"/>
      <c r="Y718" s="1"/>
      <c r="Z718" s="1"/>
      <c r="AA718" s="1"/>
    </row>
    <row r="719" spans="15:27" ht="15.75" customHeight="1" x14ac:dyDescent="0.45">
      <c r="O719" s="1"/>
      <c r="P719" s="1"/>
      <c r="Q719" s="1"/>
      <c r="R719" s="1"/>
      <c r="S719" s="1"/>
      <c r="T719" s="1"/>
      <c r="U719" s="1"/>
      <c r="V719" s="1"/>
      <c r="W719" s="1"/>
      <c r="X719" s="1"/>
      <c r="Y719" s="1"/>
      <c r="Z719" s="1"/>
      <c r="AA719" s="1"/>
    </row>
    <row r="720" spans="15:27" ht="15.75" customHeight="1" x14ac:dyDescent="0.45">
      <c r="O720" s="1"/>
      <c r="P720" s="1"/>
      <c r="Q720" s="1"/>
      <c r="R720" s="1"/>
      <c r="S720" s="1"/>
      <c r="T720" s="1"/>
      <c r="U720" s="1"/>
      <c r="V720" s="1"/>
      <c r="W720" s="1"/>
      <c r="X720" s="1"/>
      <c r="Y720" s="1"/>
      <c r="Z720" s="1"/>
      <c r="AA720" s="1"/>
    </row>
    <row r="721" spans="15:27" ht="15.75" customHeight="1" x14ac:dyDescent="0.45">
      <c r="O721" s="1"/>
      <c r="P721" s="1"/>
      <c r="Q721" s="1"/>
      <c r="R721" s="1"/>
      <c r="S721" s="1"/>
      <c r="T721" s="1"/>
      <c r="U721" s="1"/>
      <c r="V721" s="1"/>
      <c r="W721" s="1"/>
      <c r="X721" s="1"/>
      <c r="Y721" s="1"/>
      <c r="Z721" s="1"/>
      <c r="AA721" s="1"/>
    </row>
    <row r="722" spans="15:27" ht="15.75" customHeight="1" x14ac:dyDescent="0.45">
      <c r="O722" s="1"/>
      <c r="P722" s="1"/>
      <c r="Q722" s="1"/>
      <c r="R722" s="1"/>
      <c r="S722" s="1"/>
      <c r="T722" s="1"/>
      <c r="U722" s="1"/>
      <c r="V722" s="1"/>
      <c r="W722" s="1"/>
      <c r="X722" s="1"/>
      <c r="Y722" s="1"/>
      <c r="Z722" s="1"/>
      <c r="AA722" s="1"/>
    </row>
    <row r="723" spans="15:27" ht="15.75" customHeight="1" x14ac:dyDescent="0.45">
      <c r="O723" s="1"/>
      <c r="P723" s="1"/>
      <c r="Q723" s="1"/>
      <c r="R723" s="1"/>
      <c r="S723" s="1"/>
      <c r="T723" s="1"/>
      <c r="U723" s="1"/>
      <c r="V723" s="1"/>
      <c r="W723" s="1"/>
      <c r="X723" s="1"/>
      <c r="Y723" s="1"/>
      <c r="Z723" s="1"/>
      <c r="AA723" s="1"/>
    </row>
    <row r="724" spans="15:27" ht="15.75" customHeight="1" x14ac:dyDescent="0.45">
      <c r="O724" s="1"/>
      <c r="P724" s="1"/>
      <c r="Q724" s="1"/>
      <c r="R724" s="1"/>
      <c r="S724" s="1"/>
      <c r="T724" s="1"/>
      <c r="U724" s="1"/>
      <c r="V724" s="1"/>
      <c r="W724" s="1"/>
      <c r="X724" s="1"/>
      <c r="Y724" s="1"/>
      <c r="Z724" s="1"/>
      <c r="AA724" s="1"/>
    </row>
    <row r="725" spans="15:27" ht="15.75" customHeight="1" x14ac:dyDescent="0.45">
      <c r="O725" s="1"/>
      <c r="P725" s="1"/>
      <c r="Q725" s="1"/>
      <c r="R725" s="1"/>
      <c r="S725" s="1"/>
      <c r="T725" s="1"/>
      <c r="U725" s="1"/>
      <c r="V725" s="1"/>
      <c r="W725" s="1"/>
      <c r="X725" s="1"/>
      <c r="Y725" s="1"/>
      <c r="Z725" s="1"/>
      <c r="AA725" s="1"/>
    </row>
    <row r="726" spans="15:27" ht="15.75" customHeight="1" x14ac:dyDescent="0.45">
      <c r="O726" s="1"/>
      <c r="P726" s="1"/>
      <c r="Q726" s="1"/>
      <c r="R726" s="1"/>
      <c r="S726" s="1"/>
      <c r="T726" s="1"/>
      <c r="U726" s="1"/>
      <c r="V726" s="1"/>
      <c r="W726" s="1"/>
      <c r="X726" s="1"/>
      <c r="Y726" s="1"/>
      <c r="Z726" s="1"/>
      <c r="AA726" s="1"/>
    </row>
    <row r="727" spans="15:27" ht="15.75" customHeight="1" x14ac:dyDescent="0.45">
      <c r="O727" s="1"/>
      <c r="P727" s="1"/>
      <c r="Q727" s="1"/>
      <c r="R727" s="1"/>
      <c r="S727" s="1"/>
      <c r="T727" s="1"/>
      <c r="U727" s="1"/>
      <c r="V727" s="1"/>
      <c r="W727" s="1"/>
      <c r="X727" s="1"/>
      <c r="Y727" s="1"/>
      <c r="Z727" s="1"/>
      <c r="AA727" s="1"/>
    </row>
    <row r="728" spans="15:27" ht="15.75" customHeight="1" x14ac:dyDescent="0.45">
      <c r="O728" s="1"/>
      <c r="P728" s="1"/>
      <c r="Q728" s="1"/>
      <c r="R728" s="1"/>
      <c r="S728" s="1"/>
      <c r="T728" s="1"/>
      <c r="U728" s="1"/>
      <c r="V728" s="1"/>
      <c r="W728" s="1"/>
      <c r="X728" s="1"/>
      <c r="Y728" s="1"/>
      <c r="Z728" s="1"/>
      <c r="AA728" s="1"/>
    </row>
    <row r="729" spans="15:27" ht="15.75" customHeight="1" x14ac:dyDescent="0.45">
      <c r="O729" s="1"/>
      <c r="P729" s="1"/>
      <c r="Q729" s="1"/>
      <c r="R729" s="1"/>
      <c r="S729" s="1"/>
      <c r="T729" s="1"/>
      <c r="U729" s="1"/>
      <c r="V729" s="1"/>
      <c r="W729" s="1"/>
      <c r="X729" s="1"/>
      <c r="Y729" s="1"/>
      <c r="Z729" s="1"/>
      <c r="AA729" s="1"/>
    </row>
    <row r="730" spans="15:27" ht="15.75" customHeight="1" x14ac:dyDescent="0.45">
      <c r="O730" s="1"/>
      <c r="P730" s="1"/>
      <c r="Q730" s="1"/>
      <c r="R730" s="1"/>
      <c r="S730" s="1"/>
      <c r="T730" s="1"/>
      <c r="U730" s="1"/>
      <c r="V730" s="1"/>
      <c r="W730" s="1"/>
      <c r="X730" s="1"/>
      <c r="Y730" s="1"/>
      <c r="Z730" s="1"/>
      <c r="AA730" s="1"/>
    </row>
    <row r="731" spans="15:27" ht="15.75" customHeight="1" x14ac:dyDescent="0.45">
      <c r="O731" s="1"/>
      <c r="P731" s="1"/>
      <c r="Q731" s="1"/>
      <c r="R731" s="1"/>
      <c r="S731" s="1"/>
      <c r="T731" s="1"/>
      <c r="U731" s="1"/>
      <c r="V731" s="1"/>
      <c r="W731" s="1"/>
      <c r="X731" s="1"/>
      <c r="Y731" s="1"/>
      <c r="Z731" s="1"/>
      <c r="AA731" s="1"/>
    </row>
    <row r="732" spans="15:27" ht="15.75" customHeight="1" x14ac:dyDescent="0.45">
      <c r="O732" s="1"/>
      <c r="P732" s="1"/>
      <c r="Q732" s="1"/>
      <c r="R732" s="1"/>
      <c r="S732" s="1"/>
      <c r="T732" s="1"/>
      <c r="U732" s="1"/>
      <c r="V732" s="1"/>
      <c r="W732" s="1"/>
      <c r="X732" s="1"/>
      <c r="Y732" s="1"/>
      <c r="Z732" s="1"/>
      <c r="AA732" s="1"/>
    </row>
    <row r="733" spans="15:27" ht="15.75" customHeight="1" x14ac:dyDescent="0.45">
      <c r="O733" s="1"/>
      <c r="P733" s="1"/>
      <c r="Q733" s="1"/>
      <c r="R733" s="1"/>
      <c r="S733" s="1"/>
      <c r="T733" s="1"/>
      <c r="U733" s="1"/>
      <c r="V733" s="1"/>
      <c r="W733" s="1"/>
      <c r="X733" s="1"/>
      <c r="Y733" s="1"/>
      <c r="Z733" s="1"/>
      <c r="AA733" s="1"/>
    </row>
    <row r="734" spans="15:27" ht="15.75" customHeight="1" x14ac:dyDescent="0.45">
      <c r="O734" s="1"/>
      <c r="P734" s="1"/>
      <c r="Q734" s="1"/>
      <c r="R734" s="1"/>
      <c r="S734" s="1"/>
      <c r="T734" s="1"/>
      <c r="U734" s="1"/>
      <c r="V734" s="1"/>
      <c r="W734" s="1"/>
      <c r="X734" s="1"/>
      <c r="Y734" s="1"/>
      <c r="Z734" s="1"/>
      <c r="AA734" s="1"/>
    </row>
    <row r="735" spans="15:27" ht="15.75" customHeight="1" x14ac:dyDescent="0.45">
      <c r="O735" s="1"/>
      <c r="P735" s="1"/>
      <c r="Q735" s="1"/>
      <c r="R735" s="1"/>
      <c r="S735" s="1"/>
      <c r="T735" s="1"/>
      <c r="U735" s="1"/>
      <c r="V735" s="1"/>
      <c r="W735" s="1"/>
      <c r="X735" s="1"/>
      <c r="Y735" s="1"/>
      <c r="Z735" s="1"/>
      <c r="AA735" s="1"/>
    </row>
    <row r="736" spans="15:27" ht="15.75" customHeight="1" x14ac:dyDescent="0.45">
      <c r="O736" s="1"/>
      <c r="P736" s="1"/>
      <c r="Q736" s="1"/>
      <c r="R736" s="1"/>
      <c r="S736" s="1"/>
      <c r="T736" s="1"/>
      <c r="U736" s="1"/>
      <c r="V736" s="1"/>
      <c r="W736" s="1"/>
      <c r="X736" s="1"/>
      <c r="Y736" s="1"/>
      <c r="Z736" s="1"/>
      <c r="AA736" s="1"/>
    </row>
    <row r="737" spans="15:27" ht="15.75" customHeight="1" x14ac:dyDescent="0.45">
      <c r="O737" s="1"/>
      <c r="P737" s="1"/>
      <c r="Q737" s="1"/>
      <c r="R737" s="1"/>
      <c r="S737" s="1"/>
      <c r="T737" s="1"/>
      <c r="U737" s="1"/>
      <c r="V737" s="1"/>
      <c r="W737" s="1"/>
      <c r="X737" s="1"/>
      <c r="Y737" s="1"/>
      <c r="Z737" s="1"/>
      <c r="AA737" s="1"/>
    </row>
    <row r="738" spans="15:27" ht="15.75" customHeight="1" x14ac:dyDescent="0.45">
      <c r="O738" s="1"/>
      <c r="P738" s="1"/>
      <c r="Q738" s="1"/>
      <c r="R738" s="1"/>
      <c r="S738" s="1"/>
      <c r="T738" s="1"/>
      <c r="U738" s="1"/>
      <c r="V738" s="1"/>
      <c r="W738" s="1"/>
      <c r="X738" s="1"/>
      <c r="Y738" s="1"/>
      <c r="Z738" s="1"/>
      <c r="AA738" s="1"/>
    </row>
    <row r="739" spans="15:27" ht="15.75" customHeight="1" x14ac:dyDescent="0.45">
      <c r="O739" s="1"/>
      <c r="P739" s="1"/>
      <c r="Q739" s="1"/>
      <c r="R739" s="1"/>
      <c r="S739" s="1"/>
      <c r="T739" s="1"/>
      <c r="U739" s="1"/>
      <c r="V739" s="1"/>
      <c r="W739" s="1"/>
      <c r="X739" s="1"/>
      <c r="Y739" s="1"/>
      <c r="Z739" s="1"/>
      <c r="AA739" s="1"/>
    </row>
    <row r="740" spans="15:27" ht="15.75" customHeight="1" x14ac:dyDescent="0.45">
      <c r="O740" s="1"/>
      <c r="P740" s="1"/>
      <c r="Q740" s="1"/>
      <c r="R740" s="1"/>
      <c r="S740" s="1"/>
      <c r="T740" s="1"/>
      <c r="U740" s="1"/>
      <c r="V740" s="1"/>
      <c r="W740" s="1"/>
      <c r="X740" s="1"/>
      <c r="Y740" s="1"/>
      <c r="Z740" s="1"/>
      <c r="AA740" s="1"/>
    </row>
    <row r="741" spans="15:27" ht="15.75" customHeight="1" x14ac:dyDescent="0.45">
      <c r="O741" s="1"/>
      <c r="P741" s="1"/>
      <c r="Q741" s="1"/>
      <c r="R741" s="1"/>
      <c r="S741" s="1"/>
      <c r="T741" s="1"/>
      <c r="U741" s="1"/>
      <c r="V741" s="1"/>
      <c r="W741" s="1"/>
      <c r="X741" s="1"/>
      <c r="Y741" s="1"/>
      <c r="Z741" s="1"/>
      <c r="AA741" s="1"/>
    </row>
    <row r="742" spans="15:27" ht="15.75" customHeight="1" x14ac:dyDescent="0.45">
      <c r="O742" s="1"/>
      <c r="P742" s="1"/>
      <c r="Q742" s="1"/>
      <c r="R742" s="1"/>
      <c r="S742" s="1"/>
      <c r="T742" s="1"/>
      <c r="U742" s="1"/>
      <c r="V742" s="1"/>
      <c r="W742" s="1"/>
      <c r="X742" s="1"/>
      <c r="Y742" s="1"/>
      <c r="Z742" s="1"/>
      <c r="AA742" s="1"/>
    </row>
    <row r="743" spans="15:27" ht="15.75" customHeight="1" x14ac:dyDescent="0.45">
      <c r="O743" s="1"/>
      <c r="P743" s="1"/>
      <c r="Q743" s="1"/>
      <c r="R743" s="1"/>
      <c r="S743" s="1"/>
      <c r="T743" s="1"/>
      <c r="U743" s="1"/>
      <c r="V743" s="1"/>
      <c r="W743" s="1"/>
      <c r="X743" s="1"/>
      <c r="Y743" s="1"/>
      <c r="Z743" s="1"/>
      <c r="AA743" s="1"/>
    </row>
    <row r="744" spans="15:27" ht="15.75" customHeight="1" x14ac:dyDescent="0.45">
      <c r="O744" s="1"/>
      <c r="P744" s="1"/>
      <c r="Q744" s="1"/>
      <c r="R744" s="1"/>
      <c r="S744" s="1"/>
      <c r="T744" s="1"/>
      <c r="U744" s="1"/>
      <c r="V744" s="1"/>
      <c r="W744" s="1"/>
      <c r="X744" s="1"/>
      <c r="Y744" s="1"/>
      <c r="Z744" s="1"/>
      <c r="AA744" s="1"/>
    </row>
    <row r="745" spans="15:27" ht="15.75" customHeight="1" x14ac:dyDescent="0.45">
      <c r="O745" s="1"/>
      <c r="P745" s="1"/>
      <c r="Q745" s="1"/>
      <c r="R745" s="1"/>
      <c r="S745" s="1"/>
      <c r="T745" s="1"/>
      <c r="U745" s="1"/>
      <c r="V745" s="1"/>
      <c r="W745" s="1"/>
      <c r="X745" s="1"/>
      <c r="Y745" s="1"/>
      <c r="Z745" s="1"/>
      <c r="AA745" s="1"/>
    </row>
    <row r="746" spans="15:27" ht="15.75" customHeight="1" x14ac:dyDescent="0.45">
      <c r="O746" s="1"/>
      <c r="P746" s="1"/>
      <c r="Q746" s="1"/>
      <c r="R746" s="1"/>
      <c r="S746" s="1"/>
      <c r="T746" s="1"/>
      <c r="U746" s="1"/>
      <c r="V746" s="1"/>
      <c r="W746" s="1"/>
      <c r="X746" s="1"/>
      <c r="Y746" s="1"/>
      <c r="Z746" s="1"/>
      <c r="AA746" s="1"/>
    </row>
    <row r="747" spans="15:27" ht="15.75" customHeight="1" x14ac:dyDescent="0.45">
      <c r="O747" s="1"/>
      <c r="P747" s="1"/>
      <c r="Q747" s="1"/>
      <c r="R747" s="1"/>
      <c r="S747" s="1"/>
      <c r="T747" s="1"/>
      <c r="U747" s="1"/>
      <c r="V747" s="1"/>
      <c r="W747" s="1"/>
      <c r="X747" s="1"/>
      <c r="Y747" s="1"/>
      <c r="Z747" s="1"/>
      <c r="AA747" s="1"/>
    </row>
    <row r="748" spans="15:27" ht="15.75" customHeight="1" x14ac:dyDescent="0.45">
      <c r="O748" s="1"/>
      <c r="P748" s="1"/>
      <c r="Q748" s="1"/>
      <c r="R748" s="1"/>
      <c r="S748" s="1"/>
      <c r="T748" s="1"/>
      <c r="U748" s="1"/>
      <c r="V748" s="1"/>
      <c r="W748" s="1"/>
      <c r="X748" s="1"/>
      <c r="Y748" s="1"/>
      <c r="Z748" s="1"/>
      <c r="AA748" s="1"/>
    </row>
    <row r="749" spans="15:27" ht="15.75" customHeight="1" x14ac:dyDescent="0.45">
      <c r="O749" s="1"/>
      <c r="P749" s="1"/>
      <c r="Q749" s="1"/>
      <c r="R749" s="1"/>
      <c r="S749" s="1"/>
      <c r="T749" s="1"/>
      <c r="U749" s="1"/>
      <c r="V749" s="1"/>
      <c r="W749" s="1"/>
      <c r="X749" s="1"/>
      <c r="Y749" s="1"/>
      <c r="Z749" s="1"/>
      <c r="AA749" s="1"/>
    </row>
    <row r="750" spans="15:27" ht="15.75" customHeight="1" x14ac:dyDescent="0.45">
      <c r="O750" s="1"/>
      <c r="P750" s="1"/>
      <c r="Q750" s="1"/>
      <c r="R750" s="1"/>
      <c r="S750" s="1"/>
      <c r="T750" s="1"/>
      <c r="U750" s="1"/>
      <c r="V750" s="1"/>
      <c r="W750" s="1"/>
      <c r="X750" s="1"/>
      <c r="Y750" s="1"/>
      <c r="Z750" s="1"/>
      <c r="AA750" s="1"/>
    </row>
    <row r="751" spans="15:27" ht="15.75" customHeight="1" x14ac:dyDescent="0.45">
      <c r="O751" s="1"/>
      <c r="P751" s="1"/>
      <c r="Q751" s="1"/>
      <c r="R751" s="1"/>
      <c r="S751" s="1"/>
      <c r="T751" s="1"/>
      <c r="U751" s="1"/>
      <c r="V751" s="1"/>
      <c r="W751" s="1"/>
      <c r="X751" s="1"/>
      <c r="Y751" s="1"/>
      <c r="Z751" s="1"/>
      <c r="AA751" s="1"/>
    </row>
    <row r="752" spans="15:27" ht="15.75" customHeight="1" x14ac:dyDescent="0.45">
      <c r="O752" s="1"/>
      <c r="P752" s="1"/>
      <c r="Q752" s="1"/>
      <c r="R752" s="1"/>
      <c r="S752" s="1"/>
      <c r="T752" s="1"/>
      <c r="U752" s="1"/>
      <c r="V752" s="1"/>
      <c r="W752" s="1"/>
      <c r="X752" s="1"/>
      <c r="Y752" s="1"/>
      <c r="Z752" s="1"/>
      <c r="AA752" s="1"/>
    </row>
    <row r="753" spans="15:27" ht="15.75" customHeight="1" x14ac:dyDescent="0.45">
      <c r="O753" s="1"/>
      <c r="P753" s="1"/>
      <c r="Q753" s="1"/>
      <c r="R753" s="1"/>
      <c r="S753" s="1"/>
      <c r="T753" s="1"/>
      <c r="U753" s="1"/>
      <c r="V753" s="1"/>
      <c r="W753" s="1"/>
      <c r="X753" s="1"/>
      <c r="Y753" s="1"/>
      <c r="Z753" s="1"/>
      <c r="AA753" s="1"/>
    </row>
    <row r="754" spans="15:27" ht="15.75" customHeight="1" x14ac:dyDescent="0.45">
      <c r="O754" s="1"/>
      <c r="P754" s="1"/>
      <c r="Q754" s="1"/>
      <c r="R754" s="1"/>
      <c r="S754" s="1"/>
      <c r="T754" s="1"/>
      <c r="U754" s="1"/>
      <c r="V754" s="1"/>
      <c r="W754" s="1"/>
      <c r="X754" s="1"/>
      <c r="Y754" s="1"/>
      <c r="Z754" s="1"/>
      <c r="AA754" s="1"/>
    </row>
    <row r="755" spans="15:27" ht="15.75" customHeight="1" x14ac:dyDescent="0.45">
      <c r="O755" s="1"/>
      <c r="P755" s="1"/>
      <c r="Q755" s="1"/>
      <c r="R755" s="1"/>
      <c r="S755" s="1"/>
      <c r="T755" s="1"/>
      <c r="U755" s="1"/>
      <c r="V755" s="1"/>
      <c r="W755" s="1"/>
      <c r="X755" s="1"/>
      <c r="Y755" s="1"/>
      <c r="Z755" s="1"/>
      <c r="AA755" s="1"/>
    </row>
    <row r="756" spans="15:27" ht="15.75" customHeight="1" x14ac:dyDescent="0.45">
      <c r="O756" s="1"/>
      <c r="P756" s="1"/>
      <c r="Q756" s="1"/>
      <c r="R756" s="1"/>
      <c r="S756" s="1"/>
      <c r="T756" s="1"/>
      <c r="U756" s="1"/>
      <c r="V756" s="1"/>
      <c r="W756" s="1"/>
      <c r="X756" s="1"/>
      <c r="Y756" s="1"/>
      <c r="Z756" s="1"/>
      <c r="AA756" s="1"/>
    </row>
    <row r="757" spans="15:27" ht="15.75" customHeight="1" x14ac:dyDescent="0.45">
      <c r="O757" s="1"/>
      <c r="P757" s="1"/>
      <c r="Q757" s="1"/>
      <c r="R757" s="1"/>
      <c r="S757" s="1"/>
      <c r="T757" s="1"/>
      <c r="U757" s="1"/>
      <c r="V757" s="1"/>
      <c r="W757" s="1"/>
      <c r="X757" s="1"/>
      <c r="Y757" s="1"/>
      <c r="Z757" s="1"/>
      <c r="AA757" s="1"/>
    </row>
    <row r="758" spans="15:27" ht="15.75" customHeight="1" x14ac:dyDescent="0.45">
      <c r="O758" s="1"/>
      <c r="P758" s="1"/>
      <c r="Q758" s="1"/>
      <c r="R758" s="1"/>
      <c r="S758" s="1"/>
      <c r="T758" s="1"/>
      <c r="U758" s="1"/>
      <c r="V758" s="1"/>
      <c r="W758" s="1"/>
      <c r="X758" s="1"/>
      <c r="Y758" s="1"/>
      <c r="Z758" s="1"/>
      <c r="AA758" s="1"/>
    </row>
    <row r="759" spans="15:27" ht="15.75" customHeight="1" x14ac:dyDescent="0.45">
      <c r="O759" s="1"/>
      <c r="P759" s="1"/>
      <c r="Q759" s="1"/>
      <c r="R759" s="1"/>
      <c r="S759" s="1"/>
      <c r="T759" s="1"/>
      <c r="U759" s="1"/>
      <c r="V759" s="1"/>
      <c r="W759" s="1"/>
      <c r="X759" s="1"/>
      <c r="Y759" s="1"/>
      <c r="Z759" s="1"/>
      <c r="AA759" s="1"/>
    </row>
    <row r="760" spans="15:27" ht="15.75" customHeight="1" x14ac:dyDescent="0.45">
      <c r="O760" s="1"/>
      <c r="P760" s="1"/>
      <c r="Q760" s="1"/>
      <c r="R760" s="1"/>
      <c r="S760" s="1"/>
      <c r="T760" s="1"/>
      <c r="U760" s="1"/>
      <c r="V760" s="1"/>
      <c r="W760" s="1"/>
      <c r="X760" s="1"/>
      <c r="Y760" s="1"/>
      <c r="Z760" s="1"/>
      <c r="AA760" s="1"/>
    </row>
    <row r="761" spans="15:27" ht="15.75" customHeight="1" x14ac:dyDescent="0.45">
      <c r="O761" s="1"/>
      <c r="P761" s="1"/>
      <c r="Q761" s="1"/>
      <c r="R761" s="1"/>
      <c r="S761" s="1"/>
      <c r="T761" s="1"/>
      <c r="U761" s="1"/>
      <c r="V761" s="1"/>
      <c r="W761" s="1"/>
      <c r="X761" s="1"/>
      <c r="Y761" s="1"/>
      <c r="Z761" s="1"/>
      <c r="AA761" s="1"/>
    </row>
    <row r="762" spans="15:27" ht="15.75" customHeight="1" x14ac:dyDescent="0.45">
      <c r="O762" s="1"/>
      <c r="P762" s="1"/>
      <c r="Q762" s="1"/>
      <c r="R762" s="1"/>
      <c r="S762" s="1"/>
      <c r="T762" s="1"/>
      <c r="U762" s="1"/>
      <c r="V762" s="1"/>
      <c r="W762" s="1"/>
      <c r="X762" s="1"/>
      <c r="Y762" s="1"/>
      <c r="Z762" s="1"/>
      <c r="AA762" s="1"/>
    </row>
    <row r="763" spans="15:27" ht="15.75" customHeight="1" x14ac:dyDescent="0.45">
      <c r="O763" s="1"/>
      <c r="P763" s="1"/>
      <c r="Q763" s="1"/>
      <c r="R763" s="1"/>
      <c r="S763" s="1"/>
      <c r="T763" s="1"/>
      <c r="U763" s="1"/>
      <c r="V763" s="1"/>
      <c r="W763" s="1"/>
      <c r="X763" s="1"/>
      <c r="Y763" s="1"/>
      <c r="Z763" s="1"/>
      <c r="AA763" s="1"/>
    </row>
    <row r="764" spans="15:27" ht="15.75" customHeight="1" x14ac:dyDescent="0.45">
      <c r="O764" s="1"/>
      <c r="P764" s="1"/>
      <c r="Q764" s="1"/>
      <c r="R764" s="1"/>
      <c r="S764" s="1"/>
      <c r="T764" s="1"/>
      <c r="U764" s="1"/>
      <c r="V764" s="1"/>
      <c r="W764" s="1"/>
      <c r="X764" s="1"/>
      <c r="Y764" s="1"/>
      <c r="Z764" s="1"/>
      <c r="AA764" s="1"/>
    </row>
    <row r="765" spans="15:27" ht="15.75" customHeight="1" x14ac:dyDescent="0.45">
      <c r="O765" s="1"/>
      <c r="P765" s="1"/>
      <c r="Q765" s="1"/>
      <c r="R765" s="1"/>
      <c r="S765" s="1"/>
      <c r="T765" s="1"/>
      <c r="U765" s="1"/>
      <c r="V765" s="1"/>
      <c r="W765" s="1"/>
      <c r="X765" s="1"/>
      <c r="Y765" s="1"/>
      <c r="Z765" s="1"/>
      <c r="AA765" s="1"/>
    </row>
    <row r="766" spans="15:27" ht="15.75" customHeight="1" x14ac:dyDescent="0.45">
      <c r="O766" s="1"/>
      <c r="P766" s="1"/>
      <c r="Q766" s="1"/>
      <c r="R766" s="1"/>
      <c r="S766" s="1"/>
      <c r="T766" s="1"/>
      <c r="U766" s="1"/>
      <c r="V766" s="1"/>
      <c r="W766" s="1"/>
      <c r="X766" s="1"/>
      <c r="Y766" s="1"/>
      <c r="Z766" s="1"/>
      <c r="AA766" s="1"/>
    </row>
    <row r="767" spans="15:27" ht="15.75" customHeight="1" x14ac:dyDescent="0.45">
      <c r="O767" s="1"/>
      <c r="P767" s="1"/>
      <c r="Q767" s="1"/>
      <c r="R767" s="1"/>
      <c r="S767" s="1"/>
      <c r="T767" s="1"/>
      <c r="U767" s="1"/>
      <c r="V767" s="1"/>
      <c r="W767" s="1"/>
      <c r="X767" s="1"/>
      <c r="Y767" s="1"/>
      <c r="Z767" s="1"/>
      <c r="AA767" s="1"/>
    </row>
    <row r="768" spans="15:27" ht="15.75" customHeight="1" x14ac:dyDescent="0.45">
      <c r="O768" s="1"/>
      <c r="P768" s="1"/>
      <c r="Q768" s="1"/>
      <c r="R768" s="1"/>
      <c r="S768" s="1"/>
      <c r="T768" s="1"/>
      <c r="U768" s="1"/>
      <c r="V768" s="1"/>
      <c r="W768" s="1"/>
      <c r="X768" s="1"/>
      <c r="Y768" s="1"/>
      <c r="Z768" s="1"/>
      <c r="AA768" s="1"/>
    </row>
    <row r="769" spans="15:27" ht="15.75" customHeight="1" x14ac:dyDescent="0.45">
      <c r="O769" s="1"/>
      <c r="P769" s="1"/>
      <c r="Q769" s="1"/>
      <c r="R769" s="1"/>
      <c r="S769" s="1"/>
      <c r="T769" s="1"/>
      <c r="U769" s="1"/>
      <c r="V769" s="1"/>
      <c r="W769" s="1"/>
      <c r="X769" s="1"/>
      <c r="Y769" s="1"/>
      <c r="Z769" s="1"/>
      <c r="AA769" s="1"/>
    </row>
    <row r="770" spans="15:27" ht="15.75" customHeight="1" x14ac:dyDescent="0.45">
      <c r="O770" s="1"/>
      <c r="P770" s="1"/>
      <c r="Q770" s="1"/>
      <c r="R770" s="1"/>
      <c r="S770" s="1"/>
      <c r="T770" s="1"/>
      <c r="U770" s="1"/>
      <c r="V770" s="1"/>
      <c r="W770" s="1"/>
      <c r="X770" s="1"/>
      <c r="Y770" s="1"/>
      <c r="Z770" s="1"/>
      <c r="AA770" s="1"/>
    </row>
    <row r="771" spans="15:27" ht="15.75" customHeight="1" x14ac:dyDescent="0.45">
      <c r="O771" s="1"/>
      <c r="P771" s="1"/>
      <c r="Q771" s="1"/>
      <c r="R771" s="1"/>
      <c r="S771" s="1"/>
      <c r="T771" s="1"/>
      <c r="U771" s="1"/>
      <c r="V771" s="1"/>
      <c r="W771" s="1"/>
      <c r="X771" s="1"/>
      <c r="Y771" s="1"/>
      <c r="Z771" s="1"/>
      <c r="AA771" s="1"/>
    </row>
    <row r="772" spans="15:27" ht="15.75" customHeight="1" x14ac:dyDescent="0.45">
      <c r="O772" s="1"/>
      <c r="P772" s="1"/>
      <c r="Q772" s="1"/>
      <c r="R772" s="1"/>
      <c r="S772" s="1"/>
      <c r="T772" s="1"/>
      <c r="U772" s="1"/>
      <c r="V772" s="1"/>
      <c r="W772" s="1"/>
      <c r="X772" s="1"/>
      <c r="Y772" s="1"/>
      <c r="Z772" s="1"/>
      <c r="AA772" s="1"/>
    </row>
    <row r="773" spans="15:27" ht="15.75" customHeight="1" x14ac:dyDescent="0.45">
      <c r="O773" s="1"/>
      <c r="P773" s="1"/>
      <c r="Q773" s="1"/>
      <c r="R773" s="1"/>
      <c r="S773" s="1"/>
      <c r="T773" s="1"/>
      <c r="U773" s="1"/>
      <c r="V773" s="1"/>
      <c r="W773" s="1"/>
      <c r="X773" s="1"/>
      <c r="Y773" s="1"/>
      <c r="Z773" s="1"/>
      <c r="AA773" s="1"/>
    </row>
    <row r="774" spans="15:27" ht="15.75" customHeight="1" x14ac:dyDescent="0.45">
      <c r="O774" s="1"/>
      <c r="P774" s="1"/>
      <c r="Q774" s="1"/>
      <c r="R774" s="1"/>
      <c r="S774" s="1"/>
      <c r="T774" s="1"/>
      <c r="U774" s="1"/>
      <c r="V774" s="1"/>
      <c r="W774" s="1"/>
      <c r="X774" s="1"/>
      <c r="Y774" s="1"/>
      <c r="Z774" s="1"/>
      <c r="AA774" s="1"/>
    </row>
    <row r="775" spans="15:27" ht="15.75" customHeight="1" x14ac:dyDescent="0.45">
      <c r="O775" s="1"/>
      <c r="P775" s="1"/>
      <c r="Q775" s="1"/>
      <c r="R775" s="1"/>
      <c r="S775" s="1"/>
      <c r="T775" s="1"/>
      <c r="U775" s="1"/>
      <c r="V775" s="1"/>
      <c r="W775" s="1"/>
      <c r="X775" s="1"/>
      <c r="Y775" s="1"/>
      <c r="Z775" s="1"/>
      <c r="AA775" s="1"/>
    </row>
    <row r="776" spans="15:27" ht="15.75" customHeight="1" x14ac:dyDescent="0.45">
      <c r="O776" s="1"/>
      <c r="P776" s="1"/>
      <c r="Q776" s="1"/>
      <c r="R776" s="1"/>
      <c r="S776" s="1"/>
      <c r="T776" s="1"/>
      <c r="U776" s="1"/>
      <c r="V776" s="1"/>
      <c r="W776" s="1"/>
      <c r="X776" s="1"/>
      <c r="Y776" s="1"/>
      <c r="Z776" s="1"/>
      <c r="AA776" s="1"/>
    </row>
    <row r="777" spans="15:27" ht="15.75" customHeight="1" x14ac:dyDescent="0.45">
      <c r="O777" s="1"/>
      <c r="P777" s="1"/>
      <c r="Q777" s="1"/>
      <c r="R777" s="1"/>
      <c r="S777" s="1"/>
      <c r="T777" s="1"/>
      <c r="U777" s="1"/>
      <c r="V777" s="1"/>
      <c r="W777" s="1"/>
      <c r="X777" s="1"/>
      <c r="Y777" s="1"/>
      <c r="Z777" s="1"/>
      <c r="AA777" s="1"/>
    </row>
    <row r="778" spans="15:27" ht="15.75" customHeight="1" x14ac:dyDescent="0.45">
      <c r="O778" s="1"/>
      <c r="P778" s="1"/>
      <c r="Q778" s="1"/>
      <c r="R778" s="1"/>
      <c r="S778" s="1"/>
      <c r="T778" s="1"/>
      <c r="U778" s="1"/>
      <c r="V778" s="1"/>
      <c r="W778" s="1"/>
      <c r="X778" s="1"/>
      <c r="Y778" s="1"/>
      <c r="Z778" s="1"/>
      <c r="AA778" s="1"/>
    </row>
    <row r="779" spans="15:27" ht="15.75" customHeight="1" x14ac:dyDescent="0.45">
      <c r="O779" s="1"/>
      <c r="P779" s="1"/>
      <c r="Q779" s="1"/>
      <c r="R779" s="1"/>
      <c r="S779" s="1"/>
      <c r="T779" s="1"/>
      <c r="U779" s="1"/>
      <c r="V779" s="1"/>
      <c r="W779" s="1"/>
      <c r="X779" s="1"/>
      <c r="Y779" s="1"/>
      <c r="Z779" s="1"/>
      <c r="AA779" s="1"/>
    </row>
    <row r="780" spans="15:27" ht="15.75" customHeight="1" x14ac:dyDescent="0.45">
      <c r="O780" s="1"/>
      <c r="P780" s="1"/>
      <c r="Q780" s="1"/>
      <c r="R780" s="1"/>
      <c r="S780" s="1"/>
      <c r="T780" s="1"/>
      <c r="U780" s="1"/>
      <c r="V780" s="1"/>
      <c r="W780" s="1"/>
      <c r="X780" s="1"/>
      <c r="Y780" s="1"/>
      <c r="Z780" s="1"/>
      <c r="AA780" s="1"/>
    </row>
    <row r="781" spans="15:27" ht="15.75" customHeight="1" x14ac:dyDescent="0.45">
      <c r="O781" s="1"/>
      <c r="P781" s="1"/>
      <c r="Q781" s="1"/>
      <c r="R781" s="1"/>
      <c r="S781" s="1"/>
      <c r="T781" s="1"/>
      <c r="U781" s="1"/>
      <c r="V781" s="1"/>
      <c r="W781" s="1"/>
      <c r="X781" s="1"/>
      <c r="Y781" s="1"/>
      <c r="Z781" s="1"/>
      <c r="AA781" s="1"/>
    </row>
    <row r="782" spans="15:27" ht="15.75" customHeight="1" x14ac:dyDescent="0.45">
      <c r="O782" s="1"/>
      <c r="P782" s="1"/>
      <c r="Q782" s="1"/>
      <c r="R782" s="1"/>
      <c r="S782" s="1"/>
      <c r="T782" s="1"/>
      <c r="U782" s="1"/>
      <c r="V782" s="1"/>
      <c r="W782" s="1"/>
      <c r="X782" s="1"/>
      <c r="Y782" s="1"/>
      <c r="Z782" s="1"/>
      <c r="AA782" s="1"/>
    </row>
    <row r="783" spans="15:27" ht="15.75" customHeight="1" x14ac:dyDescent="0.45">
      <c r="O783" s="1"/>
      <c r="P783" s="1"/>
      <c r="Q783" s="1"/>
      <c r="R783" s="1"/>
      <c r="S783" s="1"/>
      <c r="T783" s="1"/>
      <c r="U783" s="1"/>
      <c r="V783" s="1"/>
      <c r="W783" s="1"/>
      <c r="X783" s="1"/>
      <c r="Y783" s="1"/>
      <c r="Z783" s="1"/>
      <c r="AA783" s="1"/>
    </row>
    <row r="784" spans="15:27" ht="15.75" customHeight="1" x14ac:dyDescent="0.45">
      <c r="O784" s="1"/>
      <c r="P784" s="1"/>
      <c r="Q784" s="1"/>
      <c r="R784" s="1"/>
      <c r="S784" s="1"/>
      <c r="T784" s="1"/>
      <c r="U784" s="1"/>
      <c r="V784" s="1"/>
      <c r="W784" s="1"/>
      <c r="X784" s="1"/>
      <c r="Y784" s="1"/>
      <c r="Z784" s="1"/>
      <c r="AA784" s="1"/>
    </row>
    <row r="785" spans="15:27" ht="15.75" customHeight="1" x14ac:dyDescent="0.45">
      <c r="O785" s="1"/>
      <c r="P785" s="1"/>
      <c r="Q785" s="1"/>
      <c r="R785" s="1"/>
      <c r="S785" s="1"/>
      <c r="T785" s="1"/>
      <c r="U785" s="1"/>
      <c r="V785" s="1"/>
      <c r="W785" s="1"/>
      <c r="X785" s="1"/>
      <c r="Y785" s="1"/>
      <c r="Z785" s="1"/>
      <c r="AA785" s="1"/>
    </row>
    <row r="786" spans="15:27" ht="15.75" customHeight="1" x14ac:dyDescent="0.45">
      <c r="O786" s="1"/>
      <c r="P786" s="1"/>
      <c r="Q786" s="1"/>
      <c r="R786" s="1"/>
      <c r="S786" s="1"/>
      <c r="T786" s="1"/>
      <c r="U786" s="1"/>
      <c r="V786" s="1"/>
      <c r="W786" s="1"/>
      <c r="X786" s="1"/>
      <c r="Y786" s="1"/>
      <c r="Z786" s="1"/>
      <c r="AA786" s="1"/>
    </row>
    <row r="787" spans="15:27" ht="15.75" customHeight="1" x14ac:dyDescent="0.45">
      <c r="O787" s="1"/>
      <c r="P787" s="1"/>
      <c r="Q787" s="1"/>
      <c r="R787" s="1"/>
      <c r="S787" s="1"/>
      <c r="T787" s="1"/>
      <c r="U787" s="1"/>
      <c r="V787" s="1"/>
      <c r="W787" s="1"/>
      <c r="X787" s="1"/>
      <c r="Y787" s="1"/>
      <c r="Z787" s="1"/>
      <c r="AA787" s="1"/>
    </row>
    <row r="788" spans="15:27" ht="15.75" customHeight="1" x14ac:dyDescent="0.45">
      <c r="O788" s="1"/>
      <c r="P788" s="1"/>
      <c r="Q788" s="1"/>
      <c r="R788" s="1"/>
      <c r="S788" s="1"/>
      <c r="T788" s="1"/>
      <c r="U788" s="1"/>
      <c r="V788" s="1"/>
      <c r="W788" s="1"/>
      <c r="X788" s="1"/>
      <c r="Y788" s="1"/>
      <c r="Z788" s="1"/>
      <c r="AA788" s="1"/>
    </row>
    <row r="789" spans="15:27" ht="15.75" customHeight="1" x14ac:dyDescent="0.45">
      <c r="O789" s="1"/>
      <c r="P789" s="1"/>
      <c r="Q789" s="1"/>
      <c r="R789" s="1"/>
      <c r="S789" s="1"/>
      <c r="T789" s="1"/>
      <c r="U789" s="1"/>
      <c r="V789" s="1"/>
      <c r="W789" s="1"/>
      <c r="X789" s="1"/>
      <c r="Y789" s="1"/>
      <c r="Z789" s="1"/>
      <c r="AA789" s="1"/>
    </row>
    <row r="790" spans="15:27" ht="15.75" customHeight="1" x14ac:dyDescent="0.45">
      <c r="O790" s="1"/>
      <c r="P790" s="1"/>
      <c r="Q790" s="1"/>
      <c r="R790" s="1"/>
      <c r="S790" s="1"/>
      <c r="T790" s="1"/>
      <c r="U790" s="1"/>
      <c r="V790" s="1"/>
      <c r="W790" s="1"/>
      <c r="X790" s="1"/>
      <c r="Y790" s="1"/>
      <c r="Z790" s="1"/>
      <c r="AA790" s="1"/>
    </row>
    <row r="791" spans="15:27" ht="15.75" customHeight="1" x14ac:dyDescent="0.45">
      <c r="O791" s="1"/>
      <c r="P791" s="1"/>
      <c r="Q791" s="1"/>
      <c r="R791" s="1"/>
      <c r="S791" s="1"/>
      <c r="T791" s="1"/>
      <c r="U791" s="1"/>
      <c r="V791" s="1"/>
      <c r="W791" s="1"/>
      <c r="X791" s="1"/>
      <c r="Y791" s="1"/>
      <c r="Z791" s="1"/>
      <c r="AA791" s="1"/>
    </row>
    <row r="792" spans="15:27" ht="15.75" customHeight="1" x14ac:dyDescent="0.45">
      <c r="O792" s="1"/>
      <c r="P792" s="1"/>
      <c r="Q792" s="1"/>
      <c r="R792" s="1"/>
      <c r="S792" s="1"/>
      <c r="T792" s="1"/>
      <c r="U792" s="1"/>
      <c r="V792" s="1"/>
      <c r="W792" s="1"/>
      <c r="X792" s="1"/>
      <c r="Y792" s="1"/>
      <c r="Z792" s="1"/>
      <c r="AA792" s="1"/>
    </row>
    <row r="793" spans="15:27" ht="15.75" customHeight="1" x14ac:dyDescent="0.45">
      <c r="O793" s="1"/>
      <c r="P793" s="1"/>
      <c r="Q793" s="1"/>
      <c r="R793" s="1"/>
      <c r="S793" s="1"/>
      <c r="T793" s="1"/>
      <c r="U793" s="1"/>
      <c r="V793" s="1"/>
      <c r="W793" s="1"/>
      <c r="X793" s="1"/>
      <c r="Y793" s="1"/>
      <c r="Z793" s="1"/>
      <c r="AA793" s="1"/>
    </row>
    <row r="794" spans="15:27" ht="15.75" customHeight="1" x14ac:dyDescent="0.45">
      <c r="O794" s="1"/>
      <c r="P794" s="1"/>
      <c r="Q794" s="1"/>
      <c r="R794" s="1"/>
      <c r="S794" s="1"/>
      <c r="T794" s="1"/>
      <c r="U794" s="1"/>
      <c r="V794" s="1"/>
      <c r="W794" s="1"/>
      <c r="X794" s="1"/>
      <c r="Y794" s="1"/>
      <c r="Z794" s="1"/>
      <c r="AA794" s="1"/>
    </row>
    <row r="795" spans="15:27" ht="15.75" customHeight="1" x14ac:dyDescent="0.45">
      <c r="O795" s="1"/>
      <c r="P795" s="1"/>
      <c r="Q795" s="1"/>
      <c r="R795" s="1"/>
      <c r="S795" s="1"/>
      <c r="T795" s="1"/>
      <c r="U795" s="1"/>
      <c r="V795" s="1"/>
      <c r="W795" s="1"/>
      <c r="X795" s="1"/>
      <c r="Y795" s="1"/>
      <c r="Z795" s="1"/>
      <c r="AA795" s="1"/>
    </row>
    <row r="796" spans="15:27" ht="15.75" customHeight="1" x14ac:dyDescent="0.45">
      <c r="O796" s="1"/>
      <c r="P796" s="1"/>
      <c r="Q796" s="1"/>
      <c r="R796" s="1"/>
      <c r="S796" s="1"/>
      <c r="T796" s="1"/>
      <c r="U796" s="1"/>
      <c r="V796" s="1"/>
      <c r="W796" s="1"/>
      <c r="X796" s="1"/>
      <c r="Y796" s="1"/>
      <c r="Z796" s="1"/>
      <c r="AA796" s="1"/>
    </row>
    <row r="797" spans="15:27" ht="15.75" customHeight="1" x14ac:dyDescent="0.45">
      <c r="O797" s="1"/>
      <c r="P797" s="1"/>
      <c r="Q797" s="1"/>
      <c r="R797" s="1"/>
      <c r="S797" s="1"/>
      <c r="T797" s="1"/>
      <c r="U797" s="1"/>
      <c r="V797" s="1"/>
      <c r="W797" s="1"/>
      <c r="X797" s="1"/>
      <c r="Y797" s="1"/>
      <c r="Z797" s="1"/>
      <c r="AA797" s="1"/>
    </row>
    <row r="798" spans="15:27" ht="15.75" customHeight="1" x14ac:dyDescent="0.45">
      <c r="O798" s="1"/>
      <c r="P798" s="1"/>
      <c r="Q798" s="1"/>
      <c r="R798" s="1"/>
      <c r="S798" s="1"/>
      <c r="T798" s="1"/>
      <c r="U798" s="1"/>
      <c r="V798" s="1"/>
      <c r="W798" s="1"/>
      <c r="X798" s="1"/>
      <c r="Y798" s="1"/>
      <c r="Z798" s="1"/>
      <c r="AA798" s="1"/>
    </row>
    <row r="799" spans="15:27" ht="15.75" customHeight="1" x14ac:dyDescent="0.45">
      <c r="O799" s="1"/>
      <c r="P799" s="1"/>
      <c r="Q799" s="1"/>
      <c r="R799" s="1"/>
      <c r="S799" s="1"/>
      <c r="T799" s="1"/>
      <c r="U799" s="1"/>
      <c r="V799" s="1"/>
      <c r="W799" s="1"/>
      <c r="X799" s="1"/>
      <c r="Y799" s="1"/>
      <c r="Z799" s="1"/>
      <c r="AA799" s="1"/>
    </row>
    <row r="800" spans="15:27" ht="15.75" customHeight="1" x14ac:dyDescent="0.45">
      <c r="O800" s="1"/>
      <c r="P800" s="1"/>
      <c r="Q800" s="1"/>
      <c r="R800" s="1"/>
      <c r="S800" s="1"/>
      <c r="T800" s="1"/>
      <c r="U800" s="1"/>
      <c r="V800" s="1"/>
      <c r="W800" s="1"/>
      <c r="X800" s="1"/>
      <c r="Y800" s="1"/>
      <c r="Z800" s="1"/>
      <c r="AA800" s="1"/>
    </row>
    <row r="801" spans="15:27" ht="15.75" customHeight="1" x14ac:dyDescent="0.45">
      <c r="O801" s="1"/>
      <c r="P801" s="1"/>
      <c r="Q801" s="1"/>
      <c r="R801" s="1"/>
      <c r="S801" s="1"/>
      <c r="T801" s="1"/>
      <c r="U801" s="1"/>
      <c r="V801" s="1"/>
      <c r="W801" s="1"/>
      <c r="X801" s="1"/>
      <c r="Y801" s="1"/>
      <c r="Z801" s="1"/>
      <c r="AA801" s="1"/>
    </row>
    <row r="802" spans="15:27" ht="15.75" customHeight="1" x14ac:dyDescent="0.45">
      <c r="O802" s="1"/>
      <c r="P802" s="1"/>
      <c r="Q802" s="1"/>
      <c r="R802" s="1"/>
      <c r="S802" s="1"/>
      <c r="T802" s="1"/>
      <c r="U802" s="1"/>
      <c r="V802" s="1"/>
      <c r="W802" s="1"/>
      <c r="X802" s="1"/>
      <c r="Y802" s="1"/>
      <c r="Z802" s="1"/>
      <c r="AA802" s="1"/>
    </row>
    <row r="803" spans="15:27" ht="15.75" customHeight="1" x14ac:dyDescent="0.45">
      <c r="O803" s="1"/>
      <c r="P803" s="1"/>
      <c r="Q803" s="1"/>
      <c r="R803" s="1"/>
      <c r="S803" s="1"/>
      <c r="T803" s="1"/>
      <c r="U803" s="1"/>
      <c r="V803" s="1"/>
      <c r="W803" s="1"/>
      <c r="X803" s="1"/>
      <c r="Y803" s="1"/>
      <c r="Z803" s="1"/>
      <c r="AA803" s="1"/>
    </row>
    <row r="804" spans="15:27" ht="15.75" customHeight="1" x14ac:dyDescent="0.45">
      <c r="O804" s="1"/>
      <c r="P804" s="1"/>
      <c r="Q804" s="1"/>
      <c r="R804" s="1"/>
      <c r="S804" s="1"/>
      <c r="T804" s="1"/>
      <c r="U804" s="1"/>
      <c r="V804" s="1"/>
      <c r="W804" s="1"/>
      <c r="X804" s="1"/>
      <c r="Y804" s="1"/>
      <c r="Z804" s="1"/>
      <c r="AA804" s="1"/>
    </row>
    <row r="805" spans="15:27" ht="15.75" customHeight="1" x14ac:dyDescent="0.45">
      <c r="O805" s="1"/>
      <c r="P805" s="1"/>
      <c r="Q805" s="1"/>
      <c r="R805" s="1"/>
      <c r="S805" s="1"/>
      <c r="T805" s="1"/>
      <c r="U805" s="1"/>
      <c r="V805" s="1"/>
      <c r="W805" s="1"/>
      <c r="X805" s="1"/>
      <c r="Y805" s="1"/>
      <c r="Z805" s="1"/>
      <c r="AA805" s="1"/>
    </row>
    <row r="806" spans="15:27" ht="15.75" customHeight="1" x14ac:dyDescent="0.45">
      <c r="O806" s="1"/>
      <c r="P806" s="1"/>
      <c r="Q806" s="1"/>
      <c r="R806" s="1"/>
      <c r="S806" s="1"/>
      <c r="T806" s="1"/>
      <c r="U806" s="1"/>
      <c r="V806" s="1"/>
      <c r="W806" s="1"/>
      <c r="X806" s="1"/>
      <c r="Y806" s="1"/>
      <c r="Z806" s="1"/>
      <c r="AA806" s="1"/>
    </row>
    <row r="807" spans="15:27" ht="15.75" customHeight="1" x14ac:dyDescent="0.45">
      <c r="O807" s="1"/>
      <c r="P807" s="1"/>
      <c r="Q807" s="1"/>
      <c r="R807" s="1"/>
      <c r="S807" s="1"/>
      <c r="T807" s="1"/>
      <c r="U807" s="1"/>
      <c r="V807" s="1"/>
      <c r="W807" s="1"/>
      <c r="X807" s="1"/>
      <c r="Y807" s="1"/>
      <c r="Z807" s="1"/>
      <c r="AA807" s="1"/>
    </row>
    <row r="808" spans="15:27" ht="15.75" customHeight="1" x14ac:dyDescent="0.45">
      <c r="O808" s="1"/>
      <c r="P808" s="1"/>
      <c r="Q808" s="1"/>
      <c r="R808" s="1"/>
      <c r="S808" s="1"/>
      <c r="T808" s="1"/>
      <c r="U808" s="1"/>
      <c r="V808" s="1"/>
      <c r="W808" s="1"/>
      <c r="X808" s="1"/>
      <c r="Y808" s="1"/>
      <c r="Z808" s="1"/>
      <c r="AA808" s="1"/>
    </row>
    <row r="809" spans="15:27" ht="15.75" customHeight="1" x14ac:dyDescent="0.45">
      <c r="O809" s="1"/>
      <c r="P809" s="1"/>
      <c r="Q809" s="1"/>
      <c r="R809" s="1"/>
      <c r="S809" s="1"/>
      <c r="T809" s="1"/>
      <c r="U809" s="1"/>
      <c r="V809" s="1"/>
      <c r="W809" s="1"/>
      <c r="X809" s="1"/>
      <c r="Y809" s="1"/>
      <c r="Z809" s="1"/>
      <c r="AA809" s="1"/>
    </row>
    <row r="810" spans="15:27" ht="15.75" customHeight="1" x14ac:dyDescent="0.45">
      <c r="O810" s="1"/>
      <c r="P810" s="1"/>
      <c r="Q810" s="1"/>
      <c r="R810" s="1"/>
      <c r="S810" s="1"/>
      <c r="T810" s="1"/>
      <c r="U810" s="1"/>
      <c r="V810" s="1"/>
      <c r="W810" s="1"/>
      <c r="X810" s="1"/>
      <c r="Y810" s="1"/>
      <c r="Z810" s="1"/>
      <c r="AA810" s="1"/>
    </row>
    <row r="811" spans="15:27" ht="15.75" customHeight="1" x14ac:dyDescent="0.45">
      <c r="O811" s="1"/>
      <c r="P811" s="1"/>
      <c r="Q811" s="1"/>
      <c r="R811" s="1"/>
      <c r="S811" s="1"/>
      <c r="T811" s="1"/>
      <c r="U811" s="1"/>
      <c r="V811" s="1"/>
      <c r="W811" s="1"/>
      <c r="X811" s="1"/>
      <c r="Y811" s="1"/>
      <c r="Z811" s="1"/>
      <c r="AA811" s="1"/>
    </row>
    <row r="812" spans="15:27" ht="15.75" customHeight="1" x14ac:dyDescent="0.45">
      <c r="O812" s="1"/>
      <c r="P812" s="1"/>
      <c r="Q812" s="1"/>
      <c r="R812" s="1"/>
      <c r="S812" s="1"/>
      <c r="T812" s="1"/>
      <c r="U812" s="1"/>
      <c r="V812" s="1"/>
      <c r="W812" s="1"/>
      <c r="X812" s="1"/>
      <c r="Y812" s="1"/>
      <c r="Z812" s="1"/>
      <c r="AA812" s="1"/>
    </row>
    <row r="813" spans="15:27" ht="15.75" customHeight="1" x14ac:dyDescent="0.45">
      <c r="O813" s="1"/>
      <c r="P813" s="1"/>
      <c r="Q813" s="1"/>
      <c r="R813" s="1"/>
      <c r="S813" s="1"/>
      <c r="T813" s="1"/>
      <c r="U813" s="1"/>
      <c r="V813" s="1"/>
      <c r="W813" s="1"/>
      <c r="X813" s="1"/>
      <c r="Y813" s="1"/>
      <c r="Z813" s="1"/>
      <c r="AA813" s="1"/>
    </row>
    <row r="814" spans="15:27" ht="15.75" customHeight="1" x14ac:dyDescent="0.45">
      <c r="O814" s="1"/>
      <c r="P814" s="1"/>
      <c r="Q814" s="1"/>
      <c r="R814" s="1"/>
      <c r="S814" s="1"/>
      <c r="T814" s="1"/>
      <c r="U814" s="1"/>
      <c r="V814" s="1"/>
      <c r="W814" s="1"/>
      <c r="X814" s="1"/>
      <c r="Y814" s="1"/>
      <c r="Z814" s="1"/>
      <c r="AA814" s="1"/>
    </row>
    <row r="815" spans="15:27" ht="15.75" customHeight="1" x14ac:dyDescent="0.45">
      <c r="O815" s="1"/>
      <c r="P815" s="1"/>
      <c r="Q815" s="1"/>
      <c r="R815" s="1"/>
      <c r="S815" s="1"/>
      <c r="T815" s="1"/>
      <c r="U815" s="1"/>
      <c r="V815" s="1"/>
      <c r="W815" s="1"/>
      <c r="X815" s="1"/>
      <c r="Y815" s="1"/>
      <c r="Z815" s="1"/>
      <c r="AA815" s="1"/>
    </row>
    <row r="816" spans="15:27" ht="15.75" customHeight="1" x14ac:dyDescent="0.45">
      <c r="O816" s="1"/>
      <c r="P816" s="1"/>
      <c r="Q816" s="1"/>
      <c r="R816" s="1"/>
      <c r="S816" s="1"/>
      <c r="T816" s="1"/>
      <c r="U816" s="1"/>
      <c r="V816" s="1"/>
      <c r="W816" s="1"/>
      <c r="X816" s="1"/>
      <c r="Y816" s="1"/>
      <c r="Z816" s="1"/>
      <c r="AA816" s="1"/>
    </row>
    <row r="817" spans="15:27" ht="15.75" customHeight="1" x14ac:dyDescent="0.45">
      <c r="O817" s="1"/>
      <c r="P817" s="1"/>
      <c r="Q817" s="1"/>
      <c r="R817" s="1"/>
      <c r="S817" s="1"/>
      <c r="T817" s="1"/>
      <c r="U817" s="1"/>
      <c r="V817" s="1"/>
      <c r="W817" s="1"/>
      <c r="X817" s="1"/>
      <c r="Y817" s="1"/>
      <c r="Z817" s="1"/>
      <c r="AA817" s="1"/>
    </row>
    <row r="818" spans="15:27" ht="15.75" customHeight="1" x14ac:dyDescent="0.45">
      <c r="O818" s="1"/>
      <c r="P818" s="1"/>
      <c r="Q818" s="1"/>
      <c r="R818" s="1"/>
      <c r="S818" s="1"/>
      <c r="T818" s="1"/>
      <c r="U818" s="1"/>
      <c r="V818" s="1"/>
      <c r="W818" s="1"/>
      <c r="X818" s="1"/>
      <c r="Y818" s="1"/>
      <c r="Z818" s="1"/>
      <c r="AA818" s="1"/>
    </row>
    <row r="819" spans="15:27" ht="15.75" customHeight="1" x14ac:dyDescent="0.45">
      <c r="O819" s="1"/>
      <c r="P819" s="1"/>
      <c r="Q819" s="1"/>
      <c r="R819" s="1"/>
      <c r="S819" s="1"/>
      <c r="T819" s="1"/>
      <c r="U819" s="1"/>
      <c r="V819" s="1"/>
      <c r="W819" s="1"/>
      <c r="X819" s="1"/>
      <c r="Y819" s="1"/>
      <c r="Z819" s="1"/>
      <c r="AA819" s="1"/>
    </row>
    <row r="820" spans="15:27" ht="15.75" customHeight="1" x14ac:dyDescent="0.45">
      <c r="O820" s="1"/>
      <c r="P820" s="1"/>
      <c r="Q820" s="1"/>
      <c r="R820" s="1"/>
      <c r="S820" s="1"/>
      <c r="T820" s="1"/>
      <c r="U820" s="1"/>
      <c r="V820" s="1"/>
      <c r="W820" s="1"/>
      <c r="X820" s="1"/>
      <c r="Y820" s="1"/>
      <c r="Z820" s="1"/>
      <c r="AA820" s="1"/>
    </row>
    <row r="821" spans="15:27" ht="15.75" customHeight="1" x14ac:dyDescent="0.45">
      <c r="O821" s="1"/>
      <c r="P821" s="1"/>
      <c r="Q821" s="1"/>
      <c r="R821" s="1"/>
      <c r="S821" s="1"/>
      <c r="T821" s="1"/>
      <c r="U821" s="1"/>
      <c r="V821" s="1"/>
      <c r="W821" s="1"/>
      <c r="X821" s="1"/>
      <c r="Y821" s="1"/>
      <c r="Z821" s="1"/>
      <c r="AA821" s="1"/>
    </row>
    <row r="822" spans="15:27" ht="15.75" customHeight="1" x14ac:dyDescent="0.45">
      <c r="O822" s="1"/>
      <c r="P822" s="1"/>
      <c r="Q822" s="1"/>
      <c r="R822" s="1"/>
      <c r="S822" s="1"/>
      <c r="T822" s="1"/>
      <c r="U822" s="1"/>
      <c r="V822" s="1"/>
      <c r="W822" s="1"/>
      <c r="X822" s="1"/>
      <c r="Y822" s="1"/>
      <c r="Z822" s="1"/>
      <c r="AA822" s="1"/>
    </row>
    <row r="823" spans="15:27" ht="15.75" customHeight="1" x14ac:dyDescent="0.45">
      <c r="O823" s="1"/>
      <c r="P823" s="1"/>
      <c r="Q823" s="1"/>
      <c r="R823" s="1"/>
      <c r="S823" s="1"/>
      <c r="T823" s="1"/>
      <c r="U823" s="1"/>
      <c r="V823" s="1"/>
      <c r="W823" s="1"/>
      <c r="X823" s="1"/>
      <c r="Y823" s="1"/>
      <c r="Z823" s="1"/>
      <c r="AA823" s="1"/>
    </row>
    <row r="824" spans="15:27" ht="15.75" customHeight="1" x14ac:dyDescent="0.45">
      <c r="O824" s="1"/>
      <c r="P824" s="1"/>
      <c r="Q824" s="1"/>
      <c r="R824" s="1"/>
      <c r="S824" s="1"/>
      <c r="T824" s="1"/>
      <c r="U824" s="1"/>
      <c r="V824" s="1"/>
      <c r="W824" s="1"/>
      <c r="X824" s="1"/>
      <c r="Y824" s="1"/>
      <c r="Z824" s="1"/>
      <c r="AA824" s="1"/>
    </row>
    <row r="825" spans="15:27" ht="15.75" customHeight="1" x14ac:dyDescent="0.45">
      <c r="O825" s="1"/>
      <c r="P825" s="1"/>
      <c r="Q825" s="1"/>
      <c r="R825" s="1"/>
      <c r="S825" s="1"/>
      <c r="T825" s="1"/>
      <c r="U825" s="1"/>
      <c r="V825" s="1"/>
      <c r="W825" s="1"/>
      <c r="X825" s="1"/>
      <c r="Y825" s="1"/>
      <c r="Z825" s="1"/>
      <c r="AA825" s="1"/>
    </row>
    <row r="826" spans="15:27" ht="15.75" customHeight="1" x14ac:dyDescent="0.45">
      <c r="O826" s="1"/>
      <c r="P826" s="1"/>
      <c r="Q826" s="1"/>
      <c r="R826" s="1"/>
      <c r="S826" s="1"/>
      <c r="T826" s="1"/>
      <c r="U826" s="1"/>
      <c r="V826" s="1"/>
      <c r="W826" s="1"/>
      <c r="X826" s="1"/>
      <c r="Y826" s="1"/>
      <c r="Z826" s="1"/>
      <c r="AA826" s="1"/>
    </row>
    <row r="827" spans="15:27" ht="15.75" customHeight="1" x14ac:dyDescent="0.45">
      <c r="O827" s="1"/>
      <c r="P827" s="1"/>
      <c r="Q827" s="1"/>
      <c r="R827" s="1"/>
      <c r="S827" s="1"/>
      <c r="T827" s="1"/>
      <c r="U827" s="1"/>
      <c r="V827" s="1"/>
      <c r="W827" s="1"/>
      <c r="X827" s="1"/>
      <c r="Y827" s="1"/>
      <c r="Z827" s="1"/>
      <c r="AA827" s="1"/>
    </row>
    <row r="828" spans="15:27" ht="15.75" customHeight="1" x14ac:dyDescent="0.45">
      <c r="O828" s="1"/>
      <c r="P828" s="1"/>
      <c r="Q828" s="1"/>
      <c r="R828" s="1"/>
      <c r="S828" s="1"/>
      <c r="T828" s="1"/>
      <c r="U828" s="1"/>
      <c r="V828" s="1"/>
      <c r="W828" s="1"/>
      <c r="X828" s="1"/>
      <c r="Y828" s="1"/>
      <c r="Z828" s="1"/>
      <c r="AA828" s="1"/>
    </row>
    <row r="829" spans="15:27" ht="15.75" customHeight="1" x14ac:dyDescent="0.45">
      <c r="O829" s="1"/>
      <c r="P829" s="1"/>
      <c r="Q829" s="1"/>
      <c r="R829" s="1"/>
      <c r="S829" s="1"/>
      <c r="T829" s="1"/>
      <c r="U829" s="1"/>
      <c r="V829" s="1"/>
      <c r="W829" s="1"/>
      <c r="X829" s="1"/>
      <c r="Y829" s="1"/>
      <c r="Z829" s="1"/>
      <c r="AA829" s="1"/>
    </row>
    <row r="830" spans="15:27" ht="15.75" customHeight="1" x14ac:dyDescent="0.45">
      <c r="O830" s="1"/>
      <c r="P830" s="1"/>
      <c r="Q830" s="1"/>
      <c r="R830" s="1"/>
      <c r="S830" s="1"/>
      <c r="T830" s="1"/>
      <c r="U830" s="1"/>
      <c r="V830" s="1"/>
      <c r="W830" s="1"/>
      <c r="X830" s="1"/>
      <c r="Y830" s="1"/>
      <c r="Z830" s="1"/>
      <c r="AA830" s="1"/>
    </row>
    <row r="831" spans="15:27" ht="15.75" customHeight="1" x14ac:dyDescent="0.45">
      <c r="O831" s="1"/>
      <c r="P831" s="1"/>
      <c r="Q831" s="1"/>
      <c r="R831" s="1"/>
      <c r="S831" s="1"/>
      <c r="T831" s="1"/>
      <c r="U831" s="1"/>
      <c r="V831" s="1"/>
      <c r="W831" s="1"/>
      <c r="X831" s="1"/>
      <c r="Y831" s="1"/>
      <c r="Z831" s="1"/>
      <c r="AA831" s="1"/>
    </row>
    <row r="832" spans="15:27" ht="15.75" customHeight="1" x14ac:dyDescent="0.45">
      <c r="O832" s="1"/>
      <c r="P832" s="1"/>
      <c r="Q832" s="1"/>
      <c r="R832" s="1"/>
      <c r="S832" s="1"/>
      <c r="T832" s="1"/>
      <c r="U832" s="1"/>
      <c r="V832" s="1"/>
      <c r="W832" s="1"/>
      <c r="X832" s="1"/>
      <c r="Y832" s="1"/>
      <c r="Z832" s="1"/>
      <c r="AA832" s="1"/>
    </row>
    <row r="833" spans="15:27" ht="15.75" customHeight="1" x14ac:dyDescent="0.45">
      <c r="O833" s="1"/>
      <c r="P833" s="1"/>
      <c r="Q833" s="1"/>
      <c r="R833" s="1"/>
      <c r="S833" s="1"/>
      <c r="T833" s="1"/>
      <c r="U833" s="1"/>
      <c r="V833" s="1"/>
      <c r="W833" s="1"/>
      <c r="X833" s="1"/>
      <c r="Y833" s="1"/>
      <c r="Z833" s="1"/>
      <c r="AA833" s="1"/>
    </row>
    <row r="834" spans="15:27" ht="15.75" customHeight="1" x14ac:dyDescent="0.45">
      <c r="O834" s="1"/>
      <c r="P834" s="1"/>
      <c r="Q834" s="1"/>
      <c r="R834" s="1"/>
      <c r="S834" s="1"/>
      <c r="T834" s="1"/>
      <c r="U834" s="1"/>
      <c r="V834" s="1"/>
      <c r="W834" s="1"/>
      <c r="X834" s="1"/>
      <c r="Y834" s="1"/>
      <c r="Z834" s="1"/>
      <c r="AA834" s="1"/>
    </row>
    <row r="835" spans="15:27" ht="15.75" customHeight="1" x14ac:dyDescent="0.45">
      <c r="O835" s="1"/>
      <c r="P835" s="1"/>
      <c r="Q835" s="1"/>
      <c r="R835" s="1"/>
      <c r="S835" s="1"/>
      <c r="T835" s="1"/>
      <c r="U835" s="1"/>
      <c r="V835" s="1"/>
      <c r="W835" s="1"/>
      <c r="X835" s="1"/>
      <c r="Y835" s="1"/>
      <c r="Z835" s="1"/>
      <c r="AA835" s="1"/>
    </row>
    <row r="836" spans="15:27" ht="15.75" customHeight="1" x14ac:dyDescent="0.45">
      <c r="O836" s="1"/>
      <c r="P836" s="1"/>
      <c r="Q836" s="1"/>
      <c r="R836" s="1"/>
      <c r="S836" s="1"/>
      <c r="T836" s="1"/>
      <c r="U836" s="1"/>
      <c r="V836" s="1"/>
      <c r="W836" s="1"/>
      <c r="X836" s="1"/>
      <c r="Y836" s="1"/>
      <c r="Z836" s="1"/>
      <c r="AA836" s="1"/>
    </row>
    <row r="837" spans="15:27" ht="15.75" customHeight="1" x14ac:dyDescent="0.45">
      <c r="O837" s="1"/>
      <c r="P837" s="1"/>
      <c r="Q837" s="1"/>
      <c r="R837" s="1"/>
      <c r="S837" s="1"/>
      <c r="T837" s="1"/>
      <c r="U837" s="1"/>
      <c r="V837" s="1"/>
      <c r="W837" s="1"/>
      <c r="X837" s="1"/>
      <c r="Y837" s="1"/>
      <c r="Z837" s="1"/>
      <c r="AA837" s="1"/>
    </row>
    <row r="838" spans="15:27" ht="15.75" customHeight="1" x14ac:dyDescent="0.45">
      <c r="O838" s="1"/>
      <c r="P838" s="1"/>
      <c r="Q838" s="1"/>
      <c r="R838" s="1"/>
      <c r="S838" s="1"/>
      <c r="T838" s="1"/>
      <c r="U838" s="1"/>
      <c r="V838" s="1"/>
      <c r="W838" s="1"/>
      <c r="X838" s="1"/>
      <c r="Y838" s="1"/>
      <c r="Z838" s="1"/>
      <c r="AA838" s="1"/>
    </row>
    <row r="839" spans="15:27" ht="15.75" customHeight="1" x14ac:dyDescent="0.45">
      <c r="O839" s="1"/>
      <c r="P839" s="1"/>
      <c r="Q839" s="1"/>
      <c r="R839" s="1"/>
      <c r="S839" s="1"/>
      <c r="T839" s="1"/>
      <c r="U839" s="1"/>
      <c r="V839" s="1"/>
      <c r="W839" s="1"/>
      <c r="X839" s="1"/>
      <c r="Y839" s="1"/>
      <c r="Z839" s="1"/>
      <c r="AA839" s="1"/>
    </row>
    <row r="840" spans="15:27" ht="15.75" customHeight="1" x14ac:dyDescent="0.45">
      <c r="O840" s="1"/>
      <c r="P840" s="1"/>
      <c r="Q840" s="1"/>
      <c r="R840" s="1"/>
      <c r="S840" s="1"/>
      <c r="T840" s="1"/>
      <c r="U840" s="1"/>
      <c r="V840" s="1"/>
      <c r="W840" s="1"/>
      <c r="X840" s="1"/>
      <c r="Y840" s="1"/>
      <c r="Z840" s="1"/>
      <c r="AA840" s="1"/>
    </row>
    <row r="841" spans="15:27" ht="15.75" customHeight="1" x14ac:dyDescent="0.45">
      <c r="O841" s="1"/>
      <c r="P841" s="1"/>
      <c r="Q841" s="1"/>
      <c r="R841" s="1"/>
      <c r="S841" s="1"/>
      <c r="T841" s="1"/>
      <c r="U841" s="1"/>
      <c r="V841" s="1"/>
      <c r="W841" s="1"/>
      <c r="X841" s="1"/>
      <c r="Y841" s="1"/>
      <c r="Z841" s="1"/>
      <c r="AA841" s="1"/>
    </row>
    <row r="842" spans="15:27" ht="15.75" customHeight="1" x14ac:dyDescent="0.45">
      <c r="O842" s="1"/>
      <c r="P842" s="1"/>
      <c r="Q842" s="1"/>
      <c r="R842" s="1"/>
      <c r="S842" s="1"/>
      <c r="T842" s="1"/>
      <c r="U842" s="1"/>
      <c r="V842" s="1"/>
      <c r="W842" s="1"/>
      <c r="X842" s="1"/>
      <c r="Y842" s="1"/>
      <c r="Z842" s="1"/>
      <c r="AA842" s="1"/>
    </row>
    <row r="843" spans="15:27" ht="15.75" customHeight="1" x14ac:dyDescent="0.45">
      <c r="O843" s="1"/>
      <c r="P843" s="1"/>
      <c r="Q843" s="1"/>
      <c r="R843" s="1"/>
      <c r="S843" s="1"/>
      <c r="T843" s="1"/>
      <c r="U843" s="1"/>
      <c r="V843" s="1"/>
      <c r="W843" s="1"/>
      <c r="X843" s="1"/>
      <c r="Y843" s="1"/>
      <c r="Z843" s="1"/>
      <c r="AA843" s="1"/>
    </row>
    <row r="844" spans="15:27" ht="15.75" customHeight="1" x14ac:dyDescent="0.45">
      <c r="O844" s="1"/>
      <c r="P844" s="1"/>
      <c r="Q844" s="1"/>
      <c r="R844" s="1"/>
      <c r="S844" s="1"/>
      <c r="T844" s="1"/>
      <c r="U844" s="1"/>
      <c r="V844" s="1"/>
      <c r="W844" s="1"/>
      <c r="X844" s="1"/>
      <c r="Y844" s="1"/>
      <c r="Z844" s="1"/>
      <c r="AA844" s="1"/>
    </row>
    <row r="845" spans="15:27" ht="15.75" customHeight="1" x14ac:dyDescent="0.45">
      <c r="O845" s="1"/>
      <c r="P845" s="1"/>
      <c r="Q845" s="1"/>
      <c r="R845" s="1"/>
      <c r="S845" s="1"/>
      <c r="T845" s="1"/>
      <c r="U845" s="1"/>
      <c r="V845" s="1"/>
      <c r="W845" s="1"/>
      <c r="X845" s="1"/>
      <c r="Y845" s="1"/>
      <c r="Z845" s="1"/>
      <c r="AA845" s="1"/>
    </row>
    <row r="846" spans="15:27" ht="15.75" customHeight="1" x14ac:dyDescent="0.45">
      <c r="O846" s="1"/>
      <c r="P846" s="1"/>
      <c r="Q846" s="1"/>
      <c r="R846" s="1"/>
      <c r="S846" s="1"/>
      <c r="T846" s="1"/>
      <c r="U846" s="1"/>
      <c r="V846" s="1"/>
      <c r="W846" s="1"/>
      <c r="X846" s="1"/>
      <c r="Y846" s="1"/>
      <c r="Z846" s="1"/>
      <c r="AA846" s="1"/>
    </row>
    <row r="847" spans="15:27" ht="15.75" customHeight="1" x14ac:dyDescent="0.45">
      <c r="O847" s="1"/>
      <c r="P847" s="1"/>
      <c r="Q847" s="1"/>
      <c r="R847" s="1"/>
      <c r="S847" s="1"/>
      <c r="T847" s="1"/>
      <c r="U847" s="1"/>
      <c r="V847" s="1"/>
      <c r="W847" s="1"/>
      <c r="X847" s="1"/>
      <c r="Y847" s="1"/>
      <c r="Z847" s="1"/>
      <c r="AA847" s="1"/>
    </row>
    <row r="848" spans="15:27" ht="15.75" customHeight="1" x14ac:dyDescent="0.45">
      <c r="O848" s="1"/>
      <c r="P848" s="1"/>
      <c r="Q848" s="1"/>
      <c r="R848" s="1"/>
      <c r="S848" s="1"/>
      <c r="T848" s="1"/>
      <c r="U848" s="1"/>
      <c r="V848" s="1"/>
      <c r="W848" s="1"/>
      <c r="X848" s="1"/>
      <c r="Y848" s="1"/>
      <c r="Z848" s="1"/>
      <c r="AA848" s="1"/>
    </row>
    <row r="849" spans="15:27" ht="15.75" customHeight="1" x14ac:dyDescent="0.45">
      <c r="O849" s="1"/>
      <c r="P849" s="1"/>
      <c r="Q849" s="1"/>
      <c r="R849" s="1"/>
      <c r="S849" s="1"/>
      <c r="T849" s="1"/>
      <c r="U849" s="1"/>
      <c r="V849" s="1"/>
      <c r="W849" s="1"/>
      <c r="X849" s="1"/>
      <c r="Y849" s="1"/>
      <c r="Z849" s="1"/>
      <c r="AA849" s="1"/>
    </row>
    <row r="850" spans="15:27" ht="15.75" customHeight="1" x14ac:dyDescent="0.45">
      <c r="O850" s="1"/>
      <c r="P850" s="1"/>
      <c r="Q850" s="1"/>
      <c r="R850" s="1"/>
      <c r="S850" s="1"/>
      <c r="T850" s="1"/>
      <c r="U850" s="1"/>
      <c r="V850" s="1"/>
      <c r="W850" s="1"/>
      <c r="X850" s="1"/>
      <c r="Y850" s="1"/>
      <c r="Z850" s="1"/>
      <c r="AA850" s="1"/>
    </row>
    <row r="851" spans="15:27" ht="15.75" customHeight="1" x14ac:dyDescent="0.45">
      <c r="O851" s="1"/>
      <c r="P851" s="1"/>
      <c r="Q851" s="1"/>
      <c r="R851" s="1"/>
      <c r="S851" s="1"/>
      <c r="T851" s="1"/>
      <c r="U851" s="1"/>
      <c r="V851" s="1"/>
      <c r="W851" s="1"/>
      <c r="X851" s="1"/>
      <c r="Y851" s="1"/>
      <c r="Z851" s="1"/>
      <c r="AA851" s="1"/>
    </row>
    <row r="852" spans="15:27" ht="15.75" customHeight="1" x14ac:dyDescent="0.45">
      <c r="O852" s="1"/>
      <c r="P852" s="1"/>
      <c r="Q852" s="1"/>
      <c r="R852" s="1"/>
      <c r="S852" s="1"/>
      <c r="T852" s="1"/>
      <c r="U852" s="1"/>
      <c r="V852" s="1"/>
      <c r="W852" s="1"/>
      <c r="X852" s="1"/>
      <c r="Y852" s="1"/>
      <c r="Z852" s="1"/>
      <c r="AA852" s="1"/>
    </row>
    <row r="853" spans="15:27" ht="15.75" customHeight="1" x14ac:dyDescent="0.45">
      <c r="O853" s="1"/>
      <c r="P853" s="1"/>
      <c r="Q853" s="1"/>
      <c r="R853" s="1"/>
      <c r="S853" s="1"/>
      <c r="T853" s="1"/>
      <c r="U853" s="1"/>
      <c r="V853" s="1"/>
      <c r="W853" s="1"/>
      <c r="X853" s="1"/>
      <c r="Y853" s="1"/>
      <c r="Z853" s="1"/>
      <c r="AA853" s="1"/>
    </row>
    <row r="854" spans="15:27" ht="15.75" customHeight="1" x14ac:dyDescent="0.45">
      <c r="O854" s="1"/>
      <c r="P854" s="1"/>
      <c r="Q854" s="1"/>
      <c r="R854" s="1"/>
      <c r="S854" s="1"/>
      <c r="T854" s="1"/>
      <c r="U854" s="1"/>
      <c r="V854" s="1"/>
      <c r="W854" s="1"/>
      <c r="X854" s="1"/>
      <c r="Y854" s="1"/>
      <c r="Z854" s="1"/>
      <c r="AA854" s="1"/>
    </row>
    <row r="855" spans="15:27" ht="15.75" customHeight="1" x14ac:dyDescent="0.45">
      <c r="O855" s="1"/>
      <c r="P855" s="1"/>
      <c r="Q855" s="1"/>
      <c r="R855" s="1"/>
      <c r="S855" s="1"/>
      <c r="T855" s="1"/>
      <c r="U855" s="1"/>
      <c r="V855" s="1"/>
      <c r="W855" s="1"/>
      <c r="X855" s="1"/>
      <c r="Y855" s="1"/>
      <c r="Z855" s="1"/>
      <c r="AA855" s="1"/>
    </row>
    <row r="856" spans="15:27" ht="15.75" customHeight="1" x14ac:dyDescent="0.45">
      <c r="O856" s="1"/>
      <c r="P856" s="1"/>
      <c r="Q856" s="1"/>
      <c r="R856" s="1"/>
      <c r="S856" s="1"/>
      <c r="T856" s="1"/>
      <c r="U856" s="1"/>
      <c r="V856" s="1"/>
      <c r="W856" s="1"/>
      <c r="X856" s="1"/>
      <c r="Y856" s="1"/>
      <c r="Z856" s="1"/>
      <c r="AA856" s="1"/>
    </row>
    <row r="857" spans="15:27" ht="15.75" customHeight="1" x14ac:dyDescent="0.45">
      <c r="O857" s="1"/>
      <c r="P857" s="1"/>
      <c r="Q857" s="1"/>
      <c r="R857" s="1"/>
      <c r="S857" s="1"/>
      <c r="T857" s="1"/>
      <c r="U857" s="1"/>
      <c r="V857" s="1"/>
      <c r="W857" s="1"/>
      <c r="X857" s="1"/>
      <c r="Y857" s="1"/>
      <c r="Z857" s="1"/>
      <c r="AA857" s="1"/>
    </row>
    <row r="858" spans="15:27" ht="15.75" customHeight="1" x14ac:dyDescent="0.45">
      <c r="O858" s="1"/>
      <c r="P858" s="1"/>
      <c r="Q858" s="1"/>
      <c r="R858" s="1"/>
      <c r="S858" s="1"/>
      <c r="T858" s="1"/>
      <c r="U858" s="1"/>
      <c r="V858" s="1"/>
      <c r="W858" s="1"/>
      <c r="X858" s="1"/>
      <c r="Y858" s="1"/>
      <c r="Z858" s="1"/>
      <c r="AA858" s="1"/>
    </row>
    <row r="859" spans="15:27" ht="15.75" customHeight="1" x14ac:dyDescent="0.45">
      <c r="O859" s="1"/>
      <c r="P859" s="1"/>
      <c r="Q859" s="1"/>
      <c r="R859" s="1"/>
      <c r="S859" s="1"/>
      <c r="T859" s="1"/>
      <c r="U859" s="1"/>
      <c r="V859" s="1"/>
      <c r="W859" s="1"/>
      <c r="X859" s="1"/>
      <c r="Y859" s="1"/>
      <c r="Z859" s="1"/>
      <c r="AA859" s="1"/>
    </row>
    <row r="860" spans="15:27" ht="15.75" customHeight="1" x14ac:dyDescent="0.45">
      <c r="O860" s="1"/>
      <c r="P860" s="1"/>
      <c r="Q860" s="1"/>
      <c r="R860" s="1"/>
      <c r="S860" s="1"/>
      <c r="T860" s="1"/>
      <c r="U860" s="1"/>
      <c r="V860" s="1"/>
      <c r="W860" s="1"/>
      <c r="X860" s="1"/>
      <c r="Y860" s="1"/>
      <c r="Z860" s="1"/>
      <c r="AA860" s="1"/>
    </row>
    <row r="861" spans="15:27" ht="15.75" customHeight="1" x14ac:dyDescent="0.45">
      <c r="O861" s="1"/>
      <c r="P861" s="1"/>
      <c r="Q861" s="1"/>
      <c r="R861" s="1"/>
      <c r="S861" s="1"/>
      <c r="T861" s="1"/>
      <c r="U861" s="1"/>
      <c r="V861" s="1"/>
      <c r="W861" s="1"/>
      <c r="X861" s="1"/>
      <c r="Y861" s="1"/>
      <c r="Z861" s="1"/>
      <c r="AA861" s="1"/>
    </row>
    <row r="862" spans="15:27" ht="15.75" customHeight="1" x14ac:dyDescent="0.45">
      <c r="O862" s="1"/>
      <c r="P862" s="1"/>
      <c r="Q862" s="1"/>
      <c r="R862" s="1"/>
      <c r="S862" s="1"/>
      <c r="T862" s="1"/>
      <c r="U862" s="1"/>
      <c r="V862" s="1"/>
      <c r="W862" s="1"/>
      <c r="X862" s="1"/>
      <c r="Y862" s="1"/>
      <c r="Z862" s="1"/>
      <c r="AA862" s="1"/>
    </row>
    <row r="863" spans="15:27" ht="15.75" customHeight="1" x14ac:dyDescent="0.45">
      <c r="O863" s="1"/>
      <c r="P863" s="1"/>
      <c r="Q863" s="1"/>
      <c r="R863" s="1"/>
      <c r="S863" s="1"/>
      <c r="T863" s="1"/>
      <c r="U863" s="1"/>
      <c r="V863" s="1"/>
      <c r="W863" s="1"/>
      <c r="X863" s="1"/>
      <c r="Y863" s="1"/>
      <c r="Z863" s="1"/>
      <c r="AA863" s="1"/>
    </row>
    <row r="864" spans="15:27" ht="15.75" customHeight="1" x14ac:dyDescent="0.45">
      <c r="O864" s="1"/>
      <c r="P864" s="1"/>
      <c r="Q864" s="1"/>
      <c r="R864" s="1"/>
      <c r="S864" s="1"/>
      <c r="T864" s="1"/>
      <c r="U864" s="1"/>
      <c r="V864" s="1"/>
      <c r="W864" s="1"/>
      <c r="X864" s="1"/>
      <c r="Y864" s="1"/>
      <c r="Z864" s="1"/>
      <c r="AA864" s="1"/>
    </row>
    <row r="865" spans="15:27" ht="15.75" customHeight="1" x14ac:dyDescent="0.45">
      <c r="O865" s="1"/>
      <c r="P865" s="1"/>
      <c r="Q865" s="1"/>
      <c r="R865" s="1"/>
      <c r="S865" s="1"/>
      <c r="T865" s="1"/>
      <c r="U865" s="1"/>
      <c r="V865" s="1"/>
      <c r="W865" s="1"/>
      <c r="X865" s="1"/>
      <c r="Y865" s="1"/>
      <c r="Z865" s="1"/>
      <c r="AA865" s="1"/>
    </row>
    <row r="866" spans="15:27" ht="15.75" customHeight="1" x14ac:dyDescent="0.45">
      <c r="O866" s="1"/>
      <c r="P866" s="1"/>
      <c r="Q866" s="1"/>
      <c r="R866" s="1"/>
      <c r="S866" s="1"/>
      <c r="T866" s="1"/>
      <c r="U866" s="1"/>
      <c r="V866" s="1"/>
      <c r="W866" s="1"/>
      <c r="X866" s="1"/>
      <c r="Y866" s="1"/>
      <c r="Z866" s="1"/>
      <c r="AA866" s="1"/>
    </row>
    <row r="867" spans="15:27" ht="15.75" customHeight="1" x14ac:dyDescent="0.45">
      <c r="O867" s="1"/>
      <c r="P867" s="1"/>
      <c r="Q867" s="1"/>
      <c r="R867" s="1"/>
      <c r="S867" s="1"/>
      <c r="T867" s="1"/>
      <c r="U867" s="1"/>
      <c r="V867" s="1"/>
      <c r="W867" s="1"/>
      <c r="X867" s="1"/>
      <c r="Y867" s="1"/>
      <c r="Z867" s="1"/>
      <c r="AA867" s="1"/>
    </row>
    <row r="868" spans="15:27" ht="15.75" customHeight="1" x14ac:dyDescent="0.45">
      <c r="O868" s="1"/>
      <c r="P868" s="1"/>
      <c r="Q868" s="1"/>
      <c r="R868" s="1"/>
      <c r="S868" s="1"/>
      <c r="T868" s="1"/>
      <c r="U868" s="1"/>
      <c r="V868" s="1"/>
      <c r="W868" s="1"/>
      <c r="X868" s="1"/>
      <c r="Y868" s="1"/>
      <c r="Z868" s="1"/>
      <c r="AA868" s="1"/>
    </row>
    <row r="869" spans="15:27" ht="15.75" customHeight="1" x14ac:dyDescent="0.45">
      <c r="O869" s="1"/>
      <c r="P869" s="1"/>
      <c r="Q869" s="1"/>
      <c r="R869" s="1"/>
      <c r="S869" s="1"/>
      <c r="T869" s="1"/>
      <c r="U869" s="1"/>
      <c r="V869" s="1"/>
      <c r="W869" s="1"/>
      <c r="X869" s="1"/>
      <c r="Y869" s="1"/>
      <c r="Z869" s="1"/>
      <c r="AA869" s="1"/>
    </row>
    <row r="870" spans="15:27" ht="15.75" customHeight="1" x14ac:dyDescent="0.45">
      <c r="O870" s="1"/>
      <c r="P870" s="1"/>
      <c r="Q870" s="1"/>
      <c r="R870" s="1"/>
      <c r="S870" s="1"/>
      <c r="T870" s="1"/>
      <c r="U870" s="1"/>
      <c r="V870" s="1"/>
      <c r="W870" s="1"/>
      <c r="X870" s="1"/>
      <c r="Y870" s="1"/>
      <c r="Z870" s="1"/>
      <c r="AA870" s="1"/>
    </row>
    <row r="871" spans="15:27" ht="15.75" customHeight="1" x14ac:dyDescent="0.45">
      <c r="O871" s="1"/>
      <c r="P871" s="1"/>
      <c r="Q871" s="1"/>
      <c r="R871" s="1"/>
      <c r="S871" s="1"/>
      <c r="T871" s="1"/>
      <c r="U871" s="1"/>
      <c r="V871" s="1"/>
      <c r="W871" s="1"/>
      <c r="X871" s="1"/>
      <c r="Y871" s="1"/>
      <c r="Z871" s="1"/>
      <c r="AA871" s="1"/>
    </row>
    <row r="872" spans="15:27" ht="15.75" customHeight="1" x14ac:dyDescent="0.45">
      <c r="O872" s="1"/>
      <c r="P872" s="1"/>
      <c r="Q872" s="1"/>
      <c r="R872" s="1"/>
      <c r="S872" s="1"/>
      <c r="T872" s="1"/>
      <c r="U872" s="1"/>
      <c r="V872" s="1"/>
      <c r="W872" s="1"/>
      <c r="X872" s="1"/>
      <c r="Y872" s="1"/>
      <c r="Z872" s="1"/>
      <c r="AA872" s="1"/>
    </row>
    <row r="873" spans="15:27" ht="15.75" customHeight="1" x14ac:dyDescent="0.45">
      <c r="O873" s="1"/>
      <c r="P873" s="1"/>
      <c r="Q873" s="1"/>
      <c r="R873" s="1"/>
      <c r="S873" s="1"/>
      <c r="T873" s="1"/>
      <c r="U873" s="1"/>
      <c r="V873" s="1"/>
      <c r="W873" s="1"/>
      <c r="X873" s="1"/>
      <c r="Y873" s="1"/>
      <c r="Z873" s="1"/>
      <c r="AA873" s="1"/>
    </row>
    <row r="874" spans="15:27" ht="15.75" customHeight="1" x14ac:dyDescent="0.45">
      <c r="O874" s="1"/>
      <c r="P874" s="1"/>
      <c r="Q874" s="1"/>
      <c r="R874" s="1"/>
      <c r="S874" s="1"/>
      <c r="T874" s="1"/>
      <c r="U874" s="1"/>
      <c r="V874" s="1"/>
      <c r="W874" s="1"/>
      <c r="X874" s="1"/>
      <c r="Y874" s="1"/>
      <c r="Z874" s="1"/>
      <c r="AA874" s="1"/>
    </row>
    <row r="875" spans="15:27" ht="15.75" customHeight="1" x14ac:dyDescent="0.45">
      <c r="O875" s="1"/>
      <c r="P875" s="1"/>
      <c r="Q875" s="1"/>
      <c r="R875" s="1"/>
      <c r="S875" s="1"/>
      <c r="T875" s="1"/>
      <c r="U875" s="1"/>
      <c r="V875" s="1"/>
      <c r="W875" s="1"/>
      <c r="X875" s="1"/>
      <c r="Y875" s="1"/>
      <c r="Z875" s="1"/>
      <c r="AA875" s="1"/>
    </row>
    <row r="876" spans="15:27" ht="15.75" customHeight="1" x14ac:dyDescent="0.45">
      <c r="O876" s="1"/>
      <c r="P876" s="1"/>
      <c r="Q876" s="1"/>
      <c r="R876" s="1"/>
      <c r="S876" s="1"/>
      <c r="T876" s="1"/>
      <c r="U876" s="1"/>
      <c r="V876" s="1"/>
      <c r="W876" s="1"/>
      <c r="X876" s="1"/>
      <c r="Y876" s="1"/>
      <c r="Z876" s="1"/>
      <c r="AA876" s="1"/>
    </row>
    <row r="877" spans="15:27" ht="15.75" customHeight="1" x14ac:dyDescent="0.45">
      <c r="O877" s="1"/>
      <c r="P877" s="1"/>
      <c r="Q877" s="1"/>
      <c r="R877" s="1"/>
      <c r="S877" s="1"/>
      <c r="T877" s="1"/>
      <c r="U877" s="1"/>
      <c r="V877" s="1"/>
      <c r="W877" s="1"/>
      <c r="X877" s="1"/>
      <c r="Y877" s="1"/>
      <c r="Z877" s="1"/>
      <c r="AA877" s="1"/>
    </row>
    <row r="878" spans="15:27" ht="15.75" customHeight="1" x14ac:dyDescent="0.45">
      <c r="O878" s="1"/>
      <c r="P878" s="1"/>
      <c r="Q878" s="1"/>
      <c r="R878" s="1"/>
      <c r="S878" s="1"/>
      <c r="T878" s="1"/>
      <c r="U878" s="1"/>
      <c r="V878" s="1"/>
      <c r="W878" s="1"/>
      <c r="X878" s="1"/>
      <c r="Y878" s="1"/>
      <c r="Z878" s="1"/>
      <c r="AA878" s="1"/>
    </row>
    <row r="879" spans="15:27" ht="15.75" customHeight="1" x14ac:dyDescent="0.45">
      <c r="O879" s="1"/>
      <c r="P879" s="1"/>
      <c r="Q879" s="1"/>
      <c r="R879" s="1"/>
      <c r="S879" s="1"/>
      <c r="T879" s="1"/>
      <c r="U879" s="1"/>
      <c r="V879" s="1"/>
      <c r="W879" s="1"/>
      <c r="X879" s="1"/>
      <c r="Y879" s="1"/>
      <c r="Z879" s="1"/>
      <c r="AA879" s="1"/>
    </row>
    <row r="880" spans="15:27" ht="15.75" customHeight="1" x14ac:dyDescent="0.45">
      <c r="O880" s="1"/>
      <c r="P880" s="1"/>
      <c r="Q880" s="1"/>
      <c r="R880" s="1"/>
      <c r="S880" s="1"/>
      <c r="T880" s="1"/>
      <c r="U880" s="1"/>
      <c r="V880" s="1"/>
      <c r="W880" s="1"/>
      <c r="X880" s="1"/>
      <c r="Y880" s="1"/>
      <c r="Z880" s="1"/>
      <c r="AA880" s="1"/>
    </row>
    <row r="881" spans="15:27" ht="15.75" customHeight="1" x14ac:dyDescent="0.45">
      <c r="O881" s="1"/>
      <c r="P881" s="1"/>
      <c r="Q881" s="1"/>
      <c r="R881" s="1"/>
      <c r="S881" s="1"/>
      <c r="T881" s="1"/>
      <c r="U881" s="1"/>
      <c r="V881" s="1"/>
      <c r="W881" s="1"/>
      <c r="X881" s="1"/>
      <c r="Y881" s="1"/>
      <c r="Z881" s="1"/>
      <c r="AA881" s="1"/>
    </row>
    <row r="882" spans="15:27" ht="15.75" customHeight="1" x14ac:dyDescent="0.45">
      <c r="O882" s="1"/>
      <c r="P882" s="1"/>
      <c r="Q882" s="1"/>
      <c r="R882" s="1"/>
      <c r="S882" s="1"/>
      <c r="T882" s="1"/>
      <c r="U882" s="1"/>
      <c r="V882" s="1"/>
      <c r="W882" s="1"/>
      <c r="X882" s="1"/>
      <c r="Y882" s="1"/>
      <c r="Z882" s="1"/>
      <c r="AA882" s="1"/>
    </row>
    <row r="883" spans="15:27" ht="15.75" customHeight="1" x14ac:dyDescent="0.45">
      <c r="O883" s="1"/>
      <c r="P883" s="1"/>
      <c r="Q883" s="1"/>
      <c r="R883" s="1"/>
      <c r="S883" s="1"/>
      <c r="T883" s="1"/>
      <c r="U883" s="1"/>
      <c r="V883" s="1"/>
      <c r="W883" s="1"/>
      <c r="X883" s="1"/>
      <c r="Y883" s="1"/>
      <c r="Z883" s="1"/>
      <c r="AA883" s="1"/>
    </row>
    <row r="884" spans="15:27" ht="15.75" customHeight="1" x14ac:dyDescent="0.45">
      <c r="O884" s="1"/>
      <c r="P884" s="1"/>
      <c r="Q884" s="1"/>
      <c r="R884" s="1"/>
      <c r="S884" s="1"/>
      <c r="T884" s="1"/>
      <c r="U884" s="1"/>
      <c r="V884" s="1"/>
      <c r="W884" s="1"/>
      <c r="X884" s="1"/>
      <c r="Y884" s="1"/>
      <c r="Z884" s="1"/>
      <c r="AA884" s="1"/>
    </row>
    <row r="885" spans="15:27" ht="15.75" customHeight="1" x14ac:dyDescent="0.45">
      <c r="O885" s="1"/>
      <c r="P885" s="1"/>
      <c r="Q885" s="1"/>
      <c r="R885" s="1"/>
      <c r="S885" s="1"/>
      <c r="T885" s="1"/>
      <c r="U885" s="1"/>
      <c r="V885" s="1"/>
      <c r="W885" s="1"/>
      <c r="X885" s="1"/>
      <c r="Y885" s="1"/>
      <c r="Z885" s="1"/>
      <c r="AA885" s="1"/>
    </row>
    <row r="886" spans="15:27" ht="15.75" customHeight="1" x14ac:dyDescent="0.45">
      <c r="O886" s="1"/>
      <c r="P886" s="1"/>
      <c r="Q886" s="1"/>
      <c r="R886" s="1"/>
      <c r="S886" s="1"/>
      <c r="T886" s="1"/>
      <c r="U886" s="1"/>
      <c r="V886" s="1"/>
      <c r="W886" s="1"/>
      <c r="X886" s="1"/>
      <c r="Y886" s="1"/>
      <c r="Z886" s="1"/>
      <c r="AA886" s="1"/>
    </row>
    <row r="887" spans="15:27" ht="15.75" customHeight="1" x14ac:dyDescent="0.45">
      <c r="O887" s="1"/>
      <c r="P887" s="1"/>
      <c r="Q887" s="1"/>
      <c r="R887" s="1"/>
      <c r="S887" s="1"/>
      <c r="T887" s="1"/>
      <c r="U887" s="1"/>
      <c r="V887" s="1"/>
      <c r="W887" s="1"/>
      <c r="X887" s="1"/>
      <c r="Y887" s="1"/>
      <c r="Z887" s="1"/>
      <c r="AA887" s="1"/>
    </row>
    <row r="888" spans="15:27" ht="15.75" customHeight="1" x14ac:dyDescent="0.45">
      <c r="O888" s="1"/>
      <c r="P888" s="1"/>
      <c r="Q888" s="1"/>
      <c r="R888" s="1"/>
      <c r="S888" s="1"/>
      <c r="T888" s="1"/>
      <c r="U888" s="1"/>
      <c r="V888" s="1"/>
      <c r="W888" s="1"/>
      <c r="X888" s="1"/>
      <c r="Y888" s="1"/>
      <c r="Z888" s="1"/>
      <c r="AA888" s="1"/>
    </row>
    <row r="889" spans="15:27" ht="15.75" customHeight="1" x14ac:dyDescent="0.45">
      <c r="O889" s="1"/>
      <c r="P889" s="1"/>
      <c r="Q889" s="1"/>
      <c r="R889" s="1"/>
      <c r="S889" s="1"/>
      <c r="T889" s="1"/>
      <c r="U889" s="1"/>
      <c r="V889" s="1"/>
      <c r="W889" s="1"/>
      <c r="X889" s="1"/>
      <c r="Y889" s="1"/>
      <c r="Z889" s="1"/>
      <c r="AA889" s="1"/>
    </row>
    <row r="890" spans="15:27" ht="15.75" customHeight="1" x14ac:dyDescent="0.45">
      <c r="O890" s="1"/>
      <c r="P890" s="1"/>
      <c r="Q890" s="1"/>
      <c r="R890" s="1"/>
      <c r="S890" s="1"/>
      <c r="T890" s="1"/>
      <c r="U890" s="1"/>
      <c r="V890" s="1"/>
      <c r="W890" s="1"/>
      <c r="X890" s="1"/>
      <c r="Y890" s="1"/>
      <c r="Z890" s="1"/>
      <c r="AA890" s="1"/>
    </row>
    <row r="891" spans="15:27" ht="15.75" customHeight="1" x14ac:dyDescent="0.45">
      <c r="O891" s="1"/>
      <c r="P891" s="1"/>
      <c r="Q891" s="1"/>
      <c r="R891" s="1"/>
      <c r="S891" s="1"/>
      <c r="T891" s="1"/>
      <c r="U891" s="1"/>
      <c r="V891" s="1"/>
      <c r="W891" s="1"/>
      <c r="X891" s="1"/>
      <c r="Y891" s="1"/>
      <c r="Z891" s="1"/>
      <c r="AA891" s="1"/>
    </row>
    <row r="892" spans="15:27" ht="15.75" customHeight="1" x14ac:dyDescent="0.45">
      <c r="O892" s="1"/>
      <c r="P892" s="1"/>
      <c r="Q892" s="1"/>
      <c r="R892" s="1"/>
      <c r="S892" s="1"/>
      <c r="T892" s="1"/>
      <c r="U892" s="1"/>
      <c r="V892" s="1"/>
      <c r="W892" s="1"/>
      <c r="X892" s="1"/>
      <c r="Y892" s="1"/>
      <c r="Z892" s="1"/>
      <c r="AA892" s="1"/>
    </row>
    <row r="893" spans="15:27" ht="15.75" customHeight="1" x14ac:dyDescent="0.45">
      <c r="O893" s="1"/>
      <c r="P893" s="1"/>
      <c r="Q893" s="1"/>
      <c r="R893" s="1"/>
      <c r="S893" s="1"/>
      <c r="T893" s="1"/>
      <c r="U893" s="1"/>
      <c r="V893" s="1"/>
      <c r="W893" s="1"/>
      <c r="X893" s="1"/>
      <c r="Y893" s="1"/>
      <c r="Z893" s="1"/>
      <c r="AA893" s="1"/>
    </row>
    <row r="894" spans="15:27" ht="15.75" customHeight="1" x14ac:dyDescent="0.45">
      <c r="O894" s="1"/>
      <c r="P894" s="1"/>
      <c r="Q894" s="1"/>
      <c r="R894" s="1"/>
      <c r="S894" s="1"/>
      <c r="T894" s="1"/>
      <c r="U894" s="1"/>
      <c r="V894" s="1"/>
      <c r="W894" s="1"/>
      <c r="X894" s="1"/>
      <c r="Y894" s="1"/>
      <c r="Z894" s="1"/>
      <c r="AA894" s="1"/>
    </row>
    <row r="895" spans="15:27" ht="15.75" customHeight="1" x14ac:dyDescent="0.45">
      <c r="O895" s="1"/>
      <c r="P895" s="1"/>
      <c r="Q895" s="1"/>
      <c r="R895" s="1"/>
      <c r="S895" s="1"/>
      <c r="T895" s="1"/>
      <c r="U895" s="1"/>
      <c r="V895" s="1"/>
      <c r="W895" s="1"/>
      <c r="X895" s="1"/>
      <c r="Y895" s="1"/>
      <c r="Z895" s="1"/>
      <c r="AA895" s="1"/>
    </row>
    <row r="896" spans="15:27" ht="15.75" customHeight="1" x14ac:dyDescent="0.45">
      <c r="O896" s="1"/>
      <c r="P896" s="1"/>
      <c r="Q896" s="1"/>
      <c r="R896" s="1"/>
      <c r="S896" s="1"/>
      <c r="T896" s="1"/>
      <c r="U896" s="1"/>
      <c r="V896" s="1"/>
      <c r="W896" s="1"/>
      <c r="X896" s="1"/>
      <c r="Y896" s="1"/>
      <c r="Z896" s="1"/>
      <c r="AA896" s="1"/>
    </row>
    <row r="897" spans="15:27" ht="15.75" customHeight="1" x14ac:dyDescent="0.45">
      <c r="O897" s="1"/>
      <c r="P897" s="1"/>
      <c r="Q897" s="1"/>
      <c r="R897" s="1"/>
      <c r="S897" s="1"/>
      <c r="T897" s="1"/>
      <c r="U897" s="1"/>
      <c r="V897" s="1"/>
      <c r="W897" s="1"/>
      <c r="X897" s="1"/>
      <c r="Y897" s="1"/>
      <c r="Z897" s="1"/>
      <c r="AA897" s="1"/>
    </row>
    <row r="898" spans="15:27" ht="15.75" customHeight="1" x14ac:dyDescent="0.45">
      <c r="O898" s="1"/>
      <c r="P898" s="1"/>
      <c r="Q898" s="1"/>
      <c r="R898" s="1"/>
      <c r="S898" s="1"/>
      <c r="T898" s="1"/>
      <c r="U898" s="1"/>
      <c r="V898" s="1"/>
      <c r="W898" s="1"/>
      <c r="X898" s="1"/>
      <c r="Y898" s="1"/>
      <c r="Z898" s="1"/>
      <c r="AA898" s="1"/>
    </row>
    <row r="899" spans="15:27" ht="15.75" customHeight="1" x14ac:dyDescent="0.45">
      <c r="O899" s="1"/>
      <c r="P899" s="1"/>
      <c r="Q899" s="1"/>
      <c r="R899" s="1"/>
      <c r="S899" s="1"/>
      <c r="T899" s="1"/>
      <c r="U899" s="1"/>
      <c r="V899" s="1"/>
      <c r="W899" s="1"/>
      <c r="X899" s="1"/>
      <c r="Y899" s="1"/>
      <c r="Z899" s="1"/>
      <c r="AA899" s="1"/>
    </row>
    <row r="900" spans="15:27" ht="15.75" customHeight="1" x14ac:dyDescent="0.45">
      <c r="O900" s="1"/>
      <c r="P900" s="1"/>
      <c r="Q900" s="1"/>
      <c r="R900" s="1"/>
      <c r="S900" s="1"/>
      <c r="T900" s="1"/>
      <c r="U900" s="1"/>
      <c r="V900" s="1"/>
      <c r="W900" s="1"/>
      <c r="X900" s="1"/>
      <c r="Y900" s="1"/>
      <c r="Z900" s="1"/>
      <c r="AA900" s="1"/>
    </row>
    <row r="901" spans="15:27" ht="15.75" customHeight="1" x14ac:dyDescent="0.45">
      <c r="O901" s="1"/>
      <c r="P901" s="1"/>
      <c r="Q901" s="1"/>
      <c r="R901" s="1"/>
      <c r="S901" s="1"/>
      <c r="T901" s="1"/>
      <c r="U901" s="1"/>
      <c r="V901" s="1"/>
      <c r="W901" s="1"/>
      <c r="X901" s="1"/>
      <c r="Y901" s="1"/>
      <c r="Z901" s="1"/>
      <c r="AA901" s="1"/>
    </row>
    <row r="902" spans="15:27" ht="15.75" customHeight="1" x14ac:dyDescent="0.45">
      <c r="O902" s="1"/>
      <c r="P902" s="1"/>
      <c r="Q902" s="1"/>
      <c r="R902" s="1"/>
      <c r="S902" s="1"/>
      <c r="T902" s="1"/>
      <c r="U902" s="1"/>
      <c r="V902" s="1"/>
      <c r="W902" s="1"/>
      <c r="X902" s="1"/>
      <c r="Y902" s="1"/>
      <c r="Z902" s="1"/>
      <c r="AA902" s="1"/>
    </row>
    <row r="903" spans="15:27" ht="15.75" customHeight="1" x14ac:dyDescent="0.45">
      <c r="O903" s="1"/>
      <c r="P903" s="1"/>
      <c r="Q903" s="1"/>
      <c r="R903" s="1"/>
      <c r="S903" s="1"/>
      <c r="T903" s="1"/>
      <c r="U903" s="1"/>
      <c r="V903" s="1"/>
      <c r="W903" s="1"/>
      <c r="X903" s="1"/>
      <c r="Y903" s="1"/>
      <c r="Z903" s="1"/>
      <c r="AA903" s="1"/>
    </row>
    <row r="904" spans="15:27" ht="15.75" customHeight="1" x14ac:dyDescent="0.45">
      <c r="O904" s="1"/>
      <c r="P904" s="1"/>
      <c r="Q904" s="1"/>
      <c r="R904" s="1"/>
      <c r="S904" s="1"/>
      <c r="T904" s="1"/>
      <c r="U904" s="1"/>
      <c r="V904" s="1"/>
      <c r="W904" s="1"/>
      <c r="X904" s="1"/>
      <c r="Y904" s="1"/>
      <c r="Z904" s="1"/>
      <c r="AA904" s="1"/>
    </row>
    <row r="905" spans="15:27" ht="15.75" customHeight="1" x14ac:dyDescent="0.45">
      <c r="O905" s="1"/>
      <c r="P905" s="1"/>
      <c r="Q905" s="1"/>
      <c r="R905" s="1"/>
      <c r="S905" s="1"/>
      <c r="T905" s="1"/>
      <c r="U905" s="1"/>
      <c r="V905" s="1"/>
      <c r="W905" s="1"/>
      <c r="X905" s="1"/>
      <c r="Y905" s="1"/>
      <c r="Z905" s="1"/>
      <c r="AA905" s="1"/>
    </row>
    <row r="906" spans="15:27" ht="15.75" customHeight="1" x14ac:dyDescent="0.45">
      <c r="O906" s="1"/>
      <c r="P906" s="1"/>
      <c r="Q906" s="1"/>
      <c r="R906" s="1"/>
      <c r="S906" s="1"/>
      <c r="T906" s="1"/>
      <c r="U906" s="1"/>
      <c r="V906" s="1"/>
      <c r="W906" s="1"/>
      <c r="X906" s="1"/>
      <c r="Y906" s="1"/>
      <c r="Z906" s="1"/>
      <c r="AA906" s="1"/>
    </row>
    <row r="907" spans="15:27" ht="15.75" customHeight="1" x14ac:dyDescent="0.45">
      <c r="O907" s="1"/>
      <c r="P907" s="1"/>
      <c r="Q907" s="1"/>
      <c r="R907" s="1"/>
      <c r="S907" s="1"/>
      <c r="T907" s="1"/>
      <c r="U907" s="1"/>
      <c r="V907" s="1"/>
      <c r="W907" s="1"/>
      <c r="X907" s="1"/>
      <c r="Y907" s="1"/>
      <c r="Z907" s="1"/>
      <c r="AA907" s="1"/>
    </row>
    <row r="908" spans="15:27" ht="15.75" customHeight="1" x14ac:dyDescent="0.45">
      <c r="O908" s="1"/>
      <c r="P908" s="1"/>
      <c r="Q908" s="1"/>
      <c r="R908" s="1"/>
      <c r="S908" s="1"/>
      <c r="T908" s="1"/>
      <c r="U908" s="1"/>
      <c r="V908" s="1"/>
      <c r="W908" s="1"/>
      <c r="X908" s="1"/>
      <c r="Y908" s="1"/>
      <c r="Z908" s="1"/>
      <c r="AA908" s="1"/>
    </row>
    <row r="909" spans="15:27" ht="15.75" customHeight="1" x14ac:dyDescent="0.45">
      <c r="O909" s="1"/>
      <c r="P909" s="1"/>
      <c r="Q909" s="1"/>
      <c r="R909" s="1"/>
      <c r="S909" s="1"/>
      <c r="T909" s="1"/>
      <c r="U909" s="1"/>
      <c r="V909" s="1"/>
      <c r="W909" s="1"/>
      <c r="X909" s="1"/>
      <c r="Y909" s="1"/>
      <c r="Z909" s="1"/>
      <c r="AA909" s="1"/>
    </row>
    <row r="910" spans="15:27" ht="15.75" customHeight="1" x14ac:dyDescent="0.45">
      <c r="O910" s="1"/>
      <c r="P910" s="1"/>
      <c r="Q910" s="1"/>
      <c r="R910" s="1"/>
      <c r="S910" s="1"/>
      <c r="T910" s="1"/>
      <c r="U910" s="1"/>
      <c r="V910" s="1"/>
      <c r="W910" s="1"/>
      <c r="X910" s="1"/>
      <c r="Y910" s="1"/>
      <c r="Z910" s="1"/>
      <c r="AA910" s="1"/>
    </row>
    <row r="911" spans="15:27" ht="15.75" customHeight="1" x14ac:dyDescent="0.45">
      <c r="O911" s="1"/>
      <c r="P911" s="1"/>
      <c r="Q911" s="1"/>
      <c r="R911" s="1"/>
      <c r="S911" s="1"/>
      <c r="T911" s="1"/>
      <c r="U911" s="1"/>
      <c r="V911" s="1"/>
      <c r="W911" s="1"/>
      <c r="X911" s="1"/>
      <c r="Y911" s="1"/>
      <c r="Z911" s="1"/>
      <c r="AA911" s="1"/>
    </row>
    <row r="912" spans="15:27" ht="15.75" customHeight="1" x14ac:dyDescent="0.45">
      <c r="O912" s="1"/>
      <c r="P912" s="1"/>
      <c r="Q912" s="1"/>
      <c r="R912" s="1"/>
      <c r="S912" s="1"/>
      <c r="T912" s="1"/>
      <c r="U912" s="1"/>
      <c r="V912" s="1"/>
      <c r="W912" s="1"/>
      <c r="X912" s="1"/>
      <c r="Y912" s="1"/>
      <c r="Z912" s="1"/>
      <c r="AA912" s="1"/>
    </row>
    <row r="913" spans="15:27" ht="15.75" customHeight="1" x14ac:dyDescent="0.45">
      <c r="O913" s="1"/>
      <c r="P913" s="1"/>
      <c r="Q913" s="1"/>
      <c r="R913" s="1"/>
      <c r="S913" s="1"/>
      <c r="T913" s="1"/>
      <c r="U913" s="1"/>
      <c r="V913" s="1"/>
      <c r="W913" s="1"/>
      <c r="X913" s="1"/>
      <c r="Y913" s="1"/>
      <c r="Z913" s="1"/>
      <c r="AA913" s="1"/>
    </row>
    <row r="914" spans="15:27" ht="15.75" customHeight="1" x14ac:dyDescent="0.45">
      <c r="O914" s="1"/>
      <c r="P914" s="1"/>
      <c r="Q914" s="1"/>
      <c r="R914" s="1"/>
      <c r="S914" s="1"/>
      <c r="T914" s="1"/>
      <c r="U914" s="1"/>
      <c r="V914" s="1"/>
      <c r="W914" s="1"/>
      <c r="X914" s="1"/>
      <c r="Y914" s="1"/>
      <c r="Z914" s="1"/>
      <c r="AA914" s="1"/>
    </row>
    <row r="915" spans="15:27" ht="15.75" customHeight="1" x14ac:dyDescent="0.45">
      <c r="O915" s="1"/>
      <c r="P915" s="1"/>
      <c r="Q915" s="1"/>
      <c r="R915" s="1"/>
      <c r="S915" s="1"/>
      <c r="T915" s="1"/>
      <c r="U915" s="1"/>
      <c r="V915" s="1"/>
      <c r="W915" s="1"/>
      <c r="X915" s="1"/>
      <c r="Y915" s="1"/>
      <c r="Z915" s="1"/>
      <c r="AA915" s="1"/>
    </row>
    <row r="916" spans="15:27" ht="15.75" customHeight="1" x14ac:dyDescent="0.45">
      <c r="O916" s="1"/>
      <c r="P916" s="1"/>
      <c r="Q916" s="1"/>
      <c r="R916" s="1"/>
      <c r="S916" s="1"/>
      <c r="T916" s="1"/>
      <c r="U916" s="1"/>
      <c r="V916" s="1"/>
      <c r="W916" s="1"/>
      <c r="X916" s="1"/>
      <c r="Y916" s="1"/>
      <c r="Z916" s="1"/>
      <c r="AA916" s="1"/>
    </row>
    <row r="917" spans="15:27" ht="15.75" customHeight="1" x14ac:dyDescent="0.45">
      <c r="O917" s="1"/>
      <c r="P917" s="1"/>
      <c r="Q917" s="1"/>
      <c r="R917" s="1"/>
      <c r="S917" s="1"/>
      <c r="T917" s="1"/>
      <c r="U917" s="1"/>
      <c r="V917" s="1"/>
      <c r="W917" s="1"/>
      <c r="X917" s="1"/>
      <c r="Y917" s="1"/>
      <c r="Z917" s="1"/>
      <c r="AA917" s="1"/>
    </row>
    <row r="918" spans="15:27" ht="15.75" customHeight="1" x14ac:dyDescent="0.45">
      <c r="O918" s="1"/>
      <c r="P918" s="1"/>
      <c r="Q918" s="1"/>
      <c r="R918" s="1"/>
      <c r="S918" s="1"/>
      <c r="T918" s="1"/>
      <c r="U918" s="1"/>
      <c r="V918" s="1"/>
      <c r="W918" s="1"/>
      <c r="X918" s="1"/>
      <c r="Y918" s="1"/>
      <c r="Z918" s="1"/>
      <c r="AA918" s="1"/>
    </row>
    <row r="919" spans="15:27" ht="15.75" customHeight="1" x14ac:dyDescent="0.45">
      <c r="O919" s="1"/>
      <c r="P919" s="1"/>
      <c r="Q919" s="1"/>
      <c r="R919" s="1"/>
      <c r="S919" s="1"/>
      <c r="T919" s="1"/>
      <c r="U919" s="1"/>
      <c r="V919" s="1"/>
      <c r="W919" s="1"/>
      <c r="X919" s="1"/>
      <c r="Y919" s="1"/>
      <c r="Z919" s="1"/>
      <c r="AA919" s="1"/>
    </row>
    <row r="920" spans="15:27" ht="15.75" customHeight="1" x14ac:dyDescent="0.45">
      <c r="O920" s="1"/>
      <c r="P920" s="1"/>
      <c r="Q920" s="1"/>
      <c r="R920" s="1"/>
      <c r="S920" s="1"/>
      <c r="T920" s="1"/>
      <c r="U920" s="1"/>
      <c r="V920" s="1"/>
      <c r="W920" s="1"/>
      <c r="X920" s="1"/>
      <c r="Y920" s="1"/>
      <c r="Z920" s="1"/>
      <c r="AA920" s="1"/>
    </row>
    <row r="921" spans="15:27" ht="15.75" customHeight="1" x14ac:dyDescent="0.45"/>
    <row r="922" spans="15:27" ht="15.75" customHeight="1" x14ac:dyDescent="0.45"/>
    <row r="923" spans="15:27" ht="15.75" customHeight="1" x14ac:dyDescent="0.45"/>
    <row r="924" spans="15:27" ht="15.75" customHeight="1" x14ac:dyDescent="0.45"/>
    <row r="925" spans="15:27" ht="15.75" customHeight="1" x14ac:dyDescent="0.45"/>
    <row r="926" spans="15:27" ht="15.75" customHeight="1" x14ac:dyDescent="0.45"/>
    <row r="927" spans="15:27" ht="15.75" customHeight="1" x14ac:dyDescent="0.45"/>
    <row r="928" spans="15:27"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sheetData>
  <pageMargins left="0.7" right="0.7" top="0.75" bottom="0.75" header="0" footer="0"/>
  <pageSetup orientation="landscape"/>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5983-0762-564E-AF52-C68A6F4F4425}">
  <sheetPr codeName="Roles_by_pgy"/>
  <dimension ref="A1:L990"/>
  <sheetViews>
    <sheetView zoomScaleNormal="100" workbookViewId="0">
      <selection activeCell="A2" sqref="A2"/>
    </sheetView>
  </sheetViews>
  <sheetFormatPr defaultColWidth="11.265625" defaultRowHeight="15" customHeight="1" x14ac:dyDescent="0.45"/>
  <cols>
    <col min="1" max="1" width="36.53125" customWidth="1"/>
    <col min="2" max="12" width="10.19921875" style="5" customWidth="1"/>
  </cols>
  <sheetData>
    <row r="1" spans="1:12" s="7" customFormat="1" ht="63.75" customHeight="1" x14ac:dyDescent="0.45">
      <c r="A1" s="8" t="s">
        <v>1</v>
      </c>
      <c r="B1" s="10" t="s">
        <v>428</v>
      </c>
      <c r="C1" s="10" t="s">
        <v>429</v>
      </c>
      <c r="D1" s="10" t="s">
        <v>430</v>
      </c>
      <c r="E1" s="10" t="s">
        <v>222</v>
      </c>
      <c r="F1" s="10" t="s">
        <v>431</v>
      </c>
      <c r="G1" s="10" t="s">
        <v>432</v>
      </c>
      <c r="H1" s="10" t="s">
        <v>433</v>
      </c>
      <c r="I1" s="10" t="s">
        <v>434</v>
      </c>
      <c r="J1" s="10" t="s">
        <v>435</v>
      </c>
      <c r="K1" s="10" t="s">
        <v>451</v>
      </c>
      <c r="L1" s="10" t="s">
        <v>436</v>
      </c>
    </row>
    <row r="2" spans="1:12" ht="15.75" customHeight="1" x14ac:dyDescent="0.45">
      <c r="A2" s="61" t="s">
        <v>8</v>
      </c>
      <c r="B2" s="62">
        <v>0</v>
      </c>
      <c r="C2" s="62">
        <v>0</v>
      </c>
      <c r="D2" s="62">
        <v>0</v>
      </c>
      <c r="E2" s="62">
        <v>0</v>
      </c>
      <c r="F2" s="62">
        <v>0</v>
      </c>
      <c r="G2" s="62">
        <v>0</v>
      </c>
      <c r="H2" s="62">
        <v>0</v>
      </c>
      <c r="I2" s="62">
        <v>0</v>
      </c>
      <c r="J2" s="62">
        <v>0</v>
      </c>
      <c r="K2" s="62">
        <v>0</v>
      </c>
      <c r="L2" s="62">
        <v>0</v>
      </c>
    </row>
    <row r="3" spans="1:12" ht="15.75" customHeight="1" x14ac:dyDescent="0.45">
      <c r="A3" s="46" t="s">
        <v>223</v>
      </c>
      <c r="B3" s="14">
        <v>0</v>
      </c>
      <c r="C3" s="63">
        <v>0</v>
      </c>
      <c r="D3" s="14">
        <v>0</v>
      </c>
      <c r="E3" s="14">
        <v>0</v>
      </c>
      <c r="F3" s="64">
        <v>0</v>
      </c>
      <c r="G3" s="63">
        <v>0</v>
      </c>
      <c r="H3" s="63">
        <v>0</v>
      </c>
      <c r="I3" s="14">
        <v>0</v>
      </c>
      <c r="J3" s="63">
        <v>0</v>
      </c>
      <c r="K3" s="63">
        <v>0</v>
      </c>
      <c r="L3" s="14">
        <v>0</v>
      </c>
    </row>
    <row r="4" spans="1:12" ht="15.75" customHeight="1" x14ac:dyDescent="0.45">
      <c r="A4" s="46" t="s">
        <v>224</v>
      </c>
      <c r="B4" s="14">
        <v>0</v>
      </c>
      <c r="C4" s="63">
        <v>0</v>
      </c>
      <c r="D4" s="14">
        <v>0</v>
      </c>
      <c r="E4" s="14">
        <v>0</v>
      </c>
      <c r="F4" s="14">
        <v>0</v>
      </c>
      <c r="G4" s="63">
        <v>0</v>
      </c>
      <c r="H4" s="63">
        <v>0</v>
      </c>
      <c r="I4" s="14">
        <v>0</v>
      </c>
      <c r="J4" s="63">
        <v>0</v>
      </c>
      <c r="K4" s="63">
        <v>0</v>
      </c>
      <c r="L4" s="14">
        <v>0</v>
      </c>
    </row>
    <row r="5" spans="1:12" ht="15.75" customHeight="1" x14ac:dyDescent="0.45">
      <c r="A5" s="46" t="s">
        <v>225</v>
      </c>
      <c r="B5" s="14">
        <v>0</v>
      </c>
      <c r="C5" s="63">
        <v>0</v>
      </c>
      <c r="D5" s="14">
        <v>0</v>
      </c>
      <c r="E5" s="14">
        <v>0</v>
      </c>
      <c r="F5" s="14">
        <v>0</v>
      </c>
      <c r="G5" s="14">
        <v>0</v>
      </c>
      <c r="H5" s="14">
        <v>0</v>
      </c>
      <c r="I5" s="14">
        <v>0</v>
      </c>
      <c r="J5" s="63">
        <v>0</v>
      </c>
      <c r="K5" s="63">
        <v>0</v>
      </c>
      <c r="L5" s="14">
        <v>0</v>
      </c>
    </row>
    <row r="6" spans="1:12" ht="15.75" customHeight="1" x14ac:dyDescent="0.45">
      <c r="A6" s="46" t="s">
        <v>226</v>
      </c>
      <c r="B6" s="14">
        <v>0</v>
      </c>
      <c r="C6" s="63">
        <v>0</v>
      </c>
      <c r="D6" s="14">
        <v>0</v>
      </c>
      <c r="E6" s="14">
        <v>0</v>
      </c>
      <c r="F6" s="14">
        <v>0</v>
      </c>
      <c r="G6" s="14">
        <v>0</v>
      </c>
      <c r="H6" s="63">
        <v>0</v>
      </c>
      <c r="I6" s="63">
        <v>0</v>
      </c>
      <c r="J6" s="14">
        <v>0</v>
      </c>
      <c r="K6" s="14">
        <v>0</v>
      </c>
      <c r="L6" s="63">
        <v>0</v>
      </c>
    </row>
    <row r="7" spans="1:12" ht="15.75" customHeight="1" x14ac:dyDescent="0.45">
      <c r="A7" s="46" t="s">
        <v>227</v>
      </c>
      <c r="B7" s="63">
        <v>0</v>
      </c>
      <c r="C7" s="63">
        <v>0</v>
      </c>
      <c r="D7" s="14">
        <v>0</v>
      </c>
      <c r="E7" s="14">
        <v>0</v>
      </c>
      <c r="F7" s="63">
        <v>0</v>
      </c>
      <c r="G7" s="63">
        <v>0</v>
      </c>
      <c r="H7" s="63">
        <v>0</v>
      </c>
      <c r="I7" s="63">
        <v>0</v>
      </c>
      <c r="J7" s="14">
        <v>0</v>
      </c>
      <c r="K7" s="14">
        <v>0</v>
      </c>
      <c r="L7" s="14">
        <v>0</v>
      </c>
    </row>
    <row r="8" spans="1:12" ht="15.75" customHeight="1" x14ac:dyDescent="0.45">
      <c r="A8" s="46" t="s">
        <v>228</v>
      </c>
      <c r="B8" s="63">
        <v>0</v>
      </c>
      <c r="C8" s="63">
        <v>0</v>
      </c>
      <c r="D8" s="14">
        <v>0</v>
      </c>
      <c r="E8" s="14">
        <v>0</v>
      </c>
      <c r="F8" s="63">
        <v>0</v>
      </c>
      <c r="G8" s="63">
        <v>0</v>
      </c>
      <c r="H8" s="63">
        <v>0</v>
      </c>
      <c r="I8" s="14">
        <v>0</v>
      </c>
      <c r="J8" s="63">
        <v>0</v>
      </c>
      <c r="K8" s="63">
        <v>0</v>
      </c>
      <c r="L8" s="14">
        <v>0</v>
      </c>
    </row>
    <row r="9" spans="1:12" ht="15.75" customHeight="1" x14ac:dyDescent="0.45">
      <c r="A9" s="46" t="s">
        <v>229</v>
      </c>
      <c r="B9" s="63">
        <v>0</v>
      </c>
      <c r="C9" s="63">
        <v>0</v>
      </c>
      <c r="D9" s="14">
        <v>0</v>
      </c>
      <c r="E9" s="14">
        <v>0</v>
      </c>
      <c r="F9" s="14">
        <v>0</v>
      </c>
      <c r="G9" s="63">
        <v>0</v>
      </c>
      <c r="H9" s="63">
        <v>0</v>
      </c>
      <c r="I9" s="14">
        <v>0</v>
      </c>
      <c r="J9" s="63">
        <v>0</v>
      </c>
      <c r="K9" s="63">
        <v>0</v>
      </c>
      <c r="L9" s="14">
        <v>0</v>
      </c>
    </row>
    <row r="10" spans="1:12" ht="15.75" customHeight="1" x14ac:dyDescent="0.45">
      <c r="A10" s="46" t="s">
        <v>230</v>
      </c>
      <c r="B10" s="14">
        <v>0</v>
      </c>
      <c r="C10" s="14">
        <v>0</v>
      </c>
      <c r="D10" s="14">
        <v>0</v>
      </c>
      <c r="E10" s="14">
        <v>0</v>
      </c>
      <c r="F10" s="14">
        <v>0</v>
      </c>
      <c r="G10" s="14">
        <v>0</v>
      </c>
      <c r="H10" s="14">
        <v>0</v>
      </c>
      <c r="I10" s="65">
        <v>0</v>
      </c>
      <c r="J10" s="14">
        <v>0</v>
      </c>
      <c r="K10" s="14">
        <v>0</v>
      </c>
      <c r="L10" s="14">
        <v>0</v>
      </c>
    </row>
    <row r="11" spans="1:12" ht="15.75" customHeight="1" x14ac:dyDescent="0.45">
      <c r="A11" s="61" t="s">
        <v>11</v>
      </c>
      <c r="B11" s="62">
        <v>0</v>
      </c>
      <c r="C11" s="62">
        <v>0</v>
      </c>
      <c r="D11" s="62">
        <v>0</v>
      </c>
      <c r="E11" s="62">
        <v>0</v>
      </c>
      <c r="F11" s="62">
        <v>0</v>
      </c>
      <c r="G11" s="62">
        <v>0</v>
      </c>
      <c r="H11" s="62">
        <v>0</v>
      </c>
      <c r="I11" s="62">
        <v>0</v>
      </c>
      <c r="J11" s="62">
        <v>0</v>
      </c>
      <c r="K11" s="62">
        <v>0</v>
      </c>
      <c r="L11" s="62">
        <v>0</v>
      </c>
    </row>
    <row r="12" spans="1:12" ht="15.75" customHeight="1" x14ac:dyDescent="0.45">
      <c r="A12" s="46" t="s">
        <v>223</v>
      </c>
      <c r="B12" s="14">
        <v>0</v>
      </c>
      <c r="C12" s="63">
        <v>0</v>
      </c>
      <c r="D12" s="14">
        <v>0</v>
      </c>
      <c r="E12" s="14">
        <v>0</v>
      </c>
      <c r="F12" s="63">
        <v>0</v>
      </c>
      <c r="G12" s="63">
        <v>0</v>
      </c>
      <c r="H12" s="63">
        <v>0</v>
      </c>
      <c r="I12" s="63">
        <v>0</v>
      </c>
      <c r="J12" s="63">
        <v>0</v>
      </c>
      <c r="K12" s="63">
        <v>0</v>
      </c>
      <c r="L12" s="14">
        <v>0</v>
      </c>
    </row>
    <row r="13" spans="1:12" ht="15.75" customHeight="1" x14ac:dyDescent="0.45">
      <c r="A13" s="46" t="s">
        <v>224</v>
      </c>
      <c r="B13" s="63">
        <v>0</v>
      </c>
      <c r="C13" s="63">
        <v>0</v>
      </c>
      <c r="D13" s="14">
        <v>0</v>
      </c>
      <c r="E13" s="14">
        <v>0</v>
      </c>
      <c r="F13" s="14">
        <v>0</v>
      </c>
      <c r="G13" s="63">
        <v>0</v>
      </c>
      <c r="H13" s="63">
        <v>0</v>
      </c>
      <c r="I13" s="14">
        <v>0</v>
      </c>
      <c r="J13" s="63">
        <v>0</v>
      </c>
      <c r="K13" s="63">
        <v>0</v>
      </c>
      <c r="L13" s="14">
        <v>0</v>
      </c>
    </row>
    <row r="14" spans="1:12" ht="15.75" customHeight="1" x14ac:dyDescent="0.45">
      <c r="A14" s="46" t="s">
        <v>225</v>
      </c>
      <c r="B14" s="14">
        <v>0</v>
      </c>
      <c r="C14" s="63">
        <v>0</v>
      </c>
      <c r="D14" s="14">
        <v>0</v>
      </c>
      <c r="E14" s="14">
        <v>0</v>
      </c>
      <c r="F14" s="14">
        <v>0</v>
      </c>
      <c r="G14" s="63">
        <v>0</v>
      </c>
      <c r="H14" s="63">
        <v>0</v>
      </c>
      <c r="I14" s="14">
        <v>0</v>
      </c>
      <c r="J14" s="63">
        <v>0</v>
      </c>
      <c r="K14" s="63">
        <v>0</v>
      </c>
      <c r="L14" s="14">
        <v>0</v>
      </c>
    </row>
    <row r="15" spans="1:12" ht="15.75" customHeight="1" x14ac:dyDescent="0.45">
      <c r="A15" s="46" t="s">
        <v>226</v>
      </c>
      <c r="B15" s="14">
        <v>0</v>
      </c>
      <c r="C15" s="63">
        <v>0</v>
      </c>
      <c r="D15" s="14">
        <v>0</v>
      </c>
      <c r="E15" s="14">
        <v>0</v>
      </c>
      <c r="F15" s="14">
        <v>0</v>
      </c>
      <c r="G15" s="63">
        <v>0</v>
      </c>
      <c r="H15" s="63">
        <v>0</v>
      </c>
      <c r="I15" s="14">
        <v>0</v>
      </c>
      <c r="J15" s="63">
        <v>0</v>
      </c>
      <c r="K15" s="63">
        <v>0</v>
      </c>
      <c r="L15" s="14">
        <v>0</v>
      </c>
    </row>
    <row r="16" spans="1:12" ht="15.75" customHeight="1" x14ac:dyDescent="0.45">
      <c r="A16" s="46" t="s">
        <v>227</v>
      </c>
      <c r="B16" s="14">
        <v>0</v>
      </c>
      <c r="C16" s="63">
        <v>0</v>
      </c>
      <c r="D16" s="14">
        <v>0</v>
      </c>
      <c r="E16" s="14">
        <v>0</v>
      </c>
      <c r="F16" s="14">
        <v>0</v>
      </c>
      <c r="G16" s="63">
        <v>0</v>
      </c>
      <c r="H16" s="63">
        <v>0</v>
      </c>
      <c r="I16" s="14">
        <v>0</v>
      </c>
      <c r="J16" s="63">
        <v>0</v>
      </c>
      <c r="K16" s="63">
        <v>0</v>
      </c>
      <c r="L16" s="14">
        <v>0</v>
      </c>
    </row>
    <row r="17" spans="1:12" ht="15.75" customHeight="1" x14ac:dyDescent="0.45">
      <c r="A17" s="46" t="s">
        <v>228</v>
      </c>
      <c r="B17" s="14">
        <v>0</v>
      </c>
      <c r="C17" s="63">
        <v>0</v>
      </c>
      <c r="D17" s="14">
        <v>0</v>
      </c>
      <c r="E17" s="14">
        <v>0</v>
      </c>
      <c r="F17" s="14">
        <v>0</v>
      </c>
      <c r="G17" s="63">
        <v>0</v>
      </c>
      <c r="H17" s="63">
        <v>0</v>
      </c>
      <c r="I17" s="14">
        <v>0</v>
      </c>
      <c r="J17" s="63">
        <v>0</v>
      </c>
      <c r="K17" s="63">
        <v>0</v>
      </c>
      <c r="L17" s="63">
        <v>0</v>
      </c>
    </row>
    <row r="18" spans="1:12" ht="15.75" customHeight="1" x14ac:dyDescent="0.45">
      <c r="A18" s="46" t="s">
        <v>229</v>
      </c>
      <c r="B18" s="14">
        <v>0</v>
      </c>
      <c r="C18" s="63">
        <v>0</v>
      </c>
      <c r="D18" s="14">
        <v>0</v>
      </c>
      <c r="E18" s="14">
        <v>0</v>
      </c>
      <c r="F18" s="14">
        <v>0</v>
      </c>
      <c r="G18" s="63">
        <v>0</v>
      </c>
      <c r="H18" s="63">
        <v>0</v>
      </c>
      <c r="I18" s="14">
        <v>0</v>
      </c>
      <c r="J18" s="63">
        <v>0</v>
      </c>
      <c r="K18" s="63">
        <v>0</v>
      </c>
      <c r="L18" s="14">
        <v>0</v>
      </c>
    </row>
    <row r="19" spans="1:12" ht="15.75" customHeight="1" x14ac:dyDescent="0.45">
      <c r="A19" s="46" t="s">
        <v>230</v>
      </c>
      <c r="B19" s="14">
        <v>0</v>
      </c>
      <c r="C19" s="63">
        <v>0</v>
      </c>
      <c r="D19" s="14">
        <v>0</v>
      </c>
      <c r="E19" s="14">
        <v>0</v>
      </c>
      <c r="F19" s="14">
        <v>0</v>
      </c>
      <c r="G19" s="63">
        <v>0</v>
      </c>
      <c r="H19" s="63">
        <v>0</v>
      </c>
      <c r="I19" s="14">
        <v>0</v>
      </c>
      <c r="J19" s="63">
        <v>0</v>
      </c>
      <c r="K19" s="63">
        <v>0</v>
      </c>
      <c r="L19" s="14">
        <v>0</v>
      </c>
    </row>
    <row r="20" spans="1:12" ht="15.75" customHeight="1" x14ac:dyDescent="0.45">
      <c r="A20" s="61" t="s">
        <v>13</v>
      </c>
      <c r="B20" s="62">
        <v>0</v>
      </c>
      <c r="C20" s="62">
        <v>0</v>
      </c>
      <c r="D20" s="62">
        <v>0</v>
      </c>
      <c r="E20" s="62">
        <v>0</v>
      </c>
      <c r="F20" s="62">
        <v>0</v>
      </c>
      <c r="G20" s="62">
        <v>0</v>
      </c>
      <c r="H20" s="62">
        <v>0</v>
      </c>
      <c r="I20" s="62">
        <v>0</v>
      </c>
      <c r="J20" s="62">
        <v>0</v>
      </c>
      <c r="K20" s="62">
        <v>0</v>
      </c>
      <c r="L20" s="62">
        <v>0</v>
      </c>
    </row>
    <row r="21" spans="1:12" ht="15.75" customHeight="1" x14ac:dyDescent="0.45">
      <c r="A21" s="46" t="s">
        <v>223</v>
      </c>
      <c r="B21" s="14">
        <v>0</v>
      </c>
      <c r="C21" s="63">
        <v>0</v>
      </c>
      <c r="D21" s="14">
        <v>0</v>
      </c>
      <c r="E21" s="14">
        <v>0</v>
      </c>
      <c r="F21" s="14">
        <v>0</v>
      </c>
      <c r="G21" s="63">
        <v>0</v>
      </c>
      <c r="H21" s="63">
        <v>0</v>
      </c>
      <c r="I21" s="14">
        <v>0</v>
      </c>
      <c r="J21" s="63">
        <v>0</v>
      </c>
      <c r="K21" s="63">
        <v>0</v>
      </c>
      <c r="L21" s="14">
        <v>0</v>
      </c>
    </row>
    <row r="22" spans="1:12" ht="15.75" customHeight="1" x14ac:dyDescent="0.45">
      <c r="A22" s="46" t="s">
        <v>224</v>
      </c>
      <c r="B22" s="14">
        <v>0</v>
      </c>
      <c r="C22" s="14">
        <v>0</v>
      </c>
      <c r="D22" s="14">
        <v>0</v>
      </c>
      <c r="E22" s="14">
        <v>0</v>
      </c>
      <c r="F22" s="14">
        <v>0</v>
      </c>
      <c r="G22" s="14">
        <v>0</v>
      </c>
      <c r="H22" s="63">
        <v>0</v>
      </c>
      <c r="I22" s="14">
        <v>0</v>
      </c>
      <c r="J22" s="63">
        <v>0</v>
      </c>
      <c r="K22" s="63">
        <v>0</v>
      </c>
      <c r="L22" s="14">
        <v>0</v>
      </c>
    </row>
    <row r="23" spans="1:12" ht="15.75" customHeight="1" x14ac:dyDescent="0.45">
      <c r="A23" s="46" t="s">
        <v>225</v>
      </c>
      <c r="B23" s="14">
        <v>0</v>
      </c>
      <c r="C23" s="63">
        <v>0</v>
      </c>
      <c r="D23" s="14">
        <v>0</v>
      </c>
      <c r="E23" s="14">
        <v>0</v>
      </c>
      <c r="F23" s="14">
        <v>0</v>
      </c>
      <c r="G23" s="63">
        <v>0</v>
      </c>
      <c r="H23" s="63">
        <v>0</v>
      </c>
      <c r="I23" s="14">
        <v>0</v>
      </c>
      <c r="J23" s="63">
        <v>0</v>
      </c>
      <c r="K23" s="63">
        <v>0</v>
      </c>
      <c r="L23" s="14">
        <v>0</v>
      </c>
    </row>
    <row r="24" spans="1:12" ht="15.75" customHeight="1" x14ac:dyDescent="0.45">
      <c r="A24" s="46" t="s">
        <v>226</v>
      </c>
      <c r="B24" s="14">
        <v>0</v>
      </c>
      <c r="C24" s="63">
        <v>0</v>
      </c>
      <c r="D24" s="14">
        <v>0</v>
      </c>
      <c r="E24" s="14">
        <v>0</v>
      </c>
      <c r="F24" s="63">
        <v>0</v>
      </c>
      <c r="G24" s="63">
        <v>0</v>
      </c>
      <c r="H24" s="63">
        <v>0</v>
      </c>
      <c r="I24" s="63">
        <v>0</v>
      </c>
      <c r="J24" s="63">
        <v>0</v>
      </c>
      <c r="K24" s="63">
        <v>0</v>
      </c>
      <c r="L24" s="14">
        <v>0</v>
      </c>
    </row>
    <row r="25" spans="1:12" ht="15.75" customHeight="1" x14ac:dyDescent="0.45">
      <c r="A25" s="46" t="s">
        <v>227</v>
      </c>
      <c r="B25" s="63">
        <v>0</v>
      </c>
      <c r="C25" s="63">
        <v>0</v>
      </c>
      <c r="D25" s="14">
        <v>0</v>
      </c>
      <c r="E25" s="14">
        <v>0</v>
      </c>
      <c r="F25" s="14">
        <v>0</v>
      </c>
      <c r="G25" s="63">
        <v>0</v>
      </c>
      <c r="H25" s="63">
        <v>0</v>
      </c>
      <c r="I25" s="14">
        <v>0</v>
      </c>
      <c r="J25" s="63">
        <v>0</v>
      </c>
      <c r="K25" s="63">
        <v>0</v>
      </c>
      <c r="L25" s="14">
        <v>0</v>
      </c>
    </row>
    <row r="26" spans="1:12" ht="15.75" customHeight="1" x14ac:dyDescent="0.45">
      <c r="A26" s="46" t="s">
        <v>228</v>
      </c>
      <c r="B26" s="63">
        <v>0</v>
      </c>
      <c r="C26" s="63">
        <v>0</v>
      </c>
      <c r="D26" s="14">
        <v>0</v>
      </c>
      <c r="E26" s="14">
        <v>0</v>
      </c>
      <c r="F26" s="63">
        <v>0</v>
      </c>
      <c r="G26" s="63">
        <v>0</v>
      </c>
      <c r="H26" s="63">
        <v>0</v>
      </c>
      <c r="I26" s="63">
        <v>0</v>
      </c>
      <c r="J26" s="63">
        <v>0</v>
      </c>
      <c r="K26" s="63">
        <v>0</v>
      </c>
      <c r="L26" s="14">
        <v>0</v>
      </c>
    </row>
    <row r="27" spans="1:12" ht="15.75" customHeight="1" x14ac:dyDescent="0.45">
      <c r="A27" s="46" t="s">
        <v>229</v>
      </c>
      <c r="B27" s="14">
        <v>0</v>
      </c>
      <c r="C27" s="14">
        <v>0</v>
      </c>
      <c r="D27" s="64">
        <v>0</v>
      </c>
      <c r="E27" s="64">
        <v>0</v>
      </c>
      <c r="F27" s="64">
        <v>0</v>
      </c>
      <c r="G27" s="14">
        <v>0</v>
      </c>
      <c r="H27" s="14">
        <v>0</v>
      </c>
      <c r="I27" s="64">
        <v>0</v>
      </c>
      <c r="J27" s="14">
        <v>0</v>
      </c>
      <c r="K27" s="14">
        <v>0</v>
      </c>
      <c r="L27" s="14">
        <v>0</v>
      </c>
    </row>
    <row r="28" spans="1:12" ht="15.75" customHeight="1" x14ac:dyDescent="0.45">
      <c r="A28" s="46" t="s">
        <v>230</v>
      </c>
      <c r="B28" s="14">
        <v>0</v>
      </c>
      <c r="C28" s="14">
        <v>0</v>
      </c>
      <c r="D28" s="14">
        <v>0</v>
      </c>
      <c r="E28" s="14">
        <v>0</v>
      </c>
      <c r="F28" s="14">
        <v>0</v>
      </c>
      <c r="G28" s="14">
        <v>0</v>
      </c>
      <c r="H28" s="14">
        <v>0</v>
      </c>
      <c r="I28" s="64">
        <v>0</v>
      </c>
      <c r="J28" s="14">
        <v>0</v>
      </c>
      <c r="K28" s="14">
        <v>0</v>
      </c>
      <c r="L28" s="14">
        <v>0</v>
      </c>
    </row>
    <row r="29" spans="1:12" ht="15.75" customHeight="1" x14ac:dyDescent="0.45">
      <c r="A29" s="61" t="s">
        <v>15</v>
      </c>
      <c r="B29" s="62">
        <v>0</v>
      </c>
      <c r="C29" s="62">
        <v>0</v>
      </c>
      <c r="D29" s="62">
        <v>0</v>
      </c>
      <c r="E29" s="62">
        <v>0</v>
      </c>
      <c r="F29" s="62">
        <v>0</v>
      </c>
      <c r="G29" s="62">
        <v>0</v>
      </c>
      <c r="H29" s="62">
        <v>0</v>
      </c>
      <c r="I29" s="62">
        <v>0</v>
      </c>
      <c r="J29" s="62">
        <v>0</v>
      </c>
      <c r="K29" s="62">
        <v>0</v>
      </c>
      <c r="L29" s="62">
        <v>0</v>
      </c>
    </row>
    <row r="30" spans="1:12" ht="15.75" customHeight="1" x14ac:dyDescent="0.45">
      <c r="A30" s="46" t="s">
        <v>223</v>
      </c>
      <c r="B30" s="14">
        <v>0</v>
      </c>
      <c r="C30" s="14">
        <v>0</v>
      </c>
      <c r="D30" s="14">
        <v>0</v>
      </c>
      <c r="E30" s="14">
        <v>0</v>
      </c>
      <c r="F30" s="14">
        <v>0</v>
      </c>
      <c r="G30" s="14">
        <v>0</v>
      </c>
      <c r="H30" s="64">
        <v>0</v>
      </c>
      <c r="I30" s="14">
        <v>0</v>
      </c>
      <c r="J30" s="64">
        <v>0</v>
      </c>
      <c r="K30" s="64">
        <v>0</v>
      </c>
      <c r="L30" s="14">
        <v>0</v>
      </c>
    </row>
    <row r="31" spans="1:12" ht="15.75" customHeight="1" x14ac:dyDescent="0.45">
      <c r="A31" s="46" t="s">
        <v>224</v>
      </c>
      <c r="B31" s="14">
        <v>0</v>
      </c>
      <c r="C31" s="14">
        <v>0</v>
      </c>
      <c r="D31" s="14">
        <v>0</v>
      </c>
      <c r="E31" s="14">
        <v>0</v>
      </c>
      <c r="F31" s="14">
        <v>0</v>
      </c>
      <c r="G31" s="14">
        <v>0</v>
      </c>
      <c r="H31" s="14">
        <v>0</v>
      </c>
      <c r="I31" s="14">
        <v>0</v>
      </c>
      <c r="J31" s="14">
        <v>0</v>
      </c>
      <c r="K31" s="14">
        <v>0</v>
      </c>
      <c r="L31" s="14">
        <v>0</v>
      </c>
    </row>
    <row r="32" spans="1:12" ht="15.75" customHeight="1" x14ac:dyDescent="0.45">
      <c r="A32" s="46" t="s">
        <v>225</v>
      </c>
      <c r="B32" s="14">
        <v>0</v>
      </c>
      <c r="C32" s="14">
        <v>0</v>
      </c>
      <c r="D32" s="14">
        <v>0</v>
      </c>
      <c r="E32" s="14">
        <v>0</v>
      </c>
      <c r="F32" s="14">
        <v>0</v>
      </c>
      <c r="G32" s="14">
        <v>0</v>
      </c>
      <c r="H32" s="14">
        <v>0</v>
      </c>
      <c r="I32" s="14">
        <v>0</v>
      </c>
      <c r="J32" s="14">
        <v>0</v>
      </c>
      <c r="K32" s="14">
        <v>0</v>
      </c>
      <c r="L32" s="14">
        <v>0</v>
      </c>
    </row>
    <row r="33" spans="1:12" ht="15" customHeight="1" x14ac:dyDescent="0.45">
      <c r="A33" s="12" t="s">
        <v>226</v>
      </c>
      <c r="B33" s="14">
        <v>0</v>
      </c>
      <c r="C33" s="14">
        <v>0</v>
      </c>
      <c r="D33" s="14">
        <v>0</v>
      </c>
      <c r="E33" s="14">
        <v>0</v>
      </c>
      <c r="F33" s="14">
        <v>0</v>
      </c>
      <c r="G33" s="14">
        <v>0</v>
      </c>
      <c r="H33" s="14">
        <v>0</v>
      </c>
      <c r="I33" s="14">
        <v>0</v>
      </c>
      <c r="J33" s="14">
        <v>0</v>
      </c>
      <c r="K33" s="14">
        <v>0</v>
      </c>
      <c r="L33" s="14">
        <v>0</v>
      </c>
    </row>
    <row r="34" spans="1:12" ht="15.75" customHeight="1" x14ac:dyDescent="0.45">
      <c r="A34" s="66" t="s">
        <v>227</v>
      </c>
      <c r="B34" s="14">
        <v>0</v>
      </c>
      <c r="C34" s="14">
        <v>0</v>
      </c>
      <c r="D34" s="14">
        <v>0</v>
      </c>
      <c r="E34" s="14">
        <v>0</v>
      </c>
      <c r="F34" s="14">
        <v>0</v>
      </c>
      <c r="G34" s="14">
        <v>0</v>
      </c>
      <c r="H34" s="14">
        <v>0</v>
      </c>
      <c r="I34" s="14">
        <v>0</v>
      </c>
      <c r="J34" s="14">
        <v>0</v>
      </c>
      <c r="K34" s="14">
        <v>0</v>
      </c>
      <c r="L34" s="14">
        <v>0</v>
      </c>
    </row>
    <row r="35" spans="1:12" ht="15.75" customHeight="1" x14ac:dyDescent="0.45">
      <c r="A35" s="46" t="s">
        <v>228</v>
      </c>
      <c r="B35" s="14">
        <v>0</v>
      </c>
      <c r="C35" s="14">
        <v>0</v>
      </c>
      <c r="D35" s="14">
        <v>0</v>
      </c>
      <c r="E35" s="14">
        <v>0</v>
      </c>
      <c r="F35" s="14">
        <v>0</v>
      </c>
      <c r="G35" s="14">
        <v>0</v>
      </c>
      <c r="H35" s="14">
        <v>0</v>
      </c>
      <c r="I35" s="14">
        <v>0</v>
      </c>
      <c r="J35" s="14">
        <v>0</v>
      </c>
      <c r="K35" s="14">
        <v>0</v>
      </c>
      <c r="L35" s="14">
        <v>0</v>
      </c>
    </row>
    <row r="36" spans="1:12" ht="15.75" customHeight="1" x14ac:dyDescent="0.45">
      <c r="A36" s="46" t="s">
        <v>229</v>
      </c>
      <c r="B36" s="14">
        <v>0</v>
      </c>
      <c r="C36" s="14">
        <v>0</v>
      </c>
      <c r="D36" s="14">
        <v>0</v>
      </c>
      <c r="E36" s="14">
        <v>0</v>
      </c>
      <c r="F36" s="14">
        <v>0</v>
      </c>
      <c r="G36" s="14">
        <v>0</v>
      </c>
      <c r="H36" s="14">
        <v>0</v>
      </c>
      <c r="I36" s="14">
        <v>0</v>
      </c>
      <c r="J36" s="14">
        <v>0</v>
      </c>
      <c r="K36" s="14">
        <v>0</v>
      </c>
      <c r="L36" s="14">
        <v>0</v>
      </c>
    </row>
    <row r="37" spans="1:12" ht="15.75" customHeight="1" x14ac:dyDescent="0.45">
      <c r="A37" s="46" t="s">
        <v>230</v>
      </c>
      <c r="B37" s="14">
        <v>0</v>
      </c>
      <c r="C37" s="14">
        <v>0</v>
      </c>
      <c r="D37" s="14">
        <v>0</v>
      </c>
      <c r="E37" s="14">
        <v>0</v>
      </c>
      <c r="F37" s="14">
        <v>0</v>
      </c>
      <c r="G37" s="14">
        <v>0</v>
      </c>
      <c r="H37" s="14">
        <v>0</v>
      </c>
      <c r="I37" s="14">
        <v>0</v>
      </c>
      <c r="J37" s="14">
        <v>0</v>
      </c>
      <c r="K37" s="14">
        <v>0</v>
      </c>
      <c r="L37" s="14">
        <v>0</v>
      </c>
    </row>
    <row r="38" spans="1:12" s="59" customFormat="1" ht="15.75" customHeight="1" x14ac:dyDescent="0.45">
      <c r="A38" s="61" t="s">
        <v>19</v>
      </c>
      <c r="B38" s="62">
        <v>0</v>
      </c>
      <c r="C38" s="62">
        <v>0</v>
      </c>
      <c r="D38" s="62">
        <v>0</v>
      </c>
      <c r="E38" s="62">
        <v>0</v>
      </c>
      <c r="F38" s="62">
        <v>0</v>
      </c>
      <c r="G38" s="62">
        <v>0</v>
      </c>
      <c r="H38" s="62">
        <v>0</v>
      </c>
      <c r="I38" s="62">
        <v>0</v>
      </c>
      <c r="J38" s="62">
        <v>0</v>
      </c>
      <c r="K38" s="62">
        <v>0</v>
      </c>
      <c r="L38" s="62">
        <v>0</v>
      </c>
    </row>
    <row r="39" spans="1:12" ht="15.75" customHeight="1" x14ac:dyDescent="0.45">
      <c r="A39" s="46" t="s">
        <v>223</v>
      </c>
      <c r="B39" s="14">
        <v>0</v>
      </c>
      <c r="C39" s="14">
        <v>0</v>
      </c>
      <c r="D39" s="14">
        <v>0</v>
      </c>
      <c r="E39" s="14">
        <v>0</v>
      </c>
      <c r="F39" s="14">
        <v>0</v>
      </c>
      <c r="G39" s="14">
        <v>0</v>
      </c>
      <c r="H39" s="14">
        <v>0</v>
      </c>
      <c r="I39" s="14">
        <v>0</v>
      </c>
      <c r="J39" s="14">
        <v>0</v>
      </c>
      <c r="K39" s="14">
        <v>0</v>
      </c>
      <c r="L39" s="14">
        <v>0</v>
      </c>
    </row>
    <row r="40" spans="1:12" ht="15.75" customHeight="1" x14ac:dyDescent="0.45">
      <c r="A40" s="46" t="s">
        <v>224</v>
      </c>
      <c r="B40" s="14">
        <v>0</v>
      </c>
      <c r="C40" s="14">
        <v>0</v>
      </c>
      <c r="D40" s="14">
        <v>0</v>
      </c>
      <c r="E40" s="14">
        <v>0</v>
      </c>
      <c r="F40" s="14">
        <v>0</v>
      </c>
      <c r="G40" s="14">
        <v>0</v>
      </c>
      <c r="H40" s="14">
        <v>0</v>
      </c>
      <c r="I40" s="14">
        <v>0</v>
      </c>
      <c r="J40" s="14">
        <v>0</v>
      </c>
      <c r="K40" s="14">
        <v>0</v>
      </c>
      <c r="L40" s="14">
        <v>0</v>
      </c>
    </row>
    <row r="41" spans="1:12" ht="15.75" customHeight="1" x14ac:dyDescent="0.45">
      <c r="A41" s="46" t="s">
        <v>225</v>
      </c>
      <c r="B41" s="14">
        <v>0</v>
      </c>
      <c r="C41" s="14">
        <v>0</v>
      </c>
      <c r="D41" s="14">
        <v>0</v>
      </c>
      <c r="E41" s="14">
        <v>0</v>
      </c>
      <c r="F41" s="14">
        <v>0</v>
      </c>
      <c r="G41" s="14">
        <v>0</v>
      </c>
      <c r="H41" s="14">
        <v>0</v>
      </c>
      <c r="I41" s="14">
        <v>0</v>
      </c>
      <c r="J41" s="14">
        <v>0</v>
      </c>
      <c r="K41" s="14">
        <v>0</v>
      </c>
      <c r="L41" s="14">
        <v>0</v>
      </c>
    </row>
    <row r="42" spans="1:12" ht="15.75" customHeight="1" x14ac:dyDescent="0.45">
      <c r="A42" s="46" t="s">
        <v>226</v>
      </c>
      <c r="B42" s="14">
        <v>0</v>
      </c>
      <c r="C42" s="14">
        <v>0</v>
      </c>
      <c r="D42" s="14">
        <v>0</v>
      </c>
      <c r="E42" s="14">
        <v>0</v>
      </c>
      <c r="F42" s="14">
        <v>0</v>
      </c>
      <c r="G42" s="14">
        <v>0</v>
      </c>
      <c r="H42" s="14">
        <v>0</v>
      </c>
      <c r="I42" s="14">
        <v>0</v>
      </c>
      <c r="J42" s="14">
        <v>0</v>
      </c>
      <c r="K42" s="14">
        <v>0</v>
      </c>
      <c r="L42" s="14">
        <v>0</v>
      </c>
    </row>
    <row r="43" spans="1:12" ht="15.75" customHeight="1" x14ac:dyDescent="0.45">
      <c r="A43" s="46" t="s">
        <v>227</v>
      </c>
      <c r="B43" s="14">
        <v>0</v>
      </c>
      <c r="C43" s="14">
        <v>0</v>
      </c>
      <c r="D43" s="14">
        <v>0</v>
      </c>
      <c r="E43" s="14">
        <v>0</v>
      </c>
      <c r="F43" s="14">
        <v>0</v>
      </c>
      <c r="G43" s="14">
        <v>0</v>
      </c>
      <c r="H43" s="14">
        <v>0</v>
      </c>
      <c r="I43" s="14">
        <v>0</v>
      </c>
      <c r="J43" s="14">
        <v>0</v>
      </c>
      <c r="K43" s="14">
        <v>0</v>
      </c>
      <c r="L43" s="14">
        <v>0</v>
      </c>
    </row>
    <row r="44" spans="1:12" ht="15.75" customHeight="1" x14ac:dyDescent="0.45">
      <c r="A44" s="46" t="s">
        <v>228</v>
      </c>
      <c r="B44" s="14">
        <v>0</v>
      </c>
      <c r="C44" s="14">
        <v>0</v>
      </c>
      <c r="D44" s="14">
        <v>0</v>
      </c>
      <c r="E44" s="14">
        <v>0</v>
      </c>
      <c r="F44" s="14">
        <v>0</v>
      </c>
      <c r="G44" s="14">
        <v>0</v>
      </c>
      <c r="H44" s="14">
        <v>0</v>
      </c>
      <c r="I44" s="14">
        <v>0</v>
      </c>
      <c r="J44" s="14">
        <v>0</v>
      </c>
      <c r="K44" s="14">
        <v>0</v>
      </c>
      <c r="L44" s="14">
        <v>0</v>
      </c>
    </row>
    <row r="45" spans="1:12" ht="15.75" customHeight="1" x14ac:dyDescent="0.45">
      <c r="A45" s="46" t="s">
        <v>229</v>
      </c>
      <c r="B45" s="14">
        <v>0</v>
      </c>
      <c r="C45" s="14">
        <v>0</v>
      </c>
      <c r="D45" s="14">
        <v>0</v>
      </c>
      <c r="E45" s="14">
        <v>0</v>
      </c>
      <c r="F45" s="14">
        <v>0</v>
      </c>
      <c r="G45" s="14">
        <v>0</v>
      </c>
      <c r="H45" s="14">
        <v>0</v>
      </c>
      <c r="I45" s="14">
        <v>0</v>
      </c>
      <c r="J45" s="14">
        <v>0</v>
      </c>
      <c r="K45" s="14">
        <v>0</v>
      </c>
      <c r="L45" s="14">
        <v>0</v>
      </c>
    </row>
    <row r="46" spans="1:12" ht="15.75" customHeight="1" x14ac:dyDescent="0.45">
      <c r="A46" s="46" t="s">
        <v>230</v>
      </c>
      <c r="B46" s="14">
        <v>0</v>
      </c>
      <c r="C46" s="14">
        <v>0</v>
      </c>
      <c r="D46" s="14">
        <v>0</v>
      </c>
      <c r="E46" s="14">
        <v>0</v>
      </c>
      <c r="F46" s="14">
        <v>0</v>
      </c>
      <c r="G46" s="14">
        <v>0</v>
      </c>
      <c r="H46" s="14">
        <v>0</v>
      </c>
      <c r="I46" s="14">
        <v>0</v>
      </c>
      <c r="J46" s="14">
        <v>0</v>
      </c>
      <c r="K46" s="14">
        <v>0</v>
      </c>
      <c r="L46" s="14">
        <v>0</v>
      </c>
    </row>
    <row r="47" spans="1:12" ht="15.75" customHeight="1" x14ac:dyDescent="0.45">
      <c r="A47" s="61" t="s">
        <v>22</v>
      </c>
      <c r="B47" s="62">
        <v>0</v>
      </c>
      <c r="C47" s="62">
        <v>0</v>
      </c>
      <c r="D47" s="62">
        <v>0</v>
      </c>
      <c r="E47" s="62">
        <v>0</v>
      </c>
      <c r="F47" s="62">
        <v>0</v>
      </c>
      <c r="G47" s="62">
        <v>0</v>
      </c>
      <c r="H47" s="62">
        <v>0</v>
      </c>
      <c r="I47" s="62">
        <v>0</v>
      </c>
      <c r="J47" s="62">
        <v>0</v>
      </c>
      <c r="K47" s="62">
        <v>0</v>
      </c>
      <c r="L47" s="62">
        <v>0</v>
      </c>
    </row>
    <row r="48" spans="1:12" ht="15.75" customHeight="1" x14ac:dyDescent="0.45">
      <c r="A48" s="46" t="s">
        <v>223</v>
      </c>
      <c r="B48" s="14">
        <v>0</v>
      </c>
      <c r="C48" s="14">
        <v>0</v>
      </c>
      <c r="D48" s="14">
        <v>0</v>
      </c>
      <c r="E48" s="14">
        <v>0</v>
      </c>
      <c r="F48" s="14">
        <v>0</v>
      </c>
      <c r="G48" s="14">
        <v>0</v>
      </c>
      <c r="H48" s="14">
        <v>0</v>
      </c>
      <c r="I48" s="14">
        <v>0</v>
      </c>
      <c r="J48" s="14">
        <v>0</v>
      </c>
      <c r="K48" s="14">
        <v>0</v>
      </c>
      <c r="L48" s="14">
        <v>0</v>
      </c>
    </row>
    <row r="49" spans="1:12" ht="15.75" customHeight="1" x14ac:dyDescent="0.45">
      <c r="A49" s="46" t="s">
        <v>224</v>
      </c>
      <c r="B49" s="14">
        <v>0</v>
      </c>
      <c r="C49" s="14">
        <v>0</v>
      </c>
      <c r="D49" s="14">
        <v>0</v>
      </c>
      <c r="E49" s="14">
        <v>0</v>
      </c>
      <c r="F49" s="14">
        <v>0</v>
      </c>
      <c r="G49" s="14">
        <v>0</v>
      </c>
      <c r="H49" s="14">
        <v>0</v>
      </c>
      <c r="I49" s="14">
        <v>0</v>
      </c>
      <c r="J49" s="14">
        <v>0</v>
      </c>
      <c r="K49" s="14">
        <v>0</v>
      </c>
      <c r="L49" s="14">
        <v>0</v>
      </c>
    </row>
    <row r="50" spans="1:12" ht="15.75" customHeight="1" x14ac:dyDescent="0.45">
      <c r="A50" s="46" t="s">
        <v>225</v>
      </c>
      <c r="B50" s="14">
        <v>0</v>
      </c>
      <c r="C50" s="14">
        <v>0</v>
      </c>
      <c r="D50" s="14">
        <v>0</v>
      </c>
      <c r="E50" s="14">
        <v>0</v>
      </c>
      <c r="F50" s="14">
        <v>0</v>
      </c>
      <c r="G50" s="14">
        <v>0</v>
      </c>
      <c r="H50" s="14">
        <v>0</v>
      </c>
      <c r="I50" s="14">
        <v>0</v>
      </c>
      <c r="J50" s="14">
        <v>0</v>
      </c>
      <c r="K50" s="14">
        <v>0</v>
      </c>
      <c r="L50" s="14">
        <v>0</v>
      </c>
    </row>
    <row r="51" spans="1:12" ht="15.75" customHeight="1" x14ac:dyDescent="0.45">
      <c r="A51" s="46" t="s">
        <v>226</v>
      </c>
      <c r="B51" s="14">
        <v>0</v>
      </c>
      <c r="C51" s="14">
        <v>0</v>
      </c>
      <c r="D51" s="14">
        <v>0</v>
      </c>
      <c r="E51" s="14">
        <v>0</v>
      </c>
      <c r="F51" s="14">
        <v>0</v>
      </c>
      <c r="G51" s="14">
        <v>0</v>
      </c>
      <c r="H51" s="14">
        <v>0</v>
      </c>
      <c r="I51" s="14">
        <v>0</v>
      </c>
      <c r="J51" s="14">
        <v>0</v>
      </c>
      <c r="K51" s="14">
        <v>0</v>
      </c>
      <c r="L51" s="14">
        <v>0</v>
      </c>
    </row>
    <row r="52" spans="1:12" ht="15.75" customHeight="1" x14ac:dyDescent="0.45">
      <c r="A52" s="46" t="s">
        <v>227</v>
      </c>
      <c r="B52" s="14">
        <v>0</v>
      </c>
      <c r="C52" s="14">
        <v>0</v>
      </c>
      <c r="D52" s="14">
        <v>0</v>
      </c>
      <c r="E52" s="14">
        <v>0</v>
      </c>
      <c r="F52" s="14">
        <v>0</v>
      </c>
      <c r="G52" s="14">
        <v>0</v>
      </c>
      <c r="H52" s="14">
        <v>0</v>
      </c>
      <c r="I52" s="14">
        <v>0</v>
      </c>
      <c r="J52" s="14">
        <v>0</v>
      </c>
      <c r="K52" s="14">
        <v>0</v>
      </c>
      <c r="L52" s="14">
        <v>0</v>
      </c>
    </row>
    <row r="53" spans="1:12" ht="15.75" customHeight="1" x14ac:dyDescent="0.45">
      <c r="A53" s="46" t="s">
        <v>228</v>
      </c>
      <c r="B53" s="14">
        <v>0</v>
      </c>
      <c r="C53" s="14">
        <v>0</v>
      </c>
      <c r="D53" s="14">
        <v>0</v>
      </c>
      <c r="E53" s="14">
        <v>0</v>
      </c>
      <c r="F53" s="14">
        <v>0</v>
      </c>
      <c r="G53" s="14">
        <v>0</v>
      </c>
      <c r="H53" s="14">
        <v>0</v>
      </c>
      <c r="I53" s="14">
        <v>0</v>
      </c>
      <c r="J53" s="14">
        <v>0</v>
      </c>
      <c r="K53" s="14">
        <v>0</v>
      </c>
      <c r="L53" s="14">
        <v>0</v>
      </c>
    </row>
    <row r="54" spans="1:12" ht="15.75" customHeight="1" x14ac:dyDescent="0.45">
      <c r="A54" s="46" t="s">
        <v>229</v>
      </c>
      <c r="B54" s="14">
        <v>0</v>
      </c>
      <c r="C54" s="14">
        <v>0</v>
      </c>
      <c r="D54" s="14">
        <v>0</v>
      </c>
      <c r="E54" s="14">
        <v>0</v>
      </c>
      <c r="F54" s="14">
        <v>0</v>
      </c>
      <c r="G54" s="14">
        <v>0</v>
      </c>
      <c r="H54" s="14">
        <v>0</v>
      </c>
      <c r="I54" s="14">
        <v>0</v>
      </c>
      <c r="J54" s="14">
        <v>0</v>
      </c>
      <c r="K54" s="14">
        <v>0</v>
      </c>
      <c r="L54" s="14">
        <v>0</v>
      </c>
    </row>
    <row r="55" spans="1:12" ht="15.75" customHeight="1" x14ac:dyDescent="0.45">
      <c r="A55" s="46" t="s">
        <v>230</v>
      </c>
      <c r="B55" s="14">
        <v>0</v>
      </c>
      <c r="C55" s="14">
        <v>0</v>
      </c>
      <c r="D55" s="14">
        <v>0</v>
      </c>
      <c r="E55" s="14">
        <v>0</v>
      </c>
      <c r="F55" s="14">
        <v>0</v>
      </c>
      <c r="G55" s="14">
        <v>0</v>
      </c>
      <c r="H55" s="14">
        <v>0</v>
      </c>
      <c r="I55" s="14">
        <v>0</v>
      </c>
      <c r="J55" s="14">
        <v>0</v>
      </c>
      <c r="K55" s="14">
        <v>0</v>
      </c>
      <c r="L55" s="14">
        <v>0</v>
      </c>
    </row>
    <row r="56" spans="1:12" ht="15.75" customHeight="1" x14ac:dyDescent="0.45">
      <c r="A56" s="61" t="s">
        <v>376</v>
      </c>
      <c r="B56" s="62">
        <v>0</v>
      </c>
      <c r="C56" s="62">
        <v>0</v>
      </c>
      <c r="D56" s="62">
        <v>0</v>
      </c>
      <c r="E56" s="62">
        <v>0</v>
      </c>
      <c r="F56" s="62">
        <v>0</v>
      </c>
      <c r="G56" s="62">
        <v>0</v>
      </c>
      <c r="H56" s="62">
        <v>0</v>
      </c>
      <c r="I56" s="62">
        <v>0</v>
      </c>
      <c r="J56" s="62">
        <v>0</v>
      </c>
      <c r="K56" s="62">
        <v>0</v>
      </c>
      <c r="L56" s="62">
        <v>0</v>
      </c>
    </row>
    <row r="57" spans="1:12" ht="15.75" customHeight="1" x14ac:dyDescent="0.45">
      <c r="A57" s="46" t="s">
        <v>223</v>
      </c>
      <c r="B57" s="14">
        <v>0</v>
      </c>
      <c r="C57" s="14">
        <v>0</v>
      </c>
      <c r="D57" s="14">
        <v>0</v>
      </c>
      <c r="E57" s="14">
        <v>0</v>
      </c>
      <c r="F57" s="14">
        <v>0</v>
      </c>
      <c r="G57" s="14">
        <v>0</v>
      </c>
      <c r="H57" s="14">
        <v>0</v>
      </c>
      <c r="I57" s="14">
        <v>0</v>
      </c>
      <c r="J57" s="14">
        <v>0</v>
      </c>
      <c r="K57" s="14">
        <v>0</v>
      </c>
      <c r="L57" s="14">
        <v>0</v>
      </c>
    </row>
    <row r="58" spans="1:12" ht="15.75" customHeight="1" x14ac:dyDescent="0.45">
      <c r="A58" s="46" t="s">
        <v>224</v>
      </c>
      <c r="B58" s="14">
        <v>0</v>
      </c>
      <c r="C58" s="14">
        <v>0</v>
      </c>
      <c r="D58" s="14">
        <v>0</v>
      </c>
      <c r="E58" s="14">
        <v>0</v>
      </c>
      <c r="F58" s="14">
        <v>0</v>
      </c>
      <c r="G58" s="14">
        <v>0</v>
      </c>
      <c r="H58" s="14">
        <v>0</v>
      </c>
      <c r="I58" s="14">
        <v>0</v>
      </c>
      <c r="J58" s="14">
        <v>0</v>
      </c>
      <c r="K58" s="14">
        <v>0</v>
      </c>
      <c r="L58" s="14">
        <v>0</v>
      </c>
    </row>
    <row r="59" spans="1:12" ht="15.75" customHeight="1" x14ac:dyDescent="0.45">
      <c r="A59" s="46" t="s">
        <v>225</v>
      </c>
      <c r="B59" s="14">
        <v>0</v>
      </c>
      <c r="C59" s="14">
        <v>0</v>
      </c>
      <c r="D59" s="14">
        <v>0</v>
      </c>
      <c r="E59" s="14">
        <v>0</v>
      </c>
      <c r="F59" s="14">
        <v>0</v>
      </c>
      <c r="G59" s="14">
        <v>0</v>
      </c>
      <c r="H59" s="14">
        <v>0</v>
      </c>
      <c r="I59" s="14">
        <v>0</v>
      </c>
      <c r="J59" s="14">
        <v>0</v>
      </c>
      <c r="K59" s="14">
        <v>0</v>
      </c>
      <c r="L59" s="14">
        <v>0</v>
      </c>
    </row>
    <row r="60" spans="1:12" ht="15.75" customHeight="1" x14ac:dyDescent="0.45">
      <c r="A60" s="46" t="s">
        <v>226</v>
      </c>
      <c r="B60" s="14">
        <v>0</v>
      </c>
      <c r="C60" s="14">
        <v>0</v>
      </c>
      <c r="D60" s="14">
        <v>0</v>
      </c>
      <c r="E60" s="14">
        <v>0</v>
      </c>
      <c r="F60" s="14">
        <v>0</v>
      </c>
      <c r="G60" s="14">
        <v>0</v>
      </c>
      <c r="H60" s="14">
        <v>0</v>
      </c>
      <c r="I60" s="14">
        <v>0</v>
      </c>
      <c r="J60" s="14">
        <v>0</v>
      </c>
      <c r="K60" s="14">
        <v>0</v>
      </c>
      <c r="L60" s="14">
        <v>0</v>
      </c>
    </row>
    <row r="61" spans="1:12" ht="15.75" customHeight="1" x14ac:dyDescent="0.45">
      <c r="A61" s="46" t="s">
        <v>227</v>
      </c>
      <c r="B61" s="14">
        <v>0</v>
      </c>
      <c r="C61" s="14">
        <v>0</v>
      </c>
      <c r="D61" s="14">
        <v>0</v>
      </c>
      <c r="E61" s="14">
        <v>0</v>
      </c>
      <c r="F61" s="14">
        <v>0</v>
      </c>
      <c r="G61" s="14">
        <v>0</v>
      </c>
      <c r="H61" s="14">
        <v>0</v>
      </c>
      <c r="I61" s="14">
        <v>0</v>
      </c>
      <c r="J61" s="14">
        <v>0</v>
      </c>
      <c r="K61" s="14">
        <v>0</v>
      </c>
      <c r="L61" s="14">
        <v>0</v>
      </c>
    </row>
    <row r="62" spans="1:12" ht="15.75" customHeight="1" x14ac:dyDescent="0.45">
      <c r="A62" s="46" t="s">
        <v>228</v>
      </c>
      <c r="B62" s="14">
        <v>0</v>
      </c>
      <c r="C62" s="14">
        <v>0</v>
      </c>
      <c r="D62" s="14">
        <v>0</v>
      </c>
      <c r="E62" s="14">
        <v>0</v>
      </c>
      <c r="F62" s="14">
        <v>0</v>
      </c>
      <c r="G62" s="14">
        <v>0</v>
      </c>
      <c r="H62" s="14">
        <v>0</v>
      </c>
      <c r="I62" s="14">
        <v>0</v>
      </c>
      <c r="J62" s="14">
        <v>0</v>
      </c>
      <c r="K62" s="14">
        <v>0</v>
      </c>
      <c r="L62" s="14">
        <v>0</v>
      </c>
    </row>
    <row r="63" spans="1:12" ht="15.75" customHeight="1" x14ac:dyDescent="0.45">
      <c r="A63" s="46" t="s">
        <v>229</v>
      </c>
      <c r="B63" s="14">
        <v>0</v>
      </c>
      <c r="C63" s="14">
        <v>0</v>
      </c>
      <c r="D63" s="14">
        <v>0</v>
      </c>
      <c r="E63" s="14">
        <v>0</v>
      </c>
      <c r="F63" s="14">
        <v>0</v>
      </c>
      <c r="G63" s="14">
        <v>0</v>
      </c>
      <c r="H63" s="14">
        <v>0</v>
      </c>
      <c r="I63" s="14">
        <v>0</v>
      </c>
      <c r="J63" s="14">
        <v>0</v>
      </c>
      <c r="K63" s="14">
        <v>0</v>
      </c>
      <c r="L63" s="14">
        <v>0</v>
      </c>
    </row>
    <row r="64" spans="1:12" ht="15.75" customHeight="1" x14ac:dyDescent="0.45">
      <c r="A64" s="46" t="s">
        <v>230</v>
      </c>
      <c r="B64" s="14">
        <v>0</v>
      </c>
      <c r="C64" s="14">
        <v>0</v>
      </c>
      <c r="D64" s="14">
        <v>0</v>
      </c>
      <c r="E64" s="14">
        <v>0</v>
      </c>
      <c r="F64" s="14">
        <v>0</v>
      </c>
      <c r="G64" s="14">
        <v>0</v>
      </c>
      <c r="H64" s="14">
        <v>0</v>
      </c>
      <c r="I64" s="14">
        <v>0</v>
      </c>
      <c r="J64" s="14">
        <v>0</v>
      </c>
      <c r="K64" s="14">
        <v>0</v>
      </c>
      <c r="L64" s="14">
        <v>0</v>
      </c>
    </row>
    <row r="65" spans="1:12" ht="15.75" customHeight="1" x14ac:dyDescent="0.45">
      <c r="A65" s="61" t="s">
        <v>25</v>
      </c>
      <c r="B65" s="62">
        <v>0</v>
      </c>
      <c r="C65" s="62">
        <v>0</v>
      </c>
      <c r="D65" s="62">
        <v>0</v>
      </c>
      <c r="E65" s="62">
        <v>0</v>
      </c>
      <c r="F65" s="62">
        <v>0</v>
      </c>
      <c r="G65" s="62">
        <v>0</v>
      </c>
      <c r="H65" s="62">
        <v>0</v>
      </c>
      <c r="I65" s="62">
        <v>0</v>
      </c>
      <c r="J65" s="62">
        <v>0</v>
      </c>
      <c r="K65" s="62">
        <v>0</v>
      </c>
      <c r="L65" s="62">
        <v>0</v>
      </c>
    </row>
    <row r="66" spans="1:12" ht="15.75" customHeight="1" x14ac:dyDescent="0.45">
      <c r="A66" s="46" t="s">
        <v>223</v>
      </c>
      <c r="B66" s="14">
        <v>0</v>
      </c>
      <c r="C66" s="14">
        <v>0</v>
      </c>
      <c r="D66" s="14">
        <v>0</v>
      </c>
      <c r="E66" s="14">
        <v>0</v>
      </c>
      <c r="F66" s="14">
        <v>0</v>
      </c>
      <c r="G66" s="14">
        <v>0</v>
      </c>
      <c r="H66" s="14">
        <v>0</v>
      </c>
      <c r="I66" s="14">
        <v>0</v>
      </c>
      <c r="J66" s="14">
        <v>0</v>
      </c>
      <c r="K66" s="14">
        <v>0</v>
      </c>
      <c r="L66" s="14">
        <v>0</v>
      </c>
    </row>
    <row r="67" spans="1:12" ht="15.75" customHeight="1" x14ac:dyDescent="0.45">
      <c r="A67" s="46" t="s">
        <v>224</v>
      </c>
      <c r="B67" s="14">
        <v>0</v>
      </c>
      <c r="C67" s="14">
        <v>0</v>
      </c>
      <c r="D67" s="14">
        <v>0</v>
      </c>
      <c r="E67" s="14">
        <v>0</v>
      </c>
      <c r="F67" s="14">
        <v>0</v>
      </c>
      <c r="G67" s="14">
        <v>0</v>
      </c>
      <c r="H67" s="14">
        <v>0</v>
      </c>
      <c r="I67" s="14">
        <v>0</v>
      </c>
      <c r="J67" s="14">
        <v>0</v>
      </c>
      <c r="K67" s="14">
        <v>0</v>
      </c>
      <c r="L67" s="14">
        <v>0</v>
      </c>
    </row>
    <row r="68" spans="1:12" ht="15.75" customHeight="1" x14ac:dyDescent="0.45">
      <c r="A68" s="46" t="s">
        <v>225</v>
      </c>
      <c r="B68" s="14">
        <v>0</v>
      </c>
      <c r="C68" s="14">
        <v>0</v>
      </c>
      <c r="D68" s="14">
        <v>0</v>
      </c>
      <c r="E68" s="14">
        <v>0</v>
      </c>
      <c r="F68" s="14">
        <v>0</v>
      </c>
      <c r="G68" s="14">
        <v>0</v>
      </c>
      <c r="H68" s="14">
        <v>0</v>
      </c>
      <c r="I68" s="14">
        <v>0</v>
      </c>
      <c r="J68" s="14">
        <v>0</v>
      </c>
      <c r="K68" s="14">
        <v>0</v>
      </c>
      <c r="L68" s="14">
        <v>0</v>
      </c>
    </row>
    <row r="69" spans="1:12" ht="15.75" customHeight="1" x14ac:dyDescent="0.45">
      <c r="A69" s="46" t="s">
        <v>226</v>
      </c>
      <c r="B69" s="14">
        <v>0</v>
      </c>
      <c r="C69" s="14">
        <v>0</v>
      </c>
      <c r="D69" s="14">
        <v>0</v>
      </c>
      <c r="E69" s="14">
        <v>0</v>
      </c>
      <c r="F69" s="14">
        <v>0</v>
      </c>
      <c r="G69" s="14">
        <v>0</v>
      </c>
      <c r="H69" s="14">
        <v>0</v>
      </c>
      <c r="I69" s="14">
        <v>0</v>
      </c>
      <c r="J69" s="14">
        <v>0</v>
      </c>
      <c r="K69" s="14">
        <v>0</v>
      </c>
      <c r="L69" s="14">
        <v>0</v>
      </c>
    </row>
    <row r="70" spans="1:12" ht="15.75" customHeight="1" x14ac:dyDescent="0.45">
      <c r="A70" s="46" t="s">
        <v>227</v>
      </c>
      <c r="B70" s="14">
        <v>0</v>
      </c>
      <c r="C70" s="14">
        <v>0</v>
      </c>
      <c r="D70" s="14">
        <v>0</v>
      </c>
      <c r="E70" s="14">
        <v>0</v>
      </c>
      <c r="F70" s="14">
        <v>0</v>
      </c>
      <c r="G70" s="14">
        <v>0</v>
      </c>
      <c r="H70" s="14">
        <v>0</v>
      </c>
      <c r="I70" s="14">
        <v>0</v>
      </c>
      <c r="J70" s="14">
        <v>0</v>
      </c>
      <c r="K70" s="14">
        <v>0</v>
      </c>
      <c r="L70" s="14">
        <v>0</v>
      </c>
    </row>
    <row r="71" spans="1:12" ht="15.75" customHeight="1" x14ac:dyDescent="0.45">
      <c r="A71" s="46" t="s">
        <v>228</v>
      </c>
      <c r="B71" s="14">
        <v>0</v>
      </c>
      <c r="C71" s="14">
        <v>0</v>
      </c>
      <c r="D71" s="14">
        <v>0</v>
      </c>
      <c r="E71" s="14">
        <v>0</v>
      </c>
      <c r="F71" s="14">
        <v>0</v>
      </c>
      <c r="G71" s="14">
        <v>0</v>
      </c>
      <c r="H71" s="14">
        <v>0</v>
      </c>
      <c r="I71" s="14">
        <v>0</v>
      </c>
      <c r="J71" s="14">
        <v>0</v>
      </c>
      <c r="K71" s="14">
        <v>0</v>
      </c>
      <c r="L71" s="14">
        <v>0</v>
      </c>
    </row>
    <row r="72" spans="1:12" ht="15.75" customHeight="1" x14ac:dyDescent="0.45">
      <c r="A72" s="46" t="s">
        <v>229</v>
      </c>
      <c r="B72" s="14">
        <v>0</v>
      </c>
      <c r="C72" s="14">
        <v>0</v>
      </c>
      <c r="D72" s="14">
        <v>0</v>
      </c>
      <c r="E72" s="14">
        <v>0</v>
      </c>
      <c r="F72" s="14">
        <v>0</v>
      </c>
      <c r="G72" s="14">
        <v>0</v>
      </c>
      <c r="H72" s="14">
        <v>0</v>
      </c>
      <c r="I72" s="14">
        <v>0</v>
      </c>
      <c r="J72" s="14">
        <v>0</v>
      </c>
      <c r="K72" s="14">
        <v>0</v>
      </c>
      <c r="L72" s="14">
        <v>0</v>
      </c>
    </row>
    <row r="73" spans="1:12" ht="15.75" customHeight="1" x14ac:dyDescent="0.45">
      <c r="A73" s="46" t="s">
        <v>230</v>
      </c>
      <c r="B73" s="14">
        <v>0</v>
      </c>
      <c r="C73" s="14">
        <v>0</v>
      </c>
      <c r="D73" s="14">
        <v>0</v>
      </c>
      <c r="E73" s="14">
        <v>0</v>
      </c>
      <c r="F73" s="14">
        <v>0</v>
      </c>
      <c r="G73" s="14">
        <v>0</v>
      </c>
      <c r="H73" s="14">
        <v>0</v>
      </c>
      <c r="I73" s="14">
        <v>0</v>
      </c>
      <c r="J73" s="14">
        <v>0</v>
      </c>
      <c r="K73" s="14">
        <v>0</v>
      </c>
      <c r="L73" s="14">
        <v>0</v>
      </c>
    </row>
    <row r="74" spans="1:12" ht="15.75" customHeight="1" x14ac:dyDescent="0.45">
      <c r="A74" s="61" t="s">
        <v>27</v>
      </c>
      <c r="B74" s="62">
        <v>0</v>
      </c>
      <c r="C74" s="62">
        <v>0</v>
      </c>
      <c r="D74" s="62">
        <v>0</v>
      </c>
      <c r="E74" s="62">
        <v>0</v>
      </c>
      <c r="F74" s="62">
        <v>0</v>
      </c>
      <c r="G74" s="62">
        <v>0</v>
      </c>
      <c r="H74" s="62">
        <v>0</v>
      </c>
      <c r="I74" s="62">
        <v>0</v>
      </c>
      <c r="J74" s="62">
        <v>0</v>
      </c>
      <c r="K74" s="62">
        <v>0</v>
      </c>
      <c r="L74" s="62">
        <v>0</v>
      </c>
    </row>
    <row r="75" spans="1:12" ht="15.75" customHeight="1" x14ac:dyDescent="0.45">
      <c r="A75" s="46" t="s">
        <v>223</v>
      </c>
      <c r="B75" s="14">
        <v>0</v>
      </c>
      <c r="C75" s="14">
        <v>0</v>
      </c>
      <c r="D75" s="14">
        <v>0</v>
      </c>
      <c r="E75" s="14">
        <v>0</v>
      </c>
      <c r="F75" s="14">
        <v>0</v>
      </c>
      <c r="G75" s="14">
        <v>0</v>
      </c>
      <c r="H75" s="14">
        <v>0</v>
      </c>
      <c r="I75" s="14">
        <v>0</v>
      </c>
      <c r="J75" s="14">
        <v>0</v>
      </c>
      <c r="K75" s="14">
        <v>0</v>
      </c>
      <c r="L75" s="14">
        <v>0</v>
      </c>
    </row>
    <row r="76" spans="1:12" ht="15.75" customHeight="1" x14ac:dyDescent="0.45">
      <c r="A76" s="46" t="s">
        <v>224</v>
      </c>
      <c r="B76" s="14">
        <v>0</v>
      </c>
      <c r="C76" s="14">
        <v>0</v>
      </c>
      <c r="D76" s="14">
        <v>0</v>
      </c>
      <c r="E76" s="14">
        <v>0</v>
      </c>
      <c r="F76" s="14">
        <v>0</v>
      </c>
      <c r="G76" s="14">
        <v>0</v>
      </c>
      <c r="H76" s="14">
        <v>0</v>
      </c>
      <c r="I76" s="14">
        <v>0</v>
      </c>
      <c r="J76" s="14">
        <v>0</v>
      </c>
      <c r="K76" s="14">
        <v>0</v>
      </c>
      <c r="L76" s="14">
        <v>0</v>
      </c>
    </row>
    <row r="77" spans="1:12" ht="15.75" customHeight="1" x14ac:dyDescent="0.45">
      <c r="A77" s="46" t="s">
        <v>225</v>
      </c>
      <c r="B77" s="14">
        <v>0</v>
      </c>
      <c r="C77" s="14">
        <v>0</v>
      </c>
      <c r="D77" s="14">
        <v>0</v>
      </c>
      <c r="E77" s="14">
        <v>0</v>
      </c>
      <c r="F77" s="14">
        <v>0</v>
      </c>
      <c r="G77" s="14">
        <v>0</v>
      </c>
      <c r="H77" s="14">
        <v>0</v>
      </c>
      <c r="I77" s="14">
        <v>0</v>
      </c>
      <c r="J77" s="14">
        <v>0</v>
      </c>
      <c r="K77" s="14">
        <v>0</v>
      </c>
      <c r="L77" s="14">
        <v>0</v>
      </c>
    </row>
    <row r="78" spans="1:12" ht="15.75" customHeight="1" x14ac:dyDescent="0.45">
      <c r="A78" s="46" t="s">
        <v>226</v>
      </c>
      <c r="B78" s="14">
        <v>0</v>
      </c>
      <c r="C78" s="14">
        <v>0</v>
      </c>
      <c r="D78" s="14">
        <v>0</v>
      </c>
      <c r="E78" s="14">
        <v>0</v>
      </c>
      <c r="F78" s="14">
        <v>0</v>
      </c>
      <c r="G78" s="14">
        <v>0</v>
      </c>
      <c r="H78" s="14">
        <v>0</v>
      </c>
      <c r="I78" s="14">
        <v>0</v>
      </c>
      <c r="J78" s="14">
        <v>0</v>
      </c>
      <c r="K78" s="14">
        <v>0</v>
      </c>
      <c r="L78" s="14">
        <v>0</v>
      </c>
    </row>
    <row r="79" spans="1:12" ht="15.75" customHeight="1" x14ac:dyDescent="0.45">
      <c r="A79" s="46" t="s">
        <v>227</v>
      </c>
      <c r="B79" s="14">
        <v>0</v>
      </c>
      <c r="C79" s="14">
        <v>0</v>
      </c>
      <c r="D79" s="14">
        <v>0</v>
      </c>
      <c r="E79" s="14">
        <v>0</v>
      </c>
      <c r="F79" s="14">
        <v>0</v>
      </c>
      <c r="G79" s="14">
        <v>0</v>
      </c>
      <c r="H79" s="14">
        <v>0</v>
      </c>
      <c r="I79" s="14">
        <v>0</v>
      </c>
      <c r="J79" s="14">
        <v>0</v>
      </c>
      <c r="K79" s="14">
        <v>0</v>
      </c>
      <c r="L79" s="14">
        <v>0</v>
      </c>
    </row>
    <row r="80" spans="1:12" ht="15.75" customHeight="1" x14ac:dyDescent="0.45">
      <c r="A80" s="46" t="s">
        <v>228</v>
      </c>
      <c r="B80" s="14">
        <v>0</v>
      </c>
      <c r="C80" s="14">
        <v>0</v>
      </c>
      <c r="D80" s="14">
        <v>0</v>
      </c>
      <c r="E80" s="14">
        <v>0</v>
      </c>
      <c r="F80" s="14">
        <v>0</v>
      </c>
      <c r="G80" s="14">
        <v>0</v>
      </c>
      <c r="H80" s="14">
        <v>0</v>
      </c>
      <c r="I80" s="14">
        <v>0</v>
      </c>
      <c r="J80" s="14">
        <v>0</v>
      </c>
      <c r="K80" s="14">
        <v>0</v>
      </c>
      <c r="L80" s="14">
        <v>0</v>
      </c>
    </row>
    <row r="81" spans="1:12" ht="15.75" customHeight="1" x14ac:dyDescent="0.45">
      <c r="A81" s="46" t="s">
        <v>229</v>
      </c>
      <c r="B81" s="14">
        <v>0</v>
      </c>
      <c r="C81" s="14">
        <v>0</v>
      </c>
      <c r="D81" s="14">
        <v>0</v>
      </c>
      <c r="E81" s="14">
        <v>0</v>
      </c>
      <c r="F81" s="14">
        <v>0</v>
      </c>
      <c r="G81" s="14">
        <v>0</v>
      </c>
      <c r="H81" s="14">
        <v>0</v>
      </c>
      <c r="I81" s="14">
        <v>0</v>
      </c>
      <c r="J81" s="14">
        <v>0</v>
      </c>
      <c r="K81" s="14">
        <v>0</v>
      </c>
      <c r="L81" s="14">
        <v>0</v>
      </c>
    </row>
    <row r="82" spans="1:12" ht="15.75" customHeight="1" x14ac:dyDescent="0.45">
      <c r="A82" s="46" t="s">
        <v>230</v>
      </c>
      <c r="B82" s="14">
        <v>0</v>
      </c>
      <c r="C82" s="14">
        <v>0</v>
      </c>
      <c r="D82" s="14">
        <v>0</v>
      </c>
      <c r="E82" s="14">
        <v>0</v>
      </c>
      <c r="F82" s="14">
        <v>0</v>
      </c>
      <c r="G82" s="14">
        <v>0</v>
      </c>
      <c r="H82" s="14">
        <v>0</v>
      </c>
      <c r="I82" s="14">
        <v>0</v>
      </c>
      <c r="J82" s="14">
        <v>0</v>
      </c>
      <c r="K82" s="14">
        <v>0</v>
      </c>
      <c r="L82" s="14">
        <v>0</v>
      </c>
    </row>
    <row r="83" spans="1:12" ht="15.75" customHeight="1" x14ac:dyDescent="0.45">
      <c r="A83" s="61" t="s">
        <v>29</v>
      </c>
      <c r="B83" s="62">
        <v>0</v>
      </c>
      <c r="C83" s="62">
        <v>0</v>
      </c>
      <c r="D83" s="62">
        <v>0</v>
      </c>
      <c r="E83" s="62">
        <v>0</v>
      </c>
      <c r="F83" s="62">
        <v>0</v>
      </c>
      <c r="G83" s="62">
        <v>0</v>
      </c>
      <c r="H83" s="62">
        <v>0</v>
      </c>
      <c r="I83" s="62">
        <v>0</v>
      </c>
      <c r="J83" s="62">
        <v>0</v>
      </c>
      <c r="K83" s="62">
        <v>0</v>
      </c>
      <c r="L83" s="62">
        <v>0</v>
      </c>
    </row>
    <row r="84" spans="1:12" ht="15.75" customHeight="1" x14ac:dyDescent="0.45">
      <c r="A84" s="46" t="s">
        <v>223</v>
      </c>
      <c r="B84" s="14">
        <v>0</v>
      </c>
      <c r="C84" s="14">
        <v>0</v>
      </c>
      <c r="D84" s="14">
        <v>0</v>
      </c>
      <c r="E84" s="14">
        <v>0</v>
      </c>
      <c r="F84" s="14">
        <v>0</v>
      </c>
      <c r="G84" s="14">
        <v>0</v>
      </c>
      <c r="H84" s="14">
        <v>0</v>
      </c>
      <c r="I84" s="14">
        <v>0</v>
      </c>
      <c r="J84" s="14">
        <v>0</v>
      </c>
      <c r="K84" s="14">
        <v>0</v>
      </c>
      <c r="L84" s="14">
        <v>0</v>
      </c>
    </row>
    <row r="85" spans="1:12" ht="15.75" customHeight="1" x14ac:dyDescent="0.45">
      <c r="A85" s="46" t="s">
        <v>224</v>
      </c>
      <c r="B85" s="14">
        <v>0</v>
      </c>
      <c r="C85" s="14">
        <v>0</v>
      </c>
      <c r="D85" s="14">
        <v>0</v>
      </c>
      <c r="E85" s="14">
        <v>0</v>
      </c>
      <c r="F85" s="14">
        <v>0</v>
      </c>
      <c r="G85" s="14">
        <v>0</v>
      </c>
      <c r="H85" s="14">
        <v>0</v>
      </c>
      <c r="I85" s="14">
        <v>0</v>
      </c>
      <c r="J85" s="14">
        <v>0</v>
      </c>
      <c r="K85" s="14">
        <v>0</v>
      </c>
      <c r="L85" s="14">
        <v>0</v>
      </c>
    </row>
    <row r="86" spans="1:12" ht="15.75" customHeight="1" x14ac:dyDescent="0.45">
      <c r="A86" s="46" t="s">
        <v>225</v>
      </c>
      <c r="B86" s="14">
        <v>0</v>
      </c>
      <c r="C86" s="14">
        <v>0</v>
      </c>
      <c r="D86" s="14">
        <v>0</v>
      </c>
      <c r="E86" s="14">
        <v>0</v>
      </c>
      <c r="F86" s="14">
        <v>0</v>
      </c>
      <c r="G86" s="14">
        <v>0</v>
      </c>
      <c r="H86" s="14">
        <v>0</v>
      </c>
      <c r="I86" s="14">
        <v>0</v>
      </c>
      <c r="J86" s="14">
        <v>0</v>
      </c>
      <c r="K86" s="14">
        <v>0</v>
      </c>
      <c r="L86" s="14">
        <v>0</v>
      </c>
    </row>
    <row r="87" spans="1:12" ht="15.75" customHeight="1" x14ac:dyDescent="0.45">
      <c r="A87" s="46" t="s">
        <v>226</v>
      </c>
      <c r="B87" s="14">
        <v>0</v>
      </c>
      <c r="C87" s="14">
        <v>0</v>
      </c>
      <c r="D87" s="14">
        <v>0</v>
      </c>
      <c r="E87" s="14">
        <v>0</v>
      </c>
      <c r="F87" s="14">
        <v>0</v>
      </c>
      <c r="G87" s="14">
        <v>0</v>
      </c>
      <c r="H87" s="14">
        <v>0</v>
      </c>
      <c r="I87" s="14">
        <v>0</v>
      </c>
      <c r="J87" s="14">
        <v>0</v>
      </c>
      <c r="K87" s="14">
        <v>0</v>
      </c>
      <c r="L87" s="14">
        <v>0</v>
      </c>
    </row>
    <row r="88" spans="1:12" ht="15.75" customHeight="1" x14ac:dyDescent="0.45">
      <c r="A88" s="46" t="s">
        <v>227</v>
      </c>
      <c r="B88" s="14">
        <v>0</v>
      </c>
      <c r="C88" s="14">
        <v>0</v>
      </c>
      <c r="D88" s="14">
        <v>0</v>
      </c>
      <c r="E88" s="14">
        <v>0</v>
      </c>
      <c r="F88" s="14">
        <v>0</v>
      </c>
      <c r="G88" s="14">
        <v>0</v>
      </c>
      <c r="H88" s="14">
        <v>0</v>
      </c>
      <c r="I88" s="14">
        <v>0</v>
      </c>
      <c r="J88" s="14">
        <v>0</v>
      </c>
      <c r="K88" s="14">
        <v>0</v>
      </c>
      <c r="L88" s="14">
        <v>0</v>
      </c>
    </row>
    <row r="89" spans="1:12" ht="15.75" customHeight="1" x14ac:dyDescent="0.45">
      <c r="A89" s="46" t="s">
        <v>228</v>
      </c>
      <c r="B89" s="14">
        <v>0</v>
      </c>
      <c r="C89" s="14">
        <v>0</v>
      </c>
      <c r="D89" s="14">
        <v>0</v>
      </c>
      <c r="E89" s="14">
        <v>0</v>
      </c>
      <c r="F89" s="14">
        <v>0</v>
      </c>
      <c r="G89" s="14">
        <v>0</v>
      </c>
      <c r="H89" s="14">
        <v>0</v>
      </c>
      <c r="I89" s="14">
        <v>0</v>
      </c>
      <c r="J89" s="14">
        <v>0</v>
      </c>
      <c r="K89" s="14">
        <v>0</v>
      </c>
      <c r="L89" s="14">
        <v>0</v>
      </c>
    </row>
    <row r="90" spans="1:12" ht="15.75" customHeight="1" x14ac:dyDescent="0.45">
      <c r="A90" s="46" t="s">
        <v>229</v>
      </c>
      <c r="B90" s="14">
        <v>0</v>
      </c>
      <c r="C90" s="14">
        <v>0</v>
      </c>
      <c r="D90" s="14">
        <v>0</v>
      </c>
      <c r="E90" s="14">
        <v>0</v>
      </c>
      <c r="F90" s="14">
        <v>0</v>
      </c>
      <c r="G90" s="14">
        <v>0</v>
      </c>
      <c r="H90" s="14">
        <v>0</v>
      </c>
      <c r="I90" s="14">
        <v>0</v>
      </c>
      <c r="J90" s="14">
        <v>0</v>
      </c>
      <c r="K90" s="14">
        <v>0</v>
      </c>
      <c r="L90" s="14">
        <v>0</v>
      </c>
    </row>
    <row r="91" spans="1:12" ht="15.75" customHeight="1" x14ac:dyDescent="0.45">
      <c r="A91" s="46" t="s">
        <v>230</v>
      </c>
      <c r="B91" s="14">
        <v>0</v>
      </c>
      <c r="C91" s="14">
        <v>0</v>
      </c>
      <c r="D91" s="14">
        <v>0</v>
      </c>
      <c r="E91" s="14">
        <v>0</v>
      </c>
      <c r="F91" s="14">
        <v>0</v>
      </c>
      <c r="G91" s="14">
        <v>0</v>
      </c>
      <c r="H91" s="14">
        <v>0</v>
      </c>
      <c r="I91" s="14">
        <v>0</v>
      </c>
      <c r="J91" s="14">
        <v>0</v>
      </c>
      <c r="K91" s="14">
        <v>0</v>
      </c>
      <c r="L91" s="14">
        <v>0</v>
      </c>
    </row>
    <row r="92" spans="1:12" ht="15.75" customHeight="1" x14ac:dyDescent="0.45">
      <c r="A92" s="61" t="s">
        <v>30</v>
      </c>
      <c r="B92" s="62">
        <v>0</v>
      </c>
      <c r="C92" s="62">
        <v>0</v>
      </c>
      <c r="D92" s="62">
        <v>0</v>
      </c>
      <c r="E92" s="62">
        <v>0</v>
      </c>
      <c r="F92" s="62">
        <v>0</v>
      </c>
      <c r="G92" s="62">
        <v>0</v>
      </c>
      <c r="H92" s="62">
        <v>0</v>
      </c>
      <c r="I92" s="62">
        <v>0</v>
      </c>
      <c r="J92" s="62">
        <v>0</v>
      </c>
      <c r="K92" s="62">
        <v>0</v>
      </c>
      <c r="L92" s="62">
        <v>0</v>
      </c>
    </row>
    <row r="93" spans="1:12" ht="15.75" customHeight="1" x14ac:dyDescent="0.45">
      <c r="A93" s="46" t="s">
        <v>223</v>
      </c>
      <c r="B93" s="14">
        <v>0</v>
      </c>
      <c r="C93" s="14">
        <v>0</v>
      </c>
      <c r="D93" s="14">
        <v>0</v>
      </c>
      <c r="E93" s="14">
        <v>0</v>
      </c>
      <c r="F93" s="14">
        <v>0</v>
      </c>
      <c r="G93" s="14">
        <v>0</v>
      </c>
      <c r="H93" s="14">
        <v>0</v>
      </c>
      <c r="I93" s="14">
        <v>0</v>
      </c>
      <c r="J93" s="14">
        <v>0</v>
      </c>
      <c r="K93" s="14">
        <v>0</v>
      </c>
      <c r="L93" s="14">
        <v>0</v>
      </c>
    </row>
    <row r="94" spans="1:12" ht="15.75" customHeight="1" x14ac:dyDescent="0.45">
      <c r="A94" s="46" t="s">
        <v>224</v>
      </c>
      <c r="B94" s="14">
        <v>0</v>
      </c>
      <c r="C94" s="14">
        <v>0</v>
      </c>
      <c r="D94" s="14">
        <v>0</v>
      </c>
      <c r="E94" s="14">
        <v>0</v>
      </c>
      <c r="F94" s="14">
        <v>0</v>
      </c>
      <c r="G94" s="14">
        <v>0</v>
      </c>
      <c r="H94" s="14">
        <v>0</v>
      </c>
      <c r="I94" s="14">
        <v>0</v>
      </c>
      <c r="J94" s="14">
        <v>0</v>
      </c>
      <c r="K94" s="14">
        <v>0</v>
      </c>
      <c r="L94" s="14">
        <v>0</v>
      </c>
    </row>
    <row r="95" spans="1:12" ht="15.75" customHeight="1" x14ac:dyDescent="0.45">
      <c r="A95" s="46" t="s">
        <v>225</v>
      </c>
      <c r="B95" s="14">
        <v>0</v>
      </c>
      <c r="C95" s="14">
        <v>0</v>
      </c>
      <c r="D95" s="14">
        <v>0</v>
      </c>
      <c r="E95" s="14">
        <v>0</v>
      </c>
      <c r="F95" s="14">
        <v>0</v>
      </c>
      <c r="G95" s="14">
        <v>0</v>
      </c>
      <c r="H95" s="14">
        <v>0</v>
      </c>
      <c r="I95" s="14">
        <v>0</v>
      </c>
      <c r="J95" s="14">
        <v>0</v>
      </c>
      <c r="K95" s="14">
        <v>0</v>
      </c>
      <c r="L95" s="14">
        <v>0</v>
      </c>
    </row>
    <row r="96" spans="1:12" ht="15.75" customHeight="1" x14ac:dyDescent="0.45">
      <c r="A96" s="46" t="s">
        <v>226</v>
      </c>
      <c r="B96" s="14">
        <v>0</v>
      </c>
      <c r="C96" s="14">
        <v>0</v>
      </c>
      <c r="D96" s="14">
        <v>0</v>
      </c>
      <c r="E96" s="14">
        <v>0</v>
      </c>
      <c r="F96" s="14">
        <v>0</v>
      </c>
      <c r="G96" s="14">
        <v>0</v>
      </c>
      <c r="H96" s="14">
        <v>0</v>
      </c>
      <c r="I96" s="14">
        <v>0</v>
      </c>
      <c r="J96" s="14">
        <v>0</v>
      </c>
      <c r="K96" s="14">
        <v>0</v>
      </c>
      <c r="L96" s="14">
        <v>0</v>
      </c>
    </row>
    <row r="97" spans="1:12" ht="15.75" customHeight="1" x14ac:dyDescent="0.45">
      <c r="A97" s="46" t="s">
        <v>227</v>
      </c>
      <c r="B97" s="14">
        <v>0</v>
      </c>
      <c r="C97" s="14">
        <v>0</v>
      </c>
      <c r="D97" s="14">
        <v>0</v>
      </c>
      <c r="E97" s="14">
        <v>0</v>
      </c>
      <c r="F97" s="14">
        <v>0</v>
      </c>
      <c r="G97" s="14">
        <v>0</v>
      </c>
      <c r="H97" s="14">
        <v>0</v>
      </c>
      <c r="I97" s="14">
        <v>0</v>
      </c>
      <c r="J97" s="14">
        <v>0</v>
      </c>
      <c r="K97" s="14">
        <v>0</v>
      </c>
      <c r="L97" s="14">
        <v>0</v>
      </c>
    </row>
    <row r="98" spans="1:12" ht="15.75" customHeight="1" x14ac:dyDescent="0.45">
      <c r="A98" s="46" t="s">
        <v>228</v>
      </c>
      <c r="B98" s="14">
        <v>0</v>
      </c>
      <c r="C98" s="14">
        <v>0</v>
      </c>
      <c r="D98" s="14">
        <v>0</v>
      </c>
      <c r="E98" s="14">
        <v>0</v>
      </c>
      <c r="F98" s="14">
        <v>0</v>
      </c>
      <c r="G98" s="14">
        <v>0</v>
      </c>
      <c r="H98" s="14">
        <v>0</v>
      </c>
      <c r="I98" s="14">
        <v>0</v>
      </c>
      <c r="J98" s="14">
        <v>0</v>
      </c>
      <c r="K98" s="14">
        <v>0</v>
      </c>
      <c r="L98" s="14">
        <v>0</v>
      </c>
    </row>
    <row r="99" spans="1:12" ht="15.75" customHeight="1" x14ac:dyDescent="0.45">
      <c r="A99" s="46" t="s">
        <v>229</v>
      </c>
      <c r="B99" s="14">
        <v>0</v>
      </c>
      <c r="C99" s="14">
        <v>0</v>
      </c>
      <c r="D99" s="14">
        <v>0</v>
      </c>
      <c r="E99" s="14">
        <v>0</v>
      </c>
      <c r="F99" s="14">
        <v>0</v>
      </c>
      <c r="G99" s="14">
        <v>0</v>
      </c>
      <c r="H99" s="14">
        <v>0</v>
      </c>
      <c r="I99" s="14">
        <v>0</v>
      </c>
      <c r="J99" s="14">
        <v>0</v>
      </c>
      <c r="K99" s="14">
        <v>0</v>
      </c>
      <c r="L99" s="14">
        <v>0</v>
      </c>
    </row>
    <row r="100" spans="1:12" ht="15.75" customHeight="1" x14ac:dyDescent="0.45">
      <c r="A100" s="46" t="s">
        <v>230</v>
      </c>
      <c r="B100" s="14">
        <v>0</v>
      </c>
      <c r="C100" s="14">
        <v>0</v>
      </c>
      <c r="D100" s="14">
        <v>0</v>
      </c>
      <c r="E100" s="14">
        <v>0</v>
      </c>
      <c r="F100" s="14">
        <v>0</v>
      </c>
      <c r="G100" s="14">
        <v>0</v>
      </c>
      <c r="H100" s="14">
        <v>0</v>
      </c>
      <c r="I100" s="14">
        <v>0</v>
      </c>
      <c r="J100" s="14">
        <v>0</v>
      </c>
      <c r="K100" s="14">
        <v>0</v>
      </c>
      <c r="L100" s="14">
        <v>0</v>
      </c>
    </row>
    <row r="101" spans="1:12" s="59" customFormat="1" ht="15.75" customHeight="1" x14ac:dyDescent="0.45">
      <c r="A101" s="61" t="s">
        <v>33</v>
      </c>
      <c r="B101" s="62">
        <v>0</v>
      </c>
      <c r="C101" s="62">
        <v>0</v>
      </c>
      <c r="D101" s="62">
        <v>0</v>
      </c>
      <c r="E101" s="62">
        <v>0</v>
      </c>
      <c r="F101" s="62">
        <v>0</v>
      </c>
      <c r="G101" s="62">
        <v>0</v>
      </c>
      <c r="H101" s="62">
        <v>0</v>
      </c>
      <c r="I101" s="62">
        <v>0</v>
      </c>
      <c r="J101" s="62">
        <v>0</v>
      </c>
      <c r="K101" s="62">
        <v>0</v>
      </c>
      <c r="L101" s="62">
        <v>0</v>
      </c>
    </row>
    <row r="102" spans="1:12" ht="15.75" customHeight="1" x14ac:dyDescent="0.45">
      <c r="A102" s="46" t="s">
        <v>223</v>
      </c>
      <c r="B102" s="14">
        <v>0</v>
      </c>
      <c r="C102" s="14">
        <v>0</v>
      </c>
      <c r="D102" s="14">
        <v>0</v>
      </c>
      <c r="E102" s="14">
        <v>0</v>
      </c>
      <c r="F102" s="14">
        <v>0</v>
      </c>
      <c r="G102" s="14">
        <v>0</v>
      </c>
      <c r="H102" s="14">
        <v>0</v>
      </c>
      <c r="I102" s="14">
        <v>0</v>
      </c>
      <c r="J102" s="14">
        <v>0</v>
      </c>
      <c r="K102" s="14">
        <v>0</v>
      </c>
      <c r="L102" s="14">
        <v>0</v>
      </c>
    </row>
    <row r="103" spans="1:12" ht="15.75" customHeight="1" x14ac:dyDescent="0.45">
      <c r="A103" s="46" t="s">
        <v>224</v>
      </c>
      <c r="B103" s="14">
        <v>0</v>
      </c>
      <c r="C103" s="14">
        <v>0</v>
      </c>
      <c r="D103" s="14">
        <v>0</v>
      </c>
      <c r="E103" s="14">
        <v>0</v>
      </c>
      <c r="F103" s="14">
        <v>0</v>
      </c>
      <c r="G103" s="14">
        <v>0</v>
      </c>
      <c r="H103" s="14">
        <v>0</v>
      </c>
      <c r="I103" s="14">
        <v>0</v>
      </c>
      <c r="J103" s="14">
        <v>0</v>
      </c>
      <c r="K103" s="14">
        <v>0</v>
      </c>
      <c r="L103" s="14">
        <v>0</v>
      </c>
    </row>
    <row r="104" spans="1:12" ht="15.75" customHeight="1" x14ac:dyDescent="0.45">
      <c r="A104" s="46" t="s">
        <v>225</v>
      </c>
      <c r="B104" s="14">
        <v>0</v>
      </c>
      <c r="C104" s="14">
        <v>0</v>
      </c>
      <c r="D104" s="14">
        <v>0</v>
      </c>
      <c r="E104" s="14">
        <v>0</v>
      </c>
      <c r="F104" s="14">
        <v>0</v>
      </c>
      <c r="G104" s="14">
        <v>0</v>
      </c>
      <c r="H104" s="14">
        <v>0</v>
      </c>
      <c r="I104" s="14">
        <v>0</v>
      </c>
      <c r="J104" s="14">
        <v>0</v>
      </c>
      <c r="K104" s="14">
        <v>0</v>
      </c>
      <c r="L104" s="14">
        <v>0</v>
      </c>
    </row>
    <row r="105" spans="1:12" ht="15.75" customHeight="1" x14ac:dyDescent="0.45">
      <c r="A105" s="46" t="s">
        <v>226</v>
      </c>
      <c r="B105" s="14">
        <v>0</v>
      </c>
      <c r="C105" s="14">
        <v>0</v>
      </c>
      <c r="D105" s="14">
        <v>0</v>
      </c>
      <c r="E105" s="14">
        <v>0</v>
      </c>
      <c r="F105" s="14">
        <v>0</v>
      </c>
      <c r="G105" s="14">
        <v>0</v>
      </c>
      <c r="H105" s="14">
        <v>0</v>
      </c>
      <c r="I105" s="14">
        <v>0</v>
      </c>
      <c r="J105" s="14">
        <v>0</v>
      </c>
      <c r="K105" s="14">
        <v>0</v>
      </c>
      <c r="L105" s="14">
        <v>0</v>
      </c>
    </row>
    <row r="106" spans="1:12" ht="15.75" customHeight="1" x14ac:dyDescent="0.45">
      <c r="A106" s="46" t="s">
        <v>227</v>
      </c>
      <c r="B106" s="14">
        <v>0</v>
      </c>
      <c r="C106" s="14">
        <v>0</v>
      </c>
      <c r="D106" s="14">
        <v>0</v>
      </c>
      <c r="E106" s="14">
        <v>0</v>
      </c>
      <c r="F106" s="14">
        <v>0</v>
      </c>
      <c r="G106" s="14">
        <v>0</v>
      </c>
      <c r="H106" s="14">
        <v>0</v>
      </c>
      <c r="I106" s="14">
        <v>0</v>
      </c>
      <c r="J106" s="14">
        <v>0</v>
      </c>
      <c r="K106" s="14">
        <v>0</v>
      </c>
      <c r="L106" s="14">
        <v>0</v>
      </c>
    </row>
    <row r="107" spans="1:12" ht="15.75" customHeight="1" x14ac:dyDescent="0.45">
      <c r="A107" s="46" t="s">
        <v>228</v>
      </c>
      <c r="B107" s="14">
        <v>0</v>
      </c>
      <c r="C107" s="14">
        <v>0</v>
      </c>
      <c r="D107" s="14">
        <v>0</v>
      </c>
      <c r="E107" s="14">
        <v>0</v>
      </c>
      <c r="F107" s="14">
        <v>0</v>
      </c>
      <c r="G107" s="14">
        <v>0</v>
      </c>
      <c r="H107" s="14">
        <v>0</v>
      </c>
      <c r="I107" s="14">
        <v>0</v>
      </c>
      <c r="J107" s="14">
        <v>0</v>
      </c>
      <c r="K107" s="14">
        <v>0</v>
      </c>
      <c r="L107" s="14">
        <v>0</v>
      </c>
    </row>
    <row r="108" spans="1:12" ht="15.75" customHeight="1" x14ac:dyDescent="0.45">
      <c r="A108" s="46" t="s">
        <v>229</v>
      </c>
      <c r="B108" s="14">
        <v>0</v>
      </c>
      <c r="C108" s="14">
        <v>0</v>
      </c>
      <c r="D108" s="14">
        <v>0</v>
      </c>
      <c r="E108" s="14">
        <v>0</v>
      </c>
      <c r="F108" s="14">
        <v>0</v>
      </c>
      <c r="G108" s="14">
        <v>0</v>
      </c>
      <c r="H108" s="14">
        <v>0</v>
      </c>
      <c r="I108" s="14">
        <v>0</v>
      </c>
      <c r="J108" s="14">
        <v>0</v>
      </c>
      <c r="K108" s="14">
        <v>0</v>
      </c>
      <c r="L108" s="14">
        <v>0</v>
      </c>
    </row>
    <row r="109" spans="1:12" ht="15.75" customHeight="1" x14ac:dyDescent="0.45">
      <c r="A109" s="46" t="s">
        <v>230</v>
      </c>
      <c r="B109" s="14">
        <v>0</v>
      </c>
      <c r="C109" s="14">
        <v>0</v>
      </c>
      <c r="D109" s="14">
        <v>0</v>
      </c>
      <c r="E109" s="14">
        <v>0</v>
      </c>
      <c r="F109" s="14">
        <v>0</v>
      </c>
      <c r="G109" s="14">
        <v>0</v>
      </c>
      <c r="H109" s="14">
        <v>0</v>
      </c>
      <c r="I109" s="14">
        <v>0</v>
      </c>
      <c r="J109" s="14">
        <v>0</v>
      </c>
      <c r="K109" s="14">
        <v>0</v>
      </c>
      <c r="L109" s="14">
        <v>0</v>
      </c>
    </row>
    <row r="110" spans="1:12" ht="15.75" customHeight="1" x14ac:dyDescent="0.45">
      <c r="A110" s="61" t="s">
        <v>35</v>
      </c>
      <c r="B110" s="62">
        <v>0</v>
      </c>
      <c r="C110" s="62">
        <v>0</v>
      </c>
      <c r="D110" s="62">
        <v>0</v>
      </c>
      <c r="E110" s="62">
        <v>0</v>
      </c>
      <c r="F110" s="62">
        <v>0</v>
      </c>
      <c r="G110" s="62">
        <v>0</v>
      </c>
      <c r="H110" s="62">
        <v>0</v>
      </c>
      <c r="I110" s="62">
        <v>0</v>
      </c>
      <c r="J110" s="62">
        <v>0</v>
      </c>
      <c r="K110" s="62">
        <v>0</v>
      </c>
      <c r="L110" s="62">
        <v>0</v>
      </c>
    </row>
    <row r="111" spans="1:12" ht="15.75" customHeight="1" x14ac:dyDescent="0.45">
      <c r="A111" s="46" t="s">
        <v>223</v>
      </c>
      <c r="B111" s="14">
        <v>0</v>
      </c>
      <c r="C111" s="14">
        <v>0</v>
      </c>
      <c r="D111" s="14">
        <v>0</v>
      </c>
      <c r="E111" s="14">
        <v>0</v>
      </c>
      <c r="F111" s="14">
        <v>0</v>
      </c>
      <c r="G111" s="14">
        <v>0</v>
      </c>
      <c r="H111" s="14">
        <v>0</v>
      </c>
      <c r="I111" s="14">
        <v>0</v>
      </c>
      <c r="J111" s="14">
        <v>0</v>
      </c>
      <c r="K111" s="14">
        <v>0</v>
      </c>
      <c r="L111" s="14">
        <v>0</v>
      </c>
    </row>
    <row r="112" spans="1:12" ht="15.75" customHeight="1" x14ac:dyDescent="0.45">
      <c r="A112" s="46" t="s">
        <v>224</v>
      </c>
      <c r="B112" s="14">
        <v>0</v>
      </c>
      <c r="C112" s="14">
        <v>0</v>
      </c>
      <c r="D112" s="14">
        <v>0</v>
      </c>
      <c r="E112" s="14">
        <v>0</v>
      </c>
      <c r="F112" s="14">
        <v>0</v>
      </c>
      <c r="G112" s="14">
        <v>0</v>
      </c>
      <c r="H112" s="14">
        <v>0</v>
      </c>
      <c r="I112" s="14">
        <v>0</v>
      </c>
      <c r="J112" s="14">
        <v>0</v>
      </c>
      <c r="K112" s="14">
        <v>0</v>
      </c>
      <c r="L112" s="14">
        <v>0</v>
      </c>
    </row>
    <row r="113" spans="1:12" ht="15.75" customHeight="1" x14ac:dyDescent="0.45">
      <c r="A113" s="46" t="s">
        <v>225</v>
      </c>
      <c r="B113" s="14">
        <v>0</v>
      </c>
      <c r="C113" s="14">
        <v>0</v>
      </c>
      <c r="D113" s="14">
        <v>0</v>
      </c>
      <c r="E113" s="14">
        <v>0</v>
      </c>
      <c r="F113" s="14">
        <v>0</v>
      </c>
      <c r="G113" s="14">
        <v>0</v>
      </c>
      <c r="H113" s="14">
        <v>0</v>
      </c>
      <c r="I113" s="14">
        <v>0</v>
      </c>
      <c r="J113" s="14">
        <v>0</v>
      </c>
      <c r="K113" s="14">
        <v>0</v>
      </c>
      <c r="L113" s="14">
        <v>0</v>
      </c>
    </row>
    <row r="114" spans="1:12" ht="15.75" customHeight="1" x14ac:dyDescent="0.45">
      <c r="A114" s="46" t="s">
        <v>226</v>
      </c>
      <c r="B114" s="14">
        <v>0</v>
      </c>
      <c r="C114" s="14">
        <v>0</v>
      </c>
      <c r="D114" s="14">
        <v>0</v>
      </c>
      <c r="E114" s="14">
        <v>0</v>
      </c>
      <c r="F114" s="14">
        <v>0</v>
      </c>
      <c r="G114" s="14">
        <v>0</v>
      </c>
      <c r="H114" s="14">
        <v>0</v>
      </c>
      <c r="I114" s="14">
        <v>0</v>
      </c>
      <c r="J114" s="14">
        <v>0</v>
      </c>
      <c r="K114" s="14">
        <v>0</v>
      </c>
      <c r="L114" s="14">
        <v>0</v>
      </c>
    </row>
    <row r="115" spans="1:12" ht="15.75" customHeight="1" x14ac:dyDescent="0.45">
      <c r="A115" s="46" t="s">
        <v>227</v>
      </c>
      <c r="B115" s="14">
        <v>0</v>
      </c>
      <c r="C115" s="14">
        <v>0</v>
      </c>
      <c r="D115" s="14">
        <v>0</v>
      </c>
      <c r="E115" s="14">
        <v>0</v>
      </c>
      <c r="F115" s="14">
        <v>0</v>
      </c>
      <c r="G115" s="14">
        <v>0</v>
      </c>
      <c r="H115" s="14">
        <v>0</v>
      </c>
      <c r="I115" s="14">
        <v>0</v>
      </c>
      <c r="J115" s="14">
        <v>0</v>
      </c>
      <c r="K115" s="14">
        <v>0</v>
      </c>
      <c r="L115" s="14">
        <v>0</v>
      </c>
    </row>
    <row r="116" spans="1:12" ht="15.75" customHeight="1" x14ac:dyDescent="0.45">
      <c r="A116" s="46" t="s">
        <v>228</v>
      </c>
      <c r="B116" s="14">
        <v>0</v>
      </c>
      <c r="C116" s="14">
        <v>0</v>
      </c>
      <c r="D116" s="14">
        <v>0</v>
      </c>
      <c r="E116" s="14">
        <v>0</v>
      </c>
      <c r="F116" s="14">
        <v>0</v>
      </c>
      <c r="G116" s="14">
        <v>0</v>
      </c>
      <c r="H116" s="14">
        <v>0</v>
      </c>
      <c r="I116" s="14">
        <v>0</v>
      </c>
      <c r="J116" s="14">
        <v>0</v>
      </c>
      <c r="K116" s="14">
        <v>0</v>
      </c>
      <c r="L116" s="14">
        <v>0</v>
      </c>
    </row>
    <row r="117" spans="1:12" ht="15.75" customHeight="1" x14ac:dyDescent="0.45">
      <c r="A117" s="46" t="s">
        <v>229</v>
      </c>
      <c r="B117" s="14">
        <v>0</v>
      </c>
      <c r="C117" s="14">
        <v>0</v>
      </c>
      <c r="D117" s="14">
        <v>0</v>
      </c>
      <c r="E117" s="14">
        <v>0</v>
      </c>
      <c r="F117" s="14">
        <v>0</v>
      </c>
      <c r="G117" s="14">
        <v>0</v>
      </c>
      <c r="H117" s="14">
        <v>0</v>
      </c>
      <c r="I117" s="14">
        <v>0</v>
      </c>
      <c r="J117" s="14">
        <v>0</v>
      </c>
      <c r="K117" s="14">
        <v>0</v>
      </c>
      <c r="L117" s="14">
        <v>0</v>
      </c>
    </row>
    <row r="118" spans="1:12" ht="15.75" customHeight="1" x14ac:dyDescent="0.45">
      <c r="A118" s="46" t="s">
        <v>230</v>
      </c>
      <c r="B118" s="14">
        <v>0</v>
      </c>
      <c r="C118" s="14">
        <v>0</v>
      </c>
      <c r="D118" s="14">
        <v>0</v>
      </c>
      <c r="E118" s="14">
        <v>0</v>
      </c>
      <c r="F118" s="14">
        <v>0</v>
      </c>
      <c r="G118" s="14">
        <v>0</v>
      </c>
      <c r="H118" s="14">
        <v>0</v>
      </c>
      <c r="I118" s="14">
        <v>0</v>
      </c>
      <c r="J118" s="14">
        <v>0</v>
      </c>
      <c r="K118" s="14">
        <v>0</v>
      </c>
      <c r="L118" s="14">
        <v>0</v>
      </c>
    </row>
    <row r="119" spans="1:12" ht="15.75" customHeight="1" x14ac:dyDescent="0.45">
      <c r="A119" s="61" t="s">
        <v>37</v>
      </c>
      <c r="B119" s="62">
        <v>0</v>
      </c>
      <c r="C119" s="62">
        <v>0</v>
      </c>
      <c r="D119" s="62">
        <v>0</v>
      </c>
      <c r="E119" s="62">
        <v>0</v>
      </c>
      <c r="F119" s="62">
        <v>0</v>
      </c>
      <c r="G119" s="62">
        <v>0</v>
      </c>
      <c r="H119" s="62">
        <v>0</v>
      </c>
      <c r="I119" s="62">
        <v>0</v>
      </c>
      <c r="J119" s="62">
        <v>0</v>
      </c>
      <c r="K119" s="62">
        <v>0</v>
      </c>
      <c r="L119" s="62">
        <v>0</v>
      </c>
    </row>
    <row r="120" spans="1:12" ht="15.75" customHeight="1" x14ac:dyDescent="0.45">
      <c r="A120" s="46" t="s">
        <v>223</v>
      </c>
      <c r="B120" s="14">
        <v>0</v>
      </c>
      <c r="C120" s="14">
        <v>0</v>
      </c>
      <c r="D120" s="14">
        <v>0</v>
      </c>
      <c r="E120" s="14">
        <v>0</v>
      </c>
      <c r="F120" s="14">
        <v>0</v>
      </c>
      <c r="G120" s="14">
        <v>0</v>
      </c>
      <c r="H120" s="14">
        <v>0</v>
      </c>
      <c r="I120" s="14">
        <v>0</v>
      </c>
      <c r="J120" s="14">
        <v>0</v>
      </c>
      <c r="K120" s="14">
        <v>0</v>
      </c>
      <c r="L120" s="14">
        <v>0</v>
      </c>
    </row>
    <row r="121" spans="1:12" ht="15.75" customHeight="1" x14ac:dyDescent="0.45">
      <c r="A121" s="46" t="s">
        <v>224</v>
      </c>
      <c r="B121" s="14">
        <v>0</v>
      </c>
      <c r="C121" s="14">
        <v>0</v>
      </c>
      <c r="D121" s="14">
        <v>0</v>
      </c>
      <c r="E121" s="14">
        <v>0</v>
      </c>
      <c r="F121" s="14">
        <v>0</v>
      </c>
      <c r="G121" s="14">
        <v>0</v>
      </c>
      <c r="H121" s="14">
        <v>0</v>
      </c>
      <c r="I121" s="14">
        <v>0</v>
      </c>
      <c r="J121" s="14">
        <v>0</v>
      </c>
      <c r="K121" s="14">
        <v>0</v>
      </c>
      <c r="L121" s="14">
        <v>0</v>
      </c>
    </row>
    <row r="122" spans="1:12" ht="15.75" customHeight="1" x14ac:dyDescent="0.45">
      <c r="A122" s="46" t="s">
        <v>225</v>
      </c>
      <c r="B122" s="14">
        <v>0</v>
      </c>
      <c r="C122" s="14">
        <v>0</v>
      </c>
      <c r="D122" s="14">
        <v>0</v>
      </c>
      <c r="E122" s="14">
        <v>0</v>
      </c>
      <c r="F122" s="14">
        <v>0</v>
      </c>
      <c r="G122" s="14">
        <v>0</v>
      </c>
      <c r="H122" s="14">
        <v>0</v>
      </c>
      <c r="I122" s="14">
        <v>0</v>
      </c>
      <c r="J122" s="14">
        <v>0</v>
      </c>
      <c r="K122" s="14">
        <v>0</v>
      </c>
      <c r="L122" s="14">
        <v>0</v>
      </c>
    </row>
    <row r="123" spans="1:12" ht="15.75" customHeight="1" x14ac:dyDescent="0.45">
      <c r="A123" s="46" t="s">
        <v>226</v>
      </c>
      <c r="B123" s="14">
        <v>0</v>
      </c>
      <c r="C123" s="14">
        <v>0</v>
      </c>
      <c r="D123" s="14">
        <v>0</v>
      </c>
      <c r="E123" s="14">
        <v>0</v>
      </c>
      <c r="F123" s="14">
        <v>0</v>
      </c>
      <c r="G123" s="14">
        <v>0</v>
      </c>
      <c r="H123" s="14">
        <v>0</v>
      </c>
      <c r="I123" s="14">
        <v>0</v>
      </c>
      <c r="J123" s="14">
        <v>0</v>
      </c>
      <c r="K123" s="14">
        <v>0</v>
      </c>
      <c r="L123" s="14">
        <v>0</v>
      </c>
    </row>
    <row r="124" spans="1:12" ht="15.75" customHeight="1" x14ac:dyDescent="0.45">
      <c r="A124" s="46" t="s">
        <v>227</v>
      </c>
      <c r="B124" s="14">
        <v>0</v>
      </c>
      <c r="C124" s="14">
        <v>0</v>
      </c>
      <c r="D124" s="14">
        <v>0</v>
      </c>
      <c r="E124" s="14">
        <v>0</v>
      </c>
      <c r="F124" s="14">
        <v>0</v>
      </c>
      <c r="G124" s="14">
        <v>0</v>
      </c>
      <c r="H124" s="14">
        <v>0</v>
      </c>
      <c r="I124" s="14">
        <v>0</v>
      </c>
      <c r="J124" s="14">
        <v>0</v>
      </c>
      <c r="K124" s="14">
        <v>0</v>
      </c>
      <c r="L124" s="14">
        <v>0</v>
      </c>
    </row>
    <row r="125" spans="1:12" ht="15.75" customHeight="1" x14ac:dyDescent="0.45">
      <c r="A125" s="46" t="s">
        <v>228</v>
      </c>
      <c r="B125" s="14">
        <v>0</v>
      </c>
      <c r="C125" s="14">
        <v>0</v>
      </c>
      <c r="D125" s="14">
        <v>0</v>
      </c>
      <c r="E125" s="14">
        <v>0</v>
      </c>
      <c r="F125" s="14">
        <v>0</v>
      </c>
      <c r="G125" s="14">
        <v>0</v>
      </c>
      <c r="H125" s="14">
        <v>0</v>
      </c>
      <c r="I125" s="14">
        <v>0</v>
      </c>
      <c r="J125" s="14">
        <v>0</v>
      </c>
      <c r="K125" s="14">
        <v>0</v>
      </c>
      <c r="L125" s="14">
        <v>0</v>
      </c>
    </row>
    <row r="126" spans="1:12" ht="15.75" customHeight="1" x14ac:dyDescent="0.45">
      <c r="A126" s="46" t="s">
        <v>229</v>
      </c>
      <c r="B126" s="14">
        <v>0</v>
      </c>
      <c r="C126" s="14">
        <v>0</v>
      </c>
      <c r="D126" s="14">
        <v>0</v>
      </c>
      <c r="E126" s="14">
        <v>0</v>
      </c>
      <c r="F126" s="14">
        <v>0</v>
      </c>
      <c r="G126" s="14">
        <v>0</v>
      </c>
      <c r="H126" s="14">
        <v>0</v>
      </c>
      <c r="I126" s="14">
        <v>0</v>
      </c>
      <c r="J126" s="14">
        <v>0</v>
      </c>
      <c r="K126" s="14">
        <v>0</v>
      </c>
      <c r="L126" s="14">
        <v>0</v>
      </c>
    </row>
    <row r="127" spans="1:12" ht="15.75" customHeight="1" x14ac:dyDescent="0.45">
      <c r="A127" s="46" t="s">
        <v>230</v>
      </c>
      <c r="B127" s="14">
        <v>0</v>
      </c>
      <c r="C127" s="14">
        <v>0</v>
      </c>
      <c r="D127" s="14">
        <v>0</v>
      </c>
      <c r="E127" s="14">
        <v>0</v>
      </c>
      <c r="F127" s="14">
        <v>0</v>
      </c>
      <c r="G127" s="14">
        <v>0</v>
      </c>
      <c r="H127" s="14">
        <v>0</v>
      </c>
      <c r="I127" s="14">
        <v>0</v>
      </c>
      <c r="J127" s="14">
        <v>0</v>
      </c>
      <c r="K127" s="14">
        <v>0</v>
      </c>
      <c r="L127" s="14">
        <v>0</v>
      </c>
    </row>
    <row r="128" spans="1:12" ht="15.75" customHeight="1" x14ac:dyDescent="0.45">
      <c r="A128" s="61" t="s">
        <v>39</v>
      </c>
      <c r="B128" s="62">
        <v>0</v>
      </c>
      <c r="C128" s="62">
        <v>0</v>
      </c>
      <c r="D128" s="62">
        <v>0</v>
      </c>
      <c r="E128" s="62">
        <v>0</v>
      </c>
      <c r="F128" s="62">
        <v>0</v>
      </c>
      <c r="G128" s="62">
        <v>0</v>
      </c>
      <c r="H128" s="62">
        <v>0</v>
      </c>
      <c r="I128" s="62">
        <v>0</v>
      </c>
      <c r="J128" s="62">
        <v>0</v>
      </c>
      <c r="K128" s="62">
        <v>0</v>
      </c>
      <c r="L128" s="62">
        <v>0</v>
      </c>
    </row>
    <row r="129" spans="1:12" ht="15.75" customHeight="1" x14ac:dyDescent="0.45">
      <c r="A129" s="46" t="s">
        <v>223</v>
      </c>
      <c r="B129" s="14">
        <v>0</v>
      </c>
      <c r="C129" s="14">
        <v>0</v>
      </c>
      <c r="D129" s="14">
        <v>0</v>
      </c>
      <c r="E129" s="14">
        <v>0</v>
      </c>
      <c r="F129" s="14">
        <v>0</v>
      </c>
      <c r="G129" s="14">
        <v>0</v>
      </c>
      <c r="H129" s="14">
        <v>0</v>
      </c>
      <c r="I129" s="14">
        <v>0</v>
      </c>
      <c r="J129" s="14">
        <v>0</v>
      </c>
      <c r="K129" s="14">
        <v>0</v>
      </c>
      <c r="L129" s="14">
        <v>0</v>
      </c>
    </row>
    <row r="130" spans="1:12" ht="15.75" customHeight="1" x14ac:dyDescent="0.45">
      <c r="A130" s="46" t="s">
        <v>224</v>
      </c>
      <c r="B130" s="14">
        <v>0</v>
      </c>
      <c r="C130" s="14">
        <v>0</v>
      </c>
      <c r="D130" s="14">
        <v>0</v>
      </c>
      <c r="E130" s="14">
        <v>0</v>
      </c>
      <c r="F130" s="14">
        <v>0</v>
      </c>
      <c r="G130" s="14">
        <v>0</v>
      </c>
      <c r="H130" s="14">
        <v>0</v>
      </c>
      <c r="I130" s="14">
        <v>0</v>
      </c>
      <c r="J130" s="14">
        <v>0</v>
      </c>
      <c r="K130" s="14">
        <v>0</v>
      </c>
      <c r="L130" s="14">
        <v>0</v>
      </c>
    </row>
    <row r="131" spans="1:12" ht="15.75" customHeight="1" x14ac:dyDescent="0.45">
      <c r="A131" s="46" t="s">
        <v>225</v>
      </c>
      <c r="B131" s="14">
        <v>0</v>
      </c>
      <c r="C131" s="14">
        <v>0</v>
      </c>
      <c r="D131" s="14">
        <v>0</v>
      </c>
      <c r="E131" s="14">
        <v>0</v>
      </c>
      <c r="F131" s="14">
        <v>0</v>
      </c>
      <c r="G131" s="14">
        <v>0</v>
      </c>
      <c r="H131" s="14">
        <v>0</v>
      </c>
      <c r="I131" s="14">
        <v>0</v>
      </c>
      <c r="J131" s="14">
        <v>0</v>
      </c>
      <c r="K131" s="14">
        <v>0</v>
      </c>
      <c r="L131" s="14">
        <v>0</v>
      </c>
    </row>
    <row r="132" spans="1:12" ht="15.75" customHeight="1" x14ac:dyDescent="0.45">
      <c r="A132" s="46" t="s">
        <v>226</v>
      </c>
      <c r="B132" s="14">
        <v>0</v>
      </c>
      <c r="C132" s="14">
        <v>0</v>
      </c>
      <c r="D132" s="14">
        <v>0</v>
      </c>
      <c r="E132" s="14">
        <v>0</v>
      </c>
      <c r="F132" s="14">
        <v>0</v>
      </c>
      <c r="G132" s="14">
        <v>0</v>
      </c>
      <c r="H132" s="14">
        <v>0</v>
      </c>
      <c r="I132" s="14">
        <v>0</v>
      </c>
      <c r="J132" s="14">
        <v>0</v>
      </c>
      <c r="K132" s="14">
        <v>0</v>
      </c>
      <c r="L132" s="14">
        <v>0</v>
      </c>
    </row>
    <row r="133" spans="1:12" ht="15.75" customHeight="1" x14ac:dyDescent="0.45">
      <c r="A133" s="46" t="s">
        <v>227</v>
      </c>
      <c r="B133" s="14">
        <v>0</v>
      </c>
      <c r="C133" s="14">
        <v>0</v>
      </c>
      <c r="D133" s="14">
        <v>0</v>
      </c>
      <c r="E133" s="14">
        <v>0</v>
      </c>
      <c r="F133" s="14">
        <v>0</v>
      </c>
      <c r="G133" s="14">
        <v>0</v>
      </c>
      <c r="H133" s="14">
        <v>0</v>
      </c>
      <c r="I133" s="14">
        <v>0</v>
      </c>
      <c r="J133" s="14">
        <v>0</v>
      </c>
      <c r="K133" s="14">
        <v>0</v>
      </c>
      <c r="L133" s="14">
        <v>0</v>
      </c>
    </row>
    <row r="134" spans="1:12" ht="15.75" customHeight="1" x14ac:dyDescent="0.45">
      <c r="A134" s="46" t="s">
        <v>228</v>
      </c>
      <c r="B134" s="14">
        <v>0</v>
      </c>
      <c r="C134" s="14">
        <v>0</v>
      </c>
      <c r="D134" s="14">
        <v>0</v>
      </c>
      <c r="E134" s="14">
        <v>0</v>
      </c>
      <c r="F134" s="14">
        <v>0</v>
      </c>
      <c r="G134" s="14">
        <v>0</v>
      </c>
      <c r="H134" s="14">
        <v>0</v>
      </c>
      <c r="I134" s="14">
        <v>0</v>
      </c>
      <c r="J134" s="14">
        <v>0</v>
      </c>
      <c r="K134" s="14">
        <v>0</v>
      </c>
      <c r="L134" s="14">
        <v>0</v>
      </c>
    </row>
    <row r="135" spans="1:12" ht="15.75" customHeight="1" x14ac:dyDescent="0.45">
      <c r="A135" s="46" t="s">
        <v>229</v>
      </c>
      <c r="B135" s="14">
        <v>0</v>
      </c>
      <c r="C135" s="14">
        <v>0</v>
      </c>
      <c r="D135" s="14">
        <v>0</v>
      </c>
      <c r="E135" s="14">
        <v>0</v>
      </c>
      <c r="F135" s="14">
        <v>0</v>
      </c>
      <c r="G135" s="14">
        <v>0</v>
      </c>
      <c r="H135" s="14">
        <v>0</v>
      </c>
      <c r="I135" s="14">
        <v>0</v>
      </c>
      <c r="J135" s="14">
        <v>0</v>
      </c>
      <c r="K135" s="14">
        <v>0</v>
      </c>
      <c r="L135" s="14">
        <v>0</v>
      </c>
    </row>
    <row r="136" spans="1:12" ht="15.75" customHeight="1" x14ac:dyDescent="0.45">
      <c r="A136" s="46" t="s">
        <v>230</v>
      </c>
      <c r="B136" s="14">
        <v>0</v>
      </c>
      <c r="C136" s="14">
        <v>0</v>
      </c>
      <c r="D136" s="14">
        <v>0</v>
      </c>
      <c r="E136" s="14">
        <v>0</v>
      </c>
      <c r="F136" s="14">
        <v>0</v>
      </c>
      <c r="G136" s="14">
        <v>0</v>
      </c>
      <c r="H136" s="14">
        <v>0</v>
      </c>
      <c r="I136" s="14">
        <v>0</v>
      </c>
      <c r="J136" s="14">
        <v>0</v>
      </c>
      <c r="K136" s="14">
        <v>0</v>
      </c>
      <c r="L136" s="14">
        <v>0</v>
      </c>
    </row>
    <row r="137" spans="1:12" ht="15.75" customHeight="1" x14ac:dyDescent="0.45">
      <c r="A137" s="61" t="s">
        <v>41</v>
      </c>
      <c r="B137" s="62">
        <v>0</v>
      </c>
      <c r="C137" s="62">
        <v>0</v>
      </c>
      <c r="D137" s="62">
        <v>0</v>
      </c>
      <c r="E137" s="62">
        <v>0</v>
      </c>
      <c r="F137" s="62">
        <v>0</v>
      </c>
      <c r="G137" s="62">
        <v>0</v>
      </c>
      <c r="H137" s="62">
        <v>0</v>
      </c>
      <c r="I137" s="62">
        <v>0</v>
      </c>
      <c r="J137" s="62">
        <v>0</v>
      </c>
      <c r="K137" s="62">
        <v>0</v>
      </c>
      <c r="L137" s="62">
        <v>0</v>
      </c>
    </row>
    <row r="138" spans="1:12" ht="15.75" customHeight="1" x14ac:dyDescent="0.45">
      <c r="A138" s="46" t="s">
        <v>223</v>
      </c>
      <c r="B138" s="14">
        <v>0</v>
      </c>
      <c r="C138" s="14">
        <v>0</v>
      </c>
      <c r="D138" s="14">
        <v>0</v>
      </c>
      <c r="E138" s="14">
        <v>0</v>
      </c>
      <c r="F138" s="14">
        <v>0</v>
      </c>
      <c r="G138" s="14">
        <v>0</v>
      </c>
      <c r="H138" s="14">
        <v>0</v>
      </c>
      <c r="I138" s="14">
        <v>0</v>
      </c>
      <c r="J138" s="14">
        <v>0</v>
      </c>
      <c r="K138" s="14">
        <v>0</v>
      </c>
      <c r="L138" s="14">
        <v>0</v>
      </c>
    </row>
    <row r="139" spans="1:12" ht="15.75" customHeight="1" x14ac:dyDescent="0.45">
      <c r="A139" s="46" t="s">
        <v>224</v>
      </c>
      <c r="B139" s="14">
        <v>0</v>
      </c>
      <c r="C139" s="14">
        <v>0</v>
      </c>
      <c r="D139" s="14">
        <v>0</v>
      </c>
      <c r="E139" s="14">
        <v>0</v>
      </c>
      <c r="F139" s="14">
        <v>0</v>
      </c>
      <c r="G139" s="14">
        <v>0</v>
      </c>
      <c r="H139" s="14">
        <v>0</v>
      </c>
      <c r="I139" s="14">
        <v>0</v>
      </c>
      <c r="J139" s="14">
        <v>0</v>
      </c>
      <c r="K139" s="14">
        <v>0</v>
      </c>
      <c r="L139" s="14">
        <v>0</v>
      </c>
    </row>
    <row r="140" spans="1:12" ht="15.75" customHeight="1" x14ac:dyDescent="0.45">
      <c r="A140" s="46" t="s">
        <v>225</v>
      </c>
      <c r="B140" s="14">
        <v>0</v>
      </c>
      <c r="C140" s="14">
        <v>0</v>
      </c>
      <c r="D140" s="14">
        <v>0</v>
      </c>
      <c r="E140" s="14">
        <v>0</v>
      </c>
      <c r="F140" s="14">
        <v>0</v>
      </c>
      <c r="G140" s="14">
        <v>0</v>
      </c>
      <c r="H140" s="14">
        <v>0</v>
      </c>
      <c r="I140" s="14">
        <v>0</v>
      </c>
      <c r="J140" s="14">
        <v>0</v>
      </c>
      <c r="K140" s="14">
        <v>0</v>
      </c>
      <c r="L140" s="14">
        <v>0</v>
      </c>
    </row>
    <row r="141" spans="1:12" ht="15.75" customHeight="1" x14ac:dyDescent="0.45">
      <c r="A141" s="46" t="s">
        <v>226</v>
      </c>
      <c r="B141" s="14">
        <v>0</v>
      </c>
      <c r="C141" s="14">
        <v>0</v>
      </c>
      <c r="D141" s="14">
        <v>0</v>
      </c>
      <c r="E141" s="14">
        <v>0</v>
      </c>
      <c r="F141" s="14">
        <v>0</v>
      </c>
      <c r="G141" s="14">
        <v>0</v>
      </c>
      <c r="H141" s="14">
        <v>0</v>
      </c>
      <c r="I141" s="14">
        <v>0</v>
      </c>
      <c r="J141" s="14">
        <v>0</v>
      </c>
      <c r="K141" s="14">
        <v>0</v>
      </c>
      <c r="L141" s="14">
        <v>0</v>
      </c>
    </row>
    <row r="142" spans="1:12" ht="15.75" customHeight="1" x14ac:dyDescent="0.45">
      <c r="A142" s="46" t="s">
        <v>227</v>
      </c>
      <c r="B142" s="14">
        <v>0</v>
      </c>
      <c r="C142" s="14">
        <v>0</v>
      </c>
      <c r="D142" s="14">
        <v>0</v>
      </c>
      <c r="E142" s="14">
        <v>0</v>
      </c>
      <c r="F142" s="14">
        <v>0</v>
      </c>
      <c r="G142" s="14">
        <v>0</v>
      </c>
      <c r="H142" s="14">
        <v>0</v>
      </c>
      <c r="I142" s="14">
        <v>0</v>
      </c>
      <c r="J142" s="14">
        <v>0</v>
      </c>
      <c r="K142" s="14">
        <v>0</v>
      </c>
      <c r="L142" s="14">
        <v>0</v>
      </c>
    </row>
    <row r="143" spans="1:12" ht="15.75" customHeight="1" x14ac:dyDescent="0.45">
      <c r="A143" s="46" t="s">
        <v>228</v>
      </c>
      <c r="B143" s="14">
        <v>0</v>
      </c>
      <c r="C143" s="14">
        <v>0</v>
      </c>
      <c r="D143" s="14">
        <v>0</v>
      </c>
      <c r="E143" s="14">
        <v>0</v>
      </c>
      <c r="F143" s="14">
        <v>0</v>
      </c>
      <c r="G143" s="14">
        <v>0</v>
      </c>
      <c r="H143" s="14">
        <v>0</v>
      </c>
      <c r="I143" s="14">
        <v>0</v>
      </c>
      <c r="J143" s="14">
        <v>0</v>
      </c>
      <c r="K143" s="14">
        <v>0</v>
      </c>
      <c r="L143" s="14">
        <v>0</v>
      </c>
    </row>
    <row r="144" spans="1:12" ht="15.75" customHeight="1" x14ac:dyDescent="0.45">
      <c r="A144" s="46" t="s">
        <v>229</v>
      </c>
      <c r="B144" s="14">
        <v>0</v>
      </c>
      <c r="C144" s="14">
        <v>0</v>
      </c>
      <c r="D144" s="14">
        <v>0</v>
      </c>
      <c r="E144" s="14">
        <v>0</v>
      </c>
      <c r="F144" s="14">
        <v>0</v>
      </c>
      <c r="G144" s="14">
        <v>0</v>
      </c>
      <c r="H144" s="14">
        <v>0</v>
      </c>
      <c r="I144" s="14">
        <v>0</v>
      </c>
      <c r="J144" s="14">
        <v>0</v>
      </c>
      <c r="K144" s="14">
        <v>0</v>
      </c>
      <c r="L144" s="14">
        <v>0</v>
      </c>
    </row>
    <row r="145" spans="1:12" ht="15.75" customHeight="1" x14ac:dyDescent="0.45">
      <c r="A145" s="46" t="s">
        <v>230</v>
      </c>
      <c r="B145" s="14">
        <v>0</v>
      </c>
      <c r="C145" s="14">
        <v>0</v>
      </c>
      <c r="D145" s="14">
        <v>0</v>
      </c>
      <c r="E145" s="14">
        <v>0</v>
      </c>
      <c r="F145" s="14">
        <v>0</v>
      </c>
      <c r="G145" s="14">
        <v>0</v>
      </c>
      <c r="H145" s="14">
        <v>0</v>
      </c>
      <c r="I145" s="14">
        <v>0</v>
      </c>
      <c r="J145" s="14">
        <v>0</v>
      </c>
      <c r="K145" s="14">
        <v>0</v>
      </c>
      <c r="L145" s="14">
        <v>0</v>
      </c>
    </row>
    <row r="146" spans="1:12" ht="15.75" customHeight="1" x14ac:dyDescent="0.45">
      <c r="A146" s="61" t="s">
        <v>47</v>
      </c>
      <c r="B146" s="62">
        <v>0</v>
      </c>
      <c r="C146" s="62">
        <v>0</v>
      </c>
      <c r="D146" s="62">
        <v>0</v>
      </c>
      <c r="E146" s="62">
        <v>0</v>
      </c>
      <c r="F146" s="62">
        <v>0</v>
      </c>
      <c r="G146" s="62">
        <v>0</v>
      </c>
      <c r="H146" s="62">
        <v>0</v>
      </c>
      <c r="I146" s="62">
        <v>0</v>
      </c>
      <c r="J146" s="62">
        <v>0</v>
      </c>
      <c r="K146" s="62">
        <v>0</v>
      </c>
      <c r="L146" s="62">
        <v>0</v>
      </c>
    </row>
    <row r="147" spans="1:12" ht="15.75" customHeight="1" x14ac:dyDescent="0.45">
      <c r="A147" s="46" t="s">
        <v>223</v>
      </c>
      <c r="B147" s="14">
        <v>0</v>
      </c>
      <c r="C147" s="14">
        <v>0</v>
      </c>
      <c r="D147" s="14">
        <v>0</v>
      </c>
      <c r="E147" s="14">
        <v>0</v>
      </c>
      <c r="F147" s="14">
        <v>0</v>
      </c>
      <c r="G147" s="14">
        <v>0</v>
      </c>
      <c r="H147" s="14">
        <v>0</v>
      </c>
      <c r="I147" s="14">
        <v>0</v>
      </c>
      <c r="J147" s="14">
        <v>0</v>
      </c>
      <c r="K147" s="14">
        <v>0</v>
      </c>
      <c r="L147" s="14">
        <v>0</v>
      </c>
    </row>
    <row r="148" spans="1:12" ht="15.75" customHeight="1" x14ac:dyDescent="0.45">
      <c r="A148" s="46" t="s">
        <v>224</v>
      </c>
      <c r="B148" s="14">
        <v>0</v>
      </c>
      <c r="C148" s="14">
        <v>0</v>
      </c>
      <c r="D148" s="14">
        <v>0</v>
      </c>
      <c r="E148" s="14">
        <v>0</v>
      </c>
      <c r="F148" s="14">
        <v>0</v>
      </c>
      <c r="G148" s="14">
        <v>0</v>
      </c>
      <c r="H148" s="14">
        <v>0</v>
      </c>
      <c r="I148" s="14">
        <v>0</v>
      </c>
      <c r="J148" s="14">
        <v>0</v>
      </c>
      <c r="K148" s="14">
        <v>0</v>
      </c>
      <c r="L148" s="14">
        <v>0</v>
      </c>
    </row>
    <row r="149" spans="1:12" ht="15.75" customHeight="1" x14ac:dyDescent="0.45">
      <c r="A149" s="46" t="s">
        <v>225</v>
      </c>
      <c r="B149" s="14">
        <v>0</v>
      </c>
      <c r="C149" s="14">
        <v>0</v>
      </c>
      <c r="D149" s="14">
        <v>0</v>
      </c>
      <c r="E149" s="14">
        <v>0</v>
      </c>
      <c r="F149" s="14">
        <v>0</v>
      </c>
      <c r="G149" s="14">
        <v>0</v>
      </c>
      <c r="H149" s="14">
        <v>0</v>
      </c>
      <c r="I149" s="14">
        <v>0</v>
      </c>
      <c r="J149" s="14">
        <v>0</v>
      </c>
      <c r="K149" s="14">
        <v>0</v>
      </c>
      <c r="L149" s="14">
        <v>0</v>
      </c>
    </row>
    <row r="150" spans="1:12" ht="15.75" customHeight="1" x14ac:dyDescent="0.45">
      <c r="A150" s="46" t="s">
        <v>226</v>
      </c>
      <c r="B150" s="14">
        <v>0</v>
      </c>
      <c r="C150" s="14">
        <v>0</v>
      </c>
      <c r="D150" s="14">
        <v>0</v>
      </c>
      <c r="E150" s="14">
        <v>0</v>
      </c>
      <c r="F150" s="14">
        <v>0</v>
      </c>
      <c r="G150" s="14">
        <v>0</v>
      </c>
      <c r="H150" s="14">
        <v>0</v>
      </c>
      <c r="I150" s="14">
        <v>0</v>
      </c>
      <c r="J150" s="14">
        <v>0</v>
      </c>
      <c r="K150" s="14">
        <v>0</v>
      </c>
      <c r="L150" s="14">
        <v>0</v>
      </c>
    </row>
    <row r="151" spans="1:12" ht="15.75" customHeight="1" x14ac:dyDescent="0.45">
      <c r="A151" s="46" t="s">
        <v>227</v>
      </c>
      <c r="B151" s="14">
        <v>0</v>
      </c>
      <c r="C151" s="14">
        <v>0</v>
      </c>
      <c r="D151" s="14">
        <v>0</v>
      </c>
      <c r="E151" s="14">
        <v>0</v>
      </c>
      <c r="F151" s="14">
        <v>0</v>
      </c>
      <c r="G151" s="14">
        <v>0</v>
      </c>
      <c r="H151" s="14">
        <v>0</v>
      </c>
      <c r="I151" s="14">
        <v>0</v>
      </c>
      <c r="J151" s="14">
        <v>0</v>
      </c>
      <c r="K151" s="14">
        <v>0</v>
      </c>
      <c r="L151" s="14">
        <v>0</v>
      </c>
    </row>
    <row r="152" spans="1:12" ht="15.75" customHeight="1" x14ac:dyDescent="0.45">
      <c r="A152" s="46" t="s">
        <v>228</v>
      </c>
      <c r="B152" s="14">
        <v>0</v>
      </c>
      <c r="C152" s="14">
        <v>0</v>
      </c>
      <c r="D152" s="14">
        <v>0</v>
      </c>
      <c r="E152" s="14">
        <v>0</v>
      </c>
      <c r="F152" s="14">
        <v>0</v>
      </c>
      <c r="G152" s="14">
        <v>0</v>
      </c>
      <c r="H152" s="14">
        <v>0</v>
      </c>
      <c r="I152" s="14">
        <v>0</v>
      </c>
      <c r="J152" s="14">
        <v>0</v>
      </c>
      <c r="K152" s="14">
        <v>0</v>
      </c>
      <c r="L152" s="14">
        <v>0</v>
      </c>
    </row>
    <row r="153" spans="1:12" ht="15.75" customHeight="1" x14ac:dyDescent="0.45">
      <c r="A153" s="46" t="s">
        <v>229</v>
      </c>
      <c r="B153" s="14">
        <v>0</v>
      </c>
      <c r="C153" s="14">
        <v>0</v>
      </c>
      <c r="D153" s="14">
        <v>0</v>
      </c>
      <c r="E153" s="14">
        <v>0</v>
      </c>
      <c r="F153" s="14">
        <v>0</v>
      </c>
      <c r="G153" s="14">
        <v>0</v>
      </c>
      <c r="H153" s="14">
        <v>0</v>
      </c>
      <c r="I153" s="14">
        <v>0</v>
      </c>
      <c r="J153" s="14">
        <v>0</v>
      </c>
      <c r="K153" s="14">
        <v>0</v>
      </c>
      <c r="L153" s="14">
        <v>0</v>
      </c>
    </row>
    <row r="154" spans="1:12" ht="15.75" customHeight="1" x14ac:dyDescent="0.45">
      <c r="A154" s="46" t="s">
        <v>230</v>
      </c>
      <c r="B154" s="14">
        <v>0</v>
      </c>
      <c r="C154" s="14">
        <v>0</v>
      </c>
      <c r="D154" s="14">
        <v>0</v>
      </c>
      <c r="E154" s="14">
        <v>0</v>
      </c>
      <c r="F154" s="14">
        <v>0</v>
      </c>
      <c r="G154" s="14">
        <v>0</v>
      </c>
      <c r="H154" s="14">
        <v>0</v>
      </c>
      <c r="I154" s="14">
        <v>0</v>
      </c>
      <c r="J154" s="14">
        <v>0</v>
      </c>
      <c r="K154" s="14">
        <v>0</v>
      </c>
      <c r="L154" s="14">
        <v>0</v>
      </c>
    </row>
    <row r="155" spans="1:12" ht="15.75" customHeight="1" x14ac:dyDescent="0.45">
      <c r="A155" s="61" t="s">
        <v>49</v>
      </c>
      <c r="B155" s="62">
        <v>0</v>
      </c>
      <c r="C155" s="62">
        <v>0</v>
      </c>
      <c r="D155" s="62">
        <v>0</v>
      </c>
      <c r="E155" s="62">
        <v>0</v>
      </c>
      <c r="F155" s="62">
        <v>0</v>
      </c>
      <c r="G155" s="62">
        <v>0</v>
      </c>
      <c r="H155" s="62">
        <v>0</v>
      </c>
      <c r="I155" s="62">
        <v>0</v>
      </c>
      <c r="J155" s="62">
        <v>0</v>
      </c>
      <c r="K155" s="62">
        <v>0</v>
      </c>
      <c r="L155" s="62">
        <v>0</v>
      </c>
    </row>
    <row r="156" spans="1:12" ht="15.75" customHeight="1" x14ac:dyDescent="0.45">
      <c r="A156" s="46" t="s">
        <v>223</v>
      </c>
      <c r="B156" s="14">
        <v>0</v>
      </c>
      <c r="C156" s="14">
        <v>0</v>
      </c>
      <c r="D156" s="14">
        <v>0</v>
      </c>
      <c r="E156" s="14">
        <v>0</v>
      </c>
      <c r="F156" s="14">
        <v>0</v>
      </c>
      <c r="G156" s="14">
        <v>0</v>
      </c>
      <c r="H156" s="14">
        <v>0</v>
      </c>
      <c r="I156" s="14">
        <v>0</v>
      </c>
      <c r="J156" s="14">
        <v>0</v>
      </c>
      <c r="K156" s="14">
        <v>0</v>
      </c>
      <c r="L156" s="14">
        <v>0</v>
      </c>
    </row>
    <row r="157" spans="1:12" ht="15.75" customHeight="1" x14ac:dyDescent="0.45">
      <c r="A157" s="46" t="s">
        <v>224</v>
      </c>
      <c r="B157" s="14">
        <v>0</v>
      </c>
      <c r="C157" s="14">
        <v>0</v>
      </c>
      <c r="D157" s="14">
        <v>0</v>
      </c>
      <c r="E157" s="14">
        <v>0</v>
      </c>
      <c r="F157" s="14">
        <v>0</v>
      </c>
      <c r="G157" s="14">
        <v>0</v>
      </c>
      <c r="H157" s="14">
        <v>0</v>
      </c>
      <c r="I157" s="14">
        <v>0</v>
      </c>
      <c r="J157" s="14">
        <v>0</v>
      </c>
      <c r="K157" s="14">
        <v>0</v>
      </c>
      <c r="L157" s="14">
        <v>0</v>
      </c>
    </row>
    <row r="158" spans="1:12" ht="15.75" customHeight="1" x14ac:dyDescent="0.45">
      <c r="A158" s="46" t="s">
        <v>225</v>
      </c>
      <c r="B158" s="14">
        <v>0</v>
      </c>
      <c r="C158" s="14">
        <v>0</v>
      </c>
      <c r="D158" s="14">
        <v>0</v>
      </c>
      <c r="E158" s="14">
        <v>0</v>
      </c>
      <c r="F158" s="14">
        <v>0</v>
      </c>
      <c r="G158" s="14">
        <v>0</v>
      </c>
      <c r="H158" s="14">
        <v>0</v>
      </c>
      <c r="I158" s="14">
        <v>0</v>
      </c>
      <c r="J158" s="14">
        <v>0</v>
      </c>
      <c r="K158" s="14">
        <v>0</v>
      </c>
      <c r="L158" s="14">
        <v>0</v>
      </c>
    </row>
    <row r="159" spans="1:12" ht="15.75" customHeight="1" x14ac:dyDescent="0.45">
      <c r="A159" s="46" t="s">
        <v>226</v>
      </c>
      <c r="B159" s="14">
        <v>0</v>
      </c>
      <c r="C159" s="14">
        <v>0</v>
      </c>
      <c r="D159" s="14">
        <v>0</v>
      </c>
      <c r="E159" s="14">
        <v>0</v>
      </c>
      <c r="F159" s="14">
        <v>0</v>
      </c>
      <c r="G159" s="14">
        <v>0</v>
      </c>
      <c r="H159" s="14">
        <v>0</v>
      </c>
      <c r="I159" s="14">
        <v>0</v>
      </c>
      <c r="J159" s="14">
        <v>0</v>
      </c>
      <c r="K159" s="14">
        <v>0</v>
      </c>
      <c r="L159" s="14">
        <v>0</v>
      </c>
    </row>
    <row r="160" spans="1:12" ht="15.75" customHeight="1" x14ac:dyDescent="0.45">
      <c r="A160" s="46" t="s">
        <v>227</v>
      </c>
      <c r="B160" s="14">
        <v>0</v>
      </c>
      <c r="C160" s="14">
        <v>0</v>
      </c>
      <c r="D160" s="14">
        <v>0</v>
      </c>
      <c r="E160" s="14">
        <v>0</v>
      </c>
      <c r="F160" s="14">
        <v>0</v>
      </c>
      <c r="G160" s="14">
        <v>0</v>
      </c>
      <c r="H160" s="14">
        <v>0</v>
      </c>
      <c r="I160" s="14">
        <v>0</v>
      </c>
      <c r="J160" s="14">
        <v>0</v>
      </c>
      <c r="K160" s="14">
        <v>0</v>
      </c>
      <c r="L160" s="14">
        <v>0</v>
      </c>
    </row>
    <row r="161" spans="1:12" ht="15.75" customHeight="1" x14ac:dyDescent="0.45">
      <c r="A161" s="46" t="s">
        <v>228</v>
      </c>
      <c r="B161" s="14">
        <v>0</v>
      </c>
      <c r="C161" s="14">
        <v>0</v>
      </c>
      <c r="D161" s="14">
        <v>0</v>
      </c>
      <c r="E161" s="14">
        <v>0</v>
      </c>
      <c r="F161" s="14">
        <v>0</v>
      </c>
      <c r="G161" s="14">
        <v>0</v>
      </c>
      <c r="H161" s="14">
        <v>0</v>
      </c>
      <c r="I161" s="14">
        <v>0</v>
      </c>
      <c r="J161" s="14">
        <v>0</v>
      </c>
      <c r="K161" s="14">
        <v>0</v>
      </c>
      <c r="L161" s="14">
        <v>0</v>
      </c>
    </row>
    <row r="162" spans="1:12" ht="15.75" customHeight="1" x14ac:dyDescent="0.45">
      <c r="A162" s="46" t="s">
        <v>229</v>
      </c>
      <c r="B162" s="14">
        <v>0</v>
      </c>
      <c r="C162" s="14">
        <v>0</v>
      </c>
      <c r="D162" s="14">
        <v>0</v>
      </c>
      <c r="E162" s="14">
        <v>0</v>
      </c>
      <c r="F162" s="14">
        <v>0</v>
      </c>
      <c r="G162" s="14">
        <v>0</v>
      </c>
      <c r="H162" s="14">
        <v>0</v>
      </c>
      <c r="I162" s="14">
        <v>0</v>
      </c>
      <c r="J162" s="14">
        <v>0</v>
      </c>
      <c r="K162" s="14">
        <v>0</v>
      </c>
      <c r="L162" s="14">
        <v>0</v>
      </c>
    </row>
    <row r="163" spans="1:12" ht="15.75" customHeight="1" x14ac:dyDescent="0.45">
      <c r="A163" s="46" t="s">
        <v>230</v>
      </c>
      <c r="B163" s="14">
        <v>0</v>
      </c>
      <c r="C163" s="14">
        <v>0</v>
      </c>
      <c r="D163" s="14">
        <v>0</v>
      </c>
      <c r="E163" s="14">
        <v>0</v>
      </c>
      <c r="F163" s="14">
        <v>0</v>
      </c>
      <c r="G163" s="14">
        <v>0</v>
      </c>
      <c r="H163" s="14">
        <v>0</v>
      </c>
      <c r="I163" s="14">
        <v>0</v>
      </c>
      <c r="J163" s="14">
        <v>0</v>
      </c>
      <c r="K163" s="14">
        <v>0</v>
      </c>
      <c r="L163" s="14">
        <v>0</v>
      </c>
    </row>
    <row r="164" spans="1:12" ht="15.75" customHeight="1" x14ac:dyDescent="0.45">
      <c r="A164" s="61" t="s">
        <v>51</v>
      </c>
      <c r="B164" s="62">
        <v>0</v>
      </c>
      <c r="C164" s="62">
        <v>0</v>
      </c>
      <c r="D164" s="62">
        <v>0</v>
      </c>
      <c r="E164" s="62">
        <v>0</v>
      </c>
      <c r="F164" s="62">
        <v>0</v>
      </c>
      <c r="G164" s="62">
        <v>0</v>
      </c>
      <c r="H164" s="62">
        <v>0</v>
      </c>
      <c r="I164" s="62">
        <v>0</v>
      </c>
      <c r="J164" s="62">
        <v>0</v>
      </c>
      <c r="K164" s="62">
        <v>0</v>
      </c>
      <c r="L164" s="62">
        <v>0</v>
      </c>
    </row>
    <row r="165" spans="1:12" ht="15.75" customHeight="1" x14ac:dyDescent="0.45">
      <c r="A165" s="46" t="s">
        <v>223</v>
      </c>
      <c r="B165" s="14">
        <v>0</v>
      </c>
      <c r="C165" s="14">
        <v>0</v>
      </c>
      <c r="D165" s="14">
        <v>0</v>
      </c>
      <c r="E165" s="14">
        <v>0</v>
      </c>
      <c r="F165" s="14">
        <v>0</v>
      </c>
      <c r="G165" s="14">
        <v>0</v>
      </c>
      <c r="H165" s="14">
        <v>0</v>
      </c>
      <c r="I165" s="14">
        <v>0</v>
      </c>
      <c r="J165" s="14">
        <v>0</v>
      </c>
      <c r="K165" s="14">
        <v>0</v>
      </c>
      <c r="L165" s="14">
        <v>0</v>
      </c>
    </row>
    <row r="166" spans="1:12" ht="15.75" customHeight="1" x14ac:dyDescent="0.45">
      <c r="A166" s="46" t="s">
        <v>224</v>
      </c>
      <c r="B166" s="14">
        <v>0</v>
      </c>
      <c r="C166" s="14">
        <v>0</v>
      </c>
      <c r="D166" s="14">
        <v>0</v>
      </c>
      <c r="E166" s="14">
        <v>0</v>
      </c>
      <c r="F166" s="14">
        <v>0</v>
      </c>
      <c r="G166" s="14">
        <v>0</v>
      </c>
      <c r="H166" s="14">
        <v>0</v>
      </c>
      <c r="I166" s="14">
        <v>0</v>
      </c>
      <c r="J166" s="14">
        <v>0</v>
      </c>
      <c r="K166" s="14">
        <v>0</v>
      </c>
      <c r="L166" s="14">
        <v>0</v>
      </c>
    </row>
    <row r="167" spans="1:12" ht="15.75" customHeight="1" x14ac:dyDescent="0.45">
      <c r="A167" s="46" t="s">
        <v>225</v>
      </c>
      <c r="B167" s="14">
        <v>0</v>
      </c>
      <c r="C167" s="14">
        <v>0</v>
      </c>
      <c r="D167" s="14">
        <v>0</v>
      </c>
      <c r="E167" s="14">
        <v>0</v>
      </c>
      <c r="F167" s="14">
        <v>0</v>
      </c>
      <c r="G167" s="14">
        <v>0</v>
      </c>
      <c r="H167" s="14">
        <v>0</v>
      </c>
      <c r="I167" s="14">
        <v>0</v>
      </c>
      <c r="J167" s="14">
        <v>0</v>
      </c>
      <c r="K167" s="14">
        <v>0</v>
      </c>
      <c r="L167" s="14">
        <v>0</v>
      </c>
    </row>
    <row r="168" spans="1:12" ht="15.75" customHeight="1" x14ac:dyDescent="0.45">
      <c r="A168" s="46" t="s">
        <v>226</v>
      </c>
      <c r="B168" s="14">
        <v>0</v>
      </c>
      <c r="C168" s="14">
        <v>0</v>
      </c>
      <c r="D168" s="14">
        <v>0</v>
      </c>
      <c r="E168" s="14">
        <v>0</v>
      </c>
      <c r="F168" s="14">
        <v>0</v>
      </c>
      <c r="G168" s="14">
        <v>0</v>
      </c>
      <c r="H168" s="14">
        <v>0</v>
      </c>
      <c r="I168" s="14">
        <v>0</v>
      </c>
      <c r="J168" s="14">
        <v>0</v>
      </c>
      <c r="K168" s="14">
        <v>0</v>
      </c>
      <c r="L168" s="14">
        <v>0</v>
      </c>
    </row>
    <row r="169" spans="1:12" ht="15.75" customHeight="1" x14ac:dyDescent="0.45">
      <c r="A169" s="46" t="s">
        <v>227</v>
      </c>
      <c r="B169" s="14">
        <v>0</v>
      </c>
      <c r="C169" s="14">
        <v>0</v>
      </c>
      <c r="D169" s="14">
        <v>0</v>
      </c>
      <c r="E169" s="14">
        <v>0</v>
      </c>
      <c r="F169" s="14">
        <v>0</v>
      </c>
      <c r="G169" s="14">
        <v>0</v>
      </c>
      <c r="H169" s="14">
        <v>0</v>
      </c>
      <c r="I169" s="14">
        <v>0</v>
      </c>
      <c r="J169" s="14">
        <v>0</v>
      </c>
      <c r="K169" s="14">
        <v>0</v>
      </c>
      <c r="L169" s="14">
        <v>0</v>
      </c>
    </row>
    <row r="170" spans="1:12" ht="15.75" customHeight="1" x14ac:dyDescent="0.45">
      <c r="A170" s="46" t="s">
        <v>228</v>
      </c>
      <c r="B170" s="14">
        <v>0</v>
      </c>
      <c r="C170" s="14">
        <v>0</v>
      </c>
      <c r="D170" s="14">
        <v>0</v>
      </c>
      <c r="E170" s="14">
        <v>0</v>
      </c>
      <c r="F170" s="14">
        <v>0</v>
      </c>
      <c r="G170" s="14">
        <v>0</v>
      </c>
      <c r="H170" s="14">
        <v>0</v>
      </c>
      <c r="I170" s="14">
        <v>0</v>
      </c>
      <c r="J170" s="14">
        <v>0</v>
      </c>
      <c r="K170" s="14">
        <v>0</v>
      </c>
      <c r="L170" s="14">
        <v>0</v>
      </c>
    </row>
    <row r="171" spans="1:12" ht="15.75" customHeight="1" x14ac:dyDescent="0.45">
      <c r="A171" s="46" t="s">
        <v>229</v>
      </c>
      <c r="B171" s="14">
        <v>0</v>
      </c>
      <c r="C171" s="14">
        <v>0</v>
      </c>
      <c r="D171" s="14">
        <v>0</v>
      </c>
      <c r="E171" s="14">
        <v>0</v>
      </c>
      <c r="F171" s="14">
        <v>0</v>
      </c>
      <c r="G171" s="14">
        <v>0</v>
      </c>
      <c r="H171" s="14">
        <v>0</v>
      </c>
      <c r="I171" s="14">
        <v>0</v>
      </c>
      <c r="J171" s="14">
        <v>0</v>
      </c>
      <c r="K171" s="14">
        <v>0</v>
      </c>
      <c r="L171" s="14">
        <v>0</v>
      </c>
    </row>
    <row r="172" spans="1:12" ht="15.75" customHeight="1" x14ac:dyDescent="0.45">
      <c r="A172" s="46" t="s">
        <v>230</v>
      </c>
      <c r="B172" s="14">
        <v>0</v>
      </c>
      <c r="C172" s="14">
        <v>0</v>
      </c>
      <c r="D172" s="14">
        <v>0</v>
      </c>
      <c r="E172" s="14">
        <v>0</v>
      </c>
      <c r="F172" s="14">
        <v>0</v>
      </c>
      <c r="G172" s="14">
        <v>0</v>
      </c>
      <c r="H172" s="14">
        <v>0</v>
      </c>
      <c r="I172" s="14">
        <v>0</v>
      </c>
      <c r="J172" s="14">
        <v>0</v>
      </c>
      <c r="K172" s="14">
        <v>0</v>
      </c>
      <c r="L172" s="14">
        <v>0</v>
      </c>
    </row>
    <row r="173" spans="1:12" ht="15.75" customHeight="1" x14ac:dyDescent="0.45">
      <c r="A173" s="61" t="s">
        <v>58</v>
      </c>
      <c r="B173" s="62">
        <v>0</v>
      </c>
      <c r="C173" s="62">
        <v>0</v>
      </c>
      <c r="D173" s="62">
        <v>0</v>
      </c>
      <c r="E173" s="62">
        <v>0</v>
      </c>
      <c r="F173" s="62">
        <v>0</v>
      </c>
      <c r="G173" s="62">
        <v>0</v>
      </c>
      <c r="H173" s="62">
        <v>0</v>
      </c>
      <c r="I173" s="62">
        <v>0</v>
      </c>
      <c r="J173" s="62">
        <v>0</v>
      </c>
      <c r="K173" s="62">
        <v>0</v>
      </c>
      <c r="L173" s="62">
        <v>0</v>
      </c>
    </row>
    <row r="174" spans="1:12" ht="15.75" customHeight="1" x14ac:dyDescent="0.45">
      <c r="A174" s="46" t="s">
        <v>223</v>
      </c>
      <c r="B174" s="14">
        <v>0</v>
      </c>
      <c r="C174" s="14">
        <v>0</v>
      </c>
      <c r="D174" s="14">
        <v>0</v>
      </c>
      <c r="E174" s="14">
        <v>0</v>
      </c>
      <c r="F174" s="14">
        <v>0</v>
      </c>
      <c r="G174" s="14">
        <v>0</v>
      </c>
      <c r="H174" s="14">
        <v>0</v>
      </c>
      <c r="I174" s="14">
        <v>0</v>
      </c>
      <c r="J174" s="14">
        <v>0</v>
      </c>
      <c r="K174" s="14">
        <v>0</v>
      </c>
      <c r="L174" s="14">
        <v>0</v>
      </c>
    </row>
    <row r="175" spans="1:12" ht="15.75" customHeight="1" x14ac:dyDescent="0.45">
      <c r="A175" s="46" t="s">
        <v>224</v>
      </c>
      <c r="B175" s="14">
        <v>0</v>
      </c>
      <c r="C175" s="14">
        <v>0</v>
      </c>
      <c r="D175" s="14">
        <v>0</v>
      </c>
      <c r="E175" s="14">
        <v>0</v>
      </c>
      <c r="F175" s="14">
        <v>0</v>
      </c>
      <c r="G175" s="14">
        <v>0</v>
      </c>
      <c r="H175" s="14">
        <v>0</v>
      </c>
      <c r="I175" s="14">
        <v>0</v>
      </c>
      <c r="J175" s="14">
        <v>0</v>
      </c>
      <c r="K175" s="14">
        <v>0</v>
      </c>
      <c r="L175" s="14">
        <v>0</v>
      </c>
    </row>
    <row r="176" spans="1:12" ht="15.75" customHeight="1" x14ac:dyDescent="0.45">
      <c r="A176" s="46" t="s">
        <v>225</v>
      </c>
      <c r="B176" s="14">
        <v>0</v>
      </c>
      <c r="C176" s="14">
        <v>0</v>
      </c>
      <c r="D176" s="14">
        <v>0</v>
      </c>
      <c r="E176" s="14">
        <v>0</v>
      </c>
      <c r="F176" s="14">
        <v>0</v>
      </c>
      <c r="G176" s="14">
        <v>0</v>
      </c>
      <c r="H176" s="14">
        <v>0</v>
      </c>
      <c r="I176" s="14">
        <v>0</v>
      </c>
      <c r="J176" s="14">
        <v>0</v>
      </c>
      <c r="K176" s="14">
        <v>0</v>
      </c>
      <c r="L176" s="14">
        <v>0</v>
      </c>
    </row>
    <row r="177" spans="1:12" ht="15.75" customHeight="1" x14ac:dyDescent="0.45">
      <c r="A177" s="46" t="s">
        <v>226</v>
      </c>
      <c r="B177" s="14">
        <v>0</v>
      </c>
      <c r="C177" s="14">
        <v>0</v>
      </c>
      <c r="D177" s="14">
        <v>0</v>
      </c>
      <c r="E177" s="14">
        <v>0</v>
      </c>
      <c r="F177" s="14">
        <v>0</v>
      </c>
      <c r="G177" s="14">
        <v>0</v>
      </c>
      <c r="H177" s="14">
        <v>0</v>
      </c>
      <c r="I177" s="14">
        <v>0</v>
      </c>
      <c r="J177" s="14">
        <v>0</v>
      </c>
      <c r="K177" s="14">
        <v>0</v>
      </c>
      <c r="L177" s="14">
        <v>0</v>
      </c>
    </row>
    <row r="178" spans="1:12" ht="15.75" customHeight="1" x14ac:dyDescent="0.45">
      <c r="A178" s="46" t="s">
        <v>227</v>
      </c>
      <c r="B178" s="14">
        <v>0</v>
      </c>
      <c r="C178" s="14">
        <v>0</v>
      </c>
      <c r="D178" s="14">
        <v>0</v>
      </c>
      <c r="E178" s="14">
        <v>0</v>
      </c>
      <c r="F178" s="14">
        <v>0</v>
      </c>
      <c r="G178" s="14">
        <v>0</v>
      </c>
      <c r="H178" s="14">
        <v>0</v>
      </c>
      <c r="I178" s="14">
        <v>0</v>
      </c>
      <c r="J178" s="14">
        <v>0</v>
      </c>
      <c r="K178" s="14">
        <v>0</v>
      </c>
      <c r="L178" s="14">
        <v>0</v>
      </c>
    </row>
    <row r="179" spans="1:12" ht="15.75" customHeight="1" x14ac:dyDescent="0.45">
      <c r="A179" s="46" t="s">
        <v>228</v>
      </c>
      <c r="B179" s="14">
        <v>0</v>
      </c>
      <c r="C179" s="14">
        <v>0</v>
      </c>
      <c r="D179" s="14">
        <v>0</v>
      </c>
      <c r="E179" s="14">
        <v>0</v>
      </c>
      <c r="F179" s="14">
        <v>0</v>
      </c>
      <c r="G179" s="14">
        <v>0</v>
      </c>
      <c r="H179" s="14">
        <v>0</v>
      </c>
      <c r="I179" s="14">
        <v>0</v>
      </c>
      <c r="J179" s="14">
        <v>0</v>
      </c>
      <c r="K179" s="14">
        <v>0</v>
      </c>
      <c r="L179" s="14">
        <v>0</v>
      </c>
    </row>
    <row r="180" spans="1:12" ht="15.75" customHeight="1" x14ac:dyDescent="0.45">
      <c r="A180" s="46" t="s">
        <v>229</v>
      </c>
      <c r="B180" s="14">
        <v>0</v>
      </c>
      <c r="C180" s="14">
        <v>0</v>
      </c>
      <c r="D180" s="14">
        <v>0</v>
      </c>
      <c r="E180" s="14">
        <v>0</v>
      </c>
      <c r="F180" s="14">
        <v>0</v>
      </c>
      <c r="G180" s="14">
        <v>0</v>
      </c>
      <c r="H180" s="14">
        <v>0</v>
      </c>
      <c r="I180" s="14">
        <v>0</v>
      </c>
      <c r="J180" s="14">
        <v>0</v>
      </c>
      <c r="K180" s="14">
        <v>0</v>
      </c>
      <c r="L180" s="14">
        <v>0</v>
      </c>
    </row>
    <row r="181" spans="1:12" ht="15.75" customHeight="1" x14ac:dyDescent="0.45">
      <c r="A181" s="46" t="s">
        <v>230</v>
      </c>
      <c r="B181" s="14">
        <v>0</v>
      </c>
      <c r="C181" s="14">
        <v>0</v>
      </c>
      <c r="D181" s="14">
        <v>0</v>
      </c>
      <c r="E181" s="14">
        <v>0</v>
      </c>
      <c r="F181" s="14">
        <v>0</v>
      </c>
      <c r="G181" s="14">
        <v>0</v>
      </c>
      <c r="H181" s="14">
        <v>0</v>
      </c>
      <c r="I181" s="14">
        <v>0</v>
      </c>
      <c r="J181" s="14">
        <v>0</v>
      </c>
      <c r="K181" s="14">
        <v>0</v>
      </c>
      <c r="L181" s="14">
        <v>0</v>
      </c>
    </row>
    <row r="182" spans="1:12" ht="15.75" customHeight="1" x14ac:dyDescent="0.45">
      <c r="A182" s="61" t="s">
        <v>60</v>
      </c>
      <c r="B182" s="62">
        <v>0</v>
      </c>
      <c r="C182" s="62">
        <v>0</v>
      </c>
      <c r="D182" s="62">
        <v>0</v>
      </c>
      <c r="E182" s="62">
        <v>0</v>
      </c>
      <c r="F182" s="62">
        <v>0</v>
      </c>
      <c r="G182" s="62">
        <v>0</v>
      </c>
      <c r="H182" s="62">
        <v>0</v>
      </c>
      <c r="I182" s="62">
        <v>0</v>
      </c>
      <c r="J182" s="62">
        <v>0</v>
      </c>
      <c r="K182" s="62">
        <v>0</v>
      </c>
      <c r="L182" s="62">
        <v>0</v>
      </c>
    </row>
    <row r="183" spans="1:12" ht="15.75" customHeight="1" x14ac:dyDescent="0.45">
      <c r="A183" s="46" t="s">
        <v>223</v>
      </c>
      <c r="B183" s="14">
        <v>0</v>
      </c>
      <c r="C183" s="14">
        <v>0</v>
      </c>
      <c r="D183" s="14">
        <v>0</v>
      </c>
      <c r="E183" s="14">
        <v>0</v>
      </c>
      <c r="F183" s="14">
        <v>0</v>
      </c>
      <c r="G183" s="14">
        <v>0</v>
      </c>
      <c r="H183" s="14">
        <v>0</v>
      </c>
      <c r="I183" s="14">
        <v>0</v>
      </c>
      <c r="J183" s="14">
        <v>0</v>
      </c>
      <c r="K183" s="14">
        <v>0</v>
      </c>
      <c r="L183" s="14">
        <v>0</v>
      </c>
    </row>
    <row r="184" spans="1:12" ht="15.75" customHeight="1" x14ac:dyDescent="0.45">
      <c r="A184" s="46" t="s">
        <v>224</v>
      </c>
      <c r="B184" s="14">
        <v>0</v>
      </c>
      <c r="C184" s="14">
        <v>0</v>
      </c>
      <c r="D184" s="14">
        <v>0</v>
      </c>
      <c r="E184" s="14">
        <v>0</v>
      </c>
      <c r="F184" s="14">
        <v>0</v>
      </c>
      <c r="G184" s="14">
        <v>0</v>
      </c>
      <c r="H184" s="14">
        <v>0</v>
      </c>
      <c r="I184" s="14">
        <v>0</v>
      </c>
      <c r="J184" s="14">
        <v>0</v>
      </c>
      <c r="K184" s="14">
        <v>0</v>
      </c>
      <c r="L184" s="14">
        <v>0</v>
      </c>
    </row>
    <row r="185" spans="1:12" ht="15.75" customHeight="1" x14ac:dyDescent="0.45">
      <c r="A185" s="46" t="s">
        <v>225</v>
      </c>
      <c r="B185" s="14">
        <v>0</v>
      </c>
      <c r="C185" s="14">
        <v>0</v>
      </c>
      <c r="D185" s="14">
        <v>0</v>
      </c>
      <c r="E185" s="14">
        <v>0</v>
      </c>
      <c r="F185" s="14">
        <v>0</v>
      </c>
      <c r="G185" s="14">
        <v>0</v>
      </c>
      <c r="H185" s="14">
        <v>0</v>
      </c>
      <c r="I185" s="14">
        <v>0</v>
      </c>
      <c r="J185" s="14">
        <v>0</v>
      </c>
      <c r="K185" s="14">
        <v>0</v>
      </c>
      <c r="L185" s="14">
        <v>0</v>
      </c>
    </row>
    <row r="186" spans="1:12" ht="15.75" customHeight="1" x14ac:dyDescent="0.45">
      <c r="A186" s="46" t="s">
        <v>226</v>
      </c>
      <c r="B186" s="14">
        <v>0</v>
      </c>
      <c r="C186" s="14">
        <v>0</v>
      </c>
      <c r="D186" s="14">
        <v>0</v>
      </c>
      <c r="E186" s="14">
        <v>0</v>
      </c>
      <c r="F186" s="14">
        <v>0</v>
      </c>
      <c r="G186" s="14">
        <v>0</v>
      </c>
      <c r="H186" s="14">
        <v>0</v>
      </c>
      <c r="I186" s="14">
        <v>0</v>
      </c>
      <c r="J186" s="14">
        <v>0</v>
      </c>
      <c r="K186" s="14">
        <v>0</v>
      </c>
      <c r="L186" s="14">
        <v>0</v>
      </c>
    </row>
    <row r="187" spans="1:12" ht="15.75" customHeight="1" x14ac:dyDescent="0.45">
      <c r="A187" s="46" t="s">
        <v>227</v>
      </c>
      <c r="B187" s="14">
        <v>0</v>
      </c>
      <c r="C187" s="14">
        <v>0</v>
      </c>
      <c r="D187" s="14">
        <v>0</v>
      </c>
      <c r="E187" s="14">
        <v>0</v>
      </c>
      <c r="F187" s="14">
        <v>0</v>
      </c>
      <c r="G187" s="14">
        <v>0</v>
      </c>
      <c r="H187" s="14">
        <v>0</v>
      </c>
      <c r="I187" s="14">
        <v>0</v>
      </c>
      <c r="J187" s="14">
        <v>0</v>
      </c>
      <c r="K187" s="14">
        <v>0</v>
      </c>
      <c r="L187" s="14">
        <v>0</v>
      </c>
    </row>
    <row r="188" spans="1:12" ht="15.75" customHeight="1" x14ac:dyDescent="0.45">
      <c r="A188" s="46" t="s">
        <v>228</v>
      </c>
      <c r="B188" s="14">
        <v>0</v>
      </c>
      <c r="C188" s="14">
        <v>0</v>
      </c>
      <c r="D188" s="14">
        <v>0</v>
      </c>
      <c r="E188" s="14">
        <v>0</v>
      </c>
      <c r="F188" s="14">
        <v>0</v>
      </c>
      <c r="G188" s="14">
        <v>0</v>
      </c>
      <c r="H188" s="14">
        <v>0</v>
      </c>
      <c r="I188" s="14">
        <v>0</v>
      </c>
      <c r="J188" s="14">
        <v>0</v>
      </c>
      <c r="K188" s="14">
        <v>0</v>
      </c>
      <c r="L188" s="14">
        <v>0</v>
      </c>
    </row>
    <row r="189" spans="1:12" ht="15.75" customHeight="1" x14ac:dyDescent="0.45">
      <c r="A189" s="46" t="s">
        <v>229</v>
      </c>
      <c r="B189" s="14">
        <v>0</v>
      </c>
      <c r="C189" s="14">
        <v>0</v>
      </c>
      <c r="D189" s="14">
        <v>0</v>
      </c>
      <c r="E189" s="14">
        <v>0</v>
      </c>
      <c r="F189" s="14">
        <v>0</v>
      </c>
      <c r="G189" s="14">
        <v>0</v>
      </c>
      <c r="H189" s="14">
        <v>0</v>
      </c>
      <c r="I189" s="14">
        <v>0</v>
      </c>
      <c r="J189" s="14">
        <v>0</v>
      </c>
      <c r="K189" s="14">
        <v>0</v>
      </c>
      <c r="L189" s="14">
        <v>0</v>
      </c>
    </row>
    <row r="190" spans="1:12" ht="15.75" customHeight="1" x14ac:dyDescent="0.45">
      <c r="A190" s="46" t="s">
        <v>230</v>
      </c>
      <c r="B190" s="14">
        <v>0</v>
      </c>
      <c r="C190" s="14">
        <v>0</v>
      </c>
      <c r="D190" s="14">
        <v>0</v>
      </c>
      <c r="E190" s="14">
        <v>0</v>
      </c>
      <c r="F190" s="14">
        <v>0</v>
      </c>
      <c r="G190" s="14">
        <v>0</v>
      </c>
      <c r="H190" s="14">
        <v>0</v>
      </c>
      <c r="I190" s="14">
        <v>0</v>
      </c>
      <c r="J190" s="14">
        <v>0</v>
      </c>
      <c r="K190" s="14">
        <v>0</v>
      </c>
      <c r="L190" s="14">
        <v>0</v>
      </c>
    </row>
    <row r="191" spans="1:12" ht="15.75" customHeight="1" x14ac:dyDescent="0.45">
      <c r="A191" s="61" t="s">
        <v>61</v>
      </c>
      <c r="B191" s="62">
        <v>0</v>
      </c>
      <c r="C191" s="62">
        <v>0</v>
      </c>
      <c r="D191" s="62">
        <v>0</v>
      </c>
      <c r="E191" s="62">
        <v>0</v>
      </c>
      <c r="F191" s="62">
        <v>0</v>
      </c>
      <c r="G191" s="62">
        <v>0</v>
      </c>
      <c r="H191" s="62">
        <v>0</v>
      </c>
      <c r="I191" s="62">
        <v>0</v>
      </c>
      <c r="J191" s="62">
        <v>0</v>
      </c>
      <c r="K191" s="62">
        <v>0</v>
      </c>
      <c r="L191" s="62">
        <v>0</v>
      </c>
    </row>
    <row r="192" spans="1:12" ht="15.75" customHeight="1" x14ac:dyDescent="0.45">
      <c r="A192" s="46" t="s">
        <v>223</v>
      </c>
      <c r="B192" s="14">
        <v>0</v>
      </c>
      <c r="C192" s="14">
        <v>0</v>
      </c>
      <c r="D192" s="14">
        <v>0</v>
      </c>
      <c r="E192" s="14">
        <v>0</v>
      </c>
      <c r="F192" s="14">
        <v>0</v>
      </c>
      <c r="G192" s="14">
        <v>0</v>
      </c>
      <c r="H192" s="14">
        <v>0</v>
      </c>
      <c r="I192" s="14">
        <v>0</v>
      </c>
      <c r="J192" s="14">
        <v>0</v>
      </c>
      <c r="K192" s="14">
        <v>0</v>
      </c>
      <c r="L192" s="14">
        <v>0</v>
      </c>
    </row>
    <row r="193" spans="1:12" ht="15.75" customHeight="1" x14ac:dyDescent="0.45">
      <c r="A193" s="46" t="s">
        <v>224</v>
      </c>
      <c r="B193" s="14">
        <v>0</v>
      </c>
      <c r="C193" s="14">
        <v>0</v>
      </c>
      <c r="D193" s="14">
        <v>0</v>
      </c>
      <c r="E193" s="14">
        <v>0</v>
      </c>
      <c r="F193" s="14">
        <v>0</v>
      </c>
      <c r="G193" s="14">
        <v>0</v>
      </c>
      <c r="H193" s="14">
        <v>0</v>
      </c>
      <c r="I193" s="14">
        <v>0</v>
      </c>
      <c r="J193" s="14">
        <v>0</v>
      </c>
      <c r="K193" s="14">
        <v>0</v>
      </c>
      <c r="L193" s="14">
        <v>0</v>
      </c>
    </row>
    <row r="194" spans="1:12" ht="15.75" customHeight="1" x14ac:dyDescent="0.45">
      <c r="A194" s="46" t="s">
        <v>225</v>
      </c>
      <c r="B194" s="14">
        <v>0</v>
      </c>
      <c r="C194" s="14">
        <v>0</v>
      </c>
      <c r="D194" s="14">
        <v>0</v>
      </c>
      <c r="E194" s="14">
        <v>0</v>
      </c>
      <c r="F194" s="14">
        <v>0</v>
      </c>
      <c r="G194" s="14">
        <v>0</v>
      </c>
      <c r="H194" s="14">
        <v>0</v>
      </c>
      <c r="I194" s="14">
        <v>0</v>
      </c>
      <c r="J194" s="14">
        <v>0</v>
      </c>
      <c r="K194" s="14">
        <v>0</v>
      </c>
      <c r="L194" s="14">
        <v>0</v>
      </c>
    </row>
    <row r="195" spans="1:12" ht="15.75" customHeight="1" x14ac:dyDescent="0.45">
      <c r="A195" s="46" t="s">
        <v>226</v>
      </c>
      <c r="B195" s="14">
        <v>0</v>
      </c>
      <c r="C195" s="14">
        <v>0</v>
      </c>
      <c r="D195" s="14">
        <v>0</v>
      </c>
      <c r="E195" s="14">
        <v>0</v>
      </c>
      <c r="F195" s="14">
        <v>0</v>
      </c>
      <c r="G195" s="14">
        <v>0</v>
      </c>
      <c r="H195" s="14">
        <v>0</v>
      </c>
      <c r="I195" s="14">
        <v>0</v>
      </c>
      <c r="J195" s="14">
        <v>0</v>
      </c>
      <c r="K195" s="14">
        <v>0</v>
      </c>
      <c r="L195" s="14">
        <v>0</v>
      </c>
    </row>
    <row r="196" spans="1:12" ht="15.75" customHeight="1" x14ac:dyDescent="0.45">
      <c r="A196" s="46" t="s">
        <v>227</v>
      </c>
      <c r="B196" s="14">
        <v>0</v>
      </c>
      <c r="C196" s="14">
        <v>0</v>
      </c>
      <c r="D196" s="14">
        <v>0</v>
      </c>
      <c r="E196" s="14">
        <v>0</v>
      </c>
      <c r="F196" s="14">
        <v>0</v>
      </c>
      <c r="G196" s="14">
        <v>0</v>
      </c>
      <c r="H196" s="14">
        <v>0</v>
      </c>
      <c r="I196" s="14">
        <v>0</v>
      </c>
      <c r="J196" s="14">
        <v>0</v>
      </c>
      <c r="K196" s="14">
        <v>0</v>
      </c>
      <c r="L196" s="14">
        <v>0</v>
      </c>
    </row>
    <row r="197" spans="1:12" ht="15.75" customHeight="1" x14ac:dyDescent="0.45">
      <c r="A197" s="46" t="s">
        <v>228</v>
      </c>
      <c r="B197" s="14">
        <v>0</v>
      </c>
      <c r="C197" s="14">
        <v>0</v>
      </c>
      <c r="D197" s="14">
        <v>0</v>
      </c>
      <c r="E197" s="14">
        <v>0</v>
      </c>
      <c r="F197" s="14">
        <v>0</v>
      </c>
      <c r="G197" s="14">
        <v>0</v>
      </c>
      <c r="H197" s="14">
        <v>0</v>
      </c>
      <c r="I197" s="14">
        <v>0</v>
      </c>
      <c r="J197" s="14">
        <v>0</v>
      </c>
      <c r="K197" s="14">
        <v>0</v>
      </c>
      <c r="L197" s="14">
        <v>0</v>
      </c>
    </row>
    <row r="198" spans="1:12" ht="15.75" customHeight="1" x14ac:dyDescent="0.45">
      <c r="A198" s="46" t="s">
        <v>229</v>
      </c>
      <c r="B198" s="14">
        <v>0</v>
      </c>
      <c r="C198" s="14">
        <v>0</v>
      </c>
      <c r="D198" s="14">
        <v>0</v>
      </c>
      <c r="E198" s="14">
        <v>0</v>
      </c>
      <c r="F198" s="14">
        <v>0</v>
      </c>
      <c r="G198" s="14">
        <v>0</v>
      </c>
      <c r="H198" s="14">
        <v>0</v>
      </c>
      <c r="I198" s="14">
        <v>0</v>
      </c>
      <c r="J198" s="14">
        <v>0</v>
      </c>
      <c r="K198" s="14">
        <v>0</v>
      </c>
      <c r="L198" s="14">
        <v>0</v>
      </c>
    </row>
    <row r="199" spans="1:12" ht="15.75" customHeight="1" x14ac:dyDescent="0.45">
      <c r="A199" s="46" t="s">
        <v>230</v>
      </c>
      <c r="B199" s="14">
        <v>0</v>
      </c>
      <c r="C199" s="14">
        <v>0</v>
      </c>
      <c r="D199" s="14">
        <v>0</v>
      </c>
      <c r="E199" s="14">
        <v>0</v>
      </c>
      <c r="F199" s="14">
        <v>0</v>
      </c>
      <c r="G199" s="14">
        <v>0</v>
      </c>
      <c r="H199" s="14">
        <v>0</v>
      </c>
      <c r="I199" s="14">
        <v>0</v>
      </c>
      <c r="J199" s="14">
        <v>0</v>
      </c>
      <c r="K199" s="14">
        <v>0</v>
      </c>
      <c r="L199" s="14">
        <v>0</v>
      </c>
    </row>
    <row r="200" spans="1:12" ht="15.75" customHeight="1" x14ac:dyDescent="0.45">
      <c r="A200" s="61" t="s">
        <v>221</v>
      </c>
      <c r="B200" s="62">
        <v>0</v>
      </c>
      <c r="C200" s="62">
        <v>0</v>
      </c>
      <c r="D200" s="62">
        <v>0</v>
      </c>
      <c r="E200" s="62">
        <v>0</v>
      </c>
      <c r="F200" s="62">
        <v>0</v>
      </c>
      <c r="G200" s="62">
        <v>0</v>
      </c>
      <c r="H200" s="62">
        <v>0</v>
      </c>
      <c r="I200" s="62">
        <v>0</v>
      </c>
      <c r="J200" s="62">
        <v>0</v>
      </c>
      <c r="K200" s="62">
        <v>0</v>
      </c>
      <c r="L200" s="62">
        <v>0</v>
      </c>
    </row>
    <row r="201" spans="1:12" ht="15.75" customHeight="1" x14ac:dyDescent="0.45">
      <c r="A201" s="46" t="s">
        <v>223</v>
      </c>
      <c r="B201" s="14">
        <v>0</v>
      </c>
      <c r="C201" s="14">
        <v>0</v>
      </c>
      <c r="D201" s="14">
        <v>0</v>
      </c>
      <c r="E201" s="14">
        <v>0</v>
      </c>
      <c r="F201" s="14">
        <v>0</v>
      </c>
      <c r="G201" s="14">
        <v>0</v>
      </c>
      <c r="H201" s="14">
        <v>0</v>
      </c>
      <c r="I201" s="14">
        <v>0</v>
      </c>
      <c r="J201" s="14">
        <v>0</v>
      </c>
      <c r="K201" s="14">
        <v>0</v>
      </c>
      <c r="L201" s="14">
        <v>0</v>
      </c>
    </row>
    <row r="202" spans="1:12" ht="15.75" customHeight="1" x14ac:dyDescent="0.45">
      <c r="A202" s="46" t="s">
        <v>224</v>
      </c>
      <c r="B202" s="14">
        <v>0</v>
      </c>
      <c r="C202" s="14">
        <v>0</v>
      </c>
      <c r="D202" s="14">
        <v>0</v>
      </c>
      <c r="E202" s="14">
        <v>0</v>
      </c>
      <c r="F202" s="14">
        <v>0</v>
      </c>
      <c r="G202" s="14">
        <v>0</v>
      </c>
      <c r="H202" s="14">
        <v>0</v>
      </c>
      <c r="I202" s="14">
        <v>0</v>
      </c>
      <c r="J202" s="14">
        <v>0</v>
      </c>
      <c r="K202" s="14">
        <v>0</v>
      </c>
      <c r="L202" s="14">
        <v>0</v>
      </c>
    </row>
    <row r="203" spans="1:12" ht="15.75" customHeight="1" x14ac:dyDescent="0.45">
      <c r="A203" s="46" t="s">
        <v>225</v>
      </c>
      <c r="B203" s="14">
        <v>0</v>
      </c>
      <c r="C203" s="14">
        <v>0</v>
      </c>
      <c r="D203" s="14">
        <v>0</v>
      </c>
      <c r="E203" s="14">
        <v>0</v>
      </c>
      <c r="F203" s="14">
        <v>0</v>
      </c>
      <c r="G203" s="14">
        <v>0</v>
      </c>
      <c r="H203" s="14">
        <v>0</v>
      </c>
      <c r="I203" s="14">
        <v>0</v>
      </c>
      <c r="J203" s="14">
        <v>0</v>
      </c>
      <c r="K203" s="14">
        <v>0</v>
      </c>
      <c r="L203" s="14">
        <v>0</v>
      </c>
    </row>
    <row r="204" spans="1:12" ht="15.75" customHeight="1" x14ac:dyDescent="0.45">
      <c r="A204" s="46" t="s">
        <v>226</v>
      </c>
      <c r="B204" s="14">
        <v>0</v>
      </c>
      <c r="C204" s="14">
        <v>0</v>
      </c>
      <c r="D204" s="14">
        <v>0</v>
      </c>
      <c r="E204" s="14">
        <v>0</v>
      </c>
      <c r="F204" s="14">
        <v>0</v>
      </c>
      <c r="G204" s="14">
        <v>0</v>
      </c>
      <c r="H204" s="14">
        <v>0</v>
      </c>
      <c r="I204" s="14">
        <v>0</v>
      </c>
      <c r="J204" s="14">
        <v>0</v>
      </c>
      <c r="K204" s="14">
        <v>0</v>
      </c>
      <c r="L204" s="14">
        <v>0</v>
      </c>
    </row>
    <row r="205" spans="1:12" ht="15.75" customHeight="1" x14ac:dyDescent="0.45">
      <c r="A205" s="46" t="s">
        <v>227</v>
      </c>
      <c r="B205" s="14">
        <v>0</v>
      </c>
      <c r="C205" s="14">
        <v>0</v>
      </c>
      <c r="D205" s="14">
        <v>0</v>
      </c>
      <c r="E205" s="14">
        <v>0</v>
      </c>
      <c r="F205" s="14">
        <v>0</v>
      </c>
      <c r="G205" s="14">
        <v>0</v>
      </c>
      <c r="H205" s="14">
        <v>0</v>
      </c>
      <c r="I205" s="14">
        <v>0</v>
      </c>
      <c r="J205" s="14">
        <v>0</v>
      </c>
      <c r="K205" s="14">
        <v>0</v>
      </c>
      <c r="L205" s="14">
        <v>0</v>
      </c>
    </row>
    <row r="206" spans="1:12" ht="15.75" customHeight="1" x14ac:dyDescent="0.45">
      <c r="A206" s="46" t="s">
        <v>228</v>
      </c>
      <c r="B206" s="14">
        <v>0</v>
      </c>
      <c r="C206" s="14">
        <v>0</v>
      </c>
      <c r="D206" s="14">
        <v>0</v>
      </c>
      <c r="E206" s="14">
        <v>0</v>
      </c>
      <c r="F206" s="14">
        <v>0</v>
      </c>
      <c r="G206" s="14">
        <v>0</v>
      </c>
      <c r="H206" s="14">
        <v>0</v>
      </c>
      <c r="I206" s="14">
        <v>0</v>
      </c>
      <c r="J206" s="14">
        <v>0</v>
      </c>
      <c r="K206" s="14">
        <v>0</v>
      </c>
      <c r="L206" s="14">
        <v>0</v>
      </c>
    </row>
    <row r="207" spans="1:12" ht="15.75" customHeight="1" x14ac:dyDescent="0.45">
      <c r="A207" s="46" t="s">
        <v>229</v>
      </c>
      <c r="B207" s="14">
        <v>0</v>
      </c>
      <c r="C207" s="14">
        <v>0</v>
      </c>
      <c r="D207" s="14">
        <v>0</v>
      </c>
      <c r="E207" s="14">
        <v>0</v>
      </c>
      <c r="F207" s="14">
        <v>0</v>
      </c>
      <c r="G207" s="14">
        <v>0</v>
      </c>
      <c r="H207" s="14">
        <v>0</v>
      </c>
      <c r="I207" s="14">
        <v>0</v>
      </c>
      <c r="J207" s="14">
        <v>0</v>
      </c>
      <c r="K207" s="14">
        <v>0</v>
      </c>
      <c r="L207" s="14">
        <v>0</v>
      </c>
    </row>
    <row r="208" spans="1:12" ht="15.75" customHeight="1" x14ac:dyDescent="0.45">
      <c r="A208" s="46" t="s">
        <v>230</v>
      </c>
      <c r="B208" s="14">
        <v>0</v>
      </c>
      <c r="C208" s="14">
        <v>0</v>
      </c>
      <c r="D208" s="14">
        <v>0</v>
      </c>
      <c r="E208" s="14">
        <v>0</v>
      </c>
      <c r="F208" s="14">
        <v>0</v>
      </c>
      <c r="G208" s="14">
        <v>0</v>
      </c>
      <c r="H208" s="14">
        <v>0</v>
      </c>
      <c r="I208" s="14">
        <v>0</v>
      </c>
      <c r="J208" s="14">
        <v>0</v>
      </c>
      <c r="K208" s="14">
        <v>0</v>
      </c>
      <c r="L208" s="14">
        <v>0</v>
      </c>
    </row>
    <row r="209" spans="1:12" ht="15.75" customHeight="1" x14ac:dyDescent="0.45">
      <c r="A209" s="61" t="s">
        <v>63</v>
      </c>
      <c r="B209" s="62">
        <v>0</v>
      </c>
      <c r="C209" s="62">
        <v>0</v>
      </c>
      <c r="D209" s="62">
        <v>0</v>
      </c>
      <c r="E209" s="62">
        <v>0</v>
      </c>
      <c r="F209" s="62">
        <v>0</v>
      </c>
      <c r="G209" s="62">
        <v>0</v>
      </c>
      <c r="H209" s="62">
        <v>0</v>
      </c>
      <c r="I209" s="62">
        <v>0</v>
      </c>
      <c r="J209" s="62">
        <v>0</v>
      </c>
      <c r="K209" s="62">
        <v>0</v>
      </c>
      <c r="L209" s="62">
        <v>0</v>
      </c>
    </row>
    <row r="210" spans="1:12" ht="15.75" customHeight="1" x14ac:dyDescent="0.45">
      <c r="A210" s="46" t="s">
        <v>223</v>
      </c>
      <c r="B210" s="14">
        <v>0</v>
      </c>
      <c r="C210" s="14">
        <v>0</v>
      </c>
      <c r="D210" s="14">
        <v>0</v>
      </c>
      <c r="E210" s="14">
        <v>0</v>
      </c>
      <c r="F210" s="14">
        <v>0</v>
      </c>
      <c r="G210" s="14">
        <v>0</v>
      </c>
      <c r="H210" s="14">
        <v>0</v>
      </c>
      <c r="I210" s="14">
        <v>0</v>
      </c>
      <c r="J210" s="14">
        <v>0</v>
      </c>
      <c r="K210" s="14">
        <v>0</v>
      </c>
      <c r="L210" s="14">
        <v>0</v>
      </c>
    </row>
    <row r="211" spans="1:12" ht="15.75" customHeight="1" x14ac:dyDescent="0.45">
      <c r="A211" s="46" t="s">
        <v>224</v>
      </c>
      <c r="B211" s="14">
        <v>0</v>
      </c>
      <c r="C211" s="14">
        <v>0</v>
      </c>
      <c r="D211" s="14">
        <v>0</v>
      </c>
      <c r="E211" s="14">
        <v>0</v>
      </c>
      <c r="F211" s="14">
        <v>0</v>
      </c>
      <c r="G211" s="14">
        <v>0</v>
      </c>
      <c r="H211" s="14">
        <v>0</v>
      </c>
      <c r="I211" s="14">
        <v>0</v>
      </c>
      <c r="J211" s="14">
        <v>0</v>
      </c>
      <c r="K211" s="14">
        <v>0</v>
      </c>
      <c r="L211" s="14">
        <v>0</v>
      </c>
    </row>
    <row r="212" spans="1:12" ht="15.75" customHeight="1" x14ac:dyDescent="0.45">
      <c r="A212" s="46" t="s">
        <v>225</v>
      </c>
      <c r="B212" s="14">
        <v>0</v>
      </c>
      <c r="C212" s="14">
        <v>0</v>
      </c>
      <c r="D212" s="14">
        <v>0</v>
      </c>
      <c r="E212" s="14">
        <v>0</v>
      </c>
      <c r="F212" s="14">
        <v>0</v>
      </c>
      <c r="G212" s="14">
        <v>0</v>
      </c>
      <c r="H212" s="14">
        <v>0</v>
      </c>
      <c r="I212" s="14">
        <v>0</v>
      </c>
      <c r="J212" s="14">
        <v>0</v>
      </c>
      <c r="K212" s="14">
        <v>0</v>
      </c>
      <c r="L212" s="14">
        <v>0</v>
      </c>
    </row>
    <row r="213" spans="1:12" ht="15.75" customHeight="1" x14ac:dyDescent="0.45">
      <c r="A213" s="46" t="s">
        <v>226</v>
      </c>
      <c r="B213" s="14">
        <v>0</v>
      </c>
      <c r="C213" s="14">
        <v>0</v>
      </c>
      <c r="D213" s="14">
        <v>0</v>
      </c>
      <c r="E213" s="14">
        <v>0</v>
      </c>
      <c r="F213" s="14">
        <v>0</v>
      </c>
      <c r="G213" s="14">
        <v>0</v>
      </c>
      <c r="H213" s="14">
        <v>0</v>
      </c>
      <c r="I213" s="14">
        <v>0</v>
      </c>
      <c r="J213" s="14">
        <v>0</v>
      </c>
      <c r="K213" s="14">
        <v>0</v>
      </c>
      <c r="L213" s="14">
        <v>0</v>
      </c>
    </row>
    <row r="214" spans="1:12" ht="15.75" customHeight="1" x14ac:dyDescent="0.45">
      <c r="A214" s="46" t="s">
        <v>227</v>
      </c>
      <c r="B214" s="14">
        <v>0</v>
      </c>
      <c r="C214" s="14">
        <v>0</v>
      </c>
      <c r="D214" s="14">
        <v>0</v>
      </c>
      <c r="E214" s="14">
        <v>0</v>
      </c>
      <c r="F214" s="14">
        <v>0</v>
      </c>
      <c r="G214" s="14">
        <v>0</v>
      </c>
      <c r="H214" s="14">
        <v>0</v>
      </c>
      <c r="I214" s="14">
        <v>0</v>
      </c>
      <c r="J214" s="14">
        <v>0</v>
      </c>
      <c r="K214" s="14">
        <v>0</v>
      </c>
      <c r="L214" s="14">
        <v>0</v>
      </c>
    </row>
    <row r="215" spans="1:12" ht="15.75" customHeight="1" x14ac:dyDescent="0.45">
      <c r="A215" s="46" t="s">
        <v>228</v>
      </c>
      <c r="B215" s="14">
        <v>0</v>
      </c>
      <c r="C215" s="14">
        <v>0</v>
      </c>
      <c r="D215" s="14">
        <v>0</v>
      </c>
      <c r="E215" s="14">
        <v>0</v>
      </c>
      <c r="F215" s="14">
        <v>0</v>
      </c>
      <c r="G215" s="14">
        <v>0</v>
      </c>
      <c r="H215" s="14">
        <v>0</v>
      </c>
      <c r="I215" s="14">
        <v>0</v>
      </c>
      <c r="J215" s="14">
        <v>0</v>
      </c>
      <c r="K215" s="14">
        <v>0</v>
      </c>
      <c r="L215" s="14">
        <v>0</v>
      </c>
    </row>
    <row r="216" spans="1:12" ht="15.75" customHeight="1" x14ac:dyDescent="0.45">
      <c r="A216" s="46" t="s">
        <v>229</v>
      </c>
      <c r="B216" s="14">
        <v>0</v>
      </c>
      <c r="C216" s="14">
        <v>0</v>
      </c>
      <c r="D216" s="14">
        <v>0</v>
      </c>
      <c r="E216" s="14">
        <v>0</v>
      </c>
      <c r="F216" s="14">
        <v>0</v>
      </c>
      <c r="G216" s="14">
        <v>0</v>
      </c>
      <c r="H216" s="14">
        <v>0</v>
      </c>
      <c r="I216" s="14">
        <v>0</v>
      </c>
      <c r="J216" s="14">
        <v>0</v>
      </c>
      <c r="K216" s="14">
        <v>0</v>
      </c>
      <c r="L216" s="14">
        <v>0</v>
      </c>
    </row>
    <row r="217" spans="1:12" ht="15.75" customHeight="1" x14ac:dyDescent="0.45">
      <c r="A217" s="46" t="s">
        <v>230</v>
      </c>
      <c r="B217" s="14">
        <v>0</v>
      </c>
      <c r="C217" s="14">
        <v>0</v>
      </c>
      <c r="D217" s="14">
        <v>0</v>
      </c>
      <c r="E217" s="14">
        <v>0</v>
      </c>
      <c r="F217" s="14">
        <v>0</v>
      </c>
      <c r="G217" s="14">
        <v>0</v>
      </c>
      <c r="H217" s="14">
        <v>0</v>
      </c>
      <c r="I217" s="14">
        <v>0</v>
      </c>
      <c r="J217" s="14">
        <v>0</v>
      </c>
      <c r="K217" s="14">
        <v>0</v>
      </c>
      <c r="L217" s="14">
        <v>0</v>
      </c>
    </row>
    <row r="218" spans="1:12" ht="15.75" customHeight="1" x14ac:dyDescent="0.45">
      <c r="A218" s="61" t="s">
        <v>65</v>
      </c>
      <c r="B218" s="62">
        <v>0</v>
      </c>
      <c r="C218" s="62">
        <v>0</v>
      </c>
      <c r="D218" s="62">
        <v>0</v>
      </c>
      <c r="E218" s="62">
        <v>0</v>
      </c>
      <c r="F218" s="62">
        <v>0</v>
      </c>
      <c r="G218" s="62">
        <v>0</v>
      </c>
      <c r="H218" s="62">
        <v>0</v>
      </c>
      <c r="I218" s="62">
        <v>0</v>
      </c>
      <c r="J218" s="62">
        <v>0</v>
      </c>
      <c r="K218" s="62">
        <v>0</v>
      </c>
      <c r="L218" s="62">
        <v>0</v>
      </c>
    </row>
    <row r="219" spans="1:12" ht="15.75" customHeight="1" x14ac:dyDescent="0.45">
      <c r="A219" s="46" t="s">
        <v>223</v>
      </c>
      <c r="B219" s="14">
        <v>0</v>
      </c>
      <c r="C219" s="14">
        <v>0</v>
      </c>
      <c r="D219" s="14">
        <v>0</v>
      </c>
      <c r="E219" s="14">
        <v>0</v>
      </c>
      <c r="F219" s="14">
        <v>0</v>
      </c>
      <c r="G219" s="14">
        <v>0</v>
      </c>
      <c r="H219" s="14">
        <v>0</v>
      </c>
      <c r="I219" s="14">
        <v>0</v>
      </c>
      <c r="J219" s="14">
        <v>0</v>
      </c>
      <c r="K219" s="14">
        <v>0</v>
      </c>
      <c r="L219" s="14">
        <v>0</v>
      </c>
    </row>
    <row r="220" spans="1:12" ht="15.75" customHeight="1" x14ac:dyDescent="0.45">
      <c r="A220" s="46" t="s">
        <v>224</v>
      </c>
      <c r="B220" s="14">
        <v>0</v>
      </c>
      <c r="C220" s="14">
        <v>0</v>
      </c>
      <c r="D220" s="14">
        <v>0</v>
      </c>
      <c r="E220" s="14">
        <v>0</v>
      </c>
      <c r="F220" s="14">
        <v>0</v>
      </c>
      <c r="G220" s="14">
        <v>0</v>
      </c>
      <c r="H220" s="14">
        <v>0</v>
      </c>
      <c r="I220" s="14">
        <v>0</v>
      </c>
      <c r="J220" s="14">
        <v>0</v>
      </c>
      <c r="K220" s="14">
        <v>0</v>
      </c>
      <c r="L220" s="14">
        <v>0</v>
      </c>
    </row>
    <row r="221" spans="1:12" ht="15.75" customHeight="1" x14ac:dyDescent="0.45">
      <c r="A221" s="46" t="s">
        <v>225</v>
      </c>
      <c r="B221" s="14">
        <v>0</v>
      </c>
      <c r="C221" s="14">
        <v>0</v>
      </c>
      <c r="D221" s="14">
        <v>0</v>
      </c>
      <c r="E221" s="14">
        <v>0</v>
      </c>
      <c r="F221" s="14">
        <v>0</v>
      </c>
      <c r="G221" s="14">
        <v>0</v>
      </c>
      <c r="H221" s="14">
        <v>0</v>
      </c>
      <c r="I221" s="14">
        <v>0</v>
      </c>
      <c r="J221" s="14">
        <v>0</v>
      </c>
      <c r="K221" s="14">
        <v>0</v>
      </c>
      <c r="L221" s="14">
        <v>0</v>
      </c>
    </row>
    <row r="222" spans="1:12" ht="15.75" customHeight="1" x14ac:dyDescent="0.45">
      <c r="A222" s="46" t="s">
        <v>226</v>
      </c>
      <c r="B222" s="14">
        <v>0</v>
      </c>
      <c r="C222" s="14">
        <v>0</v>
      </c>
      <c r="D222" s="14">
        <v>0</v>
      </c>
      <c r="E222" s="14">
        <v>0</v>
      </c>
      <c r="F222" s="14">
        <v>0</v>
      </c>
      <c r="G222" s="14">
        <v>0</v>
      </c>
      <c r="H222" s="14">
        <v>0</v>
      </c>
      <c r="I222" s="14">
        <v>0</v>
      </c>
      <c r="J222" s="14">
        <v>0</v>
      </c>
      <c r="K222" s="14">
        <v>0</v>
      </c>
      <c r="L222" s="14">
        <v>0</v>
      </c>
    </row>
    <row r="223" spans="1:12" ht="15.75" customHeight="1" x14ac:dyDescent="0.45">
      <c r="A223" s="46" t="s">
        <v>227</v>
      </c>
      <c r="B223" s="14">
        <v>0</v>
      </c>
      <c r="C223" s="14">
        <v>0</v>
      </c>
      <c r="D223" s="14">
        <v>0</v>
      </c>
      <c r="E223" s="14">
        <v>0</v>
      </c>
      <c r="F223" s="14">
        <v>0</v>
      </c>
      <c r="G223" s="14">
        <v>0</v>
      </c>
      <c r="H223" s="14">
        <v>0</v>
      </c>
      <c r="I223" s="14">
        <v>0</v>
      </c>
      <c r="J223" s="14">
        <v>0</v>
      </c>
      <c r="K223" s="14">
        <v>0</v>
      </c>
      <c r="L223" s="14">
        <v>0</v>
      </c>
    </row>
    <row r="224" spans="1:12" ht="15.75" customHeight="1" x14ac:dyDescent="0.45">
      <c r="A224" s="46" t="s">
        <v>228</v>
      </c>
      <c r="B224" s="14">
        <v>0</v>
      </c>
      <c r="C224" s="14">
        <v>0</v>
      </c>
      <c r="D224" s="14">
        <v>0</v>
      </c>
      <c r="E224" s="14">
        <v>0</v>
      </c>
      <c r="F224" s="14">
        <v>0</v>
      </c>
      <c r="G224" s="14">
        <v>0</v>
      </c>
      <c r="H224" s="14">
        <v>0</v>
      </c>
      <c r="I224" s="14">
        <v>0</v>
      </c>
      <c r="J224" s="14">
        <v>0</v>
      </c>
      <c r="K224" s="14">
        <v>0</v>
      </c>
      <c r="L224" s="14">
        <v>0</v>
      </c>
    </row>
    <row r="225" spans="1:12" ht="15.75" customHeight="1" x14ac:dyDescent="0.45">
      <c r="A225" s="46" t="s">
        <v>229</v>
      </c>
      <c r="B225" s="14">
        <v>0</v>
      </c>
      <c r="C225" s="14">
        <v>0</v>
      </c>
      <c r="D225" s="14">
        <v>0</v>
      </c>
      <c r="E225" s="14">
        <v>0</v>
      </c>
      <c r="F225" s="14">
        <v>0</v>
      </c>
      <c r="G225" s="14">
        <v>0</v>
      </c>
      <c r="H225" s="14">
        <v>0</v>
      </c>
      <c r="I225" s="14">
        <v>0</v>
      </c>
      <c r="J225" s="14">
        <v>0</v>
      </c>
      <c r="K225" s="14">
        <v>0</v>
      </c>
      <c r="L225" s="14">
        <v>0</v>
      </c>
    </row>
    <row r="226" spans="1:12" ht="15.75" customHeight="1" x14ac:dyDescent="0.45">
      <c r="A226" s="46" t="s">
        <v>230</v>
      </c>
      <c r="B226" s="14">
        <v>0</v>
      </c>
      <c r="C226" s="14">
        <v>0</v>
      </c>
      <c r="D226" s="14">
        <v>0</v>
      </c>
      <c r="E226" s="14">
        <v>0</v>
      </c>
      <c r="F226" s="14">
        <v>0</v>
      </c>
      <c r="G226" s="14">
        <v>0</v>
      </c>
      <c r="H226" s="14">
        <v>0</v>
      </c>
      <c r="I226" s="14">
        <v>0</v>
      </c>
      <c r="J226" s="14">
        <v>0</v>
      </c>
      <c r="K226" s="14">
        <v>0</v>
      </c>
      <c r="L226" s="14">
        <v>0</v>
      </c>
    </row>
    <row r="227" spans="1:12" ht="15.75" customHeight="1" x14ac:dyDescent="0.45">
      <c r="A227" s="61" t="s">
        <v>10</v>
      </c>
      <c r="B227" s="62">
        <v>0</v>
      </c>
      <c r="C227" s="62">
        <v>0</v>
      </c>
      <c r="D227" s="62">
        <v>0</v>
      </c>
      <c r="E227" s="62">
        <v>0</v>
      </c>
      <c r="F227" s="62">
        <v>0</v>
      </c>
      <c r="G227" s="62">
        <v>0</v>
      </c>
      <c r="H227" s="62">
        <v>0</v>
      </c>
      <c r="I227" s="62">
        <v>0</v>
      </c>
      <c r="J227" s="62">
        <v>0</v>
      </c>
      <c r="K227" s="62">
        <v>0</v>
      </c>
      <c r="L227" s="62">
        <v>0</v>
      </c>
    </row>
    <row r="228" spans="1:12" ht="15.75" customHeight="1" x14ac:dyDescent="0.45">
      <c r="A228" s="46" t="s">
        <v>223</v>
      </c>
      <c r="B228" s="14">
        <v>0</v>
      </c>
      <c r="C228" s="14">
        <v>0</v>
      </c>
      <c r="D228" s="14">
        <v>0</v>
      </c>
      <c r="E228" s="14">
        <v>0</v>
      </c>
      <c r="F228" s="14">
        <v>0</v>
      </c>
      <c r="G228" s="14">
        <v>0</v>
      </c>
      <c r="H228" s="14">
        <v>0</v>
      </c>
      <c r="I228" s="14">
        <v>0</v>
      </c>
      <c r="J228" s="14">
        <v>0</v>
      </c>
      <c r="K228" s="14">
        <v>0</v>
      </c>
      <c r="L228" s="14">
        <v>0</v>
      </c>
    </row>
    <row r="229" spans="1:12" ht="15.75" customHeight="1" x14ac:dyDescent="0.45">
      <c r="A229" s="46" t="s">
        <v>224</v>
      </c>
      <c r="B229" s="14">
        <v>0</v>
      </c>
      <c r="C229" s="14">
        <v>0</v>
      </c>
      <c r="D229" s="14">
        <v>0</v>
      </c>
      <c r="E229" s="14">
        <v>0</v>
      </c>
      <c r="F229" s="14">
        <v>0</v>
      </c>
      <c r="G229" s="14">
        <v>0</v>
      </c>
      <c r="H229" s="14">
        <v>0</v>
      </c>
      <c r="I229" s="14">
        <v>0</v>
      </c>
      <c r="J229" s="14">
        <v>0</v>
      </c>
      <c r="K229" s="14">
        <v>0</v>
      </c>
      <c r="L229" s="14">
        <v>0</v>
      </c>
    </row>
    <row r="230" spans="1:12" ht="15.75" customHeight="1" x14ac:dyDescent="0.45">
      <c r="A230" s="46" t="s">
        <v>225</v>
      </c>
      <c r="B230" s="14">
        <v>0</v>
      </c>
      <c r="C230" s="14">
        <v>0</v>
      </c>
      <c r="D230" s="14">
        <v>0</v>
      </c>
      <c r="E230" s="14">
        <v>0</v>
      </c>
      <c r="F230" s="14">
        <v>0</v>
      </c>
      <c r="G230" s="14">
        <v>0</v>
      </c>
      <c r="H230" s="14">
        <v>0</v>
      </c>
      <c r="I230" s="14">
        <v>0</v>
      </c>
      <c r="J230" s="14">
        <v>0</v>
      </c>
      <c r="K230" s="14">
        <v>0</v>
      </c>
      <c r="L230" s="14">
        <v>0</v>
      </c>
    </row>
    <row r="231" spans="1:12" ht="15.75" customHeight="1" x14ac:dyDescent="0.45">
      <c r="A231" s="46" t="s">
        <v>226</v>
      </c>
      <c r="B231" s="14">
        <v>0</v>
      </c>
      <c r="C231" s="14">
        <v>0</v>
      </c>
      <c r="D231" s="14">
        <v>0</v>
      </c>
      <c r="E231" s="14">
        <v>0</v>
      </c>
      <c r="F231" s="14">
        <v>0</v>
      </c>
      <c r="G231" s="14">
        <v>0</v>
      </c>
      <c r="H231" s="14">
        <v>0</v>
      </c>
      <c r="I231" s="14">
        <v>0</v>
      </c>
      <c r="J231" s="14">
        <v>0</v>
      </c>
      <c r="K231" s="14">
        <v>0</v>
      </c>
      <c r="L231" s="14">
        <v>0</v>
      </c>
    </row>
    <row r="232" spans="1:12" ht="15.75" customHeight="1" x14ac:dyDescent="0.45">
      <c r="A232" s="46" t="s">
        <v>227</v>
      </c>
      <c r="B232" s="14">
        <v>0</v>
      </c>
      <c r="C232" s="14">
        <v>0</v>
      </c>
      <c r="D232" s="14">
        <v>0</v>
      </c>
      <c r="E232" s="14">
        <v>0</v>
      </c>
      <c r="F232" s="14">
        <v>0</v>
      </c>
      <c r="G232" s="14">
        <v>0</v>
      </c>
      <c r="H232" s="14">
        <v>0</v>
      </c>
      <c r="I232" s="14">
        <v>0</v>
      </c>
      <c r="J232" s="14">
        <v>0</v>
      </c>
      <c r="K232" s="14">
        <v>0</v>
      </c>
      <c r="L232" s="14">
        <v>0</v>
      </c>
    </row>
    <row r="233" spans="1:12" ht="15.75" customHeight="1" x14ac:dyDescent="0.45">
      <c r="A233" s="46" t="s">
        <v>228</v>
      </c>
      <c r="B233" s="14">
        <v>0</v>
      </c>
      <c r="C233" s="14">
        <v>0</v>
      </c>
      <c r="D233" s="14">
        <v>0</v>
      </c>
      <c r="E233" s="14">
        <v>0</v>
      </c>
      <c r="F233" s="14">
        <v>0</v>
      </c>
      <c r="G233" s="14">
        <v>0</v>
      </c>
      <c r="H233" s="14">
        <v>0</v>
      </c>
      <c r="I233" s="14">
        <v>0</v>
      </c>
      <c r="J233" s="14">
        <v>0</v>
      </c>
      <c r="K233" s="14">
        <v>0</v>
      </c>
      <c r="L233" s="14">
        <v>0</v>
      </c>
    </row>
    <row r="234" spans="1:12" ht="15.75" customHeight="1" x14ac:dyDescent="0.45">
      <c r="A234" s="46" t="s">
        <v>229</v>
      </c>
      <c r="B234" s="14">
        <v>0</v>
      </c>
      <c r="C234" s="14">
        <v>0</v>
      </c>
      <c r="D234" s="14">
        <v>0</v>
      </c>
      <c r="E234" s="14">
        <v>0</v>
      </c>
      <c r="F234" s="14">
        <v>0</v>
      </c>
      <c r="G234" s="14">
        <v>0</v>
      </c>
      <c r="H234" s="14">
        <v>0</v>
      </c>
      <c r="I234" s="14">
        <v>0</v>
      </c>
      <c r="J234" s="14">
        <v>0</v>
      </c>
      <c r="K234" s="14">
        <v>0</v>
      </c>
      <c r="L234" s="14">
        <v>0</v>
      </c>
    </row>
    <row r="235" spans="1:12" ht="15.75" customHeight="1" x14ac:dyDescent="0.45">
      <c r="A235" s="46" t="s">
        <v>230</v>
      </c>
      <c r="B235" s="14">
        <v>0</v>
      </c>
      <c r="C235" s="14">
        <v>0</v>
      </c>
      <c r="D235" s="14">
        <v>0</v>
      </c>
      <c r="E235" s="14">
        <v>0</v>
      </c>
      <c r="F235" s="14">
        <v>0</v>
      </c>
      <c r="G235" s="14">
        <v>0</v>
      </c>
      <c r="H235" s="14">
        <v>0</v>
      </c>
      <c r="I235" s="14">
        <v>0</v>
      </c>
      <c r="J235" s="14">
        <v>0</v>
      </c>
      <c r="K235" s="14">
        <v>0</v>
      </c>
      <c r="L235" s="14">
        <v>0</v>
      </c>
    </row>
    <row r="236" spans="1:12" ht="15.75" customHeight="1" x14ac:dyDescent="0.45">
      <c r="A236" s="61" t="s">
        <v>166</v>
      </c>
      <c r="B236" s="62">
        <v>0</v>
      </c>
      <c r="C236" s="62">
        <v>0</v>
      </c>
      <c r="D236" s="62">
        <v>0</v>
      </c>
      <c r="E236" s="62">
        <v>0</v>
      </c>
      <c r="F236" s="62">
        <v>0</v>
      </c>
      <c r="G236" s="62">
        <v>0</v>
      </c>
      <c r="H236" s="62">
        <v>0</v>
      </c>
      <c r="I236" s="62">
        <v>0</v>
      </c>
      <c r="J236" s="62">
        <v>0</v>
      </c>
      <c r="K236" s="62">
        <v>0</v>
      </c>
      <c r="L236" s="62">
        <v>0</v>
      </c>
    </row>
    <row r="237" spans="1:12" ht="15.75" customHeight="1" x14ac:dyDescent="0.45">
      <c r="A237" s="46" t="s">
        <v>223</v>
      </c>
      <c r="B237" s="14">
        <v>0</v>
      </c>
      <c r="C237" s="14">
        <v>0</v>
      </c>
      <c r="D237" s="14">
        <v>0</v>
      </c>
      <c r="E237" s="14">
        <v>0</v>
      </c>
      <c r="F237" s="14">
        <v>0</v>
      </c>
      <c r="G237" s="14">
        <v>0</v>
      </c>
      <c r="H237" s="14">
        <v>0</v>
      </c>
      <c r="I237" s="14">
        <v>0</v>
      </c>
      <c r="J237" s="14">
        <v>0</v>
      </c>
      <c r="K237" s="14">
        <v>0</v>
      </c>
      <c r="L237" s="14">
        <v>0</v>
      </c>
    </row>
    <row r="238" spans="1:12" ht="15.75" customHeight="1" x14ac:dyDescent="0.45">
      <c r="A238" s="46" t="s">
        <v>224</v>
      </c>
      <c r="B238" s="14">
        <v>0</v>
      </c>
      <c r="C238" s="14">
        <v>0</v>
      </c>
      <c r="D238" s="14">
        <v>0</v>
      </c>
      <c r="E238" s="14">
        <v>0</v>
      </c>
      <c r="F238" s="14">
        <v>0</v>
      </c>
      <c r="G238" s="14">
        <v>0</v>
      </c>
      <c r="H238" s="14">
        <v>0</v>
      </c>
      <c r="I238" s="14">
        <v>0</v>
      </c>
      <c r="J238" s="14">
        <v>0</v>
      </c>
      <c r="K238" s="14">
        <v>0</v>
      </c>
      <c r="L238" s="14">
        <v>0</v>
      </c>
    </row>
    <row r="239" spans="1:12" ht="15.75" customHeight="1" x14ac:dyDescent="0.45">
      <c r="A239" s="46" t="s">
        <v>225</v>
      </c>
      <c r="B239" s="14">
        <v>0</v>
      </c>
      <c r="C239" s="14">
        <v>0</v>
      </c>
      <c r="D239" s="14">
        <v>0</v>
      </c>
      <c r="E239" s="14">
        <v>0</v>
      </c>
      <c r="F239" s="14">
        <v>0</v>
      </c>
      <c r="G239" s="14">
        <v>0</v>
      </c>
      <c r="H239" s="14">
        <v>0</v>
      </c>
      <c r="I239" s="14">
        <v>0</v>
      </c>
      <c r="J239" s="14">
        <v>0</v>
      </c>
      <c r="K239" s="14">
        <v>0</v>
      </c>
      <c r="L239" s="14">
        <v>0</v>
      </c>
    </row>
    <row r="240" spans="1:12" ht="15.75" customHeight="1" x14ac:dyDescent="0.45">
      <c r="A240" s="46" t="s">
        <v>226</v>
      </c>
      <c r="B240" s="14">
        <v>0</v>
      </c>
      <c r="C240" s="14">
        <v>0</v>
      </c>
      <c r="D240" s="14">
        <v>0</v>
      </c>
      <c r="E240" s="14">
        <v>0</v>
      </c>
      <c r="F240" s="14">
        <v>0</v>
      </c>
      <c r="G240" s="14">
        <v>0</v>
      </c>
      <c r="H240" s="14">
        <v>0</v>
      </c>
      <c r="I240" s="14">
        <v>0</v>
      </c>
      <c r="J240" s="14">
        <v>0</v>
      </c>
      <c r="K240" s="14">
        <v>0</v>
      </c>
      <c r="L240" s="14">
        <v>0</v>
      </c>
    </row>
    <row r="241" spans="1:12" ht="15.75" customHeight="1" x14ac:dyDescent="0.45">
      <c r="A241" s="46" t="s">
        <v>227</v>
      </c>
      <c r="B241" s="14">
        <v>0</v>
      </c>
      <c r="C241" s="14">
        <v>0</v>
      </c>
      <c r="D241" s="14">
        <v>0</v>
      </c>
      <c r="E241" s="14">
        <v>0</v>
      </c>
      <c r="F241" s="14">
        <v>0</v>
      </c>
      <c r="G241" s="14">
        <v>0</v>
      </c>
      <c r="H241" s="14">
        <v>0</v>
      </c>
      <c r="I241" s="14">
        <v>0</v>
      </c>
      <c r="J241" s="14">
        <v>0</v>
      </c>
      <c r="K241" s="14">
        <v>0</v>
      </c>
      <c r="L241" s="14">
        <v>0</v>
      </c>
    </row>
    <row r="242" spans="1:12" ht="15.75" customHeight="1" x14ac:dyDescent="0.45">
      <c r="A242" s="46" t="s">
        <v>228</v>
      </c>
      <c r="B242" s="14">
        <v>0</v>
      </c>
      <c r="C242" s="14">
        <v>0</v>
      </c>
      <c r="D242" s="14">
        <v>0</v>
      </c>
      <c r="E242" s="14">
        <v>0</v>
      </c>
      <c r="F242" s="14">
        <v>0</v>
      </c>
      <c r="G242" s="14">
        <v>0</v>
      </c>
      <c r="H242" s="14">
        <v>0</v>
      </c>
      <c r="I242" s="14">
        <v>0</v>
      </c>
      <c r="J242" s="14">
        <v>0</v>
      </c>
      <c r="K242" s="14">
        <v>0</v>
      </c>
      <c r="L242" s="14">
        <v>0</v>
      </c>
    </row>
    <row r="243" spans="1:12" ht="15.75" customHeight="1" x14ac:dyDescent="0.45">
      <c r="A243" s="46" t="s">
        <v>229</v>
      </c>
      <c r="B243" s="14">
        <v>0</v>
      </c>
      <c r="C243" s="14">
        <v>0</v>
      </c>
      <c r="D243" s="14">
        <v>0</v>
      </c>
      <c r="E243" s="14">
        <v>0</v>
      </c>
      <c r="F243" s="14">
        <v>0</v>
      </c>
      <c r="G243" s="14">
        <v>0</v>
      </c>
      <c r="H243" s="14">
        <v>0</v>
      </c>
      <c r="I243" s="14">
        <v>0</v>
      </c>
      <c r="J243" s="14">
        <v>0</v>
      </c>
      <c r="K243" s="14">
        <v>0</v>
      </c>
      <c r="L243" s="14">
        <v>0</v>
      </c>
    </row>
    <row r="244" spans="1:12" ht="15.75" customHeight="1" x14ac:dyDescent="0.45">
      <c r="A244" s="46" t="s">
        <v>230</v>
      </c>
      <c r="B244" s="14">
        <v>0</v>
      </c>
      <c r="C244" s="14">
        <v>0</v>
      </c>
      <c r="D244" s="14">
        <v>0</v>
      </c>
      <c r="E244" s="14">
        <v>0</v>
      </c>
      <c r="F244" s="14">
        <v>0</v>
      </c>
      <c r="G244" s="14">
        <v>0</v>
      </c>
      <c r="H244" s="14">
        <v>0</v>
      </c>
      <c r="I244" s="14">
        <v>0</v>
      </c>
      <c r="J244" s="14">
        <v>0</v>
      </c>
      <c r="K244" s="14">
        <v>0</v>
      </c>
      <c r="L244" s="14">
        <v>0</v>
      </c>
    </row>
    <row r="245" spans="1:12" ht="15.75" customHeight="1" x14ac:dyDescent="0.45">
      <c r="A245" s="61" t="s">
        <v>167</v>
      </c>
      <c r="B245" s="62">
        <v>0</v>
      </c>
      <c r="C245" s="62">
        <v>0</v>
      </c>
      <c r="D245" s="62">
        <v>0</v>
      </c>
      <c r="E245" s="62">
        <v>0</v>
      </c>
      <c r="F245" s="62">
        <v>0</v>
      </c>
      <c r="G245" s="62">
        <v>0</v>
      </c>
      <c r="H245" s="62">
        <v>0</v>
      </c>
      <c r="I245" s="62">
        <v>0</v>
      </c>
      <c r="J245" s="62">
        <v>0</v>
      </c>
      <c r="K245" s="62">
        <v>0</v>
      </c>
      <c r="L245" s="62">
        <v>0</v>
      </c>
    </row>
    <row r="246" spans="1:12" ht="15.75" customHeight="1" x14ac:dyDescent="0.45">
      <c r="A246" s="46" t="s">
        <v>223</v>
      </c>
      <c r="B246" s="14">
        <v>0</v>
      </c>
      <c r="C246" s="14">
        <v>0</v>
      </c>
      <c r="D246" s="14">
        <v>0</v>
      </c>
      <c r="E246" s="14">
        <v>0</v>
      </c>
      <c r="F246" s="14">
        <v>0</v>
      </c>
      <c r="G246" s="14">
        <v>0</v>
      </c>
      <c r="H246" s="14">
        <v>0</v>
      </c>
      <c r="I246" s="14">
        <v>0</v>
      </c>
      <c r="J246" s="14">
        <v>0</v>
      </c>
      <c r="K246" s="14">
        <v>0</v>
      </c>
      <c r="L246" s="14">
        <v>0</v>
      </c>
    </row>
    <row r="247" spans="1:12" ht="15.75" customHeight="1" x14ac:dyDescent="0.45">
      <c r="A247" s="46" t="s">
        <v>224</v>
      </c>
      <c r="B247" s="14">
        <v>0</v>
      </c>
      <c r="C247" s="14">
        <v>0</v>
      </c>
      <c r="D247" s="14">
        <v>0</v>
      </c>
      <c r="E247" s="14">
        <v>0</v>
      </c>
      <c r="F247" s="14">
        <v>0</v>
      </c>
      <c r="G247" s="14">
        <v>0</v>
      </c>
      <c r="H247" s="14">
        <v>0</v>
      </c>
      <c r="I247" s="14">
        <v>0</v>
      </c>
      <c r="J247" s="14">
        <v>0</v>
      </c>
      <c r="K247" s="14">
        <v>0</v>
      </c>
      <c r="L247" s="14">
        <v>0</v>
      </c>
    </row>
    <row r="248" spans="1:12" ht="15.75" customHeight="1" x14ac:dyDescent="0.45">
      <c r="A248" s="46" t="s">
        <v>225</v>
      </c>
      <c r="B248" s="14">
        <v>0</v>
      </c>
      <c r="C248" s="14">
        <v>0</v>
      </c>
      <c r="D248" s="14">
        <v>0</v>
      </c>
      <c r="E248" s="14">
        <v>0</v>
      </c>
      <c r="F248" s="14">
        <v>0</v>
      </c>
      <c r="G248" s="14">
        <v>0</v>
      </c>
      <c r="H248" s="14">
        <v>0</v>
      </c>
      <c r="I248" s="14">
        <v>0</v>
      </c>
      <c r="J248" s="14">
        <v>0</v>
      </c>
      <c r="K248" s="14">
        <v>0</v>
      </c>
      <c r="L248" s="14">
        <v>0</v>
      </c>
    </row>
    <row r="249" spans="1:12" ht="15.75" customHeight="1" x14ac:dyDescent="0.45">
      <c r="A249" s="46" t="s">
        <v>226</v>
      </c>
      <c r="B249" s="14">
        <v>0</v>
      </c>
      <c r="C249" s="14">
        <v>0</v>
      </c>
      <c r="D249" s="14">
        <v>0</v>
      </c>
      <c r="E249" s="14">
        <v>0</v>
      </c>
      <c r="F249" s="14">
        <v>0</v>
      </c>
      <c r="G249" s="14">
        <v>0</v>
      </c>
      <c r="H249" s="14">
        <v>0</v>
      </c>
      <c r="I249" s="14">
        <v>0</v>
      </c>
      <c r="J249" s="14">
        <v>0</v>
      </c>
      <c r="K249" s="14">
        <v>0</v>
      </c>
      <c r="L249" s="14">
        <v>0</v>
      </c>
    </row>
    <row r="250" spans="1:12" ht="15.75" customHeight="1" x14ac:dyDescent="0.45">
      <c r="A250" s="46" t="s">
        <v>227</v>
      </c>
      <c r="B250" s="14">
        <v>0</v>
      </c>
      <c r="C250" s="14">
        <v>0</v>
      </c>
      <c r="D250" s="14">
        <v>0</v>
      </c>
      <c r="E250" s="14">
        <v>0</v>
      </c>
      <c r="F250" s="14">
        <v>0</v>
      </c>
      <c r="G250" s="14">
        <v>0</v>
      </c>
      <c r="H250" s="14">
        <v>0</v>
      </c>
      <c r="I250" s="14">
        <v>0</v>
      </c>
      <c r="J250" s="14">
        <v>0</v>
      </c>
      <c r="K250" s="14">
        <v>0</v>
      </c>
      <c r="L250" s="14">
        <v>0</v>
      </c>
    </row>
    <row r="251" spans="1:12" ht="15.75" customHeight="1" x14ac:dyDescent="0.45">
      <c r="A251" s="46" t="s">
        <v>228</v>
      </c>
      <c r="B251" s="14">
        <v>0</v>
      </c>
      <c r="C251" s="14">
        <v>0</v>
      </c>
      <c r="D251" s="14">
        <v>0</v>
      </c>
      <c r="E251" s="14">
        <v>0</v>
      </c>
      <c r="F251" s="14">
        <v>0</v>
      </c>
      <c r="G251" s="14">
        <v>0</v>
      </c>
      <c r="H251" s="14">
        <v>0</v>
      </c>
      <c r="I251" s="14">
        <v>0</v>
      </c>
      <c r="J251" s="14">
        <v>0</v>
      </c>
      <c r="K251" s="14">
        <v>0</v>
      </c>
      <c r="L251" s="14">
        <v>0</v>
      </c>
    </row>
    <row r="252" spans="1:12" ht="15.75" customHeight="1" x14ac:dyDescent="0.45">
      <c r="A252" s="46" t="s">
        <v>229</v>
      </c>
      <c r="B252" s="14">
        <v>0</v>
      </c>
      <c r="C252" s="14">
        <v>0</v>
      </c>
      <c r="D252" s="14">
        <v>0</v>
      </c>
      <c r="E252" s="14">
        <v>0</v>
      </c>
      <c r="F252" s="14">
        <v>0</v>
      </c>
      <c r="G252" s="14">
        <v>0</v>
      </c>
      <c r="H252" s="14">
        <v>0</v>
      </c>
      <c r="I252" s="14">
        <v>0</v>
      </c>
      <c r="J252" s="14">
        <v>0</v>
      </c>
      <c r="K252" s="14">
        <v>0</v>
      </c>
      <c r="L252" s="14">
        <v>0</v>
      </c>
    </row>
    <row r="253" spans="1:12" ht="15.75" customHeight="1" x14ac:dyDescent="0.45">
      <c r="A253" s="46" t="s">
        <v>230</v>
      </c>
      <c r="B253" s="14">
        <v>0</v>
      </c>
      <c r="C253" s="14">
        <v>0</v>
      </c>
      <c r="D253" s="14">
        <v>0</v>
      </c>
      <c r="E253" s="14">
        <v>0</v>
      </c>
      <c r="F253" s="14">
        <v>0</v>
      </c>
      <c r="G253" s="14">
        <v>0</v>
      </c>
      <c r="H253" s="14">
        <v>0</v>
      </c>
      <c r="I253" s="14">
        <v>0</v>
      </c>
      <c r="J253" s="14">
        <v>0</v>
      </c>
      <c r="K253" s="14">
        <v>0</v>
      </c>
      <c r="L253" s="14">
        <v>0</v>
      </c>
    </row>
    <row r="254" spans="1:12" ht="15.75" customHeight="1" x14ac:dyDescent="0.45">
      <c r="A254" s="61" t="s">
        <v>21</v>
      </c>
      <c r="B254" s="62">
        <v>0</v>
      </c>
      <c r="C254" s="62">
        <v>0</v>
      </c>
      <c r="D254" s="62">
        <v>0</v>
      </c>
      <c r="E254" s="62">
        <v>0</v>
      </c>
      <c r="F254" s="62">
        <v>0</v>
      </c>
      <c r="G254" s="62">
        <v>0</v>
      </c>
      <c r="H254" s="62">
        <v>0</v>
      </c>
      <c r="I254" s="62">
        <v>0</v>
      </c>
      <c r="J254" s="62">
        <v>0</v>
      </c>
      <c r="K254" s="62">
        <v>0</v>
      </c>
      <c r="L254" s="62">
        <v>0</v>
      </c>
    </row>
    <row r="255" spans="1:12" ht="15.75" customHeight="1" x14ac:dyDescent="0.45">
      <c r="A255" s="46" t="s">
        <v>223</v>
      </c>
      <c r="B255" s="14">
        <v>0</v>
      </c>
      <c r="C255" s="14">
        <v>0</v>
      </c>
      <c r="D255" s="14">
        <v>0</v>
      </c>
      <c r="E255" s="14">
        <v>0</v>
      </c>
      <c r="F255" s="14">
        <v>0</v>
      </c>
      <c r="G255" s="14">
        <v>0</v>
      </c>
      <c r="H255" s="14">
        <v>0</v>
      </c>
      <c r="I255" s="14">
        <v>0</v>
      </c>
      <c r="J255" s="14">
        <v>0</v>
      </c>
      <c r="K255" s="14">
        <v>0</v>
      </c>
      <c r="L255" s="14">
        <v>0</v>
      </c>
    </row>
    <row r="256" spans="1:12" ht="15.75" customHeight="1" x14ac:dyDescent="0.45">
      <c r="A256" s="46" t="s">
        <v>224</v>
      </c>
      <c r="B256" s="14">
        <v>0</v>
      </c>
      <c r="C256" s="14">
        <v>0</v>
      </c>
      <c r="D256" s="14">
        <v>0</v>
      </c>
      <c r="E256" s="14">
        <v>0</v>
      </c>
      <c r="F256" s="14">
        <v>0</v>
      </c>
      <c r="G256" s="14">
        <v>0</v>
      </c>
      <c r="H256" s="14">
        <v>0</v>
      </c>
      <c r="I256" s="14">
        <v>0</v>
      </c>
      <c r="J256" s="14">
        <v>0</v>
      </c>
      <c r="K256" s="14">
        <v>0</v>
      </c>
      <c r="L256" s="14">
        <v>0</v>
      </c>
    </row>
    <row r="257" spans="1:12" ht="15.75" customHeight="1" x14ac:dyDescent="0.45">
      <c r="A257" s="46" t="s">
        <v>225</v>
      </c>
      <c r="B257" s="14">
        <v>0</v>
      </c>
      <c r="C257" s="14">
        <v>0</v>
      </c>
      <c r="D257" s="14">
        <v>0</v>
      </c>
      <c r="E257" s="14">
        <v>0</v>
      </c>
      <c r="F257" s="14">
        <v>0</v>
      </c>
      <c r="G257" s="14">
        <v>0</v>
      </c>
      <c r="H257" s="14">
        <v>0</v>
      </c>
      <c r="I257" s="14">
        <v>0</v>
      </c>
      <c r="J257" s="14">
        <v>0</v>
      </c>
      <c r="K257" s="14">
        <v>0</v>
      </c>
      <c r="L257" s="14">
        <v>0</v>
      </c>
    </row>
    <row r="258" spans="1:12" ht="15.75" customHeight="1" x14ac:dyDescent="0.45">
      <c r="A258" s="46" t="s">
        <v>226</v>
      </c>
      <c r="B258" s="14">
        <v>0</v>
      </c>
      <c r="C258" s="14">
        <v>0</v>
      </c>
      <c r="D258" s="14">
        <v>0</v>
      </c>
      <c r="E258" s="14">
        <v>0</v>
      </c>
      <c r="F258" s="14">
        <v>0</v>
      </c>
      <c r="G258" s="14">
        <v>0</v>
      </c>
      <c r="H258" s="14">
        <v>0</v>
      </c>
      <c r="I258" s="14">
        <v>0</v>
      </c>
      <c r="J258" s="14">
        <v>0</v>
      </c>
      <c r="K258" s="14">
        <v>0</v>
      </c>
      <c r="L258" s="14">
        <v>0</v>
      </c>
    </row>
    <row r="259" spans="1:12" ht="15.75" customHeight="1" x14ac:dyDescent="0.45">
      <c r="A259" s="46" t="s">
        <v>227</v>
      </c>
      <c r="B259" s="14">
        <v>0</v>
      </c>
      <c r="C259" s="14">
        <v>0</v>
      </c>
      <c r="D259" s="14">
        <v>0</v>
      </c>
      <c r="E259" s="14">
        <v>0</v>
      </c>
      <c r="F259" s="14">
        <v>0</v>
      </c>
      <c r="G259" s="14">
        <v>0</v>
      </c>
      <c r="H259" s="14">
        <v>0</v>
      </c>
      <c r="I259" s="14">
        <v>0</v>
      </c>
      <c r="J259" s="14">
        <v>0</v>
      </c>
      <c r="K259" s="14">
        <v>0</v>
      </c>
      <c r="L259" s="14">
        <v>0</v>
      </c>
    </row>
    <row r="260" spans="1:12" ht="15.75" customHeight="1" x14ac:dyDescent="0.45">
      <c r="A260" s="46" t="s">
        <v>228</v>
      </c>
      <c r="B260" s="14">
        <v>0</v>
      </c>
      <c r="C260" s="14">
        <v>0</v>
      </c>
      <c r="D260" s="14">
        <v>0</v>
      </c>
      <c r="E260" s="14">
        <v>0</v>
      </c>
      <c r="F260" s="14">
        <v>0</v>
      </c>
      <c r="G260" s="14">
        <v>0</v>
      </c>
      <c r="H260" s="14">
        <v>0</v>
      </c>
      <c r="I260" s="14">
        <v>0</v>
      </c>
      <c r="J260" s="14">
        <v>0</v>
      </c>
      <c r="K260" s="14">
        <v>0</v>
      </c>
      <c r="L260" s="14">
        <v>0</v>
      </c>
    </row>
    <row r="261" spans="1:12" ht="15.75" customHeight="1" x14ac:dyDescent="0.45">
      <c r="A261" s="46" t="s">
        <v>229</v>
      </c>
      <c r="B261" s="14">
        <v>0</v>
      </c>
      <c r="C261" s="14">
        <v>0</v>
      </c>
      <c r="D261" s="14">
        <v>0</v>
      </c>
      <c r="E261" s="14">
        <v>0</v>
      </c>
      <c r="F261" s="14">
        <v>0</v>
      </c>
      <c r="G261" s="14">
        <v>0</v>
      </c>
      <c r="H261" s="14">
        <v>0</v>
      </c>
      <c r="I261" s="14">
        <v>0</v>
      </c>
      <c r="J261" s="14">
        <v>0</v>
      </c>
      <c r="K261" s="14">
        <v>0</v>
      </c>
      <c r="L261" s="14">
        <v>0</v>
      </c>
    </row>
    <row r="262" spans="1:12" ht="15.75" customHeight="1" x14ac:dyDescent="0.45">
      <c r="A262" s="46" t="s">
        <v>230</v>
      </c>
      <c r="B262" s="14">
        <v>0</v>
      </c>
      <c r="C262" s="14">
        <v>0</v>
      </c>
      <c r="D262" s="14">
        <v>0</v>
      </c>
      <c r="E262" s="14">
        <v>0</v>
      </c>
      <c r="F262" s="14">
        <v>0</v>
      </c>
      <c r="G262" s="14">
        <v>0</v>
      </c>
      <c r="H262" s="14">
        <v>0</v>
      </c>
      <c r="I262" s="14">
        <v>0</v>
      </c>
      <c r="J262" s="14">
        <v>0</v>
      </c>
      <c r="K262" s="14">
        <v>0</v>
      </c>
      <c r="L262" s="14">
        <v>0</v>
      </c>
    </row>
    <row r="263" spans="1:12" ht="15.75" customHeight="1" x14ac:dyDescent="0.45">
      <c r="A263" s="67" t="s">
        <v>427</v>
      </c>
      <c r="B263" s="68">
        <f>SUM(B2, B11,B20,B29,B38,B47,B56,B65,B75,B83,B92,B101,B110,B119,B128,B137,B146,B155,B164,B173,B182,B191,B200,B209,B218,B227,B236,B245,B254)</f>
        <v>0</v>
      </c>
      <c r="C263" s="68">
        <f t="shared" ref="C263:L263" si="0">SUM(C2,C11,C20,C29,C38,C47,C56,C65,C75,C83,C92,C101,C110,C119,C128,C137,C146,C155,C164,C173,C182,C191,C200,C209,C218,C227,C236,C245,C254)</f>
        <v>0</v>
      </c>
      <c r="D263" s="62">
        <f t="shared" si="0"/>
        <v>0</v>
      </c>
      <c r="E263" s="62">
        <f t="shared" si="0"/>
        <v>0</v>
      </c>
      <c r="F263" s="62">
        <f t="shared" si="0"/>
        <v>0</v>
      </c>
      <c r="G263" s="62">
        <f t="shared" si="0"/>
        <v>0</v>
      </c>
      <c r="H263" s="62">
        <f t="shared" si="0"/>
        <v>0</v>
      </c>
      <c r="I263" s="62">
        <f t="shared" si="0"/>
        <v>0</v>
      </c>
      <c r="J263" s="62">
        <f t="shared" si="0"/>
        <v>0</v>
      </c>
      <c r="K263" s="62">
        <f t="shared" si="0"/>
        <v>0</v>
      </c>
      <c r="L263" s="62">
        <f t="shared" si="0"/>
        <v>0</v>
      </c>
    </row>
    <row r="264" spans="1:12" ht="15.75" customHeight="1" x14ac:dyDescent="0.45"/>
    <row r="265" spans="1:12" ht="15.75" customHeight="1" x14ac:dyDescent="0.45">
      <c r="A265" s="1"/>
    </row>
    <row r="266" spans="1:12" ht="15.75" customHeight="1" x14ac:dyDescent="0.45">
      <c r="A266" s="1"/>
    </row>
    <row r="267" spans="1:12" ht="15.75" customHeight="1" x14ac:dyDescent="0.45">
      <c r="A267" s="1"/>
    </row>
    <row r="268" spans="1:12" ht="15.75" customHeight="1" x14ac:dyDescent="0.45">
      <c r="A268" s="1"/>
    </row>
    <row r="269" spans="1:12" ht="15.75" customHeight="1" x14ac:dyDescent="0.45">
      <c r="A269" s="1"/>
    </row>
    <row r="270" spans="1:12" ht="15.75" customHeight="1" x14ac:dyDescent="0.45">
      <c r="A270" s="1"/>
    </row>
    <row r="271" spans="1:12" ht="15.75" customHeight="1" x14ac:dyDescent="0.45">
      <c r="A271" s="1"/>
    </row>
    <row r="272" spans="1:12" ht="15.75" customHeight="1" x14ac:dyDescent="0.45">
      <c r="A272" s="1"/>
    </row>
    <row r="273" spans="1:1" ht="15.75" customHeight="1" x14ac:dyDescent="0.45">
      <c r="A273" s="1"/>
    </row>
    <row r="274" spans="1:1" ht="15.75" customHeight="1" x14ac:dyDescent="0.45">
      <c r="A274" s="1"/>
    </row>
    <row r="275" spans="1:1" ht="15.75" customHeight="1" x14ac:dyDescent="0.45">
      <c r="A275" s="1"/>
    </row>
    <row r="276" spans="1:1" ht="15.75" customHeight="1" x14ac:dyDescent="0.45">
      <c r="A276" s="1"/>
    </row>
    <row r="277" spans="1:1" ht="15.75" customHeight="1" x14ac:dyDescent="0.45">
      <c r="A277" s="1"/>
    </row>
    <row r="278" spans="1:1" ht="15.75" customHeight="1" x14ac:dyDescent="0.45">
      <c r="A278" s="1"/>
    </row>
    <row r="279" spans="1:1" ht="15.75" customHeight="1" x14ac:dyDescent="0.45">
      <c r="A279" s="1"/>
    </row>
    <row r="280" spans="1:1" ht="15.75" customHeight="1" x14ac:dyDescent="0.45">
      <c r="A280" s="1"/>
    </row>
    <row r="281" spans="1:1" ht="15.75" customHeight="1" x14ac:dyDescent="0.45">
      <c r="A281" s="1"/>
    </row>
    <row r="282" spans="1:1" ht="15.75" customHeight="1" x14ac:dyDescent="0.45">
      <c r="A282" s="1"/>
    </row>
    <row r="283" spans="1:1" ht="15.75" customHeight="1" x14ac:dyDescent="0.45">
      <c r="A283" s="1"/>
    </row>
    <row r="284" spans="1:1" ht="15.75" customHeight="1" x14ac:dyDescent="0.45">
      <c r="A284" s="1"/>
    </row>
    <row r="285" spans="1:1" ht="15.75" customHeight="1" x14ac:dyDescent="0.45">
      <c r="A285" s="1"/>
    </row>
    <row r="286" spans="1:1" ht="15.75" customHeight="1" x14ac:dyDescent="0.45">
      <c r="A286" s="1"/>
    </row>
    <row r="287" spans="1:1" ht="15.75" customHeight="1" x14ac:dyDescent="0.45">
      <c r="A287" s="1"/>
    </row>
    <row r="288" spans="1:1" ht="15.75" customHeight="1" x14ac:dyDescent="0.45">
      <c r="A288" s="1"/>
    </row>
    <row r="289" spans="1:1" ht="15.75" customHeight="1" x14ac:dyDescent="0.45">
      <c r="A289" s="1"/>
    </row>
    <row r="290" spans="1:1" ht="15.75" customHeight="1" x14ac:dyDescent="0.45">
      <c r="A290" s="1"/>
    </row>
    <row r="291" spans="1:1" ht="15.75" customHeight="1" x14ac:dyDescent="0.45">
      <c r="A291" s="1"/>
    </row>
    <row r="292" spans="1:1" ht="15.75" customHeight="1" x14ac:dyDescent="0.45">
      <c r="A292" s="1"/>
    </row>
    <row r="293" spans="1:1" ht="15.75" customHeight="1" x14ac:dyDescent="0.45">
      <c r="A293" s="1"/>
    </row>
    <row r="294" spans="1:1" ht="15.75" customHeight="1" x14ac:dyDescent="0.45">
      <c r="A294" s="1"/>
    </row>
    <row r="295" spans="1:1" ht="15.75" customHeight="1" x14ac:dyDescent="0.45">
      <c r="A295" s="1"/>
    </row>
    <row r="296" spans="1:1" ht="15.75" customHeight="1" x14ac:dyDescent="0.45">
      <c r="A296" s="1"/>
    </row>
    <row r="297" spans="1:1" ht="15.75" customHeight="1" x14ac:dyDescent="0.45">
      <c r="A297" s="1"/>
    </row>
    <row r="298" spans="1:1" ht="15.75" customHeight="1" x14ac:dyDescent="0.45">
      <c r="A298" s="1"/>
    </row>
    <row r="299" spans="1:1" ht="15.75" customHeight="1" x14ac:dyDescent="0.45">
      <c r="A299" s="1"/>
    </row>
    <row r="300" spans="1:1" ht="15.75" customHeight="1" x14ac:dyDescent="0.45">
      <c r="A300" s="1"/>
    </row>
    <row r="301" spans="1:1" ht="15.75" customHeight="1" x14ac:dyDescent="0.45">
      <c r="A301" s="1"/>
    </row>
    <row r="302" spans="1:1" ht="15.75" customHeight="1" x14ac:dyDescent="0.45">
      <c r="A302" s="1"/>
    </row>
    <row r="303" spans="1:1" ht="15.75" customHeight="1" x14ac:dyDescent="0.45">
      <c r="A303" s="1"/>
    </row>
    <row r="304" spans="1:1" ht="15.75" customHeight="1" x14ac:dyDescent="0.45">
      <c r="A304" s="1"/>
    </row>
    <row r="305" spans="1:1" ht="15.75" customHeight="1" x14ac:dyDescent="0.45">
      <c r="A305" s="1"/>
    </row>
    <row r="306" spans="1:1" ht="15.75" customHeight="1" x14ac:dyDescent="0.45">
      <c r="A306" s="1"/>
    </row>
    <row r="307" spans="1:1" ht="15.75" customHeight="1" x14ac:dyDescent="0.45">
      <c r="A307" s="1"/>
    </row>
    <row r="308" spans="1:1" ht="15.75" customHeight="1" x14ac:dyDescent="0.45">
      <c r="A308" s="1"/>
    </row>
    <row r="309" spans="1:1" ht="15.75" customHeight="1" x14ac:dyDescent="0.45">
      <c r="A309" s="1"/>
    </row>
    <row r="310" spans="1:1" ht="15.75" customHeight="1" x14ac:dyDescent="0.45">
      <c r="A310" s="1"/>
    </row>
    <row r="311" spans="1:1" ht="15.75" customHeight="1" x14ac:dyDescent="0.45">
      <c r="A311" s="1"/>
    </row>
    <row r="312" spans="1:1" ht="15.75" customHeight="1" x14ac:dyDescent="0.45">
      <c r="A312" s="1"/>
    </row>
    <row r="313" spans="1:1" ht="15.75" customHeight="1" x14ac:dyDescent="0.45">
      <c r="A313" s="1"/>
    </row>
    <row r="314" spans="1:1" ht="15.75" customHeight="1" x14ac:dyDescent="0.45">
      <c r="A314" s="1"/>
    </row>
    <row r="315" spans="1:1" ht="15.75" customHeight="1" x14ac:dyDescent="0.45">
      <c r="A315" s="1"/>
    </row>
    <row r="316" spans="1:1" ht="15.75" customHeight="1" x14ac:dyDescent="0.45">
      <c r="A316" s="1"/>
    </row>
    <row r="317" spans="1:1" ht="15.75" customHeight="1" x14ac:dyDescent="0.45">
      <c r="A317" s="1"/>
    </row>
    <row r="318" spans="1:1" ht="15.75" customHeight="1" x14ac:dyDescent="0.45">
      <c r="A318" s="1"/>
    </row>
    <row r="319" spans="1:1" ht="15.75" customHeight="1" x14ac:dyDescent="0.45">
      <c r="A319" s="1"/>
    </row>
    <row r="320" spans="1:1" ht="15.75" customHeight="1" x14ac:dyDescent="0.45">
      <c r="A320" s="1"/>
    </row>
    <row r="321" spans="1:1" ht="15.75" customHeight="1" x14ac:dyDescent="0.45">
      <c r="A321" s="1"/>
    </row>
    <row r="322" spans="1:1" ht="15.75" customHeight="1" x14ac:dyDescent="0.45">
      <c r="A322" s="1"/>
    </row>
    <row r="323" spans="1:1" ht="15.75" customHeight="1" x14ac:dyDescent="0.45">
      <c r="A323" s="1"/>
    </row>
    <row r="324" spans="1:1" ht="15.75" customHeight="1" x14ac:dyDescent="0.45">
      <c r="A324" s="1"/>
    </row>
    <row r="325" spans="1:1" ht="15.75" customHeight="1" x14ac:dyDescent="0.45">
      <c r="A325" s="1"/>
    </row>
    <row r="326" spans="1:1" ht="15.75" customHeight="1" x14ac:dyDescent="0.45">
      <c r="A326" s="1"/>
    </row>
    <row r="327" spans="1:1" ht="15.75" customHeight="1" x14ac:dyDescent="0.45">
      <c r="A327" s="1"/>
    </row>
    <row r="328" spans="1:1" ht="15.75" customHeight="1" x14ac:dyDescent="0.45">
      <c r="A328" s="1"/>
    </row>
    <row r="329" spans="1:1" ht="15.75" customHeight="1" x14ac:dyDescent="0.45">
      <c r="A329" s="1"/>
    </row>
    <row r="330" spans="1:1" ht="15.75" customHeight="1" x14ac:dyDescent="0.45">
      <c r="A330" s="1"/>
    </row>
    <row r="331" spans="1:1" ht="15.75" customHeight="1" x14ac:dyDescent="0.45">
      <c r="A331" s="1"/>
    </row>
    <row r="332" spans="1:1" ht="15.75" customHeight="1" x14ac:dyDescent="0.45">
      <c r="A332" s="1"/>
    </row>
    <row r="333" spans="1:1" ht="15.75" customHeight="1" x14ac:dyDescent="0.45">
      <c r="A333" s="1"/>
    </row>
    <row r="334" spans="1:1" ht="15.75" customHeight="1" x14ac:dyDescent="0.45">
      <c r="A334" s="1"/>
    </row>
    <row r="335" spans="1:1" ht="15.75" customHeight="1" x14ac:dyDescent="0.45">
      <c r="A335" s="1"/>
    </row>
    <row r="336" spans="1:1" ht="15.75" customHeight="1" x14ac:dyDescent="0.45">
      <c r="A336" s="1"/>
    </row>
    <row r="337" spans="1:1" ht="15.75" customHeight="1" x14ac:dyDescent="0.45">
      <c r="A337" s="1"/>
    </row>
    <row r="338" spans="1:1" ht="15.75" customHeight="1" x14ac:dyDescent="0.45">
      <c r="A338" s="1"/>
    </row>
    <row r="339" spans="1:1" ht="15.75" customHeight="1" x14ac:dyDescent="0.45">
      <c r="A339" s="1"/>
    </row>
    <row r="340" spans="1:1" ht="15.75" customHeight="1" x14ac:dyDescent="0.45">
      <c r="A340" s="1"/>
    </row>
    <row r="341" spans="1:1" ht="15.75" customHeight="1" x14ac:dyDescent="0.45">
      <c r="A341" s="1"/>
    </row>
    <row r="342" spans="1:1" ht="15.75" customHeight="1" x14ac:dyDescent="0.45">
      <c r="A342" s="1"/>
    </row>
    <row r="343" spans="1:1" ht="15.75" customHeight="1" x14ac:dyDescent="0.45">
      <c r="A343" s="1"/>
    </row>
    <row r="344" spans="1:1" ht="15.75" customHeight="1" x14ac:dyDescent="0.45">
      <c r="A344" s="1"/>
    </row>
    <row r="345" spans="1:1" ht="15.75" customHeight="1" x14ac:dyDescent="0.45">
      <c r="A345" s="1"/>
    </row>
    <row r="346" spans="1:1" ht="15.75" customHeight="1" x14ac:dyDescent="0.45">
      <c r="A346" s="1"/>
    </row>
    <row r="347" spans="1:1" ht="15.75" customHeight="1" x14ac:dyDescent="0.45">
      <c r="A347" s="1"/>
    </row>
    <row r="348" spans="1:1" ht="15.75" customHeight="1" x14ac:dyDescent="0.45">
      <c r="A348" s="1"/>
    </row>
    <row r="349" spans="1:1" ht="15.75" customHeight="1" x14ac:dyDescent="0.45">
      <c r="A349" s="1"/>
    </row>
    <row r="350" spans="1:1" ht="15.75" customHeight="1" x14ac:dyDescent="0.45">
      <c r="A350" s="1"/>
    </row>
    <row r="351" spans="1:1" ht="15.75" customHeight="1" x14ac:dyDescent="0.45">
      <c r="A351" s="1"/>
    </row>
    <row r="352" spans="1:1" ht="15.75" customHeight="1" x14ac:dyDescent="0.45">
      <c r="A352" s="1"/>
    </row>
    <row r="353" spans="1:1" ht="15.75" customHeight="1" x14ac:dyDescent="0.45">
      <c r="A353" s="1"/>
    </row>
    <row r="354" spans="1:1" ht="15.75" customHeight="1" x14ac:dyDescent="0.45">
      <c r="A354" s="1"/>
    </row>
    <row r="355" spans="1:1" ht="15.75" customHeight="1" x14ac:dyDescent="0.45">
      <c r="A355" s="1"/>
    </row>
    <row r="356" spans="1:1" ht="15.75" customHeight="1" x14ac:dyDescent="0.45">
      <c r="A356" s="1"/>
    </row>
    <row r="357" spans="1:1" ht="15.75" customHeight="1" x14ac:dyDescent="0.45">
      <c r="A357" s="1"/>
    </row>
    <row r="358" spans="1:1" ht="15.75" customHeight="1" x14ac:dyDescent="0.45">
      <c r="A358" s="1"/>
    </row>
    <row r="359" spans="1:1" ht="15.75" customHeight="1" x14ac:dyDescent="0.45">
      <c r="A359" s="1"/>
    </row>
    <row r="360" spans="1:1" ht="15.75" customHeight="1" x14ac:dyDescent="0.45">
      <c r="A360" s="1"/>
    </row>
    <row r="361" spans="1:1" ht="15.75" customHeight="1" x14ac:dyDescent="0.45">
      <c r="A361" s="1"/>
    </row>
    <row r="362" spans="1:1" ht="15.75" customHeight="1" x14ac:dyDescent="0.45">
      <c r="A362" s="1"/>
    </row>
    <row r="363" spans="1:1" ht="15.75" customHeight="1" x14ac:dyDescent="0.45">
      <c r="A363" s="1"/>
    </row>
    <row r="364" spans="1:1" ht="15.75" customHeight="1" x14ac:dyDescent="0.45">
      <c r="A364" s="1"/>
    </row>
    <row r="365" spans="1:1" ht="15.75" customHeight="1" x14ac:dyDescent="0.45">
      <c r="A365" s="1"/>
    </row>
    <row r="366" spans="1:1" ht="15.75" customHeight="1" x14ac:dyDescent="0.45">
      <c r="A366" s="1"/>
    </row>
    <row r="367" spans="1:1" ht="15.75" customHeight="1" x14ac:dyDescent="0.45">
      <c r="A367" s="1"/>
    </row>
    <row r="368" spans="1:1" ht="15.75" customHeight="1" x14ac:dyDescent="0.45">
      <c r="A368" s="1"/>
    </row>
    <row r="369" spans="1:1" ht="15.75" customHeight="1" x14ac:dyDescent="0.45">
      <c r="A369" s="1"/>
    </row>
    <row r="370" spans="1:1" ht="15.75" customHeight="1" x14ac:dyDescent="0.45">
      <c r="A370" s="1"/>
    </row>
    <row r="371" spans="1:1" ht="15.75" customHeight="1" x14ac:dyDescent="0.45">
      <c r="A371" s="1"/>
    </row>
    <row r="372" spans="1:1" ht="15.75" customHeight="1" x14ac:dyDescent="0.45">
      <c r="A372" s="1"/>
    </row>
    <row r="373" spans="1:1" ht="15.75" customHeight="1" x14ac:dyDescent="0.45">
      <c r="A373" s="1"/>
    </row>
    <row r="374" spans="1:1" ht="15.75" customHeight="1" x14ac:dyDescent="0.45">
      <c r="A374" s="1"/>
    </row>
    <row r="375" spans="1:1" ht="15.75" customHeight="1" x14ac:dyDescent="0.45">
      <c r="A375" s="1"/>
    </row>
    <row r="376" spans="1:1" ht="15.75" customHeight="1" x14ac:dyDescent="0.45">
      <c r="A376" s="1"/>
    </row>
    <row r="377" spans="1:1" ht="15.75" customHeight="1" x14ac:dyDescent="0.45">
      <c r="A377" s="1"/>
    </row>
    <row r="378" spans="1:1" ht="15.75" customHeight="1" x14ac:dyDescent="0.45">
      <c r="A378" s="1"/>
    </row>
    <row r="379" spans="1:1" ht="15.75" customHeight="1" x14ac:dyDescent="0.45">
      <c r="A379" s="1"/>
    </row>
    <row r="380" spans="1:1" ht="15.75" customHeight="1" x14ac:dyDescent="0.45">
      <c r="A380" s="1"/>
    </row>
    <row r="381" spans="1:1" ht="15.75" customHeight="1" x14ac:dyDescent="0.45">
      <c r="A381" s="1"/>
    </row>
    <row r="382" spans="1:1" ht="15.75" customHeight="1" x14ac:dyDescent="0.45">
      <c r="A382" s="1"/>
    </row>
    <row r="383" spans="1:1" ht="15.75" customHeight="1" x14ac:dyDescent="0.45">
      <c r="A383" s="1"/>
    </row>
    <row r="384" spans="1:1" ht="15.75" customHeight="1" x14ac:dyDescent="0.45">
      <c r="A384" s="1"/>
    </row>
    <row r="385" spans="1:1" ht="15.75" customHeight="1" x14ac:dyDescent="0.45">
      <c r="A385" s="1"/>
    </row>
    <row r="386" spans="1:1" ht="15.75" customHeight="1" x14ac:dyDescent="0.45">
      <c r="A386" s="1"/>
    </row>
    <row r="387" spans="1:1" ht="15.75" customHeight="1" x14ac:dyDescent="0.45">
      <c r="A387" s="1"/>
    </row>
    <row r="388" spans="1:1" ht="15.75" customHeight="1" x14ac:dyDescent="0.45">
      <c r="A388" s="1"/>
    </row>
    <row r="389" spans="1:1" ht="15.75" customHeight="1" x14ac:dyDescent="0.45">
      <c r="A389" s="1"/>
    </row>
    <row r="390" spans="1:1" ht="15.75" customHeight="1" x14ac:dyDescent="0.45">
      <c r="A390" s="1"/>
    </row>
    <row r="391" spans="1:1" ht="15.75" customHeight="1" x14ac:dyDescent="0.45">
      <c r="A391" s="1"/>
    </row>
    <row r="392" spans="1:1" ht="15.75" customHeight="1" x14ac:dyDescent="0.45">
      <c r="A392" s="1"/>
    </row>
    <row r="393" spans="1:1" ht="15.75" customHeight="1" x14ac:dyDescent="0.45">
      <c r="A393" s="1"/>
    </row>
    <row r="394" spans="1:1" ht="15.75" customHeight="1" x14ac:dyDescent="0.45">
      <c r="A394" s="1"/>
    </row>
    <row r="395" spans="1:1" ht="15.75" customHeight="1" x14ac:dyDescent="0.45">
      <c r="A395" s="1"/>
    </row>
    <row r="396" spans="1:1" ht="15.75" customHeight="1" x14ac:dyDescent="0.45">
      <c r="A396" s="1"/>
    </row>
    <row r="397" spans="1:1" ht="15.75" customHeight="1" x14ac:dyDescent="0.45">
      <c r="A397" s="1"/>
    </row>
    <row r="398" spans="1:1" ht="15.75" customHeight="1" x14ac:dyDescent="0.45">
      <c r="A398" s="1"/>
    </row>
    <row r="399" spans="1:1" ht="15.75" customHeight="1" x14ac:dyDescent="0.45">
      <c r="A399" s="1"/>
    </row>
    <row r="400" spans="1:1" ht="15.75" customHeight="1" x14ac:dyDescent="0.45">
      <c r="A400" s="1"/>
    </row>
    <row r="401" spans="1:1" ht="15.75" customHeight="1" x14ac:dyDescent="0.45">
      <c r="A401" s="1"/>
    </row>
    <row r="402" spans="1:1" ht="15.75" customHeight="1" x14ac:dyDescent="0.45">
      <c r="A402" s="1"/>
    </row>
    <row r="403" spans="1:1" ht="15.75" customHeight="1" x14ac:dyDescent="0.45">
      <c r="A403" s="1"/>
    </row>
    <row r="404" spans="1:1" ht="15.75" customHeight="1" x14ac:dyDescent="0.45">
      <c r="A404" s="1"/>
    </row>
    <row r="405" spans="1:1" ht="15.75" customHeight="1" x14ac:dyDescent="0.45">
      <c r="A405" s="1"/>
    </row>
    <row r="406" spans="1:1" ht="15.75" customHeight="1" x14ac:dyDescent="0.45">
      <c r="A406" s="1"/>
    </row>
    <row r="407" spans="1:1" ht="15.75" customHeight="1" x14ac:dyDescent="0.45">
      <c r="A407" s="1"/>
    </row>
    <row r="408" spans="1:1" ht="15.75" customHeight="1" x14ac:dyDescent="0.45">
      <c r="A408" s="1"/>
    </row>
    <row r="409" spans="1:1" ht="15.75" customHeight="1" x14ac:dyDescent="0.45">
      <c r="A409" s="1"/>
    </row>
    <row r="410" spans="1:1" ht="15.75" customHeight="1" x14ac:dyDescent="0.45">
      <c r="A410" s="1"/>
    </row>
    <row r="411" spans="1:1" ht="15.75" customHeight="1" x14ac:dyDescent="0.45">
      <c r="A411" s="1"/>
    </row>
    <row r="412" spans="1:1" ht="15.75" customHeight="1" x14ac:dyDescent="0.45">
      <c r="A412" s="1"/>
    </row>
    <row r="413" spans="1:1" ht="15.75" customHeight="1" x14ac:dyDescent="0.45">
      <c r="A413" s="1"/>
    </row>
    <row r="414" spans="1:1" ht="15.75" customHeight="1" x14ac:dyDescent="0.45">
      <c r="A414" s="1"/>
    </row>
    <row r="415" spans="1:1" ht="15.75" customHeight="1" x14ac:dyDescent="0.45">
      <c r="A415" s="1"/>
    </row>
    <row r="416" spans="1:1" ht="15.75" customHeight="1" x14ac:dyDescent="0.45">
      <c r="A416" s="1"/>
    </row>
    <row r="417" spans="1:1" ht="15.75" customHeight="1" x14ac:dyDescent="0.45">
      <c r="A417" s="1"/>
    </row>
    <row r="418" spans="1:1" ht="15.75" customHeight="1" x14ac:dyDescent="0.45">
      <c r="A418" s="1"/>
    </row>
    <row r="419" spans="1:1" ht="15.75" customHeight="1" x14ac:dyDescent="0.45">
      <c r="A419" s="1"/>
    </row>
    <row r="420" spans="1:1" ht="15.75" customHeight="1" x14ac:dyDescent="0.45">
      <c r="A420" s="1"/>
    </row>
    <row r="421" spans="1:1" ht="15.75" customHeight="1" x14ac:dyDescent="0.45">
      <c r="A421" s="1"/>
    </row>
    <row r="422" spans="1:1" ht="15.75" customHeight="1" x14ac:dyDescent="0.45">
      <c r="A422" s="1"/>
    </row>
    <row r="423" spans="1:1" ht="15.75" customHeight="1" x14ac:dyDescent="0.45">
      <c r="A423" s="1"/>
    </row>
    <row r="424" spans="1:1" ht="15.75" customHeight="1" x14ac:dyDescent="0.45">
      <c r="A424" s="1"/>
    </row>
    <row r="425" spans="1:1" ht="15.75" customHeight="1" x14ac:dyDescent="0.45">
      <c r="A425" s="1"/>
    </row>
    <row r="426" spans="1:1" ht="15.75" customHeight="1" x14ac:dyDescent="0.45">
      <c r="A426" s="1"/>
    </row>
    <row r="427" spans="1:1" ht="15.75" customHeight="1" x14ac:dyDescent="0.45">
      <c r="A427" s="1"/>
    </row>
    <row r="428" spans="1:1" ht="15.75" customHeight="1" x14ac:dyDescent="0.45">
      <c r="A428" s="1"/>
    </row>
    <row r="429" spans="1:1" ht="15.75" customHeight="1" x14ac:dyDescent="0.45">
      <c r="A429" s="1"/>
    </row>
    <row r="430" spans="1:1" ht="15.75" customHeight="1" x14ac:dyDescent="0.45">
      <c r="A430" s="1"/>
    </row>
    <row r="431" spans="1:1" ht="15.75" customHeight="1" x14ac:dyDescent="0.45">
      <c r="A431" s="1"/>
    </row>
    <row r="432" spans="1:1" ht="15.75" customHeight="1" x14ac:dyDescent="0.45">
      <c r="A432" s="1"/>
    </row>
    <row r="433" spans="1:1" ht="15.75" customHeight="1" x14ac:dyDescent="0.45">
      <c r="A433" s="1"/>
    </row>
    <row r="434" spans="1:1" ht="15.75" customHeight="1" x14ac:dyDescent="0.45">
      <c r="A434" s="1"/>
    </row>
    <row r="435" spans="1:1" ht="15.75" customHeight="1" x14ac:dyDescent="0.45">
      <c r="A435" s="1"/>
    </row>
    <row r="436" spans="1:1" ht="15.75" customHeight="1" x14ac:dyDescent="0.45">
      <c r="A436" s="1"/>
    </row>
    <row r="437" spans="1:1" ht="15.75" customHeight="1" x14ac:dyDescent="0.45">
      <c r="A437" s="1"/>
    </row>
    <row r="438" spans="1:1" ht="15.75" customHeight="1" x14ac:dyDescent="0.45">
      <c r="A438" s="1"/>
    </row>
    <row r="439" spans="1:1" ht="15.75" customHeight="1" x14ac:dyDescent="0.45">
      <c r="A439" s="1"/>
    </row>
    <row r="440" spans="1:1" ht="15.75" customHeight="1" x14ac:dyDescent="0.45">
      <c r="A440" s="1"/>
    </row>
    <row r="441" spans="1:1" ht="15.75" customHeight="1" x14ac:dyDescent="0.45">
      <c r="A441" s="1"/>
    </row>
    <row r="442" spans="1:1" ht="15.75" customHeight="1" x14ac:dyDescent="0.45">
      <c r="A442" s="1"/>
    </row>
    <row r="443" spans="1:1" ht="15.75" customHeight="1" x14ac:dyDescent="0.45">
      <c r="A443" s="1"/>
    </row>
    <row r="444" spans="1:1" ht="15.75" customHeight="1" x14ac:dyDescent="0.45">
      <c r="A444" s="1"/>
    </row>
    <row r="445" spans="1:1" ht="15.75" customHeight="1" x14ac:dyDescent="0.45">
      <c r="A445" s="1"/>
    </row>
    <row r="446" spans="1:1" ht="15.75" customHeight="1" x14ac:dyDescent="0.45">
      <c r="A446" s="1"/>
    </row>
    <row r="447" spans="1:1" ht="15.75" customHeight="1" x14ac:dyDescent="0.45">
      <c r="A447" s="1"/>
    </row>
    <row r="448" spans="1:1" ht="15.75" customHeight="1" x14ac:dyDescent="0.45">
      <c r="A448" s="1"/>
    </row>
    <row r="449" spans="1:1" ht="15.75" customHeight="1" x14ac:dyDescent="0.45">
      <c r="A449" s="1"/>
    </row>
    <row r="450" spans="1:1" ht="15.75" customHeight="1" x14ac:dyDescent="0.45">
      <c r="A450" s="1"/>
    </row>
    <row r="451" spans="1:1" ht="15.75" customHeight="1" x14ac:dyDescent="0.45">
      <c r="A451" s="1"/>
    </row>
    <row r="452" spans="1:1" ht="15.75" customHeight="1" x14ac:dyDescent="0.45">
      <c r="A452" s="1"/>
    </row>
    <row r="453" spans="1:1" ht="15.75" customHeight="1" x14ac:dyDescent="0.45">
      <c r="A453" s="1"/>
    </row>
    <row r="454" spans="1:1" ht="15.75" customHeight="1" x14ac:dyDescent="0.45">
      <c r="A454" s="1"/>
    </row>
    <row r="455" spans="1:1" ht="15.75" customHeight="1" x14ac:dyDescent="0.45">
      <c r="A455" s="1"/>
    </row>
    <row r="456" spans="1:1" ht="15.75" customHeight="1" x14ac:dyDescent="0.45">
      <c r="A456" s="1"/>
    </row>
    <row r="457" spans="1:1" ht="15.75" customHeight="1" x14ac:dyDescent="0.45">
      <c r="A457" s="1"/>
    </row>
    <row r="458" spans="1:1" ht="15.75" customHeight="1" x14ac:dyDescent="0.45">
      <c r="A458" s="1"/>
    </row>
    <row r="459" spans="1:1" ht="15.75" customHeight="1" x14ac:dyDescent="0.45">
      <c r="A459" s="1"/>
    </row>
    <row r="460" spans="1:1" ht="15.75" customHeight="1" x14ac:dyDescent="0.45">
      <c r="A460" s="1"/>
    </row>
    <row r="461" spans="1:1" ht="15.75" customHeight="1" x14ac:dyDescent="0.45">
      <c r="A461" s="1"/>
    </row>
    <row r="462" spans="1:1" ht="15.75" customHeight="1" x14ac:dyDescent="0.45">
      <c r="A462" s="1"/>
    </row>
    <row r="463" spans="1:1" ht="15.75" customHeight="1" x14ac:dyDescent="0.45">
      <c r="A463" s="1"/>
    </row>
    <row r="464" spans="1:1" ht="15.75" customHeight="1" x14ac:dyDescent="0.45">
      <c r="A464" s="1"/>
    </row>
    <row r="465" spans="1:1" ht="15.75" customHeight="1" x14ac:dyDescent="0.45">
      <c r="A465" s="1"/>
    </row>
    <row r="466" spans="1:1" ht="15.75" customHeight="1" x14ac:dyDescent="0.45">
      <c r="A466" s="1"/>
    </row>
    <row r="467" spans="1:1" ht="15.75" customHeight="1" x14ac:dyDescent="0.45">
      <c r="A467" s="1"/>
    </row>
    <row r="468" spans="1:1" ht="15.75" customHeight="1" x14ac:dyDescent="0.45">
      <c r="A468" s="1"/>
    </row>
    <row r="469" spans="1:1" ht="15.75" customHeight="1" x14ac:dyDescent="0.45">
      <c r="A469" s="1"/>
    </row>
    <row r="470" spans="1:1" ht="15.75" customHeight="1" x14ac:dyDescent="0.45">
      <c r="A470" s="1"/>
    </row>
    <row r="471" spans="1:1" ht="15.75" customHeight="1" x14ac:dyDescent="0.45">
      <c r="A471" s="1"/>
    </row>
    <row r="472" spans="1:1" ht="15.75" customHeight="1" x14ac:dyDescent="0.45">
      <c r="A472" s="1"/>
    </row>
    <row r="473" spans="1:1" ht="15.75" customHeight="1" x14ac:dyDescent="0.45">
      <c r="A473" s="1"/>
    </row>
    <row r="474" spans="1:1" ht="15.75" customHeight="1" x14ac:dyDescent="0.45">
      <c r="A474" s="1"/>
    </row>
    <row r="475" spans="1:1" ht="15.75" customHeight="1" x14ac:dyDescent="0.45">
      <c r="A475" s="1"/>
    </row>
    <row r="476" spans="1:1" ht="15.75" customHeight="1" x14ac:dyDescent="0.45">
      <c r="A476" s="1"/>
    </row>
    <row r="477" spans="1:1" ht="15.75" customHeight="1" x14ac:dyDescent="0.45">
      <c r="A477" s="1"/>
    </row>
    <row r="478" spans="1:1" ht="15.75" customHeight="1" x14ac:dyDescent="0.45">
      <c r="A478" s="1"/>
    </row>
    <row r="479" spans="1:1" ht="15.75" customHeight="1" x14ac:dyDescent="0.45">
      <c r="A479" s="1"/>
    </row>
    <row r="480" spans="1:1" ht="15.75" customHeight="1" x14ac:dyDescent="0.45">
      <c r="A480" s="1"/>
    </row>
    <row r="481" spans="1:1" ht="15.75" customHeight="1" x14ac:dyDescent="0.45">
      <c r="A481" s="1"/>
    </row>
    <row r="482" spans="1:1" ht="15.75" customHeight="1" x14ac:dyDescent="0.45">
      <c r="A482" s="1"/>
    </row>
    <row r="483" spans="1:1" ht="15.75" customHeight="1" x14ac:dyDescent="0.45">
      <c r="A483" s="1"/>
    </row>
    <row r="484" spans="1:1" ht="15.75" customHeight="1" x14ac:dyDescent="0.45">
      <c r="A484" s="1"/>
    </row>
    <row r="485" spans="1:1" ht="15.75" customHeight="1" x14ac:dyDescent="0.45">
      <c r="A485" s="1"/>
    </row>
    <row r="486" spans="1:1" ht="15.75" customHeight="1" x14ac:dyDescent="0.45">
      <c r="A486" s="1"/>
    </row>
    <row r="487" spans="1:1" ht="15.75" customHeight="1" x14ac:dyDescent="0.45">
      <c r="A487" s="1"/>
    </row>
    <row r="488" spans="1:1" ht="15.75" customHeight="1" x14ac:dyDescent="0.45">
      <c r="A488" s="1"/>
    </row>
    <row r="489" spans="1:1" ht="15.75" customHeight="1" x14ac:dyDescent="0.45">
      <c r="A489" s="1"/>
    </row>
    <row r="490" spans="1:1" ht="15.75" customHeight="1" x14ac:dyDescent="0.45">
      <c r="A490" s="1"/>
    </row>
    <row r="491" spans="1:1" ht="15.75" customHeight="1" x14ac:dyDescent="0.45">
      <c r="A491" s="1"/>
    </row>
    <row r="492" spans="1:1" ht="15.75" customHeight="1" x14ac:dyDescent="0.45">
      <c r="A492" s="1"/>
    </row>
    <row r="493" spans="1:1" ht="15.75" customHeight="1" x14ac:dyDescent="0.45">
      <c r="A493" s="1"/>
    </row>
    <row r="494" spans="1:1" ht="15.75" customHeight="1" x14ac:dyDescent="0.45">
      <c r="A494" s="1"/>
    </row>
    <row r="495" spans="1:1" ht="15.75" customHeight="1" x14ac:dyDescent="0.45">
      <c r="A495" s="1"/>
    </row>
    <row r="496" spans="1:1" ht="15.75" customHeight="1" x14ac:dyDescent="0.45">
      <c r="A496" s="1"/>
    </row>
    <row r="497" spans="1:1" ht="15.75" customHeight="1" x14ac:dyDescent="0.45">
      <c r="A497" s="1"/>
    </row>
    <row r="498" spans="1:1" ht="15.75" customHeight="1" x14ac:dyDescent="0.45">
      <c r="A498" s="1"/>
    </row>
    <row r="499" spans="1:1" ht="15.75" customHeight="1" x14ac:dyDescent="0.45">
      <c r="A499" s="1"/>
    </row>
    <row r="500" spans="1:1" ht="15.75" customHeight="1" x14ac:dyDescent="0.45">
      <c r="A500" s="1"/>
    </row>
    <row r="501" spans="1:1" ht="15.75" customHeight="1" x14ac:dyDescent="0.45">
      <c r="A501" s="1"/>
    </row>
    <row r="502" spans="1:1" ht="15.75" customHeight="1" x14ac:dyDescent="0.45">
      <c r="A502" s="1"/>
    </row>
    <row r="503" spans="1:1" ht="15.75" customHeight="1" x14ac:dyDescent="0.45">
      <c r="A503" s="1"/>
    </row>
    <row r="504" spans="1:1" ht="15.75" customHeight="1" x14ac:dyDescent="0.45">
      <c r="A504" s="1"/>
    </row>
    <row r="505" spans="1:1" ht="15.75" customHeight="1" x14ac:dyDescent="0.45">
      <c r="A505" s="1"/>
    </row>
    <row r="506" spans="1:1" ht="15.75" customHeight="1" x14ac:dyDescent="0.45">
      <c r="A506" s="1"/>
    </row>
    <row r="507" spans="1:1" ht="15.75" customHeight="1" x14ac:dyDescent="0.45">
      <c r="A507" s="1"/>
    </row>
    <row r="508" spans="1:1" ht="15.75" customHeight="1" x14ac:dyDescent="0.45">
      <c r="A508" s="1"/>
    </row>
    <row r="509" spans="1:1" ht="15.75" customHeight="1" x14ac:dyDescent="0.45">
      <c r="A509" s="1"/>
    </row>
    <row r="510" spans="1:1" ht="15.75" customHeight="1" x14ac:dyDescent="0.45">
      <c r="A510" s="1"/>
    </row>
    <row r="511" spans="1:1" ht="15.75" customHeight="1" x14ac:dyDescent="0.45">
      <c r="A511" s="1"/>
    </row>
    <row r="512" spans="1:1" ht="15.75" customHeight="1" x14ac:dyDescent="0.45">
      <c r="A512" s="1"/>
    </row>
    <row r="513" spans="1:1" ht="15.75" customHeight="1" x14ac:dyDescent="0.45">
      <c r="A513" s="1"/>
    </row>
    <row r="514" spans="1:1" ht="15.75" customHeight="1" x14ac:dyDescent="0.45">
      <c r="A514" s="1"/>
    </row>
    <row r="515" spans="1:1" ht="15.75" customHeight="1" x14ac:dyDescent="0.45">
      <c r="A515" s="1"/>
    </row>
    <row r="516" spans="1:1" ht="15.75" customHeight="1" x14ac:dyDescent="0.45">
      <c r="A516" s="1"/>
    </row>
    <row r="517" spans="1:1" ht="15.75" customHeight="1" x14ac:dyDescent="0.45">
      <c r="A517" s="1"/>
    </row>
    <row r="518" spans="1:1" ht="15.75" customHeight="1" x14ac:dyDescent="0.45">
      <c r="A518" s="1"/>
    </row>
    <row r="519" spans="1:1" ht="15.75" customHeight="1" x14ac:dyDescent="0.45">
      <c r="A519" s="1"/>
    </row>
    <row r="520" spans="1:1" ht="15.75" customHeight="1" x14ac:dyDescent="0.45">
      <c r="A520" s="1"/>
    </row>
    <row r="521" spans="1:1" ht="15.75" customHeight="1" x14ac:dyDescent="0.45">
      <c r="A521" s="1"/>
    </row>
    <row r="522" spans="1:1" ht="15.75" customHeight="1" x14ac:dyDescent="0.45">
      <c r="A522" s="1"/>
    </row>
    <row r="523" spans="1:1" ht="15.75" customHeight="1" x14ac:dyDescent="0.45">
      <c r="A523" s="1"/>
    </row>
    <row r="524" spans="1:1" ht="15.75" customHeight="1" x14ac:dyDescent="0.45">
      <c r="A524" s="1"/>
    </row>
    <row r="525" spans="1:1" ht="15.75" customHeight="1" x14ac:dyDescent="0.45">
      <c r="A525" s="1"/>
    </row>
    <row r="526" spans="1:1" ht="15.75" customHeight="1" x14ac:dyDescent="0.45">
      <c r="A526" s="1"/>
    </row>
    <row r="527" spans="1:1" ht="15.75" customHeight="1" x14ac:dyDescent="0.45">
      <c r="A527" s="1"/>
    </row>
    <row r="528" spans="1:1" ht="15.75" customHeight="1" x14ac:dyDescent="0.45">
      <c r="A528" s="1"/>
    </row>
    <row r="529" spans="1:1" ht="15.75" customHeight="1" x14ac:dyDescent="0.45">
      <c r="A529" s="1"/>
    </row>
    <row r="530" spans="1:1" ht="15.75" customHeight="1" x14ac:dyDescent="0.45">
      <c r="A530" s="1"/>
    </row>
    <row r="531" spans="1:1" ht="15.75" customHeight="1" x14ac:dyDescent="0.45">
      <c r="A531" s="1"/>
    </row>
    <row r="532" spans="1:1" ht="15.75" customHeight="1" x14ac:dyDescent="0.45">
      <c r="A532" s="1"/>
    </row>
    <row r="533" spans="1:1" ht="15.75" customHeight="1" x14ac:dyDescent="0.45">
      <c r="A533" s="1"/>
    </row>
    <row r="534" spans="1:1" ht="15.75" customHeight="1" x14ac:dyDescent="0.45">
      <c r="A534" s="1"/>
    </row>
    <row r="535" spans="1:1" ht="15.75" customHeight="1" x14ac:dyDescent="0.45">
      <c r="A535" s="1"/>
    </row>
    <row r="536" spans="1:1" ht="15.75" customHeight="1" x14ac:dyDescent="0.45">
      <c r="A536" s="1"/>
    </row>
    <row r="537" spans="1:1" ht="15.75" customHeight="1" x14ac:dyDescent="0.45">
      <c r="A537" s="1"/>
    </row>
    <row r="538" spans="1:1" ht="15.75" customHeight="1" x14ac:dyDescent="0.45">
      <c r="A538" s="1"/>
    </row>
    <row r="539" spans="1:1" ht="15.75" customHeight="1" x14ac:dyDescent="0.45">
      <c r="A539" s="1"/>
    </row>
    <row r="540" spans="1:1" ht="15.75" customHeight="1" x14ac:dyDescent="0.45">
      <c r="A540" s="1"/>
    </row>
    <row r="541" spans="1:1" ht="15.75" customHeight="1" x14ac:dyDescent="0.45">
      <c r="A541" s="1"/>
    </row>
    <row r="542" spans="1:1" ht="15.75" customHeight="1" x14ac:dyDescent="0.45">
      <c r="A542" s="1"/>
    </row>
    <row r="543" spans="1:1" ht="15.75" customHeight="1" x14ac:dyDescent="0.45">
      <c r="A543" s="1"/>
    </row>
    <row r="544" spans="1:1" ht="15.75" customHeight="1" x14ac:dyDescent="0.45">
      <c r="A544" s="1"/>
    </row>
    <row r="545" spans="1:1" ht="15.75" customHeight="1" x14ac:dyDescent="0.45">
      <c r="A545" s="1"/>
    </row>
    <row r="546" spans="1:1" ht="15.75" customHeight="1" x14ac:dyDescent="0.45">
      <c r="A546" s="1"/>
    </row>
    <row r="547" spans="1:1" ht="15.75" customHeight="1" x14ac:dyDescent="0.45">
      <c r="A547" s="1"/>
    </row>
    <row r="548" spans="1:1" ht="15.75" customHeight="1" x14ac:dyDescent="0.45">
      <c r="A548" s="1"/>
    </row>
    <row r="549" spans="1:1" ht="15.75" customHeight="1" x14ac:dyDescent="0.45">
      <c r="A549" s="1"/>
    </row>
    <row r="550" spans="1:1" ht="15.75" customHeight="1" x14ac:dyDescent="0.45">
      <c r="A550" s="1"/>
    </row>
    <row r="551" spans="1:1" ht="15.75" customHeight="1" x14ac:dyDescent="0.45">
      <c r="A551" s="1"/>
    </row>
    <row r="552" spans="1:1" ht="15.75" customHeight="1" x14ac:dyDescent="0.45">
      <c r="A552" s="1"/>
    </row>
    <row r="553" spans="1:1" ht="15.75" customHeight="1" x14ac:dyDescent="0.45">
      <c r="A553" s="1"/>
    </row>
    <row r="554" spans="1:1" ht="15.75" customHeight="1" x14ac:dyDescent="0.45">
      <c r="A554" s="1"/>
    </row>
    <row r="555" spans="1:1" ht="15.75" customHeight="1" x14ac:dyDescent="0.45">
      <c r="A555" s="1"/>
    </row>
    <row r="556" spans="1:1" ht="15.75" customHeight="1" x14ac:dyDescent="0.45">
      <c r="A556" s="1"/>
    </row>
    <row r="557" spans="1:1" ht="15.75" customHeight="1" x14ac:dyDescent="0.45">
      <c r="A557" s="1"/>
    </row>
    <row r="558" spans="1:1" ht="15.75" customHeight="1" x14ac:dyDescent="0.45">
      <c r="A558" s="1"/>
    </row>
    <row r="559" spans="1:1" ht="15.75" customHeight="1" x14ac:dyDescent="0.45">
      <c r="A559" s="1"/>
    </row>
    <row r="560" spans="1:1" ht="15.75" customHeight="1" x14ac:dyDescent="0.45">
      <c r="A560" s="1"/>
    </row>
    <row r="561" spans="1:1" ht="15.75" customHeight="1" x14ac:dyDescent="0.45">
      <c r="A561" s="1"/>
    </row>
    <row r="562" spans="1:1" ht="15.75" customHeight="1" x14ac:dyDescent="0.45">
      <c r="A562" s="1"/>
    </row>
    <row r="563" spans="1:1" ht="15.75" customHeight="1" x14ac:dyDescent="0.45">
      <c r="A563" s="1"/>
    </row>
    <row r="564" spans="1:1" ht="15.75" customHeight="1" x14ac:dyDescent="0.45">
      <c r="A564" s="1"/>
    </row>
    <row r="565" spans="1:1" ht="15.75" customHeight="1" x14ac:dyDescent="0.45">
      <c r="A565" s="1"/>
    </row>
    <row r="566" spans="1:1" ht="15.75" customHeight="1" x14ac:dyDescent="0.45">
      <c r="A566" s="1"/>
    </row>
    <row r="567" spans="1:1" ht="15.75" customHeight="1" x14ac:dyDescent="0.45">
      <c r="A567" s="1"/>
    </row>
    <row r="568" spans="1:1" ht="15.75" customHeight="1" x14ac:dyDescent="0.45">
      <c r="A568" s="1"/>
    </row>
    <row r="569" spans="1:1" ht="15.75" customHeight="1" x14ac:dyDescent="0.45">
      <c r="A569" s="1"/>
    </row>
    <row r="570" spans="1:1" ht="15.75" customHeight="1" x14ac:dyDescent="0.45">
      <c r="A570" s="1"/>
    </row>
    <row r="571" spans="1:1" ht="15.75" customHeight="1" x14ac:dyDescent="0.45">
      <c r="A571" s="1"/>
    </row>
    <row r="572" spans="1:1" ht="15.75" customHeight="1" x14ac:dyDescent="0.45">
      <c r="A572" s="1"/>
    </row>
    <row r="573" spans="1:1" ht="15.75" customHeight="1" x14ac:dyDescent="0.45">
      <c r="A573" s="1"/>
    </row>
    <row r="574" spans="1:1" ht="15.75" customHeight="1" x14ac:dyDescent="0.45">
      <c r="A574" s="1"/>
    </row>
    <row r="575" spans="1:1" ht="15.75" customHeight="1" x14ac:dyDescent="0.45">
      <c r="A575" s="1"/>
    </row>
    <row r="576" spans="1:1" ht="15.75" customHeight="1" x14ac:dyDescent="0.45">
      <c r="A576" s="1"/>
    </row>
    <row r="577" spans="1:1" ht="15.75" customHeight="1" x14ac:dyDescent="0.45">
      <c r="A577" s="1"/>
    </row>
    <row r="578" spans="1:1" ht="15.75" customHeight="1" x14ac:dyDescent="0.45">
      <c r="A578" s="1"/>
    </row>
    <row r="579" spans="1:1" ht="15.75" customHeight="1" x14ac:dyDescent="0.45">
      <c r="A579" s="1"/>
    </row>
    <row r="580" spans="1:1" ht="15.75" customHeight="1" x14ac:dyDescent="0.45">
      <c r="A580" s="1"/>
    </row>
    <row r="581" spans="1:1" ht="15.75" customHeight="1" x14ac:dyDescent="0.45">
      <c r="A581" s="1"/>
    </row>
    <row r="582" spans="1:1" ht="15.75" customHeight="1" x14ac:dyDescent="0.45">
      <c r="A582" s="1"/>
    </row>
    <row r="583" spans="1:1" ht="15.75" customHeight="1" x14ac:dyDescent="0.45">
      <c r="A583" s="1"/>
    </row>
    <row r="584" spans="1:1" ht="15.75" customHeight="1" x14ac:dyDescent="0.45">
      <c r="A584" s="1"/>
    </row>
    <row r="585" spans="1:1" ht="15.75" customHeight="1" x14ac:dyDescent="0.45">
      <c r="A585" s="1"/>
    </row>
    <row r="586" spans="1:1" ht="15.75" customHeight="1" x14ac:dyDescent="0.45">
      <c r="A586" s="1"/>
    </row>
    <row r="587" spans="1:1" ht="15.75" customHeight="1" x14ac:dyDescent="0.45">
      <c r="A587" s="1"/>
    </row>
    <row r="588" spans="1:1" ht="15.75" customHeight="1" x14ac:dyDescent="0.45">
      <c r="A588" s="1"/>
    </row>
    <row r="589" spans="1:1" ht="15.75" customHeight="1" x14ac:dyDescent="0.45">
      <c r="A589" s="1"/>
    </row>
    <row r="590" spans="1:1" ht="15.75" customHeight="1" x14ac:dyDescent="0.45">
      <c r="A590" s="1"/>
    </row>
    <row r="591" spans="1:1" ht="15.75" customHeight="1" x14ac:dyDescent="0.45">
      <c r="A591" s="1"/>
    </row>
    <row r="592" spans="1:1" ht="15.75" customHeight="1" x14ac:dyDescent="0.45">
      <c r="A592" s="1"/>
    </row>
    <row r="593" spans="1:1" ht="15.75" customHeight="1" x14ac:dyDescent="0.45">
      <c r="A593" s="1"/>
    </row>
    <row r="594" spans="1:1" ht="15.75" customHeight="1" x14ac:dyDescent="0.45">
      <c r="A594" s="1"/>
    </row>
    <row r="595" spans="1:1" ht="15.75" customHeight="1" x14ac:dyDescent="0.45">
      <c r="A595" s="1"/>
    </row>
    <row r="596" spans="1:1" ht="15.75" customHeight="1" x14ac:dyDescent="0.45">
      <c r="A596" s="1"/>
    </row>
    <row r="597" spans="1:1" ht="15.75" customHeight="1" x14ac:dyDescent="0.45">
      <c r="A597" s="1"/>
    </row>
    <row r="598" spans="1:1" ht="15.75" customHeight="1" x14ac:dyDescent="0.45">
      <c r="A598" s="1"/>
    </row>
    <row r="599" spans="1:1" ht="15.75" customHeight="1" x14ac:dyDescent="0.45">
      <c r="A599" s="1"/>
    </row>
    <row r="600" spans="1:1" ht="15.75" customHeight="1" x14ac:dyDescent="0.45">
      <c r="A600" s="1"/>
    </row>
    <row r="601" spans="1:1" ht="15.75" customHeight="1" x14ac:dyDescent="0.45">
      <c r="A601" s="1"/>
    </row>
    <row r="602" spans="1:1" ht="15.75" customHeight="1" x14ac:dyDescent="0.45">
      <c r="A602" s="1"/>
    </row>
    <row r="603" spans="1:1" ht="15.75" customHeight="1" x14ac:dyDescent="0.45">
      <c r="A603" s="1"/>
    </row>
    <row r="604" spans="1:1" ht="15.75" customHeight="1" x14ac:dyDescent="0.45">
      <c r="A604" s="1"/>
    </row>
    <row r="605" spans="1:1" ht="15.75" customHeight="1" x14ac:dyDescent="0.45">
      <c r="A605" s="1"/>
    </row>
    <row r="606" spans="1:1" ht="15.75" customHeight="1" x14ac:dyDescent="0.45">
      <c r="A606" s="1"/>
    </row>
    <row r="607" spans="1:1" ht="15.75" customHeight="1" x14ac:dyDescent="0.45">
      <c r="A607" s="1"/>
    </row>
    <row r="608" spans="1:1" ht="15.75" customHeight="1" x14ac:dyDescent="0.45">
      <c r="A608" s="1"/>
    </row>
    <row r="609" spans="1:1" ht="15.75" customHeight="1" x14ac:dyDescent="0.45">
      <c r="A609" s="1"/>
    </row>
    <row r="610" spans="1:1" ht="15.75" customHeight="1" x14ac:dyDescent="0.45">
      <c r="A610" s="1"/>
    </row>
    <row r="611" spans="1:1" ht="15.75" customHeight="1" x14ac:dyDescent="0.45">
      <c r="A611" s="1"/>
    </row>
    <row r="612" spans="1:1" ht="15.75" customHeight="1" x14ac:dyDescent="0.45">
      <c r="A612" s="1"/>
    </row>
    <row r="613" spans="1:1" ht="15.75" customHeight="1" x14ac:dyDescent="0.45">
      <c r="A613" s="1"/>
    </row>
    <row r="614" spans="1:1" ht="15.75" customHeight="1" x14ac:dyDescent="0.45">
      <c r="A614" s="1"/>
    </row>
    <row r="615" spans="1:1" ht="15.75" customHeight="1" x14ac:dyDescent="0.45">
      <c r="A615" s="1"/>
    </row>
    <row r="616" spans="1:1" ht="15.75" customHeight="1" x14ac:dyDescent="0.45">
      <c r="A616" s="1"/>
    </row>
    <row r="617" spans="1:1" ht="15.75" customHeight="1" x14ac:dyDescent="0.45">
      <c r="A617" s="1"/>
    </row>
    <row r="618" spans="1:1" ht="15.75" customHeight="1" x14ac:dyDescent="0.45">
      <c r="A618" s="1"/>
    </row>
    <row r="619" spans="1:1" ht="15.75" customHeight="1" x14ac:dyDescent="0.45">
      <c r="A619" s="1"/>
    </row>
    <row r="620" spans="1:1" ht="15.75" customHeight="1" x14ac:dyDescent="0.45">
      <c r="A620" s="1"/>
    </row>
    <row r="621" spans="1:1" ht="15.75" customHeight="1" x14ac:dyDescent="0.45">
      <c r="A621" s="1"/>
    </row>
    <row r="622" spans="1:1" ht="15.75" customHeight="1" x14ac:dyDescent="0.45">
      <c r="A622" s="1"/>
    </row>
    <row r="623" spans="1:1" ht="15.75" customHeight="1" x14ac:dyDescent="0.45">
      <c r="A623" s="1"/>
    </row>
    <row r="624" spans="1:1" ht="15.75" customHeight="1" x14ac:dyDescent="0.45">
      <c r="A624" s="1"/>
    </row>
    <row r="625" spans="1:1" ht="15.75" customHeight="1" x14ac:dyDescent="0.45">
      <c r="A625" s="1"/>
    </row>
    <row r="626" spans="1:1" ht="15.75" customHeight="1" x14ac:dyDescent="0.45">
      <c r="A626" s="1"/>
    </row>
    <row r="627" spans="1:1" ht="15.75" customHeight="1" x14ac:dyDescent="0.45">
      <c r="A627" s="1"/>
    </row>
    <row r="628" spans="1:1" ht="15.75" customHeight="1" x14ac:dyDescent="0.45">
      <c r="A628" s="1"/>
    </row>
    <row r="629" spans="1:1" ht="15.75" customHeight="1" x14ac:dyDescent="0.45">
      <c r="A629" s="1"/>
    </row>
    <row r="630" spans="1:1" ht="15.75" customHeight="1" x14ac:dyDescent="0.45">
      <c r="A630" s="1"/>
    </row>
    <row r="631" spans="1:1" ht="15.75" customHeight="1" x14ac:dyDescent="0.45">
      <c r="A631" s="1"/>
    </row>
    <row r="632" spans="1:1" ht="15.75" customHeight="1" x14ac:dyDescent="0.45">
      <c r="A632" s="1"/>
    </row>
    <row r="633" spans="1:1" ht="15.75" customHeight="1" x14ac:dyDescent="0.45">
      <c r="A633" s="1"/>
    </row>
    <row r="634" spans="1:1" ht="15.75" customHeight="1" x14ac:dyDescent="0.45">
      <c r="A634" s="1"/>
    </row>
    <row r="635" spans="1:1" ht="15.75" customHeight="1" x14ac:dyDescent="0.45">
      <c r="A635" s="1"/>
    </row>
    <row r="636" spans="1:1" ht="15.75" customHeight="1" x14ac:dyDescent="0.45">
      <c r="A636" s="1"/>
    </row>
    <row r="637" spans="1:1" ht="15.75" customHeight="1" x14ac:dyDescent="0.45">
      <c r="A637" s="1"/>
    </row>
    <row r="638" spans="1:1" ht="15.75" customHeight="1" x14ac:dyDescent="0.45">
      <c r="A638" s="1"/>
    </row>
    <row r="639" spans="1:1" ht="15.75" customHeight="1" x14ac:dyDescent="0.45">
      <c r="A639" s="1"/>
    </row>
    <row r="640" spans="1:1" ht="15.75" customHeight="1" x14ac:dyDescent="0.45">
      <c r="A640" s="1"/>
    </row>
    <row r="641" spans="1:1" ht="15.75" customHeight="1" x14ac:dyDescent="0.45">
      <c r="A641" s="1"/>
    </row>
    <row r="642" spans="1:1" ht="15.75" customHeight="1" x14ac:dyDescent="0.45">
      <c r="A642" s="1"/>
    </row>
    <row r="643" spans="1:1" ht="15.75" customHeight="1" x14ac:dyDescent="0.45">
      <c r="A643" s="1"/>
    </row>
    <row r="644" spans="1:1" ht="15.75" customHeight="1" x14ac:dyDescent="0.45">
      <c r="A644" s="1"/>
    </row>
    <row r="645" spans="1:1" ht="15.75" customHeight="1" x14ac:dyDescent="0.45">
      <c r="A645" s="1"/>
    </row>
    <row r="646" spans="1:1" ht="15.75" customHeight="1" x14ac:dyDescent="0.45">
      <c r="A646" s="1"/>
    </row>
    <row r="647" spans="1:1" ht="15.75" customHeight="1" x14ac:dyDescent="0.45">
      <c r="A647" s="1"/>
    </row>
    <row r="648" spans="1:1" ht="15.75" customHeight="1" x14ac:dyDescent="0.45">
      <c r="A648" s="1"/>
    </row>
    <row r="649" spans="1:1" ht="15.75" customHeight="1" x14ac:dyDescent="0.45">
      <c r="A649" s="1"/>
    </row>
    <row r="650" spans="1:1" ht="15.75" customHeight="1" x14ac:dyDescent="0.45">
      <c r="A650" s="1"/>
    </row>
    <row r="651" spans="1:1" ht="15.75" customHeight="1" x14ac:dyDescent="0.45">
      <c r="A651" s="1"/>
    </row>
    <row r="652" spans="1:1" ht="15.75" customHeight="1" x14ac:dyDescent="0.45">
      <c r="A652" s="1"/>
    </row>
    <row r="653" spans="1:1" ht="15.75" customHeight="1" x14ac:dyDescent="0.45">
      <c r="A653" s="1"/>
    </row>
    <row r="654" spans="1:1" ht="15.75" customHeight="1" x14ac:dyDescent="0.45">
      <c r="A654" s="1"/>
    </row>
    <row r="655" spans="1:1" ht="15.75" customHeight="1" x14ac:dyDescent="0.45">
      <c r="A655" s="1"/>
    </row>
    <row r="656" spans="1:1" ht="15.75" customHeight="1" x14ac:dyDescent="0.45">
      <c r="A656" s="1"/>
    </row>
    <row r="657" spans="1:1" ht="15.75" customHeight="1" x14ac:dyDescent="0.45">
      <c r="A657" s="1"/>
    </row>
    <row r="658" spans="1:1" ht="15.75" customHeight="1" x14ac:dyDescent="0.45">
      <c r="A658" s="1"/>
    </row>
    <row r="659" spans="1:1" ht="15.75" customHeight="1" x14ac:dyDescent="0.45">
      <c r="A659" s="1"/>
    </row>
    <row r="660" spans="1:1" ht="15.75" customHeight="1" x14ac:dyDescent="0.45">
      <c r="A660" s="1"/>
    </row>
    <row r="661" spans="1:1" ht="15.75" customHeight="1" x14ac:dyDescent="0.45">
      <c r="A661" s="1"/>
    </row>
    <row r="662" spans="1:1" ht="15.75" customHeight="1" x14ac:dyDescent="0.45">
      <c r="A662" s="1"/>
    </row>
    <row r="663" spans="1:1" ht="15.75" customHeight="1" x14ac:dyDescent="0.45">
      <c r="A663" s="1"/>
    </row>
    <row r="664" spans="1:1" ht="15.75" customHeight="1" x14ac:dyDescent="0.45">
      <c r="A664" s="1"/>
    </row>
    <row r="665" spans="1:1" ht="15.75" customHeight="1" x14ac:dyDescent="0.45">
      <c r="A665" s="1"/>
    </row>
    <row r="666" spans="1:1" ht="15.75" customHeight="1" x14ac:dyDescent="0.45">
      <c r="A666" s="1"/>
    </row>
    <row r="667" spans="1:1" ht="15.75" customHeight="1" x14ac:dyDescent="0.45">
      <c r="A667" s="1"/>
    </row>
    <row r="668" spans="1:1" ht="15.75" customHeight="1" x14ac:dyDescent="0.45">
      <c r="A668" s="1"/>
    </row>
    <row r="669" spans="1:1" ht="15.75" customHeight="1" x14ac:dyDescent="0.45">
      <c r="A669" s="1"/>
    </row>
    <row r="670" spans="1:1" ht="15.75" customHeight="1" x14ac:dyDescent="0.45">
      <c r="A670" s="1"/>
    </row>
    <row r="671" spans="1:1" ht="15.75" customHeight="1" x14ac:dyDescent="0.45">
      <c r="A671" s="1"/>
    </row>
    <row r="672" spans="1:1" ht="15.75" customHeight="1" x14ac:dyDescent="0.45">
      <c r="A672" s="1"/>
    </row>
    <row r="673" spans="1:1" ht="15.75" customHeight="1" x14ac:dyDescent="0.45">
      <c r="A673" s="1"/>
    </row>
    <row r="674" spans="1:1" ht="15.75" customHeight="1" x14ac:dyDescent="0.45">
      <c r="A674" s="1"/>
    </row>
    <row r="675" spans="1:1" ht="15.75" customHeight="1" x14ac:dyDescent="0.45">
      <c r="A675" s="1"/>
    </row>
    <row r="676" spans="1:1" ht="15.75" customHeight="1" x14ac:dyDescent="0.45">
      <c r="A676" s="1"/>
    </row>
    <row r="677" spans="1:1" ht="15.75" customHeight="1" x14ac:dyDescent="0.45">
      <c r="A677" s="1"/>
    </row>
    <row r="678" spans="1:1" ht="15.75" customHeight="1" x14ac:dyDescent="0.45">
      <c r="A678" s="1"/>
    </row>
    <row r="679" spans="1:1" ht="15.75" customHeight="1" x14ac:dyDescent="0.45">
      <c r="A679" s="1"/>
    </row>
    <row r="680" spans="1:1" ht="15.75" customHeight="1" x14ac:dyDescent="0.45">
      <c r="A680" s="1"/>
    </row>
    <row r="681" spans="1:1" ht="15.75" customHeight="1" x14ac:dyDescent="0.45">
      <c r="A681" s="1"/>
    </row>
    <row r="682" spans="1:1" ht="15.75" customHeight="1" x14ac:dyDescent="0.45">
      <c r="A682" s="1"/>
    </row>
    <row r="683" spans="1:1" ht="15.75" customHeight="1" x14ac:dyDescent="0.45">
      <c r="A683" s="1"/>
    </row>
    <row r="684" spans="1:1" ht="15.75" customHeight="1" x14ac:dyDescent="0.45">
      <c r="A684" s="1"/>
    </row>
    <row r="685" spans="1:1" ht="15.75" customHeight="1" x14ac:dyDescent="0.45">
      <c r="A685" s="1"/>
    </row>
    <row r="686" spans="1:1" ht="15.75" customHeight="1" x14ac:dyDescent="0.45">
      <c r="A686" s="1"/>
    </row>
    <row r="687" spans="1:1" ht="15.75" customHeight="1" x14ac:dyDescent="0.45">
      <c r="A687" s="1"/>
    </row>
    <row r="688" spans="1:1" ht="15.75" customHeight="1" x14ac:dyDescent="0.45">
      <c r="A688" s="1"/>
    </row>
    <row r="689" spans="1:1" ht="15.75" customHeight="1" x14ac:dyDescent="0.45">
      <c r="A689" s="1"/>
    </row>
    <row r="690" spans="1:1" ht="15.75" customHeight="1" x14ac:dyDescent="0.45">
      <c r="A690" s="1"/>
    </row>
    <row r="691" spans="1:1" ht="15.75" customHeight="1" x14ac:dyDescent="0.45">
      <c r="A691" s="1"/>
    </row>
    <row r="692" spans="1:1" ht="15.75" customHeight="1" x14ac:dyDescent="0.45">
      <c r="A692" s="1"/>
    </row>
    <row r="693" spans="1:1" ht="15.75" customHeight="1" x14ac:dyDescent="0.45">
      <c r="A693" s="1"/>
    </row>
    <row r="694" spans="1:1" ht="15.75" customHeight="1" x14ac:dyDescent="0.45">
      <c r="A694" s="1"/>
    </row>
    <row r="695" spans="1:1" ht="15.75" customHeight="1" x14ac:dyDescent="0.45">
      <c r="A695" s="1"/>
    </row>
    <row r="696" spans="1:1" ht="15.75" customHeight="1" x14ac:dyDescent="0.45">
      <c r="A696" s="1"/>
    </row>
    <row r="697" spans="1:1" ht="15.75" customHeight="1" x14ac:dyDescent="0.45">
      <c r="A697" s="1"/>
    </row>
    <row r="698" spans="1:1" ht="15.75" customHeight="1" x14ac:dyDescent="0.45">
      <c r="A698" s="1"/>
    </row>
    <row r="699" spans="1:1" ht="15.75" customHeight="1" x14ac:dyDescent="0.45">
      <c r="A699" s="1"/>
    </row>
    <row r="700" spans="1:1" ht="15.75" customHeight="1" x14ac:dyDescent="0.45">
      <c r="A700" s="1"/>
    </row>
    <row r="701" spans="1:1" ht="15.75" customHeight="1" x14ac:dyDescent="0.45">
      <c r="A701" s="1"/>
    </row>
    <row r="702" spans="1:1" ht="15.75" customHeight="1" x14ac:dyDescent="0.45">
      <c r="A702" s="1"/>
    </row>
    <row r="703" spans="1:1" ht="15.75" customHeight="1" x14ac:dyDescent="0.45">
      <c r="A703" s="1"/>
    </row>
    <row r="704" spans="1:1" ht="15.75" customHeight="1" x14ac:dyDescent="0.45">
      <c r="A704" s="1"/>
    </row>
    <row r="705" spans="1:1" ht="15.75" customHeight="1" x14ac:dyDescent="0.45">
      <c r="A705" s="1"/>
    </row>
    <row r="706" spans="1:1" ht="15.75" customHeight="1" x14ac:dyDescent="0.45">
      <c r="A706" s="1"/>
    </row>
    <row r="707" spans="1:1" ht="15.75" customHeight="1" x14ac:dyDescent="0.45">
      <c r="A707" s="1"/>
    </row>
    <row r="708" spans="1:1" ht="15.75" customHeight="1" x14ac:dyDescent="0.45">
      <c r="A708" s="1"/>
    </row>
    <row r="709" spans="1:1" ht="15.75" customHeight="1" x14ac:dyDescent="0.45">
      <c r="A709" s="1"/>
    </row>
    <row r="710" spans="1:1" ht="15.75" customHeight="1" x14ac:dyDescent="0.45">
      <c r="A710" s="1"/>
    </row>
    <row r="711" spans="1:1" ht="15.75" customHeight="1" x14ac:dyDescent="0.45">
      <c r="A711" s="1"/>
    </row>
    <row r="712" spans="1:1" ht="15.75" customHeight="1" x14ac:dyDescent="0.45">
      <c r="A712" s="1"/>
    </row>
    <row r="713" spans="1:1" ht="15.75" customHeight="1" x14ac:dyDescent="0.45">
      <c r="A713" s="1"/>
    </row>
    <row r="714" spans="1:1" ht="15.75" customHeight="1" x14ac:dyDescent="0.45">
      <c r="A714" s="1"/>
    </row>
    <row r="715" spans="1:1" ht="15.75" customHeight="1" x14ac:dyDescent="0.45">
      <c r="A715" s="1"/>
    </row>
    <row r="716" spans="1:1" ht="15.75" customHeight="1" x14ac:dyDescent="0.45">
      <c r="A716" s="1"/>
    </row>
    <row r="717" spans="1:1" ht="15.75" customHeight="1" x14ac:dyDescent="0.45">
      <c r="A717" s="1"/>
    </row>
    <row r="718" spans="1:1" ht="15.75" customHeight="1" x14ac:dyDescent="0.45">
      <c r="A718" s="1"/>
    </row>
    <row r="719" spans="1:1" ht="15.75" customHeight="1" x14ac:dyDescent="0.45">
      <c r="A719" s="1"/>
    </row>
    <row r="720" spans="1:1" ht="15.75" customHeight="1" x14ac:dyDescent="0.45">
      <c r="A720" s="1"/>
    </row>
    <row r="721" spans="1:1" ht="15.75" customHeight="1" x14ac:dyDescent="0.45">
      <c r="A721" s="1"/>
    </row>
    <row r="722" spans="1:1" ht="15.75" customHeight="1" x14ac:dyDescent="0.45">
      <c r="A722" s="1"/>
    </row>
    <row r="723" spans="1:1" ht="15.75" customHeight="1" x14ac:dyDescent="0.45">
      <c r="A723" s="1"/>
    </row>
    <row r="724" spans="1:1" ht="15.75" customHeight="1" x14ac:dyDescent="0.45">
      <c r="A724" s="1"/>
    </row>
    <row r="725" spans="1:1" ht="15.75" customHeight="1" x14ac:dyDescent="0.45">
      <c r="A725" s="1"/>
    </row>
    <row r="726" spans="1:1" ht="15.75" customHeight="1" x14ac:dyDescent="0.45">
      <c r="A726" s="1"/>
    </row>
    <row r="727" spans="1:1" ht="15.75" customHeight="1" x14ac:dyDescent="0.45">
      <c r="A727" s="1"/>
    </row>
    <row r="728" spans="1:1" ht="15.75" customHeight="1" x14ac:dyDescent="0.45">
      <c r="A728" s="1"/>
    </row>
    <row r="729" spans="1:1" ht="15.75" customHeight="1" x14ac:dyDescent="0.45">
      <c r="A729" s="1"/>
    </row>
    <row r="730" spans="1:1" ht="15.75" customHeight="1" x14ac:dyDescent="0.45">
      <c r="A730" s="1"/>
    </row>
    <row r="731" spans="1:1" ht="15.75" customHeight="1" x14ac:dyDescent="0.45">
      <c r="A731" s="1"/>
    </row>
    <row r="732" spans="1:1" ht="15.75" customHeight="1" x14ac:dyDescent="0.45">
      <c r="A732" s="1"/>
    </row>
    <row r="733" spans="1:1" ht="15.75" customHeight="1" x14ac:dyDescent="0.45">
      <c r="A733" s="1"/>
    </row>
    <row r="734" spans="1:1" ht="15.75" customHeight="1" x14ac:dyDescent="0.45">
      <c r="A734" s="1"/>
    </row>
    <row r="735" spans="1:1" ht="15.75" customHeight="1" x14ac:dyDescent="0.45">
      <c r="A735" s="1"/>
    </row>
    <row r="736" spans="1:1" ht="15.75" customHeight="1" x14ac:dyDescent="0.45">
      <c r="A736" s="1"/>
    </row>
    <row r="737" spans="1:1" ht="15.75" customHeight="1" x14ac:dyDescent="0.45">
      <c r="A737" s="1"/>
    </row>
    <row r="738" spans="1:1" ht="15.75" customHeight="1" x14ac:dyDescent="0.45">
      <c r="A738" s="1"/>
    </row>
    <row r="739" spans="1:1" ht="15.75" customHeight="1" x14ac:dyDescent="0.45">
      <c r="A739" s="1"/>
    </row>
    <row r="740" spans="1:1" ht="15.75" customHeight="1" x14ac:dyDescent="0.45">
      <c r="A740" s="1"/>
    </row>
    <row r="741" spans="1:1" ht="15.75" customHeight="1" x14ac:dyDescent="0.45">
      <c r="A741" s="1"/>
    </row>
    <row r="742" spans="1:1" ht="15.75" customHeight="1" x14ac:dyDescent="0.45">
      <c r="A742" s="1"/>
    </row>
    <row r="743" spans="1:1" ht="15.75" customHeight="1" x14ac:dyDescent="0.45">
      <c r="A743" s="1"/>
    </row>
    <row r="744" spans="1:1" ht="15.75" customHeight="1" x14ac:dyDescent="0.45">
      <c r="A744" s="1"/>
    </row>
    <row r="745" spans="1:1" ht="15.75" customHeight="1" x14ac:dyDescent="0.45">
      <c r="A745" s="1"/>
    </row>
    <row r="746" spans="1:1" ht="15.75" customHeight="1" x14ac:dyDescent="0.45">
      <c r="A746" s="1"/>
    </row>
    <row r="747" spans="1:1" ht="15.75" customHeight="1" x14ac:dyDescent="0.45">
      <c r="A747" s="1"/>
    </row>
    <row r="748" spans="1:1" ht="15.75" customHeight="1" x14ac:dyDescent="0.45">
      <c r="A748" s="1"/>
    </row>
    <row r="749" spans="1:1" ht="15.75" customHeight="1" x14ac:dyDescent="0.45">
      <c r="A749" s="1"/>
    </row>
    <row r="750" spans="1:1" ht="15.75" customHeight="1" x14ac:dyDescent="0.45">
      <c r="A750" s="1"/>
    </row>
    <row r="751" spans="1:1" ht="15.75" customHeight="1" x14ac:dyDescent="0.45">
      <c r="A751" s="1"/>
    </row>
    <row r="752" spans="1:1" ht="15.75" customHeight="1" x14ac:dyDescent="0.45">
      <c r="A752" s="1"/>
    </row>
    <row r="753" spans="1:1" ht="15.75" customHeight="1" x14ac:dyDescent="0.45">
      <c r="A753" s="1"/>
    </row>
    <row r="754" spans="1:1" ht="15.75" customHeight="1" x14ac:dyDescent="0.45">
      <c r="A754" s="1"/>
    </row>
    <row r="755" spans="1:1" ht="15.75" customHeight="1" x14ac:dyDescent="0.45">
      <c r="A755" s="1"/>
    </row>
    <row r="756" spans="1:1" ht="15.75" customHeight="1" x14ac:dyDescent="0.45">
      <c r="A756" s="1"/>
    </row>
    <row r="757" spans="1:1" ht="15.75" customHeight="1" x14ac:dyDescent="0.45">
      <c r="A757" s="1"/>
    </row>
    <row r="758" spans="1:1" ht="15.75" customHeight="1" x14ac:dyDescent="0.45">
      <c r="A758" s="1"/>
    </row>
    <row r="759" spans="1:1" ht="15.75" customHeight="1" x14ac:dyDescent="0.45">
      <c r="A759" s="1"/>
    </row>
    <row r="760" spans="1:1" ht="15.75" customHeight="1" x14ac:dyDescent="0.45">
      <c r="A760" s="1"/>
    </row>
    <row r="761" spans="1:1" ht="15.75" customHeight="1" x14ac:dyDescent="0.45">
      <c r="A761" s="1"/>
    </row>
    <row r="762" spans="1:1" ht="15.75" customHeight="1" x14ac:dyDescent="0.45">
      <c r="A762" s="1"/>
    </row>
    <row r="763" spans="1:1" ht="15.75" customHeight="1" x14ac:dyDescent="0.45">
      <c r="A763" s="1"/>
    </row>
    <row r="764" spans="1:1" ht="15.75" customHeight="1" x14ac:dyDescent="0.45">
      <c r="A764" s="1"/>
    </row>
    <row r="765" spans="1:1" ht="15.75" customHeight="1" x14ac:dyDescent="0.45">
      <c r="A765" s="1"/>
    </row>
    <row r="766" spans="1:1" ht="15.75" customHeight="1" x14ac:dyDescent="0.45">
      <c r="A766" s="1"/>
    </row>
    <row r="767" spans="1:1" ht="15.75" customHeight="1" x14ac:dyDescent="0.45">
      <c r="A767" s="1"/>
    </row>
    <row r="768" spans="1:1" ht="15.75" customHeight="1" x14ac:dyDescent="0.45">
      <c r="A768" s="1"/>
    </row>
    <row r="769" spans="1:1" ht="15.75" customHeight="1" x14ac:dyDescent="0.45">
      <c r="A769" s="1"/>
    </row>
    <row r="770" spans="1:1" ht="15.75" customHeight="1" x14ac:dyDescent="0.45">
      <c r="A770" s="1"/>
    </row>
    <row r="771" spans="1:1" ht="15.75" customHeight="1" x14ac:dyDescent="0.45">
      <c r="A771" s="1"/>
    </row>
    <row r="772" spans="1:1" ht="15.75" customHeight="1" x14ac:dyDescent="0.45">
      <c r="A772" s="1"/>
    </row>
    <row r="773" spans="1:1" ht="15.75" customHeight="1" x14ac:dyDescent="0.45">
      <c r="A773" s="1"/>
    </row>
    <row r="774" spans="1:1" ht="15.75" customHeight="1" x14ac:dyDescent="0.45">
      <c r="A774" s="1"/>
    </row>
    <row r="775" spans="1:1" ht="15.75" customHeight="1" x14ac:dyDescent="0.45">
      <c r="A775" s="1"/>
    </row>
    <row r="776" spans="1:1" ht="15.75" customHeight="1" x14ac:dyDescent="0.45">
      <c r="A776" s="1"/>
    </row>
    <row r="777" spans="1:1" ht="15.75" customHeight="1" x14ac:dyDescent="0.45">
      <c r="A777" s="1"/>
    </row>
    <row r="778" spans="1:1" ht="15.75" customHeight="1" x14ac:dyDescent="0.45">
      <c r="A778" s="1"/>
    </row>
    <row r="779" spans="1:1" ht="15.75" customHeight="1" x14ac:dyDescent="0.45">
      <c r="A779" s="1"/>
    </row>
    <row r="780" spans="1:1" ht="15.75" customHeight="1" x14ac:dyDescent="0.45">
      <c r="A780" s="1"/>
    </row>
    <row r="781" spans="1:1" ht="15.75" customHeight="1" x14ac:dyDescent="0.45">
      <c r="A781" s="1"/>
    </row>
    <row r="782" spans="1:1" ht="15.75" customHeight="1" x14ac:dyDescent="0.45">
      <c r="A782" s="1"/>
    </row>
    <row r="783" spans="1:1" ht="15.75" customHeight="1" x14ac:dyDescent="0.45">
      <c r="A783" s="1"/>
    </row>
    <row r="784" spans="1:1" ht="15.75" customHeight="1" x14ac:dyDescent="0.45">
      <c r="A784" s="1"/>
    </row>
    <row r="785" spans="1:1" ht="15.75" customHeight="1" x14ac:dyDescent="0.45">
      <c r="A785" s="1"/>
    </row>
    <row r="786" spans="1:1" ht="15.75" customHeight="1" x14ac:dyDescent="0.45">
      <c r="A786" s="1"/>
    </row>
    <row r="787" spans="1:1" ht="15.75" customHeight="1" x14ac:dyDescent="0.45">
      <c r="A787" s="1"/>
    </row>
    <row r="788" spans="1:1" ht="15.75" customHeight="1" x14ac:dyDescent="0.45">
      <c r="A788" s="1"/>
    </row>
    <row r="789" spans="1:1" ht="15.75" customHeight="1" x14ac:dyDescent="0.45">
      <c r="A789" s="1"/>
    </row>
    <row r="790" spans="1:1" ht="15.75" customHeight="1" x14ac:dyDescent="0.45">
      <c r="A790" s="1"/>
    </row>
    <row r="791" spans="1:1" ht="15.75" customHeight="1" x14ac:dyDescent="0.45">
      <c r="A791" s="1"/>
    </row>
    <row r="792" spans="1:1" ht="15.75" customHeight="1" x14ac:dyDescent="0.45">
      <c r="A792" s="1"/>
    </row>
    <row r="793" spans="1:1" ht="15.75" customHeight="1" x14ac:dyDescent="0.45">
      <c r="A793" s="1"/>
    </row>
    <row r="794" spans="1:1" ht="15.75" customHeight="1" x14ac:dyDescent="0.45">
      <c r="A794" s="1"/>
    </row>
    <row r="795" spans="1:1" ht="15.75" customHeight="1" x14ac:dyDescent="0.45">
      <c r="A795" s="1"/>
    </row>
    <row r="796" spans="1:1" ht="15.75" customHeight="1" x14ac:dyDescent="0.45">
      <c r="A796" s="1"/>
    </row>
    <row r="797" spans="1:1" ht="15.75" customHeight="1" x14ac:dyDescent="0.45">
      <c r="A797" s="1"/>
    </row>
    <row r="798" spans="1:1" ht="15.75" customHeight="1" x14ac:dyDescent="0.45">
      <c r="A798" s="1"/>
    </row>
    <row r="799" spans="1:1" ht="15.75" customHeight="1" x14ac:dyDescent="0.45">
      <c r="A799" s="1"/>
    </row>
    <row r="800" spans="1:1" ht="15.75" customHeight="1" x14ac:dyDescent="0.45">
      <c r="A800" s="1"/>
    </row>
    <row r="801" spans="1:1" ht="15.75" customHeight="1" x14ac:dyDescent="0.45">
      <c r="A801" s="1"/>
    </row>
    <row r="802" spans="1:1" ht="15.75" customHeight="1" x14ac:dyDescent="0.45">
      <c r="A802" s="1"/>
    </row>
    <row r="803" spans="1:1" ht="15.75" customHeight="1" x14ac:dyDescent="0.45">
      <c r="A803" s="1"/>
    </row>
    <row r="804" spans="1:1" ht="15.75" customHeight="1" x14ac:dyDescent="0.45">
      <c r="A804" s="1"/>
    </row>
    <row r="805" spans="1:1" ht="15.75" customHeight="1" x14ac:dyDescent="0.45">
      <c r="A805" s="1"/>
    </row>
    <row r="806" spans="1:1" ht="15.75" customHeight="1" x14ac:dyDescent="0.45">
      <c r="A806" s="1"/>
    </row>
    <row r="807" spans="1:1" ht="15.75" customHeight="1" x14ac:dyDescent="0.45">
      <c r="A807" s="1"/>
    </row>
    <row r="808" spans="1:1" ht="15.75" customHeight="1" x14ac:dyDescent="0.45">
      <c r="A808" s="1"/>
    </row>
    <row r="809" spans="1:1" ht="15.75" customHeight="1" x14ac:dyDescent="0.45">
      <c r="A809" s="1"/>
    </row>
    <row r="810" spans="1:1" ht="15.75" customHeight="1" x14ac:dyDescent="0.45">
      <c r="A810" s="1"/>
    </row>
    <row r="811" spans="1:1" ht="15.75" customHeight="1" x14ac:dyDescent="0.45">
      <c r="A811" s="1"/>
    </row>
    <row r="812" spans="1:1" ht="15.75" customHeight="1" x14ac:dyDescent="0.45">
      <c r="A812" s="1"/>
    </row>
    <row r="813" spans="1:1" ht="15.75" customHeight="1" x14ac:dyDescent="0.45">
      <c r="A813" s="1"/>
    </row>
    <row r="814" spans="1:1" ht="15.75" customHeight="1" x14ac:dyDescent="0.45">
      <c r="A814" s="1"/>
    </row>
    <row r="815" spans="1:1" ht="15.75" customHeight="1" x14ac:dyDescent="0.45">
      <c r="A815" s="1"/>
    </row>
    <row r="816" spans="1:1" ht="15.75" customHeight="1" x14ac:dyDescent="0.45">
      <c r="A816" s="1"/>
    </row>
    <row r="817" spans="1:1" ht="15.75" customHeight="1" x14ac:dyDescent="0.45">
      <c r="A817" s="1"/>
    </row>
    <row r="818" spans="1:1" ht="15.75" customHeight="1" x14ac:dyDescent="0.45">
      <c r="A818" s="1"/>
    </row>
    <row r="819" spans="1:1" ht="15.75" customHeight="1" x14ac:dyDescent="0.45">
      <c r="A819" s="1"/>
    </row>
    <row r="820" spans="1:1" ht="15.75" customHeight="1" x14ac:dyDescent="0.45">
      <c r="A820" s="1"/>
    </row>
    <row r="821" spans="1:1" ht="15.75" customHeight="1" x14ac:dyDescent="0.45">
      <c r="A821" s="1"/>
    </row>
    <row r="822" spans="1:1" ht="15.75" customHeight="1" x14ac:dyDescent="0.45">
      <c r="A822" s="1"/>
    </row>
    <row r="823" spans="1:1" ht="15.75" customHeight="1" x14ac:dyDescent="0.45">
      <c r="A823" s="1"/>
    </row>
    <row r="824" spans="1:1" ht="15.75" customHeight="1" x14ac:dyDescent="0.45">
      <c r="A824" s="1"/>
    </row>
    <row r="825" spans="1:1" ht="15.75" customHeight="1" x14ac:dyDescent="0.45">
      <c r="A825" s="1"/>
    </row>
    <row r="826" spans="1:1" ht="15.75" customHeight="1" x14ac:dyDescent="0.45">
      <c r="A826" s="1"/>
    </row>
    <row r="827" spans="1:1" ht="15.75" customHeight="1" x14ac:dyDescent="0.45">
      <c r="A827" s="1"/>
    </row>
    <row r="828" spans="1:1" ht="15.75" customHeight="1" x14ac:dyDescent="0.45">
      <c r="A828" s="1"/>
    </row>
    <row r="829" spans="1:1" ht="15.75" customHeight="1" x14ac:dyDescent="0.45">
      <c r="A829" s="1"/>
    </row>
    <row r="830" spans="1:1" ht="15.75" customHeight="1" x14ac:dyDescent="0.45">
      <c r="A830" s="1"/>
    </row>
    <row r="831" spans="1:1" ht="15.75" customHeight="1" x14ac:dyDescent="0.45">
      <c r="A831" s="1"/>
    </row>
    <row r="832" spans="1:1" ht="15.75" customHeight="1" x14ac:dyDescent="0.45">
      <c r="A832" s="1"/>
    </row>
    <row r="833" spans="1:1" ht="15.75" customHeight="1" x14ac:dyDescent="0.45">
      <c r="A833" s="1"/>
    </row>
    <row r="834" spans="1:1" ht="15.75" customHeight="1" x14ac:dyDescent="0.45">
      <c r="A834" s="1"/>
    </row>
    <row r="835" spans="1:1" ht="15.75" customHeight="1" x14ac:dyDescent="0.45">
      <c r="A835" s="1"/>
    </row>
    <row r="836" spans="1:1" ht="15.75" customHeight="1" x14ac:dyDescent="0.45">
      <c r="A836" s="1"/>
    </row>
    <row r="837" spans="1:1" ht="15.75" customHeight="1" x14ac:dyDescent="0.45">
      <c r="A837" s="1"/>
    </row>
    <row r="838" spans="1:1" ht="15.75" customHeight="1" x14ac:dyDescent="0.45">
      <c r="A838" s="1"/>
    </row>
    <row r="839" spans="1:1" ht="15.75" customHeight="1" x14ac:dyDescent="0.45">
      <c r="A839" s="1"/>
    </row>
    <row r="840" spans="1:1" ht="15.75" customHeight="1" x14ac:dyDescent="0.45">
      <c r="A840" s="1"/>
    </row>
    <row r="841" spans="1:1" ht="15.75" customHeight="1" x14ac:dyDescent="0.45">
      <c r="A841" s="1"/>
    </row>
    <row r="842" spans="1:1" ht="15.75" customHeight="1" x14ac:dyDescent="0.45">
      <c r="A842" s="1"/>
    </row>
    <row r="843" spans="1:1" ht="15.75" customHeight="1" x14ac:dyDescent="0.45">
      <c r="A843" s="1"/>
    </row>
    <row r="844" spans="1:1" ht="15.75" customHeight="1" x14ac:dyDescent="0.45">
      <c r="A844" s="1"/>
    </row>
    <row r="845" spans="1:1" ht="15.75" customHeight="1" x14ac:dyDescent="0.45">
      <c r="A845" s="1"/>
    </row>
    <row r="846" spans="1:1" ht="15.75" customHeight="1" x14ac:dyDescent="0.45">
      <c r="A846" s="1"/>
    </row>
    <row r="847" spans="1:1" ht="15.75" customHeight="1" x14ac:dyDescent="0.45">
      <c r="A847" s="1"/>
    </row>
    <row r="848" spans="1:1" ht="15.75" customHeight="1" x14ac:dyDescent="0.45">
      <c r="A848" s="1"/>
    </row>
    <row r="849" spans="1:1" ht="15.75" customHeight="1" x14ac:dyDescent="0.45">
      <c r="A849" s="1"/>
    </row>
    <row r="850" spans="1:1" ht="15.75" customHeight="1" x14ac:dyDescent="0.45">
      <c r="A850" s="1"/>
    </row>
    <row r="851" spans="1:1" ht="15.75" customHeight="1" x14ac:dyDescent="0.45">
      <c r="A851" s="1"/>
    </row>
    <row r="852" spans="1:1" ht="15.75" customHeight="1" x14ac:dyDescent="0.45">
      <c r="A852" s="1"/>
    </row>
    <row r="853" spans="1:1" ht="15.75" customHeight="1" x14ac:dyDescent="0.45">
      <c r="A853" s="1"/>
    </row>
    <row r="854" spans="1:1" ht="15.75" customHeight="1" x14ac:dyDescent="0.45">
      <c r="A854" s="1"/>
    </row>
    <row r="855" spans="1:1" ht="15.75" customHeight="1" x14ac:dyDescent="0.45">
      <c r="A855" s="1"/>
    </row>
    <row r="856" spans="1:1" ht="15.75" customHeight="1" x14ac:dyDescent="0.45">
      <c r="A856" s="1"/>
    </row>
    <row r="857" spans="1:1" ht="15.75" customHeight="1" x14ac:dyDescent="0.45">
      <c r="A857" s="1"/>
    </row>
    <row r="858" spans="1:1" ht="15.75" customHeight="1" x14ac:dyDescent="0.45">
      <c r="A858" s="1"/>
    </row>
    <row r="859" spans="1:1" ht="15.75" customHeight="1" x14ac:dyDescent="0.45">
      <c r="A859" s="1"/>
    </row>
    <row r="860" spans="1:1" ht="15.75" customHeight="1" x14ac:dyDescent="0.45">
      <c r="A860" s="1"/>
    </row>
    <row r="861" spans="1:1" ht="15.75" customHeight="1" x14ac:dyDescent="0.45">
      <c r="A861" s="1"/>
    </row>
    <row r="862" spans="1:1" ht="15.75" customHeight="1" x14ac:dyDescent="0.45">
      <c r="A862" s="1"/>
    </row>
    <row r="863" spans="1:1" ht="15.75" customHeight="1" x14ac:dyDescent="0.45">
      <c r="A863" s="1"/>
    </row>
    <row r="864" spans="1:1" ht="15.75" customHeight="1" x14ac:dyDescent="0.45">
      <c r="A864" s="1"/>
    </row>
    <row r="865" spans="1:1" ht="15.75" customHeight="1" x14ac:dyDescent="0.45">
      <c r="A865" s="1"/>
    </row>
    <row r="866" spans="1:1" ht="15.75" customHeight="1" x14ac:dyDescent="0.45">
      <c r="A866" s="1"/>
    </row>
    <row r="867" spans="1:1" ht="15.75" customHeight="1" x14ac:dyDescent="0.45">
      <c r="A867" s="1"/>
    </row>
    <row r="868" spans="1:1" ht="15.75" customHeight="1" x14ac:dyDescent="0.45">
      <c r="A868" s="1"/>
    </row>
    <row r="869" spans="1:1" ht="15.75" customHeight="1" x14ac:dyDescent="0.45">
      <c r="A869" s="1"/>
    </row>
    <row r="870" spans="1:1" ht="15.75" customHeight="1" x14ac:dyDescent="0.45">
      <c r="A870" s="1"/>
    </row>
    <row r="871" spans="1:1" ht="15.75" customHeight="1" x14ac:dyDescent="0.45">
      <c r="A871" s="1"/>
    </row>
    <row r="872" spans="1:1" ht="15.75" customHeight="1" x14ac:dyDescent="0.45">
      <c r="A872" s="1"/>
    </row>
    <row r="873" spans="1:1" ht="15.75" customHeight="1" x14ac:dyDescent="0.45">
      <c r="A873" s="1"/>
    </row>
    <row r="874" spans="1:1" ht="15.75" customHeight="1" x14ac:dyDescent="0.45">
      <c r="A874" s="1"/>
    </row>
    <row r="875" spans="1:1" ht="15.75" customHeight="1" x14ac:dyDescent="0.45">
      <c r="A875" s="1"/>
    </row>
    <row r="876" spans="1:1" ht="15.75" customHeight="1" x14ac:dyDescent="0.45">
      <c r="A876" s="1"/>
    </row>
    <row r="877" spans="1:1" ht="15.75" customHeight="1" x14ac:dyDescent="0.45">
      <c r="A877" s="1"/>
    </row>
    <row r="878" spans="1:1" ht="15.75" customHeight="1" x14ac:dyDescent="0.45">
      <c r="A878" s="1"/>
    </row>
    <row r="879" spans="1:1" ht="15.75" customHeight="1" x14ac:dyDescent="0.45">
      <c r="A879" s="1"/>
    </row>
    <row r="880" spans="1:1" ht="15.75" customHeight="1" x14ac:dyDescent="0.45">
      <c r="A880" s="1"/>
    </row>
    <row r="881" spans="1:1" ht="15.75" customHeight="1" x14ac:dyDescent="0.45">
      <c r="A881" s="1"/>
    </row>
    <row r="882" spans="1:1" ht="15.75" customHeight="1" x14ac:dyDescent="0.45">
      <c r="A882" s="1"/>
    </row>
    <row r="883" spans="1:1" ht="15.75" customHeight="1" x14ac:dyDescent="0.45">
      <c r="A883" s="1"/>
    </row>
    <row r="884" spans="1:1" ht="15.75" customHeight="1" x14ac:dyDescent="0.45">
      <c r="A884" s="1"/>
    </row>
    <row r="885" spans="1:1" ht="15.75" customHeight="1" x14ac:dyDescent="0.45">
      <c r="A885" s="1"/>
    </row>
    <row r="886" spans="1:1" ht="15.75" customHeight="1" x14ac:dyDescent="0.45">
      <c r="A886" s="1"/>
    </row>
    <row r="887" spans="1:1" ht="15.75" customHeight="1" x14ac:dyDescent="0.45">
      <c r="A887" s="1"/>
    </row>
    <row r="888" spans="1:1" ht="15.75" customHeight="1" x14ac:dyDescent="0.45">
      <c r="A888" s="1"/>
    </row>
    <row r="889" spans="1:1" ht="15.75" customHeight="1" x14ac:dyDescent="0.45">
      <c r="A889" s="1"/>
    </row>
    <row r="890" spans="1:1" ht="15.75" customHeight="1" x14ac:dyDescent="0.45">
      <c r="A890" s="1"/>
    </row>
    <row r="891" spans="1:1" ht="15.75" customHeight="1" x14ac:dyDescent="0.45">
      <c r="A891" s="1"/>
    </row>
    <row r="892" spans="1:1" ht="15.75" customHeight="1" x14ac:dyDescent="0.45">
      <c r="A892" s="1"/>
    </row>
    <row r="893" spans="1:1" ht="15.75" customHeight="1" x14ac:dyDescent="0.45">
      <c r="A893" s="1"/>
    </row>
    <row r="894" spans="1:1" ht="15.75" customHeight="1" x14ac:dyDescent="0.45">
      <c r="A894" s="1"/>
    </row>
    <row r="895" spans="1:1" ht="15.75" customHeight="1" x14ac:dyDescent="0.45">
      <c r="A895" s="1"/>
    </row>
    <row r="896" spans="1:1" ht="15.75" customHeight="1" x14ac:dyDescent="0.45">
      <c r="A896" s="1"/>
    </row>
    <row r="897" spans="1:1" ht="15.75" customHeight="1" x14ac:dyDescent="0.45">
      <c r="A897" s="1"/>
    </row>
    <row r="898" spans="1:1" ht="15.75" customHeight="1" x14ac:dyDescent="0.45">
      <c r="A898" s="1"/>
    </row>
    <row r="899" spans="1:1" ht="15.75" customHeight="1" x14ac:dyDescent="0.45">
      <c r="A899" s="1"/>
    </row>
    <row r="900" spans="1:1" ht="15.75" customHeight="1" x14ac:dyDescent="0.45">
      <c r="A900" s="1"/>
    </row>
    <row r="901" spans="1:1" ht="15.75" customHeight="1" x14ac:dyDescent="0.45">
      <c r="A901" s="1"/>
    </row>
    <row r="902" spans="1:1" ht="15.75" customHeight="1" x14ac:dyDescent="0.45">
      <c r="A902" s="1"/>
    </row>
    <row r="903" spans="1:1" ht="15.75" customHeight="1" x14ac:dyDescent="0.45">
      <c r="A903" s="1"/>
    </row>
    <row r="904" spans="1:1" ht="15.75" customHeight="1" x14ac:dyDescent="0.45">
      <c r="A904" s="1"/>
    </row>
    <row r="905" spans="1:1" ht="15.75" customHeight="1" x14ac:dyDescent="0.45">
      <c r="A905" s="1"/>
    </row>
    <row r="906" spans="1:1" ht="15.75" customHeight="1" x14ac:dyDescent="0.45">
      <c r="A906" s="1"/>
    </row>
    <row r="907" spans="1:1" ht="15.75" customHeight="1" x14ac:dyDescent="0.45">
      <c r="A907" s="1"/>
    </row>
    <row r="908" spans="1:1" ht="15.75" customHeight="1" x14ac:dyDescent="0.45">
      <c r="A908" s="1"/>
    </row>
    <row r="909" spans="1:1" ht="15.75" customHeight="1" x14ac:dyDescent="0.45">
      <c r="A909" s="1"/>
    </row>
    <row r="910" spans="1:1" ht="15.75" customHeight="1" x14ac:dyDescent="0.45">
      <c r="A910" s="1"/>
    </row>
    <row r="911" spans="1:1" ht="15.75" customHeight="1" x14ac:dyDescent="0.45">
      <c r="A911" s="1"/>
    </row>
    <row r="912" spans="1:1" ht="15.75" customHeight="1" x14ac:dyDescent="0.45">
      <c r="A912" s="1"/>
    </row>
    <row r="913" spans="1:1" ht="15.75" customHeight="1" x14ac:dyDescent="0.45">
      <c r="A913" s="1"/>
    </row>
    <row r="914" spans="1:1" ht="15.75" customHeight="1" x14ac:dyDescent="0.45">
      <c r="A914" s="1"/>
    </row>
    <row r="915" spans="1:1" ht="15.75" customHeight="1" x14ac:dyDescent="0.45">
      <c r="A915" s="1"/>
    </row>
    <row r="916" spans="1:1" ht="15.75" customHeight="1" x14ac:dyDescent="0.45">
      <c r="A916" s="1"/>
    </row>
    <row r="917" spans="1:1" ht="15.75" customHeight="1" x14ac:dyDescent="0.45">
      <c r="A917" s="1"/>
    </row>
    <row r="918" spans="1:1" ht="15.75" customHeight="1" x14ac:dyDescent="0.45">
      <c r="A918" s="1"/>
    </row>
    <row r="919" spans="1:1" ht="15.75" customHeight="1" x14ac:dyDescent="0.45">
      <c r="A919" s="1"/>
    </row>
    <row r="920" spans="1:1" ht="15.75" customHeight="1" x14ac:dyDescent="0.45">
      <c r="A920" s="1"/>
    </row>
    <row r="921" spans="1:1" ht="15.75" customHeight="1" x14ac:dyDescent="0.45">
      <c r="A921" s="1"/>
    </row>
    <row r="922" spans="1:1" ht="15.75" customHeight="1" x14ac:dyDescent="0.45"/>
    <row r="923" spans="1:1" ht="15.75" customHeight="1" x14ac:dyDescent="0.45"/>
    <row r="924" spans="1:1" ht="15.75" customHeight="1" x14ac:dyDescent="0.45"/>
    <row r="925" spans="1:1" ht="15.75" customHeight="1" x14ac:dyDescent="0.45"/>
    <row r="926" spans="1:1" ht="15.75" customHeight="1" x14ac:dyDescent="0.45"/>
    <row r="927" spans="1:1" ht="15.75" customHeight="1" x14ac:dyDescent="0.45"/>
    <row r="928" spans="1:1"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75693-FCA7-F445-B8F6-DAC03BB55D5B}">
  <sheetPr codeName="Taxonomy_map"/>
  <dimension ref="A1:B171"/>
  <sheetViews>
    <sheetView zoomScaleNormal="100" workbookViewId="0">
      <selection activeCell="A2" sqref="A2"/>
    </sheetView>
  </sheetViews>
  <sheetFormatPr defaultColWidth="10.73046875" defaultRowHeight="14.25" x14ac:dyDescent="0.45"/>
  <cols>
    <col min="1" max="2" width="63.46484375" style="8" bestFit="1" customWidth="1"/>
    <col min="3" max="16384" width="10.73046875" style="8"/>
  </cols>
  <sheetData>
    <row r="1" spans="1:2" x14ac:dyDescent="0.45">
      <c r="A1" s="8" t="s">
        <v>411</v>
      </c>
      <c r="B1" s="8" t="s">
        <v>412</v>
      </c>
    </row>
    <row r="2" spans="1:2" x14ac:dyDescent="0.45">
      <c r="A2" s="8" t="s">
        <v>331</v>
      </c>
      <c r="B2" s="8" t="s">
        <v>331</v>
      </c>
    </row>
    <row r="3" spans="1:2" x14ac:dyDescent="0.45">
      <c r="A3" s="8" t="s">
        <v>328</v>
      </c>
      <c r="B3" s="8" t="s">
        <v>328</v>
      </c>
    </row>
    <row r="4" spans="1:2" x14ac:dyDescent="0.45">
      <c r="A4" s="8" t="s">
        <v>329</v>
      </c>
      <c r="B4" s="8" t="s">
        <v>329</v>
      </c>
    </row>
    <row r="5" spans="1:2" x14ac:dyDescent="0.45">
      <c r="A5" s="8" t="s">
        <v>316</v>
      </c>
      <c r="B5" s="8" t="s">
        <v>316</v>
      </c>
    </row>
    <row r="6" spans="1:2" x14ac:dyDescent="0.45">
      <c r="A6" s="8" t="s">
        <v>168</v>
      </c>
      <c r="B6" s="8" t="s">
        <v>168</v>
      </c>
    </row>
    <row r="7" spans="1:2" x14ac:dyDescent="0.45">
      <c r="A7" s="8" t="s">
        <v>169</v>
      </c>
      <c r="B7" s="8" t="s">
        <v>169</v>
      </c>
    </row>
    <row r="8" spans="1:2" x14ac:dyDescent="0.45">
      <c r="A8" s="8" t="s">
        <v>305</v>
      </c>
      <c r="B8" s="8" t="s">
        <v>305</v>
      </c>
    </row>
    <row r="9" spans="1:2" x14ac:dyDescent="0.45">
      <c r="A9" s="8" t="s">
        <v>170</v>
      </c>
      <c r="B9" s="8" t="s">
        <v>170</v>
      </c>
    </row>
    <row r="10" spans="1:2" x14ac:dyDescent="0.45">
      <c r="A10" s="8" t="s">
        <v>171</v>
      </c>
      <c r="B10" s="8" t="s">
        <v>171</v>
      </c>
    </row>
    <row r="11" spans="1:2" x14ac:dyDescent="0.45">
      <c r="A11" s="8" t="s">
        <v>8</v>
      </c>
      <c r="B11" s="8" t="s">
        <v>8</v>
      </c>
    </row>
    <row r="12" spans="1:2" x14ac:dyDescent="0.45">
      <c r="A12" s="8" t="s">
        <v>172</v>
      </c>
      <c r="B12" s="8" t="s">
        <v>172</v>
      </c>
    </row>
    <row r="13" spans="1:2" x14ac:dyDescent="0.45">
      <c r="A13" s="8" t="s">
        <v>299</v>
      </c>
      <c r="B13" s="8" t="s">
        <v>299</v>
      </c>
    </row>
    <row r="14" spans="1:2" x14ac:dyDescent="0.45">
      <c r="A14" s="8" t="s">
        <v>299</v>
      </c>
      <c r="B14" s="8" t="s">
        <v>299</v>
      </c>
    </row>
    <row r="15" spans="1:2" x14ac:dyDescent="0.45">
      <c r="A15" s="8" t="s">
        <v>173</v>
      </c>
      <c r="B15" s="8" t="s">
        <v>173</v>
      </c>
    </row>
    <row r="16" spans="1:2" x14ac:dyDescent="0.45">
      <c r="A16" s="8" t="s">
        <v>311</v>
      </c>
      <c r="B16" s="8" t="s">
        <v>311</v>
      </c>
    </row>
    <row r="17" spans="1:2" x14ac:dyDescent="0.45">
      <c r="A17" s="8" t="s">
        <v>317</v>
      </c>
      <c r="B17" s="8" t="s">
        <v>317</v>
      </c>
    </row>
    <row r="18" spans="1:2" x14ac:dyDescent="0.45">
      <c r="A18" s="8" t="s">
        <v>174</v>
      </c>
      <c r="B18" s="8" t="s">
        <v>174</v>
      </c>
    </row>
    <row r="19" spans="1:2" x14ac:dyDescent="0.45">
      <c r="A19" s="8" t="s">
        <v>175</v>
      </c>
      <c r="B19" s="8" t="s">
        <v>175</v>
      </c>
    </row>
    <row r="20" spans="1:2" x14ac:dyDescent="0.45">
      <c r="A20" s="8" t="s">
        <v>176</v>
      </c>
      <c r="B20" s="8" t="s">
        <v>176</v>
      </c>
    </row>
    <row r="21" spans="1:2" x14ac:dyDescent="0.45">
      <c r="A21" s="8" t="s">
        <v>342</v>
      </c>
      <c r="B21" s="8" t="s">
        <v>342</v>
      </c>
    </row>
    <row r="22" spans="1:2" x14ac:dyDescent="0.45">
      <c r="A22" s="8" t="s">
        <v>348</v>
      </c>
      <c r="B22" s="8" t="s">
        <v>348</v>
      </c>
    </row>
    <row r="23" spans="1:2" x14ac:dyDescent="0.45">
      <c r="A23" s="8" t="s">
        <v>349</v>
      </c>
      <c r="B23" s="8" t="s">
        <v>349</v>
      </c>
    </row>
    <row r="24" spans="1:2" x14ac:dyDescent="0.45">
      <c r="A24" s="8" t="s">
        <v>350</v>
      </c>
      <c r="B24" s="8" t="s">
        <v>350</v>
      </c>
    </row>
    <row r="25" spans="1:2" x14ac:dyDescent="0.45">
      <c r="A25" s="8" t="s">
        <v>351</v>
      </c>
      <c r="B25" s="8" t="s">
        <v>351</v>
      </c>
    </row>
    <row r="26" spans="1:2" x14ac:dyDescent="0.45">
      <c r="A26" s="8" t="s">
        <v>352</v>
      </c>
      <c r="B26" s="8" t="s">
        <v>352</v>
      </c>
    </row>
    <row r="27" spans="1:2" x14ac:dyDescent="0.45">
      <c r="A27" s="8" t="s">
        <v>177</v>
      </c>
      <c r="B27" s="8" t="s">
        <v>177</v>
      </c>
    </row>
    <row r="28" spans="1:2" x14ac:dyDescent="0.45">
      <c r="A28" s="8" t="s">
        <v>282</v>
      </c>
      <c r="B28" s="8" t="s">
        <v>282</v>
      </c>
    </row>
    <row r="29" spans="1:2" x14ac:dyDescent="0.45">
      <c r="A29" s="8" t="s">
        <v>335</v>
      </c>
      <c r="B29" s="8" t="s">
        <v>335</v>
      </c>
    </row>
    <row r="30" spans="1:2" x14ac:dyDescent="0.45">
      <c r="A30" s="8" t="s">
        <v>337</v>
      </c>
      <c r="B30" s="8" t="s">
        <v>337</v>
      </c>
    </row>
    <row r="31" spans="1:2" x14ac:dyDescent="0.45">
      <c r="A31" s="8" t="s">
        <v>178</v>
      </c>
      <c r="B31" s="8" t="s">
        <v>178</v>
      </c>
    </row>
    <row r="32" spans="1:2" x14ac:dyDescent="0.45">
      <c r="A32" s="8" t="s">
        <v>325</v>
      </c>
      <c r="B32" s="8" t="s">
        <v>325</v>
      </c>
    </row>
    <row r="33" spans="1:2" x14ac:dyDescent="0.45">
      <c r="A33" s="8" t="s">
        <v>341</v>
      </c>
      <c r="B33" s="8" t="s">
        <v>341</v>
      </c>
    </row>
    <row r="34" spans="1:2" x14ac:dyDescent="0.45">
      <c r="A34" s="8" t="s">
        <v>346</v>
      </c>
      <c r="B34" s="8" t="s">
        <v>346</v>
      </c>
    </row>
    <row r="35" spans="1:2" x14ac:dyDescent="0.45">
      <c r="A35" s="8" t="s">
        <v>50</v>
      </c>
      <c r="B35" s="8" t="s">
        <v>50</v>
      </c>
    </row>
    <row r="36" spans="1:2" x14ac:dyDescent="0.45">
      <c r="A36" s="8" t="s">
        <v>13</v>
      </c>
      <c r="B36" s="8" t="s">
        <v>13</v>
      </c>
    </row>
    <row r="37" spans="1:2" x14ac:dyDescent="0.45">
      <c r="A37" s="8" t="s">
        <v>245</v>
      </c>
      <c r="B37" s="8" t="s">
        <v>245</v>
      </c>
    </row>
    <row r="38" spans="1:2" x14ac:dyDescent="0.45">
      <c r="A38" s="8" t="s">
        <v>179</v>
      </c>
      <c r="B38" s="8" t="s">
        <v>179</v>
      </c>
    </row>
    <row r="39" spans="1:2" x14ac:dyDescent="0.45">
      <c r="A39" s="8" t="s">
        <v>181</v>
      </c>
      <c r="B39" s="8" t="s">
        <v>181</v>
      </c>
    </row>
    <row r="40" spans="1:2" x14ac:dyDescent="0.45">
      <c r="A40" s="8" t="s">
        <v>182</v>
      </c>
      <c r="B40" s="8" t="s">
        <v>182</v>
      </c>
    </row>
    <row r="41" spans="1:2" x14ac:dyDescent="0.45">
      <c r="A41" s="8" t="s">
        <v>183</v>
      </c>
      <c r="B41" s="8" t="s">
        <v>183</v>
      </c>
    </row>
    <row r="42" spans="1:2" x14ac:dyDescent="0.45">
      <c r="A42" s="8" t="s">
        <v>298</v>
      </c>
      <c r="B42" s="8" t="s">
        <v>298</v>
      </c>
    </row>
    <row r="43" spans="1:2" x14ac:dyDescent="0.45">
      <c r="A43" s="8" t="s">
        <v>298</v>
      </c>
      <c r="B43" s="8" t="s">
        <v>298</v>
      </c>
    </row>
    <row r="44" spans="1:2" x14ac:dyDescent="0.45">
      <c r="A44" s="8" t="s">
        <v>66</v>
      </c>
      <c r="B44" s="8" t="s">
        <v>66</v>
      </c>
    </row>
    <row r="45" spans="1:2" x14ac:dyDescent="0.45">
      <c r="A45" s="8" t="s">
        <v>286</v>
      </c>
      <c r="B45" s="8" t="s">
        <v>286</v>
      </c>
    </row>
    <row r="46" spans="1:2" x14ac:dyDescent="0.45">
      <c r="A46" s="8" t="s">
        <v>355</v>
      </c>
      <c r="B46" s="8" t="s">
        <v>355</v>
      </c>
    </row>
    <row r="47" spans="1:2" x14ac:dyDescent="0.45">
      <c r="A47" s="8" t="s">
        <v>356</v>
      </c>
      <c r="B47" s="8" t="s">
        <v>356</v>
      </c>
    </row>
    <row r="48" spans="1:2" x14ac:dyDescent="0.45">
      <c r="A48" s="8" t="s">
        <v>306</v>
      </c>
      <c r="B48" s="8" t="s">
        <v>306</v>
      </c>
    </row>
    <row r="49" spans="1:2" x14ac:dyDescent="0.45">
      <c r="A49" s="8" t="s">
        <v>312</v>
      </c>
      <c r="B49" s="8" t="s">
        <v>312</v>
      </c>
    </row>
    <row r="50" spans="1:2" x14ac:dyDescent="0.45">
      <c r="A50" s="8" t="s">
        <v>330</v>
      </c>
      <c r="B50" s="8" t="s">
        <v>330</v>
      </c>
    </row>
    <row r="51" spans="1:2" x14ac:dyDescent="0.45">
      <c r="A51" s="8" t="s">
        <v>70</v>
      </c>
      <c r="B51" s="8" t="s">
        <v>70</v>
      </c>
    </row>
    <row r="52" spans="1:2" x14ac:dyDescent="0.45">
      <c r="A52" s="8" t="s">
        <v>287</v>
      </c>
      <c r="B52" s="8" t="s">
        <v>287</v>
      </c>
    </row>
    <row r="53" spans="1:2" x14ac:dyDescent="0.45">
      <c r="A53" s="8" t="s">
        <v>357</v>
      </c>
      <c r="B53" s="8" t="s">
        <v>357</v>
      </c>
    </row>
    <row r="54" spans="1:2" x14ac:dyDescent="0.45">
      <c r="A54" s="8" t="s">
        <v>185</v>
      </c>
      <c r="B54" s="8" t="s">
        <v>185</v>
      </c>
    </row>
    <row r="55" spans="1:2" x14ac:dyDescent="0.45">
      <c r="A55" s="8" t="s">
        <v>302</v>
      </c>
      <c r="B55" s="8" t="s">
        <v>302</v>
      </c>
    </row>
    <row r="56" spans="1:2" x14ac:dyDescent="0.45">
      <c r="A56" s="8" t="s">
        <v>343</v>
      </c>
      <c r="B56" s="8" t="s">
        <v>343</v>
      </c>
    </row>
    <row r="57" spans="1:2" x14ac:dyDescent="0.45">
      <c r="A57" s="8" t="s">
        <v>344</v>
      </c>
      <c r="B57" s="8" t="s">
        <v>344</v>
      </c>
    </row>
    <row r="58" spans="1:2" x14ac:dyDescent="0.45">
      <c r="A58" s="8" t="s">
        <v>345</v>
      </c>
      <c r="B58" s="8" t="s">
        <v>345</v>
      </c>
    </row>
    <row r="59" spans="1:2" x14ac:dyDescent="0.45">
      <c r="A59" s="8" t="s">
        <v>250</v>
      </c>
      <c r="B59" s="8" t="s">
        <v>250</v>
      </c>
    </row>
    <row r="60" spans="1:2" x14ac:dyDescent="0.45">
      <c r="A60" s="8" t="s">
        <v>186</v>
      </c>
      <c r="B60" s="8" t="s">
        <v>186</v>
      </c>
    </row>
    <row r="61" spans="1:2" x14ac:dyDescent="0.45">
      <c r="A61" s="8" t="s">
        <v>80</v>
      </c>
      <c r="B61" s="8" t="s">
        <v>80</v>
      </c>
    </row>
    <row r="62" spans="1:2" x14ac:dyDescent="0.45">
      <c r="A62" s="8" t="s">
        <v>288</v>
      </c>
      <c r="B62" s="8" t="s">
        <v>288</v>
      </c>
    </row>
    <row r="63" spans="1:2" x14ac:dyDescent="0.45">
      <c r="A63" s="8" t="s">
        <v>187</v>
      </c>
      <c r="B63" s="8" t="s">
        <v>187</v>
      </c>
    </row>
    <row r="64" spans="1:2" x14ac:dyDescent="0.45">
      <c r="A64" s="8" t="s">
        <v>188</v>
      </c>
      <c r="B64" s="8" t="s">
        <v>188</v>
      </c>
    </row>
    <row r="65" spans="1:2" x14ac:dyDescent="0.45">
      <c r="A65" s="8" t="s">
        <v>340</v>
      </c>
      <c r="B65" s="8" t="s">
        <v>25</v>
      </c>
    </row>
    <row r="66" spans="1:2" x14ac:dyDescent="0.45">
      <c r="A66" s="8" t="s">
        <v>189</v>
      </c>
      <c r="B66" s="8" t="s">
        <v>189</v>
      </c>
    </row>
    <row r="67" spans="1:2" x14ac:dyDescent="0.45">
      <c r="A67" s="8" t="s">
        <v>190</v>
      </c>
      <c r="B67" s="8" t="s">
        <v>27</v>
      </c>
    </row>
    <row r="68" spans="1:2" x14ac:dyDescent="0.45">
      <c r="A68" s="8" t="s">
        <v>191</v>
      </c>
      <c r="B68" s="8" t="s">
        <v>191</v>
      </c>
    </row>
    <row r="69" spans="1:2" x14ac:dyDescent="0.45">
      <c r="A69" s="8" t="s">
        <v>296</v>
      </c>
      <c r="B69" s="8" t="s">
        <v>296</v>
      </c>
    </row>
    <row r="70" spans="1:2" x14ac:dyDescent="0.45">
      <c r="A70" s="8" t="s">
        <v>295</v>
      </c>
      <c r="B70" s="8" t="s">
        <v>295</v>
      </c>
    </row>
    <row r="71" spans="1:2" x14ac:dyDescent="0.45">
      <c r="A71" s="8" t="s">
        <v>313</v>
      </c>
      <c r="B71" s="8" t="s">
        <v>313</v>
      </c>
    </row>
    <row r="72" spans="1:2" x14ac:dyDescent="0.45">
      <c r="A72" s="8" t="s">
        <v>290</v>
      </c>
      <c r="B72" s="8" t="s">
        <v>290</v>
      </c>
    </row>
    <row r="73" spans="1:2" x14ac:dyDescent="0.45">
      <c r="A73" s="8" t="s">
        <v>283</v>
      </c>
      <c r="B73" s="8" t="s">
        <v>283</v>
      </c>
    </row>
    <row r="74" spans="1:2" x14ac:dyDescent="0.45">
      <c r="A74" s="8" t="s">
        <v>353</v>
      </c>
      <c r="B74" s="8" t="s">
        <v>353</v>
      </c>
    </row>
    <row r="75" spans="1:2" x14ac:dyDescent="0.45">
      <c r="A75" s="8" t="s">
        <v>192</v>
      </c>
      <c r="B75" s="8" t="s">
        <v>192</v>
      </c>
    </row>
    <row r="76" spans="1:2" x14ac:dyDescent="0.45">
      <c r="A76" s="8" t="s">
        <v>297</v>
      </c>
      <c r="B76" s="8" t="s">
        <v>297</v>
      </c>
    </row>
    <row r="77" spans="1:2" x14ac:dyDescent="0.45">
      <c r="A77" s="8" t="s">
        <v>193</v>
      </c>
      <c r="B77" s="8" t="s">
        <v>193</v>
      </c>
    </row>
    <row r="78" spans="1:2" x14ac:dyDescent="0.45">
      <c r="A78" s="8" t="s">
        <v>332</v>
      </c>
      <c r="B78" s="8" t="s">
        <v>332</v>
      </c>
    </row>
    <row r="79" spans="1:2" x14ac:dyDescent="0.45">
      <c r="A79" s="8" t="s">
        <v>194</v>
      </c>
      <c r="B79" s="8" t="s">
        <v>194</v>
      </c>
    </row>
    <row r="80" spans="1:2" x14ac:dyDescent="0.45">
      <c r="A80" s="8" t="s">
        <v>98</v>
      </c>
      <c r="B80" s="8" t="s">
        <v>98</v>
      </c>
    </row>
    <row r="81" spans="1:2" x14ac:dyDescent="0.45">
      <c r="A81" s="8" t="s">
        <v>300</v>
      </c>
      <c r="B81" s="8" t="s">
        <v>300</v>
      </c>
    </row>
    <row r="82" spans="1:2" x14ac:dyDescent="0.45">
      <c r="A82" s="8" t="s">
        <v>195</v>
      </c>
      <c r="B82" s="8" t="s">
        <v>195</v>
      </c>
    </row>
    <row r="83" spans="1:2" x14ac:dyDescent="0.45">
      <c r="A83" s="8" t="s">
        <v>29</v>
      </c>
      <c r="B83" s="8" t="s">
        <v>29</v>
      </c>
    </row>
    <row r="84" spans="1:2" x14ac:dyDescent="0.45">
      <c r="A84" s="8" t="s">
        <v>301</v>
      </c>
      <c r="B84" s="8" t="s">
        <v>301</v>
      </c>
    </row>
    <row r="85" spans="1:2" x14ac:dyDescent="0.45">
      <c r="A85" s="8" t="s">
        <v>301</v>
      </c>
      <c r="B85" s="8" t="s">
        <v>301</v>
      </c>
    </row>
    <row r="86" spans="1:2" x14ac:dyDescent="0.45">
      <c r="A86" s="8" t="s">
        <v>101</v>
      </c>
      <c r="B86" s="8" t="s">
        <v>101</v>
      </c>
    </row>
    <row r="87" spans="1:2" x14ac:dyDescent="0.45">
      <c r="A87" s="8" t="s">
        <v>103</v>
      </c>
      <c r="B87" s="8" t="s">
        <v>103</v>
      </c>
    </row>
    <row r="88" spans="1:2" x14ac:dyDescent="0.45">
      <c r="A88" s="8" t="s">
        <v>105</v>
      </c>
      <c r="B88" s="8" t="s">
        <v>105</v>
      </c>
    </row>
    <row r="89" spans="1:2" x14ac:dyDescent="0.45">
      <c r="A89" s="8" t="s">
        <v>196</v>
      </c>
      <c r="B89" s="8" t="s">
        <v>196</v>
      </c>
    </row>
    <row r="90" spans="1:2" x14ac:dyDescent="0.45">
      <c r="A90" s="8" t="s">
        <v>333</v>
      </c>
      <c r="B90" s="8" t="s">
        <v>333</v>
      </c>
    </row>
    <row r="91" spans="1:2" x14ac:dyDescent="0.45">
      <c r="A91" s="8" t="s">
        <v>197</v>
      </c>
      <c r="B91" s="8" t="s">
        <v>197</v>
      </c>
    </row>
    <row r="92" spans="1:2" x14ac:dyDescent="0.45">
      <c r="A92" s="8" t="s">
        <v>198</v>
      </c>
      <c r="B92" s="8" t="s">
        <v>198</v>
      </c>
    </row>
    <row r="93" spans="1:2" x14ac:dyDescent="0.45">
      <c r="A93" s="8" t="s">
        <v>304</v>
      </c>
      <c r="B93" s="8" t="s">
        <v>304</v>
      </c>
    </row>
    <row r="94" spans="1:2" x14ac:dyDescent="0.45">
      <c r="A94" s="8" t="s">
        <v>35</v>
      </c>
      <c r="B94" s="8" t="s">
        <v>35</v>
      </c>
    </row>
    <row r="95" spans="1:2" x14ac:dyDescent="0.45">
      <c r="A95" s="8" t="s">
        <v>199</v>
      </c>
      <c r="B95" s="8" t="s">
        <v>199</v>
      </c>
    </row>
    <row r="96" spans="1:2" x14ac:dyDescent="0.45">
      <c r="A96" s="8" t="s">
        <v>200</v>
      </c>
      <c r="B96" s="8" t="s">
        <v>200</v>
      </c>
    </row>
    <row r="97" spans="1:2" x14ac:dyDescent="0.45">
      <c r="A97" s="8" t="s">
        <v>307</v>
      </c>
      <c r="B97" s="8" t="s">
        <v>307</v>
      </c>
    </row>
    <row r="98" spans="1:2" x14ac:dyDescent="0.45">
      <c r="A98" s="8" t="s">
        <v>308</v>
      </c>
      <c r="B98" s="8" t="s">
        <v>308</v>
      </c>
    </row>
    <row r="99" spans="1:2" x14ac:dyDescent="0.45">
      <c r="A99" s="8" t="s">
        <v>358</v>
      </c>
      <c r="B99" s="8" t="s">
        <v>358</v>
      </c>
    </row>
    <row r="100" spans="1:2" x14ac:dyDescent="0.45">
      <c r="A100" s="8" t="s">
        <v>310</v>
      </c>
      <c r="B100" s="8" t="s">
        <v>310</v>
      </c>
    </row>
    <row r="101" spans="1:2" x14ac:dyDescent="0.45">
      <c r="A101" s="8" t="s">
        <v>281</v>
      </c>
      <c r="B101" s="8" t="s">
        <v>281</v>
      </c>
    </row>
    <row r="102" spans="1:2" x14ac:dyDescent="0.45">
      <c r="A102" s="8" t="s">
        <v>202</v>
      </c>
      <c r="B102" s="8" t="s">
        <v>202</v>
      </c>
    </row>
    <row r="103" spans="1:2" x14ac:dyDescent="0.45">
      <c r="A103" s="8" t="s">
        <v>203</v>
      </c>
      <c r="B103" s="8" t="s">
        <v>203</v>
      </c>
    </row>
    <row r="104" spans="1:2" x14ac:dyDescent="0.45">
      <c r="A104" s="8" t="s">
        <v>204</v>
      </c>
      <c r="B104" s="8" t="s">
        <v>204</v>
      </c>
    </row>
    <row r="105" spans="1:2" x14ac:dyDescent="0.45">
      <c r="A105" s="8" t="s">
        <v>205</v>
      </c>
      <c r="B105" s="8" t="s">
        <v>205</v>
      </c>
    </row>
    <row r="106" spans="1:2" x14ac:dyDescent="0.45">
      <c r="A106" s="8" t="s">
        <v>284</v>
      </c>
      <c r="B106" s="8" t="s">
        <v>284</v>
      </c>
    </row>
    <row r="107" spans="1:2" x14ac:dyDescent="0.45">
      <c r="A107" s="8" t="s">
        <v>284</v>
      </c>
      <c r="B107" s="8" t="s">
        <v>284</v>
      </c>
    </row>
    <row r="108" spans="1:2" x14ac:dyDescent="0.45">
      <c r="A108" s="8" t="s">
        <v>206</v>
      </c>
      <c r="B108" s="8" t="s">
        <v>206</v>
      </c>
    </row>
    <row r="109" spans="1:2" x14ac:dyDescent="0.45">
      <c r="A109" s="8" t="s">
        <v>207</v>
      </c>
      <c r="B109" s="8" t="s">
        <v>207</v>
      </c>
    </row>
    <row r="110" spans="1:2" x14ac:dyDescent="0.45">
      <c r="A110" s="8" t="s">
        <v>318</v>
      </c>
      <c r="B110" s="8" t="s">
        <v>121</v>
      </c>
    </row>
    <row r="111" spans="1:2" x14ac:dyDescent="0.45">
      <c r="A111" s="8" t="s">
        <v>369</v>
      </c>
      <c r="B111" s="8" t="s">
        <v>123</v>
      </c>
    </row>
    <row r="112" spans="1:2" x14ac:dyDescent="0.45">
      <c r="A112" s="8" t="s">
        <v>267</v>
      </c>
      <c r="B112" s="8" t="s">
        <v>267</v>
      </c>
    </row>
    <row r="113" spans="1:2" x14ac:dyDescent="0.45">
      <c r="A113" s="8" t="s">
        <v>309</v>
      </c>
      <c r="B113" s="8" t="s">
        <v>309</v>
      </c>
    </row>
    <row r="114" spans="1:2" x14ac:dyDescent="0.45">
      <c r="A114" s="8" t="s">
        <v>208</v>
      </c>
      <c r="B114" s="8" t="s">
        <v>208</v>
      </c>
    </row>
    <row r="115" spans="1:2" x14ac:dyDescent="0.45">
      <c r="A115" s="8" t="s">
        <v>314</v>
      </c>
      <c r="B115" s="8" t="s">
        <v>314</v>
      </c>
    </row>
    <row r="116" spans="1:2" x14ac:dyDescent="0.45">
      <c r="A116" s="8" t="s">
        <v>209</v>
      </c>
      <c r="B116" s="8" t="s">
        <v>209</v>
      </c>
    </row>
    <row r="117" spans="1:2" x14ac:dyDescent="0.45">
      <c r="A117" s="8" t="s">
        <v>210</v>
      </c>
      <c r="B117" s="8" t="s">
        <v>210</v>
      </c>
    </row>
    <row r="118" spans="1:2" x14ac:dyDescent="0.45">
      <c r="A118" s="8" t="s">
        <v>323</v>
      </c>
      <c r="B118" s="8" t="s">
        <v>323</v>
      </c>
    </row>
    <row r="119" spans="1:2" x14ac:dyDescent="0.45">
      <c r="A119" s="8" t="s">
        <v>319</v>
      </c>
      <c r="B119" s="8" t="s">
        <v>127</v>
      </c>
    </row>
    <row r="120" spans="1:2" x14ac:dyDescent="0.45">
      <c r="A120" s="8" t="s">
        <v>285</v>
      </c>
      <c r="B120" s="8" t="s">
        <v>285</v>
      </c>
    </row>
    <row r="121" spans="1:2" x14ac:dyDescent="0.45">
      <c r="A121" s="8" t="s">
        <v>320</v>
      </c>
      <c r="B121" s="8" t="s">
        <v>320</v>
      </c>
    </row>
    <row r="122" spans="1:2" x14ac:dyDescent="0.45">
      <c r="A122" s="8" t="s">
        <v>211</v>
      </c>
      <c r="B122" s="8" t="s">
        <v>211</v>
      </c>
    </row>
    <row r="123" spans="1:2" x14ac:dyDescent="0.45">
      <c r="A123" s="8" t="s">
        <v>321</v>
      </c>
      <c r="B123" s="8" t="s">
        <v>321</v>
      </c>
    </row>
    <row r="124" spans="1:2" x14ac:dyDescent="0.45">
      <c r="A124" s="8" t="s">
        <v>212</v>
      </c>
      <c r="B124" s="8" t="s">
        <v>212</v>
      </c>
    </row>
    <row r="125" spans="1:2" x14ac:dyDescent="0.45">
      <c r="A125" s="8" t="s">
        <v>49</v>
      </c>
      <c r="B125" s="8" t="s">
        <v>49</v>
      </c>
    </row>
    <row r="126" spans="1:2" x14ac:dyDescent="0.45">
      <c r="A126" s="8" t="s">
        <v>213</v>
      </c>
      <c r="B126" s="8" t="s">
        <v>213</v>
      </c>
    </row>
    <row r="127" spans="1:2" x14ac:dyDescent="0.45">
      <c r="A127" s="8" t="s">
        <v>214</v>
      </c>
      <c r="B127" s="8" t="s">
        <v>214</v>
      </c>
    </row>
    <row r="128" spans="1:2" x14ac:dyDescent="0.45">
      <c r="A128" s="8" t="s">
        <v>324</v>
      </c>
      <c r="B128" s="8" t="s">
        <v>58</v>
      </c>
    </row>
    <row r="129" spans="1:2" x14ac:dyDescent="0.45">
      <c r="A129" s="8" t="s">
        <v>326</v>
      </c>
      <c r="B129" s="8" t="s">
        <v>326</v>
      </c>
    </row>
    <row r="130" spans="1:2" x14ac:dyDescent="0.45">
      <c r="A130" s="8" t="s">
        <v>60</v>
      </c>
      <c r="B130" s="8" t="s">
        <v>60</v>
      </c>
    </row>
    <row r="131" spans="1:2" x14ac:dyDescent="0.45">
      <c r="A131" s="8" t="s">
        <v>291</v>
      </c>
      <c r="B131" s="8" t="s">
        <v>291</v>
      </c>
    </row>
    <row r="132" spans="1:2" x14ac:dyDescent="0.45">
      <c r="A132" s="8" t="s">
        <v>292</v>
      </c>
      <c r="B132" s="8" t="s">
        <v>133</v>
      </c>
    </row>
    <row r="133" spans="1:2" x14ac:dyDescent="0.45">
      <c r="A133" s="8" t="s">
        <v>215</v>
      </c>
      <c r="B133" s="8" t="s">
        <v>215</v>
      </c>
    </row>
    <row r="134" spans="1:2" x14ac:dyDescent="0.45">
      <c r="A134" s="8" t="s">
        <v>180</v>
      </c>
      <c r="B134" s="8" t="s">
        <v>180</v>
      </c>
    </row>
    <row r="135" spans="1:2" x14ac:dyDescent="0.45">
      <c r="A135" s="8" t="s">
        <v>216</v>
      </c>
      <c r="B135" s="8" t="s">
        <v>216</v>
      </c>
    </row>
    <row r="136" spans="1:2" x14ac:dyDescent="0.45">
      <c r="A136" s="8" t="s">
        <v>303</v>
      </c>
      <c r="B136" s="8" t="s">
        <v>303</v>
      </c>
    </row>
    <row r="137" spans="1:2" x14ac:dyDescent="0.45">
      <c r="A137" s="8" t="s">
        <v>135</v>
      </c>
      <c r="B137" s="8" t="s">
        <v>135</v>
      </c>
    </row>
    <row r="138" spans="1:2" x14ac:dyDescent="0.45">
      <c r="A138" s="8" t="s">
        <v>315</v>
      </c>
      <c r="B138" s="8" t="s">
        <v>315</v>
      </c>
    </row>
    <row r="139" spans="1:2" x14ac:dyDescent="0.45">
      <c r="A139" s="8" t="s">
        <v>293</v>
      </c>
      <c r="B139" s="8" t="s">
        <v>293</v>
      </c>
    </row>
    <row r="140" spans="1:2" x14ac:dyDescent="0.45">
      <c r="A140" s="8" t="s">
        <v>322</v>
      </c>
      <c r="B140" s="8" t="s">
        <v>322</v>
      </c>
    </row>
    <row r="141" spans="1:2" x14ac:dyDescent="0.45">
      <c r="A141" s="8" t="s">
        <v>289</v>
      </c>
      <c r="B141" s="8" t="s">
        <v>289</v>
      </c>
    </row>
    <row r="142" spans="1:2" x14ac:dyDescent="0.45">
      <c r="A142" s="8" t="s">
        <v>359</v>
      </c>
      <c r="B142" s="8" t="s">
        <v>359</v>
      </c>
    </row>
    <row r="143" spans="1:2" x14ac:dyDescent="0.45">
      <c r="A143" s="8" t="s">
        <v>184</v>
      </c>
      <c r="B143" s="8" t="s">
        <v>184</v>
      </c>
    </row>
    <row r="144" spans="1:2" x14ac:dyDescent="0.45">
      <c r="A144" s="8" t="s">
        <v>217</v>
      </c>
      <c r="B144" s="8" t="s">
        <v>217</v>
      </c>
    </row>
    <row r="145" spans="1:2" x14ac:dyDescent="0.45">
      <c r="A145" s="8" t="s">
        <v>218</v>
      </c>
      <c r="B145" s="8" t="s">
        <v>218</v>
      </c>
    </row>
    <row r="146" spans="1:2" x14ac:dyDescent="0.45">
      <c r="A146" s="8" t="s">
        <v>338</v>
      </c>
      <c r="B146" s="8" t="s">
        <v>338</v>
      </c>
    </row>
    <row r="147" spans="1:2" x14ac:dyDescent="0.45">
      <c r="A147" s="8" t="s">
        <v>339</v>
      </c>
      <c r="B147" s="8" t="s">
        <v>339</v>
      </c>
    </row>
    <row r="148" spans="1:2" x14ac:dyDescent="0.45">
      <c r="A148" s="8" t="s">
        <v>294</v>
      </c>
      <c r="B148" s="8" t="s">
        <v>294</v>
      </c>
    </row>
    <row r="149" spans="1:2" x14ac:dyDescent="0.45">
      <c r="A149" s="8" t="s">
        <v>327</v>
      </c>
      <c r="B149" s="8" t="s">
        <v>327</v>
      </c>
    </row>
    <row r="150" spans="1:2" x14ac:dyDescent="0.45">
      <c r="A150" s="8" t="s">
        <v>354</v>
      </c>
      <c r="B150" s="8" t="s">
        <v>354</v>
      </c>
    </row>
    <row r="151" spans="1:2" x14ac:dyDescent="0.45">
      <c r="A151" s="8" t="s">
        <v>63</v>
      </c>
      <c r="B151" s="8" t="s">
        <v>63</v>
      </c>
    </row>
    <row r="152" spans="1:2" x14ac:dyDescent="0.45">
      <c r="A152" s="8" t="s">
        <v>334</v>
      </c>
      <c r="B152" s="8" t="s">
        <v>142</v>
      </c>
    </row>
    <row r="153" spans="1:2" x14ac:dyDescent="0.45">
      <c r="A153" s="8" t="s">
        <v>219</v>
      </c>
      <c r="B153" s="8" t="s">
        <v>219</v>
      </c>
    </row>
    <row r="154" spans="1:2" x14ac:dyDescent="0.45">
      <c r="A154" s="8" t="s">
        <v>220</v>
      </c>
      <c r="B154" s="8" t="s">
        <v>220</v>
      </c>
    </row>
    <row r="155" spans="1:2" x14ac:dyDescent="0.45">
      <c r="A155" s="8" t="s">
        <v>336</v>
      </c>
      <c r="B155" s="8" t="s">
        <v>336</v>
      </c>
    </row>
    <row r="156" spans="1:2" x14ac:dyDescent="0.45">
      <c r="A156" s="8" t="s">
        <v>360</v>
      </c>
      <c r="B156" s="8" t="s">
        <v>360</v>
      </c>
    </row>
    <row r="157" spans="1:2" x14ac:dyDescent="0.45">
      <c r="A157" s="8" t="s">
        <v>361</v>
      </c>
      <c r="B157" s="8" t="s">
        <v>361</v>
      </c>
    </row>
    <row r="158" spans="1:2" x14ac:dyDescent="0.45">
      <c r="A158" s="8" t="s">
        <v>362</v>
      </c>
      <c r="B158" s="8" t="s">
        <v>362</v>
      </c>
    </row>
    <row r="159" spans="1:2" x14ac:dyDescent="0.45">
      <c r="A159" s="8" t="s">
        <v>363</v>
      </c>
      <c r="B159" s="8" t="s">
        <v>363</v>
      </c>
    </row>
    <row r="160" spans="1:2" x14ac:dyDescent="0.45">
      <c r="A160" s="8" t="s">
        <v>364</v>
      </c>
      <c r="B160" s="8" t="s">
        <v>364</v>
      </c>
    </row>
    <row r="161" spans="1:2" x14ac:dyDescent="0.45">
      <c r="A161" s="8" t="s">
        <v>365</v>
      </c>
      <c r="B161" s="8" t="s">
        <v>365</v>
      </c>
    </row>
    <row r="162" spans="1:2" x14ac:dyDescent="0.45">
      <c r="A162" s="8" t="s">
        <v>366</v>
      </c>
      <c r="B162" s="8" t="s">
        <v>366</v>
      </c>
    </row>
    <row r="163" spans="1:2" x14ac:dyDescent="0.45">
      <c r="A163" s="8" t="s">
        <v>367</v>
      </c>
      <c r="B163" s="8" t="s">
        <v>367</v>
      </c>
    </row>
    <row r="164" spans="1:2" x14ac:dyDescent="0.45">
      <c r="A164" s="8" t="s">
        <v>368</v>
      </c>
      <c r="B164" s="8" t="s">
        <v>368</v>
      </c>
    </row>
    <row r="165" spans="1:2" x14ac:dyDescent="0.45">
      <c r="A165" s="8" t="s">
        <v>371</v>
      </c>
      <c r="B165" s="8" t="s">
        <v>133</v>
      </c>
    </row>
    <row r="166" spans="1:2" x14ac:dyDescent="0.45">
      <c r="A166" s="8" t="s">
        <v>370</v>
      </c>
      <c r="B166" s="8" t="s">
        <v>25</v>
      </c>
    </row>
    <row r="167" spans="1:2" x14ac:dyDescent="0.45">
      <c r="A167" s="8" t="s">
        <v>374</v>
      </c>
      <c r="B167" s="8" t="s">
        <v>127</v>
      </c>
    </row>
    <row r="168" spans="1:2" x14ac:dyDescent="0.45">
      <c r="A168" s="8" t="s">
        <v>375</v>
      </c>
      <c r="B168" s="8" t="s">
        <v>142</v>
      </c>
    </row>
    <row r="169" spans="1:2" x14ac:dyDescent="0.45">
      <c r="A169" s="8" t="s">
        <v>373</v>
      </c>
      <c r="B169" s="8" t="s">
        <v>121</v>
      </c>
    </row>
    <row r="170" spans="1:2" x14ac:dyDescent="0.45">
      <c r="A170" s="8" t="s">
        <v>190</v>
      </c>
      <c r="B170" s="8" t="s">
        <v>27</v>
      </c>
    </row>
    <row r="171" spans="1:2" x14ac:dyDescent="0.45">
      <c r="A171" s="8" t="s">
        <v>372</v>
      </c>
      <c r="B171" s="8" t="s">
        <v>58</v>
      </c>
    </row>
  </sheetData>
  <sortState xmlns:xlrd2="http://schemas.microsoft.com/office/spreadsheetml/2017/richdata2" ref="B2:B156">
    <sortCondition ref="B2:B156"/>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pecialty_crosswalk">
    <outlinePr summaryBelow="0" summaryRight="0"/>
  </sheetPr>
  <dimension ref="A1:F991"/>
  <sheetViews>
    <sheetView workbookViewId="0">
      <selection activeCell="A2" sqref="A2"/>
    </sheetView>
  </sheetViews>
  <sheetFormatPr defaultColWidth="11.265625" defaultRowHeight="15" customHeight="1" x14ac:dyDescent="0.45"/>
  <cols>
    <col min="1" max="1" width="52.73046875" style="8" customWidth="1"/>
    <col min="2" max="2" width="24.9296875" style="8" customWidth="1"/>
    <col min="3" max="3" width="24.59765625" style="8" bestFit="1" customWidth="1"/>
    <col min="4" max="4" width="22" style="8" customWidth="1"/>
    <col min="5" max="5" width="30" style="8" bestFit="1" customWidth="1"/>
    <col min="6" max="6" width="24.59765625" style="8" bestFit="1" customWidth="1"/>
    <col min="7" max="26" width="11.265625" style="8" customWidth="1"/>
    <col min="27" max="16384" width="11.265625" style="8"/>
  </cols>
  <sheetData>
    <row r="1" spans="1:6" ht="15" customHeight="1" x14ac:dyDescent="0.45">
      <c r="A1" s="8" t="s">
        <v>0</v>
      </c>
      <c r="B1" s="8" t="s">
        <v>1</v>
      </c>
      <c r="C1" s="8" t="s">
        <v>2</v>
      </c>
      <c r="E1" s="8" t="s">
        <v>3</v>
      </c>
      <c r="F1" s="8" t="s">
        <v>2</v>
      </c>
    </row>
    <row r="2" spans="1:6" ht="15" customHeight="1" x14ac:dyDescent="0.45">
      <c r="A2" s="8" t="s">
        <v>4</v>
      </c>
      <c r="B2" s="8" t="s">
        <v>5</v>
      </c>
      <c r="C2" s="8">
        <v>28</v>
      </c>
      <c r="E2" s="8" t="s">
        <v>8</v>
      </c>
      <c r="F2" s="8">
        <v>1</v>
      </c>
    </row>
    <row r="3" spans="1:6" ht="15" customHeight="1" x14ac:dyDescent="0.45">
      <c r="A3" s="8" t="s">
        <v>9</v>
      </c>
      <c r="B3" s="8" t="s">
        <v>10</v>
      </c>
      <c r="C3" s="8">
        <v>26</v>
      </c>
      <c r="E3" s="8" t="s">
        <v>11</v>
      </c>
      <c r="F3" s="8">
        <v>2</v>
      </c>
    </row>
    <row r="4" spans="1:6" ht="15" customHeight="1" x14ac:dyDescent="0.45">
      <c r="A4" s="8" t="s">
        <v>12</v>
      </c>
      <c r="B4" s="8" t="s">
        <v>10</v>
      </c>
      <c r="C4" s="8">
        <v>26</v>
      </c>
      <c r="E4" s="8" t="s">
        <v>13</v>
      </c>
      <c r="F4" s="8">
        <v>3</v>
      </c>
    </row>
    <row r="5" spans="1:6" ht="15" customHeight="1" x14ac:dyDescent="0.45">
      <c r="A5" s="8" t="s">
        <v>14</v>
      </c>
      <c r="B5" s="8" t="s">
        <v>10</v>
      </c>
      <c r="C5" s="8">
        <v>26</v>
      </c>
      <c r="E5" s="8" t="s">
        <v>15</v>
      </c>
      <c r="F5" s="8">
        <v>4</v>
      </c>
    </row>
    <row r="6" spans="1:6" ht="15" customHeight="1" x14ac:dyDescent="0.45">
      <c r="A6" s="8" t="s">
        <v>18</v>
      </c>
      <c r="B6" s="8" t="s">
        <v>5</v>
      </c>
      <c r="C6" s="8">
        <v>28</v>
      </c>
      <c r="E6" s="8" t="s">
        <v>19</v>
      </c>
      <c r="F6" s="8">
        <v>5</v>
      </c>
    </row>
    <row r="7" spans="1:6" ht="15" customHeight="1" x14ac:dyDescent="0.45">
      <c r="A7" s="8" t="s">
        <v>20</v>
      </c>
      <c r="B7" s="8" t="s">
        <v>47</v>
      </c>
      <c r="C7" s="8">
        <v>17</v>
      </c>
      <c r="E7" s="8" t="s">
        <v>22</v>
      </c>
      <c r="F7" s="8">
        <v>6</v>
      </c>
    </row>
    <row r="8" spans="1:6" ht="15" customHeight="1" x14ac:dyDescent="0.45">
      <c r="A8" s="8" t="s">
        <v>8</v>
      </c>
      <c r="B8" s="8" t="s">
        <v>8</v>
      </c>
      <c r="C8" s="8">
        <v>1</v>
      </c>
      <c r="E8" s="8" t="s">
        <v>376</v>
      </c>
      <c r="F8" s="8">
        <v>7</v>
      </c>
    </row>
    <row r="9" spans="1:6" ht="15" customHeight="1" x14ac:dyDescent="0.45">
      <c r="A9" s="8" t="s">
        <v>24</v>
      </c>
      <c r="B9" s="8" t="s">
        <v>47</v>
      </c>
      <c r="C9" s="8">
        <v>17</v>
      </c>
      <c r="E9" s="8" t="s">
        <v>25</v>
      </c>
      <c r="F9" s="8">
        <v>8</v>
      </c>
    </row>
    <row r="10" spans="1:6" ht="15" customHeight="1" x14ac:dyDescent="0.45">
      <c r="A10" s="8" t="s">
        <v>26</v>
      </c>
      <c r="B10" s="8" t="s">
        <v>10</v>
      </c>
      <c r="C10" s="8">
        <v>26</v>
      </c>
      <c r="E10" s="8" t="s">
        <v>27</v>
      </c>
      <c r="F10" s="8">
        <v>9</v>
      </c>
    </row>
    <row r="11" spans="1:6" ht="15" customHeight="1" x14ac:dyDescent="0.45">
      <c r="A11" s="8" t="s">
        <v>28</v>
      </c>
      <c r="B11" s="8" t="s">
        <v>5</v>
      </c>
      <c r="C11" s="8">
        <v>28</v>
      </c>
      <c r="E11" s="8" t="s">
        <v>29</v>
      </c>
      <c r="F11" s="8">
        <v>10</v>
      </c>
    </row>
    <row r="12" spans="1:6" ht="15" customHeight="1" x14ac:dyDescent="0.45">
      <c r="A12" s="8" t="s">
        <v>11</v>
      </c>
      <c r="B12" s="8" t="s">
        <v>11</v>
      </c>
      <c r="C12" s="8">
        <v>2</v>
      </c>
      <c r="E12" s="8" t="s">
        <v>30</v>
      </c>
      <c r="F12" s="8">
        <v>11</v>
      </c>
    </row>
    <row r="13" spans="1:6" ht="15" customHeight="1" x14ac:dyDescent="0.45">
      <c r="A13" s="8" t="s">
        <v>31</v>
      </c>
      <c r="B13" s="8" t="s">
        <v>32</v>
      </c>
      <c r="C13" s="8">
        <v>27</v>
      </c>
      <c r="E13" s="8" t="s">
        <v>33</v>
      </c>
      <c r="F13" s="8">
        <v>12</v>
      </c>
    </row>
    <row r="14" spans="1:6" ht="15" customHeight="1" x14ac:dyDescent="0.45">
      <c r="A14" s="8" t="s">
        <v>34</v>
      </c>
      <c r="B14" s="8" t="s">
        <v>21</v>
      </c>
      <c r="C14" s="8">
        <v>29</v>
      </c>
      <c r="E14" s="8" t="s">
        <v>35</v>
      </c>
      <c r="F14" s="8">
        <v>13</v>
      </c>
    </row>
    <row r="15" spans="1:6" ht="15" customHeight="1" x14ac:dyDescent="0.45">
      <c r="A15" s="8" t="s">
        <v>36</v>
      </c>
      <c r="B15" s="8" t="s">
        <v>5</v>
      </c>
      <c r="C15" s="8">
        <v>28</v>
      </c>
      <c r="E15" s="8" t="s">
        <v>37</v>
      </c>
      <c r="F15" s="8">
        <v>14</v>
      </c>
    </row>
    <row r="16" spans="1:6" ht="15" customHeight="1" x14ac:dyDescent="0.45">
      <c r="A16" s="8" t="s">
        <v>38</v>
      </c>
      <c r="B16" s="8" t="s">
        <v>21</v>
      </c>
      <c r="C16" s="8">
        <v>29</v>
      </c>
      <c r="E16" s="8" t="s">
        <v>39</v>
      </c>
      <c r="F16" s="8">
        <v>15</v>
      </c>
    </row>
    <row r="17" spans="1:6" ht="15" customHeight="1" x14ac:dyDescent="0.45">
      <c r="A17" s="8" t="s">
        <v>40</v>
      </c>
      <c r="B17" s="8" t="s">
        <v>5</v>
      </c>
      <c r="C17" s="8">
        <v>28</v>
      </c>
      <c r="E17" s="8" t="s">
        <v>41</v>
      </c>
      <c r="F17" s="8">
        <v>16</v>
      </c>
    </row>
    <row r="18" spans="1:6" ht="15" customHeight="1" x14ac:dyDescent="0.45">
      <c r="A18" s="8" t="s">
        <v>44</v>
      </c>
      <c r="B18" s="8" t="s">
        <v>21</v>
      </c>
      <c r="C18" s="8">
        <v>29</v>
      </c>
      <c r="E18" s="8" t="s">
        <v>47</v>
      </c>
      <c r="F18" s="8">
        <v>17</v>
      </c>
    </row>
    <row r="19" spans="1:6" ht="15" customHeight="1" x14ac:dyDescent="0.45">
      <c r="A19" s="8" t="s">
        <v>48</v>
      </c>
      <c r="B19" s="8" t="s">
        <v>10</v>
      </c>
      <c r="C19" s="8">
        <v>26</v>
      </c>
      <c r="E19" s="8" t="s">
        <v>49</v>
      </c>
      <c r="F19" s="8">
        <v>18</v>
      </c>
    </row>
    <row r="20" spans="1:6" ht="15" customHeight="1" x14ac:dyDescent="0.45">
      <c r="A20" s="8" t="s">
        <v>50</v>
      </c>
      <c r="B20" s="8" t="s">
        <v>21</v>
      </c>
      <c r="C20" s="8">
        <v>29</v>
      </c>
      <c r="E20" s="8" t="s">
        <v>51</v>
      </c>
      <c r="F20" s="8">
        <v>19</v>
      </c>
    </row>
    <row r="21" spans="1:6" ht="15" customHeight="1" x14ac:dyDescent="0.45">
      <c r="A21" s="8" t="s">
        <v>13</v>
      </c>
      <c r="B21" s="8" t="s">
        <v>13</v>
      </c>
      <c r="C21" s="8">
        <v>3</v>
      </c>
      <c r="E21" s="8" t="s">
        <v>58</v>
      </c>
      <c r="F21" s="8">
        <v>20</v>
      </c>
    </row>
    <row r="22" spans="1:6" ht="15" customHeight="1" x14ac:dyDescent="0.45">
      <c r="A22" s="8" t="s">
        <v>59</v>
      </c>
      <c r="B22" s="8" t="s">
        <v>5</v>
      </c>
      <c r="C22" s="8">
        <v>28</v>
      </c>
      <c r="E22" s="8" t="s">
        <v>60</v>
      </c>
      <c r="F22" s="8">
        <v>21</v>
      </c>
    </row>
    <row r="23" spans="1:6" ht="15" customHeight="1" x14ac:dyDescent="0.45">
      <c r="A23" s="8" t="s">
        <v>15</v>
      </c>
      <c r="B23" s="8" t="s">
        <v>15</v>
      </c>
      <c r="C23" s="8">
        <v>4</v>
      </c>
      <c r="E23" s="8" t="s">
        <v>61</v>
      </c>
      <c r="F23" s="8">
        <v>22</v>
      </c>
    </row>
    <row r="24" spans="1:6" ht="15" customHeight="1" x14ac:dyDescent="0.45">
      <c r="A24" s="8" t="s">
        <v>62</v>
      </c>
      <c r="B24" s="8" t="s">
        <v>5</v>
      </c>
      <c r="C24" s="8">
        <v>28</v>
      </c>
      <c r="E24" s="8" t="s">
        <v>221</v>
      </c>
      <c r="F24" s="8">
        <v>23</v>
      </c>
    </row>
    <row r="25" spans="1:6" ht="15" customHeight="1" x14ac:dyDescent="0.45">
      <c r="A25" s="8" t="s">
        <v>19</v>
      </c>
      <c r="B25" s="8" t="s">
        <v>19</v>
      </c>
      <c r="C25" s="8">
        <v>5</v>
      </c>
      <c r="E25" s="8" t="s">
        <v>63</v>
      </c>
      <c r="F25" s="8">
        <v>24</v>
      </c>
    </row>
    <row r="26" spans="1:6" ht="15" customHeight="1" x14ac:dyDescent="0.45">
      <c r="A26" s="8" t="s">
        <v>64</v>
      </c>
      <c r="B26" s="8" t="s">
        <v>5</v>
      </c>
      <c r="C26" s="8">
        <v>28</v>
      </c>
      <c r="E26" s="8" t="s">
        <v>65</v>
      </c>
      <c r="F26" s="8">
        <v>25</v>
      </c>
    </row>
    <row r="27" spans="1:6" ht="15" customHeight="1" x14ac:dyDescent="0.45">
      <c r="A27" s="8" t="s">
        <v>66</v>
      </c>
      <c r="B27" s="8" t="s">
        <v>5</v>
      </c>
      <c r="C27" s="8">
        <v>28</v>
      </c>
      <c r="E27" s="8" t="s">
        <v>10</v>
      </c>
      <c r="F27" s="8">
        <v>26</v>
      </c>
    </row>
    <row r="28" spans="1:6" ht="15" customHeight="1" x14ac:dyDescent="0.45">
      <c r="A28" s="8" t="s">
        <v>67</v>
      </c>
      <c r="B28" s="8" t="s">
        <v>21</v>
      </c>
      <c r="C28" s="8">
        <v>29</v>
      </c>
      <c r="E28" s="8" t="s">
        <v>32</v>
      </c>
      <c r="F28" s="8">
        <v>27</v>
      </c>
    </row>
    <row r="29" spans="1:6" ht="15" customHeight="1" x14ac:dyDescent="0.45">
      <c r="A29" s="8" t="s">
        <v>70</v>
      </c>
      <c r="B29" s="8" t="s">
        <v>5</v>
      </c>
      <c r="C29" s="8">
        <v>28</v>
      </c>
      <c r="E29" s="8" t="s">
        <v>5</v>
      </c>
      <c r="F29" s="8">
        <v>28</v>
      </c>
    </row>
    <row r="30" spans="1:6" ht="15" customHeight="1" x14ac:dyDescent="0.45">
      <c r="A30" s="8" t="s">
        <v>71</v>
      </c>
      <c r="B30" s="8" t="s">
        <v>21</v>
      </c>
      <c r="C30" s="8">
        <v>29</v>
      </c>
      <c r="E30" s="8" t="s">
        <v>21</v>
      </c>
      <c r="F30" s="8">
        <v>29</v>
      </c>
    </row>
    <row r="31" spans="1:6" ht="15" customHeight="1" x14ac:dyDescent="0.45">
      <c r="A31" s="8" t="s">
        <v>22</v>
      </c>
      <c r="B31" s="8" t="s">
        <v>22</v>
      </c>
      <c r="C31" s="8">
        <v>6</v>
      </c>
    </row>
    <row r="32" spans="1:6" ht="15" customHeight="1" x14ac:dyDescent="0.45">
      <c r="A32" s="8" t="s">
        <v>72</v>
      </c>
      <c r="B32" s="8" t="s">
        <v>5</v>
      </c>
      <c r="C32" s="8">
        <v>28</v>
      </c>
    </row>
    <row r="33" spans="1:3" ht="15" customHeight="1" x14ac:dyDescent="0.45">
      <c r="A33" s="8" t="s">
        <v>75</v>
      </c>
      <c r="B33" s="8" t="s">
        <v>21</v>
      </c>
      <c r="C33" s="8">
        <v>29</v>
      </c>
    </row>
    <row r="34" spans="1:3" ht="14.25" x14ac:dyDescent="0.45">
      <c r="A34" s="8" t="s">
        <v>76</v>
      </c>
      <c r="B34" s="8" t="s">
        <v>5</v>
      </c>
      <c r="C34" s="8">
        <v>28</v>
      </c>
    </row>
    <row r="35" spans="1:3" ht="14.25" x14ac:dyDescent="0.45">
      <c r="A35" s="8" t="s">
        <v>77</v>
      </c>
      <c r="B35" s="8" t="s">
        <v>5</v>
      </c>
      <c r="C35" s="8">
        <v>28</v>
      </c>
    </row>
    <row r="36" spans="1:3" ht="14.25" x14ac:dyDescent="0.45">
      <c r="A36" s="8" t="s">
        <v>78</v>
      </c>
      <c r="B36" s="8" t="s">
        <v>5</v>
      </c>
      <c r="C36" s="8">
        <v>28</v>
      </c>
    </row>
    <row r="37" spans="1:3" ht="14.25" x14ac:dyDescent="0.45">
      <c r="A37" s="8" t="s">
        <v>80</v>
      </c>
      <c r="B37" s="8" t="s">
        <v>21</v>
      </c>
      <c r="C37" s="8">
        <v>29</v>
      </c>
    </row>
    <row r="38" spans="1:3" ht="14.25" x14ac:dyDescent="0.45">
      <c r="A38" s="8" t="s">
        <v>82</v>
      </c>
      <c r="B38" s="8" t="s">
        <v>5</v>
      </c>
      <c r="C38" s="8">
        <v>28</v>
      </c>
    </row>
    <row r="39" spans="1:3" ht="14.25" x14ac:dyDescent="0.45">
      <c r="A39" s="8" t="s">
        <v>84</v>
      </c>
      <c r="B39" s="8" t="s">
        <v>5</v>
      </c>
      <c r="C39" s="8">
        <v>28</v>
      </c>
    </row>
    <row r="40" spans="1:3" ht="14.25" x14ac:dyDescent="0.45">
      <c r="A40" s="8" t="s">
        <v>23</v>
      </c>
      <c r="B40" s="8" t="s">
        <v>376</v>
      </c>
      <c r="C40" s="8">
        <v>7</v>
      </c>
    </row>
    <row r="41" spans="1:3" ht="14.25" x14ac:dyDescent="0.45">
      <c r="A41" s="8" t="s">
        <v>25</v>
      </c>
      <c r="B41" s="8" t="s">
        <v>25</v>
      </c>
      <c r="C41" s="8">
        <v>8</v>
      </c>
    </row>
    <row r="42" spans="1:3" ht="14.25" x14ac:dyDescent="0.45">
      <c r="A42" s="8" t="s">
        <v>86</v>
      </c>
      <c r="B42" s="8" t="s">
        <v>32</v>
      </c>
      <c r="C42" s="8">
        <v>27</v>
      </c>
    </row>
    <row r="43" spans="1:3" ht="14.25" x14ac:dyDescent="0.45">
      <c r="A43" s="8" t="s">
        <v>87</v>
      </c>
      <c r="B43" s="8" t="s">
        <v>10</v>
      </c>
      <c r="C43" s="8">
        <v>26</v>
      </c>
    </row>
    <row r="44" spans="1:3" ht="14.25" x14ac:dyDescent="0.45">
      <c r="A44" s="8" t="s">
        <v>89</v>
      </c>
      <c r="B44" s="8" t="s">
        <v>32</v>
      </c>
      <c r="C44" s="8">
        <v>27</v>
      </c>
    </row>
    <row r="45" spans="1:3" ht="14.25" x14ac:dyDescent="0.45">
      <c r="A45" s="8" t="s">
        <v>27</v>
      </c>
      <c r="B45" s="8" t="s">
        <v>27</v>
      </c>
      <c r="C45" s="8">
        <v>9</v>
      </c>
    </row>
    <row r="46" spans="1:3" ht="14.25" x14ac:dyDescent="0.45">
      <c r="A46" s="8" t="s">
        <v>92</v>
      </c>
      <c r="B46" s="8" t="s">
        <v>21</v>
      </c>
      <c r="C46" s="8">
        <v>29</v>
      </c>
    </row>
    <row r="47" spans="1:3" ht="14.25" x14ac:dyDescent="0.45">
      <c r="A47" s="8" t="s">
        <v>93</v>
      </c>
      <c r="B47" s="8" t="s">
        <v>5</v>
      </c>
      <c r="C47" s="8">
        <v>28</v>
      </c>
    </row>
    <row r="48" spans="1:3" ht="14.25" x14ac:dyDescent="0.45">
      <c r="A48" s="8" t="s">
        <v>94</v>
      </c>
      <c r="B48" s="8" t="s">
        <v>21</v>
      </c>
      <c r="C48" s="8">
        <v>29</v>
      </c>
    </row>
    <row r="49" spans="1:3" ht="14.25" x14ac:dyDescent="0.45">
      <c r="A49" s="8" t="s">
        <v>95</v>
      </c>
      <c r="B49" s="8" t="s">
        <v>21</v>
      </c>
      <c r="C49" s="8">
        <v>29</v>
      </c>
    </row>
    <row r="50" spans="1:3" ht="14.25" x14ac:dyDescent="0.45">
      <c r="A50" s="8" t="s">
        <v>96</v>
      </c>
      <c r="B50" s="8" t="s">
        <v>5</v>
      </c>
      <c r="C50" s="8">
        <v>28</v>
      </c>
    </row>
    <row r="51" spans="1:3" ht="14.25" x14ac:dyDescent="0.45">
      <c r="A51" s="8" t="s">
        <v>97</v>
      </c>
      <c r="B51" s="8" t="s">
        <v>5</v>
      </c>
      <c r="C51" s="8">
        <v>28</v>
      </c>
    </row>
    <row r="52" spans="1:3" ht="14.25" x14ac:dyDescent="0.45">
      <c r="A52" s="8" t="s">
        <v>98</v>
      </c>
      <c r="B52" s="8" t="s">
        <v>5</v>
      </c>
      <c r="C52" s="8">
        <v>28</v>
      </c>
    </row>
    <row r="53" spans="1:3" ht="14.25" x14ac:dyDescent="0.45">
      <c r="A53" s="8" t="s">
        <v>29</v>
      </c>
      <c r="B53" s="8" t="s">
        <v>29</v>
      </c>
      <c r="C53" s="8">
        <v>10</v>
      </c>
    </row>
    <row r="54" spans="1:3" ht="14.25" x14ac:dyDescent="0.45">
      <c r="A54" s="8" t="s">
        <v>99</v>
      </c>
      <c r="B54" s="8" t="s">
        <v>5</v>
      </c>
      <c r="C54" s="8">
        <v>28</v>
      </c>
    </row>
    <row r="55" spans="1:3" ht="14.25" x14ac:dyDescent="0.45">
      <c r="A55" s="8" t="s">
        <v>101</v>
      </c>
      <c r="B55" s="8" t="s">
        <v>21</v>
      </c>
      <c r="C55" s="8">
        <v>29</v>
      </c>
    </row>
    <row r="56" spans="1:3" ht="14.25" x14ac:dyDescent="0.45">
      <c r="A56" s="8" t="s">
        <v>103</v>
      </c>
      <c r="B56" s="8" t="s">
        <v>21</v>
      </c>
      <c r="C56" s="8">
        <v>29</v>
      </c>
    </row>
    <row r="57" spans="1:3" ht="14.25" x14ac:dyDescent="0.45">
      <c r="A57" s="8" t="s">
        <v>30</v>
      </c>
      <c r="B57" s="8" t="s">
        <v>30</v>
      </c>
      <c r="C57" s="8">
        <v>11</v>
      </c>
    </row>
    <row r="58" spans="1:3" ht="14.25" x14ac:dyDescent="0.45">
      <c r="A58" s="8" t="s">
        <v>105</v>
      </c>
      <c r="B58" s="8" t="s">
        <v>5</v>
      </c>
      <c r="C58" s="8">
        <v>28</v>
      </c>
    </row>
    <row r="59" spans="1:3" ht="14.25" x14ac:dyDescent="0.45">
      <c r="A59" s="8" t="s">
        <v>106</v>
      </c>
      <c r="B59" s="8" t="s">
        <v>21</v>
      </c>
      <c r="C59" s="8">
        <v>29</v>
      </c>
    </row>
    <row r="60" spans="1:3" ht="14.25" x14ac:dyDescent="0.45">
      <c r="A60" s="8" t="s">
        <v>107</v>
      </c>
      <c r="B60" s="8" t="s">
        <v>10</v>
      </c>
      <c r="C60" s="8">
        <v>26</v>
      </c>
    </row>
    <row r="61" spans="1:3" ht="14.25" x14ac:dyDescent="0.45">
      <c r="A61" s="8" t="s">
        <v>33</v>
      </c>
      <c r="B61" s="8" t="s">
        <v>33</v>
      </c>
      <c r="C61" s="8">
        <v>12</v>
      </c>
    </row>
    <row r="62" spans="1:3" ht="14.25" x14ac:dyDescent="0.45">
      <c r="A62" s="8" t="s">
        <v>35</v>
      </c>
      <c r="B62" s="8" t="s">
        <v>35</v>
      </c>
      <c r="C62" s="8">
        <v>13</v>
      </c>
    </row>
    <row r="63" spans="1:3" ht="14.25" x14ac:dyDescent="0.45">
      <c r="A63" s="8" t="s">
        <v>37</v>
      </c>
      <c r="B63" s="8" t="s">
        <v>37</v>
      </c>
      <c r="C63" s="8">
        <v>14</v>
      </c>
    </row>
    <row r="64" spans="1:3" ht="14.25" x14ac:dyDescent="0.45">
      <c r="A64" s="8" t="s">
        <v>108</v>
      </c>
      <c r="B64" s="8" t="s">
        <v>5</v>
      </c>
      <c r="C64" s="8">
        <v>28</v>
      </c>
    </row>
    <row r="65" spans="1:3" ht="14.25" x14ac:dyDescent="0.45">
      <c r="A65" s="8" t="s">
        <v>39</v>
      </c>
      <c r="B65" s="8" t="s">
        <v>39</v>
      </c>
      <c r="C65" s="8">
        <v>15</v>
      </c>
    </row>
    <row r="66" spans="1:3" ht="14.25" x14ac:dyDescent="0.45">
      <c r="A66" s="8" t="s">
        <v>41</v>
      </c>
      <c r="B66" s="8" t="s">
        <v>41</v>
      </c>
      <c r="C66" s="8">
        <v>16</v>
      </c>
    </row>
    <row r="67" spans="1:3" ht="14.25" x14ac:dyDescent="0.45">
      <c r="A67" s="8" t="s">
        <v>110</v>
      </c>
      <c r="B67" s="8" t="s">
        <v>5</v>
      </c>
      <c r="C67" s="8">
        <v>28</v>
      </c>
    </row>
    <row r="68" spans="1:3" ht="14.25" x14ac:dyDescent="0.45">
      <c r="A68" s="8" t="s">
        <v>47</v>
      </c>
      <c r="B68" s="8" t="s">
        <v>47</v>
      </c>
      <c r="C68" s="8">
        <v>17</v>
      </c>
    </row>
    <row r="69" spans="1:3" ht="14.25" x14ac:dyDescent="0.45">
      <c r="A69" s="8" t="s">
        <v>114</v>
      </c>
      <c r="B69" s="8" t="s">
        <v>10</v>
      </c>
      <c r="C69" s="8">
        <v>26</v>
      </c>
    </row>
    <row r="70" spans="1:3" ht="14.25" x14ac:dyDescent="0.45">
      <c r="A70" s="8" t="s">
        <v>115</v>
      </c>
      <c r="B70" s="8" t="s">
        <v>5</v>
      </c>
      <c r="C70" s="8">
        <v>28</v>
      </c>
    </row>
    <row r="71" spans="1:3" ht="14.25" x14ac:dyDescent="0.45">
      <c r="A71" s="8" t="s">
        <v>116</v>
      </c>
      <c r="B71" s="8" t="s">
        <v>10</v>
      </c>
      <c r="C71" s="8">
        <v>26</v>
      </c>
    </row>
    <row r="72" spans="1:3" ht="14.25" x14ac:dyDescent="0.45">
      <c r="A72" s="8" t="s">
        <v>117</v>
      </c>
      <c r="B72" s="8" t="s">
        <v>5</v>
      </c>
      <c r="C72" s="8">
        <v>28</v>
      </c>
    </row>
    <row r="73" spans="1:3" ht="14.25" x14ac:dyDescent="0.45">
      <c r="A73" s="8" t="s">
        <v>118</v>
      </c>
      <c r="B73" s="8" t="s">
        <v>5</v>
      </c>
      <c r="C73" s="8">
        <v>28</v>
      </c>
    </row>
    <row r="74" spans="1:3" ht="14.25" x14ac:dyDescent="0.45">
      <c r="A74" s="8" t="s">
        <v>119</v>
      </c>
      <c r="B74" s="8" t="s">
        <v>5</v>
      </c>
      <c r="C74" s="8">
        <v>28</v>
      </c>
    </row>
    <row r="75" spans="1:3" ht="14.25" x14ac:dyDescent="0.45">
      <c r="A75" s="8" t="s">
        <v>120</v>
      </c>
      <c r="B75" s="8" t="s">
        <v>5</v>
      </c>
      <c r="C75" s="8">
        <v>28</v>
      </c>
    </row>
    <row r="76" spans="1:3" ht="14.25" x14ac:dyDescent="0.45">
      <c r="A76" s="8" t="s">
        <v>121</v>
      </c>
      <c r="B76" s="8" t="s">
        <v>5</v>
      </c>
      <c r="C76" s="8">
        <v>28</v>
      </c>
    </row>
    <row r="77" spans="1:3" ht="14.25" x14ac:dyDescent="0.45">
      <c r="A77" s="8" t="s">
        <v>122</v>
      </c>
      <c r="B77" s="8" t="s">
        <v>5</v>
      </c>
      <c r="C77" s="8">
        <v>28</v>
      </c>
    </row>
    <row r="78" spans="1:3" ht="14.25" x14ac:dyDescent="0.45">
      <c r="A78" s="8" t="s">
        <v>123</v>
      </c>
      <c r="B78" s="8" t="s">
        <v>5</v>
      </c>
      <c r="C78" s="8">
        <v>28</v>
      </c>
    </row>
    <row r="79" spans="1:3" ht="14.25" x14ac:dyDescent="0.45">
      <c r="A79" s="8" t="s">
        <v>124</v>
      </c>
      <c r="B79" s="8" t="s">
        <v>5</v>
      </c>
      <c r="C79" s="8">
        <v>28</v>
      </c>
    </row>
    <row r="80" spans="1:3" ht="14.25" x14ac:dyDescent="0.45">
      <c r="A80" s="8" t="s">
        <v>125</v>
      </c>
      <c r="B80" s="8" t="s">
        <v>10</v>
      </c>
      <c r="C80" s="8">
        <v>26</v>
      </c>
    </row>
    <row r="81" spans="1:3" ht="14.25" x14ac:dyDescent="0.45">
      <c r="A81" s="8" t="s">
        <v>126</v>
      </c>
      <c r="B81" s="8" t="s">
        <v>21</v>
      </c>
      <c r="C81" s="8">
        <v>29</v>
      </c>
    </row>
    <row r="82" spans="1:3" ht="14.25" x14ac:dyDescent="0.45">
      <c r="A82" s="8" t="s">
        <v>127</v>
      </c>
      <c r="B82" s="8" t="s">
        <v>5</v>
      </c>
      <c r="C82" s="8">
        <v>28</v>
      </c>
    </row>
    <row r="83" spans="1:3" ht="14.25" x14ac:dyDescent="0.45">
      <c r="A83" s="8" t="s">
        <v>128</v>
      </c>
      <c r="B83" s="8" t="s">
        <v>5</v>
      </c>
      <c r="C83" s="8">
        <v>28</v>
      </c>
    </row>
    <row r="84" spans="1:3" ht="14.25" x14ac:dyDescent="0.45">
      <c r="A84" s="8" t="s">
        <v>129</v>
      </c>
      <c r="B84" s="8" t="s">
        <v>10</v>
      </c>
      <c r="C84" s="8">
        <v>26</v>
      </c>
    </row>
    <row r="85" spans="1:3" ht="14.25" x14ac:dyDescent="0.45">
      <c r="A85" s="8" t="s">
        <v>130</v>
      </c>
      <c r="B85" s="8" t="s">
        <v>5</v>
      </c>
      <c r="C85" s="8">
        <v>28</v>
      </c>
    </row>
    <row r="86" spans="1:3" ht="14.25" x14ac:dyDescent="0.45">
      <c r="A86" s="8" t="s">
        <v>49</v>
      </c>
      <c r="B86" s="8" t="s">
        <v>49</v>
      </c>
      <c r="C86" s="8">
        <v>18</v>
      </c>
    </row>
    <row r="87" spans="1:3" ht="14.25" x14ac:dyDescent="0.45">
      <c r="A87" s="8" t="s">
        <v>131</v>
      </c>
      <c r="B87" s="8" t="s">
        <v>5</v>
      </c>
      <c r="C87" s="8">
        <v>28</v>
      </c>
    </row>
    <row r="88" spans="1:3" ht="14.25" x14ac:dyDescent="0.45">
      <c r="A88" s="8" t="s">
        <v>51</v>
      </c>
      <c r="B88" s="8" t="s">
        <v>51</v>
      </c>
      <c r="C88" s="8">
        <v>19</v>
      </c>
    </row>
    <row r="89" spans="1:3" ht="14.25" x14ac:dyDescent="0.45">
      <c r="A89" s="8" t="s">
        <v>132</v>
      </c>
      <c r="B89" s="8" t="s">
        <v>5</v>
      </c>
      <c r="C89" s="8">
        <v>28</v>
      </c>
    </row>
    <row r="90" spans="1:3" ht="14.25" x14ac:dyDescent="0.45">
      <c r="A90" s="8" t="s">
        <v>58</v>
      </c>
      <c r="B90" s="8" t="s">
        <v>58</v>
      </c>
      <c r="C90" s="8">
        <v>20</v>
      </c>
    </row>
    <row r="91" spans="1:3" ht="14.25" x14ac:dyDescent="0.45">
      <c r="A91" s="8" t="s">
        <v>60</v>
      </c>
      <c r="B91" s="8" t="s">
        <v>60</v>
      </c>
      <c r="C91" s="8">
        <v>21</v>
      </c>
    </row>
    <row r="92" spans="1:3" ht="14.25" x14ac:dyDescent="0.45">
      <c r="A92" s="8" t="s">
        <v>133</v>
      </c>
      <c r="B92" s="8" t="s">
        <v>10</v>
      </c>
      <c r="C92" s="8">
        <v>26</v>
      </c>
    </row>
    <row r="93" spans="1:3" ht="14.25" x14ac:dyDescent="0.45">
      <c r="A93" s="8" t="s">
        <v>61</v>
      </c>
      <c r="B93" s="8" t="s">
        <v>61</v>
      </c>
      <c r="C93" s="8">
        <v>22</v>
      </c>
    </row>
    <row r="94" spans="1:3" ht="14.25" x14ac:dyDescent="0.45">
      <c r="A94" s="8" t="s">
        <v>134</v>
      </c>
      <c r="B94" s="8" t="s">
        <v>10</v>
      </c>
      <c r="C94" s="8">
        <v>26</v>
      </c>
    </row>
    <row r="95" spans="1:3" ht="14.25" x14ac:dyDescent="0.45">
      <c r="A95" s="8" t="s">
        <v>135</v>
      </c>
      <c r="B95" s="8" t="s">
        <v>5</v>
      </c>
      <c r="C95" s="8">
        <v>28</v>
      </c>
    </row>
    <row r="96" spans="1:3" ht="14.25" x14ac:dyDescent="0.45">
      <c r="A96" s="8" t="s">
        <v>136</v>
      </c>
      <c r="B96" s="8" t="s">
        <v>5</v>
      </c>
      <c r="C96" s="8">
        <v>28</v>
      </c>
    </row>
    <row r="97" spans="1:3" ht="14.25" x14ac:dyDescent="0.45">
      <c r="A97" s="8" t="s">
        <v>137</v>
      </c>
      <c r="B97" s="8" t="s">
        <v>10</v>
      </c>
      <c r="C97" s="8">
        <v>26</v>
      </c>
    </row>
    <row r="98" spans="1:3" ht="14.25" x14ac:dyDescent="0.45">
      <c r="A98" s="8" t="s">
        <v>138</v>
      </c>
      <c r="B98" s="8" t="s">
        <v>21</v>
      </c>
      <c r="C98" s="8">
        <v>29</v>
      </c>
    </row>
    <row r="99" spans="1:3" ht="14.25" x14ac:dyDescent="0.45">
      <c r="A99" s="8" t="s">
        <v>139</v>
      </c>
      <c r="B99" s="8" t="s">
        <v>140</v>
      </c>
      <c r="C99" s="8">
        <v>23</v>
      </c>
    </row>
    <row r="100" spans="1:3" ht="14.25" x14ac:dyDescent="0.45">
      <c r="A100" s="8" t="s">
        <v>140</v>
      </c>
      <c r="B100" s="8" t="s">
        <v>10</v>
      </c>
      <c r="C100" s="8">
        <v>26</v>
      </c>
    </row>
    <row r="101" spans="1:3" ht="14.25" x14ac:dyDescent="0.45">
      <c r="A101" s="8" t="s">
        <v>141</v>
      </c>
      <c r="B101" s="8" t="s">
        <v>5</v>
      </c>
      <c r="C101" s="8">
        <v>28</v>
      </c>
    </row>
    <row r="102" spans="1:3" ht="14.25" x14ac:dyDescent="0.45">
      <c r="A102" s="8" t="s">
        <v>63</v>
      </c>
      <c r="B102" s="8" t="s">
        <v>63</v>
      </c>
      <c r="C102" s="8">
        <v>24</v>
      </c>
    </row>
    <row r="103" spans="1:3" ht="14.25" x14ac:dyDescent="0.45">
      <c r="A103" s="8" t="s">
        <v>142</v>
      </c>
      <c r="B103" s="8" t="s">
        <v>32</v>
      </c>
      <c r="C103" s="8">
        <v>27</v>
      </c>
    </row>
    <row r="104" spans="1:3" ht="14.25" x14ac:dyDescent="0.45">
      <c r="A104" s="8" t="s">
        <v>143</v>
      </c>
      <c r="B104" s="8" t="s">
        <v>5</v>
      </c>
      <c r="C104" s="8">
        <v>28</v>
      </c>
    </row>
    <row r="105" spans="1:3" ht="14.25" x14ac:dyDescent="0.45">
      <c r="A105" s="8" t="s">
        <v>144</v>
      </c>
      <c r="B105" s="8" t="s">
        <v>145</v>
      </c>
      <c r="C105" s="8">
        <v>25</v>
      </c>
    </row>
    <row r="106" spans="1:3" ht="14.25" x14ac:dyDescent="0.45">
      <c r="A106" s="8" t="s">
        <v>146</v>
      </c>
      <c r="B106" s="8" t="s">
        <v>32</v>
      </c>
      <c r="C106" s="8">
        <v>27</v>
      </c>
    </row>
    <row r="107" spans="1:3" ht="14.25" x14ac:dyDescent="0.45">
      <c r="A107" s="8" t="s">
        <v>236</v>
      </c>
      <c r="B107" s="8" t="s">
        <v>15</v>
      </c>
      <c r="C107" s="8">
        <v>4</v>
      </c>
    </row>
    <row r="108" spans="1:3" ht="14.25" x14ac:dyDescent="0.45">
      <c r="A108" s="8" t="s">
        <v>237</v>
      </c>
      <c r="B108" s="8" t="s">
        <v>60</v>
      </c>
      <c r="C108" s="8">
        <v>21</v>
      </c>
    </row>
    <row r="109" spans="1:3" ht="14.25" x14ac:dyDescent="0.45">
      <c r="A109" s="8" t="s">
        <v>238</v>
      </c>
      <c r="B109" s="8" t="s">
        <v>5</v>
      </c>
      <c r="C109" s="8">
        <v>28</v>
      </c>
    </row>
    <row r="110" spans="1:3" ht="14.25" x14ac:dyDescent="0.45">
      <c r="A110" s="8" t="s">
        <v>239</v>
      </c>
      <c r="B110" s="8" t="s">
        <v>39</v>
      </c>
      <c r="C110" s="8">
        <v>15</v>
      </c>
    </row>
    <row r="111" spans="1:3" ht="14.25" x14ac:dyDescent="0.45">
      <c r="A111" s="8" t="s">
        <v>240</v>
      </c>
      <c r="B111" s="8" t="s">
        <v>10</v>
      </c>
      <c r="C111" s="8">
        <v>26</v>
      </c>
    </row>
    <row r="112" spans="1:3" ht="14.25" x14ac:dyDescent="0.45">
      <c r="A112" s="8" t="s">
        <v>241</v>
      </c>
      <c r="B112" s="8" t="s">
        <v>5</v>
      </c>
      <c r="C112" s="8">
        <v>28</v>
      </c>
    </row>
    <row r="113" spans="1:3" ht="14.25" x14ac:dyDescent="0.45">
      <c r="A113" s="8" t="s">
        <v>242</v>
      </c>
      <c r="B113" s="8" t="s">
        <v>47</v>
      </c>
      <c r="C113" s="8">
        <v>17</v>
      </c>
    </row>
    <row r="114" spans="1:3" ht="14.25" x14ac:dyDescent="0.45">
      <c r="A114" s="8" t="s">
        <v>233</v>
      </c>
      <c r="B114" s="8" t="s">
        <v>5</v>
      </c>
      <c r="C114" s="8">
        <v>28</v>
      </c>
    </row>
    <row r="115" spans="1:3" ht="14.25" x14ac:dyDescent="0.45">
      <c r="A115" s="8" t="s">
        <v>235</v>
      </c>
      <c r="B115" s="8" t="s">
        <v>32</v>
      </c>
      <c r="C115" s="8">
        <v>27</v>
      </c>
    </row>
    <row r="116" spans="1:3" ht="14.25" x14ac:dyDescent="0.45">
      <c r="A116" s="8" t="s">
        <v>234</v>
      </c>
      <c r="B116" s="8" t="s">
        <v>32</v>
      </c>
      <c r="C116" s="8">
        <v>27</v>
      </c>
    </row>
    <row r="117" spans="1:3" ht="14.25" x14ac:dyDescent="0.45">
      <c r="A117" s="8" t="s">
        <v>243</v>
      </c>
      <c r="B117" s="8" t="s">
        <v>10</v>
      </c>
      <c r="C117" s="8">
        <v>26</v>
      </c>
    </row>
    <row r="118" spans="1:3" ht="14.25" x14ac:dyDescent="0.45">
      <c r="A118" s="8" t="s">
        <v>244</v>
      </c>
      <c r="B118" s="8" t="s">
        <v>32</v>
      </c>
      <c r="C118" s="8">
        <v>27</v>
      </c>
    </row>
    <row r="119" spans="1:3" ht="14.25" x14ac:dyDescent="0.45">
      <c r="A119" s="8" t="s">
        <v>245</v>
      </c>
      <c r="B119" s="8" t="s">
        <v>47</v>
      </c>
      <c r="C119" s="8">
        <v>17</v>
      </c>
    </row>
    <row r="120" spans="1:3" ht="14.25" x14ac:dyDescent="0.45">
      <c r="A120" s="8" t="s">
        <v>246</v>
      </c>
      <c r="B120" s="8" t="s">
        <v>32</v>
      </c>
      <c r="C120" s="8">
        <v>27</v>
      </c>
    </row>
    <row r="121" spans="1:3" ht="14.25" x14ac:dyDescent="0.45">
      <c r="A121" s="8" t="s">
        <v>247</v>
      </c>
      <c r="B121" s="8" t="s">
        <v>376</v>
      </c>
      <c r="C121" s="8">
        <v>7</v>
      </c>
    </row>
    <row r="122" spans="1:3" ht="14.25" x14ac:dyDescent="0.45">
      <c r="A122" s="8" t="s">
        <v>248</v>
      </c>
      <c r="B122" s="8" t="s">
        <v>39</v>
      </c>
      <c r="C122" s="8">
        <v>15</v>
      </c>
    </row>
    <row r="123" spans="1:3" ht="14.25" x14ac:dyDescent="0.45">
      <c r="A123" s="8" t="s">
        <v>232</v>
      </c>
      <c r="B123" s="8" t="s">
        <v>47</v>
      </c>
      <c r="C123" s="8">
        <v>17</v>
      </c>
    </row>
    <row r="124" spans="1:3" ht="14.25" x14ac:dyDescent="0.45">
      <c r="A124" s="8" t="s">
        <v>249</v>
      </c>
      <c r="B124" s="8" t="s">
        <v>60</v>
      </c>
      <c r="C124" s="8">
        <v>21</v>
      </c>
    </row>
    <row r="125" spans="1:3" ht="14.25" x14ac:dyDescent="0.45">
      <c r="A125" s="8" t="s">
        <v>250</v>
      </c>
      <c r="B125" s="8" t="s">
        <v>5</v>
      </c>
      <c r="C125" s="8">
        <v>28</v>
      </c>
    </row>
    <row r="126" spans="1:3" ht="14.25" x14ac:dyDescent="0.45">
      <c r="A126" s="8" t="s">
        <v>251</v>
      </c>
      <c r="B126" s="8" t="s">
        <v>5</v>
      </c>
      <c r="C126" s="8">
        <v>28</v>
      </c>
    </row>
    <row r="127" spans="1:3" ht="14.25" x14ac:dyDescent="0.45">
      <c r="A127" s="8" t="s">
        <v>252</v>
      </c>
      <c r="B127" s="8" t="s">
        <v>5</v>
      </c>
      <c r="C127" s="8">
        <v>28</v>
      </c>
    </row>
    <row r="128" spans="1:3" ht="14.25" x14ac:dyDescent="0.45">
      <c r="A128" s="8" t="s">
        <v>253</v>
      </c>
      <c r="B128" s="8" t="s">
        <v>21</v>
      </c>
      <c r="C128" s="8">
        <v>29</v>
      </c>
    </row>
    <row r="129" spans="1:3" ht="14.25" x14ac:dyDescent="0.45">
      <c r="A129" s="8" t="s">
        <v>254</v>
      </c>
      <c r="B129" s="8" t="s">
        <v>21</v>
      </c>
      <c r="C129" s="8">
        <v>29</v>
      </c>
    </row>
    <row r="130" spans="1:3" ht="14.25" x14ac:dyDescent="0.45">
      <c r="A130" s="8" t="s">
        <v>255</v>
      </c>
      <c r="B130" s="8" t="s">
        <v>21</v>
      </c>
      <c r="C130" s="8">
        <v>29</v>
      </c>
    </row>
    <row r="131" spans="1:3" ht="14.25" x14ac:dyDescent="0.45">
      <c r="A131" s="8" t="s">
        <v>256</v>
      </c>
      <c r="B131" s="8" t="s">
        <v>5</v>
      </c>
      <c r="C131" s="8">
        <v>28</v>
      </c>
    </row>
    <row r="132" spans="1:3" ht="14.25" x14ac:dyDescent="0.45">
      <c r="A132" s="8" t="s">
        <v>257</v>
      </c>
      <c r="B132" s="8" t="s">
        <v>5</v>
      </c>
      <c r="C132" s="8">
        <v>28</v>
      </c>
    </row>
    <row r="133" spans="1:3" ht="14.25" x14ac:dyDescent="0.45">
      <c r="A133" s="8" t="s">
        <v>258</v>
      </c>
      <c r="B133" s="8" t="s">
        <v>21</v>
      </c>
      <c r="C133" s="8">
        <v>29</v>
      </c>
    </row>
    <row r="134" spans="1:3" ht="14.25" x14ac:dyDescent="0.45">
      <c r="A134" s="8" t="s">
        <v>259</v>
      </c>
      <c r="B134" s="8" t="s">
        <v>5</v>
      </c>
      <c r="C134" s="8">
        <v>28</v>
      </c>
    </row>
    <row r="135" spans="1:3" ht="14.25" x14ac:dyDescent="0.45">
      <c r="A135" s="8" t="s">
        <v>260</v>
      </c>
      <c r="B135" s="8" t="s">
        <v>30</v>
      </c>
      <c r="C135" s="8">
        <v>11</v>
      </c>
    </row>
    <row r="136" spans="1:3" ht="14.25" x14ac:dyDescent="0.45">
      <c r="A136" s="8" t="s">
        <v>261</v>
      </c>
      <c r="B136" s="8" t="s">
        <v>21</v>
      </c>
      <c r="C136" s="8">
        <v>29</v>
      </c>
    </row>
    <row r="137" spans="1:3" ht="14.25" x14ac:dyDescent="0.45">
      <c r="A137" s="8" t="s">
        <v>262</v>
      </c>
      <c r="B137" s="8" t="s">
        <v>35</v>
      </c>
      <c r="C137" s="8">
        <v>13</v>
      </c>
    </row>
    <row r="138" spans="1:3" ht="14.25" x14ac:dyDescent="0.45">
      <c r="A138" s="8" t="s">
        <v>263</v>
      </c>
      <c r="B138" s="8" t="s">
        <v>39</v>
      </c>
      <c r="C138" s="8">
        <v>15</v>
      </c>
    </row>
    <row r="139" spans="1:3" ht="14.25" x14ac:dyDescent="0.45">
      <c r="A139" s="8" t="s">
        <v>264</v>
      </c>
      <c r="B139" s="8" t="s">
        <v>39</v>
      </c>
      <c r="C139" s="8">
        <v>15</v>
      </c>
    </row>
    <row r="140" spans="1:3" ht="14.25" x14ac:dyDescent="0.45">
      <c r="A140" s="8" t="s">
        <v>280</v>
      </c>
      <c r="B140" s="8" t="s">
        <v>5</v>
      </c>
      <c r="C140" s="8">
        <v>28</v>
      </c>
    </row>
    <row r="141" spans="1:3" ht="14.25" x14ac:dyDescent="0.45">
      <c r="A141" s="8" t="s">
        <v>201</v>
      </c>
      <c r="B141" s="8" t="s">
        <v>32</v>
      </c>
      <c r="C141" s="8">
        <v>27</v>
      </c>
    </row>
    <row r="142" spans="1:3" ht="14.25" x14ac:dyDescent="0.45">
      <c r="A142" s="8" t="s">
        <v>265</v>
      </c>
      <c r="B142" s="8" t="s">
        <v>47</v>
      </c>
      <c r="C142" s="8">
        <v>17</v>
      </c>
    </row>
    <row r="143" spans="1:3" ht="14.25" x14ac:dyDescent="0.45">
      <c r="A143" s="8" t="s">
        <v>266</v>
      </c>
      <c r="B143" s="8" t="s">
        <v>10</v>
      </c>
      <c r="C143" s="8">
        <v>26</v>
      </c>
    </row>
    <row r="144" spans="1:3" ht="14.25" x14ac:dyDescent="0.45">
      <c r="A144" s="8" t="s">
        <v>267</v>
      </c>
      <c r="B144" s="8" t="s">
        <v>5</v>
      </c>
      <c r="C144" s="8">
        <v>28</v>
      </c>
    </row>
    <row r="145" spans="1:3" ht="14.25" x14ac:dyDescent="0.45">
      <c r="A145" s="8" t="s">
        <v>268</v>
      </c>
      <c r="B145" s="8" t="s">
        <v>39</v>
      </c>
      <c r="C145" s="8">
        <v>15</v>
      </c>
    </row>
    <row r="146" spans="1:3" ht="14.25" x14ac:dyDescent="0.45">
      <c r="A146" s="8" t="s">
        <v>269</v>
      </c>
      <c r="B146" s="8" t="s">
        <v>47</v>
      </c>
      <c r="C146" s="8">
        <v>17</v>
      </c>
    </row>
    <row r="147" spans="1:3" ht="14.25" x14ac:dyDescent="0.45">
      <c r="A147" s="8" t="s">
        <v>270</v>
      </c>
      <c r="B147" s="8" t="s">
        <v>51</v>
      </c>
      <c r="C147" s="8">
        <v>19</v>
      </c>
    </row>
    <row r="148" spans="1:3" ht="14.25" x14ac:dyDescent="0.45">
      <c r="A148" s="8" t="s">
        <v>271</v>
      </c>
      <c r="B148" s="8" t="s">
        <v>5</v>
      </c>
      <c r="C148" s="8">
        <v>28</v>
      </c>
    </row>
    <row r="149" spans="1:3" ht="14.25" x14ac:dyDescent="0.45">
      <c r="A149" s="8" t="s">
        <v>272</v>
      </c>
      <c r="B149" s="8" t="s">
        <v>5</v>
      </c>
      <c r="C149" s="8">
        <v>28</v>
      </c>
    </row>
    <row r="150" spans="1:3" ht="14.25" x14ac:dyDescent="0.45">
      <c r="A150" s="8" t="s">
        <v>273</v>
      </c>
      <c r="B150" s="8" t="s">
        <v>5</v>
      </c>
      <c r="C150" s="8">
        <v>28</v>
      </c>
    </row>
    <row r="151" spans="1:3" ht="14.25" x14ac:dyDescent="0.45">
      <c r="A151" s="8" t="s">
        <v>274</v>
      </c>
      <c r="B151" s="8" t="s">
        <v>21</v>
      </c>
      <c r="C151" s="8">
        <v>29</v>
      </c>
    </row>
    <row r="152" spans="1:3" ht="14.25" x14ac:dyDescent="0.45">
      <c r="A152" s="8" t="s">
        <v>275</v>
      </c>
      <c r="B152" s="8" t="s">
        <v>47</v>
      </c>
      <c r="C152" s="8">
        <v>17</v>
      </c>
    </row>
    <row r="153" spans="1:3" ht="14.25" x14ac:dyDescent="0.45">
      <c r="A153" s="8" t="s">
        <v>276</v>
      </c>
      <c r="B153" s="8" t="s">
        <v>51</v>
      </c>
      <c r="C153" s="8">
        <v>19</v>
      </c>
    </row>
    <row r="154" spans="1:3" ht="14.25" x14ac:dyDescent="0.45">
      <c r="A154" s="8" t="s">
        <v>184</v>
      </c>
      <c r="B154" s="8" t="s">
        <v>22</v>
      </c>
      <c r="C154" s="8">
        <v>6</v>
      </c>
    </row>
    <row r="155" spans="1:3" ht="14.25" x14ac:dyDescent="0.45">
      <c r="A155" s="8" t="s">
        <v>277</v>
      </c>
      <c r="B155" s="8" t="s">
        <v>376</v>
      </c>
      <c r="C155" s="8">
        <v>7</v>
      </c>
    </row>
    <row r="156" spans="1:3" ht="14.25" x14ac:dyDescent="0.45">
      <c r="A156" s="8" t="s">
        <v>278</v>
      </c>
      <c r="B156" s="8" t="s">
        <v>5</v>
      </c>
      <c r="C156" s="8">
        <v>28</v>
      </c>
    </row>
    <row r="157" spans="1:3" ht="14.25" x14ac:dyDescent="0.45">
      <c r="A157" s="8" t="s">
        <v>279</v>
      </c>
      <c r="B157" s="8" t="s">
        <v>5</v>
      </c>
      <c r="C157" s="8">
        <v>28</v>
      </c>
    </row>
    <row r="158" spans="1:3" ht="14.25" x14ac:dyDescent="0.45">
      <c r="A158" s="8" t="s">
        <v>347</v>
      </c>
      <c r="B158" s="8" t="s">
        <v>5</v>
      </c>
      <c r="C158" s="8">
        <v>28</v>
      </c>
    </row>
    <row r="159" spans="1:3" ht="14.25" x14ac:dyDescent="0.45">
      <c r="A159" s="8" t="s">
        <v>343</v>
      </c>
      <c r="B159" s="8" t="s">
        <v>39</v>
      </c>
      <c r="C159" s="8">
        <v>15</v>
      </c>
    </row>
    <row r="160" spans="1:3" ht="14.25" x14ac:dyDescent="0.45">
      <c r="A160" s="8" t="s">
        <v>344</v>
      </c>
      <c r="B160" s="8" t="s">
        <v>5</v>
      </c>
      <c r="C160" s="8">
        <v>28</v>
      </c>
    </row>
    <row r="161" spans="1:3" ht="14.25" x14ac:dyDescent="0.45">
      <c r="A161" s="8" t="s">
        <v>345</v>
      </c>
      <c r="B161" s="8" t="s">
        <v>5</v>
      </c>
      <c r="C161" s="8">
        <v>28</v>
      </c>
    </row>
    <row r="162" spans="1:3" ht="14.25" x14ac:dyDescent="0.45">
      <c r="A162" s="8" t="s">
        <v>346</v>
      </c>
      <c r="B162" s="8" t="s">
        <v>10</v>
      </c>
      <c r="C162" s="8">
        <v>26</v>
      </c>
    </row>
    <row r="163" spans="1:3" ht="14.25" x14ac:dyDescent="0.45">
      <c r="A163" s="8" t="s">
        <v>341</v>
      </c>
      <c r="B163" s="8" t="s">
        <v>10</v>
      </c>
      <c r="C163" s="8">
        <v>26</v>
      </c>
    </row>
    <row r="164" spans="1:3" ht="14.25" x14ac:dyDescent="0.45">
      <c r="A164" s="8" t="s">
        <v>342</v>
      </c>
      <c r="B164" s="8" t="s">
        <v>8</v>
      </c>
      <c r="C164" s="8">
        <v>1</v>
      </c>
    </row>
    <row r="165" spans="1:3" ht="14.25" x14ac:dyDescent="0.45">
      <c r="A165" s="8" t="s">
        <v>348</v>
      </c>
      <c r="B165" s="8" t="s">
        <v>19</v>
      </c>
      <c r="C165" s="8">
        <v>5</v>
      </c>
    </row>
    <row r="166" spans="1:3" ht="14.25" x14ac:dyDescent="0.45">
      <c r="A166" s="8" t="s">
        <v>349</v>
      </c>
      <c r="B166" s="8" t="s">
        <v>376</v>
      </c>
      <c r="C166" s="8">
        <v>7</v>
      </c>
    </row>
    <row r="167" spans="1:3" ht="14.25" x14ac:dyDescent="0.45">
      <c r="A167" s="8" t="s">
        <v>350</v>
      </c>
      <c r="B167" s="8" t="s">
        <v>376</v>
      </c>
      <c r="C167" s="8">
        <v>7</v>
      </c>
    </row>
    <row r="168" spans="1:3" ht="14.25" x14ac:dyDescent="0.45">
      <c r="A168" s="8" t="s">
        <v>351</v>
      </c>
      <c r="B168" s="8" t="s">
        <v>47</v>
      </c>
      <c r="C168" s="8">
        <v>17</v>
      </c>
    </row>
    <row r="169" spans="1:3" ht="14.25" x14ac:dyDescent="0.45">
      <c r="A169" s="8" t="s">
        <v>352</v>
      </c>
      <c r="B169" s="8" t="s">
        <v>49</v>
      </c>
      <c r="C169" s="8">
        <v>18</v>
      </c>
    </row>
    <row r="170" spans="1:3" ht="14.25" x14ac:dyDescent="0.45">
      <c r="A170" s="8" t="s">
        <v>353</v>
      </c>
      <c r="B170" s="8" t="s">
        <v>5</v>
      </c>
      <c r="C170" s="8">
        <v>28</v>
      </c>
    </row>
    <row r="171" spans="1:3" ht="14.25" x14ac:dyDescent="0.45">
      <c r="A171" s="8" t="s">
        <v>354</v>
      </c>
      <c r="B171" s="8" t="s">
        <v>5</v>
      </c>
      <c r="C171" s="8">
        <v>28</v>
      </c>
    </row>
    <row r="172" spans="1:3" ht="14.25" x14ac:dyDescent="0.45">
      <c r="A172" s="8" t="s">
        <v>355</v>
      </c>
      <c r="B172" s="8" t="s">
        <v>5</v>
      </c>
      <c r="C172" s="8">
        <v>28</v>
      </c>
    </row>
    <row r="173" spans="1:3" ht="14.25" x14ac:dyDescent="0.45">
      <c r="A173" s="8" t="s">
        <v>360</v>
      </c>
      <c r="B173" s="8" t="s">
        <v>5</v>
      </c>
      <c r="C173" s="8">
        <v>28</v>
      </c>
    </row>
    <row r="174" spans="1:3" ht="14.25" x14ac:dyDescent="0.45">
      <c r="A174" s="8" t="s">
        <v>361</v>
      </c>
      <c r="B174" s="8" t="s">
        <v>5</v>
      </c>
      <c r="C174" s="8">
        <v>28</v>
      </c>
    </row>
    <row r="175" spans="1:3" ht="14.25" x14ac:dyDescent="0.45">
      <c r="A175" s="8" t="s">
        <v>362</v>
      </c>
      <c r="B175" s="8" t="s">
        <v>5</v>
      </c>
      <c r="C175" s="8">
        <v>28</v>
      </c>
    </row>
    <row r="176" spans="1:3" ht="14.25" x14ac:dyDescent="0.45">
      <c r="A176" s="8" t="s">
        <v>363</v>
      </c>
      <c r="B176" s="8" t="s">
        <v>5</v>
      </c>
      <c r="C176" s="8">
        <v>28</v>
      </c>
    </row>
    <row r="177" spans="1:3" ht="14.25" x14ac:dyDescent="0.45">
      <c r="A177" s="8" t="s">
        <v>364</v>
      </c>
      <c r="B177" s="8" t="s">
        <v>5</v>
      </c>
      <c r="C177" s="8">
        <v>28</v>
      </c>
    </row>
    <row r="178" spans="1:3" ht="14.25" x14ac:dyDescent="0.45">
      <c r="A178" s="8" t="s">
        <v>365</v>
      </c>
      <c r="B178" s="8" t="s">
        <v>5</v>
      </c>
      <c r="C178" s="8">
        <v>28</v>
      </c>
    </row>
    <row r="179" spans="1:3" ht="14.25" x14ac:dyDescent="0.45">
      <c r="A179" s="8" t="s">
        <v>366</v>
      </c>
      <c r="B179" s="8" t="s">
        <v>5</v>
      </c>
      <c r="C179" s="8">
        <v>28</v>
      </c>
    </row>
    <row r="180" spans="1:3" ht="14.25" x14ac:dyDescent="0.45">
      <c r="A180" s="8" t="s">
        <v>367</v>
      </c>
      <c r="B180" s="8" t="s">
        <v>5</v>
      </c>
      <c r="C180" s="8">
        <v>28</v>
      </c>
    </row>
    <row r="181" spans="1:3" ht="14.25" x14ac:dyDescent="0.45">
      <c r="A181" s="8" t="s">
        <v>368</v>
      </c>
      <c r="B181" s="8" t="s">
        <v>21</v>
      </c>
      <c r="C181" s="8">
        <v>29</v>
      </c>
    </row>
    <row r="182" spans="1:3" ht="14.25" x14ac:dyDescent="0.45">
      <c r="A182" s="8" t="s">
        <v>180</v>
      </c>
      <c r="B182" s="8" t="s">
        <v>15</v>
      </c>
      <c r="C182" s="8">
        <v>4</v>
      </c>
    </row>
    <row r="183" spans="1:3" ht="14.25" x14ac:dyDescent="0.45">
      <c r="A183" s="8" t="s">
        <v>374</v>
      </c>
      <c r="B183" s="8" t="s">
        <v>5</v>
      </c>
      <c r="C183" s="8">
        <v>28</v>
      </c>
    </row>
    <row r="184" spans="1:3" ht="14.25" x14ac:dyDescent="0.45">
      <c r="A184" s="8" t="s">
        <v>375</v>
      </c>
      <c r="B184" s="8" t="s">
        <v>32</v>
      </c>
      <c r="C184" s="8">
        <v>27</v>
      </c>
    </row>
    <row r="185" spans="1:3" ht="14.25" x14ac:dyDescent="0.45">
      <c r="A185" s="8" t="s">
        <v>373</v>
      </c>
      <c r="B185" s="8" t="s">
        <v>5</v>
      </c>
      <c r="C185" s="8">
        <v>28</v>
      </c>
    </row>
    <row r="186" spans="1:3" ht="14.25" x14ac:dyDescent="0.45">
      <c r="A186" s="8" t="s">
        <v>190</v>
      </c>
      <c r="B186" s="8" t="s">
        <v>27</v>
      </c>
      <c r="C186" s="8">
        <v>9</v>
      </c>
    </row>
    <row r="187" spans="1:3" ht="14.25" x14ac:dyDescent="0.45">
      <c r="A187" s="8" t="s">
        <v>372</v>
      </c>
      <c r="B187" s="8" t="s">
        <v>58</v>
      </c>
      <c r="C187" s="8">
        <v>20</v>
      </c>
    </row>
    <row r="188" spans="1:3" ht="14.25" x14ac:dyDescent="0.45"/>
    <row r="189" spans="1:3" ht="14.25" x14ac:dyDescent="0.45"/>
    <row r="190" spans="1:3" ht="14.25" x14ac:dyDescent="0.45"/>
    <row r="191" spans="1:3" ht="14.25" x14ac:dyDescent="0.45"/>
    <row r="192" spans="1:3"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row r="985" ht="14.25" x14ac:dyDescent="0.45"/>
    <row r="986" ht="14.25" x14ac:dyDescent="0.45"/>
    <row r="987" ht="14.25" x14ac:dyDescent="0.45"/>
    <row r="988" ht="14.25" x14ac:dyDescent="0.45"/>
    <row r="989" ht="14.25" x14ac:dyDescent="0.45"/>
    <row r="990" ht="14.25" x14ac:dyDescent="0.45"/>
    <row r="991" ht="14.25" x14ac:dyDescent="0.45"/>
  </sheetData>
  <pageMargins left="0.7" right="0.7" top="0.75" bottom="0.75" header="0" footer="0"/>
  <pageSetup orientation="landscape"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GY_role_map"/>
  <dimension ref="A1:Y993"/>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1.265625" defaultRowHeight="15" customHeight="1" x14ac:dyDescent="0.45"/>
  <cols>
    <col min="1" max="1" width="26.1328125" style="8" customWidth="1"/>
    <col min="2" max="2" width="9.06640625" style="8" customWidth="1"/>
    <col min="3" max="3" width="9.265625" style="8" customWidth="1"/>
    <col min="4" max="4" width="12.1328125" style="8" customWidth="1"/>
    <col min="5" max="5" width="12.19921875" style="8" customWidth="1"/>
    <col min="6" max="6" width="9.06640625" style="8" customWidth="1"/>
    <col min="7" max="7" width="9.265625" style="8" customWidth="1"/>
    <col min="8" max="8" width="9.06640625" style="8" customWidth="1"/>
    <col min="9" max="9" width="9.265625" style="8" customWidth="1"/>
    <col min="10" max="10" width="9.19921875" style="8" customWidth="1"/>
    <col min="11" max="11" width="9.265625" style="8" customWidth="1"/>
    <col min="12" max="13" width="11.1328125" style="8" customWidth="1"/>
    <col min="14" max="15" width="9.33203125" style="8" customWidth="1"/>
    <col min="16" max="17" width="9.6640625" style="8" customWidth="1"/>
    <col min="18" max="19" width="9.3984375" style="8" customWidth="1"/>
    <col min="20" max="20" width="9.06640625" style="8" customWidth="1"/>
    <col min="21" max="21" width="9.265625" style="8" customWidth="1"/>
    <col min="22" max="22" width="9.06640625" style="8" customWidth="1"/>
    <col min="23" max="23" width="9.265625" style="8" customWidth="1"/>
    <col min="24" max="25" width="11.265625" style="8" customWidth="1"/>
    <col min="26" max="38" width="10.53125" style="8" customWidth="1"/>
    <col min="39" max="16384" width="11.265625" style="8"/>
  </cols>
  <sheetData>
    <row r="1" spans="1:25" s="9" customFormat="1" ht="42.75" x14ac:dyDescent="0.45">
      <c r="A1" s="10" t="s">
        <v>1</v>
      </c>
      <c r="B1" s="10" t="s">
        <v>378</v>
      </c>
      <c r="C1" s="10" t="s">
        <v>379</v>
      </c>
      <c r="D1" s="10" t="s">
        <v>380</v>
      </c>
      <c r="E1" s="10" t="s">
        <v>381</v>
      </c>
      <c r="F1" s="10" t="s">
        <v>382</v>
      </c>
      <c r="G1" s="10" t="s">
        <v>383</v>
      </c>
      <c r="H1" s="10" t="s">
        <v>384</v>
      </c>
      <c r="I1" s="10" t="s">
        <v>385</v>
      </c>
      <c r="J1" s="10" t="s">
        <v>386</v>
      </c>
      <c r="K1" s="10" t="s">
        <v>387</v>
      </c>
      <c r="L1" s="10" t="s">
        <v>388</v>
      </c>
      <c r="M1" s="10" t="s">
        <v>389</v>
      </c>
      <c r="N1" s="10" t="s">
        <v>390</v>
      </c>
      <c r="O1" s="10" t="s">
        <v>391</v>
      </c>
      <c r="P1" s="10" t="s">
        <v>392</v>
      </c>
      <c r="Q1" s="10" t="s">
        <v>393</v>
      </c>
      <c r="R1" s="10" t="s">
        <v>394</v>
      </c>
      <c r="S1" s="10" t="s">
        <v>395</v>
      </c>
      <c r="T1" s="10" t="s">
        <v>396</v>
      </c>
      <c r="U1" s="10" t="s">
        <v>397</v>
      </c>
      <c r="V1" s="10" t="s">
        <v>398</v>
      </c>
      <c r="W1" s="10" t="s">
        <v>399</v>
      </c>
      <c r="X1" s="10" t="s">
        <v>400</v>
      </c>
      <c r="Y1" s="10" t="s">
        <v>401</v>
      </c>
    </row>
    <row r="2" spans="1:25" ht="15.75" customHeight="1" x14ac:dyDescent="0.45">
      <c r="A2" s="8" t="s">
        <v>8</v>
      </c>
      <c r="B2" s="8">
        <v>1</v>
      </c>
      <c r="C2" s="8">
        <v>4</v>
      </c>
      <c r="F2" s="8">
        <v>1</v>
      </c>
      <c r="G2" s="8">
        <v>1</v>
      </c>
      <c r="H2" s="8">
        <v>3</v>
      </c>
      <c r="I2" s="8">
        <v>4</v>
      </c>
      <c r="L2" s="8">
        <v>2</v>
      </c>
      <c r="M2" s="8">
        <v>4</v>
      </c>
      <c r="N2" s="8">
        <v>1</v>
      </c>
      <c r="O2" s="8">
        <v>1</v>
      </c>
      <c r="P2" s="8">
        <v>1</v>
      </c>
      <c r="Q2" s="8">
        <v>1</v>
      </c>
      <c r="R2" s="8">
        <v>2</v>
      </c>
      <c r="S2" s="8">
        <v>4</v>
      </c>
      <c r="T2" s="8">
        <v>1</v>
      </c>
      <c r="U2" s="8">
        <v>1</v>
      </c>
      <c r="V2" s="8">
        <v>1</v>
      </c>
      <c r="W2" s="8">
        <v>1</v>
      </c>
      <c r="X2" s="8">
        <v>2</v>
      </c>
      <c r="Y2" s="8">
        <v>4</v>
      </c>
    </row>
    <row r="3" spans="1:25" ht="15.75" customHeight="1" x14ac:dyDescent="0.45">
      <c r="A3" s="8" t="s">
        <v>11</v>
      </c>
      <c r="B3" s="8">
        <v>1</v>
      </c>
      <c r="C3" s="8">
        <v>5</v>
      </c>
      <c r="F3" s="8">
        <v>1</v>
      </c>
      <c r="G3" s="8">
        <v>5</v>
      </c>
      <c r="N3" s="8">
        <v>1</v>
      </c>
      <c r="O3" s="8">
        <v>5</v>
      </c>
      <c r="P3" s="8">
        <v>1</v>
      </c>
      <c r="Q3" s="8">
        <v>5</v>
      </c>
      <c r="T3" s="8">
        <v>1</v>
      </c>
      <c r="U3" s="8">
        <v>5</v>
      </c>
      <c r="V3" s="8">
        <v>1</v>
      </c>
      <c r="W3" s="8">
        <v>5</v>
      </c>
    </row>
    <row r="4" spans="1:25" ht="15.75" customHeight="1" x14ac:dyDescent="0.45">
      <c r="A4" s="8" t="s">
        <v>13</v>
      </c>
      <c r="B4" s="8">
        <v>1</v>
      </c>
      <c r="C4" s="8">
        <v>4</v>
      </c>
      <c r="F4" s="8">
        <v>1</v>
      </c>
      <c r="G4" s="8">
        <v>4</v>
      </c>
      <c r="N4" s="8">
        <v>1</v>
      </c>
      <c r="O4" s="8">
        <v>4</v>
      </c>
      <c r="P4" s="8">
        <v>2</v>
      </c>
      <c r="Q4" s="8">
        <v>4</v>
      </c>
      <c r="T4" s="8">
        <v>2</v>
      </c>
      <c r="U4" s="8">
        <v>4</v>
      </c>
      <c r="V4" s="8">
        <v>2</v>
      </c>
      <c r="W4" s="8">
        <v>4</v>
      </c>
    </row>
    <row r="5" spans="1:25" ht="15.75" customHeight="1" x14ac:dyDescent="0.45">
      <c r="A5" s="8" t="s">
        <v>15</v>
      </c>
      <c r="B5" s="8">
        <v>2</v>
      </c>
      <c r="C5" s="8">
        <v>5</v>
      </c>
      <c r="F5" s="8">
        <v>2</v>
      </c>
      <c r="G5" s="8">
        <v>5</v>
      </c>
      <c r="T5" s="8">
        <v>2</v>
      </c>
      <c r="U5" s="8">
        <v>5</v>
      </c>
      <c r="V5" s="8">
        <v>2</v>
      </c>
      <c r="W5" s="8">
        <v>5</v>
      </c>
    </row>
    <row r="6" spans="1:25" ht="15.75" customHeight="1" x14ac:dyDescent="0.45">
      <c r="A6" s="8" t="s">
        <v>19</v>
      </c>
      <c r="B6" s="8">
        <v>1</v>
      </c>
      <c r="C6" s="8">
        <v>3</v>
      </c>
      <c r="D6" s="8">
        <v>3</v>
      </c>
      <c r="F6" s="8">
        <v>1</v>
      </c>
      <c r="G6" s="8">
        <v>2</v>
      </c>
      <c r="L6" s="8">
        <v>3</v>
      </c>
      <c r="N6" s="8">
        <v>1</v>
      </c>
      <c r="P6" s="8">
        <v>1</v>
      </c>
      <c r="Q6" s="8">
        <v>2</v>
      </c>
      <c r="R6" s="8">
        <v>2</v>
      </c>
      <c r="S6" s="8">
        <v>3</v>
      </c>
      <c r="T6" s="8">
        <v>1</v>
      </c>
      <c r="V6" s="8">
        <v>1</v>
      </c>
      <c r="X6" s="8">
        <v>2</v>
      </c>
      <c r="Y6" s="8">
        <v>3</v>
      </c>
    </row>
    <row r="7" spans="1:25" ht="15.75" customHeight="1" x14ac:dyDescent="0.45">
      <c r="A7" s="8" t="s">
        <v>22</v>
      </c>
      <c r="B7" s="8">
        <v>1</v>
      </c>
      <c r="C7" s="8">
        <v>5</v>
      </c>
      <c r="D7" s="8">
        <v>3</v>
      </c>
      <c r="E7" s="8">
        <v>5</v>
      </c>
      <c r="F7" s="8">
        <v>1</v>
      </c>
      <c r="G7" s="8">
        <v>2</v>
      </c>
      <c r="L7" s="8">
        <v>3</v>
      </c>
      <c r="M7" s="8">
        <v>5</v>
      </c>
      <c r="N7" s="8">
        <v>1</v>
      </c>
      <c r="O7" s="8">
        <v>2</v>
      </c>
      <c r="P7" s="8">
        <v>1</v>
      </c>
      <c r="Q7" s="8">
        <v>2</v>
      </c>
      <c r="R7" s="8">
        <v>3</v>
      </c>
      <c r="S7" s="8">
        <v>5</v>
      </c>
      <c r="T7" s="8">
        <v>1</v>
      </c>
      <c r="V7" s="8">
        <v>1</v>
      </c>
    </row>
    <row r="8" spans="1:25" ht="15.75" customHeight="1" x14ac:dyDescent="0.45">
      <c r="A8" s="8" t="s">
        <v>376</v>
      </c>
      <c r="B8" s="8">
        <v>1</v>
      </c>
      <c r="C8" s="8">
        <v>4</v>
      </c>
      <c r="D8" s="8">
        <v>3</v>
      </c>
      <c r="E8" s="8">
        <v>4</v>
      </c>
      <c r="F8" s="8">
        <v>1</v>
      </c>
      <c r="G8" s="8">
        <v>2</v>
      </c>
      <c r="L8" s="8">
        <v>3</v>
      </c>
      <c r="M8" s="8">
        <v>4</v>
      </c>
      <c r="N8" s="8">
        <v>1</v>
      </c>
      <c r="O8" s="8">
        <v>2</v>
      </c>
      <c r="P8" s="8">
        <v>1</v>
      </c>
      <c r="Q8" s="8">
        <v>2</v>
      </c>
      <c r="T8" s="8">
        <v>1</v>
      </c>
      <c r="U8" s="8">
        <v>4</v>
      </c>
      <c r="V8" s="8">
        <v>1</v>
      </c>
      <c r="W8" s="8">
        <v>4</v>
      </c>
    </row>
    <row r="9" spans="1:25" ht="15.75" customHeight="1" x14ac:dyDescent="0.45">
      <c r="A9" s="8" t="s">
        <v>25</v>
      </c>
      <c r="B9" s="8">
        <v>1</v>
      </c>
      <c r="C9" s="8">
        <v>4</v>
      </c>
      <c r="D9" s="8">
        <v>3</v>
      </c>
      <c r="E9" s="8">
        <v>4</v>
      </c>
      <c r="F9" s="8">
        <v>1</v>
      </c>
      <c r="G9" s="8">
        <v>2</v>
      </c>
      <c r="N9" s="8">
        <v>1</v>
      </c>
      <c r="O9" s="8">
        <v>4</v>
      </c>
      <c r="P9" s="8">
        <v>1</v>
      </c>
      <c r="Q9" s="8">
        <v>4</v>
      </c>
      <c r="T9" s="8">
        <v>1</v>
      </c>
      <c r="U9" s="8">
        <v>2</v>
      </c>
      <c r="V9" s="8">
        <v>1</v>
      </c>
      <c r="W9" s="8">
        <v>2</v>
      </c>
    </row>
    <row r="10" spans="1:25" ht="15.75" customHeight="1" x14ac:dyDescent="0.45">
      <c r="A10" s="8" t="s">
        <v>27</v>
      </c>
      <c r="B10" s="8">
        <v>1</v>
      </c>
      <c r="C10" s="8">
        <v>5</v>
      </c>
      <c r="F10" s="8">
        <v>2</v>
      </c>
      <c r="N10" s="8">
        <v>2</v>
      </c>
      <c r="P10" s="8">
        <v>2</v>
      </c>
      <c r="R10" s="8">
        <v>3</v>
      </c>
      <c r="S10" s="8">
        <v>5</v>
      </c>
      <c r="T10" s="8">
        <v>2</v>
      </c>
      <c r="V10" s="8">
        <v>2</v>
      </c>
    </row>
    <row r="11" spans="1:25" ht="15.75" customHeight="1" x14ac:dyDescent="0.45">
      <c r="A11" s="8" t="s">
        <v>29</v>
      </c>
      <c r="B11" s="8">
        <v>1</v>
      </c>
      <c r="C11" s="8">
        <v>4</v>
      </c>
      <c r="F11" s="8">
        <v>1</v>
      </c>
      <c r="G11" s="8">
        <v>4</v>
      </c>
      <c r="N11" s="8">
        <v>1</v>
      </c>
      <c r="O11" s="8">
        <v>4</v>
      </c>
      <c r="P11" s="8">
        <v>1</v>
      </c>
      <c r="Q11" s="8">
        <v>4</v>
      </c>
      <c r="T11" s="8">
        <v>1</v>
      </c>
      <c r="U11" s="8">
        <v>4</v>
      </c>
      <c r="V11" s="8">
        <v>1</v>
      </c>
      <c r="W11" s="8">
        <v>4</v>
      </c>
    </row>
    <row r="12" spans="1:25" ht="15.75" customHeight="1" x14ac:dyDescent="0.45">
      <c r="A12" s="8" t="s">
        <v>30</v>
      </c>
      <c r="B12" s="8">
        <v>1</v>
      </c>
      <c r="C12" s="8">
        <v>7</v>
      </c>
      <c r="F12" s="8">
        <v>1</v>
      </c>
      <c r="G12" s="8">
        <v>2</v>
      </c>
      <c r="L12" s="8">
        <v>3</v>
      </c>
      <c r="M12" s="8">
        <v>7</v>
      </c>
      <c r="N12" s="8">
        <v>1</v>
      </c>
      <c r="O12" s="8">
        <v>7</v>
      </c>
      <c r="P12" s="8">
        <v>1</v>
      </c>
      <c r="Q12" s="8">
        <v>7</v>
      </c>
      <c r="R12" s="8">
        <v>5</v>
      </c>
      <c r="S12" s="8">
        <v>7</v>
      </c>
      <c r="T12" s="8">
        <v>1</v>
      </c>
      <c r="U12" s="8">
        <v>4</v>
      </c>
      <c r="V12" s="8">
        <v>1</v>
      </c>
      <c r="W12" s="8">
        <v>4</v>
      </c>
    </row>
    <row r="13" spans="1:25" ht="15.75" customHeight="1" x14ac:dyDescent="0.45">
      <c r="A13" s="8" t="s">
        <v>33</v>
      </c>
      <c r="B13" s="8">
        <v>1</v>
      </c>
      <c r="C13" s="8">
        <v>4</v>
      </c>
      <c r="D13" s="8">
        <v>3</v>
      </c>
      <c r="E13" s="8">
        <v>4</v>
      </c>
      <c r="F13" s="8">
        <v>1</v>
      </c>
      <c r="G13" s="8">
        <v>2</v>
      </c>
      <c r="N13" s="8">
        <v>1</v>
      </c>
      <c r="O13" s="8">
        <v>4</v>
      </c>
      <c r="P13" s="8">
        <v>1</v>
      </c>
      <c r="Q13" s="8">
        <v>4</v>
      </c>
      <c r="T13" s="8">
        <v>1</v>
      </c>
      <c r="U13" s="8">
        <v>4</v>
      </c>
      <c r="V13" s="8">
        <v>1</v>
      </c>
      <c r="W13" s="8">
        <v>4</v>
      </c>
    </row>
    <row r="14" spans="1:25" ht="15.75" customHeight="1" x14ac:dyDescent="0.45">
      <c r="A14" s="8" t="s">
        <v>35</v>
      </c>
      <c r="B14" s="8">
        <v>2</v>
      </c>
      <c r="C14" s="8">
        <v>4</v>
      </c>
      <c r="F14" s="8">
        <v>2</v>
      </c>
      <c r="G14" s="8">
        <v>4</v>
      </c>
      <c r="N14" s="8">
        <v>2</v>
      </c>
      <c r="O14" s="8">
        <v>4</v>
      </c>
      <c r="P14" s="8">
        <v>2</v>
      </c>
      <c r="Q14" s="8">
        <v>4</v>
      </c>
      <c r="T14" s="8">
        <v>2</v>
      </c>
      <c r="U14" s="8">
        <v>4</v>
      </c>
      <c r="V14" s="8">
        <v>2</v>
      </c>
      <c r="W14" s="8">
        <v>4</v>
      </c>
    </row>
    <row r="15" spans="1:25" ht="15.75" customHeight="1" x14ac:dyDescent="0.45">
      <c r="A15" s="8" t="s">
        <v>37</v>
      </c>
      <c r="B15" s="8">
        <v>1</v>
      </c>
      <c r="C15" s="8">
        <v>6</v>
      </c>
      <c r="F15" s="8">
        <v>1</v>
      </c>
      <c r="G15" s="8">
        <v>6</v>
      </c>
      <c r="N15" s="8">
        <v>1</v>
      </c>
      <c r="O15" s="8">
        <v>6</v>
      </c>
      <c r="P15" s="8">
        <v>1</v>
      </c>
      <c r="Q15" s="8">
        <v>6</v>
      </c>
      <c r="T15" s="8">
        <v>1</v>
      </c>
      <c r="U15" s="8">
        <v>6</v>
      </c>
      <c r="V15" s="8">
        <v>1</v>
      </c>
      <c r="W15" s="8">
        <v>6</v>
      </c>
    </row>
    <row r="16" spans="1:25" ht="15.75" customHeight="1" x14ac:dyDescent="0.45">
      <c r="A16" s="8" t="s">
        <v>39</v>
      </c>
      <c r="B16" s="8">
        <v>1</v>
      </c>
      <c r="C16" s="8">
        <v>5</v>
      </c>
      <c r="F16" s="8">
        <v>1</v>
      </c>
      <c r="G16" s="8">
        <v>5</v>
      </c>
      <c r="N16" s="8">
        <v>1</v>
      </c>
      <c r="O16" s="8">
        <v>5</v>
      </c>
      <c r="P16" s="8">
        <v>1</v>
      </c>
      <c r="Q16" s="8">
        <v>5</v>
      </c>
      <c r="T16" s="8">
        <v>1</v>
      </c>
      <c r="U16" s="8">
        <v>5</v>
      </c>
      <c r="V16" s="8">
        <v>1</v>
      </c>
      <c r="W16" s="8">
        <v>5</v>
      </c>
    </row>
    <row r="17" spans="1:25" ht="15.75" customHeight="1" x14ac:dyDescent="0.45">
      <c r="A17" s="8" t="s">
        <v>41</v>
      </c>
      <c r="B17" s="8">
        <v>1</v>
      </c>
      <c r="C17" s="8">
        <v>5</v>
      </c>
      <c r="F17" s="8">
        <v>1</v>
      </c>
      <c r="G17" s="8">
        <v>2</v>
      </c>
      <c r="N17" s="8">
        <v>1</v>
      </c>
      <c r="O17" s="8">
        <v>3</v>
      </c>
      <c r="P17" s="8">
        <v>1</v>
      </c>
      <c r="Q17" s="8">
        <v>2</v>
      </c>
      <c r="T17" s="8">
        <v>1</v>
      </c>
      <c r="U17" s="8">
        <v>2</v>
      </c>
      <c r="V17" s="8">
        <v>1</v>
      </c>
      <c r="W17" s="8">
        <v>2</v>
      </c>
      <c r="X17" s="8">
        <v>3</v>
      </c>
      <c r="Y17" s="8">
        <v>5</v>
      </c>
    </row>
    <row r="18" spans="1:25" ht="15.75" customHeight="1" x14ac:dyDescent="0.45">
      <c r="A18" s="8" t="s">
        <v>47</v>
      </c>
      <c r="B18" s="8">
        <v>1</v>
      </c>
      <c r="C18" s="8">
        <v>4</v>
      </c>
      <c r="F18" s="8">
        <v>1</v>
      </c>
      <c r="G18" s="8">
        <v>4</v>
      </c>
      <c r="N18" s="8">
        <v>1</v>
      </c>
      <c r="O18" s="8">
        <v>4</v>
      </c>
      <c r="P18" s="8">
        <v>1</v>
      </c>
      <c r="Q18" s="8">
        <v>4</v>
      </c>
      <c r="T18" s="8">
        <v>1</v>
      </c>
      <c r="U18" s="8">
        <v>4</v>
      </c>
      <c r="V18" s="8">
        <v>1</v>
      </c>
      <c r="W18" s="8">
        <v>4</v>
      </c>
    </row>
    <row r="19" spans="1:25" ht="15.75" customHeight="1" x14ac:dyDescent="0.45">
      <c r="A19" s="8" t="s">
        <v>49</v>
      </c>
      <c r="B19" s="8">
        <v>1</v>
      </c>
      <c r="C19" s="8">
        <v>4</v>
      </c>
      <c r="F19" s="8">
        <v>1</v>
      </c>
      <c r="G19" s="8">
        <v>4</v>
      </c>
      <c r="N19" s="8">
        <v>1</v>
      </c>
      <c r="O19" s="8">
        <v>4</v>
      </c>
      <c r="P19" s="8">
        <v>1</v>
      </c>
      <c r="Q19" s="8">
        <v>4</v>
      </c>
      <c r="T19" s="8">
        <v>1</v>
      </c>
      <c r="U19" s="8">
        <v>4</v>
      </c>
      <c r="V19" s="8">
        <v>1</v>
      </c>
      <c r="W19" s="8">
        <v>4</v>
      </c>
    </row>
    <row r="20" spans="1:25" ht="15.75" customHeight="1" x14ac:dyDescent="0.45">
      <c r="A20" s="8" t="s">
        <v>51</v>
      </c>
      <c r="B20" s="8">
        <v>1</v>
      </c>
      <c r="C20" s="8">
        <v>4</v>
      </c>
      <c r="F20" s="8">
        <v>1</v>
      </c>
      <c r="G20" s="8">
        <v>4</v>
      </c>
      <c r="H20" s="8">
        <v>2</v>
      </c>
      <c r="I20" s="8">
        <v>4</v>
      </c>
      <c r="P20" s="8">
        <v>1</v>
      </c>
      <c r="T20" s="8">
        <v>1</v>
      </c>
      <c r="U20" s="8">
        <v>4</v>
      </c>
      <c r="V20" s="8">
        <v>1</v>
      </c>
      <c r="W20" s="8">
        <v>4</v>
      </c>
    </row>
    <row r="21" spans="1:25" ht="15.75" customHeight="1" x14ac:dyDescent="0.45">
      <c r="A21" s="8" t="s">
        <v>58</v>
      </c>
      <c r="B21" s="8">
        <v>1</v>
      </c>
      <c r="C21" s="8">
        <v>6</v>
      </c>
      <c r="F21" s="8">
        <v>1</v>
      </c>
      <c r="G21" s="8">
        <v>3</v>
      </c>
      <c r="N21" s="8">
        <v>1</v>
      </c>
      <c r="O21" s="8">
        <v>6</v>
      </c>
      <c r="P21" s="8">
        <v>1</v>
      </c>
      <c r="Q21" s="8">
        <v>6</v>
      </c>
      <c r="T21" s="8">
        <v>1</v>
      </c>
      <c r="U21" s="8">
        <v>6</v>
      </c>
      <c r="V21" s="8">
        <v>1</v>
      </c>
      <c r="W21" s="8">
        <v>6</v>
      </c>
    </row>
    <row r="22" spans="1:25" ht="15.75" customHeight="1" x14ac:dyDescent="0.45">
      <c r="A22" s="8" t="s">
        <v>60</v>
      </c>
      <c r="B22" s="8">
        <v>1</v>
      </c>
      <c r="C22" s="8">
        <v>4</v>
      </c>
      <c r="P22" s="8">
        <v>1</v>
      </c>
      <c r="Q22" s="8">
        <v>4</v>
      </c>
      <c r="T22" s="8">
        <v>1</v>
      </c>
      <c r="U22" s="8">
        <v>4</v>
      </c>
      <c r="V22" s="8">
        <v>1</v>
      </c>
      <c r="W22" s="8">
        <v>4</v>
      </c>
    </row>
    <row r="23" spans="1:25" ht="15.75" customHeight="1" x14ac:dyDescent="0.45">
      <c r="A23" s="8" t="s">
        <v>61</v>
      </c>
      <c r="B23" s="8">
        <v>2</v>
      </c>
      <c r="C23" s="8">
        <v>5</v>
      </c>
      <c r="F23" s="8">
        <v>2</v>
      </c>
      <c r="G23" s="8">
        <v>5</v>
      </c>
      <c r="N23" s="8">
        <v>2</v>
      </c>
      <c r="O23" s="8">
        <v>5</v>
      </c>
      <c r="P23" s="8">
        <v>2</v>
      </c>
      <c r="Q23" s="8">
        <v>5</v>
      </c>
      <c r="T23" s="8">
        <v>2</v>
      </c>
      <c r="U23" s="8">
        <v>5</v>
      </c>
      <c r="V23" s="8">
        <v>2</v>
      </c>
      <c r="W23" s="8">
        <v>5</v>
      </c>
    </row>
    <row r="24" spans="1:25" ht="15.75" customHeight="1" x14ac:dyDescent="0.45">
      <c r="A24" s="8" t="s">
        <v>221</v>
      </c>
      <c r="B24" s="8">
        <v>1</v>
      </c>
      <c r="C24" s="8">
        <v>6</v>
      </c>
      <c r="F24" s="8">
        <v>1</v>
      </c>
      <c r="G24" s="8">
        <v>2</v>
      </c>
      <c r="L24" s="8">
        <v>4</v>
      </c>
      <c r="M24" s="8">
        <v>6</v>
      </c>
      <c r="N24" s="8">
        <v>1</v>
      </c>
      <c r="O24" s="8">
        <v>3</v>
      </c>
      <c r="P24" s="8">
        <v>1</v>
      </c>
      <c r="Q24" s="8">
        <v>3</v>
      </c>
      <c r="R24" s="8">
        <v>4</v>
      </c>
      <c r="S24" s="8">
        <v>6</v>
      </c>
      <c r="T24" s="8">
        <v>1</v>
      </c>
      <c r="U24" s="8">
        <v>3</v>
      </c>
      <c r="V24" s="8">
        <v>1</v>
      </c>
      <c r="W24" s="8">
        <v>3</v>
      </c>
    </row>
    <row r="25" spans="1:25" ht="15.75" customHeight="1" x14ac:dyDescent="0.45">
      <c r="A25" s="8" t="s">
        <v>63</v>
      </c>
      <c r="B25" s="8">
        <v>1</v>
      </c>
      <c r="C25" s="8">
        <v>5</v>
      </c>
      <c r="D25" s="8">
        <v>4</v>
      </c>
      <c r="E25" s="8">
        <v>5</v>
      </c>
      <c r="F25" s="8">
        <v>1</v>
      </c>
      <c r="G25" s="8">
        <v>3</v>
      </c>
      <c r="N25" s="8">
        <v>1</v>
      </c>
      <c r="O25" s="8">
        <v>5</v>
      </c>
      <c r="P25" s="8">
        <v>1</v>
      </c>
      <c r="Q25" s="8">
        <v>5</v>
      </c>
      <c r="T25" s="8">
        <v>1</v>
      </c>
      <c r="U25" s="8">
        <v>5</v>
      </c>
      <c r="V25" s="8">
        <v>1</v>
      </c>
      <c r="W25" s="8">
        <v>5</v>
      </c>
    </row>
    <row r="26" spans="1:25" ht="15.75" customHeight="1" x14ac:dyDescent="0.45">
      <c r="A26" s="8" t="s">
        <v>65</v>
      </c>
      <c r="B26" s="8">
        <v>1</v>
      </c>
      <c r="C26" s="8">
        <v>6</v>
      </c>
      <c r="D26" s="8">
        <v>3</v>
      </c>
      <c r="E26" s="8">
        <v>5</v>
      </c>
      <c r="F26" s="8">
        <v>1</v>
      </c>
      <c r="G26" s="8">
        <v>2</v>
      </c>
      <c r="L26" s="8">
        <v>4</v>
      </c>
      <c r="M26" s="8">
        <v>6</v>
      </c>
      <c r="N26" s="8">
        <v>1</v>
      </c>
      <c r="O26" s="8">
        <v>2</v>
      </c>
      <c r="P26" s="8">
        <v>1</v>
      </c>
      <c r="Q26" s="8">
        <v>2</v>
      </c>
      <c r="R26" s="8">
        <v>3</v>
      </c>
      <c r="S26" s="8">
        <v>6</v>
      </c>
      <c r="T26" s="8">
        <v>1</v>
      </c>
      <c r="U26" s="8">
        <v>2</v>
      </c>
      <c r="V26" s="8">
        <v>1</v>
      </c>
      <c r="W26" s="8">
        <v>2</v>
      </c>
    </row>
    <row r="27" spans="1:25" ht="15.75" customHeight="1" x14ac:dyDescent="0.45">
      <c r="A27" s="8" t="s">
        <v>10</v>
      </c>
      <c r="B27" s="8">
        <v>3</v>
      </c>
      <c r="C27" s="8">
        <v>8</v>
      </c>
      <c r="H27" s="8">
        <v>3</v>
      </c>
      <c r="I27" s="8">
        <v>8</v>
      </c>
      <c r="J27" s="8">
        <v>3</v>
      </c>
      <c r="K27" s="8">
        <v>8</v>
      </c>
      <c r="L27" s="8">
        <v>3</v>
      </c>
      <c r="M27" s="8">
        <v>8</v>
      </c>
      <c r="R27" s="8">
        <v>3</v>
      </c>
      <c r="S27" s="8">
        <v>8</v>
      </c>
    </row>
    <row r="28" spans="1:25" ht="15.75" customHeight="1" x14ac:dyDescent="0.45">
      <c r="A28" s="8" t="s">
        <v>166</v>
      </c>
      <c r="B28" s="8">
        <v>3</v>
      </c>
      <c r="C28" s="8">
        <v>8</v>
      </c>
      <c r="R28" s="8">
        <v>3</v>
      </c>
      <c r="S28" s="8">
        <v>8</v>
      </c>
    </row>
    <row r="29" spans="1:25" ht="15.75" customHeight="1" x14ac:dyDescent="0.45">
      <c r="A29" s="8" t="s">
        <v>167</v>
      </c>
      <c r="B29" s="8">
        <v>3</v>
      </c>
      <c r="C29" s="8">
        <v>8</v>
      </c>
      <c r="D29" s="8">
        <v>3</v>
      </c>
      <c r="E29" s="8">
        <v>8</v>
      </c>
      <c r="L29" s="8">
        <v>3</v>
      </c>
      <c r="M29" s="8">
        <v>8</v>
      </c>
      <c r="P29" s="8">
        <v>3</v>
      </c>
      <c r="Q29" s="8">
        <v>8</v>
      </c>
    </row>
    <row r="30" spans="1:25" ht="15.75" customHeight="1" x14ac:dyDescent="0.45">
      <c r="A30" s="8" t="s">
        <v>21</v>
      </c>
      <c r="B30" s="8">
        <v>3</v>
      </c>
      <c r="C30" s="8">
        <v>8</v>
      </c>
      <c r="P30" s="8">
        <v>3</v>
      </c>
      <c r="Q30" s="8">
        <v>8</v>
      </c>
      <c r="T30" s="8">
        <v>3</v>
      </c>
      <c r="U30" s="8">
        <v>8</v>
      </c>
      <c r="V30" s="8">
        <v>3</v>
      </c>
      <c r="W30" s="8">
        <v>8</v>
      </c>
    </row>
    <row r="31" spans="1:25" ht="15.75" customHeight="1" x14ac:dyDescent="0.45"/>
    <row r="32" spans="1:25" ht="15.75" customHeight="1" x14ac:dyDescent="0.45"/>
    <row r="33" ht="15.75" customHeight="1" x14ac:dyDescent="0.45"/>
    <row r="34" ht="15.75" customHeight="1" x14ac:dyDescent="0.45"/>
    <row r="35" ht="15.75" customHeight="1" x14ac:dyDescent="0.45"/>
    <row r="36" ht="15.75" customHeight="1" x14ac:dyDescent="0.45"/>
    <row r="37" ht="15.75" customHeight="1" x14ac:dyDescent="0.45"/>
    <row r="38" ht="15.75" customHeight="1" x14ac:dyDescent="0.45"/>
    <row r="39" ht="15.75" customHeight="1" x14ac:dyDescent="0.45"/>
    <row r="40" ht="15.75" customHeight="1" x14ac:dyDescent="0.45"/>
    <row r="41" ht="15.75" customHeight="1" x14ac:dyDescent="0.45"/>
    <row r="42" ht="15.75" customHeight="1" x14ac:dyDescent="0.45"/>
    <row r="43" ht="15.75" customHeight="1" x14ac:dyDescent="0.45"/>
    <row r="44" ht="15.75" customHeight="1" x14ac:dyDescent="0.45"/>
    <row r="45" ht="15.75" customHeight="1" x14ac:dyDescent="0.45"/>
    <row r="46" ht="15.75" customHeight="1" x14ac:dyDescent="0.45"/>
    <row r="47" ht="15.75" customHeight="1" x14ac:dyDescent="0.45"/>
    <row r="48" ht="15.75" customHeight="1" x14ac:dyDescent="0.45"/>
    <row r="49" ht="15.75" customHeight="1" x14ac:dyDescent="0.45"/>
    <row r="50" ht="15.75" customHeight="1" x14ac:dyDescent="0.45"/>
    <row r="51" ht="15.75" customHeight="1" x14ac:dyDescent="0.45"/>
    <row r="52" ht="15.75" customHeight="1" x14ac:dyDescent="0.45"/>
    <row r="53" ht="15.75" customHeight="1" x14ac:dyDescent="0.45"/>
    <row r="54" ht="15.75" customHeight="1" x14ac:dyDescent="0.45"/>
    <row r="55" ht="15.75" customHeight="1" x14ac:dyDescent="0.45"/>
    <row r="56" ht="15.75" customHeight="1" x14ac:dyDescent="0.45"/>
    <row r="57" ht="15.75" customHeight="1" x14ac:dyDescent="0.45"/>
    <row r="58" ht="15.75" customHeight="1" x14ac:dyDescent="0.45"/>
    <row r="59" ht="15.75" customHeight="1" x14ac:dyDescent="0.45"/>
    <row r="60" ht="15.75" customHeight="1" x14ac:dyDescent="0.45"/>
    <row r="61" ht="15.75" customHeight="1" x14ac:dyDescent="0.45"/>
    <row r="62" ht="15.75" customHeight="1" x14ac:dyDescent="0.45"/>
    <row r="63" ht="15.75" customHeight="1" x14ac:dyDescent="0.45"/>
    <row r="64"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row r="991" ht="15.75" customHeight="1" x14ac:dyDescent="0.45"/>
    <row r="992" ht="15.75" customHeight="1" x14ac:dyDescent="0.45"/>
    <row r="993" ht="15.75" customHeight="1" x14ac:dyDescent="0.45"/>
  </sheetData>
  <pageMargins left="0.7" right="0.7" top="0.75" bottom="0.75"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F74EC-896B-4C58-80FA-DD8A8A66D97D}">
  <sheetPr codeName="Response_roles"/>
  <dimension ref="A1:B16"/>
  <sheetViews>
    <sheetView workbookViewId="0">
      <selection activeCell="A2" sqref="A2"/>
    </sheetView>
  </sheetViews>
  <sheetFormatPr defaultRowHeight="14.25" x14ac:dyDescent="0.45"/>
  <cols>
    <col min="1" max="1" width="19.1328125" style="71" bestFit="1" customWidth="1"/>
    <col min="2" max="2" width="86.19921875" style="5" customWidth="1"/>
  </cols>
  <sheetData>
    <row r="1" spans="1:2" x14ac:dyDescent="0.45">
      <c r="A1" s="71" t="s">
        <v>452</v>
      </c>
      <c r="B1" s="5" t="s">
        <v>453</v>
      </c>
    </row>
    <row r="2" spans="1:2" ht="42.75" x14ac:dyDescent="0.45">
      <c r="A2" s="71" t="s">
        <v>438</v>
      </c>
      <c r="B2" s="5" t="s">
        <v>454</v>
      </c>
    </row>
    <row r="3" spans="1:2" ht="42.75" x14ac:dyDescent="0.45">
      <c r="A3" s="71" t="s">
        <v>439</v>
      </c>
      <c r="B3" s="5" t="s">
        <v>455</v>
      </c>
    </row>
    <row r="4" spans="1:2" ht="42.75" x14ac:dyDescent="0.45">
      <c r="A4" s="71" t="s">
        <v>440</v>
      </c>
      <c r="B4" s="5" t="s">
        <v>456</v>
      </c>
    </row>
    <row r="5" spans="1:2" ht="42.75" x14ac:dyDescent="0.45">
      <c r="A5" s="71" t="s">
        <v>441</v>
      </c>
      <c r="B5" s="5" t="s">
        <v>457</v>
      </c>
    </row>
    <row r="6" spans="1:2" ht="42.75" x14ac:dyDescent="0.45">
      <c r="A6" s="71" t="s">
        <v>442</v>
      </c>
      <c r="B6" s="5" t="s">
        <v>458</v>
      </c>
    </row>
    <row r="7" spans="1:2" ht="28.5" x14ac:dyDescent="0.45">
      <c r="A7" s="71" t="s">
        <v>443</v>
      </c>
      <c r="B7" s="5" t="s">
        <v>459</v>
      </c>
    </row>
    <row r="8" spans="1:2" ht="28.5" x14ac:dyDescent="0.45">
      <c r="A8" s="71" t="s">
        <v>444</v>
      </c>
      <c r="B8" s="5" t="s">
        <v>460</v>
      </c>
    </row>
    <row r="9" spans="1:2" ht="28.5" x14ac:dyDescent="0.45">
      <c r="A9" s="71" t="s">
        <v>445</v>
      </c>
      <c r="B9" s="5" t="s">
        <v>461</v>
      </c>
    </row>
    <row r="10" spans="1:2" ht="28.5" x14ac:dyDescent="0.45">
      <c r="A10" s="71" t="s">
        <v>446</v>
      </c>
      <c r="B10" s="5" t="s">
        <v>462</v>
      </c>
    </row>
    <row r="11" spans="1:2" ht="28.5" x14ac:dyDescent="0.45">
      <c r="A11" s="71" t="s">
        <v>447</v>
      </c>
      <c r="B11" s="5" t="s">
        <v>463</v>
      </c>
    </row>
    <row r="12" spans="1:2" x14ac:dyDescent="0.45">
      <c r="A12" s="71" t="s">
        <v>448</v>
      </c>
      <c r="B12" s="5" t="s">
        <v>464</v>
      </c>
    </row>
    <row r="13" spans="1:2" x14ac:dyDescent="0.45">
      <c r="A13" s="71" t="s">
        <v>449</v>
      </c>
      <c r="B13" s="5" t="s">
        <v>465</v>
      </c>
    </row>
    <row r="14" spans="1:2" ht="28.5" x14ac:dyDescent="0.45">
      <c r="A14" s="71" t="s">
        <v>450</v>
      </c>
      <c r="B14" s="5" t="s">
        <v>466</v>
      </c>
    </row>
    <row r="15" spans="1:2" ht="28.5" x14ac:dyDescent="0.45">
      <c r="A15" s="71" t="s">
        <v>451</v>
      </c>
      <c r="B15" s="5" t="s">
        <v>154</v>
      </c>
    </row>
    <row r="16" spans="1:2" ht="28.5" x14ac:dyDescent="0.45">
      <c r="A16" s="71" t="s">
        <v>430</v>
      </c>
      <c r="B16" s="5" t="s">
        <v>467</v>
      </c>
    </row>
  </sheetData>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ole_map"/>
  <dimension ref="A1:Z103"/>
  <sheetViews>
    <sheetView zoomScaleNormal="100" workbookViewId="0">
      <pane ySplit="1" topLeftCell="A2" activePane="bottomLeft" state="frozen"/>
      <selection pane="bottomLeft" activeCell="A2" sqref="A2"/>
    </sheetView>
  </sheetViews>
  <sheetFormatPr defaultColWidth="11.265625" defaultRowHeight="15" customHeight="1" x14ac:dyDescent="0.45"/>
  <cols>
    <col min="1" max="1" width="36.796875" style="8" customWidth="1"/>
    <col min="2" max="2" width="7.3984375" customWidth="1"/>
    <col min="3" max="3" width="7.6640625" customWidth="1"/>
    <col min="4" max="4" width="7.59765625" customWidth="1"/>
    <col min="5" max="5" width="7.46484375" customWidth="1"/>
    <col min="6" max="6" width="7.06640625" customWidth="1"/>
    <col min="7" max="7" width="6.3984375" customWidth="1"/>
    <col min="8" max="8" width="6.86328125" customWidth="1"/>
    <col min="9" max="9" width="9.1328125" customWidth="1"/>
    <col min="10" max="10" width="8.796875" customWidth="1"/>
    <col min="11" max="11" width="7.3984375" customWidth="1"/>
    <col min="12" max="12" width="6.9296875" customWidth="1"/>
    <col min="13" max="13" width="9.06640625" customWidth="1"/>
    <col min="14" max="14" width="7.33203125" customWidth="1"/>
    <col min="15" max="15" width="14.1328125" customWidth="1"/>
    <col min="16" max="16" width="7.9296875" style="12" customWidth="1"/>
    <col min="17" max="17" width="63.06640625" style="28" customWidth="1"/>
    <col min="18" max="18" width="8.73046875" customWidth="1"/>
    <col min="19" max="19" width="17.1328125" customWidth="1"/>
    <col min="20" max="20" width="8.73046875" customWidth="1"/>
    <col min="21" max="21" width="13.1328125" customWidth="1"/>
    <col min="22" max="26" width="8.73046875" customWidth="1"/>
  </cols>
  <sheetData>
    <row r="1" spans="1:26" ht="14.25" x14ac:dyDescent="0.45">
      <c r="A1" s="8" t="s">
        <v>0</v>
      </c>
      <c r="B1" s="8" t="s">
        <v>6</v>
      </c>
      <c r="C1" s="8" t="s">
        <v>16</v>
      </c>
      <c r="D1" s="8" t="s">
        <v>17</v>
      </c>
      <c r="E1" s="8" t="s">
        <v>42</v>
      </c>
      <c r="F1" s="8" t="s">
        <v>43</v>
      </c>
      <c r="G1" s="8" t="s">
        <v>45</v>
      </c>
      <c r="H1" s="8" t="s">
        <v>46</v>
      </c>
      <c r="I1" s="8" t="s">
        <v>52</v>
      </c>
      <c r="J1" s="8" t="s">
        <v>53</v>
      </c>
      <c r="K1" s="8" t="s">
        <v>54</v>
      </c>
      <c r="L1" s="8" t="s">
        <v>55</v>
      </c>
      <c r="M1" s="8" t="s">
        <v>56</v>
      </c>
      <c r="N1" s="8" t="s">
        <v>57</v>
      </c>
      <c r="O1" s="2"/>
      <c r="P1" s="46"/>
      <c r="Q1" s="16"/>
      <c r="R1" s="2"/>
      <c r="S1" s="2"/>
      <c r="T1" s="2"/>
      <c r="U1" s="2"/>
      <c r="V1" s="2"/>
      <c r="W1" s="2"/>
      <c r="X1" s="2"/>
      <c r="Y1" s="2"/>
      <c r="Z1" s="2"/>
    </row>
    <row r="2" spans="1:26" ht="14.25" x14ac:dyDescent="0.45">
      <c r="A2" s="8" t="s">
        <v>4</v>
      </c>
      <c r="B2" s="29">
        <v>4</v>
      </c>
      <c r="C2" s="29">
        <v>4</v>
      </c>
      <c r="D2" s="30"/>
      <c r="E2" s="30"/>
      <c r="F2" s="30"/>
      <c r="G2" s="30"/>
      <c r="H2" s="31"/>
      <c r="I2" s="31"/>
      <c r="J2" s="32">
        <v>4</v>
      </c>
      <c r="K2" s="32"/>
      <c r="L2" s="32"/>
      <c r="M2" s="32"/>
      <c r="N2" s="33"/>
      <c r="O2" s="2"/>
      <c r="P2" s="46"/>
      <c r="R2" s="2"/>
      <c r="S2" s="2"/>
      <c r="T2" s="2"/>
      <c r="U2" s="2"/>
      <c r="V2" s="2"/>
      <c r="W2" s="2"/>
      <c r="X2" s="2"/>
      <c r="Y2" s="2"/>
      <c r="Z2" s="2"/>
    </row>
    <row r="3" spans="1:26" ht="14.25" x14ac:dyDescent="0.45">
      <c r="A3" s="8" t="s">
        <v>9</v>
      </c>
      <c r="B3" s="29">
        <v>5</v>
      </c>
      <c r="C3" s="29">
        <v>6</v>
      </c>
      <c r="D3" s="30"/>
      <c r="E3" s="30"/>
      <c r="F3" s="30"/>
      <c r="G3" s="30"/>
      <c r="H3" s="30" t="s">
        <v>68</v>
      </c>
      <c r="I3" s="30"/>
      <c r="J3" s="32"/>
      <c r="K3" s="32"/>
      <c r="L3" s="32"/>
      <c r="M3" s="32"/>
      <c r="N3" s="33"/>
      <c r="O3" s="2"/>
      <c r="P3" s="46"/>
      <c r="R3" s="2"/>
      <c r="S3" s="2"/>
      <c r="T3" s="2"/>
      <c r="V3" s="2"/>
      <c r="W3" s="2"/>
      <c r="X3" s="2"/>
      <c r="Y3" s="2"/>
      <c r="Z3" s="2"/>
    </row>
    <row r="4" spans="1:26" ht="14.25" x14ac:dyDescent="0.45">
      <c r="A4" s="8" t="s">
        <v>12</v>
      </c>
      <c r="B4" s="29">
        <v>8</v>
      </c>
      <c r="C4" s="29">
        <v>8</v>
      </c>
      <c r="D4" s="30">
        <v>8</v>
      </c>
      <c r="E4" s="30"/>
      <c r="F4" s="30"/>
      <c r="G4" s="30"/>
      <c r="H4" s="31"/>
      <c r="I4" s="31"/>
      <c r="J4" s="32"/>
      <c r="K4" s="32"/>
      <c r="L4" s="32"/>
      <c r="M4" s="32"/>
      <c r="N4" s="33"/>
      <c r="O4" s="2"/>
      <c r="P4" s="46"/>
      <c r="Q4" s="47" t="s">
        <v>7</v>
      </c>
      <c r="R4" s="2"/>
      <c r="S4" s="2" t="s">
        <v>73</v>
      </c>
      <c r="T4" s="2"/>
      <c r="U4" s="2" t="s">
        <v>69</v>
      </c>
      <c r="V4" s="2"/>
      <c r="W4" s="2"/>
      <c r="X4" s="2"/>
      <c r="Y4" s="2"/>
      <c r="Z4" s="2"/>
    </row>
    <row r="5" spans="1:26" ht="15.75" customHeight="1" x14ac:dyDescent="0.45">
      <c r="A5" s="8" t="s">
        <v>14</v>
      </c>
      <c r="B5" s="29">
        <v>7</v>
      </c>
      <c r="C5" s="29">
        <v>7</v>
      </c>
      <c r="D5" s="30">
        <v>7</v>
      </c>
      <c r="E5" s="30"/>
      <c r="F5" s="30"/>
      <c r="G5" s="30"/>
      <c r="H5" s="31"/>
      <c r="I5" s="31"/>
      <c r="J5" s="32"/>
      <c r="K5" s="32"/>
      <c r="L5" s="32"/>
      <c r="M5" s="32"/>
      <c r="N5" s="33"/>
      <c r="O5" s="2"/>
      <c r="P5" s="48" t="s">
        <v>17</v>
      </c>
      <c r="Q5" s="79" t="s">
        <v>414</v>
      </c>
      <c r="R5" s="2"/>
      <c r="S5" s="2" t="s">
        <v>79</v>
      </c>
      <c r="T5" s="2"/>
      <c r="U5" s="2" t="s">
        <v>74</v>
      </c>
      <c r="V5" s="2"/>
      <c r="W5" s="2"/>
      <c r="X5" s="2"/>
      <c r="Y5" s="2"/>
      <c r="Z5" s="2"/>
    </row>
    <row r="6" spans="1:26" ht="15.75" customHeight="1" x14ac:dyDescent="0.45">
      <c r="A6" s="8" t="s">
        <v>18</v>
      </c>
      <c r="B6" s="29">
        <v>4</v>
      </c>
      <c r="C6" s="29">
        <v>5</v>
      </c>
      <c r="D6" s="30" t="s">
        <v>83</v>
      </c>
      <c r="E6" s="30"/>
      <c r="F6" s="30"/>
      <c r="G6" s="30"/>
      <c r="H6" s="31"/>
      <c r="I6" s="31"/>
      <c r="J6" s="32"/>
      <c r="K6" s="32"/>
      <c r="L6" s="32"/>
      <c r="M6" s="32"/>
      <c r="N6" s="33"/>
      <c r="O6" s="2"/>
      <c r="P6" s="11"/>
      <c r="Q6" s="78"/>
      <c r="R6" s="2"/>
      <c r="S6" s="2" t="s">
        <v>85</v>
      </c>
      <c r="T6" s="2"/>
      <c r="U6" s="2" t="s">
        <v>81</v>
      </c>
      <c r="V6" s="2"/>
      <c r="W6" s="2"/>
      <c r="X6" s="2"/>
      <c r="Y6" s="2"/>
      <c r="Z6" s="2"/>
    </row>
    <row r="7" spans="1:26" ht="14.25" x14ac:dyDescent="0.45">
      <c r="A7" s="8" t="s">
        <v>20</v>
      </c>
      <c r="B7" s="29">
        <v>5</v>
      </c>
      <c r="C7" s="29">
        <v>6</v>
      </c>
      <c r="D7" s="30"/>
      <c r="E7" s="30"/>
      <c r="F7" s="30"/>
      <c r="G7" s="30"/>
      <c r="H7" s="31"/>
      <c r="I7" s="31"/>
      <c r="J7" s="32"/>
      <c r="K7" s="32"/>
      <c r="L7" s="32"/>
      <c r="M7" s="32"/>
      <c r="N7" s="33" t="s">
        <v>68</v>
      </c>
      <c r="O7" s="2"/>
      <c r="P7" s="48" t="s">
        <v>42</v>
      </c>
      <c r="Q7" s="79" t="s">
        <v>415</v>
      </c>
      <c r="R7" s="2"/>
      <c r="S7" s="2" t="s">
        <v>88</v>
      </c>
      <c r="T7" s="2"/>
      <c r="U7" s="2"/>
      <c r="V7" s="2"/>
      <c r="W7" s="2"/>
      <c r="X7" s="2"/>
      <c r="Y7" s="2"/>
      <c r="Z7" s="2"/>
    </row>
    <row r="8" spans="1:26" ht="14.25" x14ac:dyDescent="0.45">
      <c r="A8" s="8" t="s">
        <v>8</v>
      </c>
      <c r="B8" s="29">
        <v>1</v>
      </c>
      <c r="C8" s="29">
        <v>4</v>
      </c>
      <c r="D8" s="30" t="s">
        <v>90</v>
      </c>
      <c r="E8" s="30" t="s">
        <v>90</v>
      </c>
      <c r="F8" s="30"/>
      <c r="G8" s="30"/>
      <c r="H8" s="31">
        <v>4</v>
      </c>
      <c r="I8" s="31" t="s">
        <v>90</v>
      </c>
      <c r="J8" s="32">
        <v>2</v>
      </c>
      <c r="K8" s="32">
        <v>2</v>
      </c>
      <c r="L8" s="32"/>
      <c r="M8" s="32">
        <v>2</v>
      </c>
      <c r="N8" s="33">
        <v>1</v>
      </c>
      <c r="O8" s="2"/>
      <c r="P8" s="11"/>
      <c r="Q8" s="78"/>
      <c r="R8" s="2"/>
      <c r="S8" s="2" t="s">
        <v>91</v>
      </c>
      <c r="T8" s="2"/>
      <c r="U8" s="2"/>
      <c r="V8" s="2"/>
      <c r="W8" s="2"/>
      <c r="X8" s="2"/>
      <c r="Y8" s="2"/>
      <c r="Z8" s="2"/>
    </row>
    <row r="9" spans="1:26" ht="14.25" x14ac:dyDescent="0.45">
      <c r="A9" s="8" t="s">
        <v>24</v>
      </c>
      <c r="B9" s="29">
        <v>5</v>
      </c>
      <c r="C9" s="29">
        <v>5</v>
      </c>
      <c r="D9" s="30">
        <v>5</v>
      </c>
      <c r="E9" s="30"/>
      <c r="F9" s="30"/>
      <c r="G9" s="30"/>
      <c r="H9" s="31"/>
      <c r="I9" s="31"/>
      <c r="J9" s="32"/>
      <c r="K9" s="32"/>
      <c r="L9" s="32"/>
      <c r="M9" s="32"/>
      <c r="N9" s="33"/>
      <c r="O9" s="2"/>
      <c r="P9" s="48" t="s">
        <v>43</v>
      </c>
      <c r="Q9" s="79" t="s">
        <v>416</v>
      </c>
      <c r="R9" s="2"/>
      <c r="S9" s="2" t="s">
        <v>100</v>
      </c>
      <c r="T9" s="2"/>
      <c r="U9" s="2"/>
      <c r="V9" s="2"/>
      <c r="W9" s="2"/>
      <c r="X9" s="2"/>
      <c r="Y9" s="2"/>
      <c r="Z9" s="2"/>
    </row>
    <row r="10" spans="1:26" ht="14.25" x14ac:dyDescent="0.45">
      <c r="A10" s="8" t="s">
        <v>26</v>
      </c>
      <c r="B10" s="29">
        <v>3</v>
      </c>
      <c r="C10" s="29">
        <v>8</v>
      </c>
      <c r="D10" s="30" t="s">
        <v>102</v>
      </c>
      <c r="E10" s="30"/>
      <c r="F10" s="30"/>
      <c r="G10" s="30"/>
      <c r="H10" s="31"/>
      <c r="I10" s="31"/>
      <c r="J10" s="32"/>
      <c r="K10" s="32"/>
      <c r="L10" s="32"/>
      <c r="M10" s="32"/>
      <c r="N10" s="33"/>
      <c r="O10" s="2"/>
      <c r="P10" s="11"/>
      <c r="Q10" s="78"/>
      <c r="R10" s="2"/>
      <c r="S10" s="2" t="s">
        <v>104</v>
      </c>
      <c r="T10" s="2"/>
      <c r="U10" s="2"/>
      <c r="V10" s="2"/>
      <c r="W10" s="2"/>
      <c r="X10" s="2"/>
      <c r="Y10" s="2"/>
      <c r="Z10" s="2"/>
    </row>
    <row r="11" spans="1:26" ht="14.25" x14ac:dyDescent="0.45">
      <c r="A11" s="8" t="s">
        <v>28</v>
      </c>
      <c r="B11" s="29">
        <v>4</v>
      </c>
      <c r="C11" s="29">
        <v>5</v>
      </c>
      <c r="D11" s="30"/>
      <c r="E11" s="30"/>
      <c r="F11" s="30"/>
      <c r="G11" s="30"/>
      <c r="H11" s="31"/>
      <c r="I11" s="31"/>
      <c r="J11" s="32"/>
      <c r="K11" s="32"/>
      <c r="L11" s="32"/>
      <c r="M11" s="32"/>
      <c r="N11" s="33" t="s">
        <v>83</v>
      </c>
      <c r="O11" s="2"/>
      <c r="P11" s="48" t="s">
        <v>45</v>
      </c>
      <c r="Q11" s="79" t="s">
        <v>417</v>
      </c>
      <c r="R11" s="2"/>
      <c r="S11" s="2" t="s">
        <v>109</v>
      </c>
      <c r="T11" s="2"/>
      <c r="U11" s="2"/>
      <c r="V11" s="2"/>
      <c r="W11" s="2"/>
      <c r="X11" s="2"/>
      <c r="Y11" s="2"/>
      <c r="Z11" s="2"/>
    </row>
    <row r="12" spans="1:26" ht="14.25" customHeight="1" x14ac:dyDescent="0.45">
      <c r="A12" s="8" t="s">
        <v>11</v>
      </c>
      <c r="B12" s="29">
        <v>1</v>
      </c>
      <c r="C12" s="29">
        <v>5</v>
      </c>
      <c r="D12" s="30" t="s">
        <v>83</v>
      </c>
      <c r="E12" s="30"/>
      <c r="F12" s="30"/>
      <c r="G12" s="30"/>
      <c r="H12" s="31"/>
      <c r="I12" s="31"/>
      <c r="J12" s="32"/>
      <c r="K12" s="32"/>
      <c r="L12" s="32" t="s">
        <v>111</v>
      </c>
      <c r="M12" s="32"/>
      <c r="N12" s="33">
        <v>1</v>
      </c>
      <c r="O12" s="2"/>
      <c r="P12" s="11"/>
      <c r="Q12" s="78"/>
      <c r="R12" s="2"/>
      <c r="S12" s="2" t="s">
        <v>112</v>
      </c>
      <c r="T12" s="2"/>
      <c r="U12" s="2"/>
      <c r="V12" s="2"/>
      <c r="W12" s="2"/>
      <c r="X12" s="2"/>
      <c r="Y12" s="2"/>
      <c r="Z12" s="2"/>
    </row>
    <row r="13" spans="1:26" ht="14.25" x14ac:dyDescent="0.45">
      <c r="A13" s="8" t="s">
        <v>31</v>
      </c>
      <c r="B13" s="29">
        <v>7</v>
      </c>
      <c r="C13" s="29">
        <v>8</v>
      </c>
      <c r="D13" s="30" t="s">
        <v>113</v>
      </c>
      <c r="E13" s="30"/>
      <c r="F13" s="30"/>
      <c r="G13" s="30"/>
      <c r="H13" s="31"/>
      <c r="I13" s="31"/>
      <c r="J13" s="32"/>
      <c r="K13" s="32"/>
      <c r="L13" s="32"/>
      <c r="M13" s="32"/>
      <c r="N13" s="33"/>
      <c r="O13" s="2"/>
      <c r="P13" s="49" t="s">
        <v>46</v>
      </c>
      <c r="Q13" s="76" t="s">
        <v>418</v>
      </c>
      <c r="R13" s="2"/>
      <c r="S13" s="2"/>
      <c r="T13" s="2"/>
      <c r="U13" s="2"/>
      <c r="V13" s="2"/>
      <c r="W13" s="2"/>
      <c r="X13" s="2"/>
      <c r="Y13" s="2"/>
      <c r="Z13" s="2"/>
    </row>
    <row r="14" spans="1:26" ht="14.25" x14ac:dyDescent="0.45">
      <c r="A14" s="8" t="s">
        <v>34</v>
      </c>
      <c r="B14" s="29">
        <v>1</v>
      </c>
      <c r="C14" s="29">
        <v>1</v>
      </c>
      <c r="D14" s="30"/>
      <c r="E14" s="30"/>
      <c r="F14" s="30"/>
      <c r="G14" s="30"/>
      <c r="H14" s="31"/>
      <c r="I14" s="31"/>
      <c r="J14" s="32"/>
      <c r="K14" s="32"/>
      <c r="L14" s="32"/>
      <c r="M14" s="32"/>
      <c r="N14" s="33">
        <v>1</v>
      </c>
      <c r="O14" s="2"/>
      <c r="P14" s="11"/>
      <c r="Q14" s="77"/>
      <c r="R14" s="2"/>
      <c r="S14" s="2"/>
      <c r="T14" s="2"/>
      <c r="U14" s="2"/>
      <c r="V14" s="2"/>
      <c r="W14" s="2"/>
      <c r="X14" s="2"/>
      <c r="Y14" s="2"/>
      <c r="Z14" s="2"/>
    </row>
    <row r="15" spans="1:26" ht="14.25" x14ac:dyDescent="0.45">
      <c r="A15" s="8" t="s">
        <v>36</v>
      </c>
      <c r="B15" s="29">
        <v>5</v>
      </c>
      <c r="C15" s="29">
        <v>5</v>
      </c>
      <c r="D15" s="30"/>
      <c r="E15" s="30"/>
      <c r="F15" s="30"/>
      <c r="G15" s="30"/>
      <c r="H15" s="31"/>
      <c r="I15" s="31"/>
      <c r="J15" s="32"/>
      <c r="K15" s="32"/>
      <c r="L15" s="32"/>
      <c r="M15" s="32"/>
      <c r="N15" s="33"/>
      <c r="O15" s="2"/>
      <c r="P15" s="11"/>
      <c r="Q15" s="78"/>
      <c r="R15" s="2"/>
      <c r="S15" s="2"/>
      <c r="T15" s="2"/>
      <c r="U15" s="2"/>
      <c r="V15" s="2"/>
      <c r="W15" s="2"/>
      <c r="X15" s="2"/>
      <c r="Y15" s="2"/>
      <c r="Z15" s="2"/>
    </row>
    <row r="16" spans="1:26" ht="14.25" customHeight="1" x14ac:dyDescent="0.45">
      <c r="A16" s="8" t="s">
        <v>38</v>
      </c>
      <c r="B16" s="29">
        <v>2</v>
      </c>
      <c r="C16" s="29">
        <v>2</v>
      </c>
      <c r="D16" s="30"/>
      <c r="E16" s="30"/>
      <c r="F16" s="30"/>
      <c r="G16" s="30"/>
      <c r="H16" s="31"/>
      <c r="I16" s="31"/>
      <c r="J16" s="32"/>
      <c r="K16" s="32"/>
      <c r="L16" s="32"/>
      <c r="M16" s="32"/>
      <c r="N16" s="33">
        <v>1</v>
      </c>
      <c r="O16" s="2"/>
      <c r="P16" s="49" t="s">
        <v>52</v>
      </c>
      <c r="Q16" s="76" t="s">
        <v>419</v>
      </c>
      <c r="R16" s="2"/>
      <c r="S16" s="2"/>
      <c r="T16" s="2"/>
      <c r="U16" s="2"/>
      <c r="V16" s="2"/>
      <c r="W16" s="2"/>
      <c r="X16" s="2"/>
      <c r="Y16" s="2"/>
      <c r="Z16" s="2"/>
    </row>
    <row r="17" spans="1:26" ht="14.25" customHeight="1" x14ac:dyDescent="0.45">
      <c r="A17" s="8" t="s">
        <v>40</v>
      </c>
      <c r="B17" s="29">
        <v>5</v>
      </c>
      <c r="C17" s="29">
        <v>5</v>
      </c>
      <c r="D17" s="30">
        <v>5</v>
      </c>
      <c r="E17" s="30"/>
      <c r="F17" s="30"/>
      <c r="G17" s="30"/>
      <c r="H17" s="31"/>
      <c r="I17" s="31"/>
      <c r="J17" s="32"/>
      <c r="K17" s="32">
        <v>5</v>
      </c>
      <c r="L17" s="32"/>
      <c r="M17" s="32"/>
      <c r="N17" s="33"/>
      <c r="O17" s="2"/>
      <c r="P17" s="11"/>
      <c r="Q17" s="77"/>
      <c r="R17" s="2"/>
      <c r="S17" s="2"/>
      <c r="T17" s="2"/>
      <c r="U17" s="2"/>
      <c r="V17" s="2"/>
      <c r="W17" s="2"/>
      <c r="X17" s="2"/>
      <c r="Y17" s="2"/>
      <c r="Z17" s="2"/>
    </row>
    <row r="18" spans="1:26" ht="14.25" customHeight="1" x14ac:dyDescent="0.45">
      <c r="A18" s="8" t="s">
        <v>44</v>
      </c>
      <c r="B18" s="29">
        <v>5</v>
      </c>
      <c r="C18" s="29">
        <v>5</v>
      </c>
      <c r="D18" s="30"/>
      <c r="E18" s="30"/>
      <c r="F18" s="30"/>
      <c r="G18" s="30"/>
      <c r="H18" s="31"/>
      <c r="I18" s="31"/>
      <c r="J18" s="32">
        <v>5</v>
      </c>
      <c r="K18" s="32"/>
      <c r="L18" s="32"/>
      <c r="M18" s="32"/>
      <c r="N18" s="33"/>
      <c r="O18" s="2"/>
      <c r="P18" s="11"/>
      <c r="Q18" s="78"/>
      <c r="R18" s="2"/>
      <c r="S18" s="2"/>
      <c r="T18" s="2"/>
      <c r="U18" s="2"/>
      <c r="V18" s="2"/>
      <c r="W18" s="2"/>
      <c r="X18" s="2"/>
      <c r="Y18" s="2"/>
      <c r="Z18" s="2"/>
    </row>
    <row r="19" spans="1:26" ht="15.75" customHeight="1" x14ac:dyDescent="0.45">
      <c r="A19" s="8" t="s">
        <v>48</v>
      </c>
      <c r="B19" s="29">
        <v>5</v>
      </c>
      <c r="C19" s="29">
        <v>6</v>
      </c>
      <c r="D19" s="30"/>
      <c r="E19" s="30"/>
      <c r="F19" s="30"/>
      <c r="G19" s="30"/>
      <c r="H19" s="31" t="s">
        <v>68</v>
      </c>
      <c r="I19" s="31"/>
      <c r="J19" s="32"/>
      <c r="K19" s="32"/>
      <c r="L19" s="32"/>
      <c r="M19" s="32"/>
      <c r="N19" s="33"/>
      <c r="O19" s="2"/>
      <c r="P19" s="46"/>
      <c r="Q19" s="16"/>
      <c r="R19" s="2"/>
      <c r="S19" s="2"/>
      <c r="T19" s="2"/>
      <c r="U19" s="2"/>
      <c r="V19" s="2"/>
      <c r="W19" s="2"/>
      <c r="X19" s="2"/>
      <c r="Y19" s="2"/>
      <c r="Z19" s="2"/>
    </row>
    <row r="20" spans="1:26" ht="14.25" x14ac:dyDescent="0.45">
      <c r="A20" s="8" t="s">
        <v>50</v>
      </c>
      <c r="B20" s="29">
        <v>6</v>
      </c>
      <c r="C20" s="29">
        <v>6</v>
      </c>
      <c r="D20" s="30"/>
      <c r="E20" s="30"/>
      <c r="F20" s="30"/>
      <c r="G20" s="30"/>
      <c r="H20" s="31"/>
      <c r="I20" s="31"/>
      <c r="J20" s="32"/>
      <c r="K20" s="32"/>
      <c r="L20" s="32"/>
      <c r="M20" s="32"/>
      <c r="N20" s="33">
        <v>6</v>
      </c>
      <c r="O20" s="2"/>
      <c r="P20" s="50" t="s">
        <v>53</v>
      </c>
      <c r="Q20" s="81" t="s">
        <v>420</v>
      </c>
      <c r="R20" s="2"/>
      <c r="S20" s="2"/>
      <c r="T20" s="2"/>
      <c r="U20" s="2"/>
      <c r="V20" s="2"/>
      <c r="W20" s="2"/>
      <c r="X20" s="2"/>
      <c r="Y20" s="2"/>
      <c r="Z20" s="2"/>
    </row>
    <row r="21" spans="1:26" ht="15.75" customHeight="1" x14ac:dyDescent="0.45">
      <c r="A21" s="8" t="s">
        <v>13</v>
      </c>
      <c r="B21" s="29">
        <v>2</v>
      </c>
      <c r="C21" s="29">
        <v>4</v>
      </c>
      <c r="D21" s="30"/>
      <c r="E21" s="30"/>
      <c r="F21" s="30"/>
      <c r="G21" s="30"/>
      <c r="H21" s="31"/>
      <c r="I21" s="31"/>
      <c r="J21" s="32" t="s">
        <v>147</v>
      </c>
      <c r="K21" s="32"/>
      <c r="L21" s="32"/>
      <c r="M21" s="32"/>
      <c r="N21" s="33"/>
      <c r="O21" s="2"/>
      <c r="P21" s="11"/>
      <c r="Q21" s="77"/>
      <c r="R21" s="2"/>
      <c r="S21" s="2"/>
      <c r="T21" s="2"/>
      <c r="U21" s="2"/>
      <c r="V21" s="2"/>
      <c r="W21" s="2"/>
      <c r="X21" s="2"/>
      <c r="Y21" s="2"/>
      <c r="Z21" s="2"/>
    </row>
    <row r="22" spans="1:26" ht="15.75" customHeight="1" x14ac:dyDescent="0.45">
      <c r="A22" s="8" t="s">
        <v>59</v>
      </c>
      <c r="B22" s="29">
        <v>4</v>
      </c>
      <c r="C22" s="29">
        <v>6</v>
      </c>
      <c r="D22" s="30"/>
      <c r="E22" s="30"/>
      <c r="F22" s="30" t="s">
        <v>148</v>
      </c>
      <c r="G22" s="30"/>
      <c r="H22" s="31"/>
      <c r="I22" s="31"/>
      <c r="J22" s="32"/>
      <c r="K22" s="32"/>
      <c r="L22" s="32"/>
      <c r="M22" s="32"/>
      <c r="N22" s="33"/>
      <c r="O22" s="2"/>
      <c r="P22" s="46"/>
      <c r="Q22" s="78"/>
      <c r="R22" s="2"/>
      <c r="S22" s="2"/>
      <c r="T22" s="2"/>
      <c r="U22" s="2"/>
      <c r="V22" s="2"/>
      <c r="W22" s="2"/>
      <c r="X22" s="2"/>
      <c r="Y22" s="2"/>
      <c r="Z22" s="2"/>
    </row>
    <row r="23" spans="1:26" ht="15.75" customHeight="1" x14ac:dyDescent="0.45">
      <c r="A23" s="8" t="s">
        <v>15</v>
      </c>
      <c r="B23" s="29">
        <v>2</v>
      </c>
      <c r="C23" s="29">
        <v>5</v>
      </c>
      <c r="D23" s="30"/>
      <c r="E23" s="30"/>
      <c r="F23" s="30"/>
      <c r="G23" s="30"/>
      <c r="H23" s="31"/>
      <c r="I23" s="31"/>
      <c r="J23" s="32" t="s">
        <v>111</v>
      </c>
      <c r="K23" s="32"/>
      <c r="L23" s="32"/>
      <c r="M23" s="32"/>
      <c r="N23" s="33"/>
      <c r="O23" s="2"/>
      <c r="P23" s="50" t="s">
        <v>54</v>
      </c>
      <c r="Q23" s="81" t="s">
        <v>421</v>
      </c>
      <c r="R23" s="2"/>
      <c r="S23" s="2"/>
      <c r="T23" s="2"/>
      <c r="U23" s="2"/>
      <c r="V23" s="2"/>
      <c r="W23" s="2"/>
      <c r="X23" s="2"/>
      <c r="Y23" s="2"/>
      <c r="Z23" s="2"/>
    </row>
    <row r="24" spans="1:26" ht="14.25" customHeight="1" x14ac:dyDescent="0.45">
      <c r="A24" s="8" t="s">
        <v>62</v>
      </c>
      <c r="B24" s="29">
        <v>4</v>
      </c>
      <c r="C24" s="29">
        <v>4</v>
      </c>
      <c r="D24" s="30">
        <v>4</v>
      </c>
      <c r="E24" s="30"/>
      <c r="F24" s="30"/>
      <c r="G24" s="30">
        <v>4</v>
      </c>
      <c r="H24" s="31"/>
      <c r="I24" s="31"/>
      <c r="J24" s="32"/>
      <c r="K24" s="32"/>
      <c r="L24" s="32"/>
      <c r="M24" s="32"/>
      <c r="N24" s="33"/>
      <c r="O24" s="2"/>
      <c r="P24" s="46"/>
      <c r="Q24" s="77"/>
      <c r="R24" s="2"/>
      <c r="S24" s="2"/>
      <c r="T24" s="2"/>
      <c r="U24" s="2"/>
      <c r="V24" s="2"/>
      <c r="W24" s="2"/>
      <c r="X24" s="2"/>
      <c r="Y24" s="2"/>
      <c r="Z24" s="2"/>
    </row>
    <row r="25" spans="1:26" ht="15.75" customHeight="1" x14ac:dyDescent="0.45">
      <c r="A25" s="8" t="s">
        <v>19</v>
      </c>
      <c r="B25" s="29">
        <v>1</v>
      </c>
      <c r="C25" s="29">
        <v>3</v>
      </c>
      <c r="D25" s="30"/>
      <c r="E25" s="30">
        <v>3</v>
      </c>
      <c r="F25" s="30"/>
      <c r="G25" s="30">
        <v>3</v>
      </c>
      <c r="H25" s="31">
        <v>3</v>
      </c>
      <c r="I25" s="31">
        <v>3</v>
      </c>
      <c r="J25" s="32" t="s">
        <v>149</v>
      </c>
      <c r="K25" s="32"/>
      <c r="L25" s="32"/>
      <c r="M25" s="32">
        <v>2</v>
      </c>
      <c r="N25" s="33"/>
      <c r="O25" s="2"/>
      <c r="P25" s="11"/>
      <c r="Q25" s="78"/>
      <c r="R25" s="2"/>
      <c r="S25" s="2"/>
      <c r="T25" s="2"/>
      <c r="U25" s="2"/>
      <c r="V25" s="2"/>
      <c r="W25" s="2"/>
      <c r="X25" s="2"/>
      <c r="Y25" s="2"/>
      <c r="Z25" s="2"/>
    </row>
    <row r="26" spans="1:26" ht="15.75" customHeight="1" x14ac:dyDescent="0.45">
      <c r="A26" s="8" t="s">
        <v>64</v>
      </c>
      <c r="B26" s="29">
        <v>4</v>
      </c>
      <c r="C26" s="29">
        <v>6</v>
      </c>
      <c r="D26" s="30" t="s">
        <v>148</v>
      </c>
      <c r="E26" s="30"/>
      <c r="F26" s="30"/>
      <c r="G26" s="30"/>
      <c r="H26" s="31"/>
      <c r="I26" s="31"/>
      <c r="J26" s="32"/>
      <c r="K26" s="32"/>
      <c r="L26" s="32"/>
      <c r="M26" s="32"/>
      <c r="N26" s="33"/>
      <c r="O26" s="2"/>
      <c r="P26" s="50" t="s">
        <v>55</v>
      </c>
      <c r="Q26" s="81" t="s">
        <v>422</v>
      </c>
      <c r="R26" s="2"/>
      <c r="S26" s="2"/>
      <c r="T26" s="2"/>
      <c r="U26" s="2"/>
      <c r="V26" s="2"/>
      <c r="W26" s="2"/>
      <c r="X26" s="2"/>
      <c r="Y26" s="2"/>
      <c r="Z26" s="2"/>
    </row>
    <row r="27" spans="1:26" ht="15.75" customHeight="1" x14ac:dyDescent="0.45">
      <c r="A27" s="8" t="s">
        <v>66</v>
      </c>
      <c r="B27" s="29">
        <v>6</v>
      </c>
      <c r="C27" s="29">
        <v>6</v>
      </c>
      <c r="D27" s="30">
        <v>6</v>
      </c>
      <c r="E27" s="30"/>
      <c r="F27" s="30"/>
      <c r="G27" s="30"/>
      <c r="H27" s="31"/>
      <c r="I27" s="31"/>
      <c r="J27" s="32"/>
      <c r="K27" s="32"/>
      <c r="L27" s="32"/>
      <c r="M27" s="32"/>
      <c r="N27" s="33"/>
      <c r="O27" s="2"/>
      <c r="P27" s="11"/>
      <c r="Q27" s="77"/>
      <c r="R27" s="2"/>
      <c r="S27" s="2"/>
      <c r="T27" s="2"/>
      <c r="U27" s="2"/>
      <c r="V27" s="2"/>
      <c r="W27" s="2"/>
      <c r="X27" s="2"/>
      <c r="Y27" s="2"/>
      <c r="Z27" s="2"/>
    </row>
    <row r="28" spans="1:26" ht="14.25" customHeight="1" x14ac:dyDescent="0.45">
      <c r="A28" s="8" t="s">
        <v>67</v>
      </c>
      <c r="B28" s="29">
        <v>5</v>
      </c>
      <c r="C28" s="29">
        <v>7</v>
      </c>
      <c r="D28" s="30"/>
      <c r="E28" s="30" t="s">
        <v>150</v>
      </c>
      <c r="F28" s="30"/>
      <c r="G28" s="30"/>
      <c r="H28" s="31"/>
      <c r="I28" s="31"/>
      <c r="J28" s="32" t="s">
        <v>150</v>
      </c>
      <c r="K28" s="32"/>
      <c r="L28" s="32"/>
      <c r="M28" s="32"/>
      <c r="N28" s="33"/>
      <c r="O28" s="2"/>
      <c r="P28" s="46"/>
      <c r="Q28" s="78"/>
      <c r="R28" s="2"/>
      <c r="S28" s="2"/>
      <c r="T28" s="2"/>
      <c r="U28" s="2"/>
      <c r="V28" s="2"/>
      <c r="W28" s="2"/>
      <c r="X28" s="2"/>
      <c r="Y28" s="2"/>
      <c r="Z28" s="2"/>
    </row>
    <row r="29" spans="1:26" ht="15.75" customHeight="1" x14ac:dyDescent="0.45">
      <c r="A29" s="8" t="s">
        <v>70</v>
      </c>
      <c r="B29" s="29">
        <v>4</v>
      </c>
      <c r="C29" s="29">
        <v>7</v>
      </c>
      <c r="D29" s="30" t="s">
        <v>151</v>
      </c>
      <c r="E29" s="30"/>
      <c r="F29" s="30"/>
      <c r="G29" s="30"/>
      <c r="H29" s="31"/>
      <c r="I29" s="31"/>
      <c r="J29" s="32"/>
      <c r="K29" s="32"/>
      <c r="L29" s="32"/>
      <c r="M29" s="32"/>
      <c r="N29" s="33"/>
      <c r="O29" s="2"/>
      <c r="P29" s="50" t="s">
        <v>56</v>
      </c>
      <c r="Q29" s="81" t="s">
        <v>413</v>
      </c>
      <c r="R29" s="2"/>
      <c r="S29" s="2"/>
      <c r="T29" s="2"/>
      <c r="U29" s="2"/>
      <c r="V29" s="2"/>
      <c r="W29" s="2"/>
      <c r="X29" s="2"/>
      <c r="Y29" s="2"/>
      <c r="Z29" s="2"/>
    </row>
    <row r="30" spans="1:26" ht="15.75" customHeight="1" x14ac:dyDescent="0.45">
      <c r="A30" s="8" t="s">
        <v>71</v>
      </c>
      <c r="B30" s="29">
        <v>5</v>
      </c>
      <c r="C30" s="29">
        <v>6</v>
      </c>
      <c r="D30" s="30"/>
      <c r="E30" s="30"/>
      <c r="F30" s="30"/>
      <c r="G30" s="30"/>
      <c r="H30" s="31"/>
      <c r="I30" s="31"/>
      <c r="J30" s="32"/>
      <c r="K30" s="32"/>
      <c r="L30" s="32"/>
      <c r="M30" s="32"/>
      <c r="N30" s="33" t="s">
        <v>68</v>
      </c>
      <c r="O30" s="2"/>
      <c r="P30" s="11"/>
      <c r="Q30" s="77"/>
      <c r="R30" s="2"/>
      <c r="S30" s="2"/>
      <c r="T30" s="2"/>
      <c r="U30" s="2"/>
      <c r="V30" s="2"/>
      <c r="W30" s="2"/>
      <c r="X30" s="2"/>
      <c r="Y30" s="2"/>
      <c r="Z30" s="2"/>
    </row>
    <row r="31" spans="1:26" ht="15.75" customHeight="1" x14ac:dyDescent="0.45">
      <c r="A31" s="8" t="s">
        <v>22</v>
      </c>
      <c r="B31" s="29">
        <v>1</v>
      </c>
      <c r="C31" s="29">
        <v>5</v>
      </c>
      <c r="D31" s="30" t="s">
        <v>83</v>
      </c>
      <c r="E31" s="30" t="s">
        <v>152</v>
      </c>
      <c r="F31" s="30"/>
      <c r="G31" s="30"/>
      <c r="H31" s="31" t="s">
        <v>83</v>
      </c>
      <c r="I31" s="31"/>
      <c r="J31" s="32" t="s">
        <v>153</v>
      </c>
      <c r="K31" s="32" t="s">
        <v>149</v>
      </c>
      <c r="L31" s="32"/>
      <c r="M31" s="32"/>
      <c r="N31" s="33"/>
      <c r="O31" s="2"/>
      <c r="P31" s="46"/>
      <c r="Q31" s="78"/>
      <c r="R31" s="2"/>
      <c r="S31" s="2"/>
      <c r="T31" s="2"/>
      <c r="U31" s="2"/>
      <c r="V31" s="2"/>
      <c r="W31" s="2"/>
      <c r="X31" s="2"/>
      <c r="Y31" s="2"/>
      <c r="Z31" s="2"/>
    </row>
    <row r="32" spans="1:26" ht="15.75" customHeight="1" x14ac:dyDescent="0.45">
      <c r="A32" s="8" t="s">
        <v>72</v>
      </c>
      <c r="B32" s="29">
        <v>4</v>
      </c>
      <c r="C32" s="29">
        <v>4</v>
      </c>
      <c r="D32" s="30">
        <v>4</v>
      </c>
      <c r="E32" s="30"/>
      <c r="F32" s="30"/>
      <c r="G32" s="30"/>
      <c r="H32" s="31"/>
      <c r="I32" s="31"/>
      <c r="J32" s="32"/>
      <c r="K32" s="32"/>
      <c r="L32" s="32"/>
      <c r="M32" s="32"/>
      <c r="N32" s="33"/>
      <c r="O32" s="2"/>
      <c r="P32" s="46"/>
      <c r="Q32" s="16"/>
      <c r="R32" s="2"/>
      <c r="S32" s="2"/>
      <c r="T32" s="2"/>
      <c r="U32" s="2"/>
      <c r="V32" s="2"/>
      <c r="W32" s="2"/>
      <c r="X32" s="2"/>
      <c r="Y32" s="2"/>
      <c r="Z32" s="2"/>
    </row>
    <row r="33" spans="1:26" ht="15.75" customHeight="1" x14ac:dyDescent="0.45">
      <c r="A33" s="8" t="s">
        <v>75</v>
      </c>
      <c r="B33" s="29">
        <v>5</v>
      </c>
      <c r="C33" s="29">
        <v>5</v>
      </c>
      <c r="D33" s="30"/>
      <c r="E33" s="30"/>
      <c r="F33" s="30"/>
      <c r="G33" s="30"/>
      <c r="H33" s="31"/>
      <c r="I33" s="31"/>
      <c r="J33" s="32"/>
      <c r="K33" s="32"/>
      <c r="L33" s="32"/>
      <c r="M33" s="32"/>
      <c r="N33" s="33"/>
      <c r="O33" s="2"/>
      <c r="P33" s="51" t="s">
        <v>57</v>
      </c>
      <c r="Q33" s="80" t="s">
        <v>154</v>
      </c>
      <c r="R33" s="2"/>
      <c r="S33" s="2"/>
      <c r="T33" s="2"/>
      <c r="U33" s="2"/>
      <c r="V33" s="2"/>
      <c r="W33" s="2"/>
      <c r="X33" s="3"/>
      <c r="Y33" s="2"/>
      <c r="Z33" s="2"/>
    </row>
    <row r="34" spans="1:26" ht="15.75" customHeight="1" x14ac:dyDescent="0.45">
      <c r="A34" s="8" t="s">
        <v>76</v>
      </c>
      <c r="B34" s="29">
        <v>5</v>
      </c>
      <c r="C34" s="29">
        <v>6</v>
      </c>
      <c r="D34" s="30" t="s">
        <v>68</v>
      </c>
      <c r="E34" s="30" t="s">
        <v>68</v>
      </c>
      <c r="F34" s="30"/>
      <c r="G34" s="30"/>
      <c r="H34" s="31"/>
      <c r="I34" s="31"/>
      <c r="J34" s="32"/>
      <c r="K34" s="32"/>
      <c r="L34" s="32"/>
      <c r="M34" s="32"/>
      <c r="N34" s="33"/>
      <c r="O34" s="2"/>
      <c r="P34" s="46"/>
      <c r="Q34" s="78"/>
      <c r="R34" s="2"/>
      <c r="S34" s="2"/>
      <c r="T34" s="2"/>
      <c r="U34" s="2"/>
      <c r="V34" s="2"/>
      <c r="W34" s="2"/>
      <c r="X34" s="2"/>
      <c r="Y34" s="2"/>
      <c r="Z34" s="2"/>
    </row>
    <row r="35" spans="1:26" ht="15.75" customHeight="1" x14ac:dyDescent="0.45">
      <c r="A35" s="8" t="s">
        <v>77</v>
      </c>
      <c r="B35" s="29">
        <v>6</v>
      </c>
      <c r="C35" s="29">
        <v>6</v>
      </c>
      <c r="D35" s="30">
        <v>6</v>
      </c>
      <c r="E35" s="30">
        <v>6</v>
      </c>
      <c r="F35" s="30"/>
      <c r="G35" s="30"/>
      <c r="H35" s="31"/>
      <c r="I35" s="31"/>
      <c r="J35" s="32"/>
      <c r="K35" s="32"/>
      <c r="L35" s="32"/>
      <c r="M35" s="32"/>
      <c r="N35" s="33"/>
      <c r="O35" s="2"/>
      <c r="P35" s="46"/>
      <c r="Q35" s="16"/>
      <c r="R35" s="2"/>
      <c r="S35" s="2"/>
      <c r="T35" s="2"/>
      <c r="U35" s="2"/>
      <c r="V35" s="2"/>
      <c r="W35" s="2"/>
      <c r="X35" s="2"/>
      <c r="Y35" s="2"/>
      <c r="Z35" s="2"/>
    </row>
    <row r="36" spans="1:26" ht="15.75" customHeight="1" x14ac:dyDescent="0.45">
      <c r="A36" s="8" t="s">
        <v>78</v>
      </c>
      <c r="B36" s="29">
        <v>3</v>
      </c>
      <c r="C36" s="29">
        <v>6</v>
      </c>
      <c r="D36" s="30" t="s">
        <v>155</v>
      </c>
      <c r="E36" s="30"/>
      <c r="F36" s="30"/>
      <c r="G36" s="30"/>
      <c r="H36" s="31"/>
      <c r="I36" s="31"/>
      <c r="J36" s="32"/>
      <c r="K36" s="32"/>
      <c r="L36" s="32"/>
      <c r="M36" s="32"/>
      <c r="N36" s="33"/>
      <c r="O36" s="2"/>
      <c r="P36" s="46"/>
      <c r="Q36" s="16"/>
      <c r="R36" s="2"/>
      <c r="S36" s="2"/>
      <c r="T36" s="2"/>
      <c r="U36" s="2"/>
      <c r="V36" s="2"/>
      <c r="W36" s="2"/>
      <c r="X36" s="2"/>
      <c r="Y36" s="2"/>
      <c r="Z36" s="2"/>
    </row>
    <row r="37" spans="1:26" ht="15.75" customHeight="1" x14ac:dyDescent="0.45">
      <c r="A37" s="8" t="s">
        <v>80</v>
      </c>
      <c r="B37" s="29">
        <v>5</v>
      </c>
      <c r="C37" s="29">
        <v>5</v>
      </c>
      <c r="D37" s="30">
        <v>5</v>
      </c>
      <c r="E37" s="30"/>
      <c r="F37" s="30"/>
      <c r="G37" s="30"/>
      <c r="H37" s="31"/>
      <c r="I37" s="31"/>
      <c r="J37" s="32"/>
      <c r="K37" s="32"/>
      <c r="L37" s="32"/>
      <c r="M37" s="32"/>
      <c r="N37" s="33"/>
      <c r="O37" s="2"/>
      <c r="P37" s="46"/>
      <c r="Q37" s="16"/>
      <c r="R37" s="2"/>
      <c r="S37" s="2"/>
      <c r="T37" s="2"/>
      <c r="U37" s="2"/>
      <c r="V37" s="2"/>
      <c r="W37" s="2"/>
      <c r="X37" s="2"/>
      <c r="Y37" s="2"/>
      <c r="Z37" s="2"/>
    </row>
    <row r="38" spans="1:26" ht="15.75" customHeight="1" x14ac:dyDescent="0.45">
      <c r="A38" s="8" t="s">
        <v>82</v>
      </c>
      <c r="B38" s="34">
        <v>4</v>
      </c>
      <c r="C38" s="34">
        <v>4</v>
      </c>
      <c r="D38" s="35">
        <v>4</v>
      </c>
      <c r="E38" s="35"/>
      <c r="F38" s="35"/>
      <c r="G38" s="35"/>
      <c r="H38" s="36"/>
      <c r="I38" s="36"/>
      <c r="J38" s="37"/>
      <c r="K38" s="37"/>
      <c r="L38" s="37"/>
      <c r="M38" s="37"/>
      <c r="N38" s="38"/>
      <c r="O38" s="4"/>
      <c r="P38" s="28"/>
      <c r="R38" s="4"/>
      <c r="S38" s="4"/>
      <c r="T38" s="4"/>
      <c r="U38" s="4"/>
      <c r="V38" s="4"/>
      <c r="W38" s="4"/>
      <c r="X38" s="4"/>
      <c r="Y38" s="4"/>
      <c r="Z38" s="4"/>
    </row>
    <row r="39" spans="1:26" ht="15.75" customHeight="1" x14ac:dyDescent="0.45">
      <c r="A39" s="8" t="s">
        <v>84</v>
      </c>
      <c r="B39" s="29">
        <v>4</v>
      </c>
      <c r="C39" s="29">
        <v>6</v>
      </c>
      <c r="D39" s="30" t="s">
        <v>148</v>
      </c>
      <c r="E39" s="30"/>
      <c r="F39" s="30"/>
      <c r="G39" s="30"/>
      <c r="H39" s="31"/>
      <c r="I39" s="31"/>
      <c r="J39" s="32"/>
      <c r="K39" s="32"/>
      <c r="L39" s="32"/>
      <c r="M39" s="32"/>
      <c r="N39" s="33"/>
      <c r="O39" s="2"/>
      <c r="P39" s="46"/>
      <c r="Q39" s="16"/>
      <c r="R39" s="2"/>
      <c r="S39" s="2"/>
      <c r="T39" s="2"/>
      <c r="U39" s="2"/>
      <c r="V39" s="2"/>
      <c r="W39" s="2"/>
      <c r="X39" s="2"/>
      <c r="Y39" s="2"/>
      <c r="Z39" s="2"/>
    </row>
    <row r="40" spans="1:26" ht="15.75" customHeight="1" x14ac:dyDescent="0.45">
      <c r="A40" s="8" t="s">
        <v>23</v>
      </c>
      <c r="B40" s="29">
        <v>1</v>
      </c>
      <c r="C40" s="29">
        <v>4</v>
      </c>
      <c r="D40" s="30" t="s">
        <v>90</v>
      </c>
      <c r="E40" s="30" t="s">
        <v>90</v>
      </c>
      <c r="F40" s="30"/>
      <c r="G40" s="30"/>
      <c r="H40" s="31"/>
      <c r="I40" s="31"/>
      <c r="J40" s="32" t="s">
        <v>149</v>
      </c>
      <c r="K40" s="32" t="s">
        <v>149</v>
      </c>
      <c r="L40" s="32"/>
      <c r="M40" s="32"/>
      <c r="N40" s="33"/>
      <c r="O40" s="2"/>
      <c r="P40" s="46"/>
      <c r="Q40" s="16"/>
      <c r="R40" s="2"/>
      <c r="S40" s="2"/>
      <c r="T40" s="2"/>
      <c r="U40" s="2"/>
      <c r="V40" s="2"/>
      <c r="W40" s="2"/>
      <c r="X40" s="2"/>
      <c r="Y40" s="2"/>
      <c r="Z40" s="2"/>
    </row>
    <row r="41" spans="1:26" ht="15.75" customHeight="1" x14ac:dyDescent="0.45">
      <c r="A41" s="8" t="s">
        <v>25</v>
      </c>
      <c r="B41" s="29">
        <v>1</v>
      </c>
      <c r="C41" s="29">
        <v>4</v>
      </c>
      <c r="D41" s="30" t="s">
        <v>90</v>
      </c>
      <c r="E41" s="30" t="s">
        <v>90</v>
      </c>
      <c r="F41" s="30" t="s">
        <v>90</v>
      </c>
      <c r="G41" s="30"/>
      <c r="H41" s="31"/>
      <c r="I41" s="31"/>
      <c r="J41" s="32" t="s">
        <v>149</v>
      </c>
      <c r="K41" s="32" t="s">
        <v>149</v>
      </c>
      <c r="L41" s="32"/>
      <c r="M41" s="32"/>
      <c r="N41" s="33"/>
      <c r="O41" s="2"/>
      <c r="P41" s="46"/>
      <c r="Q41" s="16"/>
      <c r="R41" s="2"/>
      <c r="S41" s="2"/>
      <c r="T41" s="2"/>
      <c r="U41" s="2"/>
      <c r="V41" s="2"/>
      <c r="W41" s="2"/>
      <c r="X41" s="2"/>
      <c r="Y41" s="2"/>
      <c r="Z41" s="2"/>
    </row>
    <row r="42" spans="1:26" ht="15.75" customHeight="1" x14ac:dyDescent="0.45">
      <c r="A42" s="8" t="s">
        <v>86</v>
      </c>
      <c r="B42" s="29">
        <v>7</v>
      </c>
      <c r="C42" s="29">
        <v>7</v>
      </c>
      <c r="D42" s="30">
        <v>7</v>
      </c>
      <c r="E42" s="30"/>
      <c r="F42" s="30"/>
      <c r="G42" s="30"/>
      <c r="H42" s="31"/>
      <c r="I42" s="31"/>
      <c r="J42" s="32"/>
      <c r="K42" s="32"/>
      <c r="L42" s="32"/>
      <c r="M42" s="32"/>
      <c r="N42" s="33"/>
      <c r="O42" s="2"/>
      <c r="P42" s="46"/>
      <c r="Q42" s="16"/>
      <c r="R42" s="2"/>
      <c r="S42" s="2"/>
      <c r="T42" s="2"/>
      <c r="U42" s="2"/>
      <c r="V42" s="2"/>
      <c r="W42" s="2"/>
      <c r="X42" s="2"/>
      <c r="Y42" s="2"/>
      <c r="Z42" s="2"/>
    </row>
    <row r="43" spans="1:26" ht="15.75" customHeight="1" x14ac:dyDescent="0.45">
      <c r="A43" s="8" t="s">
        <v>87</v>
      </c>
      <c r="B43" s="29">
        <v>7</v>
      </c>
      <c r="C43" s="29">
        <v>7</v>
      </c>
      <c r="D43" s="30">
        <v>7</v>
      </c>
      <c r="E43" s="30">
        <v>7</v>
      </c>
      <c r="F43" s="30"/>
      <c r="G43" s="30"/>
      <c r="H43" s="31">
        <v>7</v>
      </c>
      <c r="I43" s="31"/>
      <c r="J43" s="32"/>
      <c r="K43" s="32"/>
      <c r="L43" s="32"/>
      <c r="M43" s="32"/>
      <c r="N43" s="33"/>
      <c r="O43" s="2"/>
      <c r="P43" s="46"/>
      <c r="Q43" s="16"/>
      <c r="R43" s="2"/>
      <c r="S43" s="2"/>
      <c r="T43" s="2"/>
      <c r="U43" s="2"/>
      <c r="V43" s="2"/>
      <c r="W43" s="2"/>
      <c r="X43" s="2"/>
      <c r="Y43" s="2"/>
      <c r="Z43" s="2"/>
    </row>
    <row r="44" spans="1:26" ht="15.75" customHeight="1" x14ac:dyDescent="0.45">
      <c r="A44" s="8" t="s">
        <v>27</v>
      </c>
      <c r="B44" s="29">
        <v>2</v>
      </c>
      <c r="C44" s="29">
        <v>5</v>
      </c>
      <c r="D44" s="30"/>
      <c r="E44" s="30" t="s">
        <v>83</v>
      </c>
      <c r="F44" s="30"/>
      <c r="G44" s="30"/>
      <c r="H44" s="31"/>
      <c r="I44" s="31"/>
      <c r="J44" s="32" t="s">
        <v>156</v>
      </c>
      <c r="K44" s="32"/>
      <c r="L44" s="32"/>
      <c r="M44" s="32"/>
      <c r="N44" s="33"/>
      <c r="O44" s="2"/>
      <c r="P44" s="46"/>
      <c r="Q44" s="16"/>
      <c r="R44" s="2"/>
      <c r="S44" s="2"/>
      <c r="T44" s="2"/>
      <c r="U44" s="2"/>
      <c r="V44" s="2"/>
      <c r="W44" s="2"/>
      <c r="X44" s="2"/>
      <c r="Y44" s="2"/>
      <c r="Z44" s="2"/>
    </row>
    <row r="45" spans="1:26" ht="15.75" customHeight="1" x14ac:dyDescent="0.45">
      <c r="A45" s="8" t="s">
        <v>92</v>
      </c>
      <c r="B45" s="29">
        <v>2</v>
      </c>
      <c r="C45" s="29">
        <v>2</v>
      </c>
      <c r="D45" s="30"/>
      <c r="E45" s="30"/>
      <c r="F45" s="30"/>
      <c r="G45" s="30"/>
      <c r="H45" s="31"/>
      <c r="I45" s="31"/>
      <c r="J45" s="32"/>
      <c r="K45" s="32"/>
      <c r="L45" s="32"/>
      <c r="M45" s="32"/>
      <c r="N45" s="33">
        <v>2</v>
      </c>
      <c r="O45" s="2"/>
      <c r="P45" s="46"/>
      <c r="Q45" s="16"/>
      <c r="R45" s="2"/>
      <c r="S45" s="2"/>
      <c r="T45" s="2"/>
      <c r="U45" s="2"/>
      <c r="V45" s="2"/>
      <c r="W45" s="2"/>
      <c r="X45" s="2"/>
      <c r="Y45" s="2"/>
      <c r="Z45" s="2"/>
    </row>
    <row r="46" spans="1:26" ht="15.75" customHeight="1" x14ac:dyDescent="0.45">
      <c r="A46" s="8" t="s">
        <v>93</v>
      </c>
      <c r="B46" s="29">
        <v>5</v>
      </c>
      <c r="C46" s="29">
        <v>7</v>
      </c>
      <c r="D46" s="30" t="s">
        <v>150</v>
      </c>
      <c r="E46" s="30" t="s">
        <v>150</v>
      </c>
      <c r="F46" s="30"/>
      <c r="G46" s="30"/>
      <c r="H46" s="31"/>
      <c r="I46" s="31"/>
      <c r="J46" s="32"/>
      <c r="K46" s="32"/>
      <c r="L46" s="32"/>
      <c r="M46" s="32"/>
      <c r="N46" s="33"/>
      <c r="O46" s="2"/>
      <c r="P46" s="46"/>
      <c r="Q46" s="16"/>
      <c r="R46" s="2"/>
      <c r="S46" s="2"/>
      <c r="T46" s="2"/>
      <c r="U46" s="2"/>
      <c r="V46" s="2"/>
      <c r="W46" s="2"/>
      <c r="X46" s="2"/>
      <c r="Y46" s="2"/>
      <c r="Z46" s="2"/>
    </row>
    <row r="47" spans="1:26" ht="15.75" customHeight="1" x14ac:dyDescent="0.45">
      <c r="A47" s="8" t="s">
        <v>94</v>
      </c>
      <c r="B47" s="29">
        <v>5</v>
      </c>
      <c r="C47" s="29">
        <v>5</v>
      </c>
      <c r="D47" s="30"/>
      <c r="E47" s="30"/>
      <c r="F47" s="30"/>
      <c r="G47" s="30"/>
      <c r="H47" s="31"/>
      <c r="I47" s="31"/>
      <c r="J47" s="32">
        <v>5</v>
      </c>
      <c r="K47" s="32"/>
      <c r="L47" s="32"/>
      <c r="M47" s="32"/>
      <c r="N47" s="33"/>
      <c r="O47" s="2"/>
      <c r="P47" s="46"/>
      <c r="Q47" s="16"/>
      <c r="R47" s="2"/>
      <c r="S47" s="2"/>
      <c r="T47" s="2"/>
      <c r="U47" s="2"/>
      <c r="V47" s="2"/>
      <c r="W47" s="2"/>
      <c r="X47" s="2"/>
      <c r="Y47" s="2"/>
      <c r="Z47" s="2"/>
    </row>
    <row r="48" spans="1:26" ht="15.75" customHeight="1" x14ac:dyDescent="0.45">
      <c r="A48" s="8" t="s">
        <v>95</v>
      </c>
      <c r="B48" s="29">
        <v>6</v>
      </c>
      <c r="C48" s="29">
        <v>6</v>
      </c>
      <c r="D48" s="30"/>
      <c r="E48" s="30"/>
      <c r="F48" s="30"/>
      <c r="G48" s="30"/>
      <c r="H48" s="31"/>
      <c r="I48" s="31"/>
      <c r="J48" s="32"/>
      <c r="K48" s="32"/>
      <c r="L48" s="32"/>
      <c r="M48" s="32"/>
      <c r="N48" s="33">
        <v>6</v>
      </c>
      <c r="O48" s="2"/>
      <c r="P48" s="46"/>
      <c r="Q48" s="16"/>
      <c r="R48" s="2"/>
      <c r="S48" s="2"/>
      <c r="T48" s="2"/>
      <c r="U48" s="2"/>
      <c r="V48" s="2"/>
      <c r="W48" s="2"/>
      <c r="X48" s="2"/>
      <c r="Y48" s="2"/>
      <c r="Z48" s="2"/>
    </row>
    <row r="49" spans="1:26" ht="15.75" customHeight="1" x14ac:dyDescent="0.45">
      <c r="A49" s="8" t="s">
        <v>96</v>
      </c>
      <c r="B49" s="29">
        <v>6</v>
      </c>
      <c r="C49" s="29">
        <v>6</v>
      </c>
      <c r="D49" s="30">
        <v>6</v>
      </c>
      <c r="E49" s="30"/>
      <c r="F49" s="30"/>
      <c r="G49" s="30"/>
      <c r="H49" s="31"/>
      <c r="I49" s="31"/>
      <c r="J49" s="32"/>
      <c r="K49" s="32"/>
      <c r="L49" s="32"/>
      <c r="M49" s="32"/>
      <c r="N49" s="33"/>
      <c r="O49" s="2"/>
      <c r="P49" s="46"/>
      <c r="Q49" s="16"/>
      <c r="R49" s="2"/>
      <c r="S49" s="2"/>
      <c r="T49" s="2"/>
      <c r="U49" s="2"/>
      <c r="V49" s="2"/>
      <c r="W49" s="2"/>
      <c r="X49" s="2"/>
      <c r="Y49" s="2"/>
      <c r="Z49" s="2"/>
    </row>
    <row r="50" spans="1:26" ht="15.75" customHeight="1" x14ac:dyDescent="0.45">
      <c r="A50" s="8" t="s">
        <v>97</v>
      </c>
      <c r="B50" s="29">
        <v>4</v>
      </c>
      <c r="C50" s="29">
        <v>6</v>
      </c>
      <c r="D50" s="30"/>
      <c r="E50" s="30"/>
      <c r="F50" s="30" t="s">
        <v>148</v>
      </c>
      <c r="G50" s="30"/>
      <c r="H50" s="31"/>
      <c r="I50" s="31"/>
      <c r="J50" s="32"/>
      <c r="K50" s="32"/>
      <c r="L50" s="32"/>
      <c r="M50" s="32"/>
      <c r="N50" s="33"/>
      <c r="O50" s="2"/>
      <c r="P50" s="46"/>
      <c r="Q50" s="16"/>
      <c r="R50" s="2"/>
      <c r="S50" s="2"/>
      <c r="T50" s="2"/>
      <c r="U50" s="2"/>
      <c r="V50" s="2"/>
      <c r="W50" s="2"/>
      <c r="X50" s="2"/>
      <c r="Y50" s="2"/>
      <c r="Z50" s="2"/>
    </row>
    <row r="51" spans="1:26" ht="15.75" customHeight="1" x14ac:dyDescent="0.45">
      <c r="A51" s="8" t="s">
        <v>98</v>
      </c>
      <c r="B51" s="29">
        <v>4</v>
      </c>
      <c r="C51" s="29">
        <v>5</v>
      </c>
      <c r="D51" s="30" t="s">
        <v>83</v>
      </c>
      <c r="E51" s="30"/>
      <c r="F51" s="30"/>
      <c r="G51" s="30"/>
      <c r="H51" s="31"/>
      <c r="I51" s="31"/>
      <c r="J51" s="32"/>
      <c r="K51" s="32"/>
      <c r="L51" s="32"/>
      <c r="M51" s="32"/>
      <c r="N51" s="33"/>
      <c r="O51" s="2"/>
      <c r="P51" s="46"/>
      <c r="Q51" s="16"/>
      <c r="R51" s="2"/>
      <c r="S51" s="2"/>
      <c r="T51" s="2"/>
      <c r="U51" s="2"/>
      <c r="V51" s="2"/>
      <c r="W51" s="2"/>
      <c r="X51" s="2"/>
      <c r="Y51" s="2"/>
      <c r="Z51" s="2"/>
    </row>
    <row r="52" spans="1:26" ht="15.75" customHeight="1" x14ac:dyDescent="0.45">
      <c r="A52" s="8" t="s">
        <v>29</v>
      </c>
      <c r="B52" s="29">
        <v>1</v>
      </c>
      <c r="C52" s="29">
        <v>4</v>
      </c>
      <c r="D52" s="30"/>
      <c r="E52" s="30"/>
      <c r="F52" s="30"/>
      <c r="G52" s="30"/>
      <c r="H52" s="31"/>
      <c r="I52" s="31"/>
      <c r="J52" s="32" t="s">
        <v>147</v>
      </c>
      <c r="K52" s="32"/>
      <c r="L52" s="32"/>
      <c r="M52" s="32"/>
      <c r="N52" s="33">
        <v>1</v>
      </c>
      <c r="O52" s="2"/>
      <c r="P52" s="46"/>
      <c r="Q52" s="16"/>
      <c r="R52" s="2"/>
      <c r="S52" s="2"/>
      <c r="T52" s="2"/>
      <c r="U52" s="2"/>
      <c r="V52" s="2"/>
      <c r="W52" s="2"/>
      <c r="X52" s="2"/>
      <c r="Y52" s="2"/>
      <c r="Z52" s="2"/>
    </row>
    <row r="53" spans="1:26" ht="15.75" customHeight="1" x14ac:dyDescent="0.45">
      <c r="A53" s="8" t="s">
        <v>99</v>
      </c>
      <c r="B53" s="29">
        <v>5</v>
      </c>
      <c r="C53" s="29">
        <v>5</v>
      </c>
      <c r="D53" s="30">
        <v>5</v>
      </c>
      <c r="E53" s="30"/>
      <c r="F53" s="30"/>
      <c r="G53" s="30"/>
      <c r="H53" s="31"/>
      <c r="I53" s="31"/>
      <c r="J53" s="32"/>
      <c r="K53" s="32"/>
      <c r="L53" s="32"/>
      <c r="M53" s="32"/>
      <c r="N53" s="33"/>
      <c r="O53" s="2"/>
      <c r="P53" s="46"/>
      <c r="Q53" s="16"/>
      <c r="R53" s="2"/>
      <c r="S53" s="2"/>
      <c r="T53" s="2"/>
      <c r="U53" s="2"/>
      <c r="V53" s="2"/>
      <c r="W53" s="2"/>
      <c r="X53" s="2"/>
      <c r="Y53" s="2"/>
      <c r="Z53" s="2"/>
    </row>
    <row r="54" spans="1:26" ht="15.75" customHeight="1" x14ac:dyDescent="0.45">
      <c r="A54" s="8" t="s">
        <v>101</v>
      </c>
      <c r="B54" s="29">
        <v>4</v>
      </c>
      <c r="C54" s="29">
        <v>5</v>
      </c>
      <c r="D54" s="30"/>
      <c r="E54" s="30"/>
      <c r="F54" s="30"/>
      <c r="G54" s="30"/>
      <c r="H54" s="31"/>
      <c r="I54" s="31"/>
      <c r="J54" s="32"/>
      <c r="K54" s="32"/>
      <c r="L54" s="32"/>
      <c r="M54" s="32"/>
      <c r="N54" s="33" t="s">
        <v>83</v>
      </c>
      <c r="O54" s="2"/>
      <c r="P54" s="46"/>
      <c r="Q54" s="16"/>
      <c r="R54" s="2"/>
      <c r="S54" s="2"/>
      <c r="T54" s="2"/>
      <c r="U54" s="2"/>
      <c r="V54" s="2"/>
      <c r="W54" s="2"/>
      <c r="X54" s="2"/>
      <c r="Y54" s="2"/>
      <c r="Z54" s="2"/>
    </row>
    <row r="55" spans="1:26" ht="15.75" customHeight="1" x14ac:dyDescent="0.45">
      <c r="A55" s="8" t="s">
        <v>103</v>
      </c>
      <c r="B55" s="29">
        <v>6</v>
      </c>
      <c r="C55" s="29">
        <v>8</v>
      </c>
      <c r="D55" s="30"/>
      <c r="E55" s="30"/>
      <c r="F55" s="30"/>
      <c r="G55" s="30"/>
      <c r="H55" s="31"/>
      <c r="I55" s="31"/>
      <c r="J55" s="32" t="s">
        <v>157</v>
      </c>
      <c r="K55" s="32"/>
      <c r="L55" s="32"/>
      <c r="M55" s="32"/>
      <c r="N55" s="33"/>
      <c r="O55" s="2"/>
      <c r="P55" s="46"/>
      <c r="Q55" s="16"/>
      <c r="R55" s="2"/>
      <c r="S55" s="2"/>
      <c r="T55" s="2"/>
      <c r="U55" s="2"/>
      <c r="V55" s="2"/>
      <c r="W55" s="2"/>
      <c r="X55" s="2"/>
      <c r="Y55" s="2"/>
      <c r="Z55" s="2"/>
    </row>
    <row r="56" spans="1:26" ht="15.75" customHeight="1" x14ac:dyDescent="0.45">
      <c r="A56" s="8" t="s">
        <v>30</v>
      </c>
      <c r="B56" s="29">
        <v>1</v>
      </c>
      <c r="C56" s="29">
        <v>7</v>
      </c>
      <c r="D56" s="30"/>
      <c r="E56" s="30" t="s">
        <v>151</v>
      </c>
      <c r="F56" s="30"/>
      <c r="G56" s="30"/>
      <c r="H56" s="31"/>
      <c r="I56" s="31"/>
      <c r="J56" s="32" t="s">
        <v>158</v>
      </c>
      <c r="K56" s="32"/>
      <c r="L56" s="32"/>
      <c r="M56" s="32"/>
      <c r="N56" s="33">
        <v>1</v>
      </c>
      <c r="O56" s="2"/>
      <c r="P56" s="46"/>
      <c r="Q56" s="16"/>
      <c r="R56" s="2"/>
      <c r="S56" s="2"/>
      <c r="T56" s="2"/>
      <c r="U56" s="2"/>
      <c r="V56" s="2"/>
      <c r="W56" s="2"/>
      <c r="X56" s="2"/>
      <c r="Y56" s="2"/>
      <c r="Z56" s="2"/>
    </row>
    <row r="57" spans="1:26" ht="15.75" customHeight="1" x14ac:dyDescent="0.45">
      <c r="A57" s="8" t="s">
        <v>105</v>
      </c>
      <c r="B57" s="29">
        <v>6</v>
      </c>
      <c r="C57" s="29">
        <v>7</v>
      </c>
      <c r="D57" s="30"/>
      <c r="E57" s="30" t="s">
        <v>159</v>
      </c>
      <c r="F57" s="30"/>
      <c r="G57" s="30"/>
      <c r="H57" s="31"/>
      <c r="I57" s="31"/>
      <c r="J57" s="32" t="s">
        <v>160</v>
      </c>
      <c r="K57" s="32"/>
      <c r="L57" s="32" t="s">
        <v>159</v>
      </c>
      <c r="M57" s="32"/>
      <c r="N57" s="33"/>
      <c r="O57" s="2"/>
      <c r="P57" s="46"/>
      <c r="Q57" s="16"/>
      <c r="R57" s="2"/>
      <c r="S57" s="2"/>
      <c r="T57" s="2"/>
      <c r="U57" s="2"/>
      <c r="V57" s="2"/>
      <c r="W57" s="2"/>
      <c r="X57" s="2"/>
      <c r="Y57" s="2"/>
      <c r="Z57" s="2"/>
    </row>
    <row r="58" spans="1:26" ht="15.75" customHeight="1" x14ac:dyDescent="0.45">
      <c r="A58" s="8" t="s">
        <v>106</v>
      </c>
      <c r="B58" s="29">
        <v>3</v>
      </c>
      <c r="C58" s="29">
        <v>6</v>
      </c>
      <c r="D58" s="30"/>
      <c r="E58" s="30"/>
      <c r="F58" s="30"/>
      <c r="G58" s="30"/>
      <c r="H58" s="31"/>
      <c r="I58" s="31"/>
      <c r="J58" s="32" t="s">
        <v>155</v>
      </c>
      <c r="K58" s="32"/>
      <c r="L58" s="32"/>
      <c r="M58" s="32"/>
      <c r="N58" s="33">
        <v>3</v>
      </c>
      <c r="O58" s="2"/>
      <c r="P58" s="46"/>
      <c r="Q58" s="16"/>
      <c r="R58" s="2"/>
      <c r="S58" s="2"/>
      <c r="T58" s="2"/>
      <c r="U58" s="2"/>
      <c r="V58" s="2"/>
      <c r="W58" s="2"/>
      <c r="X58" s="2"/>
      <c r="Y58" s="2"/>
      <c r="Z58" s="2"/>
    </row>
    <row r="59" spans="1:26" ht="15.75" customHeight="1" x14ac:dyDescent="0.45">
      <c r="A59" s="8" t="s">
        <v>107</v>
      </c>
      <c r="B59" s="29">
        <v>5</v>
      </c>
      <c r="C59" s="29">
        <v>5</v>
      </c>
      <c r="D59" s="30">
        <v>5</v>
      </c>
      <c r="E59" s="30">
        <v>5</v>
      </c>
      <c r="F59" s="30"/>
      <c r="G59" s="30"/>
      <c r="H59" s="31"/>
      <c r="I59" s="31"/>
      <c r="J59" s="32"/>
      <c r="K59" s="32"/>
      <c r="L59" s="32"/>
      <c r="M59" s="32"/>
      <c r="N59" s="33"/>
      <c r="O59" s="2"/>
      <c r="P59" s="46"/>
      <c r="Q59" s="16"/>
      <c r="R59" s="2"/>
      <c r="S59" s="2"/>
      <c r="T59" s="2"/>
      <c r="U59" s="2"/>
      <c r="V59" s="2"/>
      <c r="W59" s="2"/>
      <c r="X59" s="2"/>
      <c r="Y59" s="2"/>
      <c r="Z59" s="2"/>
    </row>
    <row r="60" spans="1:26" ht="15.75" customHeight="1" x14ac:dyDescent="0.45">
      <c r="A60" s="8" t="s">
        <v>33</v>
      </c>
      <c r="B60" s="29">
        <v>1</v>
      </c>
      <c r="C60" s="29">
        <v>4</v>
      </c>
      <c r="D60" s="30"/>
      <c r="E60" s="30" t="s">
        <v>90</v>
      </c>
      <c r="F60" s="30"/>
      <c r="G60" s="30"/>
      <c r="H60" s="31"/>
      <c r="I60" s="31"/>
      <c r="J60" s="32" t="s">
        <v>161</v>
      </c>
      <c r="K60" s="32" t="s">
        <v>149</v>
      </c>
      <c r="L60" s="32"/>
      <c r="M60" s="32"/>
      <c r="N60" s="33"/>
      <c r="O60" s="2"/>
      <c r="P60" s="46"/>
      <c r="Q60" s="16"/>
      <c r="R60" s="2"/>
      <c r="S60" s="2"/>
      <c r="T60" s="2"/>
      <c r="U60" s="2"/>
      <c r="V60" s="2"/>
      <c r="W60" s="2"/>
      <c r="X60" s="2"/>
      <c r="Y60" s="2"/>
      <c r="Z60" s="2"/>
    </row>
    <row r="61" spans="1:26" ht="15.75" customHeight="1" x14ac:dyDescent="0.45">
      <c r="A61" s="8" t="s">
        <v>35</v>
      </c>
      <c r="B61" s="29">
        <v>2</v>
      </c>
      <c r="C61" s="29">
        <v>4</v>
      </c>
      <c r="D61" s="30"/>
      <c r="E61" s="30"/>
      <c r="F61" s="30"/>
      <c r="G61" s="30"/>
      <c r="H61" s="31"/>
      <c r="I61" s="31"/>
      <c r="J61" s="32" t="s">
        <v>147</v>
      </c>
      <c r="K61" s="32"/>
      <c r="L61" s="32"/>
      <c r="M61" s="32"/>
      <c r="N61" s="33"/>
      <c r="O61" s="2"/>
      <c r="P61" s="46"/>
      <c r="Q61" s="16"/>
      <c r="R61" s="2"/>
      <c r="S61" s="2"/>
      <c r="T61" s="2"/>
      <c r="U61" s="2"/>
      <c r="V61" s="2"/>
      <c r="W61" s="2"/>
      <c r="X61" s="2"/>
      <c r="Y61" s="2"/>
      <c r="Z61" s="2"/>
    </row>
    <row r="62" spans="1:26" ht="15.75" customHeight="1" x14ac:dyDescent="0.45">
      <c r="A62" s="8" t="s">
        <v>37</v>
      </c>
      <c r="B62" s="29">
        <v>1</v>
      </c>
      <c r="C62" s="29">
        <v>6</v>
      </c>
      <c r="D62" s="30"/>
      <c r="E62" s="30" t="s">
        <v>68</v>
      </c>
      <c r="F62" s="30"/>
      <c r="G62" s="30"/>
      <c r="H62" s="31"/>
      <c r="I62" s="31"/>
      <c r="J62" s="32" t="s">
        <v>147</v>
      </c>
      <c r="K62" s="32"/>
      <c r="L62" s="32"/>
      <c r="M62" s="32"/>
      <c r="N62" s="33">
        <v>1</v>
      </c>
      <c r="O62" s="2"/>
      <c r="P62" s="46"/>
      <c r="Q62" s="16"/>
      <c r="R62" s="2"/>
      <c r="S62" s="2"/>
      <c r="T62" s="2"/>
      <c r="U62" s="2"/>
      <c r="V62" s="2"/>
      <c r="W62" s="2"/>
      <c r="X62" s="2"/>
      <c r="Y62" s="2"/>
      <c r="Z62" s="2"/>
    </row>
    <row r="63" spans="1:26" ht="15.75" customHeight="1" x14ac:dyDescent="0.45">
      <c r="A63" s="8" t="s">
        <v>108</v>
      </c>
      <c r="B63" s="29">
        <v>6</v>
      </c>
      <c r="C63" s="29">
        <v>6</v>
      </c>
      <c r="D63" s="30"/>
      <c r="E63" s="30"/>
      <c r="F63" s="30"/>
      <c r="G63" s="30"/>
      <c r="H63" s="31"/>
      <c r="I63" s="31"/>
      <c r="J63" s="32">
        <v>6</v>
      </c>
      <c r="K63" s="32">
        <v>6</v>
      </c>
      <c r="L63" s="32"/>
      <c r="M63" s="32"/>
      <c r="N63" s="33"/>
      <c r="O63" s="2"/>
      <c r="P63" s="46"/>
      <c r="Q63" s="16"/>
      <c r="R63" s="2"/>
      <c r="S63" s="2"/>
      <c r="T63" s="2"/>
      <c r="U63" s="2"/>
      <c r="V63" s="2"/>
      <c r="W63" s="2"/>
      <c r="X63" s="2"/>
      <c r="Y63" s="2"/>
      <c r="Z63" s="2"/>
    </row>
    <row r="64" spans="1:26" ht="15.75" customHeight="1" x14ac:dyDescent="0.45">
      <c r="A64" s="8" t="s">
        <v>39</v>
      </c>
      <c r="B64" s="29">
        <v>1</v>
      </c>
      <c r="C64" s="29">
        <v>5</v>
      </c>
      <c r="D64" s="30"/>
      <c r="E64" s="30"/>
      <c r="F64" s="30"/>
      <c r="G64" s="30"/>
      <c r="H64" s="31"/>
      <c r="I64" s="31"/>
      <c r="J64" s="32"/>
      <c r="K64" s="32"/>
      <c r="L64" s="32" t="s">
        <v>83</v>
      </c>
      <c r="M64" s="32"/>
      <c r="N64" s="33">
        <v>1</v>
      </c>
      <c r="O64" s="2"/>
      <c r="P64" s="46"/>
      <c r="Q64" s="16"/>
      <c r="R64" s="2"/>
      <c r="S64" s="2"/>
      <c r="T64" s="2"/>
      <c r="U64" s="2"/>
      <c r="V64" s="2"/>
      <c r="W64" s="2"/>
      <c r="X64" s="2"/>
      <c r="Y64" s="2"/>
      <c r="Z64" s="2"/>
    </row>
    <row r="65" spans="1:26" ht="15.75" customHeight="1" x14ac:dyDescent="0.45">
      <c r="A65" s="8" t="s">
        <v>41</v>
      </c>
      <c r="B65" s="29">
        <v>1</v>
      </c>
      <c r="C65" s="29">
        <v>5</v>
      </c>
      <c r="D65" s="30" t="s">
        <v>83</v>
      </c>
      <c r="E65" s="30"/>
      <c r="F65" s="30"/>
      <c r="G65" s="30"/>
      <c r="H65" s="31"/>
      <c r="I65" s="31" t="s">
        <v>152</v>
      </c>
      <c r="J65" s="32" t="s">
        <v>149</v>
      </c>
      <c r="K65" s="32"/>
      <c r="L65" s="32"/>
      <c r="M65" s="32"/>
      <c r="N65" s="33">
        <v>1</v>
      </c>
      <c r="O65" s="2"/>
      <c r="P65" s="46"/>
      <c r="Q65" s="16"/>
      <c r="R65" s="2"/>
      <c r="S65" s="2"/>
      <c r="T65" s="2"/>
      <c r="U65" s="2"/>
      <c r="V65" s="2"/>
      <c r="W65" s="2"/>
      <c r="X65" s="2"/>
      <c r="Y65" s="2"/>
      <c r="Z65" s="2"/>
    </row>
    <row r="66" spans="1:26" ht="15.75" customHeight="1" x14ac:dyDescent="0.45">
      <c r="A66" s="8" t="s">
        <v>110</v>
      </c>
      <c r="B66" s="29">
        <v>5</v>
      </c>
      <c r="C66" s="29">
        <v>5</v>
      </c>
      <c r="D66" s="30"/>
      <c r="E66" s="30">
        <v>5</v>
      </c>
      <c r="F66" s="30"/>
      <c r="G66" s="30"/>
      <c r="H66" s="31"/>
      <c r="I66" s="31"/>
      <c r="J66" s="32"/>
      <c r="K66" s="32"/>
      <c r="L66" s="32"/>
      <c r="M66" s="32"/>
      <c r="N66" s="33"/>
      <c r="O66" s="2"/>
      <c r="P66" s="46"/>
      <c r="Q66" s="16"/>
      <c r="R66" s="2"/>
      <c r="S66" s="2"/>
      <c r="T66" s="2"/>
      <c r="U66" s="2"/>
      <c r="V66" s="2"/>
      <c r="W66" s="2"/>
      <c r="X66" s="2"/>
      <c r="Y66" s="2"/>
      <c r="Z66" s="2"/>
    </row>
    <row r="67" spans="1:26" ht="15.75" customHeight="1" x14ac:dyDescent="0.45">
      <c r="A67" s="8" t="s">
        <v>47</v>
      </c>
      <c r="B67" s="29">
        <v>1</v>
      </c>
      <c r="C67" s="29">
        <v>4</v>
      </c>
      <c r="D67" s="30"/>
      <c r="E67" s="30"/>
      <c r="F67" s="30"/>
      <c r="G67" s="30"/>
      <c r="H67" s="31"/>
      <c r="I67" s="31"/>
      <c r="J67" s="32"/>
      <c r="K67" s="32"/>
      <c r="L67" s="32"/>
      <c r="M67" s="32"/>
      <c r="N67" s="33" t="s">
        <v>161</v>
      </c>
      <c r="O67" s="2"/>
      <c r="P67" s="46"/>
      <c r="Q67" s="16"/>
      <c r="R67" s="2"/>
      <c r="S67" s="2"/>
      <c r="T67" s="2"/>
      <c r="U67" s="2"/>
      <c r="V67" s="2"/>
      <c r="W67" s="2"/>
      <c r="X67" s="2"/>
      <c r="Y67" s="2"/>
      <c r="Z67" s="2"/>
    </row>
    <row r="68" spans="1:26" ht="15.75" customHeight="1" x14ac:dyDescent="0.45">
      <c r="A68" s="8" t="s">
        <v>114</v>
      </c>
      <c r="B68" s="29">
        <v>5</v>
      </c>
      <c r="C68" s="29">
        <v>5</v>
      </c>
      <c r="D68" s="30"/>
      <c r="E68" s="30">
        <v>5</v>
      </c>
      <c r="F68" s="30">
        <v>5</v>
      </c>
      <c r="G68" s="30"/>
      <c r="H68" s="31"/>
      <c r="I68" s="31"/>
      <c r="J68" s="32"/>
      <c r="K68" s="32"/>
      <c r="L68" s="32"/>
      <c r="M68" s="32"/>
      <c r="N68" s="33"/>
      <c r="O68" s="2"/>
      <c r="P68" s="46"/>
      <c r="Q68" s="16"/>
      <c r="R68" s="2"/>
      <c r="S68" s="2"/>
      <c r="T68" s="2"/>
      <c r="U68" s="2"/>
      <c r="V68" s="2"/>
      <c r="W68" s="2"/>
      <c r="X68" s="2"/>
      <c r="Y68" s="2"/>
      <c r="Z68" s="2"/>
    </row>
    <row r="69" spans="1:26" ht="15.75" customHeight="1" x14ac:dyDescent="0.45">
      <c r="A69" s="8" t="s">
        <v>115</v>
      </c>
      <c r="B69" s="29">
        <v>4</v>
      </c>
      <c r="C69" s="29">
        <v>6</v>
      </c>
      <c r="D69" s="30"/>
      <c r="E69" s="30"/>
      <c r="F69" s="30" t="s">
        <v>148</v>
      </c>
      <c r="G69" s="30"/>
      <c r="H69" s="31"/>
      <c r="I69" s="31"/>
      <c r="J69" s="32"/>
      <c r="K69" s="32"/>
      <c r="L69" s="32"/>
      <c r="M69" s="32"/>
      <c r="N69" s="33"/>
      <c r="O69" s="2"/>
      <c r="P69" s="46"/>
      <c r="Q69" s="16"/>
      <c r="R69" s="2"/>
      <c r="S69" s="2"/>
      <c r="T69" s="2"/>
      <c r="U69" s="2"/>
      <c r="V69" s="2"/>
      <c r="W69" s="2"/>
      <c r="X69" s="2"/>
      <c r="Y69" s="2"/>
      <c r="Z69" s="2"/>
    </row>
    <row r="70" spans="1:26" ht="15.75" customHeight="1" x14ac:dyDescent="0.45">
      <c r="A70" s="8" t="s">
        <v>116</v>
      </c>
      <c r="B70" s="29">
        <v>4</v>
      </c>
      <c r="C70" s="29">
        <v>6</v>
      </c>
      <c r="D70" s="30"/>
      <c r="E70" s="30">
        <v>4</v>
      </c>
      <c r="F70" s="30">
        <v>4</v>
      </c>
      <c r="G70" s="30"/>
      <c r="H70" s="31">
        <v>4</v>
      </c>
      <c r="I70" s="31"/>
      <c r="J70" s="32" t="s">
        <v>68</v>
      </c>
      <c r="K70" s="32"/>
      <c r="L70" s="32"/>
      <c r="M70" s="32"/>
      <c r="N70" s="33"/>
      <c r="O70" s="2"/>
      <c r="P70" s="46"/>
      <c r="Q70" s="16"/>
      <c r="R70" s="2"/>
      <c r="S70" s="2"/>
      <c r="T70" s="2"/>
      <c r="U70" s="2"/>
      <c r="V70" s="2"/>
      <c r="W70" s="2"/>
      <c r="X70" s="2"/>
      <c r="Y70" s="2"/>
      <c r="Z70" s="2"/>
    </row>
    <row r="71" spans="1:26" ht="15.75" customHeight="1" x14ac:dyDescent="0.45">
      <c r="A71" s="8" t="s">
        <v>117</v>
      </c>
      <c r="B71" s="29">
        <v>7</v>
      </c>
      <c r="C71" s="29">
        <v>7</v>
      </c>
      <c r="D71" s="30"/>
      <c r="E71" s="30"/>
      <c r="F71" s="30">
        <v>7</v>
      </c>
      <c r="G71" s="30"/>
      <c r="H71" s="31"/>
      <c r="I71" s="31"/>
      <c r="J71" s="32"/>
      <c r="K71" s="32"/>
      <c r="L71" s="32"/>
      <c r="M71" s="32"/>
      <c r="N71" s="33"/>
      <c r="O71" s="2"/>
      <c r="P71" s="46"/>
      <c r="Q71" s="16"/>
      <c r="R71" s="2"/>
      <c r="S71" s="2"/>
      <c r="T71" s="2"/>
      <c r="U71" s="2"/>
      <c r="V71" s="2"/>
      <c r="W71" s="2"/>
      <c r="X71" s="2"/>
      <c r="Y71" s="2"/>
      <c r="Z71" s="2"/>
    </row>
    <row r="72" spans="1:26" ht="15.75" customHeight="1" x14ac:dyDescent="0.45">
      <c r="A72" s="8" t="s">
        <v>118</v>
      </c>
      <c r="B72" s="29">
        <v>4</v>
      </c>
      <c r="C72" s="29">
        <v>6</v>
      </c>
      <c r="D72" s="30"/>
      <c r="E72" s="30" t="s">
        <v>148</v>
      </c>
      <c r="F72" s="30"/>
      <c r="G72" s="39" t="s">
        <v>148</v>
      </c>
      <c r="H72" s="31" t="s">
        <v>148</v>
      </c>
      <c r="I72" s="31"/>
      <c r="J72" s="32"/>
      <c r="K72" s="32"/>
      <c r="L72" s="32"/>
      <c r="M72" s="32"/>
      <c r="N72" s="33"/>
      <c r="O72" s="2"/>
      <c r="P72" s="46"/>
      <c r="Q72" s="16"/>
      <c r="R72" s="2"/>
      <c r="S72" s="2"/>
      <c r="T72" s="2"/>
      <c r="U72" s="2"/>
      <c r="V72" s="2"/>
      <c r="W72" s="2"/>
      <c r="X72" s="2"/>
      <c r="Y72" s="2"/>
      <c r="Z72" s="2"/>
    </row>
    <row r="73" spans="1:26" ht="15.75" customHeight="1" x14ac:dyDescent="0.45">
      <c r="A73" s="8" t="s">
        <v>119</v>
      </c>
      <c r="B73" s="29">
        <v>5</v>
      </c>
      <c r="C73" s="29">
        <v>5</v>
      </c>
      <c r="D73" s="30"/>
      <c r="E73" s="30"/>
      <c r="F73" s="30">
        <v>5</v>
      </c>
      <c r="G73" s="30"/>
      <c r="H73" s="31"/>
      <c r="I73" s="31"/>
      <c r="J73" s="32"/>
      <c r="K73" s="32"/>
      <c r="L73" s="32"/>
      <c r="M73" s="32"/>
      <c r="N73" s="33"/>
      <c r="O73" s="2"/>
      <c r="P73" s="46"/>
      <c r="Q73" s="16"/>
      <c r="R73" s="2"/>
      <c r="S73" s="2"/>
      <c r="T73" s="2"/>
      <c r="U73" s="2"/>
      <c r="V73" s="2"/>
      <c r="W73" s="2"/>
      <c r="X73" s="2"/>
      <c r="Y73" s="2"/>
      <c r="Z73" s="2"/>
    </row>
    <row r="74" spans="1:26" ht="15.75" customHeight="1" x14ac:dyDescent="0.45">
      <c r="A74" s="8" t="s">
        <v>120</v>
      </c>
      <c r="B74" s="29">
        <v>4</v>
      </c>
      <c r="C74" s="29">
        <v>6</v>
      </c>
      <c r="D74" s="30"/>
      <c r="E74" s="30"/>
      <c r="F74" s="30" t="s">
        <v>148</v>
      </c>
      <c r="G74" s="30"/>
      <c r="H74" s="31"/>
      <c r="I74" s="31"/>
      <c r="J74" s="32"/>
      <c r="K74" s="32"/>
      <c r="L74" s="32"/>
      <c r="M74" s="32"/>
      <c r="N74" s="33"/>
      <c r="O74" s="2"/>
      <c r="P74" s="46"/>
      <c r="Q74" s="16"/>
      <c r="R74" s="2"/>
      <c r="S74" s="2"/>
      <c r="T74" s="2"/>
      <c r="U74" s="2"/>
      <c r="V74" s="2"/>
      <c r="W74" s="2"/>
      <c r="X74" s="2"/>
      <c r="Y74" s="2"/>
      <c r="Z74" s="2"/>
    </row>
    <row r="75" spans="1:26" ht="15.75" customHeight="1" x14ac:dyDescent="0.45">
      <c r="A75" s="8" t="s">
        <v>121</v>
      </c>
      <c r="B75" s="29">
        <v>4</v>
      </c>
      <c r="C75" s="29">
        <v>8</v>
      </c>
      <c r="D75" s="30"/>
      <c r="E75" s="30"/>
      <c r="F75" s="30" t="s">
        <v>102</v>
      </c>
      <c r="G75" s="30"/>
      <c r="H75" s="31"/>
      <c r="I75" s="31"/>
      <c r="J75" s="32"/>
      <c r="K75" s="32"/>
      <c r="L75" s="32"/>
      <c r="M75" s="32"/>
      <c r="N75" s="33"/>
      <c r="O75" s="2"/>
      <c r="P75" s="46"/>
      <c r="Q75" s="16"/>
      <c r="R75" s="2"/>
      <c r="S75" s="2"/>
      <c r="T75" s="2"/>
      <c r="U75" s="2"/>
      <c r="V75" s="2"/>
      <c r="W75" s="2"/>
      <c r="X75" s="2"/>
      <c r="Y75" s="2"/>
      <c r="Z75" s="2"/>
    </row>
    <row r="76" spans="1:26" ht="15.75" customHeight="1" x14ac:dyDescent="0.45">
      <c r="A76" s="8" t="s">
        <v>122</v>
      </c>
      <c r="B76" s="29">
        <v>4</v>
      </c>
      <c r="C76" s="29">
        <v>4</v>
      </c>
      <c r="D76" s="30"/>
      <c r="E76" s="30"/>
      <c r="F76" s="30">
        <v>4</v>
      </c>
      <c r="G76" s="30"/>
      <c r="H76" s="31"/>
      <c r="I76" s="31"/>
      <c r="J76" s="32"/>
      <c r="K76" s="32"/>
      <c r="L76" s="32"/>
      <c r="M76" s="32"/>
      <c r="N76" s="33"/>
      <c r="O76" s="2"/>
      <c r="P76" s="46"/>
      <c r="Q76" s="16"/>
      <c r="R76" s="2"/>
      <c r="S76" s="2"/>
      <c r="T76" s="2"/>
      <c r="U76" s="2"/>
      <c r="V76" s="2"/>
      <c r="W76" s="2"/>
      <c r="X76" s="2"/>
      <c r="Y76" s="2"/>
      <c r="Z76" s="2"/>
    </row>
    <row r="77" spans="1:26" ht="15.75" customHeight="1" x14ac:dyDescent="0.45">
      <c r="A77" s="8" t="s">
        <v>123</v>
      </c>
      <c r="B77" s="29">
        <v>2</v>
      </c>
      <c r="C77" s="29">
        <v>7</v>
      </c>
      <c r="D77" s="30"/>
      <c r="E77" s="30"/>
      <c r="F77" s="30" t="s">
        <v>151</v>
      </c>
      <c r="G77" s="30"/>
      <c r="H77" s="31"/>
      <c r="I77" s="31"/>
      <c r="J77" s="32"/>
      <c r="K77" s="32"/>
      <c r="L77" s="32"/>
      <c r="M77" s="32"/>
      <c r="N77" s="33"/>
      <c r="O77" s="2"/>
      <c r="P77" s="46"/>
      <c r="Q77" s="16"/>
      <c r="R77" s="2"/>
      <c r="S77" s="2"/>
      <c r="T77" s="2"/>
      <c r="U77" s="2"/>
      <c r="V77" s="2"/>
      <c r="W77" s="2"/>
      <c r="X77" s="2"/>
      <c r="Y77" s="2"/>
      <c r="Z77" s="2"/>
    </row>
    <row r="78" spans="1:26" ht="15.75" customHeight="1" x14ac:dyDescent="0.45">
      <c r="A78" s="8" t="s">
        <v>124</v>
      </c>
      <c r="B78" s="29">
        <v>6</v>
      </c>
      <c r="C78" s="29">
        <v>6</v>
      </c>
      <c r="D78" s="30"/>
      <c r="E78" s="30">
        <v>6</v>
      </c>
      <c r="F78" s="30"/>
      <c r="G78" s="30"/>
      <c r="H78" s="31"/>
      <c r="I78" s="31"/>
      <c r="J78" s="32"/>
      <c r="K78" s="32">
        <v>6</v>
      </c>
      <c r="L78" s="32">
        <v>6</v>
      </c>
      <c r="M78" s="32"/>
      <c r="N78" s="33"/>
      <c r="O78" s="2"/>
      <c r="P78" s="46"/>
      <c r="Q78" s="16"/>
      <c r="R78" s="2"/>
      <c r="S78" s="2"/>
      <c r="T78" s="2"/>
      <c r="U78" s="2"/>
      <c r="V78" s="2"/>
      <c r="W78" s="2"/>
      <c r="X78" s="2"/>
      <c r="Y78" s="2"/>
      <c r="Z78" s="2"/>
    </row>
    <row r="79" spans="1:26" ht="15.75" customHeight="1" x14ac:dyDescent="0.45">
      <c r="A79" s="8" t="s">
        <v>125</v>
      </c>
      <c r="B79" s="29">
        <v>4</v>
      </c>
      <c r="C79" s="29">
        <v>5</v>
      </c>
      <c r="D79" s="30"/>
      <c r="E79" s="30"/>
      <c r="F79" s="30" t="s">
        <v>83</v>
      </c>
      <c r="G79" s="30"/>
      <c r="H79" s="31"/>
      <c r="I79" s="31"/>
      <c r="J79" s="32"/>
      <c r="K79" s="32" t="s">
        <v>83</v>
      </c>
      <c r="L79" s="32"/>
      <c r="M79" s="32"/>
      <c r="N79" s="33"/>
      <c r="O79" s="2"/>
      <c r="P79" s="46"/>
      <c r="Q79" s="16"/>
      <c r="R79" s="2"/>
      <c r="S79" s="2"/>
      <c r="T79" s="2"/>
      <c r="U79" s="2"/>
      <c r="V79" s="2"/>
      <c r="W79" s="2"/>
      <c r="X79" s="2"/>
      <c r="Y79" s="2"/>
      <c r="Z79" s="2"/>
    </row>
    <row r="80" spans="1:26" ht="15.75" customHeight="1" x14ac:dyDescent="0.45">
      <c r="A80" s="8" t="s">
        <v>126</v>
      </c>
      <c r="B80" s="29">
        <v>6</v>
      </c>
      <c r="C80" s="29">
        <v>6</v>
      </c>
      <c r="D80" s="30"/>
      <c r="E80" s="30"/>
      <c r="F80" s="30"/>
      <c r="G80" s="30"/>
      <c r="H80" s="31"/>
      <c r="I80" s="31"/>
      <c r="J80" s="32"/>
      <c r="K80" s="32"/>
      <c r="L80" s="32"/>
      <c r="M80" s="32"/>
      <c r="N80" s="33">
        <v>6</v>
      </c>
      <c r="O80" s="2"/>
      <c r="P80" s="46"/>
      <c r="Q80" s="16"/>
      <c r="R80" s="2"/>
      <c r="S80" s="2"/>
      <c r="T80" s="2"/>
      <c r="U80" s="2"/>
      <c r="V80" s="2"/>
      <c r="W80" s="2"/>
      <c r="X80" s="2"/>
      <c r="Y80" s="2"/>
      <c r="Z80" s="2"/>
    </row>
    <row r="81" spans="1:26" ht="15.75" customHeight="1" x14ac:dyDescent="0.45">
      <c r="A81" s="8" t="s">
        <v>127</v>
      </c>
      <c r="B81" s="29">
        <v>5</v>
      </c>
      <c r="C81" s="29">
        <v>8</v>
      </c>
      <c r="D81" s="30"/>
      <c r="E81" s="30"/>
      <c r="F81" s="30" t="s">
        <v>162</v>
      </c>
      <c r="G81" s="30"/>
      <c r="H81" s="31"/>
      <c r="I81" s="31"/>
      <c r="J81" s="32"/>
      <c r="K81" s="32"/>
      <c r="L81" s="32"/>
      <c r="M81" s="32"/>
      <c r="N81" s="33"/>
      <c r="O81" s="2"/>
      <c r="P81" s="46"/>
      <c r="Q81" s="16"/>
      <c r="R81" s="2"/>
      <c r="S81" s="2"/>
      <c r="T81" s="2"/>
      <c r="U81" s="2"/>
      <c r="V81" s="2"/>
      <c r="W81" s="2"/>
      <c r="X81" s="2"/>
      <c r="Y81" s="2"/>
      <c r="Z81" s="2"/>
    </row>
    <row r="82" spans="1:26" ht="15.75" customHeight="1" x14ac:dyDescent="0.45">
      <c r="A82" s="8" t="s">
        <v>128</v>
      </c>
      <c r="B82" s="29">
        <v>4</v>
      </c>
      <c r="C82" s="29">
        <v>5</v>
      </c>
      <c r="D82" s="30"/>
      <c r="E82" s="30"/>
      <c r="F82" s="30" t="s">
        <v>83</v>
      </c>
      <c r="G82" s="30"/>
      <c r="H82" s="31"/>
      <c r="I82" s="31"/>
      <c r="J82" s="32"/>
      <c r="K82" s="32"/>
      <c r="L82" s="32"/>
      <c r="M82" s="32"/>
      <c r="N82" s="33"/>
      <c r="O82" s="2"/>
      <c r="P82" s="46"/>
      <c r="Q82" s="16"/>
      <c r="R82" s="2"/>
      <c r="S82" s="2"/>
      <c r="T82" s="2"/>
      <c r="U82" s="2"/>
      <c r="V82" s="2"/>
      <c r="W82" s="2"/>
      <c r="X82" s="2"/>
      <c r="Y82" s="2"/>
      <c r="Z82" s="2"/>
    </row>
    <row r="83" spans="1:26" ht="15.75" customHeight="1" x14ac:dyDescent="0.45">
      <c r="A83" s="8" t="s">
        <v>129</v>
      </c>
      <c r="B83" s="29">
        <v>6</v>
      </c>
      <c r="C83" s="29">
        <v>7</v>
      </c>
      <c r="D83" s="30" t="s">
        <v>159</v>
      </c>
      <c r="E83" s="30" t="s">
        <v>159</v>
      </c>
      <c r="F83" s="30" t="s">
        <v>159</v>
      </c>
      <c r="G83" s="30"/>
      <c r="H83" s="31" t="s">
        <v>159</v>
      </c>
      <c r="I83" s="31"/>
      <c r="J83" s="32"/>
      <c r="K83" s="32"/>
      <c r="L83" s="32"/>
      <c r="M83" s="32"/>
      <c r="N83" s="33"/>
      <c r="O83" s="2"/>
      <c r="P83" s="46"/>
      <c r="Q83" s="16"/>
      <c r="R83" s="2"/>
      <c r="S83" s="2"/>
      <c r="T83" s="2"/>
      <c r="U83" s="2"/>
      <c r="V83" s="2"/>
      <c r="W83" s="2"/>
      <c r="X83" s="2"/>
      <c r="Y83" s="2"/>
      <c r="Z83" s="2"/>
    </row>
    <row r="84" spans="1:26" ht="15.75" customHeight="1" x14ac:dyDescent="0.45">
      <c r="A84" s="8" t="s">
        <v>130</v>
      </c>
      <c r="B84" s="29">
        <v>7</v>
      </c>
      <c r="C84" s="29">
        <v>7</v>
      </c>
      <c r="D84" s="30">
        <v>7</v>
      </c>
      <c r="E84" s="30">
        <v>7</v>
      </c>
      <c r="F84" s="30"/>
      <c r="G84" s="30"/>
      <c r="H84" s="31"/>
      <c r="I84" s="31"/>
      <c r="J84" s="32"/>
      <c r="K84" s="32"/>
      <c r="L84" s="32">
        <v>7</v>
      </c>
      <c r="M84" s="32"/>
      <c r="N84" s="33"/>
      <c r="O84" s="2"/>
      <c r="P84" s="46"/>
      <c r="Q84" s="16"/>
      <c r="R84" s="2"/>
      <c r="S84" s="2"/>
      <c r="T84" s="2"/>
      <c r="U84" s="2"/>
      <c r="V84" s="2"/>
      <c r="W84" s="2"/>
      <c r="X84" s="2"/>
      <c r="Y84" s="2"/>
      <c r="Z84" s="2"/>
    </row>
    <row r="85" spans="1:26" ht="15.75" customHeight="1" x14ac:dyDescent="0.45">
      <c r="A85" s="8" t="s">
        <v>49</v>
      </c>
      <c r="B85" s="29">
        <v>1</v>
      </c>
      <c r="C85" s="29">
        <v>4</v>
      </c>
      <c r="D85" s="30"/>
      <c r="E85" s="30"/>
      <c r="F85" s="30" t="s">
        <v>90</v>
      </c>
      <c r="G85" s="30"/>
      <c r="H85" s="31"/>
      <c r="I85" s="31"/>
      <c r="J85" s="32"/>
      <c r="K85" s="32"/>
      <c r="L85" s="32" t="s">
        <v>149</v>
      </c>
      <c r="M85" s="32"/>
      <c r="N85" s="33"/>
      <c r="O85" s="2"/>
      <c r="P85" s="46"/>
      <c r="Q85" s="16"/>
      <c r="R85" s="2"/>
      <c r="S85" s="2"/>
      <c r="T85" s="2"/>
      <c r="U85" s="2"/>
      <c r="V85" s="2"/>
      <c r="W85" s="2"/>
      <c r="X85" s="2"/>
      <c r="Y85" s="2"/>
      <c r="Z85" s="2"/>
    </row>
    <row r="86" spans="1:26" ht="15.75" customHeight="1" x14ac:dyDescent="0.45">
      <c r="A86" s="8" t="s">
        <v>131</v>
      </c>
      <c r="B86" s="29">
        <v>3</v>
      </c>
      <c r="C86" s="29">
        <v>3</v>
      </c>
      <c r="D86" s="30"/>
      <c r="E86" s="30"/>
      <c r="F86" s="30"/>
      <c r="G86" s="30"/>
      <c r="H86" s="31"/>
      <c r="I86" s="31"/>
      <c r="J86" s="32"/>
      <c r="K86" s="32"/>
      <c r="L86" s="32"/>
      <c r="M86" s="32"/>
      <c r="N86" s="33"/>
      <c r="O86" s="2"/>
      <c r="P86" s="46"/>
      <c r="Q86" s="16"/>
      <c r="R86" s="2"/>
      <c r="S86" s="2"/>
      <c r="T86" s="2"/>
      <c r="U86" s="2"/>
      <c r="V86" s="2"/>
      <c r="W86" s="2"/>
      <c r="X86" s="2"/>
      <c r="Y86" s="2"/>
      <c r="Z86" s="2"/>
    </row>
    <row r="87" spans="1:26" ht="15.75" customHeight="1" x14ac:dyDescent="0.45">
      <c r="A87" s="8" t="s">
        <v>51</v>
      </c>
      <c r="B87" s="29">
        <v>1</v>
      </c>
      <c r="C87" s="29">
        <v>4</v>
      </c>
      <c r="D87" s="30"/>
      <c r="E87" s="30"/>
      <c r="F87" s="30"/>
      <c r="G87" s="30"/>
      <c r="H87" s="31"/>
      <c r="I87" s="31"/>
      <c r="J87" s="32" t="s">
        <v>147</v>
      </c>
      <c r="K87" s="32"/>
      <c r="L87" s="32"/>
      <c r="M87" s="32"/>
      <c r="N87" s="33">
        <v>1</v>
      </c>
      <c r="O87" s="2"/>
      <c r="P87" s="46"/>
      <c r="Q87" s="16"/>
      <c r="R87" s="2"/>
      <c r="S87" s="2"/>
      <c r="T87" s="2"/>
      <c r="U87" s="2"/>
      <c r="V87" s="2"/>
      <c r="W87" s="2"/>
      <c r="X87" s="2"/>
      <c r="Y87" s="2"/>
      <c r="Z87" s="2"/>
    </row>
    <row r="88" spans="1:26" ht="15.75" customHeight="1" x14ac:dyDescent="0.45">
      <c r="A88" s="8" t="s">
        <v>132</v>
      </c>
      <c r="B88" s="29">
        <v>6</v>
      </c>
      <c r="C88" s="29">
        <v>8</v>
      </c>
      <c r="D88" s="30" t="s">
        <v>157</v>
      </c>
      <c r="E88" s="30" t="s">
        <v>157</v>
      </c>
      <c r="F88" s="30"/>
      <c r="G88" s="30"/>
      <c r="H88" s="31"/>
      <c r="I88" s="31"/>
      <c r="J88" s="32"/>
      <c r="K88" s="32"/>
      <c r="L88" s="32"/>
      <c r="M88" s="32"/>
      <c r="N88" s="33"/>
      <c r="O88" s="2"/>
      <c r="P88" s="46"/>
      <c r="Q88" s="16"/>
      <c r="R88" s="2"/>
      <c r="S88" s="2"/>
      <c r="T88" s="2"/>
      <c r="U88" s="2"/>
      <c r="V88" s="2"/>
      <c r="W88" s="2"/>
      <c r="X88" s="2"/>
      <c r="Y88" s="2"/>
      <c r="Z88" s="2"/>
    </row>
    <row r="89" spans="1:26" ht="15.75" customHeight="1" x14ac:dyDescent="0.45">
      <c r="A89" s="8" t="s">
        <v>58</v>
      </c>
      <c r="B89" s="40">
        <v>1</v>
      </c>
      <c r="C89" s="40">
        <v>6</v>
      </c>
      <c r="D89" s="30"/>
      <c r="E89" s="30" t="s">
        <v>83</v>
      </c>
      <c r="F89" s="30"/>
      <c r="G89" s="30"/>
      <c r="H89" s="31"/>
      <c r="I89" s="31"/>
      <c r="J89" s="32" t="s">
        <v>156</v>
      </c>
      <c r="K89" s="32" t="s">
        <v>153</v>
      </c>
      <c r="L89" s="32"/>
      <c r="M89" s="32"/>
      <c r="N89" s="33">
        <v>1</v>
      </c>
      <c r="O89" s="2"/>
      <c r="P89" s="46"/>
      <c r="Q89" s="16"/>
      <c r="R89" s="2"/>
      <c r="S89" s="2"/>
      <c r="T89" s="2"/>
      <c r="U89" s="2"/>
      <c r="V89" s="2"/>
      <c r="W89" s="2"/>
      <c r="X89" s="2"/>
      <c r="Y89" s="2"/>
      <c r="Z89" s="2"/>
    </row>
    <row r="90" spans="1:26" ht="15.75" customHeight="1" x14ac:dyDescent="0.45">
      <c r="A90" s="8" t="s">
        <v>60</v>
      </c>
      <c r="B90" s="29">
        <v>1</v>
      </c>
      <c r="C90" s="29">
        <v>4</v>
      </c>
      <c r="D90" s="30"/>
      <c r="E90" s="30"/>
      <c r="F90" s="30"/>
      <c r="G90" s="30"/>
      <c r="H90" s="31"/>
      <c r="I90" s="31"/>
      <c r="J90" s="32" t="s">
        <v>147</v>
      </c>
      <c r="K90" s="32"/>
      <c r="L90" s="32"/>
      <c r="M90" s="32"/>
      <c r="N90" s="33">
        <v>1</v>
      </c>
      <c r="O90" s="2"/>
      <c r="P90" s="46"/>
      <c r="Q90" s="16"/>
      <c r="R90" s="2"/>
      <c r="S90" s="2"/>
      <c r="T90" s="2"/>
      <c r="U90" s="2"/>
      <c r="V90" s="2"/>
      <c r="W90" s="2"/>
      <c r="X90" s="2"/>
      <c r="Y90" s="2"/>
      <c r="Z90" s="2"/>
    </row>
    <row r="91" spans="1:26" ht="15.75" customHeight="1" x14ac:dyDescent="0.45">
      <c r="A91" s="8" t="s">
        <v>133</v>
      </c>
      <c r="B91" s="29">
        <v>3</v>
      </c>
      <c r="C91" s="29">
        <v>8</v>
      </c>
      <c r="D91" s="30" t="s">
        <v>83</v>
      </c>
      <c r="E91" s="30"/>
      <c r="F91" s="30"/>
      <c r="G91" s="30"/>
      <c r="H91" s="31" t="s">
        <v>157</v>
      </c>
      <c r="I91" s="31"/>
      <c r="J91" s="32"/>
      <c r="K91" s="32">
        <v>3</v>
      </c>
      <c r="L91" s="32"/>
      <c r="M91" s="32"/>
      <c r="N91" s="33"/>
      <c r="O91" s="2"/>
      <c r="P91" s="46"/>
      <c r="Q91" s="16"/>
      <c r="R91" s="2"/>
      <c r="S91" s="2"/>
      <c r="T91" s="2"/>
      <c r="U91" s="2"/>
      <c r="V91" s="2"/>
      <c r="W91" s="2"/>
      <c r="X91" s="2"/>
      <c r="Y91" s="2"/>
      <c r="Z91" s="2"/>
    </row>
    <row r="92" spans="1:26" ht="15.75" customHeight="1" x14ac:dyDescent="0.45">
      <c r="A92" s="8" t="s">
        <v>61</v>
      </c>
      <c r="B92" s="29">
        <v>2</v>
      </c>
      <c r="C92" s="29">
        <v>5</v>
      </c>
      <c r="D92" s="30"/>
      <c r="E92" s="30"/>
      <c r="F92" s="30"/>
      <c r="G92" s="30"/>
      <c r="H92" s="31"/>
      <c r="I92" s="31"/>
      <c r="J92" s="32" t="s">
        <v>156</v>
      </c>
      <c r="K92" s="32"/>
      <c r="L92" s="32"/>
      <c r="M92" s="32"/>
      <c r="N92" s="33"/>
      <c r="O92" s="2"/>
      <c r="P92" s="46"/>
      <c r="Q92" s="16"/>
      <c r="R92" s="2"/>
      <c r="S92" s="2"/>
      <c r="T92" s="2"/>
      <c r="U92" s="2"/>
      <c r="V92" s="2"/>
      <c r="W92" s="2"/>
      <c r="X92" s="2"/>
      <c r="Y92" s="2"/>
      <c r="Z92" s="2"/>
    </row>
    <row r="93" spans="1:26" ht="15.75" customHeight="1" x14ac:dyDescent="0.45">
      <c r="A93" s="8" t="s">
        <v>134</v>
      </c>
      <c r="B93" s="29">
        <v>5</v>
      </c>
      <c r="C93" s="29">
        <v>5</v>
      </c>
      <c r="D93" s="30">
        <v>5</v>
      </c>
      <c r="E93" s="30">
        <v>5</v>
      </c>
      <c r="F93" s="30"/>
      <c r="G93" s="30"/>
      <c r="H93" s="31">
        <v>5</v>
      </c>
      <c r="I93" s="31"/>
      <c r="J93" s="32"/>
      <c r="K93" s="32"/>
      <c r="L93" s="32"/>
      <c r="M93" s="32"/>
      <c r="N93" s="33"/>
      <c r="O93" s="2"/>
      <c r="P93" s="46"/>
      <c r="Q93" s="16"/>
      <c r="R93" s="2"/>
      <c r="S93" s="2"/>
      <c r="T93" s="2"/>
      <c r="U93" s="2"/>
      <c r="V93" s="2"/>
      <c r="W93" s="2"/>
      <c r="X93" s="2"/>
      <c r="Y93" s="2"/>
      <c r="Z93" s="2"/>
    </row>
    <row r="94" spans="1:26" ht="15.75" customHeight="1" x14ac:dyDescent="0.45">
      <c r="A94" s="8" t="s">
        <v>135</v>
      </c>
      <c r="B94" s="29">
        <v>4</v>
      </c>
      <c r="C94" s="29">
        <v>6</v>
      </c>
      <c r="D94" s="30" t="s">
        <v>148</v>
      </c>
      <c r="E94" s="30"/>
      <c r="F94" s="30"/>
      <c r="G94" s="30"/>
      <c r="H94" s="31"/>
      <c r="I94" s="31"/>
      <c r="J94" s="32"/>
      <c r="K94" s="32"/>
      <c r="L94" s="32"/>
      <c r="M94" s="32"/>
      <c r="N94" s="33"/>
      <c r="O94" s="2"/>
      <c r="P94" s="46"/>
      <c r="Q94" s="16"/>
      <c r="R94" s="2"/>
      <c r="S94" s="2"/>
      <c r="T94" s="2"/>
      <c r="U94" s="2"/>
      <c r="V94" s="2"/>
      <c r="W94" s="2"/>
      <c r="X94" s="2"/>
      <c r="Y94" s="2"/>
      <c r="Z94" s="2"/>
    </row>
    <row r="95" spans="1:26" ht="15.75" customHeight="1" x14ac:dyDescent="0.45">
      <c r="A95" s="8" t="s">
        <v>136</v>
      </c>
      <c r="B95" s="29">
        <v>4</v>
      </c>
      <c r="C95" s="29">
        <v>4</v>
      </c>
      <c r="D95" s="30">
        <v>4</v>
      </c>
      <c r="E95" s="30"/>
      <c r="F95" s="30"/>
      <c r="G95" s="30"/>
      <c r="H95" s="31"/>
      <c r="I95" s="31"/>
      <c r="J95" s="32"/>
      <c r="K95" s="32"/>
      <c r="L95" s="32"/>
      <c r="M95" s="32"/>
      <c r="N95" s="33"/>
      <c r="O95" s="2"/>
      <c r="P95" s="46"/>
      <c r="Q95" s="16"/>
      <c r="R95" s="2"/>
      <c r="S95" s="2"/>
      <c r="T95" s="2"/>
      <c r="U95" s="2"/>
      <c r="V95" s="2"/>
      <c r="W95" s="2"/>
      <c r="X95" s="2"/>
      <c r="Y95" s="2"/>
      <c r="Z95" s="2"/>
    </row>
    <row r="96" spans="1:26" ht="15.75" customHeight="1" x14ac:dyDescent="0.45">
      <c r="A96" s="8" t="s">
        <v>137</v>
      </c>
      <c r="B96" s="29">
        <v>6</v>
      </c>
      <c r="C96" s="29">
        <v>6</v>
      </c>
      <c r="D96" s="30">
        <v>6</v>
      </c>
      <c r="E96" s="30">
        <v>6</v>
      </c>
      <c r="F96" s="30"/>
      <c r="G96" s="30"/>
      <c r="H96" s="31">
        <v>6</v>
      </c>
      <c r="I96" s="31"/>
      <c r="J96" s="32"/>
      <c r="K96" s="32"/>
      <c r="L96" s="32"/>
      <c r="M96" s="32"/>
      <c r="N96" s="33"/>
      <c r="O96" s="2"/>
      <c r="P96" s="46"/>
      <c r="Q96" s="16"/>
      <c r="R96" s="2"/>
      <c r="S96" s="2"/>
      <c r="T96" s="2"/>
      <c r="U96" s="2"/>
      <c r="V96" s="2"/>
      <c r="W96" s="2"/>
      <c r="X96" s="2"/>
      <c r="Y96" s="2"/>
      <c r="Z96" s="2"/>
    </row>
    <row r="97" spans="1:26" ht="15.75" customHeight="1" x14ac:dyDescent="0.45">
      <c r="A97" s="8" t="s">
        <v>138</v>
      </c>
      <c r="B97" s="29">
        <v>1</v>
      </c>
      <c r="C97" s="29">
        <v>1</v>
      </c>
      <c r="D97" s="30"/>
      <c r="E97" s="30"/>
      <c r="F97" s="30"/>
      <c r="G97" s="30"/>
      <c r="H97" s="31"/>
      <c r="I97" s="31"/>
      <c r="J97" s="32"/>
      <c r="K97" s="32"/>
      <c r="L97" s="32"/>
      <c r="M97" s="32"/>
      <c r="N97" s="33">
        <v>1</v>
      </c>
      <c r="O97" s="2"/>
      <c r="P97" s="46"/>
      <c r="Q97" s="16"/>
      <c r="R97" s="2"/>
      <c r="S97" s="2"/>
      <c r="T97" s="2"/>
      <c r="U97" s="2"/>
      <c r="V97" s="2"/>
      <c r="W97" s="2"/>
      <c r="X97" s="2"/>
      <c r="Y97" s="2"/>
      <c r="Z97" s="2"/>
    </row>
    <row r="98" spans="1:26" ht="15.75" customHeight="1" x14ac:dyDescent="0.45">
      <c r="A98" s="8" t="s">
        <v>140</v>
      </c>
      <c r="B98" s="29">
        <v>6</v>
      </c>
      <c r="C98" s="29">
        <v>8</v>
      </c>
      <c r="D98" s="30" t="s">
        <v>157</v>
      </c>
      <c r="E98" s="30" t="s">
        <v>157</v>
      </c>
      <c r="F98" s="30"/>
      <c r="G98" s="30"/>
      <c r="H98" s="31"/>
      <c r="I98" s="31"/>
      <c r="J98" s="32"/>
      <c r="K98" s="32"/>
      <c r="L98" s="32"/>
      <c r="M98" s="32"/>
      <c r="N98" s="33"/>
      <c r="O98" s="2"/>
      <c r="P98" s="46"/>
      <c r="Q98" s="16"/>
      <c r="R98" s="2"/>
      <c r="S98" s="2"/>
      <c r="T98" s="2"/>
      <c r="U98" s="2"/>
      <c r="V98" s="2"/>
      <c r="W98" s="2"/>
      <c r="X98" s="2"/>
      <c r="Y98" s="2"/>
      <c r="Z98" s="2"/>
    </row>
    <row r="99" spans="1:26" ht="15.75" customHeight="1" x14ac:dyDescent="0.45">
      <c r="A99" s="8" t="s">
        <v>141</v>
      </c>
      <c r="B99" s="29">
        <v>6</v>
      </c>
      <c r="C99" s="29">
        <v>6</v>
      </c>
      <c r="D99" s="30">
        <v>6</v>
      </c>
      <c r="E99" s="30"/>
      <c r="F99" s="30"/>
      <c r="G99" s="30"/>
      <c r="H99" s="31"/>
      <c r="I99" s="31"/>
      <c r="J99" s="32"/>
      <c r="K99" s="32"/>
      <c r="L99" s="32"/>
      <c r="M99" s="32"/>
      <c r="N99" s="33"/>
      <c r="O99" s="2"/>
      <c r="P99" s="46"/>
      <c r="Q99" s="16"/>
      <c r="R99" s="2"/>
      <c r="S99" s="2"/>
      <c r="T99" s="2"/>
      <c r="U99" s="2"/>
      <c r="V99" s="2"/>
      <c r="W99" s="2"/>
      <c r="X99" s="2"/>
      <c r="Y99" s="2"/>
      <c r="Z99" s="2"/>
    </row>
    <row r="100" spans="1:26" ht="15.75" customHeight="1" x14ac:dyDescent="0.45">
      <c r="A100" s="8" t="s">
        <v>63</v>
      </c>
      <c r="B100" s="29">
        <v>1</v>
      </c>
      <c r="C100" s="29">
        <v>5</v>
      </c>
      <c r="D100" s="30" t="s">
        <v>83</v>
      </c>
      <c r="E100" s="30"/>
      <c r="F100" s="30"/>
      <c r="G100" s="30"/>
      <c r="H100" s="31"/>
      <c r="I100" s="31"/>
      <c r="J100" s="32" t="s">
        <v>111</v>
      </c>
      <c r="K100" s="32" t="s">
        <v>156</v>
      </c>
      <c r="L100" s="32"/>
      <c r="M100" s="32"/>
      <c r="N100" s="33">
        <v>1</v>
      </c>
      <c r="O100" s="2"/>
      <c r="P100" s="46"/>
      <c r="Q100" s="16"/>
      <c r="R100" s="2"/>
      <c r="S100" s="2"/>
      <c r="T100" s="2"/>
      <c r="U100" s="2"/>
      <c r="V100" s="2"/>
      <c r="W100" s="2"/>
      <c r="X100" s="2"/>
      <c r="Y100" s="2"/>
      <c r="Z100" s="2"/>
    </row>
    <row r="101" spans="1:26" ht="15.75" customHeight="1" x14ac:dyDescent="0.45">
      <c r="A101" s="8" t="s">
        <v>142</v>
      </c>
      <c r="B101" s="29">
        <v>6</v>
      </c>
      <c r="C101" s="29">
        <v>6</v>
      </c>
      <c r="D101" s="30"/>
      <c r="E101" s="30">
        <v>6</v>
      </c>
      <c r="F101" s="30"/>
      <c r="G101" s="30"/>
      <c r="H101" s="31"/>
      <c r="I101" s="31"/>
      <c r="J101" s="32">
        <v>6</v>
      </c>
      <c r="K101" s="32"/>
      <c r="L101" s="32"/>
      <c r="M101" s="32"/>
      <c r="N101" s="33"/>
      <c r="O101" s="2"/>
      <c r="P101" s="46"/>
      <c r="Q101" s="16"/>
      <c r="R101" s="2"/>
      <c r="S101" s="2"/>
      <c r="T101" s="2"/>
      <c r="U101" s="2"/>
      <c r="V101" s="2"/>
      <c r="W101" s="2"/>
      <c r="X101" s="2"/>
      <c r="Y101" s="2"/>
      <c r="Z101" s="2"/>
    </row>
    <row r="102" spans="1:26" ht="15.75" customHeight="1" x14ac:dyDescent="0.45">
      <c r="A102" s="8" t="s">
        <v>143</v>
      </c>
      <c r="B102" s="29">
        <v>5</v>
      </c>
      <c r="C102" s="29">
        <v>5</v>
      </c>
      <c r="D102" s="30">
        <v>5</v>
      </c>
      <c r="E102" s="30"/>
      <c r="F102" s="30"/>
      <c r="G102" s="30"/>
      <c r="H102" s="31"/>
      <c r="I102" s="31"/>
      <c r="J102" s="32"/>
      <c r="K102" s="32">
        <v>5</v>
      </c>
      <c r="L102" s="32"/>
      <c r="M102" s="32"/>
      <c r="N102" s="33"/>
      <c r="O102" s="2"/>
      <c r="P102" s="46"/>
      <c r="Q102" s="16"/>
      <c r="R102" s="2"/>
      <c r="S102" s="2"/>
      <c r="T102" s="2"/>
      <c r="U102" s="2"/>
      <c r="V102" s="2"/>
      <c r="W102" s="2"/>
      <c r="X102" s="2"/>
      <c r="Y102" s="2"/>
      <c r="Z102" s="2"/>
    </row>
    <row r="103" spans="1:26" ht="15.75" customHeight="1" x14ac:dyDescent="0.45">
      <c r="A103" s="8" t="s">
        <v>145</v>
      </c>
      <c r="B103" s="41">
        <v>6</v>
      </c>
      <c r="C103" s="41">
        <v>7</v>
      </c>
      <c r="D103" s="42" t="s">
        <v>159</v>
      </c>
      <c r="E103" s="42" t="s">
        <v>159</v>
      </c>
      <c r="F103" s="42"/>
      <c r="G103" s="42"/>
      <c r="H103" s="43"/>
      <c r="I103" s="43"/>
      <c r="J103" s="44"/>
      <c r="K103" s="44"/>
      <c r="L103" s="44"/>
      <c r="M103" s="44"/>
      <c r="N103" s="45"/>
      <c r="O103" s="2"/>
      <c r="P103" s="46"/>
      <c r="Q103" s="16"/>
      <c r="R103" s="2"/>
      <c r="S103" s="2"/>
      <c r="T103" s="2"/>
      <c r="U103" s="2"/>
      <c r="V103" s="2"/>
      <c r="W103" s="2"/>
      <c r="X103" s="2"/>
      <c r="Y103" s="2"/>
      <c r="Z103" s="2"/>
    </row>
  </sheetData>
  <mergeCells count="11">
    <mergeCell ref="Q33:Q34"/>
    <mergeCell ref="Q29:Q31"/>
    <mergeCell ref="Q26:Q28"/>
    <mergeCell ref="Q20:Q22"/>
    <mergeCell ref="Q16:Q18"/>
    <mergeCell ref="Q23:Q25"/>
    <mergeCell ref="Q13:Q15"/>
    <mergeCell ref="Q11:Q12"/>
    <mergeCell ref="Q9:Q10"/>
    <mergeCell ref="Q7:Q8"/>
    <mergeCell ref="Q5:Q6"/>
  </mergeCells>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General Information</vt:lpstr>
      <vt:lpstr>Trainee Data</vt:lpstr>
      <vt:lpstr>Roles</vt:lpstr>
      <vt:lpstr>Roles by PGY</vt:lpstr>
      <vt:lpstr>Appendix - Taxonomy Map</vt:lpstr>
      <vt:lpstr>Appendix - Specialty Crosswalk</vt:lpstr>
      <vt:lpstr>Appendix - PGY Role Map</vt:lpstr>
      <vt:lpstr>Appendix - Response Roles</vt:lpstr>
      <vt:lpstr>Role 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Kenneth Abbott</cp:lastModifiedBy>
  <dcterms:created xsi:type="dcterms:W3CDTF">2020-03-29T00:28:16Z</dcterms:created>
  <dcterms:modified xsi:type="dcterms:W3CDTF">2020-04-14T19:26:55Z</dcterms:modified>
</cp:coreProperties>
</file>